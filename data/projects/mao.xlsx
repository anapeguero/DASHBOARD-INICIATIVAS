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externalLinks/externalLink2.xml" ContentType="application/vnd.openxmlformats-officedocument.spreadsheetml.externalLink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externalLinks/externalLink4.xml" ContentType="application/vnd.openxmlformats-officedocument.spreadsheetml.externalLink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gruporamos.sharepoint.com/sites/ComprayControldeActivos/Ger_Compras_Activos_Fijos/Equipo_Compras_de_Activos/Iniciativas Aperturadas/"/>
    </mc:Choice>
  </mc:AlternateContent>
  <xr:revisionPtr revIDLastSave="81" documentId="8_{FB1E41C8-6305-40E2-9485-8E0E66C955F3}" xr6:coauthVersionLast="47" xr6:coauthVersionMax="47" xr10:uidLastSave="{F423A0E4-4EE0-436F-B1F6-E289CE240AAA}"/>
  <bookViews>
    <workbookView xWindow="1125" yWindow="510" windowWidth="21600" windowHeight="11160" tabRatio="891" activeTab="5" xr2:uid="{51158348-5015-434F-9047-5942B165B60C}"/>
  </bookViews>
  <sheets>
    <sheet name="Actualización" sheetId="31" r:id="rId1"/>
    <sheet name="Plan OI" sheetId="4" r:id="rId2"/>
    <sheet name="Hoja1" sheetId="38" state="hidden" r:id="rId3"/>
    <sheet name="Flujo de Caja" sheetId="3" r:id="rId4"/>
    <sheet name="Presupuesto" sheetId="9" r:id="rId5"/>
    <sheet name="BD Plan Detallado" sheetId="1" r:id="rId6"/>
    <sheet name="Plan trabajo - Seguimiento" sheetId="32" state="hidden" r:id="rId7"/>
    <sheet name="Tiempo-termino Importación" sheetId="27" state="hidden" r:id="rId8"/>
    <sheet name="Cronograma Inverso" sheetId="35" state="hidden" r:id="rId9"/>
    <sheet name="Pressto" sheetId="39" r:id="rId10"/>
    <sheet name="Seguimiento Mao " sheetId="40" state="hidden" r:id="rId11"/>
    <sheet name="Puntos pendientes" sheetId="41" r:id="rId12"/>
    <sheet name="Pre-Liquidar" sheetId="8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4" localSheetId="8">#REF!</definedName>
    <definedName name="\4" localSheetId="11">#REF!</definedName>
    <definedName name="\4">#REF!</definedName>
    <definedName name="\6" localSheetId="8">#REF!</definedName>
    <definedName name="\6" localSheetId="11">#REF!</definedName>
    <definedName name="\6">#REF!</definedName>
    <definedName name="\A" localSheetId="8">#REF!</definedName>
    <definedName name="\A" localSheetId="11">#REF!</definedName>
    <definedName name="\A">#REF!</definedName>
    <definedName name="\E" localSheetId="11">#REF!</definedName>
    <definedName name="\E">#REF!</definedName>
    <definedName name="\I" localSheetId="11">#REF!</definedName>
    <definedName name="\I">#REF!</definedName>
    <definedName name="\M" localSheetId="11">#REF!</definedName>
    <definedName name="\M">#REF!</definedName>
    <definedName name="\N" localSheetId="11">#REF!</definedName>
    <definedName name="\N">#REF!</definedName>
    <definedName name="\O" localSheetId="11">#REF!</definedName>
    <definedName name="\O">#REF!</definedName>
    <definedName name="\U" localSheetId="11">#REF!</definedName>
    <definedName name="\U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8" hidden="1">'Cronograma Inverso'!$A$2:$AF$261</definedName>
    <definedName name="_xlnm._FilterDatabase" localSheetId="6" hidden="1">'Plan trabajo - Seguimiento'!$B$4:$H$5</definedName>
    <definedName name="_xlnm._FilterDatabase" localSheetId="10" hidden="1">'Seguimiento Mao '!$A$8:$AB$46</definedName>
    <definedName name="_Key1" localSheetId="8" hidden="1">'[1]ANALISIS STO DGO'!#REF!</definedName>
    <definedName name="_Key1" hidden="1">'[1]ANALISIS STO DGO'!#REF!</definedName>
    <definedName name="_Key2" localSheetId="8" hidden="1">'[1]ANALISIS STO DGO'!#REF!</definedName>
    <definedName name="_Key2" hidden="1">'[1]ANALISIS STO DGO'!#REF!</definedName>
    <definedName name="_Order1" hidden="1">255</definedName>
    <definedName name="_Order2" hidden="1">255</definedName>
    <definedName name="_Sort" localSheetId="8" hidden="1">'[1]ANALISIS STO DGO'!#REF!</definedName>
    <definedName name="_Sort" hidden="1">'[1]ANALISIS STO DGO'!#REF!</definedName>
    <definedName name="ACERO" localSheetId="8">#REF!</definedName>
    <definedName name="ACERO" localSheetId="6">#REF!</definedName>
    <definedName name="ACERO" localSheetId="11">#REF!</definedName>
    <definedName name="ACERO">#REF!</definedName>
    <definedName name="Add_d1" localSheetId="8" hidden="1">#REF!</definedName>
    <definedName name="Add_d1" localSheetId="11" hidden="1">#REF!</definedName>
    <definedName name="Add_d1" hidden="1">#REF!</definedName>
    <definedName name="Addvert_2" localSheetId="8" hidden="1">#REF!</definedName>
    <definedName name="Addvert_2" localSheetId="11" hidden="1">#REF!</definedName>
    <definedName name="Addvert_2" hidden="1">#REF!</definedName>
    <definedName name="adegas">[2]PP!#REF!</definedName>
    <definedName name="adegpressão">[2]PP!#REF!</definedName>
    <definedName name="AGUA" localSheetId="8">#REF!</definedName>
    <definedName name="AGUA" localSheetId="6">#REF!</definedName>
    <definedName name="AGUA" localSheetId="11">#REF!</definedName>
    <definedName name="AGUA">#REF!</definedName>
    <definedName name="ALAMBRE" localSheetId="6">#REF!</definedName>
    <definedName name="ALAMBRE" localSheetId="11">#REF!</definedName>
    <definedName name="ALAMBRE">#REF!</definedName>
    <definedName name="ana_bajante_pluvial_3pulg">[3]ANA!$F$536</definedName>
    <definedName name="ana_caja_inspeccion">[3]ANA!$F$907</definedName>
    <definedName name="ana_codo_pvc_drenaje_2pulgx45">[3]ANA!$F$324</definedName>
    <definedName name="ana_codo_pvc_drenaje_3pulgx45">[3]ANA!$F$331</definedName>
    <definedName name="ana_codo_pvc_drenaje_4pulgx45">[3]ANA!$F$338</definedName>
    <definedName name="ana_codo_pvc_presion_1.5pulg">[3]ANA!$F$275</definedName>
    <definedName name="ana_columna_ventilacion_2pulg">[3]ANA!$F$514</definedName>
    <definedName name="ana_columna_ventilacion_3pulg">[3]ANA!$F$526</definedName>
    <definedName name="ana_coupling_cpvc_1.5pulg">[3]ANA!$F$451</definedName>
    <definedName name="ana_red_pvc_3x2pulg">[3]ANA!$F$429</definedName>
    <definedName name="ana_red_pvc_4x3pulg">[3]ANA!$F$415</definedName>
    <definedName name="ana_red_pvc_presion_1.5x1pulg">[3]ANA!$F$373</definedName>
    <definedName name="ana_tee_pvc_presion_1.5pulg">[3]ANA!$F$190</definedName>
    <definedName name="ana_yee_pvc_drenaje_2pulg">[3]ANA!$F$232</definedName>
    <definedName name="ana_yee_pvc_drenaje_3pulg">[3]ANA!$F$239</definedName>
    <definedName name="ana_yee_pvc_drenaje_4pulg">[3]ANA!$F$246</definedName>
    <definedName name="ANAL_REV.CER" localSheetId="8">#REF!</definedName>
    <definedName name="ANAL_REV.CER" localSheetId="11">#REF!</definedName>
    <definedName name="ANAL_REV.CER">#REF!</definedName>
    <definedName name="APREZIO" localSheetId="8">#REF!</definedName>
    <definedName name="APREZIO" localSheetId="6">#REF!</definedName>
    <definedName name="APREZIO" localSheetId="11">#REF!</definedName>
    <definedName name="APREZIO">#REF!</definedName>
    <definedName name="Arch_Certification" localSheetId="8" hidden="1">#REF!</definedName>
    <definedName name="Arch_Certification" localSheetId="11" hidden="1">#REF!</definedName>
    <definedName name="Arch_Certification" hidden="1">#REF!</definedName>
    <definedName name="ARENAITABO" localSheetId="6">#REF!</definedName>
    <definedName name="ARENAITABO" localSheetId="11">#REF!</definedName>
    <definedName name="ARENAITABO">#REF!</definedName>
    <definedName name="asdfg" hidden="1">'[1]ANALISIS STO DGO'!#REF!</definedName>
    <definedName name="AUTO_STATUS">OFFSET('[4]5.1'!$T$36:$T$201,,,COUNTA('[4]5.1'!$E$36:$E$201),)</definedName>
    <definedName name="BalancePendPago">[5]Sheet5!$N$31</definedName>
    <definedName name="BalanceToFinish" localSheetId="8">#REF!</definedName>
    <definedName name="BalanceToFinish" localSheetId="11">#REF!</definedName>
    <definedName name="BalanceToFinish">#REF!</definedName>
    <definedName name="BaseRetainage" localSheetId="8" hidden="1">#REF!</definedName>
    <definedName name="BaseRetainage" localSheetId="11" hidden="1">#REF!</definedName>
    <definedName name="BaseRetainage" hidden="1">#REF!</definedName>
    <definedName name="BOOLEAN">[6]Lists!$I$2:$I$3</definedName>
    <definedName name="CC_1" localSheetId="8" hidden="1">#REF!</definedName>
    <definedName name="CC_1" localSheetId="11" hidden="1">#REF!</definedName>
    <definedName name="CC_1" hidden="1">#REF!</definedName>
    <definedName name="CC_2" localSheetId="11" hidden="1">#REF!</definedName>
    <definedName name="CC_2" hidden="1">#REF!</definedName>
    <definedName name="CC_3" localSheetId="11" hidden="1">#REF!</definedName>
    <definedName name="CC_3" hidden="1">#REF!</definedName>
    <definedName name="CC_4" localSheetId="11" hidden="1">#REF!</definedName>
    <definedName name="CC_4" hidden="1">#REF!</definedName>
    <definedName name="CC_5" localSheetId="11" hidden="1">#REF!</definedName>
    <definedName name="CC_5" hidden="1">#REF!</definedName>
    <definedName name="CC_6" localSheetId="11" hidden="1">#REF!</definedName>
    <definedName name="CC_6" hidden="1">#REF!</definedName>
    <definedName name="CC_7" localSheetId="11" hidden="1">#REF!</definedName>
    <definedName name="CC_7" hidden="1">#REF!</definedName>
    <definedName name="CC_8" localSheetId="11" hidden="1">#REF!</definedName>
    <definedName name="CC_8" hidden="1">#REF!</definedName>
    <definedName name="CEMENTOGRIS" localSheetId="6">#REF!</definedName>
    <definedName name="CEMENTOGRIS" localSheetId="11">#REF!</definedName>
    <definedName name="CEMENTOGRIS">#REF!</definedName>
    <definedName name="ChangesAdditions" localSheetId="11" hidden="1">#REF!</definedName>
    <definedName name="ChangesAdditions" hidden="1">#REF!</definedName>
    <definedName name="ChangesDeletions" localSheetId="11" hidden="1">#REF!</definedName>
    <definedName name="ChangesDeletions" hidden="1">#REF!</definedName>
    <definedName name="Clientes">#REF!</definedName>
    <definedName name="Col_Comments1" hidden="1">[7]Detail!#REF!</definedName>
    <definedName name="Cols_Comments" hidden="1">[7]Detail!#REF!</definedName>
    <definedName name="Comments" hidden="1">[7]Detail!#REF!</definedName>
    <definedName name="CompanyName" localSheetId="8" hidden="1">#REF!</definedName>
    <definedName name="CompanyName" localSheetId="11" hidden="1">#REF!</definedName>
    <definedName name="CompanyName" hidden="1">#REF!</definedName>
    <definedName name="ContractorName" localSheetId="8" hidden="1">#REF!</definedName>
    <definedName name="ContractorName" localSheetId="11" hidden="1">#REF!</definedName>
    <definedName name="ContractorName" hidden="1">#REF!</definedName>
    <definedName name="ContractorsCert" localSheetId="8" hidden="1">#REF!</definedName>
    <definedName name="ContractorsCert" localSheetId="11" hidden="1">#REF!</definedName>
    <definedName name="ContractorsCert" hidden="1">#REF!</definedName>
    <definedName name="ContratoOriginal">[5]Sheet5!$N$15</definedName>
    <definedName name="ContrSignDate" localSheetId="8" hidden="1">#REF!</definedName>
    <definedName name="ContrSignDate" localSheetId="11" hidden="1">#REF!</definedName>
    <definedName name="ContrSignDate" hidden="1">#REF!</definedName>
    <definedName name="CustFields" localSheetId="8" hidden="1">#REF!</definedName>
    <definedName name="CustFields" localSheetId="11" hidden="1">#REF!</definedName>
    <definedName name="CustFields" hidden="1">#REF!</definedName>
    <definedName name="CustFieldsValue" localSheetId="8" hidden="1">#REF!</definedName>
    <definedName name="CustFieldsValue" localSheetId="11" hidden="1">#REF!</definedName>
    <definedName name="CustFieldsValue" hidden="1">#REF!</definedName>
    <definedName name="CUSTO_VAR">#REF!</definedName>
    <definedName name="CustomHeadingField" localSheetId="11" hidden="1">#REF!</definedName>
    <definedName name="CustomHeadingField" hidden="1">#REF!</definedName>
    <definedName name="CVGQ">#REF!</definedName>
    <definedName name="Datos" localSheetId="6">#REF!</definedName>
    <definedName name="Datos" localSheetId="11">#REF!</definedName>
    <definedName name="Datos">#REF!</definedName>
    <definedName name="Datos1" localSheetId="6">#REF!</definedName>
    <definedName name="Datos1" localSheetId="11">#REF!</definedName>
    <definedName name="Datos1">#REF!</definedName>
    <definedName name="Datos2" localSheetId="11">#REF!</definedName>
    <definedName name="Datos2">#REF!</definedName>
    <definedName name="DDD" localSheetId="11">#REF!</definedName>
    <definedName name="DDD">#REF!</definedName>
    <definedName name="DEPARTMENT">OFFSET([4]Lists!$B$2:$B$400,,,COUNTA([4]Lists!$B$2:$B$400),)</definedName>
    <definedName name="Distribucion" localSheetId="11">#REF!</definedName>
    <definedName name="Distribucion">#REF!</definedName>
    <definedName name="Distribution" localSheetId="8" hidden="1">#REF!</definedName>
    <definedName name="Distribution" localSheetId="11" hidden="1">#REF!</definedName>
    <definedName name="Distribution" hidden="1">#REF!</definedName>
    <definedName name="eeee" localSheetId="11">#REF!</definedName>
    <definedName name="eeee">#REF!</definedName>
    <definedName name="endScrollArea" localSheetId="11" hidden="1">#REF!</definedName>
    <definedName name="endScrollArea" hidden="1">#REF!</definedName>
    <definedName name="EUR" localSheetId="6">#REF!</definedName>
    <definedName name="EUR" localSheetId="11">#REF!</definedName>
    <definedName name="EUR">#REF!</definedName>
    <definedName name="ExcesoPorcentajeCompletado" localSheetId="8">(#REF!=MEDIAN(#REF!,#REF!,#REF!+#REF!)*(#REF!&gt;0))*((#REF!&lt;(INT(#REF!+#REF!*#REF!)))+(#REF!=#REF!))*(#REF!&gt;0)</definedName>
    <definedName name="ExcesoPorcentajeCompletado" localSheetId="11">(#REF!=MEDIAN(#REF!,#REF!,#REF!+#REF!)*(#REF!&gt;0))*((#REF!&lt;(INT(#REF!+#REF!*#REF!)))+(#REF!=#REF!))*(#REF!&gt;0)</definedName>
    <definedName name="ExcesoPorcentajeCompletado">(#REF!=MEDIAN(#REF!,#REF!,#REF!+#REF!)*(#REF!&gt;0))*((#REF!&lt;(INT(#REF!+#REF!*#REF!)))+(#REF!=#REF!))*(#REF!&gt;0)</definedName>
    <definedName name="ExcesoReal" localSheetId="8">'Cronograma Inverso'!PeríodoReal*(#REF!&gt;0)</definedName>
    <definedName name="ExcesoReal" localSheetId="9">PeríodoReal*(#REF!&gt;0)</definedName>
    <definedName name="ExcesoReal" localSheetId="11">'Puntos pendientes'!PeríodoReal*(#REF!&gt;0)</definedName>
    <definedName name="ExcesoReal" localSheetId="10">PeríodoReal*(#REF!&gt;0)</definedName>
    <definedName name="ExcesoReal">PeríodoReal*(#REF!&gt;0)</definedName>
    <definedName name="FazFiltro">[8]!FazFiltro</definedName>
    <definedName name="ffff" localSheetId="11">#REF!</definedName>
    <definedName name="ffff">#REF!</definedName>
    <definedName name="filtração">[2]PP!#REF!</definedName>
    <definedName name="FromAddress1" localSheetId="8" hidden="1">#REF!</definedName>
    <definedName name="FromAddress1" localSheetId="11" hidden="1">#REF!</definedName>
    <definedName name="FromAddress1" hidden="1">#REF!</definedName>
    <definedName name="FromAddress2" localSheetId="8" hidden="1">#REF!</definedName>
    <definedName name="FromAddress2" localSheetId="11" hidden="1">#REF!</definedName>
    <definedName name="FromAddress2" hidden="1">#REF!</definedName>
    <definedName name="FromAddress3" localSheetId="8" hidden="1">#REF!</definedName>
    <definedName name="FromAddress3" localSheetId="11" hidden="1">#REF!</definedName>
    <definedName name="FromAddress3" hidden="1">#REF!</definedName>
    <definedName name="GENTE">#REF!</definedName>
    <definedName name="GRAMOS" localSheetId="6">#REF!</definedName>
    <definedName name="GRAMOS" localSheetId="11">#REF!</definedName>
    <definedName name="GRAMOS">#REF!</definedName>
    <definedName name="GRAVA" localSheetId="6">#REF!</definedName>
    <definedName name="GRAVA" localSheetId="11">#REF!</definedName>
    <definedName name="GRAVA">#REF!</definedName>
    <definedName name="HeadingArchOrCustom" localSheetId="11" hidden="1">#REF!</definedName>
    <definedName name="HeadingArchOrCustom" hidden="1">#REF!</definedName>
    <definedName name="HORMIGONIND" localSheetId="6">#REF!</definedName>
    <definedName name="HORMIGONIND" localSheetId="11">#REF!</definedName>
    <definedName name="HORMIGONIND">#REF!</definedName>
    <definedName name="Idadep_atual">"[\\Nre00070\c\Controle\Carrao\IDADEP_0204]LIBERADO!$D$4:$G$200"</definedName>
    <definedName name="IMPERM." localSheetId="8">#REF!</definedName>
    <definedName name="IMPERM." localSheetId="11">#REF!</definedName>
    <definedName name="IMPERM.">#REF!</definedName>
    <definedName name="Impressao">[9]!Impressao</definedName>
    <definedName name="Impressao2">[10]!Impressao2</definedName>
    <definedName name="Imprimir">[8]!Imprimir</definedName>
    <definedName name="INTEGRACAO">#REF!</definedName>
    <definedName name="iUg">#REF!</definedName>
    <definedName name="Lista">#REF!</definedName>
    <definedName name="Macro">#REF!</definedName>
    <definedName name="MADERA" localSheetId="6">#REF!</definedName>
    <definedName name="MADERA" localSheetId="11">#REF!</definedName>
    <definedName name="MADERA">#REF!</definedName>
    <definedName name="MAT_ACERO" localSheetId="11">#REF!</definedName>
    <definedName name="MAT_ACERO">#REF!</definedName>
    <definedName name="MAT_AGREGADOS" localSheetId="11">#REF!</definedName>
    <definedName name="MAT_AGREGADOS">#REF!</definedName>
    <definedName name="MAT_BLOQUES" localSheetId="11">#REF!</definedName>
    <definedName name="MAT_BLOQUES">#REF!</definedName>
    <definedName name="MAT_CARP." localSheetId="11">#REF!</definedName>
    <definedName name="MAT_CARP.">#REF!</definedName>
    <definedName name="MAT_CEMENTOS" localSheetId="11">#REF!</definedName>
    <definedName name="MAT_CEMENTOS">#REF!</definedName>
    <definedName name="MAT_CERRAJ." localSheetId="11">#REF!</definedName>
    <definedName name="MAT_CERRAJ.">#REF!</definedName>
    <definedName name="MAT_HORM._I" localSheetId="11">#REF!</definedName>
    <definedName name="MAT_HORM._I">#REF!</definedName>
    <definedName name="MAT_MOVTO_TIERR" localSheetId="11">#REF!</definedName>
    <definedName name="MAT_MOVTO_TIERR">#REF!</definedName>
    <definedName name="MAT_PINTURA" localSheetId="11">#REF!</definedName>
    <definedName name="MAT_PINTURA">#REF!</definedName>
    <definedName name="MAT_PINTURAS" localSheetId="11">#REF!</definedName>
    <definedName name="MAT_PINTURAS">#REF!</definedName>
    <definedName name="MAT_PLAFONES" localSheetId="11">#REF!</definedName>
    <definedName name="MAT_PLAFONES">#REF!</definedName>
    <definedName name="MAT_REVEST." localSheetId="11">#REF!</definedName>
    <definedName name="MAT_REVEST.">#REF!</definedName>
    <definedName name="MAT_VENTANAS" localSheetId="11">#REF!</definedName>
    <definedName name="MAT_VENTANAS">#REF!</definedName>
    <definedName name="MaxLogoArea" localSheetId="11" hidden="1">#REF!</definedName>
    <definedName name="MaxLogoArea" hidden="1">#REF!</definedName>
    <definedName name="MEASURE">OFFSET([4]Lists!$K$1:$K$40,,,COUNTA([4]Lists!$K$1:$K$40),)</definedName>
    <definedName name="miguel" localSheetId="8">#REF!</definedName>
    <definedName name="miguel" localSheetId="11">#REF!</definedName>
    <definedName name="miguel">#REF!</definedName>
    <definedName name="Muda_Cor">[9]!Muda_Cor</definedName>
    <definedName name="Muda_Cor2">[10]!Muda_Cor2</definedName>
    <definedName name="mUg">#REF!</definedName>
    <definedName name="NewStatus">'[11]look-up data'!$M$2:$M$6</definedName>
    <definedName name="no" localSheetId="8">#REF!</definedName>
    <definedName name="no" localSheetId="11">#REF!</definedName>
    <definedName name="no">#REF!</definedName>
    <definedName name="Notary_County" localSheetId="8" hidden="1">#REF!</definedName>
    <definedName name="Notary_County" localSheetId="11" hidden="1">#REF!</definedName>
    <definedName name="Notary_County" hidden="1">#REF!</definedName>
    <definedName name="Notary_Day" localSheetId="11" hidden="1">#REF!</definedName>
    <definedName name="Notary_Day" hidden="1">#REF!</definedName>
    <definedName name="Notary_ExpDate" localSheetId="11" hidden="1">#REF!</definedName>
    <definedName name="Notary_ExpDate" hidden="1">#REF!</definedName>
    <definedName name="Notary_Month" localSheetId="11" hidden="1">#REF!</definedName>
    <definedName name="Notary_Month" hidden="1">#REF!</definedName>
    <definedName name="Notary_Name" localSheetId="11" hidden="1">#REF!</definedName>
    <definedName name="Notary_Name" hidden="1">#REF!</definedName>
    <definedName name="Notary_Section" localSheetId="11" hidden="1">#REF!</definedName>
    <definedName name="Notary_Section" hidden="1">#REF!</definedName>
    <definedName name="Notary_State" localSheetId="11" hidden="1">#REF!</definedName>
    <definedName name="Notary_State" hidden="1">#REF!</definedName>
    <definedName name="NotNewLin" hidden="1">FALSE</definedName>
    <definedName name="Numbers">OFFSET('[4]5.1'!$B$57:$B$201,,,COUNTA('[4]5.1'!$B$57:$B$201),)</definedName>
    <definedName name="OBRA_MANO" localSheetId="8">#REF!</definedName>
    <definedName name="OBRA_MANO" localSheetId="11">#REF!</definedName>
    <definedName name="OBRA_MANO">#REF!</definedName>
    <definedName name="OBZ">#REF!</definedName>
    <definedName name="OBZGQ">#REF!</definedName>
    <definedName name="OrdenarFábrica">[8]!OrdenarFábrica</definedName>
    <definedName name="OrdenarÍndices">[8]!OrdenarÍndices</definedName>
    <definedName name="OrdenarMelhores">[8]!OrdenarMelhores</definedName>
    <definedName name="OriginalContract" localSheetId="8">#REF!</definedName>
    <definedName name="OriginalContract" localSheetId="11">#REF!</definedName>
    <definedName name="OriginalContract">#REF!</definedName>
    <definedName name="PACAOMAB">#REF!</definedName>
    <definedName name="pack">[2]PP!#REF!</definedName>
    <definedName name="PagoNeto">[5]Sheet5!$N$28</definedName>
    <definedName name="PaymentDue" localSheetId="8">#REF!</definedName>
    <definedName name="PaymentDue" localSheetId="11">#REF!</definedName>
    <definedName name="PaymentDue">#REF!</definedName>
    <definedName name="PctRetainageSMs" localSheetId="8" hidden="1">#REF!</definedName>
    <definedName name="PctRetainageSMs" localSheetId="11" hidden="1">#REF!</definedName>
    <definedName name="PctRetainageSMs" hidden="1">#REF!</definedName>
    <definedName name="PctRetainageWIPs" localSheetId="8" hidden="1">#REF!</definedName>
    <definedName name="PctRetainageWIPs" localSheetId="11" hidden="1">#REF!</definedName>
    <definedName name="PctRetainageWIPs" hidden="1">#REF!</definedName>
    <definedName name="período_seleccionado" localSheetId="11">#REF!</definedName>
    <definedName name="período_seleccionado">#REF!</definedName>
    <definedName name="PeríodoEnPlan" localSheetId="8">#REF!=MEDIAN(#REF!,#REF!,#REF!+#REF!-1)</definedName>
    <definedName name="PeríodoEnPlan" localSheetId="11">#REF!=MEDIAN(#REF!,#REF!,#REF!+#REF!-1)</definedName>
    <definedName name="PeríodoEnPlan">#REF!=MEDIAN(#REF!,#REF!,#REF!+#REF!-1)</definedName>
    <definedName name="PeríodoReal" localSheetId="8">#REF!=MEDIAN(#REF!,#REF!,#REF!+#REF!-1)</definedName>
    <definedName name="PeríodoReal" localSheetId="11">#REF!=MEDIAN(#REF!,#REF!,#REF!+#REF!-1)</definedName>
    <definedName name="PeríodoReal">#REF!=MEDIAN(#REF!,#REF!,#REF!+#REF!-1)</definedName>
    <definedName name="Plan" localSheetId="8">'Cronograma Inverso'!PeríodoEnPlan*(#REF!&gt;0)</definedName>
    <definedName name="Plan" localSheetId="9">PeríodoEnPlan*(#REF!&gt;0)</definedName>
    <definedName name="Plan" localSheetId="11">'Puntos pendientes'!PeríodoEnPlan*(#REF!&gt;0)</definedName>
    <definedName name="Plan" localSheetId="10">PeríodoEnPlan*(#REF!&gt;0)</definedName>
    <definedName name="Plan">PeríodoEnPlan*(#REF!&gt;0)</definedName>
    <definedName name="PLANT">OFFSET([4]Lists!$A$2:$A$300,,,COUNTA([4]Lists!$A$2:$A$300),)</definedName>
    <definedName name="pópalha">[2]PP!#REF!</definedName>
    <definedName name="PorcentajeCompletado" localSheetId="8">'Cronograma Inverso'!ExcesoPorcentajeCompletado*'Cronograma Inverso'!PeríodoEnPlan</definedName>
    <definedName name="PorcentajeCompletado" localSheetId="9">ExcesoPorcentajeCompletado*PeríodoEnPlan</definedName>
    <definedName name="PorcentajeCompletado" localSheetId="11">'Puntos pendientes'!ExcesoPorcentajeCompletado*'Puntos pendientes'!PeríodoEnPlan</definedName>
    <definedName name="PorcentajeCompletado" localSheetId="10">ExcesoPorcentajeCompletado*PeríodoEnPlan</definedName>
    <definedName name="PorcentajeCompletado">ExcesoPorcentajeCompletado*PeríodoEnPlan</definedName>
    <definedName name="PorcentajeMarca" localSheetId="6">'Plan trabajo - Seguimiento'!#REF!</definedName>
    <definedName name="PorcentajeMarca" localSheetId="11">'[12]Seguimiento ALRM'!#REF!</definedName>
    <definedName name="PorcentajeMarca" localSheetId="10">'[12]Seguimiento ALRM'!#REF!</definedName>
    <definedName name="PorcentajeMarca">'[13]Seguimiento ALRM'!#REF!</definedName>
    <definedName name="PRES_DESAGUES" localSheetId="8">#REF!</definedName>
    <definedName name="PRES_DESAGUES" localSheetId="11">#REF!</definedName>
    <definedName name="PRES_DESAGUES">#REF!</definedName>
    <definedName name="PRES_ESCALERAS" localSheetId="8">#REF!</definedName>
    <definedName name="PRES_ESCALERAS" localSheetId="11">#REF!</definedName>
    <definedName name="PRES_ESCALERAS">#REF!</definedName>
    <definedName name="PRES_FINO" localSheetId="8">#REF!</definedName>
    <definedName name="PRES_FINO" localSheetId="11">#REF!</definedName>
    <definedName name="PRES_FINO">#REF!</definedName>
    <definedName name="PRES_GASTOS" localSheetId="11">#REF!</definedName>
    <definedName name="PRES_GASTOS">#REF!</definedName>
    <definedName name="PRES_HORMIGON" localSheetId="11">#REF!</definedName>
    <definedName name="PRES_HORMIGON">#REF!</definedName>
    <definedName name="PRES_M._TIERRAS" localSheetId="11">#REF!</definedName>
    <definedName name="PRES_M._TIERRAS">#REF!</definedName>
    <definedName name="PRES_MISCEL." localSheetId="11">#REF!</definedName>
    <definedName name="PRES_MISCEL.">#REF!</definedName>
    <definedName name="PRES_MUROS" localSheetId="11">#REF!</definedName>
    <definedName name="PRES_MUROS">#REF!</definedName>
    <definedName name="PRES_OTROS" localSheetId="11">#REF!</definedName>
    <definedName name="PRES_OTROS">#REF!</definedName>
    <definedName name="PRES_PAÑETE" localSheetId="11">#REF!</definedName>
    <definedName name="PRES_PAÑETE">#REF!</definedName>
    <definedName name="PRES_PINTURAS" localSheetId="11">#REF!</definedName>
    <definedName name="PRES_PINTURAS">#REF!</definedName>
    <definedName name="PRES_PISOS" localSheetId="11">#REF!</definedName>
    <definedName name="PRES_PISOS">#REF!</definedName>
    <definedName name="PRES_PLAFONES" localSheetId="11">#REF!</definedName>
    <definedName name="PRES_PLAFONES">#REF!</definedName>
    <definedName name="PRES_REPLANTEO" localSheetId="11">#REF!</definedName>
    <definedName name="PRES_REPLANTEO">#REF!</definedName>
    <definedName name="PRES_REVEST." localSheetId="11">#REF!</definedName>
    <definedName name="PRES_REVEST.">#REF!</definedName>
    <definedName name="PRES_TOTAL" localSheetId="11">#REF!</definedName>
    <definedName name="PRES_TOTAL">#REF!</definedName>
    <definedName name="PRES_VENTANAS" localSheetId="11">#REF!</definedName>
    <definedName name="PRES_VENTANAS">#REF!</definedName>
    <definedName name="PrevAppPct" localSheetId="8">[7]Detail!#REF!</definedName>
    <definedName name="PrevAppPct">[7]Detail!#REF!</definedName>
    <definedName name="PrevAppTotalBilled" localSheetId="8">#REF!</definedName>
    <definedName name="PrevAppTotalBilled" localSheetId="11">#REF!</definedName>
    <definedName name="PrevAppTotalBilled">#REF!</definedName>
    <definedName name="PrintAreaCC" localSheetId="8" hidden="1">#REF!</definedName>
    <definedName name="PrintAreaCC" localSheetId="11" hidden="1">#REF!</definedName>
    <definedName name="PrintAreaCC" hidden="1">#REF!</definedName>
    <definedName name="PrintAreaNoCC" localSheetId="8" hidden="1">#REF!</definedName>
    <definedName name="PrintAreaNoCC" localSheetId="11" hidden="1">#REF!</definedName>
    <definedName name="PrintAreaNoCC" hidden="1">#REF!</definedName>
    <definedName name="processo">[2]PP!#REF!</definedName>
    <definedName name="Processos">#REF!</definedName>
    <definedName name="PRODUTIVIDADE">#REF!</definedName>
    <definedName name="PRODUTIVIDADEQA">#REF!</definedName>
    <definedName name="ProjectName" localSheetId="11" hidden="1">#REF!</definedName>
    <definedName name="ProjectName" hidden="1">#REF!</definedName>
    <definedName name="PROMEDIO" localSheetId="11">#REF!</definedName>
    <definedName name="PROMEDIO">#REF!</definedName>
    <definedName name="QUALIDADADEQA">#REF!</definedName>
    <definedName name="QUALIDADE">#REF!</definedName>
    <definedName name="rafa" localSheetId="11">#REF!</definedName>
    <definedName name="rafa">#REF!</definedName>
    <definedName name="Real" localSheetId="8">('Cronograma Inverso'!PeríodoReal*(#REF!&gt;0))*'Cronograma Inverso'!PeríodoEnPlan</definedName>
    <definedName name="Real" localSheetId="9">(PeríodoReal*(#REF!&gt;0))*PeríodoEnPlan</definedName>
    <definedName name="Real" localSheetId="11">('Puntos pendientes'!PeríodoReal*(#REF!&gt;0))*'Puntos pendientes'!PeríodoEnPlan</definedName>
    <definedName name="Real" localSheetId="10">(PeríodoReal*(#REF!&gt;0))*PeríodoEnPlan</definedName>
    <definedName name="Real">(PeríodoReal*(#REF!&gt;0))*PeríodoEnPlan</definedName>
    <definedName name="recebmalte">[2]PP!#REF!</definedName>
    <definedName name="Relação">#REF!</definedName>
    <definedName name="RetainageSection" localSheetId="8" hidden="1">#REF!</definedName>
    <definedName name="RetainageSection" localSheetId="11" hidden="1">#REF!</definedName>
    <definedName name="RetainageSection" hidden="1">#REF!</definedName>
    <definedName name="Retainge_DC" localSheetId="8" hidden="1">#REF!</definedName>
    <definedName name="Retainge_DC" localSheetId="11" hidden="1">#REF!</definedName>
    <definedName name="Retainge_DC" hidden="1">#REF!</definedName>
    <definedName name="RR" localSheetId="11">#REF!</definedName>
    <definedName name="RR">#REF!</definedName>
    <definedName name="rrr" localSheetId="11">#REF!</definedName>
    <definedName name="rrr">#REF!</definedName>
    <definedName name="Sanitaria" localSheetId="11">#REF!</definedName>
    <definedName name="Sanitaria">#REF!</definedName>
    <definedName name="SavedInExcel10" hidden="1">6832</definedName>
    <definedName name="SavedInExcel11" hidden="1">8169</definedName>
    <definedName name="SavedInExcel9" hidden="1">6627</definedName>
    <definedName name="SavedInExcelV10_6832" hidden="1">"Feb_14_2008"</definedName>
    <definedName name="SavedInExcelV11_8169" hidden="1">"Feb_27_2008"</definedName>
    <definedName name="SavedInExcelV12_6331">"Jan_11_2009"</definedName>
    <definedName name="SavedInExcelV9_6627" hidden="1">"Feb_20_2008"</definedName>
    <definedName name="SetDecPlaces" localSheetId="8" hidden="1">#REF!,#REF!,#REF!,#REF!</definedName>
    <definedName name="SetDecPlaces" localSheetId="11" hidden="1">#REF!,#REF!,#REF!,#REF!</definedName>
    <definedName name="SetDecPlaces" hidden="1">#REF!,#REF!,#REF!,#REF!</definedName>
    <definedName name="SMRetainage" localSheetId="8" hidden="1">#REF!</definedName>
    <definedName name="SMRetainage" localSheetId="11" hidden="1">#REF!</definedName>
    <definedName name="SMRetainage" hidden="1">#REF!</definedName>
    <definedName name="ss" localSheetId="8">#REF!</definedName>
    <definedName name="ss" localSheetId="11">#REF!</definedName>
    <definedName name="ss">#REF!</definedName>
    <definedName name="STATUS">[4]Lists!$J$2:$J$6</definedName>
    <definedName name="TEST0">#REF!</definedName>
    <definedName name="TEST1">#REF!</definedName>
    <definedName name="TEST10">[14]BCK!#REF!</definedName>
    <definedName name="TEST11">[14]BCK!#REF!</definedName>
    <definedName name="TEST12">[14]BCK!#REF!</definedName>
    <definedName name="TEST13">[14]BCK!#REF!</definedName>
    <definedName name="TEST14">[14]BCK!#REF!</definedName>
    <definedName name="TEST15">[14]BCK!#REF!</definedName>
    <definedName name="TEST4">[14]BCK!#REF!</definedName>
    <definedName name="TEST5">[14]BCK!#REF!</definedName>
    <definedName name="TEST6">[14]BCK!#REF!</definedName>
    <definedName name="TEST7">[14]BCK!#REF!</definedName>
    <definedName name="TEST8">[14]BCK!#REF!</definedName>
    <definedName name="TEST9">[14]BCK!#REF!</definedName>
    <definedName name="TESTHKEY">#REF!</definedName>
    <definedName name="TESTKEYS">#REF!</definedName>
    <definedName name="TESTVKEY">#REF!</definedName>
    <definedName name="ThisAppPct" localSheetId="8">[7]Detail!#REF!</definedName>
    <definedName name="ThisAppPct">[7]Detail!#REF!</definedName>
    <definedName name="ThisAppPct_ID" localSheetId="8" hidden="1">[7]Detail!#REF!</definedName>
    <definedName name="ThisAppPct_ID" hidden="1">[7]Detail!#REF!</definedName>
    <definedName name="TítuloDeColumna1" localSheetId="6">'Plan trabajo - Seguimiento'!#REF!</definedName>
    <definedName name="TítuloDeColumna2" localSheetId="6">[13]!TablaDeCategoríasYEmpleados[[#Headers],[Nombre de categoría]]</definedName>
    <definedName name="TítuloDeColumna2">[13]!TablaDeCategoríasYEmpleados[[#Headers],[Nombre de categoría]]</definedName>
    <definedName name="_xlnm.Print_Titles" localSheetId="6">'Plan trabajo - Seguimiento'!#REF!</definedName>
    <definedName name="ToAddress1" localSheetId="8" hidden="1">#REF!</definedName>
    <definedName name="ToAddress1" localSheetId="11" hidden="1">#REF!</definedName>
    <definedName name="ToAddress1" hidden="1">#REF!</definedName>
    <definedName name="ToAddress2" localSheetId="8" hidden="1">#REF!</definedName>
    <definedName name="ToAddress2" localSheetId="11" hidden="1">#REF!</definedName>
    <definedName name="ToAddress2" hidden="1">#REF!</definedName>
    <definedName name="ToAddress3" localSheetId="8" hidden="1">#REF!</definedName>
    <definedName name="ToAddress3" localSheetId="11" hidden="1">#REF!</definedName>
    <definedName name="ToAddress3" hidden="1">#REF!</definedName>
    <definedName name="ToCompanyName" localSheetId="11" hidden="1">#REF!</definedName>
    <definedName name="ToCompanyName" hidden="1">#REF!</definedName>
    <definedName name="ToFinishPct" localSheetId="8">[7]Detail!#REF!</definedName>
    <definedName name="ToFinishPct">[7]Detail!#REF!</definedName>
    <definedName name="total">[2]PP!#REF!</definedName>
    <definedName name="TotalBilled" localSheetId="8">#REF!</definedName>
    <definedName name="TotalBilled" localSheetId="11">#REF!</definedName>
    <definedName name="TotalBilled">#REF!</definedName>
    <definedName name="TotalCompletado">[5]Sheet5!$N$18</definedName>
    <definedName name="TotalCompleted" localSheetId="8">#REF!</definedName>
    <definedName name="TotalCompleted" localSheetId="11">#REF!</definedName>
    <definedName name="TotalCompleted">#REF!</definedName>
    <definedName name="TotalContract" localSheetId="8">#REF!</definedName>
    <definedName name="TotalContract" localSheetId="11">#REF!</definedName>
    <definedName name="TotalContract">#REF!</definedName>
    <definedName name="TotalContrato">[5]Sheet5!$N$17</definedName>
    <definedName name="TotalDeducciones">[5]Sheet5!$N$22</definedName>
    <definedName name="TotalFacturado">[5]Sheet5!$N$24</definedName>
    <definedName name="TotalFacturadoApPrev">[5]Sheet5!$N$26</definedName>
    <definedName name="TotalRetainage" localSheetId="8">#REF!</definedName>
    <definedName name="TotalRetainage" localSheetId="11">#REF!</definedName>
    <definedName name="TotalRetainage">#REF!</definedName>
    <definedName name="TYPE">OFFSET([4]Lists!$C$2:$C$400,,,COUNTA([4]Lists!$C$2:$C$400),)</definedName>
    <definedName name="UNITS">OFFSET([4]Lists!$G$2:$G$200,0,0,COUNTA([4]Lists!$G$2:$G$200),1)</definedName>
    <definedName name="unlockOnExport" localSheetId="8" hidden="1">#REF!,#REF!,#REF!</definedName>
    <definedName name="unlockOnExport" localSheetId="11" hidden="1">#REF!,#REF!,#REF!</definedName>
    <definedName name="unlockOnExport" hidden="1">#REF!,#REF!,#REF!</definedName>
    <definedName name="USD" localSheetId="8">#REF!</definedName>
    <definedName name="USD" localSheetId="6">#REF!</definedName>
    <definedName name="USD" localSheetId="11">#REF!</definedName>
    <definedName name="USD">#REF!</definedName>
    <definedName name="ValorDeCambios">[5]Sheet5!$N$16</definedName>
    <definedName name="ValueOfChanges" localSheetId="8">#REF!</definedName>
    <definedName name="ValueOfChanges" localSheetId="11">#REF!</definedName>
    <definedName name="ValueOfChanges">#REF!</definedName>
    <definedName name="victo" localSheetId="8">#REF!</definedName>
    <definedName name="victo" localSheetId="6">#REF!</definedName>
    <definedName name="victo" localSheetId="11">#REF!</definedName>
    <definedName name="victo">#REF!</definedName>
    <definedName name="wwww" localSheetId="11">#REF!</definedName>
    <definedName name="wwww">#REF!</definedName>
    <definedName name="ZAPATA_MONOLITO">[15]VECINA!#REF!</definedName>
  </definedNames>
  <calcPr calcId="191028"/>
  <pivotCaches>
    <pivotCache cacheId="11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4" l="1"/>
  <c r="E48" i="4"/>
  <c r="E43" i="4"/>
  <c r="H27" i="41" l="1"/>
  <c r="H26" i="41"/>
  <c r="K323" i="1"/>
  <c r="M323" i="1" s="1"/>
  <c r="O323" i="1" s="1"/>
  <c r="E323" i="1"/>
  <c r="C323" i="1"/>
  <c r="K74" i="1"/>
  <c r="M74" i="1" s="1"/>
  <c r="O74" i="1" s="1"/>
  <c r="E74" i="1"/>
  <c r="C74" i="1"/>
  <c r="K75" i="1"/>
  <c r="M75" i="1" s="1"/>
  <c r="E75" i="1"/>
  <c r="C75" i="1"/>
  <c r="Z32" i="3"/>
  <c r="AA72" i="3"/>
  <c r="AA71" i="3"/>
  <c r="AA70" i="3"/>
  <c r="AA69" i="3"/>
  <c r="AG67" i="3"/>
  <c r="AF67" i="3"/>
  <c r="AE67" i="3"/>
  <c r="AD67" i="3"/>
  <c r="AC67" i="3"/>
  <c r="AB67" i="3"/>
  <c r="AG66" i="3"/>
  <c r="AF66" i="3"/>
  <c r="AE66" i="3"/>
  <c r="AD66" i="3"/>
  <c r="AC66" i="3"/>
  <c r="AB66" i="3"/>
  <c r="AG65" i="3"/>
  <c r="AF65" i="3"/>
  <c r="AE65" i="3"/>
  <c r="AD65" i="3"/>
  <c r="AC65" i="3"/>
  <c r="AB65" i="3"/>
  <c r="AG64" i="3"/>
  <c r="AF64" i="3"/>
  <c r="AE64" i="3"/>
  <c r="AD64" i="3"/>
  <c r="AC64" i="3"/>
  <c r="AB64" i="3"/>
  <c r="AG63" i="3"/>
  <c r="AF63" i="3"/>
  <c r="AE63" i="3"/>
  <c r="AD63" i="3"/>
  <c r="AC63" i="3"/>
  <c r="AB63" i="3"/>
  <c r="AG62" i="3"/>
  <c r="AF62" i="3"/>
  <c r="AE62" i="3"/>
  <c r="AD62" i="3"/>
  <c r="AC62" i="3"/>
  <c r="AB62" i="3"/>
  <c r="AA62" i="3"/>
  <c r="AG61" i="3"/>
  <c r="AF61" i="3"/>
  <c r="AE61" i="3"/>
  <c r="AD61" i="3"/>
  <c r="AC61" i="3"/>
  <c r="AB61" i="3"/>
  <c r="AA61" i="3"/>
  <c r="AG60" i="3"/>
  <c r="AF60" i="3"/>
  <c r="AE60" i="3"/>
  <c r="AD60" i="3"/>
  <c r="AC60" i="3"/>
  <c r="AB60" i="3"/>
  <c r="AA60" i="3"/>
  <c r="AA55" i="3"/>
  <c r="AA54" i="3"/>
  <c r="AA52" i="3"/>
  <c r="AA49" i="3"/>
  <c r="AA48" i="3"/>
  <c r="AA47" i="3"/>
  <c r="AA46" i="3"/>
  <c r="AA41" i="3"/>
  <c r="AA40" i="3"/>
  <c r="AA36" i="3"/>
  <c r="AA35" i="3"/>
  <c r="AA34" i="3"/>
  <c r="AG32" i="3"/>
  <c r="AF32" i="3"/>
  <c r="AE32" i="3"/>
  <c r="AD32" i="3"/>
  <c r="AC32" i="3"/>
  <c r="AB32" i="3"/>
  <c r="AA32" i="3"/>
  <c r="AG31" i="3"/>
  <c r="AF31" i="3"/>
  <c r="AE31" i="3"/>
  <c r="AD31" i="3"/>
  <c r="AC31" i="3"/>
  <c r="AB31" i="3"/>
  <c r="AA31" i="3"/>
  <c r="AG30" i="3"/>
  <c r="AF30" i="3"/>
  <c r="AE30" i="3"/>
  <c r="AD30" i="3"/>
  <c r="AC30" i="3"/>
  <c r="AB30" i="3"/>
  <c r="AA30" i="3"/>
  <c r="AG29" i="3"/>
  <c r="AF29" i="3"/>
  <c r="AE29" i="3"/>
  <c r="AD29" i="3"/>
  <c r="AC29" i="3"/>
  <c r="AB29" i="3"/>
  <c r="AA29" i="3"/>
  <c r="AA21" i="3"/>
  <c r="AA20" i="3"/>
  <c r="AA19" i="3"/>
  <c r="AA18" i="3"/>
  <c r="Z72" i="3"/>
  <c r="Z71" i="3"/>
  <c r="Z70" i="3"/>
  <c r="Z69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2" i="3"/>
  <c r="AB53" i="3"/>
  <c r="AB54" i="3"/>
  <c r="AB55" i="3"/>
  <c r="AB56" i="3"/>
  <c r="AB57" i="3"/>
  <c r="AB58" i="3"/>
  <c r="AB59" i="3"/>
  <c r="AB68" i="3"/>
  <c r="AB69" i="3"/>
  <c r="AB70" i="3"/>
  <c r="AB71" i="3"/>
  <c r="AB72" i="3"/>
  <c r="AB73" i="3"/>
  <c r="AB74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2" i="3"/>
  <c r="AC53" i="3"/>
  <c r="AC54" i="3"/>
  <c r="AC55" i="3"/>
  <c r="AC56" i="3"/>
  <c r="AC57" i="3"/>
  <c r="AC58" i="3"/>
  <c r="AC59" i="3"/>
  <c r="AC68" i="3"/>
  <c r="AC69" i="3"/>
  <c r="AC70" i="3"/>
  <c r="AC71" i="3"/>
  <c r="AC72" i="3"/>
  <c r="AC73" i="3"/>
  <c r="AC74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2" i="3"/>
  <c r="AD53" i="3"/>
  <c r="AD54" i="3"/>
  <c r="AD55" i="3"/>
  <c r="AD56" i="3"/>
  <c r="AD57" i="3"/>
  <c r="AD58" i="3"/>
  <c r="AD59" i="3"/>
  <c r="AD68" i="3"/>
  <c r="AD69" i="3"/>
  <c r="AD70" i="3"/>
  <c r="AD71" i="3"/>
  <c r="AD72" i="3"/>
  <c r="AD73" i="3"/>
  <c r="AD74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2" i="3"/>
  <c r="AE53" i="3"/>
  <c r="AE54" i="3"/>
  <c r="AE55" i="3"/>
  <c r="AE56" i="3"/>
  <c r="AE57" i="3"/>
  <c r="AE58" i="3"/>
  <c r="AE59" i="3"/>
  <c r="AE68" i="3"/>
  <c r="AE69" i="3"/>
  <c r="AE70" i="3"/>
  <c r="AE71" i="3"/>
  <c r="AE72" i="3"/>
  <c r="AE73" i="3"/>
  <c r="AE74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2" i="3"/>
  <c r="AF53" i="3"/>
  <c r="AF54" i="3"/>
  <c r="AF55" i="3"/>
  <c r="AF56" i="3"/>
  <c r="AF57" i="3"/>
  <c r="AF58" i="3"/>
  <c r="AF59" i="3"/>
  <c r="AF68" i="3"/>
  <c r="AF69" i="3"/>
  <c r="AF70" i="3"/>
  <c r="AF71" i="3"/>
  <c r="AF72" i="3"/>
  <c r="AF73" i="3"/>
  <c r="AF7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2" i="3"/>
  <c r="AG53" i="3"/>
  <c r="AG54" i="3"/>
  <c r="AG55" i="3"/>
  <c r="AG56" i="3"/>
  <c r="AG57" i="3"/>
  <c r="AG58" i="3"/>
  <c r="AG59" i="3"/>
  <c r="AG68" i="3"/>
  <c r="AG69" i="3"/>
  <c r="AG70" i="3"/>
  <c r="AG71" i="3"/>
  <c r="AG72" i="3"/>
  <c r="AG73" i="3"/>
  <c r="AG74" i="3"/>
  <c r="Z67" i="3"/>
  <c r="Z66" i="3"/>
  <c r="Z65" i="3"/>
  <c r="Z64" i="3"/>
  <c r="Z63" i="3"/>
  <c r="Z62" i="3"/>
  <c r="Z61" i="3"/>
  <c r="Z60" i="3"/>
  <c r="Z55" i="3"/>
  <c r="Z54" i="3"/>
  <c r="Z53" i="3"/>
  <c r="Z52" i="3"/>
  <c r="Z49" i="3"/>
  <c r="Z48" i="3"/>
  <c r="Z47" i="3"/>
  <c r="Z46" i="3"/>
  <c r="Z44" i="3"/>
  <c r="Z43" i="3"/>
  <c r="Z40" i="3"/>
  <c r="Z39" i="3"/>
  <c r="Z38" i="3"/>
  <c r="Z35" i="3"/>
  <c r="Z34" i="3"/>
  <c r="Z30" i="3"/>
  <c r="Z31" i="3"/>
  <c r="Z29" i="3"/>
  <c r="Z18" i="3"/>
  <c r="Z19" i="3"/>
  <c r="Z20" i="3"/>
  <c r="Z23" i="3"/>
  <c r="Z25" i="3"/>
  <c r="Z26" i="3"/>
  <c r="Z27" i="3"/>
  <c r="Z17" i="3"/>
  <c r="K54" i="1"/>
  <c r="M54" i="1" s="1"/>
  <c r="O54" i="1" s="1"/>
  <c r="E54" i="1"/>
  <c r="C54" i="1"/>
  <c r="M46" i="40"/>
  <c r="P45" i="40"/>
  <c r="AG323" i="1" l="1"/>
  <c r="AD323" i="1"/>
  <c r="AA323" i="1"/>
  <c r="X323" i="1"/>
  <c r="U323" i="1"/>
  <c r="P323" i="1"/>
  <c r="AG74" i="1"/>
  <c r="AD74" i="1"/>
  <c r="AA74" i="1"/>
  <c r="X74" i="1"/>
  <c r="U74" i="1"/>
  <c r="P74" i="1"/>
  <c r="O75" i="1"/>
  <c r="Z28" i="3"/>
  <c r="AA16" i="3"/>
  <c r="AA33" i="3"/>
  <c r="AE51" i="3"/>
  <c r="AG51" i="3"/>
  <c r="AC51" i="3"/>
  <c r="AF51" i="3"/>
  <c r="Z51" i="3"/>
  <c r="AD51" i="3"/>
  <c r="AB51" i="3"/>
  <c r="AA28" i="3"/>
  <c r="AG54" i="1"/>
  <c r="AD54" i="1"/>
  <c r="AA54" i="1"/>
  <c r="X54" i="1"/>
  <c r="U54" i="1"/>
  <c r="P54" i="1"/>
  <c r="N46" i="40"/>
  <c r="O46" i="40" s="1"/>
  <c r="P46" i="40" s="1"/>
  <c r="M43" i="40"/>
  <c r="N43" i="40" s="1"/>
  <c r="M42" i="40"/>
  <c r="N42" i="40" s="1"/>
  <c r="M43" i="3"/>
  <c r="Y40" i="3"/>
  <c r="K349" i="1"/>
  <c r="M349" i="1" s="1"/>
  <c r="O349" i="1" s="1"/>
  <c r="AG349" i="1" s="1"/>
  <c r="E349" i="1"/>
  <c r="C349" i="1"/>
  <c r="K346" i="1"/>
  <c r="M346" i="1" s="1"/>
  <c r="O346" i="1" s="1"/>
  <c r="E346" i="1"/>
  <c r="C346" i="1"/>
  <c r="K131" i="1"/>
  <c r="M131" i="1" s="1"/>
  <c r="O131" i="1" s="1"/>
  <c r="E131" i="1"/>
  <c r="C131" i="1"/>
  <c r="K104" i="1"/>
  <c r="M104" i="1" s="1"/>
  <c r="O104" i="1" s="1"/>
  <c r="E104" i="1"/>
  <c r="C104" i="1"/>
  <c r="K44" i="1"/>
  <c r="M44" i="1" s="1"/>
  <c r="O44" i="1" s="1"/>
  <c r="E44" i="1"/>
  <c r="C44" i="1"/>
  <c r="K43" i="1"/>
  <c r="M43" i="1" s="1"/>
  <c r="O43" i="1" s="1"/>
  <c r="E43" i="1"/>
  <c r="C43" i="1"/>
  <c r="I3" i="40"/>
  <c r="K313" i="1"/>
  <c r="M313" i="1" s="1"/>
  <c r="O313" i="1" s="1"/>
  <c r="E313" i="1"/>
  <c r="C313" i="1"/>
  <c r="K314" i="1"/>
  <c r="M314" i="1" s="1"/>
  <c r="O314" i="1" s="1"/>
  <c r="E314" i="1"/>
  <c r="C314" i="1"/>
  <c r="AH323" i="1" l="1"/>
  <c r="AH74" i="1"/>
  <c r="AG75" i="1"/>
  <c r="AD75" i="1"/>
  <c r="AA75" i="1"/>
  <c r="X75" i="1"/>
  <c r="U75" i="1"/>
  <c r="P75" i="1"/>
  <c r="AH54" i="1"/>
  <c r="O43" i="40"/>
  <c r="P43" i="40" s="1"/>
  <c r="O42" i="40"/>
  <c r="P42" i="40" s="1"/>
  <c r="U349" i="1"/>
  <c r="X349" i="1"/>
  <c r="P349" i="1"/>
  <c r="AD349" i="1"/>
  <c r="AA349" i="1"/>
  <c r="AG346" i="1"/>
  <c r="P346" i="1"/>
  <c r="AD346" i="1"/>
  <c r="AA346" i="1"/>
  <c r="X346" i="1"/>
  <c r="U346" i="1"/>
  <c r="P131" i="1"/>
  <c r="AG131" i="1"/>
  <c r="AD131" i="1"/>
  <c r="AA131" i="1"/>
  <c r="X131" i="1"/>
  <c r="U131" i="1"/>
  <c r="AG104" i="1"/>
  <c r="AD104" i="1"/>
  <c r="AA104" i="1"/>
  <c r="X104" i="1"/>
  <c r="U104" i="1"/>
  <c r="P104" i="1"/>
  <c r="AG44" i="1"/>
  <c r="AD44" i="1"/>
  <c r="AA44" i="1"/>
  <c r="X44" i="1"/>
  <c r="P44" i="1"/>
  <c r="U44" i="1"/>
  <c r="AG43" i="1"/>
  <c r="AA43" i="1"/>
  <c r="AD43" i="1"/>
  <c r="X43" i="1"/>
  <c r="U43" i="1"/>
  <c r="P43" i="1"/>
  <c r="AD313" i="1"/>
  <c r="X313" i="1"/>
  <c r="U313" i="1"/>
  <c r="AG313" i="1"/>
  <c r="AA313" i="1"/>
  <c r="P313" i="1"/>
  <c r="AG314" i="1"/>
  <c r="AD314" i="1"/>
  <c r="X314" i="1"/>
  <c r="U314" i="1"/>
  <c r="P314" i="1"/>
  <c r="AA314" i="1"/>
  <c r="AH75" i="1" l="1"/>
  <c r="AH349" i="1"/>
  <c r="AH346" i="1"/>
  <c r="AH131" i="1"/>
  <c r="AH104" i="1"/>
  <c r="AH43" i="1"/>
  <c r="AH44" i="1"/>
  <c r="AH313" i="1"/>
  <c r="AH314" i="1"/>
  <c r="K62" i="1" l="1"/>
  <c r="M62" i="1" s="1"/>
  <c r="O62" i="1" s="1"/>
  <c r="E62" i="1"/>
  <c r="C62" i="1"/>
  <c r="AA62" i="1" l="1"/>
  <c r="AG62" i="1"/>
  <c r="AD62" i="1"/>
  <c r="X62" i="1"/>
  <c r="U62" i="1"/>
  <c r="P62" i="1"/>
  <c r="AH62" i="1" l="1"/>
  <c r="AA79" i="3" l="1"/>
  <c r="M41" i="40"/>
  <c r="AA41" i="40"/>
  <c r="AA40" i="40"/>
  <c r="M40" i="40"/>
  <c r="O40" i="40" s="1"/>
  <c r="P40" i="40" s="1"/>
  <c r="N41" i="40" l="1"/>
  <c r="O41" i="40" s="1"/>
  <c r="P41" i="40" s="1"/>
  <c r="AA8" i="3"/>
  <c r="AA9" i="3"/>
  <c r="AA10" i="3"/>
  <c r="AA11" i="3"/>
  <c r="AA12" i="3"/>
  <c r="AA13" i="3"/>
  <c r="AA14" i="3"/>
  <c r="AA15" i="3"/>
  <c r="Z8" i="3"/>
  <c r="Z9" i="3"/>
  <c r="Z10" i="3"/>
  <c r="Z11" i="3"/>
  <c r="Z12" i="3"/>
  <c r="Z13" i="3"/>
  <c r="Z14" i="3"/>
  <c r="Z15" i="3"/>
  <c r="AA7" i="3"/>
  <c r="Z7" i="3"/>
  <c r="Y8" i="3"/>
  <c r="Y9" i="3"/>
  <c r="Y10" i="3"/>
  <c r="Y11" i="3"/>
  <c r="Y12" i="3"/>
  <c r="Y13" i="3"/>
  <c r="Y14" i="3"/>
  <c r="Y15" i="3"/>
  <c r="W9" i="3"/>
  <c r="Y7" i="3"/>
  <c r="W7" i="3"/>
  <c r="W8" i="3"/>
  <c r="W10" i="3"/>
  <c r="W11" i="3"/>
  <c r="W12" i="3"/>
  <c r="W13" i="3"/>
  <c r="W14" i="3"/>
  <c r="W15" i="3"/>
  <c r="W17" i="3"/>
  <c r="W18" i="3"/>
  <c r="W19" i="3"/>
  <c r="W20" i="3"/>
  <c r="W23" i="3"/>
  <c r="W25" i="3"/>
  <c r="W26" i="3"/>
  <c r="W27" i="3"/>
  <c r="W29" i="3"/>
  <c r="W30" i="3"/>
  <c r="W31" i="3"/>
  <c r="W32" i="3"/>
  <c r="W34" i="3"/>
  <c r="W35" i="3"/>
  <c r="W36" i="3"/>
  <c r="W40" i="3"/>
  <c r="W41" i="3"/>
  <c r="W46" i="3"/>
  <c r="W47" i="3"/>
  <c r="W48" i="3"/>
  <c r="W49" i="3"/>
  <c r="W50" i="3"/>
  <c r="W52" i="3"/>
  <c r="W53" i="3"/>
  <c r="W54" i="3"/>
  <c r="W55" i="3"/>
  <c r="W56" i="3"/>
  <c r="W57" i="3"/>
  <c r="W58" i="3"/>
  <c r="W60" i="3"/>
  <c r="W61" i="3"/>
  <c r="W62" i="3"/>
  <c r="W63" i="3"/>
  <c r="W65" i="3"/>
  <c r="W66" i="3"/>
  <c r="W67" i="3"/>
  <c r="W69" i="3"/>
  <c r="W70" i="3"/>
  <c r="W71" i="3"/>
  <c r="W72" i="3"/>
  <c r="W73" i="3"/>
  <c r="W74" i="3"/>
  <c r="X7" i="3"/>
  <c r="X8" i="3"/>
  <c r="X9" i="3"/>
  <c r="X10" i="3"/>
  <c r="X11" i="3"/>
  <c r="X12" i="3"/>
  <c r="X13" i="3"/>
  <c r="X14" i="3"/>
  <c r="X15" i="3"/>
  <c r="X17" i="3"/>
  <c r="X18" i="3"/>
  <c r="X19" i="3"/>
  <c r="X20" i="3"/>
  <c r="X25" i="3"/>
  <c r="X26" i="3"/>
  <c r="X27" i="3"/>
  <c r="X29" i="3"/>
  <c r="X30" i="3"/>
  <c r="X34" i="3"/>
  <c r="X35" i="3"/>
  <c r="X44" i="3"/>
  <c r="X46" i="3"/>
  <c r="X47" i="3"/>
  <c r="X48" i="3"/>
  <c r="X49" i="3"/>
  <c r="X52" i="3"/>
  <c r="X57" i="3"/>
  <c r="X58" i="3"/>
  <c r="X61" i="3"/>
  <c r="X62" i="3"/>
  <c r="X67" i="3"/>
  <c r="X69" i="3"/>
  <c r="X70" i="3"/>
  <c r="X71" i="3"/>
  <c r="X72" i="3"/>
  <c r="X73" i="3"/>
  <c r="X74" i="3"/>
  <c r="Y17" i="3"/>
  <c r="Y18" i="3"/>
  <c r="Y19" i="3"/>
  <c r="Y20" i="3"/>
  <c r="Y23" i="3"/>
  <c r="Y25" i="3"/>
  <c r="Y26" i="3"/>
  <c r="Y27" i="3"/>
  <c r="Y29" i="3"/>
  <c r="Y30" i="3"/>
  <c r="Y31" i="3"/>
  <c r="Y32" i="3"/>
  <c r="Y34" i="3"/>
  <c r="Y35" i="3"/>
  <c r="Y46" i="3"/>
  <c r="Y47" i="3"/>
  <c r="Y48" i="3"/>
  <c r="Y49" i="3"/>
  <c r="Y54" i="3"/>
  <c r="Y56" i="3"/>
  <c r="Y57" i="3"/>
  <c r="Y58" i="3"/>
  <c r="Y61" i="3"/>
  <c r="Y69" i="3"/>
  <c r="Y70" i="3"/>
  <c r="Y71" i="3"/>
  <c r="Y72" i="3"/>
  <c r="Y73" i="3"/>
  <c r="Y74" i="3"/>
  <c r="V7" i="3"/>
  <c r="V8" i="3"/>
  <c r="V9" i="3"/>
  <c r="V10" i="3"/>
  <c r="V11" i="3"/>
  <c r="V12" i="3"/>
  <c r="V13" i="3"/>
  <c r="V14" i="3"/>
  <c r="V15" i="3"/>
  <c r="V17" i="3"/>
  <c r="V18" i="3"/>
  <c r="V19" i="3"/>
  <c r="V20" i="3"/>
  <c r="V23" i="3"/>
  <c r="V25" i="3"/>
  <c r="V26" i="3"/>
  <c r="V27" i="3"/>
  <c r="V29" i="3"/>
  <c r="V30" i="3"/>
  <c r="V31" i="3"/>
  <c r="V32" i="3"/>
  <c r="V34" i="3"/>
  <c r="V35" i="3"/>
  <c r="V40" i="3"/>
  <c r="V46" i="3"/>
  <c r="V47" i="3"/>
  <c r="V48" i="3"/>
  <c r="V49" i="3"/>
  <c r="V53" i="3"/>
  <c r="V54" i="3"/>
  <c r="V55" i="3"/>
  <c r="V56" i="3"/>
  <c r="V57" i="3"/>
  <c r="V58" i="3"/>
  <c r="V61" i="3"/>
  <c r="V69" i="3"/>
  <c r="V70" i="3"/>
  <c r="V71" i="3"/>
  <c r="V72" i="3"/>
  <c r="V73" i="3"/>
  <c r="V74" i="3"/>
  <c r="U15" i="3"/>
  <c r="U14" i="3"/>
  <c r="U13" i="3"/>
  <c r="U12" i="3"/>
  <c r="U11" i="3"/>
  <c r="U10" i="3"/>
  <c r="U9" i="3"/>
  <c r="U8" i="3"/>
  <c r="U7" i="3"/>
  <c r="W51" i="3" l="1"/>
  <c r="AA6" i="3"/>
  <c r="Z6" i="3"/>
  <c r="X6" i="3"/>
  <c r="V6" i="3"/>
  <c r="W6" i="3"/>
  <c r="Y6" i="3"/>
  <c r="U6" i="3"/>
  <c r="Y68" i="3"/>
  <c r="W68" i="3"/>
  <c r="Y28" i="3"/>
  <c r="W28" i="3"/>
  <c r="V68" i="3"/>
  <c r="X68" i="3"/>
  <c r="W45" i="3"/>
  <c r="W33" i="3"/>
  <c r="V28" i="3"/>
  <c r="AA39" i="40" l="1"/>
  <c r="M39" i="40"/>
  <c r="O39" i="40" s="1"/>
  <c r="P39" i="40" s="1"/>
  <c r="AA38" i="40"/>
  <c r="M38" i="40"/>
  <c r="O38" i="40" s="1"/>
  <c r="P38" i="40" s="1"/>
  <c r="AA37" i="40"/>
  <c r="M37" i="40"/>
  <c r="O37" i="40" s="1"/>
  <c r="P37" i="40" s="1"/>
  <c r="AA36" i="40"/>
  <c r="M36" i="40"/>
  <c r="O36" i="40" s="1"/>
  <c r="P36" i="40" s="1"/>
  <c r="AA35" i="40"/>
  <c r="M35" i="40"/>
  <c r="O35" i="40" s="1"/>
  <c r="P35" i="40" s="1"/>
  <c r="AA34" i="40"/>
  <c r="M34" i="40"/>
  <c r="O34" i="40" s="1"/>
  <c r="P34" i="40" s="1"/>
  <c r="AA33" i="40"/>
  <c r="M33" i="40"/>
  <c r="O33" i="40" s="1"/>
  <c r="P33" i="40" s="1"/>
  <c r="AA32" i="40"/>
  <c r="M32" i="40"/>
  <c r="N32" i="40" s="1"/>
  <c r="O32" i="40" s="1"/>
  <c r="P32" i="40" s="1"/>
  <c r="AA31" i="40"/>
  <c r="M31" i="40"/>
  <c r="O31" i="40" s="1"/>
  <c r="P31" i="40" s="1"/>
  <c r="AA30" i="40"/>
  <c r="M30" i="40"/>
  <c r="O30" i="40" s="1"/>
  <c r="P30" i="40" s="1"/>
  <c r="AA29" i="40"/>
  <c r="M29" i="40"/>
  <c r="O29" i="40" s="1"/>
  <c r="P29" i="40" s="1"/>
  <c r="AA28" i="40"/>
  <c r="M28" i="40"/>
  <c r="N28" i="40" s="1"/>
  <c r="O28" i="40" s="1"/>
  <c r="P28" i="40" s="1"/>
  <c r="AA27" i="40"/>
  <c r="M27" i="40"/>
  <c r="O27" i="40" s="1"/>
  <c r="P27" i="40" s="1"/>
  <c r="AA26" i="40"/>
  <c r="M26" i="40"/>
  <c r="N26" i="40" s="1"/>
  <c r="O26" i="40" s="1"/>
  <c r="P26" i="40" s="1"/>
  <c r="AA25" i="40"/>
  <c r="M25" i="40"/>
  <c r="O25" i="40" s="1"/>
  <c r="P25" i="40" s="1"/>
  <c r="AA24" i="40"/>
  <c r="M24" i="40"/>
  <c r="N24" i="40" s="1"/>
  <c r="O24" i="40" s="1"/>
  <c r="P24" i="40" s="1"/>
  <c r="AA23" i="40"/>
  <c r="M23" i="40"/>
  <c r="N23" i="40" s="1"/>
  <c r="O23" i="40" s="1"/>
  <c r="P23" i="40" s="1"/>
  <c r="M22" i="40"/>
  <c r="O22" i="40" s="1"/>
  <c r="P22" i="40" s="1"/>
  <c r="AA21" i="40"/>
  <c r="M21" i="40"/>
  <c r="O21" i="40" s="1"/>
  <c r="P21" i="40" s="1"/>
  <c r="AA20" i="40"/>
  <c r="M20" i="40"/>
  <c r="O20" i="40" s="1"/>
  <c r="P20" i="40" s="1"/>
  <c r="AA19" i="40"/>
  <c r="M19" i="40"/>
  <c r="O19" i="40" s="1"/>
  <c r="P19" i="40" s="1"/>
  <c r="AA18" i="40"/>
  <c r="M18" i="40"/>
  <c r="AA17" i="40"/>
  <c r="M17" i="40"/>
  <c r="N17" i="40" s="1"/>
  <c r="O17" i="40" s="1"/>
  <c r="P17" i="40" s="1"/>
  <c r="AA16" i="40"/>
  <c r="M16" i="40"/>
  <c r="O16" i="40" s="1"/>
  <c r="P16" i="40" s="1"/>
  <c r="AA15" i="40"/>
  <c r="M15" i="40"/>
  <c r="O15" i="40" s="1"/>
  <c r="P15" i="40" s="1"/>
  <c r="AA14" i="40"/>
  <c r="M14" i="40"/>
  <c r="N14" i="40" s="1"/>
  <c r="AA13" i="40"/>
  <c r="M13" i="40"/>
  <c r="N13" i="40" s="1"/>
  <c r="O13" i="40" s="1"/>
  <c r="P13" i="40" s="1"/>
  <c r="AA12" i="40"/>
  <c r="M12" i="40"/>
  <c r="N12" i="40" s="1"/>
  <c r="O12" i="40" s="1"/>
  <c r="P12" i="40" s="1"/>
  <c r="AA11" i="40"/>
  <c r="M11" i="40"/>
  <c r="AA10" i="40"/>
  <c r="M10" i="40"/>
  <c r="T10" i="40" s="1"/>
  <c r="AA9" i="40"/>
  <c r="M9" i="40"/>
  <c r="N9" i="40" s="1"/>
  <c r="T9" i="40" l="1"/>
  <c r="O9" i="40"/>
  <c r="P9" i="40" s="1"/>
  <c r="V9" i="40"/>
  <c r="N11" i="40"/>
  <c r="O11" i="40" s="1"/>
  <c r="P11" i="40" s="1"/>
  <c r="O14" i="40"/>
  <c r="P14" i="40" s="1"/>
  <c r="N10" i="40"/>
  <c r="V10" i="40" s="1"/>
  <c r="N18" i="40"/>
  <c r="O18" i="40" s="1"/>
  <c r="P18" i="40" s="1"/>
  <c r="K120" i="39"/>
  <c r="M120" i="39" s="1"/>
  <c r="O120" i="39" s="1"/>
  <c r="E120" i="39"/>
  <c r="C120" i="39"/>
  <c r="K119" i="39"/>
  <c r="M119" i="39" s="1"/>
  <c r="O119" i="39" s="1"/>
  <c r="E119" i="39"/>
  <c r="C119" i="39"/>
  <c r="K118" i="39"/>
  <c r="M118" i="39" s="1"/>
  <c r="O118" i="39" s="1"/>
  <c r="E118" i="39"/>
  <c r="C118" i="39"/>
  <c r="K117" i="39"/>
  <c r="M117" i="39" s="1"/>
  <c r="O117" i="39" s="1"/>
  <c r="E117" i="39"/>
  <c r="C117" i="39"/>
  <c r="K116" i="39"/>
  <c r="M116" i="39" s="1"/>
  <c r="O116" i="39" s="1"/>
  <c r="E116" i="39"/>
  <c r="C116" i="39"/>
  <c r="K115" i="39"/>
  <c r="M115" i="39" s="1"/>
  <c r="O115" i="39" s="1"/>
  <c r="E115" i="39"/>
  <c r="C115" i="39"/>
  <c r="K114" i="39"/>
  <c r="M114" i="39" s="1"/>
  <c r="O114" i="39" s="1"/>
  <c r="AB114" i="39" s="1"/>
  <c r="E114" i="39"/>
  <c r="C114" i="39"/>
  <c r="K113" i="39"/>
  <c r="M113" i="39" s="1"/>
  <c r="O113" i="39" s="1"/>
  <c r="E113" i="39"/>
  <c r="C113" i="39"/>
  <c r="K112" i="39"/>
  <c r="M112" i="39" s="1"/>
  <c r="O112" i="39" s="1"/>
  <c r="E112" i="39"/>
  <c r="C112" i="39"/>
  <c r="K111" i="39"/>
  <c r="M111" i="39" s="1"/>
  <c r="O111" i="39" s="1"/>
  <c r="AH111" i="39" s="1"/>
  <c r="E111" i="39"/>
  <c r="C111" i="39"/>
  <c r="K110" i="39"/>
  <c r="M110" i="39" s="1"/>
  <c r="O110" i="39" s="1"/>
  <c r="E110" i="39"/>
  <c r="C110" i="39"/>
  <c r="K109" i="39"/>
  <c r="M109" i="39" s="1"/>
  <c r="O109" i="39" s="1"/>
  <c r="AE109" i="39" s="1"/>
  <c r="E109" i="39"/>
  <c r="C109" i="39"/>
  <c r="K108" i="39"/>
  <c r="M108" i="39" s="1"/>
  <c r="O108" i="39" s="1"/>
  <c r="E108" i="39"/>
  <c r="C108" i="39"/>
  <c r="K107" i="39"/>
  <c r="M107" i="39" s="1"/>
  <c r="O107" i="39" s="1"/>
  <c r="E107" i="39"/>
  <c r="C107" i="39"/>
  <c r="K106" i="39"/>
  <c r="M106" i="39" s="1"/>
  <c r="O106" i="39" s="1"/>
  <c r="E106" i="39"/>
  <c r="C106" i="39"/>
  <c r="K105" i="39"/>
  <c r="M105" i="39" s="1"/>
  <c r="O105" i="39" s="1"/>
  <c r="E105" i="39"/>
  <c r="C105" i="39"/>
  <c r="K104" i="39"/>
  <c r="M104" i="39" s="1"/>
  <c r="O104" i="39" s="1"/>
  <c r="Y104" i="39" s="1"/>
  <c r="E104" i="39"/>
  <c r="C104" i="39"/>
  <c r="K103" i="39"/>
  <c r="M103" i="39" s="1"/>
  <c r="O103" i="39" s="1"/>
  <c r="E103" i="39"/>
  <c r="C103" i="39"/>
  <c r="K102" i="39"/>
  <c r="M102" i="39" s="1"/>
  <c r="O102" i="39" s="1"/>
  <c r="E102" i="39"/>
  <c r="C102" i="39"/>
  <c r="K101" i="39"/>
  <c r="M101" i="39" s="1"/>
  <c r="O101" i="39" s="1"/>
  <c r="E101" i="39"/>
  <c r="C101" i="39"/>
  <c r="K100" i="39"/>
  <c r="M100" i="39" s="1"/>
  <c r="O100" i="39" s="1"/>
  <c r="E100" i="39"/>
  <c r="C100" i="39"/>
  <c r="K99" i="39"/>
  <c r="M99" i="39" s="1"/>
  <c r="O99" i="39" s="1"/>
  <c r="Y99" i="39" s="1"/>
  <c r="E99" i="39"/>
  <c r="C99" i="39"/>
  <c r="K98" i="39"/>
  <c r="M98" i="39" s="1"/>
  <c r="O98" i="39" s="1"/>
  <c r="AB98" i="39" s="1"/>
  <c r="E98" i="39"/>
  <c r="C98" i="39"/>
  <c r="K97" i="39"/>
  <c r="M97" i="39" s="1"/>
  <c r="O97" i="39" s="1"/>
  <c r="E97" i="39"/>
  <c r="C97" i="39"/>
  <c r="K96" i="39"/>
  <c r="M96" i="39" s="1"/>
  <c r="O96" i="39" s="1"/>
  <c r="AH96" i="39" s="1"/>
  <c r="E96" i="39"/>
  <c r="C96" i="39"/>
  <c r="K95" i="39"/>
  <c r="M95" i="39" s="1"/>
  <c r="O95" i="39" s="1"/>
  <c r="AH95" i="39" s="1"/>
  <c r="E95" i="39"/>
  <c r="C95" i="39"/>
  <c r="K94" i="39"/>
  <c r="M94" i="39" s="1"/>
  <c r="O94" i="39" s="1"/>
  <c r="E94" i="39"/>
  <c r="C94" i="39"/>
  <c r="K93" i="39"/>
  <c r="M93" i="39" s="1"/>
  <c r="O93" i="39" s="1"/>
  <c r="E93" i="39"/>
  <c r="C93" i="39"/>
  <c r="K92" i="39"/>
  <c r="M92" i="39" s="1"/>
  <c r="O92" i="39" s="1"/>
  <c r="AE92" i="39" s="1"/>
  <c r="E92" i="39"/>
  <c r="C92" i="39"/>
  <c r="K91" i="39"/>
  <c r="M91" i="39" s="1"/>
  <c r="O91" i="39" s="1"/>
  <c r="E91" i="39"/>
  <c r="C91" i="39"/>
  <c r="K90" i="39"/>
  <c r="M90" i="39" s="1"/>
  <c r="O90" i="39" s="1"/>
  <c r="AB90" i="39" s="1"/>
  <c r="E90" i="39"/>
  <c r="C90" i="39"/>
  <c r="K89" i="39"/>
  <c r="M89" i="39" s="1"/>
  <c r="O89" i="39" s="1"/>
  <c r="E89" i="39"/>
  <c r="C89" i="39"/>
  <c r="K88" i="39"/>
  <c r="M88" i="39" s="1"/>
  <c r="O88" i="39" s="1"/>
  <c r="Y88" i="39" s="1"/>
  <c r="E88" i="39"/>
  <c r="C88" i="39"/>
  <c r="K87" i="39"/>
  <c r="M87" i="39" s="1"/>
  <c r="O87" i="39" s="1"/>
  <c r="AH87" i="39" s="1"/>
  <c r="E87" i="39"/>
  <c r="C87" i="39"/>
  <c r="K86" i="39"/>
  <c r="M86" i="39" s="1"/>
  <c r="O86" i="39" s="1"/>
  <c r="E86" i="39"/>
  <c r="C86" i="39"/>
  <c r="K85" i="39"/>
  <c r="M85" i="39" s="1"/>
  <c r="O85" i="39" s="1"/>
  <c r="AE85" i="39" s="1"/>
  <c r="E85" i="39"/>
  <c r="C85" i="39"/>
  <c r="K84" i="39"/>
  <c r="M84" i="39" s="1"/>
  <c r="O84" i="39" s="1"/>
  <c r="E84" i="39"/>
  <c r="C84" i="39"/>
  <c r="K83" i="39"/>
  <c r="M83" i="39" s="1"/>
  <c r="O83" i="39" s="1"/>
  <c r="Y83" i="39" s="1"/>
  <c r="E83" i="39"/>
  <c r="C83" i="39"/>
  <c r="K82" i="39"/>
  <c r="M82" i="39" s="1"/>
  <c r="O82" i="39" s="1"/>
  <c r="E82" i="39"/>
  <c r="C82" i="39"/>
  <c r="K81" i="39"/>
  <c r="M81" i="39" s="1"/>
  <c r="O81" i="39" s="1"/>
  <c r="E81" i="39"/>
  <c r="C81" i="39"/>
  <c r="K80" i="39"/>
  <c r="M80" i="39" s="1"/>
  <c r="O80" i="39" s="1"/>
  <c r="AH80" i="39" s="1"/>
  <c r="E80" i="39"/>
  <c r="C80" i="39"/>
  <c r="K79" i="39"/>
  <c r="M79" i="39" s="1"/>
  <c r="O79" i="39" s="1"/>
  <c r="E79" i="39"/>
  <c r="C79" i="39"/>
  <c r="K78" i="39"/>
  <c r="M78" i="39" s="1"/>
  <c r="O78" i="39" s="1"/>
  <c r="E78" i="39"/>
  <c r="C78" i="39"/>
  <c r="K77" i="39"/>
  <c r="M77" i="39" s="1"/>
  <c r="O77" i="39" s="1"/>
  <c r="AE77" i="39" s="1"/>
  <c r="E77" i="39"/>
  <c r="C77" i="39"/>
  <c r="K76" i="39"/>
  <c r="M76" i="39" s="1"/>
  <c r="O76" i="39" s="1"/>
  <c r="E76" i="39"/>
  <c r="C76" i="39"/>
  <c r="K75" i="39"/>
  <c r="M75" i="39" s="1"/>
  <c r="O75" i="39" s="1"/>
  <c r="Y75" i="39" s="1"/>
  <c r="E75" i="39"/>
  <c r="C75" i="39"/>
  <c r="K74" i="39"/>
  <c r="M74" i="39" s="1"/>
  <c r="O74" i="39" s="1"/>
  <c r="E74" i="39"/>
  <c r="C74" i="39"/>
  <c r="K73" i="39"/>
  <c r="M73" i="39" s="1"/>
  <c r="O73" i="39" s="1"/>
  <c r="E73" i="39"/>
  <c r="C73" i="39"/>
  <c r="K72" i="39"/>
  <c r="M72" i="39" s="1"/>
  <c r="O72" i="39" s="1"/>
  <c r="Y72" i="39" s="1"/>
  <c r="E72" i="39"/>
  <c r="C72" i="39"/>
  <c r="K71" i="39"/>
  <c r="M71" i="39" s="1"/>
  <c r="O71" i="39" s="1"/>
  <c r="E71" i="39"/>
  <c r="C71" i="39"/>
  <c r="K70" i="39"/>
  <c r="M70" i="39" s="1"/>
  <c r="O70" i="39" s="1"/>
  <c r="AB70" i="39" s="1"/>
  <c r="E70" i="39"/>
  <c r="C70" i="39"/>
  <c r="K69" i="39"/>
  <c r="M69" i="39" s="1"/>
  <c r="O69" i="39" s="1"/>
  <c r="AB69" i="39" s="1"/>
  <c r="E69" i="39"/>
  <c r="C69" i="39"/>
  <c r="K68" i="39"/>
  <c r="M68" i="39" s="1"/>
  <c r="O68" i="39" s="1"/>
  <c r="E68" i="39"/>
  <c r="C68" i="39"/>
  <c r="K67" i="39"/>
  <c r="M67" i="39" s="1"/>
  <c r="O67" i="39" s="1"/>
  <c r="AH67" i="39" s="1"/>
  <c r="E67" i="39"/>
  <c r="C67" i="39"/>
  <c r="K66" i="39"/>
  <c r="M66" i="39" s="1"/>
  <c r="O66" i="39" s="1"/>
  <c r="AB66" i="39" s="1"/>
  <c r="E66" i="39"/>
  <c r="C66" i="39"/>
  <c r="K65" i="39"/>
  <c r="M65" i="39" s="1"/>
  <c r="O65" i="39" s="1"/>
  <c r="E65" i="39"/>
  <c r="C65" i="39"/>
  <c r="K64" i="39"/>
  <c r="M64" i="39" s="1"/>
  <c r="O64" i="39" s="1"/>
  <c r="AK64" i="39" s="1"/>
  <c r="E64" i="39"/>
  <c r="C64" i="39"/>
  <c r="K63" i="39"/>
  <c r="M63" i="39" s="1"/>
  <c r="O63" i="39" s="1"/>
  <c r="E63" i="39"/>
  <c r="C63" i="39"/>
  <c r="K62" i="39"/>
  <c r="M62" i="39" s="1"/>
  <c r="O62" i="39" s="1"/>
  <c r="E62" i="39"/>
  <c r="C62" i="39"/>
  <c r="K61" i="39"/>
  <c r="M61" i="39" s="1"/>
  <c r="O61" i="39" s="1"/>
  <c r="AB61" i="39" s="1"/>
  <c r="E61" i="39"/>
  <c r="C61" i="39"/>
  <c r="K60" i="39"/>
  <c r="M60" i="39" s="1"/>
  <c r="O60" i="39" s="1"/>
  <c r="E60" i="39"/>
  <c r="C60" i="39"/>
  <c r="K59" i="39"/>
  <c r="M59" i="39" s="1"/>
  <c r="O59" i="39" s="1"/>
  <c r="E59" i="39"/>
  <c r="C59" i="39"/>
  <c r="K58" i="39"/>
  <c r="M58" i="39" s="1"/>
  <c r="O58" i="39" s="1"/>
  <c r="AB58" i="39" s="1"/>
  <c r="E58" i="39"/>
  <c r="C58" i="39"/>
  <c r="K57" i="39"/>
  <c r="M57" i="39" s="1"/>
  <c r="O57" i="39" s="1"/>
  <c r="AB57" i="39" s="1"/>
  <c r="E57" i="39"/>
  <c r="C57" i="39"/>
  <c r="K56" i="39"/>
  <c r="M56" i="39" s="1"/>
  <c r="O56" i="39" s="1"/>
  <c r="P56" i="39" s="1"/>
  <c r="E56" i="39"/>
  <c r="C56" i="39"/>
  <c r="K55" i="39"/>
  <c r="M55" i="39" s="1"/>
  <c r="O55" i="39" s="1"/>
  <c r="AH55" i="39" s="1"/>
  <c r="E55" i="39"/>
  <c r="C55" i="39"/>
  <c r="K54" i="39"/>
  <c r="M54" i="39" s="1"/>
  <c r="O54" i="39" s="1"/>
  <c r="AB54" i="39" s="1"/>
  <c r="E54" i="39"/>
  <c r="C54" i="39"/>
  <c r="K53" i="39"/>
  <c r="M53" i="39" s="1"/>
  <c r="O53" i="39" s="1"/>
  <c r="E53" i="39"/>
  <c r="C53" i="39"/>
  <c r="K52" i="39"/>
  <c r="M52" i="39" s="1"/>
  <c r="O52" i="39" s="1"/>
  <c r="AK52" i="39" s="1"/>
  <c r="E52" i="39"/>
  <c r="C52" i="39"/>
  <c r="K51" i="39"/>
  <c r="M51" i="39" s="1"/>
  <c r="O51" i="39" s="1"/>
  <c r="E51" i="39"/>
  <c r="C51" i="39"/>
  <c r="K50" i="39"/>
  <c r="M50" i="39" s="1"/>
  <c r="O50" i="39" s="1"/>
  <c r="E50" i="39"/>
  <c r="C50" i="39"/>
  <c r="K49" i="39"/>
  <c r="M49" i="39" s="1"/>
  <c r="O49" i="39" s="1"/>
  <c r="AB49" i="39" s="1"/>
  <c r="E49" i="39"/>
  <c r="C49" i="39"/>
  <c r="K48" i="39"/>
  <c r="M48" i="39" s="1"/>
  <c r="O48" i="39" s="1"/>
  <c r="E48" i="39"/>
  <c r="C48" i="39"/>
  <c r="K47" i="39"/>
  <c r="M47" i="39" s="1"/>
  <c r="O47" i="39" s="1"/>
  <c r="E47" i="39"/>
  <c r="C47" i="39"/>
  <c r="K46" i="39"/>
  <c r="M46" i="39" s="1"/>
  <c r="O46" i="39" s="1"/>
  <c r="AB46" i="39" s="1"/>
  <c r="E46" i="39"/>
  <c r="C46" i="39"/>
  <c r="K45" i="39"/>
  <c r="M45" i="39" s="1"/>
  <c r="O45" i="39" s="1"/>
  <c r="AB45" i="39" s="1"/>
  <c r="E45" i="39"/>
  <c r="C45" i="39"/>
  <c r="K44" i="39"/>
  <c r="M44" i="39" s="1"/>
  <c r="O44" i="39" s="1"/>
  <c r="E44" i="39"/>
  <c r="C44" i="39"/>
  <c r="K43" i="39"/>
  <c r="M43" i="39" s="1"/>
  <c r="O43" i="39" s="1"/>
  <c r="AH43" i="39" s="1"/>
  <c r="E43" i="39"/>
  <c r="C43" i="39"/>
  <c r="K42" i="39"/>
  <c r="M42" i="39" s="1"/>
  <c r="O42" i="39" s="1"/>
  <c r="E42" i="39"/>
  <c r="C42" i="39"/>
  <c r="K41" i="39"/>
  <c r="M41" i="39" s="1"/>
  <c r="O41" i="39" s="1"/>
  <c r="E41" i="39"/>
  <c r="C41" i="39"/>
  <c r="K40" i="39"/>
  <c r="M40" i="39" s="1"/>
  <c r="O40" i="39" s="1"/>
  <c r="AK40" i="39" s="1"/>
  <c r="E40" i="39"/>
  <c r="C40" i="39"/>
  <c r="K39" i="39"/>
  <c r="M39" i="39" s="1"/>
  <c r="O39" i="39" s="1"/>
  <c r="E39" i="39"/>
  <c r="C39" i="39"/>
  <c r="K38" i="39"/>
  <c r="M38" i="39" s="1"/>
  <c r="O38" i="39" s="1"/>
  <c r="AB38" i="39" s="1"/>
  <c r="E38" i="39"/>
  <c r="C38" i="39"/>
  <c r="K37" i="39"/>
  <c r="M37" i="39" s="1"/>
  <c r="O37" i="39" s="1"/>
  <c r="AB37" i="39" s="1"/>
  <c r="E37" i="39"/>
  <c r="C37" i="39"/>
  <c r="K36" i="39"/>
  <c r="M36" i="39" s="1"/>
  <c r="O36" i="39" s="1"/>
  <c r="E36" i="39"/>
  <c r="C36" i="39"/>
  <c r="K35" i="39"/>
  <c r="M35" i="39" s="1"/>
  <c r="O35" i="39" s="1"/>
  <c r="P35" i="39" s="1"/>
  <c r="E35" i="39"/>
  <c r="C35" i="39"/>
  <c r="K34" i="39"/>
  <c r="M34" i="39" s="1"/>
  <c r="O34" i="39" s="1"/>
  <c r="E34" i="39"/>
  <c r="C34" i="39"/>
  <c r="K33" i="39"/>
  <c r="M33" i="39" s="1"/>
  <c r="O33" i="39" s="1"/>
  <c r="E33" i="39"/>
  <c r="C33" i="39"/>
  <c r="K32" i="39"/>
  <c r="M32" i="39" s="1"/>
  <c r="O32" i="39" s="1"/>
  <c r="P32" i="39" s="1"/>
  <c r="E32" i="39"/>
  <c r="C32" i="39"/>
  <c r="K31" i="39"/>
  <c r="M31" i="39" s="1"/>
  <c r="O31" i="39" s="1"/>
  <c r="AB31" i="39" s="1"/>
  <c r="E31" i="39"/>
  <c r="C31" i="39"/>
  <c r="K30" i="39"/>
  <c r="M30" i="39" s="1"/>
  <c r="O30" i="39" s="1"/>
  <c r="E30" i="39"/>
  <c r="C30" i="39"/>
  <c r="K29" i="39"/>
  <c r="M29" i="39" s="1"/>
  <c r="O29" i="39" s="1"/>
  <c r="E29" i="39"/>
  <c r="C29" i="39"/>
  <c r="K28" i="39"/>
  <c r="M28" i="39" s="1"/>
  <c r="O28" i="39" s="1"/>
  <c r="E28" i="39"/>
  <c r="C28" i="39"/>
  <c r="K27" i="39"/>
  <c r="M27" i="39" s="1"/>
  <c r="O27" i="39" s="1"/>
  <c r="E27" i="39"/>
  <c r="C27" i="39"/>
  <c r="K26" i="39"/>
  <c r="M26" i="39" s="1"/>
  <c r="O26" i="39" s="1"/>
  <c r="AH26" i="39" s="1"/>
  <c r="E26" i="39"/>
  <c r="C26" i="39"/>
  <c r="K25" i="39"/>
  <c r="M25" i="39" s="1"/>
  <c r="O25" i="39" s="1"/>
  <c r="E25" i="39"/>
  <c r="C25" i="39"/>
  <c r="K24" i="39"/>
  <c r="M24" i="39" s="1"/>
  <c r="O24" i="39" s="1"/>
  <c r="E24" i="39"/>
  <c r="C24" i="39"/>
  <c r="K23" i="39"/>
  <c r="M23" i="39" s="1"/>
  <c r="O23" i="39" s="1"/>
  <c r="E23" i="39"/>
  <c r="C23" i="39"/>
  <c r="K22" i="39"/>
  <c r="M22" i="39" s="1"/>
  <c r="O22" i="39" s="1"/>
  <c r="E22" i="39"/>
  <c r="C22" i="39"/>
  <c r="K21" i="39"/>
  <c r="M21" i="39" s="1"/>
  <c r="O21" i="39" s="1"/>
  <c r="E21" i="39"/>
  <c r="C21" i="39"/>
  <c r="K20" i="39"/>
  <c r="M20" i="39" s="1"/>
  <c r="O20" i="39" s="1"/>
  <c r="E20" i="39"/>
  <c r="C20" i="39"/>
  <c r="K19" i="39"/>
  <c r="M19" i="39" s="1"/>
  <c r="O19" i="39" s="1"/>
  <c r="E19" i="39"/>
  <c r="C19" i="39"/>
  <c r="K18" i="39"/>
  <c r="M18" i="39" s="1"/>
  <c r="O18" i="39" s="1"/>
  <c r="E18" i="39"/>
  <c r="C18" i="39"/>
  <c r="K17" i="39"/>
  <c r="M17" i="39" s="1"/>
  <c r="O17" i="39" s="1"/>
  <c r="E17" i="39"/>
  <c r="C17" i="39"/>
  <c r="K16" i="39"/>
  <c r="M16" i="39" s="1"/>
  <c r="O16" i="39" s="1"/>
  <c r="E16" i="39"/>
  <c r="C16" i="39"/>
  <c r="K15" i="39"/>
  <c r="M15" i="39" s="1"/>
  <c r="O15" i="39" s="1"/>
  <c r="E15" i="39"/>
  <c r="C15" i="39"/>
  <c r="K14" i="39"/>
  <c r="M14" i="39" s="1"/>
  <c r="O14" i="39" s="1"/>
  <c r="E14" i="39"/>
  <c r="C14" i="39"/>
  <c r="K13" i="39"/>
  <c r="M13" i="39" s="1"/>
  <c r="O13" i="39" s="1"/>
  <c r="E13" i="39"/>
  <c r="C13" i="39"/>
  <c r="K12" i="39"/>
  <c r="M12" i="39" s="1"/>
  <c r="O12" i="39" s="1"/>
  <c r="E12" i="39"/>
  <c r="C12" i="39"/>
  <c r="K11" i="39"/>
  <c r="M11" i="39" s="1"/>
  <c r="O11" i="39" s="1"/>
  <c r="E11" i="39"/>
  <c r="C11" i="39"/>
  <c r="K10" i="39"/>
  <c r="M10" i="39" s="1"/>
  <c r="O10" i="39" s="1"/>
  <c r="E10" i="39"/>
  <c r="C10" i="39"/>
  <c r="K9" i="39"/>
  <c r="M9" i="39" s="1"/>
  <c r="O9" i="39" s="1"/>
  <c r="E9" i="39"/>
  <c r="C9" i="39"/>
  <c r="K8" i="39"/>
  <c r="M8" i="39" s="1"/>
  <c r="O8" i="39" s="1"/>
  <c r="E8" i="39"/>
  <c r="C8" i="39"/>
  <c r="K7" i="39"/>
  <c r="M7" i="39" s="1"/>
  <c r="O7" i="39" s="1"/>
  <c r="E7" i="39"/>
  <c r="C7" i="39"/>
  <c r="K6" i="39"/>
  <c r="M6" i="39" s="1"/>
  <c r="O6" i="39" s="1"/>
  <c r="E6" i="39"/>
  <c r="C6" i="39"/>
  <c r="K5" i="39"/>
  <c r="M5" i="39" s="1"/>
  <c r="E5" i="39"/>
  <c r="C5" i="39"/>
  <c r="P40" i="39" l="1"/>
  <c r="AK56" i="39"/>
  <c r="AK28" i="39"/>
  <c r="AH28" i="39"/>
  <c r="AE28" i="39"/>
  <c r="AB28" i="39"/>
  <c r="Y28" i="39"/>
  <c r="P28" i="39"/>
  <c r="P33" i="39"/>
  <c r="AH33" i="39"/>
  <c r="AH112" i="39"/>
  <c r="Y112" i="39"/>
  <c r="P68" i="39"/>
  <c r="AK68" i="39"/>
  <c r="AH78" i="39"/>
  <c r="AB78" i="39"/>
  <c r="P78" i="39"/>
  <c r="AK78" i="39"/>
  <c r="AH94" i="39"/>
  <c r="AB94" i="39"/>
  <c r="AK94" i="39"/>
  <c r="P94" i="39"/>
  <c r="AK24" i="39"/>
  <c r="P24" i="39"/>
  <c r="Y24" i="39"/>
  <c r="AB24" i="39"/>
  <c r="AH24" i="39"/>
  <c r="AK36" i="39"/>
  <c r="P36" i="39"/>
  <c r="AK44" i="39"/>
  <c r="P44" i="39"/>
  <c r="AH34" i="39"/>
  <c r="AE34" i="39"/>
  <c r="P34" i="39"/>
  <c r="AE30" i="39"/>
  <c r="P30" i="39"/>
  <c r="Y30" i="39"/>
  <c r="AH110" i="39"/>
  <c r="AK110" i="39"/>
  <c r="AB110" i="39"/>
  <c r="P110" i="39"/>
  <c r="AH35" i="39"/>
  <c r="Y32" i="39"/>
  <c r="Y26" i="39"/>
  <c r="P31" i="39"/>
  <c r="Y80" i="39"/>
  <c r="P26" i="39"/>
  <c r="AB26" i="39"/>
  <c r="P52" i="39"/>
  <c r="Y96" i="39"/>
  <c r="AE26" i="39"/>
  <c r="AK26" i="39"/>
  <c r="O10" i="40"/>
  <c r="P10" i="40" s="1"/>
  <c r="AB21" i="39"/>
  <c r="Y21" i="39"/>
  <c r="P21" i="39"/>
  <c r="AH21" i="39"/>
  <c r="AK21" i="39"/>
  <c r="AE21" i="39"/>
  <c r="AB7" i="39"/>
  <c r="Y7" i="39"/>
  <c r="P7" i="39"/>
  <c r="AK7" i="39"/>
  <c r="AH7" i="39"/>
  <c r="AE7" i="39"/>
  <c r="AB15" i="39"/>
  <c r="AK15" i="39"/>
  <c r="Y15" i="39"/>
  <c r="P15" i="39"/>
  <c r="AH15" i="39"/>
  <c r="AE15" i="39"/>
  <c r="AB23" i="39"/>
  <c r="Y23" i="39"/>
  <c r="AK23" i="39"/>
  <c r="P23" i="39"/>
  <c r="AH23" i="39"/>
  <c r="AE23" i="39"/>
  <c r="P47" i="39"/>
  <c r="AK47" i="39"/>
  <c r="AE47" i="39"/>
  <c r="AB47" i="39"/>
  <c r="Y47" i="39"/>
  <c r="AH47" i="39"/>
  <c r="AB97" i="39"/>
  <c r="P97" i="39"/>
  <c r="AH97" i="39"/>
  <c r="AE97" i="39"/>
  <c r="Y97" i="39"/>
  <c r="AK97" i="39"/>
  <c r="AB13" i="39"/>
  <c r="Y13" i="39"/>
  <c r="P13" i="39"/>
  <c r="AH13" i="39"/>
  <c r="AK13" i="39"/>
  <c r="AE13" i="39"/>
  <c r="AK8" i="39"/>
  <c r="AH8" i="39"/>
  <c r="AE8" i="39"/>
  <c r="P8" i="39"/>
  <c r="AB8" i="39"/>
  <c r="Y8" i="39"/>
  <c r="AK10" i="39"/>
  <c r="AH10" i="39"/>
  <c r="AE10" i="39"/>
  <c r="P10" i="39"/>
  <c r="Y10" i="39"/>
  <c r="AB10" i="39"/>
  <c r="AK18" i="39"/>
  <c r="AH18" i="39"/>
  <c r="AB18" i="39"/>
  <c r="AE18" i="39"/>
  <c r="P18" i="39"/>
  <c r="Y18" i="39"/>
  <c r="Y27" i="39"/>
  <c r="AE27" i="39"/>
  <c r="AK27" i="39"/>
  <c r="AH27" i="39"/>
  <c r="AB27" i="39"/>
  <c r="P27" i="39"/>
  <c r="P71" i="39"/>
  <c r="AK71" i="39"/>
  <c r="AE71" i="39"/>
  <c r="AB71" i="39"/>
  <c r="Y71" i="39"/>
  <c r="AH71" i="39"/>
  <c r="M121" i="39"/>
  <c r="O5" i="39"/>
  <c r="AB11" i="39"/>
  <c r="AK11" i="39"/>
  <c r="Y11" i="39"/>
  <c r="P11" i="39"/>
  <c r="AH11" i="39"/>
  <c r="AE11" i="39"/>
  <c r="AB19" i="39"/>
  <c r="Y19" i="39"/>
  <c r="AK19" i="39"/>
  <c r="P19" i="39"/>
  <c r="AH19" i="39"/>
  <c r="AE19" i="39"/>
  <c r="AB25" i="39"/>
  <c r="Y25" i="39"/>
  <c r="P25" i="39"/>
  <c r="AH25" i="39"/>
  <c r="AK25" i="39"/>
  <c r="AE25" i="39"/>
  <c r="AB16" i="39"/>
  <c r="AK16" i="39"/>
  <c r="Y16" i="39"/>
  <c r="AH16" i="39"/>
  <c r="AE16" i="39"/>
  <c r="P16" i="39"/>
  <c r="AK6" i="39"/>
  <c r="AH6" i="39"/>
  <c r="AE6" i="39"/>
  <c r="P6" i="39"/>
  <c r="Y6" i="39"/>
  <c r="AB6" i="39"/>
  <c r="AK14" i="39"/>
  <c r="Y14" i="39"/>
  <c r="AH14" i="39"/>
  <c r="AE14" i="39"/>
  <c r="P14" i="39"/>
  <c r="AB14" i="39"/>
  <c r="Y22" i="39"/>
  <c r="AK22" i="39"/>
  <c r="AB22" i="39"/>
  <c r="AH22" i="39"/>
  <c r="AE22" i="39"/>
  <c r="P22" i="39"/>
  <c r="P39" i="39"/>
  <c r="AK39" i="39"/>
  <c r="AE39" i="39"/>
  <c r="AB39" i="39"/>
  <c r="Y39" i="39"/>
  <c r="AH39" i="39"/>
  <c r="AB81" i="39"/>
  <c r="P81" i="39"/>
  <c r="AH81" i="39"/>
  <c r="AE81" i="39"/>
  <c r="Y81" i="39"/>
  <c r="AK81" i="39"/>
  <c r="AB9" i="39"/>
  <c r="Y9" i="39"/>
  <c r="P9" i="39"/>
  <c r="AK9" i="39"/>
  <c r="AH9" i="39"/>
  <c r="AE9" i="39"/>
  <c r="AB17" i="39"/>
  <c r="Y17" i="39"/>
  <c r="P17" i="39"/>
  <c r="AK17" i="39"/>
  <c r="AH17" i="39"/>
  <c r="AE17" i="39"/>
  <c r="Y29" i="39"/>
  <c r="AE29" i="39"/>
  <c r="AH29" i="39"/>
  <c r="AB29" i="39"/>
  <c r="AK29" i="39"/>
  <c r="P29" i="39"/>
  <c r="AK12" i="39"/>
  <c r="AH12" i="39"/>
  <c r="AE12" i="39"/>
  <c r="P12" i="39"/>
  <c r="AB12" i="39"/>
  <c r="Y12" i="39"/>
  <c r="AB20" i="39"/>
  <c r="AK20" i="39"/>
  <c r="AH20" i="39"/>
  <c r="AE20" i="39"/>
  <c r="P20" i="39"/>
  <c r="Y20" i="39"/>
  <c r="AB113" i="39"/>
  <c r="P113" i="39"/>
  <c r="AH113" i="39"/>
  <c r="AE113" i="39"/>
  <c r="Y113" i="39"/>
  <c r="AK113" i="39"/>
  <c r="AH48" i="39"/>
  <c r="Y48" i="39"/>
  <c r="AE48" i="39"/>
  <c r="AB48" i="39"/>
  <c r="AH74" i="39"/>
  <c r="AK74" i="39"/>
  <c r="AE74" i="39"/>
  <c r="Y74" i="39"/>
  <c r="P74" i="39"/>
  <c r="AH82" i="39"/>
  <c r="AE82" i="39"/>
  <c r="Y82" i="39"/>
  <c r="P82" i="39"/>
  <c r="AK82" i="39"/>
  <c r="AK30" i="39"/>
  <c r="AB30" i="39"/>
  <c r="AK34" i="39"/>
  <c r="AB34" i="39"/>
  <c r="Y34" i="39"/>
  <c r="AH40" i="39"/>
  <c r="Y40" i="39"/>
  <c r="AE40" i="39"/>
  <c r="AB40" i="39"/>
  <c r="AH52" i="39"/>
  <c r="AE52" i="39"/>
  <c r="AB52" i="39"/>
  <c r="Y52" i="39"/>
  <c r="P55" i="39"/>
  <c r="AK55" i="39"/>
  <c r="AE55" i="39"/>
  <c r="AB55" i="39"/>
  <c r="Y55" i="39"/>
  <c r="AH72" i="39"/>
  <c r="AB72" i="39"/>
  <c r="P72" i="39"/>
  <c r="AK72" i="39"/>
  <c r="AE72" i="39"/>
  <c r="AB93" i="39"/>
  <c r="P93" i="39"/>
  <c r="AH93" i="39"/>
  <c r="Y93" i="39"/>
  <c r="AK93" i="39"/>
  <c r="AB101" i="39"/>
  <c r="P101" i="39"/>
  <c r="AK101" i="39"/>
  <c r="AH101" i="39"/>
  <c r="Y101" i="39"/>
  <c r="AH106" i="39"/>
  <c r="AK106" i="39"/>
  <c r="AE106" i="39"/>
  <c r="Y106" i="39"/>
  <c r="P106" i="39"/>
  <c r="AH118" i="39"/>
  <c r="AK118" i="39"/>
  <c r="AE118" i="39"/>
  <c r="AB118" i="39"/>
  <c r="Y118" i="39"/>
  <c r="P118" i="39"/>
  <c r="AH60" i="39"/>
  <c r="AE60" i="39"/>
  <c r="AB60" i="39"/>
  <c r="Y60" i="39"/>
  <c r="AB103" i="39"/>
  <c r="P103" i="39"/>
  <c r="AK103" i="39"/>
  <c r="AE103" i="39"/>
  <c r="Y103" i="39"/>
  <c r="P65" i="39"/>
  <c r="AK65" i="39"/>
  <c r="AH65" i="39"/>
  <c r="AE65" i="39"/>
  <c r="Y65" i="39"/>
  <c r="AB74" i="39"/>
  <c r="AH108" i="39"/>
  <c r="AK108" i="39"/>
  <c r="AB108" i="39"/>
  <c r="Y108" i="39"/>
  <c r="P108" i="39"/>
  <c r="E121" i="39"/>
  <c r="Y31" i="39"/>
  <c r="AE31" i="39"/>
  <c r="AK32" i="39"/>
  <c r="AB32" i="39"/>
  <c r="Y33" i="39"/>
  <c r="AE33" i="39"/>
  <c r="AB33" i="39"/>
  <c r="P37" i="39"/>
  <c r="AE37" i="39"/>
  <c r="Y37" i="39"/>
  <c r="AK37" i="39"/>
  <c r="AH37" i="39"/>
  <c r="P43" i="39"/>
  <c r="Y43" i="39"/>
  <c r="AK43" i="39"/>
  <c r="AE43" i="39"/>
  <c r="AB43" i="39"/>
  <c r="AH46" i="39"/>
  <c r="AK46" i="39"/>
  <c r="AE46" i="39"/>
  <c r="Y46" i="39"/>
  <c r="P46" i="39"/>
  <c r="P57" i="39"/>
  <c r="AK57" i="39"/>
  <c r="AH57" i="39"/>
  <c r="AE57" i="39"/>
  <c r="Y57" i="39"/>
  <c r="AH66" i="39"/>
  <c r="AE66" i="39"/>
  <c r="Y66" i="39"/>
  <c r="P66" i="39"/>
  <c r="AK66" i="39"/>
  <c r="P69" i="39"/>
  <c r="AE69" i="39"/>
  <c r="Y69" i="39"/>
  <c r="AK69" i="39"/>
  <c r="AH69" i="39"/>
  <c r="AB77" i="39"/>
  <c r="P77" i="39"/>
  <c r="AH77" i="39"/>
  <c r="Y77" i="39"/>
  <c r="AK77" i="39"/>
  <c r="AB85" i="39"/>
  <c r="P85" i="39"/>
  <c r="AK85" i="39"/>
  <c r="AH85" i="39"/>
  <c r="Y85" i="39"/>
  <c r="AH90" i="39"/>
  <c r="AK90" i="39"/>
  <c r="AE90" i="39"/>
  <c r="Y90" i="39"/>
  <c r="P90" i="39"/>
  <c r="AE93" i="39"/>
  <c r="AE101" i="39"/>
  <c r="AB106" i="39"/>
  <c r="AH114" i="39"/>
  <c r="AE114" i="39"/>
  <c r="Y114" i="39"/>
  <c r="P114" i="39"/>
  <c r="AK114" i="39"/>
  <c r="AH98" i="39"/>
  <c r="AE98" i="39"/>
  <c r="Y98" i="39"/>
  <c r="P98" i="39"/>
  <c r="AK98" i="39"/>
  <c r="AH42" i="39"/>
  <c r="AE42" i="39"/>
  <c r="Y42" i="39"/>
  <c r="P42" i="39"/>
  <c r="AK42" i="39"/>
  <c r="P51" i="39"/>
  <c r="Y51" i="39"/>
  <c r="AK51" i="39"/>
  <c r="AE51" i="39"/>
  <c r="AB51" i="39"/>
  <c r="AE24" i="39"/>
  <c r="AH30" i="39"/>
  <c r="AH31" i="39"/>
  <c r="AE32" i="39"/>
  <c r="AK33" i="39"/>
  <c r="AH36" i="39"/>
  <c r="AE36" i="39"/>
  <c r="AB36" i="39"/>
  <c r="Y36" i="39"/>
  <c r="AB42" i="39"/>
  <c r="AK48" i="39"/>
  <c r="AH51" i="39"/>
  <c r="AH56" i="39"/>
  <c r="Y56" i="39"/>
  <c r="AE56" i="39"/>
  <c r="AB56" i="39"/>
  <c r="AK60" i="39"/>
  <c r="AB65" i="39"/>
  <c r="AH68" i="39"/>
  <c r="AE68" i="39"/>
  <c r="AB68" i="39"/>
  <c r="Y68" i="39"/>
  <c r="AB82" i="39"/>
  <c r="AH92" i="39"/>
  <c r="AK92" i="39"/>
  <c r="AB92" i="39"/>
  <c r="Y92" i="39"/>
  <c r="P92" i="39"/>
  <c r="AB95" i="39"/>
  <c r="P95" i="39"/>
  <c r="AK95" i="39"/>
  <c r="AE95" i="39"/>
  <c r="Y95" i="39"/>
  <c r="AH100" i="39"/>
  <c r="P100" i="39"/>
  <c r="AK100" i="39"/>
  <c r="AB100" i="39"/>
  <c r="Y100" i="39"/>
  <c r="AH102" i="39"/>
  <c r="AE102" i="39"/>
  <c r="AB102" i="39"/>
  <c r="Y102" i="39"/>
  <c r="AB105" i="39"/>
  <c r="P105" i="39"/>
  <c r="Y105" i="39"/>
  <c r="AH105" i="39"/>
  <c r="AE105" i="39"/>
  <c r="AE108" i="39"/>
  <c r="AB119" i="39"/>
  <c r="P119" i="39"/>
  <c r="AK119" i="39"/>
  <c r="AH119" i="39"/>
  <c r="AE119" i="39"/>
  <c r="Y119" i="39"/>
  <c r="AH116" i="39"/>
  <c r="P116" i="39"/>
  <c r="AK116" i="39"/>
  <c r="AE116" i="39"/>
  <c r="AB116" i="39"/>
  <c r="Y116" i="39"/>
  <c r="P45" i="39"/>
  <c r="AE45" i="39"/>
  <c r="Y45" i="39"/>
  <c r="AK45" i="39"/>
  <c r="AH45" i="39"/>
  <c r="P60" i="39"/>
  <c r="AB87" i="39"/>
  <c r="P87" i="39"/>
  <c r="AK87" i="39"/>
  <c r="AE87" i="39"/>
  <c r="Y87" i="39"/>
  <c r="AH103" i="39"/>
  <c r="AK31" i="39"/>
  <c r="AH32" i="39"/>
  <c r="P41" i="39"/>
  <c r="AK41" i="39"/>
  <c r="AH41" i="39"/>
  <c r="AE41" i="39"/>
  <c r="Y41" i="39"/>
  <c r="AH50" i="39"/>
  <c r="AE50" i="39"/>
  <c r="Y50" i="39"/>
  <c r="P50" i="39"/>
  <c r="AK50" i="39"/>
  <c r="P53" i="39"/>
  <c r="AE53" i="39"/>
  <c r="Y53" i="39"/>
  <c r="AK53" i="39"/>
  <c r="AH53" i="39"/>
  <c r="P59" i="39"/>
  <c r="Y59" i="39"/>
  <c r="AK59" i="39"/>
  <c r="AE59" i="39"/>
  <c r="AB59" i="39"/>
  <c r="AH62" i="39"/>
  <c r="AK62" i="39"/>
  <c r="AE62" i="39"/>
  <c r="Y62" i="39"/>
  <c r="P62" i="39"/>
  <c r="AH76" i="39"/>
  <c r="AK76" i="39"/>
  <c r="AB76" i="39"/>
  <c r="Y76" i="39"/>
  <c r="P76" i="39"/>
  <c r="AB79" i="39"/>
  <c r="P79" i="39"/>
  <c r="AK79" i="39"/>
  <c r="AE79" i="39"/>
  <c r="Y79" i="39"/>
  <c r="AH84" i="39"/>
  <c r="P84" i="39"/>
  <c r="AK84" i="39"/>
  <c r="AB84" i="39"/>
  <c r="Y84" i="39"/>
  <c r="AH86" i="39"/>
  <c r="AE86" i="39"/>
  <c r="AB86" i="39"/>
  <c r="Y86" i="39"/>
  <c r="AB89" i="39"/>
  <c r="P89" i="39"/>
  <c r="Y89" i="39"/>
  <c r="AH89" i="39"/>
  <c r="AE89" i="39"/>
  <c r="AE100" i="39"/>
  <c r="P102" i="39"/>
  <c r="AK105" i="39"/>
  <c r="AB107" i="39"/>
  <c r="P107" i="39"/>
  <c r="AK107" i="39"/>
  <c r="AH107" i="39"/>
  <c r="AE107" i="39"/>
  <c r="AB115" i="39"/>
  <c r="P115" i="39"/>
  <c r="AE115" i="39"/>
  <c r="AK115" i="39"/>
  <c r="AH115" i="39"/>
  <c r="AB117" i="39"/>
  <c r="P117" i="39"/>
  <c r="AK117" i="39"/>
  <c r="AH117" i="39"/>
  <c r="AE117" i="39"/>
  <c r="Y117" i="39"/>
  <c r="P63" i="39"/>
  <c r="AK63" i="39"/>
  <c r="AE63" i="39"/>
  <c r="AB63" i="39"/>
  <c r="Y63" i="39"/>
  <c r="AH54" i="39"/>
  <c r="AK54" i="39"/>
  <c r="AE54" i="39"/>
  <c r="Y54" i="39"/>
  <c r="P54" i="39"/>
  <c r="Y35" i="39"/>
  <c r="AK35" i="39"/>
  <c r="AE35" i="39"/>
  <c r="AB35" i="39"/>
  <c r="AB41" i="39"/>
  <c r="AH44" i="39"/>
  <c r="AE44" i="39"/>
  <c r="AB44" i="39"/>
  <c r="Y44" i="39"/>
  <c r="AB50" i="39"/>
  <c r="AB53" i="39"/>
  <c r="AH59" i="39"/>
  <c r="AB62" i="39"/>
  <c r="AH64" i="39"/>
  <c r="Y64" i="39"/>
  <c r="AE64" i="39"/>
  <c r="AB64" i="39"/>
  <c r="AB73" i="39"/>
  <c r="P73" i="39"/>
  <c r="Y73" i="39"/>
  <c r="AH73" i="39"/>
  <c r="AE73" i="39"/>
  <c r="AE76" i="39"/>
  <c r="AH79" i="39"/>
  <c r="AE84" i="39"/>
  <c r="P86" i="39"/>
  <c r="AK89" i="39"/>
  <c r="AB91" i="39"/>
  <c r="P91" i="39"/>
  <c r="AK91" i="39"/>
  <c r="AH91" i="39"/>
  <c r="AE91" i="39"/>
  <c r="AB99" i="39"/>
  <c r="P99" i="39"/>
  <c r="AE99" i="39"/>
  <c r="AK99" i="39"/>
  <c r="AH99" i="39"/>
  <c r="AK102" i="39"/>
  <c r="AH104" i="39"/>
  <c r="AB104" i="39"/>
  <c r="P104" i="39"/>
  <c r="AK104" i="39"/>
  <c r="AE104" i="39"/>
  <c r="Y107" i="39"/>
  <c r="Y115" i="39"/>
  <c r="P48" i="39"/>
  <c r="AH63" i="39"/>
  <c r="AB111" i="39"/>
  <c r="P111" i="39"/>
  <c r="AK111" i="39"/>
  <c r="AE111" i="39"/>
  <c r="Y111" i="39"/>
  <c r="AH38" i="39"/>
  <c r="AK38" i="39"/>
  <c r="AE38" i="39"/>
  <c r="Y38" i="39"/>
  <c r="P38" i="39"/>
  <c r="P49" i="39"/>
  <c r="AK49" i="39"/>
  <c r="AH49" i="39"/>
  <c r="AE49" i="39"/>
  <c r="Y49" i="39"/>
  <c r="AH58" i="39"/>
  <c r="AE58" i="39"/>
  <c r="Y58" i="39"/>
  <c r="P58" i="39"/>
  <c r="AK58" i="39"/>
  <c r="P61" i="39"/>
  <c r="AE61" i="39"/>
  <c r="Y61" i="39"/>
  <c r="AK61" i="39"/>
  <c r="AH61" i="39"/>
  <c r="P64" i="39"/>
  <c r="P67" i="39"/>
  <c r="Y67" i="39"/>
  <c r="AK67" i="39"/>
  <c r="AE67" i="39"/>
  <c r="AB67" i="39"/>
  <c r="AH70" i="39"/>
  <c r="AK70" i="39"/>
  <c r="AE70" i="39"/>
  <c r="Y70" i="39"/>
  <c r="P70" i="39"/>
  <c r="AK73" i="39"/>
  <c r="AB75" i="39"/>
  <c r="P75" i="39"/>
  <c r="AK75" i="39"/>
  <c r="AH75" i="39"/>
  <c r="AE75" i="39"/>
  <c r="AB83" i="39"/>
  <c r="P83" i="39"/>
  <c r="AE83" i="39"/>
  <c r="AK83" i="39"/>
  <c r="AH83" i="39"/>
  <c r="AK86" i="39"/>
  <c r="AH88" i="39"/>
  <c r="AB88" i="39"/>
  <c r="P88" i="39"/>
  <c r="AK88" i="39"/>
  <c r="AE88" i="39"/>
  <c r="Y91" i="39"/>
  <c r="AB109" i="39"/>
  <c r="P109" i="39"/>
  <c r="AH109" i="39"/>
  <c r="Y109" i="39"/>
  <c r="AK109" i="39"/>
  <c r="AE78" i="39"/>
  <c r="P80" i="39"/>
  <c r="AE94" i="39"/>
  <c r="P96" i="39"/>
  <c r="AE110" i="39"/>
  <c r="P112" i="39"/>
  <c r="AB80" i="39"/>
  <c r="AB96" i="39"/>
  <c r="AB112" i="39"/>
  <c r="AK120" i="39"/>
  <c r="AH120" i="39"/>
  <c r="AE80" i="39"/>
  <c r="AE96" i="39"/>
  <c r="AE112" i="39"/>
  <c r="P120" i="39"/>
  <c r="AK80" i="39"/>
  <c r="AK96" i="39"/>
  <c r="AK112" i="39"/>
  <c r="Y120" i="39"/>
  <c r="AB120" i="39"/>
  <c r="Y78" i="39"/>
  <c r="Y94" i="39"/>
  <c r="Y110" i="39"/>
  <c r="AE120" i="39"/>
  <c r="AL24" i="39" l="1"/>
  <c r="AL86" i="39"/>
  <c r="AL110" i="39"/>
  <c r="AL36" i="39"/>
  <c r="AL113" i="39"/>
  <c r="AL72" i="39"/>
  <c r="AL52" i="39"/>
  <c r="AL56" i="39"/>
  <c r="AL40" i="39"/>
  <c r="AL48" i="39"/>
  <c r="AL42" i="39"/>
  <c r="AL18" i="39"/>
  <c r="AL94" i="39"/>
  <c r="AL23" i="39"/>
  <c r="AL91" i="39"/>
  <c r="AL39" i="39"/>
  <c r="AL96" i="39"/>
  <c r="AL69" i="39"/>
  <c r="AL78" i="39"/>
  <c r="AL64" i="39"/>
  <c r="AL112" i="39"/>
  <c r="AL119" i="39"/>
  <c r="AL38" i="39"/>
  <c r="AL34" i="39"/>
  <c r="AL68" i="39"/>
  <c r="AL44" i="39"/>
  <c r="AL26" i="39"/>
  <c r="AL57" i="39"/>
  <c r="AL118" i="39"/>
  <c r="AL43" i="39"/>
  <c r="AL102" i="39"/>
  <c r="AL16" i="39"/>
  <c r="AL15" i="39"/>
  <c r="AL28" i="39"/>
  <c r="AL70" i="39"/>
  <c r="AL59" i="39"/>
  <c r="AL50" i="39"/>
  <c r="AL41" i="39"/>
  <c r="AL33" i="39"/>
  <c r="AL22" i="39"/>
  <c r="AL120" i="39"/>
  <c r="AL107" i="39"/>
  <c r="AL75" i="39"/>
  <c r="AL61" i="39"/>
  <c r="AL35" i="39"/>
  <c r="AL117" i="39"/>
  <c r="AL79" i="39"/>
  <c r="AL100" i="39"/>
  <c r="AL66" i="39"/>
  <c r="AL27" i="39"/>
  <c r="AL63" i="39"/>
  <c r="AL116" i="39"/>
  <c r="AL9" i="39"/>
  <c r="AL73" i="39"/>
  <c r="AL67" i="39"/>
  <c r="AL99" i="39"/>
  <c r="AL84" i="39"/>
  <c r="AL62" i="39"/>
  <c r="AL53" i="39"/>
  <c r="AL45" i="39"/>
  <c r="AL92" i="39"/>
  <c r="AL60" i="39"/>
  <c r="AL114" i="39"/>
  <c r="AL30" i="39"/>
  <c r="AL12" i="39"/>
  <c r="AL11" i="39"/>
  <c r="AL71" i="39"/>
  <c r="AL97" i="39"/>
  <c r="AL31" i="39"/>
  <c r="AL65" i="39"/>
  <c r="AL21" i="39"/>
  <c r="AL80" i="39"/>
  <c r="AL88" i="39"/>
  <c r="AL58" i="39"/>
  <c r="AL49" i="39"/>
  <c r="AL89" i="39"/>
  <c r="AL115" i="39"/>
  <c r="AL108" i="39"/>
  <c r="AL55" i="39"/>
  <c r="AL82" i="39"/>
  <c r="AL74" i="39"/>
  <c r="AL20" i="39"/>
  <c r="AL17" i="39"/>
  <c r="AL6" i="39"/>
  <c r="AL25" i="39"/>
  <c r="AL19" i="39"/>
  <c r="AL8" i="39"/>
  <c r="AL83" i="39"/>
  <c r="AL109" i="39"/>
  <c r="AL111" i="39"/>
  <c r="AL104" i="39"/>
  <c r="AL54" i="39"/>
  <c r="AL105" i="39"/>
  <c r="AL95" i="39"/>
  <c r="AL46" i="39"/>
  <c r="AL37" i="39"/>
  <c r="AL32" i="39"/>
  <c r="AL29" i="39"/>
  <c r="O121" i="39"/>
  <c r="AB5" i="39"/>
  <c r="Y5" i="39"/>
  <c r="O3" i="39"/>
  <c r="P5" i="39"/>
  <c r="AK5" i="39"/>
  <c r="AH5" i="39"/>
  <c r="AE5" i="39"/>
  <c r="AL47" i="39"/>
  <c r="AL7" i="39"/>
  <c r="AL85" i="39"/>
  <c r="AL101" i="39"/>
  <c r="AL76" i="39"/>
  <c r="AL87" i="39"/>
  <c r="AL51" i="39"/>
  <c r="AL98" i="39"/>
  <c r="AL90" i="39"/>
  <c r="AL77" i="39"/>
  <c r="AL103" i="39"/>
  <c r="AL106" i="39"/>
  <c r="AL93" i="39"/>
  <c r="AL81" i="39"/>
  <c r="AL14" i="39"/>
  <c r="AL10" i="39"/>
  <c r="AL13" i="39"/>
  <c r="AL5" i="39" l="1"/>
  <c r="AL121" i="39" s="1"/>
  <c r="P121" i="39"/>
  <c r="P3" i="39"/>
  <c r="C15" i="1" l="1"/>
  <c r="E15" i="1"/>
  <c r="K15" i="1"/>
  <c r="M15" i="1" s="1"/>
  <c r="O15" i="1" s="1"/>
  <c r="C19" i="1"/>
  <c r="E19" i="1"/>
  <c r="K19" i="1"/>
  <c r="M19" i="1" s="1"/>
  <c r="O19" i="1" s="1"/>
  <c r="C20" i="1"/>
  <c r="E20" i="1"/>
  <c r="K20" i="1"/>
  <c r="M20" i="1" s="1"/>
  <c r="O20" i="1" s="1"/>
  <c r="C21" i="1"/>
  <c r="E21" i="1"/>
  <c r="K21" i="1"/>
  <c r="M21" i="1" s="1"/>
  <c r="O21" i="1" s="1"/>
  <c r="C22" i="1"/>
  <c r="E22" i="1"/>
  <c r="K22" i="1"/>
  <c r="M22" i="1" s="1"/>
  <c r="O22" i="1" s="1"/>
  <c r="L350" i="1"/>
  <c r="AD22" i="1" l="1"/>
  <c r="X22" i="1"/>
  <c r="AG22" i="1"/>
  <c r="U22" i="1"/>
  <c r="P22" i="1"/>
  <c r="AA22" i="1"/>
  <c r="P21" i="1"/>
  <c r="U21" i="1"/>
  <c r="X21" i="1"/>
  <c r="AA21" i="1"/>
  <c r="AD21" i="1"/>
  <c r="AG21" i="1"/>
  <c r="AA20" i="1"/>
  <c r="AD20" i="1"/>
  <c r="AG20" i="1"/>
  <c r="X20" i="1"/>
  <c r="U20" i="1"/>
  <c r="P20" i="1"/>
  <c r="P19" i="1"/>
  <c r="U19" i="1"/>
  <c r="X19" i="1"/>
  <c r="AA19" i="1"/>
  <c r="AG19" i="1"/>
  <c r="AD19" i="1"/>
  <c r="AA15" i="1"/>
  <c r="AD15" i="1"/>
  <c r="AG15" i="1"/>
  <c r="U15" i="1"/>
  <c r="X15" i="1"/>
  <c r="P15" i="1"/>
  <c r="K236" i="1"/>
  <c r="M236" i="1" s="1"/>
  <c r="O236" i="1" s="1"/>
  <c r="E236" i="1"/>
  <c r="C236" i="1"/>
  <c r="AH19" i="1" l="1"/>
  <c r="AH20" i="1"/>
  <c r="AH21" i="1"/>
  <c r="AH15" i="1"/>
  <c r="AH22" i="1"/>
  <c r="AG236" i="1"/>
  <c r="AD236" i="1"/>
  <c r="AA236" i="1"/>
  <c r="X236" i="1"/>
  <c r="U236" i="1"/>
  <c r="P236" i="1"/>
  <c r="AH236" i="1" l="1"/>
  <c r="K28" i="1" l="1"/>
  <c r="M28" i="1" s="1"/>
  <c r="O28" i="1" s="1"/>
  <c r="E28" i="1"/>
  <c r="C28" i="1"/>
  <c r="AG28" i="1" l="1"/>
  <c r="AD28" i="1"/>
  <c r="X28" i="1"/>
  <c r="U28" i="1"/>
  <c r="P28" i="1"/>
  <c r="AA28" i="1"/>
  <c r="AH28" i="1" l="1"/>
  <c r="K134" i="1" l="1"/>
  <c r="M134" i="1" s="1"/>
  <c r="O134" i="1" s="1"/>
  <c r="E134" i="1"/>
  <c r="C134" i="1"/>
  <c r="C230" i="1"/>
  <c r="E230" i="1"/>
  <c r="K230" i="1"/>
  <c r="M230" i="1" s="1"/>
  <c r="O230" i="1" s="1"/>
  <c r="C231" i="1"/>
  <c r="E231" i="1"/>
  <c r="K231" i="1"/>
  <c r="M231" i="1" s="1"/>
  <c r="O231" i="1" s="1"/>
  <c r="C243" i="1"/>
  <c r="E243" i="1"/>
  <c r="K243" i="1"/>
  <c r="M243" i="1" s="1"/>
  <c r="O243" i="1" s="1"/>
  <c r="C244" i="1"/>
  <c r="E244" i="1"/>
  <c r="K244" i="1"/>
  <c r="M244" i="1" s="1"/>
  <c r="O244" i="1" s="1"/>
  <c r="C245" i="1"/>
  <c r="E245" i="1"/>
  <c r="K245" i="1"/>
  <c r="M245" i="1" s="1"/>
  <c r="O245" i="1" s="1"/>
  <c r="K92" i="1"/>
  <c r="M92" i="1" s="1"/>
  <c r="O92" i="1" s="1"/>
  <c r="E92" i="1"/>
  <c r="C92" i="1"/>
  <c r="K89" i="1"/>
  <c r="M89" i="1" s="1"/>
  <c r="O89" i="1" s="1"/>
  <c r="E89" i="1"/>
  <c r="C89" i="1"/>
  <c r="AA134" i="1" l="1"/>
  <c r="AG134" i="1"/>
  <c r="AD134" i="1"/>
  <c r="X134" i="1"/>
  <c r="U134" i="1"/>
  <c r="P134" i="1"/>
  <c r="AA230" i="1"/>
  <c r="AD230" i="1"/>
  <c r="U230" i="1"/>
  <c r="AG230" i="1"/>
  <c r="X230" i="1"/>
  <c r="P230" i="1"/>
  <c r="AA231" i="1"/>
  <c r="P231" i="1"/>
  <c r="AD231" i="1"/>
  <c r="U231" i="1"/>
  <c r="AG231" i="1"/>
  <c r="X231" i="1"/>
  <c r="AA243" i="1"/>
  <c r="AD243" i="1"/>
  <c r="AG243" i="1"/>
  <c r="P243" i="1"/>
  <c r="U243" i="1"/>
  <c r="X243" i="1"/>
  <c r="AA244" i="1"/>
  <c r="AD244" i="1"/>
  <c r="AG244" i="1"/>
  <c r="U244" i="1"/>
  <c r="P244" i="1"/>
  <c r="X244" i="1"/>
  <c r="AD245" i="1"/>
  <c r="U245" i="1"/>
  <c r="AG245" i="1"/>
  <c r="X245" i="1"/>
  <c r="AA245" i="1"/>
  <c r="P245" i="1"/>
  <c r="AD92" i="1"/>
  <c r="AG92" i="1"/>
  <c r="AA92" i="1"/>
  <c r="X92" i="1"/>
  <c r="U92" i="1"/>
  <c r="P92" i="1"/>
  <c r="AG89" i="1"/>
  <c r="AD89" i="1"/>
  <c r="AA89" i="1"/>
  <c r="P89" i="1"/>
  <c r="X89" i="1"/>
  <c r="U89" i="1"/>
  <c r="AH134" i="1" l="1"/>
  <c r="AH230" i="1"/>
  <c r="AH231" i="1"/>
  <c r="AH243" i="1"/>
  <c r="AH244" i="1"/>
  <c r="AH245" i="1"/>
  <c r="AH92" i="1"/>
  <c r="AH89" i="1"/>
  <c r="K65" i="1" l="1"/>
  <c r="M65" i="1" s="1"/>
  <c r="O65" i="1" s="1"/>
  <c r="E65" i="1"/>
  <c r="C65" i="1"/>
  <c r="AG65" i="1" l="1"/>
  <c r="AD65" i="1"/>
  <c r="U65" i="1"/>
  <c r="AA65" i="1"/>
  <c r="X65" i="1"/>
  <c r="P65" i="1"/>
  <c r="K35" i="1"/>
  <c r="M35" i="1" s="1"/>
  <c r="O35" i="1" s="1"/>
  <c r="E35" i="1"/>
  <c r="C35" i="1"/>
  <c r="K34" i="1"/>
  <c r="M34" i="1" s="1"/>
  <c r="O34" i="1" s="1"/>
  <c r="E34" i="1"/>
  <c r="C34" i="1"/>
  <c r="K25" i="1"/>
  <c r="M25" i="1" s="1"/>
  <c r="O25" i="1" s="1"/>
  <c r="E25" i="1"/>
  <c r="C25" i="1"/>
  <c r="K27" i="1"/>
  <c r="M27" i="1" s="1"/>
  <c r="O27" i="1" s="1"/>
  <c r="E27" i="1"/>
  <c r="C27" i="1"/>
  <c r="AH65" i="1" l="1"/>
  <c r="AG35" i="1"/>
  <c r="AD35" i="1"/>
  <c r="P35" i="1"/>
  <c r="AA35" i="1"/>
  <c r="X35" i="1"/>
  <c r="U35" i="1"/>
  <c r="AG34" i="1"/>
  <c r="X34" i="1"/>
  <c r="AA34" i="1"/>
  <c r="U34" i="1"/>
  <c r="P34" i="1"/>
  <c r="AD34" i="1"/>
  <c r="AG25" i="1"/>
  <c r="X25" i="1"/>
  <c r="Z22" i="3" s="1"/>
  <c r="U25" i="1"/>
  <c r="P25" i="1"/>
  <c r="AD25" i="1"/>
  <c r="AA25" i="1"/>
  <c r="AG27" i="1"/>
  <c r="AD27" i="1"/>
  <c r="AA27" i="1"/>
  <c r="X27" i="1"/>
  <c r="U27" i="1"/>
  <c r="P27" i="1"/>
  <c r="V22" i="3" l="1"/>
  <c r="X22" i="3"/>
  <c r="W22" i="3"/>
  <c r="Y22" i="3"/>
  <c r="AH35" i="1"/>
  <c r="AH34" i="1"/>
  <c r="AH25" i="1"/>
  <c r="AH27" i="1"/>
  <c r="E11" i="4"/>
  <c r="K267" i="1"/>
  <c r="M267" i="1" s="1"/>
  <c r="O267" i="1" s="1"/>
  <c r="E267" i="1"/>
  <c r="C267" i="1"/>
  <c r="K266" i="1"/>
  <c r="M266" i="1" s="1"/>
  <c r="O266" i="1" s="1"/>
  <c r="E266" i="1"/>
  <c r="C266" i="1"/>
  <c r="D16" i="35"/>
  <c r="F16" i="35" s="1"/>
  <c r="H16" i="35" s="1"/>
  <c r="J16" i="35" s="1"/>
  <c r="L16" i="35" s="1"/>
  <c r="N16" i="35" s="1"/>
  <c r="P16" i="35" s="1"/>
  <c r="Q16" i="35"/>
  <c r="V16" i="35"/>
  <c r="U16" i="35" s="1"/>
  <c r="T16" i="35" s="1"/>
  <c r="S16" i="35" s="1"/>
  <c r="D17" i="35"/>
  <c r="F17" i="35" s="1"/>
  <c r="H17" i="35" s="1"/>
  <c r="J17" i="35" s="1"/>
  <c r="L17" i="35" s="1"/>
  <c r="N17" i="35" s="1"/>
  <c r="P17" i="35" s="1"/>
  <c r="Q17" i="35"/>
  <c r="V17" i="35"/>
  <c r="U17" i="35" s="1"/>
  <c r="T17" i="35" s="1"/>
  <c r="S17" i="35" s="1"/>
  <c r="D18" i="35"/>
  <c r="F18" i="35" s="1"/>
  <c r="H18" i="35" s="1"/>
  <c r="J18" i="35" s="1"/>
  <c r="L18" i="35" s="1"/>
  <c r="N18" i="35" s="1"/>
  <c r="P18" i="35" s="1"/>
  <c r="Q18" i="35"/>
  <c r="V18" i="35"/>
  <c r="U18" i="35" s="1"/>
  <c r="T18" i="35" s="1"/>
  <c r="S18" i="35" s="1"/>
  <c r="D19" i="35"/>
  <c r="F19" i="35" s="1"/>
  <c r="H19" i="35" s="1"/>
  <c r="J19" i="35" s="1"/>
  <c r="L19" i="35" s="1"/>
  <c r="N19" i="35" s="1"/>
  <c r="P19" i="35" s="1"/>
  <c r="Q19" i="35"/>
  <c r="V19" i="35"/>
  <c r="U19" i="35" s="1"/>
  <c r="T19" i="35" s="1"/>
  <c r="S19" i="35" s="1"/>
  <c r="D20" i="35"/>
  <c r="F20" i="35" s="1"/>
  <c r="H20" i="35" s="1"/>
  <c r="J20" i="35" s="1"/>
  <c r="L20" i="35" s="1"/>
  <c r="N20" i="35" s="1"/>
  <c r="P20" i="35" s="1"/>
  <c r="Q20" i="35"/>
  <c r="V20" i="35"/>
  <c r="U20" i="35" s="1"/>
  <c r="T20" i="35" s="1"/>
  <c r="S20" i="35" s="1"/>
  <c r="D21" i="35"/>
  <c r="F21" i="35" s="1"/>
  <c r="H21" i="35" s="1"/>
  <c r="J21" i="35" s="1"/>
  <c r="L21" i="35" s="1"/>
  <c r="N21" i="35" s="1"/>
  <c r="P21" i="35" s="1"/>
  <c r="Q21" i="35"/>
  <c r="V21" i="35"/>
  <c r="U21" i="35" s="1"/>
  <c r="T21" i="35" s="1"/>
  <c r="S21" i="35" s="1"/>
  <c r="D22" i="35"/>
  <c r="F22" i="35" s="1"/>
  <c r="H22" i="35" s="1"/>
  <c r="J22" i="35" s="1"/>
  <c r="L22" i="35" s="1"/>
  <c r="N22" i="35" s="1"/>
  <c r="P22" i="35" s="1"/>
  <c r="Q22" i="35"/>
  <c r="V22" i="35"/>
  <c r="U22" i="35" s="1"/>
  <c r="T22" i="35" s="1"/>
  <c r="S22" i="35" s="1"/>
  <c r="D23" i="35"/>
  <c r="F23" i="35" s="1"/>
  <c r="H23" i="35" s="1"/>
  <c r="J23" i="35" s="1"/>
  <c r="L23" i="35" s="1"/>
  <c r="N23" i="35" s="1"/>
  <c r="P23" i="35" s="1"/>
  <c r="Q23" i="35"/>
  <c r="V23" i="35"/>
  <c r="U23" i="35" s="1"/>
  <c r="T23" i="35" s="1"/>
  <c r="S23" i="35" s="1"/>
  <c r="F24" i="35"/>
  <c r="H24" i="35" s="1"/>
  <c r="J24" i="35" s="1"/>
  <c r="L24" i="35" s="1"/>
  <c r="N24" i="35" s="1"/>
  <c r="P24" i="35" s="1"/>
  <c r="Q24" i="35"/>
  <c r="V24" i="35"/>
  <c r="U24" i="35" s="1"/>
  <c r="T24" i="35" s="1"/>
  <c r="S24" i="35" s="1"/>
  <c r="F25" i="35"/>
  <c r="H25" i="35" s="1"/>
  <c r="J25" i="35" s="1"/>
  <c r="L25" i="35" s="1"/>
  <c r="N25" i="35" s="1"/>
  <c r="P25" i="35" s="1"/>
  <c r="Q25" i="35"/>
  <c r="V25" i="35"/>
  <c r="U25" i="35" s="1"/>
  <c r="T25" i="35" s="1"/>
  <c r="S25" i="35" s="1"/>
  <c r="F26" i="35"/>
  <c r="H26" i="35" s="1"/>
  <c r="J26" i="35" s="1"/>
  <c r="L26" i="35" s="1"/>
  <c r="N26" i="35" s="1"/>
  <c r="P26" i="35" s="1"/>
  <c r="Q26" i="35"/>
  <c r="V26" i="35"/>
  <c r="U26" i="35" s="1"/>
  <c r="T26" i="35" s="1"/>
  <c r="S26" i="35" s="1"/>
  <c r="F27" i="35"/>
  <c r="H27" i="35" s="1"/>
  <c r="J27" i="35" s="1"/>
  <c r="K27" i="35"/>
  <c r="Q27" i="35" s="1"/>
  <c r="V27" i="35"/>
  <c r="U27" i="35" s="1"/>
  <c r="T27" i="35" s="1"/>
  <c r="S27" i="35" s="1"/>
  <c r="K28" i="35"/>
  <c r="D28" i="35" s="1"/>
  <c r="F28" i="35" s="1"/>
  <c r="H28" i="35" s="1"/>
  <c r="J28" i="35" s="1"/>
  <c r="L28" i="35" s="1"/>
  <c r="N28" i="35" s="1"/>
  <c r="P28" i="35" s="1"/>
  <c r="V28" i="35"/>
  <c r="U28" i="35" s="1"/>
  <c r="T28" i="35" s="1"/>
  <c r="S28" i="35" s="1"/>
  <c r="D29" i="35"/>
  <c r="F29" i="35" s="1"/>
  <c r="H29" i="35" s="1"/>
  <c r="J29" i="35" s="1"/>
  <c r="L29" i="35" s="1"/>
  <c r="N29" i="35" s="1"/>
  <c r="P29" i="35" s="1"/>
  <c r="Q29" i="35"/>
  <c r="V29" i="35"/>
  <c r="U29" i="35" s="1"/>
  <c r="T29" i="35" s="1"/>
  <c r="S29" i="35" s="1"/>
  <c r="D31" i="35"/>
  <c r="F31" i="35" s="1"/>
  <c r="H31" i="35" s="1"/>
  <c r="J31" i="35" s="1"/>
  <c r="L31" i="35" s="1"/>
  <c r="N31" i="35" s="1"/>
  <c r="P31" i="35" s="1"/>
  <c r="Q31" i="35"/>
  <c r="V31" i="35"/>
  <c r="U31" i="35" s="1"/>
  <c r="T31" i="35" s="1"/>
  <c r="S31" i="35" s="1"/>
  <c r="D32" i="35"/>
  <c r="F32" i="35" s="1"/>
  <c r="H32" i="35" s="1"/>
  <c r="J32" i="35" s="1"/>
  <c r="L32" i="35" s="1"/>
  <c r="N32" i="35" s="1"/>
  <c r="P32" i="35" s="1"/>
  <c r="Q32" i="35"/>
  <c r="V32" i="35"/>
  <c r="U32" i="35" s="1"/>
  <c r="T32" i="35" s="1"/>
  <c r="S32" i="35" s="1"/>
  <c r="D33" i="35"/>
  <c r="F33" i="35" s="1"/>
  <c r="H33" i="35" s="1"/>
  <c r="J33" i="35" s="1"/>
  <c r="L33" i="35" s="1"/>
  <c r="N33" i="35" s="1"/>
  <c r="P33" i="35" s="1"/>
  <c r="Q33" i="35"/>
  <c r="V33" i="35"/>
  <c r="U33" i="35" s="1"/>
  <c r="T33" i="35" s="1"/>
  <c r="S33" i="35" s="1"/>
  <c r="D35" i="35"/>
  <c r="F35" i="35" s="1"/>
  <c r="H35" i="35" s="1"/>
  <c r="J35" i="35" s="1"/>
  <c r="L35" i="35" s="1"/>
  <c r="N35" i="35" s="1"/>
  <c r="P35" i="35" s="1"/>
  <c r="Q35" i="35"/>
  <c r="V35" i="35"/>
  <c r="U35" i="35" s="1"/>
  <c r="T35" i="35" s="1"/>
  <c r="S35" i="35" s="1"/>
  <c r="D36" i="35"/>
  <c r="F36" i="35" s="1"/>
  <c r="H36" i="35" s="1"/>
  <c r="J36" i="35" s="1"/>
  <c r="L36" i="35" s="1"/>
  <c r="N36" i="35" s="1"/>
  <c r="P36" i="35" s="1"/>
  <c r="Q36" i="35"/>
  <c r="V36" i="35"/>
  <c r="U36" i="35" s="1"/>
  <c r="T36" i="35" s="1"/>
  <c r="S36" i="35" s="1"/>
  <c r="D38" i="35"/>
  <c r="F38" i="35" s="1"/>
  <c r="H38" i="35" s="1"/>
  <c r="J38" i="35" s="1"/>
  <c r="L38" i="35" s="1"/>
  <c r="N38" i="35" s="1"/>
  <c r="P38" i="35" s="1"/>
  <c r="Q38" i="35"/>
  <c r="V38" i="35"/>
  <c r="U38" i="35" s="1"/>
  <c r="T38" i="35" s="1"/>
  <c r="S38" i="35" s="1"/>
  <c r="D39" i="35"/>
  <c r="F39" i="35" s="1"/>
  <c r="H39" i="35" s="1"/>
  <c r="J39" i="35" s="1"/>
  <c r="L39" i="35" s="1"/>
  <c r="N39" i="35" s="1"/>
  <c r="P39" i="35" s="1"/>
  <c r="Q39" i="35"/>
  <c r="V39" i="35"/>
  <c r="U39" i="35" s="1"/>
  <c r="T39" i="35" s="1"/>
  <c r="S39" i="35" s="1"/>
  <c r="D40" i="35"/>
  <c r="F40" i="35" s="1"/>
  <c r="H40" i="35" s="1"/>
  <c r="J40" i="35" s="1"/>
  <c r="L40" i="35" s="1"/>
  <c r="N40" i="35" s="1"/>
  <c r="P40" i="35" s="1"/>
  <c r="Q40" i="35"/>
  <c r="V40" i="35"/>
  <c r="U40" i="35" s="1"/>
  <c r="T40" i="35" s="1"/>
  <c r="S40" i="35" s="1"/>
  <c r="D41" i="35"/>
  <c r="F41" i="35" s="1"/>
  <c r="H41" i="35" s="1"/>
  <c r="J41" i="35" s="1"/>
  <c r="L41" i="35" s="1"/>
  <c r="N41" i="35" s="1"/>
  <c r="P41" i="35" s="1"/>
  <c r="Q41" i="35"/>
  <c r="V41" i="35"/>
  <c r="U41" i="35" s="1"/>
  <c r="T41" i="35" s="1"/>
  <c r="S41" i="35" s="1"/>
  <c r="D42" i="35"/>
  <c r="F42" i="35" s="1"/>
  <c r="H42" i="35" s="1"/>
  <c r="J42" i="35" s="1"/>
  <c r="L42" i="35" s="1"/>
  <c r="N42" i="35" s="1"/>
  <c r="P42" i="35" s="1"/>
  <c r="Q42" i="35"/>
  <c r="V42" i="35"/>
  <c r="U42" i="35" s="1"/>
  <c r="T42" i="35" s="1"/>
  <c r="S42" i="35" s="1"/>
  <c r="D43" i="35"/>
  <c r="F43" i="35" s="1"/>
  <c r="H43" i="35" s="1"/>
  <c r="J43" i="35" s="1"/>
  <c r="L43" i="35" s="1"/>
  <c r="N43" i="35" s="1"/>
  <c r="P43" i="35" s="1"/>
  <c r="Q43" i="35"/>
  <c r="V43" i="35"/>
  <c r="U43" i="35" s="1"/>
  <c r="T43" i="35" s="1"/>
  <c r="S43" i="35" s="1"/>
  <c r="D44" i="35"/>
  <c r="F44" i="35" s="1"/>
  <c r="H44" i="35" s="1"/>
  <c r="J44" i="35" s="1"/>
  <c r="L44" i="35" s="1"/>
  <c r="N44" i="35" s="1"/>
  <c r="P44" i="35" s="1"/>
  <c r="Q44" i="35"/>
  <c r="V44" i="35"/>
  <c r="U44" i="35" s="1"/>
  <c r="T44" i="35" s="1"/>
  <c r="S44" i="35" s="1"/>
  <c r="D45" i="35"/>
  <c r="F45" i="35" s="1"/>
  <c r="H45" i="35" s="1"/>
  <c r="J45" i="35" s="1"/>
  <c r="L45" i="35" s="1"/>
  <c r="N45" i="35" s="1"/>
  <c r="P45" i="35" s="1"/>
  <c r="Q45" i="35"/>
  <c r="V45" i="35"/>
  <c r="U45" i="35" s="1"/>
  <c r="T45" i="35" s="1"/>
  <c r="S45" i="35" s="1"/>
  <c r="F46" i="35"/>
  <c r="H46" i="35" s="1"/>
  <c r="J46" i="35" s="1"/>
  <c r="L46" i="35" s="1"/>
  <c r="N46" i="35" s="1"/>
  <c r="P46" i="35" s="1"/>
  <c r="Q46" i="35"/>
  <c r="V46" i="35"/>
  <c r="U46" i="35" s="1"/>
  <c r="T46" i="35" s="1"/>
  <c r="S46" i="35" s="1"/>
  <c r="F47" i="35"/>
  <c r="H47" i="35" s="1"/>
  <c r="J47" i="35" s="1"/>
  <c r="L47" i="35" s="1"/>
  <c r="N47" i="35" s="1"/>
  <c r="P47" i="35" s="1"/>
  <c r="Q47" i="35"/>
  <c r="V47" i="35"/>
  <c r="U47" i="35" s="1"/>
  <c r="T47" i="35" s="1"/>
  <c r="S47" i="35" s="1"/>
  <c r="F48" i="35"/>
  <c r="H48" i="35" s="1"/>
  <c r="J48" i="35" s="1"/>
  <c r="L48" i="35" s="1"/>
  <c r="N48" i="35" s="1"/>
  <c r="P48" i="35" s="1"/>
  <c r="Q48" i="35"/>
  <c r="V48" i="35"/>
  <c r="U48" i="35" s="1"/>
  <c r="T48" i="35" s="1"/>
  <c r="S48" i="35" s="1"/>
  <c r="F49" i="35"/>
  <c r="H49" i="35" s="1"/>
  <c r="J49" i="35" s="1"/>
  <c r="L49" i="35" s="1"/>
  <c r="N49" i="35" s="1"/>
  <c r="P49" i="35" s="1"/>
  <c r="Q49" i="35"/>
  <c r="V49" i="35"/>
  <c r="U49" i="35" s="1"/>
  <c r="T49" i="35" s="1"/>
  <c r="S49" i="35" s="1"/>
  <c r="D50" i="35"/>
  <c r="F50" i="35" s="1"/>
  <c r="H50" i="35" s="1"/>
  <c r="J50" i="35" s="1"/>
  <c r="L50" i="35" s="1"/>
  <c r="N50" i="35" s="1"/>
  <c r="P50" i="35" s="1"/>
  <c r="Q50" i="35"/>
  <c r="V50" i="35"/>
  <c r="U50" i="35" s="1"/>
  <c r="T50" i="35" s="1"/>
  <c r="S50" i="35" s="1"/>
  <c r="D51" i="35"/>
  <c r="F51" i="35" s="1"/>
  <c r="H51" i="35" s="1"/>
  <c r="J51" i="35" s="1"/>
  <c r="L51" i="35" s="1"/>
  <c r="N51" i="35" s="1"/>
  <c r="P51" i="35" s="1"/>
  <c r="Q51" i="35"/>
  <c r="V51" i="35"/>
  <c r="U51" i="35" s="1"/>
  <c r="T51" i="35" s="1"/>
  <c r="S51" i="35" s="1"/>
  <c r="D52" i="35"/>
  <c r="F52" i="35" s="1"/>
  <c r="H52" i="35" s="1"/>
  <c r="J52" i="35" s="1"/>
  <c r="L52" i="35" s="1"/>
  <c r="N52" i="35" s="1"/>
  <c r="P52" i="35" s="1"/>
  <c r="Q52" i="35"/>
  <c r="V52" i="35"/>
  <c r="U52" i="35" s="1"/>
  <c r="T52" i="35" s="1"/>
  <c r="S52" i="35" s="1"/>
  <c r="D53" i="35"/>
  <c r="F53" i="35" s="1"/>
  <c r="H53" i="35" s="1"/>
  <c r="J53" i="35" s="1"/>
  <c r="L53" i="35" s="1"/>
  <c r="N53" i="35" s="1"/>
  <c r="P53" i="35" s="1"/>
  <c r="Q53" i="35"/>
  <c r="V53" i="35"/>
  <c r="U53" i="35" s="1"/>
  <c r="T53" i="35" s="1"/>
  <c r="S53" i="35" s="1"/>
  <c r="D54" i="35"/>
  <c r="F54" i="35" s="1"/>
  <c r="H54" i="35" s="1"/>
  <c r="J54" i="35" s="1"/>
  <c r="L54" i="35" s="1"/>
  <c r="N54" i="35" s="1"/>
  <c r="P54" i="35" s="1"/>
  <c r="Q54" i="35"/>
  <c r="V54" i="35"/>
  <c r="U54" i="35" s="1"/>
  <c r="T54" i="35" s="1"/>
  <c r="S54" i="35" s="1"/>
  <c r="D55" i="35"/>
  <c r="F55" i="35" s="1"/>
  <c r="H55" i="35" s="1"/>
  <c r="J55" i="35" s="1"/>
  <c r="L55" i="35" s="1"/>
  <c r="N55" i="35" s="1"/>
  <c r="P55" i="35" s="1"/>
  <c r="Q55" i="35"/>
  <c r="V55" i="35"/>
  <c r="U55" i="35" s="1"/>
  <c r="T55" i="35" s="1"/>
  <c r="S55" i="35" s="1"/>
  <c r="D56" i="35"/>
  <c r="F56" i="35" s="1"/>
  <c r="H56" i="35" s="1"/>
  <c r="J56" i="35" s="1"/>
  <c r="L56" i="35" s="1"/>
  <c r="N56" i="35" s="1"/>
  <c r="P56" i="35" s="1"/>
  <c r="Q56" i="35"/>
  <c r="V56" i="35"/>
  <c r="U56" i="35" s="1"/>
  <c r="T56" i="35" s="1"/>
  <c r="S56" i="35" s="1"/>
  <c r="D57" i="35"/>
  <c r="F57" i="35" s="1"/>
  <c r="H57" i="35" s="1"/>
  <c r="J57" i="35" s="1"/>
  <c r="L57" i="35" s="1"/>
  <c r="N57" i="35" s="1"/>
  <c r="P57" i="35" s="1"/>
  <c r="Q57" i="35"/>
  <c r="V57" i="35"/>
  <c r="U57" i="35" s="1"/>
  <c r="T57" i="35" s="1"/>
  <c r="S57" i="35" s="1"/>
  <c r="D58" i="35"/>
  <c r="F58" i="35" s="1"/>
  <c r="H58" i="35" s="1"/>
  <c r="J58" i="35" s="1"/>
  <c r="L58" i="35" s="1"/>
  <c r="N58" i="35" s="1"/>
  <c r="P58" i="35" s="1"/>
  <c r="Q58" i="35"/>
  <c r="V58" i="35"/>
  <c r="U58" i="35" s="1"/>
  <c r="T58" i="35" s="1"/>
  <c r="S58" i="35" s="1"/>
  <c r="D59" i="35"/>
  <c r="F59" i="35" s="1"/>
  <c r="H59" i="35" s="1"/>
  <c r="J59" i="35" s="1"/>
  <c r="L59" i="35" s="1"/>
  <c r="N59" i="35" s="1"/>
  <c r="P59" i="35" s="1"/>
  <c r="Q59" i="35"/>
  <c r="V59" i="35"/>
  <c r="U59" i="35" s="1"/>
  <c r="T59" i="35" s="1"/>
  <c r="S59" i="35" s="1"/>
  <c r="D60" i="35"/>
  <c r="F60" i="35" s="1"/>
  <c r="H60" i="35" s="1"/>
  <c r="J60" i="35" s="1"/>
  <c r="L60" i="35" s="1"/>
  <c r="N60" i="35" s="1"/>
  <c r="P60" i="35" s="1"/>
  <c r="Q60" i="35"/>
  <c r="V60" i="35"/>
  <c r="U60" i="35" s="1"/>
  <c r="T60" i="35" s="1"/>
  <c r="S60" i="35" s="1"/>
  <c r="D61" i="35"/>
  <c r="F61" i="35" s="1"/>
  <c r="H61" i="35" s="1"/>
  <c r="J61" i="35" s="1"/>
  <c r="L61" i="35" s="1"/>
  <c r="N61" i="35" s="1"/>
  <c r="P61" i="35" s="1"/>
  <c r="Q61" i="35"/>
  <c r="V61" i="35"/>
  <c r="U61" i="35" s="1"/>
  <c r="T61" i="35" s="1"/>
  <c r="S61" i="35" s="1"/>
  <c r="D62" i="35"/>
  <c r="F62" i="35" s="1"/>
  <c r="H62" i="35" s="1"/>
  <c r="J62" i="35" s="1"/>
  <c r="L62" i="35" s="1"/>
  <c r="N62" i="35" s="1"/>
  <c r="P62" i="35" s="1"/>
  <c r="Q62" i="35"/>
  <c r="V62" i="35"/>
  <c r="U62" i="35" s="1"/>
  <c r="T62" i="35" s="1"/>
  <c r="S62" i="35" s="1"/>
  <c r="D63" i="35"/>
  <c r="F63" i="35" s="1"/>
  <c r="H63" i="35" s="1"/>
  <c r="J63" i="35" s="1"/>
  <c r="L63" i="35" s="1"/>
  <c r="N63" i="35" s="1"/>
  <c r="P63" i="35" s="1"/>
  <c r="Q63" i="35"/>
  <c r="V63" i="35"/>
  <c r="U63" i="35" s="1"/>
  <c r="T63" i="35" s="1"/>
  <c r="S63" i="35" s="1"/>
  <c r="D64" i="35"/>
  <c r="F64" i="35" s="1"/>
  <c r="H64" i="35" s="1"/>
  <c r="J64" i="35" s="1"/>
  <c r="L64" i="35" s="1"/>
  <c r="N64" i="35" s="1"/>
  <c r="P64" i="35" s="1"/>
  <c r="Q64" i="35"/>
  <c r="V64" i="35"/>
  <c r="U64" i="35" s="1"/>
  <c r="T64" i="35" s="1"/>
  <c r="S64" i="35" s="1"/>
  <c r="D65" i="35"/>
  <c r="F65" i="35" s="1"/>
  <c r="H65" i="35" s="1"/>
  <c r="J65" i="35" s="1"/>
  <c r="L65" i="35" s="1"/>
  <c r="N65" i="35" s="1"/>
  <c r="P65" i="35" s="1"/>
  <c r="Q65" i="35"/>
  <c r="V65" i="35"/>
  <c r="U65" i="35" s="1"/>
  <c r="T65" i="35" s="1"/>
  <c r="S65" i="35" s="1"/>
  <c r="F66" i="35"/>
  <c r="H66" i="35" s="1"/>
  <c r="J66" i="35" s="1"/>
  <c r="L66" i="35" s="1"/>
  <c r="N66" i="35" s="1"/>
  <c r="P66" i="35" s="1"/>
  <c r="Q66" i="35"/>
  <c r="V66" i="35"/>
  <c r="U66" i="35" s="1"/>
  <c r="T66" i="35" s="1"/>
  <c r="S66" i="35" s="1"/>
  <c r="D68" i="35"/>
  <c r="F68" i="35" s="1"/>
  <c r="H68" i="35" s="1"/>
  <c r="J68" i="35" s="1"/>
  <c r="L68" i="35" s="1"/>
  <c r="N68" i="35" s="1"/>
  <c r="P68" i="35" s="1"/>
  <c r="Q68" i="35"/>
  <c r="V68" i="35"/>
  <c r="U68" i="35" s="1"/>
  <c r="T68" i="35" s="1"/>
  <c r="S68" i="35" s="1"/>
  <c r="D69" i="35"/>
  <c r="F69" i="35" s="1"/>
  <c r="H69" i="35" s="1"/>
  <c r="J69" i="35" s="1"/>
  <c r="L69" i="35" s="1"/>
  <c r="N69" i="35" s="1"/>
  <c r="P69" i="35" s="1"/>
  <c r="Q69" i="35"/>
  <c r="V69" i="35"/>
  <c r="U69" i="35" s="1"/>
  <c r="T69" i="35" s="1"/>
  <c r="S69" i="35" s="1"/>
  <c r="D70" i="35"/>
  <c r="F70" i="35" s="1"/>
  <c r="H70" i="35" s="1"/>
  <c r="J70" i="35" s="1"/>
  <c r="L70" i="35" s="1"/>
  <c r="N70" i="35" s="1"/>
  <c r="P70" i="35" s="1"/>
  <c r="Q70" i="35"/>
  <c r="V70" i="35"/>
  <c r="U70" i="35" s="1"/>
  <c r="T70" i="35" s="1"/>
  <c r="S70" i="35" s="1"/>
  <c r="D71" i="35"/>
  <c r="F71" i="35" s="1"/>
  <c r="H71" i="35" s="1"/>
  <c r="J71" i="35" s="1"/>
  <c r="L71" i="35" s="1"/>
  <c r="N71" i="35" s="1"/>
  <c r="P71" i="35" s="1"/>
  <c r="Q71" i="35"/>
  <c r="V71" i="35"/>
  <c r="U71" i="35" s="1"/>
  <c r="T71" i="35" s="1"/>
  <c r="S71" i="35" s="1"/>
  <c r="D72" i="35"/>
  <c r="F72" i="35" s="1"/>
  <c r="H72" i="35" s="1"/>
  <c r="J72" i="35" s="1"/>
  <c r="L72" i="35" s="1"/>
  <c r="N72" i="35" s="1"/>
  <c r="P72" i="35" s="1"/>
  <c r="Q72" i="35"/>
  <c r="V72" i="35"/>
  <c r="U72" i="35" s="1"/>
  <c r="T72" i="35" s="1"/>
  <c r="S72" i="35" s="1"/>
  <c r="D73" i="35"/>
  <c r="F73" i="35" s="1"/>
  <c r="H73" i="35" s="1"/>
  <c r="J73" i="35" s="1"/>
  <c r="L73" i="35" s="1"/>
  <c r="N73" i="35" s="1"/>
  <c r="P73" i="35" s="1"/>
  <c r="Q73" i="35"/>
  <c r="V73" i="35"/>
  <c r="U73" i="35" s="1"/>
  <c r="T73" i="35" s="1"/>
  <c r="S73" i="35" s="1"/>
  <c r="D74" i="35"/>
  <c r="F74" i="35" s="1"/>
  <c r="H74" i="35" s="1"/>
  <c r="J74" i="35" s="1"/>
  <c r="L74" i="35" s="1"/>
  <c r="N74" i="35" s="1"/>
  <c r="P74" i="35" s="1"/>
  <c r="Q74" i="35"/>
  <c r="V74" i="35"/>
  <c r="U74" i="35" s="1"/>
  <c r="T74" i="35" s="1"/>
  <c r="S74" i="35" s="1"/>
  <c r="D75" i="35"/>
  <c r="F75" i="35" s="1"/>
  <c r="H75" i="35" s="1"/>
  <c r="J75" i="35" s="1"/>
  <c r="L75" i="35" s="1"/>
  <c r="N75" i="35" s="1"/>
  <c r="P75" i="35" s="1"/>
  <c r="Q75" i="35"/>
  <c r="V75" i="35"/>
  <c r="U75" i="35" s="1"/>
  <c r="T75" i="35" s="1"/>
  <c r="S75" i="35" s="1"/>
  <c r="D76" i="35"/>
  <c r="F76" i="35" s="1"/>
  <c r="H76" i="35" s="1"/>
  <c r="J76" i="35" s="1"/>
  <c r="L76" i="35" s="1"/>
  <c r="N76" i="35" s="1"/>
  <c r="P76" i="35" s="1"/>
  <c r="Q76" i="35"/>
  <c r="V76" i="35"/>
  <c r="U76" i="35" s="1"/>
  <c r="T76" i="35" s="1"/>
  <c r="S76" i="35" s="1"/>
  <c r="D77" i="35"/>
  <c r="F77" i="35" s="1"/>
  <c r="H77" i="35" s="1"/>
  <c r="J77" i="35" s="1"/>
  <c r="L77" i="35" s="1"/>
  <c r="N77" i="35" s="1"/>
  <c r="P77" i="35" s="1"/>
  <c r="Q77" i="35"/>
  <c r="V77" i="35"/>
  <c r="U77" i="35" s="1"/>
  <c r="T77" i="35" s="1"/>
  <c r="S77" i="35" s="1"/>
  <c r="D78" i="35"/>
  <c r="F78" i="35" s="1"/>
  <c r="H78" i="35" s="1"/>
  <c r="J78" i="35" s="1"/>
  <c r="L78" i="35" s="1"/>
  <c r="N78" i="35" s="1"/>
  <c r="P78" i="35" s="1"/>
  <c r="Q78" i="35"/>
  <c r="V78" i="35"/>
  <c r="U78" i="35" s="1"/>
  <c r="T78" i="35" s="1"/>
  <c r="S78" i="35" s="1"/>
  <c r="D79" i="35"/>
  <c r="F79" i="35" s="1"/>
  <c r="H79" i="35" s="1"/>
  <c r="J79" i="35" s="1"/>
  <c r="L79" i="35" s="1"/>
  <c r="N79" i="35" s="1"/>
  <c r="P79" i="35" s="1"/>
  <c r="Q79" i="35"/>
  <c r="V79" i="35"/>
  <c r="U79" i="35" s="1"/>
  <c r="T79" i="35" s="1"/>
  <c r="S79" i="35" s="1"/>
  <c r="D80" i="35"/>
  <c r="F80" i="35" s="1"/>
  <c r="H80" i="35" s="1"/>
  <c r="J80" i="35" s="1"/>
  <c r="L80" i="35" s="1"/>
  <c r="N80" i="35" s="1"/>
  <c r="P80" i="35" s="1"/>
  <c r="Q80" i="35"/>
  <c r="V80" i="35"/>
  <c r="U80" i="35" s="1"/>
  <c r="T80" i="35" s="1"/>
  <c r="S80" i="35" s="1"/>
  <c r="D81" i="35"/>
  <c r="F81" i="35" s="1"/>
  <c r="H81" i="35" s="1"/>
  <c r="J81" i="35" s="1"/>
  <c r="L81" i="35" s="1"/>
  <c r="N81" i="35" s="1"/>
  <c r="P81" i="35" s="1"/>
  <c r="Q81" i="35"/>
  <c r="V81" i="35"/>
  <c r="U81" i="35" s="1"/>
  <c r="T81" i="35" s="1"/>
  <c r="S81" i="35" s="1"/>
  <c r="D82" i="35"/>
  <c r="F82" i="35" s="1"/>
  <c r="H82" i="35" s="1"/>
  <c r="J82" i="35" s="1"/>
  <c r="L82" i="35" s="1"/>
  <c r="N82" i="35" s="1"/>
  <c r="P82" i="35" s="1"/>
  <c r="Q82" i="35"/>
  <c r="V82" i="35"/>
  <c r="U82" i="35" s="1"/>
  <c r="T82" i="35" s="1"/>
  <c r="S82" i="35" s="1"/>
  <c r="D83" i="35"/>
  <c r="F83" i="35" s="1"/>
  <c r="H83" i="35" s="1"/>
  <c r="J83" i="35" s="1"/>
  <c r="L83" i="35" s="1"/>
  <c r="N83" i="35" s="1"/>
  <c r="P83" i="35" s="1"/>
  <c r="Q83" i="35"/>
  <c r="V83" i="35"/>
  <c r="U83" i="35" s="1"/>
  <c r="T83" i="35" s="1"/>
  <c r="S83" i="35" s="1"/>
  <c r="D84" i="35"/>
  <c r="F84" i="35" s="1"/>
  <c r="H84" i="35" s="1"/>
  <c r="J84" i="35" s="1"/>
  <c r="L84" i="35" s="1"/>
  <c r="N84" i="35" s="1"/>
  <c r="P84" i="35" s="1"/>
  <c r="Q84" i="35"/>
  <c r="V84" i="35"/>
  <c r="U84" i="35" s="1"/>
  <c r="T84" i="35" s="1"/>
  <c r="S84" i="35" s="1"/>
  <c r="D85" i="35"/>
  <c r="F85" i="35" s="1"/>
  <c r="H85" i="35" s="1"/>
  <c r="J85" i="35" s="1"/>
  <c r="L85" i="35" s="1"/>
  <c r="N85" i="35" s="1"/>
  <c r="P85" i="35" s="1"/>
  <c r="Q85" i="35"/>
  <c r="V85" i="35"/>
  <c r="U85" i="35" s="1"/>
  <c r="T85" i="35" s="1"/>
  <c r="S85" i="35" s="1"/>
  <c r="D86" i="35"/>
  <c r="F86" i="35" s="1"/>
  <c r="H86" i="35" s="1"/>
  <c r="J86" i="35" s="1"/>
  <c r="L86" i="35" s="1"/>
  <c r="N86" i="35" s="1"/>
  <c r="P86" i="35" s="1"/>
  <c r="Q86" i="35"/>
  <c r="V86" i="35"/>
  <c r="U86" i="35" s="1"/>
  <c r="T86" i="35" s="1"/>
  <c r="S86" i="35" s="1"/>
  <c r="D87" i="35"/>
  <c r="F87" i="35" s="1"/>
  <c r="H87" i="35" s="1"/>
  <c r="J87" i="35" s="1"/>
  <c r="L87" i="35" s="1"/>
  <c r="N87" i="35" s="1"/>
  <c r="P87" i="35" s="1"/>
  <c r="Q87" i="35"/>
  <c r="V87" i="35"/>
  <c r="U87" i="35" s="1"/>
  <c r="T87" i="35" s="1"/>
  <c r="S87" i="35" s="1"/>
  <c r="D88" i="35"/>
  <c r="F88" i="35" s="1"/>
  <c r="H88" i="35" s="1"/>
  <c r="J88" i="35" s="1"/>
  <c r="L88" i="35" s="1"/>
  <c r="N88" i="35" s="1"/>
  <c r="P88" i="35" s="1"/>
  <c r="Q88" i="35"/>
  <c r="V88" i="35"/>
  <c r="U88" i="35" s="1"/>
  <c r="T88" i="35" s="1"/>
  <c r="S88" i="35" s="1"/>
  <c r="D89" i="35"/>
  <c r="F89" i="35" s="1"/>
  <c r="H89" i="35" s="1"/>
  <c r="J89" i="35" s="1"/>
  <c r="L89" i="35" s="1"/>
  <c r="N89" i="35" s="1"/>
  <c r="P89" i="35" s="1"/>
  <c r="Q89" i="35"/>
  <c r="V89" i="35"/>
  <c r="U89" i="35" s="1"/>
  <c r="T89" i="35" s="1"/>
  <c r="S89" i="35" s="1"/>
  <c r="D90" i="35"/>
  <c r="F90" i="35" s="1"/>
  <c r="H90" i="35" s="1"/>
  <c r="J90" i="35" s="1"/>
  <c r="L90" i="35" s="1"/>
  <c r="N90" i="35" s="1"/>
  <c r="P90" i="35" s="1"/>
  <c r="Q90" i="35"/>
  <c r="V90" i="35"/>
  <c r="U90" i="35" s="1"/>
  <c r="T90" i="35" s="1"/>
  <c r="S90" i="35" s="1"/>
  <c r="D91" i="35"/>
  <c r="F91" i="35" s="1"/>
  <c r="H91" i="35" s="1"/>
  <c r="J91" i="35" s="1"/>
  <c r="L91" i="35" s="1"/>
  <c r="N91" i="35" s="1"/>
  <c r="P91" i="35" s="1"/>
  <c r="Q91" i="35"/>
  <c r="V91" i="35"/>
  <c r="U91" i="35" s="1"/>
  <c r="T91" i="35" s="1"/>
  <c r="S91" i="35" s="1"/>
  <c r="D92" i="35"/>
  <c r="F92" i="35" s="1"/>
  <c r="H92" i="35" s="1"/>
  <c r="J92" i="35" s="1"/>
  <c r="L92" i="35" s="1"/>
  <c r="N92" i="35" s="1"/>
  <c r="P92" i="35" s="1"/>
  <c r="Q92" i="35"/>
  <c r="V92" i="35"/>
  <c r="U92" i="35" s="1"/>
  <c r="T92" i="35" s="1"/>
  <c r="S92" i="35" s="1"/>
  <c r="D93" i="35"/>
  <c r="F93" i="35" s="1"/>
  <c r="H93" i="35" s="1"/>
  <c r="J93" i="35" s="1"/>
  <c r="L93" i="35" s="1"/>
  <c r="N93" i="35" s="1"/>
  <c r="P93" i="35" s="1"/>
  <c r="Q93" i="35"/>
  <c r="V93" i="35"/>
  <c r="U93" i="35" s="1"/>
  <c r="T93" i="35" s="1"/>
  <c r="S93" i="35" s="1"/>
  <c r="D94" i="35"/>
  <c r="F94" i="35" s="1"/>
  <c r="H94" i="35" s="1"/>
  <c r="J94" i="35" s="1"/>
  <c r="L94" i="35" s="1"/>
  <c r="N94" i="35" s="1"/>
  <c r="P94" i="35" s="1"/>
  <c r="Q94" i="35"/>
  <c r="V94" i="35"/>
  <c r="U94" i="35" s="1"/>
  <c r="T94" i="35" s="1"/>
  <c r="S94" i="35" s="1"/>
  <c r="D95" i="35"/>
  <c r="F95" i="35" s="1"/>
  <c r="H95" i="35" s="1"/>
  <c r="J95" i="35" s="1"/>
  <c r="L95" i="35" s="1"/>
  <c r="N95" i="35" s="1"/>
  <c r="P95" i="35" s="1"/>
  <c r="Q95" i="35"/>
  <c r="V95" i="35"/>
  <c r="U95" i="35" s="1"/>
  <c r="T95" i="35" s="1"/>
  <c r="S95" i="35" s="1"/>
  <c r="D96" i="35"/>
  <c r="F96" i="35" s="1"/>
  <c r="H96" i="35" s="1"/>
  <c r="J96" i="35" s="1"/>
  <c r="L96" i="35" s="1"/>
  <c r="N96" i="35" s="1"/>
  <c r="P96" i="35" s="1"/>
  <c r="Q96" i="35"/>
  <c r="V96" i="35"/>
  <c r="U96" i="35" s="1"/>
  <c r="T96" i="35" s="1"/>
  <c r="S96" i="35" s="1"/>
  <c r="D97" i="35"/>
  <c r="F97" i="35" s="1"/>
  <c r="H97" i="35" s="1"/>
  <c r="J97" i="35" s="1"/>
  <c r="L97" i="35" s="1"/>
  <c r="N97" i="35" s="1"/>
  <c r="P97" i="35" s="1"/>
  <c r="Q97" i="35"/>
  <c r="V97" i="35"/>
  <c r="U97" i="35" s="1"/>
  <c r="T97" i="35" s="1"/>
  <c r="S97" i="35" s="1"/>
  <c r="D98" i="35"/>
  <c r="F98" i="35" s="1"/>
  <c r="H98" i="35" s="1"/>
  <c r="J98" i="35" s="1"/>
  <c r="L98" i="35" s="1"/>
  <c r="N98" i="35" s="1"/>
  <c r="P98" i="35" s="1"/>
  <c r="Q98" i="35"/>
  <c r="V98" i="35"/>
  <c r="U98" i="35" s="1"/>
  <c r="T98" i="35" s="1"/>
  <c r="S98" i="35" s="1"/>
  <c r="D99" i="35"/>
  <c r="F99" i="35" s="1"/>
  <c r="H99" i="35" s="1"/>
  <c r="J99" i="35" s="1"/>
  <c r="L99" i="35" s="1"/>
  <c r="N99" i="35" s="1"/>
  <c r="P99" i="35" s="1"/>
  <c r="Q99" i="35"/>
  <c r="V99" i="35"/>
  <c r="U99" i="35" s="1"/>
  <c r="T99" i="35" s="1"/>
  <c r="S99" i="35" s="1"/>
  <c r="D100" i="35"/>
  <c r="F100" i="35" s="1"/>
  <c r="H100" i="35" s="1"/>
  <c r="J100" i="35" s="1"/>
  <c r="L100" i="35" s="1"/>
  <c r="N100" i="35" s="1"/>
  <c r="P100" i="35" s="1"/>
  <c r="Q100" i="35"/>
  <c r="V100" i="35"/>
  <c r="U100" i="35" s="1"/>
  <c r="T100" i="35" s="1"/>
  <c r="S100" i="35" s="1"/>
  <c r="D101" i="35"/>
  <c r="F101" i="35" s="1"/>
  <c r="H101" i="35" s="1"/>
  <c r="J101" i="35" s="1"/>
  <c r="L101" i="35" s="1"/>
  <c r="N101" i="35" s="1"/>
  <c r="P101" i="35" s="1"/>
  <c r="Q101" i="35"/>
  <c r="V101" i="35"/>
  <c r="U101" i="35" s="1"/>
  <c r="T101" i="35" s="1"/>
  <c r="S101" i="35" s="1"/>
  <c r="D102" i="35"/>
  <c r="F102" i="35" s="1"/>
  <c r="H102" i="35" s="1"/>
  <c r="J102" i="35" s="1"/>
  <c r="L102" i="35" s="1"/>
  <c r="N102" i="35" s="1"/>
  <c r="P102" i="35" s="1"/>
  <c r="Q102" i="35"/>
  <c r="V102" i="35"/>
  <c r="U102" i="35" s="1"/>
  <c r="T102" i="35" s="1"/>
  <c r="S102" i="35" s="1"/>
  <c r="D103" i="35"/>
  <c r="F103" i="35" s="1"/>
  <c r="H103" i="35" s="1"/>
  <c r="J103" i="35" s="1"/>
  <c r="L103" i="35" s="1"/>
  <c r="N103" i="35" s="1"/>
  <c r="P103" i="35" s="1"/>
  <c r="Q103" i="35"/>
  <c r="V103" i="35"/>
  <c r="U103" i="35" s="1"/>
  <c r="T103" i="35" s="1"/>
  <c r="S103" i="35" s="1"/>
  <c r="D104" i="35"/>
  <c r="F104" i="35" s="1"/>
  <c r="H104" i="35" s="1"/>
  <c r="J104" i="35" s="1"/>
  <c r="L104" i="35" s="1"/>
  <c r="N104" i="35" s="1"/>
  <c r="P104" i="35" s="1"/>
  <c r="Q104" i="35"/>
  <c r="V104" i="35"/>
  <c r="U104" i="35" s="1"/>
  <c r="T104" i="35" s="1"/>
  <c r="S104" i="35" s="1"/>
  <c r="D105" i="35"/>
  <c r="F105" i="35" s="1"/>
  <c r="H105" i="35" s="1"/>
  <c r="J105" i="35" s="1"/>
  <c r="L105" i="35" s="1"/>
  <c r="N105" i="35" s="1"/>
  <c r="P105" i="35" s="1"/>
  <c r="Q105" i="35"/>
  <c r="V105" i="35"/>
  <c r="U105" i="35" s="1"/>
  <c r="T105" i="35" s="1"/>
  <c r="S105" i="35" s="1"/>
  <c r="D106" i="35"/>
  <c r="F106" i="35" s="1"/>
  <c r="H106" i="35" s="1"/>
  <c r="J106" i="35" s="1"/>
  <c r="L106" i="35" s="1"/>
  <c r="N106" i="35" s="1"/>
  <c r="P106" i="35" s="1"/>
  <c r="Q106" i="35"/>
  <c r="V106" i="35"/>
  <c r="U106" i="35" s="1"/>
  <c r="T106" i="35" s="1"/>
  <c r="S106" i="35" s="1"/>
  <c r="D108" i="35"/>
  <c r="F108" i="35" s="1"/>
  <c r="H108" i="35" s="1"/>
  <c r="J108" i="35" s="1"/>
  <c r="L108" i="35" s="1"/>
  <c r="N108" i="35" s="1"/>
  <c r="P108" i="35" s="1"/>
  <c r="Q108" i="35"/>
  <c r="V108" i="35"/>
  <c r="U108" i="35" s="1"/>
  <c r="T108" i="35" s="1"/>
  <c r="S108" i="35" s="1"/>
  <c r="D109" i="35"/>
  <c r="F109" i="35" s="1"/>
  <c r="H109" i="35" s="1"/>
  <c r="J109" i="35" s="1"/>
  <c r="L109" i="35" s="1"/>
  <c r="N109" i="35" s="1"/>
  <c r="P109" i="35" s="1"/>
  <c r="Q109" i="35"/>
  <c r="V109" i="35"/>
  <c r="U109" i="35" s="1"/>
  <c r="T109" i="35" s="1"/>
  <c r="S109" i="35" s="1"/>
  <c r="D110" i="35"/>
  <c r="F110" i="35" s="1"/>
  <c r="H110" i="35" s="1"/>
  <c r="J110" i="35" s="1"/>
  <c r="L110" i="35" s="1"/>
  <c r="N110" i="35" s="1"/>
  <c r="P110" i="35" s="1"/>
  <c r="Q110" i="35"/>
  <c r="V110" i="35"/>
  <c r="U110" i="35" s="1"/>
  <c r="T110" i="35" s="1"/>
  <c r="S110" i="35" s="1"/>
  <c r="D111" i="35"/>
  <c r="F111" i="35" s="1"/>
  <c r="H111" i="35" s="1"/>
  <c r="J111" i="35" s="1"/>
  <c r="L111" i="35" s="1"/>
  <c r="N111" i="35" s="1"/>
  <c r="P111" i="35" s="1"/>
  <c r="Q111" i="35"/>
  <c r="V111" i="35"/>
  <c r="U111" i="35" s="1"/>
  <c r="T111" i="35" s="1"/>
  <c r="S111" i="35" s="1"/>
  <c r="D112" i="35"/>
  <c r="F112" i="35" s="1"/>
  <c r="H112" i="35" s="1"/>
  <c r="J112" i="35" s="1"/>
  <c r="L112" i="35" s="1"/>
  <c r="N112" i="35" s="1"/>
  <c r="P112" i="35" s="1"/>
  <c r="Q112" i="35"/>
  <c r="V112" i="35"/>
  <c r="U112" i="35" s="1"/>
  <c r="T112" i="35" s="1"/>
  <c r="S112" i="35" s="1"/>
  <c r="D113" i="35"/>
  <c r="F113" i="35" s="1"/>
  <c r="H113" i="35" s="1"/>
  <c r="J113" i="35" s="1"/>
  <c r="L113" i="35" s="1"/>
  <c r="N113" i="35" s="1"/>
  <c r="P113" i="35" s="1"/>
  <c r="Q113" i="35"/>
  <c r="V113" i="35"/>
  <c r="U113" i="35" s="1"/>
  <c r="T113" i="35" s="1"/>
  <c r="S113" i="35" s="1"/>
  <c r="D114" i="35"/>
  <c r="F114" i="35" s="1"/>
  <c r="H114" i="35" s="1"/>
  <c r="J114" i="35" s="1"/>
  <c r="L114" i="35" s="1"/>
  <c r="N114" i="35" s="1"/>
  <c r="P114" i="35" s="1"/>
  <c r="Q114" i="35"/>
  <c r="V114" i="35"/>
  <c r="U114" i="35" s="1"/>
  <c r="T114" i="35" s="1"/>
  <c r="S114" i="35" s="1"/>
  <c r="D115" i="35"/>
  <c r="F115" i="35" s="1"/>
  <c r="H115" i="35" s="1"/>
  <c r="J115" i="35" s="1"/>
  <c r="L115" i="35" s="1"/>
  <c r="N115" i="35" s="1"/>
  <c r="P115" i="35" s="1"/>
  <c r="Q115" i="35"/>
  <c r="V115" i="35"/>
  <c r="U115" i="35" s="1"/>
  <c r="T115" i="35" s="1"/>
  <c r="S115" i="35" s="1"/>
  <c r="D116" i="35"/>
  <c r="F116" i="35" s="1"/>
  <c r="H116" i="35" s="1"/>
  <c r="J116" i="35" s="1"/>
  <c r="L116" i="35" s="1"/>
  <c r="N116" i="35" s="1"/>
  <c r="P116" i="35" s="1"/>
  <c r="Q116" i="35"/>
  <c r="V116" i="35"/>
  <c r="U116" i="35" s="1"/>
  <c r="T116" i="35" s="1"/>
  <c r="S116" i="35" s="1"/>
  <c r="D117" i="35"/>
  <c r="F117" i="35" s="1"/>
  <c r="H117" i="35" s="1"/>
  <c r="J117" i="35" s="1"/>
  <c r="L117" i="35" s="1"/>
  <c r="N117" i="35" s="1"/>
  <c r="P117" i="35" s="1"/>
  <c r="Q117" i="35"/>
  <c r="V117" i="35"/>
  <c r="U117" i="35" s="1"/>
  <c r="T117" i="35" s="1"/>
  <c r="S117" i="35" s="1"/>
  <c r="D118" i="35"/>
  <c r="F118" i="35" s="1"/>
  <c r="H118" i="35" s="1"/>
  <c r="J118" i="35" s="1"/>
  <c r="L118" i="35" s="1"/>
  <c r="N118" i="35" s="1"/>
  <c r="P118" i="35" s="1"/>
  <c r="Q118" i="35"/>
  <c r="V118" i="35"/>
  <c r="U118" i="35" s="1"/>
  <c r="T118" i="35" s="1"/>
  <c r="S118" i="35" s="1"/>
  <c r="D119" i="35"/>
  <c r="F119" i="35" s="1"/>
  <c r="H119" i="35" s="1"/>
  <c r="J119" i="35" s="1"/>
  <c r="L119" i="35" s="1"/>
  <c r="N119" i="35" s="1"/>
  <c r="P119" i="35" s="1"/>
  <c r="Q119" i="35"/>
  <c r="V119" i="35"/>
  <c r="U119" i="35" s="1"/>
  <c r="T119" i="35" s="1"/>
  <c r="S119" i="35" s="1"/>
  <c r="D120" i="35"/>
  <c r="F120" i="35" s="1"/>
  <c r="H120" i="35" s="1"/>
  <c r="J120" i="35" s="1"/>
  <c r="L120" i="35" s="1"/>
  <c r="N120" i="35" s="1"/>
  <c r="P120" i="35" s="1"/>
  <c r="Q120" i="35"/>
  <c r="V120" i="35"/>
  <c r="U120" i="35" s="1"/>
  <c r="T120" i="35" s="1"/>
  <c r="S120" i="35" s="1"/>
  <c r="D121" i="35"/>
  <c r="F121" i="35" s="1"/>
  <c r="H121" i="35" s="1"/>
  <c r="J121" i="35" s="1"/>
  <c r="L121" i="35" s="1"/>
  <c r="N121" i="35" s="1"/>
  <c r="P121" i="35" s="1"/>
  <c r="Q121" i="35"/>
  <c r="V121" i="35"/>
  <c r="U121" i="35" s="1"/>
  <c r="T121" i="35" s="1"/>
  <c r="S121" i="35" s="1"/>
  <c r="D122" i="35"/>
  <c r="F122" i="35" s="1"/>
  <c r="H122" i="35" s="1"/>
  <c r="J122" i="35" s="1"/>
  <c r="L122" i="35" s="1"/>
  <c r="N122" i="35" s="1"/>
  <c r="P122" i="35" s="1"/>
  <c r="Q122" i="35"/>
  <c r="V122" i="35"/>
  <c r="U122" i="35" s="1"/>
  <c r="T122" i="35" s="1"/>
  <c r="S122" i="35" s="1"/>
  <c r="D123" i="35"/>
  <c r="F123" i="35" s="1"/>
  <c r="H123" i="35" s="1"/>
  <c r="J123" i="35" s="1"/>
  <c r="L123" i="35" s="1"/>
  <c r="N123" i="35" s="1"/>
  <c r="P123" i="35" s="1"/>
  <c r="Q123" i="35"/>
  <c r="V123" i="35"/>
  <c r="U123" i="35" s="1"/>
  <c r="T123" i="35" s="1"/>
  <c r="S123" i="35" s="1"/>
  <c r="D124" i="35"/>
  <c r="F124" i="35" s="1"/>
  <c r="H124" i="35" s="1"/>
  <c r="J124" i="35" s="1"/>
  <c r="L124" i="35" s="1"/>
  <c r="N124" i="35" s="1"/>
  <c r="P124" i="35" s="1"/>
  <c r="Q124" i="35"/>
  <c r="V124" i="35"/>
  <c r="U124" i="35" s="1"/>
  <c r="T124" i="35" s="1"/>
  <c r="S124" i="35" s="1"/>
  <c r="D125" i="35"/>
  <c r="F125" i="35" s="1"/>
  <c r="H125" i="35" s="1"/>
  <c r="J125" i="35" s="1"/>
  <c r="L125" i="35" s="1"/>
  <c r="N125" i="35" s="1"/>
  <c r="P125" i="35" s="1"/>
  <c r="Q125" i="35"/>
  <c r="V125" i="35"/>
  <c r="U125" i="35" s="1"/>
  <c r="T125" i="35" s="1"/>
  <c r="S125" i="35" s="1"/>
  <c r="D126" i="35"/>
  <c r="F126" i="35" s="1"/>
  <c r="H126" i="35" s="1"/>
  <c r="J126" i="35" s="1"/>
  <c r="L126" i="35" s="1"/>
  <c r="N126" i="35" s="1"/>
  <c r="P126" i="35" s="1"/>
  <c r="Q126" i="35"/>
  <c r="V126" i="35"/>
  <c r="U126" i="35" s="1"/>
  <c r="T126" i="35" s="1"/>
  <c r="S126" i="35" s="1"/>
  <c r="D127" i="35"/>
  <c r="F127" i="35" s="1"/>
  <c r="H127" i="35" s="1"/>
  <c r="J127" i="35" s="1"/>
  <c r="L127" i="35" s="1"/>
  <c r="N127" i="35" s="1"/>
  <c r="P127" i="35" s="1"/>
  <c r="Q127" i="35"/>
  <c r="V127" i="35"/>
  <c r="U127" i="35" s="1"/>
  <c r="T127" i="35" s="1"/>
  <c r="S127" i="35" s="1"/>
  <c r="D128" i="35"/>
  <c r="F128" i="35" s="1"/>
  <c r="H128" i="35" s="1"/>
  <c r="J128" i="35" s="1"/>
  <c r="L128" i="35" s="1"/>
  <c r="N128" i="35" s="1"/>
  <c r="P128" i="35" s="1"/>
  <c r="Q128" i="35"/>
  <c r="V128" i="35"/>
  <c r="U128" i="35" s="1"/>
  <c r="T128" i="35" s="1"/>
  <c r="S128" i="35" s="1"/>
  <c r="D129" i="35"/>
  <c r="F129" i="35" s="1"/>
  <c r="H129" i="35" s="1"/>
  <c r="J129" i="35" s="1"/>
  <c r="L129" i="35" s="1"/>
  <c r="N129" i="35" s="1"/>
  <c r="P129" i="35" s="1"/>
  <c r="Q129" i="35"/>
  <c r="V129" i="35"/>
  <c r="U129" i="35" s="1"/>
  <c r="T129" i="35" s="1"/>
  <c r="S129" i="35" s="1"/>
  <c r="D130" i="35"/>
  <c r="F130" i="35" s="1"/>
  <c r="H130" i="35" s="1"/>
  <c r="J130" i="35" s="1"/>
  <c r="L130" i="35" s="1"/>
  <c r="N130" i="35" s="1"/>
  <c r="P130" i="35" s="1"/>
  <c r="Q130" i="35"/>
  <c r="V130" i="35"/>
  <c r="U130" i="35" s="1"/>
  <c r="T130" i="35" s="1"/>
  <c r="S130" i="35" s="1"/>
  <c r="D131" i="35"/>
  <c r="F131" i="35" s="1"/>
  <c r="H131" i="35" s="1"/>
  <c r="J131" i="35" s="1"/>
  <c r="L131" i="35" s="1"/>
  <c r="N131" i="35" s="1"/>
  <c r="P131" i="35" s="1"/>
  <c r="Q131" i="35"/>
  <c r="V131" i="35"/>
  <c r="U131" i="35" s="1"/>
  <c r="T131" i="35" s="1"/>
  <c r="S131" i="35" s="1"/>
  <c r="D132" i="35"/>
  <c r="F132" i="35" s="1"/>
  <c r="H132" i="35" s="1"/>
  <c r="J132" i="35" s="1"/>
  <c r="L132" i="35" s="1"/>
  <c r="N132" i="35" s="1"/>
  <c r="P132" i="35" s="1"/>
  <c r="Q132" i="35"/>
  <c r="V132" i="35"/>
  <c r="U132" i="35" s="1"/>
  <c r="T132" i="35" s="1"/>
  <c r="S132" i="35" s="1"/>
  <c r="D133" i="35"/>
  <c r="F133" i="35" s="1"/>
  <c r="H133" i="35" s="1"/>
  <c r="J133" i="35" s="1"/>
  <c r="L133" i="35" s="1"/>
  <c r="N133" i="35" s="1"/>
  <c r="P133" i="35" s="1"/>
  <c r="Q133" i="35"/>
  <c r="V133" i="35"/>
  <c r="U133" i="35" s="1"/>
  <c r="T133" i="35" s="1"/>
  <c r="S133" i="35" s="1"/>
  <c r="D134" i="35"/>
  <c r="F134" i="35" s="1"/>
  <c r="H134" i="35" s="1"/>
  <c r="J134" i="35" s="1"/>
  <c r="L134" i="35" s="1"/>
  <c r="N134" i="35" s="1"/>
  <c r="P134" i="35" s="1"/>
  <c r="Q134" i="35"/>
  <c r="V134" i="35"/>
  <c r="U134" i="35" s="1"/>
  <c r="T134" i="35" s="1"/>
  <c r="S134" i="35" s="1"/>
  <c r="D135" i="35"/>
  <c r="F135" i="35" s="1"/>
  <c r="H135" i="35" s="1"/>
  <c r="J135" i="35" s="1"/>
  <c r="L135" i="35" s="1"/>
  <c r="N135" i="35" s="1"/>
  <c r="P135" i="35" s="1"/>
  <c r="Q135" i="35"/>
  <c r="V135" i="35"/>
  <c r="U135" i="35" s="1"/>
  <c r="T135" i="35" s="1"/>
  <c r="S135" i="35" s="1"/>
  <c r="D136" i="35"/>
  <c r="F136" i="35" s="1"/>
  <c r="H136" i="35" s="1"/>
  <c r="J136" i="35" s="1"/>
  <c r="L136" i="35" s="1"/>
  <c r="N136" i="35" s="1"/>
  <c r="P136" i="35" s="1"/>
  <c r="Q136" i="35"/>
  <c r="V136" i="35"/>
  <c r="U136" i="35" s="1"/>
  <c r="T136" i="35" s="1"/>
  <c r="S136" i="35" s="1"/>
  <c r="D137" i="35"/>
  <c r="F137" i="35" s="1"/>
  <c r="H137" i="35" s="1"/>
  <c r="J137" i="35" s="1"/>
  <c r="L137" i="35" s="1"/>
  <c r="N137" i="35" s="1"/>
  <c r="P137" i="35" s="1"/>
  <c r="Q137" i="35"/>
  <c r="V137" i="35"/>
  <c r="U137" i="35" s="1"/>
  <c r="T137" i="35" s="1"/>
  <c r="S137" i="35" s="1"/>
  <c r="D138" i="35"/>
  <c r="F138" i="35" s="1"/>
  <c r="H138" i="35" s="1"/>
  <c r="J138" i="35" s="1"/>
  <c r="L138" i="35" s="1"/>
  <c r="N138" i="35" s="1"/>
  <c r="P138" i="35" s="1"/>
  <c r="Q138" i="35"/>
  <c r="V138" i="35"/>
  <c r="U138" i="35" s="1"/>
  <c r="T138" i="35" s="1"/>
  <c r="S138" i="35" s="1"/>
  <c r="D139" i="35"/>
  <c r="F139" i="35" s="1"/>
  <c r="H139" i="35" s="1"/>
  <c r="J139" i="35" s="1"/>
  <c r="L139" i="35" s="1"/>
  <c r="N139" i="35" s="1"/>
  <c r="P139" i="35" s="1"/>
  <c r="Q139" i="35"/>
  <c r="V139" i="35"/>
  <c r="U139" i="35" s="1"/>
  <c r="T139" i="35" s="1"/>
  <c r="S139" i="35" s="1"/>
  <c r="D140" i="35"/>
  <c r="F140" i="35" s="1"/>
  <c r="H140" i="35" s="1"/>
  <c r="J140" i="35" s="1"/>
  <c r="L140" i="35" s="1"/>
  <c r="N140" i="35" s="1"/>
  <c r="P140" i="35" s="1"/>
  <c r="Q140" i="35"/>
  <c r="V140" i="35"/>
  <c r="U140" i="35" s="1"/>
  <c r="T140" i="35" s="1"/>
  <c r="S140" i="35" s="1"/>
  <c r="D141" i="35"/>
  <c r="F141" i="35" s="1"/>
  <c r="H141" i="35" s="1"/>
  <c r="J141" i="35" s="1"/>
  <c r="L141" i="35" s="1"/>
  <c r="N141" i="35" s="1"/>
  <c r="P141" i="35" s="1"/>
  <c r="Q141" i="35"/>
  <c r="V141" i="35"/>
  <c r="U141" i="35" s="1"/>
  <c r="T141" i="35" s="1"/>
  <c r="S141" i="35" s="1"/>
  <c r="D142" i="35"/>
  <c r="F142" i="35" s="1"/>
  <c r="H142" i="35" s="1"/>
  <c r="J142" i="35" s="1"/>
  <c r="L142" i="35" s="1"/>
  <c r="N142" i="35" s="1"/>
  <c r="P142" i="35" s="1"/>
  <c r="Q142" i="35"/>
  <c r="V142" i="35"/>
  <c r="U142" i="35" s="1"/>
  <c r="T142" i="35" s="1"/>
  <c r="S142" i="35" s="1"/>
  <c r="D143" i="35"/>
  <c r="F143" i="35" s="1"/>
  <c r="H143" i="35" s="1"/>
  <c r="J143" i="35" s="1"/>
  <c r="L143" i="35" s="1"/>
  <c r="N143" i="35" s="1"/>
  <c r="P143" i="35" s="1"/>
  <c r="Q143" i="35"/>
  <c r="V143" i="35"/>
  <c r="U143" i="35" s="1"/>
  <c r="T143" i="35" s="1"/>
  <c r="S143" i="35" s="1"/>
  <c r="D144" i="35"/>
  <c r="F144" i="35" s="1"/>
  <c r="H144" i="35" s="1"/>
  <c r="J144" i="35" s="1"/>
  <c r="L144" i="35" s="1"/>
  <c r="N144" i="35" s="1"/>
  <c r="P144" i="35" s="1"/>
  <c r="Q144" i="35"/>
  <c r="V144" i="35"/>
  <c r="U144" i="35" s="1"/>
  <c r="T144" i="35" s="1"/>
  <c r="S144" i="35" s="1"/>
  <c r="D145" i="35"/>
  <c r="F145" i="35" s="1"/>
  <c r="H145" i="35" s="1"/>
  <c r="J145" i="35" s="1"/>
  <c r="L145" i="35" s="1"/>
  <c r="N145" i="35" s="1"/>
  <c r="P145" i="35" s="1"/>
  <c r="Q145" i="35"/>
  <c r="V145" i="35"/>
  <c r="U145" i="35" s="1"/>
  <c r="T145" i="35" s="1"/>
  <c r="S145" i="35" s="1"/>
  <c r="D146" i="35"/>
  <c r="F146" i="35" s="1"/>
  <c r="H146" i="35" s="1"/>
  <c r="J146" i="35" s="1"/>
  <c r="L146" i="35" s="1"/>
  <c r="N146" i="35" s="1"/>
  <c r="P146" i="35" s="1"/>
  <c r="Q146" i="35"/>
  <c r="V146" i="35"/>
  <c r="U146" i="35" s="1"/>
  <c r="T146" i="35" s="1"/>
  <c r="S146" i="35" s="1"/>
  <c r="D147" i="35"/>
  <c r="F147" i="35" s="1"/>
  <c r="H147" i="35" s="1"/>
  <c r="J147" i="35" s="1"/>
  <c r="L147" i="35" s="1"/>
  <c r="N147" i="35" s="1"/>
  <c r="P147" i="35" s="1"/>
  <c r="Q147" i="35"/>
  <c r="V147" i="35"/>
  <c r="U147" i="35" s="1"/>
  <c r="T147" i="35" s="1"/>
  <c r="S147" i="35" s="1"/>
  <c r="D148" i="35"/>
  <c r="F148" i="35" s="1"/>
  <c r="H148" i="35" s="1"/>
  <c r="J148" i="35" s="1"/>
  <c r="L148" i="35" s="1"/>
  <c r="N148" i="35" s="1"/>
  <c r="P148" i="35" s="1"/>
  <c r="Q148" i="35"/>
  <c r="V148" i="35"/>
  <c r="U148" i="35" s="1"/>
  <c r="T148" i="35" s="1"/>
  <c r="S148" i="35" s="1"/>
  <c r="D149" i="35"/>
  <c r="F149" i="35" s="1"/>
  <c r="H149" i="35" s="1"/>
  <c r="J149" i="35" s="1"/>
  <c r="L149" i="35" s="1"/>
  <c r="N149" i="35" s="1"/>
  <c r="P149" i="35" s="1"/>
  <c r="Q149" i="35"/>
  <c r="V149" i="35"/>
  <c r="U149" i="35" s="1"/>
  <c r="T149" i="35" s="1"/>
  <c r="S149" i="35" s="1"/>
  <c r="D150" i="35"/>
  <c r="F150" i="35" s="1"/>
  <c r="H150" i="35" s="1"/>
  <c r="J150" i="35" s="1"/>
  <c r="L150" i="35" s="1"/>
  <c r="N150" i="35" s="1"/>
  <c r="P150" i="35" s="1"/>
  <c r="Q150" i="35"/>
  <c r="V150" i="35"/>
  <c r="U150" i="35" s="1"/>
  <c r="T150" i="35" s="1"/>
  <c r="S150" i="35" s="1"/>
  <c r="D151" i="35"/>
  <c r="F151" i="35" s="1"/>
  <c r="H151" i="35" s="1"/>
  <c r="J151" i="35" s="1"/>
  <c r="L151" i="35" s="1"/>
  <c r="N151" i="35" s="1"/>
  <c r="P151" i="35" s="1"/>
  <c r="Q151" i="35"/>
  <c r="V151" i="35"/>
  <c r="U151" i="35" s="1"/>
  <c r="T151" i="35" s="1"/>
  <c r="S151" i="35" s="1"/>
  <c r="D152" i="35"/>
  <c r="F152" i="35" s="1"/>
  <c r="H152" i="35" s="1"/>
  <c r="J152" i="35" s="1"/>
  <c r="L152" i="35" s="1"/>
  <c r="N152" i="35" s="1"/>
  <c r="P152" i="35" s="1"/>
  <c r="Q152" i="35"/>
  <c r="V152" i="35"/>
  <c r="U152" i="35" s="1"/>
  <c r="T152" i="35" s="1"/>
  <c r="S152" i="35" s="1"/>
  <c r="D153" i="35"/>
  <c r="F153" i="35" s="1"/>
  <c r="H153" i="35" s="1"/>
  <c r="J153" i="35" s="1"/>
  <c r="L153" i="35" s="1"/>
  <c r="N153" i="35" s="1"/>
  <c r="P153" i="35" s="1"/>
  <c r="Q153" i="35"/>
  <c r="V153" i="35"/>
  <c r="U153" i="35" s="1"/>
  <c r="T153" i="35" s="1"/>
  <c r="S153" i="35" s="1"/>
  <c r="D154" i="35"/>
  <c r="F154" i="35" s="1"/>
  <c r="H154" i="35" s="1"/>
  <c r="J154" i="35" s="1"/>
  <c r="L154" i="35" s="1"/>
  <c r="N154" i="35" s="1"/>
  <c r="P154" i="35" s="1"/>
  <c r="Q154" i="35"/>
  <c r="V154" i="35"/>
  <c r="U154" i="35" s="1"/>
  <c r="T154" i="35" s="1"/>
  <c r="S154" i="35" s="1"/>
  <c r="D155" i="35"/>
  <c r="F155" i="35" s="1"/>
  <c r="H155" i="35" s="1"/>
  <c r="J155" i="35" s="1"/>
  <c r="L155" i="35" s="1"/>
  <c r="N155" i="35" s="1"/>
  <c r="P155" i="35" s="1"/>
  <c r="Q155" i="35"/>
  <c r="V155" i="35"/>
  <c r="U155" i="35" s="1"/>
  <c r="T155" i="35" s="1"/>
  <c r="S155" i="35" s="1"/>
  <c r="D156" i="35"/>
  <c r="F156" i="35" s="1"/>
  <c r="H156" i="35" s="1"/>
  <c r="J156" i="35" s="1"/>
  <c r="L156" i="35" s="1"/>
  <c r="N156" i="35" s="1"/>
  <c r="P156" i="35" s="1"/>
  <c r="Q156" i="35"/>
  <c r="V156" i="35"/>
  <c r="U156" i="35" s="1"/>
  <c r="T156" i="35" s="1"/>
  <c r="S156" i="35" s="1"/>
  <c r="D157" i="35"/>
  <c r="F157" i="35" s="1"/>
  <c r="H157" i="35" s="1"/>
  <c r="J157" i="35" s="1"/>
  <c r="L157" i="35" s="1"/>
  <c r="N157" i="35" s="1"/>
  <c r="P157" i="35" s="1"/>
  <c r="Q157" i="35"/>
  <c r="V157" i="35"/>
  <c r="U157" i="35" s="1"/>
  <c r="T157" i="35" s="1"/>
  <c r="S157" i="35" s="1"/>
  <c r="D158" i="35"/>
  <c r="F158" i="35" s="1"/>
  <c r="H158" i="35" s="1"/>
  <c r="J158" i="35" s="1"/>
  <c r="L158" i="35" s="1"/>
  <c r="N158" i="35" s="1"/>
  <c r="P158" i="35" s="1"/>
  <c r="Q158" i="35"/>
  <c r="V158" i="35"/>
  <c r="U158" i="35" s="1"/>
  <c r="T158" i="35" s="1"/>
  <c r="S158" i="35" s="1"/>
  <c r="D159" i="35"/>
  <c r="F159" i="35" s="1"/>
  <c r="H159" i="35" s="1"/>
  <c r="J159" i="35" s="1"/>
  <c r="L159" i="35" s="1"/>
  <c r="N159" i="35" s="1"/>
  <c r="P159" i="35" s="1"/>
  <c r="Q159" i="35"/>
  <c r="V159" i="35"/>
  <c r="U159" i="35" s="1"/>
  <c r="T159" i="35" s="1"/>
  <c r="S159" i="35" s="1"/>
  <c r="D160" i="35"/>
  <c r="F160" i="35" s="1"/>
  <c r="H160" i="35" s="1"/>
  <c r="J160" i="35" s="1"/>
  <c r="L160" i="35" s="1"/>
  <c r="N160" i="35" s="1"/>
  <c r="P160" i="35" s="1"/>
  <c r="Q160" i="35"/>
  <c r="V160" i="35"/>
  <c r="U160" i="35" s="1"/>
  <c r="T160" i="35" s="1"/>
  <c r="S160" i="35" s="1"/>
  <c r="D161" i="35"/>
  <c r="F161" i="35" s="1"/>
  <c r="H161" i="35" s="1"/>
  <c r="J161" i="35" s="1"/>
  <c r="L161" i="35" s="1"/>
  <c r="N161" i="35" s="1"/>
  <c r="P161" i="35" s="1"/>
  <c r="Q161" i="35"/>
  <c r="V161" i="35"/>
  <c r="U161" i="35" s="1"/>
  <c r="T161" i="35" s="1"/>
  <c r="S161" i="35" s="1"/>
  <c r="D162" i="35"/>
  <c r="F162" i="35" s="1"/>
  <c r="H162" i="35" s="1"/>
  <c r="J162" i="35" s="1"/>
  <c r="L162" i="35" s="1"/>
  <c r="N162" i="35" s="1"/>
  <c r="P162" i="35" s="1"/>
  <c r="Q162" i="35"/>
  <c r="V162" i="35"/>
  <c r="U162" i="35" s="1"/>
  <c r="T162" i="35" s="1"/>
  <c r="S162" i="35" s="1"/>
  <c r="D163" i="35"/>
  <c r="F163" i="35" s="1"/>
  <c r="H163" i="35" s="1"/>
  <c r="J163" i="35" s="1"/>
  <c r="L163" i="35" s="1"/>
  <c r="N163" i="35" s="1"/>
  <c r="P163" i="35" s="1"/>
  <c r="Q163" i="35"/>
  <c r="V163" i="35"/>
  <c r="U163" i="35" s="1"/>
  <c r="T163" i="35" s="1"/>
  <c r="S163" i="35" s="1"/>
  <c r="D164" i="35"/>
  <c r="F164" i="35" s="1"/>
  <c r="H164" i="35" s="1"/>
  <c r="J164" i="35" s="1"/>
  <c r="L164" i="35" s="1"/>
  <c r="N164" i="35" s="1"/>
  <c r="P164" i="35" s="1"/>
  <c r="Q164" i="35"/>
  <c r="V164" i="35"/>
  <c r="U164" i="35" s="1"/>
  <c r="T164" i="35" s="1"/>
  <c r="S164" i="35" s="1"/>
  <c r="D165" i="35"/>
  <c r="F165" i="35" s="1"/>
  <c r="H165" i="35" s="1"/>
  <c r="J165" i="35" s="1"/>
  <c r="L165" i="35" s="1"/>
  <c r="N165" i="35" s="1"/>
  <c r="P165" i="35" s="1"/>
  <c r="Q165" i="35"/>
  <c r="V165" i="35"/>
  <c r="U165" i="35" s="1"/>
  <c r="T165" i="35" s="1"/>
  <c r="S165" i="35" s="1"/>
  <c r="D166" i="35"/>
  <c r="F166" i="35" s="1"/>
  <c r="H166" i="35" s="1"/>
  <c r="J166" i="35" s="1"/>
  <c r="L166" i="35" s="1"/>
  <c r="N166" i="35" s="1"/>
  <c r="P166" i="35" s="1"/>
  <c r="Q166" i="35"/>
  <c r="V166" i="35"/>
  <c r="U166" i="35" s="1"/>
  <c r="T166" i="35" s="1"/>
  <c r="S166" i="35" s="1"/>
  <c r="D167" i="35"/>
  <c r="F167" i="35" s="1"/>
  <c r="H167" i="35" s="1"/>
  <c r="J167" i="35" s="1"/>
  <c r="L167" i="35" s="1"/>
  <c r="N167" i="35" s="1"/>
  <c r="P167" i="35" s="1"/>
  <c r="Q167" i="35"/>
  <c r="V167" i="35"/>
  <c r="U167" i="35" s="1"/>
  <c r="T167" i="35" s="1"/>
  <c r="S167" i="35" s="1"/>
  <c r="D168" i="35"/>
  <c r="F168" i="35" s="1"/>
  <c r="H168" i="35" s="1"/>
  <c r="J168" i="35" s="1"/>
  <c r="L168" i="35" s="1"/>
  <c r="N168" i="35" s="1"/>
  <c r="P168" i="35" s="1"/>
  <c r="Q168" i="35"/>
  <c r="V168" i="35"/>
  <c r="U168" i="35" s="1"/>
  <c r="T168" i="35" s="1"/>
  <c r="S168" i="35" s="1"/>
  <c r="D169" i="35"/>
  <c r="F169" i="35" s="1"/>
  <c r="H169" i="35" s="1"/>
  <c r="J169" i="35" s="1"/>
  <c r="L169" i="35" s="1"/>
  <c r="N169" i="35" s="1"/>
  <c r="P169" i="35" s="1"/>
  <c r="Q169" i="35"/>
  <c r="V169" i="35"/>
  <c r="U169" i="35" s="1"/>
  <c r="T169" i="35" s="1"/>
  <c r="S169" i="35" s="1"/>
  <c r="D170" i="35"/>
  <c r="F170" i="35" s="1"/>
  <c r="H170" i="35" s="1"/>
  <c r="J170" i="35" s="1"/>
  <c r="L170" i="35" s="1"/>
  <c r="N170" i="35" s="1"/>
  <c r="P170" i="35" s="1"/>
  <c r="Q170" i="35"/>
  <c r="V170" i="35"/>
  <c r="U170" i="35" s="1"/>
  <c r="T170" i="35" s="1"/>
  <c r="S170" i="35" s="1"/>
  <c r="D171" i="35"/>
  <c r="F171" i="35" s="1"/>
  <c r="H171" i="35" s="1"/>
  <c r="J171" i="35" s="1"/>
  <c r="L171" i="35" s="1"/>
  <c r="N171" i="35" s="1"/>
  <c r="P171" i="35" s="1"/>
  <c r="Q171" i="35"/>
  <c r="V171" i="35"/>
  <c r="U171" i="35" s="1"/>
  <c r="T171" i="35" s="1"/>
  <c r="S171" i="35" s="1"/>
  <c r="D172" i="35"/>
  <c r="F172" i="35" s="1"/>
  <c r="H172" i="35" s="1"/>
  <c r="J172" i="35" s="1"/>
  <c r="L172" i="35" s="1"/>
  <c r="N172" i="35" s="1"/>
  <c r="P172" i="35" s="1"/>
  <c r="Q172" i="35"/>
  <c r="V172" i="35"/>
  <c r="U172" i="35" s="1"/>
  <c r="T172" i="35" s="1"/>
  <c r="S172" i="35" s="1"/>
  <c r="D173" i="35"/>
  <c r="F173" i="35" s="1"/>
  <c r="H173" i="35" s="1"/>
  <c r="J173" i="35" s="1"/>
  <c r="L173" i="35" s="1"/>
  <c r="N173" i="35" s="1"/>
  <c r="P173" i="35" s="1"/>
  <c r="Q173" i="35"/>
  <c r="V173" i="35"/>
  <c r="U173" i="35" s="1"/>
  <c r="T173" i="35" s="1"/>
  <c r="S173" i="35" s="1"/>
  <c r="D174" i="35"/>
  <c r="F174" i="35" s="1"/>
  <c r="H174" i="35" s="1"/>
  <c r="J174" i="35" s="1"/>
  <c r="L174" i="35" s="1"/>
  <c r="N174" i="35" s="1"/>
  <c r="P174" i="35" s="1"/>
  <c r="Q174" i="35"/>
  <c r="V174" i="35"/>
  <c r="U174" i="35" s="1"/>
  <c r="T174" i="35" s="1"/>
  <c r="S174" i="35" s="1"/>
  <c r="D175" i="35"/>
  <c r="F175" i="35" s="1"/>
  <c r="H175" i="35" s="1"/>
  <c r="J175" i="35" s="1"/>
  <c r="L175" i="35" s="1"/>
  <c r="N175" i="35" s="1"/>
  <c r="P175" i="35" s="1"/>
  <c r="Q175" i="35"/>
  <c r="V175" i="35"/>
  <c r="U175" i="35" s="1"/>
  <c r="T175" i="35" s="1"/>
  <c r="S175" i="35" s="1"/>
  <c r="D176" i="35"/>
  <c r="F176" i="35" s="1"/>
  <c r="H176" i="35" s="1"/>
  <c r="J176" i="35" s="1"/>
  <c r="L176" i="35" s="1"/>
  <c r="N176" i="35" s="1"/>
  <c r="P176" i="35" s="1"/>
  <c r="Q176" i="35"/>
  <c r="V176" i="35"/>
  <c r="U176" i="35" s="1"/>
  <c r="T176" i="35" s="1"/>
  <c r="S176" i="35" s="1"/>
  <c r="D177" i="35"/>
  <c r="F177" i="35" s="1"/>
  <c r="H177" i="35" s="1"/>
  <c r="J177" i="35" s="1"/>
  <c r="L177" i="35" s="1"/>
  <c r="N177" i="35" s="1"/>
  <c r="P177" i="35" s="1"/>
  <c r="Q177" i="35"/>
  <c r="V177" i="35"/>
  <c r="U177" i="35" s="1"/>
  <c r="T177" i="35" s="1"/>
  <c r="S177" i="35" s="1"/>
  <c r="D178" i="35"/>
  <c r="F178" i="35" s="1"/>
  <c r="H178" i="35" s="1"/>
  <c r="J178" i="35" s="1"/>
  <c r="L178" i="35" s="1"/>
  <c r="N178" i="35" s="1"/>
  <c r="P178" i="35" s="1"/>
  <c r="Q178" i="35"/>
  <c r="V178" i="35"/>
  <c r="U178" i="35" s="1"/>
  <c r="T178" i="35" s="1"/>
  <c r="S178" i="35" s="1"/>
  <c r="D179" i="35"/>
  <c r="F179" i="35" s="1"/>
  <c r="H179" i="35" s="1"/>
  <c r="J179" i="35" s="1"/>
  <c r="L179" i="35" s="1"/>
  <c r="N179" i="35" s="1"/>
  <c r="P179" i="35" s="1"/>
  <c r="Q179" i="35"/>
  <c r="V179" i="35"/>
  <c r="U179" i="35" s="1"/>
  <c r="T179" i="35" s="1"/>
  <c r="S179" i="35" s="1"/>
  <c r="D180" i="35"/>
  <c r="F180" i="35" s="1"/>
  <c r="H180" i="35" s="1"/>
  <c r="J180" i="35" s="1"/>
  <c r="L180" i="35" s="1"/>
  <c r="N180" i="35" s="1"/>
  <c r="P180" i="35" s="1"/>
  <c r="Q180" i="35"/>
  <c r="V180" i="35"/>
  <c r="U180" i="35" s="1"/>
  <c r="T180" i="35" s="1"/>
  <c r="S180" i="35" s="1"/>
  <c r="D181" i="35"/>
  <c r="F181" i="35" s="1"/>
  <c r="H181" i="35" s="1"/>
  <c r="J181" i="35" s="1"/>
  <c r="L181" i="35" s="1"/>
  <c r="N181" i="35" s="1"/>
  <c r="P181" i="35" s="1"/>
  <c r="Q181" i="35"/>
  <c r="V181" i="35"/>
  <c r="U181" i="35" s="1"/>
  <c r="T181" i="35" s="1"/>
  <c r="S181" i="35" s="1"/>
  <c r="D183" i="35"/>
  <c r="F183" i="35" s="1"/>
  <c r="H183" i="35" s="1"/>
  <c r="J183" i="35" s="1"/>
  <c r="L183" i="35" s="1"/>
  <c r="N183" i="35" s="1"/>
  <c r="P183" i="35" s="1"/>
  <c r="Q183" i="35"/>
  <c r="V183" i="35"/>
  <c r="U183" i="35" s="1"/>
  <c r="T183" i="35" s="1"/>
  <c r="S183" i="35" s="1"/>
  <c r="D184" i="35"/>
  <c r="F184" i="35" s="1"/>
  <c r="H184" i="35" s="1"/>
  <c r="J184" i="35" s="1"/>
  <c r="L184" i="35" s="1"/>
  <c r="N184" i="35" s="1"/>
  <c r="P184" i="35" s="1"/>
  <c r="Q184" i="35"/>
  <c r="V184" i="35"/>
  <c r="U184" i="35" s="1"/>
  <c r="T184" i="35" s="1"/>
  <c r="S184" i="35" s="1"/>
  <c r="D185" i="35"/>
  <c r="F185" i="35" s="1"/>
  <c r="H185" i="35" s="1"/>
  <c r="J185" i="35" s="1"/>
  <c r="L185" i="35" s="1"/>
  <c r="N185" i="35" s="1"/>
  <c r="P185" i="35" s="1"/>
  <c r="Q185" i="35"/>
  <c r="V185" i="35"/>
  <c r="U185" i="35" s="1"/>
  <c r="T185" i="35" s="1"/>
  <c r="S185" i="35" s="1"/>
  <c r="D186" i="35"/>
  <c r="F186" i="35" s="1"/>
  <c r="H186" i="35" s="1"/>
  <c r="J186" i="35" s="1"/>
  <c r="L186" i="35" s="1"/>
  <c r="N186" i="35" s="1"/>
  <c r="P186" i="35" s="1"/>
  <c r="Q186" i="35"/>
  <c r="V186" i="35"/>
  <c r="U186" i="35" s="1"/>
  <c r="T186" i="35" s="1"/>
  <c r="S186" i="35" s="1"/>
  <c r="D187" i="35"/>
  <c r="F187" i="35" s="1"/>
  <c r="H187" i="35" s="1"/>
  <c r="J187" i="35" s="1"/>
  <c r="L187" i="35" s="1"/>
  <c r="N187" i="35" s="1"/>
  <c r="P187" i="35" s="1"/>
  <c r="Q187" i="35"/>
  <c r="V187" i="35"/>
  <c r="U187" i="35" s="1"/>
  <c r="T187" i="35" s="1"/>
  <c r="S187" i="35" s="1"/>
  <c r="D188" i="35"/>
  <c r="F188" i="35" s="1"/>
  <c r="H188" i="35" s="1"/>
  <c r="J188" i="35" s="1"/>
  <c r="L188" i="35" s="1"/>
  <c r="N188" i="35" s="1"/>
  <c r="P188" i="35" s="1"/>
  <c r="Q188" i="35"/>
  <c r="V188" i="35"/>
  <c r="U188" i="35" s="1"/>
  <c r="T188" i="35" s="1"/>
  <c r="S188" i="35" s="1"/>
  <c r="D189" i="35"/>
  <c r="F189" i="35" s="1"/>
  <c r="H189" i="35" s="1"/>
  <c r="J189" i="35" s="1"/>
  <c r="L189" i="35" s="1"/>
  <c r="N189" i="35" s="1"/>
  <c r="P189" i="35" s="1"/>
  <c r="Q189" i="35"/>
  <c r="V189" i="35"/>
  <c r="U189" i="35" s="1"/>
  <c r="T189" i="35" s="1"/>
  <c r="S189" i="35" s="1"/>
  <c r="D190" i="35"/>
  <c r="F190" i="35" s="1"/>
  <c r="H190" i="35" s="1"/>
  <c r="J190" i="35" s="1"/>
  <c r="L190" i="35" s="1"/>
  <c r="N190" i="35" s="1"/>
  <c r="P190" i="35" s="1"/>
  <c r="Q190" i="35"/>
  <c r="V190" i="35"/>
  <c r="U190" i="35" s="1"/>
  <c r="T190" i="35" s="1"/>
  <c r="S190" i="35" s="1"/>
  <c r="D191" i="35"/>
  <c r="F191" i="35" s="1"/>
  <c r="H191" i="35" s="1"/>
  <c r="J191" i="35" s="1"/>
  <c r="L191" i="35" s="1"/>
  <c r="N191" i="35" s="1"/>
  <c r="P191" i="35" s="1"/>
  <c r="Q191" i="35"/>
  <c r="V191" i="35"/>
  <c r="U191" i="35" s="1"/>
  <c r="T191" i="35" s="1"/>
  <c r="S191" i="35" s="1"/>
  <c r="D192" i="35"/>
  <c r="F192" i="35" s="1"/>
  <c r="H192" i="35" s="1"/>
  <c r="J192" i="35" s="1"/>
  <c r="L192" i="35" s="1"/>
  <c r="N192" i="35" s="1"/>
  <c r="P192" i="35" s="1"/>
  <c r="Q192" i="35"/>
  <c r="V192" i="35"/>
  <c r="U192" i="35" s="1"/>
  <c r="T192" i="35" s="1"/>
  <c r="S192" i="35" s="1"/>
  <c r="D193" i="35"/>
  <c r="F193" i="35" s="1"/>
  <c r="H193" i="35" s="1"/>
  <c r="J193" i="35" s="1"/>
  <c r="L193" i="35" s="1"/>
  <c r="N193" i="35" s="1"/>
  <c r="P193" i="35" s="1"/>
  <c r="Q193" i="35"/>
  <c r="V193" i="35"/>
  <c r="U193" i="35" s="1"/>
  <c r="T193" i="35" s="1"/>
  <c r="S193" i="35" s="1"/>
  <c r="D194" i="35"/>
  <c r="F194" i="35" s="1"/>
  <c r="H194" i="35" s="1"/>
  <c r="J194" i="35" s="1"/>
  <c r="L194" i="35" s="1"/>
  <c r="N194" i="35" s="1"/>
  <c r="P194" i="35" s="1"/>
  <c r="Q194" i="35"/>
  <c r="V194" i="35"/>
  <c r="U194" i="35" s="1"/>
  <c r="T194" i="35" s="1"/>
  <c r="S194" i="35" s="1"/>
  <c r="D195" i="35"/>
  <c r="F195" i="35" s="1"/>
  <c r="H195" i="35" s="1"/>
  <c r="J195" i="35" s="1"/>
  <c r="L195" i="35" s="1"/>
  <c r="N195" i="35" s="1"/>
  <c r="P195" i="35" s="1"/>
  <c r="Q195" i="35"/>
  <c r="V195" i="35"/>
  <c r="U195" i="35" s="1"/>
  <c r="T195" i="35" s="1"/>
  <c r="S195" i="35" s="1"/>
  <c r="D196" i="35"/>
  <c r="F196" i="35" s="1"/>
  <c r="H196" i="35" s="1"/>
  <c r="J196" i="35" s="1"/>
  <c r="L196" i="35" s="1"/>
  <c r="N196" i="35" s="1"/>
  <c r="P196" i="35" s="1"/>
  <c r="Q196" i="35"/>
  <c r="V196" i="35"/>
  <c r="U196" i="35" s="1"/>
  <c r="T196" i="35" s="1"/>
  <c r="S196" i="35" s="1"/>
  <c r="D197" i="35"/>
  <c r="F197" i="35" s="1"/>
  <c r="H197" i="35" s="1"/>
  <c r="J197" i="35" s="1"/>
  <c r="L197" i="35" s="1"/>
  <c r="N197" i="35" s="1"/>
  <c r="P197" i="35" s="1"/>
  <c r="Q197" i="35"/>
  <c r="V197" i="35"/>
  <c r="U197" i="35" s="1"/>
  <c r="T197" i="35" s="1"/>
  <c r="S197" i="35" s="1"/>
  <c r="D198" i="35"/>
  <c r="F198" i="35" s="1"/>
  <c r="H198" i="35" s="1"/>
  <c r="J198" i="35" s="1"/>
  <c r="L198" i="35" s="1"/>
  <c r="N198" i="35" s="1"/>
  <c r="P198" i="35" s="1"/>
  <c r="Q198" i="35"/>
  <c r="V198" i="35"/>
  <c r="U198" i="35" s="1"/>
  <c r="T198" i="35" s="1"/>
  <c r="S198" i="35" s="1"/>
  <c r="D199" i="35"/>
  <c r="F199" i="35" s="1"/>
  <c r="H199" i="35" s="1"/>
  <c r="J199" i="35" s="1"/>
  <c r="L199" i="35" s="1"/>
  <c r="N199" i="35" s="1"/>
  <c r="P199" i="35" s="1"/>
  <c r="Q199" i="35"/>
  <c r="V199" i="35"/>
  <c r="U199" i="35" s="1"/>
  <c r="T199" i="35" s="1"/>
  <c r="S199" i="35" s="1"/>
  <c r="D200" i="35"/>
  <c r="F200" i="35" s="1"/>
  <c r="H200" i="35" s="1"/>
  <c r="J200" i="35" s="1"/>
  <c r="L200" i="35" s="1"/>
  <c r="N200" i="35" s="1"/>
  <c r="P200" i="35" s="1"/>
  <c r="Q200" i="35"/>
  <c r="V200" i="35"/>
  <c r="U200" i="35" s="1"/>
  <c r="T200" i="35" s="1"/>
  <c r="S200" i="35" s="1"/>
  <c r="D201" i="35"/>
  <c r="F201" i="35" s="1"/>
  <c r="H201" i="35" s="1"/>
  <c r="J201" i="35" s="1"/>
  <c r="L201" i="35" s="1"/>
  <c r="N201" i="35" s="1"/>
  <c r="P201" i="35" s="1"/>
  <c r="Q201" i="35"/>
  <c r="V201" i="35"/>
  <c r="U201" i="35" s="1"/>
  <c r="T201" i="35" s="1"/>
  <c r="S201" i="35" s="1"/>
  <c r="D202" i="35"/>
  <c r="F202" i="35" s="1"/>
  <c r="H202" i="35" s="1"/>
  <c r="J202" i="35" s="1"/>
  <c r="L202" i="35" s="1"/>
  <c r="N202" i="35" s="1"/>
  <c r="P202" i="35" s="1"/>
  <c r="Q202" i="35"/>
  <c r="V202" i="35"/>
  <c r="U202" i="35" s="1"/>
  <c r="T202" i="35" s="1"/>
  <c r="S202" i="35" s="1"/>
  <c r="D203" i="35"/>
  <c r="F203" i="35" s="1"/>
  <c r="H203" i="35" s="1"/>
  <c r="J203" i="35" s="1"/>
  <c r="L203" i="35" s="1"/>
  <c r="N203" i="35" s="1"/>
  <c r="P203" i="35" s="1"/>
  <c r="Q203" i="35"/>
  <c r="V203" i="35"/>
  <c r="U203" i="35" s="1"/>
  <c r="T203" i="35" s="1"/>
  <c r="S203" i="35" s="1"/>
  <c r="D204" i="35"/>
  <c r="F204" i="35" s="1"/>
  <c r="H204" i="35" s="1"/>
  <c r="J204" i="35" s="1"/>
  <c r="L204" i="35" s="1"/>
  <c r="N204" i="35" s="1"/>
  <c r="P204" i="35" s="1"/>
  <c r="Q204" i="35"/>
  <c r="V204" i="35"/>
  <c r="U204" i="35" s="1"/>
  <c r="T204" i="35" s="1"/>
  <c r="S204" i="35" s="1"/>
  <c r="D205" i="35"/>
  <c r="F205" i="35" s="1"/>
  <c r="H205" i="35" s="1"/>
  <c r="J205" i="35" s="1"/>
  <c r="L205" i="35" s="1"/>
  <c r="N205" i="35" s="1"/>
  <c r="P205" i="35" s="1"/>
  <c r="Q205" i="35"/>
  <c r="V205" i="35"/>
  <c r="U205" i="35" s="1"/>
  <c r="T205" i="35" s="1"/>
  <c r="S205" i="35" s="1"/>
  <c r="D206" i="35"/>
  <c r="F206" i="35" s="1"/>
  <c r="H206" i="35" s="1"/>
  <c r="J206" i="35" s="1"/>
  <c r="L206" i="35" s="1"/>
  <c r="N206" i="35" s="1"/>
  <c r="P206" i="35" s="1"/>
  <c r="Q206" i="35"/>
  <c r="V206" i="35"/>
  <c r="U206" i="35" s="1"/>
  <c r="T206" i="35" s="1"/>
  <c r="S206" i="35" s="1"/>
  <c r="D207" i="35"/>
  <c r="F207" i="35" s="1"/>
  <c r="H207" i="35" s="1"/>
  <c r="J207" i="35" s="1"/>
  <c r="L207" i="35" s="1"/>
  <c r="N207" i="35" s="1"/>
  <c r="P207" i="35" s="1"/>
  <c r="Q207" i="35"/>
  <c r="V207" i="35"/>
  <c r="U207" i="35" s="1"/>
  <c r="T207" i="35" s="1"/>
  <c r="S207" i="35" s="1"/>
  <c r="D208" i="35"/>
  <c r="F208" i="35" s="1"/>
  <c r="H208" i="35" s="1"/>
  <c r="J208" i="35" s="1"/>
  <c r="L208" i="35" s="1"/>
  <c r="N208" i="35" s="1"/>
  <c r="P208" i="35" s="1"/>
  <c r="Q208" i="35"/>
  <c r="V208" i="35"/>
  <c r="U208" i="35" s="1"/>
  <c r="T208" i="35" s="1"/>
  <c r="S208" i="35" s="1"/>
  <c r="D209" i="35"/>
  <c r="F209" i="35" s="1"/>
  <c r="H209" i="35" s="1"/>
  <c r="J209" i="35" s="1"/>
  <c r="L209" i="35" s="1"/>
  <c r="N209" i="35" s="1"/>
  <c r="P209" i="35" s="1"/>
  <c r="Q209" i="35"/>
  <c r="V209" i="35"/>
  <c r="U209" i="35" s="1"/>
  <c r="T209" i="35" s="1"/>
  <c r="S209" i="35" s="1"/>
  <c r="D210" i="35"/>
  <c r="F210" i="35" s="1"/>
  <c r="H210" i="35" s="1"/>
  <c r="J210" i="35" s="1"/>
  <c r="L210" i="35" s="1"/>
  <c r="N210" i="35" s="1"/>
  <c r="P210" i="35" s="1"/>
  <c r="Q210" i="35"/>
  <c r="V210" i="35"/>
  <c r="U210" i="35" s="1"/>
  <c r="T210" i="35" s="1"/>
  <c r="S210" i="35" s="1"/>
  <c r="D211" i="35"/>
  <c r="F211" i="35" s="1"/>
  <c r="H211" i="35" s="1"/>
  <c r="J211" i="35" s="1"/>
  <c r="L211" i="35" s="1"/>
  <c r="N211" i="35" s="1"/>
  <c r="P211" i="35" s="1"/>
  <c r="Q211" i="35"/>
  <c r="V211" i="35"/>
  <c r="U211" i="35" s="1"/>
  <c r="T211" i="35" s="1"/>
  <c r="S211" i="35" s="1"/>
  <c r="D212" i="35"/>
  <c r="F212" i="35" s="1"/>
  <c r="H212" i="35" s="1"/>
  <c r="J212" i="35" s="1"/>
  <c r="L212" i="35" s="1"/>
  <c r="N212" i="35" s="1"/>
  <c r="P212" i="35" s="1"/>
  <c r="Q212" i="35"/>
  <c r="V212" i="35"/>
  <c r="U212" i="35" s="1"/>
  <c r="T212" i="35" s="1"/>
  <c r="S212" i="35" s="1"/>
  <c r="D213" i="35"/>
  <c r="F213" i="35" s="1"/>
  <c r="H213" i="35" s="1"/>
  <c r="J213" i="35" s="1"/>
  <c r="L213" i="35" s="1"/>
  <c r="N213" i="35" s="1"/>
  <c r="P213" i="35" s="1"/>
  <c r="Q213" i="35"/>
  <c r="V213" i="35"/>
  <c r="U213" i="35" s="1"/>
  <c r="T213" i="35" s="1"/>
  <c r="S213" i="35" s="1"/>
  <c r="D214" i="35"/>
  <c r="F214" i="35" s="1"/>
  <c r="H214" i="35" s="1"/>
  <c r="J214" i="35" s="1"/>
  <c r="L214" i="35" s="1"/>
  <c r="N214" i="35" s="1"/>
  <c r="P214" i="35" s="1"/>
  <c r="Q214" i="35"/>
  <c r="V214" i="35"/>
  <c r="U214" i="35" s="1"/>
  <c r="T214" i="35" s="1"/>
  <c r="S214" i="35" s="1"/>
  <c r="D215" i="35"/>
  <c r="F215" i="35" s="1"/>
  <c r="H215" i="35" s="1"/>
  <c r="J215" i="35" s="1"/>
  <c r="L215" i="35" s="1"/>
  <c r="N215" i="35" s="1"/>
  <c r="P215" i="35" s="1"/>
  <c r="Q215" i="35"/>
  <c r="V215" i="35"/>
  <c r="U215" i="35" s="1"/>
  <c r="T215" i="35" s="1"/>
  <c r="S215" i="35" s="1"/>
  <c r="D216" i="35"/>
  <c r="F216" i="35" s="1"/>
  <c r="H216" i="35" s="1"/>
  <c r="J216" i="35" s="1"/>
  <c r="L216" i="35" s="1"/>
  <c r="N216" i="35" s="1"/>
  <c r="P216" i="35" s="1"/>
  <c r="Q216" i="35"/>
  <c r="V216" i="35"/>
  <c r="U216" i="35" s="1"/>
  <c r="T216" i="35" s="1"/>
  <c r="S216" i="35" s="1"/>
  <c r="D217" i="35"/>
  <c r="F217" i="35" s="1"/>
  <c r="H217" i="35" s="1"/>
  <c r="J217" i="35" s="1"/>
  <c r="L217" i="35" s="1"/>
  <c r="N217" i="35" s="1"/>
  <c r="P217" i="35" s="1"/>
  <c r="Q217" i="35"/>
  <c r="V217" i="35"/>
  <c r="U217" i="35" s="1"/>
  <c r="T217" i="35" s="1"/>
  <c r="S217" i="35" s="1"/>
  <c r="D218" i="35"/>
  <c r="F218" i="35" s="1"/>
  <c r="H218" i="35" s="1"/>
  <c r="J218" i="35" s="1"/>
  <c r="L218" i="35" s="1"/>
  <c r="N218" i="35" s="1"/>
  <c r="P218" i="35" s="1"/>
  <c r="Q218" i="35"/>
  <c r="V218" i="35"/>
  <c r="U218" i="35" s="1"/>
  <c r="T218" i="35" s="1"/>
  <c r="S218" i="35" s="1"/>
  <c r="D219" i="35"/>
  <c r="F219" i="35" s="1"/>
  <c r="H219" i="35" s="1"/>
  <c r="J219" i="35" s="1"/>
  <c r="L219" i="35" s="1"/>
  <c r="N219" i="35" s="1"/>
  <c r="P219" i="35" s="1"/>
  <c r="Q219" i="35"/>
  <c r="V219" i="35"/>
  <c r="U219" i="35" s="1"/>
  <c r="T219" i="35" s="1"/>
  <c r="S219" i="35" s="1"/>
  <c r="D220" i="35"/>
  <c r="F220" i="35" s="1"/>
  <c r="H220" i="35" s="1"/>
  <c r="J220" i="35" s="1"/>
  <c r="L220" i="35" s="1"/>
  <c r="N220" i="35" s="1"/>
  <c r="P220" i="35" s="1"/>
  <c r="Q220" i="35"/>
  <c r="V220" i="35"/>
  <c r="U220" i="35" s="1"/>
  <c r="T220" i="35" s="1"/>
  <c r="S220" i="35" s="1"/>
  <c r="D221" i="35"/>
  <c r="F221" i="35" s="1"/>
  <c r="H221" i="35" s="1"/>
  <c r="J221" i="35" s="1"/>
  <c r="L221" i="35" s="1"/>
  <c r="N221" i="35" s="1"/>
  <c r="P221" i="35" s="1"/>
  <c r="Q221" i="35"/>
  <c r="V221" i="35"/>
  <c r="U221" i="35" s="1"/>
  <c r="T221" i="35" s="1"/>
  <c r="S221" i="35" s="1"/>
  <c r="D222" i="35"/>
  <c r="F222" i="35" s="1"/>
  <c r="H222" i="35" s="1"/>
  <c r="J222" i="35" s="1"/>
  <c r="L222" i="35" s="1"/>
  <c r="N222" i="35" s="1"/>
  <c r="P222" i="35" s="1"/>
  <c r="Q222" i="35"/>
  <c r="V222" i="35"/>
  <c r="U222" i="35" s="1"/>
  <c r="T222" i="35" s="1"/>
  <c r="S222" i="35" s="1"/>
  <c r="D223" i="35"/>
  <c r="F223" i="35" s="1"/>
  <c r="H223" i="35" s="1"/>
  <c r="J223" i="35" s="1"/>
  <c r="L223" i="35" s="1"/>
  <c r="N223" i="35" s="1"/>
  <c r="P223" i="35" s="1"/>
  <c r="Q223" i="35"/>
  <c r="V223" i="35"/>
  <c r="U223" i="35" s="1"/>
  <c r="T223" i="35" s="1"/>
  <c r="S223" i="35" s="1"/>
  <c r="D224" i="35"/>
  <c r="F224" i="35" s="1"/>
  <c r="H224" i="35" s="1"/>
  <c r="J224" i="35" s="1"/>
  <c r="L224" i="35" s="1"/>
  <c r="N224" i="35" s="1"/>
  <c r="P224" i="35" s="1"/>
  <c r="Q224" i="35"/>
  <c r="V224" i="35"/>
  <c r="U224" i="35" s="1"/>
  <c r="T224" i="35" s="1"/>
  <c r="S224" i="35" s="1"/>
  <c r="D225" i="35"/>
  <c r="F225" i="35" s="1"/>
  <c r="H225" i="35" s="1"/>
  <c r="J225" i="35" s="1"/>
  <c r="L225" i="35" s="1"/>
  <c r="N225" i="35" s="1"/>
  <c r="P225" i="35" s="1"/>
  <c r="Q225" i="35"/>
  <c r="V225" i="35"/>
  <c r="U225" i="35" s="1"/>
  <c r="T225" i="35" s="1"/>
  <c r="S225" i="35" s="1"/>
  <c r="D226" i="35"/>
  <c r="F226" i="35" s="1"/>
  <c r="H226" i="35" s="1"/>
  <c r="J226" i="35" s="1"/>
  <c r="L226" i="35" s="1"/>
  <c r="N226" i="35" s="1"/>
  <c r="P226" i="35" s="1"/>
  <c r="Q226" i="35"/>
  <c r="V226" i="35"/>
  <c r="U226" i="35" s="1"/>
  <c r="T226" i="35" s="1"/>
  <c r="S226" i="35" s="1"/>
  <c r="D227" i="35"/>
  <c r="F227" i="35" s="1"/>
  <c r="H227" i="35" s="1"/>
  <c r="J227" i="35" s="1"/>
  <c r="L227" i="35" s="1"/>
  <c r="N227" i="35" s="1"/>
  <c r="P227" i="35" s="1"/>
  <c r="Q227" i="35"/>
  <c r="V227" i="35"/>
  <c r="U227" i="35" s="1"/>
  <c r="T227" i="35" s="1"/>
  <c r="S227" i="35" s="1"/>
  <c r="D228" i="35"/>
  <c r="F228" i="35" s="1"/>
  <c r="H228" i="35" s="1"/>
  <c r="J228" i="35" s="1"/>
  <c r="L228" i="35" s="1"/>
  <c r="N228" i="35" s="1"/>
  <c r="P228" i="35" s="1"/>
  <c r="Q228" i="35"/>
  <c r="V228" i="35"/>
  <c r="U228" i="35" s="1"/>
  <c r="T228" i="35" s="1"/>
  <c r="S228" i="35" s="1"/>
  <c r="D229" i="35"/>
  <c r="F229" i="35" s="1"/>
  <c r="H229" i="35" s="1"/>
  <c r="J229" i="35" s="1"/>
  <c r="L229" i="35" s="1"/>
  <c r="N229" i="35" s="1"/>
  <c r="P229" i="35" s="1"/>
  <c r="Q229" i="35"/>
  <c r="V229" i="35"/>
  <c r="U229" i="35" s="1"/>
  <c r="T229" i="35" s="1"/>
  <c r="S229" i="35" s="1"/>
  <c r="D230" i="35"/>
  <c r="F230" i="35" s="1"/>
  <c r="H230" i="35" s="1"/>
  <c r="J230" i="35" s="1"/>
  <c r="L230" i="35" s="1"/>
  <c r="N230" i="35" s="1"/>
  <c r="P230" i="35" s="1"/>
  <c r="Q230" i="35"/>
  <c r="V230" i="35"/>
  <c r="U230" i="35" s="1"/>
  <c r="T230" i="35" s="1"/>
  <c r="S230" i="35" s="1"/>
  <c r="D231" i="35"/>
  <c r="F231" i="35" s="1"/>
  <c r="H231" i="35" s="1"/>
  <c r="J231" i="35" s="1"/>
  <c r="L231" i="35" s="1"/>
  <c r="N231" i="35" s="1"/>
  <c r="P231" i="35" s="1"/>
  <c r="Q231" i="35"/>
  <c r="V231" i="35"/>
  <c r="U231" i="35" s="1"/>
  <c r="T231" i="35" s="1"/>
  <c r="S231" i="35" s="1"/>
  <c r="D232" i="35"/>
  <c r="F232" i="35" s="1"/>
  <c r="H232" i="35" s="1"/>
  <c r="J232" i="35" s="1"/>
  <c r="L232" i="35" s="1"/>
  <c r="N232" i="35" s="1"/>
  <c r="P232" i="35" s="1"/>
  <c r="Q232" i="35"/>
  <c r="V232" i="35"/>
  <c r="U232" i="35" s="1"/>
  <c r="T232" i="35" s="1"/>
  <c r="S232" i="35" s="1"/>
  <c r="D233" i="35"/>
  <c r="F233" i="35" s="1"/>
  <c r="H233" i="35" s="1"/>
  <c r="J233" i="35" s="1"/>
  <c r="L233" i="35" s="1"/>
  <c r="N233" i="35" s="1"/>
  <c r="P233" i="35" s="1"/>
  <c r="Q233" i="35"/>
  <c r="V233" i="35"/>
  <c r="U233" i="35" s="1"/>
  <c r="T233" i="35" s="1"/>
  <c r="S233" i="35" s="1"/>
  <c r="D234" i="35"/>
  <c r="F234" i="35" s="1"/>
  <c r="H234" i="35" s="1"/>
  <c r="J234" i="35" s="1"/>
  <c r="L234" i="35" s="1"/>
  <c r="N234" i="35" s="1"/>
  <c r="P234" i="35" s="1"/>
  <c r="Q234" i="35"/>
  <c r="V234" i="35"/>
  <c r="U234" i="35" s="1"/>
  <c r="T234" i="35" s="1"/>
  <c r="S234" i="35" s="1"/>
  <c r="D235" i="35"/>
  <c r="F235" i="35" s="1"/>
  <c r="H235" i="35" s="1"/>
  <c r="J235" i="35" s="1"/>
  <c r="L235" i="35" s="1"/>
  <c r="N235" i="35" s="1"/>
  <c r="P235" i="35" s="1"/>
  <c r="Q235" i="35"/>
  <c r="V235" i="35"/>
  <c r="U235" i="35" s="1"/>
  <c r="T235" i="35" s="1"/>
  <c r="S235" i="35" s="1"/>
  <c r="D236" i="35"/>
  <c r="F236" i="35" s="1"/>
  <c r="H236" i="35" s="1"/>
  <c r="J236" i="35" s="1"/>
  <c r="L236" i="35" s="1"/>
  <c r="N236" i="35" s="1"/>
  <c r="P236" i="35" s="1"/>
  <c r="Q236" i="35"/>
  <c r="V236" i="35"/>
  <c r="U236" i="35" s="1"/>
  <c r="T236" i="35" s="1"/>
  <c r="S236" i="35" s="1"/>
  <c r="D237" i="35"/>
  <c r="F237" i="35" s="1"/>
  <c r="H237" i="35" s="1"/>
  <c r="J237" i="35" s="1"/>
  <c r="L237" i="35" s="1"/>
  <c r="N237" i="35" s="1"/>
  <c r="P237" i="35" s="1"/>
  <c r="Q237" i="35"/>
  <c r="V237" i="35"/>
  <c r="U237" i="35" s="1"/>
  <c r="T237" i="35" s="1"/>
  <c r="S237" i="35" s="1"/>
  <c r="D238" i="35"/>
  <c r="F238" i="35" s="1"/>
  <c r="H238" i="35" s="1"/>
  <c r="J238" i="35" s="1"/>
  <c r="L238" i="35" s="1"/>
  <c r="N238" i="35" s="1"/>
  <c r="P238" i="35" s="1"/>
  <c r="Q238" i="35"/>
  <c r="V238" i="35"/>
  <c r="U238" i="35" s="1"/>
  <c r="T238" i="35" s="1"/>
  <c r="S238" i="35" s="1"/>
  <c r="D239" i="35"/>
  <c r="F239" i="35" s="1"/>
  <c r="H239" i="35" s="1"/>
  <c r="J239" i="35" s="1"/>
  <c r="L239" i="35" s="1"/>
  <c r="N239" i="35" s="1"/>
  <c r="P239" i="35" s="1"/>
  <c r="Q239" i="35"/>
  <c r="V239" i="35"/>
  <c r="U239" i="35" s="1"/>
  <c r="T239" i="35" s="1"/>
  <c r="S239" i="35" s="1"/>
  <c r="D240" i="35"/>
  <c r="F240" i="35" s="1"/>
  <c r="H240" i="35" s="1"/>
  <c r="J240" i="35" s="1"/>
  <c r="L240" i="35" s="1"/>
  <c r="N240" i="35" s="1"/>
  <c r="P240" i="35" s="1"/>
  <c r="Q240" i="35"/>
  <c r="V240" i="35"/>
  <c r="U240" i="35" s="1"/>
  <c r="T240" i="35" s="1"/>
  <c r="S240" i="35" s="1"/>
  <c r="D241" i="35"/>
  <c r="F241" i="35" s="1"/>
  <c r="H241" i="35" s="1"/>
  <c r="J241" i="35" s="1"/>
  <c r="L241" i="35" s="1"/>
  <c r="N241" i="35" s="1"/>
  <c r="P241" i="35" s="1"/>
  <c r="Q241" i="35"/>
  <c r="V241" i="35"/>
  <c r="U241" i="35" s="1"/>
  <c r="T241" i="35" s="1"/>
  <c r="S241" i="35" s="1"/>
  <c r="D242" i="35"/>
  <c r="F242" i="35" s="1"/>
  <c r="H242" i="35" s="1"/>
  <c r="J242" i="35" s="1"/>
  <c r="L242" i="35" s="1"/>
  <c r="N242" i="35" s="1"/>
  <c r="P242" i="35" s="1"/>
  <c r="Q242" i="35"/>
  <c r="V242" i="35"/>
  <c r="U242" i="35" s="1"/>
  <c r="T242" i="35" s="1"/>
  <c r="S242" i="35" s="1"/>
  <c r="D243" i="35"/>
  <c r="F243" i="35" s="1"/>
  <c r="H243" i="35" s="1"/>
  <c r="J243" i="35" s="1"/>
  <c r="L243" i="35" s="1"/>
  <c r="N243" i="35" s="1"/>
  <c r="P243" i="35" s="1"/>
  <c r="Q243" i="35"/>
  <c r="V243" i="35"/>
  <c r="U243" i="35" s="1"/>
  <c r="T243" i="35" s="1"/>
  <c r="S243" i="35" s="1"/>
  <c r="D244" i="35"/>
  <c r="F244" i="35" s="1"/>
  <c r="H244" i="35" s="1"/>
  <c r="J244" i="35" s="1"/>
  <c r="L244" i="35" s="1"/>
  <c r="N244" i="35" s="1"/>
  <c r="P244" i="35" s="1"/>
  <c r="Q244" i="35"/>
  <c r="V244" i="35"/>
  <c r="U244" i="35" s="1"/>
  <c r="T244" i="35" s="1"/>
  <c r="S244" i="35" s="1"/>
  <c r="D245" i="35"/>
  <c r="F245" i="35" s="1"/>
  <c r="H245" i="35" s="1"/>
  <c r="J245" i="35" s="1"/>
  <c r="L245" i="35" s="1"/>
  <c r="N245" i="35" s="1"/>
  <c r="P245" i="35" s="1"/>
  <c r="Q245" i="35"/>
  <c r="V245" i="35"/>
  <c r="U245" i="35" s="1"/>
  <c r="T245" i="35" s="1"/>
  <c r="S245" i="35" s="1"/>
  <c r="D246" i="35"/>
  <c r="F246" i="35" s="1"/>
  <c r="H246" i="35" s="1"/>
  <c r="J246" i="35" s="1"/>
  <c r="L246" i="35" s="1"/>
  <c r="N246" i="35" s="1"/>
  <c r="P246" i="35" s="1"/>
  <c r="Q246" i="35"/>
  <c r="V246" i="35"/>
  <c r="U246" i="35" s="1"/>
  <c r="T246" i="35" s="1"/>
  <c r="S246" i="35" s="1"/>
  <c r="D247" i="35"/>
  <c r="F247" i="35" s="1"/>
  <c r="H247" i="35" s="1"/>
  <c r="J247" i="35" s="1"/>
  <c r="L247" i="35" s="1"/>
  <c r="N247" i="35" s="1"/>
  <c r="P247" i="35" s="1"/>
  <c r="Q247" i="35"/>
  <c r="V247" i="35"/>
  <c r="U247" i="35" s="1"/>
  <c r="T247" i="35" s="1"/>
  <c r="S247" i="35" s="1"/>
  <c r="D248" i="35"/>
  <c r="F248" i="35" s="1"/>
  <c r="H248" i="35" s="1"/>
  <c r="J248" i="35" s="1"/>
  <c r="L248" i="35" s="1"/>
  <c r="N248" i="35" s="1"/>
  <c r="P248" i="35" s="1"/>
  <c r="Q248" i="35"/>
  <c r="V248" i="35"/>
  <c r="U248" i="35" s="1"/>
  <c r="T248" i="35" s="1"/>
  <c r="S248" i="35" s="1"/>
  <c r="D249" i="35"/>
  <c r="F249" i="35" s="1"/>
  <c r="H249" i="35" s="1"/>
  <c r="J249" i="35" s="1"/>
  <c r="L249" i="35" s="1"/>
  <c r="N249" i="35" s="1"/>
  <c r="P249" i="35" s="1"/>
  <c r="Q249" i="35"/>
  <c r="V249" i="35"/>
  <c r="U249" i="35" s="1"/>
  <c r="T249" i="35" s="1"/>
  <c r="S249" i="35" s="1"/>
  <c r="D250" i="35"/>
  <c r="F250" i="35" s="1"/>
  <c r="H250" i="35" s="1"/>
  <c r="J250" i="35" s="1"/>
  <c r="L250" i="35" s="1"/>
  <c r="N250" i="35" s="1"/>
  <c r="P250" i="35" s="1"/>
  <c r="Q250" i="35"/>
  <c r="V250" i="35"/>
  <c r="U250" i="35" s="1"/>
  <c r="T250" i="35" s="1"/>
  <c r="S250" i="35" s="1"/>
  <c r="D251" i="35"/>
  <c r="F251" i="35" s="1"/>
  <c r="H251" i="35" s="1"/>
  <c r="J251" i="35" s="1"/>
  <c r="L251" i="35" s="1"/>
  <c r="N251" i="35" s="1"/>
  <c r="P251" i="35" s="1"/>
  <c r="Q251" i="35"/>
  <c r="V251" i="35"/>
  <c r="U251" i="35" s="1"/>
  <c r="T251" i="35" s="1"/>
  <c r="S251" i="35" s="1"/>
  <c r="D252" i="35"/>
  <c r="F252" i="35" s="1"/>
  <c r="H252" i="35" s="1"/>
  <c r="J252" i="35" s="1"/>
  <c r="L252" i="35" s="1"/>
  <c r="N252" i="35" s="1"/>
  <c r="P252" i="35" s="1"/>
  <c r="Q252" i="35"/>
  <c r="V252" i="35"/>
  <c r="U252" i="35" s="1"/>
  <c r="T252" i="35" s="1"/>
  <c r="S252" i="35" s="1"/>
  <c r="D253" i="35"/>
  <c r="F253" i="35" s="1"/>
  <c r="H253" i="35" s="1"/>
  <c r="J253" i="35" s="1"/>
  <c r="L253" i="35" s="1"/>
  <c r="N253" i="35" s="1"/>
  <c r="P253" i="35" s="1"/>
  <c r="Q253" i="35"/>
  <c r="V253" i="35"/>
  <c r="U253" i="35" s="1"/>
  <c r="T253" i="35" s="1"/>
  <c r="S253" i="35" s="1"/>
  <c r="D254" i="35"/>
  <c r="F254" i="35" s="1"/>
  <c r="H254" i="35" s="1"/>
  <c r="J254" i="35" s="1"/>
  <c r="L254" i="35" s="1"/>
  <c r="N254" i="35" s="1"/>
  <c r="P254" i="35" s="1"/>
  <c r="Q254" i="35"/>
  <c r="V254" i="35"/>
  <c r="U254" i="35" s="1"/>
  <c r="T254" i="35" s="1"/>
  <c r="S254" i="35" s="1"/>
  <c r="D255" i="35"/>
  <c r="F255" i="35" s="1"/>
  <c r="H255" i="35" s="1"/>
  <c r="J255" i="35" s="1"/>
  <c r="L255" i="35" s="1"/>
  <c r="N255" i="35" s="1"/>
  <c r="P255" i="35" s="1"/>
  <c r="Q255" i="35"/>
  <c r="V255" i="35"/>
  <c r="U255" i="35" s="1"/>
  <c r="T255" i="35" s="1"/>
  <c r="S255" i="35" s="1"/>
  <c r="D256" i="35"/>
  <c r="F256" i="35" s="1"/>
  <c r="H256" i="35" s="1"/>
  <c r="J256" i="35" s="1"/>
  <c r="L256" i="35" s="1"/>
  <c r="N256" i="35" s="1"/>
  <c r="P256" i="35" s="1"/>
  <c r="Q256" i="35"/>
  <c r="V256" i="35"/>
  <c r="U256" i="35" s="1"/>
  <c r="T256" i="35" s="1"/>
  <c r="S256" i="35" s="1"/>
  <c r="D257" i="35"/>
  <c r="F257" i="35" s="1"/>
  <c r="H257" i="35" s="1"/>
  <c r="J257" i="35" s="1"/>
  <c r="L257" i="35" s="1"/>
  <c r="N257" i="35" s="1"/>
  <c r="P257" i="35" s="1"/>
  <c r="Q257" i="35"/>
  <c r="V257" i="35"/>
  <c r="U257" i="35" s="1"/>
  <c r="T257" i="35" s="1"/>
  <c r="S257" i="35" s="1"/>
  <c r="D258" i="35"/>
  <c r="F258" i="35" s="1"/>
  <c r="H258" i="35" s="1"/>
  <c r="J258" i="35" s="1"/>
  <c r="L258" i="35" s="1"/>
  <c r="N258" i="35" s="1"/>
  <c r="P258" i="35" s="1"/>
  <c r="Q258" i="35"/>
  <c r="V258" i="35"/>
  <c r="U258" i="35" s="1"/>
  <c r="T258" i="35" s="1"/>
  <c r="S258" i="35" s="1"/>
  <c r="D259" i="35"/>
  <c r="F259" i="35" s="1"/>
  <c r="H259" i="35" s="1"/>
  <c r="J259" i="35" s="1"/>
  <c r="L259" i="35" s="1"/>
  <c r="N259" i="35" s="1"/>
  <c r="P259" i="35" s="1"/>
  <c r="Q259" i="35"/>
  <c r="V259" i="35"/>
  <c r="U259" i="35" s="1"/>
  <c r="T259" i="35" s="1"/>
  <c r="S259" i="35" s="1"/>
  <c r="D260" i="35"/>
  <c r="F260" i="35" s="1"/>
  <c r="H260" i="35" s="1"/>
  <c r="J260" i="35" s="1"/>
  <c r="L260" i="35" s="1"/>
  <c r="N260" i="35" s="1"/>
  <c r="P260" i="35" s="1"/>
  <c r="Q260" i="35"/>
  <c r="V260" i="35"/>
  <c r="U260" i="35" s="1"/>
  <c r="T260" i="35" s="1"/>
  <c r="S260" i="35" s="1"/>
  <c r="D261" i="35"/>
  <c r="F261" i="35" s="1"/>
  <c r="H261" i="35" s="1"/>
  <c r="J261" i="35" s="1"/>
  <c r="L261" i="35" s="1"/>
  <c r="N261" i="35" s="1"/>
  <c r="P261" i="35" s="1"/>
  <c r="Q261" i="35"/>
  <c r="V261" i="35"/>
  <c r="U261" i="35" s="1"/>
  <c r="T261" i="35" s="1"/>
  <c r="S261" i="35" s="1"/>
  <c r="L27" i="35" l="1"/>
  <c r="N27" i="35" s="1"/>
  <c r="P27" i="35" s="1"/>
  <c r="Q28" i="35"/>
  <c r="AG267" i="1"/>
  <c r="AD267" i="1"/>
  <c r="P267" i="1"/>
  <c r="AA267" i="1"/>
  <c r="X267" i="1"/>
  <c r="U267" i="1"/>
  <c r="AG266" i="1"/>
  <c r="AD266" i="1"/>
  <c r="AA266" i="1"/>
  <c r="X266" i="1"/>
  <c r="U266" i="1"/>
  <c r="P266" i="1"/>
  <c r="D11" i="4"/>
  <c r="D10" i="4"/>
  <c r="E89" i="4"/>
  <c r="E88" i="4" s="1"/>
  <c r="E87" i="4" s="1"/>
  <c r="E86" i="4" s="1"/>
  <c r="E85" i="4" s="1"/>
  <c r="E84" i="4" s="1"/>
  <c r="E83" i="4" s="1"/>
  <c r="E60" i="4"/>
  <c r="E31" i="4"/>
  <c r="E21" i="4"/>
  <c r="W64" i="3" l="1"/>
  <c r="W59" i="3" s="1"/>
  <c r="AH267" i="1"/>
  <c r="AH266" i="1"/>
  <c r="C247" i="1" l="1"/>
  <c r="E247" i="1"/>
  <c r="K247" i="1"/>
  <c r="M247" i="1" s="1"/>
  <c r="O247" i="1" s="1"/>
  <c r="K90" i="1"/>
  <c r="M90" i="1" s="1"/>
  <c r="O90" i="1" s="1"/>
  <c r="E90" i="1"/>
  <c r="C90" i="1"/>
  <c r="AA247" i="1" l="1"/>
  <c r="AD247" i="1"/>
  <c r="AG247" i="1"/>
  <c r="P247" i="1"/>
  <c r="U247" i="1"/>
  <c r="X247" i="1"/>
  <c r="AG90" i="1"/>
  <c r="AD90" i="1"/>
  <c r="AA90" i="1"/>
  <c r="X90" i="1"/>
  <c r="U90" i="1"/>
  <c r="P90" i="1"/>
  <c r="AH247" i="1" l="1"/>
  <c r="AH90" i="1"/>
  <c r="C228" i="1" l="1"/>
  <c r="E228" i="1"/>
  <c r="K228" i="1"/>
  <c r="M228" i="1" s="1"/>
  <c r="O228" i="1" s="1"/>
  <c r="C103" i="1"/>
  <c r="E103" i="1"/>
  <c r="K103" i="1"/>
  <c r="M103" i="1" s="1"/>
  <c r="O103" i="1" s="1"/>
  <c r="C102" i="1"/>
  <c r="E102" i="1"/>
  <c r="K102" i="1"/>
  <c r="M102" i="1" s="1"/>
  <c r="O102" i="1" s="1"/>
  <c r="C46" i="1"/>
  <c r="E46" i="1"/>
  <c r="K46" i="1"/>
  <c r="M46" i="1" s="1"/>
  <c r="O46" i="1" s="1"/>
  <c r="C47" i="1"/>
  <c r="E47" i="1"/>
  <c r="K47" i="1"/>
  <c r="M47" i="1" s="1"/>
  <c r="O47" i="1" s="1"/>
  <c r="E86" i="1"/>
  <c r="E95" i="1"/>
  <c r="E94" i="1"/>
  <c r="D74" i="4"/>
  <c r="D66" i="4"/>
  <c r="D60" i="4"/>
  <c r="D52" i="4"/>
  <c r="D48" i="4"/>
  <c r="D43" i="4"/>
  <c r="D31" i="4"/>
  <c r="C48" i="1"/>
  <c r="E48" i="1"/>
  <c r="K48" i="1"/>
  <c r="M48" i="1" s="1"/>
  <c r="O48" i="1" s="1"/>
  <c r="C229" i="1"/>
  <c r="E229" i="1"/>
  <c r="K229" i="1"/>
  <c r="M229" i="1" s="1"/>
  <c r="O229" i="1" s="1"/>
  <c r="AA228" i="1" l="1"/>
  <c r="AD228" i="1"/>
  <c r="AG228" i="1"/>
  <c r="P228" i="1"/>
  <c r="U228" i="1"/>
  <c r="X228" i="1"/>
  <c r="AA103" i="1"/>
  <c r="AD103" i="1"/>
  <c r="AG103" i="1"/>
  <c r="P103" i="1"/>
  <c r="U103" i="1"/>
  <c r="X103" i="1"/>
  <c r="AD102" i="1"/>
  <c r="AG102" i="1"/>
  <c r="AA102" i="1"/>
  <c r="P102" i="1"/>
  <c r="U102" i="1"/>
  <c r="X102" i="1"/>
  <c r="AA46" i="1"/>
  <c r="AD46" i="1"/>
  <c r="AG46" i="1"/>
  <c r="P46" i="1"/>
  <c r="U46" i="1"/>
  <c r="X46" i="1"/>
  <c r="AA47" i="1"/>
  <c r="AD47" i="1"/>
  <c r="AG47" i="1"/>
  <c r="X47" i="1"/>
  <c r="P47" i="1"/>
  <c r="U47" i="1"/>
  <c r="D7" i="4"/>
  <c r="AA48" i="1"/>
  <c r="AD48" i="1"/>
  <c r="AG48" i="1"/>
  <c r="P48" i="1"/>
  <c r="U48" i="1"/>
  <c r="X48" i="1"/>
  <c r="AA229" i="1"/>
  <c r="AG229" i="1"/>
  <c r="P229" i="1"/>
  <c r="X229" i="1"/>
  <c r="AD229" i="1"/>
  <c r="U229" i="1"/>
  <c r="W42" i="3" l="1"/>
  <c r="AH228" i="1"/>
  <c r="AH103" i="1"/>
  <c r="AH102" i="1"/>
  <c r="AH46" i="1"/>
  <c r="AH47" i="1"/>
  <c r="AH48" i="1"/>
  <c r="AH229" i="1"/>
  <c r="C165" i="1" l="1"/>
  <c r="E165" i="1"/>
  <c r="K165" i="1"/>
  <c r="M165" i="1" s="1"/>
  <c r="O165" i="1" s="1"/>
  <c r="P165" i="1" l="1"/>
  <c r="AA165" i="1"/>
  <c r="AD165" i="1"/>
  <c r="U165" i="1"/>
  <c r="X165" i="1"/>
  <c r="AG165" i="1"/>
  <c r="AH165" i="1" l="1"/>
  <c r="C337" i="1" l="1"/>
  <c r="E337" i="1"/>
  <c r="K337" i="1"/>
  <c r="M337" i="1" s="1"/>
  <c r="O337" i="1" s="1"/>
  <c r="K39" i="1"/>
  <c r="M39" i="1" s="1"/>
  <c r="O39" i="1" s="1"/>
  <c r="E39" i="1"/>
  <c r="C39" i="1"/>
  <c r="AA337" i="1" l="1"/>
  <c r="X337" i="1"/>
  <c r="U337" i="1"/>
  <c r="AG337" i="1"/>
  <c r="AD337" i="1"/>
  <c r="P337" i="1"/>
  <c r="AA39" i="1"/>
  <c r="AG39" i="1"/>
  <c r="AD39" i="1"/>
  <c r="U39" i="1"/>
  <c r="P39" i="1"/>
  <c r="X39" i="1"/>
  <c r="K80" i="1"/>
  <c r="AH337" i="1" l="1"/>
  <c r="AH39" i="1"/>
  <c r="C42" i="1"/>
  <c r="E42" i="1"/>
  <c r="K42" i="1"/>
  <c r="M42" i="1" s="1"/>
  <c r="O42" i="1" s="1"/>
  <c r="C16" i="1"/>
  <c r="C17" i="1"/>
  <c r="C18" i="1"/>
  <c r="E16" i="1"/>
  <c r="E17" i="1"/>
  <c r="E18" i="1"/>
  <c r="K16" i="1"/>
  <c r="M16" i="1" s="1"/>
  <c r="O16" i="1" s="1"/>
  <c r="K17" i="1"/>
  <c r="M17" i="1" s="1"/>
  <c r="O17" i="1" s="1"/>
  <c r="K18" i="1"/>
  <c r="M18" i="1" s="1"/>
  <c r="O18" i="1" s="1"/>
  <c r="C240" i="1"/>
  <c r="E240" i="1"/>
  <c r="K240" i="1"/>
  <c r="M240" i="1" s="1"/>
  <c r="O240" i="1" s="1"/>
  <c r="C100" i="1"/>
  <c r="C99" i="1"/>
  <c r="C98" i="1"/>
  <c r="C97" i="1"/>
  <c r="E100" i="1"/>
  <c r="E99" i="1"/>
  <c r="E98" i="1"/>
  <c r="E97" i="1"/>
  <c r="K100" i="1"/>
  <c r="M100" i="1" s="1"/>
  <c r="O100" i="1" s="1"/>
  <c r="K99" i="1"/>
  <c r="M99" i="1" s="1"/>
  <c r="O99" i="1" s="1"/>
  <c r="K98" i="1"/>
  <c r="M98" i="1" s="1"/>
  <c r="O98" i="1" s="1"/>
  <c r="K97" i="1"/>
  <c r="M97" i="1" s="1"/>
  <c r="O97" i="1" s="1"/>
  <c r="K340" i="1"/>
  <c r="M340" i="1" s="1"/>
  <c r="O340" i="1" s="1"/>
  <c r="E340" i="1"/>
  <c r="C340" i="1"/>
  <c r="K209" i="1"/>
  <c r="M209" i="1" s="1"/>
  <c r="O209" i="1" s="1"/>
  <c r="E209" i="1"/>
  <c r="C209" i="1"/>
  <c r="C109" i="1"/>
  <c r="E109" i="1"/>
  <c r="K109" i="1"/>
  <c r="M109" i="1" s="1"/>
  <c r="O109" i="1" s="1"/>
  <c r="AA42" i="1" l="1"/>
  <c r="X42" i="1"/>
  <c r="P42" i="1"/>
  <c r="AG42" i="1"/>
  <c r="AD42" i="1"/>
  <c r="U42" i="1"/>
  <c r="P18" i="1"/>
  <c r="AA18" i="1"/>
  <c r="X18" i="1"/>
  <c r="AD18" i="1"/>
  <c r="U18" i="1"/>
  <c r="AG18" i="1"/>
  <c r="X17" i="1"/>
  <c r="AA17" i="1"/>
  <c r="P17" i="1"/>
  <c r="AD17" i="1"/>
  <c r="U17" i="1"/>
  <c r="AG17" i="1"/>
  <c r="AA16" i="1"/>
  <c r="P16" i="1"/>
  <c r="AD16" i="1"/>
  <c r="AG16" i="1"/>
  <c r="U16" i="1"/>
  <c r="X16" i="1"/>
  <c r="AD240" i="1"/>
  <c r="AG240" i="1"/>
  <c r="AA240" i="1"/>
  <c r="P240" i="1"/>
  <c r="U240" i="1"/>
  <c r="X240" i="1"/>
  <c r="P100" i="1"/>
  <c r="U100" i="1"/>
  <c r="AG100" i="1"/>
  <c r="X100" i="1"/>
  <c r="AA100" i="1"/>
  <c r="AD100" i="1"/>
  <c r="U97" i="1"/>
  <c r="AG97" i="1"/>
  <c r="X97" i="1"/>
  <c r="P97" i="1"/>
  <c r="AD97" i="1"/>
  <c r="AA97" i="1"/>
  <c r="AG98" i="1"/>
  <c r="P98" i="1"/>
  <c r="AD98" i="1"/>
  <c r="AA98" i="1"/>
  <c r="X98" i="1"/>
  <c r="Z41" i="3" s="1"/>
  <c r="U98" i="1"/>
  <c r="P99" i="1"/>
  <c r="AD99" i="1"/>
  <c r="AG99" i="1"/>
  <c r="U99" i="1"/>
  <c r="AA99" i="1"/>
  <c r="X99" i="1"/>
  <c r="AG340" i="1"/>
  <c r="AD340" i="1"/>
  <c r="AA340" i="1"/>
  <c r="X340" i="1"/>
  <c r="AA66" i="3" s="1"/>
  <c r="U340" i="1"/>
  <c r="V66" i="3" s="1"/>
  <c r="P340" i="1"/>
  <c r="AG209" i="1"/>
  <c r="AD209" i="1"/>
  <c r="AA209" i="1"/>
  <c r="X209" i="1"/>
  <c r="U209" i="1"/>
  <c r="P209" i="1"/>
  <c r="AD109" i="1"/>
  <c r="AG109" i="1"/>
  <c r="X109" i="1"/>
  <c r="Y43" i="3" s="1"/>
  <c r="AA109" i="1"/>
  <c r="P109" i="1"/>
  <c r="U109" i="1"/>
  <c r="Y66" i="3" l="1"/>
  <c r="V43" i="3"/>
  <c r="W43" i="3"/>
  <c r="AH42" i="1"/>
  <c r="AH17" i="1"/>
  <c r="AH18" i="1"/>
  <c r="AH16" i="1"/>
  <c r="AH240" i="1"/>
  <c r="AH97" i="1"/>
  <c r="AH100" i="1"/>
  <c r="AH99" i="1"/>
  <c r="AH98" i="1"/>
  <c r="AH340" i="1"/>
  <c r="AH209" i="1"/>
  <c r="AH109" i="1"/>
  <c r="C315" i="1" l="1"/>
  <c r="C338" i="1"/>
  <c r="C163" i="1"/>
  <c r="C297" i="1"/>
  <c r="C298" i="1"/>
  <c r="C335" i="1"/>
  <c r="C336" i="1"/>
  <c r="C318" i="1"/>
  <c r="C319" i="1"/>
  <c r="C320" i="1"/>
  <c r="C321" i="1"/>
  <c r="C322" i="1"/>
  <c r="C324" i="1"/>
  <c r="C325" i="1"/>
  <c r="C326" i="1"/>
  <c r="C327" i="1"/>
  <c r="C328" i="1"/>
  <c r="C329" i="1"/>
  <c r="C331" i="1"/>
  <c r="C330" i="1"/>
  <c r="C332" i="1"/>
  <c r="C333" i="1"/>
  <c r="C271" i="1"/>
  <c r="C334" i="1"/>
  <c r="C268" i="1"/>
  <c r="C164" i="1"/>
  <c r="C188" i="1"/>
  <c r="C317" i="1"/>
  <c r="C341" i="1"/>
  <c r="C342" i="1"/>
  <c r="C343" i="1"/>
  <c r="C345" i="1"/>
  <c r="C347" i="1"/>
  <c r="C348" i="1"/>
  <c r="C350" i="1"/>
  <c r="C351" i="1"/>
  <c r="C352" i="1"/>
  <c r="C353" i="1"/>
  <c r="C354" i="1"/>
  <c r="C274" i="1"/>
  <c r="E315" i="1"/>
  <c r="E338" i="1"/>
  <c r="E163" i="1"/>
  <c r="E297" i="1"/>
  <c r="E298" i="1"/>
  <c r="E335" i="1"/>
  <c r="E336" i="1"/>
  <c r="E318" i="1"/>
  <c r="E319" i="1"/>
  <c r="E320" i="1"/>
  <c r="E321" i="1"/>
  <c r="E322" i="1"/>
  <c r="E324" i="1"/>
  <c r="E325" i="1"/>
  <c r="E326" i="1"/>
  <c r="E327" i="1"/>
  <c r="E328" i="1"/>
  <c r="E329" i="1"/>
  <c r="E331" i="1"/>
  <c r="E330" i="1"/>
  <c r="E332" i="1"/>
  <c r="E333" i="1"/>
  <c r="E271" i="1"/>
  <c r="E334" i="1"/>
  <c r="E268" i="1"/>
  <c r="E164" i="1"/>
  <c r="E188" i="1"/>
  <c r="E317" i="1"/>
  <c r="E341" i="1"/>
  <c r="E342" i="1"/>
  <c r="E343" i="1"/>
  <c r="E345" i="1"/>
  <c r="E347" i="1"/>
  <c r="E348" i="1"/>
  <c r="E350" i="1"/>
  <c r="E351" i="1"/>
  <c r="E352" i="1"/>
  <c r="E353" i="1"/>
  <c r="E354" i="1"/>
  <c r="E274" i="1"/>
  <c r="K315" i="1"/>
  <c r="M315" i="1" s="1"/>
  <c r="O315" i="1" s="1"/>
  <c r="K338" i="1"/>
  <c r="M338" i="1" s="1"/>
  <c r="O338" i="1" s="1"/>
  <c r="AG338" i="1" s="1"/>
  <c r="K163" i="1"/>
  <c r="M163" i="1" s="1"/>
  <c r="K297" i="1"/>
  <c r="M297" i="1" s="1"/>
  <c r="O297" i="1" s="1"/>
  <c r="K298" i="1"/>
  <c r="M298" i="1" s="1"/>
  <c r="O298" i="1" s="1"/>
  <c r="P298" i="1" s="1"/>
  <c r="K335" i="1"/>
  <c r="M335" i="1" s="1"/>
  <c r="O335" i="1" s="1"/>
  <c r="K336" i="1"/>
  <c r="M336" i="1" s="1"/>
  <c r="O336" i="1" s="1"/>
  <c r="AA336" i="1" s="1"/>
  <c r="K318" i="1"/>
  <c r="M318" i="1" s="1"/>
  <c r="O318" i="1" s="1"/>
  <c r="K319" i="1"/>
  <c r="M319" i="1" s="1"/>
  <c r="O319" i="1" s="1"/>
  <c r="K320" i="1"/>
  <c r="M320" i="1" s="1"/>
  <c r="O320" i="1" s="1"/>
  <c r="U320" i="1" s="1"/>
  <c r="K321" i="1"/>
  <c r="M321" i="1" s="1"/>
  <c r="O321" i="1" s="1"/>
  <c r="X321" i="1" s="1"/>
  <c r="K322" i="1"/>
  <c r="M322" i="1" s="1"/>
  <c r="O322" i="1" s="1"/>
  <c r="P322" i="1" s="1"/>
  <c r="K324" i="1"/>
  <c r="M324" i="1" s="1"/>
  <c r="O324" i="1" s="1"/>
  <c r="U324" i="1" s="1"/>
  <c r="K325" i="1"/>
  <c r="M325" i="1" s="1"/>
  <c r="O325" i="1" s="1"/>
  <c r="X325" i="1" s="1"/>
  <c r="K326" i="1"/>
  <c r="M326" i="1" s="1"/>
  <c r="O326" i="1" s="1"/>
  <c r="AA326" i="1" s="1"/>
  <c r="K327" i="1"/>
  <c r="M327" i="1" s="1"/>
  <c r="O327" i="1" s="1"/>
  <c r="K328" i="1"/>
  <c r="M328" i="1" s="1"/>
  <c r="O328" i="1" s="1"/>
  <c r="P328" i="1" s="1"/>
  <c r="K329" i="1"/>
  <c r="M329" i="1" s="1"/>
  <c r="O329" i="1" s="1"/>
  <c r="K331" i="1"/>
  <c r="M331" i="1" s="1"/>
  <c r="O331" i="1" s="1"/>
  <c r="AG331" i="1" s="1"/>
  <c r="K330" i="1"/>
  <c r="M330" i="1" s="1"/>
  <c r="O330" i="1" s="1"/>
  <c r="K332" i="1"/>
  <c r="M332" i="1" s="1"/>
  <c r="O332" i="1" s="1"/>
  <c r="K333" i="1"/>
  <c r="M333" i="1" s="1"/>
  <c r="O333" i="1" s="1"/>
  <c r="K271" i="1"/>
  <c r="M271" i="1" s="1"/>
  <c r="O271" i="1" s="1"/>
  <c r="AG271" i="1" s="1"/>
  <c r="K334" i="1"/>
  <c r="M334" i="1" s="1"/>
  <c r="O334" i="1" s="1"/>
  <c r="AA334" i="1" s="1"/>
  <c r="K268" i="1"/>
  <c r="M268" i="1" s="1"/>
  <c r="O268" i="1" s="1"/>
  <c r="AA268" i="1" s="1"/>
  <c r="K164" i="1"/>
  <c r="M164" i="1" s="1"/>
  <c r="O164" i="1" s="1"/>
  <c r="K188" i="1"/>
  <c r="M188" i="1" s="1"/>
  <c r="O188" i="1" s="1"/>
  <c r="P188" i="1" s="1"/>
  <c r="K317" i="1"/>
  <c r="M317" i="1" s="1"/>
  <c r="O317" i="1" s="1"/>
  <c r="K341" i="1"/>
  <c r="M341" i="1" s="1"/>
  <c r="O341" i="1" s="1"/>
  <c r="K342" i="1"/>
  <c r="M342" i="1" s="1"/>
  <c r="O342" i="1" s="1"/>
  <c r="U342" i="1" s="1"/>
  <c r="K343" i="1"/>
  <c r="M343" i="1" s="1"/>
  <c r="O343" i="1" s="1"/>
  <c r="K345" i="1"/>
  <c r="M345" i="1" s="1"/>
  <c r="O345" i="1" s="1"/>
  <c r="X345" i="1" s="1"/>
  <c r="K347" i="1"/>
  <c r="M347" i="1" s="1"/>
  <c r="O347" i="1" s="1"/>
  <c r="AD347" i="1" s="1"/>
  <c r="K348" i="1"/>
  <c r="M348" i="1" s="1"/>
  <c r="O348" i="1" s="1"/>
  <c r="U348" i="1" s="1"/>
  <c r="K350" i="1"/>
  <c r="M350" i="1" s="1"/>
  <c r="O350" i="1" s="1"/>
  <c r="K351" i="1"/>
  <c r="M351" i="1" s="1"/>
  <c r="O351" i="1" s="1"/>
  <c r="K352" i="1"/>
  <c r="M352" i="1" s="1"/>
  <c r="O352" i="1" s="1"/>
  <c r="AA352" i="1" s="1"/>
  <c r="K353" i="1"/>
  <c r="M353" i="1" s="1"/>
  <c r="O353" i="1" s="1"/>
  <c r="P353" i="1" s="1"/>
  <c r="K354" i="1"/>
  <c r="M354" i="1" s="1"/>
  <c r="O354" i="1" s="1"/>
  <c r="K274" i="1"/>
  <c r="M274" i="1" s="1"/>
  <c r="O274" i="1" s="1"/>
  <c r="C289" i="1"/>
  <c r="C290" i="1"/>
  <c r="C291" i="1"/>
  <c r="C278" i="1"/>
  <c r="C292" i="1"/>
  <c r="C275" i="1"/>
  <c r="C276" i="1"/>
  <c r="C277" i="1"/>
  <c r="C293" i="1"/>
  <c r="C296" i="1"/>
  <c r="C269" i="1"/>
  <c r="C270" i="1"/>
  <c r="C294" i="1"/>
  <c r="C295" i="1"/>
  <c r="E289" i="1"/>
  <c r="E290" i="1"/>
  <c r="E291" i="1"/>
  <c r="E278" i="1"/>
  <c r="E292" i="1"/>
  <c r="E275" i="1"/>
  <c r="E276" i="1"/>
  <c r="E277" i="1"/>
  <c r="E293" i="1"/>
  <c r="E296" i="1"/>
  <c r="E269" i="1"/>
  <c r="E270" i="1"/>
  <c r="E294" i="1"/>
  <c r="E295" i="1"/>
  <c r="K289" i="1"/>
  <c r="M289" i="1" s="1"/>
  <c r="O289" i="1" s="1"/>
  <c r="K290" i="1"/>
  <c r="M290" i="1" s="1"/>
  <c r="O290" i="1" s="1"/>
  <c r="K291" i="1"/>
  <c r="M291" i="1" s="1"/>
  <c r="O291" i="1" s="1"/>
  <c r="U291" i="1" s="1"/>
  <c r="K278" i="1"/>
  <c r="M278" i="1" s="1"/>
  <c r="O278" i="1" s="1"/>
  <c r="K292" i="1"/>
  <c r="M292" i="1" s="1"/>
  <c r="O292" i="1" s="1"/>
  <c r="AG292" i="1" s="1"/>
  <c r="K275" i="1"/>
  <c r="M275" i="1" s="1"/>
  <c r="O275" i="1" s="1"/>
  <c r="X275" i="1" s="1"/>
  <c r="K276" i="1"/>
  <c r="M276" i="1" s="1"/>
  <c r="O276" i="1" s="1"/>
  <c r="P276" i="1" s="1"/>
  <c r="K277" i="1"/>
  <c r="M277" i="1" s="1"/>
  <c r="O277" i="1" s="1"/>
  <c r="K293" i="1"/>
  <c r="M293" i="1" s="1"/>
  <c r="O293" i="1" s="1"/>
  <c r="AA293" i="1" s="1"/>
  <c r="K296" i="1"/>
  <c r="M296" i="1" s="1"/>
  <c r="O296" i="1" s="1"/>
  <c r="K269" i="1"/>
  <c r="M269" i="1" s="1"/>
  <c r="O269" i="1" s="1"/>
  <c r="K270" i="1"/>
  <c r="M270" i="1" s="1"/>
  <c r="O270" i="1" s="1"/>
  <c r="K294" i="1"/>
  <c r="M294" i="1" s="1"/>
  <c r="O294" i="1" s="1"/>
  <c r="K295" i="1"/>
  <c r="M295" i="1" s="1"/>
  <c r="O295" i="1" s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250" i="1"/>
  <c r="C302" i="1"/>
  <c r="C303" i="1"/>
  <c r="C304" i="1"/>
  <c r="C305" i="1"/>
  <c r="C306" i="1"/>
  <c r="C307" i="1"/>
  <c r="C308" i="1"/>
  <c r="C310" i="1"/>
  <c r="C253" i="1"/>
  <c r="C312" i="1"/>
  <c r="C251" i="1"/>
  <c r="C263" i="1"/>
  <c r="C264" i="1"/>
  <c r="C255" i="1"/>
  <c r="C256" i="1"/>
  <c r="C257" i="1"/>
  <c r="C216" i="1"/>
  <c r="C258" i="1"/>
  <c r="C259" i="1"/>
  <c r="C260" i="1"/>
  <c r="C261" i="1"/>
  <c r="C311" i="1"/>
  <c r="C272" i="1"/>
  <c r="C273" i="1"/>
  <c r="C279" i="1"/>
  <c r="C280" i="1"/>
  <c r="C281" i="1"/>
  <c r="C282" i="1"/>
  <c r="C283" i="1"/>
  <c r="C284" i="1"/>
  <c r="C285" i="1"/>
  <c r="C286" i="1"/>
  <c r="C287" i="1"/>
  <c r="C288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250" i="1"/>
  <c r="E302" i="1"/>
  <c r="E303" i="1"/>
  <c r="E304" i="1"/>
  <c r="E305" i="1"/>
  <c r="E306" i="1"/>
  <c r="E307" i="1"/>
  <c r="E308" i="1"/>
  <c r="E310" i="1"/>
  <c r="E253" i="1"/>
  <c r="E312" i="1"/>
  <c r="E251" i="1"/>
  <c r="E263" i="1"/>
  <c r="E264" i="1"/>
  <c r="E255" i="1"/>
  <c r="E256" i="1"/>
  <c r="E257" i="1"/>
  <c r="E216" i="1"/>
  <c r="E258" i="1"/>
  <c r="E259" i="1"/>
  <c r="E260" i="1"/>
  <c r="E261" i="1"/>
  <c r="E311" i="1"/>
  <c r="E272" i="1"/>
  <c r="E273" i="1"/>
  <c r="E279" i="1"/>
  <c r="E280" i="1"/>
  <c r="E281" i="1"/>
  <c r="E282" i="1"/>
  <c r="E283" i="1"/>
  <c r="E284" i="1"/>
  <c r="E285" i="1"/>
  <c r="E286" i="1"/>
  <c r="E287" i="1"/>
  <c r="E288" i="1"/>
  <c r="K175" i="1"/>
  <c r="M175" i="1" s="1"/>
  <c r="O175" i="1" s="1"/>
  <c r="K176" i="1"/>
  <c r="M176" i="1" s="1"/>
  <c r="O176" i="1" s="1"/>
  <c r="K177" i="1"/>
  <c r="M177" i="1" s="1"/>
  <c r="O177" i="1" s="1"/>
  <c r="AG177" i="1" s="1"/>
  <c r="K178" i="1"/>
  <c r="M178" i="1" s="1"/>
  <c r="O178" i="1" s="1"/>
  <c r="K179" i="1"/>
  <c r="M179" i="1" s="1"/>
  <c r="O179" i="1" s="1"/>
  <c r="AA179" i="1" s="1"/>
  <c r="K180" i="1"/>
  <c r="M180" i="1" s="1"/>
  <c r="O180" i="1" s="1"/>
  <c r="K181" i="1"/>
  <c r="M181" i="1" s="1"/>
  <c r="O181" i="1" s="1"/>
  <c r="K182" i="1"/>
  <c r="M182" i="1" s="1"/>
  <c r="O182" i="1" s="1"/>
  <c r="K183" i="1"/>
  <c r="M183" i="1" s="1"/>
  <c r="O183" i="1" s="1"/>
  <c r="K184" i="1"/>
  <c r="M184" i="1" s="1"/>
  <c r="O184" i="1" s="1"/>
  <c r="K185" i="1"/>
  <c r="M185" i="1" s="1"/>
  <c r="O185" i="1" s="1"/>
  <c r="AG185" i="1" s="1"/>
  <c r="K186" i="1"/>
  <c r="M186" i="1" s="1"/>
  <c r="O186" i="1" s="1"/>
  <c r="K187" i="1"/>
  <c r="M187" i="1" s="1"/>
  <c r="O187" i="1" s="1"/>
  <c r="K250" i="1"/>
  <c r="M250" i="1" s="1"/>
  <c r="O250" i="1" s="1"/>
  <c r="AD250" i="1" s="1"/>
  <c r="K302" i="1"/>
  <c r="M302" i="1" s="1"/>
  <c r="O302" i="1" s="1"/>
  <c r="K303" i="1"/>
  <c r="M303" i="1" s="1"/>
  <c r="O303" i="1" s="1"/>
  <c r="K304" i="1"/>
  <c r="M304" i="1" s="1"/>
  <c r="O304" i="1" s="1"/>
  <c r="AG304" i="1" s="1"/>
  <c r="K305" i="1"/>
  <c r="M305" i="1" s="1"/>
  <c r="O305" i="1" s="1"/>
  <c r="AG305" i="1" s="1"/>
  <c r="K306" i="1"/>
  <c r="M306" i="1" s="1"/>
  <c r="O306" i="1" s="1"/>
  <c r="K307" i="1"/>
  <c r="M307" i="1" s="1"/>
  <c r="O307" i="1" s="1"/>
  <c r="K308" i="1"/>
  <c r="M308" i="1" s="1"/>
  <c r="O308" i="1" s="1"/>
  <c r="K310" i="1"/>
  <c r="M310" i="1" s="1"/>
  <c r="O310" i="1" s="1"/>
  <c r="K253" i="1"/>
  <c r="M253" i="1" s="1"/>
  <c r="O253" i="1" s="1"/>
  <c r="K312" i="1"/>
  <c r="M312" i="1" s="1"/>
  <c r="O312" i="1" s="1"/>
  <c r="K251" i="1"/>
  <c r="M251" i="1" s="1"/>
  <c r="O251" i="1" s="1"/>
  <c r="AG251" i="1" s="1"/>
  <c r="K263" i="1"/>
  <c r="M263" i="1" s="1"/>
  <c r="O263" i="1" s="1"/>
  <c r="AD263" i="1" s="1"/>
  <c r="K264" i="1"/>
  <c r="M264" i="1" s="1"/>
  <c r="O264" i="1" s="1"/>
  <c r="K255" i="1"/>
  <c r="M255" i="1" s="1"/>
  <c r="O255" i="1" s="1"/>
  <c r="AD255" i="1" s="1"/>
  <c r="K256" i="1"/>
  <c r="M256" i="1" s="1"/>
  <c r="O256" i="1" s="1"/>
  <c r="K257" i="1"/>
  <c r="M257" i="1" s="1"/>
  <c r="O257" i="1" s="1"/>
  <c r="K216" i="1"/>
  <c r="M216" i="1" s="1"/>
  <c r="O216" i="1" s="1"/>
  <c r="K258" i="1"/>
  <c r="M258" i="1" s="1"/>
  <c r="O258" i="1" s="1"/>
  <c r="K259" i="1"/>
  <c r="M259" i="1" s="1"/>
  <c r="O259" i="1" s="1"/>
  <c r="AG259" i="1" s="1"/>
  <c r="K260" i="1"/>
  <c r="M260" i="1" s="1"/>
  <c r="O260" i="1" s="1"/>
  <c r="AG260" i="1" s="1"/>
  <c r="K261" i="1"/>
  <c r="M261" i="1" s="1"/>
  <c r="O261" i="1" s="1"/>
  <c r="AG261" i="1" s="1"/>
  <c r="K311" i="1"/>
  <c r="M311" i="1" s="1"/>
  <c r="O311" i="1" s="1"/>
  <c r="K272" i="1"/>
  <c r="M272" i="1" s="1"/>
  <c r="O272" i="1" s="1"/>
  <c r="K273" i="1"/>
  <c r="M273" i="1" s="1"/>
  <c r="O273" i="1" s="1"/>
  <c r="K279" i="1"/>
  <c r="M279" i="1" s="1"/>
  <c r="O279" i="1" s="1"/>
  <c r="K280" i="1"/>
  <c r="M280" i="1" s="1"/>
  <c r="O280" i="1" s="1"/>
  <c r="P280" i="1" s="1"/>
  <c r="K281" i="1"/>
  <c r="M281" i="1" s="1"/>
  <c r="O281" i="1" s="1"/>
  <c r="K282" i="1"/>
  <c r="M282" i="1" s="1"/>
  <c r="O282" i="1" s="1"/>
  <c r="U282" i="1" s="1"/>
  <c r="K283" i="1"/>
  <c r="M283" i="1" s="1"/>
  <c r="O283" i="1" s="1"/>
  <c r="K284" i="1"/>
  <c r="M284" i="1" s="1"/>
  <c r="O284" i="1" s="1"/>
  <c r="K285" i="1"/>
  <c r="M285" i="1" s="1"/>
  <c r="O285" i="1" s="1"/>
  <c r="AG285" i="1" s="1"/>
  <c r="K286" i="1"/>
  <c r="M286" i="1" s="1"/>
  <c r="O286" i="1" s="1"/>
  <c r="AG286" i="1" s="1"/>
  <c r="K287" i="1"/>
  <c r="M287" i="1" s="1"/>
  <c r="O287" i="1" s="1"/>
  <c r="AG287" i="1" s="1"/>
  <c r="K288" i="1"/>
  <c r="M288" i="1" s="1"/>
  <c r="O288" i="1" s="1"/>
  <c r="K224" i="1"/>
  <c r="M224" i="1" s="1"/>
  <c r="O224" i="1" s="1"/>
  <c r="K225" i="1"/>
  <c r="M225" i="1" s="1"/>
  <c r="O225" i="1" s="1"/>
  <c r="K241" i="1"/>
  <c r="M241" i="1" s="1"/>
  <c r="O241" i="1" s="1"/>
  <c r="K242" i="1"/>
  <c r="M242" i="1" s="1"/>
  <c r="O242" i="1" s="1"/>
  <c r="K300" i="1"/>
  <c r="M300" i="1" s="1"/>
  <c r="O300" i="1" s="1"/>
  <c r="K309" i="1"/>
  <c r="M309" i="1" s="1"/>
  <c r="O309" i="1" s="1"/>
  <c r="U309" i="1" s="1"/>
  <c r="K301" i="1"/>
  <c r="M301" i="1" s="1"/>
  <c r="O301" i="1" s="1"/>
  <c r="K316" i="1"/>
  <c r="M316" i="1" s="1"/>
  <c r="O316" i="1" s="1"/>
  <c r="K246" i="1"/>
  <c r="M246" i="1" s="1"/>
  <c r="O246" i="1" s="1"/>
  <c r="K168" i="1"/>
  <c r="M168" i="1" s="1"/>
  <c r="O168" i="1" s="1"/>
  <c r="X168" i="1" s="1"/>
  <c r="K169" i="1"/>
  <c r="M169" i="1" s="1"/>
  <c r="O169" i="1" s="1"/>
  <c r="K170" i="1"/>
  <c r="M170" i="1" s="1"/>
  <c r="O170" i="1" s="1"/>
  <c r="K171" i="1"/>
  <c r="M171" i="1" s="1"/>
  <c r="O171" i="1" s="1"/>
  <c r="K172" i="1"/>
  <c r="M172" i="1" s="1"/>
  <c r="O172" i="1" s="1"/>
  <c r="K173" i="1"/>
  <c r="M173" i="1" s="1"/>
  <c r="O173" i="1" s="1"/>
  <c r="K174" i="1"/>
  <c r="M174" i="1" s="1"/>
  <c r="O174" i="1" s="1"/>
  <c r="C189" i="1"/>
  <c r="C154" i="1"/>
  <c r="C238" i="1"/>
  <c r="C233" i="1"/>
  <c r="C234" i="1"/>
  <c r="C235" i="1"/>
  <c r="C224" i="1"/>
  <c r="C225" i="1"/>
  <c r="C241" i="1"/>
  <c r="C242" i="1"/>
  <c r="C300" i="1"/>
  <c r="C309" i="1"/>
  <c r="C301" i="1"/>
  <c r="C316" i="1"/>
  <c r="C246" i="1"/>
  <c r="C168" i="1"/>
  <c r="C169" i="1"/>
  <c r="C170" i="1"/>
  <c r="C171" i="1"/>
  <c r="C172" i="1"/>
  <c r="C173" i="1"/>
  <c r="C174" i="1"/>
  <c r="E189" i="1"/>
  <c r="E154" i="1"/>
  <c r="E238" i="1"/>
  <c r="E233" i="1"/>
  <c r="E234" i="1"/>
  <c r="E235" i="1"/>
  <c r="E224" i="1"/>
  <c r="E225" i="1"/>
  <c r="E241" i="1"/>
  <c r="E242" i="1"/>
  <c r="E300" i="1"/>
  <c r="E309" i="1"/>
  <c r="E301" i="1"/>
  <c r="E316" i="1"/>
  <c r="E246" i="1"/>
  <c r="E168" i="1"/>
  <c r="E169" i="1"/>
  <c r="E170" i="1"/>
  <c r="E171" i="1"/>
  <c r="E172" i="1"/>
  <c r="E173" i="1"/>
  <c r="E174" i="1"/>
  <c r="K189" i="1"/>
  <c r="M189" i="1" s="1"/>
  <c r="O189" i="1" s="1"/>
  <c r="K154" i="1"/>
  <c r="M154" i="1" s="1"/>
  <c r="O154" i="1" s="1"/>
  <c r="K238" i="1"/>
  <c r="M238" i="1" s="1"/>
  <c r="O238" i="1" s="1"/>
  <c r="X238" i="1" s="1"/>
  <c r="K233" i="1"/>
  <c r="M233" i="1" s="1"/>
  <c r="O233" i="1" s="1"/>
  <c r="K234" i="1"/>
  <c r="M234" i="1" s="1"/>
  <c r="O234" i="1" s="1"/>
  <c r="K235" i="1"/>
  <c r="M235" i="1" s="1"/>
  <c r="O235" i="1" s="1"/>
  <c r="C215" i="1"/>
  <c r="E215" i="1"/>
  <c r="K215" i="1"/>
  <c r="M215" i="1" s="1"/>
  <c r="O215" i="1" s="1"/>
  <c r="C213" i="1"/>
  <c r="C214" i="1"/>
  <c r="E213" i="1"/>
  <c r="E214" i="1"/>
  <c r="K213" i="1"/>
  <c r="M213" i="1" s="1"/>
  <c r="O213" i="1" s="1"/>
  <c r="K214" i="1"/>
  <c r="M214" i="1" s="1"/>
  <c r="O214" i="1" s="1"/>
  <c r="C158" i="1"/>
  <c r="C159" i="1"/>
  <c r="C160" i="1"/>
  <c r="C166" i="1"/>
  <c r="C167" i="1"/>
  <c r="C232" i="1"/>
  <c r="C190" i="1"/>
  <c r="C147" i="1"/>
  <c r="C191" i="1"/>
  <c r="C217" i="1"/>
  <c r="C218" i="1"/>
  <c r="C219" i="1"/>
  <c r="C220" i="1"/>
  <c r="C221" i="1"/>
  <c r="C22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161" i="1"/>
  <c r="C192" i="1"/>
  <c r="C162" i="1"/>
  <c r="C211" i="1"/>
  <c r="C212" i="1"/>
  <c r="E158" i="1"/>
  <c r="E159" i="1"/>
  <c r="E160" i="1"/>
  <c r="E166" i="1"/>
  <c r="E167" i="1"/>
  <c r="E232" i="1"/>
  <c r="E190" i="1"/>
  <c r="E147" i="1"/>
  <c r="E191" i="1"/>
  <c r="E217" i="1"/>
  <c r="E218" i="1"/>
  <c r="E219" i="1"/>
  <c r="E220" i="1"/>
  <c r="E221" i="1"/>
  <c r="E22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161" i="1"/>
  <c r="E192" i="1"/>
  <c r="E162" i="1"/>
  <c r="E211" i="1"/>
  <c r="E212" i="1"/>
  <c r="K158" i="1"/>
  <c r="M158" i="1" s="1"/>
  <c r="O158" i="1" s="1"/>
  <c r="K159" i="1"/>
  <c r="M159" i="1" s="1"/>
  <c r="O159" i="1" s="1"/>
  <c r="K160" i="1"/>
  <c r="M160" i="1" s="1"/>
  <c r="O160" i="1" s="1"/>
  <c r="K166" i="1"/>
  <c r="M166" i="1" s="1"/>
  <c r="O166" i="1" s="1"/>
  <c r="K167" i="1"/>
  <c r="M167" i="1" s="1"/>
  <c r="O167" i="1" s="1"/>
  <c r="K232" i="1"/>
  <c r="M232" i="1" s="1"/>
  <c r="O232" i="1" s="1"/>
  <c r="K190" i="1"/>
  <c r="M190" i="1" s="1"/>
  <c r="O190" i="1" s="1"/>
  <c r="K147" i="1"/>
  <c r="M147" i="1" s="1"/>
  <c r="O147" i="1" s="1"/>
  <c r="K191" i="1"/>
  <c r="M191" i="1" s="1"/>
  <c r="O191" i="1" s="1"/>
  <c r="K217" i="1"/>
  <c r="M217" i="1" s="1"/>
  <c r="O217" i="1" s="1"/>
  <c r="K218" i="1"/>
  <c r="M218" i="1" s="1"/>
  <c r="O218" i="1" s="1"/>
  <c r="K219" i="1"/>
  <c r="M219" i="1" s="1"/>
  <c r="O219" i="1" s="1"/>
  <c r="K220" i="1"/>
  <c r="M220" i="1" s="1"/>
  <c r="O220" i="1" s="1"/>
  <c r="K221" i="1"/>
  <c r="M221" i="1" s="1"/>
  <c r="O221" i="1" s="1"/>
  <c r="K222" i="1"/>
  <c r="M222" i="1" s="1"/>
  <c r="O222" i="1" s="1"/>
  <c r="K193" i="1"/>
  <c r="M193" i="1" s="1"/>
  <c r="O193" i="1" s="1"/>
  <c r="K194" i="1"/>
  <c r="M194" i="1" s="1"/>
  <c r="O194" i="1" s="1"/>
  <c r="K195" i="1"/>
  <c r="M195" i="1" s="1"/>
  <c r="O195" i="1" s="1"/>
  <c r="K196" i="1"/>
  <c r="M196" i="1" s="1"/>
  <c r="O196" i="1" s="1"/>
  <c r="K197" i="1"/>
  <c r="M197" i="1" s="1"/>
  <c r="O197" i="1" s="1"/>
  <c r="K198" i="1"/>
  <c r="M198" i="1" s="1"/>
  <c r="O198" i="1" s="1"/>
  <c r="K199" i="1"/>
  <c r="M199" i="1" s="1"/>
  <c r="O199" i="1" s="1"/>
  <c r="K200" i="1"/>
  <c r="M200" i="1" s="1"/>
  <c r="O200" i="1" s="1"/>
  <c r="K201" i="1"/>
  <c r="M201" i="1" s="1"/>
  <c r="O201" i="1" s="1"/>
  <c r="K202" i="1"/>
  <c r="M202" i="1" s="1"/>
  <c r="O202" i="1" s="1"/>
  <c r="K203" i="1"/>
  <c r="M203" i="1" s="1"/>
  <c r="O203" i="1" s="1"/>
  <c r="K204" i="1"/>
  <c r="M204" i="1" s="1"/>
  <c r="O204" i="1" s="1"/>
  <c r="K205" i="1"/>
  <c r="M205" i="1" s="1"/>
  <c r="O205" i="1" s="1"/>
  <c r="K206" i="1"/>
  <c r="M206" i="1" s="1"/>
  <c r="O206" i="1" s="1"/>
  <c r="K161" i="1"/>
  <c r="M161" i="1" s="1"/>
  <c r="O161" i="1" s="1"/>
  <c r="K192" i="1"/>
  <c r="M192" i="1" s="1"/>
  <c r="O192" i="1" s="1"/>
  <c r="K162" i="1"/>
  <c r="M162" i="1" s="1"/>
  <c r="O162" i="1" s="1"/>
  <c r="K211" i="1"/>
  <c r="M211" i="1" s="1"/>
  <c r="O211" i="1" s="1"/>
  <c r="K212" i="1"/>
  <c r="M212" i="1" s="1"/>
  <c r="O212" i="1" s="1"/>
  <c r="C237" i="1"/>
  <c r="C146" i="1"/>
  <c r="C148" i="1"/>
  <c r="C149" i="1"/>
  <c r="C150" i="1"/>
  <c r="C151" i="1"/>
  <c r="C152" i="1"/>
  <c r="C153" i="1"/>
  <c r="C208" i="1"/>
  <c r="C210" i="1"/>
  <c r="C155" i="1"/>
  <c r="C156" i="1"/>
  <c r="C157" i="1"/>
  <c r="E237" i="1"/>
  <c r="E146" i="1"/>
  <c r="E148" i="1"/>
  <c r="E149" i="1"/>
  <c r="E150" i="1"/>
  <c r="E151" i="1"/>
  <c r="E152" i="1"/>
  <c r="E153" i="1"/>
  <c r="E208" i="1"/>
  <c r="E210" i="1"/>
  <c r="E155" i="1"/>
  <c r="E156" i="1"/>
  <c r="E157" i="1"/>
  <c r="K237" i="1"/>
  <c r="M237" i="1" s="1"/>
  <c r="O237" i="1" s="1"/>
  <c r="K146" i="1"/>
  <c r="M146" i="1" s="1"/>
  <c r="O146" i="1" s="1"/>
  <c r="K148" i="1"/>
  <c r="M148" i="1" s="1"/>
  <c r="O148" i="1" s="1"/>
  <c r="P148" i="1" s="1"/>
  <c r="K149" i="1"/>
  <c r="M149" i="1" s="1"/>
  <c r="O149" i="1" s="1"/>
  <c r="K150" i="1"/>
  <c r="M150" i="1" s="1"/>
  <c r="O150" i="1" s="1"/>
  <c r="K151" i="1"/>
  <c r="M151" i="1" s="1"/>
  <c r="O151" i="1" s="1"/>
  <c r="K152" i="1"/>
  <c r="M152" i="1" s="1"/>
  <c r="O152" i="1" s="1"/>
  <c r="K153" i="1"/>
  <c r="M153" i="1" s="1"/>
  <c r="O153" i="1" s="1"/>
  <c r="K208" i="1"/>
  <c r="M208" i="1" s="1"/>
  <c r="O208" i="1" s="1"/>
  <c r="K210" i="1"/>
  <c r="M210" i="1" s="1"/>
  <c r="O210" i="1" s="1"/>
  <c r="K155" i="1"/>
  <c r="M155" i="1" s="1"/>
  <c r="O155" i="1" s="1"/>
  <c r="X155" i="1" s="1"/>
  <c r="K156" i="1"/>
  <c r="M156" i="1" s="1"/>
  <c r="O156" i="1" s="1"/>
  <c r="K157" i="1"/>
  <c r="M157" i="1" s="1"/>
  <c r="O157" i="1" s="1"/>
  <c r="U157" i="1" s="1"/>
  <c r="C105" i="1"/>
  <c r="E105" i="1"/>
  <c r="K105" i="1"/>
  <c r="M105" i="1" s="1"/>
  <c r="O105" i="1" s="1"/>
  <c r="C122" i="1"/>
  <c r="C118" i="1"/>
  <c r="C119" i="1"/>
  <c r="C120" i="1"/>
  <c r="C129" i="1"/>
  <c r="C130" i="1"/>
  <c r="C132" i="1"/>
  <c r="C123" i="1"/>
  <c r="C124" i="1"/>
  <c r="C125" i="1"/>
  <c r="C126" i="1"/>
  <c r="C127" i="1"/>
  <c r="C128" i="1"/>
  <c r="C121" i="1"/>
  <c r="C68" i="1"/>
  <c r="C69" i="1"/>
  <c r="C70" i="1"/>
  <c r="C71" i="1"/>
  <c r="C72" i="1"/>
  <c r="C73" i="1"/>
  <c r="C76" i="1"/>
  <c r="C77" i="1"/>
  <c r="C78" i="1"/>
  <c r="C135" i="1"/>
  <c r="C136" i="1"/>
  <c r="C137" i="1"/>
  <c r="C138" i="1"/>
  <c r="C139" i="1"/>
  <c r="C140" i="1"/>
  <c r="C141" i="1"/>
  <c r="C142" i="1"/>
  <c r="C143" i="1"/>
  <c r="C144" i="1"/>
  <c r="E122" i="1"/>
  <c r="E118" i="1"/>
  <c r="E119" i="1"/>
  <c r="E120" i="1"/>
  <c r="E129" i="1"/>
  <c r="E130" i="1"/>
  <c r="E132" i="1"/>
  <c r="E123" i="1"/>
  <c r="E124" i="1"/>
  <c r="E125" i="1"/>
  <c r="E126" i="1"/>
  <c r="E127" i="1"/>
  <c r="E128" i="1"/>
  <c r="E121" i="1"/>
  <c r="E68" i="1"/>
  <c r="E69" i="1"/>
  <c r="E70" i="1"/>
  <c r="E71" i="1"/>
  <c r="E72" i="1"/>
  <c r="E73" i="1"/>
  <c r="E76" i="1"/>
  <c r="E77" i="1"/>
  <c r="E78" i="1"/>
  <c r="E135" i="1"/>
  <c r="E136" i="1"/>
  <c r="E137" i="1"/>
  <c r="E138" i="1"/>
  <c r="E139" i="1"/>
  <c r="E140" i="1"/>
  <c r="E141" i="1"/>
  <c r="E142" i="1"/>
  <c r="E143" i="1"/>
  <c r="E144" i="1"/>
  <c r="K122" i="1"/>
  <c r="M122" i="1" s="1"/>
  <c r="O122" i="1" s="1"/>
  <c r="K118" i="1"/>
  <c r="M118" i="1" s="1"/>
  <c r="O118" i="1" s="1"/>
  <c r="K119" i="1"/>
  <c r="M119" i="1" s="1"/>
  <c r="O119" i="1" s="1"/>
  <c r="AG119" i="1" s="1"/>
  <c r="K120" i="1"/>
  <c r="M120" i="1" s="1"/>
  <c r="O120" i="1" s="1"/>
  <c r="K129" i="1"/>
  <c r="M129" i="1" s="1"/>
  <c r="O129" i="1" s="1"/>
  <c r="K130" i="1"/>
  <c r="M130" i="1" s="1"/>
  <c r="O130" i="1" s="1"/>
  <c r="K132" i="1"/>
  <c r="M132" i="1" s="1"/>
  <c r="K123" i="1"/>
  <c r="M123" i="1" s="1"/>
  <c r="O123" i="1" s="1"/>
  <c r="K124" i="1"/>
  <c r="M124" i="1" s="1"/>
  <c r="O124" i="1" s="1"/>
  <c r="K125" i="1"/>
  <c r="M125" i="1" s="1"/>
  <c r="O125" i="1" s="1"/>
  <c r="K126" i="1"/>
  <c r="M126" i="1" s="1"/>
  <c r="O126" i="1" s="1"/>
  <c r="K127" i="1"/>
  <c r="M127" i="1" s="1"/>
  <c r="O127" i="1" s="1"/>
  <c r="K128" i="1"/>
  <c r="M128" i="1" s="1"/>
  <c r="O128" i="1" s="1"/>
  <c r="K121" i="1"/>
  <c r="M121" i="1" s="1"/>
  <c r="O121" i="1" s="1"/>
  <c r="K68" i="1"/>
  <c r="M68" i="1" s="1"/>
  <c r="O68" i="1" s="1"/>
  <c r="AG68" i="1" s="1"/>
  <c r="K69" i="1"/>
  <c r="M69" i="1" s="1"/>
  <c r="O69" i="1" s="1"/>
  <c r="P69" i="1" s="1"/>
  <c r="K70" i="1"/>
  <c r="M70" i="1" s="1"/>
  <c r="O70" i="1" s="1"/>
  <c r="K71" i="1"/>
  <c r="M71" i="1" s="1"/>
  <c r="O71" i="1" s="1"/>
  <c r="K72" i="1"/>
  <c r="M72" i="1" s="1"/>
  <c r="O72" i="1" s="1"/>
  <c r="K73" i="1"/>
  <c r="M73" i="1" s="1"/>
  <c r="O73" i="1" s="1"/>
  <c r="K76" i="1"/>
  <c r="M76" i="1" s="1"/>
  <c r="O76" i="1" s="1"/>
  <c r="K77" i="1"/>
  <c r="M77" i="1" s="1"/>
  <c r="O77" i="1" s="1"/>
  <c r="K78" i="1"/>
  <c r="M78" i="1" s="1"/>
  <c r="O78" i="1" s="1"/>
  <c r="K135" i="1"/>
  <c r="M135" i="1" s="1"/>
  <c r="O135" i="1" s="1"/>
  <c r="K136" i="1"/>
  <c r="M136" i="1" s="1"/>
  <c r="O136" i="1" s="1"/>
  <c r="K137" i="1"/>
  <c r="M137" i="1" s="1"/>
  <c r="O137" i="1" s="1"/>
  <c r="X137" i="1" s="1"/>
  <c r="K138" i="1"/>
  <c r="M138" i="1" s="1"/>
  <c r="O138" i="1" s="1"/>
  <c r="K139" i="1"/>
  <c r="M139" i="1" s="1"/>
  <c r="O139" i="1" s="1"/>
  <c r="K140" i="1"/>
  <c r="M140" i="1" s="1"/>
  <c r="O140" i="1" s="1"/>
  <c r="K141" i="1"/>
  <c r="M141" i="1" s="1"/>
  <c r="O141" i="1" s="1"/>
  <c r="AG141" i="1" s="1"/>
  <c r="K142" i="1"/>
  <c r="M142" i="1" s="1"/>
  <c r="O142" i="1" s="1"/>
  <c r="K143" i="1"/>
  <c r="M143" i="1" s="1"/>
  <c r="O143" i="1" s="1"/>
  <c r="K144" i="1"/>
  <c r="M144" i="1" s="1"/>
  <c r="O144" i="1" s="1"/>
  <c r="C80" i="1"/>
  <c r="C81" i="1"/>
  <c r="C83" i="1"/>
  <c r="C111" i="1"/>
  <c r="C112" i="1"/>
  <c r="E80" i="1"/>
  <c r="E81" i="1"/>
  <c r="E83" i="1"/>
  <c r="E111" i="1"/>
  <c r="E112" i="1"/>
  <c r="M80" i="1"/>
  <c r="O80" i="1" s="1"/>
  <c r="K81" i="1"/>
  <c r="M81" i="1" s="1"/>
  <c r="O81" i="1" s="1"/>
  <c r="K83" i="1"/>
  <c r="M83" i="1" s="1"/>
  <c r="O83" i="1" s="1"/>
  <c r="K111" i="1"/>
  <c r="M111" i="1" s="1"/>
  <c r="O111" i="1" s="1"/>
  <c r="K112" i="1"/>
  <c r="M112" i="1" s="1"/>
  <c r="O112" i="1" s="1"/>
  <c r="C88" i="1"/>
  <c r="C226" i="1"/>
  <c r="C227" i="1"/>
  <c r="E88" i="1"/>
  <c r="E226" i="1"/>
  <c r="E227" i="1"/>
  <c r="K88" i="1"/>
  <c r="M88" i="1" s="1"/>
  <c r="O88" i="1" s="1"/>
  <c r="K226" i="1"/>
  <c r="M226" i="1" s="1"/>
  <c r="O226" i="1" s="1"/>
  <c r="K227" i="1"/>
  <c r="M227" i="1" s="1"/>
  <c r="O227" i="1" s="1"/>
  <c r="C87" i="1"/>
  <c r="C86" i="1"/>
  <c r="E87" i="1"/>
  <c r="K87" i="1"/>
  <c r="M87" i="1" s="1"/>
  <c r="O87" i="1" s="1"/>
  <c r="K86" i="1"/>
  <c r="M86" i="1" l="1"/>
  <c r="O86" i="1" s="1"/>
  <c r="O163" i="1"/>
  <c r="X163" i="1" s="1"/>
  <c r="P271" i="1"/>
  <c r="AA297" i="1"/>
  <c r="AG297" i="1"/>
  <c r="AD297" i="1"/>
  <c r="AG328" i="1"/>
  <c r="AG325" i="1"/>
  <c r="P317" i="1"/>
  <c r="X317" i="1"/>
  <c r="X297" i="1"/>
  <c r="P342" i="1"/>
  <c r="P297" i="1"/>
  <c r="U297" i="1"/>
  <c r="AG348" i="1"/>
  <c r="AD348" i="1"/>
  <c r="AD324" i="1"/>
  <c r="P320" i="1"/>
  <c r="U353" i="1"/>
  <c r="AG353" i="1"/>
  <c r="AD333" i="1"/>
  <c r="AG333" i="1"/>
  <c r="U333" i="1"/>
  <c r="X333" i="1"/>
  <c r="AA333" i="1"/>
  <c r="P333" i="1"/>
  <c r="U188" i="1"/>
  <c r="U271" i="1"/>
  <c r="U325" i="1"/>
  <c r="AD331" i="1"/>
  <c r="P327" i="1"/>
  <c r="AG327" i="1"/>
  <c r="AA327" i="1"/>
  <c r="X327" i="1"/>
  <c r="AD327" i="1"/>
  <c r="U327" i="1"/>
  <c r="AG350" i="1"/>
  <c r="X350" i="1"/>
  <c r="U350" i="1"/>
  <c r="P164" i="1"/>
  <c r="X164" i="1"/>
  <c r="AA164" i="1"/>
  <c r="AG164" i="1"/>
  <c r="U164" i="1"/>
  <c r="AD164" i="1"/>
  <c r="X319" i="1"/>
  <c r="AD319" i="1"/>
  <c r="U319" i="1"/>
  <c r="AG319" i="1"/>
  <c r="P319" i="1"/>
  <c r="AA319" i="1"/>
  <c r="AG342" i="1"/>
  <c r="AG324" i="1"/>
  <c r="X331" i="1"/>
  <c r="AG320" i="1"/>
  <c r="P336" i="1"/>
  <c r="AG188" i="1"/>
  <c r="AD268" i="1"/>
  <c r="U298" i="1"/>
  <c r="U328" i="1"/>
  <c r="P345" i="1"/>
  <c r="AD338" i="1"/>
  <c r="AA315" i="1"/>
  <c r="P315" i="1"/>
  <c r="X315" i="1"/>
  <c r="AG315" i="1"/>
  <c r="P338" i="1"/>
  <c r="AG317" i="1"/>
  <c r="AA317" i="1"/>
  <c r="X336" i="1"/>
  <c r="U352" i="1"/>
  <c r="AG352" i="1"/>
  <c r="AD352" i="1"/>
  <c r="AG336" i="1"/>
  <c r="AG298" i="1"/>
  <c r="X352" i="1"/>
  <c r="P321" i="1"/>
  <c r="AG326" i="1"/>
  <c r="P352" i="1"/>
  <c r="AD326" i="1"/>
  <c r="P347" i="1"/>
  <c r="P343" i="1"/>
  <c r="U343" i="1"/>
  <c r="AD343" i="1"/>
  <c r="X343" i="1"/>
  <c r="AA343" i="1"/>
  <c r="AG343" i="1"/>
  <c r="P329" i="1"/>
  <c r="U329" i="1"/>
  <c r="AD329" i="1"/>
  <c r="AA329" i="1"/>
  <c r="AG329" i="1"/>
  <c r="X329" i="1"/>
  <c r="U341" i="1"/>
  <c r="X341" i="1"/>
  <c r="P341" i="1"/>
  <c r="AG341" i="1"/>
  <c r="AA341" i="1"/>
  <c r="AD341" i="1"/>
  <c r="P354" i="1"/>
  <c r="U354" i="1"/>
  <c r="AD354" i="1"/>
  <c r="AA354" i="1"/>
  <c r="X354" i="1"/>
  <c r="AG354" i="1"/>
  <c r="P335" i="1"/>
  <c r="U335" i="1"/>
  <c r="AD335" i="1"/>
  <c r="AA335" i="1"/>
  <c r="X335" i="1"/>
  <c r="AG335" i="1"/>
  <c r="U351" i="1"/>
  <c r="X351" i="1"/>
  <c r="P351" i="1"/>
  <c r="AD351" i="1"/>
  <c r="AG351" i="1"/>
  <c r="AA351" i="1"/>
  <c r="U332" i="1"/>
  <c r="X332" i="1"/>
  <c r="P332" i="1"/>
  <c r="AG332" i="1"/>
  <c r="AA332" i="1"/>
  <c r="AD332" i="1"/>
  <c r="AD330" i="1"/>
  <c r="P330" i="1"/>
  <c r="AA330" i="1"/>
  <c r="X330" i="1"/>
  <c r="AG330" i="1"/>
  <c r="U330" i="1"/>
  <c r="U318" i="1"/>
  <c r="X318" i="1"/>
  <c r="P318" i="1"/>
  <c r="AG318" i="1"/>
  <c r="AA318" i="1"/>
  <c r="AD318" i="1"/>
  <c r="X274" i="1"/>
  <c r="AA274" i="1"/>
  <c r="U274" i="1"/>
  <c r="P274" i="1"/>
  <c r="AD274" i="1"/>
  <c r="AG274" i="1"/>
  <c r="AG347" i="1"/>
  <c r="AG322" i="1"/>
  <c r="AD322" i="1"/>
  <c r="X348" i="1"/>
  <c r="U317" i="1"/>
  <c r="AD317" i="1"/>
  <c r="X338" i="1"/>
  <c r="AA338" i="1"/>
  <c r="U338" i="1"/>
  <c r="AA342" i="1"/>
  <c r="AD342" i="1"/>
  <c r="X342" i="1"/>
  <c r="AA320" i="1"/>
  <c r="AD320" i="1"/>
  <c r="X320" i="1"/>
  <c r="AG345" i="1"/>
  <c r="AG321" i="1"/>
  <c r="AA345" i="1"/>
  <c r="AA321" i="1"/>
  <c r="AD350" i="1"/>
  <c r="P350" i="1"/>
  <c r="AA350" i="1"/>
  <c r="U315" i="1"/>
  <c r="AD315" i="1"/>
  <c r="AG334" i="1"/>
  <c r="X347" i="1"/>
  <c r="AA347" i="1"/>
  <c r="U347" i="1"/>
  <c r="U268" i="1"/>
  <c r="X268" i="1"/>
  <c r="P268" i="1"/>
  <c r="AA353" i="1"/>
  <c r="AD353" i="1"/>
  <c r="X353" i="1"/>
  <c r="AA328" i="1"/>
  <c r="AD328" i="1"/>
  <c r="X328" i="1"/>
  <c r="U345" i="1"/>
  <c r="AD345" i="1"/>
  <c r="P334" i="1"/>
  <c r="U334" i="1"/>
  <c r="AD334" i="1"/>
  <c r="P348" i="1"/>
  <c r="AA348" i="1"/>
  <c r="P331" i="1"/>
  <c r="AA331" i="1"/>
  <c r="P324" i="1"/>
  <c r="AA324" i="1"/>
  <c r="X334" i="1"/>
  <c r="X324" i="1"/>
  <c r="U326" i="1"/>
  <c r="X326" i="1"/>
  <c r="P326" i="1"/>
  <c r="U336" i="1"/>
  <c r="AD336" i="1"/>
  <c r="AA271" i="1"/>
  <c r="AD271" i="1"/>
  <c r="X271" i="1"/>
  <c r="AG268" i="1"/>
  <c r="U331" i="1"/>
  <c r="AD325" i="1"/>
  <c r="P325" i="1"/>
  <c r="AA325" i="1"/>
  <c r="X322" i="1"/>
  <c r="AA322" i="1"/>
  <c r="U322" i="1"/>
  <c r="AA188" i="1"/>
  <c r="AD188" i="1"/>
  <c r="X188" i="1"/>
  <c r="AA298" i="1"/>
  <c r="AD298" i="1"/>
  <c r="X298" i="1"/>
  <c r="U321" i="1"/>
  <c r="AD321" i="1"/>
  <c r="X269" i="1"/>
  <c r="AD269" i="1"/>
  <c r="U182" i="1"/>
  <c r="AD182" i="1"/>
  <c r="P182" i="1"/>
  <c r="X289" i="1"/>
  <c r="AG289" i="1"/>
  <c r="AD276" i="1"/>
  <c r="AA276" i="1"/>
  <c r="P289" i="1"/>
  <c r="X276" i="1"/>
  <c r="U276" i="1"/>
  <c r="AG276" i="1"/>
  <c r="U275" i="1"/>
  <c r="AD275" i="1"/>
  <c r="P275" i="1"/>
  <c r="AA275" i="1"/>
  <c r="AG275" i="1"/>
  <c r="U269" i="1"/>
  <c r="U281" i="1"/>
  <c r="P281" i="1"/>
  <c r="AD281" i="1"/>
  <c r="X277" i="1"/>
  <c r="AD277" i="1"/>
  <c r="AD292" i="1"/>
  <c r="X292" i="1"/>
  <c r="AA292" i="1"/>
  <c r="X280" i="1"/>
  <c r="U292" i="1"/>
  <c r="X293" i="1"/>
  <c r="AG269" i="1"/>
  <c r="P292" i="1"/>
  <c r="AD296" i="1"/>
  <c r="X296" i="1"/>
  <c r="U296" i="1"/>
  <c r="AG296" i="1"/>
  <c r="P296" i="1"/>
  <c r="AA296" i="1"/>
  <c r="U294" i="1"/>
  <c r="P294" i="1"/>
  <c r="AD294" i="1"/>
  <c r="AA294" i="1"/>
  <c r="X294" i="1"/>
  <c r="AG294" i="1"/>
  <c r="AA290" i="1"/>
  <c r="AG290" i="1"/>
  <c r="AG281" i="1"/>
  <c r="AD293" i="1"/>
  <c r="AA269" i="1"/>
  <c r="P269" i="1"/>
  <c r="P291" i="1"/>
  <c r="AG291" i="1"/>
  <c r="U293" i="1"/>
  <c r="AA291" i="1"/>
  <c r="AA281" i="1"/>
  <c r="P293" i="1"/>
  <c r="X281" i="1"/>
  <c r="AG293" i="1"/>
  <c r="X291" i="1"/>
  <c r="AD291" i="1"/>
  <c r="AD289" i="1"/>
  <c r="AA277" i="1"/>
  <c r="AA289" i="1"/>
  <c r="AG277" i="1"/>
  <c r="U290" i="1"/>
  <c r="P277" i="1"/>
  <c r="P290" i="1"/>
  <c r="U289" i="1"/>
  <c r="X290" i="1"/>
  <c r="U277" i="1"/>
  <c r="AD290" i="1"/>
  <c r="P278" i="1"/>
  <c r="AD278" i="1"/>
  <c r="AA278" i="1"/>
  <c r="X278" i="1"/>
  <c r="U278" i="1"/>
  <c r="AG278" i="1"/>
  <c r="U295" i="1"/>
  <c r="AG295" i="1"/>
  <c r="X295" i="1"/>
  <c r="P295" i="1"/>
  <c r="AD295" i="1"/>
  <c r="AA295" i="1"/>
  <c r="P270" i="1"/>
  <c r="AD270" i="1"/>
  <c r="AA270" i="1"/>
  <c r="X270" i="1"/>
  <c r="U270" i="1"/>
  <c r="AG270" i="1"/>
  <c r="U287" i="1"/>
  <c r="AA287" i="1"/>
  <c r="AA282" i="1"/>
  <c r="AG255" i="1"/>
  <c r="U310" i="1"/>
  <c r="AG310" i="1"/>
  <c r="X310" i="1"/>
  <c r="AD310" i="1"/>
  <c r="P310" i="1"/>
  <c r="AA310" i="1"/>
  <c r="P250" i="1"/>
  <c r="AA250" i="1"/>
  <c r="AG250" i="1"/>
  <c r="U250" i="1"/>
  <c r="X250" i="1"/>
  <c r="AD180" i="1"/>
  <c r="AG180" i="1"/>
  <c r="X182" i="1"/>
  <c r="AA182" i="1"/>
  <c r="AG182" i="1"/>
  <c r="AD257" i="1"/>
  <c r="X257" i="1"/>
  <c r="AA257" i="1"/>
  <c r="U257" i="1"/>
  <c r="P257" i="1"/>
  <c r="AG257" i="1"/>
  <c r="AG178" i="1"/>
  <c r="P178" i="1"/>
  <c r="P187" i="1"/>
  <c r="AA187" i="1"/>
  <c r="U187" i="1"/>
  <c r="AG187" i="1"/>
  <c r="P288" i="1"/>
  <c r="X288" i="1"/>
  <c r="AA288" i="1"/>
  <c r="U288" i="1"/>
  <c r="AG288" i="1"/>
  <c r="AD288" i="1"/>
  <c r="AD308" i="1"/>
  <c r="U308" i="1"/>
  <c r="AG308" i="1"/>
  <c r="AD181" i="1"/>
  <c r="U181" i="1"/>
  <c r="AG181" i="1"/>
  <c r="P181" i="1"/>
  <c r="P311" i="1"/>
  <c r="AD311" i="1"/>
  <c r="X311" i="1"/>
  <c r="AA311" i="1"/>
  <c r="U311" i="1"/>
  <c r="AG311" i="1"/>
  <c r="P307" i="1"/>
  <c r="U307" i="1"/>
  <c r="AA307" i="1"/>
  <c r="AD307" i="1"/>
  <c r="AG307" i="1"/>
  <c r="X307" i="1"/>
  <c r="AG280" i="1"/>
  <c r="X282" i="1"/>
  <c r="U280" i="1"/>
  <c r="P282" i="1"/>
  <c r="AD282" i="1"/>
  <c r="AA280" i="1"/>
  <c r="P263" i="1"/>
  <c r="U261" i="1"/>
  <c r="AD280" i="1"/>
  <c r="AA261" i="1"/>
  <c r="AG263" i="1"/>
  <c r="U263" i="1"/>
  <c r="AG282" i="1"/>
  <c r="AA263" i="1"/>
  <c r="X263" i="1"/>
  <c r="P305" i="1"/>
  <c r="P260" i="1"/>
  <c r="P272" i="1"/>
  <c r="AA272" i="1"/>
  <c r="AG186" i="1"/>
  <c r="P186" i="1"/>
  <c r="P306" i="1"/>
  <c r="U306" i="1"/>
  <c r="AA306" i="1"/>
  <c r="AG306" i="1"/>
  <c r="X306" i="1"/>
  <c r="AD306" i="1"/>
  <c r="AD256" i="1"/>
  <c r="U256" i="1"/>
  <c r="AG256" i="1"/>
  <c r="AG179" i="1"/>
  <c r="AD179" i="1"/>
  <c r="P308" i="1"/>
  <c r="P287" i="1"/>
  <c r="AD272" i="1"/>
  <c r="P286" i="1"/>
  <c r="AG272" i="1"/>
  <c r="X287" i="1"/>
  <c r="X261" i="1"/>
  <c r="X187" i="1"/>
  <c r="P261" i="1"/>
  <c r="P180" i="1"/>
  <c r="P179" i="1"/>
  <c r="AD287" i="1"/>
  <c r="AD261" i="1"/>
  <c r="AD187" i="1"/>
  <c r="X256" i="1"/>
  <c r="X308" i="1"/>
  <c r="X181" i="1"/>
  <c r="U255" i="1"/>
  <c r="U180" i="1"/>
  <c r="AA256" i="1"/>
  <c r="AA308" i="1"/>
  <c r="AA181" i="1"/>
  <c r="X255" i="1"/>
  <c r="X180" i="1"/>
  <c r="U179" i="1"/>
  <c r="P256" i="1"/>
  <c r="P251" i="1"/>
  <c r="AA255" i="1"/>
  <c r="AA180" i="1"/>
  <c r="X179" i="1"/>
  <c r="U272" i="1"/>
  <c r="P255" i="1"/>
  <c r="X272" i="1"/>
  <c r="AD279" i="1"/>
  <c r="AA279" i="1"/>
  <c r="X279" i="1"/>
  <c r="U279" i="1"/>
  <c r="P279" i="1"/>
  <c r="AG279" i="1"/>
  <c r="AD284" i="1"/>
  <c r="AA284" i="1"/>
  <c r="X284" i="1"/>
  <c r="U284" i="1"/>
  <c r="P284" i="1"/>
  <c r="AG284" i="1"/>
  <c r="AA273" i="1"/>
  <c r="X273" i="1"/>
  <c r="U273" i="1"/>
  <c r="AG273" i="1"/>
  <c r="P273" i="1"/>
  <c r="AD273" i="1"/>
  <c r="AA216" i="1"/>
  <c r="X216" i="1"/>
  <c r="U216" i="1"/>
  <c r="P216" i="1"/>
  <c r="AG216" i="1"/>
  <c r="AD216" i="1"/>
  <c r="AA264" i="1"/>
  <c r="X264" i="1"/>
  <c r="U264" i="1"/>
  <c r="P264" i="1"/>
  <c r="AG264" i="1"/>
  <c r="AD264" i="1"/>
  <c r="AA253" i="1"/>
  <c r="X253" i="1"/>
  <c r="U253" i="1"/>
  <c r="P253" i="1"/>
  <c r="AG253" i="1"/>
  <c r="AD253" i="1"/>
  <c r="AA302" i="1"/>
  <c r="X302" i="1"/>
  <c r="AG302" i="1"/>
  <c r="U302" i="1"/>
  <c r="P302" i="1"/>
  <c r="AD302" i="1"/>
  <c r="AA183" i="1"/>
  <c r="AG183" i="1"/>
  <c r="X183" i="1"/>
  <c r="U183" i="1"/>
  <c r="P183" i="1"/>
  <c r="AD183" i="1"/>
  <c r="AA175" i="1"/>
  <c r="X175" i="1"/>
  <c r="U175" i="1"/>
  <c r="AG175" i="1"/>
  <c r="P175" i="1"/>
  <c r="AD175" i="1"/>
  <c r="AA283" i="1"/>
  <c r="X283" i="1"/>
  <c r="AG283" i="1"/>
  <c r="U283" i="1"/>
  <c r="P283" i="1"/>
  <c r="AD283" i="1"/>
  <c r="AD176" i="1"/>
  <c r="AA176" i="1"/>
  <c r="X176" i="1"/>
  <c r="U176" i="1"/>
  <c r="P176" i="1"/>
  <c r="AG176" i="1"/>
  <c r="AD184" i="1"/>
  <c r="AA184" i="1"/>
  <c r="X184" i="1"/>
  <c r="U184" i="1"/>
  <c r="P184" i="1"/>
  <c r="AG184" i="1"/>
  <c r="AD303" i="1"/>
  <c r="AA303" i="1"/>
  <c r="X303" i="1"/>
  <c r="U303" i="1"/>
  <c r="P303" i="1"/>
  <c r="AG303" i="1"/>
  <c r="AD312" i="1"/>
  <c r="AA312" i="1"/>
  <c r="X312" i="1"/>
  <c r="U312" i="1"/>
  <c r="P312" i="1"/>
  <c r="AG312" i="1"/>
  <c r="AD258" i="1"/>
  <c r="AA258" i="1"/>
  <c r="X258" i="1"/>
  <c r="U258" i="1"/>
  <c r="P258" i="1"/>
  <c r="AG258" i="1"/>
  <c r="U286" i="1"/>
  <c r="U260" i="1"/>
  <c r="U251" i="1"/>
  <c r="U305" i="1"/>
  <c r="U186" i="1"/>
  <c r="U178" i="1"/>
  <c r="P285" i="1"/>
  <c r="P259" i="1"/>
  <c r="P304" i="1"/>
  <c r="P185" i="1"/>
  <c r="P177" i="1"/>
  <c r="X286" i="1"/>
  <c r="X260" i="1"/>
  <c r="X251" i="1"/>
  <c r="X305" i="1"/>
  <c r="X186" i="1"/>
  <c r="X178" i="1"/>
  <c r="U285" i="1"/>
  <c r="U259" i="1"/>
  <c r="V60" i="3"/>
  <c r="U304" i="1"/>
  <c r="U185" i="1"/>
  <c r="U177" i="1"/>
  <c r="AA286" i="1"/>
  <c r="AA260" i="1"/>
  <c r="AA251" i="1"/>
  <c r="AA305" i="1"/>
  <c r="AA186" i="1"/>
  <c r="AA178" i="1"/>
  <c r="X285" i="1"/>
  <c r="X259" i="1"/>
  <c r="X304" i="1"/>
  <c r="X185" i="1"/>
  <c r="X177" i="1"/>
  <c r="AD286" i="1"/>
  <c r="AD260" i="1"/>
  <c r="AD251" i="1"/>
  <c r="AD305" i="1"/>
  <c r="AD186" i="1"/>
  <c r="AD178" i="1"/>
  <c r="AA285" i="1"/>
  <c r="AA259" i="1"/>
  <c r="AA304" i="1"/>
  <c r="AA185" i="1"/>
  <c r="AA177" i="1"/>
  <c r="AD285" i="1"/>
  <c r="AD259" i="1"/>
  <c r="AD304" i="1"/>
  <c r="AD185" i="1"/>
  <c r="AD177" i="1"/>
  <c r="P301" i="1"/>
  <c r="AA301" i="1"/>
  <c r="U170" i="1"/>
  <c r="P170" i="1"/>
  <c r="AA170" i="1"/>
  <c r="X170" i="1"/>
  <c r="AD170" i="1"/>
  <c r="P171" i="1"/>
  <c r="AA171" i="1"/>
  <c r="X300" i="1"/>
  <c r="AA300" i="1"/>
  <c r="P233" i="1"/>
  <c r="AA233" i="1"/>
  <c r="AA238" i="1"/>
  <c r="P309" i="1"/>
  <c r="AA168" i="1"/>
  <c r="AA309" i="1"/>
  <c r="AD309" i="1"/>
  <c r="X309" i="1"/>
  <c r="U242" i="1"/>
  <c r="AG242" i="1"/>
  <c r="P242" i="1"/>
  <c r="AD242" i="1"/>
  <c r="AA242" i="1"/>
  <c r="X242" i="1"/>
  <c r="AA169" i="1"/>
  <c r="X169" i="1"/>
  <c r="U169" i="1"/>
  <c r="AG169" i="1"/>
  <c r="P169" i="1"/>
  <c r="AD169" i="1"/>
  <c r="P172" i="1"/>
  <c r="AD172" i="1"/>
  <c r="AA172" i="1"/>
  <c r="X172" i="1"/>
  <c r="AG172" i="1"/>
  <c r="U172" i="1"/>
  <c r="P234" i="1"/>
  <c r="AD234" i="1"/>
  <c r="AA234" i="1"/>
  <c r="X234" i="1"/>
  <c r="U234" i="1"/>
  <c r="AG234" i="1"/>
  <c r="U173" i="1"/>
  <c r="AG173" i="1"/>
  <c r="AD173" i="1"/>
  <c r="P173" i="1"/>
  <c r="AA173" i="1"/>
  <c r="X173" i="1"/>
  <c r="U235" i="1"/>
  <c r="AG235" i="1"/>
  <c r="P235" i="1"/>
  <c r="AD235" i="1"/>
  <c r="AA235" i="1"/>
  <c r="X235" i="1"/>
  <c r="P241" i="1"/>
  <c r="AD241" i="1"/>
  <c r="AA241" i="1"/>
  <c r="X241" i="1"/>
  <c r="U241" i="1"/>
  <c r="AG241" i="1"/>
  <c r="X154" i="1"/>
  <c r="AG154" i="1"/>
  <c r="U154" i="1"/>
  <c r="P154" i="1"/>
  <c r="AD154" i="1"/>
  <c r="AA154" i="1"/>
  <c r="U246" i="1"/>
  <c r="X56" i="3" s="1"/>
  <c r="AG246" i="1"/>
  <c r="P246" i="1"/>
  <c r="AD246" i="1"/>
  <c r="AA246" i="1"/>
  <c r="X246" i="1"/>
  <c r="P316" i="1"/>
  <c r="AD316" i="1"/>
  <c r="AA316" i="1"/>
  <c r="AG316" i="1"/>
  <c r="X316" i="1"/>
  <c r="U316" i="1"/>
  <c r="U189" i="1"/>
  <c r="AG189" i="1"/>
  <c r="P189" i="1"/>
  <c r="AD189" i="1"/>
  <c r="AA189" i="1"/>
  <c r="X189" i="1"/>
  <c r="U224" i="1"/>
  <c r="AG224" i="1"/>
  <c r="P224" i="1"/>
  <c r="AD224" i="1"/>
  <c r="AA224" i="1"/>
  <c r="X224" i="1"/>
  <c r="U174" i="1"/>
  <c r="AG174" i="1"/>
  <c r="P174" i="1"/>
  <c r="AD174" i="1"/>
  <c r="AA174" i="1"/>
  <c r="X174" i="1"/>
  <c r="X225" i="1"/>
  <c r="Y55" i="3" s="1"/>
  <c r="U225" i="1"/>
  <c r="AG225" i="1"/>
  <c r="P225" i="1"/>
  <c r="AD225" i="1"/>
  <c r="AA225" i="1"/>
  <c r="AG171" i="1"/>
  <c r="AG301" i="1"/>
  <c r="AG233" i="1"/>
  <c r="U171" i="1"/>
  <c r="U301" i="1"/>
  <c r="U233" i="1"/>
  <c r="AG170" i="1"/>
  <c r="AG309" i="1"/>
  <c r="AD168" i="1"/>
  <c r="AD300" i="1"/>
  <c r="AD238" i="1"/>
  <c r="P168" i="1"/>
  <c r="P300" i="1"/>
  <c r="P238" i="1"/>
  <c r="X171" i="1"/>
  <c r="X301" i="1"/>
  <c r="X233" i="1"/>
  <c r="AG168" i="1"/>
  <c r="AG300" i="1"/>
  <c r="AG238" i="1"/>
  <c r="U168" i="1"/>
  <c r="U300" i="1"/>
  <c r="U238" i="1"/>
  <c r="AD171" i="1"/>
  <c r="AD301" i="1"/>
  <c r="AD233" i="1"/>
  <c r="AA215" i="1"/>
  <c r="AD215" i="1"/>
  <c r="X215" i="1"/>
  <c r="AG215" i="1"/>
  <c r="U215" i="1"/>
  <c r="P215" i="1"/>
  <c r="AA214" i="1"/>
  <c r="X214" i="1"/>
  <c r="P214" i="1"/>
  <c r="AD214" i="1"/>
  <c r="U214" i="1"/>
  <c r="AG214" i="1"/>
  <c r="AA213" i="1"/>
  <c r="AG213" i="1"/>
  <c r="P213" i="1"/>
  <c r="AD213" i="1"/>
  <c r="U213" i="1"/>
  <c r="X213" i="1"/>
  <c r="AA155" i="1"/>
  <c r="X166" i="1"/>
  <c r="U166" i="1"/>
  <c r="AA166" i="1"/>
  <c r="P166" i="1"/>
  <c r="AD166" i="1"/>
  <c r="AG166" i="1"/>
  <c r="AA159" i="1"/>
  <c r="X159" i="1"/>
  <c r="P159" i="1"/>
  <c r="AD159" i="1"/>
  <c r="U159" i="1"/>
  <c r="AG159" i="1"/>
  <c r="AG219" i="1"/>
  <c r="X219" i="1"/>
  <c r="AA219" i="1"/>
  <c r="P219" i="1"/>
  <c r="AD219" i="1"/>
  <c r="U219" i="1"/>
  <c r="AA211" i="1"/>
  <c r="X211" i="1"/>
  <c r="P211" i="1"/>
  <c r="AD211" i="1"/>
  <c r="U211" i="1"/>
  <c r="AG211" i="1"/>
  <c r="AA194" i="1"/>
  <c r="P194" i="1"/>
  <c r="AD194" i="1"/>
  <c r="U194" i="1"/>
  <c r="AG194" i="1"/>
  <c r="X194" i="1"/>
  <c r="AA158" i="1"/>
  <c r="X158" i="1"/>
  <c r="P158" i="1"/>
  <c r="AD158" i="1"/>
  <c r="U158" i="1"/>
  <c r="AG158" i="1"/>
  <c r="X204" i="1"/>
  <c r="AA204" i="1"/>
  <c r="U204" i="1"/>
  <c r="P204" i="1"/>
  <c r="AD204" i="1"/>
  <c r="AG204" i="1"/>
  <c r="X196" i="1"/>
  <c r="AG196" i="1"/>
  <c r="AA196" i="1"/>
  <c r="P196" i="1"/>
  <c r="AD196" i="1"/>
  <c r="U196" i="1"/>
  <c r="X218" i="1"/>
  <c r="U218" i="1"/>
  <c r="AA218" i="1"/>
  <c r="AG218" i="1"/>
  <c r="P218" i="1"/>
  <c r="AD218" i="1"/>
  <c r="X160" i="1"/>
  <c r="AA160" i="1"/>
  <c r="AG160" i="1"/>
  <c r="P160" i="1"/>
  <c r="AD160" i="1"/>
  <c r="U160" i="1"/>
  <c r="U161" i="1"/>
  <c r="AG161" i="1"/>
  <c r="X161" i="1"/>
  <c r="P161" i="1"/>
  <c r="AD161" i="1"/>
  <c r="AA161" i="1"/>
  <c r="U221" i="1"/>
  <c r="AG221" i="1"/>
  <c r="AD221" i="1"/>
  <c r="X221" i="1"/>
  <c r="AA221" i="1"/>
  <c r="P221" i="1"/>
  <c r="U220" i="1"/>
  <c r="AG220" i="1"/>
  <c r="P220" i="1"/>
  <c r="X220" i="1"/>
  <c r="AD220" i="1"/>
  <c r="AA220" i="1"/>
  <c r="P147" i="1"/>
  <c r="AD147" i="1"/>
  <c r="AA147" i="1"/>
  <c r="U147" i="1"/>
  <c r="AG147" i="1"/>
  <c r="X147" i="1"/>
  <c r="P222" i="1"/>
  <c r="AD222" i="1"/>
  <c r="U222" i="1"/>
  <c r="AG222" i="1"/>
  <c r="X222" i="1"/>
  <c r="AA222" i="1"/>
  <c r="X212" i="1"/>
  <c r="AA212" i="1"/>
  <c r="P212" i="1"/>
  <c r="AD212" i="1"/>
  <c r="U212" i="1"/>
  <c r="AG212" i="1"/>
  <c r="U205" i="1"/>
  <c r="X205" i="1"/>
  <c r="AG205" i="1"/>
  <c r="AA205" i="1"/>
  <c r="P205" i="1"/>
  <c r="AD205" i="1"/>
  <c r="P162" i="1"/>
  <c r="AD162" i="1"/>
  <c r="U162" i="1"/>
  <c r="AG162" i="1"/>
  <c r="AA162" i="1"/>
  <c r="X162" i="1"/>
  <c r="P201" i="1"/>
  <c r="AD201" i="1"/>
  <c r="U201" i="1"/>
  <c r="AG201" i="1"/>
  <c r="X201" i="1"/>
  <c r="AA201" i="1"/>
  <c r="AA202" i="1"/>
  <c r="P202" i="1"/>
  <c r="AD202" i="1"/>
  <c r="U202" i="1"/>
  <c r="AG202" i="1"/>
  <c r="X202" i="1"/>
  <c r="P192" i="1"/>
  <c r="AD192" i="1"/>
  <c r="AA192" i="1"/>
  <c r="U192" i="1"/>
  <c r="AG192" i="1"/>
  <c r="X192" i="1"/>
  <c r="P200" i="1"/>
  <c r="AD200" i="1"/>
  <c r="U200" i="1"/>
  <c r="AG200" i="1"/>
  <c r="X200" i="1"/>
  <c r="AA200" i="1"/>
  <c r="P190" i="1"/>
  <c r="AD190" i="1"/>
  <c r="U190" i="1"/>
  <c r="AG190" i="1"/>
  <c r="AA190" i="1"/>
  <c r="X190" i="1"/>
  <c r="P199" i="1"/>
  <c r="U199" i="1"/>
  <c r="AG199" i="1"/>
  <c r="X199" i="1"/>
  <c r="AA199" i="1"/>
  <c r="AD199" i="1"/>
  <c r="AD232" i="1"/>
  <c r="U232" i="1"/>
  <c r="AG232" i="1"/>
  <c r="P232" i="1"/>
  <c r="X232" i="1"/>
  <c r="AA232" i="1"/>
  <c r="AA195" i="1"/>
  <c r="P195" i="1"/>
  <c r="AD195" i="1"/>
  <c r="X195" i="1"/>
  <c r="U195" i="1"/>
  <c r="AG195" i="1"/>
  <c r="X197" i="1"/>
  <c r="AA197" i="1"/>
  <c r="AG197" i="1"/>
  <c r="U197" i="1"/>
  <c r="P197" i="1"/>
  <c r="AD197" i="1"/>
  <c r="U206" i="1"/>
  <c r="AG206" i="1"/>
  <c r="X206" i="1"/>
  <c r="AA206" i="1"/>
  <c r="AD206" i="1"/>
  <c r="P206" i="1"/>
  <c r="AA203" i="1"/>
  <c r="P203" i="1"/>
  <c r="AD203" i="1"/>
  <c r="X203" i="1"/>
  <c r="U203" i="1"/>
  <c r="AG203" i="1"/>
  <c r="AA217" i="1"/>
  <c r="P217" i="1"/>
  <c r="AD217" i="1"/>
  <c r="U217" i="1"/>
  <c r="AG217" i="1"/>
  <c r="X217" i="1"/>
  <c r="P193" i="1"/>
  <c r="AD193" i="1"/>
  <c r="AA193" i="1"/>
  <c r="U193" i="1"/>
  <c r="AG193" i="1"/>
  <c r="X193" i="1"/>
  <c r="AA191" i="1"/>
  <c r="P191" i="1"/>
  <c r="AD191" i="1"/>
  <c r="U191" i="1"/>
  <c r="AG191" i="1"/>
  <c r="X191" i="1"/>
  <c r="AA53" i="3" s="1"/>
  <c r="AA51" i="3" s="1"/>
  <c r="U198" i="1"/>
  <c r="AG198" i="1"/>
  <c r="X198" i="1"/>
  <c r="AA198" i="1"/>
  <c r="P198" i="1"/>
  <c r="AD198" i="1"/>
  <c r="U167" i="1"/>
  <c r="AG167" i="1"/>
  <c r="P167" i="1"/>
  <c r="AD167" i="1"/>
  <c r="X167" i="1"/>
  <c r="AA167" i="1"/>
  <c r="AA148" i="1"/>
  <c r="X151" i="1"/>
  <c r="AG151" i="1"/>
  <c r="P151" i="1"/>
  <c r="AD151" i="1"/>
  <c r="U151" i="1"/>
  <c r="AA151" i="1"/>
  <c r="U156" i="1"/>
  <c r="AG156" i="1"/>
  <c r="P156" i="1"/>
  <c r="AA156" i="1"/>
  <c r="X156" i="1"/>
  <c r="AD156" i="1"/>
  <c r="AG157" i="1"/>
  <c r="AD157" i="1"/>
  <c r="P157" i="1"/>
  <c r="AA157" i="1"/>
  <c r="X157" i="1"/>
  <c r="U150" i="1"/>
  <c r="AG150" i="1"/>
  <c r="P150" i="1"/>
  <c r="AA150" i="1"/>
  <c r="AD150" i="1"/>
  <c r="X150" i="1"/>
  <c r="X208" i="1"/>
  <c r="U208" i="1"/>
  <c r="AG208" i="1"/>
  <c r="P208" i="1"/>
  <c r="AD208" i="1"/>
  <c r="AA208" i="1"/>
  <c r="AA153" i="1"/>
  <c r="X153" i="1"/>
  <c r="U153" i="1"/>
  <c r="AG153" i="1"/>
  <c r="P153" i="1"/>
  <c r="AD153" i="1"/>
  <c r="P210" i="1"/>
  <c r="AD210" i="1"/>
  <c r="X210" i="1"/>
  <c r="U210" i="1"/>
  <c r="AG210" i="1"/>
  <c r="AA210" i="1"/>
  <c r="P146" i="1"/>
  <c r="AD146" i="1"/>
  <c r="AA146" i="1"/>
  <c r="X146" i="1"/>
  <c r="U146" i="1"/>
  <c r="AG146" i="1"/>
  <c r="U149" i="1"/>
  <c r="AG149" i="1"/>
  <c r="AD149" i="1"/>
  <c r="AA149" i="1"/>
  <c r="X149" i="1"/>
  <c r="P149" i="1"/>
  <c r="AA237" i="1"/>
  <c r="X237" i="1"/>
  <c r="U237" i="1"/>
  <c r="AG237" i="1"/>
  <c r="P237" i="1"/>
  <c r="AD237" i="1"/>
  <c r="U152" i="1"/>
  <c r="P152" i="1"/>
  <c r="AD152" i="1"/>
  <c r="AG152" i="1"/>
  <c r="AA152" i="1"/>
  <c r="X152" i="1"/>
  <c r="AD155" i="1"/>
  <c r="P155" i="1"/>
  <c r="AG155" i="1"/>
  <c r="AG148" i="1"/>
  <c r="U155" i="1"/>
  <c r="U148" i="1"/>
  <c r="X148" i="1"/>
  <c r="AD148" i="1"/>
  <c r="AA105" i="1"/>
  <c r="AD105" i="1"/>
  <c r="AG105" i="1"/>
  <c r="X105" i="1"/>
  <c r="P105" i="1"/>
  <c r="U105" i="1"/>
  <c r="P142" i="1"/>
  <c r="X142" i="1"/>
  <c r="AD137" i="1"/>
  <c r="AD126" i="1"/>
  <c r="AA126" i="1"/>
  <c r="AG126" i="1"/>
  <c r="U126" i="1"/>
  <c r="U137" i="1"/>
  <c r="AA137" i="1"/>
  <c r="O132" i="1"/>
  <c r="AG132" i="1" s="1"/>
  <c r="P121" i="1"/>
  <c r="AA121" i="1"/>
  <c r="X121" i="1"/>
  <c r="AA77" i="1"/>
  <c r="AD77" i="1"/>
  <c r="U77" i="1"/>
  <c r="P77" i="1"/>
  <c r="AG77" i="1"/>
  <c r="X77" i="1"/>
  <c r="P78" i="1"/>
  <c r="X78" i="1"/>
  <c r="U130" i="1"/>
  <c r="X130" i="1"/>
  <c r="AG130" i="1"/>
  <c r="P130" i="1"/>
  <c r="AD130" i="1"/>
  <c r="AA130" i="1"/>
  <c r="AD140" i="1"/>
  <c r="X140" i="1"/>
  <c r="AG140" i="1"/>
  <c r="U140" i="1"/>
  <c r="P123" i="1"/>
  <c r="X123" i="1"/>
  <c r="P72" i="1"/>
  <c r="AA72" i="1"/>
  <c r="AD72" i="1"/>
  <c r="AG72" i="1"/>
  <c r="AG137" i="1"/>
  <c r="P137" i="1"/>
  <c r="X126" i="1"/>
  <c r="P126" i="1"/>
  <c r="X119" i="1"/>
  <c r="P119" i="1"/>
  <c r="U119" i="1"/>
  <c r="AA119" i="1"/>
  <c r="AD119" i="1"/>
  <c r="U72" i="1"/>
  <c r="P140" i="1"/>
  <c r="AD68" i="1"/>
  <c r="U121" i="1"/>
  <c r="AD121" i="1"/>
  <c r="AA140" i="1"/>
  <c r="AG121" i="1"/>
  <c r="AD141" i="1"/>
  <c r="X72" i="1"/>
  <c r="X69" i="1"/>
  <c r="AA136" i="1"/>
  <c r="P136" i="1"/>
  <c r="X136" i="1"/>
  <c r="AD136" i="1"/>
  <c r="U136" i="1"/>
  <c r="AG136" i="1"/>
  <c r="AA125" i="1"/>
  <c r="P125" i="1"/>
  <c r="X125" i="1"/>
  <c r="AD125" i="1"/>
  <c r="AG125" i="1"/>
  <c r="U125" i="1"/>
  <c r="AA135" i="1"/>
  <c r="P135" i="1"/>
  <c r="AG135" i="1"/>
  <c r="AD135" i="1"/>
  <c r="U135" i="1"/>
  <c r="X135" i="1"/>
  <c r="AA122" i="1"/>
  <c r="P122" i="1"/>
  <c r="AG122" i="1"/>
  <c r="AD122" i="1"/>
  <c r="U122" i="1"/>
  <c r="X122" i="1"/>
  <c r="AD120" i="1"/>
  <c r="U120" i="1"/>
  <c r="P120" i="1"/>
  <c r="AG120" i="1"/>
  <c r="X120" i="1"/>
  <c r="AA120" i="1"/>
  <c r="AD128" i="1"/>
  <c r="U128" i="1"/>
  <c r="AA128" i="1"/>
  <c r="P128" i="1"/>
  <c r="AG128" i="1"/>
  <c r="X128" i="1"/>
  <c r="AD139" i="1"/>
  <c r="U139" i="1"/>
  <c r="AA139" i="1"/>
  <c r="P139" i="1"/>
  <c r="AG139" i="1"/>
  <c r="X139" i="1"/>
  <c r="AD73" i="1"/>
  <c r="U73" i="1"/>
  <c r="AA73" i="1"/>
  <c r="P73" i="1"/>
  <c r="AG73" i="1"/>
  <c r="X73" i="1"/>
  <c r="AG144" i="1"/>
  <c r="AA144" i="1"/>
  <c r="P144" i="1"/>
  <c r="X144" i="1"/>
  <c r="AD144" i="1"/>
  <c r="U144" i="1"/>
  <c r="AA71" i="1"/>
  <c r="P71" i="1"/>
  <c r="AG71" i="1"/>
  <c r="X71" i="1"/>
  <c r="AD71" i="1"/>
  <c r="U71" i="1"/>
  <c r="AA118" i="1"/>
  <c r="P118" i="1"/>
  <c r="AG118" i="1"/>
  <c r="X118" i="1"/>
  <c r="AD118" i="1"/>
  <c r="U118" i="1"/>
  <c r="AD138" i="1"/>
  <c r="U138" i="1"/>
  <c r="AA138" i="1"/>
  <c r="P138" i="1"/>
  <c r="AG138" i="1"/>
  <c r="X138" i="1"/>
  <c r="AA143" i="1"/>
  <c r="P143" i="1"/>
  <c r="X143" i="1"/>
  <c r="AG143" i="1"/>
  <c r="AD143" i="1"/>
  <c r="U143" i="1"/>
  <c r="AA70" i="1"/>
  <c r="X70" i="1"/>
  <c r="P70" i="1"/>
  <c r="AD70" i="1"/>
  <c r="U70" i="1"/>
  <c r="AG70" i="1"/>
  <c r="AA124" i="1"/>
  <c r="P124" i="1"/>
  <c r="X124" i="1"/>
  <c r="AD124" i="1"/>
  <c r="U124" i="1"/>
  <c r="AG124" i="1"/>
  <c r="AD129" i="1"/>
  <c r="U129" i="1"/>
  <c r="AA129" i="1"/>
  <c r="P129" i="1"/>
  <c r="AG129" i="1"/>
  <c r="X129" i="1"/>
  <c r="AD127" i="1"/>
  <c r="U127" i="1"/>
  <c r="P127" i="1"/>
  <c r="AG127" i="1"/>
  <c r="X127" i="1"/>
  <c r="AA127" i="1"/>
  <c r="AD76" i="1"/>
  <c r="U76" i="1"/>
  <c r="AA76" i="1"/>
  <c r="P76" i="1"/>
  <c r="AG76" i="1"/>
  <c r="X76" i="1"/>
  <c r="AA142" i="1"/>
  <c r="AA78" i="1"/>
  <c r="AA69" i="1"/>
  <c r="AA123" i="1"/>
  <c r="P141" i="1"/>
  <c r="P68" i="1"/>
  <c r="AA141" i="1"/>
  <c r="AA68" i="1"/>
  <c r="U142" i="1"/>
  <c r="U78" i="1"/>
  <c r="U69" i="1"/>
  <c r="U123" i="1"/>
  <c r="AD142" i="1"/>
  <c r="AD78" i="1"/>
  <c r="AD69" i="1"/>
  <c r="AD123" i="1"/>
  <c r="U141" i="1"/>
  <c r="U68" i="1"/>
  <c r="AG142" i="1"/>
  <c r="AG78" i="1"/>
  <c r="AG69" i="1"/>
  <c r="AG123" i="1"/>
  <c r="X141" i="1"/>
  <c r="X68" i="1"/>
  <c r="U112" i="1"/>
  <c r="AD112" i="1"/>
  <c r="AA112" i="1"/>
  <c r="P83" i="1"/>
  <c r="AD83" i="1"/>
  <c r="U83" i="1"/>
  <c r="W39" i="3" s="1"/>
  <c r="AA83" i="1"/>
  <c r="X83" i="1"/>
  <c r="AG83" i="1"/>
  <c r="X81" i="1"/>
  <c r="U81" i="1"/>
  <c r="AD81" i="1"/>
  <c r="AG81" i="1"/>
  <c r="P81" i="1"/>
  <c r="AA81" i="1"/>
  <c r="P112" i="1"/>
  <c r="X112" i="1"/>
  <c r="AG112" i="1"/>
  <c r="X111" i="1"/>
  <c r="AD111" i="1"/>
  <c r="P111" i="1"/>
  <c r="U111" i="1"/>
  <c r="AA111" i="1"/>
  <c r="AG111" i="1"/>
  <c r="U80" i="1"/>
  <c r="AD80" i="1"/>
  <c r="AG80" i="1"/>
  <c r="P80" i="1"/>
  <c r="AA80" i="1"/>
  <c r="X80" i="1"/>
  <c r="AA88" i="1"/>
  <c r="U88" i="1"/>
  <c r="X88" i="1"/>
  <c r="AD88" i="1"/>
  <c r="AG88" i="1"/>
  <c r="P88" i="1"/>
  <c r="AA227" i="1"/>
  <c r="X227" i="1"/>
  <c r="P227" i="1"/>
  <c r="AG227" i="1"/>
  <c r="AD227" i="1"/>
  <c r="U227" i="1"/>
  <c r="X87" i="1"/>
  <c r="AD87" i="1"/>
  <c r="AG87" i="1"/>
  <c r="U87" i="1"/>
  <c r="AA87" i="1"/>
  <c r="X226" i="1"/>
  <c r="P226" i="1"/>
  <c r="AA226" i="1"/>
  <c r="U226" i="1"/>
  <c r="AG226" i="1"/>
  <c r="AD226" i="1"/>
  <c r="P87" i="1"/>
  <c r="AA63" i="3" l="1"/>
  <c r="AA38" i="3"/>
  <c r="AA65" i="3"/>
  <c r="AA67" i="3"/>
  <c r="AA64" i="3"/>
  <c r="Z36" i="3"/>
  <c r="Z33" i="3" s="1"/>
  <c r="Y42" i="3"/>
  <c r="Z42" i="3"/>
  <c r="Z37" i="3" s="1"/>
  <c r="Y39" i="3"/>
  <c r="AA39" i="3"/>
  <c r="Y53" i="3"/>
  <c r="X63" i="3"/>
  <c r="W44" i="3"/>
  <c r="W38" i="3"/>
  <c r="V42" i="3"/>
  <c r="X42" i="3"/>
  <c r="X38" i="3"/>
  <c r="V39" i="3"/>
  <c r="X39" i="3"/>
  <c r="V44" i="3"/>
  <c r="Y67" i="3"/>
  <c r="V65" i="3"/>
  <c r="Y62" i="3"/>
  <c r="V38" i="3"/>
  <c r="V52" i="3"/>
  <c r="V51" i="3" s="1"/>
  <c r="Y36" i="3"/>
  <c r="Y33" i="3" s="1"/>
  <c r="V64" i="3"/>
  <c r="V67" i="3"/>
  <c r="X60" i="3"/>
  <c r="Y60" i="3"/>
  <c r="V63" i="3"/>
  <c r="V62" i="3"/>
  <c r="X55" i="3"/>
  <c r="Y63" i="3"/>
  <c r="Y65" i="3"/>
  <c r="Y64" i="3"/>
  <c r="X66" i="3"/>
  <c r="Y52" i="3"/>
  <c r="Y44" i="3"/>
  <c r="Y38" i="3"/>
  <c r="X50" i="3"/>
  <c r="X45" i="3" s="1"/>
  <c r="X65" i="3"/>
  <c r="X64" i="3"/>
  <c r="X54" i="3"/>
  <c r="X36" i="3"/>
  <c r="X33" i="3" s="1"/>
  <c r="V36" i="3"/>
  <c r="V33" i="3" s="1"/>
  <c r="AA163" i="1"/>
  <c r="AH286" i="1"/>
  <c r="AH177" i="1"/>
  <c r="X86" i="1"/>
  <c r="U86" i="1"/>
  <c r="P86" i="1"/>
  <c r="AD86" i="1"/>
  <c r="AG86" i="1"/>
  <c r="AA86" i="1"/>
  <c r="AH185" i="1"/>
  <c r="AH285" i="1"/>
  <c r="AG163" i="1"/>
  <c r="U163" i="1"/>
  <c r="X53" i="3" s="1"/>
  <c r="P163" i="1"/>
  <c r="AD163" i="1"/>
  <c r="AH259" i="1"/>
  <c r="AH251" i="1"/>
  <c r="AH260" i="1"/>
  <c r="AH186" i="1"/>
  <c r="AH305" i="1"/>
  <c r="AH297" i="1"/>
  <c r="AH317" i="1"/>
  <c r="AH333" i="1"/>
  <c r="AH319" i="1"/>
  <c r="AH164" i="1"/>
  <c r="AH327" i="1"/>
  <c r="AH342" i="1"/>
  <c r="AH351" i="1"/>
  <c r="AH271" i="1"/>
  <c r="AH326" i="1"/>
  <c r="AH331" i="1"/>
  <c r="AH353" i="1"/>
  <c r="AH320" i="1"/>
  <c r="AH315" i="1"/>
  <c r="AH298" i="1"/>
  <c r="AH268" i="1"/>
  <c r="AH352" i="1"/>
  <c r="AH188" i="1"/>
  <c r="AH336" i="1"/>
  <c r="AH328" i="1"/>
  <c r="AH324" i="1"/>
  <c r="AH348" i="1"/>
  <c r="AH329" i="1"/>
  <c r="AH325" i="1"/>
  <c r="AH274" i="1"/>
  <c r="AH338" i="1"/>
  <c r="AH321" i="1"/>
  <c r="AH330" i="1"/>
  <c r="AH332" i="1"/>
  <c r="AH335" i="1"/>
  <c r="AH343" i="1"/>
  <c r="AH334" i="1"/>
  <c r="AH345" i="1"/>
  <c r="AH350" i="1"/>
  <c r="AH322" i="1"/>
  <c r="AH318" i="1"/>
  <c r="AH341" i="1"/>
  <c r="AH347" i="1"/>
  <c r="AH354" i="1"/>
  <c r="AH310" i="1"/>
  <c r="AH276" i="1"/>
  <c r="AH275" i="1"/>
  <c r="AH282" i="1"/>
  <c r="AH292" i="1"/>
  <c r="AH269" i="1"/>
  <c r="AH296" i="1"/>
  <c r="AH291" i="1"/>
  <c r="AH288" i="1"/>
  <c r="AH294" i="1"/>
  <c r="AH281" i="1"/>
  <c r="AH293" i="1"/>
  <c r="AH289" i="1"/>
  <c r="AH311" i="1"/>
  <c r="AH277" i="1"/>
  <c r="AH270" i="1"/>
  <c r="AH290" i="1"/>
  <c r="AH295" i="1"/>
  <c r="AH278" i="1"/>
  <c r="AH280" i="1"/>
  <c r="AH257" i="1"/>
  <c r="AH263" i="1"/>
  <c r="AH250" i="1"/>
  <c r="AH307" i="1"/>
  <c r="AH304" i="1"/>
  <c r="AH306" i="1"/>
  <c r="AH182" i="1"/>
  <c r="AH178" i="1"/>
  <c r="AH187" i="1"/>
  <c r="AH256" i="1"/>
  <c r="AH261" i="1"/>
  <c r="AH180" i="1"/>
  <c r="AH287" i="1"/>
  <c r="AH312" i="1"/>
  <c r="AH175" i="1"/>
  <c r="AH183" i="1"/>
  <c r="AH284" i="1"/>
  <c r="AH176" i="1"/>
  <c r="AH179" i="1"/>
  <c r="AH181" i="1"/>
  <c r="AH255" i="1"/>
  <c r="AH258" i="1"/>
  <c r="AH184" i="1"/>
  <c r="AH308" i="1"/>
  <c r="AH303" i="1"/>
  <c r="AH279" i="1"/>
  <c r="AH272" i="1"/>
  <c r="AH253" i="1"/>
  <c r="AH283" i="1"/>
  <c r="AH273" i="1"/>
  <c r="AH302" i="1"/>
  <c r="AH216" i="1"/>
  <c r="AH264" i="1"/>
  <c r="AH242" i="1"/>
  <c r="AH170" i="1"/>
  <c r="AH238" i="1"/>
  <c r="AH189" i="1"/>
  <c r="AH300" i="1"/>
  <c r="AH168" i="1"/>
  <c r="AH225" i="1"/>
  <c r="AH309" i="1"/>
  <c r="AH316" i="1"/>
  <c r="AH169" i="1"/>
  <c r="AH171" i="1"/>
  <c r="AH224" i="1"/>
  <c r="AH154" i="1"/>
  <c r="AH234" i="1"/>
  <c r="AH174" i="1"/>
  <c r="AH241" i="1"/>
  <c r="AH173" i="1"/>
  <c r="AH233" i="1"/>
  <c r="AH246" i="1"/>
  <c r="AH235" i="1"/>
  <c r="AH301" i="1"/>
  <c r="AH172" i="1"/>
  <c r="AH215" i="1"/>
  <c r="AH213" i="1"/>
  <c r="AH214" i="1"/>
  <c r="U132" i="1"/>
  <c r="AH197" i="1"/>
  <c r="AH199" i="1"/>
  <c r="AH192" i="1"/>
  <c r="AH194" i="1"/>
  <c r="AH193" i="1"/>
  <c r="AH155" i="1"/>
  <c r="AH167" i="1"/>
  <c r="AH190" i="1"/>
  <c r="AH201" i="1"/>
  <c r="AH212" i="1"/>
  <c r="AH222" i="1"/>
  <c r="AH211" i="1"/>
  <c r="AH191" i="1"/>
  <c r="AH202" i="1"/>
  <c r="AH203" i="1"/>
  <c r="AH161" i="1"/>
  <c r="AH166" i="1"/>
  <c r="AH219" i="1"/>
  <c r="AH195" i="1"/>
  <c r="AH221" i="1"/>
  <c r="AH218" i="1"/>
  <c r="AH196" i="1"/>
  <c r="AH158" i="1"/>
  <c r="AH159" i="1"/>
  <c r="AH217" i="1"/>
  <c r="AH232" i="1"/>
  <c r="AH205" i="1"/>
  <c r="AH147" i="1"/>
  <c r="AH206" i="1"/>
  <c r="AH198" i="1"/>
  <c r="AH200" i="1"/>
  <c r="AH162" i="1"/>
  <c r="AH220" i="1"/>
  <c r="AH204" i="1"/>
  <c r="AH160" i="1"/>
  <c r="AH152" i="1"/>
  <c r="AH146" i="1"/>
  <c r="AH156" i="1"/>
  <c r="AH150" i="1"/>
  <c r="AH237" i="1"/>
  <c r="AH149" i="1"/>
  <c r="AH153" i="1"/>
  <c r="AH151" i="1"/>
  <c r="AH208" i="1"/>
  <c r="AH210" i="1"/>
  <c r="AH148" i="1"/>
  <c r="AH157" i="1"/>
  <c r="AH105" i="1"/>
  <c r="AH72" i="1"/>
  <c r="AH140" i="1"/>
  <c r="AH126" i="1"/>
  <c r="AH137" i="1"/>
  <c r="X132" i="1"/>
  <c r="Y50" i="3" s="1"/>
  <c r="Y45" i="3" s="1"/>
  <c r="AD132" i="1"/>
  <c r="P132" i="1"/>
  <c r="AA132" i="1"/>
  <c r="AH130" i="1"/>
  <c r="AH77" i="1"/>
  <c r="AH141" i="1"/>
  <c r="AH78" i="1"/>
  <c r="AH119" i="1"/>
  <c r="AH129" i="1"/>
  <c r="AH138" i="1"/>
  <c r="AH118" i="1"/>
  <c r="AH73" i="1"/>
  <c r="AH136" i="1"/>
  <c r="AH121" i="1"/>
  <c r="AH68" i="1"/>
  <c r="AH127" i="1"/>
  <c r="AH70" i="1"/>
  <c r="AH76" i="1"/>
  <c r="AH128" i="1"/>
  <c r="AH122" i="1"/>
  <c r="AH123" i="1"/>
  <c r="AH71" i="1"/>
  <c r="AH144" i="1"/>
  <c r="AH139" i="1"/>
  <c r="AH143" i="1"/>
  <c r="AH124" i="1"/>
  <c r="AH125" i="1"/>
  <c r="AH69" i="1"/>
  <c r="AH142" i="1"/>
  <c r="AH120" i="1"/>
  <c r="AH135" i="1"/>
  <c r="AH81" i="1"/>
  <c r="AH83" i="1"/>
  <c r="AH112" i="1"/>
  <c r="AH88" i="1"/>
  <c r="AH80" i="1"/>
  <c r="AH111" i="1"/>
  <c r="AH87" i="1"/>
  <c r="AH226" i="1"/>
  <c r="AH227" i="1"/>
  <c r="AA37" i="3" l="1"/>
  <c r="AA59" i="3"/>
  <c r="W37" i="3"/>
  <c r="V59" i="3"/>
  <c r="X59" i="3"/>
  <c r="Y51" i="3"/>
  <c r="X51" i="3"/>
  <c r="V50" i="3"/>
  <c r="V45" i="3" s="1"/>
  <c r="Y59" i="3"/>
  <c r="AH86" i="1"/>
  <c r="AH163" i="1"/>
  <c r="AH132" i="1"/>
  <c r="C57" i="1" l="1"/>
  <c r="C58" i="1"/>
  <c r="C59" i="1"/>
  <c r="C60" i="1"/>
  <c r="C61" i="1"/>
  <c r="C63" i="1"/>
  <c r="C85" i="1"/>
  <c r="C91" i="1"/>
  <c r="C93" i="1"/>
  <c r="C94" i="1"/>
  <c r="C95" i="1"/>
  <c r="E57" i="1"/>
  <c r="E58" i="1"/>
  <c r="E59" i="1"/>
  <c r="E60" i="1"/>
  <c r="E61" i="1"/>
  <c r="E63" i="1"/>
  <c r="E85" i="1"/>
  <c r="E91" i="1"/>
  <c r="E93" i="1"/>
  <c r="K57" i="1"/>
  <c r="M57" i="1" s="1"/>
  <c r="O57" i="1" s="1"/>
  <c r="AA57" i="1" s="1"/>
  <c r="K58" i="1"/>
  <c r="M58" i="1" s="1"/>
  <c r="O58" i="1" s="1"/>
  <c r="K59" i="1"/>
  <c r="M59" i="1" s="1"/>
  <c r="O59" i="1" s="1"/>
  <c r="X59" i="1" s="1"/>
  <c r="K60" i="1"/>
  <c r="M60" i="1" s="1"/>
  <c r="O60" i="1" s="1"/>
  <c r="U60" i="1" s="1"/>
  <c r="K61" i="1"/>
  <c r="M61" i="1" s="1"/>
  <c r="O61" i="1" s="1"/>
  <c r="K63" i="1"/>
  <c r="M63" i="1" s="1"/>
  <c r="O63" i="1" s="1"/>
  <c r="X63" i="1" s="1"/>
  <c r="K85" i="1"/>
  <c r="K91" i="1"/>
  <c r="M91" i="1" s="1"/>
  <c r="O91" i="1" s="1"/>
  <c r="K93" i="1"/>
  <c r="M93" i="1" s="1"/>
  <c r="O93" i="1" s="1"/>
  <c r="AA93" i="1" s="1"/>
  <c r="K94" i="1"/>
  <c r="M94" i="1" s="1"/>
  <c r="O94" i="1" s="1"/>
  <c r="K95" i="1"/>
  <c r="M95" i="1" s="1"/>
  <c r="O95" i="1" s="1"/>
  <c r="X95" i="1" s="1"/>
  <c r="C23" i="1"/>
  <c r="C29" i="1"/>
  <c r="C30" i="1"/>
  <c r="C31" i="1"/>
  <c r="C32" i="1"/>
  <c r="C33" i="1"/>
  <c r="C36" i="1"/>
  <c r="E23" i="1"/>
  <c r="E29" i="1"/>
  <c r="E30" i="1"/>
  <c r="E31" i="1"/>
  <c r="E32" i="1"/>
  <c r="E33" i="1"/>
  <c r="E36" i="1"/>
  <c r="K23" i="1"/>
  <c r="M23" i="1" s="1"/>
  <c r="K29" i="1"/>
  <c r="M29" i="1" s="1"/>
  <c r="K30" i="1"/>
  <c r="M30" i="1" s="1"/>
  <c r="O30" i="1" s="1"/>
  <c r="K31" i="1"/>
  <c r="M31" i="1" s="1"/>
  <c r="O31" i="1" s="1"/>
  <c r="K32" i="1"/>
  <c r="M32" i="1" s="1"/>
  <c r="O32" i="1" s="1"/>
  <c r="K33" i="1"/>
  <c r="M33" i="1" s="1"/>
  <c r="O33" i="1" s="1"/>
  <c r="K36" i="1"/>
  <c r="M36" i="1" s="1"/>
  <c r="O36" i="1" s="1"/>
  <c r="C40" i="1"/>
  <c r="C41" i="1"/>
  <c r="E40" i="1"/>
  <c r="E41" i="1"/>
  <c r="K40" i="1"/>
  <c r="M40" i="1" s="1"/>
  <c r="O40" i="1" s="1"/>
  <c r="K41" i="1"/>
  <c r="M41" i="1" s="1"/>
  <c r="O41" i="1" s="1"/>
  <c r="C55" i="1"/>
  <c r="E55" i="1"/>
  <c r="K55" i="1"/>
  <c r="M55" i="1" s="1"/>
  <c r="O55" i="1" s="1"/>
  <c r="B4" i="3"/>
  <c r="C108" i="1"/>
  <c r="C107" i="1"/>
  <c r="E108" i="1"/>
  <c r="E107" i="1"/>
  <c r="K108" i="1"/>
  <c r="M108" i="1" s="1"/>
  <c r="O108" i="1" s="1"/>
  <c r="K107" i="1"/>
  <c r="M107" i="1" s="1"/>
  <c r="O107" i="1" s="1"/>
  <c r="X107" i="1" s="1"/>
  <c r="D89" i="4"/>
  <c r="D88" i="4" s="1"/>
  <c r="D87" i="4" s="1"/>
  <c r="D86" i="4" s="1"/>
  <c r="D85" i="4" s="1"/>
  <c r="D84" i="4" s="1"/>
  <c r="D83" i="4" s="1"/>
  <c r="G19" i="9"/>
  <c r="O23" i="1" l="1"/>
  <c r="U23" i="1" s="1"/>
  <c r="M85" i="1"/>
  <c r="O85" i="1" s="1"/>
  <c r="O29" i="1"/>
  <c r="AD29" i="1" s="1"/>
  <c r="AA61" i="1"/>
  <c r="AG61" i="1"/>
  <c r="X61" i="1"/>
  <c r="AG60" i="1"/>
  <c r="U93" i="1"/>
  <c r="AD61" i="1"/>
  <c r="AG63" i="1"/>
  <c r="U61" i="1"/>
  <c r="U57" i="1"/>
  <c r="AA63" i="1"/>
  <c r="P57" i="1"/>
  <c r="AD63" i="1"/>
  <c r="P63" i="1"/>
  <c r="AA95" i="1"/>
  <c r="X57" i="1"/>
  <c r="P61" i="1"/>
  <c r="AD95" i="1"/>
  <c r="AD93" i="1"/>
  <c r="X93" i="1"/>
  <c r="AG93" i="1"/>
  <c r="AD57" i="1"/>
  <c r="AG57" i="1"/>
  <c r="U63" i="1"/>
  <c r="P93" i="1"/>
  <c r="Y41" i="3"/>
  <c r="Y37" i="3" s="1"/>
  <c r="X94" i="1"/>
  <c r="AA94" i="1"/>
  <c r="AD94" i="1"/>
  <c r="AG94" i="1"/>
  <c r="P94" i="1"/>
  <c r="U94" i="1"/>
  <c r="U91" i="1"/>
  <c r="AG91" i="1"/>
  <c r="X91" i="1"/>
  <c r="AA91" i="1"/>
  <c r="AD91" i="1"/>
  <c r="P91" i="1"/>
  <c r="X58" i="1"/>
  <c r="AA58" i="1"/>
  <c r="AD58" i="1"/>
  <c r="AG58" i="1"/>
  <c r="P58" i="1"/>
  <c r="U58" i="1"/>
  <c r="AG95" i="1"/>
  <c r="U95" i="1"/>
  <c r="AA60" i="1"/>
  <c r="X60" i="1"/>
  <c r="P59" i="1"/>
  <c r="AD59" i="1"/>
  <c r="AA59" i="1"/>
  <c r="P95" i="1"/>
  <c r="AG59" i="1"/>
  <c r="U59" i="1"/>
  <c r="P60" i="1"/>
  <c r="AD60" i="1"/>
  <c r="P33" i="1"/>
  <c r="AG33" i="1"/>
  <c r="AD33" i="1"/>
  <c r="AA33" i="1"/>
  <c r="X33" i="1"/>
  <c r="U33" i="1"/>
  <c r="AA23" i="1"/>
  <c r="P23" i="1"/>
  <c r="AG23" i="1"/>
  <c r="AD23" i="1"/>
  <c r="AG32" i="1"/>
  <c r="AD32" i="1"/>
  <c r="AA32" i="1"/>
  <c r="X32" i="1"/>
  <c r="U32" i="1"/>
  <c r="P32" i="1"/>
  <c r="AD31" i="1"/>
  <c r="AG31" i="1"/>
  <c r="AA31" i="1"/>
  <c r="U31" i="1"/>
  <c r="P31" i="1"/>
  <c r="X31" i="1"/>
  <c r="U36" i="1"/>
  <c r="P36" i="1"/>
  <c r="AG36" i="1"/>
  <c r="AD36" i="1"/>
  <c r="AA36" i="1"/>
  <c r="X36" i="1"/>
  <c r="AG30" i="1"/>
  <c r="AD30" i="1"/>
  <c r="AA30" i="1"/>
  <c r="X30" i="1"/>
  <c r="P30" i="1"/>
  <c r="U30" i="1"/>
  <c r="AD40" i="1"/>
  <c r="AG40" i="1"/>
  <c r="X40" i="1"/>
  <c r="U40" i="1"/>
  <c r="AA40" i="1"/>
  <c r="P40" i="1"/>
  <c r="P41" i="1"/>
  <c r="AD41" i="1"/>
  <c r="U41" i="1"/>
  <c r="V24" i="3" s="1"/>
  <c r="AG41" i="1"/>
  <c r="X41" i="1"/>
  <c r="AA41" i="1"/>
  <c r="AA55" i="1"/>
  <c r="P55" i="1"/>
  <c r="X55" i="1"/>
  <c r="X31" i="3" s="1"/>
  <c r="U55" i="1"/>
  <c r="AG55" i="1"/>
  <c r="AD55" i="1"/>
  <c r="AG107" i="1"/>
  <c r="P107" i="1"/>
  <c r="AD107" i="1"/>
  <c r="U107" i="1"/>
  <c r="AA107" i="1"/>
  <c r="AD108" i="1"/>
  <c r="X108" i="1"/>
  <c r="U108" i="1"/>
  <c r="AA108" i="1"/>
  <c r="AG108" i="1"/>
  <c r="P108" i="1"/>
  <c r="D21" i="4"/>
  <c r="X23" i="1" l="1"/>
  <c r="Z21" i="3" s="1"/>
  <c r="Y24" i="3"/>
  <c r="Z24" i="3"/>
  <c r="X41" i="3"/>
  <c r="V21" i="3"/>
  <c r="V16" i="3" s="1"/>
  <c r="X21" i="3"/>
  <c r="W21" i="3"/>
  <c r="Y21" i="3"/>
  <c r="W24" i="3"/>
  <c r="X43" i="3"/>
  <c r="V41" i="3"/>
  <c r="V37" i="3" s="1"/>
  <c r="D24" i="3"/>
  <c r="X24" i="3"/>
  <c r="X32" i="3"/>
  <c r="X28" i="3" s="1"/>
  <c r="X40" i="3"/>
  <c r="AA85" i="1"/>
  <c r="AG85" i="1"/>
  <c r="AD85" i="1"/>
  <c r="P85" i="1"/>
  <c r="X85" i="1"/>
  <c r="U85" i="1"/>
  <c r="AG29" i="1"/>
  <c r="U29" i="1"/>
  <c r="X23" i="3" s="1"/>
  <c r="P29" i="1"/>
  <c r="AA29" i="1"/>
  <c r="X29" i="1"/>
  <c r="AH61" i="1"/>
  <c r="AH57" i="1"/>
  <c r="AH63" i="1"/>
  <c r="AH93" i="1"/>
  <c r="AH91" i="1"/>
  <c r="AH60" i="1"/>
  <c r="AH59" i="1"/>
  <c r="AH95" i="1"/>
  <c r="AH58" i="1"/>
  <c r="AH94" i="1"/>
  <c r="AH30" i="1"/>
  <c r="AH23" i="1"/>
  <c r="AH32" i="1"/>
  <c r="AH31" i="1"/>
  <c r="AH33" i="1"/>
  <c r="AH36" i="1"/>
  <c r="AH40" i="1"/>
  <c r="AH41" i="1"/>
  <c r="AH55" i="1"/>
  <c r="AH108" i="1"/>
  <c r="AH107" i="1"/>
  <c r="Z16" i="3" l="1"/>
  <c r="Y16" i="3"/>
  <c r="Y75" i="3" s="1"/>
  <c r="Y79" i="3" s="1"/>
  <c r="X37" i="3"/>
  <c r="Z75" i="3"/>
  <c r="Z79" i="3" s="1"/>
  <c r="V75" i="3"/>
  <c r="V79" i="3" s="1"/>
  <c r="W16" i="3"/>
  <c r="W75" i="3" s="1"/>
  <c r="W79" i="3" s="1"/>
  <c r="X16" i="3"/>
  <c r="AH85" i="1"/>
  <c r="AH29" i="1"/>
  <c r="K38" i="1"/>
  <c r="M38" i="1" s="1"/>
  <c r="E38" i="1"/>
  <c r="C38" i="1"/>
  <c r="K5" i="1"/>
  <c r="M5" i="1" s="1"/>
  <c r="K6" i="1"/>
  <c r="M6" i="1" s="1"/>
  <c r="O6" i="1" s="1"/>
  <c r="P6" i="1" s="1"/>
  <c r="K7" i="1"/>
  <c r="M7" i="1" s="1"/>
  <c r="O7" i="1" s="1"/>
  <c r="P7" i="1" s="1"/>
  <c r="K8" i="1"/>
  <c r="M8" i="1" s="1"/>
  <c r="O8" i="1" s="1"/>
  <c r="P8" i="1" s="1"/>
  <c r="K9" i="1"/>
  <c r="M9" i="1" s="1"/>
  <c r="O9" i="1" s="1"/>
  <c r="P9" i="1" s="1"/>
  <c r="K10" i="1"/>
  <c r="M10" i="1" s="1"/>
  <c r="O10" i="1" s="1"/>
  <c r="P10" i="1" s="1"/>
  <c r="K11" i="1"/>
  <c r="M11" i="1" s="1"/>
  <c r="O11" i="1" s="1"/>
  <c r="P11" i="1" s="1"/>
  <c r="K12" i="1"/>
  <c r="M12" i="1" s="1"/>
  <c r="O12" i="1" s="1"/>
  <c r="P12" i="1" s="1"/>
  <c r="K13" i="1"/>
  <c r="M13" i="1" s="1"/>
  <c r="O13" i="1" s="1"/>
  <c r="P13" i="1" s="1"/>
  <c r="K14" i="1"/>
  <c r="M14" i="1" s="1"/>
  <c r="O14" i="1" s="1"/>
  <c r="P14" i="1" s="1"/>
  <c r="K24" i="1"/>
  <c r="M24" i="1" s="1"/>
  <c r="O24" i="1" s="1"/>
  <c r="P24" i="1" s="1"/>
  <c r="K26" i="1"/>
  <c r="M26" i="1" s="1"/>
  <c r="O26" i="1" s="1"/>
  <c r="P26" i="1" s="1"/>
  <c r="K37" i="1"/>
  <c r="M37" i="1" s="1"/>
  <c r="O37" i="1" s="1"/>
  <c r="P37" i="1" s="1"/>
  <c r="K45" i="1"/>
  <c r="M45" i="1" s="1"/>
  <c r="O45" i="1" s="1"/>
  <c r="P45" i="1" s="1"/>
  <c r="K49" i="1"/>
  <c r="M49" i="1" s="1"/>
  <c r="O49" i="1" s="1"/>
  <c r="P49" i="1" s="1"/>
  <c r="K50" i="1"/>
  <c r="M50" i="1" s="1"/>
  <c r="O50" i="1" s="1"/>
  <c r="P50" i="1" s="1"/>
  <c r="K51" i="1"/>
  <c r="M51" i="1" s="1"/>
  <c r="O51" i="1" s="1"/>
  <c r="P51" i="1" s="1"/>
  <c r="K52" i="1"/>
  <c r="M52" i="1" s="1"/>
  <c r="O52" i="1" s="1"/>
  <c r="P52" i="1" s="1"/>
  <c r="K53" i="1"/>
  <c r="M53" i="1" s="1"/>
  <c r="O53" i="1" s="1"/>
  <c r="P53" i="1" s="1"/>
  <c r="K56" i="1"/>
  <c r="M56" i="1" s="1"/>
  <c r="O56" i="1" s="1"/>
  <c r="P56" i="1" s="1"/>
  <c r="K64" i="1"/>
  <c r="M64" i="1" s="1"/>
  <c r="O64" i="1" s="1"/>
  <c r="P64" i="1" s="1"/>
  <c r="K66" i="1"/>
  <c r="M66" i="1" s="1"/>
  <c r="O66" i="1" s="1"/>
  <c r="P66" i="1" s="1"/>
  <c r="K67" i="1"/>
  <c r="M67" i="1" s="1"/>
  <c r="O67" i="1" s="1"/>
  <c r="P67" i="1" s="1"/>
  <c r="K79" i="1"/>
  <c r="M79" i="1" s="1"/>
  <c r="O79" i="1" s="1"/>
  <c r="P79" i="1" s="1"/>
  <c r="K82" i="1"/>
  <c r="M82" i="1" s="1"/>
  <c r="O82" i="1" s="1"/>
  <c r="P82" i="1" s="1"/>
  <c r="K84" i="1"/>
  <c r="M84" i="1" s="1"/>
  <c r="O84" i="1" s="1"/>
  <c r="P84" i="1" s="1"/>
  <c r="K96" i="1"/>
  <c r="M96" i="1" s="1"/>
  <c r="O96" i="1" s="1"/>
  <c r="P96" i="1" s="1"/>
  <c r="K101" i="1"/>
  <c r="M101" i="1" s="1"/>
  <c r="O101" i="1" s="1"/>
  <c r="P101" i="1" s="1"/>
  <c r="K106" i="1"/>
  <c r="M106" i="1" s="1"/>
  <c r="O106" i="1" s="1"/>
  <c r="P106" i="1" s="1"/>
  <c r="K110" i="1"/>
  <c r="M110" i="1" s="1"/>
  <c r="O110" i="1" s="1"/>
  <c r="P110" i="1" s="1"/>
  <c r="K113" i="1"/>
  <c r="M113" i="1" s="1"/>
  <c r="O113" i="1" s="1"/>
  <c r="P113" i="1" s="1"/>
  <c r="K114" i="1"/>
  <c r="M114" i="1" s="1"/>
  <c r="O114" i="1" s="1"/>
  <c r="P114" i="1" s="1"/>
  <c r="K115" i="1"/>
  <c r="M115" i="1" s="1"/>
  <c r="O115" i="1" s="1"/>
  <c r="P115" i="1" s="1"/>
  <c r="K116" i="1"/>
  <c r="M116" i="1" s="1"/>
  <c r="O116" i="1" s="1"/>
  <c r="P116" i="1" s="1"/>
  <c r="K117" i="1"/>
  <c r="M117" i="1" s="1"/>
  <c r="O117" i="1" s="1"/>
  <c r="P117" i="1" s="1"/>
  <c r="K133" i="1"/>
  <c r="M133" i="1" s="1"/>
  <c r="O133" i="1" s="1"/>
  <c r="P133" i="1" s="1"/>
  <c r="K145" i="1"/>
  <c r="M145" i="1" s="1"/>
  <c r="O145" i="1" s="1"/>
  <c r="P145" i="1" s="1"/>
  <c r="K207" i="1"/>
  <c r="M207" i="1" s="1"/>
  <c r="O207" i="1" s="1"/>
  <c r="P207" i="1" s="1"/>
  <c r="K223" i="1"/>
  <c r="M223" i="1" s="1"/>
  <c r="O223" i="1" s="1"/>
  <c r="P223" i="1" s="1"/>
  <c r="K239" i="1"/>
  <c r="M239" i="1" s="1"/>
  <c r="O239" i="1" s="1"/>
  <c r="P239" i="1" s="1"/>
  <c r="K248" i="1"/>
  <c r="M248" i="1" s="1"/>
  <c r="O248" i="1" s="1"/>
  <c r="P248" i="1" s="1"/>
  <c r="K249" i="1"/>
  <c r="M249" i="1" s="1"/>
  <c r="O249" i="1" s="1"/>
  <c r="P249" i="1" s="1"/>
  <c r="K252" i="1"/>
  <c r="M252" i="1" s="1"/>
  <c r="O252" i="1" s="1"/>
  <c r="P252" i="1" s="1"/>
  <c r="K254" i="1"/>
  <c r="M254" i="1" s="1"/>
  <c r="O254" i="1" s="1"/>
  <c r="P254" i="1" s="1"/>
  <c r="K262" i="1"/>
  <c r="M262" i="1" s="1"/>
  <c r="O262" i="1" s="1"/>
  <c r="P262" i="1" s="1"/>
  <c r="K265" i="1"/>
  <c r="M265" i="1" s="1"/>
  <c r="O265" i="1" s="1"/>
  <c r="P265" i="1" s="1"/>
  <c r="K299" i="1"/>
  <c r="M299" i="1" s="1"/>
  <c r="O299" i="1" s="1"/>
  <c r="K339" i="1"/>
  <c r="M339" i="1" s="1"/>
  <c r="O339" i="1" s="1"/>
  <c r="K344" i="1"/>
  <c r="M344" i="1" s="1"/>
  <c r="O344" i="1" s="1"/>
  <c r="P344" i="1" s="1"/>
  <c r="K355" i="1"/>
  <c r="M355" i="1" s="1"/>
  <c r="O355" i="1" s="1"/>
  <c r="P355" i="1" s="1"/>
  <c r="K356" i="1"/>
  <c r="M356" i="1" s="1"/>
  <c r="O356" i="1" s="1"/>
  <c r="P356" i="1" s="1"/>
  <c r="K357" i="1"/>
  <c r="M357" i="1" s="1"/>
  <c r="O357" i="1" s="1"/>
  <c r="P357" i="1" s="1"/>
  <c r="K358" i="1"/>
  <c r="M358" i="1" s="1"/>
  <c r="O358" i="1" s="1"/>
  <c r="P358" i="1" s="1"/>
  <c r="K359" i="1"/>
  <c r="M359" i="1" s="1"/>
  <c r="O359" i="1" s="1"/>
  <c r="P359" i="1" s="1"/>
  <c r="K360" i="1"/>
  <c r="M360" i="1" s="1"/>
  <c r="O360" i="1" s="1"/>
  <c r="P360" i="1" s="1"/>
  <c r="C360" i="1"/>
  <c r="M361" i="1" l="1"/>
  <c r="X75" i="3"/>
  <c r="X79" i="3" s="1"/>
  <c r="O38" i="1"/>
  <c r="AG38" i="1" s="1"/>
  <c r="O5" i="1"/>
  <c r="O361" i="1" s="1"/>
  <c r="U360" i="1"/>
  <c r="U359" i="1"/>
  <c r="U358" i="1"/>
  <c r="P299" i="1"/>
  <c r="P339" i="1"/>
  <c r="O3" i="1" l="1"/>
  <c r="X38" i="1"/>
  <c r="P38" i="1"/>
  <c r="AA38" i="1"/>
  <c r="U38" i="1"/>
  <c r="AD38" i="1"/>
  <c r="P5" i="1"/>
  <c r="P361" i="1" s="1"/>
  <c r="H47" i="4"/>
  <c r="K12" i="4"/>
  <c r="J12" i="4"/>
  <c r="K89" i="4"/>
  <c r="J89" i="4"/>
  <c r="K88" i="4"/>
  <c r="J88" i="4"/>
  <c r="K87" i="4"/>
  <c r="J87" i="4"/>
  <c r="K86" i="4"/>
  <c r="J86" i="4"/>
  <c r="K85" i="4"/>
  <c r="J85" i="4"/>
  <c r="K84" i="4"/>
  <c r="J84" i="4"/>
  <c r="K82" i="4"/>
  <c r="K81" i="4"/>
  <c r="K80" i="4"/>
  <c r="K78" i="4"/>
  <c r="K73" i="4"/>
  <c r="K69" i="4"/>
  <c r="K67" i="4"/>
  <c r="K65" i="4"/>
  <c r="K64" i="4"/>
  <c r="J64" i="4"/>
  <c r="K63" i="4"/>
  <c r="J63" i="4"/>
  <c r="K62" i="4"/>
  <c r="J62" i="4"/>
  <c r="K61" i="4"/>
  <c r="J58" i="4"/>
  <c r="J57" i="4"/>
  <c r="J56" i="4"/>
  <c r="J55" i="4"/>
  <c r="K54" i="4"/>
  <c r="K53" i="4"/>
  <c r="K51" i="4"/>
  <c r="K50" i="4"/>
  <c r="J50" i="4"/>
  <c r="K49" i="4"/>
  <c r="J49" i="4"/>
  <c r="K45" i="4"/>
  <c r="J45" i="4"/>
  <c r="K44" i="4"/>
  <c r="J44" i="4"/>
  <c r="K42" i="4"/>
  <c r="J42" i="4"/>
  <c r="K41" i="4"/>
  <c r="J41" i="4"/>
  <c r="K40" i="4"/>
  <c r="K37" i="4"/>
  <c r="J37" i="4"/>
  <c r="K36" i="4"/>
  <c r="K35" i="4"/>
  <c r="J35" i="4"/>
  <c r="K34" i="4"/>
  <c r="J34" i="4"/>
  <c r="K33" i="4"/>
  <c r="J33" i="4"/>
  <c r="K32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H12" i="4"/>
  <c r="G12" i="4"/>
  <c r="H89" i="4"/>
  <c r="H88" i="4"/>
  <c r="H87" i="4"/>
  <c r="H86" i="4"/>
  <c r="H85" i="4"/>
  <c r="H84" i="4"/>
  <c r="H82" i="4"/>
  <c r="H81" i="4"/>
  <c r="H80" i="4"/>
  <c r="H78" i="4"/>
  <c r="H77" i="4"/>
  <c r="H76" i="4"/>
  <c r="H73" i="4"/>
  <c r="H69" i="4"/>
  <c r="H67" i="4"/>
  <c r="H65" i="4"/>
  <c r="H64" i="4"/>
  <c r="H63" i="4"/>
  <c r="H62" i="4"/>
  <c r="H61" i="4"/>
  <c r="H54" i="4"/>
  <c r="H53" i="4"/>
  <c r="H51" i="4"/>
  <c r="H50" i="4"/>
  <c r="H49" i="4"/>
  <c r="H45" i="4"/>
  <c r="H44" i="4"/>
  <c r="H42" i="4"/>
  <c r="H41" i="4"/>
  <c r="H40" i="4"/>
  <c r="H37" i="4"/>
  <c r="H36" i="4"/>
  <c r="H35" i="4"/>
  <c r="H34" i="4"/>
  <c r="H33" i="4"/>
  <c r="H32" i="4"/>
  <c r="H30" i="4"/>
  <c r="H29" i="4"/>
  <c r="H28" i="4"/>
  <c r="H27" i="4"/>
  <c r="H26" i="4"/>
  <c r="H25" i="4"/>
  <c r="H24" i="4"/>
  <c r="H23" i="4"/>
  <c r="H22" i="4"/>
  <c r="P3" i="1" l="1"/>
  <c r="AH38" i="1"/>
  <c r="J46" i="4"/>
  <c r="K13" i="4"/>
  <c r="J13" i="4"/>
  <c r="K83" i="4"/>
  <c r="H83" i="4"/>
  <c r="K60" i="4"/>
  <c r="H13" i="4"/>
  <c r="I12" i="4"/>
  <c r="K21" i="4"/>
  <c r="K48" i="4"/>
  <c r="H21" i="4"/>
  <c r="H48" i="4"/>
  <c r="H60" i="4"/>
  <c r="K76" i="4" l="1"/>
  <c r="K77" i="4"/>
  <c r="K47" i="4"/>
  <c r="J69" i="4"/>
  <c r="H46" i="4"/>
  <c r="K46" i="4"/>
  <c r="H59" i="4" l="1"/>
  <c r="H70" i="4"/>
  <c r="H72" i="4"/>
  <c r="H75" i="4"/>
  <c r="J36" i="4"/>
  <c r="H71" i="4"/>
  <c r="H79" i="4"/>
  <c r="H68" i="4"/>
  <c r="J47" i="4"/>
  <c r="J53" i="4"/>
  <c r="J59" i="4"/>
  <c r="J82" i="4"/>
  <c r="J54" i="4"/>
  <c r="K43" i="4"/>
  <c r="H43" i="4"/>
  <c r="J39" i="4" l="1"/>
  <c r="K68" i="4"/>
  <c r="K70" i="4"/>
  <c r="J38" i="4"/>
  <c r="K79" i="4"/>
  <c r="H66" i="4"/>
  <c r="K71" i="4"/>
  <c r="K75" i="4"/>
  <c r="K72" i="4"/>
  <c r="H74" i="4"/>
  <c r="K59" i="4"/>
  <c r="L59" i="4" s="1"/>
  <c r="N59" i="4" s="1"/>
  <c r="E71" i="9"/>
  <c r="E145" i="1" s="1"/>
  <c r="E72" i="9"/>
  <c r="E207" i="1" s="1"/>
  <c r="G89" i="9"/>
  <c r="E5" i="1"/>
  <c r="G94" i="9"/>
  <c r="E94" i="9"/>
  <c r="G93" i="9"/>
  <c r="E93" i="9"/>
  <c r="G92" i="9"/>
  <c r="E92" i="9"/>
  <c r="G91" i="9"/>
  <c r="E91" i="9"/>
  <c r="G90" i="9"/>
  <c r="E90" i="9"/>
  <c r="E89" i="9"/>
  <c r="E86" i="9"/>
  <c r="E344" i="1" s="1"/>
  <c r="E85" i="9"/>
  <c r="E339" i="1" s="1"/>
  <c r="E84" i="9"/>
  <c r="E299" i="1" s="1"/>
  <c r="E83" i="9"/>
  <c r="E265" i="1" s="1"/>
  <c r="E82" i="9"/>
  <c r="E262" i="1" s="1"/>
  <c r="E81" i="9"/>
  <c r="E254" i="1" s="1"/>
  <c r="E80" i="9"/>
  <c r="E252" i="1" s="1"/>
  <c r="E79" i="9"/>
  <c r="E249" i="1" s="1"/>
  <c r="E76" i="9"/>
  <c r="E248" i="1" s="1"/>
  <c r="E75" i="9"/>
  <c r="E74" i="9"/>
  <c r="E239" i="1" s="1"/>
  <c r="E73" i="9"/>
  <c r="E223" i="1" s="1"/>
  <c r="E70" i="9"/>
  <c r="E133" i="1" s="1"/>
  <c r="E67" i="9"/>
  <c r="E117" i="1" s="1"/>
  <c r="E66" i="9"/>
  <c r="G66" i="9" s="1"/>
  <c r="E65" i="9"/>
  <c r="G65" i="9" s="1"/>
  <c r="E64" i="9"/>
  <c r="G64" i="9" s="1"/>
  <c r="E63" i="9"/>
  <c r="G63" i="9" s="1"/>
  <c r="E60" i="9"/>
  <c r="E110" i="1" s="1"/>
  <c r="E59" i="9"/>
  <c r="E106" i="1" s="1"/>
  <c r="E58" i="9"/>
  <c r="E101" i="1" s="1"/>
  <c r="E57" i="9"/>
  <c r="E96" i="1" s="1"/>
  <c r="E56" i="9"/>
  <c r="E84" i="1" s="1"/>
  <c r="E55" i="9"/>
  <c r="E82" i="1" s="1"/>
  <c r="E54" i="9"/>
  <c r="E79" i="1" s="1"/>
  <c r="E51" i="9"/>
  <c r="E67" i="1" s="1"/>
  <c r="E50" i="9"/>
  <c r="E66" i="1" s="1"/>
  <c r="E49" i="9"/>
  <c r="E64" i="1" s="1"/>
  <c r="E46" i="9"/>
  <c r="E56" i="1" s="1"/>
  <c r="E45" i="9"/>
  <c r="E53" i="1" s="1"/>
  <c r="E44" i="9"/>
  <c r="E52" i="1" s="1"/>
  <c r="E43" i="9"/>
  <c r="E51" i="1" s="1"/>
  <c r="E40" i="9"/>
  <c r="E50" i="1" s="1"/>
  <c r="E39" i="9"/>
  <c r="E49" i="1" s="1"/>
  <c r="E38" i="9"/>
  <c r="E45" i="1" s="1"/>
  <c r="E37" i="9"/>
  <c r="E37" i="1" s="1"/>
  <c r="E36" i="9"/>
  <c r="E26" i="1" s="1"/>
  <c r="E35" i="9"/>
  <c r="E24" i="1" s="1"/>
  <c r="E34" i="9"/>
  <c r="E33" i="9"/>
  <c r="E32" i="9"/>
  <c r="E31" i="9"/>
  <c r="E30" i="9"/>
  <c r="G27" i="9"/>
  <c r="E27" i="9"/>
  <c r="G26" i="9"/>
  <c r="E26" i="9"/>
  <c r="G25" i="9"/>
  <c r="E25" i="9"/>
  <c r="G24" i="9"/>
  <c r="E24" i="9"/>
  <c r="G23" i="9"/>
  <c r="E23" i="9"/>
  <c r="G22" i="9"/>
  <c r="E22" i="9"/>
  <c r="G21" i="9"/>
  <c r="E21" i="9"/>
  <c r="G20" i="9"/>
  <c r="E20" i="9"/>
  <c r="E19" i="9"/>
  <c r="C5" i="1"/>
  <c r="C6" i="1"/>
  <c r="C7" i="1"/>
  <c r="C8" i="1"/>
  <c r="C9" i="1"/>
  <c r="C10" i="1"/>
  <c r="C11" i="1"/>
  <c r="C12" i="1"/>
  <c r="C13" i="1"/>
  <c r="C14" i="1"/>
  <c r="C24" i="1"/>
  <c r="C26" i="1"/>
  <c r="C37" i="1"/>
  <c r="C45" i="1"/>
  <c r="C49" i="1"/>
  <c r="C50" i="1"/>
  <c r="C51" i="1"/>
  <c r="C52" i="1"/>
  <c r="C53" i="1"/>
  <c r="C56" i="1"/>
  <c r="C64" i="1"/>
  <c r="C66" i="1"/>
  <c r="C67" i="1"/>
  <c r="C79" i="1"/>
  <c r="C82" i="1"/>
  <c r="C84" i="1"/>
  <c r="C96" i="1"/>
  <c r="C101" i="1"/>
  <c r="C106" i="1"/>
  <c r="C110" i="1"/>
  <c r="C113" i="1"/>
  <c r="C114" i="1"/>
  <c r="C115" i="1"/>
  <c r="C116" i="1"/>
  <c r="C117" i="1"/>
  <c r="C133" i="1"/>
  <c r="C145" i="1"/>
  <c r="C207" i="1"/>
  <c r="C223" i="1"/>
  <c r="C239" i="1"/>
  <c r="C248" i="1"/>
  <c r="C249" i="1"/>
  <c r="C252" i="1"/>
  <c r="C254" i="1"/>
  <c r="C262" i="1"/>
  <c r="C265" i="1"/>
  <c r="C299" i="1"/>
  <c r="C339" i="1"/>
  <c r="C344" i="1"/>
  <c r="C355" i="1"/>
  <c r="C356" i="1"/>
  <c r="C357" i="1"/>
  <c r="C358" i="1"/>
  <c r="C359" i="1"/>
  <c r="C5" i="8"/>
  <c r="L13" i="8" s="1"/>
  <c r="C10" i="8"/>
  <c r="F10" i="8"/>
  <c r="I10" i="8"/>
  <c r="L10" i="8"/>
  <c r="O10" i="8"/>
  <c r="C11" i="8"/>
  <c r="C13" i="8"/>
  <c r="C20" i="8"/>
  <c r="F20" i="8"/>
  <c r="I20" i="8"/>
  <c r="L20" i="8"/>
  <c r="O20" i="8"/>
  <c r="E8" i="1" l="1"/>
  <c r="E360" i="1"/>
  <c r="E355" i="1"/>
  <c r="E12" i="1"/>
  <c r="E9" i="1"/>
  <c r="E115" i="1"/>
  <c r="E116" i="1"/>
  <c r="E113" i="1"/>
  <c r="E114" i="1"/>
  <c r="E356" i="1"/>
  <c r="E10" i="1"/>
  <c r="E11" i="1"/>
  <c r="E357" i="1"/>
  <c r="E13" i="1"/>
  <c r="E358" i="1"/>
  <c r="E7" i="1"/>
  <c r="E359" i="1"/>
  <c r="L14" i="8"/>
  <c r="L16" i="8" s="1"/>
  <c r="L24" i="8" s="1"/>
  <c r="I23" i="8"/>
  <c r="F23" i="8"/>
  <c r="I13" i="8"/>
  <c r="I14" i="8" s="1"/>
  <c r="F13" i="8"/>
  <c r="F14" i="8" s="1"/>
  <c r="C14" i="8"/>
  <c r="C16" i="8" s="1"/>
  <c r="C24" i="8" s="1"/>
  <c r="O13" i="8"/>
  <c r="O14" i="8" s="1"/>
  <c r="O15" i="8" s="1"/>
  <c r="O22" i="8" s="1"/>
  <c r="L23" i="8"/>
  <c r="E6" i="1"/>
  <c r="G10" i="9"/>
  <c r="E14" i="1"/>
  <c r="G29" i="9"/>
  <c r="K74" i="4"/>
  <c r="K66" i="4"/>
  <c r="H56" i="4"/>
  <c r="H39" i="4"/>
  <c r="H55" i="4"/>
  <c r="H38" i="4"/>
  <c r="H58" i="4"/>
  <c r="H57" i="4"/>
  <c r="G85" i="4"/>
  <c r="I85" i="4" s="1"/>
  <c r="L85" i="4"/>
  <c r="N85" i="4" s="1"/>
  <c r="G29" i="4"/>
  <c r="I29" i="4" s="1"/>
  <c r="L29" i="4"/>
  <c r="N29" i="4" s="1"/>
  <c r="G72" i="4"/>
  <c r="I72" i="4" s="1"/>
  <c r="G44" i="4"/>
  <c r="L86" i="4"/>
  <c r="N86" i="4" s="1"/>
  <c r="G86" i="4"/>
  <c r="I86" i="4" s="1"/>
  <c r="G77" i="4"/>
  <c r="I77" i="4" s="1"/>
  <c r="G68" i="4"/>
  <c r="I68" i="4" s="1"/>
  <c r="G58" i="4"/>
  <c r="G49" i="4"/>
  <c r="I49" i="4" s="1"/>
  <c r="G39" i="4"/>
  <c r="G30" i="4"/>
  <c r="I30" i="4" s="1"/>
  <c r="L30" i="4"/>
  <c r="N30" i="4" s="1"/>
  <c r="G22" i="4"/>
  <c r="L47" i="4"/>
  <c r="N47" i="4" s="1"/>
  <c r="G47" i="4"/>
  <c r="I47" i="4" s="1"/>
  <c r="G57" i="4"/>
  <c r="G75" i="4"/>
  <c r="I75" i="4" s="1"/>
  <c r="G56" i="4"/>
  <c r="L37" i="4"/>
  <c r="N37" i="4" s="1"/>
  <c r="G37" i="4"/>
  <c r="I37" i="4" s="1"/>
  <c r="G38" i="4"/>
  <c r="G84" i="4"/>
  <c r="I84" i="4" s="1"/>
  <c r="G65" i="4"/>
  <c r="I65" i="4" s="1"/>
  <c r="L46" i="4"/>
  <c r="N46" i="4" s="1"/>
  <c r="G46" i="4"/>
  <c r="I46" i="4" s="1"/>
  <c r="G28" i="4"/>
  <c r="I28" i="4" s="1"/>
  <c r="L28" i="4"/>
  <c r="N28" i="4" s="1"/>
  <c r="G82" i="4"/>
  <c r="I82" i="4" s="1"/>
  <c r="L82" i="4"/>
  <c r="N82" i="4" s="1"/>
  <c r="G73" i="4"/>
  <c r="I73" i="4" s="1"/>
  <c r="G64" i="4"/>
  <c r="I64" i="4" s="1"/>
  <c r="L64" i="4"/>
  <c r="N64" i="4" s="1"/>
  <c r="G55" i="4"/>
  <c r="G45" i="4"/>
  <c r="I45" i="4" s="1"/>
  <c r="L45" i="4"/>
  <c r="N45" i="4" s="1"/>
  <c r="G36" i="4"/>
  <c r="I36" i="4" s="1"/>
  <c r="L36" i="4"/>
  <c r="N36" i="4" s="1"/>
  <c r="G27" i="4"/>
  <c r="I27" i="4" s="1"/>
  <c r="L27" i="4"/>
  <c r="N27" i="4" s="1"/>
  <c r="G76" i="4"/>
  <c r="I76" i="4" s="1"/>
  <c r="L63" i="4"/>
  <c r="N63" i="4" s="1"/>
  <c r="G63" i="4"/>
  <c r="I63" i="4" s="1"/>
  <c r="G26" i="4"/>
  <c r="I26" i="4" s="1"/>
  <c r="L26" i="4"/>
  <c r="N26" i="4" s="1"/>
  <c r="G89" i="4"/>
  <c r="I89" i="4" s="1"/>
  <c r="L89" i="4"/>
  <c r="N89" i="4" s="1"/>
  <c r="G80" i="4"/>
  <c r="I80" i="4" s="1"/>
  <c r="G71" i="4"/>
  <c r="I71" i="4" s="1"/>
  <c r="G62" i="4"/>
  <c r="I62" i="4" s="1"/>
  <c r="L62" i="4"/>
  <c r="N62" i="4" s="1"/>
  <c r="G53" i="4"/>
  <c r="I53" i="4" s="1"/>
  <c r="G42" i="4"/>
  <c r="I42" i="4" s="1"/>
  <c r="L42" i="4"/>
  <c r="N42" i="4" s="1"/>
  <c r="G34" i="4"/>
  <c r="I34" i="4" s="1"/>
  <c r="L34" i="4"/>
  <c r="N34" i="4" s="1"/>
  <c r="G25" i="4"/>
  <c r="I25" i="4" s="1"/>
  <c r="L25" i="4"/>
  <c r="N25" i="4" s="1"/>
  <c r="G54" i="4"/>
  <c r="I54" i="4" s="1"/>
  <c r="L54" i="4"/>
  <c r="N54" i="4" s="1"/>
  <c r="L88" i="4"/>
  <c r="N88" i="4" s="1"/>
  <c r="G88" i="4"/>
  <c r="I88" i="4" s="1"/>
  <c r="G79" i="4"/>
  <c r="I79" i="4" s="1"/>
  <c r="G70" i="4"/>
  <c r="I70" i="4" s="1"/>
  <c r="G61" i="4"/>
  <c r="I61" i="4" s="1"/>
  <c r="G51" i="4"/>
  <c r="I51" i="4" s="1"/>
  <c r="L41" i="4"/>
  <c r="N41" i="4" s="1"/>
  <c r="G41" i="4"/>
  <c r="I41" i="4" s="1"/>
  <c r="L33" i="4"/>
  <c r="N33" i="4" s="1"/>
  <c r="G33" i="4"/>
  <c r="I33" i="4" s="1"/>
  <c r="L24" i="4"/>
  <c r="N24" i="4" s="1"/>
  <c r="G24" i="4"/>
  <c r="I24" i="4" s="1"/>
  <c r="G67" i="4"/>
  <c r="I67" i="4" s="1"/>
  <c r="G81" i="4"/>
  <c r="I81" i="4" s="1"/>
  <c r="G35" i="4"/>
  <c r="I35" i="4" s="1"/>
  <c r="L35" i="4"/>
  <c r="N35" i="4" s="1"/>
  <c r="L87" i="4"/>
  <c r="N87" i="4" s="1"/>
  <c r="G87" i="4"/>
  <c r="I87" i="4" s="1"/>
  <c r="G78" i="4"/>
  <c r="I78" i="4" s="1"/>
  <c r="G69" i="4"/>
  <c r="I69" i="4" s="1"/>
  <c r="L69" i="4"/>
  <c r="N69" i="4" s="1"/>
  <c r="G59" i="4"/>
  <c r="I59" i="4" s="1"/>
  <c r="G50" i="4"/>
  <c r="I50" i="4" s="1"/>
  <c r="L50" i="4"/>
  <c r="N50" i="4" s="1"/>
  <c r="G40" i="4"/>
  <c r="I40" i="4" s="1"/>
  <c r="L23" i="4"/>
  <c r="N23" i="4" s="1"/>
  <c r="G23" i="4"/>
  <c r="I23" i="4" s="1"/>
  <c r="J78" i="4"/>
  <c r="J72" i="4"/>
  <c r="L72" i="4" s="1"/>
  <c r="J80" i="4"/>
  <c r="J81" i="4"/>
  <c r="K56" i="4"/>
  <c r="L56" i="4" s="1"/>
  <c r="N56" i="4" s="1"/>
  <c r="K58" i="4"/>
  <c r="L58" i="4" s="1"/>
  <c r="N58" i="4" s="1"/>
  <c r="G42" i="9"/>
  <c r="G88" i="9"/>
  <c r="G18" i="9"/>
  <c r="G78" i="9"/>
  <c r="G48" i="9"/>
  <c r="G62" i="9"/>
  <c r="G69" i="9"/>
  <c r="G53" i="9"/>
  <c r="G11" i="9"/>
  <c r="O23" i="8"/>
  <c r="C23" i="8"/>
  <c r="E361" i="1" l="1"/>
  <c r="L15" i="8"/>
  <c r="L22" i="8" s="1"/>
  <c r="L25" i="8" s="1"/>
  <c r="C15" i="8"/>
  <c r="C22" i="8" s="1"/>
  <c r="C25" i="8" s="1"/>
  <c r="O16" i="8"/>
  <c r="O24" i="8" s="1"/>
  <c r="O26" i="8" s="1"/>
  <c r="F15" i="8"/>
  <c r="F16" i="8"/>
  <c r="F24" i="8" s="1"/>
  <c r="L78" i="4"/>
  <c r="N78" i="4" s="1"/>
  <c r="E72" i="4"/>
  <c r="N72" i="4" s="1"/>
  <c r="L80" i="4"/>
  <c r="N80" i="4" s="1"/>
  <c r="L81" i="4"/>
  <c r="N81" i="4" s="1"/>
  <c r="G10" i="4"/>
  <c r="H10" i="4"/>
  <c r="H11" i="4"/>
  <c r="I44" i="4"/>
  <c r="G43" i="4"/>
  <c r="I22" i="4"/>
  <c r="G21" i="4"/>
  <c r="I21" i="4" s="1"/>
  <c r="J40" i="4"/>
  <c r="L40" i="4" s="1"/>
  <c r="N40" i="4" s="1"/>
  <c r="I57" i="4"/>
  <c r="J76" i="4"/>
  <c r="I58" i="4"/>
  <c r="J77" i="4"/>
  <c r="J51" i="4"/>
  <c r="L51" i="4" s="1"/>
  <c r="N51" i="4" s="1"/>
  <c r="J73" i="4"/>
  <c r="J61" i="4"/>
  <c r="L61" i="4" s="1"/>
  <c r="N61" i="4" s="1"/>
  <c r="J75" i="4"/>
  <c r="K57" i="4"/>
  <c r="L57" i="4" s="1"/>
  <c r="N57" i="4" s="1"/>
  <c r="J68" i="4"/>
  <c r="J79" i="4"/>
  <c r="K38" i="4"/>
  <c r="L38" i="4" s="1"/>
  <c r="N38" i="4" s="1"/>
  <c r="K55" i="4"/>
  <c r="J71" i="4"/>
  <c r="I38" i="4"/>
  <c r="J67" i="4"/>
  <c r="I55" i="4"/>
  <c r="I39" i="4"/>
  <c r="K39" i="4"/>
  <c r="L39" i="4" s="1"/>
  <c r="N39" i="4" s="1"/>
  <c r="J65" i="4"/>
  <c r="L65" i="4" s="1"/>
  <c r="N65" i="4" s="1"/>
  <c r="J70" i="4"/>
  <c r="I56" i="4"/>
  <c r="H52" i="4"/>
  <c r="H31" i="4"/>
  <c r="G13" i="4"/>
  <c r="I13" i="4" s="1"/>
  <c r="J52" i="4"/>
  <c r="L53" i="4"/>
  <c r="N53" i="4" s="1"/>
  <c r="L49" i="4"/>
  <c r="N49" i="4" s="1"/>
  <c r="J21" i="4"/>
  <c r="L21" i="4" s="1"/>
  <c r="N21" i="4" s="1"/>
  <c r="L22" i="4"/>
  <c r="N22" i="4" s="1"/>
  <c r="J83" i="4"/>
  <c r="L84" i="4"/>
  <c r="N84" i="4" s="1"/>
  <c r="J43" i="4"/>
  <c r="L43" i="4" s="1"/>
  <c r="N43" i="4" s="1"/>
  <c r="L44" i="4"/>
  <c r="N44" i="4" s="1"/>
  <c r="X5" i="1"/>
  <c r="AD5" i="1"/>
  <c r="AA5" i="1"/>
  <c r="AG5" i="1"/>
  <c r="U5" i="1"/>
  <c r="G7" i="9"/>
  <c r="I16" i="8"/>
  <c r="I24" i="8" s="1"/>
  <c r="I15" i="8"/>
  <c r="I22" i="8" s="1"/>
  <c r="O25" i="8"/>
  <c r="L26" i="8" l="1"/>
  <c r="L21" i="8"/>
  <c r="C26" i="8"/>
  <c r="C21" i="8"/>
  <c r="O21" i="8"/>
  <c r="F22" i="8"/>
  <c r="F21" i="8"/>
  <c r="J10" i="4"/>
  <c r="L75" i="4"/>
  <c r="N75" i="4" s="1"/>
  <c r="L71" i="4"/>
  <c r="N71" i="4" s="1"/>
  <c r="L73" i="4"/>
  <c r="E73" i="4"/>
  <c r="N73" i="4" s="1"/>
  <c r="L70" i="4"/>
  <c r="N70" i="4" s="1"/>
  <c r="L77" i="4"/>
  <c r="N77" i="4" s="1"/>
  <c r="L79" i="4"/>
  <c r="N79" i="4" s="1"/>
  <c r="L68" i="4"/>
  <c r="N68" i="4" s="1"/>
  <c r="L76" i="4"/>
  <c r="N76" i="4" s="1"/>
  <c r="L67" i="4"/>
  <c r="N67" i="4" s="1"/>
  <c r="I10" i="4"/>
  <c r="L83" i="4"/>
  <c r="N83" i="4" s="1"/>
  <c r="X117" i="1"/>
  <c r="AG117" i="1"/>
  <c r="U117" i="1"/>
  <c r="AD117" i="1"/>
  <c r="AA117" i="1"/>
  <c r="X82" i="1"/>
  <c r="AD82" i="1"/>
  <c r="AG82" i="1"/>
  <c r="AA82" i="1"/>
  <c r="U82" i="1"/>
  <c r="AA359" i="1"/>
  <c r="X359" i="1"/>
  <c r="AG359" i="1"/>
  <c r="AD359" i="1"/>
  <c r="AD106" i="1"/>
  <c r="X106" i="1"/>
  <c r="U106" i="1"/>
  <c r="AA106" i="1"/>
  <c r="AG106" i="1"/>
  <c r="AD53" i="1"/>
  <c r="AG53" i="1"/>
  <c r="X53" i="1"/>
  <c r="AA53" i="1"/>
  <c r="U53" i="1"/>
  <c r="AD299" i="1"/>
  <c r="AA299" i="1"/>
  <c r="U299" i="1"/>
  <c r="AG299" i="1"/>
  <c r="X299" i="1"/>
  <c r="X262" i="1"/>
  <c r="AD262" i="1"/>
  <c r="U262" i="1"/>
  <c r="AA262" i="1"/>
  <c r="AG262" i="1"/>
  <c r="AA344" i="1"/>
  <c r="X344" i="1"/>
  <c r="AG344" i="1"/>
  <c r="AD344" i="1"/>
  <c r="U344" i="1"/>
  <c r="AG14" i="1"/>
  <c r="U14" i="1"/>
  <c r="AA14" i="1"/>
  <c r="AD14" i="1"/>
  <c r="X14" i="1"/>
  <c r="AA64" i="1"/>
  <c r="AG64" i="1"/>
  <c r="AD64" i="1"/>
  <c r="U64" i="1"/>
  <c r="X64" i="1"/>
  <c r="X9" i="1"/>
  <c r="AD9" i="1"/>
  <c r="U9" i="1"/>
  <c r="AA9" i="1"/>
  <c r="AG9" i="1"/>
  <c r="AA113" i="1"/>
  <c r="AG113" i="1"/>
  <c r="X113" i="1"/>
  <c r="U113" i="1"/>
  <c r="AD113" i="1"/>
  <c r="X52" i="1"/>
  <c r="U52" i="1"/>
  <c r="AA52" i="1"/>
  <c r="AG52" i="1"/>
  <c r="AD52" i="1"/>
  <c r="X254" i="1"/>
  <c r="AD254" i="1"/>
  <c r="U254" i="1"/>
  <c r="AA254" i="1"/>
  <c r="AG254" i="1"/>
  <c r="AD67" i="1"/>
  <c r="X67" i="1"/>
  <c r="U67" i="1"/>
  <c r="AG67" i="1"/>
  <c r="AA67" i="1"/>
  <c r="AA24" i="1"/>
  <c r="U24" i="1"/>
  <c r="AG24" i="1"/>
  <c r="AD24" i="1"/>
  <c r="X24" i="1"/>
  <c r="U339" i="1"/>
  <c r="AD339" i="1"/>
  <c r="AA339" i="1"/>
  <c r="AG339" i="1"/>
  <c r="X339" i="1"/>
  <c r="AG50" i="1"/>
  <c r="X50" i="1"/>
  <c r="AD50" i="1"/>
  <c r="U50" i="1"/>
  <c r="AA50" i="1"/>
  <c r="AA45" i="1"/>
  <c r="U45" i="1"/>
  <c r="X45" i="1"/>
  <c r="AD45" i="1"/>
  <c r="AG45" i="1"/>
  <c r="X357" i="1"/>
  <c r="AD357" i="1"/>
  <c r="U357" i="1"/>
  <c r="AA357" i="1"/>
  <c r="AG357" i="1"/>
  <c r="X223" i="1"/>
  <c r="AA223" i="1"/>
  <c r="U223" i="1"/>
  <c r="AG223" i="1"/>
  <c r="AD223" i="1"/>
  <c r="AG96" i="1"/>
  <c r="U96" i="1"/>
  <c r="AD96" i="1"/>
  <c r="AA96" i="1"/>
  <c r="X96" i="1"/>
  <c r="AD12" i="1"/>
  <c r="U12" i="1"/>
  <c r="AA12" i="1"/>
  <c r="AG12" i="1"/>
  <c r="X12" i="1"/>
  <c r="U56" i="1"/>
  <c r="AA56" i="1"/>
  <c r="AG56" i="1"/>
  <c r="X56" i="1"/>
  <c r="AD56" i="1"/>
  <c r="AD7" i="1"/>
  <c r="X7" i="1"/>
  <c r="U7" i="1"/>
  <c r="AG7" i="1"/>
  <c r="AA7" i="1"/>
  <c r="X145" i="1"/>
  <c r="AD145" i="1"/>
  <c r="AG145" i="1"/>
  <c r="U145" i="1"/>
  <c r="AA145" i="1"/>
  <c r="AA249" i="1"/>
  <c r="U249" i="1"/>
  <c r="AG249" i="1"/>
  <c r="X249" i="1"/>
  <c r="AD249" i="1"/>
  <c r="AG360" i="1"/>
  <c r="X360" i="1"/>
  <c r="AD360" i="1"/>
  <c r="AA360" i="1"/>
  <c r="AA358" i="1"/>
  <c r="AD358" i="1"/>
  <c r="X358" i="1"/>
  <c r="AG358" i="1"/>
  <c r="AG10" i="1"/>
  <c r="AD10" i="1"/>
  <c r="X10" i="1"/>
  <c r="AA10" i="1"/>
  <c r="U10" i="1"/>
  <c r="AG51" i="1"/>
  <c r="X51" i="1"/>
  <c r="U51" i="1"/>
  <c r="AD51" i="1"/>
  <c r="AA51" i="1"/>
  <c r="AA265" i="1"/>
  <c r="X265" i="1"/>
  <c r="AG265" i="1"/>
  <c r="AD265" i="1"/>
  <c r="U265" i="1"/>
  <c r="X26" i="1"/>
  <c r="AD26" i="1"/>
  <c r="U26" i="1"/>
  <c r="AA26" i="1"/>
  <c r="AG26" i="1"/>
  <c r="AD101" i="1"/>
  <c r="X101" i="1"/>
  <c r="AA101" i="1"/>
  <c r="AG101" i="1"/>
  <c r="U101" i="1"/>
  <c r="AD252" i="1"/>
  <c r="U252" i="1"/>
  <c r="AA252" i="1"/>
  <c r="X252" i="1"/>
  <c r="AG252" i="1"/>
  <c r="AG355" i="1"/>
  <c r="AD355" i="1"/>
  <c r="X355" i="1"/>
  <c r="U355" i="1"/>
  <c r="AA355" i="1"/>
  <c r="X84" i="1"/>
  <c r="AD84" i="1"/>
  <c r="AA84" i="1"/>
  <c r="U84" i="1"/>
  <c r="AG84" i="1"/>
  <c r="AG114" i="1"/>
  <c r="AA114" i="1"/>
  <c r="X114" i="1"/>
  <c r="U114" i="1"/>
  <c r="AD114" i="1"/>
  <c r="U110" i="1"/>
  <c r="AD110" i="1"/>
  <c r="AA110" i="1"/>
  <c r="X110" i="1"/>
  <c r="AG110" i="1"/>
  <c r="X11" i="1"/>
  <c r="U11" i="1"/>
  <c r="AD11" i="1"/>
  <c r="AG11" i="1"/>
  <c r="AA11" i="1"/>
  <c r="U79" i="1"/>
  <c r="AD79" i="1"/>
  <c r="X79" i="1"/>
  <c r="AG79" i="1"/>
  <c r="AA79" i="1"/>
  <c r="X66" i="1"/>
  <c r="U66" i="1"/>
  <c r="AG66" i="1"/>
  <c r="AA66" i="1"/>
  <c r="AD66" i="1"/>
  <c r="X13" i="1"/>
  <c r="AD13" i="1"/>
  <c r="AG13" i="1"/>
  <c r="U13" i="1"/>
  <c r="AA13" i="1"/>
  <c r="AD356" i="1"/>
  <c r="U356" i="1"/>
  <c r="AA356" i="1"/>
  <c r="AG356" i="1"/>
  <c r="X356" i="1"/>
  <c r="AD37" i="1"/>
  <c r="AG37" i="1"/>
  <c r="X37" i="1"/>
  <c r="U37" i="1"/>
  <c r="AA37" i="1"/>
  <c r="AD49" i="1"/>
  <c r="U49" i="1"/>
  <c r="AA49" i="1"/>
  <c r="AG49" i="1"/>
  <c r="X49" i="1"/>
  <c r="U133" i="1"/>
  <c r="AA133" i="1"/>
  <c r="AG133" i="1"/>
  <c r="X133" i="1"/>
  <c r="AD133" i="1"/>
  <c r="AA248" i="1"/>
  <c r="X248" i="1"/>
  <c r="AD248" i="1"/>
  <c r="U248" i="1"/>
  <c r="AG248" i="1"/>
  <c r="X239" i="1"/>
  <c r="AD239" i="1"/>
  <c r="U239" i="1"/>
  <c r="AA239" i="1"/>
  <c r="AG239" i="1"/>
  <c r="X207" i="1"/>
  <c r="U207" i="1"/>
  <c r="AA207" i="1"/>
  <c r="AD207" i="1"/>
  <c r="AG207" i="1"/>
  <c r="AG116" i="1"/>
  <c r="X116" i="1"/>
  <c r="AD116" i="1"/>
  <c r="U116" i="1"/>
  <c r="AA116" i="1"/>
  <c r="U115" i="1"/>
  <c r="AA115" i="1"/>
  <c r="AG115" i="1"/>
  <c r="X115" i="1"/>
  <c r="AD115" i="1"/>
  <c r="AG8" i="1"/>
  <c r="X8" i="1"/>
  <c r="AD8" i="1"/>
  <c r="U8" i="1"/>
  <c r="AA8" i="1"/>
  <c r="AG6" i="1"/>
  <c r="U6" i="1"/>
  <c r="AA6" i="1"/>
  <c r="X6" i="1"/>
  <c r="AD6" i="1"/>
  <c r="J48" i="4"/>
  <c r="L48" i="4" s="1"/>
  <c r="J74" i="4"/>
  <c r="L74" i="4" s="1"/>
  <c r="J60" i="4"/>
  <c r="L60" i="4" s="1"/>
  <c r="K10" i="4"/>
  <c r="L55" i="4"/>
  <c r="N55" i="4" s="1"/>
  <c r="K11" i="4"/>
  <c r="K31" i="4"/>
  <c r="J66" i="4"/>
  <c r="L66" i="4" s="1"/>
  <c r="K52" i="4"/>
  <c r="L52" i="4" s="1"/>
  <c r="AH5" i="1"/>
  <c r="I25" i="8"/>
  <c r="I26" i="8"/>
  <c r="I21" i="8"/>
  <c r="D74" i="3"/>
  <c r="D73" i="3"/>
  <c r="D72" i="3"/>
  <c r="D71" i="3"/>
  <c r="D70" i="3"/>
  <c r="D69" i="3"/>
  <c r="D67" i="3"/>
  <c r="D66" i="3"/>
  <c r="D65" i="3"/>
  <c r="D64" i="3"/>
  <c r="D63" i="3"/>
  <c r="D62" i="3"/>
  <c r="D61" i="3"/>
  <c r="D60" i="3"/>
  <c r="D58" i="3"/>
  <c r="D57" i="3"/>
  <c r="D56" i="3"/>
  <c r="D55" i="3"/>
  <c r="D54" i="3"/>
  <c r="D53" i="3"/>
  <c r="D52" i="3"/>
  <c r="D50" i="3"/>
  <c r="D49" i="3"/>
  <c r="D48" i="3"/>
  <c r="D47" i="3"/>
  <c r="D46" i="3"/>
  <c r="D44" i="3"/>
  <c r="D43" i="3"/>
  <c r="D42" i="3"/>
  <c r="D41" i="3"/>
  <c r="D40" i="3"/>
  <c r="D39" i="3"/>
  <c r="D38" i="3"/>
  <c r="D36" i="3"/>
  <c r="D35" i="3"/>
  <c r="D34" i="3"/>
  <c r="D32" i="3"/>
  <c r="D31" i="3"/>
  <c r="D30" i="3"/>
  <c r="D29" i="3"/>
  <c r="D27" i="3"/>
  <c r="D26" i="3"/>
  <c r="D25" i="3"/>
  <c r="D23" i="3"/>
  <c r="D22" i="3"/>
  <c r="D21" i="3"/>
  <c r="D20" i="3"/>
  <c r="D19" i="3"/>
  <c r="D18" i="3"/>
  <c r="D15" i="3"/>
  <c r="D14" i="3"/>
  <c r="D13" i="3"/>
  <c r="D12" i="3"/>
  <c r="D11" i="3"/>
  <c r="D10" i="3"/>
  <c r="D9" i="3"/>
  <c r="D8" i="3"/>
  <c r="D7" i="3"/>
  <c r="E8" i="3"/>
  <c r="C8" i="3"/>
  <c r="C12" i="3"/>
  <c r="C13" i="3"/>
  <c r="C14" i="3"/>
  <c r="C15" i="3"/>
  <c r="C18" i="3"/>
  <c r="C19" i="3"/>
  <c r="C20" i="3"/>
  <c r="C21" i="3"/>
  <c r="C22" i="3"/>
  <c r="C23" i="3"/>
  <c r="C24" i="3"/>
  <c r="C25" i="3"/>
  <c r="C26" i="3"/>
  <c r="C27" i="3"/>
  <c r="C29" i="3"/>
  <c r="C30" i="3"/>
  <c r="C31" i="3"/>
  <c r="C32" i="3"/>
  <c r="C34" i="3"/>
  <c r="C35" i="3"/>
  <c r="C36" i="3"/>
  <c r="C39" i="3"/>
  <c r="C42" i="3"/>
  <c r="C44" i="3"/>
  <c r="C48" i="3"/>
  <c r="C49" i="3"/>
  <c r="C50" i="3"/>
  <c r="C53" i="3"/>
  <c r="C56" i="3"/>
  <c r="C57" i="3"/>
  <c r="C58" i="3"/>
  <c r="C62" i="3"/>
  <c r="C63" i="3"/>
  <c r="C64" i="3"/>
  <c r="C65" i="3"/>
  <c r="C69" i="3"/>
  <c r="C70" i="3"/>
  <c r="C71" i="3"/>
  <c r="C72" i="3"/>
  <c r="C73" i="3"/>
  <c r="C74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E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E43" i="3"/>
  <c r="F43" i="3"/>
  <c r="G43" i="3"/>
  <c r="H43" i="3"/>
  <c r="I43" i="3"/>
  <c r="J43" i="3"/>
  <c r="K43" i="3"/>
  <c r="L43" i="3"/>
  <c r="N43" i="3"/>
  <c r="O43" i="3"/>
  <c r="P43" i="3"/>
  <c r="Q43" i="3"/>
  <c r="R43" i="3"/>
  <c r="S43" i="3"/>
  <c r="T43" i="3"/>
  <c r="U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P51" i="3" l="1"/>
  <c r="K37" i="3"/>
  <c r="M16" i="3"/>
  <c r="T45" i="3"/>
  <c r="I37" i="3"/>
  <c r="K16" i="3"/>
  <c r="AH7" i="3"/>
  <c r="AH26" i="3"/>
  <c r="AH46" i="3"/>
  <c r="AH64" i="3"/>
  <c r="H37" i="3"/>
  <c r="J16" i="3"/>
  <c r="AH8" i="3"/>
  <c r="AH27" i="3"/>
  <c r="AH47" i="3"/>
  <c r="AH65" i="3"/>
  <c r="AH25" i="3"/>
  <c r="G16" i="3"/>
  <c r="E16" i="3"/>
  <c r="AH12" i="3"/>
  <c r="AH32" i="3"/>
  <c r="AH52" i="3"/>
  <c r="AH70" i="3"/>
  <c r="G37" i="3"/>
  <c r="AH29" i="3"/>
  <c r="F37" i="3"/>
  <c r="AH30" i="3"/>
  <c r="AH13" i="3"/>
  <c r="AH34" i="3"/>
  <c r="AH53" i="3"/>
  <c r="AH71" i="3"/>
  <c r="AH24" i="3"/>
  <c r="AH66" i="3"/>
  <c r="AH11" i="3"/>
  <c r="AH54" i="3"/>
  <c r="AH15" i="3"/>
  <c r="AH36" i="3"/>
  <c r="AH55" i="3"/>
  <c r="AH73" i="3"/>
  <c r="AH23" i="3"/>
  <c r="O51" i="3"/>
  <c r="J37" i="3"/>
  <c r="AH10" i="3"/>
  <c r="AH31" i="3"/>
  <c r="AH35" i="3"/>
  <c r="U51" i="3"/>
  <c r="AH18" i="3"/>
  <c r="AH38" i="3"/>
  <c r="D37" i="3"/>
  <c r="AH56" i="3"/>
  <c r="AH74" i="3"/>
  <c r="AH49" i="3"/>
  <c r="AH69" i="3"/>
  <c r="AH14" i="3"/>
  <c r="AH72" i="3"/>
  <c r="T51" i="3"/>
  <c r="AH19" i="3"/>
  <c r="AH39" i="3"/>
  <c r="AH57" i="3"/>
  <c r="AH62" i="3"/>
  <c r="AH44" i="3"/>
  <c r="N51" i="3"/>
  <c r="S51" i="3"/>
  <c r="AH20" i="3"/>
  <c r="AH40" i="3"/>
  <c r="AH58" i="3"/>
  <c r="AH43" i="3"/>
  <c r="AH63" i="3"/>
  <c r="AH9" i="3"/>
  <c r="H16" i="3"/>
  <c r="AH67" i="3"/>
  <c r="AH50" i="3"/>
  <c r="R51" i="3"/>
  <c r="M37" i="3"/>
  <c r="O16" i="3"/>
  <c r="AH21" i="3"/>
  <c r="AH41" i="3"/>
  <c r="AH60" i="3"/>
  <c r="L16" i="3"/>
  <c r="I16" i="3"/>
  <c r="AH48" i="3"/>
  <c r="Q51" i="3"/>
  <c r="N16" i="3"/>
  <c r="AH22" i="3"/>
  <c r="AH42" i="3"/>
  <c r="AH61" i="3"/>
  <c r="F26" i="8"/>
  <c r="F25" i="8"/>
  <c r="S37" i="3"/>
  <c r="U33" i="3"/>
  <c r="U68" i="3"/>
  <c r="U59" i="3"/>
  <c r="U28" i="3"/>
  <c r="U37" i="3"/>
  <c r="U45" i="3"/>
  <c r="U16" i="3"/>
  <c r="T16" i="3"/>
  <c r="T33" i="3"/>
  <c r="T68" i="3"/>
  <c r="T59" i="3"/>
  <c r="T37" i="3"/>
  <c r="T6" i="3"/>
  <c r="L10" i="4"/>
  <c r="E10" i="4"/>
  <c r="E7" i="4" s="1"/>
  <c r="E66" i="4"/>
  <c r="E74" i="4"/>
  <c r="AH252" i="1"/>
  <c r="AH26" i="1"/>
  <c r="AH358" i="1"/>
  <c r="AH360" i="1"/>
  <c r="AH357" i="1"/>
  <c r="AH106" i="1"/>
  <c r="AH6" i="1"/>
  <c r="AH239" i="1"/>
  <c r="AH79" i="1"/>
  <c r="AH11" i="1"/>
  <c r="AH10" i="1"/>
  <c r="AH7" i="1"/>
  <c r="AH12" i="1"/>
  <c r="AH96" i="1"/>
  <c r="AH223" i="1"/>
  <c r="AH254" i="1"/>
  <c r="AH14" i="1"/>
  <c r="AH299" i="1"/>
  <c r="AH13" i="1"/>
  <c r="AH344" i="1"/>
  <c r="AH82" i="1"/>
  <c r="AH133" i="1"/>
  <c r="AH37" i="1"/>
  <c r="AH249" i="1"/>
  <c r="AH24" i="1"/>
  <c r="AH207" i="1"/>
  <c r="AH248" i="1"/>
  <c r="AH110" i="1"/>
  <c r="AH84" i="1"/>
  <c r="AH45" i="1"/>
  <c r="AH113" i="1"/>
  <c r="AH64" i="1"/>
  <c r="AH262" i="1"/>
  <c r="AH8" i="1"/>
  <c r="AH116" i="1"/>
  <c r="AH114" i="1"/>
  <c r="AH355" i="1"/>
  <c r="AH101" i="1"/>
  <c r="AH51" i="1"/>
  <c r="AH50" i="1"/>
  <c r="AH9" i="1"/>
  <c r="AH115" i="1"/>
  <c r="AH49" i="1"/>
  <c r="AH356" i="1"/>
  <c r="AH66" i="1"/>
  <c r="AH145" i="1"/>
  <c r="AH339" i="1"/>
  <c r="AH67" i="1"/>
  <c r="AH52" i="1"/>
  <c r="AH359" i="1"/>
  <c r="AH265" i="1"/>
  <c r="AH56" i="1"/>
  <c r="AH53" i="1"/>
  <c r="AH117" i="1"/>
  <c r="L12" i="4"/>
  <c r="C28" i="3"/>
  <c r="R33" i="3"/>
  <c r="J33" i="3"/>
  <c r="N28" i="3"/>
  <c r="F28" i="3"/>
  <c r="C33" i="3"/>
  <c r="C68" i="3"/>
  <c r="N33" i="3"/>
  <c r="F33" i="3"/>
  <c r="R28" i="3"/>
  <c r="J28" i="3"/>
  <c r="L68" i="3"/>
  <c r="L59" i="3"/>
  <c r="H45" i="3"/>
  <c r="Q16" i="3"/>
  <c r="Q6" i="3"/>
  <c r="E6" i="3"/>
  <c r="S68" i="3"/>
  <c r="O68" i="3"/>
  <c r="K68" i="3"/>
  <c r="G68" i="3"/>
  <c r="S59" i="3"/>
  <c r="O59" i="3"/>
  <c r="K59" i="3"/>
  <c r="G59" i="3"/>
  <c r="J51" i="3"/>
  <c r="F51" i="3"/>
  <c r="S45" i="3"/>
  <c r="O45" i="3"/>
  <c r="O37" i="3" s="1"/>
  <c r="O33" i="3" s="1"/>
  <c r="O28" i="3" s="1"/>
  <c r="K45" i="3"/>
  <c r="G45" i="3"/>
  <c r="R37" i="3"/>
  <c r="N37" i="3"/>
  <c r="Q33" i="3"/>
  <c r="M33" i="3"/>
  <c r="I33" i="3"/>
  <c r="E33" i="3"/>
  <c r="Q28" i="3"/>
  <c r="M28" i="3"/>
  <c r="I28" i="3"/>
  <c r="E28" i="3"/>
  <c r="P16" i="3"/>
  <c r="P6" i="3"/>
  <c r="L6" i="3"/>
  <c r="H6" i="3"/>
  <c r="D33" i="3"/>
  <c r="H59" i="3"/>
  <c r="K51" i="3"/>
  <c r="L45" i="3"/>
  <c r="L37" i="3" s="1"/>
  <c r="M6" i="3"/>
  <c r="R68" i="3"/>
  <c r="N68" i="3"/>
  <c r="J68" i="3"/>
  <c r="F68" i="3"/>
  <c r="R59" i="3"/>
  <c r="N59" i="3"/>
  <c r="J59" i="3"/>
  <c r="F59" i="3"/>
  <c r="M51" i="3"/>
  <c r="I51" i="3"/>
  <c r="E51" i="3"/>
  <c r="R45" i="3"/>
  <c r="N45" i="3"/>
  <c r="J45" i="3"/>
  <c r="F45" i="3"/>
  <c r="Q37" i="3"/>
  <c r="E37" i="3"/>
  <c r="P33" i="3"/>
  <c r="L33" i="3"/>
  <c r="H33" i="3"/>
  <c r="T28" i="3"/>
  <c r="P28" i="3"/>
  <c r="L28" i="3"/>
  <c r="H28" i="3"/>
  <c r="S16" i="3"/>
  <c r="S6" i="3"/>
  <c r="O6" i="3"/>
  <c r="K6" i="3"/>
  <c r="G6" i="3"/>
  <c r="P68" i="3"/>
  <c r="H68" i="3"/>
  <c r="P59" i="3"/>
  <c r="G51" i="3"/>
  <c r="P45" i="3"/>
  <c r="I6" i="3"/>
  <c r="Q68" i="3"/>
  <c r="M68" i="3"/>
  <c r="I68" i="3"/>
  <c r="E68" i="3"/>
  <c r="Q59" i="3"/>
  <c r="M59" i="3"/>
  <c r="I59" i="3"/>
  <c r="E59" i="3"/>
  <c r="L51" i="3"/>
  <c r="H51" i="3"/>
  <c r="Q45" i="3"/>
  <c r="M45" i="3"/>
  <c r="I45" i="3"/>
  <c r="E45" i="3"/>
  <c r="P37" i="3"/>
  <c r="S33" i="3"/>
  <c r="K33" i="3"/>
  <c r="G33" i="3"/>
  <c r="S28" i="3"/>
  <c r="K28" i="3"/>
  <c r="G28" i="3"/>
  <c r="R16" i="3"/>
  <c r="R6" i="3"/>
  <c r="N6" i="3"/>
  <c r="J6" i="3"/>
  <c r="F6" i="3"/>
  <c r="D45" i="3"/>
  <c r="D51" i="3"/>
  <c r="D59" i="3"/>
  <c r="D6" i="3"/>
  <c r="D28" i="3"/>
  <c r="D68" i="3"/>
  <c r="L13" i="4"/>
  <c r="I43" i="4"/>
  <c r="G83" i="4"/>
  <c r="I83" i="4" s="1"/>
  <c r="G48" i="4"/>
  <c r="I48" i="4" s="1"/>
  <c r="AH361" i="1" l="1"/>
  <c r="AH37" i="3"/>
  <c r="AH33" i="3"/>
  <c r="AH6" i="3"/>
  <c r="AH68" i="3"/>
  <c r="AH28" i="3"/>
  <c r="AH59" i="3"/>
  <c r="AH51" i="3"/>
  <c r="AH45" i="3"/>
  <c r="T75" i="3"/>
  <c r="T79" i="3" s="1"/>
  <c r="U75" i="3"/>
  <c r="U79" i="3" s="1"/>
  <c r="L75" i="3"/>
  <c r="L79" i="3" s="1"/>
  <c r="I75" i="3"/>
  <c r="I79" i="3" s="1"/>
  <c r="J75" i="3"/>
  <c r="J79" i="3" s="1"/>
  <c r="G75" i="3"/>
  <c r="G79" i="3" s="1"/>
  <c r="S75" i="3"/>
  <c r="S79" i="3" s="1"/>
  <c r="R75" i="3"/>
  <c r="R79" i="3" s="1"/>
  <c r="M75" i="3"/>
  <c r="M79" i="3" s="1"/>
  <c r="P75" i="3"/>
  <c r="P79" i="3" s="1"/>
  <c r="K75" i="3"/>
  <c r="K79" i="3" s="1"/>
  <c r="E75" i="3"/>
  <c r="E79" i="3" s="1"/>
  <c r="Q75" i="3"/>
  <c r="Q79" i="3" s="1"/>
  <c r="O75" i="3"/>
  <c r="O79" i="3" s="1"/>
  <c r="N75" i="3"/>
  <c r="N79" i="3" s="1"/>
  <c r="H75" i="3"/>
  <c r="H79" i="3" s="1"/>
  <c r="C38" i="3"/>
  <c r="C60" i="3"/>
  <c r="C67" i="3"/>
  <c r="C40" i="3"/>
  <c r="G32" i="4" l="1"/>
  <c r="G11" i="4" s="1"/>
  <c r="C43" i="3"/>
  <c r="C66" i="3"/>
  <c r="C7" i="3"/>
  <c r="C54" i="3"/>
  <c r="C10" i="3"/>
  <c r="C9" i="3"/>
  <c r="C52" i="3"/>
  <c r="C55" i="3"/>
  <c r="C11" i="3"/>
  <c r="C61" i="3"/>
  <c r="C17" i="3"/>
  <c r="C16" i="3" s="1"/>
  <c r="C41" i="3"/>
  <c r="C46" i="3"/>
  <c r="C47" i="3"/>
  <c r="C6" i="3" l="1"/>
  <c r="J32" i="4"/>
  <c r="J11" i="4" s="1"/>
  <c r="L11" i="4" s="1"/>
  <c r="I32" i="4"/>
  <c r="I11" i="4" s="1"/>
  <c r="F17" i="3"/>
  <c r="D17" i="3"/>
  <c r="C59" i="3"/>
  <c r="G31" i="4"/>
  <c r="I31" i="4" s="1"/>
  <c r="C51" i="3"/>
  <c r="C37" i="3"/>
  <c r="C45" i="3"/>
  <c r="G60" i="4"/>
  <c r="I60" i="4" s="1"/>
  <c r="G66" i="4"/>
  <c r="I66" i="4" s="1"/>
  <c r="G74" i="4"/>
  <c r="I74" i="4" s="1"/>
  <c r="G52" i="4"/>
  <c r="I52" i="4" s="1"/>
  <c r="F16" i="3" l="1"/>
  <c r="F75" i="3" s="1"/>
  <c r="F79" i="3" s="1"/>
  <c r="AH17" i="3"/>
  <c r="D16" i="3"/>
  <c r="J7" i="4"/>
  <c r="J31" i="4"/>
  <c r="L31" i="4" s="1"/>
  <c r="L32" i="4"/>
  <c r="N32" i="4" s="1"/>
  <c r="C75" i="3"/>
  <c r="C76" i="3" s="1"/>
  <c r="G7" i="4"/>
  <c r="AH16" i="3" l="1"/>
  <c r="AH75" i="3" s="1"/>
  <c r="K7" i="4"/>
  <c r="L7" i="4" s="1"/>
  <c r="C79" i="3"/>
  <c r="C80" i="3" s="1"/>
  <c r="H7" i="4"/>
  <c r="I7" i="4" s="1"/>
  <c r="D75" i="3" l="1"/>
  <c r="D79" i="3" s="1"/>
  <c r="AH7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4BDA1B61-17E6-47F8-965D-767337A7A93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42BCD3D6-2537-4518-9077-ABF2C3737A3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A6A1A671-44E9-4AA3-8349-1A88C68477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1E3040DB-0101-481B-BD76-0CE4F1FA1B6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715FECCB-6231-4208-AE1B-B9260152A5F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D2E147A9-A7BD-4029-A971-3C7731EDCB0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2AD0199A-3F96-4A97-916E-C5C961288F7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Z27" authorId="0" shapeId="0" xr:uid="{21CAF8D2-E996-488B-8CD9-0B45F856A74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  <comment ref="Z203" authorId="0" shapeId="0" xr:uid="{B5DD03C9-EF86-4A48-B013-881A1542FE81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Según ultimas cotizaciones para CD01, en SP06 no fue posible realizar la compra por el tiempo.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4" authorId="0" shapeId="0" xr:uid="{67516256-CD20-4735-A8EB-EBB142F7B1B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conextor para presupuestos</t>
        </r>
      </text>
    </comment>
    <comment ref="C4" authorId="0" shapeId="0" xr:uid="{588E3815-C193-4741-B35B-6517EE1B7F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es clasificador. </t>
        </r>
      </text>
    </comment>
    <comment ref="D4" authorId="0" shapeId="0" xr:uid="{F9153437-5073-4A14-9DC0-6D80558C500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Clasificador de presupuesto, para Iniciativa o Capex. No tocar donde esta el *.</t>
        </r>
      </text>
    </comment>
    <comment ref="E4" authorId="0" shapeId="0" xr:uid="{CEB70AFE-5577-468C-A6A6-05FD23C7CA50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Nos tocar, solo presupuestos. </t>
        </r>
      </text>
    </comment>
    <comment ref="K4" authorId="0" shapeId="0" xr:uid="{8743A9CB-F726-4AB2-88F7-BE07FE846D0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en la columna, solo actualizar moneda en J2 y K2</t>
        </r>
      </text>
    </comment>
    <comment ref="M4" authorId="0" shapeId="0" xr:uid="{B13C1BB0-BBBA-4ED9-9682-CBD6FDEE5DD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tocar, automatica</t>
        </r>
      </text>
    </comment>
    <comment ref="O4" authorId="0" shapeId="0" xr:uid="{61B695B0-8DA9-4A45-BF7F-10073B55DF1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No tocar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Martinez</author>
  </authors>
  <commentList>
    <comment ref="Y8" authorId="0" shapeId="0" xr:uid="{DDCB514C-609A-4A66-B1DF-135587E64E16}">
      <text>
        <r>
          <rPr>
            <b/>
            <sz val="9"/>
            <color indexed="81"/>
            <rFont val="Tahoma"/>
            <family val="2"/>
          </rPr>
          <t>Jose Martinez:</t>
        </r>
        <r>
          <rPr>
            <sz val="9"/>
            <color indexed="81"/>
            <rFont val="Tahoma"/>
            <family val="2"/>
          </rPr>
          <t xml:space="preserve">
Colocar fecha aproximada para solicitar el Saldo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Rosario</author>
  </authors>
  <commentList>
    <comment ref="B10" authorId="0" shapeId="0" xr:uid="{0C3ACB29-F7AD-49B8-8F2A-3292E955958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E10" authorId="0" shapeId="0" xr:uid="{16BBC4DE-0BDF-4890-9723-EBC01CB6736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H10" authorId="0" shapeId="0" xr:uid="{34332F26-1DE3-4E78-821F-30C1714D08B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K10" authorId="0" shapeId="0" xr:uid="{4A12FCCE-1C3B-4A8D-9CC4-B6DBA621D13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N10" authorId="0" shapeId="0" xr:uid="{09B9A74D-5EEA-46C0-8507-0964BDE4621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Estimado de Flete Octubre</t>
        </r>
      </text>
    </comment>
    <comment ref="B11" authorId="0" shapeId="0" xr:uid="{FF8028C9-E781-4DA0-8C5A-86A54CB311F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Fletes desde China considerado como una carga suelta, necesita calcular el volumen y cotizar a la fecha, no podemos estimarlo. </t>
        </r>
      </text>
    </comment>
    <comment ref="B15" authorId="0" shapeId="0" xr:uid="{4F443995-9DF3-4203-8824-B3CB0724A399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China simpre 20%, excepto equipos industriales. </t>
        </r>
      </text>
    </comment>
    <comment ref="E15" authorId="0" shapeId="0" xr:uid="{9CDF8B6D-F4AE-493E-9248-D49A6DC47E0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varia según tipo de mercancia y origen</t>
        </r>
      </text>
    </comment>
    <comment ref="B17" authorId="0" shapeId="0" xr:uid="{918AD3FB-2805-42BF-9DC4-D04B66BB57B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E17" authorId="0" shapeId="0" xr:uid="{57BCC6CE-EE58-44C1-8697-C43637481C66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H17" authorId="0" shapeId="0" xr:uid="{F71C3AF1-AC9F-4CD1-B8CA-73E3013D922A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K17" authorId="0" shapeId="0" xr:uid="{411CCFCC-A889-4DE4-88EB-A183162A2A5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N17" authorId="0" shapeId="0" xr:uid="{1BE333DB-8AF5-40D0-BBED-C7686167467D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Pago de agente es unico por expediente, es decir por uno o varios contenedores o carga sulta.</t>
        </r>
      </text>
    </comment>
    <comment ref="B18" authorId="0" shapeId="0" xr:uid="{6D2B21F8-A548-4795-9E0E-282AE3864AA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E18" authorId="0" shapeId="0" xr:uid="{35CCD539-A470-4AAB-8BF2-45A66169488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H18" authorId="0" shapeId="0" xr:uid="{0CDE66D9-C601-4454-8DDB-02861FB357C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K18" authorId="0" shapeId="0" xr:uid="{1C177AA1-9B57-456E-A675-98A26BB8B1D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N18" authorId="0" shapeId="0" xr:uid="{1AE0F994-453F-4B50-99E0-447BAE03C0DE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Precio por unidad de tractor o contenedor. </t>
        </r>
      </text>
    </comment>
    <comment ref="B19" authorId="0" shapeId="0" xr:uid="{006F0C1A-EA5E-4B71-BDCB-019771255393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E19" authorId="0" shapeId="0" xr:uid="{C411D742-D6D5-48EC-AEC7-601B64633215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H19" authorId="0" shapeId="0" xr:uid="{23EA42DD-13DD-48FE-9324-970C34FC1FCB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K19" authorId="0" shapeId="0" xr:uid="{190F2A55-87DC-429F-B410-98B0E72A44F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N19" authorId="0" shapeId="0" xr:uid="{AE068BF9-617B-40A5-A6A4-AC16EFBAACFF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Es un % del valor de la carga, esto es un estimado. Estimado por expediente. </t>
        </r>
      </text>
    </comment>
    <comment ref="B20" authorId="0" shapeId="0" xr:uid="{6B34C7DF-C6AF-4780-8C9B-0879BE47C544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E20" authorId="0" shapeId="0" xr:uid="{040FC840-3D7C-4C1E-A368-6ED940EE1568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H20" authorId="0" shapeId="0" xr:uid="{485F5947-E663-4210-B43B-6196BE29B342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K20" authorId="0" shapeId="0" xr:uid="{1D40BECC-F477-4727-A711-75802111C06C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  <comment ref="N20" authorId="0" shapeId="0" xr:uid="{A7D4006D-08E1-4981-A980-0FA798DA7957}">
      <text>
        <r>
          <rPr>
            <b/>
            <sz val="9"/>
            <color indexed="81"/>
            <rFont val="Tahoma"/>
            <family val="2"/>
          </rPr>
          <t>Alba Rosario:</t>
        </r>
        <r>
          <rPr>
            <sz val="9"/>
            <color indexed="81"/>
            <rFont val="Tahoma"/>
            <family val="2"/>
          </rPr>
          <t xml:space="preserve">
Sellos o certificado, pago de chasis, despacho portuario(7 días libre en puerto seco y refrigerado solo 3 días). 
</t>
        </r>
      </text>
    </comment>
  </commentList>
</comments>
</file>

<file path=xl/sharedStrings.xml><?xml version="1.0" encoding="utf-8"?>
<sst xmlns="http://schemas.openxmlformats.org/spreadsheetml/2006/main" count="4259" uniqueCount="1346">
  <si>
    <t xml:space="preserve">Fecha </t>
  </si>
  <si>
    <t>Presupuesto Detallado - Propuesta para Sirena Compacta Mao</t>
  </si>
  <si>
    <t>Area de Compras de Activos</t>
  </si>
  <si>
    <t>Alto Nivel</t>
  </si>
  <si>
    <t>Plan Detallado DOP</t>
  </si>
  <si>
    <t>Total Presupuesto [USD]</t>
  </si>
  <si>
    <t>Ppto OI [DOP]</t>
  </si>
  <si>
    <t>Ppto Capex [DOP]</t>
  </si>
  <si>
    <t>Total Iniciativa [DOP]</t>
  </si>
  <si>
    <t>Ppto OI [USD]</t>
  </si>
  <si>
    <t>Ppto Capex [USD]</t>
  </si>
  <si>
    <t>Total Iniciativa [USD]</t>
  </si>
  <si>
    <t>TOTAL GENERAL ESTIMADO</t>
  </si>
  <si>
    <t>Resumen de Partidas</t>
  </si>
  <si>
    <t>EQUIPAMIENTO</t>
  </si>
  <si>
    <t>EDIFICACIÓN</t>
  </si>
  <si>
    <t>TERRENO</t>
  </si>
  <si>
    <t>Gasto</t>
  </si>
  <si>
    <t>Área de la Localidad</t>
  </si>
  <si>
    <r>
      <t>M</t>
    </r>
    <r>
      <rPr>
        <b/>
        <sz val="10"/>
        <color theme="1"/>
        <rFont val="Calibri"/>
        <family val="2"/>
      </rPr>
      <t>²</t>
    </r>
    <r>
      <rPr>
        <b/>
        <sz val="10"/>
        <color theme="1"/>
        <rFont val="Calibri"/>
        <family val="2"/>
        <scheme val="minor"/>
      </rPr>
      <t xml:space="preserve"> Construcción</t>
    </r>
  </si>
  <si>
    <t>M² Sala de Ventas</t>
  </si>
  <si>
    <t>M² Terreno</t>
  </si>
  <si>
    <t>OI</t>
  </si>
  <si>
    <t>Capex</t>
  </si>
  <si>
    <t>Part.</t>
  </si>
  <si>
    <t>Gran Part.</t>
  </si>
  <si>
    <t>Edificación, Instalaciones y Equipamientos</t>
  </si>
  <si>
    <t>Total [USD]</t>
  </si>
  <si>
    <t>Total [USD]3</t>
  </si>
  <si>
    <t>Columna2</t>
  </si>
  <si>
    <t>Ppto. OI [DOP]2</t>
  </si>
  <si>
    <t>Ppto. Capex [DOP]</t>
  </si>
  <si>
    <t>Total [DOP]</t>
  </si>
  <si>
    <t>Ppto. OI [USD]</t>
  </si>
  <si>
    <t>Ppto. Capex [USD]</t>
  </si>
  <si>
    <t>Total [USD]2</t>
  </si>
  <si>
    <t>1.00 Estudios Preliminares</t>
  </si>
  <si>
    <t>Edificación</t>
  </si>
  <si>
    <t>1.01 Diseño arquitectónico</t>
  </si>
  <si>
    <t>1.02 Diseño estructural</t>
  </si>
  <si>
    <t>1.03 Diseño electromecánico</t>
  </si>
  <si>
    <t>1.04 Diseño sanitario</t>
  </si>
  <si>
    <t>1.05 Estudio Geotécnico</t>
  </si>
  <si>
    <t>1.06 Levantamiento topográfico</t>
  </si>
  <si>
    <t>1.07 Permisos</t>
  </si>
  <si>
    <t>1.08 Diseño sistema contra incendios</t>
  </si>
  <si>
    <t>1.09 Diseño sistema gas</t>
  </si>
  <si>
    <t>2.00 Obra Civil</t>
  </si>
  <si>
    <t xml:space="preserve">Adicionales </t>
  </si>
  <si>
    <t xml:space="preserve">2.01 Edificación - Obra Civil </t>
  </si>
  <si>
    <t>2.02 Edificación - Estructura Metálica</t>
  </si>
  <si>
    <t>2.03 Edificación - Techo S.S. y Cerramientos Multipanel</t>
  </si>
  <si>
    <t>2.04 Edificación - Tragaluces "Skylights"</t>
  </si>
  <si>
    <t>2.05 Instalaciones Sanitarias</t>
  </si>
  <si>
    <t>2.06 Instalación de Gas</t>
  </si>
  <si>
    <t xml:space="preserve">2.07 Sistema Contra Incendios </t>
  </si>
  <si>
    <t>2.08 Instalaciones Mecánicas</t>
  </si>
  <si>
    <t>2.09 Rejillas y Sumideros</t>
  </si>
  <si>
    <t xml:space="preserve">Rejillas y sumideros del nuevo proveedor </t>
  </si>
  <si>
    <t>2.10 Supervisión Civil y Sanitaria</t>
  </si>
  <si>
    <t>2.11 Supervisión Arquitectónica</t>
  </si>
  <si>
    <t>3.00 Sistema Eléctrico</t>
  </si>
  <si>
    <t>Equipamiento</t>
  </si>
  <si>
    <t>3.01 Instalaciones Eléctricas</t>
  </si>
  <si>
    <t>3.02 Supervisión Eléctrica</t>
  </si>
  <si>
    <t>3.03 Generadores</t>
  </si>
  <si>
    <t>3.04 Inversor y UPS</t>
  </si>
  <si>
    <t xml:space="preserve">4.00 Sistema de Climatización   </t>
  </si>
  <si>
    <t>4.01 Suministro e instalación de Equipos</t>
  </si>
  <si>
    <t xml:space="preserve">Aires acondicionados </t>
  </si>
  <si>
    <t>4.02 Supervisión Mecánica</t>
  </si>
  <si>
    <t>4.03 Sistema de Extracción cocina</t>
  </si>
  <si>
    <t>5.00 Frio Alimentario</t>
  </si>
  <si>
    <t>5.01 Paneles</t>
  </si>
  <si>
    <t>5.02 FRP y Diamond Plate</t>
  </si>
  <si>
    <t>5.03 Neveras, Centrales y Evaporadores</t>
  </si>
  <si>
    <t>Neveras y centrales R404</t>
  </si>
  <si>
    <t>5.04 Bumpers Mcue/ Rack</t>
  </si>
  <si>
    <t xml:space="preserve">5.05 Trameria Cuarto Frio </t>
  </si>
  <si>
    <t xml:space="preserve">5.06 Instalacion Frio Alimentario </t>
  </si>
  <si>
    <t>5.07 Chase Doors</t>
  </si>
  <si>
    <t>6.00 Tecnología, Seguridad y Tesorería</t>
  </si>
  <si>
    <t>6.01 Sistema de cámaras CCTV</t>
  </si>
  <si>
    <t>6.02 Antenas detección de robo</t>
  </si>
  <si>
    <t>6.03 Puntos de Venta</t>
  </si>
  <si>
    <t>6.04 Instalación de data y voz / Antenas de techo</t>
  </si>
  <si>
    <t>6.05 Otros sum e inst Tecnología y Seguridad Y Tesoreria</t>
  </si>
  <si>
    <t>7.00 Equipamiento Produccion</t>
  </si>
  <si>
    <t xml:space="preserve">7.01 Equipamiento de Acero Inoxidable </t>
  </si>
  <si>
    <t>7.02 Cocina, Patio Comidas y Rostizería</t>
  </si>
  <si>
    <t xml:space="preserve">2 Hornos Rarional </t>
  </si>
  <si>
    <t>7.03 Equipamiento Carniceria, Pescadería y Delicatesen</t>
  </si>
  <si>
    <t>7.04 Equipamiento de Panaderia, Reposteria y Rosticería</t>
  </si>
  <si>
    <t xml:space="preserve">Fermentadora y 2 Hornos dobles de pan </t>
  </si>
  <si>
    <t>7.05 Equipamiento de Frutas y Vegetales</t>
  </si>
  <si>
    <t>7.06 Balanzas</t>
  </si>
  <si>
    <t>7.07 Otros Equipamientos de Producción</t>
  </si>
  <si>
    <t>8.00 Equipamiento Tienda</t>
  </si>
  <si>
    <t>8.01 Gondolas</t>
  </si>
  <si>
    <t>8.02 Checkout</t>
  </si>
  <si>
    <t xml:space="preserve">12 und </t>
  </si>
  <si>
    <t>8.03 Carritos, Canastas y Accesorios</t>
  </si>
  <si>
    <t>8.04 Trameria Almacen</t>
  </si>
  <si>
    <t>8.05 Mobiliario no operacional para Tiendas</t>
  </si>
  <si>
    <t xml:space="preserve">Se estan considerando los mobiliarios de Food Cord </t>
  </si>
  <si>
    <t>8.06 Otros Equipamientos de Tienda</t>
  </si>
  <si>
    <t>8.07 Señalizacion interiores</t>
  </si>
  <si>
    <t>8.08 Señalizacion exteriores</t>
  </si>
  <si>
    <t>9.00 Otros</t>
  </si>
  <si>
    <t>9.01 COMERCIALIZACION</t>
  </si>
  <si>
    <t>9.02 INSUMOS</t>
  </si>
  <si>
    <t>9.03 PUBLICIDAD Y MERCADEO</t>
  </si>
  <si>
    <t>9.04 MONTAJE</t>
  </si>
  <si>
    <t>9.05 DECORACIÓN TEMPORADAS</t>
  </si>
  <si>
    <t>9.06 -</t>
  </si>
  <si>
    <t>Etiquetas de fila</t>
  </si>
  <si>
    <t>Suma de Ppto. Orden Interna [DOP]</t>
  </si>
  <si>
    <t>Suma de Ppto. Orden Interna [USD]</t>
  </si>
  <si>
    <t>Suma de Pago 1</t>
  </si>
  <si>
    <t>Suma de Pago 2</t>
  </si>
  <si>
    <t>Suma de Pago 3</t>
  </si>
  <si>
    <t>Suma de Pago 4</t>
  </si>
  <si>
    <t>Suma de Pago 5</t>
  </si>
  <si>
    <t>MARAZZI PISO PROGRESS ANTHRACITE 30X60MK</t>
  </si>
  <si>
    <t>MARAZZI RAGNO CONCEPT GRIGIO 30X60CM</t>
  </si>
  <si>
    <t>MARAZZI REV MATERIKA STR SAT 3D 40X120MM</t>
  </si>
  <si>
    <t xml:space="preserve">SISTEMA DE PURIFICACION DE AGUA COMPLETO </t>
  </si>
  <si>
    <t>SISTEMA DETECCION GAS COCINA</t>
  </si>
  <si>
    <t>BOMBA SCI 1,500 GPM @145 PSI</t>
  </si>
  <si>
    <t>COVER PARA EXTINTOR C02  10-20LBS</t>
  </si>
  <si>
    <t>EXTINTOR ABC HALOTRON AGENTE LIMPIO 11LB</t>
  </si>
  <si>
    <t>EXTINTOR ABC POLVO QUIMICO 10LB</t>
  </si>
  <si>
    <t>EXTINTOR ABC POLVO QUIMICO 20LB</t>
  </si>
  <si>
    <t>EXTINTOR CO2 GAS CARBONICO 10LB</t>
  </si>
  <si>
    <t>EXTINTOR CO2 GAS CARBONICO 15LB</t>
  </si>
  <si>
    <t>EXTINTOR CO2 GAS CARBONICO 5LB</t>
  </si>
  <si>
    <t>GABINETE P/EXTINTOR ABC 20 LB</t>
  </si>
  <si>
    <t>INSTALACION BOMBA SCI 1,500 GPM @145 PSI</t>
  </si>
  <si>
    <t>COMPACTADORA DE CARTON 3HP 208/3/60HZ</t>
  </si>
  <si>
    <t>EQUIPCO COMPACTADORA BASURA 30YARDA 10HP</t>
  </si>
  <si>
    <t xml:space="preserve">SELLO PARA RECEPCION REFRIGERADA </t>
  </si>
  <si>
    <t>REJILLA DE  1.20m x 0.15m </t>
  </si>
  <si>
    <t>REJILLA DE 1.50m x 0.15m </t>
  </si>
  <si>
    <t>REJILLA DE 1.80m x 0.15m </t>
  </si>
  <si>
    <t>AIRES ACONDICIONADOS TIPO PAQUETE DE 30 TON</t>
  </si>
  <si>
    <t>CAMPANA PARED EXTRACCION HUMO Y GRASA</t>
  </si>
  <si>
    <t>DUCTERIA DE EXTRACCION</t>
  </si>
  <si>
    <t>DUCTERIA DE INYECCION</t>
  </si>
  <si>
    <t>EXTRACTOR HUMO Y GRASA 1265RPM</t>
  </si>
  <si>
    <t>INSTALACION CAMPANA Y SUMINISTRO</t>
  </si>
  <si>
    <t>INSTALACION EQ EXTRACCION E INYYECCION</t>
  </si>
  <si>
    <t>INYECTOR AIRE 1,400CFM</t>
  </si>
  <si>
    <t>TRANSPORTE DE EQ Y GASTOS INDIRECTOS</t>
  </si>
  <si>
    <t>PANELES - PUERTA DE CUARTO FRIOS OTROS</t>
  </si>
  <si>
    <t xml:space="preserve">PUERTA FRIGORIFICAS/CORREDERA/CONSERVACION/INSTALACION/CORTINAS </t>
  </si>
  <si>
    <t>SUMINISTRO  E INSTALACION PLANCHA FRP/ACERO/REVESTIMIENTO DIAMO</t>
  </si>
  <si>
    <t xml:space="preserve">CENTRAL DE FRIO ALTA Y MEDIA TEMPERATURA Y EVAPORADORES </t>
  </si>
  <si>
    <t>FARCO EXHIBIDOR 12 PC UR-12GL NG</t>
  </si>
  <si>
    <t>FARCO EXHIBIDOR 13P3 FAST LANE</t>
  </si>
  <si>
    <t>FARCO FST-60 MESA REFRIGERADA R290</t>
  </si>
  <si>
    <t>KIT VIDRIOS REPUESTOS NEVERAS IMS</t>
  </si>
  <si>
    <t>MUEBLE SEM MURAL FRIO GRB&amp;GO EQ006</t>
  </si>
  <si>
    <t>NEVERA DE FRUTAS ADICIONAL DE COMERCIAL</t>
  </si>
  <si>
    <t>NEVERA P/CARNE ARNEG LONDON 2.50MTS</t>
  </si>
  <si>
    <t>NEVERA REPOSTERIA Y AISTIDO DELI</t>
  </si>
  <si>
    <t>NEVERA SALA DE VENTA</t>
  </si>
  <si>
    <t xml:space="preserve">WALKING COLLROOM *PANELES S/PISO C/TRAMERIAS Y PUERTAS </t>
  </si>
  <si>
    <t>BOX RAIL 7 BR-K-LEG-7</t>
  </si>
  <si>
    <t>BUMPER DE ACERO INOX CSGR-59-CHROME</t>
  </si>
  <si>
    <t>BUMPER DE ACERO INOX CSGR-V2-M-CROME-KIT</t>
  </si>
  <si>
    <t>BUMPER DE ACERO INOXIDABLE CSSSR-10A</t>
  </si>
  <si>
    <t>BUMPER DE ACERO INOXIDABLE CSSSR-2A</t>
  </si>
  <si>
    <t>BUMPER DE ACERO INOXIDABLE CSSSR-4A</t>
  </si>
  <si>
    <t>BUMPER DE ACERO INOXIDABLE CSSSR-6A</t>
  </si>
  <si>
    <t>BUMPER DE ACERO INOXIDABLE CSSSR-8A</t>
  </si>
  <si>
    <t>BUMPER/CARTSTOP BOX RAIL CSBC</t>
  </si>
  <si>
    <t>BUMPER/CARTSTOP BOX RAIL END CAP CSBE-00</t>
  </si>
  <si>
    <t>ESTANTERIA 4 NIVELES1000X500MM  (Sirena Gol)</t>
  </si>
  <si>
    <t>ESTANTERIA 4 NIVELES1045X500MM  (Deli) )</t>
  </si>
  <si>
    <t>WINCO TRAMERIA 4NIV 24X36X72 EPOXICA</t>
  </si>
  <si>
    <t xml:space="preserve">DISEÑO DEL FRIO ALIMENTARIO </t>
  </si>
  <si>
    <t>INSTALACION DE FRIO ALIMENTARIO(FUERA DE LA CIUDAD)</t>
  </si>
  <si>
    <t xml:space="preserve">SUPERVICION DEL FRIO ALIMENTARIO </t>
  </si>
  <si>
    <t>INSTALACION DE PUERTAS BATIENTES</t>
  </si>
  <si>
    <t xml:space="preserve">PUERTAS BATIENTES 1600X2100( ROOFTEC) 11 unidades </t>
  </si>
  <si>
    <t>ARNES P/CAMILLA EMERGENCIA 10 PUNTOS</t>
  </si>
  <si>
    <t>CAJA FUERTE C/FUEGO C/COMB+LLAVE SS-100</t>
  </si>
  <si>
    <t>CAJA FUERTE MONEY SAFE CAJA DE BOVEDA TL30X6</t>
  </si>
  <si>
    <t>CAJA SEG. MASTER SS-065 COM C/FUEGO 877X</t>
  </si>
  <si>
    <t>CAMILLA P/EMERGENCIA PLASTICA</t>
  </si>
  <si>
    <t>CDM CONTADORA DE MONEDAS MOD CDM-15</t>
  </si>
  <si>
    <t>CDM DETECTORA DE BILLETES FALSOS LD-3</t>
  </si>
  <si>
    <t>CONTADORA DE MONEDAS RIBAO CS-10S(BALANZA Y EQUIPO)</t>
  </si>
  <si>
    <t>INMOBILIZADOR DE CABEZA P/EMERGENCIA</t>
  </si>
  <si>
    <t>MAQUINA CONTADORA BILLETES CBM PLUS 401</t>
  </si>
  <si>
    <t>MOTOROLA RADIO DEP450 UHF 16 ANA/DIG</t>
  </si>
  <si>
    <t>FREGADERO DOBLE 2 CUBA FD-02 1.20MT</t>
  </si>
  <si>
    <t>MESA DE TRABAJO MURAL 1200X700X850MM</t>
  </si>
  <si>
    <t>ALEGACY CUCHARA P/SERVIR 3770</t>
  </si>
  <si>
    <t>ALEGACY CUCHARA SOLIDA 21L MOD 4781</t>
  </si>
  <si>
    <t>ALEGACY TIJERA CORTAR AVES/PESC 1220</t>
  </si>
  <si>
    <t>AMERICAN METALCRAFT PINZA HDUT1200</t>
  </si>
  <si>
    <t>BANDEJA B/M FULL 12X20X2.5" A/I.</t>
  </si>
  <si>
    <t>BANDEJA PARA COSTILLA</t>
  </si>
  <si>
    <t>BANDEJA/PLANCHA ASAD PANAD 1/1 GN</t>
  </si>
  <si>
    <t>BASE PARA CANASTOS DE VEGETALES 1/4</t>
  </si>
  <si>
    <t>CAMBRO RECIPIENTE GAST 1/6X4 NEG</t>
  </si>
  <si>
    <t>CAMBRO TAPA P/RECI 9FC2452</t>
  </si>
  <si>
    <t>CARLISLE RACK 24PULG LARGO ODR‐24N</t>
  </si>
  <si>
    <t>CENTRIFUGADORA DE VERDURAS 3GAL</t>
  </si>
  <si>
    <t>CEPILLO SAN JAMAR 1178902</t>
  </si>
  <si>
    <t>CHICAGO MED BANDEJA DELI 12X18 BRONCE</t>
  </si>
  <si>
    <t>CORTADOR DE QUESO Y JAMON CUBE KING</t>
  </si>
  <si>
    <t>CUBETA P/DESINFECTAR 5LT ROJA</t>
  </si>
  <si>
    <t>CUCHARA ALTA TEMPERATURA 13"</t>
  </si>
  <si>
    <t>DEXTER RUSSELL CUCHILLO COC S145 10G GRE</t>
  </si>
  <si>
    <t>DEXTER RUSSELL CUCHILLO COC S145 10T PCP</t>
  </si>
  <si>
    <t>DISCO REBANADOR 10 MM.25</t>
  </si>
  <si>
    <t>EDLUND ABRIDOR DE LATAS CON BASE MOD 1S</t>
  </si>
  <si>
    <t>FLUKE TERMOMETRO LASER-30A650C 62MAX+12</t>
  </si>
  <si>
    <t>FORSCHNER CUCHILLO P/QUESO DOBLE 14</t>
  </si>
  <si>
    <t>HALCO BATIDOR DE MANO FRANCES 18</t>
  </si>
  <si>
    <t>HALCO CUCHILLO COCINERO 10 PC12910</t>
  </si>
  <si>
    <t>HALCO ESCUDILLA DE A/I 10.5QT 15</t>
  </si>
  <si>
    <t>HORNO RATIONAL ICP 101 (10 BANDEJAS)</t>
  </si>
  <si>
    <t>MATERIALES DE INSTALACION</t>
  </si>
  <si>
    <t>MESA PARA HORNO ICOMBI PRO</t>
  </si>
  <si>
    <t>MICROONDAS TORNADO TMO‐1000E</t>
  </si>
  <si>
    <t>MINI PACK EMPACADORA VACIO MVS-45II 2</t>
  </si>
  <si>
    <t>PANO DE MICROFIBRA 16X16" 24/1 VERDE</t>
  </si>
  <si>
    <t>PEDAL NEUMATICO 6 PIES</t>
  </si>
  <si>
    <t>PINZA PLASTICA NEGRA 12 PULG 4712</t>
  </si>
  <si>
    <t>PORCIONADOR ALIMENTO AZUL 8 OZ</t>
  </si>
  <si>
    <t>PORCIONADOR ALIMENTO PERFORADO AZUL</t>
  </si>
  <si>
    <t>RECIPIENTE DELI OCTAGONAL NEGRO SFG10151</t>
  </si>
  <si>
    <t>RECIPIENTE DELI OCTAGONAL NEGRO SFG12201</t>
  </si>
  <si>
    <t>RECIPIENTE KING STEEL 88002</t>
  </si>
  <si>
    <t>RECIPIENTE KING STEEL 88004</t>
  </si>
  <si>
    <t>RUBBERMAID ESPATULA PLASTICA P/CALOR 16</t>
  </si>
  <si>
    <t>SACA BOLAS #8 GRIS</t>
  </si>
  <si>
    <t>SIRMAN DISCO CUBO 10-25/64 40751PS10</t>
  </si>
  <si>
    <t>SIRMAN DISCO CUBO 8MM 15/16</t>
  </si>
  <si>
    <t>SIRMAN DISCO RALLADOR3 MM 1/8</t>
  </si>
  <si>
    <t>SIRMAN DISCO REBANADOR 2 -5/64 40751DF02</t>
  </si>
  <si>
    <t>SIRMAN PROCESADOR VEGETALES 40752508 TM2</t>
  </si>
  <si>
    <t>SUPERSPIKE PARA POLLOS 1/1 GN</t>
  </si>
  <si>
    <t>TABLA CORTE 15X20X3/4 BCA BROWNE</t>
  </si>
  <si>
    <t>TABLA P/CORTE 15X20X1/2" VERDE (57361504</t>
  </si>
  <si>
    <t>TABLECRAFT King Steel CB1520GNA VERDE</t>
  </si>
  <si>
    <t>TABLECRAFT TABLA CORTE CB1520BRA MARRON</t>
  </si>
  <si>
    <t>TAZA MEDIDORA PLASTICA 1 TAZA</t>
  </si>
  <si>
    <t>TIRADOR DE MANO P/DOLLY FDDOHDL0103</t>
  </si>
  <si>
    <t xml:space="preserve">UTENCILIOS DE COCINA </t>
  </si>
  <si>
    <t xml:space="preserve">UTENCILIOS DELY  </t>
  </si>
  <si>
    <t>WINCO BROCHA PASTELERA NB-20</t>
  </si>
  <si>
    <t>WINCO BROCHA PASTELERA NB-30</t>
  </si>
  <si>
    <t>WINHOLT RAPEADORA WHSS-1</t>
  </si>
  <si>
    <t xml:space="preserve">ZANITIZADOR DE CUCHILLOS </t>
  </si>
  <si>
    <t>BIRO MOLINO MEZCLADOR 32 220VAC 3PH</t>
  </si>
  <si>
    <t>BIRO SIN FIN CARNIC 3HP 208/230 1433FH</t>
  </si>
  <si>
    <t>BIRO TENDERIZADORA 3/4 HP 110V 9HD</t>
  </si>
  <si>
    <t>CANASTO PLEGABLE 60X40X11.3 RPC6411</t>
  </si>
  <si>
    <t>CHURRASCO 12¨MANGO FIBROX NEGRO</t>
  </si>
  <si>
    <t>CUCHILLO 8 X 2 RECTO ANCHO FIBROX</t>
  </si>
  <si>
    <t>FILETEO 6¨ RECTO FINO FIBROX NEGRO</t>
  </si>
  <si>
    <t>HOBART REBANADORA HD 13 HS6-1 A/I 120V</t>
  </si>
  <si>
    <t>MOLINO CARNICERIA 1HP BI-822SS</t>
  </si>
  <si>
    <t>REBANADORA PALLADIO 13 330 EVO TOP</t>
  </si>
  <si>
    <t>SIERRA SIN FIN CARNICERIA 1.5HP BI-22SS</t>
  </si>
  <si>
    <t>SIRMAN REBANADORA 15 TIZIANO</t>
  </si>
  <si>
    <t>VICTORINOX AMOLADOR 3 PIEDRA 11 1/2F/M/G</t>
  </si>
  <si>
    <t>VICTORINOX GUANTES METALICO MIDIUM 81503</t>
  </si>
  <si>
    <t>VICTORINOX GUANTES METALICOS LARGE 81504</t>
  </si>
  <si>
    <t>CAMARA FERMENTACION 879856SP 16 CARROS</t>
  </si>
  <si>
    <t>CARROS P/HORNO ROT 30 NIVELES</t>
  </si>
  <si>
    <t>CHICAGO BANDEJA BAGUETTE 4 MOLDE/P 49034</t>
  </si>
  <si>
    <t>CHICAGO BANDEJA BAGUETTE 5 MOLDE/P 49035</t>
  </si>
  <si>
    <t>CHICAGO BANDEJA PAN LISA 18X26X1 40698</t>
  </si>
  <si>
    <t>CHICAGO BANDEJA PAN LISA PERFORADA 44690</t>
  </si>
  <si>
    <t>HORNO DOBLE PRISMA S1 8080 SC/P</t>
  </si>
  <si>
    <t xml:space="preserve">INSTALACION  HORNOS DE PAN </t>
  </si>
  <si>
    <t>MESA DE REPOSTERIA SECA ADEXA G03.10</t>
  </si>
  <si>
    <t>MESA DE REPOSTERIA SECA G03.10</t>
  </si>
  <si>
    <t>MOLINO RALLADOR PAN 1HP 220V/60HZ 100KG</t>
  </si>
  <si>
    <t>MUEBLE RAMPA P/PAN 3 NIV S/CROSS G03.11</t>
  </si>
  <si>
    <t>MUEBLE RAMPA P/PAN 3NIV CROSS G03.13</t>
  </si>
  <si>
    <t>MUEBLE RAMPAP/ PAN C/VENTANA G03.12</t>
  </si>
  <si>
    <t>MUEBLE SEM MURAL CALIENTE GRB&amp;GO EQ006</t>
  </si>
  <si>
    <t xml:space="preserve">BALANZA PARA FRUTA Y VEGETALES </t>
  </si>
  <si>
    <t>CANASTO PLEGABLE 30X40X16.3 RPC4316</t>
  </si>
  <si>
    <t>CANASTO PLEGABLE 60X40X16.3 RPC6416</t>
  </si>
  <si>
    <t>LATERAL FINAL EN ACERO INOX</t>
  </si>
  <si>
    <t>MESA CABEZAL VEGETALES C/ESTANTE G02.04</t>
  </si>
  <si>
    <t>MESA T/RAMPA VEGETALES G02.01</t>
  </si>
  <si>
    <t xml:space="preserve">MUEBLE DE PLANTA Y FOLRES </t>
  </si>
  <si>
    <t xml:space="preserve">GONDOLAS DE ANTECAJA </t>
  </si>
  <si>
    <t xml:space="preserve">GONDOLAS PARA TIENDA </t>
  </si>
  <si>
    <t>INSTALACION GONDOLA</t>
  </si>
  <si>
    <t>CHECK OUT COUNTER SH-003 IZQ S/CINTA</t>
  </si>
  <si>
    <t>CANASTO CON RUEDAS 52 L NARANJA</t>
  </si>
  <si>
    <t>CARRITO P/MINUSVALIDO ELECTRICO XTI12 AM</t>
  </si>
  <si>
    <t>CARRO COMPRA GRANDE LOOP 210 AMARILLO</t>
  </si>
  <si>
    <t>CARRO COMPRA PEQUENO LOOP XS AMARILLO</t>
  </si>
  <si>
    <t>CARRO NIÑO LOOP KIDS AMARILLO</t>
  </si>
  <si>
    <t>SILLA RUEDAS III P/COMPRAS AMARILLA 2031</t>
  </si>
  <si>
    <t>SILLAS BEBE P/CARRO LOOP 210L</t>
  </si>
  <si>
    <t>TRAMERIA DE ALMACEN PALETIZADA</t>
  </si>
  <si>
    <t>ACRILICO TRANSPARENTE</t>
  </si>
  <si>
    <t>ARCHIVO MODULAR 4 GAVETAS</t>
  </si>
  <si>
    <t>CAFETERA ELECTRICA  CP-40 TAZA PARA COLABORADORES</t>
  </si>
  <si>
    <t>COWAY MEMBRESIA</t>
  </si>
  <si>
    <t>COWAY PURIFICADOR AGUA CHP 671L A</t>
  </si>
  <si>
    <t>ENTREGA Y ARMADO</t>
  </si>
  <si>
    <t>FAB MESA P/AREA SEGURIDAD 1.86X0.60X100</t>
  </si>
  <si>
    <t>FAB MESAS P/COLABORADORES 40X1.40X85 CM</t>
  </si>
  <si>
    <t>FAB MUEBLE AREA SUM-CUAD-AERE 40X70X1.60</t>
  </si>
  <si>
    <t>FAB MUEBLE CM MC 1.45X45X1.10 CM</t>
  </si>
  <si>
    <t>FAB. CREDENZA SERV. 42X1.80X83.5CM</t>
  </si>
  <si>
    <t>FAB. MESA TELERA 1.20X1.80X75 CM</t>
  </si>
  <si>
    <t>FAB. MUEBLE AEREO 30X1.80X60CM</t>
  </si>
  <si>
    <t>FAB. MUEBLE CUADRE GAVETA 2401X0.37X65CM</t>
  </si>
  <si>
    <t>FAB. MUEBLE MENUDO 1.50x0.60x0.76 cm</t>
  </si>
  <si>
    <t>FAB. TOPE COMEDOR</t>
  </si>
  <si>
    <t>FAB. TOPE NEGRO SAN GABRIEL 45X180X80CM</t>
  </si>
  <si>
    <t>FAB.MESA CONTROLADORES 1.86X60X76CM</t>
  </si>
  <si>
    <t>FAB.MESA POP 60X1.86X100CM</t>
  </si>
  <si>
    <t>FABRICACION PLANCHA ACRILICO BLANCO TOTE</t>
  </si>
  <si>
    <t>INSTALACION</t>
  </si>
  <si>
    <t>INSTALACION- TRANSPORTE</t>
  </si>
  <si>
    <t>KIT DE LACTANCIA SYMPHONY DOBLE 67116</t>
  </si>
  <si>
    <t>LOCKERS 12 PUERTAS 16X40X75 C/MALLA</t>
  </si>
  <si>
    <t>MESA CENTRAL OZ-1221W-12</t>
  </si>
  <si>
    <t xml:space="preserve">MOBILIARIOS DE OFICINA </t>
  </si>
  <si>
    <t xml:space="preserve">MUEBLE DE SERVICIO AL CLIENTE </t>
  </si>
  <si>
    <t>MUEBLE LOCKER 15 PUERTAS FENOLICO C/MANU</t>
  </si>
  <si>
    <t>MUEBLE TIPO BANCO 40X60X50</t>
  </si>
  <si>
    <t>PLANCHA DE VAPOR STEAMBUTLER II ST500</t>
  </si>
  <si>
    <t>SOFA P/1 PERSONA E-72</t>
  </si>
  <si>
    <t>SYMPHONY MEDELA EXTRACTOR LECHE 0240108</t>
  </si>
  <si>
    <t>TABURETE P/OPERARIO LABO 8127 SIN BRAZOS</t>
  </si>
  <si>
    <t>TRANSPORTE</t>
  </si>
  <si>
    <t xml:space="preserve">TRANSPORTE </t>
  </si>
  <si>
    <t xml:space="preserve">YALE CANDADO 30MM 3 LLAVES GRSM LOCKER </t>
  </si>
  <si>
    <t>BASE PARA MANIQUI MADERA - FORMICA BLANC</t>
  </si>
  <si>
    <t>CARRO GONDOLERO 2 NIVELES 16X48 GRIS</t>
  </si>
  <si>
    <t>CHAMPION SECADOR DE MANO HAND-DRYER</t>
  </si>
  <si>
    <t>CONO REFLECTIVO P/TRAFICO</t>
  </si>
  <si>
    <t>CONSTRUCION E INST DE PORTICO DE CAJA</t>
  </si>
  <si>
    <t>CONTRUCCION DE BANDEJA P/CABLEADO DEL PORTICO</t>
  </si>
  <si>
    <t>CROWN HAND PALLET JACK PTH50-2748(UNA)</t>
  </si>
  <si>
    <t>CUCHILLA EASY CUT 2000 SC 9701</t>
  </si>
  <si>
    <t>ESCALERA FIBRA VIDRIO T/TIJERA 10</t>
  </si>
  <si>
    <t>ESCALERA FIBRA VIDRIO T/TIJERA 12</t>
  </si>
  <si>
    <t>ESCALERA FIBRA VIDRIO T/TIJERA 6</t>
  </si>
  <si>
    <t>ESCALERA METAL 03 NIVELES BLANCA PRETUL</t>
  </si>
  <si>
    <t>FAB. TOPE NEGRO SAN GABRIEL</t>
  </si>
  <si>
    <t>FAB.COUNTER SERV VESTDOR 60X1.20X105 CM</t>
  </si>
  <si>
    <t>JUEGO DE MESAS NIDO SEGUN MEDIDAS</t>
  </si>
  <si>
    <t>KIT PARA CLIENTE (JUMPER,CARGADOR,GATO)</t>
  </si>
  <si>
    <t>LINEA EXTENDED COLLECTION - RACK BALLET</t>
  </si>
  <si>
    <t>LOTE ESCALERAS TIPO TIJERA 6, 12Y 4</t>
  </si>
  <si>
    <t>MANIQUI BEBE SENTADO BLANCO BRILLO SAM-2</t>
  </si>
  <si>
    <t>MANIQUI DE HOMBRE 3/4 BLANCO MATTE</t>
  </si>
  <si>
    <t>MANIQUI HOMBRE PLASTICO BLANCO BRILLO</t>
  </si>
  <si>
    <t>MANIQUI MUJER 3/4 BLANCO MATTE</t>
  </si>
  <si>
    <t>MANIQUI MUJER C/E BLANCO BRILLO DORIS 6</t>
  </si>
  <si>
    <t>MANIQUI MUJER PLASTICO BLANCO BRILLO</t>
  </si>
  <si>
    <t>MANIQUI NIÑO BLANCO BRILLO C/E</t>
  </si>
  <si>
    <t xml:space="preserve">MAQUINA DE LAVADO A PRESION </t>
  </si>
  <si>
    <t>MAQUINA LAVADO PRESION 110V</t>
  </si>
  <si>
    <t>PLASTIFICADORA INDUSTRIAL LAM450</t>
  </si>
  <si>
    <t>RACK EXHIB GIRATORIO REDONDO 32 K-54</t>
  </si>
  <si>
    <t>REVESTIMIENTO DE PORTICO EN ACM</t>
  </si>
  <si>
    <t>RIMAX PAPELERA METALIZADA EVO 25LT 11780</t>
  </si>
  <si>
    <t>ROLLOS PLASTIFICADO 305 MM X 152 MT P/LA</t>
  </si>
  <si>
    <t>RUBBERMAID CAMBIADOR FG781888LPLAT</t>
  </si>
  <si>
    <t>RUBBERMAID TAPA P/ZAF FG306600BLA</t>
  </si>
  <si>
    <t>RUBBERMAID ZAFACON FG295600BEIG</t>
  </si>
  <si>
    <t>SWINGLINE GUILLOTINA 18 B/MADERA CL320</t>
  </si>
  <si>
    <t>TRANSPALETA ELECTRICA MOD. EPL185</t>
  </si>
  <si>
    <t xml:space="preserve">TRANSPORTE E INSTALACION </t>
  </si>
  <si>
    <t>TRUPPER MANGUERA JARDIN CP 5/8</t>
  </si>
  <si>
    <t>TRUPPER PISTOLA P/MANGUERA PR201</t>
  </si>
  <si>
    <t>ZAFACON REDONDO MALLA METALICA PLATEADO</t>
  </si>
  <si>
    <t>ZAFACON RUBBERMAID 24 GL 1883552</t>
  </si>
  <si>
    <t>ALQUILER DE PLATAFORMA ELECTRICA</t>
  </si>
  <si>
    <t>DECORACON INTERIOR SC( según cotizacion LikeCorp)</t>
  </si>
  <si>
    <t>INSTALACION GENERAL(GRSM)</t>
  </si>
  <si>
    <t xml:space="preserve">SEÑALIZACION RUTA DE EVACUACION </t>
  </si>
  <si>
    <t>INSTALACION Y GASTOS SERVICIO PLATAFORMA</t>
  </si>
  <si>
    <t xml:space="preserve">LETRERO FACHADA ISOLOGO SIRENA </t>
  </si>
  <si>
    <t xml:space="preserve">LETRERO FACHADA PRINCIPAL SIRENA </t>
  </si>
  <si>
    <t xml:space="preserve">LETRERO FACHADA SECUNDARIO SIRENA </t>
  </si>
  <si>
    <t>LETREROS Y SENALIZACIONES DE PARQUEO( GO, DARSENAS, MONOLITO)</t>
  </si>
  <si>
    <t xml:space="preserve">VALLAS + ESTRUCTURA LETRERO IMPRESION EN BANNER </t>
  </si>
  <si>
    <t>Total general</t>
  </si>
  <si>
    <t>Rojo: La sumatoria de pagos no coincide con Ppto.</t>
  </si>
  <si>
    <t>Flujo de Caja Iniciativa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</si>
  <si>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</si>
  <si>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</si>
  <si>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</si>
  <si>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</si>
  <si>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</si>
  <si>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</si>
  <si>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</si>
  <si>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</si>
  <si>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</si>
  <si>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</si>
  <si>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</si>
  <si>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</si>
  <si>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</si>
  <si>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</si>
  <si>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</si>
  <si>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</si>
  <si>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</si>
  <si>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</si>
  <si>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</si>
  <si>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</si>
  <si>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</si>
  <si>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</si>
  <si>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</si>
  <si>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</si>
  <si>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</si>
  <si>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</si>
  <si>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</si>
  <si>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</si>
  <si>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</si>
  <si>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</si>
  <si>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</si>
  <si>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</si>
  <si>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</si>
  <si>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</si>
  <si>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</si>
  <si>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</si>
  <si>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</si>
  <si>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P245</t>
  </si>
  <si>
    <t>P246</t>
  </si>
  <si>
    <t>P243</t>
  </si>
  <si>
    <t>P244</t>
  </si>
  <si>
    <t>P242</t>
  </si>
  <si>
    <t>P25</t>
  </si>
  <si>
    <t>Total Ppto.</t>
  </si>
  <si>
    <t>Total</t>
  </si>
  <si>
    <t>Total - DOP</t>
  </si>
  <si>
    <t>Control=0</t>
  </si>
  <si>
    <t>Tasa USD</t>
  </si>
  <si>
    <t>Flujo - USD</t>
  </si>
  <si>
    <t>Presupuesto Mao</t>
  </si>
  <si>
    <t>N/A</t>
  </si>
  <si>
    <t xml:space="preserve">Presupuesto </t>
  </si>
  <si>
    <t>EDIFICACION</t>
  </si>
  <si>
    <t>M2 Construccion</t>
  </si>
  <si>
    <t>M2 Sala de Ventas</t>
  </si>
  <si>
    <t>M2 Terreno</t>
  </si>
  <si>
    <t>Estudios Preliminares</t>
  </si>
  <si>
    <t>Diseño arquitectónico</t>
  </si>
  <si>
    <t>USD</t>
  </si>
  <si>
    <t>Diseño estructural</t>
  </si>
  <si>
    <t>Diseño electromecánico</t>
  </si>
  <si>
    <t>Diseño sanitario</t>
  </si>
  <si>
    <t>Diseño sistema contra incendios</t>
  </si>
  <si>
    <t>Diseño sistema gas</t>
  </si>
  <si>
    <t>Estudio Geotécnico</t>
  </si>
  <si>
    <t>Levantamiento topográfico</t>
  </si>
  <si>
    <t>Permisos</t>
  </si>
  <si>
    <t>Obra Civil</t>
  </si>
  <si>
    <t xml:space="preserve">Edificación - Obra Civil </t>
  </si>
  <si>
    <t>dop</t>
  </si>
  <si>
    <t>Edificación - Estructura Metálica</t>
  </si>
  <si>
    <t>Edificación - Techo S.S. y Cerramientos Multipanel</t>
  </si>
  <si>
    <t>Edificación - Tragaluces "Skylights"</t>
  </si>
  <si>
    <t>Instalaciones Sanitarias</t>
  </si>
  <si>
    <t>Instalación de Gas</t>
  </si>
  <si>
    <t xml:space="preserve">Sistema Contra Incendios </t>
  </si>
  <si>
    <t>Instalaciones Mecánicas</t>
  </si>
  <si>
    <t>Rejillas y Sumideros</t>
  </si>
  <si>
    <t>Supervisión Civil y Sanitaria</t>
  </si>
  <si>
    <t>Supervisión Arquitectónica</t>
  </si>
  <si>
    <t>Sistema Eléctrico</t>
  </si>
  <si>
    <t>Instalaciones Eléctricas</t>
  </si>
  <si>
    <t>Supervisión Eléctrica</t>
  </si>
  <si>
    <t>Generadores</t>
  </si>
  <si>
    <t>Inversor y UPS</t>
  </si>
  <si>
    <r>
      <t xml:space="preserve">Sistema de Climatización  </t>
    </r>
    <r>
      <rPr>
        <b/>
        <sz val="10"/>
        <color rgb="FFFF0000"/>
        <rFont val="Calibri"/>
        <family val="2"/>
        <scheme val="minor"/>
      </rPr>
      <t xml:space="preserve"> </t>
    </r>
  </si>
  <si>
    <t>Suministro e instalación de Equipos</t>
  </si>
  <si>
    <t>Supervisión Mecánica</t>
  </si>
  <si>
    <t>Sistema de Extracción cocina</t>
  </si>
  <si>
    <t>Frio Alimentario</t>
  </si>
  <si>
    <t>Paneles</t>
  </si>
  <si>
    <t>FRP y Diamond Plate</t>
  </si>
  <si>
    <t>Neveras, Centrales y Evaporadores</t>
  </si>
  <si>
    <t>Bumpers Mcue</t>
  </si>
  <si>
    <t xml:space="preserve">Trameria Cuarto Frio </t>
  </si>
  <si>
    <t xml:space="preserve">Instalacion Frio Alimentario </t>
  </si>
  <si>
    <t>Chase Doors</t>
  </si>
  <si>
    <t>Tecnología, Seguridad y Tesorería</t>
  </si>
  <si>
    <t>Sistema de cámaras CCTV</t>
  </si>
  <si>
    <t>Antenas detección de robo</t>
  </si>
  <si>
    <t>Puntos de Venta</t>
  </si>
  <si>
    <t>Instalación de data y voz / Antenas de techo</t>
  </si>
  <si>
    <t xml:space="preserve">Otros sum e inst Tecnología </t>
  </si>
  <si>
    <t>Equipamiento Produccion</t>
  </si>
  <si>
    <t xml:space="preserve">Equipamiento de Acero Inoxidable </t>
  </si>
  <si>
    <t>Cocina, Patio Comidas y Rostizería</t>
  </si>
  <si>
    <t>Equipamiento Carniceria, Pescadería y Delicatesen</t>
  </si>
  <si>
    <t>Equipamiento de Panaderia, Reposteria y Rosticería</t>
  </si>
  <si>
    <t>Equipamiento de Frutas y Vegetales</t>
  </si>
  <si>
    <t>Balanzas</t>
  </si>
  <si>
    <t>Otros Equipamientos de Producción</t>
  </si>
  <si>
    <t>Equipamiento Tienda</t>
  </si>
  <si>
    <t>Gondolas</t>
  </si>
  <si>
    <t>Checkout</t>
  </si>
  <si>
    <t>Carritos, Canastas y Accesorios</t>
  </si>
  <si>
    <t>Trameria Almacen</t>
  </si>
  <si>
    <t>Mobiliario no operacional para Tiendas</t>
  </si>
  <si>
    <t>Otros Equipamientos de Tienda</t>
  </si>
  <si>
    <t>Señalizacion interiores</t>
  </si>
  <si>
    <t>Señalizacion exteriores</t>
  </si>
  <si>
    <t>Otros</t>
  </si>
  <si>
    <t>COMERCIALIZACION</t>
  </si>
  <si>
    <t>INSUMOS</t>
  </si>
  <si>
    <t>PUBLICIDAD Y MERCADEO</t>
  </si>
  <si>
    <t>MONTAJE</t>
  </si>
  <si>
    <t>DECORACIÓN TEMPORADAS</t>
  </si>
  <si>
    <t>-</t>
  </si>
  <si>
    <t xml:space="preserve">Plan Detallado: </t>
  </si>
  <si>
    <t>EUR</t>
  </si>
  <si>
    <t>*** Per.P es igual al numero de mes, iniciando en Mayo 2023 como el mes (1)</t>
  </si>
  <si>
    <t>Tasa</t>
  </si>
  <si>
    <t>Planificación de Pagos por Partida</t>
  </si>
  <si>
    <t>OI / Capex</t>
  </si>
  <si>
    <t>1er Pago</t>
  </si>
  <si>
    <t>2do Pago</t>
  </si>
  <si>
    <t>3er Pago</t>
  </si>
  <si>
    <t>4to Pago</t>
  </si>
  <si>
    <t>5to Pago</t>
  </si>
  <si>
    <t>Pos</t>
  </si>
  <si>
    <t>.</t>
  </si>
  <si>
    <t>Partidas</t>
  </si>
  <si>
    <t>Tipo Ppto</t>
  </si>
  <si>
    <t>Plan</t>
  </si>
  <si>
    <t>Item</t>
  </si>
  <si>
    <t xml:space="preserve">Orden de compra </t>
  </si>
  <si>
    <t>Cant.</t>
  </si>
  <si>
    <t>Mon</t>
  </si>
  <si>
    <t xml:space="preserve"> Tasa </t>
  </si>
  <si>
    <t xml:space="preserve"> Precio Und.</t>
  </si>
  <si>
    <t>Valor Neto [DOP]</t>
  </si>
  <si>
    <t>Liquid. [%]</t>
  </si>
  <si>
    <t>Ppto. Orden Interna [DOP]</t>
  </si>
  <si>
    <t>Ppto. Orden Interna [USD]</t>
  </si>
  <si>
    <t xml:space="preserve">Comentario </t>
  </si>
  <si>
    <t>Notas</t>
  </si>
  <si>
    <t>Documento Contable</t>
  </si>
  <si>
    <t>Orden Interna</t>
  </si>
  <si>
    <t>AFeC</t>
  </si>
  <si>
    <t>Proveedor</t>
  </si>
  <si>
    <t>Per.P1</t>
  </si>
  <si>
    <t>Av.P1 [%]</t>
  </si>
  <si>
    <t>Pago 1</t>
  </si>
  <si>
    <t>Per.P2</t>
  </si>
  <si>
    <t>Av.P2 [%]</t>
  </si>
  <si>
    <t>Pago 2</t>
  </si>
  <si>
    <t>Per.P3</t>
  </si>
  <si>
    <t>Av.P3 [%]</t>
  </si>
  <si>
    <t>Pago 3</t>
  </si>
  <si>
    <t>Per.P4</t>
  </si>
  <si>
    <t>Av.P4 [%]</t>
  </si>
  <si>
    <t>Pago 4</t>
  </si>
  <si>
    <t>Per.P5</t>
  </si>
  <si>
    <t>Av.P5 [%]</t>
  </si>
  <si>
    <t>Pago 5</t>
  </si>
  <si>
    <t>Total Flujo Caja</t>
  </si>
  <si>
    <t>Columna1</t>
  </si>
  <si>
    <t>*</t>
  </si>
  <si>
    <t xml:space="preserve">Plan </t>
  </si>
  <si>
    <t xml:space="preserve">EQUIPOS Y MATERIALES </t>
  </si>
  <si>
    <t>EQUIPE REVEST METRO LIGHT GREY 7.5X15CM</t>
  </si>
  <si>
    <t xml:space="preserve">Pendiente de compra </t>
  </si>
  <si>
    <t xml:space="preserve">Purificador de agua </t>
  </si>
  <si>
    <t>AQUATEAM DOMINICANA</t>
  </si>
  <si>
    <t>DOP</t>
  </si>
  <si>
    <t xml:space="preserve">Sitema de deteccion de gas </t>
  </si>
  <si>
    <t xml:space="preserve">Bomba cotra incendio </t>
  </si>
  <si>
    <t xml:space="preserve">Extintores </t>
  </si>
  <si>
    <t xml:space="preserve">TORIBIO MONES </t>
  </si>
  <si>
    <t>Equipos mecanicos</t>
  </si>
  <si>
    <t>IMEQ US</t>
  </si>
  <si>
    <t>RAMPA NIVELADORA 60X80 3000LB GPT3MGWPDG</t>
  </si>
  <si>
    <t>CORTINA DE AIRE PARA PUERTA DE ENTRADA</t>
  </si>
  <si>
    <t>DUCHI</t>
  </si>
  <si>
    <t xml:space="preserve">MURO DE CORTINA FRACHADA </t>
  </si>
  <si>
    <t xml:space="preserve">PUERTA DE 2 HOJAS AUTOMATICA 1 UNIDADES </t>
  </si>
  <si>
    <t>10/03/225</t>
  </si>
  <si>
    <t xml:space="preserve">Rejilla y sumidero </t>
  </si>
  <si>
    <t>ACO CARIBE S.A</t>
  </si>
  <si>
    <t xml:space="preserve">LUMINARIAS </t>
  </si>
  <si>
    <t>IMCA</t>
  </si>
  <si>
    <t>GENERDOR ELECTRICO CATERPILLAR, MODELO R2475L4.   500KW</t>
  </si>
  <si>
    <t>UNIPOWER UPS 6KVA/240-120VAC</t>
  </si>
  <si>
    <t xml:space="preserve">Ups e Inversores </t>
  </si>
  <si>
    <t>75343 :ACH CONTRATISTAS ELECTROMEC</t>
  </si>
  <si>
    <t>UNIPOWER BATERIA MOD:12VDC</t>
  </si>
  <si>
    <t>INSTALACION (JUMPERS CONEXION)</t>
  </si>
  <si>
    <t>GABINETE METALICO P/20 BATERIAS</t>
  </si>
  <si>
    <t>UNIPOWER UPS 6KVA/6KW</t>
  </si>
  <si>
    <t>INVERSOR LS 3500W A 24 VDC</t>
  </si>
  <si>
    <t>RITA MASTERSOLAR BATERIA RA12-110D 110AH</t>
  </si>
  <si>
    <t>AA tipo paquete</t>
  </si>
  <si>
    <t xml:space="preserve">keyter </t>
  </si>
  <si>
    <t>DISEÑO DE EXTRACION DE HUMO Y GRASA</t>
  </si>
  <si>
    <t xml:space="preserve">Sistema de extracion e inteccion </t>
  </si>
  <si>
    <t>75064 TECNICOMSA SRL</t>
  </si>
  <si>
    <t>BASE EXTRACTORES E INYECTOR 2X2X2</t>
  </si>
  <si>
    <t>CONFECCION E INST. DUCTOS HORNOS PAN</t>
  </si>
  <si>
    <t>Ductos d pan</t>
  </si>
  <si>
    <t xml:space="preserve">Paneles, Puertas Frp, Dimont Plate </t>
  </si>
  <si>
    <t>76752 ROOFTEC SRL</t>
  </si>
  <si>
    <t xml:space="preserve">Nevera sala de venta </t>
  </si>
  <si>
    <t>ARNEG</t>
  </si>
  <si>
    <t>Rack /Evapo</t>
  </si>
  <si>
    <t xml:space="preserve">INFRICO </t>
  </si>
  <si>
    <t xml:space="preserve">       </t>
  </si>
  <si>
    <t xml:space="preserve">Muebles ims </t>
  </si>
  <si>
    <t>35455 PRALICCI S.A.</t>
  </si>
  <si>
    <t>Nevera auto contenida IMS</t>
  </si>
  <si>
    <t xml:space="preserve">W0LKING COLLROOM *PANELES S/PISO C/TRAMERIAS Y PUERTAS </t>
  </si>
  <si>
    <t xml:space="preserve">Walking Cooler </t>
  </si>
  <si>
    <t xml:space="preserve">Nevera de carne aistido </t>
  </si>
  <si>
    <t xml:space="preserve">Arneg </t>
  </si>
  <si>
    <t xml:space="preserve">Neveras de ante caja </t>
  </si>
  <si>
    <t>76285 FAB.REFRIGERADORES COMERCIALES SRL</t>
  </si>
  <si>
    <t xml:space="preserve">Mesa refrigerada </t>
  </si>
  <si>
    <t>Nevera farco, reposteria</t>
  </si>
  <si>
    <t xml:space="preserve">Bumpers </t>
  </si>
  <si>
    <t>31337 :MCCUE CORPORATION</t>
  </si>
  <si>
    <t>31336 :MCCUE CORPORATION</t>
  </si>
  <si>
    <t>31335 :MCCUE CORPORATION</t>
  </si>
  <si>
    <t>31334 :MCCUE CORPORATION</t>
  </si>
  <si>
    <t>Estanteria congelado</t>
  </si>
  <si>
    <t>76722 ALMAR INVERPROYECT SRL F</t>
  </si>
  <si>
    <t>Estanteria Media Temp</t>
  </si>
  <si>
    <t xml:space="preserve">UTECO </t>
  </si>
  <si>
    <t xml:space="preserve">ESTANTERIA 4 NIVELES1045X500MM (Acero Inoxidable) 16 Unidades </t>
  </si>
  <si>
    <t xml:space="preserve"> Estanteria Cocina/Reposteria</t>
  </si>
  <si>
    <t>Supervicion y diseño frio alimentario</t>
  </si>
  <si>
    <t>76878 PROFRIO INDUSTRIAL EIRL</t>
  </si>
  <si>
    <t xml:space="preserve">AIR MASTER </t>
  </si>
  <si>
    <t xml:space="preserve">PUERTAS BATIENTES 1600X2100( ROOFTEC) 10 unidades </t>
  </si>
  <si>
    <t xml:space="preserve">Equipos de Tesoreria </t>
  </si>
  <si>
    <t>DOPEL</t>
  </si>
  <si>
    <t xml:space="preserve">Radios de comunicación </t>
  </si>
  <si>
    <t>RADIO NET</t>
  </si>
  <si>
    <t xml:space="preserve">Camilla de emergencia </t>
  </si>
  <si>
    <t>LENYIRUB</t>
  </si>
  <si>
    <t>CANDADO ABLOY PACK LOCK PL340</t>
  </si>
  <si>
    <t>Candado y Amaestramiento de llaves</t>
  </si>
  <si>
    <t xml:space="preserve">  76522 MAGUEN DAVID SRL</t>
  </si>
  <si>
    <t>LLAVE CANDADO PROTEC2</t>
  </si>
  <si>
    <t>DEPOSITO PARA LLAVES DE CANDADO ABOLY</t>
  </si>
  <si>
    <t>LLAVE DESPOSITO DE CANDADO PROTEC2</t>
  </si>
  <si>
    <t>CARRO P/BANDEJAS CARNES 15 NIV</t>
  </si>
  <si>
    <t>Mobiliario acero inox</t>
  </si>
  <si>
    <t>FREGADERO SIMPLE 1 CUBA FD-01 0.76MT</t>
  </si>
  <si>
    <t>LAVAMANO C/RESPALDO PARED COMP LV-01 T1</t>
  </si>
  <si>
    <t>MESA TRABAJO MURAL C DOBLE E  M1-1.20MT</t>
  </si>
  <si>
    <t>MESA TRABAJO MURAL C/ESTANTE  M1-1.20MT</t>
  </si>
  <si>
    <t>MESA DE TRABAJO CENTRAL 1800X1500X850MM</t>
  </si>
  <si>
    <t>MESA TRABAJO MURAL C/ESTANTE  M2-0.70MT</t>
  </si>
  <si>
    <t>MESA DE TRABAJO MURAL 1800X700X850MM</t>
  </si>
  <si>
    <t>MESA TRABAJO MURAL C/ESTANTE  M1-0.80MT</t>
  </si>
  <si>
    <t xml:space="preserve">Equipos de Carniceria </t>
  </si>
  <si>
    <t xml:space="preserve">75272 RENT A EQUIPOS MUESES, </t>
  </si>
  <si>
    <t xml:space="preserve">Bandeja gastronomica </t>
  </si>
  <si>
    <t>76610 CARIBBEAN COPACKERS SODFUM</t>
  </si>
  <si>
    <t xml:space="preserve">Horno Rational </t>
  </si>
  <si>
    <t>Horno combi</t>
  </si>
  <si>
    <t>Utensilios de Cocina</t>
  </si>
  <si>
    <t>TOSCA</t>
  </si>
  <si>
    <t>Trmometro</t>
  </si>
  <si>
    <t>UTIHOTEL</t>
  </si>
  <si>
    <t>Utensiilios de cocina</t>
  </si>
  <si>
    <t>Bandeja gastronomica</t>
  </si>
  <si>
    <t>pedal neumatico</t>
  </si>
  <si>
    <t xml:space="preserve">LA CASA DEL CAMION </t>
  </si>
  <si>
    <t xml:space="preserve">Rapeadora </t>
  </si>
  <si>
    <t xml:space="preserve">INSTITUCIONALES </t>
  </si>
  <si>
    <t>Microonda</t>
  </si>
  <si>
    <t>ALMACENES UNIDOS</t>
  </si>
  <si>
    <t>AGUSTIN LOMBA</t>
  </si>
  <si>
    <t>Canastos frutas y Vegetales</t>
  </si>
  <si>
    <t>Utensilios Carniceria</t>
  </si>
  <si>
    <t xml:space="preserve">molino Rallador </t>
  </si>
  <si>
    <t>Camara fermentadora</t>
  </si>
  <si>
    <t>75113 EQUIPAN SRL</t>
  </si>
  <si>
    <t xml:space="preserve">Horno Rotor </t>
  </si>
  <si>
    <t>DANZI FORNI SRL</t>
  </si>
  <si>
    <t>Carro para horno</t>
  </si>
  <si>
    <t>Mueble de planta y flores</t>
  </si>
  <si>
    <t>CAYUGA</t>
  </si>
  <si>
    <t>Balanza</t>
  </si>
  <si>
    <t>LA INOVACION</t>
  </si>
  <si>
    <t>Imola</t>
  </si>
  <si>
    <t>Gondolas ante caja</t>
  </si>
  <si>
    <t>CHECK OUT COUNTER SH-003 IZQ S/CINTA 12UND</t>
  </si>
  <si>
    <t>GONDOLA</t>
  </si>
  <si>
    <t xml:space="preserve">Carros de Compra </t>
  </si>
  <si>
    <t xml:space="preserve">ARAVEN </t>
  </si>
  <si>
    <t xml:space="preserve">Silla de Rueda </t>
  </si>
  <si>
    <t>Silla de bebe</t>
  </si>
  <si>
    <t xml:space="preserve">Tramerias de Almacen </t>
  </si>
  <si>
    <t>SERVICIO DE INSTALACION TRAMERIAS *lo incluye la trameria*</t>
  </si>
  <si>
    <t>MESA EXT PARIS CON TOPE COLOR NEGRO</t>
  </si>
  <si>
    <t>MESAS Y SILAS AREA DE FOOD CORD</t>
  </si>
  <si>
    <t>SILLA EXT TULUM COLOR NEGRO Y TAUPE</t>
  </si>
  <si>
    <t xml:space="preserve">Cafetera </t>
  </si>
  <si>
    <t xml:space="preserve">Lockers colaboradores </t>
  </si>
  <si>
    <t xml:space="preserve">TRAMERIAS Y SOL.DE ALMACENAJE </t>
  </si>
  <si>
    <t>Candado Yale</t>
  </si>
  <si>
    <t xml:space="preserve">MATERIALES INDUSTRIALES </t>
  </si>
  <si>
    <t>Mobiliario Oficina</t>
  </si>
  <si>
    <t>MUEBLES OMAR</t>
  </si>
  <si>
    <t xml:space="preserve">Mobiliarios de oficina </t>
  </si>
  <si>
    <t>Acrilico pared</t>
  </si>
  <si>
    <t xml:space="preserve">MA CREACIONES </t>
  </si>
  <si>
    <t xml:space="preserve">pllancha de vapor </t>
  </si>
  <si>
    <t>IP INDUSTRIAL</t>
  </si>
  <si>
    <t xml:space="preserve">Mobiliario serv al cliente </t>
  </si>
  <si>
    <t>FAMEJAO</t>
  </si>
  <si>
    <t>Mobiliario cuadre y menudo</t>
  </si>
  <si>
    <t>Banco vestidores</t>
  </si>
  <si>
    <t>ESD CORPORATION SRL</t>
  </si>
  <si>
    <t xml:space="preserve">Lockers clientes </t>
  </si>
  <si>
    <t>Mima</t>
  </si>
  <si>
    <t xml:space="preserve">Rack textil </t>
  </si>
  <si>
    <t>Maniqui</t>
  </si>
  <si>
    <t>DISPLAY INTERNATIONAL</t>
  </si>
  <si>
    <t>Tramerias sirena Go</t>
  </si>
  <si>
    <t xml:space="preserve">Caunter vestidores </t>
  </si>
  <si>
    <t>checkouts Caunter</t>
  </si>
  <si>
    <t xml:space="preserve">VESTIDORES FENOLICOS </t>
  </si>
  <si>
    <t xml:space="preserve">Vestidores </t>
  </si>
  <si>
    <t>MILGRID</t>
  </si>
  <si>
    <t>COSTOS INDIRECTOS</t>
  </si>
  <si>
    <t xml:space="preserve">Carro Gondolero </t>
  </si>
  <si>
    <t>RUE MAX</t>
  </si>
  <si>
    <t xml:space="preserve">Cambiador </t>
  </si>
  <si>
    <t>Escalera</t>
  </si>
  <si>
    <t>PAPATERRA</t>
  </si>
  <si>
    <t>Escaleras</t>
  </si>
  <si>
    <t xml:space="preserve">Manguera </t>
  </si>
  <si>
    <t>Zafacon</t>
  </si>
  <si>
    <t>Guillotina</t>
  </si>
  <si>
    <t xml:space="preserve">KIT CLIENTE (JUMPER,CARGADOR,GATO) </t>
  </si>
  <si>
    <t>Cono Reflectivo</t>
  </si>
  <si>
    <t>Hidrolavadora</t>
  </si>
  <si>
    <t xml:space="preserve">MAERIALES INDUSTRIALES INDUSTRIALES </t>
  </si>
  <si>
    <t>cuchilla Easy cut</t>
  </si>
  <si>
    <t xml:space="preserve">Secador de mano </t>
  </si>
  <si>
    <t>FEMI SOLUCIONES Y SERVICIOS COM</t>
  </si>
  <si>
    <t>zafacon de malla</t>
  </si>
  <si>
    <t>BENIGNO ZAPATERTO</t>
  </si>
  <si>
    <t>zafacon evo 25LT</t>
  </si>
  <si>
    <t>BENIGNO ZAPATERO</t>
  </si>
  <si>
    <t xml:space="preserve">Plastificadora </t>
  </si>
  <si>
    <t xml:space="preserve">Palastificadora </t>
  </si>
  <si>
    <t>Nuevo esquema considerado</t>
  </si>
  <si>
    <t>Hang Pallet</t>
  </si>
  <si>
    <t>Decoracion int</t>
  </si>
  <si>
    <t xml:space="preserve">Ruta de Evacuacion </t>
  </si>
  <si>
    <t xml:space="preserve">Decoracion ext </t>
  </si>
  <si>
    <t>LETRERO FACHADA PRINCIPAL MULTIPLAZA</t>
  </si>
  <si>
    <t>LETRERO FACHADA ISOLOGO SIRENA CON NOMBRE MAO</t>
  </si>
  <si>
    <t>FABRICACION LETRERO TOTEM + LETREROS M Y S</t>
  </si>
  <si>
    <t>Seguimiento Entregables Líder Compras Activos Fijos</t>
  </si>
  <si>
    <t xml:space="preserve">Asignar tareas y planificar reunion de seguimiento. </t>
  </si>
  <si>
    <t>Yaritza Melendez</t>
  </si>
  <si>
    <t>Categoría</t>
  </si>
  <si>
    <t xml:space="preserve">Descripción </t>
  </si>
  <si>
    <t>Responsable</t>
  </si>
  <si>
    <t>fecha de Inicio</t>
  </si>
  <si>
    <t>Fecha Fin</t>
  </si>
  <si>
    <t>Avances - Comentarios- Observaciones</t>
  </si>
  <si>
    <t>Status - Seguimiento</t>
  </si>
  <si>
    <t>Pendiente</t>
  </si>
  <si>
    <r>
      <t>Proyecto:</t>
    </r>
    <r>
      <rPr>
        <u/>
        <sz val="12"/>
        <rFont val="Calibri"/>
        <family val="2"/>
      </rPr>
      <t xml:space="preserve">                     </t>
    </r>
  </si>
  <si>
    <t>Sirena Compacta Mao</t>
  </si>
  <si>
    <t>China</t>
  </si>
  <si>
    <t>Europa Vacaciones</t>
  </si>
  <si>
    <t>Líder Iniciativa</t>
  </si>
  <si>
    <t>Leslyne Heriveaux Melo</t>
  </si>
  <si>
    <t>Febrero  ultimos embarque 15/01</t>
  </si>
  <si>
    <t>Agosto/ sepetiembre</t>
  </si>
  <si>
    <t>Encargado Compras AF</t>
  </si>
  <si>
    <t xml:space="preserve">Fecha Aprobación Plan Detallado                                             </t>
  </si>
  <si>
    <t xml:space="preserve">Recepción De Mercancías:                                       </t>
  </si>
  <si>
    <t xml:space="preserve">Recepción De Frescos:                                       </t>
  </si>
  <si>
    <t xml:space="preserve">Apertura:                           </t>
  </si>
  <si>
    <t>AF</t>
  </si>
  <si>
    <t>VIP</t>
  </si>
  <si>
    <t>Pago</t>
  </si>
  <si>
    <t xml:space="preserve">Importación </t>
  </si>
  <si>
    <t>Almacen</t>
  </si>
  <si>
    <t>Entrega de Diseño (insumos) a Activos Fijos</t>
  </si>
  <si>
    <t>Cotización/Comprar/Seleccionar( Comité)</t>
  </si>
  <si>
    <t xml:space="preserve">Comité / Casos especiales </t>
  </si>
  <si>
    <t>Colocar orden/anticipo</t>
  </si>
  <si>
    <t xml:space="preserve">Fabricacion </t>
  </si>
  <si>
    <t xml:space="preserve">Embarque/Transito </t>
  </si>
  <si>
    <t>Despacho a Obra</t>
  </si>
  <si>
    <t>Grupo Orden</t>
  </si>
  <si>
    <t>Activo Fijo</t>
  </si>
  <si>
    <t xml:space="preserve">Duración </t>
  </si>
  <si>
    <t>Fecha tope ejecutar</t>
  </si>
  <si>
    <t>LT</t>
  </si>
  <si>
    <t>Fecha de Entrega en Obra</t>
  </si>
  <si>
    <t>Colocación de orden</t>
  </si>
  <si>
    <t>Fecha de Llegada al País</t>
  </si>
  <si>
    <t>Estatus</t>
  </si>
  <si>
    <t>Condición</t>
  </si>
  <si>
    <t>Observaciones</t>
  </si>
  <si>
    <t>LT De Equipos</t>
  </si>
  <si>
    <t>Presupuesto Aprobado</t>
  </si>
  <si>
    <t>Moneda</t>
  </si>
  <si>
    <t>Presupuesto Ejecutado</t>
  </si>
  <si>
    <t>Desviación</t>
  </si>
  <si>
    <t xml:space="preserve">Fecha de OC </t>
  </si>
  <si>
    <t>No. OC</t>
  </si>
  <si>
    <t>OBRA CIVIL</t>
  </si>
  <si>
    <t>Pisos de Tienda</t>
  </si>
  <si>
    <t>Revestimiento Atenciones</t>
  </si>
  <si>
    <t>Revestimiento Baños</t>
  </si>
  <si>
    <t>Revestimiento Fachada</t>
  </si>
  <si>
    <t>Revestimientos Sala de Ventas</t>
  </si>
  <si>
    <t>2.02 Instalaciones Sanitarias</t>
  </si>
  <si>
    <t>Equipo Tratamiento de Agua</t>
  </si>
  <si>
    <t xml:space="preserve">2.03 Sistema Contra Incendios </t>
  </si>
  <si>
    <t>Extintores</t>
  </si>
  <si>
    <t>Sistema Detección Incendios</t>
  </si>
  <si>
    <t>2.04 Instalaciones Mecánicas</t>
  </si>
  <si>
    <t>Ascensor</t>
  </si>
  <si>
    <t>Rampa transportadora (Travelator)</t>
  </si>
  <si>
    <t>Escalera Eléctrica</t>
  </si>
  <si>
    <t>Montacargas Almacen</t>
  </si>
  <si>
    <t>Rampa niveladora - Descarga Recepción de Mercancía</t>
  </si>
  <si>
    <t>2.05 Rejillas y Sumideros</t>
  </si>
  <si>
    <t>SISTEMA ELECTRICO</t>
  </si>
  <si>
    <t xml:space="preserve">Generadores Eléctricos </t>
  </si>
  <si>
    <t>UPS + Baterías</t>
  </si>
  <si>
    <t>Inversores + Baterías</t>
  </si>
  <si>
    <t>SISTEMA CLIMATIZACION</t>
  </si>
  <si>
    <t>4.03 Sistema de Extracción Gastronómica</t>
  </si>
  <si>
    <t>Suministro e instalación sistema de inyección y extracción gastronómica</t>
  </si>
  <si>
    <t>Instalación ductos de extracción hornos de pan</t>
  </si>
  <si>
    <t>FRIO ALIMENTARIO</t>
  </si>
  <si>
    <t>Paneles cuartos fríos (Paredes y Techo)</t>
  </si>
  <si>
    <t>Puertas de cámaras (cuartos fríos)</t>
  </si>
  <si>
    <t>Cortinas hawaianas</t>
  </si>
  <si>
    <t>Aislante de Piso (Cuartos Fríos) Galca o Manta de Vapor</t>
  </si>
  <si>
    <t xml:space="preserve">Materiales instalación Paneles </t>
  </si>
  <si>
    <t>Revestimiento FRP Trastienda</t>
  </si>
  <si>
    <t>Revestimiento Diamond Plate</t>
  </si>
  <si>
    <t xml:space="preserve">Revestimiento Acero Inoxidable </t>
  </si>
  <si>
    <t>Marcos Diamond Plate p/ Puertas Vaivén</t>
  </si>
  <si>
    <t>Racks + Comandos Eléctricos Cuartos Fríos</t>
  </si>
  <si>
    <t>Evaporadores</t>
  </si>
  <si>
    <t xml:space="preserve">Neveras Sala de Venta </t>
  </si>
  <si>
    <t>Diseño y Supervisión de Frio Alimentario</t>
  </si>
  <si>
    <t>Grúa para Instalación de Racks / Equipos de Techo</t>
  </si>
  <si>
    <t xml:space="preserve">Neveras Antecajas </t>
  </si>
  <si>
    <t>Puerta tipo Walking Cooler</t>
  </si>
  <si>
    <t xml:space="preserve">5.04 Bumpers Neveras </t>
  </si>
  <si>
    <t>Bumpers Cuartos Fríos</t>
  </si>
  <si>
    <t>Bumpers Neveras y Muebles Frescos</t>
  </si>
  <si>
    <t>Instalación Bumpers Cuartos Fríos</t>
  </si>
  <si>
    <t>Instalación Bumpers Neveras y Muebles Frescos</t>
  </si>
  <si>
    <t>Trameria para Cuarto Frio. Fabricación en Tubo</t>
  </si>
  <si>
    <t>Trameria tipo Estante con pieza móvil.</t>
  </si>
  <si>
    <t xml:space="preserve">5.06 Instalación Frio Alimentario </t>
  </si>
  <si>
    <t>Instalación y Materiales Frio Alimentario</t>
  </si>
  <si>
    <t>Bandejas para tuberías de refrigeración</t>
  </si>
  <si>
    <t xml:space="preserve">Tanques de refrigerante 404ª </t>
  </si>
  <si>
    <t>Galones de aceite copeland Ultra 32 -3maf</t>
  </si>
  <si>
    <t>Puerta Recepción de Mercancía Refrigerada</t>
  </si>
  <si>
    <t>Instalación Puertas Vaivén</t>
  </si>
  <si>
    <t>Puertas Vaivén (tipo Chase Door)</t>
  </si>
  <si>
    <t>SEGURIDAD, TECNOLOGIA Y TESORERIA</t>
  </si>
  <si>
    <t>6.01 Equipos de seguridad</t>
  </si>
  <si>
    <t>Sistema de CCTV</t>
  </si>
  <si>
    <t>Sistema Alarma de Intrusión</t>
  </si>
  <si>
    <t>Aditamentos Puertas de Emergencia</t>
  </si>
  <si>
    <t>Antenas de Seguridad</t>
  </si>
  <si>
    <t>Video Portero Cuadre y Menudo</t>
  </si>
  <si>
    <t>Detección de GLP</t>
  </si>
  <si>
    <t>Control de acceso Cuartos de Data y Controladores</t>
  </si>
  <si>
    <t xml:space="preserve">RADIO COMUNICACION ICOM </t>
  </si>
  <si>
    <t>Manta apaga Fuego</t>
  </si>
  <si>
    <t>6.02 Equipos de tecnología</t>
  </si>
  <si>
    <t>Verificadores de Precio</t>
  </si>
  <si>
    <t>Proyector para Salon de Capacitación + Base</t>
  </si>
  <si>
    <t xml:space="preserve">Controladores </t>
  </si>
  <si>
    <t>Scanner VS-3200</t>
  </si>
  <si>
    <t>Powercart</t>
  </si>
  <si>
    <t>Equipos de Tecnologia Locales</t>
  </si>
  <si>
    <t>6.03 Equipos Redes y Telecomunicaciones</t>
  </si>
  <si>
    <t>Cableado de Redes y Telecomunicaciones</t>
  </si>
  <si>
    <t>Equipos de Redes</t>
  </si>
  <si>
    <t>Maquina Contadora de Billetes</t>
  </si>
  <si>
    <t>6.04 Equipos de tesorería</t>
  </si>
  <si>
    <t>Inversión instalación Bóveda Electrónica</t>
  </si>
  <si>
    <t>Puerta de Bóveda Clase I (Sentry)</t>
  </si>
  <si>
    <t>Verificador de Billetes</t>
  </si>
  <si>
    <t>Gavetas y tapas</t>
  </si>
  <si>
    <t>Valija 9x12 de lona imp. Azul con llavín de seguridad y logo de Grupo Ramos</t>
  </si>
  <si>
    <t>Valija 12x16 imp. Azul con llavín de seguridad y logo de Grupo Ramos</t>
  </si>
  <si>
    <t>Valija tipo Tula azul con ojales y argollas para presillas tamaño 40x17 1/2, con logo de Grupo Ramos</t>
  </si>
  <si>
    <t>Maquina Contadora de Monedas CBM-15</t>
  </si>
  <si>
    <t>Calculadoras Sharp 2630</t>
  </si>
  <si>
    <t>Cajas Chicas Medianas 8"x 10"</t>
  </si>
  <si>
    <t>Cajas Chicas tamaño grande 10"x 12" (de colores diferentes)</t>
  </si>
  <si>
    <t>Balanza Electrónica de Plataforma CS EC 60</t>
  </si>
  <si>
    <t>Trituradora Destroyer IDEAL 2360 MBM</t>
  </si>
  <si>
    <t>Candado Truper CL-40XL (candado con grillete extra largo)</t>
  </si>
  <si>
    <t>Costos indirectos contratista General Puerta de Bóveda</t>
  </si>
  <si>
    <t>Caja Fuerte Bóveda</t>
  </si>
  <si>
    <t>Caja Fuerte Servicio al Cliente</t>
  </si>
  <si>
    <t xml:space="preserve">EQUIPAMIENTO DE PRODUCCION </t>
  </si>
  <si>
    <t>Mesadas</t>
  </si>
  <si>
    <t>Carro para horno de Pan</t>
  </si>
  <si>
    <t xml:space="preserve">Carro para bandejas de Carne </t>
  </si>
  <si>
    <t>Carro para bandera de Deli</t>
  </si>
  <si>
    <t>Diseño, Supervisión e Instalación de Equipamiento Acero Inoxidable</t>
  </si>
  <si>
    <t xml:space="preserve">Fregaderos </t>
  </si>
  <si>
    <t>Lavamanos</t>
  </si>
  <si>
    <t>Mezcladoras Equipos Acero Inoxidable</t>
  </si>
  <si>
    <t>7.02 Cocina, Patio Comidas y Rosticería</t>
  </si>
  <si>
    <t>Hornos Rostizador de pollo (Incluir Varillas adicionales)</t>
  </si>
  <si>
    <t>Horno Gastronómico</t>
  </si>
  <si>
    <t>Exhibidor Comida Caliente</t>
  </si>
  <si>
    <t>Exhibidor comida frio</t>
  </si>
  <si>
    <t>Utensilios Rosticería</t>
  </si>
  <si>
    <t>Carro Térmico Frio/ Caliente</t>
  </si>
  <si>
    <t>Hornillon Cocina</t>
  </si>
  <si>
    <t>Procesador de Alimentos</t>
  </si>
  <si>
    <t>7.03 Equipamiento Carnicería, Pescadería y Delicatesen</t>
  </si>
  <si>
    <t>Utensilios Carnicería</t>
  </si>
  <si>
    <t xml:space="preserve">Molino de Carnes cámara refrigerada </t>
  </si>
  <si>
    <t xml:space="preserve">Sierra </t>
  </si>
  <si>
    <t>Rebanadora</t>
  </si>
  <si>
    <t>Molino de  Carne mesa (Atención Carnes)</t>
  </si>
  <si>
    <t>Tenderizadora de Carnes</t>
  </si>
  <si>
    <t>Rapeadora</t>
  </si>
  <si>
    <t>Empacadora al Vacío</t>
  </si>
  <si>
    <t>Utensilios Deli</t>
  </si>
  <si>
    <t>Procesador de Cremas</t>
  </si>
  <si>
    <t>Utensilios pescadería</t>
  </si>
  <si>
    <t>Maquina Hielo Frape ( Descontinuada)</t>
  </si>
  <si>
    <t>Contenedor de Hielo ( Descontinuada)</t>
  </si>
  <si>
    <t>Mueble p/ almacenaje de Huevos</t>
  </si>
  <si>
    <t>Mueble p/almacenaje Arenque y Bacalao</t>
  </si>
  <si>
    <t>7.04 Equipamiento de Panadería y Repostería</t>
  </si>
  <si>
    <t>Cámara Fermentadora de Pan</t>
  </si>
  <si>
    <t>Muebles de Pan Libre Servicio</t>
  </si>
  <si>
    <t>Exhibidor Asistido Pan (Rampa)</t>
  </si>
  <si>
    <t>Semimural Libre Servicio Refrigerado - Repostería</t>
  </si>
  <si>
    <t>Servicio Asistido Refrigerado - Repostería</t>
  </si>
  <si>
    <t>Mesas Pasillo Repostería (Postres Secos)</t>
  </si>
  <si>
    <t>Exhibidor Vertical - Donuts</t>
  </si>
  <si>
    <t>Exhibidor Vertical - Bollería</t>
  </si>
  <si>
    <t>Nevera Farco 1 pta</t>
  </si>
  <si>
    <t>Molino Rallador de Pan</t>
  </si>
  <si>
    <t>Horno de Pan</t>
  </si>
  <si>
    <t xml:space="preserve">Mueble Barra de Café </t>
  </si>
  <si>
    <t>Bandejas Planas con huecos</t>
  </si>
  <si>
    <t>Bandejas Onduladas  de 4  canales con  huecos</t>
  </si>
  <si>
    <t>Bandejas Onduladas  de 5  canales con  huecos</t>
  </si>
  <si>
    <t>Utensilios Panadería/Repostería</t>
  </si>
  <si>
    <t xml:space="preserve">Horno Industrial </t>
  </si>
  <si>
    <t>Microondas</t>
  </si>
  <si>
    <t>Maquina de Café</t>
  </si>
  <si>
    <t>Molino de Café</t>
  </si>
  <si>
    <t>Mueble exhibidor FFVV - Rampa</t>
  </si>
  <si>
    <t>Tapa Laterales p/ Muebles FFVV</t>
  </si>
  <si>
    <t>Especiero</t>
  </si>
  <si>
    <t>Mesas Auxiliarles (Laterales) FFVV</t>
  </si>
  <si>
    <t>BALANZAS ANALOGAS para clientes</t>
  </si>
  <si>
    <t xml:space="preserve">Porta Fundas en Pedestal </t>
  </si>
  <si>
    <t xml:space="preserve">PORTA PRECIOS FFVV - </t>
  </si>
  <si>
    <t>CANASTOS DE EXHIBICION TEXTURA MADERA</t>
  </si>
  <si>
    <t>Utensilios FFVV</t>
  </si>
  <si>
    <t>Balanzas de Mesa Áreas preparación</t>
  </si>
  <si>
    <t>Porta Balanza Atención</t>
  </si>
  <si>
    <t>Balanza DIGI Atención Cliente</t>
  </si>
  <si>
    <t>Impresora de Turnos DIGI</t>
  </si>
  <si>
    <t xml:space="preserve">Balanza de Piso </t>
  </si>
  <si>
    <t>Balanza Móvil</t>
  </si>
  <si>
    <t>SISTEMAS MICROFILTRACION Y ESTERILIZACION</t>
  </si>
  <si>
    <t xml:space="preserve">MO Instalaciones de Equipos </t>
  </si>
  <si>
    <t xml:space="preserve">Manguera de Limpieza </t>
  </si>
  <si>
    <t>Zafacón Preparaciones</t>
  </si>
  <si>
    <t>Zafacón atenciones</t>
  </si>
  <si>
    <t>Zafacón Cuarto de Basura y Limpieza</t>
  </si>
  <si>
    <t xml:space="preserve">EQUIPAMIENTO DE TIENDA </t>
  </si>
  <si>
    <t>8.01 Góndolas  + Mob. Especial</t>
  </si>
  <si>
    <t xml:space="preserve">Mobiliario especial Bazar y Textil  </t>
  </si>
  <si>
    <t xml:space="preserve">Góndolas Sala de Venta  </t>
  </si>
  <si>
    <t>Instalación Góndolas</t>
  </si>
  <si>
    <t>Pódiums en Madera</t>
  </si>
  <si>
    <t>Maniquíes Textil</t>
  </si>
  <si>
    <t>Counter Electro</t>
  </si>
  <si>
    <t>Ante Cajas</t>
  </si>
  <si>
    <t>Counter para Vestidores</t>
  </si>
  <si>
    <t>Bancos para Vestidores</t>
  </si>
  <si>
    <t xml:space="preserve">8.02 Checkout </t>
  </si>
  <si>
    <t>Carritos para compra simples</t>
  </si>
  <si>
    <t>Carritos Doble Canasto</t>
  </si>
  <si>
    <t xml:space="preserve">Canastos </t>
  </si>
  <si>
    <t>Silla bebe p/carro de compras</t>
  </si>
  <si>
    <t>Carritos de compra niños</t>
  </si>
  <si>
    <t>Carro de compra  Personas Movilidad Reducida</t>
  </si>
  <si>
    <t>Suministro Trameria Almacen</t>
  </si>
  <si>
    <t>Jaulas Almacen</t>
  </si>
  <si>
    <t>Instalación Trameria de Almacen</t>
  </si>
  <si>
    <t>8.05 Mobiliario Almacen, Recepción Mercancías</t>
  </si>
  <si>
    <t>Pallet Jack Manual</t>
  </si>
  <si>
    <t>PALLET JACKS ELECTRICA - WP304545 BATERIA INTEGRADA</t>
  </si>
  <si>
    <t>PALETAS DE MADERA</t>
  </si>
  <si>
    <t>CARRO RECEPCION</t>
  </si>
  <si>
    <t>PATANA DE 2 NIVELES (CARRO GONDOLERO)</t>
  </si>
  <si>
    <t>ESCALERA FIBRA VIDRIO TIPO TIJERA 12 PIES, 300LIB</t>
  </si>
  <si>
    <t>ESCALERA FIBRA VIDRIO TIPO TIJERA 8 PIES VR</t>
  </si>
  <si>
    <t>ESCALERA FIBRAVIDRIO TIPO TIJERA 10 PIES VR</t>
  </si>
  <si>
    <t>Compactadora de Basura IMEQ 30 yd</t>
  </si>
  <si>
    <t>MESA P/RECEPCION RODANTE</t>
  </si>
  <si>
    <t>Paletas de Madera</t>
  </si>
  <si>
    <t>Canastos Plásticos P/surtido</t>
  </si>
  <si>
    <t>8.06 Mobiliario no operacional para Tiendas</t>
  </si>
  <si>
    <t>Stand Acrílico con instalación (Succes Factor)</t>
  </si>
  <si>
    <t>Compra taburete Succes Factor</t>
  </si>
  <si>
    <t>Impresión a color y plástico instructivo Sucees Factor</t>
  </si>
  <si>
    <t>Mobiliario Oficinas, Área de colaboradores</t>
  </si>
  <si>
    <t>SALA EXTRACCION- EXTRACTOR</t>
  </si>
  <si>
    <t>SALA EXTRACCION - TERMOMETRO</t>
  </si>
  <si>
    <t>SALA EXTRACCION - SILLON</t>
  </si>
  <si>
    <t>SALA EXTRACCION - MESA AUXILIAR</t>
  </si>
  <si>
    <t>SALA EXTRACCION - CAMBIADOR DE BEBE</t>
  </si>
  <si>
    <t>SALA EXTRACCION - MUEBLE LAVAMANO</t>
  </si>
  <si>
    <t>SALA EXTRACCION - RELOJ DE PARED</t>
  </si>
  <si>
    <t>SALA EXTRACCION - PIZZARA DE CORCHO</t>
  </si>
  <si>
    <t>SALA EXTRACCION - MESA DE APOYO</t>
  </si>
  <si>
    <t>SALA EXTRACCION - GANCHOS BLANCOS</t>
  </si>
  <si>
    <t>SALA EXTRACCION - NEVERA EJECUTIVA</t>
  </si>
  <si>
    <t>SALA EXTRACCION - FRAMES VARIOS</t>
  </si>
  <si>
    <t>Equipo Ponchador</t>
  </si>
  <si>
    <t>Lockers colaboradores</t>
  </si>
  <si>
    <t>Mobiliario de Madera Otras Áreas de Apoyo</t>
  </si>
  <si>
    <t>Base para TV</t>
  </si>
  <si>
    <t>TV 42"</t>
  </si>
  <si>
    <t xml:space="preserve">MURAL CORPORATIVO </t>
  </si>
  <si>
    <t>Carro de Limpieza</t>
  </si>
  <si>
    <t>8.07 Otros Equipamientos de Tienda</t>
  </si>
  <si>
    <t>Astas de Bandera</t>
  </si>
  <si>
    <t>Secador de Mano</t>
  </si>
  <si>
    <t>Lampara Atrapa Insecto</t>
  </si>
  <si>
    <t>Banco para Clientes</t>
  </si>
  <si>
    <t>Zafacón de malla Áreas de Oficinas</t>
  </si>
  <si>
    <t>Zafacón para Inodoros</t>
  </si>
  <si>
    <t>Zafacón para Lavamanos</t>
  </si>
  <si>
    <t>Zafacón para Entradas</t>
  </si>
  <si>
    <t>Zafacón para áreas de Limpieza</t>
  </si>
  <si>
    <t xml:space="preserve">Lockers Clientes </t>
  </si>
  <si>
    <t>GBC PLASTIFICADORA 5000L FUSION</t>
  </si>
  <si>
    <t>GATO HIDRAULICO TIPO RAMA 2 TON. TWL0180</t>
  </si>
  <si>
    <t>SCHUMACHER JUMPEADOR/ARRANC P/VEH XP750C</t>
  </si>
  <si>
    <t>CANDADO MUL-T-LOCK 13 PULG AMESTRADO</t>
  </si>
  <si>
    <t>YALE CANDADO 30MM 3 LLAVES GRSM</t>
  </si>
  <si>
    <t>8.08 Señalización interiores</t>
  </si>
  <si>
    <t xml:space="preserve">Decoración Interior </t>
  </si>
  <si>
    <t>Señalización trastienda y áreas de oficinas</t>
  </si>
  <si>
    <t>Señalización Ruta de Emergencia</t>
  </si>
  <si>
    <t>8.09 Señalización exteriores</t>
  </si>
  <si>
    <t xml:space="preserve">Suministro Totem </t>
  </si>
  <si>
    <t>Instalación Totem</t>
  </si>
  <si>
    <t xml:space="preserve">Suministro Letrero Exterior </t>
  </si>
  <si>
    <t xml:space="preserve">Instalación Letrero Exterior </t>
  </si>
  <si>
    <t>Suministro e Instalación de Vallas de Exterior</t>
  </si>
  <si>
    <t>Señalización Parqueos Especiales, Totems de Entrada y Salida</t>
  </si>
  <si>
    <t>Plan Detallado: Iniciativa Pressto Veron</t>
  </si>
  <si>
    <t xml:space="preserve">Tipo C </t>
  </si>
  <si>
    <t>COMPRESOR MOD BRISA 310 220V (60 Hz)</t>
  </si>
  <si>
    <t>PRESSTO</t>
  </si>
  <si>
    <r>
      <t>UPS</t>
    </r>
    <r>
      <rPr>
        <b/>
        <sz val="11"/>
        <color theme="1"/>
        <rFont val="Calibri"/>
        <family val="2"/>
        <scheme val="minor"/>
      </rPr>
      <t xml:space="preserve"> (confirmar capacidad y cantidad)</t>
    </r>
    <r>
      <rPr>
        <sz val="11"/>
        <color theme="1"/>
        <rFont val="Calibri"/>
        <family val="2"/>
        <scheme val="minor"/>
      </rPr>
      <t xml:space="preserve"> 1 kilo</t>
    </r>
  </si>
  <si>
    <t xml:space="preserve">Por definir capacidad y cantidad </t>
  </si>
  <si>
    <r>
      <t xml:space="preserve">EXTRACTOR </t>
    </r>
    <r>
      <rPr>
        <b/>
        <sz val="11"/>
        <color theme="1"/>
        <rFont val="Calibri"/>
        <family val="2"/>
        <scheme val="minor"/>
      </rPr>
      <t>(si aplica)</t>
    </r>
  </si>
  <si>
    <t>AA TIPO ROOFTOP PAQUETE 10 TONELADAS</t>
  </si>
  <si>
    <r>
      <t xml:space="preserve">EXTINTORES </t>
    </r>
    <r>
      <rPr>
        <b/>
        <sz val="11"/>
        <color theme="1"/>
        <rFont val="Calibri"/>
        <family val="2"/>
        <scheme val="minor"/>
      </rPr>
      <t xml:space="preserve"> (colocar capacidad y cantidad)</t>
    </r>
  </si>
  <si>
    <t>COLGADORES ACERO INOXIDABLE  FIJOS</t>
  </si>
  <si>
    <t>ALMAR INVERPROYECT SRL</t>
  </si>
  <si>
    <t xml:space="preserve">FREGADERO CON MEZCLADORA </t>
  </si>
  <si>
    <t>RACK RCS/ 1-TUBO REDONDO C/RUEDAS</t>
  </si>
  <si>
    <t xml:space="preserve">DISPLAY INTERNACIONAL </t>
  </si>
  <si>
    <t>MUEBLE MOSTRADOR Y VESTIDOR c/tubo de acero para cortinas</t>
  </si>
  <si>
    <t>EPIPHANY SRL</t>
  </si>
  <si>
    <t>MUEBLE EDREDON</t>
  </si>
  <si>
    <t>UTECO SRL</t>
  </si>
  <si>
    <t>SILLON TECNICO (para costurero)</t>
  </si>
  <si>
    <t>MUEBLES OMAR S A</t>
  </si>
  <si>
    <t>SACO TRASLADO DE ROPA</t>
  </si>
  <si>
    <t>ESCALERA 3 PELDAÑO</t>
  </si>
  <si>
    <t>MATERIALES INDUSTRIALES SAS</t>
  </si>
  <si>
    <t>HAMPER</t>
  </si>
  <si>
    <t>DESCARGO TIENDA</t>
  </si>
  <si>
    <t>BEBEDERO</t>
  </si>
  <si>
    <t xml:space="preserve">ZAFACON </t>
  </si>
  <si>
    <t xml:space="preserve">ASPIRADORA </t>
  </si>
  <si>
    <t>MESA DE PLANCHAR PR5006 (PLANCHA PRO III INCLUIDA)</t>
  </si>
  <si>
    <t>EMBOLSADORA CON BASE MOD EVOLUTION PC</t>
  </si>
  <si>
    <t>COMPRESOR 1.5 HP -220 MONOFASICO Y PANEL MONOF</t>
  </si>
  <si>
    <t>ALMACENES UNIDOS SAS</t>
  </si>
  <si>
    <t>MAQUINA DE COSER JUKI MO-3804 (G EOSOFIA)</t>
  </si>
  <si>
    <t>SIRPRO NETWORK PRO SOLUTIONS SRL</t>
  </si>
  <si>
    <t>MAQUINA OVERLOCK DE CINCO HILOS COMPLETA  (G EOSOFIA)</t>
  </si>
  <si>
    <t>MÁQUINA DE SECO PER MOD. PREMIUM 300 (15KG</t>
  </si>
  <si>
    <t>LAVADORA MOD. MAQ A-18 E TC2 (18 KG</t>
  </si>
  <si>
    <t>SECADORA S-330 TC2 E IMC (17kg) 60H</t>
  </si>
  <si>
    <t>PRESSTO CABINA DESMANCHADORA 820</t>
  </si>
  <si>
    <t>Kit 6 bombas dosificadoras</t>
  </si>
  <si>
    <t xml:space="preserve">DECORACION INTERIOR </t>
  </si>
  <si>
    <t xml:space="preserve">DECORACION EXTERIOR  </t>
  </si>
  <si>
    <t>Tipo D</t>
  </si>
  <si>
    <t>Tipo B</t>
  </si>
  <si>
    <t>Tipo A</t>
  </si>
  <si>
    <t>DESGLOSE DE TIEMPOS DE ENTREGA DE PROYECTOS DE INICIATIVAS</t>
  </si>
  <si>
    <t>Mao</t>
  </si>
  <si>
    <t>Joaquin Luciano</t>
  </si>
  <si>
    <t>Diseñadora</t>
  </si>
  <si>
    <t>Margaret Pineda</t>
  </si>
  <si>
    <t xml:space="preserve">Yaritza Melendez </t>
  </si>
  <si>
    <t>TASA DOLAR</t>
  </si>
  <si>
    <t>TASA EURO</t>
  </si>
  <si>
    <t xml:space="preserve">Fecha apertura         </t>
  </si>
  <si>
    <t># Iniciativa</t>
  </si>
  <si>
    <t># Proveedor</t>
  </si>
  <si>
    <t xml:space="preserve">Proveedor </t>
  </si>
  <si>
    <t>Orden De Compras</t>
  </si>
  <si>
    <t>Fecha De Colocación De Pedido</t>
  </si>
  <si>
    <t>Descripcion</t>
  </si>
  <si>
    <t xml:space="preserve">Origen </t>
  </si>
  <si>
    <t>Tipo de Compras</t>
  </si>
  <si>
    <t>Termino de Compra</t>
  </si>
  <si>
    <t>Sub total</t>
  </si>
  <si>
    <t xml:space="preserve">Descuento </t>
  </si>
  <si>
    <t>Sub Total</t>
  </si>
  <si>
    <t>ITBIS</t>
  </si>
  <si>
    <t>Valor Total en Pesos</t>
  </si>
  <si>
    <t>Tiempo De Entrega 
En Fabrica O Puerto</t>
  </si>
  <si>
    <t>Fecha estimada de llegada a AF01</t>
  </si>
  <si>
    <t xml:space="preserve">Porciento </t>
  </si>
  <si>
    <t>Valor a Pagar</t>
  </si>
  <si>
    <t xml:space="preserve">Solicitar Saldo el:  </t>
  </si>
  <si>
    <t>Dias Restante por llegar</t>
  </si>
  <si>
    <t>Observación</t>
  </si>
  <si>
    <t>Disponibilidad del activo</t>
  </si>
  <si>
    <t>Afec</t>
  </si>
  <si>
    <t xml:space="preserve">Orden Interna </t>
  </si>
  <si>
    <t>Status (Imputano o No imputado)</t>
  </si>
  <si>
    <t>MC30</t>
  </si>
  <si>
    <t>PROFRIO INDUSTRIAL EIRL</t>
  </si>
  <si>
    <t>RD</t>
  </si>
  <si>
    <t>LOCAL (GRSM)</t>
  </si>
  <si>
    <t>OBRA</t>
  </si>
  <si>
    <t xml:space="preserve">No aplica </t>
  </si>
  <si>
    <t>Esta finaliza cunado termina la supervición</t>
  </si>
  <si>
    <t>DISEÑO DEL FRIO ALIMENTARIO</t>
  </si>
  <si>
    <t xml:space="preserve">En espera del diseño </t>
  </si>
  <si>
    <t xml:space="preserve"> GRUPO SERVICIO G-S, S.A.</t>
  </si>
  <si>
    <t xml:space="preserve">EQUIPOS DE CARNICERIA </t>
  </si>
  <si>
    <t>AF01</t>
  </si>
  <si>
    <t xml:space="preserve">Disponible e el almacen del proveedor </t>
  </si>
  <si>
    <t xml:space="preserve"> RENT A EQUIPOS MUESES, C POR A</t>
  </si>
  <si>
    <t>BALANZAS Y EQUIPOS S R L</t>
  </si>
  <si>
    <t>EQUIPOS DE TESORERIA *BALANZA DE MONEDA*</t>
  </si>
  <si>
    <t>Disponible en AF01</t>
  </si>
  <si>
    <t>Entregado en AF01</t>
  </si>
  <si>
    <t xml:space="preserve"> IMPORTADORA DOPEL SRL</t>
  </si>
  <si>
    <t xml:space="preserve">EQUIPOS DE TESORERIA </t>
  </si>
  <si>
    <t xml:space="preserve">REJILLAS DE PISO CONSOLIDADO </t>
  </si>
  <si>
    <t>EEUU</t>
  </si>
  <si>
    <t>IMPORTACION (GRIM)</t>
  </si>
  <si>
    <t>Ex Works</t>
  </si>
  <si>
    <t xml:space="preserve">12 semanas </t>
  </si>
  <si>
    <t>PATTERSON PUMP COMPANY</t>
  </si>
  <si>
    <t>BOMBA CONTRA INCENDIO  PATTERSON B</t>
  </si>
  <si>
    <t xml:space="preserve">19 semanas </t>
  </si>
  <si>
    <t>IMPLEMENTOS Y MAQUINARIAS(IMCA</t>
  </si>
  <si>
    <t>GENERADOR ELECTRICO DE 500W</t>
  </si>
  <si>
    <t xml:space="preserve">19  semanas </t>
  </si>
  <si>
    <t>IND. MATERIAL &amp; EQUIPMENT (IME</t>
  </si>
  <si>
    <t xml:space="preserve">COMPACTADORA DE BASURA Y CARTON </t>
  </si>
  <si>
    <t>KEYTER TECNOLOGIES S.L</t>
  </si>
  <si>
    <t>ESPAÑA</t>
  </si>
  <si>
    <t>17 semanas</t>
  </si>
  <si>
    <t>Wintrading LLC</t>
  </si>
  <si>
    <t>PRIMERA ETAPA DE MOBILIARIOS DE IMS</t>
  </si>
  <si>
    <t xml:space="preserve">ARGENTINA </t>
  </si>
  <si>
    <t>En proceso de importación</t>
  </si>
  <si>
    <t xml:space="preserve">NEVERAS MURALES Y DE PASILLO ARNEG </t>
  </si>
  <si>
    <t xml:space="preserve">ITALY </t>
  </si>
  <si>
    <t>SEGUNDA ETAPA DE MOBILIARIOS DE IMS</t>
  </si>
  <si>
    <t xml:space="preserve">TRAMERIAS DE CUARTO FRIO </t>
  </si>
  <si>
    <t xml:space="preserve">Disponible en el almacen del proveedor </t>
  </si>
  <si>
    <t>CARIBBEAN COPACKERS SODJUMORE</t>
  </si>
  <si>
    <t xml:space="preserve">HORNO RATIONAL </t>
  </si>
  <si>
    <t xml:space="preserve"> LATAM EQUIPMENT &amp; SERVICES BEE</t>
  </si>
  <si>
    <t>CAMARA FERMENTACION 17 CARROS</t>
  </si>
  <si>
    <t xml:space="preserve">14 semanas </t>
  </si>
  <si>
    <t>FAB.DE MUEBLES EXC.JAO</t>
  </si>
  <si>
    <t xml:space="preserve">DISPENSADORES DE FUNDA DE METAL </t>
  </si>
  <si>
    <t xml:space="preserve">4 semanas </t>
  </si>
  <si>
    <t>NEVERAS DE REPOSTERIA ASISTIDO DELI</t>
  </si>
  <si>
    <t>DISPLAY INTERNACIONAL SRL</t>
  </si>
  <si>
    <t>PLANCHA DE VAPOR STEAMBUTLER II ST400</t>
  </si>
  <si>
    <t>INTARCON</t>
  </si>
  <si>
    <t>CENTRAL DE REFRIGERACION</t>
  </si>
  <si>
    <t xml:space="preserve">En proceso de Fabricacion </t>
  </si>
  <si>
    <t>INFRICO SL</t>
  </si>
  <si>
    <t xml:space="preserve">CAMARA P/BEBIDA WALKING COOLER </t>
  </si>
  <si>
    <t>35655 :IMOLA RETAIL SOLUTIONS S.R.</t>
  </si>
  <si>
    <t xml:space="preserve">GONDOLAS, ANTE CAJAS Y CHECKUP </t>
  </si>
  <si>
    <t xml:space="preserve">10 semanas </t>
  </si>
  <si>
    <t xml:space="preserve">El proveedor ya esta despachando por partidas </t>
  </si>
  <si>
    <t>SENTRY BANK EQUIPMENT USA</t>
  </si>
  <si>
    <t xml:space="preserve">CAJA FUERTE DE BOVEDA </t>
  </si>
  <si>
    <t xml:space="preserve">8 semanas </t>
  </si>
  <si>
    <t xml:space="preserve">La tiene disponible el proveedor </t>
  </si>
  <si>
    <t xml:space="preserve">CARROS PARA HORNOS </t>
  </si>
  <si>
    <t>En proceso de fabricación</t>
  </si>
  <si>
    <t xml:space="preserve">HORNOS DOBLES DE PAN </t>
  </si>
  <si>
    <t xml:space="preserve">NEVERAS DE ASISTIDO DE CARNE </t>
  </si>
  <si>
    <t xml:space="preserve"> RADIO NET SRL</t>
  </si>
  <si>
    <t xml:space="preserve">RADIOS DE COMUNICACIÓN </t>
  </si>
  <si>
    <t xml:space="preserve">Entrega a coordinación </t>
  </si>
  <si>
    <t>SHOP AND ROLL ESPAÑA SL</t>
  </si>
  <si>
    <t xml:space="preserve">CARROS DE COMPRA CLIENTES </t>
  </si>
  <si>
    <t xml:space="preserve">6 semanas </t>
  </si>
  <si>
    <t xml:space="preserve">Se le solicito al proveedor almacenar y despachar proximo a la fecha de apertura </t>
  </si>
  <si>
    <t>EQUIPOS Y MATERIALES SG S. A</t>
  </si>
  <si>
    <t xml:space="preserve">PISOS Y REVESTIMIENTOS </t>
  </si>
  <si>
    <t xml:space="preserve">En proceso de fabricación </t>
  </si>
  <si>
    <t xml:space="preserve">REVESTIMIENTO DEL AREA DE ASISTIDO </t>
  </si>
  <si>
    <t>NEVERAS DE FRUVEER</t>
  </si>
  <si>
    <t xml:space="preserve">MANIQUIES Y RACK CIRCULAR MODA </t>
  </si>
  <si>
    <t xml:space="preserve">Entrega según requerimiento </t>
  </si>
  <si>
    <t xml:space="preserve">VESTIDOR DE CLIENTES </t>
  </si>
  <si>
    <t xml:space="preserve">3 semanas </t>
  </si>
  <si>
    <t>:FAB.DE MUEBLES EXC.JAO</t>
  </si>
  <si>
    <t>MOBILIARIO JOSELO (MUEBLES DE OFICINA, BANCO DE VESTIDORES, POSTED PARA BALANZA, TOPE PARA COMEDOR, BANCO CALZADOS)</t>
  </si>
  <si>
    <t>30/02/2026</t>
  </si>
  <si>
    <t xml:space="preserve">Entrega en Obra </t>
  </si>
  <si>
    <t>GRUPO DILVER SRL</t>
  </si>
  <si>
    <t>BOTIQUIN DE PRIMEROS AUXILIOS</t>
  </si>
  <si>
    <t xml:space="preserve">1 Semana </t>
  </si>
  <si>
    <t>entrega en AF01</t>
  </si>
  <si>
    <t>KAPASES EXCELLENT SERVICES SRL</t>
  </si>
  <si>
    <t xml:space="preserve">CANDADOS DE SEGURIDAD KAPASES </t>
  </si>
  <si>
    <t xml:space="preserve">se le entrega al area de seguridad </t>
  </si>
  <si>
    <t>77122 RADIO NET SRL</t>
  </si>
  <si>
    <t xml:space="preserve">1 semana </t>
  </si>
  <si>
    <t>Entregados en AF01</t>
  </si>
  <si>
    <t>Puntos pendientes</t>
  </si>
  <si>
    <t>Margaret</t>
  </si>
  <si>
    <t>Cantidad de lockers Colaboradores  y Clientes</t>
  </si>
  <si>
    <t>Decoración de interior y ext.  </t>
  </si>
  <si>
    <t>Tramerias de almacen *Validar si este plano cambio*</t>
  </si>
  <si>
    <t xml:space="preserve">Cantidad y modelos de mobiliarios de exterior </t>
  </si>
  <si>
    <t>Leyenda Consideraciones de Hoja de seguimiento</t>
  </si>
  <si>
    <r>
      <t>Propósito</t>
    </r>
    <r>
      <rPr>
        <sz val="12"/>
        <color indexed="8"/>
        <rFont val="Aptos"/>
        <family val="2"/>
      </rPr>
      <t xml:space="preserve">
Esta plantilla tiene como objetivo brindar claridad sobre la ejecución a la fecha en las tiendas.</t>
    </r>
  </si>
  <si>
    <r>
      <t>Órdenes de importación y compras:</t>
    </r>
    <r>
      <rPr>
        <sz val="12"/>
        <color indexed="8"/>
        <rFont val="Aptos"/>
        <family val="2"/>
      </rPr>
      <t> No se visualizan en SAP las importaciones y compras para stock.</t>
    </r>
  </si>
  <si>
    <r>
      <t>Valor total en Dop:</t>
    </r>
    <r>
      <rPr>
        <sz val="12"/>
        <color indexed="8"/>
        <rFont val="Aptos"/>
        <family val="2"/>
      </rPr>
      <t> No incluye estimaciones de importaciones. Se recomienda agregar un aproximado del 35% al total general para estimar los costos totales.</t>
    </r>
  </si>
  <si>
    <r>
      <t>Resultados de ejecución:</t>
    </r>
    <r>
      <rPr>
        <sz val="12"/>
        <color indexed="8"/>
        <rFont val="Aptos"/>
        <family val="2"/>
      </rPr>
      <t> Para obtener cifras reales, consultar con el equipo de Activos Fijos, quien indicará los pasos a seguir.</t>
    </r>
  </si>
  <si>
    <r>
      <t>Fechas de importación:</t>
    </r>
    <r>
      <rPr>
        <sz val="12"/>
        <color indexed="8"/>
        <rFont val="Aptos"/>
        <family val="2"/>
      </rPr>
      <t> La plantilla muestra las fechas proporcionadas por el equipo de importaciones para la llegada del activo al almacén AF01.</t>
    </r>
  </si>
  <si>
    <r>
      <t>Entregables críticos:</t>
    </r>
    <r>
      <rPr>
        <sz val="12"/>
        <color indexed="8"/>
        <rFont val="Aptos"/>
        <family val="2"/>
      </rPr>
      <t> Se visualizan los insumos o entregables no recibidos aún en la parte de abajo de la plantilla.</t>
    </r>
  </si>
  <si>
    <r>
      <t>Actualización de la tasa:</t>
    </r>
    <r>
      <rPr>
        <sz val="12"/>
        <color theme="1"/>
        <rFont val="Aptos"/>
        <family val="2"/>
      </rPr>
      <t xml:space="preserve"> Se considera la tasa del día cuando se realizan actualizaciones a esta hoja de seguimiento</t>
    </r>
  </si>
  <si>
    <r>
      <t>Costos consolidados:</t>
    </r>
    <r>
      <rPr>
        <sz val="12"/>
        <color indexed="8"/>
        <rFont val="Aptos"/>
        <family val="2"/>
      </rPr>
      <t> Para mejorar costos por paquetes, se trabaja en una sola orden. La plantilla no estima el costo total de estos paquetes.</t>
    </r>
  </si>
  <si>
    <t xml:space="preserve">Descripción de Compra </t>
  </si>
  <si>
    <t>Monto en USD</t>
  </si>
  <si>
    <t>Monto de la compra</t>
  </si>
  <si>
    <t xml:space="preserve">Cantidad de contenedores considerados </t>
  </si>
  <si>
    <t>Condicion de compra  Exw</t>
  </si>
  <si>
    <t xml:space="preserve">Evaluacion de Carga Suelta </t>
  </si>
  <si>
    <t>Condicion de compra  FOB/FCA</t>
  </si>
  <si>
    <t>Monto total de la compra origen</t>
  </si>
  <si>
    <t>Europa - EURO 1</t>
  </si>
  <si>
    <t>USA/México/Canadá</t>
  </si>
  <si>
    <t>America de Sur( Argentina/Colombia/Panamá/Brasil)</t>
  </si>
  <si>
    <t xml:space="preserve">Calculo de Liquidación </t>
  </si>
  <si>
    <t xml:space="preserve">Costo de Flete estimado según ultima cotización </t>
  </si>
  <si>
    <t>Seleccionar el flete según temporada</t>
  </si>
  <si>
    <t>Seguro 0.0025</t>
  </si>
  <si>
    <t>Costos CIF RD</t>
  </si>
  <si>
    <t>Gravamen 20%</t>
  </si>
  <si>
    <t>Gravamen 0,8 y 14%</t>
  </si>
  <si>
    <t>Gravamen 0 a 20%</t>
  </si>
  <si>
    <t>Itbis</t>
  </si>
  <si>
    <t xml:space="preserve">Agente aduanal </t>
  </si>
  <si>
    <t>Transporte en RD</t>
  </si>
  <si>
    <t>Servicio aduana</t>
  </si>
  <si>
    <t xml:space="preserve">Otros gastos en puerto - chasis, despacho </t>
  </si>
  <si>
    <t>Total Gondola Liquidada con Itbis 18%</t>
  </si>
  <si>
    <t xml:space="preserve">Gasto de importacion </t>
  </si>
  <si>
    <t xml:space="preserve">Valor de la mercancia </t>
  </si>
  <si>
    <t>Factor de Liquidación S/I</t>
  </si>
  <si>
    <t>Factor de Liquidación C/I</t>
  </si>
  <si>
    <t xml:space="preserve">** Si es carga suelta debe pagar el deposito fiscal en RD( varia según carga). Toda la mercancía China paga 20% de gravamen, exacto equipos especiales. </t>
  </si>
  <si>
    <t xml:space="preserve">** Si es carga suelta debe pagar el deposito fiscal en RD( varia según carga). La aplicación para el EURO1 varia según la mercancia, solo aplica con certificado de origen. </t>
  </si>
  <si>
    <t xml:space="preserve">** Si es carga suelta debe pagar el deposito fiscal en RD( varia según carga). Para que la mercancia sea exenta debe tener un certificado de origen USA, en caso contrario no aplica. </t>
  </si>
  <si>
    <t xml:space="preserve">** Si es carga suelta debe pagar el deposito fiscal en RD( varia según carga).  Colombia requiere inspección en origen. Argentina requiere pago de otros servicios en origen. </t>
  </si>
  <si>
    <t>BUMPERS SALA DE VENTAS</t>
  </si>
  <si>
    <t>BARANDAS PROTECTORES PARA CAJAS</t>
  </si>
  <si>
    <t>BARANDAS ALTAS PROTECTORA PARA CARRITOS</t>
  </si>
  <si>
    <t>BUMPERS TRASTIENDA</t>
  </si>
  <si>
    <t>En proceso de evaluacion de cotización</t>
  </si>
  <si>
    <t>Jerandy</t>
  </si>
  <si>
    <t xml:space="preserve"> Ups e Inversores </t>
  </si>
  <si>
    <t>Diseño de sistema de purificación de agua. </t>
  </si>
  <si>
    <t>10.10.2026</t>
  </si>
  <si>
    <t>03.09.2026</t>
  </si>
  <si>
    <t>ESCALERA EN FIBRA TIPO TIJERA 12</t>
  </si>
  <si>
    <t>ESCALERA EN FIBRA DE VIDRIO 6</t>
  </si>
  <si>
    <t>ESCALERA TIPO TIJERA 3 PELDANOS</t>
  </si>
  <si>
    <t>ESCALERA EN FIBRA DE VIDRIO 10</t>
  </si>
  <si>
    <t>13.05.2026</t>
  </si>
  <si>
    <t>TRUPER PISTOLA P/MANGUERA PR-208/PIM-7X</t>
  </si>
  <si>
    <t>TRUPPER PORTA MANGUERA</t>
  </si>
  <si>
    <t>HIDROLAVADORA ELECT. TRUP101594 2HPHILA</t>
  </si>
  <si>
    <t xml:space="preserve">mobiliario Oficinas </t>
  </si>
  <si>
    <t xml:space="preserve">Sin recibir insumos </t>
  </si>
  <si>
    <t>Jerandy/Oliver</t>
  </si>
  <si>
    <t xml:space="preserve">Margaret/Yaritza </t>
  </si>
  <si>
    <t>Recibimos insumos 04/09/20209</t>
  </si>
  <si>
    <t xml:space="preserve">Plan detallado Aprobado </t>
  </si>
  <si>
    <t>Plan Detallado en ejecución</t>
  </si>
  <si>
    <t xml:space="preserve">Ahorro según ejecución </t>
  </si>
  <si>
    <t>Apertura Noviembre 2026</t>
  </si>
  <si>
    <t>Fecha Version: 04/09/2029</t>
  </si>
  <si>
    <t>stock Almacen AF01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</si>
</sst>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US$-1C0A]* #,##0.00_ ;_-[$US$-1C0A]* \-#,##0.00\ ;_-[$US$-1C0A]* &quot;-&quot;??_ ;_-@_ "/>
    <numFmt numFmtId="168" formatCode="_([$USD]\ * #,##0.00_);_([$USD]\ * \(#,##0.00\);_([$USD]\ * &quot;-&quot;??_);_(@_)"/>
    <numFmt numFmtId="169" formatCode="_(&quot;USD&quot;\$* #,##0.00_);_(&quot;USD&quot;\$* \(#,##0.00\);_(&quot;USD&quot;\$* &quot;-&quot;??_);_(@_)"/>
    <numFmt numFmtId="170" formatCode="_([$DOP]\ * #,##0.00_);_([$DOP]\ * \(#,##0.00\);_([$DOP]\ * &quot;-&quot;??_);_(@_)"/>
    <numFmt numFmtId="171" formatCode="[$-1C0A]d&quot; de &quot;mmmm&quot; de &quot;yyyy;@"/>
    <numFmt numFmtId="172" formatCode="&quot;Tasa de referencia: RD$ &quot;0.00&quot; /$US&quot;"/>
    <numFmt numFmtId="173" formatCode="_([$RD$-1C0A]* #,##0.00_);_([$RD$-1C0A]* \(#,##0.00\);_([$RD$-1C0A]* &quot;-&quot;??_);_(@_)"/>
    <numFmt numFmtId="174" formatCode="_(&quot;RD$&quot;* #,##0.00_);_(&quot;RD$&quot;* \(#,##0.00\);_(&quot;RD$&quot;* &quot;-&quot;??_);_(@_)"/>
    <numFmt numFmtId="175" formatCode="#,##0.00&quot; m2&quot;"/>
    <numFmt numFmtId="176" formatCode="_([$$-1C0A]* #,##0.00_);_([$$-1C0A]* \(#,##0.00\);_([$$-1C0A]* &quot;-&quot;??_);_(@_)"/>
    <numFmt numFmtId="177" formatCode="_([$$-409]* #,##0.00_);_([$$-409]* \(#,##0.00\);_([$$-409]* &quot;-&quot;??_);_(@_)"/>
    <numFmt numFmtId="178" formatCode="_(* #,##0_);_(* \(#,##0\);_(* &quot;-&quot;??_);_(@_)"/>
    <numFmt numFmtId="179" formatCode="&quot;$&quot;#,##0.00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b/>
      <sz val="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"/>
      <color rgb="FFFF0000"/>
      <name val="Calibri"/>
      <family val="2"/>
      <scheme val="minor"/>
    </font>
    <font>
      <sz val="10"/>
      <name val="Calibri Light"/>
      <family val="2"/>
      <scheme val="major"/>
    </font>
    <font>
      <b/>
      <sz val="13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u/>
      <sz val="11"/>
      <name val="Calibri"/>
      <family val="2"/>
    </font>
    <font>
      <u/>
      <sz val="12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1"/>
      <color rgb="FFFF0000"/>
      <name val="Calibri"/>
      <family val="2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0"/>
      <name val="Calibri Light"/>
      <family val="2"/>
      <scheme val="major"/>
    </font>
    <font>
      <sz val="24"/>
      <color theme="3"/>
      <name val="Calibri Light"/>
      <family val="2"/>
      <scheme val="major"/>
    </font>
    <font>
      <b/>
      <i/>
      <sz val="20"/>
      <color theme="2" tint="-0.499984740745262"/>
      <name val="Calibri Light"/>
      <family val="2"/>
      <scheme val="major"/>
    </font>
    <font>
      <sz val="11"/>
      <color theme="3" tint="-0.499984740745262"/>
      <name val="Calibri"/>
      <family val="2"/>
      <scheme val="minor"/>
    </font>
    <font>
      <sz val="11"/>
      <color theme="2" tint="-0.89992980742820516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 Light"/>
      <family val="2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 Light"/>
      <family val="2"/>
    </font>
    <font>
      <sz val="10"/>
      <color theme="1"/>
      <name val="72 Light"/>
      <family val="2"/>
    </font>
    <font>
      <b/>
      <sz val="10"/>
      <color theme="1"/>
      <name val="72 Light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 Light"/>
      <family val="2"/>
      <scheme val="major"/>
    </font>
    <font>
      <b/>
      <sz val="12"/>
      <color theme="1"/>
      <name val="Aptos"/>
      <family val="2"/>
    </font>
    <font>
      <sz val="12"/>
      <color indexed="8"/>
      <name val="Aptos"/>
      <family val="2"/>
    </font>
    <font>
      <sz val="12"/>
      <color theme="1"/>
      <name val="Aptos"/>
      <family val="2"/>
    </font>
    <font>
      <sz val="9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sz val="10"/>
      <color rgb="FF000000"/>
      <name val="Calibri Light"/>
      <family val="2"/>
    </font>
  </fonts>
  <fills count="3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1869B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/>
      </left>
      <right/>
      <top style="medium">
        <color theme="8" tint="-0.249977111117893"/>
      </top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/>
      <bottom style="thin">
        <color theme="8" tint="-0.249977111117893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theme="3" tint="0.59996337778862885"/>
      </top>
      <bottom style="double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  <border>
      <left/>
      <right/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double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double">
        <color rgb="FF002060"/>
      </top>
      <bottom style="medium">
        <color rgb="FF002060"/>
      </bottom>
      <diagonal/>
    </border>
    <border>
      <left style="thin">
        <color theme="0"/>
      </left>
      <right style="thin">
        <color theme="0"/>
      </right>
      <top/>
      <bottom style="double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dashed">
        <color auto="1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/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249977111117893"/>
      </top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thin">
        <color theme="8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249977111117893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thin">
        <color theme="0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249977111117893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249977111117893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2060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 style="medium">
        <color rgb="FF002060"/>
      </right>
      <top style="thin">
        <color theme="3" tint="0.59996337778862885"/>
      </top>
      <bottom style="double">
        <color rgb="FF002060"/>
      </bottom>
      <diagonal/>
    </border>
  </borders>
  <cellStyleXfs count="19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16" applyNumberFormat="0" applyFill="0" applyAlignment="0" applyProtection="0"/>
    <xf numFmtId="170" fontId="1" fillId="0" borderId="0"/>
    <xf numFmtId="0" fontId="22" fillId="0" borderId="0"/>
    <xf numFmtId="0" fontId="22" fillId="0" borderId="0"/>
    <xf numFmtId="0" fontId="53" fillId="0" borderId="0" applyNumberFormat="0" applyFill="0" applyBorder="0" applyAlignment="0" applyProtection="0"/>
    <xf numFmtId="0" fontId="55" fillId="0" borderId="0">
      <alignment vertical="center"/>
    </xf>
    <xf numFmtId="14" fontId="56" fillId="0" borderId="0" applyFill="0" applyBorder="0" applyProtection="0">
      <alignment horizontal="right" vertical="center" indent="2"/>
    </xf>
    <xf numFmtId="0" fontId="57" fillId="0" borderId="0" applyFill="0" applyBorder="0" applyProtection="0">
      <alignment horizontal="left" vertical="center" wrapText="1" indent="1"/>
    </xf>
    <xf numFmtId="14" fontId="56" fillId="0" borderId="71">
      <alignment horizontal="left" vertical="center" indent="2"/>
    </xf>
    <xf numFmtId="0" fontId="22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/>
    <xf numFmtId="166" fontId="1" fillId="0" borderId="0" applyFont="0" applyFill="0" applyBorder="0" applyAlignment="0" applyProtection="0"/>
  </cellStyleXfs>
  <cellXfs count="565">
    <xf numFmtId="0" fontId="0" fillId="0" borderId="0" xfId="0"/>
    <xf numFmtId="0" fontId="8" fillId="5" borderId="9" xfId="0" applyFont="1" applyFill="1" applyBorder="1" applyAlignment="1">
      <alignment horizontal="left" vertical="center"/>
    </xf>
    <xf numFmtId="0" fontId="9" fillId="0" borderId="0" xfId="0" applyFont="1"/>
    <xf numFmtId="0" fontId="10" fillId="6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10" fillId="6" borderId="10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left" indent="2"/>
    </xf>
    <xf numFmtId="0" fontId="6" fillId="0" borderId="0" xfId="0" applyFont="1"/>
    <xf numFmtId="0" fontId="9" fillId="0" borderId="11" xfId="0" applyFont="1" applyBorder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/>
    <xf numFmtId="0" fontId="2" fillId="9" borderId="18" xfId="0" applyFont="1" applyFill="1" applyBorder="1" applyAlignment="1">
      <alignment horizontal="center"/>
    </xf>
    <xf numFmtId="0" fontId="2" fillId="9" borderId="18" xfId="0" applyFont="1" applyFill="1" applyBorder="1"/>
    <xf numFmtId="0" fontId="0" fillId="0" borderId="19" xfId="0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0" borderId="19" xfId="0" applyFont="1" applyFill="1" applyBorder="1"/>
    <xf numFmtId="0" fontId="0" fillId="0" borderId="19" xfId="0" applyBorder="1" applyAlignment="1">
      <alignment horizontal="left" inden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indent="1"/>
    </xf>
    <xf numFmtId="0" fontId="0" fillId="0" borderId="29" xfId="0" applyBorder="1" applyAlignment="1">
      <alignment horizontal="center" vertical="center"/>
    </xf>
    <xf numFmtId="166" fontId="6" fillId="10" borderId="21" xfId="0" applyNumberFormat="1" applyFont="1" applyFill="1" applyBorder="1"/>
    <xf numFmtId="166" fontId="0" fillId="0" borderId="21" xfId="1" applyFont="1" applyBorder="1"/>
    <xf numFmtId="166" fontId="0" fillId="0" borderId="26" xfId="1" applyFont="1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166" fontId="6" fillId="10" borderId="20" xfId="1" applyFont="1" applyFill="1" applyBorder="1"/>
    <xf numFmtId="166" fontId="0" fillId="0" borderId="20" xfId="1" applyFont="1" applyBorder="1"/>
    <xf numFmtId="166" fontId="0" fillId="0" borderId="25" xfId="1" applyFont="1" applyBorder="1"/>
    <xf numFmtId="166" fontId="6" fillId="0" borderId="32" xfId="0" applyNumberFormat="1" applyFont="1" applyBorder="1"/>
    <xf numFmtId="166" fontId="6" fillId="0" borderId="33" xfId="0" applyNumberFormat="1" applyFont="1" applyBorder="1"/>
    <xf numFmtId="166" fontId="6" fillId="0" borderId="30" xfId="0" applyNumberFormat="1" applyFont="1" applyBorder="1"/>
    <xf numFmtId="166" fontId="6" fillId="0" borderId="31" xfId="0" applyNumberFormat="1" applyFont="1" applyBorder="1"/>
    <xf numFmtId="166" fontId="6" fillId="10" borderId="22" xfId="0" applyNumberFormat="1" applyFont="1" applyFill="1" applyBorder="1"/>
    <xf numFmtId="166" fontId="6" fillId="10" borderId="20" xfId="0" applyNumberFormat="1" applyFont="1" applyFill="1" applyBorder="1"/>
    <xf numFmtId="166" fontId="0" fillId="0" borderId="20" xfId="0" applyNumberFormat="1" applyBorder="1"/>
    <xf numFmtId="166" fontId="0" fillId="0" borderId="25" xfId="0" applyNumberFormat="1" applyBorder="1"/>
    <xf numFmtId="0" fontId="6" fillId="0" borderId="29" xfId="0" applyFont="1" applyBorder="1" applyAlignment="1">
      <alignment horizontal="right"/>
    </xf>
    <xf numFmtId="166" fontId="0" fillId="12" borderId="34" xfId="1" applyFont="1" applyFill="1" applyBorder="1"/>
    <xf numFmtId="166" fontId="6" fillId="0" borderId="32" xfId="1" applyFont="1" applyBorder="1"/>
    <xf numFmtId="166" fontId="6" fillId="0" borderId="33" xfId="1" applyFont="1" applyBorder="1"/>
    <xf numFmtId="166" fontId="6" fillId="0" borderId="30" xfId="1" applyFont="1" applyBorder="1"/>
    <xf numFmtId="166" fontId="0" fillId="0" borderId="0" xfId="0" applyNumberFormat="1"/>
    <xf numFmtId="0" fontId="23" fillId="0" borderId="0" xfId="0" applyFont="1"/>
    <xf numFmtId="165" fontId="23" fillId="0" borderId="0" xfId="0" applyNumberFormat="1" applyFont="1"/>
    <xf numFmtId="0" fontId="23" fillId="0" borderId="0" xfId="0" applyFont="1" applyAlignment="1">
      <alignment vertical="top"/>
    </xf>
    <xf numFmtId="9" fontId="24" fillId="13" borderId="1" xfId="2" applyFont="1" applyFill="1" applyBorder="1"/>
    <xf numFmtId="0" fontId="23" fillId="13" borderId="1" xfId="0" applyFont="1" applyFill="1" applyBorder="1"/>
    <xf numFmtId="9" fontId="24" fillId="0" borderId="1" xfId="2" applyFont="1" applyBorder="1"/>
    <xf numFmtId="0" fontId="23" fillId="0" borderId="1" xfId="0" applyFont="1" applyBorder="1"/>
    <xf numFmtId="165" fontId="23" fillId="0" borderId="1" xfId="2" applyNumberFormat="1" applyFont="1" applyBorder="1"/>
    <xf numFmtId="165" fontId="23" fillId="0" borderId="1" xfId="0" applyNumberFormat="1" applyFont="1" applyBorder="1"/>
    <xf numFmtId="0" fontId="23" fillId="0" borderId="1" xfId="0" applyFont="1" applyBorder="1" applyAlignment="1">
      <alignment wrapText="1"/>
    </xf>
    <xf numFmtId="0" fontId="23" fillId="0" borderId="0" xfId="0" applyFont="1" applyAlignment="1">
      <alignment horizontal="center" vertical="top"/>
    </xf>
    <xf numFmtId="165" fontId="24" fillId="14" borderId="41" xfId="0" applyNumberFormat="1" applyFont="1" applyFill="1" applyBorder="1" applyAlignment="1">
      <alignment horizontal="center" vertical="top" wrapText="1"/>
    </xf>
    <xf numFmtId="0" fontId="23" fillId="14" borderId="42" xfId="0" applyFont="1" applyFill="1" applyBorder="1" applyAlignment="1">
      <alignment horizontal="center" vertical="top" wrapText="1"/>
    </xf>
    <xf numFmtId="165" fontId="23" fillId="0" borderId="39" xfId="0" applyNumberFormat="1" applyFont="1" applyBorder="1" applyAlignment="1">
      <alignment horizontal="center" wrapText="1"/>
    </xf>
    <xf numFmtId="0" fontId="23" fillId="0" borderId="39" xfId="0" applyFont="1" applyBorder="1" applyAlignment="1">
      <alignment horizontal="left" vertical="top" wrapText="1"/>
    </xf>
    <xf numFmtId="165" fontId="25" fillId="0" borderId="39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horizontal="center" vertical="center"/>
    </xf>
    <xf numFmtId="168" fontId="23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left" wrapText="1"/>
    </xf>
    <xf numFmtId="165" fontId="25" fillId="0" borderId="1" xfId="0" applyNumberFormat="1" applyFont="1" applyBorder="1" applyAlignment="1">
      <alignment horizontal="center" wrapText="1"/>
    </xf>
    <xf numFmtId="165" fontId="23" fillId="0" borderId="1" xfId="0" applyNumberFormat="1" applyFont="1" applyBorder="1" applyAlignment="1">
      <alignment horizontal="left"/>
    </xf>
    <xf numFmtId="168" fontId="23" fillId="0" borderId="1" xfId="0" applyNumberFormat="1" applyFont="1" applyBorder="1" applyAlignment="1">
      <alignment horizontal="left"/>
    </xf>
    <xf numFmtId="0" fontId="24" fillId="0" borderId="0" xfId="0" applyFont="1"/>
    <xf numFmtId="165" fontId="24" fillId="0" borderId="36" xfId="0" applyNumberFormat="1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5" fontId="23" fillId="0" borderId="3" xfId="0" applyNumberFormat="1" applyFont="1" applyBorder="1" applyAlignment="1">
      <alignment horizontal="center" vertical="center"/>
    </xf>
    <xf numFmtId="168" fontId="23" fillId="0" borderId="3" xfId="0" applyNumberFormat="1" applyFont="1" applyBorder="1" applyAlignment="1">
      <alignment vertical="center"/>
    </xf>
    <xf numFmtId="0" fontId="24" fillId="0" borderId="0" xfId="0" applyFont="1" applyAlignment="1">
      <alignment vertical="top"/>
    </xf>
    <xf numFmtId="165" fontId="24" fillId="0" borderId="1" xfId="0" applyNumberFormat="1" applyFont="1" applyBorder="1" applyAlignment="1">
      <alignment horizontal="center" vertical="top"/>
    </xf>
    <xf numFmtId="168" fontId="24" fillId="7" borderId="1" xfId="0" applyNumberFormat="1" applyFont="1" applyFill="1" applyBorder="1" applyAlignment="1">
      <alignment horizontal="center" vertical="top"/>
    </xf>
    <xf numFmtId="168" fontId="24" fillId="0" borderId="1" xfId="0" applyNumberFormat="1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6" fillId="0" borderId="0" xfId="0" applyFont="1" applyAlignment="1">
      <alignment vertical="center"/>
    </xf>
    <xf numFmtId="165" fontId="26" fillId="0" borderId="0" xfId="0" applyNumberFormat="1" applyFont="1" applyAlignment="1">
      <alignment horizontal="left" vertical="center" indent="1"/>
    </xf>
    <xf numFmtId="2" fontId="23" fillId="0" borderId="0" xfId="0" applyNumberFormat="1" applyFont="1" applyAlignment="1">
      <alignment horizontal="center"/>
    </xf>
    <xf numFmtId="165" fontId="26" fillId="0" borderId="1" xfId="0" applyNumberFormat="1" applyFont="1" applyBorder="1" applyAlignment="1">
      <alignment horizontal="left" vertical="center" indent="1"/>
    </xf>
    <xf numFmtId="2" fontId="23" fillId="0" borderId="1" xfId="0" applyNumberFormat="1" applyFont="1" applyBorder="1" applyAlignment="1">
      <alignment horizontal="center"/>
    </xf>
    <xf numFmtId="0" fontId="24" fillId="0" borderId="0" xfId="4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vertical="top" wrapText="1"/>
    </xf>
    <xf numFmtId="165" fontId="26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vertical="top"/>
    </xf>
    <xf numFmtId="0" fontId="24" fillId="0" borderId="0" xfId="4" applyFont="1" applyBorder="1" applyAlignment="1">
      <alignment vertical="top"/>
    </xf>
    <xf numFmtId="165" fontId="24" fillId="0" borderId="17" xfId="4" applyNumberFormat="1" applyFont="1" applyBorder="1"/>
    <xf numFmtId="0" fontId="24" fillId="0" borderId="17" xfId="4" applyFont="1" applyBorder="1"/>
    <xf numFmtId="170" fontId="7" fillId="0" borderId="0" xfId="5" applyFont="1"/>
    <xf numFmtId="166" fontId="7" fillId="0" borderId="0" xfId="5" applyNumberFormat="1" applyFont="1"/>
    <xf numFmtId="2" fontId="7" fillId="0" borderId="0" xfId="5" applyNumberFormat="1" applyFont="1"/>
    <xf numFmtId="170" fontId="7" fillId="0" borderId="0" xfId="5" applyFont="1" applyAlignment="1">
      <alignment horizontal="center"/>
    </xf>
    <xf numFmtId="166" fontId="3" fillId="0" borderId="0" xfId="1" applyFont="1"/>
    <xf numFmtId="170" fontId="3" fillId="0" borderId="0" xfId="1" applyNumberFormat="1" applyFont="1"/>
    <xf numFmtId="170" fontId="27" fillId="0" borderId="0" xfId="5" applyFont="1" applyAlignment="1">
      <alignment horizontal="left" vertical="center"/>
    </xf>
    <xf numFmtId="172" fontId="28" fillId="0" borderId="0" xfId="3" applyNumberFormat="1" applyFont="1" applyAlignment="1">
      <alignment horizontal="left" vertical="center"/>
    </xf>
    <xf numFmtId="2" fontId="8" fillId="5" borderId="43" xfId="5" applyNumberFormat="1" applyFont="1" applyFill="1" applyBorder="1" applyAlignment="1">
      <alignment horizontal="center" vertical="center"/>
    </xf>
    <xf numFmtId="170" fontId="8" fillId="5" borderId="44" xfId="5" applyFont="1" applyFill="1" applyBorder="1" applyAlignment="1">
      <alignment horizontal="center" vertical="center"/>
    </xf>
    <xf numFmtId="166" fontId="8" fillId="5" borderId="44" xfId="1" applyFont="1" applyFill="1" applyBorder="1" applyAlignment="1">
      <alignment horizontal="center" vertical="center"/>
    </xf>
    <xf numFmtId="167" fontId="8" fillId="5" borderId="45" xfId="1" applyNumberFormat="1" applyFont="1" applyFill="1" applyBorder="1" applyAlignment="1">
      <alignment horizontal="center" vertical="center"/>
    </xf>
    <xf numFmtId="0" fontId="7" fillId="0" borderId="0" xfId="3" applyFont="1"/>
    <xf numFmtId="0" fontId="7" fillId="0" borderId="46" xfId="3" applyFont="1" applyBorder="1"/>
    <xf numFmtId="0" fontId="14" fillId="0" borderId="0" xfId="3" applyFont="1"/>
    <xf numFmtId="0" fontId="9" fillId="0" borderId="0" xfId="3" applyFont="1"/>
    <xf numFmtId="173" fontId="9" fillId="0" borderId="0" xfId="3" applyNumberFormat="1" applyFont="1"/>
    <xf numFmtId="170" fontId="29" fillId="5" borderId="0" xfId="5" applyFont="1" applyFill="1"/>
    <xf numFmtId="170" fontId="8" fillId="5" borderId="0" xfId="5" applyFont="1" applyFill="1" applyAlignment="1">
      <alignment horizontal="left" vertical="center"/>
    </xf>
    <xf numFmtId="170" fontId="8" fillId="5" borderId="0" xfId="5" applyFont="1" applyFill="1" applyAlignment="1">
      <alignment horizontal="center" vertical="center"/>
    </xf>
    <xf numFmtId="166" fontId="8" fillId="5" borderId="0" xfId="1" applyFont="1" applyFill="1" applyBorder="1" applyAlignment="1">
      <alignment horizontal="center" vertical="center"/>
    </xf>
    <xf numFmtId="167" fontId="8" fillId="5" borderId="0" xfId="1" applyNumberFormat="1" applyFont="1" applyFill="1" applyBorder="1" applyAlignment="1">
      <alignment horizontal="center" vertical="center"/>
    </xf>
    <xf numFmtId="174" fontId="9" fillId="0" borderId="0" xfId="3" applyNumberFormat="1" applyFont="1"/>
    <xf numFmtId="10" fontId="7" fillId="0" borderId="0" xfId="2" applyNumberFormat="1" applyFont="1" applyBorder="1" applyAlignment="1">
      <alignment horizontal="left"/>
    </xf>
    <xf numFmtId="166" fontId="7" fillId="0" borderId="0" xfId="1" applyFont="1"/>
    <xf numFmtId="167" fontId="9" fillId="0" borderId="0" xfId="3" applyNumberFormat="1" applyFont="1"/>
    <xf numFmtId="170" fontId="29" fillId="6" borderId="13" xfId="5" applyFont="1" applyFill="1" applyBorder="1"/>
    <xf numFmtId="170" fontId="10" fillId="6" borderId="47" xfId="5" applyFont="1" applyFill="1" applyBorder="1"/>
    <xf numFmtId="170" fontId="10" fillId="6" borderId="0" xfId="5" applyFont="1" applyFill="1"/>
    <xf numFmtId="166" fontId="10" fillId="6" borderId="47" xfId="5" applyNumberFormat="1" applyFont="1" applyFill="1" applyBorder="1"/>
    <xf numFmtId="167" fontId="10" fillId="6" borderId="47" xfId="5" applyNumberFormat="1" applyFont="1" applyFill="1" applyBorder="1"/>
    <xf numFmtId="175" fontId="9" fillId="0" borderId="0" xfId="3" applyNumberFormat="1" applyFont="1"/>
    <xf numFmtId="167" fontId="10" fillId="6" borderId="15" xfId="5" applyNumberFormat="1" applyFont="1" applyFill="1" applyBorder="1"/>
    <xf numFmtId="2" fontId="9" fillId="15" borderId="48" xfId="5" applyNumberFormat="1" applyFont="1" applyFill="1" applyBorder="1"/>
    <xf numFmtId="170" fontId="9" fillId="15" borderId="49" xfId="5" applyFont="1" applyFill="1" applyBorder="1"/>
    <xf numFmtId="170" fontId="9" fillId="15" borderId="49" xfId="5" applyFont="1" applyFill="1" applyBorder="1" applyAlignment="1">
      <alignment horizontal="center"/>
    </xf>
    <xf numFmtId="2" fontId="9" fillId="0" borderId="0" xfId="3" applyNumberFormat="1" applyFont="1"/>
    <xf numFmtId="0" fontId="30" fillId="0" borderId="0" xfId="3" applyFont="1" applyAlignment="1">
      <alignment horizontal="left" indent="2"/>
    </xf>
    <xf numFmtId="0" fontId="31" fillId="0" borderId="0" xfId="3" applyFont="1" applyAlignment="1">
      <alignment horizontal="left" indent="2"/>
    </xf>
    <xf numFmtId="0" fontId="30" fillId="0" borderId="0" xfId="3" applyFont="1" applyAlignment="1">
      <alignment horizontal="center"/>
    </xf>
    <xf numFmtId="2" fontId="30" fillId="0" borderId="0" xfId="3" applyNumberFormat="1" applyFont="1" applyAlignment="1">
      <alignment horizontal="center"/>
    </xf>
    <xf numFmtId="176" fontId="4" fillId="0" borderId="0" xfId="1" applyNumberFormat="1" applyFont="1" applyBorder="1"/>
    <xf numFmtId="2" fontId="7" fillId="0" borderId="0" xfId="3" applyNumberFormat="1" applyFont="1"/>
    <xf numFmtId="0" fontId="7" fillId="0" borderId="0" xfId="3" applyFont="1" applyAlignment="1">
      <alignment horizontal="center"/>
    </xf>
    <xf numFmtId="173" fontId="3" fillId="0" borderId="0" xfId="1" applyNumberFormat="1" applyFont="1" applyBorder="1"/>
    <xf numFmtId="0" fontId="31" fillId="0" borderId="0" xfId="3" applyFont="1" applyAlignment="1">
      <alignment horizontal="center"/>
    </xf>
    <xf numFmtId="177" fontId="3" fillId="0" borderId="0" xfId="1" applyNumberFormat="1" applyFont="1" applyBorder="1"/>
    <xf numFmtId="177" fontId="3" fillId="0" borderId="0" xfId="1" applyNumberFormat="1" applyFont="1" applyBorder="1" applyAlignment="1">
      <alignment horizontal="right"/>
    </xf>
    <xf numFmtId="0" fontId="33" fillId="0" borderId="0" xfId="3" applyFont="1" applyAlignment="1">
      <alignment horizontal="left" indent="2"/>
    </xf>
    <xf numFmtId="0" fontId="31" fillId="0" borderId="0" xfId="3" applyFont="1" applyAlignment="1">
      <alignment horizontal="left" indent="5"/>
    </xf>
    <xf numFmtId="2" fontId="31" fillId="0" borderId="0" xfId="3" applyNumberFormat="1" applyFont="1" applyAlignment="1">
      <alignment horizontal="center"/>
    </xf>
    <xf numFmtId="167" fontId="3" fillId="0" borderId="0" xfId="3" applyNumberFormat="1" applyFont="1"/>
    <xf numFmtId="177" fontId="3" fillId="0" borderId="0" xfId="3" applyNumberFormat="1" applyFont="1"/>
    <xf numFmtId="169" fontId="7" fillId="0" borderId="0" xfId="5" applyNumberFormat="1" applyFont="1"/>
    <xf numFmtId="169" fontId="9" fillId="8" borderId="0" xfId="5" applyNumberFormat="1" applyFont="1" applyFill="1" applyAlignment="1">
      <alignment horizontal="center" vertical="center"/>
    </xf>
    <xf numFmtId="169" fontId="8" fillId="5" borderId="45" xfId="1" applyNumberFormat="1" applyFont="1" applyFill="1" applyBorder="1" applyAlignment="1">
      <alignment horizontal="center" vertical="center"/>
    </xf>
    <xf numFmtId="169" fontId="14" fillId="0" borderId="0" xfId="3" applyNumberFormat="1" applyFont="1"/>
    <xf numFmtId="169" fontId="7" fillId="0" borderId="0" xfId="3" applyNumberFormat="1" applyFont="1"/>
    <xf numFmtId="169" fontId="8" fillId="5" borderId="0" xfId="1" applyNumberFormat="1" applyFont="1" applyFill="1" applyBorder="1" applyAlignment="1">
      <alignment horizontal="center" vertical="center"/>
    </xf>
    <xf numFmtId="169" fontId="9" fillId="0" borderId="0" xfId="3" applyNumberFormat="1" applyFont="1"/>
    <xf numFmtId="169" fontId="10" fillId="6" borderId="47" xfId="5" applyNumberFormat="1" applyFont="1" applyFill="1" applyBorder="1"/>
    <xf numFmtId="169" fontId="10" fillId="6" borderId="15" xfId="5" applyNumberFormat="1" applyFont="1" applyFill="1" applyBorder="1"/>
    <xf numFmtId="169" fontId="4" fillId="15" borderId="50" xfId="1" applyNumberFormat="1" applyFont="1" applyFill="1" applyBorder="1"/>
    <xf numFmtId="169" fontId="4" fillId="0" borderId="0" xfId="1" applyNumberFormat="1" applyFont="1" applyBorder="1"/>
    <xf numFmtId="169" fontId="3" fillId="0" borderId="0" xfId="1" applyNumberFormat="1" applyFont="1" applyBorder="1"/>
    <xf numFmtId="169" fontId="3" fillId="0" borderId="0" xfId="1" applyNumberFormat="1" applyFont="1" applyBorder="1" applyAlignment="1">
      <alignment horizontal="right"/>
    </xf>
    <xf numFmtId="169" fontId="4" fillId="0" borderId="0" xfId="3" applyNumberFormat="1" applyFont="1"/>
    <xf numFmtId="169" fontId="3" fillId="0" borderId="0" xfId="3" applyNumberFormat="1" applyFont="1"/>
    <xf numFmtId="0" fontId="6" fillId="15" borderId="0" xfId="0" applyFont="1" applyFill="1" applyAlignment="1">
      <alignment horizontal="left"/>
    </xf>
    <xf numFmtId="0" fontId="6" fillId="0" borderId="0" xfId="0" applyFont="1" applyAlignment="1">
      <alignment horizontal="left" indent="8"/>
    </xf>
    <xf numFmtId="0" fontId="36" fillId="4" borderId="9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165" fontId="0" fillId="0" borderId="0" xfId="0" applyNumberForma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38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wrapText="1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/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center"/>
    </xf>
    <xf numFmtId="0" fontId="44" fillId="0" borderId="0" xfId="0" applyFont="1" applyAlignment="1">
      <alignment horizontal="center" wrapText="1"/>
    </xf>
    <xf numFmtId="0" fontId="41" fillId="0" borderId="1" xfId="0" applyFont="1" applyBorder="1"/>
    <xf numFmtId="0" fontId="41" fillId="0" borderId="0" xfId="0" applyFont="1"/>
    <xf numFmtId="0" fontId="38" fillId="0" borderId="0" xfId="0" applyFont="1" applyAlignment="1">
      <alignment horizontal="right"/>
    </xf>
    <xf numFmtId="14" fontId="44" fillId="0" borderId="1" xfId="0" applyNumberFormat="1" applyFont="1" applyBorder="1" applyAlignment="1">
      <alignment horizontal="center"/>
    </xf>
    <xf numFmtId="14" fontId="44" fillId="0" borderId="0" xfId="0" applyNumberFormat="1" applyFont="1" applyAlignment="1">
      <alignment horizontal="center" wrapText="1"/>
    </xf>
    <xf numFmtId="14" fontId="38" fillId="0" borderId="0" xfId="0" applyNumberFormat="1" applyFont="1"/>
    <xf numFmtId="14" fontId="3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14" fontId="40" fillId="0" borderId="0" xfId="0" applyNumberFormat="1" applyFont="1"/>
    <xf numFmtId="14" fontId="40" fillId="0" borderId="0" xfId="0" applyNumberFormat="1" applyFont="1" applyAlignment="1">
      <alignment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center" vertical="center"/>
    </xf>
    <xf numFmtId="0" fontId="40" fillId="0" borderId="0" xfId="0" applyFont="1"/>
    <xf numFmtId="0" fontId="45" fillId="16" borderId="68" xfId="0" applyFont="1" applyFill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/>
    <xf numFmtId="0" fontId="38" fillId="0" borderId="1" xfId="0" applyFont="1" applyBorder="1" applyAlignment="1">
      <alignment horizontal="left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66" fontId="38" fillId="0" borderId="1" xfId="0" applyNumberFormat="1" applyFont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 applyProtection="1">
      <alignment horizontal="center" wrapText="1" readingOrder="1"/>
      <protection hidden="1"/>
    </xf>
    <xf numFmtId="0" fontId="37" fillId="0" borderId="35" xfId="0" applyFont="1" applyBorder="1" applyAlignment="1">
      <alignment horizontal="center"/>
    </xf>
    <xf numFmtId="0" fontId="40" fillId="7" borderId="35" xfId="0" applyFont="1" applyFill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78" fontId="40" fillId="0" borderId="1" xfId="1" applyNumberFormat="1" applyFont="1" applyFill="1" applyBorder="1"/>
    <xf numFmtId="1" fontId="40" fillId="0" borderId="1" xfId="0" applyNumberFormat="1" applyFont="1" applyBorder="1"/>
    <xf numFmtId="14" fontId="38" fillId="0" borderId="1" xfId="0" applyNumberFormat="1" applyFont="1" applyBorder="1" applyAlignment="1">
      <alignment horizontal="center"/>
    </xf>
    <xf numFmtId="14" fontId="38" fillId="0" borderId="1" xfId="0" applyNumberFormat="1" applyFont="1" applyBorder="1" applyAlignment="1">
      <alignment horizontal="center" wrapText="1"/>
    </xf>
    <xf numFmtId="0" fontId="38" fillId="0" borderId="1" xfId="0" applyFont="1" applyBorder="1" applyAlignment="1">
      <alignment horizontal="left"/>
    </xf>
    <xf numFmtId="0" fontId="40" fillId="0" borderId="1" xfId="0" applyFont="1" applyBorder="1" applyAlignment="1">
      <alignment wrapText="1"/>
    </xf>
    <xf numFmtId="0" fontId="38" fillId="0" borderId="1" xfId="0" applyFont="1" applyBorder="1" applyAlignment="1">
      <alignment horizontal="left" wrapText="1"/>
    </xf>
    <xf numFmtId="0" fontId="48" fillId="7" borderId="35" xfId="0" applyFont="1" applyFill="1" applyBorder="1" applyAlignment="1">
      <alignment horizontal="center"/>
    </xf>
    <xf numFmtId="0" fontId="40" fillId="0" borderId="1" xfId="0" applyFont="1" applyBorder="1" applyAlignment="1">
      <alignment vertical="center"/>
    </xf>
    <xf numFmtId="0" fontId="38" fillId="0" borderId="35" xfId="0" applyFont="1" applyBorder="1" applyAlignment="1">
      <alignment horizontal="left" vertical="center" wrapText="1"/>
    </xf>
    <xf numFmtId="0" fontId="40" fillId="7" borderId="0" xfId="0" applyFont="1" applyFill="1" applyAlignment="1">
      <alignment horizontal="center"/>
    </xf>
    <xf numFmtId="14" fontId="38" fillId="12" borderId="1" xfId="0" applyNumberFormat="1" applyFont="1" applyFill="1" applyBorder="1" applyAlignment="1">
      <alignment horizontal="center" vertical="center" wrapText="1"/>
    </xf>
    <xf numFmtId="0" fontId="38" fillId="0" borderId="1" xfId="1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165" fontId="0" fillId="0" borderId="0" xfId="0" applyNumberFormat="1" applyAlignment="1">
      <alignment horizontal="left" vertical="center" indent="8"/>
    </xf>
    <xf numFmtId="165" fontId="9" fillId="0" borderId="54" xfId="1" applyNumberFormat="1" applyFont="1" applyBorder="1"/>
    <xf numFmtId="165" fontId="9" fillId="0" borderId="55" xfId="1" applyNumberFormat="1" applyFont="1" applyBorder="1"/>
    <xf numFmtId="165" fontId="10" fillId="6" borderId="12" xfId="1" applyNumberFormat="1" applyFont="1" applyFill="1" applyBorder="1" applyAlignment="1">
      <alignment horizontal="center"/>
    </xf>
    <xf numFmtId="165" fontId="6" fillId="15" borderId="13" xfId="1" applyNumberFormat="1" applyFont="1" applyFill="1" applyBorder="1" applyAlignment="1">
      <alignment horizontal="left"/>
    </xf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64" xfId="0" applyNumberFormat="1" applyBorder="1" applyAlignment="1">
      <alignment horizontal="left" vertical="center" indent="8"/>
    </xf>
    <xf numFmtId="165" fontId="0" fillId="0" borderId="0" xfId="0" applyNumberFormat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165" fontId="36" fillId="4" borderId="66" xfId="1" applyNumberFormat="1" applyFont="1" applyFill="1" applyBorder="1" applyAlignment="1">
      <alignment horizontal="center" vertical="center"/>
    </xf>
    <xf numFmtId="165" fontId="15" fillId="0" borderId="54" xfId="1" applyNumberFormat="1" applyFont="1" applyBorder="1"/>
    <xf numFmtId="165" fontId="14" fillId="8" borderId="59" xfId="1" applyNumberFormat="1" applyFont="1" applyFill="1" applyBorder="1"/>
    <xf numFmtId="165" fontId="15" fillId="0" borderId="57" xfId="1" applyNumberFormat="1" applyFont="1" applyBorder="1"/>
    <xf numFmtId="165" fontId="16" fillId="0" borderId="54" xfId="1" applyNumberFormat="1" applyFont="1" applyBorder="1"/>
    <xf numFmtId="165" fontId="16" fillId="0" borderId="59" xfId="1" applyNumberFormat="1" applyFont="1" applyBorder="1"/>
    <xf numFmtId="165" fontId="16" fillId="0" borderId="57" xfId="1" applyNumberFormat="1" applyFont="1" applyBorder="1"/>
    <xf numFmtId="165" fontId="8" fillId="5" borderId="53" xfId="1" applyNumberFormat="1" applyFont="1" applyFill="1" applyBorder="1" applyAlignment="1">
      <alignment horizontal="center" vertical="center"/>
    </xf>
    <xf numFmtId="165" fontId="8" fillId="5" borderId="60" xfId="1" applyNumberFormat="1" applyFont="1" applyFill="1" applyBorder="1" applyAlignment="1">
      <alignment horizontal="center" vertical="center"/>
    </xf>
    <xf numFmtId="165" fontId="8" fillId="5" borderId="56" xfId="1" applyNumberFormat="1" applyFont="1" applyFill="1" applyBorder="1" applyAlignment="1">
      <alignment horizontal="center" vertical="center"/>
    </xf>
    <xf numFmtId="165" fontId="9" fillId="8" borderId="59" xfId="1" applyNumberFormat="1" applyFont="1" applyFill="1" applyBorder="1"/>
    <xf numFmtId="165" fontId="9" fillId="0" borderId="57" xfId="1" applyNumberFormat="1" applyFont="1" applyBorder="1"/>
    <xf numFmtId="165" fontId="9" fillId="8" borderId="61" xfId="1" applyNumberFormat="1" applyFont="1" applyFill="1" applyBorder="1"/>
    <xf numFmtId="165" fontId="9" fillId="0" borderId="58" xfId="1" applyNumberFormat="1" applyFont="1" applyBorder="1"/>
    <xf numFmtId="165" fontId="9" fillId="0" borderId="59" xfId="1" applyNumberFormat="1" applyFont="1" applyFill="1" applyBorder="1"/>
    <xf numFmtId="165" fontId="18" fillId="0" borderId="54" xfId="1" applyNumberFormat="1" applyFont="1" applyBorder="1"/>
    <xf numFmtId="165" fontId="18" fillId="0" borderId="59" xfId="1" applyNumberFormat="1" applyFont="1" applyBorder="1"/>
    <xf numFmtId="165" fontId="18" fillId="0" borderId="57" xfId="1" applyNumberFormat="1" applyFont="1" applyBorder="1"/>
    <xf numFmtId="165" fontId="10" fillId="6" borderId="54" xfId="1" applyNumberFormat="1" applyFont="1" applyFill="1" applyBorder="1"/>
    <xf numFmtId="165" fontId="10" fillId="6" borderId="59" xfId="1" applyNumberFormat="1" applyFont="1" applyFill="1" applyBorder="1"/>
    <xf numFmtId="165" fontId="10" fillId="6" borderId="57" xfId="1" applyNumberFormat="1" applyFont="1" applyFill="1" applyBorder="1"/>
    <xf numFmtId="165" fontId="9" fillId="0" borderId="59" xfId="1" applyNumberFormat="1" applyFont="1" applyBorder="1"/>
    <xf numFmtId="165" fontId="34" fillId="0" borderId="54" xfId="1" applyNumberFormat="1" applyFont="1" applyBorder="1" applyAlignment="1">
      <alignment horizontal="center"/>
    </xf>
    <xf numFmtId="165" fontId="34" fillId="0" borderId="57" xfId="1" applyNumberFormat="1" applyFont="1" applyBorder="1" applyAlignment="1">
      <alignment horizontal="center"/>
    </xf>
    <xf numFmtId="165" fontId="10" fillId="6" borderId="62" xfId="1" applyNumberFormat="1" applyFont="1" applyFill="1" applyBorder="1" applyAlignment="1">
      <alignment horizontal="center"/>
    </xf>
    <xf numFmtId="165" fontId="10" fillId="6" borderId="10" xfId="1" applyNumberFormat="1" applyFont="1" applyFill="1" applyBorder="1" applyAlignment="1">
      <alignment horizontal="center"/>
    </xf>
    <xf numFmtId="165" fontId="6" fillId="15" borderId="59" xfId="1" applyNumberFormat="1" applyFont="1" applyFill="1" applyBorder="1" applyAlignment="1">
      <alignment horizontal="left"/>
    </xf>
    <xf numFmtId="165" fontId="6" fillId="15" borderId="0" xfId="1" applyNumberFormat="1" applyFont="1" applyFill="1" applyBorder="1" applyAlignment="1">
      <alignment horizontal="left"/>
    </xf>
    <xf numFmtId="165" fontId="0" fillId="8" borderId="59" xfId="1" applyNumberFormat="1" applyFont="1" applyFill="1" applyBorder="1"/>
    <xf numFmtId="165" fontId="0" fillId="0" borderId="0" xfId="1" applyNumberFormat="1" applyFont="1" applyBorder="1"/>
    <xf numFmtId="165" fontId="0" fillId="8" borderId="63" xfId="1" applyNumberFormat="1" applyFont="1" applyFill="1" applyBorder="1"/>
    <xf numFmtId="165" fontId="0" fillId="0" borderId="11" xfId="1" applyNumberFormat="1" applyFont="1" applyBorder="1"/>
    <xf numFmtId="0" fontId="49" fillId="0" borderId="0" xfId="0" applyFont="1" applyAlignment="1">
      <alignment horizontal="left"/>
    </xf>
    <xf numFmtId="0" fontId="49" fillId="0" borderId="0" xfId="0" applyFont="1"/>
    <xf numFmtId="0" fontId="50" fillId="2" borderId="1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166" fontId="49" fillId="3" borderId="2" xfId="1" applyFont="1" applyFill="1" applyBorder="1" applyProtection="1"/>
    <xf numFmtId="166" fontId="49" fillId="3" borderId="3" xfId="1" applyFont="1" applyFill="1" applyBorder="1" applyProtection="1"/>
    <xf numFmtId="166" fontId="49" fillId="11" borderId="51" xfId="1" applyFont="1" applyFill="1" applyBorder="1" applyProtection="1"/>
    <xf numFmtId="166" fontId="49" fillId="11" borderId="1" xfId="1" applyFont="1" applyFill="1" applyBorder="1" applyProtection="1"/>
    <xf numFmtId="0" fontId="51" fillId="0" borderId="0" xfId="0" applyFont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5" fillId="11" borderId="0" xfId="0" applyFont="1" applyFill="1" applyAlignment="1">
      <alignment horizontal="center" vertical="center"/>
    </xf>
    <xf numFmtId="169" fontId="35" fillId="3" borderId="0" xfId="0" applyNumberFormat="1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166" fontId="35" fillId="11" borderId="0" xfId="1" applyFont="1" applyFill="1" applyAlignment="1" applyProtection="1">
      <alignment horizontal="center" vertical="center"/>
    </xf>
    <xf numFmtId="166" fontId="35" fillId="3" borderId="0" xfId="1" applyFont="1" applyFill="1" applyAlignment="1" applyProtection="1">
      <alignment horizontal="center" vertical="center"/>
    </xf>
    <xf numFmtId="165" fontId="35" fillId="11" borderId="0" xfId="1" applyNumberFormat="1" applyFont="1" applyFill="1" applyProtection="1"/>
    <xf numFmtId="166" fontId="35" fillId="3" borderId="0" xfId="1" applyFont="1" applyFill="1" applyProtection="1"/>
    <xf numFmtId="9" fontId="35" fillId="11" borderId="0" xfId="2" applyFont="1" applyFill="1" applyAlignment="1" applyProtection="1">
      <alignment horizontal="center" vertical="center"/>
    </xf>
    <xf numFmtId="166" fontId="35" fillId="3" borderId="8" xfId="1" applyFont="1" applyFill="1" applyBorder="1" applyProtection="1"/>
    <xf numFmtId="0" fontId="35" fillId="0" borderId="0" xfId="1" applyNumberFormat="1" applyFont="1" applyFill="1" applyAlignment="1" applyProtection="1">
      <alignment horizontal="left" wrapText="1"/>
    </xf>
    <xf numFmtId="0" fontId="35" fillId="0" borderId="4" xfId="0" applyFont="1" applyBorder="1" applyAlignment="1">
      <alignment horizontal="center"/>
    </xf>
    <xf numFmtId="9" fontId="35" fillId="0" borderId="0" xfId="2" applyFont="1" applyAlignment="1" applyProtection="1">
      <alignment horizontal="center"/>
    </xf>
    <xf numFmtId="166" fontId="35" fillId="3" borderId="0" xfId="1" applyFont="1" applyFill="1" applyBorder="1" applyProtection="1"/>
    <xf numFmtId="0" fontId="35" fillId="0" borderId="4" xfId="0" applyFont="1" applyBorder="1"/>
    <xf numFmtId="9" fontId="35" fillId="0" borderId="0" xfId="2" applyFont="1" applyProtection="1"/>
    <xf numFmtId="166" fontId="35" fillId="0" borderId="4" xfId="1" applyFont="1" applyFill="1" applyBorder="1" applyProtection="1"/>
    <xf numFmtId="166" fontId="35" fillId="3" borderId="4" xfId="1" applyFont="1" applyFill="1" applyBorder="1" applyProtection="1"/>
    <xf numFmtId="0" fontId="35" fillId="0" borderId="40" xfId="0" applyFont="1" applyBorder="1" applyAlignment="1">
      <alignment horizontal="left" vertical="center"/>
    </xf>
    <xf numFmtId="166" fontId="35" fillId="3" borderId="40" xfId="1" applyFont="1" applyFill="1" applyBorder="1" applyProtection="1"/>
    <xf numFmtId="0" fontId="35" fillId="0" borderId="0" xfId="0" applyFont="1"/>
    <xf numFmtId="0" fontId="52" fillId="0" borderId="0" xfId="0" applyFont="1"/>
    <xf numFmtId="0" fontId="52" fillId="3" borderId="0" xfId="0" applyFont="1" applyFill="1"/>
    <xf numFmtId="0" fontId="52" fillId="11" borderId="0" xfId="0" applyFont="1" applyFill="1"/>
    <xf numFmtId="169" fontId="52" fillId="3" borderId="0" xfId="0" applyNumberFormat="1" applyFont="1" applyFill="1"/>
    <xf numFmtId="166" fontId="52" fillId="3" borderId="0" xfId="0" applyNumberFormat="1" applyFont="1" applyFill="1"/>
    <xf numFmtId="0" fontId="52" fillId="0" borderId="0" xfId="0" applyFont="1" applyAlignment="1">
      <alignment horizontal="center" vertical="center"/>
    </xf>
    <xf numFmtId="166" fontId="52" fillId="3" borderId="8" xfId="0" applyNumberFormat="1" applyFont="1" applyFill="1" applyBorder="1"/>
    <xf numFmtId="0" fontId="52" fillId="0" borderId="4" xfId="0" applyFont="1" applyBorder="1"/>
    <xf numFmtId="0" fontId="52" fillId="0" borderId="0" xfId="0" applyFont="1" applyAlignment="1">
      <alignment horizontal="center"/>
    </xf>
    <xf numFmtId="166" fontId="52" fillId="0" borderId="4" xfId="0" applyNumberFormat="1" applyFont="1" applyBorder="1"/>
    <xf numFmtId="0" fontId="54" fillId="0" borderId="0" xfId="8" applyFont="1" applyAlignment="1" applyProtection="1">
      <alignment vertical="top"/>
    </xf>
    <xf numFmtId="49" fontId="54" fillId="0" borderId="0" xfId="8" applyNumberFormat="1" applyFont="1" applyAlignment="1" applyProtection="1">
      <alignment horizontal="left" vertical="top" wrapText="1"/>
    </xf>
    <xf numFmtId="49" fontId="54" fillId="0" borderId="0" xfId="8" applyNumberFormat="1" applyFont="1" applyAlignment="1" applyProtection="1">
      <alignment horizontal="center" vertical="top" wrapText="1"/>
    </xf>
    <xf numFmtId="0" fontId="54" fillId="0" borderId="0" xfId="8" applyFont="1" applyAlignment="1" applyProtection="1">
      <alignment horizontal="left" vertical="top" wrapText="1"/>
    </xf>
    <xf numFmtId="0" fontId="55" fillId="0" borderId="0" xfId="9" applyAlignment="1">
      <alignment horizontal="center" vertical="top"/>
    </xf>
    <xf numFmtId="0" fontId="55" fillId="0" borderId="0" xfId="9" applyAlignment="1">
      <alignment vertical="top"/>
    </xf>
    <xf numFmtId="49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horizontal="center" vertical="top"/>
    </xf>
    <xf numFmtId="14" fontId="0" fillId="0" borderId="0" xfId="10" applyFont="1" applyAlignment="1" applyProtection="1">
      <alignment horizontal="center" vertical="top"/>
    </xf>
    <xf numFmtId="14" fontId="55" fillId="0" borderId="0" xfId="9" applyNumberFormat="1" applyAlignment="1">
      <alignment horizontal="left" vertical="top" wrapText="1"/>
    </xf>
    <xf numFmtId="49" fontId="55" fillId="0" borderId="0" xfId="9" applyNumberFormat="1" applyAlignment="1">
      <alignment vertical="top" wrapText="1"/>
    </xf>
    <xf numFmtId="0" fontId="2" fillId="20" borderId="1" xfId="11" applyFont="1" applyFill="1" applyBorder="1" applyAlignment="1" applyProtection="1">
      <alignment vertical="top" wrapText="1"/>
    </xf>
    <xf numFmtId="49" fontId="2" fillId="20" borderId="1" xfId="11" applyNumberFormat="1" applyFont="1" applyFill="1" applyBorder="1" applyAlignment="1" applyProtection="1">
      <alignment horizontal="left" vertical="top" wrapText="1"/>
    </xf>
    <xf numFmtId="49" fontId="2" fillId="20" borderId="1" xfId="11" applyNumberFormat="1" applyFont="1" applyFill="1" applyBorder="1" applyAlignment="1">
      <alignment horizontal="center" vertical="top" wrapText="1"/>
    </xf>
    <xf numFmtId="14" fontId="2" fillId="20" borderId="1" xfId="12" applyFont="1" applyFill="1" applyBorder="1" applyAlignment="1">
      <alignment horizontal="center" vertical="top" wrapText="1"/>
    </xf>
    <xf numFmtId="14" fontId="2" fillId="20" borderId="1" xfId="10" applyFont="1" applyFill="1" applyBorder="1" applyAlignment="1">
      <alignment horizontal="center" vertical="top" wrapText="1"/>
    </xf>
    <xf numFmtId="49" fontId="2" fillId="20" borderId="1" xfId="11" applyNumberFormat="1" applyFont="1" applyFill="1" applyBorder="1" applyAlignment="1">
      <alignment vertical="top" wrapText="1"/>
    </xf>
    <xf numFmtId="0" fontId="2" fillId="20" borderId="1" xfId="11" applyFont="1" applyFill="1" applyBorder="1" applyAlignment="1" applyProtection="1">
      <alignment horizontal="center" vertical="top" wrapText="1"/>
    </xf>
    <xf numFmtId="0" fontId="2" fillId="0" borderId="0" xfId="9" applyFont="1" applyAlignment="1">
      <alignment vertical="top"/>
    </xf>
    <xf numFmtId="0" fontId="57" fillId="0" borderId="1" xfId="11" applyBorder="1" applyAlignment="1" applyProtection="1">
      <alignment vertical="top" wrapText="1"/>
    </xf>
    <xf numFmtId="49" fontId="57" fillId="0" borderId="1" xfId="11" applyNumberFormat="1" applyBorder="1" applyAlignment="1" applyProtection="1">
      <alignment horizontal="left" vertical="top" wrapText="1"/>
    </xf>
    <xf numFmtId="49" fontId="57" fillId="0" borderId="1" xfId="11" applyNumberFormat="1" applyBorder="1" applyAlignment="1">
      <alignment horizontal="center" vertical="top" wrapText="1"/>
    </xf>
    <xf numFmtId="14" fontId="56" fillId="0" borderId="1" xfId="12" applyBorder="1" applyAlignment="1">
      <alignment horizontal="center" vertical="top" wrapText="1"/>
    </xf>
    <xf numFmtId="14" fontId="56" fillId="0" borderId="1" xfId="10" applyBorder="1" applyAlignment="1">
      <alignment horizontal="center" vertical="top" wrapText="1"/>
    </xf>
    <xf numFmtId="49" fontId="57" fillId="0" borderId="1" xfId="11" applyNumberFormat="1" applyBorder="1" applyAlignment="1">
      <alignment vertical="top" wrapText="1"/>
    </xf>
    <xf numFmtId="0" fontId="57" fillId="0" borderId="1" xfId="11" applyBorder="1" applyAlignment="1" applyProtection="1">
      <alignment horizontal="center" vertical="top" wrapText="1"/>
    </xf>
    <xf numFmtId="0" fontId="55" fillId="0" borderId="0" xfId="9" applyAlignment="1">
      <alignment vertical="center" wrapText="1"/>
    </xf>
    <xf numFmtId="49" fontId="55" fillId="0" borderId="0" xfId="9" applyNumberFormat="1" applyAlignment="1">
      <alignment horizontal="left" vertical="center" wrapText="1"/>
    </xf>
    <xf numFmtId="49" fontId="55" fillId="0" borderId="0" xfId="9" applyNumberFormat="1" applyAlignment="1">
      <alignment horizontal="center" vertical="center"/>
    </xf>
    <xf numFmtId="14" fontId="0" fillId="0" borderId="0" xfId="10" applyFont="1" applyAlignment="1" applyProtection="1">
      <alignment horizontal="center" vertical="center"/>
    </xf>
    <xf numFmtId="0" fontId="55" fillId="0" borderId="0" xfId="9" applyAlignment="1">
      <alignment horizontal="center" vertical="center"/>
    </xf>
    <xf numFmtId="0" fontId="55" fillId="0" borderId="0" xfId="9">
      <alignment vertical="center"/>
    </xf>
    <xf numFmtId="49" fontId="55" fillId="0" borderId="0" xfId="9" applyNumberFormat="1">
      <alignment vertical="center"/>
    </xf>
    <xf numFmtId="14" fontId="56" fillId="0" borderId="0" xfId="10" applyAlignment="1" applyProtection="1">
      <alignment horizontal="center" vertical="top" wrapText="1"/>
    </xf>
    <xf numFmtId="49" fontId="57" fillId="0" borderId="0" xfId="11" applyNumberFormat="1" applyAlignment="1">
      <alignment vertical="top" wrapText="1"/>
    </xf>
    <xf numFmtId="0" fontId="0" fillId="0" borderId="0" xfId="0" applyAlignment="1">
      <alignment horizontal="center"/>
    </xf>
    <xf numFmtId="0" fontId="19" fillId="3" borderId="0" xfId="0" applyFont="1" applyFill="1" applyAlignment="1">
      <alignment horizontal="center"/>
    </xf>
    <xf numFmtId="0" fontId="35" fillId="0" borderId="0" xfId="0" applyFont="1" applyAlignment="1">
      <alignment horizontal="left"/>
    </xf>
    <xf numFmtId="14" fontId="35" fillId="0" borderId="0" xfId="0" applyNumberFormat="1" applyFont="1" applyAlignment="1">
      <alignment horizontal="left" vertical="center"/>
    </xf>
    <xf numFmtId="166" fontId="35" fillId="0" borderId="0" xfId="1" applyFont="1" applyFill="1" applyAlignment="1" applyProtection="1">
      <alignment horizontal="center" vertical="center"/>
    </xf>
    <xf numFmtId="165" fontId="35" fillId="0" borderId="0" xfId="1" applyNumberFormat="1" applyFont="1" applyFill="1" applyProtection="1"/>
    <xf numFmtId="9" fontId="35" fillId="0" borderId="0" xfId="2" applyFont="1" applyFill="1" applyAlignment="1" applyProtection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wrapText="1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14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 wrapText="1"/>
    </xf>
    <xf numFmtId="14" fontId="59" fillId="0" borderId="0" xfId="0" applyNumberFormat="1" applyFont="1" applyAlignment="1">
      <alignment horizontal="center" wrapText="1"/>
    </xf>
    <xf numFmtId="0" fontId="46" fillId="11" borderId="68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38" fillId="7" borderId="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165" fontId="36" fillId="21" borderId="52" xfId="1" applyNumberFormat="1" applyFont="1" applyFill="1" applyBorder="1" applyAlignment="1">
      <alignment horizontal="center" vertical="center"/>
    </xf>
    <xf numFmtId="165" fontId="36" fillId="22" borderId="52" xfId="1" applyNumberFormat="1" applyFont="1" applyFill="1" applyBorder="1" applyAlignment="1">
      <alignment horizontal="center" vertical="center"/>
    </xf>
    <xf numFmtId="165" fontId="36" fillId="22" borderId="67" xfId="1" applyNumberFormat="1" applyFont="1" applyFill="1" applyBorder="1" applyAlignment="1">
      <alignment horizontal="center" vertical="center"/>
    </xf>
    <xf numFmtId="165" fontId="36" fillId="22" borderId="66" xfId="1" applyNumberFormat="1" applyFont="1" applyFill="1" applyBorder="1" applyAlignment="1">
      <alignment horizontal="center" vertical="center"/>
    </xf>
    <xf numFmtId="165" fontId="36" fillId="21" borderId="66" xfId="1" applyNumberFormat="1" applyFont="1" applyFill="1" applyBorder="1" applyAlignment="1">
      <alignment horizontal="center" vertical="center"/>
    </xf>
    <xf numFmtId="170" fontId="61" fillId="0" borderId="0" xfId="5" applyFont="1"/>
    <xf numFmtId="170" fontId="3" fillId="0" borderId="0" xfId="5" applyFont="1"/>
    <xf numFmtId="0" fontId="35" fillId="0" borderId="0" xfId="13" applyFont="1" applyAlignment="1" applyProtection="1">
      <alignment horizontal="left"/>
      <protection locked="0"/>
    </xf>
    <xf numFmtId="0" fontId="35" fillId="0" borderId="0" xfId="0" applyFont="1" applyAlignment="1">
      <alignment horizontal="left" vertical="top"/>
    </xf>
    <xf numFmtId="0" fontId="35" fillId="0" borderId="0" xfId="0" applyFont="1" applyAlignment="1" applyProtection="1">
      <alignment horizontal="left"/>
      <protection locked="0"/>
    </xf>
    <xf numFmtId="0" fontId="35" fillId="0" borderId="0" xfId="13" applyFont="1"/>
    <xf numFmtId="0" fontId="35" fillId="0" borderId="0" xfId="0" applyFont="1" applyAlignment="1" applyProtection="1">
      <alignment horizontal="left" vertical="top"/>
      <protection locked="0"/>
    </xf>
    <xf numFmtId="0" fontId="49" fillId="16" borderId="0" xfId="0" applyFont="1" applyFill="1"/>
    <xf numFmtId="0" fontId="35" fillId="23" borderId="0" xfId="0" applyFont="1" applyFill="1" applyAlignment="1">
      <alignment horizontal="center" vertical="center"/>
    </xf>
    <xf numFmtId="0" fontId="35" fillId="23" borderId="0" xfId="0" applyFont="1" applyFill="1" applyAlignment="1">
      <alignment horizontal="left" vertical="center"/>
    </xf>
    <xf numFmtId="166" fontId="35" fillId="23" borderId="0" xfId="1" applyFont="1" applyFill="1" applyAlignment="1" applyProtection="1">
      <alignment horizontal="center" vertical="center"/>
    </xf>
    <xf numFmtId="165" fontId="35" fillId="23" borderId="0" xfId="1" applyNumberFormat="1" applyFont="1" applyFill="1" applyProtection="1"/>
    <xf numFmtId="9" fontId="35" fillId="23" borderId="0" xfId="2" applyFont="1" applyFill="1" applyAlignment="1" applyProtection="1">
      <alignment horizontal="center" vertical="center"/>
    </xf>
    <xf numFmtId="0" fontId="35" fillId="23" borderId="0" xfId="0" applyFont="1" applyFill="1" applyAlignment="1" applyProtection="1">
      <alignment horizontal="left"/>
      <protection locked="0"/>
    </xf>
    <xf numFmtId="0" fontId="35" fillId="23" borderId="40" xfId="0" applyFont="1" applyFill="1" applyBorder="1" applyAlignment="1">
      <alignment horizontal="left" vertical="center"/>
    </xf>
    <xf numFmtId="0" fontId="35" fillId="23" borderId="4" xfId="0" applyFont="1" applyFill="1" applyBorder="1" applyAlignment="1">
      <alignment horizontal="center"/>
    </xf>
    <xf numFmtId="9" fontId="35" fillId="23" borderId="0" xfId="2" applyFont="1" applyFill="1" applyAlignment="1" applyProtection="1">
      <alignment horizontal="center"/>
    </xf>
    <xf numFmtId="0" fontId="35" fillId="23" borderId="4" xfId="0" applyFont="1" applyFill="1" applyBorder="1"/>
    <xf numFmtId="9" fontId="35" fillId="23" borderId="0" xfId="2" applyFont="1" applyFill="1" applyProtection="1"/>
    <xf numFmtId="166" fontId="35" fillId="23" borderId="4" xfId="1" applyFont="1" applyFill="1" applyBorder="1" applyProtection="1"/>
    <xf numFmtId="0" fontId="49" fillId="23" borderId="0" xfId="0" applyFont="1" applyFill="1"/>
    <xf numFmtId="0" fontId="35" fillId="23" borderId="0" xfId="0" applyFont="1" applyFill="1" applyAlignment="1" applyProtection="1">
      <alignment horizontal="left" vertical="top"/>
      <protection locked="0"/>
    </xf>
    <xf numFmtId="0" fontId="49" fillId="23" borderId="0" xfId="0" applyFont="1" applyFill="1" applyAlignment="1">
      <alignment horizontal="center" vertical="center"/>
    </xf>
    <xf numFmtId="0" fontId="35" fillId="23" borderId="0" xfId="0" applyFont="1" applyFill="1"/>
    <xf numFmtId="0" fontId="51" fillId="23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top"/>
    </xf>
    <xf numFmtId="14" fontId="38" fillId="23" borderId="1" xfId="0" applyNumberFormat="1" applyFont="1" applyFill="1" applyBorder="1" applyAlignment="1">
      <alignment horizontal="center" vertical="center" wrapText="1"/>
    </xf>
    <xf numFmtId="0" fontId="35" fillId="0" borderId="40" xfId="1" applyNumberFormat="1" applyFont="1" applyFill="1" applyBorder="1" applyAlignment="1" applyProtection="1">
      <alignment horizontal="left" wrapText="1"/>
    </xf>
    <xf numFmtId="0" fontId="63" fillId="0" borderId="40" xfId="0" applyFont="1" applyBorder="1"/>
    <xf numFmtId="0" fontId="35" fillId="0" borderId="0" xfId="13" applyFont="1" applyAlignment="1">
      <alignment horizontal="left" vertical="center"/>
    </xf>
    <xf numFmtId="4" fontId="0" fillId="0" borderId="0" xfId="0" applyNumberFormat="1"/>
    <xf numFmtId="166" fontId="49" fillId="0" borderId="0" xfId="0" applyNumberFormat="1" applyFont="1"/>
    <xf numFmtId="4" fontId="0" fillId="0" borderId="0" xfId="0" applyNumberFormat="1" applyAlignment="1">
      <alignment vertical="center" wrapText="1"/>
    </xf>
    <xf numFmtId="0" fontId="35" fillId="23" borderId="0" xfId="13" applyFont="1" applyFill="1" applyAlignment="1" applyProtection="1">
      <alignment horizontal="left"/>
      <protection locked="0"/>
    </xf>
    <xf numFmtId="165" fontId="49" fillId="23" borderId="0" xfId="1" applyNumberFormat="1" applyFont="1" applyFill="1" applyProtection="1"/>
    <xf numFmtId="0" fontId="23" fillId="0" borderId="0" xfId="0" applyFont="1" applyAlignment="1">
      <alignment wrapText="1"/>
    </xf>
    <xf numFmtId="0" fontId="6" fillId="7" borderId="0" xfId="0" applyFont="1" applyFill="1" applyAlignment="1">
      <alignment horizontal="left" indent="8"/>
    </xf>
    <xf numFmtId="165" fontId="6" fillId="0" borderId="0" xfId="0" applyNumberFormat="1" applyFont="1"/>
    <xf numFmtId="165" fontId="49" fillId="0" borderId="0" xfId="15" applyFont="1"/>
    <xf numFmtId="0" fontId="46" fillId="17" borderId="35" xfId="0" applyFont="1" applyFill="1" applyBorder="1" applyAlignment="1">
      <alignment horizontal="center" vertical="center" wrapText="1"/>
    </xf>
    <xf numFmtId="165" fontId="6" fillId="0" borderId="0" xfId="15" applyFont="1"/>
    <xf numFmtId="0" fontId="49" fillId="23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4" borderId="0" xfId="0" applyFill="1"/>
    <xf numFmtId="0" fontId="35" fillId="0" borderId="0" xfId="1" applyNumberFormat="1" applyFont="1" applyFill="1" applyBorder="1" applyAlignment="1" applyProtection="1">
      <alignment horizontal="left" wrapText="1"/>
    </xf>
    <xf numFmtId="0" fontId="0" fillId="25" borderId="0" xfId="0" applyFill="1"/>
    <xf numFmtId="165" fontId="0" fillId="0" borderId="0" xfId="15" applyFont="1"/>
    <xf numFmtId="166" fontId="35" fillId="0" borderId="0" xfId="1" applyFont="1" applyAlignment="1">
      <alignment horizontal="center" vertical="center"/>
    </xf>
    <xf numFmtId="165" fontId="35" fillId="0" borderId="0" xfId="1" applyNumberFormat="1" applyFont="1"/>
    <xf numFmtId="0" fontId="66" fillId="0" borderId="0" xfId="0" applyFont="1" applyAlignment="1">
      <alignment horizontal="left" vertical="center" wrapText="1"/>
    </xf>
    <xf numFmtId="0" fontId="5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49" fillId="3" borderId="0" xfId="1" applyFont="1" applyFill="1" applyBorder="1" applyProtection="1"/>
    <xf numFmtId="166" fontId="49" fillId="11" borderId="0" xfId="1" applyFont="1" applyFill="1" applyBorder="1" applyProtection="1"/>
    <xf numFmtId="166" fontId="35" fillId="0" borderId="0" xfId="1" applyFont="1" applyFill="1" applyBorder="1" applyAlignment="1" applyProtection="1">
      <alignment horizontal="center" vertical="center"/>
    </xf>
    <xf numFmtId="166" fontId="35" fillId="3" borderId="0" xfId="1" applyFont="1" applyFill="1" applyBorder="1" applyAlignment="1" applyProtection="1">
      <alignment horizontal="center" vertical="center"/>
    </xf>
    <xf numFmtId="165" fontId="35" fillId="0" borderId="0" xfId="1" applyNumberFormat="1" applyFont="1" applyFill="1" applyBorder="1" applyProtection="1"/>
    <xf numFmtId="9" fontId="35" fillId="0" borderId="0" xfId="2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center"/>
    </xf>
    <xf numFmtId="9" fontId="35" fillId="0" borderId="0" xfId="2" applyFont="1" applyBorder="1" applyAlignment="1" applyProtection="1">
      <alignment horizontal="center"/>
    </xf>
    <xf numFmtId="9" fontId="35" fillId="0" borderId="0" xfId="2" applyFont="1" applyBorder="1" applyProtection="1"/>
    <xf numFmtId="166" fontId="35" fillId="0" borderId="0" xfId="1" applyFont="1" applyFill="1" applyBorder="1" applyProtection="1"/>
    <xf numFmtId="0" fontId="0" fillId="0" borderId="0" xfId="0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0" borderId="0" xfId="0" applyFont="1"/>
    <xf numFmtId="0" fontId="64" fillId="0" borderId="0" xfId="0" applyFont="1" applyAlignment="1">
      <alignment horizontal="center"/>
    </xf>
    <xf numFmtId="0" fontId="19" fillId="16" borderId="0" xfId="0" applyFont="1" applyFill="1" applyAlignment="1">
      <alignment horizontal="center"/>
    </xf>
    <xf numFmtId="0" fontId="67" fillId="0" borderId="0" xfId="0" applyFont="1"/>
    <xf numFmtId="0" fontId="41" fillId="0" borderId="1" xfId="0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1" fontId="67" fillId="0" borderId="0" xfId="0" applyNumberFormat="1" applyFont="1"/>
    <xf numFmtId="14" fontId="67" fillId="0" borderId="0" xfId="0" applyNumberFormat="1" applyFont="1"/>
    <xf numFmtId="179" fontId="67" fillId="0" borderId="0" xfId="0" applyNumberFormat="1" applyFont="1"/>
    <xf numFmtId="2" fontId="67" fillId="0" borderId="0" xfId="0" applyNumberFormat="1" applyFont="1"/>
    <xf numFmtId="10" fontId="67" fillId="0" borderId="0" xfId="0" applyNumberFormat="1" applyFont="1"/>
    <xf numFmtId="0" fontId="9" fillId="27" borderId="1" xfId="17" applyFont="1" applyFill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2" fontId="9" fillId="0" borderId="1" xfId="18" applyNumberFormat="1" applyFont="1" applyBorder="1" applyAlignment="1">
      <alignment horizontal="center" vertical="top"/>
    </xf>
    <xf numFmtId="4" fontId="9" fillId="0" borderId="1" xfId="17" applyNumberFormat="1" applyFont="1" applyBorder="1" applyAlignment="1">
      <alignment horizontal="center" vertical="top"/>
    </xf>
    <xf numFmtId="0" fontId="68" fillId="28" borderId="39" xfId="0" applyFont="1" applyFill="1" applyBorder="1" applyAlignment="1">
      <alignment horizontal="center" vertical="center" wrapText="1"/>
    </xf>
    <xf numFmtId="1" fontId="68" fillId="28" borderId="39" xfId="0" applyNumberFormat="1" applyFont="1" applyFill="1" applyBorder="1" applyAlignment="1">
      <alignment horizontal="center" vertical="center" wrapText="1"/>
    </xf>
    <xf numFmtId="0" fontId="68" fillId="28" borderId="39" xfId="0" applyFont="1" applyFill="1" applyBorder="1" applyAlignment="1">
      <alignment horizontal="center" vertical="top" wrapText="1"/>
    </xf>
    <xf numFmtId="0" fontId="67" fillId="0" borderId="0" xfId="0" applyFont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79" fontId="69" fillId="0" borderId="39" xfId="0" applyNumberFormat="1" applyFont="1" applyBorder="1" applyAlignment="1">
      <alignment horizontal="center"/>
    </xf>
    <xf numFmtId="179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79" fontId="1" fillId="0" borderId="1" xfId="15" applyNumberFormat="1" applyFont="1" applyFill="1" applyBorder="1" applyAlignment="1">
      <alignment horizontal="center" vertical="top"/>
    </xf>
    <xf numFmtId="0" fontId="70" fillId="0" borderId="1" xfId="0" applyFont="1" applyBorder="1" applyAlignment="1">
      <alignment horizontal="center" vertical="top"/>
    </xf>
    <xf numFmtId="0" fontId="15" fillId="0" borderId="74" xfId="0" applyFont="1" applyBorder="1" applyAlignment="1">
      <alignment horizontal="center" vertical="center"/>
    </xf>
    <xf numFmtId="14" fontId="71" fillId="0" borderId="1" xfId="0" applyNumberFormat="1" applyFont="1" applyBorder="1" applyAlignment="1">
      <alignment horizontal="center"/>
    </xf>
    <xf numFmtId="0" fontId="15" fillId="23" borderId="1" xfId="0" applyFont="1" applyFill="1" applyBorder="1" applyAlignment="1">
      <alignment horizontal="center" vertical="top"/>
    </xf>
    <xf numFmtId="0" fontId="15" fillId="23" borderId="1" xfId="0" applyFont="1" applyFill="1" applyBorder="1" applyAlignment="1">
      <alignment horizontal="center" vertical="top" wrapText="1"/>
    </xf>
    <xf numFmtId="1" fontId="67" fillId="29" borderId="0" xfId="0" applyNumberFormat="1" applyFont="1" applyFill="1" applyAlignment="1">
      <alignment wrapText="1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21" fillId="9" borderId="0" xfId="0" applyFont="1" applyFill="1" applyAlignment="1">
      <alignment horizontal="center"/>
    </xf>
    <xf numFmtId="0" fontId="35" fillId="0" borderId="40" xfId="0" applyFont="1" applyBorder="1" applyAlignment="1">
      <alignment horizontal="left" vertical="center" wrapText="1"/>
    </xf>
    <xf numFmtId="166" fontId="0" fillId="0" borderId="77" xfId="0" applyNumberFormat="1" applyBorder="1"/>
    <xf numFmtId="166" fontId="0" fillId="0" borderId="78" xfId="0" applyNumberFormat="1" applyBorder="1"/>
    <xf numFmtId="166" fontId="6" fillId="10" borderId="19" xfId="0" applyNumberFormat="1" applyFont="1" applyFill="1" applyBorder="1"/>
    <xf numFmtId="166" fontId="35" fillId="0" borderId="0" xfId="1" applyFont="1" applyFill="1" applyAlignment="1" applyProtection="1">
      <alignment horizontal="center" vertical="top"/>
    </xf>
    <xf numFmtId="165" fontId="35" fillId="0" borderId="0" xfId="1" applyNumberFormat="1" applyFont="1" applyFill="1" applyAlignment="1" applyProtection="1">
      <alignment vertical="top"/>
    </xf>
    <xf numFmtId="0" fontId="76" fillId="0" borderId="0" xfId="0" applyFont="1" applyAlignment="1">
      <alignment horizontal="left" vertical="center"/>
    </xf>
    <xf numFmtId="165" fontId="76" fillId="0" borderId="0" xfId="1" applyNumberFormat="1" applyFont="1" applyFill="1" applyProtection="1"/>
    <xf numFmtId="0" fontId="14" fillId="26" borderId="0" xfId="0" applyFont="1" applyFill="1" applyAlignment="1">
      <alignment horizontal="center"/>
    </xf>
    <xf numFmtId="4" fontId="67" fillId="0" borderId="0" xfId="0" applyNumberFormat="1" applyFont="1"/>
    <xf numFmtId="0" fontId="77" fillId="30" borderId="1" xfId="0" applyFont="1" applyFill="1" applyBorder="1" applyAlignment="1">
      <alignment horizontal="center"/>
    </xf>
    <xf numFmtId="14" fontId="35" fillId="0" borderId="40" xfId="0" applyNumberFormat="1" applyFont="1" applyBorder="1" applyAlignment="1">
      <alignment horizontal="left" vertical="center"/>
    </xf>
    <xf numFmtId="164" fontId="66" fillId="0" borderId="0" xfId="0" applyNumberFormat="1" applyFont="1"/>
    <xf numFmtId="0" fontId="66" fillId="0" borderId="0" xfId="0" applyFont="1" applyAlignment="1">
      <alignment horizontal="left" vertical="center"/>
    </xf>
    <xf numFmtId="0" fontId="66" fillId="0" borderId="0" xfId="0" applyFont="1" applyAlignment="1">
      <alignment horizontal="left" vertical="top"/>
    </xf>
    <xf numFmtId="0" fontId="78" fillId="0" borderId="0" xfId="0" applyFont="1"/>
    <xf numFmtId="0" fontId="66" fillId="0" borderId="0" xfId="0" applyFont="1" applyAlignment="1">
      <alignment horizontal="left"/>
    </xf>
    <xf numFmtId="0" fontId="66" fillId="31" borderId="0" xfId="0" applyFont="1" applyFill="1" applyAlignment="1">
      <alignment horizontal="left" vertical="center"/>
    </xf>
    <xf numFmtId="179" fontId="15" fillId="0" borderId="1" xfId="0" applyNumberFormat="1" applyFont="1" applyBorder="1" applyAlignment="1">
      <alignment horizontal="center" vertical="top"/>
    </xf>
    <xf numFmtId="179" fontId="15" fillId="23" borderId="1" xfId="0" applyNumberFormat="1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23" borderId="1" xfId="0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166" fontId="0" fillId="0" borderId="19" xfId="0" applyNumberFormat="1" applyBorder="1"/>
    <xf numFmtId="4" fontId="49" fillId="0" borderId="0" xfId="0" applyNumberFormat="1" applyFont="1"/>
    <xf numFmtId="171" fontId="0" fillId="0" borderId="0" xfId="0" applyNumberFormat="1" applyAlignment="1">
      <alignment horizontal="left" vertical="center" indent="14"/>
    </xf>
    <xf numFmtId="165" fontId="0" fillId="16" borderId="0" xfId="0" applyNumberFormat="1" applyFill="1" applyAlignment="1">
      <alignment horizontal="center" wrapText="1"/>
    </xf>
    <xf numFmtId="165" fontId="0" fillId="15" borderId="0" xfId="0" applyNumberFormat="1" applyFill="1"/>
    <xf numFmtId="0" fontId="49" fillId="0" borderId="0" xfId="0" applyFont="1" applyAlignment="1">
      <alignment horizontal="left" wrapText="1"/>
    </xf>
    <xf numFmtId="0" fontId="51" fillId="2" borderId="6" xfId="0" applyFont="1" applyFill="1" applyBorder="1" applyAlignment="1">
      <alignment horizontal="center"/>
    </xf>
    <xf numFmtId="0" fontId="49" fillId="0" borderId="0" xfId="0" applyFont="1" applyAlignment="1">
      <alignment horizontal="left"/>
    </xf>
    <xf numFmtId="14" fontId="49" fillId="0" borderId="0" xfId="0" applyNumberFormat="1" applyFont="1" applyAlignment="1">
      <alignment horizontal="left"/>
    </xf>
    <xf numFmtId="0" fontId="51" fillId="2" borderId="7" xfId="0" applyFont="1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0" fontId="0" fillId="0" borderId="0" xfId="0" applyAlignment="1">
      <alignment horizontal="left" vertical="center" indent="14"/>
    </xf>
    <xf numFmtId="171" fontId="0" fillId="0" borderId="0" xfId="0" applyNumberFormat="1" applyAlignment="1">
      <alignment horizontal="left" vertical="center" indent="14"/>
    </xf>
    <xf numFmtId="0" fontId="20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170" fontId="61" fillId="0" borderId="0" xfId="5" applyFont="1" applyAlignment="1">
      <alignment horizontal="center"/>
    </xf>
    <xf numFmtId="49" fontId="55" fillId="19" borderId="0" xfId="9" applyNumberFormat="1" applyFill="1" applyAlignment="1">
      <alignment horizontal="center" vertical="top" wrapText="1"/>
    </xf>
    <xf numFmtId="0" fontId="45" fillId="11" borderId="68" xfId="0" applyFont="1" applyFill="1" applyBorder="1" applyAlignment="1">
      <alignment horizontal="center" vertical="center" wrapText="1"/>
    </xf>
    <xf numFmtId="14" fontId="59" fillId="0" borderId="1" xfId="0" applyNumberFormat="1" applyFont="1" applyBorder="1" applyAlignment="1">
      <alignment horizontal="center" wrapText="1"/>
    </xf>
    <xf numFmtId="0" fontId="44" fillId="8" borderId="35" xfId="0" applyFont="1" applyFill="1" applyBorder="1" applyAlignment="1">
      <alignment horizontal="left"/>
    </xf>
    <xf numFmtId="0" fontId="44" fillId="8" borderId="69" xfId="0" applyFont="1" applyFill="1" applyBorder="1" applyAlignment="1">
      <alignment horizontal="left"/>
    </xf>
    <xf numFmtId="0" fontId="44" fillId="8" borderId="36" xfId="0" applyFont="1" applyFill="1" applyBorder="1" applyAlignment="1">
      <alignment horizontal="left"/>
    </xf>
    <xf numFmtId="0" fontId="46" fillId="17" borderId="35" xfId="0" applyFont="1" applyFill="1" applyBorder="1" applyAlignment="1">
      <alignment horizontal="center" vertical="center" wrapText="1"/>
    </xf>
    <xf numFmtId="0" fontId="46" fillId="17" borderId="36" xfId="0" applyFont="1" applyFill="1" applyBorder="1" applyAlignment="1">
      <alignment horizontal="center" vertical="center" wrapText="1"/>
    </xf>
    <xf numFmtId="0" fontId="44" fillId="8" borderId="35" xfId="0" applyFont="1" applyFill="1" applyBorder="1" applyAlignment="1">
      <alignment horizontal="center"/>
    </xf>
    <xf numFmtId="0" fontId="44" fillId="8" borderId="69" xfId="0" applyFont="1" applyFill="1" applyBorder="1" applyAlignment="1">
      <alignment horizontal="center"/>
    </xf>
    <xf numFmtId="0" fontId="44" fillId="8" borderId="36" xfId="0" applyFont="1" applyFill="1" applyBorder="1" applyAlignment="1">
      <alignment horizontal="center"/>
    </xf>
    <xf numFmtId="0" fontId="46" fillId="17" borderId="39" xfId="0" applyFont="1" applyFill="1" applyBorder="1" applyAlignment="1">
      <alignment horizontal="center" vertical="center" wrapText="1"/>
    </xf>
    <xf numFmtId="0" fontId="46" fillId="17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0" fontId="15" fillId="0" borderId="72" xfId="0" applyFont="1" applyBorder="1" applyAlignment="1">
      <alignment horizontal="center" vertical="top"/>
    </xf>
    <xf numFmtId="0" fontId="14" fillId="26" borderId="73" xfId="0" applyFont="1" applyFill="1" applyBorder="1" applyAlignment="1">
      <alignment horizontal="center"/>
    </xf>
    <xf numFmtId="0" fontId="14" fillId="26" borderId="0" xfId="0" applyFont="1" applyFill="1" applyAlignment="1">
      <alignment horizontal="center"/>
    </xf>
    <xf numFmtId="0" fontId="67" fillId="0" borderId="0" xfId="0" applyFont="1" applyAlignment="1">
      <alignment horizontal="center"/>
    </xf>
    <xf numFmtId="0" fontId="73" fillId="0" borderId="4" xfId="0" applyFont="1" applyBorder="1" applyAlignment="1">
      <alignment horizontal="left" vertical="center"/>
    </xf>
    <xf numFmtId="0" fontId="73" fillId="0" borderId="40" xfId="0" applyFont="1" applyBorder="1" applyAlignment="1">
      <alignment horizontal="left" vertical="center"/>
    </xf>
    <xf numFmtId="0" fontId="73" fillId="0" borderId="75" xfId="0" applyFont="1" applyBorder="1" applyAlignment="1">
      <alignment horizontal="left" vertical="center"/>
    </xf>
    <xf numFmtId="0" fontId="73" fillId="0" borderId="76" xfId="0" applyFont="1" applyBorder="1" applyAlignment="1">
      <alignment horizontal="left" vertical="center"/>
    </xf>
    <xf numFmtId="0" fontId="72" fillId="0" borderId="37" xfId="0" applyFont="1" applyBorder="1" applyAlignment="1">
      <alignment horizontal="center"/>
    </xf>
    <xf numFmtId="0" fontId="72" fillId="0" borderId="38" xfId="0" applyFont="1" applyBorder="1" applyAlignment="1">
      <alignment horizontal="center"/>
    </xf>
    <xf numFmtId="0" fontId="73" fillId="0" borderId="42" xfId="0" applyFont="1" applyBorder="1" applyAlignment="1">
      <alignment horizontal="center" vertical="center" wrapText="1"/>
    </xf>
    <xf numFmtId="0" fontId="73" fillId="0" borderId="41" xfId="0" applyFont="1" applyBorder="1" applyAlignment="1">
      <alignment horizontal="center" vertical="center"/>
    </xf>
    <xf numFmtId="168" fontId="24" fillId="0" borderId="35" xfId="0" applyNumberFormat="1" applyFont="1" applyBorder="1" applyAlignment="1">
      <alignment horizontal="center"/>
    </xf>
    <xf numFmtId="168" fontId="24" fillId="0" borderId="36" xfId="0" applyNumberFormat="1" applyFont="1" applyBorder="1" applyAlignment="1">
      <alignment horizontal="center"/>
    </xf>
    <xf numFmtId="0" fontId="26" fillId="0" borderId="37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4" fillId="14" borderId="37" xfId="0" applyFont="1" applyFill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/>
    </xf>
    <xf numFmtId="0" fontId="23" fillId="0" borderId="35" xfId="0" applyFont="1" applyBorder="1" applyAlignment="1">
      <alignment vertical="top" wrapText="1"/>
    </xf>
    <xf numFmtId="0" fontId="23" fillId="0" borderId="36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</cellXfs>
  <cellStyles count="19">
    <cellStyle name="Fecha" xfId="10" xr:uid="{A654EAB3-33D3-45BD-BCC6-AAA627CA6AF7}"/>
    <cellStyle name="Inicio real" xfId="12" xr:uid="{0B22972E-2D99-416B-97AC-56568B6140F0}"/>
    <cellStyle name="Millares" xfId="1" builtinId="3"/>
    <cellStyle name="Millares 2" xfId="14" xr:uid="{939A48CB-A4A5-49EA-B239-D826F31D25C5}"/>
    <cellStyle name="Millares 2 5" xfId="18" xr:uid="{B5B35616-EC8A-47E2-A8B8-905968845A2E}"/>
    <cellStyle name="Moneda" xfId="15" builtinId="4"/>
    <cellStyle name="Moneda 2" xfId="16" xr:uid="{5C0E631E-BA50-4EA8-9BF9-E1041D6BCA00}"/>
    <cellStyle name="Normal" xfId="0" builtinId="0"/>
    <cellStyle name="Normal 10" xfId="5" xr:uid="{EF79BC6B-BED5-44E7-AD73-1A34B70CCDBB}"/>
    <cellStyle name="Normal 10 2" xfId="6" xr:uid="{01094107-0C94-4DC3-B615-B5CB9ED06D58}"/>
    <cellStyle name="Normal 11" xfId="7" xr:uid="{BD4C81E5-4D5F-452D-8617-F7D96332CC13}"/>
    <cellStyle name="Normal 2" xfId="9" xr:uid="{88C4E800-6FF6-4557-8E8D-F8B9EEF13081}"/>
    <cellStyle name="Normal 2 2" xfId="17" xr:uid="{5869BB4F-6E6F-4B7D-9504-09222D5C5335}"/>
    <cellStyle name="Normal 4 2" xfId="3" xr:uid="{849594C0-6332-47B5-8664-D5C450FC7F35}"/>
    <cellStyle name="Normal 9" xfId="13" xr:uid="{B49C7BBC-DE63-4677-9220-C81F53C06229}"/>
    <cellStyle name="Porcentaje" xfId="2" builtinId="5"/>
    <cellStyle name="Texto" xfId="11" xr:uid="{77488905-3B86-4BA9-B223-16E102A605F2}"/>
    <cellStyle name="Título 4" xfId="8" xr:uid="{2F64A5C3-9355-4B86-9076-037F1CEC2EA5}"/>
    <cellStyle name="Total" xfId="4" builtinId="25"/>
  </cellStyles>
  <dxfs count="412">
    <dxf>
      <border>
        <vertical/>
        <horizontal/>
      </border>
    </dxf>
    <dxf>
      <font>
        <b/>
        <i val="0"/>
        <color rgb="FFFF0000"/>
      </font>
    </dxf>
    <dxf>
      <font>
        <b val="0"/>
        <i val="0"/>
        <color auto="1"/>
      </font>
    </dxf>
    <dxf>
      <font>
        <b/>
        <i val="0"/>
        <color rgb="FFFF0000"/>
      </font>
    </dxf>
    <dxf>
      <font>
        <b val="0"/>
        <i val="0"/>
        <color auto="1"/>
      </font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theme="8" tint="0.80001220740379042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92D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theme="0" tint="-0.1490218817712943"/>
          </stop>
          <stop position="1">
            <color theme="0"/>
          </stop>
        </gradientFill>
      </fill>
    </dxf>
    <dxf>
      <fill>
        <gradientFill degree="90">
          <stop position="0">
            <color theme="9"/>
          </stop>
          <stop position="0.5">
            <color rgb="FFFFFF0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72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70" formatCode="_([$DOP]\ * #,##0.00_);_([$DOP]\ * \(#,##0.00\);_([$DOP]\ 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/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thin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thin">
          <color rgb="FF002060"/>
        </right>
        <top style="double">
          <color rgb="FF002060"/>
        </top>
        <bottom style="medium">
          <color rgb="FF002060"/>
        </bottom>
      </border>
    </dxf>
    <dxf>
      <numFmt numFmtId="166" formatCode="_(* #,##0.00_);_(* \(#,##0.00\);_(* &quot;-&quot;??_);_(@_)"/>
      <border diagonalUp="0" diagonalDown="0">
        <left style="medium">
          <color rgb="FF002060"/>
        </left>
        <right style="thin">
          <color rgb="FF002060"/>
        </right>
        <top style="thin">
          <color theme="3" tint="0.59996337778862885"/>
        </top>
        <bottom style="thin">
          <color theme="3" tint="0.59996337778862885"/>
        </bottom>
        <vertical style="thin">
          <color rgb="FF002060"/>
        </vertical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_);_(* \(#,##0.00\);_(* &quot;-&quot;??_);_(@_)"/>
      <border diagonalUp="0" diagonalDown="0" outline="0">
        <left style="medium">
          <color rgb="FF002060"/>
        </left>
        <right style="medium">
          <color rgb="FF002060"/>
        </right>
        <top style="double">
          <color rgb="FF002060"/>
        </top>
        <bottom style="medium">
          <color rgb="FF002060"/>
        </bottom>
      </border>
    </dxf>
    <dxf>
      <border diagonalUp="0" diagonalDown="0">
        <left style="medium">
          <color rgb="FF002060"/>
        </left>
        <right style="medium">
          <color rgb="FF002060"/>
        </right>
        <top style="thin">
          <color theme="3" tint="0.59996337778862885"/>
        </top>
        <bottom style="thin">
          <color theme="3" tint="0.59996337778862885"/>
        </bottom>
        <vertical/>
        <horizontal style="thin">
          <color theme="3" tint="0.59996337778862885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002060"/>
        </top>
        <bottom style="medium">
          <color rgb="FF002060"/>
        </bottom>
      </border>
    </dxf>
    <dxf>
      <alignment horizontal="center" vertical="center" textRotation="0" wrapText="0" indent="0" justifyLastLine="0" shrinkToFit="0" readingOrder="0"/>
      <border diagonalUp="0" diagonalDown="0">
        <top style="thin">
          <color theme="3" tint="0.59996337778862885"/>
        </top>
        <bottom style="thin">
          <color theme="3" tint="0.59996337778862885"/>
        </bottom>
        <horizontal style="thin">
          <color theme="3" tint="0.59996337778862885"/>
        </horizontal>
      </border>
    </dxf>
    <dxf>
      <fill>
        <patternFill patternType="none">
          <fgColor indexed="64"/>
          <bgColor indexed="65"/>
        </patternFill>
      </fill>
    </dxf>
    <dxf>
      <border>
        <top style="double">
          <color rgb="FF002060"/>
        </top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  <dxf>
      <numFmt numFmtId="165" formatCode="_(&quot;$&quot;* #,##0.00_);_(&quot;$&quot;* \(#,##0.00\);_(&quot;$&quot;* &quot;-&quot;??_);_(@_)"/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thin">
          <color theme="8"/>
        </left>
        <right/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/>
        <top/>
        <bottom/>
      </border>
    </dxf>
    <dxf>
      <numFmt numFmtId="0" formatCode="General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medium">
          <color theme="8" tint="-0.499984740745262"/>
        </left>
        <right style="medium">
          <color theme="8" tint="-0.499984740745262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65" formatCode="_(&quot;$&quot;* #,##0.00_);_(&quot;$&quot;* \(#,##0.00\);_(&quot;$&quot;* &quot;-&quot;??_);_(@_)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0" formatCode="General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65" formatCode="_(&quot;$&quot;* #,##0.00_);_(&quot;$&quot;* \(#,##0.00\);_(&quot;$&quot;* &quot;-&quot;??_);_(@_)"/>
      <border diagonalUp="0" diagonalDown="0">
        <left style="thin">
          <color theme="8"/>
        </left>
        <right/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fill>
        <patternFill patternType="none">
          <bgColor auto="1"/>
        </patternFill>
      </fill>
      <alignment horizontal="left" vertical="bottom" textRotation="0" wrapText="0" indent="2" justifyLastLine="0" shrinkToFit="0" readingOrder="0"/>
    </dxf>
    <dxf>
      <border diagonalUp="0" diagonalDown="0" outline="0">
        <left/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numFmt numFmtId="165" formatCode="_(&quot;$&quot;* #,##0.00_);_(&quot;$&quot;* \(#,##0.00\);_(&quot;$&quot;* &quot;-&quot;??_);_(@_)"/>
      <fill>
        <patternFill patternType="solid">
          <fgColor indexed="64"/>
          <bgColor theme="8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medium">
          <color theme="8" tint="-0.499984740745262"/>
        </left>
        <right style="medium">
          <color theme="8" tint="-0.499984740745262"/>
        </right>
        <top/>
        <bottom/>
        <vertical/>
        <horizontal/>
      </border>
    </dxf>
    <dxf>
      <border diagonalUp="0" diagonalDown="0" outline="0">
        <left/>
        <right style="thin">
          <color theme="8"/>
        </right>
        <top/>
        <bottom/>
      </border>
    </dxf>
    <dxf>
      <border outline="0">
        <right style="thin">
          <color theme="8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border outline="0">
        <left/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outline="0">
        <right style="medium">
          <color indexed="64"/>
        </right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border diagonalUp="0" diagonalDown="0" outline="0">
        <left style="medium">
          <color indexed="64"/>
        </left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5" formatCode="_(&quot;$&quot;* #,##0.00_);_(&quot;$&quot;* \(#,##0.00\);_(&quot;$&quot;* &quot;-&quot;??_);_(@_)"/>
      <fill>
        <patternFill patternType="none">
          <fgColor indexed="64"/>
          <bgColor theme="0" tint="-0.1499984740745262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6" formatCode="_(* #,##0.00_);_(* \(#,##0.00\);_(* &quot;-&quot;??_);_(@_)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9" formatCode="_(&quot;USD&quot;\$* #,##0.00_);_(&quot;USD&quot;\$* \(#,##0.00\);_(&quot;USD&quot;\$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FF6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10</xdr:col>
      <xdr:colOff>133125</xdr:colOff>
      <xdr:row>38</xdr:row>
      <xdr:rowOff>39065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6472E8-F0CD-4746-EB59-9AFD09F2B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0"/>
          <a:ext cx="12039375" cy="691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2</xdr:col>
      <xdr:colOff>496575</xdr:colOff>
      <xdr:row>3</xdr:row>
      <xdr:rowOff>2027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087DBD-3D93-4457-81A4-DE3DF31B4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0"/>
          <a:ext cx="468000" cy="678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70909</xdr:colOff>
      <xdr:row>0</xdr:row>
      <xdr:rowOff>64557</xdr:rowOff>
    </xdr:from>
    <xdr:to>
      <xdr:col>0</xdr:col>
      <xdr:colOff>641562</xdr:colOff>
      <xdr:row>4</xdr:row>
      <xdr:rowOff>87537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53C211E-5F62-4EB9-AD0B-E546B7A07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09" y="64557"/>
          <a:ext cx="572558" cy="867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15</xdr:col>
      <xdr:colOff>8038</xdr:colOff>
      <xdr:row>38</xdr:row>
      <xdr:rowOff>27709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2EDABA-F1EC-72AD-12A9-3118CF14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11895238" cy="69238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</xdr:colOff>
      <xdr:row>1</xdr:row>
      <xdr:rowOff>108841</xdr:rowOff>
    </xdr:from>
    <xdr:ext cx="592965" cy="1063533"/>
    <xdr:pic>
      <xdr:nvPicPr>
        <xdr:cNvPr id="2" name="Picture 5">
          <a:extLst>
            <a:ext uri="{FF2B5EF4-FFF2-40B4-BE49-F238E27FC236}">
              <a16:creationId xmlns:a16="http://schemas.microsoft.com/office/drawing/2014/main" id="{94D212BB-8961-4583-8A66-39DA0F1C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35268" y="527005"/>
          <a:ext cx="1063533" cy="59296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8562</xdr:colOff>
      <xdr:row>0</xdr:row>
      <xdr:rowOff>154112</xdr:rowOff>
    </xdr:from>
    <xdr:to>
      <xdr:col>1</xdr:col>
      <xdr:colOff>916113</xdr:colOff>
      <xdr:row>0</xdr:row>
      <xdr:rowOff>764458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9B3DFF-F6FD-4E00-9E68-4BB0E854F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" y="154112"/>
          <a:ext cx="2454411" cy="610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Eva%20L.%20JImenez%20Pagan\My%20Documents\Banco%20Central\Martin%20Fernandez%20-%20Calles\Presup.%20dise&#241;o%20original%20(30-mar-0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usuarios/$$$$$$$$/Perda%20de%20produtividade_INSUM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ingasa\Documents%20and%20Settings\jgonzalez\Local%20Settings\Temporary%20Internet%20Files\OLK63\Car%20Wash%20Santiago%20(con%20analisis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Users\FBARRA~1\AppData\Local\Temp\notesBF2340\A-001%20LOS%20ALCARRIZOS\Presupuestos\Cubicaciones\Cubicacion%20Final\Cubicacion%20Aprezio%20Alcarrizos%2026042012%20(Formato%20Rev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sharing\Documents%20and%20Settings\macta.GRAMOS\Mis%20documentos\Proyectos\Generales\Docs%20a%20implementar\AIA%20G7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GPACK\PPFPAC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ENGTO\PADRONIZ\CUSTO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QSNA0\PROJETOS\ENGTO\PADRONIZ\CUSTO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yy99392/Local%20Settings/Temporary%20Internet%20Files/OLKDB/Dependencies%20for%20GOP%20Template%20072209%20(4).XLS" TargetMode="External"/><Relationship Id="rId1" Type="http://schemas.openxmlformats.org/officeDocument/2006/relationships/externalLinkPath" Target="/Documents%20and%20Settings/yy99392/Local%20Settings/Temporary%20Internet%20Files/OLKDB/Dependencies%20for%20GOP%20Template%20072209%20(4)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ersonal/arosario_gruporamos_com/Documents/Informaci&#243;n%20AR/Seguimiento%20de%20tareas%20de%20Equipo%20CAF%20Rev.xlsx" TargetMode="External"/><Relationship Id="rId2" Type="http://schemas.openxmlformats.org/officeDocument/2006/relationships/externalLinkPath" Target="https://gruporamos-my.sharepoint.com/personal/arosario_gruporamos_com/Documents/Informaci&#243;n%20AR/Seguimiento%20de%20tareas%20de%20Equipo%20CAF%20Rev.xlsx" TargetMode="External"/><Relationship Id="rId1" Type="http://schemas.openxmlformats.org/officeDocument/2006/relationships/externalLinkPath" Target="/personal/arosario_gruporamos_com/Documents/Informaci&#243;n%20AR/Seguimiento%20de%20tareas%20de%20Equipo%20CAF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~1\pjehp\LOCALS~1\Temp\11\ARC2\Indicadores%20do%20Planejamento%20da%20Manuten&#231;&#227;o_v5%20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-MZAFUNWRLPQ/VECINA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ruporamos.sharepoint.com/sites/ComprayControldeActivos/Ger_Compras_Activos_Fijos/Equipo_Compras_de_Activos/A%20-%20INICIATIVAS/Iniciativas%20abiertas/Iniciativa%20Nueva%20Tienda%20Sirena%20Compacta%20Veron/Plantilla%20Plan%20Detallado%20-%20OI%20-%20Veron%2022.07.2025.xlsx" TargetMode="External"/><Relationship Id="rId2" Type="http://schemas.microsoft.com/office/2019/04/relationships/externalLinkLongPath" Target="/sites/ComprayControldeActivos/Ger_Compras_Activos_Fijos/Equipo_Compras_de_Activos/A%20-%20INICIATIVAS/Iniciativas%20abiertas/Iniciativa%20Nueva%20Tienda%20Sirena%20Compacta%20Veron/Plantilla%20Plan%20Detallado%20-%20OI%20-%20Veron%2022.07.2025.xlsx?3EB30F3F" TargetMode="External"/><Relationship Id="rId1" Type="http://schemas.openxmlformats.org/officeDocument/2006/relationships/externalLinkPath" Target="file:///\\3EB30F3F\Plantilla%20Plan%20Detallado%20-%20OI%20-%20Veron%2022.07.2025.xlsx" TargetMode="External"/><Relationship Id="rId4" Type="http://schemas.openxmlformats.org/officeDocument/2006/relationships/externalLinkPath" Target="../A%20-%20INICIATIVAS/Iniciativas%20abiertas/Iniciativa%20Nueva%20Tienda%20Sirena%20Compacta%20Veron/Plantilla%20Plan%20Detallado%20-%20OI%20-%20Veron%2022.07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STO DGO"/>
      <sheetName val="PRES. BOCA NUEVA"/>
      <sheetName val="ANALISIS_STO_DGO"/>
      <sheetName val="PRES__BOCA_NUEVA"/>
      <sheetName val="CONTRARO SEÑALIZACIONES"/>
      <sheetName val="Senalizacion"/>
      <sheetName val="A"/>
      <sheetName val="ANALISIS_STO_DGO1"/>
      <sheetName val="PRES__BOCA_NUEVA1"/>
      <sheetName val="CONTRARO_SEÑALIZACIONES1"/>
      <sheetName val="CONTRARO_SEÑALIZACIONES"/>
      <sheetName val="Presup"/>
      <sheetName val="EDIFICIO COUNTERS"/>
      <sheetName val="Presup."/>
      <sheetName val="LISTADO INSUMOS DEL 2000"/>
      <sheetName val="Insumos"/>
      <sheetName val="Análisis de Precios"/>
      <sheetName val="Resumen Precio Equipos"/>
      <sheetName val="O.M. y Salarios"/>
      <sheetName val="Materiales"/>
      <sheetName val="PRESUP. HOSPIT. VERON"/>
      <sheetName val="ANALISIS_STO_DGO2"/>
      <sheetName val="PRES__BOCA_NUEVA2"/>
      <sheetName val="CONTRARO_SEÑALIZACIONES2"/>
      <sheetName val="EDIFICIO_COUNTERS"/>
      <sheetName val="LISTADO_INSUMOS_DEL_2000"/>
      <sheetName val="Presup_"/>
      <sheetName val="Análisis_de_Precios"/>
      <sheetName val="Resumen_Precio_Equipos"/>
      <sheetName val="O_M__y_Salarios"/>
      <sheetName val="Resumen"/>
      <sheetName val="Planilla &lt;ENM#5&gt;"/>
      <sheetName val="Resumen Reducciones"/>
      <sheetName val="Planilla..."/>
      <sheetName val="Planilla"/>
      <sheetName val="Amortización"/>
      <sheetName val="Estudios y Diseños"/>
      <sheetName val="&lt;T-0&gt;Sop.Estudios.y.Diseños"/>
      <sheetName val="Otros Indirectos"/>
      <sheetName val="(1)-Trab.Gen"/>
      <sheetName val="1.01"/>
      <sheetName val="1.02"/>
      <sheetName val="1.03"/>
      <sheetName val="1.04"/>
      <sheetName val="1.05"/>
      <sheetName val="(2)-Mov.Tierra"/>
      <sheetName val="2.01"/>
      <sheetName val="2.02"/>
      <sheetName val="2.03"/>
      <sheetName val="&lt;T-1&gt;Sop.Alambradas"/>
      <sheetName val="100.01"/>
      <sheetName val="2.06"/>
      <sheetName val="2.07"/>
      <sheetName val="2.09"/>
      <sheetName val="&lt;T-3&gt;Sop.Exc.Inservible.&amp;.NClas"/>
      <sheetName val="2.10"/>
      <sheetName val="2.11"/>
      <sheetName val="2.12@2.14-116.03"/>
      <sheetName val="Rutas.Acarreo"/>
      <sheetName val="2.15"/>
      <sheetName val="2.16"/>
      <sheetName val="2.17"/>
      <sheetName val="2.18"/>
      <sheetName val="&lt;T-4&gt;Sop.Relleno-(Previo)"/>
      <sheetName val="&lt;T-4&gt;Sop.Relleno-(Acumulado)"/>
      <sheetName val="ajustes de reporte relleno"/>
      <sheetName val="&lt;T-4&gt;Sop.Relleno-(Periodo)"/>
      <sheetName val="&lt;T-5&gt;Sop.Pedraplén"/>
      <sheetName val="2.19"/>
      <sheetName val="2.22"/>
      <sheetName val="PN-2.04"/>
      <sheetName val="&lt;T-7&gt;Sop.Perfilado&amp;Grama"/>
      <sheetName val="2.24"/>
      <sheetName val="2.36"/>
      <sheetName val="Mejoramiento Fundación"/>
      <sheetName val="116.01"/>
      <sheetName val="116.02"/>
      <sheetName val="&lt;T-14&gt;Estabilización.Cal"/>
      <sheetName val="&lt;T-15&gt;Estabilización.Cemento"/>
      <sheetName val="PN-2.06"/>
      <sheetName val="Interferencias-Tuberías"/>
      <sheetName val="128.01"/>
      <sheetName val="&lt;Presup&gt;Tubería.Yuca"/>
      <sheetName val="139.01"/>
      <sheetName val="&lt;Presup&gt;Tub.Haras.Nacionales"/>
      <sheetName val="184.01"/>
      <sheetName val="&lt;Presup&gt;Tubería.Mata.Gorda"/>
      <sheetName val="184.02"/>
      <sheetName val="&lt;Presup&gt;Tubería.El.Aguacate"/>
      <sheetName val="184.03"/>
      <sheetName val="&lt;Presup&gt;Tubería.La.Victoria"/>
      <sheetName val="139.02"/>
      <sheetName val="&lt;Presup&gt;Tubería.Juan.Tomás"/>
      <sheetName val="161.01"/>
      <sheetName val="&lt;Presup&gt;Tubería.Mal.Nombre"/>
      <sheetName val="PN-2.01"/>
      <sheetName val="&lt;Presup&gt;Tubería.Varios.Trabajos"/>
      <sheetName val="(3)-Drenaje"/>
      <sheetName val="Cunetas"/>
      <sheetName val="3.1.02"/>
      <sheetName val="3.1.03"/>
      <sheetName val="150.01"/>
      <sheetName val="150.02"/>
      <sheetName val="162.01"/>
      <sheetName val="Drenaje Subterraneo"/>
      <sheetName val="3.3.01"/>
      <sheetName val="3.3.02"/>
      <sheetName val="Alc.Cajón"/>
      <sheetName val="100.02"/>
      <sheetName val="3.4.1.01"/>
      <sheetName val="3.4.1.02"/>
      <sheetName val="3.4.1.03"/>
      <sheetName val="3.4.1.04"/>
      <sheetName val="3.4.1.05"/>
      <sheetName val="3.4.1.06"/>
      <sheetName val="3.4.1.07"/>
      <sheetName val="3.4.1.08"/>
      <sheetName val="3.4.1.09"/>
      <sheetName val="3.4.1.10"/>
      <sheetName val="3.4.1.11"/>
      <sheetName val="3.4.1.12"/>
      <sheetName val="101.01"/>
      <sheetName val="3.4.1.16"/>
      <sheetName val="3.4.1.17"/>
      <sheetName val="Alc.Tubular"/>
      <sheetName val="3.4.2.01"/>
      <sheetName val="3.4.2.03"/>
      <sheetName val="3.4.2.04"/>
      <sheetName val="3.4.2.06"/>
      <sheetName val="3.4.2.07"/>
      <sheetName val="3.4.2.08"/>
      <sheetName val="3.4.2.09"/>
      <sheetName val="3.4.2.10"/>
      <sheetName val="3.4.2.11"/>
      <sheetName val="3.4.2.12"/>
      <sheetName val="&lt;T-6&gt;Sop.Exc.Rell.Estr.Alcant."/>
      <sheetName val="Colectores"/>
      <sheetName val="119.01"/>
      <sheetName val="119.02"/>
      <sheetName val="119.03"/>
      <sheetName val="119.04"/>
      <sheetName val="119.05"/>
      <sheetName val="119.06"/>
      <sheetName val="119.07"/>
      <sheetName val="119.08"/>
      <sheetName val="119.09"/>
      <sheetName val="129.01"/>
      <sheetName val="&lt;T-8&gt;Sop.Acero.Alcantarillas"/>
      <sheetName val="(4)-Estructuras"/>
      <sheetName val="(Puente)-Mal Nombre"/>
      <sheetName val="4.1.1.01"/>
      <sheetName val="4.1.1.04"/>
      <sheetName val="4.1.1.06"/>
      <sheetName val="4.1.1.08"/>
      <sheetName val="104.01"/>
      <sheetName val="104.02"/>
      <sheetName val="4.1.1.9"/>
      <sheetName val="4.1.1.10"/>
      <sheetName val="4.1.1.11"/>
      <sheetName val="4.1.1.12"/>
      <sheetName val="4.1.1.14"/>
      <sheetName val="4.1.1.15"/>
      <sheetName val="4.1.1.16"/>
      <sheetName val="4.1.1.18"/>
      <sheetName val="4.1.1.21"/>
      <sheetName val="130.01"/>
      <sheetName val="4.1.1.22"/>
      <sheetName val="4.1.1.25"/>
      <sheetName val="4.1.1.26"/>
      <sheetName val="120.01"/>
      <sheetName val="104.03"/>
      <sheetName val="4.1.4.04"/>
      <sheetName val="102.01"/>
      <sheetName val="102.02"/>
      <sheetName val="102.03"/>
      <sheetName val="102.04"/>
      <sheetName val="102.05"/>
      <sheetName val="4.1.4.06"/>
      <sheetName val="4.1.4.08"/>
      <sheetName val="4.1.4.09"/>
      <sheetName val="4.1.4.11"/>
      <sheetName val="4.1.4.18"/>
      <sheetName val="(Puente)-Dajao"/>
      <sheetName val="4.1.4.25"/>
      <sheetName val="106.02"/>
      <sheetName val="113.01"/>
      <sheetName val="113.02"/>
      <sheetName val="113.03"/>
      <sheetName val="106.01"/>
      <sheetName val="121.01"/>
      <sheetName val="121.02"/>
      <sheetName val="131.01"/>
      <sheetName val="131.02"/>
      <sheetName val="140.01"/>
      <sheetName val="140.02"/>
      <sheetName val="145.01"/>
      <sheetName val="145.02"/>
      <sheetName val="145.03"/>
      <sheetName val="145.04"/>
      <sheetName val="145.05"/>
      <sheetName val="163.01"/>
      <sheetName val="(Puente)-Haras Nacionales"/>
      <sheetName val="PN-4.2.2.02"/>
      <sheetName val="151.01"/>
      <sheetName val="4.2.2.02"/>
      <sheetName val="4.2.2.03"/>
      <sheetName val="4.2.2.04"/>
      <sheetName val="4.2.2.10"/>
      <sheetName val="151.02"/>
      <sheetName val="4.2.2.11"/>
      <sheetName val="4.2.2.12"/>
      <sheetName val="4.2.2.13"/>
      <sheetName val="103.01"/>
      <sheetName val="103.02"/>
      <sheetName val="103.03"/>
      <sheetName val="103.04"/>
      <sheetName val="105.01"/>
      <sheetName val="105.02"/>
      <sheetName val="105.03"/>
      <sheetName val="4.2.2.15 "/>
      <sheetName val="4.2.2.16"/>
      <sheetName val="4.2.2.17"/>
      <sheetName val="108.01"/>
      <sheetName val="108.02"/>
      <sheetName val="108.03"/>
      <sheetName val="111.01"/>
      <sheetName val="111.02"/>
      <sheetName val="111.03"/>
      <sheetName val="111.04"/>
      <sheetName val="114.01"/>
      <sheetName val="122.01"/>
      <sheetName val="141.01"/>
      <sheetName val="141.02"/>
      <sheetName val="141.03"/>
      <sheetName val="132.01"/>
      <sheetName val="132.02"/>
      <sheetName val="zapata bordillo-haras"/>
      <sheetName val="(Puente)-Yuca"/>
      <sheetName val="4.1.3.04"/>
      <sheetName val="4.1.3.06"/>
      <sheetName val="4.1.3.07"/>
      <sheetName val="4.1.3.08"/>
      <sheetName val="4.1.3.09"/>
      <sheetName val="112.01"/>
      <sheetName val="112.02"/>
      <sheetName val="112.03"/>
      <sheetName val="112.04"/>
      <sheetName val="112.05"/>
      <sheetName val="112.06"/>
      <sheetName val="112.07"/>
      <sheetName val="4.1.3.01"/>
      <sheetName val="4.1.3.18"/>
      <sheetName val="4.1.3.25"/>
      <sheetName val="123.01"/>
      <sheetName val="123.02"/>
      <sheetName val="123.03"/>
      <sheetName val="133.01"/>
      <sheetName val="142.01"/>
      <sheetName val="142.02"/>
      <sheetName val="146.01"/>
      <sheetName val="146.02"/>
      <sheetName val="146.03"/>
      <sheetName val="146.04"/>
      <sheetName val="152.01"/>
      <sheetName val="152.02"/>
      <sheetName val="164.01"/>
      <sheetName val="zapata.bordillo.losa.Yuca"/>
      <sheetName val="172.01"/>
      <sheetName val="172.02"/>
      <sheetName val="172.03"/>
      <sheetName val="PN-4.1.3.01"/>
      <sheetName val="PN-4.1.3.02"/>
      <sheetName val="PN-4.1.3.03"/>
      <sheetName val="PN-4.1.3.04"/>
      <sheetName val="(Puente)-Cabón"/>
      <sheetName val="4.1.2.06"/>
      <sheetName val="4.1.2.07"/>
      <sheetName val="4.1.2.11"/>
      <sheetName val="4.1.2.18"/>
      <sheetName val="4.1.2.20"/>
      <sheetName val="4.1.2.08"/>
      <sheetName val="4.1.2.25"/>
      <sheetName val="134.01"/>
      <sheetName val="134.02"/>
      <sheetName val="134.03"/>
      <sheetName val="143.01"/>
      <sheetName val="147.01"/>
      <sheetName val="153.01"/>
      <sheetName val="165.01"/>
      <sheetName val="165.02"/>
      <sheetName val="165.03"/>
      <sheetName val="173.01"/>
      <sheetName val="173.02"/>
      <sheetName val="PN-4.1.2.01"/>
      <sheetName val="PN-4.1.2.03"/>
      <sheetName val="PN-4.1.2.04"/>
      <sheetName val="PN-4.1.2.05"/>
      <sheetName val="153.02"/>
      <sheetName val="153.03"/>
      <sheetName val="(Puente)-Tossa"/>
      <sheetName val="4.1.5.04"/>
      <sheetName val="4.1.5.06"/>
      <sheetName val="4.1.5.07"/>
      <sheetName val="4.1.5.08"/>
      <sheetName val="4.1.5.09"/>
      <sheetName val="4.1.5.11"/>
      <sheetName val="154.01"/>
      <sheetName val="154.02"/>
      <sheetName val="135.01"/>
      <sheetName val="135.02"/>
      <sheetName val="135.03"/>
      <sheetName val="135.04"/>
      <sheetName val="135.05"/>
      <sheetName val="166.01"/>
      <sheetName val="174.01"/>
      <sheetName val="174.02"/>
      <sheetName val="174.03"/>
      <sheetName val="PN-4.1.5.03"/>
      <sheetName val="PN-4.1.5.05"/>
      <sheetName val="PN-4.1.5.06"/>
      <sheetName val="PN-4.1.5.07"/>
      <sheetName val="PN-4.1.5.08"/>
      <sheetName val="PN-4.1.5.09"/>
      <sheetName val="PN-4.1.5.11"/>
      <sheetName val="PN-4.1.5.12"/>
      <sheetName val="174.04"/>
      <sheetName val="174.05"/>
      <sheetName val="174.06"/>
      <sheetName val="174.07"/>
      <sheetName val="PN-4.1.5.13"/>
      <sheetName val="(Puente)-Ozama"/>
      <sheetName val="4.1.6.02"/>
      <sheetName val="4.1.6.05"/>
      <sheetName val="4.1.6.07"/>
      <sheetName val="4.1.6.09"/>
      <sheetName val="4.1.6.10"/>
      <sheetName val="&lt;P.U.&gt;Estructura.Puente"/>
      <sheetName val="4.1.6.13"/>
      <sheetName val="4.1.6.17"/>
      <sheetName val="175.01"/>
      <sheetName val="175.02"/>
      <sheetName val="175.03"/>
      <sheetName val="175.04"/>
      <sheetName val="PN-4.1.6.03"/>
      <sheetName val="175.05"/>
      <sheetName val="144.01"/>
      <sheetName val="144.02"/>
      <sheetName val="144.03"/>
      <sheetName val="155.01"/>
      <sheetName val="155.02"/>
      <sheetName val="155.03"/>
      <sheetName val="PN-4.1.6.06"/>
      <sheetName val="PN-4.1.6.09@PN-4.1.6.11"/>
      <sheetName val="PN-4.1.6.14"/>
      <sheetName val="(Puente)-Juan Tomas"/>
      <sheetName val="156.01"/>
      <sheetName val="156.02"/>
      <sheetName val="167.01"/>
      <sheetName val="176.01"/>
      <sheetName val="176.02"/>
      <sheetName val="176.03"/>
      <sheetName val="176.04"/>
      <sheetName val="176.05"/>
      <sheetName val="176.06"/>
      <sheetName val="176.07"/>
      <sheetName val="176.08"/>
      <sheetName val="176.09"/>
      <sheetName val="176.10"/>
      <sheetName val="176.11"/>
      <sheetName val="176.12"/>
      <sheetName val="PN-4.1.7.04"/>
      <sheetName val="PN-4.1.7.05"/>
      <sheetName val="PN-4.1.7.06"/>
      <sheetName val="PN-4.1.7.09"/>
      <sheetName val="PN-4.1.7.10"/>
      <sheetName val="PN-4.1.7.11"/>
      <sheetName val="PN-4.1.7.12"/>
      <sheetName val="PN-4.1.7.14"/>
      <sheetName val="PN-4.1.7.20"/>
      <sheetName val="PN-4.1.7.29"/>
      <sheetName val="(Distribuidor)-Punta-Yamasá"/>
      <sheetName val="4.2.1.05"/>
      <sheetName val="4.2.1.17"/>
      <sheetName val="4.2.1.10 "/>
      <sheetName val="4.2.1.11"/>
      <sheetName val="4.2.1.13"/>
      <sheetName val="115.01"/>
      <sheetName val="115.02"/>
      <sheetName val="115.03"/>
      <sheetName val="115.04"/>
      <sheetName val="115.05"/>
      <sheetName val="115.06"/>
      <sheetName val="115.07"/>
      <sheetName val="115.08"/>
      <sheetName val="124.01"/>
      <sheetName val="124.02"/>
      <sheetName val="124.03"/>
      <sheetName val="124.04"/>
      <sheetName val="124.05"/>
      <sheetName val="148.01"/>
      <sheetName val="148.02"/>
      <sheetName val="157.01"/>
      <sheetName val="157.02"/>
      <sheetName val="PN-4.2.1.03"/>
      <sheetName val="PN-4.2.1.05"/>
      <sheetName val="PN-4.2.1.08"/>
      <sheetName val="4.2.1.16"/>
      <sheetName val="4.2.1.21"/>
      <sheetName val="4.2.1.29"/>
      <sheetName val="4.2.1.30"/>
      <sheetName val="registros punta"/>
      <sheetName val="(Distribuidor)-La Victoria"/>
      <sheetName val="4.2.4.10"/>
      <sheetName val="4.2.4.04"/>
      <sheetName val="4.2.4.11"/>
      <sheetName val="4.2.4.15"/>
      <sheetName val="4.2.4.16"/>
      <sheetName val="4.2.4.13"/>
      <sheetName val="125.01"/>
      <sheetName val="125.02"/>
      <sheetName val="177.01"/>
      <sheetName val="177.02"/>
      <sheetName val="177.03"/>
      <sheetName val="177.04"/>
      <sheetName val="177.05"/>
      <sheetName val="177.06"/>
      <sheetName val="177.07"/>
      <sheetName val="158.01"/>
      <sheetName val="158.02"/>
      <sheetName val="158.03"/>
      <sheetName val="158.04"/>
      <sheetName val="158.05"/>
      <sheetName val="(Distribuidor)-Carre.Samaná"/>
      <sheetName val="4.2.5.01"/>
      <sheetName val="4.2.5.03"/>
      <sheetName val="4.2.5.11"/>
      <sheetName val="4.2.5.12"/>
      <sheetName val="4.2.5.13"/>
      <sheetName val="4.2.5.14"/>
      <sheetName val="178.01"/>
      <sheetName val="178.02"/>
      <sheetName val="178.03"/>
      <sheetName val="178.04"/>
      <sheetName val="178.05"/>
      <sheetName val="PN-4.2.5.04"/>
      <sheetName val="PN-4.2.5.08"/>
      <sheetName val="PN-4.2.5.12"/>
      <sheetName val="PN-4.2.5.15"/>
      <sheetName val="(Paso Inferior)-La Victoria"/>
      <sheetName val="4.3.2.10"/>
      <sheetName val="4.3.2.11"/>
      <sheetName val="4.3.2.12"/>
      <sheetName val="4.3.2.14"/>
      <sheetName val="4.3.2.15"/>
      <sheetName val="4.3.2.18"/>
      <sheetName val="4.3.2.21"/>
      <sheetName val="4.3.2.22"/>
      <sheetName val="(Paso Inferior)-Mata Mamón"/>
      <sheetName val="4.3.3.10"/>
      <sheetName val="4.3.3.11"/>
      <sheetName val="4.3.3.12"/>
      <sheetName val="4.3.3.14"/>
      <sheetName val="4.3.3.18"/>
      <sheetName val="4.3.3.21"/>
      <sheetName val="4.3.3.22"/>
      <sheetName val="(Paso Inferior)-Yabacao"/>
      <sheetName val="136.01"/>
      <sheetName val="136.02"/>
      <sheetName val="136.03"/>
      <sheetName val="136.04"/>
      <sheetName val="149.01"/>
      <sheetName val="136.05"/>
      <sheetName val="(Puente)-Provisional Ozama "/>
      <sheetName val="117.01"/>
      <sheetName val="117.02"/>
      <sheetName val="117.03"/>
      <sheetName val="117.04"/>
      <sheetName val="(Paso Inferior) El Aguacate"/>
      <sheetName val="(Paso Inferior)-Los Rojas"/>
      <sheetName val="159.01"/>
      <sheetName val="159.02"/>
      <sheetName val="159.03"/>
      <sheetName val="159.04"/>
      <sheetName val="168.01"/>
      <sheetName val="168.02"/>
      <sheetName val="168.03"/>
      <sheetName val="179.01"/>
      <sheetName val="PN-4.3.6.06"/>
      <sheetName val="(Paso Inferior)-El Aguacate"/>
      <sheetName val="169.01"/>
      <sheetName val="169.02"/>
      <sheetName val="Aguacate-.01"/>
      <sheetName val="169.03"/>
      <sheetName val="169.04"/>
      <sheetName val="180.01"/>
      <sheetName val="170.01"/>
      <sheetName val="170.02"/>
      <sheetName val="PN-4.3.5.03"/>
      <sheetName val="PN-4.3.5.04"/>
      <sheetName val="PN-4.3.5.05"/>
      <sheetName val="(Paso Inferior)-Mal Nombre"/>
      <sheetName val="170.03"/>
      <sheetName val="170.04"/>
      <sheetName val="181.01"/>
      <sheetName val="181.02"/>
      <sheetName val="117.05"/>
      <sheetName val="117.06"/>
      <sheetName val="126.01"/>
      <sheetName val="126.02"/>
      <sheetName val="137.01"/>
      <sheetName val="&lt;T-12&gt;Sop.Pedrap.Puente.Prov."/>
      <sheetName val="PN-4.3.1.03"/>
      <sheetName val="PN-4.3.1.05"/>
      <sheetName val="PN-4.3.1.07"/>
      <sheetName val="&lt;T-9&gt;Sop.Pilotes"/>
      <sheetName val="&lt;T-10&gt;Sop.Acero.Puentes"/>
      <sheetName val="Misceláneos-Estr."/>
      <sheetName val="182.01"/>
      <sheetName val="&lt;P.U.&gt;Acero.Refuerzo"/>
      <sheetName val="&lt;P.U.&gt;Pretensado.Cable.Acero"/>
      <sheetName val="Wick.Drains-Geopier"/>
      <sheetName val="109.01"/>
      <sheetName val="118.01"/>
      <sheetName val="118.02"/>
      <sheetName val="127.01"/>
      <sheetName val="171.01@171.03"/>
      <sheetName val="127.02"/>
      <sheetName val="127.03"/>
      <sheetName val="138.01"/>
      <sheetName val="&lt;T-13&gt;Drenes.Verticales"/>
      <sheetName val="&lt;T-16&gt;Pre-Perforación.Drenes"/>
      <sheetName val="&lt;T-17&gt;Columna.de.Grava"/>
      <sheetName val="&lt;T-18&gt;Columna.Grava.Terravanza"/>
      <sheetName val="Peaje"/>
      <sheetName val="4.4.02"/>
      <sheetName val="PN-4.4.01"/>
      <sheetName val="PN-4.4.02"/>
      <sheetName val="(5)-Estructura.de.Pavimento"/>
      <sheetName val="5.01"/>
      <sheetName val="5.02"/>
      <sheetName val="5.03@5.06"/>
      <sheetName val="5.07@5.10"/>
      <sheetName val="5.11"/>
      <sheetName val="5.12"/>
      <sheetName val="5.13"/>
      <sheetName val="5.14"/>
      <sheetName val="5.15"/>
      <sheetName val="&lt;T-2&gt;Acopio.Base.Planta.Indio"/>
      <sheetName val="&lt;P.U.&gt;Base.Estabilizada"/>
      <sheetName val="5.16@5.19"/>
      <sheetName val="160.01"/>
      <sheetName val="160.02"/>
      <sheetName val="183.01"/>
      <sheetName val="183.02"/>
      <sheetName val="PN-5.01"/>
      <sheetName val="PN-5.03"/>
      <sheetName val="PN-5.04"/>
      <sheetName val="PN-5.05"/>
      <sheetName val="&lt;T-19&gt;Sop.SubBase"/>
      <sheetName val="&lt;T-20&gt;Sop.Base"/>
      <sheetName val="&lt;T-21&gt;Sop.Asfalto"/>
      <sheetName val="(6)-Terminaciones"/>
      <sheetName val="6.2.01"/>
      <sheetName val="6.3.01"/>
      <sheetName val="6.3.02"/>
      <sheetName val="6.3.03"/>
      <sheetName val="6.3.04"/>
      <sheetName val="6.3.05"/>
      <sheetName val="6.3.19"/>
      <sheetName val="6.3.20"/>
      <sheetName val="6.3.21"/>
      <sheetName val="6.1.01 Contenes"/>
      <sheetName val="6.1.02 Bordillos"/>
      <sheetName val="6.1.03 Aceras Hormigon "/>
      <sheetName val="6.1.04Relleno Acera"/>
      <sheetName val="Paisajismo"/>
      <sheetName val="Iluminacion Vial"/>
      <sheetName val="(7)-Electrificación e ilum."/>
      <sheetName val="7.01"/>
      <sheetName val="7.02"/>
      <sheetName val="(Reembolsables)-Militares"/>
      <sheetName val="107.01"/>
      <sheetName val="185.01"/>
      <sheetName val="&lt;T-11&gt;Sop.Militares"/>
      <sheetName val="(Reembolsables)-Interf.Electric"/>
      <sheetName val="186.01"/>
      <sheetName val="Pres. Interferencia Electrica"/>
      <sheetName val="(110)-Puente.Provisional"/>
      <sheetName val="110.01"/>
      <sheetName val="x1-relleno prueba"/>
      <sheetName val="&lt;x1&gt;Relleno.Prueba.Avenida"/>
      <sheetName val="&lt;Estatus Proyecto&gt;"/>
      <sheetName val="ANALISIS_STO_DGO3"/>
      <sheetName val="PRES__BOCA_NUEVA3"/>
      <sheetName val="CONTRARO_SEÑALIZACIONES3"/>
      <sheetName val="EDIFICIO_COUNTERS1"/>
      <sheetName val="LISTADO_INSUMOS_DEL_20001"/>
      <sheetName val="Presup_1"/>
      <sheetName val="TC-C27"/>
      <sheetName val="EX-V28"/>
      <sheetName val="RV-C13"/>
      <sheetName val="RV-C28"/>
      <sheetName val="EXC. QMC"/>
      <sheetName val="RV-H27"/>
      <sheetName val="EX-C36"/>
      <sheetName val="CF-C12"/>
      <sheetName val="EX-C37"/>
      <sheetName val="EX-C20"/>
      <sheetName val="EX-C24"/>
      <sheetName val="TRACT.MINA"/>
      <sheetName val="EX-C38"/>
      <sheetName val="EX-C27"/>
      <sheetName val="EX-C42"/>
      <sheetName val="% Ralenti CF-C12."/>
      <sheetName val="% Ralenti EXC."/>
      <sheetName val="% Ralenti EXC. (2)"/>
      <sheetName val="REND."/>
      <sheetName val="Produccion"/>
      <sheetName val="trac"/>
      <sheetName val="T. HORA"/>
      <sheetName val="Base de Dato"/>
      <sheetName val="Precio"/>
      <sheetName val="Analisis de precios SURFACE"/>
      <sheetName val="Sheet1"/>
      <sheetName val="Sheet2"/>
      <sheetName val="Sheet3"/>
      <sheetName val="Los Ángeles (Fase II)"/>
      <sheetName val="MANO DE OBRA"/>
      <sheetName val="ANALISIS_STO_DGO4"/>
      <sheetName val="PRES__BOCA_NUEVA4"/>
      <sheetName val="CONTRARO_SEÑALIZACIONES4"/>
      <sheetName val="EDIFICIO_COUNTERS2"/>
      <sheetName val="Presup_2"/>
      <sheetName val="LISTADO_INSUMOS_DEL_20002"/>
      <sheetName val="Análisis_de_Precios1"/>
      <sheetName val="Resumen_Precio_Equipos1"/>
      <sheetName val="O_M__y_Salarios1"/>
      <sheetName val="PRESUP__HOSPIT__VERON"/>
      <sheetName val="Planilla_&lt;ENM#5&gt;"/>
      <sheetName val="Resumen_Reducciones"/>
      <sheetName val="Planilla___"/>
      <sheetName val="Estudios_y_Diseños"/>
      <sheetName val="&lt;T-0&gt;Sop_Estudios_y_Diseños"/>
      <sheetName val="Otros_Indirectos"/>
      <sheetName val="(1)-Trab_Gen"/>
      <sheetName val="1_01"/>
      <sheetName val="1_02"/>
      <sheetName val="1_03"/>
      <sheetName val="1_04"/>
      <sheetName val="1_05"/>
      <sheetName val="(2)-Mov_Tierra"/>
      <sheetName val="2_01"/>
      <sheetName val="2_02"/>
      <sheetName val="2_03"/>
      <sheetName val="&lt;T-1&gt;Sop_Alambradas"/>
      <sheetName val="100_01"/>
      <sheetName val="2_06"/>
      <sheetName val="2_07"/>
      <sheetName val="2_09"/>
      <sheetName val="&lt;T-3&gt;Sop_Exc_Inservible_&amp;_NClas"/>
      <sheetName val="2_10"/>
      <sheetName val="2_11"/>
      <sheetName val="2_12@2_14-116_03"/>
      <sheetName val="Rutas_Acarreo"/>
      <sheetName val="2_15"/>
      <sheetName val="2_16"/>
      <sheetName val="2_17"/>
      <sheetName val="2_18"/>
      <sheetName val="&lt;T-4&gt;Sop_Relleno-(Previo)"/>
      <sheetName val="&lt;T-4&gt;Sop_Relleno-(Acumulado)"/>
      <sheetName val="ajustes_de_reporte_relleno"/>
      <sheetName val="&lt;T-4&gt;Sop_Relleno-(Periodo)"/>
      <sheetName val="&lt;T-5&gt;Sop_Pedraplén"/>
      <sheetName val="2_19"/>
      <sheetName val="2_22"/>
      <sheetName val="PN-2_04"/>
      <sheetName val="&lt;T-7&gt;Sop_Perfilado&amp;Grama"/>
      <sheetName val="2_24"/>
      <sheetName val="2_36"/>
      <sheetName val="Mejoramiento_Fundación"/>
      <sheetName val="116_01"/>
      <sheetName val="116_02"/>
      <sheetName val="&lt;T-14&gt;Estabilización_Cal"/>
      <sheetName val="&lt;T-15&gt;Estabilización_Cemento"/>
      <sheetName val="PN-2_06"/>
      <sheetName val="128_01"/>
      <sheetName val="&lt;Presup&gt;Tubería_Yuca"/>
      <sheetName val="139_01"/>
      <sheetName val="&lt;Presup&gt;Tub_Haras_Nacionales"/>
      <sheetName val="184_01"/>
      <sheetName val="&lt;Presup&gt;Tubería_Mata_Gorda"/>
      <sheetName val="184_02"/>
      <sheetName val="&lt;Presup&gt;Tubería_El_Aguacate"/>
      <sheetName val="184_03"/>
      <sheetName val="&lt;Presup&gt;Tubería_La_Victoria"/>
      <sheetName val="139_02"/>
      <sheetName val="&lt;Presup&gt;Tubería_Juan_Tomás"/>
      <sheetName val="161_01"/>
      <sheetName val="&lt;Presup&gt;Tubería_Mal_Nombre"/>
      <sheetName val="PN-2_01"/>
      <sheetName val="&lt;Presup&gt;Tubería_Varios_Trabajos"/>
      <sheetName val="3_1_02"/>
      <sheetName val="3_1_03"/>
      <sheetName val="150_01"/>
      <sheetName val="150_02"/>
      <sheetName val="162_01"/>
      <sheetName val="Drenaje_Subterraneo"/>
      <sheetName val="3_3_01"/>
      <sheetName val="3_3_02"/>
      <sheetName val="Alc_Cajón"/>
      <sheetName val="100_02"/>
      <sheetName val="3_4_1_01"/>
      <sheetName val="3_4_1_02"/>
      <sheetName val="3_4_1_03"/>
      <sheetName val="3_4_1_04"/>
      <sheetName val="3_4_1_05"/>
      <sheetName val="3_4_1_06"/>
      <sheetName val="3_4_1_07"/>
      <sheetName val="3_4_1_08"/>
      <sheetName val="3_4_1_09"/>
      <sheetName val="3_4_1_10"/>
      <sheetName val="3_4_1_11"/>
      <sheetName val="3_4_1_12"/>
      <sheetName val="101_01"/>
      <sheetName val="3_4_1_16"/>
      <sheetName val="3_4_1_17"/>
      <sheetName val="Alc_Tubular"/>
      <sheetName val="3_4_2_01"/>
      <sheetName val="3_4_2_03"/>
      <sheetName val="3_4_2_04"/>
      <sheetName val="3_4_2_06"/>
      <sheetName val="3_4_2_07"/>
      <sheetName val="3_4_2_08"/>
      <sheetName val="3_4_2_09"/>
      <sheetName val="3_4_2_10"/>
      <sheetName val="3_4_2_11"/>
      <sheetName val="3_4_2_12"/>
      <sheetName val="&lt;T-6&gt;Sop_Exc_Rell_Estr_Alcant_"/>
      <sheetName val="119_01"/>
      <sheetName val="119_02"/>
      <sheetName val="119_03"/>
      <sheetName val="119_04"/>
      <sheetName val="119_05"/>
      <sheetName val="119_06"/>
      <sheetName val="119_07"/>
      <sheetName val="119_08"/>
      <sheetName val="119_09"/>
      <sheetName val="129_01"/>
      <sheetName val="&lt;T-8&gt;Sop_Acero_Alcantarillas"/>
      <sheetName val="(Puente)-Mal_Nombre"/>
      <sheetName val="4_1_1_01"/>
      <sheetName val="4_1_1_04"/>
      <sheetName val="4_1_1_06"/>
      <sheetName val="4_1_1_08"/>
      <sheetName val="104_01"/>
      <sheetName val="104_02"/>
      <sheetName val="4_1_1_9"/>
      <sheetName val="4_1_1_10"/>
      <sheetName val="4_1_1_11"/>
      <sheetName val="4_1_1_12"/>
      <sheetName val="4_1_1_14"/>
      <sheetName val="4_1_1_15"/>
      <sheetName val="4_1_1_16"/>
      <sheetName val="4_1_1_18"/>
      <sheetName val="4_1_1_21"/>
      <sheetName val="130_01"/>
      <sheetName val="4_1_1_22"/>
      <sheetName val="4_1_1_25"/>
      <sheetName val="4_1_1_26"/>
      <sheetName val="120_01"/>
      <sheetName val="104_03"/>
      <sheetName val="4_1_4_04"/>
      <sheetName val="102_01"/>
      <sheetName val="102_02"/>
      <sheetName val="102_03"/>
      <sheetName val="102_04"/>
      <sheetName val="102_05"/>
      <sheetName val="4_1_4_06"/>
      <sheetName val="4_1_4_08"/>
      <sheetName val="4_1_4_09"/>
      <sheetName val="4_1_4_11"/>
      <sheetName val="4_1_4_18"/>
      <sheetName val="4_1_4_25"/>
      <sheetName val="106_02"/>
      <sheetName val="113_01"/>
      <sheetName val="113_02"/>
      <sheetName val="113_03"/>
      <sheetName val="106_01"/>
      <sheetName val="121_01"/>
      <sheetName val="121_02"/>
      <sheetName val="131_01"/>
      <sheetName val="131_02"/>
      <sheetName val="140_01"/>
      <sheetName val="140_02"/>
      <sheetName val="145_01"/>
      <sheetName val="145_02"/>
      <sheetName val="145_03"/>
      <sheetName val="145_04"/>
      <sheetName val="145_05"/>
      <sheetName val="163_01"/>
      <sheetName val="(Puente)-Haras_Nacionales"/>
      <sheetName val="PN-4_2_2_02"/>
      <sheetName val="151_01"/>
      <sheetName val="4_2_2_02"/>
      <sheetName val="4_2_2_03"/>
      <sheetName val="4_2_2_04"/>
      <sheetName val="4_2_2_10"/>
      <sheetName val="151_02"/>
      <sheetName val="4_2_2_11"/>
      <sheetName val="4_2_2_12"/>
      <sheetName val="4_2_2_13"/>
      <sheetName val="103_01"/>
      <sheetName val="103_02"/>
      <sheetName val="103_03"/>
      <sheetName val="103_04"/>
      <sheetName val="105_01"/>
      <sheetName val="105_02"/>
      <sheetName val="105_03"/>
      <sheetName val="4_2_2_15_"/>
      <sheetName val="4_2_2_16"/>
      <sheetName val="4_2_2_17"/>
      <sheetName val="108_01"/>
      <sheetName val="108_02"/>
      <sheetName val="108_03"/>
      <sheetName val="111_01"/>
      <sheetName val="111_02"/>
      <sheetName val="111_03"/>
      <sheetName val="111_04"/>
      <sheetName val="114_01"/>
      <sheetName val="122_01"/>
      <sheetName val="141_01"/>
      <sheetName val="141_02"/>
      <sheetName val="141_03"/>
      <sheetName val="132_01"/>
      <sheetName val="132_02"/>
      <sheetName val="zapata_bordillo-haras"/>
      <sheetName val="4_1_3_04"/>
      <sheetName val="4_1_3_06"/>
      <sheetName val="4_1_3_07"/>
      <sheetName val="4_1_3_08"/>
      <sheetName val="4_1_3_09"/>
      <sheetName val="112_01"/>
      <sheetName val="112_02"/>
      <sheetName val="112_03"/>
      <sheetName val="112_04"/>
      <sheetName val="112_05"/>
      <sheetName val="112_06"/>
      <sheetName val="112_07"/>
      <sheetName val="4_1_3_01"/>
      <sheetName val="4_1_3_18"/>
      <sheetName val="4_1_3_25"/>
      <sheetName val="123_01"/>
      <sheetName val="123_02"/>
      <sheetName val="123_03"/>
      <sheetName val="133_01"/>
      <sheetName val="142_01"/>
      <sheetName val="142_02"/>
      <sheetName val="146_01"/>
      <sheetName val="146_02"/>
      <sheetName val="146_03"/>
      <sheetName val="146_04"/>
      <sheetName val="152_01"/>
      <sheetName val="152_02"/>
      <sheetName val="164_01"/>
      <sheetName val="zapata_bordillo_losa_Yuca"/>
      <sheetName val="172_01"/>
      <sheetName val="172_02"/>
      <sheetName val="172_03"/>
      <sheetName val="PN-4_1_3_01"/>
      <sheetName val="PN-4_1_3_02"/>
      <sheetName val="PN-4_1_3_03"/>
      <sheetName val="PN-4_1_3_04"/>
      <sheetName val="4_1_2_06"/>
      <sheetName val="4_1_2_07"/>
      <sheetName val="4_1_2_11"/>
      <sheetName val="4_1_2_18"/>
      <sheetName val="4_1_2_20"/>
      <sheetName val="4_1_2_08"/>
      <sheetName val="4_1_2_25"/>
      <sheetName val="134_01"/>
      <sheetName val="134_02"/>
      <sheetName val="134_03"/>
      <sheetName val="143_01"/>
      <sheetName val="147_01"/>
      <sheetName val="153_01"/>
      <sheetName val="165_01"/>
      <sheetName val="165_02"/>
      <sheetName val="165_03"/>
      <sheetName val="173_01"/>
      <sheetName val="173_02"/>
      <sheetName val="PN-4_1_2_01"/>
      <sheetName val="PN-4_1_2_03"/>
      <sheetName val="PN-4_1_2_04"/>
      <sheetName val="PN-4_1_2_05"/>
      <sheetName val="153_02"/>
      <sheetName val="153_03"/>
      <sheetName val="4_1_5_04"/>
      <sheetName val="4_1_5_06"/>
      <sheetName val="4_1_5_07"/>
      <sheetName val="4_1_5_08"/>
      <sheetName val="4_1_5_09"/>
      <sheetName val="4_1_5_11"/>
      <sheetName val="154_01"/>
      <sheetName val="154_02"/>
      <sheetName val="135_01"/>
      <sheetName val="135_02"/>
      <sheetName val="135_03"/>
      <sheetName val="135_04"/>
      <sheetName val="135_05"/>
      <sheetName val="166_01"/>
      <sheetName val="174_01"/>
      <sheetName val="174_02"/>
      <sheetName val="174_03"/>
      <sheetName val="PN-4_1_5_03"/>
      <sheetName val="PN-4_1_5_05"/>
      <sheetName val="PN-4_1_5_06"/>
      <sheetName val="PN-4_1_5_07"/>
      <sheetName val="PN-4_1_5_08"/>
      <sheetName val="PN-4_1_5_09"/>
      <sheetName val="PN-4_1_5_11"/>
      <sheetName val="PN-4_1_5_12"/>
      <sheetName val="174_04"/>
      <sheetName val="174_05"/>
      <sheetName val="174_06"/>
      <sheetName val="174_07"/>
      <sheetName val="PN-4_1_5_13"/>
      <sheetName val="4_1_6_02"/>
      <sheetName val="4_1_6_05"/>
      <sheetName val="4_1_6_07"/>
      <sheetName val="4_1_6_09"/>
      <sheetName val="4_1_6_10"/>
      <sheetName val="&lt;P_U_&gt;Estructura_Puente"/>
      <sheetName val="4_1_6_13"/>
      <sheetName val="4_1_6_17"/>
      <sheetName val="175_01"/>
      <sheetName val="175_02"/>
      <sheetName val="175_03"/>
      <sheetName val="175_04"/>
      <sheetName val="PN-4_1_6_03"/>
      <sheetName val="175_05"/>
      <sheetName val="144_01"/>
      <sheetName val="144_02"/>
      <sheetName val="144_03"/>
      <sheetName val="155_01"/>
      <sheetName val="155_02"/>
      <sheetName val="155_03"/>
      <sheetName val="PN-4_1_6_06"/>
      <sheetName val="PN-4_1_6_09@PN-4_1_6_11"/>
      <sheetName val="PN-4_1_6_14"/>
      <sheetName val="(Puente)-Juan_Tomas"/>
      <sheetName val="156_01"/>
      <sheetName val="156_02"/>
      <sheetName val="167_01"/>
      <sheetName val="176_01"/>
      <sheetName val="176_02"/>
      <sheetName val="176_03"/>
      <sheetName val="176_04"/>
      <sheetName val="176_05"/>
      <sheetName val="176_06"/>
      <sheetName val="176_07"/>
      <sheetName val="176_08"/>
      <sheetName val="176_09"/>
      <sheetName val="176_10"/>
      <sheetName val="176_11"/>
      <sheetName val="176_12"/>
      <sheetName val="PN-4_1_7_04"/>
      <sheetName val="PN-4_1_7_05"/>
      <sheetName val="PN-4_1_7_06"/>
      <sheetName val="PN-4_1_7_09"/>
      <sheetName val="PN-4_1_7_10"/>
      <sheetName val="PN-4_1_7_11"/>
      <sheetName val="PN-4_1_7_12"/>
      <sheetName val="PN-4_1_7_14"/>
      <sheetName val="PN-4_1_7_20"/>
      <sheetName val="PN-4_1_7_29"/>
      <sheetName val="4_2_1_05"/>
      <sheetName val="4_2_1_17"/>
      <sheetName val="4_2_1_10_"/>
      <sheetName val="4_2_1_11"/>
      <sheetName val="4_2_1_13"/>
      <sheetName val="115_01"/>
      <sheetName val="115_02"/>
      <sheetName val="115_03"/>
      <sheetName val="115_04"/>
      <sheetName val="115_05"/>
      <sheetName val="115_06"/>
      <sheetName val="115_07"/>
      <sheetName val="115_08"/>
      <sheetName val="124_01"/>
      <sheetName val="124_02"/>
      <sheetName val="124_03"/>
      <sheetName val="124_04"/>
      <sheetName val="124_05"/>
      <sheetName val="148_01"/>
      <sheetName val="148_02"/>
      <sheetName val="157_01"/>
      <sheetName val="157_02"/>
      <sheetName val="PN-4_2_1_03"/>
      <sheetName val="PN-4_2_1_05"/>
      <sheetName val="PN-4_2_1_08"/>
      <sheetName val="4_2_1_16"/>
      <sheetName val="4_2_1_21"/>
      <sheetName val="4_2_1_29"/>
      <sheetName val="4_2_1_30"/>
      <sheetName val="registros_punta"/>
      <sheetName val="(Distribuidor)-La_Victoria"/>
      <sheetName val="4_2_4_10"/>
      <sheetName val="4_2_4_04"/>
      <sheetName val="4_2_4_11"/>
      <sheetName val="4_2_4_15"/>
      <sheetName val="4_2_4_16"/>
      <sheetName val="4_2_4_13"/>
      <sheetName val="125_01"/>
      <sheetName val="125_02"/>
      <sheetName val="177_01"/>
      <sheetName val="177_02"/>
      <sheetName val="177_03"/>
      <sheetName val="177_04"/>
      <sheetName val="177_05"/>
      <sheetName val="177_06"/>
      <sheetName val="177_07"/>
      <sheetName val="158_01"/>
      <sheetName val="158_02"/>
      <sheetName val="158_03"/>
      <sheetName val="158_04"/>
      <sheetName val="158_05"/>
      <sheetName val="(Distribuidor)-Carre_Samaná"/>
      <sheetName val="4_2_5_01"/>
      <sheetName val="4_2_5_03"/>
      <sheetName val="4_2_5_11"/>
      <sheetName val="4_2_5_12"/>
      <sheetName val="4_2_5_13"/>
      <sheetName val="4_2_5_14"/>
      <sheetName val="178_01"/>
      <sheetName val="178_02"/>
      <sheetName val="178_03"/>
      <sheetName val="178_04"/>
      <sheetName val="178_05"/>
      <sheetName val="PN-4_2_5_04"/>
      <sheetName val="PN-4_2_5_08"/>
      <sheetName val="PN-4_2_5_12"/>
      <sheetName val="PN-4_2_5_15"/>
      <sheetName val="(Paso_Inferior)-La_Victoria"/>
      <sheetName val="4_3_2_10"/>
      <sheetName val="4_3_2_11"/>
      <sheetName val="4_3_2_12"/>
      <sheetName val="4_3_2_14"/>
      <sheetName val="4_3_2_15"/>
      <sheetName val="4_3_2_18"/>
      <sheetName val="4_3_2_21"/>
      <sheetName val="4_3_2_22"/>
      <sheetName val="(Paso_Inferior)-Mata_Mamón"/>
      <sheetName val="4_3_3_10"/>
      <sheetName val="4_3_3_11"/>
      <sheetName val="4_3_3_12"/>
      <sheetName val="4_3_3_14"/>
      <sheetName val="4_3_3_18"/>
      <sheetName val="4_3_3_21"/>
      <sheetName val="4_3_3_22"/>
      <sheetName val="(Paso_Inferior)-Yabacao"/>
      <sheetName val="136_01"/>
      <sheetName val="136_02"/>
      <sheetName val="136_03"/>
      <sheetName val="136_04"/>
      <sheetName val="149_01"/>
      <sheetName val="136_05"/>
      <sheetName val="(Puente)-Provisional_Ozama_"/>
      <sheetName val="117_01"/>
      <sheetName val="117_02"/>
      <sheetName val="117_03"/>
      <sheetName val="117_04"/>
      <sheetName val="(Paso_Inferior)_El_Aguacate"/>
      <sheetName val="(Paso_Inferior)-Los_Rojas"/>
      <sheetName val="159_01"/>
      <sheetName val="159_02"/>
      <sheetName val="159_03"/>
      <sheetName val="159_04"/>
      <sheetName val="168_01"/>
      <sheetName val="168_02"/>
      <sheetName val="168_03"/>
      <sheetName val="179_01"/>
      <sheetName val="PN-4_3_6_06"/>
      <sheetName val="(Paso_Inferior)-El_Aguacate"/>
      <sheetName val="169_01"/>
      <sheetName val="169_02"/>
      <sheetName val="Aguacate-_01"/>
      <sheetName val="169_03"/>
      <sheetName val="169_04"/>
      <sheetName val="180_01"/>
      <sheetName val="170_01"/>
      <sheetName val="170_02"/>
      <sheetName val="PN-4_3_5_03"/>
      <sheetName val="PN-4_3_5_04"/>
      <sheetName val="PN-4_3_5_05"/>
      <sheetName val="(Paso_Inferior)-Mal_Nombre"/>
      <sheetName val="170_03"/>
      <sheetName val="170_04"/>
      <sheetName val="181_01"/>
      <sheetName val="181_02"/>
      <sheetName val="117_05"/>
      <sheetName val="117_06"/>
      <sheetName val="126_01"/>
      <sheetName val="126_02"/>
      <sheetName val="137_01"/>
      <sheetName val="&lt;T-12&gt;Sop_Pedrap_Puente_Prov_"/>
      <sheetName val="PN-4_3_1_03"/>
      <sheetName val="PN-4_3_1_05"/>
      <sheetName val="PN-4_3_1_07"/>
      <sheetName val="&lt;T-9&gt;Sop_Pilotes"/>
      <sheetName val="&lt;T-10&gt;Sop_Acero_Puentes"/>
      <sheetName val="Misceláneos-Estr_"/>
      <sheetName val="182_01"/>
      <sheetName val="&lt;P_U_&gt;Acero_Refuerzo"/>
      <sheetName val="&lt;P_U_&gt;Pretensado_Cable_Acero"/>
      <sheetName val="Wick_Drains-Geopier"/>
      <sheetName val="109_01"/>
      <sheetName val="118_01"/>
      <sheetName val="118_02"/>
      <sheetName val="127_01"/>
      <sheetName val="171_01@171_03"/>
      <sheetName val="127_02"/>
      <sheetName val="127_03"/>
      <sheetName val="138_01"/>
      <sheetName val="&lt;T-13&gt;Drenes_Verticales"/>
      <sheetName val="&lt;T-16&gt;Pre-Perforación_Drenes"/>
      <sheetName val="&lt;T-17&gt;Columna_de_Grava"/>
      <sheetName val="&lt;T-18&gt;Columna_Grava_Terravanza"/>
      <sheetName val="4_4_02"/>
      <sheetName val="PN-4_4_01"/>
      <sheetName val="PN-4_4_02"/>
      <sheetName val="(5)-Estructura_de_Pavimento"/>
      <sheetName val="5_01"/>
      <sheetName val="5_02"/>
      <sheetName val="5_03@5_06"/>
      <sheetName val="5_07@5_10"/>
      <sheetName val="5_11"/>
      <sheetName val="5_12"/>
      <sheetName val="5_13"/>
      <sheetName val="5_14"/>
      <sheetName val="5_15"/>
      <sheetName val="&lt;T-2&gt;Acopio_Base_Planta_Indio"/>
      <sheetName val="&lt;P_U_&gt;Base_Estabilizada"/>
      <sheetName val="5_16@5_19"/>
      <sheetName val="160_01"/>
      <sheetName val="160_02"/>
      <sheetName val="183_01"/>
      <sheetName val="183_02"/>
      <sheetName val="PN-5_01"/>
      <sheetName val="PN-5_03"/>
      <sheetName val="PN-5_04"/>
      <sheetName val="PN-5_05"/>
      <sheetName val="&lt;T-19&gt;Sop_SubBase"/>
      <sheetName val="&lt;T-20&gt;Sop_Base"/>
      <sheetName val="&lt;T-21&gt;Sop_Asfalto"/>
      <sheetName val="6_2_01"/>
      <sheetName val="6_3_01"/>
      <sheetName val="6_3_02"/>
      <sheetName val="6_3_03"/>
      <sheetName val="6_3_04"/>
      <sheetName val="6_3_05"/>
      <sheetName val="6_3_19"/>
      <sheetName val="6_3_20"/>
      <sheetName val="6_3_21"/>
      <sheetName val="6_1_01_Contenes"/>
      <sheetName val="6_1_02_Bordillos"/>
      <sheetName val="6_1_03_Aceras_Hormigon_"/>
      <sheetName val="6_1_04Relleno_Acera"/>
      <sheetName val="Iluminacion_Vial"/>
      <sheetName val="(7)-Electrificación_e_ilum_"/>
      <sheetName val="7_01"/>
      <sheetName val="7_02"/>
      <sheetName val="107_01"/>
      <sheetName val="185_01"/>
      <sheetName val="&lt;T-11&gt;Sop_Militares"/>
      <sheetName val="(Reembolsables)-Interf_Electric"/>
      <sheetName val="186_01"/>
      <sheetName val="Pres__Interferencia_Electrica"/>
      <sheetName val="(110)-Puente_Provisional"/>
      <sheetName val="110_01"/>
      <sheetName val="x1-relleno_prueba"/>
      <sheetName val="&lt;x1&gt;Relleno_Prueba_Avenida"/>
      <sheetName val="&lt;Estatus_Proyecto&gt;"/>
      <sheetName val="EXC__QMC"/>
      <sheetName val="TRACT_MINA"/>
      <sheetName val="%_Ralenti_CF-C12_"/>
      <sheetName val="%_Ralenti_EXC_"/>
      <sheetName val="%_Ralenti_EXC__(2)"/>
      <sheetName val="REND_"/>
      <sheetName val="T__HORA"/>
      <sheetName val="Base_de_Dato"/>
      <sheetName val="Analisis_de_precios_SURFACE"/>
      <sheetName val="EyH"/>
      <sheetName val="MO"/>
      <sheetName val="BOQ desglose "/>
      <sheetName val="Análisis"/>
      <sheetName val="Ana"/>
      <sheetName val="insumo"/>
      <sheetName val="Mezcla"/>
      <sheetName val="exteriores"/>
      <sheetName val="Salarios"/>
      <sheetName val="MANT.TRANSITO"/>
      <sheetName val="Analisis de Costos"/>
      <sheetName val="Pu-Sanit."/>
      <sheetName val="Mat"/>
      <sheetName val="Trabajos Generales"/>
      <sheetName val="Incremento Precios"/>
      <sheetName val="PARTIDAS NUEVAS"/>
      <sheetName val="analisis"/>
      <sheetName val="Cubicación"/>
      <sheetName val="INS"/>
      <sheetName val="PRE"/>
      <sheetName val="Rendimientos OM"/>
      <sheetName val="Capilla"/>
      <sheetName val="PU-B-GS"/>
      <sheetName val="GONZALO"/>
      <sheetName val="Col.Amarre"/>
      <sheetName val="Escalera"/>
      <sheetName val="Muros"/>
      <sheetName val="analisis unitarios"/>
      <sheetName val="Cubicacion"/>
      <sheetName val="CUB-10181-3(Rescision)"/>
      <sheetName val="Sheet5"/>
      <sheetName val="caseta de planta"/>
      <sheetName val="Insumos materiales"/>
      <sheetName val="Costos Mano de Obra"/>
      <sheetName val="Ana. Horm mexc mort"/>
      <sheetName val="anal term"/>
      <sheetName val="Anal. horm."/>
      <sheetName val="PU-Elect."/>
      <sheetName val="UASD"/>
      <sheetName val="Jornal"/>
      <sheetName val="Pres. "/>
      <sheetName val="Sheet4"/>
      <sheetName val="V.Tierras A"/>
      <sheetName val="ANALISIS ENTREGABLE"/>
      <sheetName val="analisis1"/>
      <sheetName val="Ins 2"/>
      <sheetName val="ANALISIS_STO_DGO5"/>
      <sheetName val="PRES__BOCA_NUEVA5"/>
      <sheetName val="CONTRARO_SEÑALIZACIONES5"/>
      <sheetName val="EDIFICIO_COUNTERS3"/>
      <sheetName val="LISTADO_INSUMOS_DEL_20003"/>
      <sheetName val="Presup_3"/>
      <sheetName val="PRESUP__HOSPIT__VERON1"/>
      <sheetName val="Análisis_de_Precios2"/>
      <sheetName val="Resumen_Precio_Equipos2"/>
      <sheetName val="O_M__y_Salarios2"/>
      <sheetName val="Planilla_&lt;ENM#5&gt;1"/>
      <sheetName val="Resumen_Reducciones1"/>
      <sheetName val="Planilla___1"/>
      <sheetName val="Estudios_y_Diseños1"/>
      <sheetName val="&lt;T-0&gt;Sop_Estudios_y_Diseños1"/>
      <sheetName val="Otros_Indirectos1"/>
      <sheetName val="(1)-Trab_Gen1"/>
      <sheetName val="1_011"/>
      <sheetName val="1_021"/>
      <sheetName val="1_031"/>
      <sheetName val="1_041"/>
      <sheetName val="1_051"/>
      <sheetName val="(2)-Mov_Tierra1"/>
      <sheetName val="2_011"/>
      <sheetName val="2_021"/>
      <sheetName val="2_031"/>
      <sheetName val="&lt;T-1&gt;Sop_Alambradas1"/>
      <sheetName val="100_011"/>
      <sheetName val="2_061"/>
      <sheetName val="2_071"/>
      <sheetName val="2_091"/>
      <sheetName val="&lt;T-3&gt;Sop_Exc_Inservible_&amp;_NCla1"/>
      <sheetName val="2_101"/>
      <sheetName val="2_111"/>
      <sheetName val="2_12@2_14-116_031"/>
      <sheetName val="Rutas_Acarreo1"/>
      <sheetName val="2_151"/>
      <sheetName val="2_161"/>
      <sheetName val="2_171"/>
      <sheetName val="2_181"/>
      <sheetName val="&lt;T-4&gt;Sop_Relleno-(Previo)1"/>
      <sheetName val="&lt;T-4&gt;Sop_Relleno-(Acumulado)1"/>
      <sheetName val="ajustes_de_reporte_relleno1"/>
      <sheetName val="&lt;T-4&gt;Sop_Relleno-(Periodo)1"/>
      <sheetName val="&lt;T-5&gt;Sop_Pedraplén1"/>
      <sheetName val="2_191"/>
      <sheetName val="2_221"/>
      <sheetName val="PN-2_041"/>
      <sheetName val="&lt;T-7&gt;Sop_Perfilado&amp;Grama1"/>
      <sheetName val="2_241"/>
      <sheetName val="2_361"/>
      <sheetName val="Mejoramiento_Fundación1"/>
      <sheetName val="116_011"/>
      <sheetName val="116_021"/>
      <sheetName val="&lt;T-14&gt;Estabilización_Cal1"/>
      <sheetName val="&lt;T-15&gt;Estabilización_Cemento1"/>
      <sheetName val="PN-2_061"/>
      <sheetName val="128_011"/>
      <sheetName val="&lt;Presup&gt;Tubería_Yuca1"/>
      <sheetName val="139_011"/>
      <sheetName val="&lt;Presup&gt;Tub_Haras_Nacionales1"/>
      <sheetName val="184_011"/>
      <sheetName val="&lt;Presup&gt;Tubería_Mata_Gorda1"/>
      <sheetName val="184_021"/>
      <sheetName val="&lt;Presup&gt;Tubería_El_Aguacate1"/>
      <sheetName val="184_031"/>
      <sheetName val="&lt;Presup&gt;Tubería_La_Victoria1"/>
      <sheetName val="139_021"/>
      <sheetName val="&lt;Presup&gt;Tubería_Juan_Tomás1"/>
      <sheetName val="161_011"/>
      <sheetName val="&lt;Presup&gt;Tubería_Mal_Nombre1"/>
      <sheetName val="PN-2_011"/>
      <sheetName val="&lt;Presup&gt;Tubería_Varios_Trabajo1"/>
      <sheetName val="3_1_021"/>
      <sheetName val="3_1_031"/>
      <sheetName val="150_011"/>
      <sheetName val="150_021"/>
      <sheetName val="162_011"/>
      <sheetName val="Drenaje_Subterraneo1"/>
      <sheetName val="3_3_011"/>
      <sheetName val="3_3_021"/>
      <sheetName val="Alc_Cajón1"/>
      <sheetName val="100_021"/>
      <sheetName val="3_4_1_011"/>
      <sheetName val="3_4_1_021"/>
      <sheetName val="3_4_1_031"/>
      <sheetName val="3_4_1_041"/>
      <sheetName val="3_4_1_051"/>
      <sheetName val="3_4_1_061"/>
      <sheetName val="3_4_1_071"/>
      <sheetName val="3_4_1_081"/>
      <sheetName val="3_4_1_091"/>
      <sheetName val="3_4_1_101"/>
      <sheetName val="3_4_1_111"/>
      <sheetName val="3_4_1_121"/>
      <sheetName val="101_011"/>
      <sheetName val="3_4_1_161"/>
      <sheetName val="3_4_1_171"/>
      <sheetName val="Alc_Tubular1"/>
      <sheetName val="3_4_2_011"/>
      <sheetName val="3_4_2_031"/>
      <sheetName val="3_4_2_041"/>
      <sheetName val="3_4_2_061"/>
      <sheetName val="3_4_2_071"/>
      <sheetName val="3_4_2_081"/>
      <sheetName val="3_4_2_091"/>
      <sheetName val="3_4_2_101"/>
      <sheetName val="3_4_2_111"/>
      <sheetName val="3_4_2_121"/>
      <sheetName val="&lt;T-6&gt;Sop_Exc_Rell_Estr_Alcant_1"/>
      <sheetName val="119_011"/>
      <sheetName val="119_021"/>
      <sheetName val="119_031"/>
      <sheetName val="119_041"/>
      <sheetName val="119_051"/>
      <sheetName val="119_061"/>
      <sheetName val="119_071"/>
      <sheetName val="119_081"/>
      <sheetName val="119_091"/>
      <sheetName val="129_011"/>
      <sheetName val="&lt;T-8&gt;Sop_Acero_Alcantarillas1"/>
      <sheetName val="(Puente)-Mal_Nombre1"/>
      <sheetName val="4_1_1_011"/>
      <sheetName val="4_1_1_041"/>
      <sheetName val="4_1_1_061"/>
      <sheetName val="4_1_1_081"/>
      <sheetName val="104_011"/>
      <sheetName val="104_021"/>
      <sheetName val="4_1_1_91"/>
      <sheetName val="4_1_1_101"/>
      <sheetName val="4_1_1_111"/>
      <sheetName val="4_1_1_121"/>
      <sheetName val="4_1_1_141"/>
      <sheetName val="4_1_1_151"/>
      <sheetName val="4_1_1_161"/>
      <sheetName val="4_1_1_181"/>
      <sheetName val="4_1_1_211"/>
      <sheetName val="130_011"/>
      <sheetName val="4_1_1_221"/>
      <sheetName val="4_1_1_251"/>
      <sheetName val="4_1_1_261"/>
      <sheetName val="120_011"/>
      <sheetName val="104_031"/>
      <sheetName val="4_1_4_041"/>
      <sheetName val="102_011"/>
      <sheetName val="102_021"/>
      <sheetName val="102_031"/>
      <sheetName val="102_041"/>
      <sheetName val="102_051"/>
      <sheetName val="4_1_4_061"/>
      <sheetName val="4_1_4_081"/>
      <sheetName val="4_1_4_091"/>
      <sheetName val="4_1_4_111"/>
      <sheetName val="4_1_4_181"/>
      <sheetName val="4_1_4_251"/>
      <sheetName val="106_021"/>
      <sheetName val="113_011"/>
      <sheetName val="113_021"/>
      <sheetName val="113_031"/>
      <sheetName val="106_011"/>
      <sheetName val="121_011"/>
      <sheetName val="121_021"/>
      <sheetName val="131_011"/>
      <sheetName val="131_021"/>
      <sheetName val="140_011"/>
      <sheetName val="140_021"/>
      <sheetName val="145_011"/>
      <sheetName val="145_021"/>
      <sheetName val="145_031"/>
      <sheetName val="145_041"/>
      <sheetName val="145_051"/>
      <sheetName val="163_011"/>
      <sheetName val="(Puente)-Haras_Nacionales1"/>
      <sheetName val="PN-4_2_2_021"/>
      <sheetName val="151_011"/>
      <sheetName val="4_2_2_021"/>
      <sheetName val="4_2_2_031"/>
      <sheetName val="4_2_2_041"/>
      <sheetName val="4_2_2_101"/>
      <sheetName val="151_021"/>
      <sheetName val="4_2_2_111"/>
      <sheetName val="4_2_2_121"/>
      <sheetName val="4_2_2_131"/>
      <sheetName val="103_011"/>
      <sheetName val="103_021"/>
      <sheetName val="103_031"/>
      <sheetName val="103_041"/>
      <sheetName val="105_011"/>
      <sheetName val="105_021"/>
      <sheetName val="105_031"/>
      <sheetName val="4_2_2_15_1"/>
      <sheetName val="4_2_2_161"/>
      <sheetName val="4_2_2_171"/>
      <sheetName val="108_011"/>
      <sheetName val="108_021"/>
      <sheetName val="108_031"/>
      <sheetName val="111_011"/>
      <sheetName val="111_021"/>
      <sheetName val="111_031"/>
      <sheetName val="111_041"/>
      <sheetName val="114_011"/>
      <sheetName val="122_011"/>
      <sheetName val="141_011"/>
      <sheetName val="141_021"/>
      <sheetName val="141_031"/>
      <sheetName val="132_011"/>
      <sheetName val="132_021"/>
      <sheetName val="zapata_bordillo-haras1"/>
      <sheetName val="4_1_3_041"/>
      <sheetName val="4_1_3_061"/>
      <sheetName val="4_1_3_071"/>
      <sheetName val="4_1_3_081"/>
      <sheetName val="4_1_3_091"/>
      <sheetName val="112_011"/>
      <sheetName val="112_021"/>
      <sheetName val="112_031"/>
      <sheetName val="112_041"/>
      <sheetName val="112_051"/>
      <sheetName val="112_061"/>
      <sheetName val="112_071"/>
      <sheetName val="4_1_3_011"/>
      <sheetName val="4_1_3_181"/>
      <sheetName val="4_1_3_251"/>
      <sheetName val="123_011"/>
      <sheetName val="123_021"/>
      <sheetName val="123_031"/>
      <sheetName val="133_011"/>
      <sheetName val="142_011"/>
      <sheetName val="142_021"/>
      <sheetName val="146_011"/>
      <sheetName val="146_021"/>
      <sheetName val="146_031"/>
      <sheetName val="146_041"/>
      <sheetName val="152_011"/>
      <sheetName val="152_021"/>
      <sheetName val="164_011"/>
      <sheetName val="zapata_bordillo_losa_Yuca1"/>
      <sheetName val="172_011"/>
      <sheetName val="172_021"/>
      <sheetName val="172_031"/>
      <sheetName val="PN-4_1_3_011"/>
      <sheetName val="PN-4_1_3_021"/>
      <sheetName val="PN-4_1_3_031"/>
      <sheetName val="PN-4_1_3_041"/>
      <sheetName val="4_1_2_061"/>
      <sheetName val="4_1_2_071"/>
      <sheetName val="4_1_2_111"/>
      <sheetName val="4_1_2_181"/>
      <sheetName val="4_1_2_201"/>
      <sheetName val="4_1_2_081"/>
      <sheetName val="4_1_2_251"/>
      <sheetName val="134_011"/>
      <sheetName val="134_021"/>
      <sheetName val="134_031"/>
      <sheetName val="143_011"/>
      <sheetName val="147_011"/>
      <sheetName val="153_011"/>
      <sheetName val="165_011"/>
      <sheetName val="165_021"/>
      <sheetName val="165_031"/>
      <sheetName val="173_011"/>
      <sheetName val="173_021"/>
      <sheetName val="PN-4_1_2_011"/>
      <sheetName val="PN-4_1_2_031"/>
      <sheetName val="PN-4_1_2_041"/>
      <sheetName val="PN-4_1_2_051"/>
      <sheetName val="153_021"/>
      <sheetName val="153_031"/>
      <sheetName val="4_1_5_041"/>
      <sheetName val="4_1_5_061"/>
      <sheetName val="4_1_5_071"/>
      <sheetName val="4_1_5_081"/>
      <sheetName val="4_1_5_091"/>
      <sheetName val="4_1_5_111"/>
      <sheetName val="154_011"/>
      <sheetName val="154_021"/>
      <sheetName val="135_011"/>
      <sheetName val="135_021"/>
      <sheetName val="135_031"/>
      <sheetName val="135_041"/>
      <sheetName val="135_051"/>
      <sheetName val="166_011"/>
      <sheetName val="174_011"/>
      <sheetName val="174_021"/>
      <sheetName val="174_031"/>
      <sheetName val="PN-4_1_5_031"/>
      <sheetName val="PN-4_1_5_051"/>
      <sheetName val="PN-4_1_5_061"/>
      <sheetName val="PN-4_1_5_071"/>
      <sheetName val="PN-4_1_5_081"/>
      <sheetName val="PN-4_1_5_091"/>
      <sheetName val="PN-4_1_5_111"/>
      <sheetName val="PN-4_1_5_121"/>
      <sheetName val="174_041"/>
      <sheetName val="174_051"/>
      <sheetName val="174_061"/>
      <sheetName val="174_071"/>
      <sheetName val="PN-4_1_5_131"/>
      <sheetName val="4_1_6_021"/>
      <sheetName val="4_1_6_051"/>
      <sheetName val="4_1_6_071"/>
      <sheetName val="4_1_6_091"/>
      <sheetName val="4_1_6_101"/>
      <sheetName val="&lt;P_U_&gt;Estructura_Puente1"/>
      <sheetName val="4_1_6_131"/>
      <sheetName val="4_1_6_171"/>
      <sheetName val="175_011"/>
      <sheetName val="175_021"/>
      <sheetName val="175_031"/>
      <sheetName val="175_041"/>
      <sheetName val="PN-4_1_6_031"/>
      <sheetName val="175_051"/>
      <sheetName val="144_011"/>
      <sheetName val="144_021"/>
      <sheetName val="144_031"/>
      <sheetName val="155_011"/>
      <sheetName val="155_021"/>
      <sheetName val="155_031"/>
      <sheetName val="PN-4_1_6_061"/>
      <sheetName val="PN-4_1_6_09@PN-4_1_6_111"/>
      <sheetName val="PN-4_1_6_141"/>
      <sheetName val="(Puente)-Juan_Tomas1"/>
      <sheetName val="156_011"/>
      <sheetName val="156_021"/>
      <sheetName val="167_011"/>
      <sheetName val="176_011"/>
      <sheetName val="176_021"/>
      <sheetName val="176_031"/>
      <sheetName val="176_041"/>
      <sheetName val="176_051"/>
      <sheetName val="176_061"/>
      <sheetName val="176_071"/>
      <sheetName val="176_081"/>
      <sheetName val="176_091"/>
      <sheetName val="176_101"/>
      <sheetName val="176_111"/>
      <sheetName val="176_121"/>
      <sheetName val="PN-4_1_7_041"/>
      <sheetName val="PN-4_1_7_051"/>
      <sheetName val="PN-4_1_7_061"/>
      <sheetName val="PN-4_1_7_091"/>
      <sheetName val="PN-4_1_7_101"/>
      <sheetName val="PN-4_1_7_111"/>
      <sheetName val="PN-4_1_7_121"/>
      <sheetName val="PN-4_1_7_141"/>
      <sheetName val="PN-4_1_7_201"/>
      <sheetName val="PN-4_1_7_291"/>
      <sheetName val="4_2_1_051"/>
      <sheetName val="4_2_1_171"/>
      <sheetName val="4_2_1_10_1"/>
      <sheetName val="4_2_1_111"/>
      <sheetName val="4_2_1_131"/>
      <sheetName val="115_011"/>
      <sheetName val="115_021"/>
      <sheetName val="115_031"/>
      <sheetName val="115_041"/>
      <sheetName val="115_051"/>
      <sheetName val="115_061"/>
      <sheetName val="115_071"/>
      <sheetName val="115_081"/>
      <sheetName val="124_011"/>
      <sheetName val="124_021"/>
      <sheetName val="124_031"/>
      <sheetName val="124_041"/>
      <sheetName val="124_051"/>
      <sheetName val="148_011"/>
      <sheetName val="148_021"/>
      <sheetName val="157_011"/>
      <sheetName val="157_021"/>
      <sheetName val="PN-4_2_1_031"/>
      <sheetName val="PN-4_2_1_051"/>
      <sheetName val="PN-4_2_1_081"/>
      <sheetName val="4_2_1_161"/>
      <sheetName val="4_2_1_211"/>
      <sheetName val="4_2_1_291"/>
      <sheetName val="4_2_1_301"/>
      <sheetName val="registros_punta1"/>
      <sheetName val="(Distribuidor)-La_Victoria1"/>
      <sheetName val="4_2_4_101"/>
      <sheetName val="4_2_4_041"/>
      <sheetName val="4_2_4_111"/>
      <sheetName val="4_2_4_151"/>
      <sheetName val="4_2_4_161"/>
      <sheetName val="4_2_4_131"/>
      <sheetName val="125_011"/>
      <sheetName val="125_021"/>
      <sheetName val="177_011"/>
      <sheetName val="177_021"/>
      <sheetName val="177_031"/>
      <sheetName val="177_041"/>
      <sheetName val="177_051"/>
      <sheetName val="177_061"/>
      <sheetName val="177_071"/>
      <sheetName val="158_011"/>
      <sheetName val="158_021"/>
      <sheetName val="158_031"/>
      <sheetName val="158_041"/>
      <sheetName val="158_051"/>
      <sheetName val="(Distribuidor)-Carre_Samaná1"/>
      <sheetName val="4_2_5_011"/>
      <sheetName val="4_2_5_031"/>
      <sheetName val="4_2_5_111"/>
      <sheetName val="4_2_5_121"/>
      <sheetName val="4_2_5_131"/>
      <sheetName val="4_2_5_141"/>
      <sheetName val="178_011"/>
      <sheetName val="178_021"/>
      <sheetName val="178_031"/>
      <sheetName val="178_041"/>
      <sheetName val="178_051"/>
      <sheetName val="PN-4_2_5_041"/>
      <sheetName val="PN-4_2_5_081"/>
      <sheetName val="PN-4_2_5_121"/>
      <sheetName val="PN-4_2_5_151"/>
      <sheetName val="(Paso_Inferior)-La_Victoria1"/>
      <sheetName val="4_3_2_101"/>
      <sheetName val="4_3_2_111"/>
      <sheetName val="4_3_2_121"/>
      <sheetName val="4_3_2_141"/>
      <sheetName val="4_3_2_151"/>
      <sheetName val="4_3_2_181"/>
      <sheetName val="4_3_2_211"/>
      <sheetName val="4_3_2_221"/>
      <sheetName val="(Paso_Inferior)-Mata_Mamón1"/>
      <sheetName val="4_3_3_101"/>
      <sheetName val="4_3_3_111"/>
      <sheetName val="4_3_3_121"/>
      <sheetName val="4_3_3_141"/>
      <sheetName val="4_3_3_181"/>
      <sheetName val="4_3_3_211"/>
      <sheetName val="4_3_3_221"/>
      <sheetName val="(Paso_Inferior)-Yabacao1"/>
      <sheetName val="136_011"/>
      <sheetName val="136_021"/>
      <sheetName val="136_031"/>
      <sheetName val="136_041"/>
      <sheetName val="149_011"/>
      <sheetName val="136_051"/>
      <sheetName val="(Puente)-Provisional_Ozama_1"/>
      <sheetName val="117_011"/>
      <sheetName val="117_021"/>
      <sheetName val="117_031"/>
      <sheetName val="117_041"/>
      <sheetName val="(Paso_Inferior)_El_Aguacate1"/>
      <sheetName val="(Paso_Inferior)-Los_Rojas1"/>
      <sheetName val="159_011"/>
      <sheetName val="159_021"/>
      <sheetName val="159_031"/>
      <sheetName val="159_041"/>
      <sheetName val="168_011"/>
      <sheetName val="168_021"/>
      <sheetName val="168_031"/>
      <sheetName val="179_011"/>
      <sheetName val="PN-4_3_6_061"/>
      <sheetName val="(Paso_Inferior)-El_Aguacate1"/>
      <sheetName val="169_011"/>
      <sheetName val="169_021"/>
      <sheetName val="Aguacate-_011"/>
      <sheetName val="169_031"/>
      <sheetName val="169_041"/>
      <sheetName val="180_011"/>
      <sheetName val="170_011"/>
      <sheetName val="170_021"/>
      <sheetName val="PN-4_3_5_031"/>
      <sheetName val="PN-4_3_5_041"/>
      <sheetName val="PN-4_3_5_051"/>
      <sheetName val="(Paso_Inferior)-Mal_Nombre1"/>
      <sheetName val="170_031"/>
      <sheetName val="170_041"/>
      <sheetName val="181_011"/>
      <sheetName val="181_021"/>
      <sheetName val="117_051"/>
      <sheetName val="117_061"/>
      <sheetName val="126_011"/>
      <sheetName val="126_021"/>
      <sheetName val="137_011"/>
      <sheetName val="&lt;T-12&gt;Sop_Pedrap_Puente_Prov_1"/>
      <sheetName val="PN-4_3_1_031"/>
      <sheetName val="PN-4_3_1_051"/>
      <sheetName val="PN-4_3_1_071"/>
      <sheetName val="&lt;T-9&gt;Sop_Pilotes1"/>
      <sheetName val="&lt;T-10&gt;Sop_Acero_Puentes1"/>
      <sheetName val="Misceláneos-Estr_1"/>
      <sheetName val="182_011"/>
      <sheetName val="&lt;P_U_&gt;Acero_Refuerzo1"/>
      <sheetName val="&lt;P_U_&gt;Pretensado_Cable_Acero1"/>
      <sheetName val="Wick_Drains-Geopier1"/>
      <sheetName val="109_011"/>
      <sheetName val="118_011"/>
      <sheetName val="118_021"/>
      <sheetName val="127_011"/>
      <sheetName val="171_01@171_031"/>
      <sheetName val="127_021"/>
      <sheetName val="127_031"/>
      <sheetName val="138_011"/>
      <sheetName val="&lt;T-13&gt;Drenes_Verticales1"/>
      <sheetName val="&lt;T-16&gt;Pre-Perforación_Drenes1"/>
      <sheetName val="&lt;T-17&gt;Columna_de_Grava1"/>
      <sheetName val="&lt;T-18&gt;Columna_Grava_Terravanza1"/>
      <sheetName val="4_4_021"/>
      <sheetName val="PN-4_4_011"/>
      <sheetName val="PN-4_4_021"/>
      <sheetName val="(5)-Estructura_de_Pavimento1"/>
      <sheetName val="5_011"/>
      <sheetName val="5_021"/>
      <sheetName val="5_03@5_061"/>
      <sheetName val="5_07@5_101"/>
      <sheetName val="5_111"/>
      <sheetName val="5_121"/>
      <sheetName val="5_131"/>
      <sheetName val="5_141"/>
      <sheetName val="5_151"/>
      <sheetName val="&lt;T-2&gt;Acopio_Base_Planta_Indio1"/>
      <sheetName val="&lt;P_U_&gt;Base_Estabilizada1"/>
      <sheetName val="5_16@5_191"/>
      <sheetName val="160_011"/>
      <sheetName val="160_021"/>
      <sheetName val="183_011"/>
      <sheetName val="183_021"/>
      <sheetName val="PN-5_011"/>
      <sheetName val="PN-5_031"/>
      <sheetName val="PN-5_041"/>
      <sheetName val="PN-5_051"/>
      <sheetName val="&lt;T-19&gt;Sop_SubBase1"/>
      <sheetName val="&lt;T-20&gt;Sop_Base1"/>
      <sheetName val="&lt;T-21&gt;Sop_Asfalto1"/>
      <sheetName val="6_2_011"/>
      <sheetName val="6_3_011"/>
      <sheetName val="6_3_021"/>
      <sheetName val="6_3_031"/>
      <sheetName val="6_3_041"/>
      <sheetName val="6_3_051"/>
      <sheetName val="6_3_191"/>
      <sheetName val="6_3_201"/>
      <sheetName val="6_3_211"/>
      <sheetName val="6_1_01_Contenes1"/>
      <sheetName val="6_1_02_Bordillos1"/>
      <sheetName val="6_1_03_Aceras_Hormigon_1"/>
      <sheetName val="6_1_04Relleno_Acera1"/>
      <sheetName val="Iluminacion_Vial1"/>
      <sheetName val="(7)-Electrificación_e_ilum_1"/>
      <sheetName val="7_011"/>
      <sheetName val="7_021"/>
      <sheetName val="107_011"/>
      <sheetName val="185_011"/>
      <sheetName val="&lt;T-11&gt;Sop_Militares1"/>
      <sheetName val="(Reembolsables)-Interf_Electri1"/>
      <sheetName val="186_011"/>
      <sheetName val="Pres__Interferencia_Electrica1"/>
      <sheetName val="(110)-Puente_Provisional1"/>
      <sheetName val="110_011"/>
      <sheetName val="x1-relleno_prueba1"/>
      <sheetName val="&lt;x1&gt;Relleno_Prueba_Avenida1"/>
      <sheetName val="&lt;Estatus_Proyecto&gt;1"/>
      <sheetName val="EXC__QMC1"/>
      <sheetName val="TRACT_MINA1"/>
      <sheetName val="%_Ralenti_CF-C12_1"/>
      <sheetName val="%_Ralenti_EXC_1"/>
      <sheetName val="%_Ralenti_EXC__(2)1"/>
      <sheetName val="REND_1"/>
      <sheetName val="T__HORA1"/>
      <sheetName val="Base_de_Dato1"/>
      <sheetName val="Los_Ángeles_(Fase_II)"/>
      <sheetName val="MANO_DE_OBRA"/>
      <sheetName val="Analisis_de_precios_SURFACE1"/>
      <sheetName val="BOQ_desglose_"/>
      <sheetName val="MANT_TRANSITO"/>
      <sheetName val="Analisis_de_Costos"/>
      <sheetName val="Pu-Sanit_"/>
      <sheetName val="Trabajos_Generales"/>
      <sheetName val="Rendimientos_OM"/>
      <sheetName val="ANALISIS_STO_DGO6"/>
      <sheetName val="PRES__BOCA_NUEVA6"/>
      <sheetName val="CONTRARO_SEÑALIZACIONES6"/>
      <sheetName val="EDIFICIO_COUNTERS4"/>
      <sheetName val="LISTADO_INSUMOS_DEL_20004"/>
      <sheetName val="Presup_4"/>
      <sheetName val="PRESUP__HOSPIT__VERON2"/>
      <sheetName val="Análisis_de_Precios3"/>
      <sheetName val="Resumen_Precio_Equipos3"/>
      <sheetName val="O_M__y_Salarios3"/>
      <sheetName val="Planilla_&lt;ENM#5&gt;2"/>
      <sheetName val="Resumen_Reducciones2"/>
      <sheetName val="Planilla___2"/>
      <sheetName val="Estudios_y_Diseños2"/>
      <sheetName val="&lt;T-0&gt;Sop_Estudios_y_Diseños2"/>
      <sheetName val="Otros_Indirectos2"/>
      <sheetName val="(1)-Trab_Gen2"/>
      <sheetName val="1_012"/>
      <sheetName val="1_022"/>
      <sheetName val="1_032"/>
      <sheetName val="1_042"/>
      <sheetName val="1_052"/>
      <sheetName val="(2)-Mov_Tierra2"/>
      <sheetName val="2_012"/>
      <sheetName val="2_022"/>
      <sheetName val="2_032"/>
      <sheetName val="&lt;T-1&gt;Sop_Alambradas2"/>
      <sheetName val="100_012"/>
      <sheetName val="2_062"/>
      <sheetName val="2_072"/>
      <sheetName val="2_092"/>
      <sheetName val="&lt;T-3&gt;Sop_Exc_Inservible_&amp;_NCla2"/>
      <sheetName val="2_102"/>
      <sheetName val="2_112"/>
      <sheetName val="2_12@2_14-116_032"/>
      <sheetName val="Rutas_Acarreo2"/>
      <sheetName val="2_152"/>
      <sheetName val="2_162"/>
      <sheetName val="2_172"/>
      <sheetName val="2_182"/>
      <sheetName val="&lt;T-4&gt;Sop_Relleno-(Previo)2"/>
      <sheetName val="&lt;T-4&gt;Sop_Relleno-(Acumulado)2"/>
      <sheetName val="ajustes_de_reporte_relleno2"/>
      <sheetName val="&lt;T-4&gt;Sop_Relleno-(Periodo)2"/>
      <sheetName val="&lt;T-5&gt;Sop_Pedraplén2"/>
      <sheetName val="2_192"/>
      <sheetName val="2_222"/>
      <sheetName val="PN-2_042"/>
      <sheetName val="&lt;T-7&gt;Sop_Perfilado&amp;Grama2"/>
      <sheetName val="2_242"/>
      <sheetName val="2_362"/>
      <sheetName val="Mejoramiento_Fundación2"/>
      <sheetName val="116_012"/>
      <sheetName val="116_022"/>
      <sheetName val="&lt;T-14&gt;Estabilización_Cal2"/>
      <sheetName val="&lt;T-15&gt;Estabilización_Cemento2"/>
      <sheetName val="PN-2_062"/>
      <sheetName val="128_012"/>
      <sheetName val="&lt;Presup&gt;Tubería_Yuca2"/>
      <sheetName val="139_012"/>
      <sheetName val="&lt;Presup&gt;Tub_Haras_Nacionales2"/>
      <sheetName val="184_012"/>
      <sheetName val="&lt;Presup&gt;Tubería_Mata_Gorda2"/>
      <sheetName val="184_022"/>
      <sheetName val="&lt;Presup&gt;Tubería_El_Aguacate2"/>
      <sheetName val="184_032"/>
      <sheetName val="&lt;Presup&gt;Tubería_La_Victoria2"/>
      <sheetName val="139_022"/>
      <sheetName val="&lt;Presup&gt;Tubería_Juan_Tomás2"/>
      <sheetName val="161_012"/>
      <sheetName val="&lt;Presup&gt;Tubería_Mal_Nombre2"/>
      <sheetName val="PN-2_012"/>
      <sheetName val="&lt;Presup&gt;Tubería_Varios_Trabajo2"/>
      <sheetName val="3_1_022"/>
      <sheetName val="3_1_032"/>
      <sheetName val="150_012"/>
      <sheetName val="150_022"/>
      <sheetName val="162_012"/>
      <sheetName val="Drenaje_Subterraneo2"/>
      <sheetName val="3_3_012"/>
      <sheetName val="3_3_022"/>
      <sheetName val="Alc_Cajón2"/>
      <sheetName val="100_022"/>
      <sheetName val="3_4_1_012"/>
      <sheetName val="3_4_1_022"/>
      <sheetName val="3_4_1_032"/>
      <sheetName val="3_4_1_042"/>
      <sheetName val="3_4_1_052"/>
      <sheetName val="3_4_1_062"/>
      <sheetName val="3_4_1_072"/>
      <sheetName val="3_4_1_082"/>
      <sheetName val="3_4_1_092"/>
      <sheetName val="3_4_1_102"/>
      <sheetName val="3_4_1_112"/>
      <sheetName val="3_4_1_122"/>
      <sheetName val="101_012"/>
      <sheetName val="3_4_1_162"/>
      <sheetName val="3_4_1_172"/>
      <sheetName val="Alc_Tubular2"/>
      <sheetName val="3_4_2_012"/>
      <sheetName val="3_4_2_032"/>
      <sheetName val="3_4_2_042"/>
      <sheetName val="3_4_2_062"/>
      <sheetName val="3_4_2_072"/>
      <sheetName val="3_4_2_082"/>
      <sheetName val="3_4_2_092"/>
      <sheetName val="3_4_2_102"/>
      <sheetName val="3_4_2_112"/>
      <sheetName val="3_4_2_122"/>
      <sheetName val="&lt;T-6&gt;Sop_Exc_Rell_Estr_Alcant_2"/>
      <sheetName val="119_012"/>
      <sheetName val="119_022"/>
      <sheetName val="119_032"/>
      <sheetName val="119_042"/>
      <sheetName val="119_052"/>
      <sheetName val="119_062"/>
      <sheetName val="119_072"/>
      <sheetName val="119_082"/>
      <sheetName val="119_092"/>
      <sheetName val="129_012"/>
      <sheetName val="&lt;T-8&gt;Sop_Acero_Alcantarillas2"/>
      <sheetName val="(Puente)-Mal_Nombre2"/>
      <sheetName val="4_1_1_012"/>
      <sheetName val="4_1_1_042"/>
      <sheetName val="4_1_1_062"/>
      <sheetName val="4_1_1_082"/>
      <sheetName val="104_012"/>
      <sheetName val="104_022"/>
      <sheetName val="4_1_1_92"/>
      <sheetName val="4_1_1_102"/>
      <sheetName val="4_1_1_112"/>
      <sheetName val="4_1_1_122"/>
      <sheetName val="4_1_1_142"/>
      <sheetName val="4_1_1_152"/>
      <sheetName val="4_1_1_162"/>
      <sheetName val="4_1_1_182"/>
      <sheetName val="4_1_1_212"/>
      <sheetName val="130_012"/>
      <sheetName val="4_1_1_222"/>
      <sheetName val="4_1_1_252"/>
      <sheetName val="4_1_1_262"/>
      <sheetName val="120_012"/>
      <sheetName val="104_032"/>
      <sheetName val="4_1_4_042"/>
      <sheetName val="102_012"/>
      <sheetName val="102_022"/>
      <sheetName val="102_032"/>
      <sheetName val="102_042"/>
      <sheetName val="102_052"/>
      <sheetName val="4_1_4_062"/>
      <sheetName val="4_1_4_082"/>
      <sheetName val="4_1_4_092"/>
      <sheetName val="4_1_4_112"/>
      <sheetName val="4_1_4_182"/>
      <sheetName val="4_1_4_252"/>
      <sheetName val="106_022"/>
      <sheetName val="113_012"/>
      <sheetName val="113_022"/>
      <sheetName val="113_032"/>
      <sheetName val="106_012"/>
      <sheetName val="121_012"/>
      <sheetName val="121_022"/>
      <sheetName val="131_012"/>
      <sheetName val="131_022"/>
      <sheetName val="140_012"/>
      <sheetName val="140_022"/>
      <sheetName val="145_012"/>
      <sheetName val="145_022"/>
      <sheetName val="145_032"/>
      <sheetName val="145_042"/>
      <sheetName val="145_052"/>
      <sheetName val="163_012"/>
      <sheetName val="(Puente)-Haras_Nacionales2"/>
      <sheetName val="PN-4_2_2_022"/>
      <sheetName val="151_012"/>
      <sheetName val="4_2_2_022"/>
      <sheetName val="4_2_2_032"/>
      <sheetName val="4_2_2_042"/>
      <sheetName val="4_2_2_102"/>
      <sheetName val="151_022"/>
      <sheetName val="4_2_2_112"/>
      <sheetName val="4_2_2_122"/>
      <sheetName val="4_2_2_132"/>
      <sheetName val="103_012"/>
      <sheetName val="103_022"/>
      <sheetName val="103_032"/>
      <sheetName val="103_042"/>
      <sheetName val="105_012"/>
      <sheetName val="105_022"/>
      <sheetName val="105_032"/>
      <sheetName val="4_2_2_15_2"/>
      <sheetName val="4_2_2_162"/>
      <sheetName val="4_2_2_172"/>
      <sheetName val="108_012"/>
      <sheetName val="108_022"/>
      <sheetName val="108_032"/>
      <sheetName val="111_012"/>
      <sheetName val="111_022"/>
      <sheetName val="111_032"/>
      <sheetName val="111_042"/>
      <sheetName val="114_012"/>
      <sheetName val="122_012"/>
      <sheetName val="141_012"/>
      <sheetName val="141_022"/>
      <sheetName val="141_032"/>
      <sheetName val="132_012"/>
      <sheetName val="132_022"/>
      <sheetName val="zapata_bordillo-haras2"/>
      <sheetName val="4_1_3_042"/>
      <sheetName val="4_1_3_062"/>
      <sheetName val="4_1_3_072"/>
      <sheetName val="4_1_3_082"/>
      <sheetName val="4_1_3_092"/>
      <sheetName val="112_012"/>
      <sheetName val="112_022"/>
      <sheetName val="112_032"/>
      <sheetName val="112_042"/>
      <sheetName val="112_052"/>
      <sheetName val="112_062"/>
      <sheetName val="112_072"/>
      <sheetName val="4_1_3_012"/>
      <sheetName val="4_1_3_182"/>
      <sheetName val="4_1_3_252"/>
      <sheetName val="123_012"/>
      <sheetName val="123_022"/>
      <sheetName val="123_032"/>
      <sheetName val="133_012"/>
      <sheetName val="142_012"/>
      <sheetName val="142_022"/>
      <sheetName val="146_012"/>
      <sheetName val="146_022"/>
      <sheetName val="146_032"/>
      <sheetName val="146_042"/>
      <sheetName val="152_012"/>
      <sheetName val="152_022"/>
      <sheetName val="164_012"/>
      <sheetName val="zapata_bordillo_losa_Yuca2"/>
      <sheetName val="172_012"/>
      <sheetName val="172_022"/>
      <sheetName val="172_032"/>
      <sheetName val="PN-4_1_3_012"/>
      <sheetName val="PN-4_1_3_022"/>
      <sheetName val="PN-4_1_3_032"/>
      <sheetName val="PN-4_1_3_042"/>
      <sheetName val="4_1_2_062"/>
      <sheetName val="4_1_2_072"/>
      <sheetName val="4_1_2_112"/>
      <sheetName val="4_1_2_182"/>
      <sheetName val="4_1_2_202"/>
      <sheetName val="4_1_2_082"/>
      <sheetName val="4_1_2_252"/>
      <sheetName val="134_012"/>
      <sheetName val="134_022"/>
      <sheetName val="134_032"/>
      <sheetName val="143_012"/>
      <sheetName val="147_012"/>
      <sheetName val="153_012"/>
      <sheetName val="165_012"/>
      <sheetName val="165_022"/>
      <sheetName val="165_032"/>
      <sheetName val="173_012"/>
      <sheetName val="173_022"/>
      <sheetName val="PN-4_1_2_012"/>
      <sheetName val="PN-4_1_2_032"/>
      <sheetName val="PN-4_1_2_042"/>
      <sheetName val="PN-4_1_2_052"/>
      <sheetName val="153_022"/>
      <sheetName val="153_032"/>
      <sheetName val="4_1_5_042"/>
      <sheetName val="4_1_5_062"/>
      <sheetName val="4_1_5_072"/>
      <sheetName val="4_1_5_082"/>
      <sheetName val="4_1_5_092"/>
      <sheetName val="4_1_5_112"/>
      <sheetName val="154_012"/>
      <sheetName val="154_022"/>
      <sheetName val="135_012"/>
      <sheetName val="135_022"/>
      <sheetName val="135_032"/>
      <sheetName val="135_042"/>
      <sheetName val="135_052"/>
      <sheetName val="166_012"/>
      <sheetName val="174_012"/>
      <sheetName val="174_022"/>
      <sheetName val="174_032"/>
      <sheetName val="PN-4_1_5_032"/>
      <sheetName val="PN-4_1_5_052"/>
      <sheetName val="PN-4_1_5_062"/>
      <sheetName val="PN-4_1_5_072"/>
      <sheetName val="PN-4_1_5_082"/>
      <sheetName val="PN-4_1_5_092"/>
      <sheetName val="PN-4_1_5_112"/>
      <sheetName val="PN-4_1_5_122"/>
      <sheetName val="174_042"/>
      <sheetName val="174_052"/>
      <sheetName val="174_062"/>
      <sheetName val="174_072"/>
      <sheetName val="PN-4_1_5_132"/>
      <sheetName val="4_1_6_022"/>
      <sheetName val="4_1_6_052"/>
      <sheetName val="4_1_6_072"/>
      <sheetName val="4_1_6_092"/>
      <sheetName val="4_1_6_102"/>
      <sheetName val="&lt;P_U_&gt;Estructura_Puente2"/>
      <sheetName val="4_1_6_132"/>
      <sheetName val="4_1_6_172"/>
      <sheetName val="175_012"/>
      <sheetName val="175_022"/>
      <sheetName val="175_032"/>
      <sheetName val="175_042"/>
      <sheetName val="PN-4_1_6_032"/>
      <sheetName val="175_052"/>
      <sheetName val="144_012"/>
      <sheetName val="144_022"/>
      <sheetName val="144_032"/>
      <sheetName val="155_012"/>
      <sheetName val="155_022"/>
      <sheetName val="155_032"/>
      <sheetName val="PN-4_1_6_062"/>
      <sheetName val="PN-4_1_6_09@PN-4_1_6_112"/>
      <sheetName val="PN-4_1_6_142"/>
      <sheetName val="(Puente)-Juan_Tomas2"/>
      <sheetName val="156_012"/>
      <sheetName val="156_022"/>
      <sheetName val="167_012"/>
      <sheetName val="176_012"/>
      <sheetName val="176_022"/>
      <sheetName val="176_032"/>
      <sheetName val="176_042"/>
      <sheetName val="176_052"/>
      <sheetName val="176_062"/>
      <sheetName val="176_072"/>
      <sheetName val="176_082"/>
      <sheetName val="176_092"/>
      <sheetName val="176_102"/>
      <sheetName val="176_112"/>
      <sheetName val="176_122"/>
      <sheetName val="PN-4_1_7_042"/>
      <sheetName val="PN-4_1_7_052"/>
      <sheetName val="PN-4_1_7_062"/>
      <sheetName val="PN-4_1_7_092"/>
      <sheetName val="PN-4_1_7_102"/>
      <sheetName val="PN-4_1_7_112"/>
      <sheetName val="PN-4_1_7_122"/>
      <sheetName val="PN-4_1_7_142"/>
      <sheetName val="PN-4_1_7_202"/>
      <sheetName val="PN-4_1_7_292"/>
      <sheetName val="4_2_1_052"/>
      <sheetName val="4_2_1_172"/>
      <sheetName val="4_2_1_10_2"/>
      <sheetName val="4_2_1_112"/>
      <sheetName val="4_2_1_132"/>
      <sheetName val="115_012"/>
      <sheetName val="115_022"/>
      <sheetName val="115_032"/>
      <sheetName val="115_042"/>
      <sheetName val="115_052"/>
      <sheetName val="115_062"/>
      <sheetName val="115_072"/>
      <sheetName val="115_082"/>
      <sheetName val="124_012"/>
      <sheetName val="124_022"/>
      <sheetName val="124_032"/>
      <sheetName val="124_042"/>
      <sheetName val="124_052"/>
      <sheetName val="148_012"/>
      <sheetName val="148_022"/>
      <sheetName val="157_012"/>
      <sheetName val="157_022"/>
      <sheetName val="PN-4_2_1_032"/>
      <sheetName val="PN-4_2_1_052"/>
      <sheetName val="PN-4_2_1_082"/>
      <sheetName val="4_2_1_162"/>
      <sheetName val="4_2_1_212"/>
      <sheetName val="4_2_1_292"/>
      <sheetName val="4_2_1_302"/>
      <sheetName val="registros_punta2"/>
      <sheetName val="(Distribuidor)-La_Victoria2"/>
      <sheetName val="4_2_4_102"/>
      <sheetName val="4_2_4_042"/>
      <sheetName val="4_2_4_112"/>
      <sheetName val="4_2_4_152"/>
      <sheetName val="4_2_4_162"/>
      <sheetName val="4_2_4_132"/>
      <sheetName val="125_012"/>
      <sheetName val="125_022"/>
      <sheetName val="177_012"/>
      <sheetName val="177_022"/>
      <sheetName val="177_032"/>
      <sheetName val="177_042"/>
      <sheetName val="177_052"/>
      <sheetName val="177_062"/>
      <sheetName val="177_072"/>
      <sheetName val="158_012"/>
      <sheetName val="158_022"/>
      <sheetName val="158_032"/>
      <sheetName val="158_042"/>
      <sheetName val="158_052"/>
      <sheetName val="(Distribuidor)-Carre_Samaná2"/>
      <sheetName val="4_2_5_012"/>
      <sheetName val="4_2_5_032"/>
      <sheetName val="4_2_5_112"/>
      <sheetName val="4_2_5_122"/>
      <sheetName val="4_2_5_132"/>
      <sheetName val="4_2_5_142"/>
      <sheetName val="178_012"/>
      <sheetName val="178_022"/>
      <sheetName val="178_032"/>
      <sheetName val="178_042"/>
      <sheetName val="178_052"/>
      <sheetName val="PN-4_2_5_042"/>
      <sheetName val="PN-4_2_5_082"/>
      <sheetName val="PN-4_2_5_122"/>
      <sheetName val="PN-4_2_5_152"/>
      <sheetName val="(Paso_Inferior)-La_Victoria2"/>
      <sheetName val="4_3_2_102"/>
      <sheetName val="4_3_2_112"/>
      <sheetName val="4_3_2_122"/>
      <sheetName val="4_3_2_142"/>
      <sheetName val="4_3_2_152"/>
      <sheetName val="4_3_2_182"/>
      <sheetName val="4_3_2_212"/>
      <sheetName val="4_3_2_222"/>
      <sheetName val="(Paso_Inferior)-Mata_Mamón2"/>
      <sheetName val="4_3_3_102"/>
      <sheetName val="4_3_3_112"/>
      <sheetName val="4_3_3_122"/>
      <sheetName val="4_3_3_142"/>
      <sheetName val="4_3_3_182"/>
      <sheetName val="4_3_3_212"/>
      <sheetName val="4_3_3_222"/>
      <sheetName val="(Paso_Inferior)-Yabacao2"/>
      <sheetName val="136_012"/>
      <sheetName val="136_022"/>
      <sheetName val="136_032"/>
      <sheetName val="136_042"/>
      <sheetName val="149_012"/>
      <sheetName val="136_052"/>
      <sheetName val="(Puente)-Provisional_Ozama_2"/>
      <sheetName val="117_012"/>
      <sheetName val="117_022"/>
      <sheetName val="117_032"/>
      <sheetName val="117_042"/>
      <sheetName val="(Paso_Inferior)_El_Aguacate2"/>
      <sheetName val="(Paso_Inferior)-Los_Rojas2"/>
      <sheetName val="159_012"/>
      <sheetName val="159_022"/>
      <sheetName val="159_032"/>
      <sheetName val="159_042"/>
      <sheetName val="168_012"/>
      <sheetName val="168_022"/>
      <sheetName val="168_032"/>
      <sheetName val="179_012"/>
      <sheetName val="PN-4_3_6_062"/>
      <sheetName val="(Paso_Inferior)-El_Aguacate2"/>
      <sheetName val="169_012"/>
      <sheetName val="169_022"/>
      <sheetName val="Aguacate-_012"/>
      <sheetName val="169_032"/>
      <sheetName val="169_042"/>
      <sheetName val="180_012"/>
      <sheetName val="170_012"/>
      <sheetName val="170_022"/>
      <sheetName val="PN-4_3_5_032"/>
      <sheetName val="PN-4_3_5_042"/>
      <sheetName val="PN-4_3_5_052"/>
      <sheetName val="(Paso_Inferior)-Mal_Nombre2"/>
      <sheetName val="170_032"/>
      <sheetName val="170_042"/>
      <sheetName val="181_012"/>
      <sheetName val="181_022"/>
      <sheetName val="117_052"/>
      <sheetName val="117_062"/>
      <sheetName val="126_012"/>
      <sheetName val="126_022"/>
      <sheetName val="137_012"/>
      <sheetName val="&lt;T-12&gt;Sop_Pedrap_Puente_Prov_2"/>
      <sheetName val="PN-4_3_1_032"/>
      <sheetName val="PN-4_3_1_052"/>
      <sheetName val="PN-4_3_1_072"/>
      <sheetName val="&lt;T-9&gt;Sop_Pilotes2"/>
      <sheetName val="&lt;T-10&gt;Sop_Acero_Puentes2"/>
      <sheetName val="Misceláneos-Estr_2"/>
      <sheetName val="182_012"/>
      <sheetName val="&lt;P_U_&gt;Acero_Refuerzo2"/>
      <sheetName val="&lt;P_U_&gt;Pretensado_Cable_Acero2"/>
      <sheetName val="Wick_Drains-Geopier2"/>
      <sheetName val="109_012"/>
      <sheetName val="118_012"/>
      <sheetName val="118_022"/>
      <sheetName val="127_012"/>
      <sheetName val="171_01@171_032"/>
      <sheetName val="127_022"/>
      <sheetName val="127_032"/>
      <sheetName val="138_012"/>
      <sheetName val="&lt;T-13&gt;Drenes_Verticales2"/>
      <sheetName val="&lt;T-16&gt;Pre-Perforación_Drenes2"/>
      <sheetName val="&lt;T-17&gt;Columna_de_Grava2"/>
      <sheetName val="&lt;T-18&gt;Columna_Grava_Terravanza2"/>
      <sheetName val="4_4_022"/>
      <sheetName val="PN-4_4_012"/>
      <sheetName val="PN-4_4_022"/>
      <sheetName val="(5)-Estructura_de_Pavimento2"/>
      <sheetName val="5_012"/>
      <sheetName val="5_022"/>
      <sheetName val="5_03@5_062"/>
      <sheetName val="5_07@5_102"/>
      <sheetName val="5_112"/>
      <sheetName val="5_122"/>
      <sheetName val="5_132"/>
      <sheetName val="5_142"/>
      <sheetName val="5_152"/>
      <sheetName val="&lt;T-2&gt;Acopio_Base_Planta_Indio2"/>
      <sheetName val="&lt;P_U_&gt;Base_Estabilizada2"/>
      <sheetName val="5_16@5_192"/>
      <sheetName val="160_012"/>
      <sheetName val="160_022"/>
      <sheetName val="183_012"/>
      <sheetName val="183_022"/>
      <sheetName val="PN-5_012"/>
      <sheetName val="PN-5_032"/>
      <sheetName val="PN-5_042"/>
      <sheetName val="PN-5_052"/>
      <sheetName val="&lt;T-19&gt;Sop_SubBase2"/>
      <sheetName val="&lt;T-20&gt;Sop_Base2"/>
      <sheetName val="&lt;T-21&gt;Sop_Asfalto2"/>
      <sheetName val="6_2_012"/>
      <sheetName val="6_3_012"/>
      <sheetName val="6_3_022"/>
      <sheetName val="6_3_032"/>
      <sheetName val="6_3_042"/>
      <sheetName val="6_3_052"/>
      <sheetName val="6_3_192"/>
      <sheetName val="6_3_202"/>
      <sheetName val="6_3_212"/>
      <sheetName val="6_1_01_Contenes2"/>
      <sheetName val="6_1_02_Bordillos2"/>
      <sheetName val="6_1_03_Aceras_Hormigon_2"/>
      <sheetName val="6_1_04Relleno_Acera2"/>
      <sheetName val="Iluminacion_Vial2"/>
      <sheetName val="(7)-Electrificación_e_ilum_2"/>
      <sheetName val="7_012"/>
      <sheetName val="7_022"/>
      <sheetName val="107_012"/>
      <sheetName val="185_012"/>
      <sheetName val="&lt;T-11&gt;Sop_Militares2"/>
      <sheetName val="(Reembolsables)-Interf_Electri2"/>
      <sheetName val="186_012"/>
      <sheetName val="Pres__Interferencia_Electrica2"/>
      <sheetName val="(110)-Puente_Provisional2"/>
      <sheetName val="110_012"/>
      <sheetName val="x1-relleno_prueba2"/>
      <sheetName val="&lt;x1&gt;Relleno_Prueba_Avenida2"/>
      <sheetName val="&lt;Estatus_Proyecto&gt;2"/>
      <sheetName val="EXC__QMC2"/>
      <sheetName val="TRACT_MINA2"/>
      <sheetName val="%_Ralenti_CF-C12_2"/>
      <sheetName val="%_Ralenti_EXC_2"/>
      <sheetName val="%_Ralenti_EXC__(2)2"/>
      <sheetName val="REND_2"/>
      <sheetName val="T__HORA2"/>
      <sheetName val="Base_de_Dato2"/>
      <sheetName val="Los_Ángeles_(Fase_II)1"/>
      <sheetName val="MANO_DE_OBRA1"/>
      <sheetName val="Analisis_de_precios_SURFACE2"/>
      <sheetName val="BOQ_desglose_1"/>
      <sheetName val="MANT_TRANSITO1"/>
      <sheetName val="Analisis_de_Costos1"/>
      <sheetName val="Pu-Sanit_1"/>
      <sheetName val="Trabajos_Generales1"/>
      <sheetName val="Rendimientos_OM1"/>
      <sheetName val="Incremento_Precios"/>
      <sheetName val="PARTIDAS_NUEVAS"/>
      <sheetName val="Insumos_materiales"/>
      <sheetName val="Costos_Mano_de_Obra"/>
      <sheetName val="Ana__Horm_mexc_mort"/>
      <sheetName val="anal_term"/>
      <sheetName val="Anal__horm_"/>
      <sheetName val="PU-Elect_"/>
      <sheetName val="Pres__"/>
      <sheetName val="V_Tierras_A"/>
      <sheetName val="ANALISIS_ENTREGABLE"/>
      <sheetName val="Ins_2"/>
      <sheetName val="ANALISIS_STO_DGO7"/>
      <sheetName val="PRES__BOCA_NUEVA7"/>
      <sheetName val="CONTRARO_SEÑALIZACIONES7"/>
      <sheetName val="EDIFICIO_COUNTERS5"/>
      <sheetName val="LISTADO_INSUMOS_DEL_20005"/>
      <sheetName val="Presup_5"/>
      <sheetName val="PRESUP__HOSPIT__VERON3"/>
      <sheetName val="Análisis_de_Precios4"/>
      <sheetName val="Resumen_Precio_Equipos4"/>
      <sheetName val="O_M__y_Salarios4"/>
      <sheetName val="Planilla_&lt;ENM#5&gt;3"/>
      <sheetName val="Resumen_Reducciones3"/>
      <sheetName val="Planilla___3"/>
      <sheetName val="Estudios_y_Diseños3"/>
      <sheetName val="&lt;T-0&gt;Sop_Estudios_y_Diseños3"/>
      <sheetName val="Otros_Indirectos3"/>
      <sheetName val="(1)-Trab_Gen3"/>
      <sheetName val="1_013"/>
      <sheetName val="1_023"/>
      <sheetName val="1_033"/>
      <sheetName val="1_043"/>
      <sheetName val="1_053"/>
      <sheetName val="(2)-Mov_Tierra3"/>
      <sheetName val="2_013"/>
      <sheetName val="2_023"/>
      <sheetName val="2_033"/>
      <sheetName val="&lt;T-1&gt;Sop_Alambradas3"/>
      <sheetName val="100_013"/>
      <sheetName val="2_063"/>
      <sheetName val="2_073"/>
      <sheetName val="2_093"/>
      <sheetName val="&lt;T-3&gt;Sop_Exc_Inservible_&amp;_NCla3"/>
      <sheetName val="2_103"/>
      <sheetName val="2_113"/>
      <sheetName val="2_12@2_14-116_033"/>
      <sheetName val="Rutas_Acarreo3"/>
      <sheetName val="2_153"/>
      <sheetName val="2_163"/>
      <sheetName val="2_173"/>
      <sheetName val="2_183"/>
      <sheetName val="&lt;T-4&gt;Sop_Relleno-(Previo)3"/>
      <sheetName val="&lt;T-4&gt;Sop_Relleno-(Acumulado)3"/>
      <sheetName val="ajustes_de_reporte_relleno3"/>
      <sheetName val="&lt;T-4&gt;Sop_Relleno-(Periodo)3"/>
      <sheetName val="&lt;T-5&gt;Sop_Pedraplén3"/>
      <sheetName val="2_193"/>
      <sheetName val="2_223"/>
      <sheetName val="PN-2_043"/>
      <sheetName val="&lt;T-7&gt;Sop_Perfilado&amp;Grama3"/>
      <sheetName val="2_243"/>
      <sheetName val="2_363"/>
      <sheetName val="Mejoramiento_Fundación3"/>
      <sheetName val="116_013"/>
      <sheetName val="116_023"/>
      <sheetName val="&lt;T-14&gt;Estabilización_Cal3"/>
      <sheetName val="&lt;T-15&gt;Estabilización_Cemento3"/>
      <sheetName val="PN-2_063"/>
      <sheetName val="128_013"/>
      <sheetName val="&lt;Presup&gt;Tubería_Yuca3"/>
      <sheetName val="139_013"/>
      <sheetName val="&lt;Presup&gt;Tub_Haras_Nacionales3"/>
      <sheetName val="184_013"/>
      <sheetName val="&lt;Presup&gt;Tubería_Mata_Gorda3"/>
      <sheetName val="184_023"/>
      <sheetName val="&lt;Presup&gt;Tubería_El_Aguacate3"/>
      <sheetName val="184_033"/>
      <sheetName val="&lt;Presup&gt;Tubería_La_Victoria3"/>
      <sheetName val="139_023"/>
      <sheetName val="&lt;Presup&gt;Tubería_Juan_Tomás3"/>
      <sheetName val="161_013"/>
      <sheetName val="&lt;Presup&gt;Tubería_Mal_Nombre3"/>
      <sheetName val="PN-2_013"/>
      <sheetName val="&lt;Presup&gt;Tubería_Varios_Trabajo3"/>
      <sheetName val="3_1_023"/>
      <sheetName val="3_1_033"/>
      <sheetName val="150_013"/>
      <sheetName val="150_023"/>
      <sheetName val="162_013"/>
      <sheetName val="Drenaje_Subterraneo3"/>
      <sheetName val="3_3_013"/>
      <sheetName val="3_3_023"/>
      <sheetName val="Alc_Cajón3"/>
      <sheetName val="100_023"/>
      <sheetName val="3_4_1_013"/>
      <sheetName val="3_4_1_023"/>
      <sheetName val="3_4_1_033"/>
      <sheetName val="3_4_1_043"/>
      <sheetName val="3_4_1_053"/>
      <sheetName val="3_4_1_063"/>
      <sheetName val="3_4_1_073"/>
      <sheetName val="3_4_1_083"/>
      <sheetName val="3_4_1_093"/>
      <sheetName val="3_4_1_103"/>
      <sheetName val="3_4_1_113"/>
      <sheetName val="3_4_1_123"/>
      <sheetName val="101_013"/>
      <sheetName val="3_4_1_163"/>
      <sheetName val="3_4_1_173"/>
      <sheetName val="Alc_Tubular3"/>
      <sheetName val="3_4_2_013"/>
      <sheetName val="3_4_2_033"/>
      <sheetName val="3_4_2_043"/>
      <sheetName val="3_4_2_063"/>
      <sheetName val="3_4_2_073"/>
      <sheetName val="3_4_2_083"/>
      <sheetName val="3_4_2_093"/>
      <sheetName val="3_4_2_103"/>
      <sheetName val="3_4_2_113"/>
      <sheetName val="3_4_2_123"/>
      <sheetName val="&lt;T-6&gt;Sop_Exc_Rell_Estr_Alcant_3"/>
      <sheetName val="119_013"/>
      <sheetName val="119_023"/>
      <sheetName val="119_033"/>
      <sheetName val="119_043"/>
      <sheetName val="119_053"/>
      <sheetName val="119_063"/>
      <sheetName val="119_073"/>
      <sheetName val="119_083"/>
      <sheetName val="119_093"/>
      <sheetName val="129_013"/>
      <sheetName val="&lt;T-8&gt;Sop_Acero_Alcantarillas3"/>
      <sheetName val="(Puente)-Mal_Nombre3"/>
      <sheetName val="4_1_1_013"/>
      <sheetName val="4_1_1_043"/>
      <sheetName val="4_1_1_063"/>
      <sheetName val="4_1_1_083"/>
      <sheetName val="104_013"/>
      <sheetName val="104_023"/>
      <sheetName val="4_1_1_93"/>
      <sheetName val="4_1_1_103"/>
      <sheetName val="4_1_1_113"/>
      <sheetName val="4_1_1_123"/>
      <sheetName val="4_1_1_143"/>
      <sheetName val="4_1_1_153"/>
      <sheetName val="4_1_1_163"/>
      <sheetName val="4_1_1_183"/>
      <sheetName val="4_1_1_213"/>
      <sheetName val="130_013"/>
      <sheetName val="4_1_1_223"/>
      <sheetName val="4_1_1_253"/>
      <sheetName val="4_1_1_263"/>
      <sheetName val="120_013"/>
      <sheetName val="104_033"/>
      <sheetName val="4_1_4_043"/>
      <sheetName val="102_013"/>
      <sheetName val="102_023"/>
      <sheetName val="102_033"/>
      <sheetName val="102_043"/>
      <sheetName val="102_053"/>
      <sheetName val="4_1_4_063"/>
      <sheetName val="4_1_4_083"/>
      <sheetName val="4_1_4_093"/>
      <sheetName val="4_1_4_113"/>
      <sheetName val="4_1_4_183"/>
      <sheetName val="4_1_4_253"/>
      <sheetName val="106_023"/>
      <sheetName val="113_013"/>
      <sheetName val="113_023"/>
      <sheetName val="113_033"/>
      <sheetName val="106_013"/>
      <sheetName val="121_013"/>
      <sheetName val="121_023"/>
      <sheetName val="131_013"/>
      <sheetName val="131_023"/>
      <sheetName val="140_013"/>
      <sheetName val="140_023"/>
      <sheetName val="145_013"/>
      <sheetName val="145_023"/>
      <sheetName val="145_033"/>
      <sheetName val="145_043"/>
      <sheetName val="145_053"/>
      <sheetName val="163_013"/>
      <sheetName val="(Puente)-Haras_Nacionales3"/>
      <sheetName val="PN-4_2_2_023"/>
      <sheetName val="151_013"/>
      <sheetName val="4_2_2_023"/>
      <sheetName val="4_2_2_033"/>
      <sheetName val="4_2_2_043"/>
      <sheetName val="4_2_2_103"/>
      <sheetName val="151_023"/>
      <sheetName val="4_2_2_113"/>
      <sheetName val="4_2_2_123"/>
      <sheetName val="4_2_2_133"/>
      <sheetName val="103_013"/>
      <sheetName val="103_023"/>
      <sheetName val="103_033"/>
      <sheetName val="103_043"/>
      <sheetName val="105_013"/>
      <sheetName val="105_023"/>
      <sheetName val="105_033"/>
      <sheetName val="4_2_2_15_3"/>
      <sheetName val="4_2_2_163"/>
      <sheetName val="4_2_2_173"/>
      <sheetName val="108_013"/>
      <sheetName val="108_023"/>
      <sheetName val="108_033"/>
      <sheetName val="111_013"/>
      <sheetName val="111_023"/>
      <sheetName val="111_033"/>
      <sheetName val="111_043"/>
      <sheetName val="114_013"/>
      <sheetName val="122_013"/>
      <sheetName val="141_013"/>
      <sheetName val="141_023"/>
      <sheetName val="141_033"/>
      <sheetName val="132_013"/>
      <sheetName val="132_023"/>
      <sheetName val="zapata_bordillo-haras3"/>
      <sheetName val="4_1_3_043"/>
      <sheetName val="4_1_3_063"/>
      <sheetName val="4_1_3_073"/>
      <sheetName val="4_1_3_083"/>
      <sheetName val="4_1_3_093"/>
      <sheetName val="112_013"/>
      <sheetName val="112_023"/>
      <sheetName val="112_033"/>
      <sheetName val="112_043"/>
      <sheetName val="112_053"/>
      <sheetName val="112_063"/>
      <sheetName val="112_073"/>
      <sheetName val="4_1_3_013"/>
      <sheetName val="4_1_3_183"/>
      <sheetName val="4_1_3_253"/>
      <sheetName val="123_013"/>
      <sheetName val="123_023"/>
      <sheetName val="123_033"/>
      <sheetName val="133_013"/>
      <sheetName val="142_013"/>
      <sheetName val="142_023"/>
      <sheetName val="146_013"/>
      <sheetName val="146_023"/>
      <sheetName val="146_033"/>
      <sheetName val="146_043"/>
      <sheetName val="152_013"/>
      <sheetName val="152_023"/>
      <sheetName val="164_013"/>
      <sheetName val="zapata_bordillo_losa_Yuca3"/>
      <sheetName val="172_013"/>
      <sheetName val="172_023"/>
      <sheetName val="172_033"/>
      <sheetName val="PN-4_1_3_013"/>
      <sheetName val="PN-4_1_3_023"/>
      <sheetName val="PN-4_1_3_033"/>
      <sheetName val="PN-4_1_3_043"/>
      <sheetName val="4_1_2_063"/>
      <sheetName val="4_1_2_073"/>
      <sheetName val="4_1_2_113"/>
      <sheetName val="4_1_2_183"/>
      <sheetName val="4_1_2_203"/>
      <sheetName val="4_1_2_083"/>
      <sheetName val="4_1_2_253"/>
      <sheetName val="134_013"/>
      <sheetName val="134_023"/>
      <sheetName val="134_033"/>
      <sheetName val="143_013"/>
      <sheetName val="147_013"/>
      <sheetName val="153_013"/>
      <sheetName val="165_013"/>
      <sheetName val="165_023"/>
      <sheetName val="165_033"/>
      <sheetName val="173_013"/>
      <sheetName val="173_023"/>
      <sheetName val="PN-4_1_2_013"/>
      <sheetName val="PN-4_1_2_033"/>
      <sheetName val="PN-4_1_2_043"/>
      <sheetName val="PN-4_1_2_053"/>
      <sheetName val="153_023"/>
      <sheetName val="153_033"/>
      <sheetName val="4_1_5_043"/>
      <sheetName val="4_1_5_063"/>
      <sheetName val="4_1_5_073"/>
      <sheetName val="4_1_5_083"/>
      <sheetName val="4_1_5_093"/>
      <sheetName val="4_1_5_113"/>
      <sheetName val="154_013"/>
      <sheetName val="154_023"/>
      <sheetName val="135_013"/>
      <sheetName val="135_023"/>
      <sheetName val="135_033"/>
      <sheetName val="135_043"/>
      <sheetName val="135_053"/>
      <sheetName val="166_013"/>
      <sheetName val="174_013"/>
      <sheetName val="174_023"/>
      <sheetName val="174_033"/>
      <sheetName val="PN-4_1_5_033"/>
      <sheetName val="PN-4_1_5_053"/>
      <sheetName val="PN-4_1_5_063"/>
      <sheetName val="PN-4_1_5_073"/>
      <sheetName val="PN-4_1_5_083"/>
      <sheetName val="PN-4_1_5_093"/>
      <sheetName val="PN-4_1_5_113"/>
      <sheetName val="PN-4_1_5_123"/>
      <sheetName val="174_043"/>
      <sheetName val="174_053"/>
      <sheetName val="174_063"/>
      <sheetName val="174_073"/>
      <sheetName val="PN-4_1_5_133"/>
      <sheetName val="4_1_6_023"/>
      <sheetName val="4_1_6_053"/>
      <sheetName val="4_1_6_073"/>
      <sheetName val="4_1_6_093"/>
      <sheetName val="4_1_6_103"/>
      <sheetName val="&lt;P_U_&gt;Estructura_Puente3"/>
      <sheetName val="4_1_6_133"/>
      <sheetName val="4_1_6_173"/>
      <sheetName val="175_013"/>
      <sheetName val="175_023"/>
      <sheetName val="175_033"/>
      <sheetName val="175_043"/>
      <sheetName val="PN-4_1_6_033"/>
      <sheetName val="175_053"/>
      <sheetName val="144_013"/>
      <sheetName val="144_023"/>
      <sheetName val="144_033"/>
      <sheetName val="155_013"/>
      <sheetName val="155_023"/>
      <sheetName val="155_033"/>
      <sheetName val="PN-4_1_6_063"/>
      <sheetName val="PN-4_1_6_09@PN-4_1_6_113"/>
      <sheetName val="PN-4_1_6_143"/>
      <sheetName val="(Puente)-Juan_Tomas3"/>
      <sheetName val="156_013"/>
      <sheetName val="156_023"/>
      <sheetName val="167_013"/>
      <sheetName val="176_013"/>
      <sheetName val="176_023"/>
      <sheetName val="176_033"/>
      <sheetName val="176_043"/>
      <sheetName val="176_053"/>
      <sheetName val="176_063"/>
      <sheetName val="176_073"/>
      <sheetName val="176_083"/>
      <sheetName val="176_093"/>
      <sheetName val="176_103"/>
      <sheetName val="176_113"/>
      <sheetName val="176_123"/>
      <sheetName val="PN-4_1_7_043"/>
      <sheetName val="PN-4_1_7_053"/>
      <sheetName val="PN-4_1_7_063"/>
      <sheetName val="PN-4_1_7_093"/>
      <sheetName val="PN-4_1_7_103"/>
      <sheetName val="PN-4_1_7_113"/>
      <sheetName val="PN-4_1_7_123"/>
      <sheetName val="PN-4_1_7_143"/>
      <sheetName val="PN-4_1_7_203"/>
      <sheetName val="PN-4_1_7_293"/>
      <sheetName val="4_2_1_053"/>
      <sheetName val="4_2_1_173"/>
      <sheetName val="4_2_1_10_3"/>
      <sheetName val="4_2_1_113"/>
      <sheetName val="4_2_1_133"/>
      <sheetName val="115_013"/>
      <sheetName val="115_023"/>
      <sheetName val="115_033"/>
      <sheetName val="115_043"/>
      <sheetName val="115_053"/>
      <sheetName val="115_063"/>
      <sheetName val="115_073"/>
      <sheetName val="115_083"/>
      <sheetName val="124_013"/>
      <sheetName val="124_023"/>
      <sheetName val="124_033"/>
      <sheetName val="124_043"/>
      <sheetName val="124_053"/>
      <sheetName val="148_013"/>
      <sheetName val="148_023"/>
      <sheetName val="157_013"/>
      <sheetName val="157_023"/>
      <sheetName val="PN-4_2_1_033"/>
      <sheetName val="PN-4_2_1_053"/>
      <sheetName val="PN-4_2_1_083"/>
      <sheetName val="4_2_1_163"/>
      <sheetName val="4_2_1_213"/>
      <sheetName val="4_2_1_293"/>
      <sheetName val="4_2_1_303"/>
      <sheetName val="registros_punta3"/>
      <sheetName val="(Distribuidor)-La_Victoria3"/>
      <sheetName val="4_2_4_103"/>
      <sheetName val="4_2_4_043"/>
      <sheetName val="4_2_4_113"/>
      <sheetName val="4_2_4_153"/>
      <sheetName val="4_2_4_163"/>
      <sheetName val="4_2_4_133"/>
      <sheetName val="125_013"/>
      <sheetName val="125_023"/>
      <sheetName val="177_013"/>
      <sheetName val="177_023"/>
      <sheetName val="177_033"/>
      <sheetName val="177_043"/>
      <sheetName val="177_053"/>
      <sheetName val="177_063"/>
      <sheetName val="177_073"/>
      <sheetName val="158_013"/>
      <sheetName val="158_023"/>
      <sheetName val="158_033"/>
      <sheetName val="158_043"/>
      <sheetName val="158_053"/>
      <sheetName val="(Distribuidor)-Carre_Samaná3"/>
      <sheetName val="4_2_5_013"/>
      <sheetName val="4_2_5_033"/>
      <sheetName val="4_2_5_113"/>
      <sheetName val="4_2_5_123"/>
      <sheetName val="4_2_5_133"/>
      <sheetName val="4_2_5_143"/>
      <sheetName val="178_013"/>
      <sheetName val="178_023"/>
      <sheetName val="178_033"/>
      <sheetName val="178_043"/>
      <sheetName val="178_053"/>
      <sheetName val="PN-4_2_5_043"/>
      <sheetName val="PN-4_2_5_083"/>
      <sheetName val="PN-4_2_5_123"/>
      <sheetName val="PN-4_2_5_153"/>
      <sheetName val="(Paso_Inferior)-La_Victoria3"/>
      <sheetName val="4_3_2_103"/>
      <sheetName val="4_3_2_113"/>
      <sheetName val="4_3_2_123"/>
      <sheetName val="4_3_2_143"/>
      <sheetName val="4_3_2_153"/>
      <sheetName val="4_3_2_183"/>
      <sheetName val="4_3_2_213"/>
      <sheetName val="4_3_2_223"/>
      <sheetName val="(Paso_Inferior)-Mata_Mamón3"/>
      <sheetName val="4_3_3_103"/>
      <sheetName val="4_3_3_113"/>
      <sheetName val="4_3_3_123"/>
      <sheetName val="4_3_3_143"/>
      <sheetName val="4_3_3_183"/>
      <sheetName val="4_3_3_213"/>
      <sheetName val="4_3_3_223"/>
      <sheetName val="(Paso_Inferior)-Yabacao3"/>
      <sheetName val="136_013"/>
      <sheetName val="136_023"/>
      <sheetName val="136_033"/>
      <sheetName val="136_043"/>
      <sheetName val="149_013"/>
      <sheetName val="136_053"/>
      <sheetName val="(Puente)-Provisional_Ozama_3"/>
      <sheetName val="117_013"/>
      <sheetName val="117_023"/>
      <sheetName val="117_033"/>
      <sheetName val="117_043"/>
      <sheetName val="(Paso_Inferior)_El_Aguacate3"/>
      <sheetName val="(Paso_Inferior)-Los_Rojas3"/>
      <sheetName val="159_013"/>
      <sheetName val="159_023"/>
      <sheetName val="159_033"/>
      <sheetName val="159_043"/>
      <sheetName val="168_013"/>
      <sheetName val="168_023"/>
      <sheetName val="168_033"/>
      <sheetName val="179_013"/>
      <sheetName val="PN-4_3_6_063"/>
      <sheetName val="(Paso_Inferior)-El_Aguacate3"/>
      <sheetName val="169_013"/>
      <sheetName val="169_023"/>
      <sheetName val="Aguacate-_013"/>
      <sheetName val="169_033"/>
      <sheetName val="169_043"/>
      <sheetName val="180_013"/>
      <sheetName val="170_013"/>
      <sheetName val="170_023"/>
      <sheetName val="PN-4_3_5_033"/>
      <sheetName val="PN-4_3_5_043"/>
      <sheetName val="PN-4_3_5_053"/>
      <sheetName val="(Paso_Inferior)-Mal_Nombre3"/>
      <sheetName val="170_033"/>
      <sheetName val="170_043"/>
      <sheetName val="181_013"/>
      <sheetName val="181_023"/>
      <sheetName val="117_053"/>
      <sheetName val="117_063"/>
      <sheetName val="126_013"/>
      <sheetName val="126_023"/>
      <sheetName val="137_013"/>
      <sheetName val="&lt;T-12&gt;Sop_Pedrap_Puente_Prov_3"/>
      <sheetName val="PN-4_3_1_033"/>
      <sheetName val="PN-4_3_1_053"/>
      <sheetName val="PN-4_3_1_073"/>
      <sheetName val="&lt;T-9&gt;Sop_Pilotes3"/>
      <sheetName val="&lt;T-10&gt;Sop_Acero_Puentes3"/>
      <sheetName val="Misceláneos-Estr_3"/>
      <sheetName val="182_013"/>
      <sheetName val="&lt;P_U_&gt;Acero_Refuerzo3"/>
      <sheetName val="&lt;P_U_&gt;Pretensado_Cable_Acero3"/>
      <sheetName val="Wick_Drains-Geopier3"/>
      <sheetName val="109_013"/>
      <sheetName val="118_013"/>
      <sheetName val="118_023"/>
      <sheetName val="127_013"/>
      <sheetName val="171_01@171_033"/>
      <sheetName val="127_023"/>
      <sheetName val="127_033"/>
      <sheetName val="138_013"/>
      <sheetName val="&lt;T-13&gt;Drenes_Verticales3"/>
      <sheetName val="&lt;T-16&gt;Pre-Perforación_Drenes3"/>
      <sheetName val="&lt;T-17&gt;Columna_de_Grava3"/>
      <sheetName val="&lt;T-18&gt;Columna_Grava_Terravanza3"/>
      <sheetName val="4_4_023"/>
      <sheetName val="PN-4_4_013"/>
      <sheetName val="PN-4_4_023"/>
      <sheetName val="(5)-Estructura_de_Pavimento3"/>
      <sheetName val="5_013"/>
      <sheetName val="5_023"/>
      <sheetName val="5_03@5_063"/>
      <sheetName val="5_07@5_103"/>
      <sheetName val="5_113"/>
      <sheetName val="5_123"/>
      <sheetName val="5_133"/>
      <sheetName val="5_143"/>
      <sheetName val="5_153"/>
      <sheetName val="&lt;T-2&gt;Acopio_Base_Planta_Indio3"/>
      <sheetName val="&lt;P_U_&gt;Base_Estabilizada3"/>
      <sheetName val="5_16@5_193"/>
      <sheetName val="160_013"/>
      <sheetName val="160_023"/>
      <sheetName val="183_013"/>
      <sheetName val="183_023"/>
      <sheetName val="PN-5_013"/>
      <sheetName val="PN-5_033"/>
      <sheetName val="PN-5_043"/>
      <sheetName val="PN-5_053"/>
      <sheetName val="&lt;T-19&gt;Sop_SubBase3"/>
      <sheetName val="&lt;T-20&gt;Sop_Base3"/>
      <sheetName val="&lt;T-21&gt;Sop_Asfalto3"/>
      <sheetName val="6_2_013"/>
      <sheetName val="6_3_013"/>
      <sheetName val="6_3_023"/>
      <sheetName val="6_3_033"/>
      <sheetName val="6_3_043"/>
      <sheetName val="6_3_053"/>
      <sheetName val="6_3_193"/>
      <sheetName val="6_3_203"/>
      <sheetName val="6_3_213"/>
      <sheetName val="6_1_01_Contenes3"/>
      <sheetName val="6_1_02_Bordillos3"/>
      <sheetName val="6_1_03_Aceras_Hormigon_3"/>
      <sheetName val="6_1_04Relleno_Acera3"/>
      <sheetName val="Iluminacion_Vial3"/>
      <sheetName val="(7)-Electrificación_e_ilum_3"/>
      <sheetName val="7_013"/>
      <sheetName val="7_023"/>
      <sheetName val="107_013"/>
      <sheetName val="185_013"/>
      <sheetName val="&lt;T-11&gt;Sop_Militares3"/>
      <sheetName val="(Reembolsables)-Interf_Electri3"/>
      <sheetName val="186_013"/>
      <sheetName val="Pres__Interferencia_Electrica3"/>
      <sheetName val="(110)-Puente_Provisional3"/>
      <sheetName val="110_013"/>
      <sheetName val="x1-relleno_prueba3"/>
      <sheetName val="&lt;x1&gt;Relleno_Prueba_Avenida3"/>
      <sheetName val="&lt;Estatus_Proyecto&gt;3"/>
      <sheetName val="EXC__QMC3"/>
      <sheetName val="TRACT_MINA3"/>
      <sheetName val="%_Ralenti_CF-C12_3"/>
      <sheetName val="%_Ralenti_EXC_3"/>
      <sheetName val="%_Ralenti_EXC__(2)3"/>
      <sheetName val="REND_3"/>
      <sheetName val="T__HORA3"/>
      <sheetName val="Base_de_Dato3"/>
      <sheetName val="Los_Ángeles_(Fase_II)2"/>
      <sheetName val="MANO_DE_OBRA2"/>
      <sheetName val="Analisis_de_precios_SURFACE3"/>
      <sheetName val="BOQ_desglose_2"/>
      <sheetName val="MANT_TRANSITO2"/>
      <sheetName val="Analisis_de_Costos2"/>
      <sheetName val="Pu-Sanit_2"/>
      <sheetName val="Trabajos_Generales2"/>
      <sheetName val="Rendimientos_OM2"/>
      <sheetName val="Incremento_Precios1"/>
      <sheetName val="PARTIDAS_NUEVAS1"/>
      <sheetName val="Insumos_materiales1"/>
      <sheetName val="Costos_Mano_de_Obra1"/>
      <sheetName val="Ana__Horm_mexc_mort1"/>
      <sheetName val="anal_term1"/>
      <sheetName val="Anal__horm_1"/>
      <sheetName val="PU-Elect_1"/>
      <sheetName val="Pres__1"/>
      <sheetName val="V_Tierras_A1"/>
      <sheetName val="ANALISIS_ENTREGABLE1"/>
      <sheetName val="Ins_21"/>
      <sheetName val="ANALISIS_STO_DGO8"/>
      <sheetName val="PRES__BOCA_NUEVA8"/>
      <sheetName val="CONTRARO_SEÑALIZACIONES8"/>
      <sheetName val="EDIFICIO_COUNTERS6"/>
      <sheetName val="LISTADO_INSUMOS_DEL_20006"/>
      <sheetName val="Presup_6"/>
      <sheetName val="PRESUP__HOSPIT__VERON4"/>
      <sheetName val="Análisis_de_Precios5"/>
      <sheetName val="Resumen_Precio_Equipos5"/>
      <sheetName val="O_M__y_Salarios5"/>
      <sheetName val="Planilla_&lt;ENM#5&gt;4"/>
      <sheetName val="Resumen_Reducciones4"/>
      <sheetName val="Planilla___4"/>
      <sheetName val="Estudios_y_Diseños4"/>
      <sheetName val="&lt;T-0&gt;Sop_Estudios_y_Diseños4"/>
      <sheetName val="Otros_Indirectos4"/>
      <sheetName val="(1)-Trab_Gen4"/>
      <sheetName val="1_014"/>
      <sheetName val="1_024"/>
      <sheetName val="1_034"/>
      <sheetName val="1_044"/>
      <sheetName val="1_054"/>
      <sheetName val="(2)-Mov_Tierra4"/>
      <sheetName val="2_014"/>
      <sheetName val="2_024"/>
      <sheetName val="2_034"/>
      <sheetName val="&lt;T-1&gt;Sop_Alambradas4"/>
      <sheetName val="100_014"/>
      <sheetName val="2_064"/>
      <sheetName val="2_074"/>
      <sheetName val="2_094"/>
      <sheetName val="&lt;T-3&gt;Sop_Exc_Inservible_&amp;_NCla4"/>
      <sheetName val="2_104"/>
      <sheetName val="2_114"/>
      <sheetName val="2_12@2_14-116_034"/>
      <sheetName val="Rutas_Acarreo4"/>
      <sheetName val="2_154"/>
      <sheetName val="2_164"/>
      <sheetName val="2_174"/>
      <sheetName val="2_184"/>
      <sheetName val="&lt;T-4&gt;Sop_Relleno-(Previo)4"/>
      <sheetName val="&lt;T-4&gt;Sop_Relleno-(Acumulado)4"/>
      <sheetName val="ajustes_de_reporte_relleno4"/>
      <sheetName val="&lt;T-4&gt;Sop_Relleno-(Periodo)4"/>
      <sheetName val="&lt;T-5&gt;Sop_Pedraplén4"/>
      <sheetName val="2_194"/>
      <sheetName val="2_224"/>
      <sheetName val="PN-2_044"/>
      <sheetName val="&lt;T-7&gt;Sop_Perfilado&amp;Grama4"/>
      <sheetName val="2_244"/>
      <sheetName val="2_364"/>
      <sheetName val="Mejoramiento_Fundación4"/>
      <sheetName val="116_014"/>
      <sheetName val="116_024"/>
      <sheetName val="&lt;T-14&gt;Estabilización_Cal4"/>
      <sheetName val="&lt;T-15&gt;Estabilización_Cemento4"/>
      <sheetName val="PN-2_064"/>
      <sheetName val="128_014"/>
      <sheetName val="&lt;Presup&gt;Tubería_Yuca4"/>
      <sheetName val="139_014"/>
      <sheetName val="&lt;Presup&gt;Tub_Haras_Nacionales4"/>
      <sheetName val="184_014"/>
      <sheetName val="&lt;Presup&gt;Tubería_Mata_Gorda4"/>
      <sheetName val="184_024"/>
      <sheetName val="&lt;Presup&gt;Tubería_El_Aguacate4"/>
      <sheetName val="184_034"/>
      <sheetName val="&lt;Presup&gt;Tubería_La_Victoria4"/>
      <sheetName val="139_024"/>
      <sheetName val="&lt;Presup&gt;Tubería_Juan_Tomás4"/>
      <sheetName val="161_014"/>
      <sheetName val="&lt;Presup&gt;Tubería_Mal_Nombre4"/>
      <sheetName val="PN-2_014"/>
      <sheetName val="&lt;Presup&gt;Tubería_Varios_Trabajo4"/>
      <sheetName val="3_1_024"/>
      <sheetName val="3_1_034"/>
      <sheetName val="150_014"/>
      <sheetName val="150_024"/>
      <sheetName val="162_014"/>
      <sheetName val="Drenaje_Subterraneo4"/>
      <sheetName val="3_3_014"/>
      <sheetName val="3_3_024"/>
      <sheetName val="Alc_Cajón4"/>
      <sheetName val="100_024"/>
      <sheetName val="3_4_1_014"/>
      <sheetName val="3_4_1_024"/>
      <sheetName val="3_4_1_034"/>
      <sheetName val="3_4_1_044"/>
      <sheetName val="3_4_1_054"/>
      <sheetName val="3_4_1_064"/>
      <sheetName val="3_4_1_074"/>
      <sheetName val="3_4_1_084"/>
      <sheetName val="3_4_1_094"/>
      <sheetName val="3_4_1_104"/>
      <sheetName val="3_4_1_114"/>
      <sheetName val="3_4_1_124"/>
      <sheetName val="101_014"/>
      <sheetName val="3_4_1_164"/>
      <sheetName val="3_4_1_174"/>
      <sheetName val="Alc_Tubular4"/>
      <sheetName val="3_4_2_014"/>
      <sheetName val="3_4_2_034"/>
      <sheetName val="3_4_2_044"/>
      <sheetName val="3_4_2_064"/>
      <sheetName val="3_4_2_074"/>
      <sheetName val="3_4_2_084"/>
      <sheetName val="3_4_2_094"/>
      <sheetName val="3_4_2_104"/>
      <sheetName val="3_4_2_114"/>
      <sheetName val="3_4_2_124"/>
      <sheetName val="&lt;T-6&gt;Sop_Exc_Rell_Estr_Alcant_4"/>
      <sheetName val="119_014"/>
      <sheetName val="119_024"/>
      <sheetName val="119_034"/>
      <sheetName val="119_044"/>
      <sheetName val="119_054"/>
      <sheetName val="119_064"/>
      <sheetName val="119_074"/>
      <sheetName val="119_084"/>
      <sheetName val="119_094"/>
      <sheetName val="129_014"/>
      <sheetName val="&lt;T-8&gt;Sop_Acero_Alcantarillas4"/>
      <sheetName val="(Puente)-Mal_Nombre4"/>
      <sheetName val="4_1_1_014"/>
      <sheetName val="4_1_1_044"/>
      <sheetName val="4_1_1_064"/>
      <sheetName val="4_1_1_084"/>
      <sheetName val="104_014"/>
      <sheetName val="104_024"/>
      <sheetName val="4_1_1_94"/>
      <sheetName val="4_1_1_104"/>
      <sheetName val="4_1_1_114"/>
      <sheetName val="4_1_1_124"/>
      <sheetName val="4_1_1_144"/>
      <sheetName val="4_1_1_154"/>
      <sheetName val="4_1_1_164"/>
      <sheetName val="4_1_1_184"/>
      <sheetName val="4_1_1_214"/>
      <sheetName val="130_014"/>
      <sheetName val="4_1_1_224"/>
      <sheetName val="4_1_1_254"/>
      <sheetName val="4_1_1_264"/>
      <sheetName val="120_014"/>
      <sheetName val="104_034"/>
      <sheetName val="4_1_4_044"/>
      <sheetName val="102_014"/>
      <sheetName val="102_024"/>
      <sheetName val="102_034"/>
      <sheetName val="102_044"/>
      <sheetName val="102_054"/>
      <sheetName val="4_1_4_064"/>
      <sheetName val="4_1_4_084"/>
      <sheetName val="4_1_4_094"/>
      <sheetName val="4_1_4_114"/>
      <sheetName val="4_1_4_184"/>
      <sheetName val="4_1_4_254"/>
      <sheetName val="106_024"/>
      <sheetName val="113_014"/>
      <sheetName val="113_024"/>
      <sheetName val="113_034"/>
      <sheetName val="106_014"/>
      <sheetName val="121_014"/>
      <sheetName val="121_024"/>
      <sheetName val="131_014"/>
      <sheetName val="131_024"/>
      <sheetName val="140_014"/>
      <sheetName val="140_024"/>
      <sheetName val="145_014"/>
      <sheetName val="145_024"/>
      <sheetName val="145_034"/>
      <sheetName val="145_044"/>
      <sheetName val="145_054"/>
      <sheetName val="163_014"/>
      <sheetName val="(Puente)-Haras_Nacionales4"/>
      <sheetName val="PN-4_2_2_024"/>
      <sheetName val="151_014"/>
      <sheetName val="4_2_2_024"/>
      <sheetName val="4_2_2_034"/>
      <sheetName val="4_2_2_044"/>
      <sheetName val="4_2_2_104"/>
      <sheetName val="151_024"/>
      <sheetName val="4_2_2_114"/>
      <sheetName val="4_2_2_124"/>
      <sheetName val="4_2_2_134"/>
      <sheetName val="103_014"/>
      <sheetName val="103_024"/>
      <sheetName val="103_034"/>
      <sheetName val="103_044"/>
      <sheetName val="105_014"/>
      <sheetName val="105_024"/>
      <sheetName val="105_034"/>
      <sheetName val="4_2_2_15_4"/>
      <sheetName val="4_2_2_164"/>
      <sheetName val="4_2_2_174"/>
      <sheetName val="108_014"/>
      <sheetName val="108_024"/>
      <sheetName val="108_034"/>
      <sheetName val="111_014"/>
      <sheetName val="111_024"/>
      <sheetName val="111_034"/>
      <sheetName val="111_044"/>
      <sheetName val="114_014"/>
      <sheetName val="122_014"/>
      <sheetName val="141_014"/>
      <sheetName val="141_024"/>
      <sheetName val="141_034"/>
      <sheetName val="132_014"/>
      <sheetName val="132_024"/>
      <sheetName val="zapata_bordillo-haras4"/>
      <sheetName val="4_1_3_044"/>
      <sheetName val="4_1_3_064"/>
      <sheetName val="4_1_3_074"/>
      <sheetName val="4_1_3_084"/>
      <sheetName val="4_1_3_094"/>
      <sheetName val="112_014"/>
      <sheetName val="112_024"/>
      <sheetName val="112_034"/>
      <sheetName val="112_044"/>
      <sheetName val="112_054"/>
      <sheetName val="112_064"/>
      <sheetName val="112_074"/>
      <sheetName val="4_1_3_014"/>
      <sheetName val="4_1_3_184"/>
      <sheetName val="4_1_3_254"/>
      <sheetName val="123_014"/>
      <sheetName val="123_024"/>
      <sheetName val="123_034"/>
      <sheetName val="133_014"/>
      <sheetName val="142_014"/>
      <sheetName val="142_024"/>
      <sheetName val="146_014"/>
      <sheetName val="146_024"/>
      <sheetName val="146_034"/>
      <sheetName val="146_044"/>
      <sheetName val="152_014"/>
      <sheetName val="152_024"/>
      <sheetName val="164_014"/>
      <sheetName val="zapata_bordillo_losa_Yuca4"/>
      <sheetName val="172_014"/>
      <sheetName val="172_024"/>
      <sheetName val="172_034"/>
      <sheetName val="PN-4_1_3_014"/>
      <sheetName val="PN-4_1_3_024"/>
      <sheetName val="PN-4_1_3_034"/>
      <sheetName val="PN-4_1_3_044"/>
      <sheetName val="4_1_2_064"/>
      <sheetName val="4_1_2_074"/>
      <sheetName val="4_1_2_114"/>
      <sheetName val="4_1_2_184"/>
      <sheetName val="4_1_2_204"/>
      <sheetName val="4_1_2_084"/>
      <sheetName val="4_1_2_254"/>
      <sheetName val="134_014"/>
      <sheetName val="134_024"/>
      <sheetName val="134_034"/>
      <sheetName val="143_014"/>
      <sheetName val="147_014"/>
      <sheetName val="153_014"/>
      <sheetName val="165_014"/>
      <sheetName val="165_024"/>
      <sheetName val="165_034"/>
      <sheetName val="173_014"/>
      <sheetName val="173_024"/>
      <sheetName val="PN-4_1_2_014"/>
      <sheetName val="PN-4_1_2_034"/>
      <sheetName val="PN-4_1_2_044"/>
      <sheetName val="PN-4_1_2_054"/>
      <sheetName val="153_024"/>
      <sheetName val="153_034"/>
      <sheetName val="4_1_5_044"/>
      <sheetName val="4_1_5_064"/>
      <sheetName val="4_1_5_074"/>
      <sheetName val="4_1_5_084"/>
      <sheetName val="4_1_5_094"/>
      <sheetName val="4_1_5_114"/>
      <sheetName val="154_014"/>
      <sheetName val="154_024"/>
      <sheetName val="135_014"/>
      <sheetName val="135_024"/>
      <sheetName val="135_034"/>
      <sheetName val="135_044"/>
      <sheetName val="135_054"/>
      <sheetName val="166_014"/>
      <sheetName val="174_014"/>
      <sheetName val="174_024"/>
      <sheetName val="174_034"/>
      <sheetName val="PN-4_1_5_034"/>
      <sheetName val="PN-4_1_5_054"/>
      <sheetName val="PN-4_1_5_064"/>
      <sheetName val="PN-4_1_5_074"/>
      <sheetName val="PN-4_1_5_084"/>
      <sheetName val="PN-4_1_5_094"/>
      <sheetName val="PN-4_1_5_114"/>
      <sheetName val="PN-4_1_5_124"/>
      <sheetName val="174_044"/>
      <sheetName val="174_054"/>
      <sheetName val="174_064"/>
      <sheetName val="174_074"/>
      <sheetName val="PN-4_1_5_134"/>
      <sheetName val="4_1_6_024"/>
      <sheetName val="4_1_6_054"/>
      <sheetName val="4_1_6_074"/>
      <sheetName val="4_1_6_094"/>
      <sheetName val="4_1_6_104"/>
      <sheetName val="&lt;P_U_&gt;Estructura_Puente4"/>
      <sheetName val="4_1_6_134"/>
      <sheetName val="4_1_6_174"/>
      <sheetName val="175_014"/>
      <sheetName val="175_024"/>
      <sheetName val="175_034"/>
      <sheetName val="175_044"/>
      <sheetName val="PN-4_1_6_034"/>
      <sheetName val="175_054"/>
      <sheetName val="144_014"/>
      <sheetName val="144_024"/>
      <sheetName val="144_034"/>
      <sheetName val="155_014"/>
      <sheetName val="155_024"/>
      <sheetName val="155_034"/>
      <sheetName val="PN-4_1_6_064"/>
      <sheetName val="PN-4_1_6_09@PN-4_1_6_114"/>
      <sheetName val="PN-4_1_6_144"/>
      <sheetName val="(Puente)-Juan_Tomas4"/>
      <sheetName val="156_014"/>
      <sheetName val="156_024"/>
      <sheetName val="167_014"/>
      <sheetName val="176_014"/>
      <sheetName val="176_024"/>
      <sheetName val="176_034"/>
      <sheetName val="176_044"/>
      <sheetName val="176_054"/>
      <sheetName val="176_064"/>
      <sheetName val="176_074"/>
      <sheetName val="176_084"/>
      <sheetName val="176_094"/>
      <sheetName val="176_104"/>
      <sheetName val="176_114"/>
      <sheetName val="176_124"/>
      <sheetName val="PN-4_1_7_044"/>
      <sheetName val="PN-4_1_7_054"/>
      <sheetName val="PN-4_1_7_064"/>
      <sheetName val="PN-4_1_7_094"/>
      <sheetName val="PN-4_1_7_104"/>
      <sheetName val="PN-4_1_7_114"/>
      <sheetName val="PN-4_1_7_124"/>
      <sheetName val="PN-4_1_7_144"/>
      <sheetName val="PN-4_1_7_204"/>
      <sheetName val="PN-4_1_7_294"/>
      <sheetName val="4_2_1_054"/>
      <sheetName val="4_2_1_174"/>
      <sheetName val="4_2_1_10_4"/>
      <sheetName val="4_2_1_114"/>
      <sheetName val="4_2_1_134"/>
      <sheetName val="115_014"/>
      <sheetName val="115_024"/>
      <sheetName val="115_034"/>
      <sheetName val="115_044"/>
      <sheetName val="115_054"/>
      <sheetName val="115_064"/>
      <sheetName val="115_074"/>
      <sheetName val="115_084"/>
      <sheetName val="124_014"/>
      <sheetName val="124_024"/>
      <sheetName val="124_034"/>
      <sheetName val="124_044"/>
      <sheetName val="124_054"/>
      <sheetName val="148_014"/>
      <sheetName val="148_024"/>
      <sheetName val="157_014"/>
      <sheetName val="157_024"/>
      <sheetName val="PN-4_2_1_034"/>
      <sheetName val="PN-4_2_1_054"/>
      <sheetName val="PN-4_2_1_084"/>
      <sheetName val="4_2_1_164"/>
      <sheetName val="4_2_1_214"/>
      <sheetName val="4_2_1_294"/>
      <sheetName val="4_2_1_304"/>
      <sheetName val="registros_punta4"/>
      <sheetName val="(Distribuidor)-La_Victoria4"/>
      <sheetName val="4_2_4_104"/>
      <sheetName val="4_2_4_044"/>
      <sheetName val="4_2_4_114"/>
      <sheetName val="4_2_4_154"/>
      <sheetName val="4_2_4_164"/>
      <sheetName val="4_2_4_134"/>
      <sheetName val="125_014"/>
      <sheetName val="125_024"/>
      <sheetName val="177_014"/>
      <sheetName val="177_024"/>
      <sheetName val="177_034"/>
      <sheetName val="177_044"/>
      <sheetName val="177_054"/>
      <sheetName val="177_064"/>
      <sheetName val="177_074"/>
      <sheetName val="158_014"/>
      <sheetName val="158_024"/>
      <sheetName val="158_034"/>
      <sheetName val="158_044"/>
      <sheetName val="158_054"/>
      <sheetName val="(Distribuidor)-Carre_Samaná4"/>
      <sheetName val="4_2_5_014"/>
      <sheetName val="4_2_5_034"/>
      <sheetName val="4_2_5_114"/>
      <sheetName val="4_2_5_124"/>
      <sheetName val="4_2_5_134"/>
      <sheetName val="4_2_5_144"/>
      <sheetName val="178_014"/>
      <sheetName val="178_024"/>
      <sheetName val="178_034"/>
      <sheetName val="178_044"/>
      <sheetName val="178_054"/>
      <sheetName val="PN-4_2_5_044"/>
      <sheetName val="PN-4_2_5_084"/>
      <sheetName val="PN-4_2_5_124"/>
      <sheetName val="PN-4_2_5_154"/>
      <sheetName val="(Paso_Inferior)-La_Victoria4"/>
      <sheetName val="4_3_2_104"/>
      <sheetName val="4_3_2_114"/>
      <sheetName val="4_3_2_124"/>
      <sheetName val="4_3_2_144"/>
      <sheetName val="4_3_2_154"/>
      <sheetName val="4_3_2_184"/>
      <sheetName val="4_3_2_214"/>
      <sheetName val="4_3_2_224"/>
      <sheetName val="(Paso_Inferior)-Mata_Mamón4"/>
      <sheetName val="4_3_3_104"/>
      <sheetName val="4_3_3_114"/>
      <sheetName val="4_3_3_124"/>
      <sheetName val="4_3_3_144"/>
      <sheetName val="4_3_3_184"/>
      <sheetName val="4_3_3_214"/>
      <sheetName val="4_3_3_224"/>
      <sheetName val="(Paso_Inferior)-Yabacao4"/>
      <sheetName val="136_014"/>
      <sheetName val="136_024"/>
      <sheetName val="136_034"/>
      <sheetName val="136_044"/>
      <sheetName val="149_014"/>
      <sheetName val="136_054"/>
      <sheetName val="(Puente)-Provisional_Ozama_4"/>
      <sheetName val="117_014"/>
      <sheetName val="117_024"/>
      <sheetName val="117_034"/>
      <sheetName val="117_044"/>
      <sheetName val="(Paso_Inferior)_El_Aguacate4"/>
      <sheetName val="(Paso_Inferior)-Los_Rojas4"/>
      <sheetName val="159_014"/>
      <sheetName val="159_024"/>
      <sheetName val="159_034"/>
      <sheetName val="159_044"/>
      <sheetName val="168_014"/>
      <sheetName val="168_024"/>
      <sheetName val="168_034"/>
      <sheetName val="179_014"/>
      <sheetName val="PN-4_3_6_064"/>
      <sheetName val="(Paso_Inferior)-El_Aguacate4"/>
      <sheetName val="169_014"/>
      <sheetName val="169_024"/>
      <sheetName val="Aguacate-_014"/>
      <sheetName val="169_034"/>
      <sheetName val="169_044"/>
      <sheetName val="180_014"/>
      <sheetName val="170_014"/>
      <sheetName val="170_024"/>
      <sheetName val="PN-4_3_5_034"/>
      <sheetName val="PN-4_3_5_044"/>
      <sheetName val="PN-4_3_5_054"/>
      <sheetName val="(Paso_Inferior)-Mal_Nombre4"/>
      <sheetName val="170_034"/>
      <sheetName val="170_044"/>
      <sheetName val="181_014"/>
      <sheetName val="181_024"/>
      <sheetName val="117_054"/>
      <sheetName val="117_064"/>
      <sheetName val="126_014"/>
      <sheetName val="126_024"/>
      <sheetName val="137_014"/>
      <sheetName val="&lt;T-12&gt;Sop_Pedrap_Puente_Prov_4"/>
      <sheetName val="PN-4_3_1_034"/>
      <sheetName val="PN-4_3_1_054"/>
      <sheetName val="PN-4_3_1_074"/>
      <sheetName val="&lt;T-9&gt;Sop_Pilotes4"/>
      <sheetName val="&lt;T-10&gt;Sop_Acero_Puentes4"/>
      <sheetName val="Misceláneos-Estr_4"/>
      <sheetName val="182_014"/>
      <sheetName val="&lt;P_U_&gt;Acero_Refuerzo4"/>
      <sheetName val="&lt;P_U_&gt;Pretensado_Cable_Acero4"/>
      <sheetName val="Wick_Drains-Geopier4"/>
      <sheetName val="109_014"/>
      <sheetName val="118_014"/>
      <sheetName val="118_024"/>
      <sheetName val="127_014"/>
      <sheetName val="171_01@171_034"/>
      <sheetName val="127_024"/>
      <sheetName val="127_034"/>
      <sheetName val="138_014"/>
      <sheetName val="&lt;T-13&gt;Drenes_Verticales4"/>
      <sheetName val="&lt;T-16&gt;Pre-Perforación_Drenes4"/>
      <sheetName val="&lt;T-17&gt;Columna_de_Grava4"/>
      <sheetName val="&lt;T-18&gt;Columna_Grava_Terravanza4"/>
      <sheetName val="4_4_024"/>
      <sheetName val="PN-4_4_014"/>
      <sheetName val="PN-4_4_024"/>
      <sheetName val="(5)-Estructura_de_Pavimento4"/>
      <sheetName val="5_014"/>
      <sheetName val="5_024"/>
      <sheetName val="5_03@5_064"/>
      <sheetName val="5_07@5_104"/>
      <sheetName val="5_114"/>
      <sheetName val="5_124"/>
      <sheetName val="5_134"/>
      <sheetName val="5_144"/>
      <sheetName val="5_154"/>
      <sheetName val="&lt;T-2&gt;Acopio_Base_Planta_Indio4"/>
      <sheetName val="&lt;P_U_&gt;Base_Estabilizada4"/>
      <sheetName val="5_16@5_194"/>
      <sheetName val="160_014"/>
      <sheetName val="160_024"/>
      <sheetName val="183_014"/>
      <sheetName val="183_024"/>
      <sheetName val="PN-5_014"/>
      <sheetName val="PN-5_034"/>
      <sheetName val="PN-5_044"/>
      <sheetName val="PN-5_054"/>
      <sheetName val="&lt;T-19&gt;Sop_SubBase4"/>
      <sheetName val="&lt;T-20&gt;Sop_Base4"/>
      <sheetName val="&lt;T-21&gt;Sop_Asfalto4"/>
      <sheetName val="6_2_014"/>
      <sheetName val="6_3_014"/>
      <sheetName val="6_3_024"/>
      <sheetName val="6_3_034"/>
      <sheetName val="6_3_044"/>
      <sheetName val="6_3_054"/>
      <sheetName val="6_3_194"/>
      <sheetName val="6_3_204"/>
      <sheetName val="6_3_214"/>
      <sheetName val="6_1_01_Contenes4"/>
      <sheetName val="6_1_02_Bordillos4"/>
      <sheetName val="6_1_03_Aceras_Hormigon_4"/>
      <sheetName val="6_1_04Relleno_Acera4"/>
      <sheetName val="Iluminacion_Vial4"/>
      <sheetName val="(7)-Electrificación_e_ilum_4"/>
      <sheetName val="7_014"/>
      <sheetName val="7_024"/>
      <sheetName val="107_014"/>
      <sheetName val="185_014"/>
      <sheetName val="&lt;T-11&gt;Sop_Militares4"/>
      <sheetName val="(Reembolsables)-Interf_Electri4"/>
      <sheetName val="186_014"/>
      <sheetName val="Pres__Interferencia_Electrica4"/>
      <sheetName val="(110)-Puente_Provisional4"/>
      <sheetName val="110_014"/>
      <sheetName val="x1-relleno_prueba4"/>
      <sheetName val="&lt;x1&gt;Relleno_Prueba_Avenida4"/>
      <sheetName val="&lt;Estatus_Proyecto&gt;4"/>
      <sheetName val="EXC__QMC4"/>
      <sheetName val="TRACT_MINA4"/>
      <sheetName val="%_Ralenti_CF-C12_4"/>
      <sheetName val="%_Ralenti_EXC_4"/>
      <sheetName val="%_Ralenti_EXC__(2)4"/>
      <sheetName val="REND_4"/>
      <sheetName val="T__HORA4"/>
      <sheetName val="Base_de_Dato4"/>
      <sheetName val="Los_Ángeles_(Fase_II)3"/>
      <sheetName val="MANO_DE_OBRA3"/>
      <sheetName val="Analisis_de_precios_SURFACE4"/>
      <sheetName val="BOQ_desglose_3"/>
      <sheetName val="MANT_TRANSITO3"/>
      <sheetName val="Analisis_de_Costos3"/>
      <sheetName val="Pu-Sanit_3"/>
      <sheetName val="Trabajos_Generales3"/>
      <sheetName val="Rendimientos_OM3"/>
      <sheetName val="Incremento_Precios2"/>
      <sheetName val="PARTIDAS_NUEVAS2"/>
      <sheetName val="Insumos_materiales2"/>
      <sheetName val="Costos_Mano_de_Obra2"/>
      <sheetName val="Ana__Horm_mexc_mort2"/>
      <sheetName val="anal_term2"/>
      <sheetName val="Anal__horm_2"/>
      <sheetName val="PU-Elect_2"/>
      <sheetName val="Pres__2"/>
      <sheetName val="V_Tierras_A2"/>
      <sheetName val="ANALISIS_ENTREGABLE2"/>
      <sheetName val="Ins_22"/>
      <sheetName val="ANALISIS_STO_DGO9"/>
      <sheetName val="PRES__BOCA_NUEVA9"/>
      <sheetName val="CONTRARO_SEÑALIZACIONES9"/>
      <sheetName val="EDIFICIO_COUNTERS7"/>
      <sheetName val="LISTADO_INSUMOS_DEL_20007"/>
      <sheetName val="Presup_7"/>
      <sheetName val="PRESUP__HOSPIT__VERON5"/>
      <sheetName val="Análisis_de_Precios6"/>
      <sheetName val="Resumen_Precio_Equipos6"/>
      <sheetName val="O_M__y_Salarios6"/>
      <sheetName val="Planilla_&lt;ENM#5&gt;5"/>
      <sheetName val="Resumen_Reducciones5"/>
      <sheetName val="Planilla___5"/>
      <sheetName val="Estudios_y_Diseños5"/>
      <sheetName val="&lt;T-0&gt;Sop_Estudios_y_Diseños5"/>
      <sheetName val="Otros_Indirectos5"/>
      <sheetName val="(1)-Trab_Gen5"/>
      <sheetName val="1_015"/>
      <sheetName val="1_025"/>
      <sheetName val="1_035"/>
      <sheetName val="1_045"/>
      <sheetName val="1_055"/>
      <sheetName val="(2)-Mov_Tierra5"/>
      <sheetName val="2_015"/>
      <sheetName val="2_025"/>
      <sheetName val="2_035"/>
      <sheetName val="&lt;T-1&gt;Sop_Alambradas5"/>
      <sheetName val="100_015"/>
      <sheetName val="2_065"/>
      <sheetName val="2_075"/>
      <sheetName val="2_095"/>
      <sheetName val="&lt;T-3&gt;Sop_Exc_Inservible_&amp;_NCla5"/>
      <sheetName val="2_105"/>
      <sheetName val="2_115"/>
      <sheetName val="2_12@2_14-116_035"/>
      <sheetName val="Rutas_Acarreo5"/>
      <sheetName val="2_155"/>
      <sheetName val="2_165"/>
      <sheetName val="2_175"/>
      <sheetName val="2_185"/>
      <sheetName val="&lt;T-4&gt;Sop_Relleno-(Previo)5"/>
      <sheetName val="&lt;T-4&gt;Sop_Relleno-(Acumulado)5"/>
      <sheetName val="ajustes_de_reporte_relleno5"/>
      <sheetName val="&lt;T-4&gt;Sop_Relleno-(Periodo)5"/>
      <sheetName val="&lt;T-5&gt;Sop_Pedraplén5"/>
      <sheetName val="2_195"/>
      <sheetName val="2_225"/>
      <sheetName val="PN-2_045"/>
      <sheetName val="&lt;T-7&gt;Sop_Perfilado&amp;Grama5"/>
      <sheetName val="2_245"/>
      <sheetName val="2_365"/>
      <sheetName val="Mejoramiento_Fundación5"/>
      <sheetName val="116_015"/>
      <sheetName val="116_025"/>
      <sheetName val="&lt;T-14&gt;Estabilización_Cal5"/>
      <sheetName val="&lt;T-15&gt;Estabilización_Cemento5"/>
      <sheetName val="PN-2_065"/>
      <sheetName val="128_015"/>
      <sheetName val="&lt;Presup&gt;Tubería_Yuca5"/>
      <sheetName val="139_015"/>
      <sheetName val="&lt;Presup&gt;Tub_Haras_Nacionales5"/>
      <sheetName val="184_015"/>
      <sheetName val="&lt;Presup&gt;Tubería_Mata_Gorda5"/>
      <sheetName val="184_025"/>
      <sheetName val="&lt;Presup&gt;Tubería_El_Aguacate5"/>
      <sheetName val="184_035"/>
      <sheetName val="&lt;Presup&gt;Tubería_La_Victoria5"/>
      <sheetName val="139_025"/>
      <sheetName val="&lt;Presup&gt;Tubería_Juan_Tomás5"/>
      <sheetName val="161_015"/>
      <sheetName val="&lt;Presup&gt;Tubería_Mal_Nombre5"/>
      <sheetName val="PN-2_015"/>
      <sheetName val="&lt;Presup&gt;Tubería_Varios_Trabajo5"/>
      <sheetName val="3_1_025"/>
      <sheetName val="3_1_035"/>
      <sheetName val="150_015"/>
      <sheetName val="150_025"/>
      <sheetName val="162_015"/>
      <sheetName val="Drenaje_Subterraneo5"/>
      <sheetName val="3_3_015"/>
      <sheetName val="3_3_025"/>
      <sheetName val="Alc_Cajón5"/>
      <sheetName val="100_025"/>
      <sheetName val="3_4_1_015"/>
      <sheetName val="3_4_1_025"/>
      <sheetName val="3_4_1_035"/>
      <sheetName val="3_4_1_045"/>
      <sheetName val="3_4_1_055"/>
      <sheetName val="3_4_1_065"/>
      <sheetName val="3_4_1_075"/>
      <sheetName val="3_4_1_085"/>
      <sheetName val="3_4_1_095"/>
      <sheetName val="3_4_1_105"/>
      <sheetName val="3_4_1_115"/>
      <sheetName val="3_4_1_125"/>
      <sheetName val="101_015"/>
      <sheetName val="3_4_1_165"/>
      <sheetName val="3_4_1_175"/>
      <sheetName val="Alc_Tubular5"/>
      <sheetName val="3_4_2_015"/>
      <sheetName val="3_4_2_035"/>
      <sheetName val="3_4_2_045"/>
      <sheetName val="3_4_2_065"/>
      <sheetName val="3_4_2_075"/>
      <sheetName val="3_4_2_085"/>
      <sheetName val="3_4_2_095"/>
      <sheetName val="3_4_2_105"/>
      <sheetName val="3_4_2_115"/>
      <sheetName val="3_4_2_125"/>
      <sheetName val="&lt;T-6&gt;Sop_Exc_Rell_Estr_Alcant_5"/>
      <sheetName val="119_015"/>
      <sheetName val="119_025"/>
      <sheetName val="119_035"/>
      <sheetName val="119_045"/>
      <sheetName val="119_055"/>
      <sheetName val="119_065"/>
      <sheetName val="119_075"/>
      <sheetName val="119_085"/>
      <sheetName val="119_095"/>
      <sheetName val="129_015"/>
      <sheetName val="&lt;T-8&gt;Sop_Acero_Alcantarillas5"/>
      <sheetName val="(Puente)-Mal_Nombre5"/>
      <sheetName val="4_1_1_015"/>
      <sheetName val="4_1_1_045"/>
      <sheetName val="4_1_1_065"/>
      <sheetName val="4_1_1_085"/>
      <sheetName val="104_015"/>
      <sheetName val="104_025"/>
      <sheetName val="4_1_1_95"/>
      <sheetName val="4_1_1_105"/>
      <sheetName val="4_1_1_115"/>
      <sheetName val="4_1_1_125"/>
      <sheetName val="4_1_1_145"/>
      <sheetName val="4_1_1_155"/>
      <sheetName val="4_1_1_165"/>
      <sheetName val="4_1_1_185"/>
      <sheetName val="4_1_1_215"/>
      <sheetName val="130_015"/>
      <sheetName val="4_1_1_225"/>
      <sheetName val="4_1_1_255"/>
      <sheetName val="4_1_1_265"/>
      <sheetName val="120_015"/>
      <sheetName val="104_035"/>
      <sheetName val="4_1_4_045"/>
      <sheetName val="102_015"/>
      <sheetName val="102_025"/>
      <sheetName val="102_035"/>
      <sheetName val="102_045"/>
      <sheetName val="102_055"/>
      <sheetName val="4_1_4_065"/>
      <sheetName val="4_1_4_085"/>
      <sheetName val="4_1_4_095"/>
      <sheetName val="4_1_4_115"/>
      <sheetName val="4_1_4_185"/>
      <sheetName val="4_1_4_255"/>
      <sheetName val="106_025"/>
      <sheetName val="113_015"/>
      <sheetName val="113_025"/>
      <sheetName val="113_035"/>
      <sheetName val="106_015"/>
      <sheetName val="121_015"/>
      <sheetName val="121_025"/>
      <sheetName val="131_015"/>
      <sheetName val="131_025"/>
      <sheetName val="140_015"/>
      <sheetName val="140_025"/>
      <sheetName val="145_015"/>
      <sheetName val="145_025"/>
      <sheetName val="145_035"/>
      <sheetName val="145_045"/>
      <sheetName val="145_055"/>
      <sheetName val="163_015"/>
      <sheetName val="(Puente)-Haras_Nacionales5"/>
      <sheetName val="PN-4_2_2_025"/>
      <sheetName val="151_015"/>
      <sheetName val="4_2_2_025"/>
      <sheetName val="4_2_2_035"/>
      <sheetName val="4_2_2_045"/>
      <sheetName val="4_2_2_105"/>
      <sheetName val="151_025"/>
      <sheetName val="4_2_2_115"/>
      <sheetName val="4_2_2_125"/>
      <sheetName val="4_2_2_135"/>
      <sheetName val="103_015"/>
      <sheetName val="103_025"/>
      <sheetName val="103_035"/>
      <sheetName val="103_045"/>
      <sheetName val="105_015"/>
      <sheetName val="105_025"/>
      <sheetName val="105_035"/>
      <sheetName val="4_2_2_15_5"/>
      <sheetName val="4_2_2_165"/>
      <sheetName val="4_2_2_175"/>
      <sheetName val="108_015"/>
      <sheetName val="108_025"/>
      <sheetName val="108_035"/>
      <sheetName val="111_015"/>
      <sheetName val="111_025"/>
      <sheetName val="111_035"/>
      <sheetName val="111_045"/>
      <sheetName val="114_015"/>
      <sheetName val="122_015"/>
      <sheetName val="141_015"/>
      <sheetName val="141_025"/>
      <sheetName val="141_035"/>
      <sheetName val="132_015"/>
      <sheetName val="132_025"/>
      <sheetName val="zapata_bordillo-haras5"/>
      <sheetName val="4_1_3_045"/>
      <sheetName val="4_1_3_065"/>
      <sheetName val="4_1_3_075"/>
      <sheetName val="4_1_3_085"/>
      <sheetName val="4_1_3_095"/>
      <sheetName val="112_015"/>
      <sheetName val="112_025"/>
      <sheetName val="112_035"/>
      <sheetName val="112_045"/>
      <sheetName val="112_055"/>
      <sheetName val="112_065"/>
      <sheetName val="112_075"/>
      <sheetName val="4_1_3_015"/>
      <sheetName val="4_1_3_185"/>
      <sheetName val="4_1_3_255"/>
      <sheetName val="123_015"/>
      <sheetName val="123_025"/>
      <sheetName val="123_035"/>
      <sheetName val="133_015"/>
      <sheetName val="142_015"/>
      <sheetName val="142_025"/>
      <sheetName val="146_015"/>
      <sheetName val="146_025"/>
      <sheetName val="146_035"/>
      <sheetName val="146_045"/>
      <sheetName val="152_015"/>
      <sheetName val="152_025"/>
      <sheetName val="164_015"/>
      <sheetName val="zapata_bordillo_losa_Yuca5"/>
      <sheetName val="172_015"/>
      <sheetName val="172_025"/>
      <sheetName val="172_035"/>
      <sheetName val="PN-4_1_3_015"/>
      <sheetName val="PN-4_1_3_025"/>
      <sheetName val="PN-4_1_3_035"/>
      <sheetName val="PN-4_1_3_045"/>
      <sheetName val="4_1_2_065"/>
      <sheetName val="4_1_2_075"/>
      <sheetName val="4_1_2_115"/>
      <sheetName val="4_1_2_185"/>
      <sheetName val="4_1_2_205"/>
      <sheetName val="4_1_2_085"/>
      <sheetName val="4_1_2_255"/>
      <sheetName val="134_015"/>
      <sheetName val="134_025"/>
      <sheetName val="134_035"/>
      <sheetName val="143_015"/>
      <sheetName val="147_015"/>
      <sheetName val="153_015"/>
      <sheetName val="165_015"/>
      <sheetName val="165_025"/>
      <sheetName val="165_035"/>
      <sheetName val="173_015"/>
      <sheetName val="173_025"/>
      <sheetName val="PN-4_1_2_015"/>
      <sheetName val="PN-4_1_2_035"/>
      <sheetName val="PN-4_1_2_045"/>
      <sheetName val="PN-4_1_2_055"/>
      <sheetName val="153_025"/>
      <sheetName val="153_035"/>
      <sheetName val="4_1_5_045"/>
      <sheetName val="4_1_5_065"/>
      <sheetName val="4_1_5_075"/>
      <sheetName val="4_1_5_085"/>
      <sheetName val="4_1_5_095"/>
      <sheetName val="4_1_5_115"/>
      <sheetName val="154_015"/>
      <sheetName val="154_025"/>
      <sheetName val="135_015"/>
      <sheetName val="135_025"/>
      <sheetName val="135_035"/>
      <sheetName val="135_045"/>
      <sheetName val="135_055"/>
      <sheetName val="166_015"/>
      <sheetName val="174_015"/>
      <sheetName val="174_025"/>
      <sheetName val="174_035"/>
      <sheetName val="PN-4_1_5_035"/>
      <sheetName val="PN-4_1_5_055"/>
      <sheetName val="PN-4_1_5_065"/>
      <sheetName val="PN-4_1_5_075"/>
      <sheetName val="PN-4_1_5_085"/>
      <sheetName val="PN-4_1_5_095"/>
      <sheetName val="PN-4_1_5_115"/>
      <sheetName val="PN-4_1_5_125"/>
      <sheetName val="174_045"/>
      <sheetName val="174_055"/>
      <sheetName val="174_065"/>
      <sheetName val="174_075"/>
      <sheetName val="PN-4_1_5_135"/>
      <sheetName val="4_1_6_025"/>
      <sheetName val="4_1_6_055"/>
      <sheetName val="4_1_6_075"/>
      <sheetName val="4_1_6_095"/>
      <sheetName val="4_1_6_105"/>
      <sheetName val="&lt;P_U_&gt;Estructura_Puente5"/>
      <sheetName val="4_1_6_135"/>
      <sheetName val="4_1_6_175"/>
      <sheetName val="175_015"/>
      <sheetName val="175_025"/>
      <sheetName val="175_035"/>
      <sheetName val="175_045"/>
      <sheetName val="PN-4_1_6_035"/>
      <sheetName val="175_055"/>
      <sheetName val="144_015"/>
      <sheetName val="144_025"/>
      <sheetName val="144_035"/>
      <sheetName val="155_015"/>
      <sheetName val="155_025"/>
      <sheetName val="155_035"/>
      <sheetName val="PN-4_1_6_065"/>
      <sheetName val="PN-4_1_6_09@PN-4_1_6_115"/>
      <sheetName val="PN-4_1_6_145"/>
      <sheetName val="(Puente)-Juan_Tomas5"/>
      <sheetName val="156_015"/>
      <sheetName val="156_025"/>
      <sheetName val="167_015"/>
      <sheetName val="176_015"/>
      <sheetName val="176_025"/>
      <sheetName val="176_035"/>
      <sheetName val="176_045"/>
      <sheetName val="176_055"/>
      <sheetName val="176_065"/>
      <sheetName val="176_075"/>
      <sheetName val="176_085"/>
      <sheetName val="176_095"/>
      <sheetName val="176_105"/>
      <sheetName val="176_115"/>
      <sheetName val="176_125"/>
      <sheetName val="PN-4_1_7_045"/>
      <sheetName val="PN-4_1_7_055"/>
      <sheetName val="PN-4_1_7_065"/>
      <sheetName val="PN-4_1_7_095"/>
      <sheetName val="PN-4_1_7_105"/>
      <sheetName val="PN-4_1_7_115"/>
      <sheetName val="PN-4_1_7_125"/>
      <sheetName val="PN-4_1_7_145"/>
      <sheetName val="PN-4_1_7_205"/>
      <sheetName val="PN-4_1_7_295"/>
      <sheetName val="4_2_1_055"/>
      <sheetName val="4_2_1_175"/>
      <sheetName val="4_2_1_10_5"/>
      <sheetName val="4_2_1_115"/>
      <sheetName val="4_2_1_135"/>
      <sheetName val="115_015"/>
      <sheetName val="115_025"/>
      <sheetName val="115_035"/>
      <sheetName val="115_045"/>
      <sheetName val="115_055"/>
      <sheetName val="115_065"/>
      <sheetName val="115_075"/>
      <sheetName val="115_085"/>
      <sheetName val="124_015"/>
      <sheetName val="124_025"/>
      <sheetName val="124_035"/>
      <sheetName val="124_045"/>
      <sheetName val="124_055"/>
      <sheetName val="148_015"/>
      <sheetName val="148_025"/>
      <sheetName val="157_015"/>
      <sheetName val="157_025"/>
      <sheetName val="PN-4_2_1_035"/>
      <sheetName val="PN-4_2_1_055"/>
      <sheetName val="PN-4_2_1_085"/>
      <sheetName val="4_2_1_165"/>
      <sheetName val="4_2_1_215"/>
      <sheetName val="4_2_1_295"/>
      <sheetName val="4_2_1_305"/>
      <sheetName val="registros_punta5"/>
      <sheetName val="(Distribuidor)-La_Victoria5"/>
      <sheetName val="4_2_4_105"/>
      <sheetName val="4_2_4_045"/>
      <sheetName val="4_2_4_115"/>
      <sheetName val="4_2_4_155"/>
      <sheetName val="4_2_4_165"/>
      <sheetName val="4_2_4_135"/>
      <sheetName val="125_015"/>
      <sheetName val="125_025"/>
      <sheetName val="177_015"/>
      <sheetName val="177_025"/>
      <sheetName val="177_035"/>
      <sheetName val="177_045"/>
      <sheetName val="177_055"/>
      <sheetName val="177_065"/>
      <sheetName val="177_075"/>
      <sheetName val="158_015"/>
      <sheetName val="158_025"/>
      <sheetName val="158_035"/>
      <sheetName val="158_045"/>
      <sheetName val="158_055"/>
      <sheetName val="(Distribuidor)-Carre_Samaná5"/>
      <sheetName val="4_2_5_015"/>
      <sheetName val="4_2_5_035"/>
      <sheetName val="4_2_5_115"/>
      <sheetName val="4_2_5_125"/>
      <sheetName val="4_2_5_135"/>
      <sheetName val="4_2_5_145"/>
      <sheetName val="178_015"/>
      <sheetName val="178_025"/>
      <sheetName val="178_035"/>
      <sheetName val="178_045"/>
      <sheetName val="178_055"/>
      <sheetName val="PN-4_2_5_045"/>
      <sheetName val="PN-4_2_5_085"/>
      <sheetName val="PN-4_2_5_125"/>
      <sheetName val="PN-4_2_5_155"/>
      <sheetName val="(Paso_Inferior)-La_Victoria5"/>
      <sheetName val="4_3_2_105"/>
      <sheetName val="4_3_2_115"/>
      <sheetName val="4_3_2_125"/>
      <sheetName val="4_3_2_145"/>
      <sheetName val="4_3_2_155"/>
      <sheetName val="4_3_2_185"/>
      <sheetName val="4_3_2_215"/>
      <sheetName val="4_3_2_225"/>
      <sheetName val="(Paso_Inferior)-Mata_Mamón5"/>
      <sheetName val="4_3_3_105"/>
      <sheetName val="4_3_3_115"/>
      <sheetName val="4_3_3_125"/>
      <sheetName val="4_3_3_145"/>
      <sheetName val="4_3_3_185"/>
      <sheetName val="4_3_3_215"/>
      <sheetName val="4_3_3_225"/>
      <sheetName val="(Paso_Inferior)-Yabacao5"/>
      <sheetName val="136_015"/>
      <sheetName val="136_025"/>
      <sheetName val="136_035"/>
      <sheetName val="136_045"/>
      <sheetName val="149_015"/>
      <sheetName val="136_055"/>
      <sheetName val="(Puente)-Provisional_Ozama_5"/>
      <sheetName val="117_015"/>
      <sheetName val="117_025"/>
      <sheetName val="117_035"/>
      <sheetName val="117_045"/>
      <sheetName val="(Paso_Inferior)_El_Aguacate5"/>
      <sheetName val="(Paso_Inferior)-Los_Rojas5"/>
      <sheetName val="159_015"/>
      <sheetName val="159_025"/>
      <sheetName val="159_035"/>
      <sheetName val="159_045"/>
      <sheetName val="168_015"/>
      <sheetName val="168_025"/>
      <sheetName val="168_035"/>
      <sheetName val="179_015"/>
      <sheetName val="PN-4_3_6_065"/>
      <sheetName val="(Paso_Inferior)-El_Aguacate5"/>
      <sheetName val="169_015"/>
      <sheetName val="169_025"/>
      <sheetName val="Aguacate-_015"/>
      <sheetName val="169_035"/>
      <sheetName val="169_045"/>
      <sheetName val="180_015"/>
      <sheetName val="170_015"/>
      <sheetName val="170_025"/>
      <sheetName val="PN-4_3_5_035"/>
      <sheetName val="PN-4_3_5_045"/>
      <sheetName val="PN-4_3_5_055"/>
      <sheetName val="(Paso_Inferior)-Mal_Nombre5"/>
      <sheetName val="170_035"/>
      <sheetName val="170_045"/>
      <sheetName val="181_015"/>
      <sheetName val="181_025"/>
      <sheetName val="117_055"/>
      <sheetName val="117_065"/>
      <sheetName val="126_015"/>
      <sheetName val="126_025"/>
      <sheetName val="137_015"/>
      <sheetName val="&lt;T-12&gt;Sop_Pedrap_Puente_Prov_5"/>
      <sheetName val="PN-4_3_1_035"/>
      <sheetName val="PN-4_3_1_055"/>
      <sheetName val="PN-4_3_1_075"/>
      <sheetName val="&lt;T-9&gt;Sop_Pilotes5"/>
      <sheetName val="&lt;T-10&gt;Sop_Acero_Puentes5"/>
      <sheetName val="Misceláneos-Estr_5"/>
      <sheetName val="182_015"/>
      <sheetName val="&lt;P_U_&gt;Acero_Refuerzo5"/>
      <sheetName val="&lt;P_U_&gt;Pretensado_Cable_Acero5"/>
      <sheetName val="Wick_Drains-Geopier5"/>
      <sheetName val="109_015"/>
      <sheetName val="118_015"/>
      <sheetName val="118_025"/>
      <sheetName val="127_015"/>
      <sheetName val="171_01@171_035"/>
      <sheetName val="127_025"/>
      <sheetName val="127_035"/>
      <sheetName val="138_015"/>
      <sheetName val="&lt;T-13&gt;Drenes_Verticales5"/>
      <sheetName val="&lt;T-16&gt;Pre-Perforación_Drenes5"/>
      <sheetName val="&lt;T-17&gt;Columna_de_Grava5"/>
      <sheetName val="&lt;T-18&gt;Columna_Grava_Terravanza5"/>
      <sheetName val="4_4_025"/>
      <sheetName val="PN-4_4_015"/>
      <sheetName val="PN-4_4_025"/>
      <sheetName val="(5)-Estructura_de_Pavimento5"/>
      <sheetName val="5_015"/>
      <sheetName val="5_025"/>
      <sheetName val="5_03@5_065"/>
      <sheetName val="5_07@5_105"/>
      <sheetName val="5_115"/>
      <sheetName val="5_125"/>
      <sheetName val="5_135"/>
      <sheetName val="5_145"/>
      <sheetName val="5_155"/>
      <sheetName val="&lt;T-2&gt;Acopio_Base_Planta_Indio5"/>
      <sheetName val="&lt;P_U_&gt;Base_Estabilizada5"/>
      <sheetName val="5_16@5_195"/>
      <sheetName val="160_015"/>
      <sheetName val="160_025"/>
      <sheetName val="183_015"/>
      <sheetName val="183_025"/>
      <sheetName val="PN-5_015"/>
      <sheetName val="PN-5_035"/>
      <sheetName val="PN-5_045"/>
      <sheetName val="PN-5_055"/>
      <sheetName val="&lt;T-19&gt;Sop_SubBase5"/>
      <sheetName val="&lt;T-20&gt;Sop_Base5"/>
      <sheetName val="&lt;T-21&gt;Sop_Asfalto5"/>
      <sheetName val="6_2_015"/>
      <sheetName val="6_3_015"/>
      <sheetName val="6_3_025"/>
      <sheetName val="6_3_035"/>
      <sheetName val="6_3_045"/>
      <sheetName val="6_3_055"/>
      <sheetName val="6_3_195"/>
      <sheetName val="6_3_205"/>
      <sheetName val="6_3_215"/>
      <sheetName val="6_1_01_Contenes5"/>
      <sheetName val="6_1_02_Bordillos5"/>
      <sheetName val="6_1_03_Aceras_Hormigon_5"/>
      <sheetName val="6_1_04Relleno_Acera5"/>
      <sheetName val="Iluminacion_Vial5"/>
      <sheetName val="(7)-Electrificación_e_ilum_5"/>
      <sheetName val="7_015"/>
      <sheetName val="7_025"/>
      <sheetName val="107_015"/>
      <sheetName val="185_015"/>
      <sheetName val="&lt;T-11&gt;Sop_Militares5"/>
      <sheetName val="(Reembolsables)-Interf_Electri5"/>
      <sheetName val="186_015"/>
      <sheetName val="Pres__Interferencia_Electrica5"/>
      <sheetName val="(110)-Puente_Provisional5"/>
      <sheetName val="110_015"/>
      <sheetName val="x1-relleno_prueba5"/>
      <sheetName val="&lt;x1&gt;Relleno_Prueba_Avenida5"/>
      <sheetName val="&lt;Estatus_Proyecto&gt;5"/>
      <sheetName val="EXC__QMC5"/>
      <sheetName val="TRACT_MINA5"/>
      <sheetName val="%_Ralenti_CF-C12_5"/>
      <sheetName val="%_Ralenti_EXC_5"/>
      <sheetName val="%_Ralenti_EXC__(2)5"/>
      <sheetName val="REND_5"/>
      <sheetName val="T__HORA5"/>
      <sheetName val="Base_de_Dato5"/>
      <sheetName val="Los_Ángeles_(Fase_II)4"/>
      <sheetName val="MANO_DE_OBRA4"/>
      <sheetName val="Analisis_de_precios_SURFACE5"/>
      <sheetName val="BOQ_desglose_4"/>
      <sheetName val="MANT_TRANSITO4"/>
      <sheetName val="Analisis_de_Costos4"/>
      <sheetName val="Pu-Sanit_4"/>
      <sheetName val="Trabajos_Generales4"/>
      <sheetName val="Rendimientos_OM4"/>
      <sheetName val="Incremento_Precios3"/>
      <sheetName val="PARTIDAS_NUEVAS3"/>
      <sheetName val="Insumos_materiales3"/>
      <sheetName val="Costos_Mano_de_Obra3"/>
      <sheetName val="Ana__Horm_mexc_mort3"/>
      <sheetName val="anal_term3"/>
      <sheetName val="Anal__horm_3"/>
      <sheetName val="PU-Elect_3"/>
      <sheetName val="Pres__3"/>
      <sheetName val="V_Tierras_A3"/>
      <sheetName val="ANALISIS_ENTREGABLE3"/>
      <sheetName val="Ins_2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s"/>
      <sheetName val="PP"/>
      <sheetName val="511"/>
      <sheetName val="501"/>
      <sheetName val="502"/>
      <sheetName val="Perda de produtividade_INSUMOS"/>
      <sheetName val="Overview"/>
      <sheetName val="Parameters"/>
      <sheetName val="Relatorio"/>
      <sheetName val="PM"/>
      <sheetName val="DADOS"/>
      <sheetName val="RELATÓRIO"/>
      <sheetName val="Gr.Indisp."/>
      <sheetName val="Gr.Oper-Conf"/>
      <sheetName val="COT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P"/>
      <sheetName val="DS"/>
      <sheetName val="ANA"/>
      <sheetName val="PRE"/>
      <sheetName val="INS"/>
      <sheetName val="AC-Capítulo No.7"/>
      <sheetName val="AC-Capítulo No.5"/>
      <sheetName val="AC-Capítulo No.2"/>
      <sheetName val="AC-Capítulo No.18"/>
      <sheetName val="AC-Complementarios"/>
      <sheetName val="Volumenes"/>
      <sheetName val="anal term"/>
      <sheetName val="Ana-Sanit."/>
      <sheetName val="Anal. horm."/>
      <sheetName val="UASD"/>
      <sheetName val="Mat"/>
      <sheetName val="Pu-Sanit."/>
      <sheetName val="Hoja1"/>
      <sheetName val="M.O."/>
      <sheetName val="AC-Capítulo_No_7"/>
      <sheetName val="AC-Capítulo_No_5"/>
      <sheetName val="AC-Capítulo_No_2"/>
      <sheetName val="AC-Capítulo_No_18"/>
      <sheetName val="anal_term"/>
      <sheetName val="Ana-Sanit_"/>
      <sheetName val="Anal__horm_"/>
      <sheetName val="Pu-Sanit_"/>
      <sheetName val="M_O_"/>
    </sheetNames>
    <sheetDataSet>
      <sheetData sheetId="0" refreshError="1"/>
      <sheetData sheetId="1" refreshError="1"/>
      <sheetData sheetId="2" refreshError="1"/>
      <sheetData sheetId="3" refreshError="1">
        <row r="190">
          <cell r="F190">
            <v>36.760000000000005</v>
          </cell>
        </row>
        <row r="232">
          <cell r="F232">
            <v>27.77</v>
          </cell>
        </row>
        <row r="239">
          <cell r="F239">
            <v>71.930000000000007</v>
          </cell>
        </row>
        <row r="246">
          <cell r="F246">
            <v>108.78999999999999</v>
          </cell>
        </row>
        <row r="275">
          <cell r="F275">
            <v>29.410000000000004</v>
          </cell>
        </row>
        <row r="324">
          <cell r="F324">
            <v>16.64</v>
          </cell>
        </row>
        <row r="331">
          <cell r="F331">
            <v>37.800000000000004</v>
          </cell>
        </row>
        <row r="338">
          <cell r="F338">
            <v>55.54999999999999</v>
          </cell>
        </row>
        <row r="373">
          <cell r="F373">
            <v>17.170000000000002</v>
          </cell>
        </row>
        <row r="415">
          <cell r="F415">
            <v>47.57</v>
          </cell>
        </row>
        <row r="429">
          <cell r="F429">
            <v>32.340000000000003</v>
          </cell>
        </row>
        <row r="451">
          <cell r="F451">
            <v>55.51</v>
          </cell>
        </row>
        <row r="514">
          <cell r="F514">
            <v>102.43749999999999</v>
          </cell>
        </row>
        <row r="526">
          <cell r="F526">
            <v>266.39750000000004</v>
          </cell>
        </row>
        <row r="536">
          <cell r="F536">
            <v>150.01</v>
          </cell>
        </row>
        <row r="907">
          <cell r="F907">
            <v>7767.3603186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AO"/>
      <sheetName val="BG"/>
      <sheetName val="EE"/>
      <sheetName val="PV"/>
      <sheetName val="SG"/>
      <sheetName val="TI"/>
      <sheetName val="Plan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T57" t="str">
            <v>FILL ALL DATES</v>
          </cell>
        </row>
        <row r="58">
          <cell r="B58">
            <v>51</v>
          </cell>
          <cell r="T58" t="str">
            <v>FILL ALL DATES</v>
          </cell>
        </row>
        <row r="59">
          <cell r="B59">
            <v>52</v>
          </cell>
          <cell r="T59" t="str">
            <v>FILL ALL DATES</v>
          </cell>
        </row>
        <row r="60">
          <cell r="B60">
            <v>53</v>
          </cell>
          <cell r="T60" t="str">
            <v>FILL ALL DATES</v>
          </cell>
        </row>
        <row r="61">
          <cell r="B61">
            <v>54</v>
          </cell>
          <cell r="T61" t="str">
            <v>FILL ALL DATES</v>
          </cell>
        </row>
        <row r="62">
          <cell r="B62">
            <v>55</v>
          </cell>
          <cell r="T62" t="str">
            <v>FILL ALL DATES</v>
          </cell>
        </row>
        <row r="63">
          <cell r="B63">
            <v>56</v>
          </cell>
          <cell r="T63" t="str">
            <v>FILL ALL DATES</v>
          </cell>
        </row>
        <row r="64">
          <cell r="B64">
            <v>57</v>
          </cell>
          <cell r="T64" t="str">
            <v>FILL ALL DATES</v>
          </cell>
        </row>
        <row r="65">
          <cell r="B65">
            <v>58</v>
          </cell>
          <cell r="T65" t="str">
            <v>FILL ALL DATES</v>
          </cell>
        </row>
        <row r="66">
          <cell r="B66">
            <v>59</v>
          </cell>
          <cell r="T66" t="str">
            <v>FILL ALL DATES</v>
          </cell>
        </row>
        <row r="67">
          <cell r="B67">
            <v>60</v>
          </cell>
          <cell r="T67" t="str">
            <v>FILL ALL DATES</v>
          </cell>
        </row>
        <row r="68">
          <cell r="B68">
            <v>61</v>
          </cell>
          <cell r="T68" t="str">
            <v>FILL ALL DATES</v>
          </cell>
        </row>
        <row r="69">
          <cell r="B69">
            <v>62</v>
          </cell>
          <cell r="T69" t="str">
            <v>FILL ALL DATES</v>
          </cell>
        </row>
        <row r="70">
          <cell r="B70">
            <v>63</v>
          </cell>
          <cell r="T70" t="str">
            <v>FILL ALL DATES</v>
          </cell>
        </row>
        <row r="71">
          <cell r="B71">
            <v>64</v>
          </cell>
          <cell r="T71" t="str">
            <v>FILL ALL DATES</v>
          </cell>
        </row>
        <row r="72">
          <cell r="B72">
            <v>65</v>
          </cell>
          <cell r="T72" t="str">
            <v>FILL ALL DATES</v>
          </cell>
        </row>
        <row r="73">
          <cell r="B73">
            <v>66</v>
          </cell>
          <cell r="T73" t="str">
            <v>FILL ALL DATES</v>
          </cell>
        </row>
        <row r="74">
          <cell r="B74">
            <v>67</v>
          </cell>
          <cell r="T74" t="str">
            <v>FILL ALL DATES</v>
          </cell>
        </row>
        <row r="75">
          <cell r="B75">
            <v>68</v>
          </cell>
          <cell r="T75" t="str">
            <v>FILL ALL DATES</v>
          </cell>
        </row>
        <row r="76">
          <cell r="B76">
            <v>69</v>
          </cell>
          <cell r="T76" t="str">
            <v>FILL ALL DATES</v>
          </cell>
        </row>
        <row r="77">
          <cell r="B77">
            <v>70</v>
          </cell>
          <cell r="T77" t="str">
            <v>FILL ALL DATES</v>
          </cell>
        </row>
        <row r="78">
          <cell r="B78">
            <v>71</v>
          </cell>
          <cell r="T78" t="str">
            <v>FILL ALL DATES</v>
          </cell>
        </row>
        <row r="79">
          <cell r="B79">
            <v>72</v>
          </cell>
          <cell r="T79" t="str">
            <v>FILL ALL DATES</v>
          </cell>
        </row>
        <row r="80">
          <cell r="B80">
            <v>73</v>
          </cell>
          <cell r="T80" t="str">
            <v>FILL ALL DATES</v>
          </cell>
        </row>
        <row r="81">
          <cell r="B81">
            <v>74</v>
          </cell>
          <cell r="T81" t="str">
            <v>FILL ALL DATES</v>
          </cell>
        </row>
        <row r="82">
          <cell r="B82">
            <v>75</v>
          </cell>
          <cell r="T82" t="str">
            <v>FILL ALL DATES</v>
          </cell>
        </row>
        <row r="83">
          <cell r="B83">
            <v>76</v>
          </cell>
          <cell r="T83" t="str">
            <v>FILL ALL DATES</v>
          </cell>
        </row>
        <row r="84">
          <cell r="B84">
            <v>77</v>
          </cell>
          <cell r="T84" t="str">
            <v>FILL ALL DATES</v>
          </cell>
        </row>
        <row r="85">
          <cell r="B85">
            <v>78</v>
          </cell>
          <cell r="T85" t="str">
            <v>FILL ALL DATES</v>
          </cell>
        </row>
        <row r="86">
          <cell r="B86">
            <v>79</v>
          </cell>
          <cell r="T86" t="str">
            <v>FILL ALL DATES</v>
          </cell>
        </row>
        <row r="87">
          <cell r="B87">
            <v>80</v>
          </cell>
          <cell r="T87" t="str">
            <v>FILL ALL DATES</v>
          </cell>
        </row>
        <row r="88">
          <cell r="B88">
            <v>81</v>
          </cell>
          <cell r="T88" t="str">
            <v>FILL ALL DATES</v>
          </cell>
        </row>
        <row r="89">
          <cell r="B89">
            <v>82</v>
          </cell>
          <cell r="T89" t="str">
            <v>FILL ALL DATES</v>
          </cell>
        </row>
        <row r="90">
          <cell r="B90">
            <v>83</v>
          </cell>
          <cell r="T90" t="str">
            <v>FILL ALL DATES</v>
          </cell>
        </row>
        <row r="91">
          <cell r="B91">
            <v>84</v>
          </cell>
          <cell r="T91" t="str">
            <v>FILL ALL DATES</v>
          </cell>
        </row>
        <row r="92">
          <cell r="B92">
            <v>85</v>
          </cell>
          <cell r="T92" t="str">
            <v>FILL ALL DATES</v>
          </cell>
        </row>
        <row r="93">
          <cell r="B93">
            <v>86</v>
          </cell>
          <cell r="T93" t="str">
            <v>FILL ALL DATES</v>
          </cell>
        </row>
        <row r="94">
          <cell r="B94">
            <v>87</v>
          </cell>
          <cell r="T94" t="str">
            <v>FILL ALL DATES</v>
          </cell>
        </row>
        <row r="95">
          <cell r="B95">
            <v>88</v>
          </cell>
          <cell r="T95" t="str">
            <v>FILL ALL DATES</v>
          </cell>
        </row>
        <row r="96">
          <cell r="B96">
            <v>89</v>
          </cell>
          <cell r="T96" t="str">
            <v>FILL ALL DATES</v>
          </cell>
        </row>
        <row r="97">
          <cell r="B97">
            <v>90</v>
          </cell>
          <cell r="T97" t="str">
            <v>FILL ALL DATES</v>
          </cell>
        </row>
        <row r="98">
          <cell r="B98">
            <v>91</v>
          </cell>
          <cell r="T98" t="str">
            <v>FILL ALL DATES</v>
          </cell>
        </row>
        <row r="99">
          <cell r="B99">
            <v>92</v>
          </cell>
          <cell r="T99" t="str">
            <v>FILL ALL DATES</v>
          </cell>
        </row>
        <row r="100">
          <cell r="B100">
            <v>93</v>
          </cell>
          <cell r="T100" t="str">
            <v>FILL ALL DATES</v>
          </cell>
        </row>
        <row r="101">
          <cell r="B101">
            <v>94</v>
          </cell>
          <cell r="T101" t="str">
            <v>FILL ALL DATES</v>
          </cell>
        </row>
        <row r="102">
          <cell r="B102">
            <v>95</v>
          </cell>
          <cell r="T102" t="str">
            <v>FILL ALL DATES</v>
          </cell>
        </row>
        <row r="103">
          <cell r="B103">
            <v>96</v>
          </cell>
          <cell r="T103" t="str">
            <v>FILL ALL DATES</v>
          </cell>
        </row>
        <row r="104">
          <cell r="B104">
            <v>97</v>
          </cell>
          <cell r="T104" t="str">
            <v>FILL ALL DATES</v>
          </cell>
        </row>
        <row r="105">
          <cell r="B105">
            <v>98</v>
          </cell>
          <cell r="T105" t="str">
            <v>FILL ALL DATES</v>
          </cell>
        </row>
        <row r="106">
          <cell r="B106">
            <v>99</v>
          </cell>
          <cell r="T106" t="str">
            <v>FILL ALL DATES</v>
          </cell>
        </row>
        <row r="107">
          <cell r="B107">
            <v>100</v>
          </cell>
          <cell r="T107" t="str">
            <v>FILL ALL DATES</v>
          </cell>
        </row>
        <row r="108">
          <cell r="B108">
            <v>101</v>
          </cell>
          <cell r="T108" t="str">
            <v>FILL ALL DATES</v>
          </cell>
        </row>
        <row r="109">
          <cell r="B109">
            <v>102</v>
          </cell>
          <cell r="T109" t="str">
            <v>FILL ALL DATES</v>
          </cell>
        </row>
        <row r="110">
          <cell r="B110">
            <v>103</v>
          </cell>
          <cell r="T110" t="str">
            <v>FILL ALL DATES</v>
          </cell>
        </row>
        <row r="111">
          <cell r="B111">
            <v>104</v>
          </cell>
          <cell r="T111" t="str">
            <v>FILL ALL DATES</v>
          </cell>
        </row>
        <row r="112">
          <cell r="B112">
            <v>105</v>
          </cell>
          <cell r="T112" t="str">
            <v>FILL ALL DATES</v>
          </cell>
        </row>
        <row r="113">
          <cell r="B113">
            <v>106</v>
          </cell>
          <cell r="T113" t="str">
            <v>FILL ALL DATES</v>
          </cell>
        </row>
        <row r="114">
          <cell r="B114">
            <v>107</v>
          </cell>
          <cell r="T114" t="str">
            <v>FILL ALL DATES</v>
          </cell>
        </row>
        <row r="115">
          <cell r="B115">
            <v>108</v>
          </cell>
          <cell r="T115" t="str">
            <v>FILL ALL DATES</v>
          </cell>
        </row>
        <row r="116">
          <cell r="B116">
            <v>109</v>
          </cell>
          <cell r="T116" t="str">
            <v>FILL ALL DATES</v>
          </cell>
        </row>
        <row r="117">
          <cell r="B117">
            <v>110</v>
          </cell>
          <cell r="T117" t="str">
            <v>FILL ALL DATES</v>
          </cell>
        </row>
        <row r="118">
          <cell r="B118">
            <v>111</v>
          </cell>
          <cell r="T118" t="str">
            <v>FILL ALL DATES</v>
          </cell>
        </row>
        <row r="119">
          <cell r="B119">
            <v>112</v>
          </cell>
          <cell r="T119" t="str">
            <v>FILL ALL DATES</v>
          </cell>
        </row>
        <row r="120">
          <cell r="B120">
            <v>113</v>
          </cell>
          <cell r="T120" t="str">
            <v>FILL ALL DATES</v>
          </cell>
        </row>
        <row r="121">
          <cell r="B121">
            <v>114</v>
          </cell>
          <cell r="T121" t="str">
            <v>FILL ALL DATES</v>
          </cell>
        </row>
        <row r="122">
          <cell r="B122">
            <v>115</v>
          </cell>
          <cell r="T122" t="str">
            <v>FILL ALL DATES</v>
          </cell>
        </row>
        <row r="123">
          <cell r="B123">
            <v>116</v>
          </cell>
          <cell r="T123" t="str">
            <v>FILL ALL DATES</v>
          </cell>
        </row>
        <row r="124">
          <cell r="B124">
            <v>117</v>
          </cell>
          <cell r="T124" t="str">
            <v>FILL ALL DATES</v>
          </cell>
        </row>
        <row r="125">
          <cell r="B125">
            <v>118</v>
          </cell>
          <cell r="T125" t="str">
            <v>FILL ALL DATES</v>
          </cell>
        </row>
        <row r="126">
          <cell r="B126">
            <v>119</v>
          </cell>
          <cell r="T126" t="str">
            <v>FILL ALL DATES</v>
          </cell>
        </row>
        <row r="127">
          <cell r="B127">
            <v>120</v>
          </cell>
          <cell r="T127" t="str">
            <v>FILL ALL DATES</v>
          </cell>
        </row>
        <row r="128">
          <cell r="B128">
            <v>121</v>
          </cell>
          <cell r="T128" t="str">
            <v>FILL ALL DATES</v>
          </cell>
        </row>
        <row r="129">
          <cell r="B129">
            <v>122</v>
          </cell>
          <cell r="T129" t="str">
            <v>FILL ALL DATES</v>
          </cell>
        </row>
        <row r="130">
          <cell r="B130">
            <v>123</v>
          </cell>
          <cell r="T130" t="str">
            <v>FILL ALL DATES</v>
          </cell>
        </row>
        <row r="131">
          <cell r="B131">
            <v>124</v>
          </cell>
          <cell r="T131" t="str">
            <v>FILL ALL DATES</v>
          </cell>
        </row>
        <row r="132">
          <cell r="B132">
            <v>125</v>
          </cell>
          <cell r="T132" t="str">
            <v>FILL ALL DATES</v>
          </cell>
        </row>
        <row r="133">
          <cell r="B133">
            <v>126</v>
          </cell>
          <cell r="T133" t="str">
            <v>FILL ALL DATES</v>
          </cell>
        </row>
        <row r="134">
          <cell r="B134">
            <v>127</v>
          </cell>
          <cell r="T134" t="str">
            <v>FILL ALL DATES</v>
          </cell>
        </row>
        <row r="135">
          <cell r="B135">
            <v>128</v>
          </cell>
          <cell r="T135" t="str">
            <v>FILL ALL DATES</v>
          </cell>
        </row>
        <row r="136">
          <cell r="B136">
            <v>129</v>
          </cell>
          <cell r="T136" t="str">
            <v>FILL ALL DATES</v>
          </cell>
        </row>
        <row r="137">
          <cell r="B137">
            <v>130</v>
          </cell>
          <cell r="T137" t="str">
            <v>FILL ALL DATES</v>
          </cell>
        </row>
        <row r="138">
          <cell r="B138">
            <v>131</v>
          </cell>
          <cell r="T138" t="str">
            <v>FILL ALL DATES</v>
          </cell>
        </row>
        <row r="139">
          <cell r="B139">
            <v>132</v>
          </cell>
          <cell r="T139" t="str">
            <v>FILL ALL DATES</v>
          </cell>
        </row>
        <row r="140">
          <cell r="B140">
            <v>133</v>
          </cell>
          <cell r="T140" t="str">
            <v>FILL ALL DATES</v>
          </cell>
        </row>
        <row r="141">
          <cell r="B141">
            <v>134</v>
          </cell>
          <cell r="T141" t="str">
            <v>FILL ALL DATES</v>
          </cell>
        </row>
        <row r="142">
          <cell r="B142">
            <v>135</v>
          </cell>
          <cell r="T142" t="str">
            <v>FILL ALL DATES</v>
          </cell>
        </row>
        <row r="143">
          <cell r="B143">
            <v>136</v>
          </cell>
          <cell r="T143" t="str">
            <v>FILL ALL DATES</v>
          </cell>
        </row>
        <row r="144">
          <cell r="B144">
            <v>137</v>
          </cell>
          <cell r="T144" t="str">
            <v>FILL ALL DATES</v>
          </cell>
        </row>
        <row r="145">
          <cell r="B145">
            <v>138</v>
          </cell>
          <cell r="T145" t="str">
            <v>FILL ALL DATES</v>
          </cell>
        </row>
        <row r="146">
          <cell r="B146">
            <v>139</v>
          </cell>
          <cell r="T146" t="str">
            <v>FILL ALL DATES</v>
          </cell>
        </row>
        <row r="147">
          <cell r="B147">
            <v>140</v>
          </cell>
          <cell r="T147" t="str">
            <v>FILL ALL DATES</v>
          </cell>
        </row>
        <row r="148">
          <cell r="B148">
            <v>141</v>
          </cell>
          <cell r="T148" t="str">
            <v>FILL ALL DATES</v>
          </cell>
        </row>
        <row r="149">
          <cell r="B149">
            <v>142</v>
          </cell>
          <cell r="T149" t="str">
            <v>FILL ALL DATES</v>
          </cell>
        </row>
        <row r="150">
          <cell r="B150">
            <v>143</v>
          </cell>
          <cell r="T150" t="str">
            <v>FILL ALL DATES</v>
          </cell>
        </row>
        <row r="151">
          <cell r="B151">
            <v>144</v>
          </cell>
          <cell r="T151" t="str">
            <v>FILL ALL DATES</v>
          </cell>
        </row>
        <row r="152">
          <cell r="B152">
            <v>145</v>
          </cell>
          <cell r="T152" t="str">
            <v>FILL ALL DATES</v>
          </cell>
        </row>
        <row r="153">
          <cell r="B153">
            <v>146</v>
          </cell>
          <cell r="T153" t="str">
            <v>FILL ALL DATES</v>
          </cell>
        </row>
        <row r="154">
          <cell r="B154">
            <v>147</v>
          </cell>
          <cell r="T154" t="str">
            <v>FILL ALL DATES</v>
          </cell>
        </row>
        <row r="155">
          <cell r="B155">
            <v>148</v>
          </cell>
          <cell r="T155" t="str">
            <v>FILL ALL DATES</v>
          </cell>
        </row>
        <row r="156">
          <cell r="B156">
            <v>149</v>
          </cell>
          <cell r="T156" t="str">
            <v>FILL ALL DATES</v>
          </cell>
        </row>
        <row r="157">
          <cell r="B157">
            <v>150</v>
          </cell>
          <cell r="T157" t="str">
            <v>FILL ALL DATES</v>
          </cell>
        </row>
        <row r="158">
          <cell r="B158">
            <v>151</v>
          </cell>
          <cell r="T158" t="str">
            <v>FILL ALL DATES</v>
          </cell>
        </row>
        <row r="159">
          <cell r="B159">
            <v>152</v>
          </cell>
          <cell r="T159" t="str">
            <v>FILL ALL DATES</v>
          </cell>
        </row>
        <row r="160">
          <cell r="B160">
            <v>153</v>
          </cell>
          <cell r="T160" t="str">
            <v>FILL ALL DATES</v>
          </cell>
        </row>
        <row r="161">
          <cell r="B161">
            <v>154</v>
          </cell>
          <cell r="T161" t="str">
            <v>FILL ALL DATES</v>
          </cell>
        </row>
        <row r="162">
          <cell r="B162">
            <v>155</v>
          </cell>
          <cell r="T162" t="str">
            <v>FILL ALL DATES</v>
          </cell>
        </row>
        <row r="163">
          <cell r="B163">
            <v>156</v>
          </cell>
          <cell r="T163" t="str">
            <v>FILL ALL DATES</v>
          </cell>
        </row>
        <row r="164">
          <cell r="B164">
            <v>157</v>
          </cell>
          <cell r="T164" t="str">
            <v>FILL ALL DATES</v>
          </cell>
        </row>
        <row r="165">
          <cell r="B165">
            <v>158</v>
          </cell>
          <cell r="T165" t="str">
            <v>FILL ALL DATES</v>
          </cell>
        </row>
        <row r="166">
          <cell r="B166">
            <v>159</v>
          </cell>
          <cell r="T166" t="str">
            <v>FILL ALL DATES</v>
          </cell>
        </row>
        <row r="167">
          <cell r="B167">
            <v>160</v>
          </cell>
          <cell r="T167" t="str">
            <v>FILL ALL DATES</v>
          </cell>
        </row>
        <row r="168">
          <cell r="B168">
            <v>161</v>
          </cell>
          <cell r="T168" t="str">
            <v>FILL ALL DATES</v>
          </cell>
        </row>
        <row r="169">
          <cell r="B169">
            <v>162</v>
          </cell>
          <cell r="T169" t="str">
            <v>FILL ALL DATES</v>
          </cell>
        </row>
        <row r="170">
          <cell r="B170">
            <v>163</v>
          </cell>
          <cell r="T170" t="str">
            <v>FILL ALL DATES</v>
          </cell>
        </row>
        <row r="171">
          <cell r="B171">
            <v>164</v>
          </cell>
          <cell r="T171" t="str">
            <v>FILL ALL DATES</v>
          </cell>
        </row>
        <row r="172">
          <cell r="B172">
            <v>165</v>
          </cell>
          <cell r="T172" t="str">
            <v>FILL ALL DATES</v>
          </cell>
        </row>
        <row r="173">
          <cell r="B173">
            <v>166</v>
          </cell>
          <cell r="T173" t="str">
            <v>FILL ALL DATES</v>
          </cell>
        </row>
        <row r="174">
          <cell r="B174">
            <v>167</v>
          </cell>
          <cell r="T174" t="str">
            <v>FILL ALL DATES</v>
          </cell>
        </row>
        <row r="175">
          <cell r="B175">
            <v>168</v>
          </cell>
          <cell r="T175" t="str">
            <v>FILL ALL DATES</v>
          </cell>
        </row>
        <row r="176">
          <cell r="B176">
            <v>169</v>
          </cell>
          <cell r="T176" t="str">
            <v>FILL ALL DATES</v>
          </cell>
        </row>
        <row r="177">
          <cell r="B177">
            <v>170</v>
          </cell>
          <cell r="T177" t="str">
            <v>FILL ALL DATES</v>
          </cell>
        </row>
        <row r="178">
          <cell r="B178">
            <v>171</v>
          </cell>
          <cell r="T178" t="str">
            <v>FILL ALL DATES</v>
          </cell>
        </row>
        <row r="179">
          <cell r="B179">
            <v>172</v>
          </cell>
          <cell r="T179" t="str">
            <v>FILL ALL DATES</v>
          </cell>
        </row>
        <row r="180">
          <cell r="B180">
            <v>173</v>
          </cell>
          <cell r="T180" t="str">
            <v>FILL ALL DATES</v>
          </cell>
        </row>
        <row r="181">
          <cell r="B181">
            <v>174</v>
          </cell>
          <cell r="T181" t="str">
            <v>FILL ALL DATES</v>
          </cell>
        </row>
        <row r="182">
          <cell r="B182">
            <v>175</v>
          </cell>
          <cell r="T182" t="str">
            <v>FILL ALL DATES</v>
          </cell>
        </row>
        <row r="183">
          <cell r="B183">
            <v>176</v>
          </cell>
          <cell r="T183" t="str">
            <v>FILL ALL DATES</v>
          </cell>
        </row>
        <row r="184">
          <cell r="B184">
            <v>177</v>
          </cell>
          <cell r="T184" t="str">
            <v>FILL ALL DATES</v>
          </cell>
        </row>
        <row r="185">
          <cell r="B185">
            <v>178</v>
          </cell>
          <cell r="T185" t="str">
            <v>FILL ALL DATES</v>
          </cell>
        </row>
        <row r="186">
          <cell r="B186">
            <v>179</v>
          </cell>
          <cell r="T186" t="str">
            <v>FILL ALL DATES</v>
          </cell>
        </row>
        <row r="187">
          <cell r="B187">
            <v>180</v>
          </cell>
          <cell r="T187" t="str">
            <v>FILL ALL DATES</v>
          </cell>
        </row>
        <row r="188">
          <cell r="B188">
            <v>181</v>
          </cell>
          <cell r="T188" t="str">
            <v>FILL ALL DATES</v>
          </cell>
        </row>
        <row r="189">
          <cell r="B189">
            <v>182</v>
          </cell>
          <cell r="T189" t="str">
            <v>FILL ALL DATES</v>
          </cell>
        </row>
        <row r="190">
          <cell r="B190">
            <v>183</v>
          </cell>
          <cell r="T190" t="str">
            <v>FILL ALL DATES</v>
          </cell>
        </row>
        <row r="191">
          <cell r="B191">
            <v>184</v>
          </cell>
          <cell r="T191" t="str">
            <v>FILL ALL DATES</v>
          </cell>
        </row>
        <row r="192">
          <cell r="B192">
            <v>185</v>
          </cell>
          <cell r="T192" t="str">
            <v>FILL ALL DATES</v>
          </cell>
        </row>
        <row r="193">
          <cell r="B193">
            <v>186</v>
          </cell>
          <cell r="T193" t="str">
            <v>FILL ALL DATES</v>
          </cell>
        </row>
        <row r="194">
          <cell r="B194">
            <v>187</v>
          </cell>
          <cell r="T194" t="str">
            <v>FILL ALL DATES</v>
          </cell>
        </row>
        <row r="195">
          <cell r="B195">
            <v>188</v>
          </cell>
          <cell r="T195" t="str">
            <v>FILL ALL DATES</v>
          </cell>
        </row>
        <row r="196">
          <cell r="B196">
            <v>189</v>
          </cell>
          <cell r="T196" t="str">
            <v>FILL ALL DATES</v>
          </cell>
        </row>
        <row r="197">
          <cell r="B197">
            <v>190</v>
          </cell>
          <cell r="T197" t="str">
            <v>FILL ALL DATES</v>
          </cell>
        </row>
        <row r="198">
          <cell r="B198">
            <v>191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193</v>
          </cell>
          <cell r="T201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RESUMEN GENERAL"/>
      <sheetName val="RESUMEN OB"/>
      <sheetName val="CUBICACION OB"/>
    </sheetNames>
    <sheetDataSet>
      <sheetData sheetId="0">
        <row r="15">
          <cell r="N15">
            <v>2325993.6433786633</v>
          </cell>
        </row>
        <row r="16">
          <cell r="N16">
            <v>1344373.9645100147</v>
          </cell>
        </row>
        <row r="17">
          <cell r="N17">
            <v>3670367.6078886781</v>
          </cell>
        </row>
        <row r="18">
          <cell r="N18">
            <v>3670367.6078886781</v>
          </cell>
        </row>
        <row r="22">
          <cell r="N22">
            <v>1579114.5664216317</v>
          </cell>
        </row>
        <row r="24">
          <cell r="N24">
            <v>2091253.0414670464</v>
          </cell>
        </row>
        <row r="26">
          <cell r="N26">
            <v>1312107.8899999999</v>
          </cell>
        </row>
        <row r="28">
          <cell r="N28">
            <v>779145.15146704647</v>
          </cell>
        </row>
        <row r="31">
          <cell r="N31">
            <v>183518.38039443363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FPACK"/>
    </sheetNames>
    <definedNames>
      <definedName name="FazFiltro"/>
      <definedName name="Imprimir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C.502-98"/>
      <sheetName val="I.C.502-99"/>
      <sheetName val="I.CRÍTICOS-98"/>
      <sheetName val="I.CRÍTICOS-99"/>
      <sheetName val="CAUSA PTP"/>
      <sheetName val="CAUSA PROD"/>
      <sheetName val="CAUSA 8S"/>
      <sheetName val="CAUSA TMEF-TMR"/>
      <sheetName val="CAUSA SABÃO"/>
      <sheetName val="CAUSA ÁGUA"/>
      <sheetName val="PLANO98"/>
      <sheetName val="PLANO99"/>
      <sheetName val="CUSTOS"/>
      <sheetName val="Custo Variável"/>
      <sheetName val="Master"/>
      <sheetName val="Resumen Costo"/>
    </sheetNames>
    <definedNames>
      <definedName name="Impressao"/>
      <definedName name="Muda_C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"/>
    </sheetNames>
    <definedNames>
      <definedName name="Impressao2"/>
      <definedName name="Muda_Cor2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Menu"/>
      <sheetName val="Assessment"/>
      <sheetName val="New Dependencies"/>
      <sheetName val="Doc Version"/>
      <sheetName val="Data"/>
      <sheetName val="FilterData"/>
      <sheetName val="Brewery_No"/>
      <sheetName val="look-u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 t="str">
            <v>In-Progress</v>
          </cell>
        </row>
        <row r="3">
          <cell r="M3" t="str">
            <v>Complete</v>
          </cell>
        </row>
        <row r="4">
          <cell r="M4" t="str">
            <v>Pending</v>
          </cell>
        </row>
        <row r="5">
          <cell r="M5" t="str">
            <v>Yes</v>
          </cell>
        </row>
        <row r="6">
          <cell r="M6" t="str">
            <v>No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P5P"/>
      <sheetName val="Seguimiento ALR 2022 (2)"/>
      <sheetName val="Seguimiento ALR 2022"/>
      <sheetName val="Hoja4"/>
      <sheetName val="Seguimiento ALRM"/>
      <sheetName val="Hoja1"/>
      <sheetName val="Reunion AP"/>
      <sheetName val="Reunión de KyR"/>
      <sheetName val="Hoja3"/>
      <sheetName val="Vacaciones DM"/>
      <sheetName val="Directorio de localidades"/>
      <sheetName val="Proyectos "/>
      <sheetName val="Dias no Laborables"/>
      <sheetName val="Aprezio"/>
      <sheetName val="Cronograma de Liquidacion "/>
      <sheetName val="Hoja2"/>
      <sheetName val="Configuración"/>
      <sheetName val="Seguimiento de tareas de Equi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  <sheetName val="Modelo"/>
      <sheetName val="Dados"/>
      <sheetName val="BCK"/>
      <sheetName val="AC"/>
      <sheetName val="Orientações"/>
      <sheetName val="28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CINA"/>
      <sheetName val="Norteña"/>
      <sheetName val="Norteña (2)"/>
      <sheetName val="POZA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vUokVw56ku1yUuLzulL2GemL7uIRYFIlSlW-0nEU8yc1OJm8FTTSpuZsNDeu8S2" itemId="01BKVWX25TDABPG3URWFAL26SIY3OSUTRH">
      <xxl21:absoluteUrl r:id="rId3"/>
      <xxl21:relativeUrl r:id="rId4"/>
    </xxl21:alternateUrls>
    <sheetNames>
      <sheetName val="Consideraciones "/>
      <sheetName val="Plan OI"/>
      <sheetName val="Presupuesto"/>
      <sheetName val="Flujo de Caja"/>
      <sheetName val="BD Plan Detallado"/>
      <sheetName val="Pressto"/>
      <sheetName val="PRESSTO PD"/>
      <sheetName val="Cronograma Inverso"/>
      <sheetName val="Tiempo-termino Importación"/>
      <sheetName val="AF ETAPA 1"/>
      <sheetName val="DETALLE ETAPA 1"/>
      <sheetName val="Pre-Liquidar"/>
      <sheetName val="Plantilla Plan Detallado - OI -"/>
    </sheetNames>
    <sheetDataSet>
      <sheetData sheetId="0"/>
      <sheetData sheetId="1"/>
      <sheetData sheetId="2">
        <row r="1">
          <cell r="E1"/>
          <cell r="G1"/>
        </row>
        <row r="2">
          <cell r="A2"/>
          <cell r="C2"/>
          <cell r="D2"/>
          <cell r="E2"/>
          <cell r="F2"/>
          <cell r="G2"/>
        </row>
        <row r="3">
          <cell r="A3"/>
          <cell r="B3" t="str">
            <v>Presupuesto Veron</v>
          </cell>
          <cell r="C3"/>
          <cell r="D3"/>
          <cell r="E3"/>
          <cell r="F3"/>
          <cell r="G3"/>
          <cell r="H3"/>
        </row>
        <row r="4">
          <cell r="A4"/>
          <cell r="B4"/>
          <cell r="C4"/>
          <cell r="D4"/>
          <cell r="E4"/>
          <cell r="F4"/>
          <cell r="G4"/>
        </row>
        <row r="5">
          <cell r="A5"/>
          <cell r="B5">
            <v>62.35</v>
          </cell>
          <cell r="C5"/>
          <cell r="D5"/>
          <cell r="E5"/>
          <cell r="G5" t="str">
            <v>N/A</v>
          </cell>
        </row>
        <row r="6">
          <cell r="A6"/>
          <cell r="B6"/>
          <cell r="C6"/>
          <cell r="D6"/>
          <cell r="E6"/>
          <cell r="F6"/>
          <cell r="G6" t="str">
            <v xml:space="preserve">Presupuesto </v>
          </cell>
          <cell r="H6"/>
        </row>
        <row r="7">
          <cell r="A7"/>
          <cell r="B7" t="str">
            <v>TOTAL GENERAL ESTIMADO</v>
          </cell>
          <cell r="C7"/>
          <cell r="D7"/>
          <cell r="E7"/>
          <cell r="F7"/>
          <cell r="G7">
            <v>0</v>
          </cell>
        </row>
        <row r="8">
          <cell r="B8"/>
          <cell r="C8"/>
          <cell r="D8"/>
          <cell r="E8"/>
        </row>
        <row r="9">
          <cell r="A9"/>
          <cell r="B9" t="str">
            <v>Resumen de Partidas</v>
          </cell>
          <cell r="C9"/>
          <cell r="D9"/>
          <cell r="E9"/>
          <cell r="F9"/>
          <cell r="G9"/>
          <cell r="H9"/>
        </row>
        <row r="10">
          <cell r="A10"/>
          <cell r="B10" t="str">
            <v>EDIFICACION</v>
          </cell>
          <cell r="C10"/>
          <cell r="D10"/>
          <cell r="E10"/>
          <cell r="F10"/>
          <cell r="G10">
            <v>0</v>
          </cell>
          <cell r="H10"/>
        </row>
        <row r="11">
          <cell r="A11"/>
          <cell r="B11" t="str">
            <v>EQUIPAMIENTO</v>
          </cell>
          <cell r="C11"/>
          <cell r="D11"/>
          <cell r="E11"/>
          <cell r="F11"/>
          <cell r="G11">
            <v>0</v>
          </cell>
          <cell r="H11"/>
        </row>
        <row r="12">
          <cell r="A12"/>
          <cell r="B12" t="str">
            <v>TERRENO</v>
          </cell>
          <cell r="C12"/>
          <cell r="D12"/>
          <cell r="E12"/>
          <cell r="F12"/>
          <cell r="G12">
            <v>0</v>
          </cell>
          <cell r="H12"/>
        </row>
        <row r="13">
          <cell r="A13"/>
          <cell r="B13" t="str">
            <v>Área de la Localidad</v>
          </cell>
          <cell r="C13"/>
          <cell r="D13"/>
          <cell r="E13"/>
          <cell r="F13"/>
          <cell r="G13"/>
          <cell r="H13"/>
        </row>
        <row r="14">
          <cell r="A14"/>
          <cell r="B14" t="str">
            <v>M2 Construccion</v>
          </cell>
          <cell r="C14"/>
          <cell r="D14"/>
          <cell r="E14"/>
          <cell r="F14"/>
          <cell r="G14"/>
        </row>
        <row r="15">
          <cell r="A15"/>
          <cell r="B15" t="str">
            <v>M2 Sala de Ventas</v>
          </cell>
          <cell r="C15"/>
          <cell r="D15"/>
          <cell r="E15"/>
          <cell r="F15"/>
          <cell r="G15"/>
        </row>
        <row r="16">
          <cell r="A16"/>
          <cell r="B16" t="str">
            <v>M2 Terreno</v>
          </cell>
          <cell r="C16"/>
          <cell r="D16"/>
          <cell r="E16"/>
          <cell r="F16"/>
          <cell r="G16"/>
        </row>
        <row r="17">
          <cell r="A17"/>
          <cell r="B17" t="str">
            <v>Edificación, Instalaciones y Equipamientos</v>
          </cell>
          <cell r="C17"/>
          <cell r="D17"/>
          <cell r="E17"/>
          <cell r="F17"/>
          <cell r="G17"/>
          <cell r="H17"/>
        </row>
        <row r="18">
          <cell r="A18">
            <v>1</v>
          </cell>
          <cell r="B18" t="str">
            <v>Estudios Preliminares</v>
          </cell>
          <cell r="C18"/>
          <cell r="D18"/>
          <cell r="E18"/>
          <cell r="F18"/>
          <cell r="G18">
            <v>0</v>
          </cell>
          <cell r="H18"/>
        </row>
        <row r="19">
          <cell r="A19">
            <v>1.01</v>
          </cell>
          <cell r="B19" t="str">
            <v>Diseño arquitectónico</v>
          </cell>
          <cell r="C19">
            <v>2</v>
          </cell>
          <cell r="D19" t="str">
            <v>USD</v>
          </cell>
          <cell r="E19">
            <v>1</v>
          </cell>
          <cell r="F19">
            <v>0</v>
          </cell>
          <cell r="G19">
            <v>0</v>
          </cell>
        </row>
        <row r="20">
          <cell r="A20">
            <v>1.02</v>
          </cell>
          <cell r="B20" t="str">
            <v>Diseño estructural</v>
          </cell>
          <cell r="C20">
            <v>2</v>
          </cell>
          <cell r="D20" t="str">
            <v>USD</v>
          </cell>
          <cell r="E20">
            <v>1</v>
          </cell>
          <cell r="F20">
            <v>0</v>
          </cell>
          <cell r="G20">
            <v>0</v>
          </cell>
        </row>
        <row r="21">
          <cell r="A21">
            <v>1.03</v>
          </cell>
          <cell r="B21" t="str">
            <v>Diseño electromecánico</v>
          </cell>
          <cell r="C21">
            <v>2</v>
          </cell>
          <cell r="D21" t="str">
            <v>USD</v>
          </cell>
          <cell r="E21">
            <v>1</v>
          </cell>
          <cell r="F21">
            <v>0</v>
          </cell>
          <cell r="G21">
            <v>0</v>
          </cell>
        </row>
        <row r="22">
          <cell r="A22">
            <v>1.04</v>
          </cell>
          <cell r="B22" t="str">
            <v>Diseño sanitario</v>
          </cell>
          <cell r="C22">
            <v>2</v>
          </cell>
          <cell r="D22" t="str">
            <v>USD</v>
          </cell>
          <cell r="E22">
            <v>1</v>
          </cell>
          <cell r="F22">
            <v>0</v>
          </cell>
          <cell r="G22">
            <v>0</v>
          </cell>
        </row>
        <row r="23">
          <cell r="A23">
            <v>1.08</v>
          </cell>
          <cell r="B23" t="str">
            <v>Diseño sistema contra incendios</v>
          </cell>
          <cell r="C23">
            <v>2</v>
          </cell>
          <cell r="D23" t="str">
            <v>USD</v>
          </cell>
          <cell r="E23">
            <v>1</v>
          </cell>
          <cell r="F23">
            <v>0</v>
          </cell>
          <cell r="G23">
            <v>0</v>
          </cell>
        </row>
        <row r="24">
          <cell r="A24">
            <v>1.0900000000000001</v>
          </cell>
          <cell r="B24" t="str">
            <v>Diseño sistema gas</v>
          </cell>
          <cell r="C24">
            <v>2</v>
          </cell>
          <cell r="D24" t="str">
            <v>USD</v>
          </cell>
          <cell r="E24">
            <v>1</v>
          </cell>
          <cell r="F24">
            <v>0</v>
          </cell>
          <cell r="G24">
            <v>0</v>
          </cell>
        </row>
        <row r="25">
          <cell r="A25">
            <v>1.05</v>
          </cell>
          <cell r="B25" t="str">
            <v>Estudio Geotécnico</v>
          </cell>
          <cell r="C25">
            <v>2</v>
          </cell>
          <cell r="D25" t="str">
            <v>USD</v>
          </cell>
          <cell r="E25">
            <v>1</v>
          </cell>
          <cell r="F25">
            <v>0</v>
          </cell>
          <cell r="G25">
            <v>0</v>
          </cell>
        </row>
        <row r="26">
          <cell r="A26">
            <v>1.06</v>
          </cell>
          <cell r="B26" t="str">
            <v>Levantamiento topográfico</v>
          </cell>
          <cell r="C26">
            <v>2</v>
          </cell>
          <cell r="D26" t="str">
            <v>USD</v>
          </cell>
          <cell r="E26">
            <v>1</v>
          </cell>
          <cell r="F26">
            <v>0</v>
          </cell>
          <cell r="G26">
            <v>0</v>
          </cell>
        </row>
        <row r="27">
          <cell r="A27">
            <v>1.07</v>
          </cell>
          <cell r="B27" t="str">
            <v>Permisos</v>
          </cell>
          <cell r="C27">
            <v>2</v>
          </cell>
          <cell r="D27" t="str">
            <v>USD</v>
          </cell>
          <cell r="E27">
            <v>1</v>
          </cell>
          <cell r="F27">
            <v>0</v>
          </cell>
          <cell r="G27">
            <v>0</v>
          </cell>
        </row>
        <row r="28">
          <cell r="A28"/>
          <cell r="D28"/>
          <cell r="E28"/>
          <cell r="F28"/>
          <cell r="G28"/>
        </row>
        <row r="29">
          <cell r="A29">
            <v>2</v>
          </cell>
          <cell r="B29" t="str">
            <v>Obra Civil</v>
          </cell>
          <cell r="C29"/>
          <cell r="D29"/>
          <cell r="E29"/>
          <cell r="F29"/>
          <cell r="G29">
            <v>0</v>
          </cell>
          <cell r="H29"/>
        </row>
        <row r="30">
          <cell r="A30">
            <v>2.0099999999999998</v>
          </cell>
          <cell r="B30" t="str">
            <v xml:space="preserve">Edificación - Obra Civil </v>
          </cell>
          <cell r="C30">
            <v>2</v>
          </cell>
          <cell r="D30" t="str">
            <v>dop</v>
          </cell>
          <cell r="E30">
            <v>62.35</v>
          </cell>
          <cell r="F30">
            <v>0</v>
          </cell>
          <cell r="G30">
            <v>0</v>
          </cell>
        </row>
        <row r="31">
          <cell r="A31">
            <v>2.02</v>
          </cell>
          <cell r="B31" t="str">
            <v>Edificación - Estructura Metálica</v>
          </cell>
          <cell r="C31">
            <v>2</v>
          </cell>
          <cell r="D31" t="str">
            <v>dop</v>
          </cell>
          <cell r="E31">
            <v>62.35</v>
          </cell>
          <cell r="F31">
            <v>0</v>
          </cell>
          <cell r="G31">
            <v>0</v>
          </cell>
        </row>
        <row r="32">
          <cell r="A32">
            <v>2.0299999999999998</v>
          </cell>
          <cell r="B32" t="str">
            <v>Edificación - Techo S.S. y Cerramientos Multipanel</v>
          </cell>
          <cell r="C32">
            <v>2</v>
          </cell>
          <cell r="D32" t="str">
            <v>dop</v>
          </cell>
          <cell r="E32">
            <v>62.35</v>
          </cell>
          <cell r="F32">
            <v>0</v>
          </cell>
          <cell r="G32">
            <v>0</v>
          </cell>
        </row>
        <row r="33">
          <cell r="A33">
            <v>2.04</v>
          </cell>
          <cell r="B33" t="str">
            <v>Edificación - Tragaluces "Skylights"</v>
          </cell>
          <cell r="C33">
            <v>2</v>
          </cell>
          <cell r="D33" t="str">
            <v>dop</v>
          </cell>
          <cell r="E33">
            <v>62.35</v>
          </cell>
          <cell r="F33">
            <v>0</v>
          </cell>
          <cell r="G33">
            <v>0</v>
          </cell>
        </row>
        <row r="34">
          <cell r="A34">
            <v>2.0499999999999998</v>
          </cell>
          <cell r="B34" t="str">
            <v>Instalaciones Sanitarias</v>
          </cell>
          <cell r="C34">
            <v>2</v>
          </cell>
          <cell r="D34" t="str">
            <v>dop</v>
          </cell>
          <cell r="E34">
            <v>62.35</v>
          </cell>
          <cell r="F34">
            <v>0</v>
          </cell>
          <cell r="G34">
            <v>0</v>
          </cell>
        </row>
        <row r="35">
          <cell r="A35">
            <v>2.06</v>
          </cell>
          <cell r="B35" t="str">
            <v>Instalación de Gas</v>
          </cell>
          <cell r="C35">
            <v>2</v>
          </cell>
          <cell r="D35" t="str">
            <v>dop</v>
          </cell>
          <cell r="E35">
            <v>62.35</v>
          </cell>
          <cell r="F35">
            <v>0</v>
          </cell>
          <cell r="G35">
            <v>0</v>
          </cell>
        </row>
        <row r="36">
          <cell r="A36">
            <v>2.0699999999999998</v>
          </cell>
          <cell r="B36" t="str">
            <v xml:space="preserve">Sistema Contra Incendios </v>
          </cell>
          <cell r="C36">
            <v>2</v>
          </cell>
          <cell r="D36" t="str">
            <v>dop</v>
          </cell>
          <cell r="E36">
            <v>62.35</v>
          </cell>
          <cell r="F36">
            <v>0</v>
          </cell>
          <cell r="G36">
            <v>0</v>
          </cell>
        </row>
        <row r="37">
          <cell r="A37">
            <v>2.08</v>
          </cell>
          <cell r="B37" t="str">
            <v>Instalaciones Mecánicas</v>
          </cell>
          <cell r="C37">
            <v>2</v>
          </cell>
          <cell r="D37" t="str">
            <v>dop</v>
          </cell>
          <cell r="E37">
            <v>62.35</v>
          </cell>
          <cell r="F37">
            <v>0</v>
          </cell>
          <cell r="G37">
            <v>0</v>
          </cell>
        </row>
        <row r="38">
          <cell r="A38">
            <v>2.09</v>
          </cell>
          <cell r="B38" t="str">
            <v>Rejillas y Sumideros</v>
          </cell>
          <cell r="C38">
            <v>2</v>
          </cell>
          <cell r="D38" t="str">
            <v>dop</v>
          </cell>
          <cell r="E38">
            <v>62.35</v>
          </cell>
          <cell r="F38">
            <v>0</v>
          </cell>
          <cell r="G38">
            <v>0</v>
          </cell>
        </row>
        <row r="39">
          <cell r="A39">
            <v>2.1</v>
          </cell>
          <cell r="B39" t="str">
            <v>Supervisión Civil y Sanitaria</v>
          </cell>
          <cell r="C39">
            <v>2</v>
          </cell>
          <cell r="D39" t="str">
            <v>dop</v>
          </cell>
          <cell r="E39">
            <v>62.35</v>
          </cell>
          <cell r="F39">
            <v>0</v>
          </cell>
          <cell r="G39">
            <v>0</v>
          </cell>
        </row>
        <row r="40">
          <cell r="A40">
            <v>2.11</v>
          </cell>
          <cell r="B40" t="str">
            <v>Supervisión Arquitectónica</v>
          </cell>
          <cell r="C40">
            <v>2</v>
          </cell>
          <cell r="D40" t="str">
            <v>dop</v>
          </cell>
          <cell r="E40">
            <v>62.35</v>
          </cell>
          <cell r="F40">
            <v>0</v>
          </cell>
          <cell r="G40">
            <v>0</v>
          </cell>
        </row>
        <row r="41">
          <cell r="A41"/>
          <cell r="B41"/>
          <cell r="C41"/>
          <cell r="D41"/>
          <cell r="E41"/>
          <cell r="F41"/>
          <cell r="G41"/>
        </row>
        <row r="42">
          <cell r="A42">
            <v>3</v>
          </cell>
          <cell r="B42" t="str">
            <v>Sistema Eléctrico</v>
          </cell>
          <cell r="C42"/>
          <cell r="D42"/>
          <cell r="E42"/>
          <cell r="F42"/>
          <cell r="G42">
            <v>0</v>
          </cell>
          <cell r="H42"/>
        </row>
        <row r="43">
          <cell r="A43">
            <v>3.01</v>
          </cell>
          <cell r="B43" t="str">
            <v>Instalaciones Eléctricas</v>
          </cell>
          <cell r="C43">
            <v>2</v>
          </cell>
          <cell r="D43" t="str">
            <v>dop</v>
          </cell>
          <cell r="E43">
            <v>62.35</v>
          </cell>
          <cell r="F43">
            <v>0</v>
          </cell>
          <cell r="G43">
            <v>0</v>
          </cell>
        </row>
        <row r="44">
          <cell r="A44">
            <v>3.02</v>
          </cell>
          <cell r="B44" t="str">
            <v>Supervisión Eléctrica</v>
          </cell>
          <cell r="C44">
            <v>2</v>
          </cell>
          <cell r="D44" t="str">
            <v>dop</v>
          </cell>
          <cell r="E44">
            <v>62.35</v>
          </cell>
          <cell r="F44">
            <v>0</v>
          </cell>
          <cell r="G44">
            <v>0</v>
          </cell>
        </row>
        <row r="45">
          <cell r="A45">
            <v>3.03</v>
          </cell>
          <cell r="B45" t="str">
            <v>Generadores</v>
          </cell>
          <cell r="C45">
            <v>2</v>
          </cell>
          <cell r="D45" t="str">
            <v>dop</v>
          </cell>
          <cell r="E45">
            <v>62.35</v>
          </cell>
          <cell r="F45">
            <v>0</v>
          </cell>
          <cell r="G45">
            <v>0</v>
          </cell>
        </row>
        <row r="46">
          <cell r="A46">
            <v>3.04</v>
          </cell>
          <cell r="B46" t="str">
            <v>Inversor y UPS</v>
          </cell>
          <cell r="C46">
            <v>2</v>
          </cell>
          <cell r="D46" t="str">
            <v>dop</v>
          </cell>
          <cell r="E46">
            <v>62.35</v>
          </cell>
          <cell r="F46">
            <v>0</v>
          </cell>
          <cell r="G46">
            <v>0</v>
          </cell>
        </row>
        <row r="47">
          <cell r="A47"/>
          <cell r="B47"/>
          <cell r="C47"/>
          <cell r="D47"/>
          <cell r="E47"/>
          <cell r="F47"/>
          <cell r="G47"/>
        </row>
        <row r="48">
          <cell r="A48">
            <v>4</v>
          </cell>
          <cell r="B48" t="str">
            <v xml:space="preserve">Sistema de Climatización   </v>
          </cell>
          <cell r="C48"/>
          <cell r="D48"/>
          <cell r="E48"/>
          <cell r="F48"/>
          <cell r="G48">
            <v>0</v>
          </cell>
          <cell r="H48"/>
        </row>
        <row r="49">
          <cell r="A49">
            <v>4.01</v>
          </cell>
          <cell r="B49" t="str">
            <v>Suministro e instalación de Equipos</v>
          </cell>
          <cell r="C49">
            <v>2</v>
          </cell>
          <cell r="D49" t="str">
            <v>dop</v>
          </cell>
          <cell r="E49">
            <v>62.35</v>
          </cell>
          <cell r="F49">
            <v>0</v>
          </cell>
          <cell r="G49">
            <v>0</v>
          </cell>
        </row>
        <row r="50">
          <cell r="A50">
            <v>4.0199999999999996</v>
          </cell>
          <cell r="B50" t="str">
            <v>Supervisión Mecánica</v>
          </cell>
          <cell r="C50">
            <v>2</v>
          </cell>
          <cell r="D50" t="str">
            <v>dop</v>
          </cell>
          <cell r="E50">
            <v>62.35</v>
          </cell>
          <cell r="F50">
            <v>0</v>
          </cell>
          <cell r="G50">
            <v>0</v>
          </cell>
        </row>
        <row r="51">
          <cell r="A51">
            <v>4.03</v>
          </cell>
          <cell r="B51" t="str">
            <v>Sistema de Extracción cocina</v>
          </cell>
          <cell r="C51">
            <v>2</v>
          </cell>
          <cell r="D51" t="str">
            <v>dop</v>
          </cell>
          <cell r="E51">
            <v>62.35</v>
          </cell>
          <cell r="F51">
            <v>0</v>
          </cell>
          <cell r="G51">
            <v>0</v>
          </cell>
        </row>
        <row r="52">
          <cell r="A52"/>
          <cell r="B52"/>
          <cell r="C52"/>
          <cell r="D52"/>
          <cell r="E52"/>
          <cell r="F52"/>
          <cell r="G52"/>
        </row>
        <row r="53">
          <cell r="A53">
            <v>5</v>
          </cell>
          <cell r="B53" t="str">
            <v>Frio Alimentario</v>
          </cell>
          <cell r="C53"/>
          <cell r="D53"/>
          <cell r="E53"/>
          <cell r="F53"/>
          <cell r="G53">
            <v>0</v>
          </cell>
          <cell r="H53"/>
        </row>
        <row r="54">
          <cell r="A54">
            <v>5.01</v>
          </cell>
          <cell r="B54" t="str">
            <v>Paneles</v>
          </cell>
          <cell r="C54">
            <v>1</v>
          </cell>
          <cell r="D54" t="str">
            <v>dop</v>
          </cell>
          <cell r="E54">
            <v>62.35</v>
          </cell>
          <cell r="F54">
            <v>0</v>
          </cell>
          <cell r="G54">
            <v>0</v>
          </cell>
        </row>
        <row r="55">
          <cell r="A55">
            <v>5.0199999999999996</v>
          </cell>
          <cell r="B55" t="str">
            <v>FRP y Diamond Plate</v>
          </cell>
          <cell r="C55">
            <v>1</v>
          </cell>
          <cell r="D55" t="str">
            <v>dop</v>
          </cell>
          <cell r="E55">
            <v>62.35</v>
          </cell>
          <cell r="F55">
            <v>0</v>
          </cell>
          <cell r="G55">
            <v>0</v>
          </cell>
        </row>
        <row r="56">
          <cell r="A56">
            <v>5.03</v>
          </cell>
          <cell r="B56" t="str">
            <v>Neveras, Centrales y Evaporadores</v>
          </cell>
          <cell r="C56">
            <v>1</v>
          </cell>
          <cell r="D56" t="str">
            <v>dop</v>
          </cell>
          <cell r="E56">
            <v>62.35</v>
          </cell>
          <cell r="F56">
            <v>0</v>
          </cell>
          <cell r="G56">
            <v>0</v>
          </cell>
        </row>
        <row r="57">
          <cell r="A57">
            <v>5.04</v>
          </cell>
          <cell r="B57" t="str">
            <v>Bumpers Mcue</v>
          </cell>
          <cell r="C57">
            <v>1</v>
          </cell>
          <cell r="D57" t="str">
            <v>dop</v>
          </cell>
          <cell r="E57">
            <v>62.35</v>
          </cell>
          <cell r="F57">
            <v>0</v>
          </cell>
          <cell r="G57">
            <v>0</v>
          </cell>
        </row>
        <row r="58">
          <cell r="A58">
            <v>5.05</v>
          </cell>
          <cell r="B58" t="str">
            <v xml:space="preserve">Trameria Cuarto Frio </v>
          </cell>
          <cell r="C58">
            <v>1</v>
          </cell>
          <cell r="D58" t="str">
            <v>dop</v>
          </cell>
          <cell r="E58">
            <v>62.35</v>
          </cell>
          <cell r="F58">
            <v>0</v>
          </cell>
          <cell r="G58">
            <v>0</v>
          </cell>
        </row>
        <row r="59">
          <cell r="A59">
            <v>5.0599999999999996</v>
          </cell>
          <cell r="B59" t="str">
            <v xml:space="preserve">Instalacion Frio Alimentario </v>
          </cell>
          <cell r="C59">
            <v>1</v>
          </cell>
          <cell r="D59" t="str">
            <v>dop</v>
          </cell>
          <cell r="E59">
            <v>62.35</v>
          </cell>
          <cell r="F59">
            <v>0</v>
          </cell>
          <cell r="G59">
            <v>0</v>
          </cell>
        </row>
        <row r="60">
          <cell r="A60">
            <v>5.07</v>
          </cell>
          <cell r="B60" t="str">
            <v>Chase Doors</v>
          </cell>
          <cell r="C60">
            <v>1</v>
          </cell>
          <cell r="D60" t="str">
            <v>dop</v>
          </cell>
          <cell r="E60">
            <v>62.35</v>
          </cell>
          <cell r="F60">
            <v>0</v>
          </cell>
          <cell r="G60">
            <v>0</v>
          </cell>
        </row>
        <row r="61">
          <cell r="A61"/>
          <cell r="B61"/>
          <cell r="C61"/>
          <cell r="D61"/>
          <cell r="E61"/>
          <cell r="F61"/>
          <cell r="G61"/>
        </row>
        <row r="62">
          <cell r="A62">
            <v>6</v>
          </cell>
          <cell r="B62" t="str">
            <v>Tecnología, Seguridad y Tesorería</v>
          </cell>
          <cell r="C62"/>
          <cell r="D62"/>
          <cell r="E62"/>
          <cell r="F62"/>
          <cell r="G62">
            <v>0</v>
          </cell>
          <cell r="H62"/>
        </row>
        <row r="63">
          <cell r="A63">
            <v>6.01</v>
          </cell>
          <cell r="B63" t="str">
            <v>Sistema de cámaras CCTV</v>
          </cell>
          <cell r="C63">
            <v>1</v>
          </cell>
          <cell r="D63" t="str">
            <v>dop</v>
          </cell>
          <cell r="E63">
            <v>62.35</v>
          </cell>
          <cell r="F63">
            <v>0</v>
          </cell>
          <cell r="G63">
            <v>0</v>
          </cell>
        </row>
        <row r="64">
          <cell r="A64">
            <v>6.02</v>
          </cell>
          <cell r="B64" t="str">
            <v>Antenas detección de robo</v>
          </cell>
          <cell r="C64">
            <v>1</v>
          </cell>
          <cell r="D64" t="str">
            <v>dop</v>
          </cell>
          <cell r="E64">
            <v>62.35</v>
          </cell>
          <cell r="F64">
            <v>0</v>
          </cell>
          <cell r="G64">
            <v>0</v>
          </cell>
        </row>
        <row r="65">
          <cell r="A65">
            <v>6.03</v>
          </cell>
          <cell r="B65" t="str">
            <v>Puntos de Venta</v>
          </cell>
          <cell r="C65">
            <v>1</v>
          </cell>
          <cell r="D65" t="str">
            <v>dop</v>
          </cell>
          <cell r="E65">
            <v>62.35</v>
          </cell>
          <cell r="F65">
            <v>0</v>
          </cell>
          <cell r="G65">
            <v>0</v>
          </cell>
        </row>
        <row r="66">
          <cell r="A66">
            <v>6.04</v>
          </cell>
          <cell r="B66" t="str">
            <v>Instalación de data y voz / Antenas de techo</v>
          </cell>
          <cell r="C66">
            <v>1</v>
          </cell>
          <cell r="D66" t="str">
            <v>dop</v>
          </cell>
          <cell r="E66">
            <v>62.35</v>
          </cell>
          <cell r="F66">
            <v>0</v>
          </cell>
          <cell r="G66">
            <v>0</v>
          </cell>
        </row>
        <row r="67">
          <cell r="A67">
            <v>6.05</v>
          </cell>
          <cell r="B67" t="str">
            <v xml:space="preserve">Otros sum e inst Tecnología </v>
          </cell>
          <cell r="C67">
            <v>1</v>
          </cell>
          <cell r="D67" t="str">
            <v>dop</v>
          </cell>
          <cell r="E67">
            <v>62.35</v>
          </cell>
          <cell r="F67">
            <v>0</v>
          </cell>
          <cell r="G67">
            <v>0</v>
          </cell>
        </row>
        <row r="68">
          <cell r="A68"/>
          <cell r="B68"/>
          <cell r="C68"/>
          <cell r="D68"/>
          <cell r="E68"/>
          <cell r="F68"/>
          <cell r="G68"/>
        </row>
        <row r="69">
          <cell r="A69">
            <v>7</v>
          </cell>
          <cell r="B69" t="str">
            <v>Equipamiento Produccion</v>
          </cell>
          <cell r="C69"/>
          <cell r="D69"/>
          <cell r="E69"/>
          <cell r="F69"/>
          <cell r="G69">
            <v>0</v>
          </cell>
          <cell r="H69"/>
        </row>
        <row r="70">
          <cell r="A70">
            <v>7.01</v>
          </cell>
          <cell r="B70" t="str">
            <v xml:space="preserve">Equipamiento de Acero Inoxidable </v>
          </cell>
          <cell r="C70">
            <v>1</v>
          </cell>
          <cell r="D70" t="str">
            <v>dop</v>
          </cell>
          <cell r="E70">
            <v>62.35</v>
          </cell>
          <cell r="F70">
            <v>0</v>
          </cell>
          <cell r="G70">
            <v>0</v>
          </cell>
        </row>
        <row r="71">
          <cell r="A71">
            <v>7.02</v>
          </cell>
          <cell r="B71" t="str">
            <v>Cocina, Patio Comidas y Rostizería</v>
          </cell>
          <cell r="C71">
            <v>1</v>
          </cell>
          <cell r="D71" t="str">
            <v>dop</v>
          </cell>
          <cell r="E71">
            <v>62.35</v>
          </cell>
          <cell r="F71">
            <v>0</v>
          </cell>
          <cell r="G71">
            <v>0</v>
          </cell>
        </row>
        <row r="72">
          <cell r="A72">
            <v>7.03</v>
          </cell>
          <cell r="B72" t="str">
            <v>Equipamiento Carniceria, Pescadería y Delicatesen</v>
          </cell>
          <cell r="C72">
            <v>1</v>
          </cell>
          <cell r="D72" t="str">
            <v>dop</v>
          </cell>
          <cell r="E72">
            <v>62.35</v>
          </cell>
          <cell r="F72">
            <v>0</v>
          </cell>
          <cell r="G72">
            <v>0</v>
          </cell>
        </row>
        <row r="73">
          <cell r="A73">
            <v>7.04</v>
          </cell>
          <cell r="B73" t="str">
            <v>Equipamiento de Panaderia, Reposteria y Rosticería</v>
          </cell>
          <cell r="C73">
            <v>1</v>
          </cell>
          <cell r="D73" t="str">
            <v>dop</v>
          </cell>
          <cell r="E73">
            <v>62.35</v>
          </cell>
          <cell r="F73">
            <v>0</v>
          </cell>
          <cell r="G73">
            <v>0</v>
          </cell>
        </row>
        <row r="74">
          <cell r="A74">
            <v>7.05</v>
          </cell>
          <cell r="B74" t="str">
            <v>Equipamiento de Frutas y Vegetales</v>
          </cell>
          <cell r="C74">
            <v>1</v>
          </cell>
          <cell r="D74" t="str">
            <v>dop</v>
          </cell>
          <cell r="E74">
            <v>62.35</v>
          </cell>
          <cell r="F74">
            <v>0</v>
          </cell>
          <cell r="G74">
            <v>0</v>
          </cell>
        </row>
        <row r="75">
          <cell r="A75">
            <v>7.06</v>
          </cell>
          <cell r="B75" t="str">
            <v>Balanzas</v>
          </cell>
          <cell r="C75">
            <v>1</v>
          </cell>
          <cell r="D75" t="str">
            <v>dop</v>
          </cell>
          <cell r="E75">
            <v>62.35</v>
          </cell>
          <cell r="F75">
            <v>0</v>
          </cell>
          <cell r="G75">
            <v>0</v>
          </cell>
        </row>
        <row r="76">
          <cell r="A76">
            <v>7.07</v>
          </cell>
          <cell r="B76" t="str">
            <v>Otros Equipamientos de Producción</v>
          </cell>
          <cell r="C76">
            <v>1</v>
          </cell>
          <cell r="D76" t="str">
            <v>dop</v>
          </cell>
          <cell r="E76">
            <v>62.35</v>
          </cell>
          <cell r="F76">
            <v>0</v>
          </cell>
          <cell r="G76">
            <v>0</v>
          </cell>
        </row>
        <row r="77">
          <cell r="A77"/>
          <cell r="B77"/>
          <cell r="C77"/>
          <cell r="D77"/>
          <cell r="E77"/>
          <cell r="F77"/>
          <cell r="G77"/>
        </row>
        <row r="78">
          <cell r="A78">
            <v>8</v>
          </cell>
          <cell r="B78" t="str">
            <v>Equipamiento Tienda</v>
          </cell>
          <cell r="C78"/>
          <cell r="D78"/>
          <cell r="E78"/>
          <cell r="F78"/>
          <cell r="G78">
            <v>0</v>
          </cell>
          <cell r="H78"/>
        </row>
        <row r="79">
          <cell r="A79">
            <v>8.01</v>
          </cell>
          <cell r="B79" t="str">
            <v>Gondolas</v>
          </cell>
          <cell r="C79">
            <v>1</v>
          </cell>
          <cell r="D79" t="str">
            <v>dop</v>
          </cell>
          <cell r="E79">
            <v>62.35</v>
          </cell>
          <cell r="F79">
            <v>0</v>
          </cell>
          <cell r="G79">
            <v>0</v>
          </cell>
        </row>
        <row r="80">
          <cell r="A80">
            <v>8.02</v>
          </cell>
          <cell r="B80" t="str">
            <v>Checkout</v>
          </cell>
          <cell r="C80">
            <v>1</v>
          </cell>
          <cell r="D80" t="str">
            <v>dop</v>
          </cell>
          <cell r="E80">
            <v>62.35</v>
          </cell>
          <cell r="F80">
            <v>0</v>
          </cell>
          <cell r="G80">
            <v>0</v>
          </cell>
        </row>
        <row r="81">
          <cell r="A81">
            <v>8.0299999999999994</v>
          </cell>
          <cell r="B81" t="str">
            <v>Carritos, Canastas y Accesorios</v>
          </cell>
          <cell r="C81">
            <v>1</v>
          </cell>
          <cell r="D81" t="str">
            <v>dop</v>
          </cell>
          <cell r="E81">
            <v>62.35</v>
          </cell>
          <cell r="F81">
            <v>0</v>
          </cell>
          <cell r="G81">
            <v>0</v>
          </cell>
        </row>
        <row r="82">
          <cell r="A82">
            <v>8.0399999999999991</v>
          </cell>
          <cell r="B82" t="str">
            <v>Trameria Almacen</v>
          </cell>
          <cell r="C82">
            <v>1</v>
          </cell>
          <cell r="D82" t="str">
            <v>dop</v>
          </cell>
          <cell r="E82">
            <v>62.35</v>
          </cell>
          <cell r="F82">
            <v>0</v>
          </cell>
          <cell r="G82">
            <v>0</v>
          </cell>
        </row>
        <row r="83">
          <cell r="A83">
            <v>8.0500000000000007</v>
          </cell>
          <cell r="B83" t="str">
            <v>Mobiliario no operacional para Tiendas</v>
          </cell>
          <cell r="C83">
            <v>1</v>
          </cell>
          <cell r="D83" t="str">
            <v>dop</v>
          </cell>
          <cell r="E83">
            <v>62.35</v>
          </cell>
          <cell r="F83">
            <v>0</v>
          </cell>
          <cell r="G83">
            <v>0</v>
          </cell>
        </row>
        <row r="84">
          <cell r="A84">
            <v>8.06</v>
          </cell>
          <cell r="B84" t="str">
            <v>Otros Equipamientos de Tienda</v>
          </cell>
          <cell r="C84">
            <v>1</v>
          </cell>
          <cell r="D84" t="str">
            <v>dop</v>
          </cell>
          <cell r="E84">
            <v>62.35</v>
          </cell>
          <cell r="F84">
            <v>0</v>
          </cell>
          <cell r="G84">
            <v>0</v>
          </cell>
        </row>
        <row r="85">
          <cell r="A85">
            <v>8.07</v>
          </cell>
          <cell r="B85" t="str">
            <v>Señalizacion interiores</v>
          </cell>
          <cell r="C85">
            <v>1</v>
          </cell>
          <cell r="D85" t="str">
            <v>dop</v>
          </cell>
          <cell r="E85">
            <v>62.35</v>
          </cell>
          <cell r="F85">
            <v>0</v>
          </cell>
          <cell r="G85">
            <v>0</v>
          </cell>
        </row>
        <row r="86">
          <cell r="A86">
            <v>8.08</v>
          </cell>
          <cell r="B86" t="str">
            <v>Señalizacion exteriores</v>
          </cell>
          <cell r="C86">
            <v>1</v>
          </cell>
          <cell r="D86" t="str">
            <v>dop</v>
          </cell>
          <cell r="E86">
            <v>62.35</v>
          </cell>
          <cell r="F86">
            <v>0</v>
          </cell>
          <cell r="G86">
            <v>0</v>
          </cell>
        </row>
        <row r="87">
          <cell r="A87"/>
          <cell r="B87"/>
          <cell r="C87"/>
          <cell r="D87"/>
          <cell r="E87"/>
          <cell r="F87"/>
          <cell r="G87"/>
        </row>
        <row r="88">
          <cell r="A88">
            <v>9</v>
          </cell>
          <cell r="B88" t="str">
            <v>Otros</v>
          </cell>
          <cell r="C88"/>
          <cell r="D88"/>
          <cell r="E88"/>
          <cell r="F88"/>
          <cell r="G88">
            <v>0</v>
          </cell>
          <cell r="H88"/>
        </row>
        <row r="89">
          <cell r="A89">
            <v>9.01</v>
          </cell>
          <cell r="B89" t="str">
            <v>COMERCIALIZACION</v>
          </cell>
          <cell r="C89">
            <v>2</v>
          </cell>
          <cell r="D89" t="str">
            <v>USD</v>
          </cell>
          <cell r="E89">
            <v>1</v>
          </cell>
          <cell r="F89">
            <v>0</v>
          </cell>
          <cell r="G89">
            <v>0</v>
          </cell>
        </row>
        <row r="90">
          <cell r="A90">
            <v>9.02</v>
          </cell>
          <cell r="B90" t="str">
            <v>INSUMOS</v>
          </cell>
          <cell r="C90">
            <v>2</v>
          </cell>
          <cell r="D90" t="str">
            <v>USD</v>
          </cell>
          <cell r="E90">
            <v>1</v>
          </cell>
          <cell r="F90">
            <v>0</v>
          </cell>
          <cell r="G90">
            <v>0</v>
          </cell>
        </row>
        <row r="91">
          <cell r="A91">
            <v>9.0299999999999994</v>
          </cell>
          <cell r="B91" t="str">
            <v>PUBLICIDAD Y MERCADEO</v>
          </cell>
          <cell r="C91">
            <v>2</v>
          </cell>
          <cell r="D91" t="str">
            <v>USD</v>
          </cell>
          <cell r="E91">
            <v>1</v>
          </cell>
          <cell r="F91">
            <v>0</v>
          </cell>
          <cell r="G91">
            <v>0</v>
          </cell>
        </row>
        <row r="92">
          <cell r="A92">
            <v>9.0399999999999991</v>
          </cell>
          <cell r="B92" t="str">
            <v>MONTAJE</v>
          </cell>
          <cell r="C92">
            <v>2</v>
          </cell>
          <cell r="D92" t="str">
            <v>USD</v>
          </cell>
          <cell r="E92">
            <v>1</v>
          </cell>
          <cell r="F92">
            <v>0</v>
          </cell>
          <cell r="G92">
            <v>0</v>
          </cell>
        </row>
        <row r="93">
          <cell r="A93">
            <v>9.0499999999999989</v>
          </cell>
          <cell r="B93" t="str">
            <v>DECORACIÓN TEMPORADAS</v>
          </cell>
          <cell r="C93">
            <v>2</v>
          </cell>
          <cell r="D93" t="str">
            <v>USD</v>
          </cell>
          <cell r="E93">
            <v>1</v>
          </cell>
          <cell r="F93">
            <v>0</v>
          </cell>
          <cell r="G93">
            <v>0</v>
          </cell>
        </row>
        <row r="94">
          <cell r="A94">
            <v>9.06</v>
          </cell>
          <cell r="B94" t="str">
            <v>-</v>
          </cell>
          <cell r="C94">
            <v>2</v>
          </cell>
          <cell r="D94" t="str">
            <v>USD</v>
          </cell>
          <cell r="E94">
            <v>1</v>
          </cell>
          <cell r="F94">
            <v>0</v>
          </cell>
          <cell r="G9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ritza Melendez" refreshedDate="46053.70852847222" createdVersion="8" refreshedVersion="8" minRefreshableVersion="3" recordCount="383" xr:uid="{8FFC0C52-BE74-44E5-857C-AE3C79DD4A02}">
  <cacheSource type="worksheet">
    <worksheetSource name="BD.PD"/>
  </cacheSource>
  <cacheFields count="39">
    <cacheField name="Pos" numFmtId="0">
      <sharedItems containsSemiMixedTypes="0" containsString="0" containsNumber="1" minValue="1.01" maxValue="9.06"/>
    </cacheField>
    <cacheField name="." numFmtId="0">
      <sharedItems containsBlank="1"/>
    </cacheField>
    <cacheField name="Partidas" numFmtId="0">
      <sharedItems count="60">
        <s v="1.01 Diseño arquitectónico"/>
        <s v="1.02 Diseño estructural"/>
        <s v="1.03 Diseño electromecánico"/>
        <s v="1.04 Diseño sanitario"/>
        <s v="1.05 Estudio Geotécnico"/>
        <s v="1.06 Levantamiento topográfico"/>
        <s v="1.07 Permisos"/>
        <s v="1.08 Diseño sistema contra incendios"/>
        <s v="1.09 Diseño sistema gas"/>
        <s v="2.01 Edificación - Obra Civil "/>
        <s v="2.02 Edificación - Estructura Metálica"/>
        <s v="2.03 Edificación - Techo S.S. y Cerramientos Multipanel"/>
        <s v="2.04 Edificación - Tragaluces &quot;Skylights&quot;"/>
        <s v="2.05 Instalaciones Sanitarias"/>
        <s v="2.06 Instalación de Gas"/>
        <s v="2.07 Sistema Contra Incendios "/>
        <s v="2.08 Instalaciones Mecánicas"/>
        <s v="2.09 Rejillas y Sumideros"/>
        <s v="2.10 Supervisión Civil y Sanitaria"/>
        <s v="2.11 Supervisión Arquitectónica"/>
        <s v="3.01 Instalaciones Eléctricas"/>
        <s v="3.02 Supervisión Eléctrica"/>
        <s v="3.03 Generadores"/>
        <s v="3.04 Inversor y UPS"/>
        <s v="4.01 Suministro e instalación de Equipos"/>
        <s v="4.02 Supervisión Mecánica"/>
        <s v="4.03 Sistema de Extracción cocina"/>
        <s v="5.01 Paneles"/>
        <s v="5.02 FRP y Diamond Plate"/>
        <s v="5.03 Neveras, Centrales y Evaporadores"/>
        <s v="5.04 Bumpers Mcue/ Rack"/>
        <s v="5.05 Trameria Cuarto Frio "/>
        <s v="5.06 Instalacion Frio Alimentario "/>
        <s v="5.07 Chase Doors"/>
        <s v="6.01 Sistema de cámaras CCTV"/>
        <s v="6.02 Antenas detección de robo"/>
        <s v="6.03 Puntos de Venta"/>
        <s v="6.04 Instalación de data y voz / Antenas de techo"/>
        <s v="6.05 Otros sum e inst Tecnología y Seguridad Y Tesoreria"/>
        <s v="7.01 Equipamiento de Acero Inoxidable "/>
        <s v="7.02 Cocina, Patio Comidas y Rostizería"/>
        <s v="7.03 Equipamiento Carniceria, Pescadería y Delicatesen"/>
        <s v="7.04 Equipamiento de Panaderia, Reposteria y Rosticería"/>
        <s v="7.05 Equipamiento de Frutas y Vegetales"/>
        <s v="7.06 Balanzas"/>
        <s v="7.07 Otros Equipamientos de Producción"/>
        <s v="8.01 Gondolas"/>
        <s v="8.02 Checkout"/>
        <s v="8.03 Carritos, Canastas y Accesorios"/>
        <s v="8.04 Trameria Almacen"/>
        <s v="8.05 Mobiliario no operacional para Tiendas"/>
        <s v="8.06 Otros Equipamientos de Tienda"/>
        <s v="8.07 Señalizacion interiores"/>
        <s v="8.08 Señalizacion exteriores"/>
        <s v="9.01 COMERCIALIZACION"/>
        <s v="9.02 INSUMOS"/>
        <s v="9.03 PUBLICIDAD Y MERCADEO"/>
        <s v="9.04 MONTAJE"/>
        <s v="9.05 DECORACIÓN TEMPORADAS"/>
        <s v="9.06 -"/>
      </sharedItems>
    </cacheField>
    <cacheField name="Tipo Ppto" numFmtId="0">
      <sharedItems containsMixedTypes="1" containsNumber="1" containsInteger="1" minValue="0" maxValue="0"/>
    </cacheField>
    <cacheField name="Plan" numFmtId="169">
      <sharedItems containsMixedTypes="1" containsNumber="1" minValue="0" maxValue="545308.28391773161"/>
    </cacheField>
    <cacheField name="Item" numFmtId="0">
      <sharedItems containsBlank="1" count="373">
        <m/>
        <s v="MARAZZI RAGNO CONCEPT GRIGIO 30X60CM"/>
        <s v="MARAZZI REV MATERIKA STR SAT 3D 40X120MM"/>
        <s v="MARAZZI PISO PROGRESS ANTHRACITE 30X60MK"/>
        <s v="EQUIPE REVEST METRO LIGHT GREY 7.5X15CM"/>
        <s v="SISTEMA DE PURIFICACION DE AGUA COMPLETO "/>
        <s v="SISTEMA DETECCION GAS COCINA"/>
        <s v="BOMBA SCI 1,500 GPM @145 PSI"/>
        <s v="INSTALACION BOMBA SCI 1,500 GPM @145 PSI"/>
        <s v="COVER PARA EXTINTOR C02  10-20LBS"/>
        <s v="EXTINTOR ABC HALOTRON AGENTE LIMPIO 11LB"/>
        <s v="EXTINTOR ABC POLVO QUIMICO 10LB"/>
        <s v="EXTINTOR ABC POLVO QUIMICO 20LB"/>
        <s v="EXTINTOR CO2 GAS CARBONICO 10LB"/>
        <s v="EXTINTOR CO2 GAS CARBONICO 15LB"/>
        <s v="EXTINTOR CO2 GAS CARBONICO 5LB"/>
        <s v="GABINETE P/EXTINTOR ABC 20 LB"/>
        <s v="EQUIPCO COMPACTADORA BASURA 30YARDA 10HP"/>
        <s v="COMPACTADORA DE CARTON 3HP 208/3/60HZ"/>
        <s v="RAMPA NIVELADORA 60X80 3000LB GPT3MGWPDG"/>
        <s v="SELLO PARA RECEPCION REFRIGERADA "/>
        <s v="CORTINA DE AIRE PARA PUERTA DE ENTRADA"/>
        <s v="MURO DE CORTINA FRACHADA "/>
        <s v="PUERTA DE 2 HOJAS AUTOMATICA 1 UNIDADES "/>
        <s v="REJILLA DE  1.20m x 0.15m "/>
        <s v="REJILLA DE 1.50m x 0.15m "/>
        <s v="REJILLA DE 1.80m x 0.15m "/>
        <s v="GENERDOR ELECTRICO CATERPILLAR, MODELO R2475L4.   500KW"/>
        <s v="UNIPOWER UPS 6KVA/240-120VAC"/>
        <s v="UNIPOWER BATERIA MOD:12VDC"/>
        <s v="INSTALACION (JUMPERS CONEXION)"/>
        <s v="GABINETE METALICO P/20 BATERIAS"/>
        <s v="UNIPOWER UPS 6KVA/6KW"/>
        <s v="INVERSOR LS 3500W A 24 VDC"/>
        <s v="RITA MASTERSOLAR BATERIA RA12-110D 110AH"/>
        <s v="AIRES ACONDICIONADOS TIPO PAQUETE DE 30 TON"/>
        <s v="DISEÑO DE EXTRACION DE HUMO Y GRASA"/>
        <s v="CAMPANA PARED EXTRACCION HUMO Y GRASA"/>
        <s v="EXTRACTOR HUMO Y GRASA 1265RPM"/>
        <s v="INYECTOR AIRE 1,400CFM"/>
        <s v="DUCTERIA DE EXTRACCION"/>
        <s v="DUCTERIA DE INYECCION"/>
        <s v="BASE EXTRACTORES E INYECTOR 2X2X2"/>
        <s v="INSTALACION CAMPANA Y SUMINISTRO"/>
        <s v="INSTALACION EQ EXTRACCION E INYYECCION"/>
        <s v="TRANSPORTE DE EQ Y GASTOS INDIRECTOS"/>
        <s v="CONFECCION E INST. DUCTOS HORNOS PAN"/>
        <s v="PANELES - PUERTA DE CUARTO FRIOS OTROS"/>
        <s v="PUERTA FRIGORIFICAS/CORREDERA/CONSERVACION/INSTALACION/CORTINAS "/>
        <s v="SUMINISTRO  E INSTALACION PLANCHA FRP/ACERO/REVESTIMIENTO DIAMO"/>
        <s v="NEVERA SALA DE VENTA"/>
        <s v="CENTRAL DE FRIO ALTA Y MEDIA TEMPERATURA Y EVAPORADORES "/>
        <s v="KIT VIDRIOS REPUESTOS NEVERAS IMS"/>
        <s v="MUEBLE SEM MURAL FRIO GRB&amp;GO EQ006"/>
        <s v="NEVERA REPOSTERIA Y AISTIDO DELI"/>
        <s v="WALKING COLLROOM *PANELES S/PISO C/TRAMERIAS Y PUERTAS "/>
        <s v="NEVERA P/CARNE ARNEG LONDON 2.50MTS"/>
        <s v="NEVERA DE FRUTAS ADICIONAL DE COMERCIAL"/>
        <s v="FARCO EXHIBIDOR 13P3 FAST LANE"/>
        <s v="FARCO FST-60 MESA REFRIGERADA R290"/>
        <s v="FARCO EXHIBIDOR 12 PC UR-12GL NG"/>
        <s v="BUMPER ACERO INOX CMP2-SIDEWALK-8"/>
        <s v="BUMPER ACERO INOX -SIDEWALK-EXTENDER-KIT"/>
        <s v="BUMPER DE ACERO INOXIDABLE CSSSR-6A"/>
        <s v="BUMPER DE ACERO INOXIDABLE CSSSR-2A"/>
        <s v="BUMPER DE ACERO INOXIDABLE CSSSR-8A"/>
        <s v="BUMPER ACERO INOX CSB-94"/>
        <s v="BUMPER DE ACERO INOXIDABLE CSSSR-4A"/>
        <s v="BUMPER ACERO INOX CSGR-47-CHROME"/>
        <s v="BUMPER DE ACERO INOX CSGR-V2-M-CROME-KIT"/>
        <s v="BUMPER DE ACERO INOX CSGR-59-CHROME"/>
        <s v="BUMPER/CARTSTOP BOX RAIL CSBC"/>
        <s v="BUMPER/CARTSTOP BOX RAIL 90 CSBC-90"/>
        <s v="BOX RAIL 7 BR-K-LEG-7"/>
        <s v="BUMPER DE ACERO INOXIDABLE CSSSR-10A"/>
        <s v="BUMPER/CARTSTOP BOX RAIL END CAP CSBE-00"/>
        <s v="ESTANTERIA 4 NIVELES1000X500MM  (Sirena Gol)"/>
        <s v="ESTANTERIA 4 NIVELES1045X500MM  (Deli) )"/>
        <s v="ESTANTERIA 4 NIVELES1045X500MM (Acero Inoxidable) 16 Unidades "/>
        <s v="WINCO TRAMERIA 4NIV 24X36X72 EPOXICA"/>
        <s v="SUPERVICION DEL FRIO ALIMENTARIO "/>
        <s v="DISEÑO DEL FRIO ALIMENTARIO "/>
        <s v="INSTALACION DE FRIO ALIMENTARIO(FUERA DE LA CIUDAD)"/>
        <s v="PUERTAS BATIENTES 1600X2100( ROOFTEC) 11 unidades "/>
        <s v="INSTALACION DE PUERTAS BATIENTES"/>
        <s v="CDM DETECTORA DE BILLETES FALSOS LD-3"/>
        <s v="CDM CONTADORA DE MONEDAS MOD CDM-15"/>
        <s v="CONTADORA DE MONEDAS RIBAO CS-10S(BALANZA Y EQUIPO)"/>
        <s v="CAJA FUERTE MONEY SAFE CAJA DE BOVEDA TL30X6"/>
        <s v="MOTOROLA RADIO DEP450 UHF 16 ANA/DIG"/>
        <s v="INMOBILIZADOR DE CABEZA P/EMERGENCIA"/>
        <s v="CAMILLA P/EMERGENCIA PLASTICA"/>
        <s v="ARNES P/CAMILLA EMERGENCIA 10 PUNTOS"/>
        <s v="CAJA FUERTE C/FUEGO C/COMB+LLAVE SS-100"/>
        <s v="CAJA SEG. MASTER SS-065 COM C/FUEGO 877X"/>
        <s v="MAQUINA CONTADORA BILLETES CBM PLUS 401"/>
        <s v="CANDADO ABLOY PACK LOCK PL340"/>
        <s v="LLAVE CANDADO PROTEC2"/>
        <s v="DEPOSITO PARA LLAVES DE CANDADO ABOLY"/>
        <s v="LLAVE DESPOSITO DE CANDADO PROTEC2"/>
        <s v="CARRO P/BANDEJAS CARNES 15 NIV"/>
        <s v="FREGADERO SIMPLE 1 CUBA FD-01 0.76MT"/>
        <s v="LAVAMANO C/RESPALDO PARED COMP LV-01 T1"/>
        <s v="FREGADERO DOBLE 2 CUBA FD-02 1.20MT"/>
        <s v="MESA TRABAJO MURAL C DOBLE E  M1-1.20MT"/>
        <s v="MESA TRABAJO MURAL C/ESTANTE  M1-1.20MT"/>
        <s v="MESA DE TRABAJO MURAL 1200X700X850MM"/>
        <s v="MESA DE TRABAJO CENTRAL 1800X1500X850MM"/>
        <s v="MESA TRABAJO MURAL C/ESTANTE  M2-0.70MT"/>
        <s v="MESA DE TRABAJO MURAL 1800X700X850MM"/>
        <s v="MESA TRABAJO MURAL C/ESTANTE  M1-0.80MT"/>
        <s v="SIRMAN PROCESADOR VEGETALES 40752508 TM2"/>
        <s v="MINI PACK EMPACADORA VACIO MVS-45II 2"/>
        <s v="SIRMAN DISCO REBANADOR 2 -5/64 40751DF02"/>
        <s v="SIRMAN DISCO RALLADOR3 MM 1/8"/>
        <s v="SIRMAN DISCO CUBO 8MM 15/16"/>
        <s v="SIRMAN DISCO CUBO 10-25/64 40751PS10"/>
        <s v="DISCO REBANADOR 10 MM.25"/>
        <s v="BANDEJA B/M FULL 12X20X2.5&quot; A/I."/>
        <s v="HORNO RATIONAL ICP 101 (10 BANDEJAS)"/>
        <s v="MESA PARA HORNO ICOMBI PRO"/>
        <s v="MATERIALES DE INSTALACION"/>
        <s v="BANDEJA PARA COSTILLA"/>
        <s v="SUPERSPIKE PARA POLLOS 1/1 GN"/>
        <s v="BANDEJA/PLANCHA ASAD PANAD 1/1 GN"/>
        <s v="TIRADOR DE MANO P/DOLLY FDDOHDL0103"/>
        <s v="BASE PARA CANASTOS DE VEGETALES 1/4"/>
        <s v="FLUKE TERMOMETRO LASER-30A650C 62MAX+12"/>
        <s v="UTENCILIOS DE COCINA "/>
        <s v="ZANITIZADOR DE CUCHILLOS "/>
        <s v="RECIPIENTE DELI OCTAGONAL NEGRO SFG12201"/>
        <s v="RECIPIENTE DELI OCTAGONAL NEGRO SFG10151"/>
        <s v="RUBBERMAID ESPATULA PLASTICA P/CALOR 16"/>
        <s v="HALCO ESCUDILLA DE A/I 10.5QT 15"/>
        <s v="HALCO BATIDOR DE MANO FRANCES 18"/>
        <s v="CAMBRO TAPA P/RECI 9FC2452"/>
        <s v="CAMBRO RECIPIENTE GAST 1/6X4 NEG"/>
        <s v="WINCO BROCHA PASTELERA NB-20"/>
        <s v="PINZA PLASTICA NEGRA 12 PULG 4712"/>
        <s v="CUCHARA ALTA TEMPERATURA 13&quot;"/>
        <s v="ALEGACY CUCHARA SOLIDA 21L MOD 4781"/>
        <s v="TABLA P/CORTE 15X20X1/2&quot; VERDE (57361504"/>
        <s v="TABLA CORTE 15X20X3/4 BCA BROWNE"/>
        <s v="PANO DE MICROFIBRA 16X16&quot; 24/1 VERDE"/>
        <s v="HALCO CUCHILLO COCINERO 10 PC12910"/>
        <s v="FORSCHNER CUCHILLO P/QUESO DOBLE 14"/>
        <s v="CUBETA P/DESINFECTAR 5LT ROJA"/>
        <s v="TAZA MEDIDORA PLASTICA 1 TAZA"/>
        <s v="SACA BOLAS #8 GRIS"/>
        <s v="UTENCILIOS DELY  "/>
        <s v="PORCIONADOR ALIMENTO PERFORADO AZUL"/>
        <s v="PORCIONADOR ALIMENTO AZUL 8 OZ"/>
        <s v="PEDAL NEUMATICO 6 PIES"/>
        <s v="WINHOLT RAPEADORA WHSS-1"/>
        <s v="CHICAGO MED BANDEJA DELI 12X18 BRONCE"/>
        <s v="MICROONDAS TORNADO TMO‐1000E"/>
        <s v="CORTADOR DE QUESO Y JAMON CUBE KING"/>
        <s v="WINCO BROCHA PASTELERA NB-30"/>
        <s v="TABLECRAFT TABLA CORTE CB1520BRA MARRON"/>
        <s v="TABLECRAFT King Steel CB1520GNA VERDE"/>
        <s v="RECIPIENTE KING STEEL 88004"/>
        <s v="RECIPIENTE KING STEEL 88002"/>
        <s v="EDLUND ABRIDOR DE LATAS CON BASE MOD 1S"/>
        <s v="DEXTER RUSSELL CUCHILLO COC S145 10T PCP"/>
        <s v="DEXTER RUSSELL CUCHILLO COC S145 10G GRE"/>
        <s v="CEPILLO SAN JAMAR 1178902"/>
        <s v="CENTRIFUGADORA DE VERDURAS 3GAL"/>
        <s v="CARLISLE RACK 24PULG LARGO ODR‐24N"/>
        <s v="AMERICAN METALCRAFT PINZA HDUT1200"/>
        <s v="ALEGACY TIJERA CORTAR AVES/PESC 1220"/>
        <s v="ALEGACY CUCHARA P/SERVIR 3770"/>
        <s v="SIRMAN REBANADORA 15 TIZIANO"/>
        <s v="HOBART REBANADORA HD 13 HS6-1 A/I 120V"/>
        <s v="REBANADORA PALLADIO 13 330 EVO TOP"/>
        <s v="SIERRA SIN FIN CARNICERIA 1.5HP BI-22SS"/>
        <s v="BIRO TENDERIZADORA 3/4 HP 110V 9HD"/>
        <s v="BIRO SIN FIN CARNIC 3HP 208/230 1433FH"/>
        <s v="BIRO MOLINO MEZCLADOR 32 220VAC 3PH"/>
        <s v="MOLINO CARNICERIA 1HP BI-822SS"/>
        <s v="CANASTO PLEGABLE 60X40X11.3 RPC6411"/>
        <s v="VICTORINOX AMOLADOR 3 PIEDRA 11 1/2F/M/G"/>
        <s v="FILETEO 6¨ RECTO FINO FIBROX NEGRO"/>
        <s v="CHURRASCO 12¨MANGO FIBROX NEGRO"/>
        <s v="CUCHILLO 8 X 2 RECTO ANCHO FIBROX"/>
        <s v="VICTORINOX GUANTES METALICOS LARGE 81504"/>
        <s v="VICTORINOX GUANTES METALICO MIDIUM 81503"/>
        <s v="MOLINO RALLADOR PAN 1HP 220V/60HZ 100KG"/>
        <s v="CAMARA FERMENTACION 879856SP 16 CARROS"/>
        <s v="MESA DE REPOSTERIA SECA ADEXA G03.10"/>
        <s v="MESA DE REPOSTERIA SECA G03.10"/>
        <s v="MUEBLE RAMPA P/PAN 3 NIV S/CROSS G03.11"/>
        <s v="MUEBLE RAMPA P/PAN 3NIV CROSS G03.13"/>
        <s v="MUEBLE RAMPAP/ PAN C/VENTANA G03.12"/>
        <s v="MUEBLE SEM MURAL CALIENTE GRB&amp;GO EQ006"/>
        <s v="CHICAGO BANDEJA PAN LISA PERFORADA 44690"/>
        <s v="CHICAGO BANDEJA BAGUETTE 5 MOLDE/P 49035"/>
        <s v="CHICAGO BANDEJA PAN LISA 18X26X1 40698"/>
        <s v="CHICAGO BANDEJA BAGUETTE 4 MOLDE/P 49034"/>
        <s v="HORNO DOBLE PRISMA S1 8080 SC/P"/>
        <s v="CARROS P/HORNO ROT 30 NIVELES"/>
        <s v="INSTALACION  HORNOS DE PAN "/>
        <s v="MUEBLE DE PLANTA Y FOLRES "/>
        <s v="CANASTO PLEGABLE 60X40X16.3 RPC6416"/>
        <s v="CANASTO PLEGABLE 30X40X16.3 RPC4316"/>
        <s v="LATERAL FINAL EN ACERO INOX"/>
        <s v="MESA CABEZAL VEGETALES C/ESTANTE G02.04"/>
        <s v="MESA T/RAMPA VEGETALES G02.01"/>
        <s v="BALANZA PARA FRUTA Y VEGETALES "/>
        <s v="GONDOLAS PARA TIENDA "/>
        <s v="INSTALACION GONDOLA"/>
        <s v="GONDOLAS DE ANTECAJA "/>
        <s v="CHECK OUT COUNTER SH-003 IZQ S/CINTA"/>
        <s v="CARRITO P/MINUSVALIDO ELECTRICO XTI12 AM"/>
        <s v="SILLA RUEDAS III P/COMPRAS AMARILLA 2031"/>
        <s v="CANASTO CON RUEDAS 52 L NARANJA"/>
        <s v="CARRO NIÑO LOOP KIDS AMARILLO"/>
        <s v="SILLAS BEBE P/CARRO LOOP 210L"/>
        <s v="CARRO COMPRA GRANDE LOOP 210 AMARILLO"/>
        <s v="CARRO COMPRA PEQUENO LOOP XS AMARILLO"/>
        <s v="TRAMERIA DE ALMACEN PALETIZADA"/>
        <s v="SERVICIO DE INSTALACION TRAMERIAS *lo incluye la trameria*"/>
        <s v="MESA EXT PARIS CON TOPE COLOR NEGRO"/>
        <s v="SILLA EXT TULUM COLOR NEGRO Y TAUPE"/>
        <s v="CAFETERA ELECTRICA  CP-40 TAZA PARA COLABORADORES"/>
        <s v="LOCKERS 12 PUERTAS 16X40X75 C/MALLA"/>
        <s v="ENTREGA Y ARMADO"/>
        <s v="YALE CANDADO 30MM 3 LLAVES GRSM LOCKER "/>
        <s v="SOFA P/1 PERSONA E-72"/>
        <s v="MESA CENTRAL OZ-1221W-12"/>
        <s v="MOBILIARIOS DE OFICINA "/>
        <s v="ACRILICO TRANSPARENTE"/>
        <s v="INSTALACION"/>
        <s v="FABRICACION PLANCHA ACRILICO BLANCO TOTE"/>
        <s v="PLANCHA DE VAPOR STEAMBUTLER II ST500"/>
        <s v="MUEBLE DE SERVICIO AL CLIENTE "/>
        <s v="FAB MESA P/AREA SEGURIDAD 1.86X0.60X100"/>
        <s v="FAB. MUEBLE CUADRE GAVETA 2401X0.37X65CM"/>
        <s v="FAB. TOPE NEGRO SAN GABRIEL 45X180X80CM"/>
        <s v="FAB. TOPE COMEDOR"/>
        <s v="FAB.MESA CONTROLADORES 1.86X60X76CM"/>
        <s v="FAB.MESA POP 60X1.86X100CM"/>
        <s v="FAB. MUEBLE MENUDO 1.50x0.60x0.76 cm"/>
        <s v="FAB MUEBLE CM MC 1.45X45X1.10 CM"/>
        <s v="FAB MUEBLE AREA SUM-CUAD-AERE 40X70X1.60"/>
        <s v="TRANSPORTE"/>
        <s v="TABURETE P/OPERARIO LABO 8127 SIN BRAZOS"/>
        <s v="ARCHIVO MODULAR 4 GAVETAS"/>
        <s v="FAB. MUEBLE AEREO 30X1.80X60CM"/>
        <s v="FAB. CREDENZA SERV. 42X1.80X83.5CM"/>
        <s v="FAB. MESA TELERA 1.20X1.80X75 CM"/>
        <s v="INSTALACION- TRANSPORTE"/>
        <s v="MUEBLE TIPO BANCO 40X60X50"/>
        <s v="TRANSPORTE "/>
        <s v="FAB MESAS P/COLABORADORES 40X1.40X85 CM"/>
        <s v="COWAY PURIFICADOR AGUA CHP 671L A"/>
        <s v="COWAY MEMBRESIA"/>
        <s v="MUEBLE LOCKER 15 PUERTAS FENOLICO C/MANU"/>
        <s v="SYMPHONY MEDELA EXTRACTOR LECHE 0240108"/>
        <s v="KIT DE LACTANCIA SYMPHONY DOBLE 67116"/>
        <s v="RACK EXHIB GIRATORIO REDONDO 32 K-54"/>
        <s v="LINEA EXTENDED COLLECTION - RACK BALLET"/>
        <s v="JUEGO DE MESAS NIDO SEGUN MEDIDAS"/>
        <s v="BASE PARA MANIQUI MADERA - FORMICA BLANC"/>
        <s v="MANIQUI MUJER PLASTICO BLANCO BRILLO"/>
        <s v="MANIQUI MUJER C/E BLANCO BRILLO DORIS 6"/>
        <s v="MANIQUI MUJER 3/4 BLANCO MATTE"/>
        <s v="MANIQUI HOMBRE PLASTICO BLANCO BRILLO"/>
        <s v="MANIQUI DE HOMBRE 3/4 BLANCO MATTE"/>
        <s v="MANIQUI NIÑO BLANCO BRILLO C/E"/>
        <s v="MANIQUI BEBE SENTADO BLANCO BRILLO SAM-2"/>
        <s v="FAB.COUNTER SERV VESTDOR 60X1.20X105 CM"/>
        <s v="FAB. TOPE NEGRO SAN GABRIEL"/>
        <s v="TRANSPORTE E INSTALACION "/>
        <s v="CONTRUCCION DE BANDEJA P/CABLEADO DEL PORTICO"/>
        <s v="CONSTRUCION E INST DE PORTICO DE CAJA"/>
        <s v="VESTIDORES FENOLICOS "/>
        <s v="COUNTER RECEPCION FENOLICO"/>
        <s v="COSTOS INDIRECTOS"/>
        <s v="REVESTIMIENTO DE PORTICO EN ACM"/>
        <s v="CARRO GONDOLERO 2 NIVELES 16X48 GRIS"/>
        <s v="RUBBERMAID CAMBIADOR FG781888LPLAT"/>
        <s v="LOTE ESCALERAS TIPO TIJERA 6, 12Y 4"/>
        <s v="ESCALERA METAL 03 NIVELES BLANCA PRETUL"/>
        <s v="ESCALERA FIBRA VIDRIO T/TIJERA 6"/>
        <s v="ESCALERA FIBRA VIDRIO T/TIJERA 12"/>
        <s v="ESCALERA FIBRA VIDRIO T/TIJERA 10"/>
        <s v="TRUPPER PISTOLA P/MANGUERA PR201"/>
        <s v="TRUPPER MANGUERA JARDIN CP 5/8"/>
        <s v="RUBBERMAID ZAFACON FG295600BEIG"/>
        <s v="RUBBERMAID TAPA P/ZAF FG306600BLA"/>
        <s v="ZAFACON RUBBERMAID 24 GL 1883552"/>
        <s v="SWINGLINE GUILLOTINA 18 B/MADERA CL320"/>
        <s v="KIT PARA CLIENTE (JUMPER,CARGADOR,GATO)"/>
        <s v="CONO REFLECTIVO P/TRAFICO"/>
        <s v="MAQUINA LAVADO PRESION 110V"/>
        <s v="MAQUINA DE LAVADO A PRESION "/>
        <s v="CUCHILLA EASY CUT 2000 SC 9701"/>
        <s v="CHAMPION SECADOR DE MANO HAND-DRYER"/>
        <s v="ZAFACON REDONDO MALLA METALICA PLATEADO"/>
        <s v="RIMAX PAPELERA METALIZADA EVO 25LT 11780"/>
        <s v="PLASTIFICADORA INDUSTRIAL LAM450"/>
        <s v="ROLLOS PLASTIFICADO 305 MM X 152 MT P/LA"/>
        <s v="TRANSPALETA ELECTRICA MOD. EPL185"/>
        <s v="CROWN HAND PALLET JACK PTH50-2748(UNA)"/>
        <s v="DECORACON INTERIOR SC( según cotizacion LikeCorp)"/>
        <s v="SEÑALIZACION RUTA DE EVACUACION "/>
        <s v="INSTALACION GENERAL(GRSM)"/>
        <s v="ALQUILER DE PLATAFORMA ELECTRICA"/>
        <s v="LETRERO FACHADA PRINCIPAL SIRENA "/>
        <s v="LETRERO FACHADA PRINCIPAL MULTIPLAZA"/>
        <s v="LETRERO FACHADA SECUNDARIO SIRENA "/>
        <s v="LETRERO FACHADA ISOLOGO SIRENA "/>
        <s v="LETRERO FACHADA ISOLOGO SIRENA CON NOMBRE MAO"/>
        <s v="INSTALACION Y GASTOS SERVICIO PLATAFORMA"/>
        <s v="VALLAS + ESTRUCTURA LETRERO IMPRESION EN BANNER "/>
        <s v="FABRICACION LETRERO TOTEM + LETREROS M Y S"/>
        <s v="LETREROS Y SENALIZACIONES DE PARQUEO( GO, DARSENAS, MONOLITO)"/>
        <s v="PUERTA DE 2 HOJAS AUTOMATICA" u="1"/>
        <s v="BATERIA 7A 12VDC (GRSM)" u="1"/>
        <s v="GABINETES (GRSM)" u="1"/>
        <s v="ONDA SENO INVERSOR QUASI-SENOIDAL 3.5KW" u="1"/>
        <s v="PCB CARGADOR FAN SET ID-906G4" u="1"/>
        <s v="UPS 6KVA TRUE ONLINE INTERPID GALLEON" u="1"/>
        <s v="UPS TRUE ONLINE  INTREPID TOWER 6KVA" u="1"/>
        <s v=" DISEÑO DE EXTRACION DE HUMO Y GRASA" u="1"/>
        <s v="BASE EXTRACTORES E INYECTOR 2X2X3/6" u="1"/>
        <s v="BUMPER DE ACERO INOXIDABLE CSSSR-12A" u="1"/>
        <s v="BUMPER/CARTSTOP BOX RAIL 90 CSB-90" u="1"/>
        <s v="BUMPER/CARTSTOP BOX RAIL 94 CSB-90" u="1"/>
        <s v="BUMPER CSSSR-CORNER-90" u="1"/>
        <s v="BUMPER DE ACERO INOX CSGR-V2-C-CROME-KIT" u="1"/>
        <s v="BUMPER DE ACERO INOX CSGR-V2-E-CROME-KIT" u="1"/>
        <s v="ESTANTERIA 4 NIVELES1045X500MM (Acero Inoxidable)" u="1"/>
        <s v="CANDADO MUL-T-LOCK 13 PULG AMESTRADO" u="1"/>
        <s v="AMAESTRAMIENTO POR PROD MUL-T-LOCK" u="1"/>
        <s v="DUPLICADO DE LLAVES 237 MTL 600" u="1"/>
        <s v="CARRO TRANSPORTE 40X60MM 12NIV" u="1"/>
        <s v="FREGADERO  SIN ESTANTE FD-01" u="1"/>
        <s v="INSTALACION Y GRIFERIA " u="1"/>
        <s v="LAVAMANOS ACERO INOX C/ PULSADOR " u="1"/>
        <s v="MESA DE TRABAJO MURAL 1600X700X850MM" u="1"/>
        <s v="MESA DE TRABAJO MURAL 800X700X850MM" u="1"/>
        <s v="MESA TRABAJO MURAL 1400X700X850MM" u="1"/>
        <s v="MESA TRABAJO MURAL 1850X700X850MM" u="1"/>
        <s v="MESA TRABAJO MURAL C/ESTANTE  DOBLE" u="1"/>
        <s v="MESA TRABAJO MURAL C/ESTANTE  INFERIOR Y" u="1"/>
        <s v="MESA TRABAJO MURAL C/ESTANTE  INTERIOR" u="1"/>
        <s v="MESA TRABAJO MURAL2000X700X850 MM" u="1"/>
        <s v="SPRING ROPE TY-00031" u="1"/>
        <s v="SERVICIO DE INSTALACION TRAMERIAS " u="1"/>
        <s v="MESAS CUADRADAS BAJAS PARA EL AREA DEL FOO CORD " u="1"/>
        <s v="SILLAS BAJAS PARA EL AREA DEL FOO CORD" u="1"/>
        <s v="MESAS CUADRADAS ALTAS PARA EL AREA DEL FOO CORD " u="1"/>
        <s v="SILLAS ALTAS PARA EL AREA DEL FOO CORD" u="1"/>
        <s v="MESA LATERAL OAK P/SALA LACTANCIA 17600" u="1"/>
        <s v="SILLON HISPANIOLA P/SALA LACTANCIA 41061" u="1"/>
        <s v="MACETEROS PARA EL AREA DEL FOOD CORD " u="1"/>
        <s v="FABRICACION LETRERO TOTEM + LETREROS " u="1"/>
        <s v="REVESTIMIENTO ESPAÑOL - EQUIPE METRO LIGHT GREY -" u="1"/>
        <s v="RAMPA NIVELA 60X80 3000LB GPT3MGWPDG" u="1"/>
        <s v="GENERDOR ELECTRICO CATERPILLAR, MODELO R2475L4.   250KW" u="1"/>
        <s v="CAMBRO BANDEJA RECTANG 6X30X2 6302MT NG" u="1"/>
        <s v="CAMBRO BANDEJA RECTANG 10X30X2 10302MTNG" u="1"/>
        <s v="CAMBRO BANDEJA RECTANG 8X30X2 83302MTNG" u="1"/>
        <s v="DELFIN BANDEJA RECT/HALF 15X6X1 TRC-1561" u="1"/>
        <s v="HORNO ROTOR DOBLE LOGIUDICE MODELO PRISSMA" u="1"/>
        <s v="INSTALACION  HORNO ROTOR DOBLE LOGIUDICE MODELO PRISSMA" u="1"/>
        <s v="MANEJO DE DISPENSADORES" u="1"/>
        <s v="DISPENSADOR  P/FUNDA  PEDESTAL PMO-DR" u="1"/>
        <s v="VITRINA T/ISLA COUNTER ELECTRO-CREDI BM1" u="1"/>
        <s v="CONFECCION E INST. BASE P/MONITOR" u="1"/>
        <s v="MURAL CORPORATIVO 60X40 DISENO MED" u="1"/>
        <s v="INSTALACION " u="1"/>
      </sharedItems>
    </cacheField>
    <cacheField name="Orden de compra " numFmtId="0">
      <sharedItems containsBlank="1" containsMixedTypes="1" containsNumber="1" containsInteger="1" minValue="460007437" maxValue="4600076036"/>
    </cacheField>
    <cacheField name="Fecha " numFmtId="0">
      <sharedItems containsDate="1" containsBlank="1" containsMixedTypes="1" minDate="2024-09-06T00:00:00" maxDate="2025-09-22T00:00:00"/>
    </cacheField>
    <cacheField name="Cant." numFmtId="166">
      <sharedItems containsSemiMixedTypes="0" containsString="0" containsNumber="1" minValue="0" maxValue="785"/>
    </cacheField>
    <cacheField name="Mon" numFmtId="0">
      <sharedItems/>
    </cacheField>
    <cacheField name=" Tasa " numFmtId="166">
      <sharedItems containsSemiMixedTypes="0" containsString="0" containsNumber="1" containsInteger="1" minValue="1" maxValue="76"/>
    </cacheField>
    <cacheField name=" Precio Und." numFmtId="0">
      <sharedItems containsString="0" containsBlank="1" containsNumber="1" minValue="0" maxValue="7200000"/>
    </cacheField>
    <cacheField name="Valor Neto [DOP]" numFmtId="166">
      <sharedItems containsSemiMixedTypes="0" containsString="0" containsNumber="1" minValue="0" maxValue="15925663.959999999"/>
    </cacheField>
    <cacheField name="Liquid. [%]" numFmtId="9">
      <sharedItems containsSemiMixedTypes="0" containsString="0" containsNumber="1" minValue="0" maxValue="0.45"/>
    </cacheField>
    <cacheField name="Ppto. Orden Interna [DOP]" numFmtId="166">
      <sharedItems containsSemiMixedTypes="0" containsString="0" containsNumber="1" minValue="0" maxValue="21499646.345999997"/>
    </cacheField>
    <cacheField name="Ppto. Orden Interna [USD]" numFmtId="166">
      <sharedItems containsSemiMixedTypes="0" containsString="0" containsNumber="1" minValue="0" maxValue="341264.22771428566"/>
    </cacheField>
    <cacheField name="Comentario " numFmtId="0">
      <sharedItems containsBlank="1"/>
    </cacheField>
    <cacheField name="Notas" numFmtId="0">
      <sharedItems containsBlank="1"/>
    </cacheField>
    <cacheField name="Documento Contable" numFmtId="0">
      <sharedItems containsNonDate="0" containsString="0" containsBlank="1"/>
    </cacheField>
    <cacheField name="Orden Interna" numFmtId="0">
      <sharedItems containsNonDate="0" containsString="0" containsBlank="1"/>
    </cacheField>
    <cacheField name="AFeC" numFmtId="0">
      <sharedItems containsNonDate="0" containsString="0" containsBlank="1"/>
    </cacheField>
    <cacheField name="Proveedor" numFmtId="0">
      <sharedItems containsDate="1" containsBlank="1" containsMixedTypes="1" minDate="1899-12-31T00:00:00" maxDate="2025-09-30T00:00:00"/>
    </cacheField>
    <cacheField name="Per.P1" numFmtId="0">
      <sharedItems containsString="0" containsBlank="1" containsNumber="1" containsInteger="1" minValue="1" maxValue="21"/>
    </cacheField>
    <cacheField name="Av.P1 [%]" numFmtId="9">
      <sharedItems containsString="0" containsBlank="1" containsNumber="1" minValue="0.4" maxValue="1"/>
    </cacheField>
    <cacheField name="Pago 1" numFmtId="166">
      <sharedItems containsSemiMixedTypes="0" containsString="0" containsNumber="1" minValue="0" maxValue="10749823.172999999"/>
    </cacheField>
    <cacheField name="Per.P2" numFmtId="0">
      <sharedItems containsString="0" containsBlank="1" containsNumber="1" containsInteger="1" minValue="7" maxValue="23"/>
    </cacheField>
    <cacheField name="Av.P2 [%]" numFmtId="9">
      <sharedItems containsString="0" containsBlank="1" containsNumber="1" minValue="0.4" maxValue="0.6"/>
    </cacheField>
    <cacheField name="Pago 2" numFmtId="166">
      <sharedItems containsSemiMixedTypes="0" containsString="0" containsNumber="1" minValue="0" maxValue="10749823.172999999"/>
    </cacheField>
    <cacheField name="Per.P3" numFmtId="0">
      <sharedItems containsNonDate="0" containsString="0" containsBlank="1"/>
    </cacheField>
    <cacheField name="Av.P3 [%]" numFmtId="9">
      <sharedItems containsNonDate="0" containsString="0" containsBlank="1"/>
    </cacheField>
    <cacheField name="Pago 3" numFmtId="166">
      <sharedItems containsSemiMixedTypes="0" containsString="0" containsNumber="1" containsInteger="1" minValue="0" maxValue="0"/>
    </cacheField>
    <cacheField name="Per.P4" numFmtId="0">
      <sharedItems containsNonDate="0" containsString="0" containsBlank="1"/>
    </cacheField>
    <cacheField name="Av.P4 [%]" numFmtId="9">
      <sharedItems containsNonDate="0" containsString="0" containsBlank="1"/>
    </cacheField>
    <cacheField name="Pago 4" numFmtId="166">
      <sharedItems containsSemiMixedTypes="0" containsString="0" containsNumber="1" containsInteger="1" minValue="0" maxValue="0"/>
    </cacheField>
    <cacheField name="Per.P5" numFmtId="0">
      <sharedItems containsNonDate="0" containsString="0" containsBlank="1"/>
    </cacheField>
    <cacheField name="Av.P5 [%]" numFmtId="9">
      <sharedItems containsNonDate="0" containsString="0" containsBlank="1"/>
    </cacheField>
    <cacheField name="Pago 5" numFmtId="166">
      <sharedItems containsSemiMixedTypes="0" containsString="0" containsNumber="1" containsInteger="1" minValue="0" maxValue="0"/>
    </cacheField>
    <cacheField name="Total Flujo Caja" numFmtId="166">
      <sharedItems containsSemiMixedTypes="0" containsString="0" containsNumber="1" minValue="0" maxValue="21499646.345999997"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n v="1.01"/>
    <s v="*"/>
    <x v="0"/>
    <s v="*"/>
    <n v="0"/>
    <x v="0"/>
    <m/>
    <m/>
    <n v="1"/>
    <s v="USD"/>
    <n v="63"/>
    <m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2"/>
    <s v="*"/>
    <x v="1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3"/>
    <s v="*"/>
    <x v="2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4"/>
    <s v="*"/>
    <x v="3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5"/>
    <s v="*"/>
    <x v="4"/>
    <n v="0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6"/>
    <s v="*"/>
    <x v="5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7"/>
    <s v="*"/>
    <x v="6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8"/>
    <s v="*"/>
    <x v="7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1.0900000000000001"/>
    <s v="*"/>
    <x v="8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099999999999998"/>
    <s v="*"/>
    <x v="9"/>
    <s v="*"/>
    <n v="8353.6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099999999999998"/>
    <m/>
    <x v="9"/>
    <s v="OI"/>
    <s v=""/>
    <x v="1"/>
    <n v="4512595609"/>
    <d v="2025-06-30T00:00:00"/>
    <n v="177.12"/>
    <s v="USD"/>
    <n v="63"/>
    <n v="25.2"/>
    <n v="281195.712"/>
    <n v="0"/>
    <n v="281195.712"/>
    <n v="4463.424"/>
    <m/>
    <s v="Revestimiento de Asistido "/>
    <m/>
    <m/>
    <m/>
    <s v="EQUIPOS Y MATERIALES "/>
    <n v="6"/>
    <n v="0.5"/>
    <n v="140597.856"/>
    <n v="12"/>
    <n v="0.5"/>
    <n v="140597.856"/>
    <m/>
    <m/>
    <n v="0"/>
    <m/>
    <m/>
    <n v="0"/>
    <m/>
    <m/>
    <n v="0"/>
    <n v="281195.712"/>
    <m/>
  </r>
  <r>
    <n v="2.0099999999999998"/>
    <m/>
    <x v="9"/>
    <s v="OI"/>
    <s v=""/>
    <x v="2"/>
    <n v="4512595609"/>
    <d v="2025-07-31T00:00:00"/>
    <n v="26.7"/>
    <s v="USD"/>
    <n v="63"/>
    <n v="34"/>
    <n v="57191.399999999994"/>
    <n v="0"/>
    <n v="57191.399999999994"/>
    <n v="907.8"/>
    <m/>
    <s v="Si es piso pulido se eliminan la ceram ica "/>
    <m/>
    <m/>
    <m/>
    <s v="EQUIPOS Y MATERIALES "/>
    <n v="8"/>
    <n v="0.5"/>
    <n v="28595.699999999997"/>
    <n v="12"/>
    <n v="0.5"/>
    <n v="28595.699999999997"/>
    <m/>
    <m/>
    <n v="0"/>
    <m/>
    <m/>
    <n v="0"/>
    <m/>
    <m/>
    <n v="0"/>
    <n v="57191.399999999994"/>
    <m/>
  </r>
  <r>
    <n v="2.0099999999999998"/>
    <m/>
    <x v="9"/>
    <s v="OI"/>
    <s v=""/>
    <x v="3"/>
    <n v="4512595609"/>
    <d v="2025-07-31T00:00:00"/>
    <n v="46.44"/>
    <s v="USD"/>
    <n v="63"/>
    <n v="19.399999999999999"/>
    <n v="56758.967999999993"/>
    <n v="0"/>
    <n v="56758.967999999993"/>
    <n v="900.93599999999992"/>
    <m/>
    <s v="Si es piso pulido se eliminan la ceram ica "/>
    <m/>
    <m/>
    <m/>
    <s v="EQUIPOS Y MATERIALES "/>
    <n v="8"/>
    <n v="0.5"/>
    <n v="28379.483999999997"/>
    <n v="12"/>
    <n v="0.5"/>
    <n v="28379.483999999997"/>
    <m/>
    <m/>
    <n v="0"/>
    <m/>
    <m/>
    <n v="0"/>
    <m/>
    <m/>
    <n v="0"/>
    <n v="56758.967999999993"/>
    <m/>
  </r>
  <r>
    <n v="2.0099999999999998"/>
    <m/>
    <x v="9"/>
    <s v="OI"/>
    <s v=""/>
    <x v="4"/>
    <n v="4512560301"/>
    <d v="2025-07-31T00:00:00"/>
    <n v="90.5"/>
    <s v="USD"/>
    <n v="63"/>
    <n v="23"/>
    <n v="131134.5"/>
    <n v="0"/>
    <n v="131134.5"/>
    <n v="2081.5"/>
    <m/>
    <s v="Si es piso pulido se eliminan la ceram ica "/>
    <m/>
    <m/>
    <m/>
    <s v="EQUIPOS Y MATERIALES "/>
    <n v="8"/>
    <n v="0.5"/>
    <n v="65567.25"/>
    <n v="12"/>
    <n v="0.5"/>
    <n v="65567.25"/>
    <m/>
    <m/>
    <n v="0"/>
    <m/>
    <m/>
    <n v="0"/>
    <m/>
    <m/>
    <n v="0"/>
    <n v="131134.5"/>
    <m/>
  </r>
  <r>
    <n v="2.02"/>
    <s v="*"/>
    <x v="10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299999999999998"/>
    <s v="*"/>
    <x v="11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"/>
    <s v="*"/>
    <x v="12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s v="*"/>
    <x v="13"/>
    <s v="*"/>
    <n v="15099.420287539935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499999999999998"/>
    <m/>
    <x v="13"/>
    <s v="OI"/>
    <s v=""/>
    <x v="5"/>
    <m/>
    <d v="2025-09-21T00:00:00"/>
    <n v="1"/>
    <s v="USD"/>
    <n v="63"/>
    <n v="17000"/>
    <n v="1071000"/>
    <n v="0"/>
    <n v="1071000"/>
    <n v="17000"/>
    <s v="Purificador de agua "/>
    <m/>
    <m/>
    <m/>
    <m/>
    <s v="AQUATEAM DOMINICANA"/>
    <n v="15"/>
    <n v="0.5"/>
    <n v="535500"/>
    <n v="20"/>
    <n v="0.5"/>
    <n v="535500"/>
    <m/>
    <m/>
    <n v="0"/>
    <m/>
    <m/>
    <n v="0"/>
    <m/>
    <m/>
    <n v="0"/>
    <n v="1071000"/>
    <m/>
  </r>
  <r>
    <n v="2.06"/>
    <s v="*"/>
    <x v="14"/>
    <s v="*"/>
    <n v="7260.3833865814695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"/>
    <m/>
    <x v="14"/>
    <s v="OI"/>
    <s v=""/>
    <x v="6"/>
    <m/>
    <d v="2025-09-21T00:00:00"/>
    <n v="1"/>
    <s v="DOP"/>
    <n v="1"/>
    <n v="359680"/>
    <n v="359680"/>
    <n v="0.01"/>
    <n v="363276.79999999999"/>
    <n v="5766.2984126984129"/>
    <s v="Sitema de deteccion de gas "/>
    <m/>
    <m/>
    <m/>
    <m/>
    <m/>
    <n v="15"/>
    <n v="0.5"/>
    <n v="181638.39999999999"/>
    <n v="20"/>
    <n v="0.5"/>
    <n v="181638.39999999999"/>
    <m/>
    <m/>
    <n v="0"/>
    <m/>
    <m/>
    <n v="0"/>
    <m/>
    <m/>
    <n v="0"/>
    <n v="363276.79999999999"/>
    <m/>
  </r>
  <r>
    <n v="2.0699999999999998"/>
    <s v="*"/>
    <x v="15"/>
    <s v="*"/>
    <n v="114712.48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699999999999998"/>
    <m/>
    <x v="15"/>
    <s v="OI"/>
    <s v=""/>
    <x v="7"/>
    <n v="4600072230"/>
    <d v="2025-03-19T00:00:00"/>
    <n v="1"/>
    <s v="USD"/>
    <n v="63"/>
    <n v="79527.8"/>
    <n v="5010251.4000000004"/>
    <n v="0.12"/>
    <n v="5611481.568"/>
    <n v="89071.135999999999"/>
    <s v="Bomba cotra incendio "/>
    <m/>
    <m/>
    <m/>
    <m/>
    <m/>
    <n v="1"/>
    <n v="0.5"/>
    <n v="2805740.784"/>
    <n v="8"/>
    <n v="0.5"/>
    <n v="2805740.784"/>
    <m/>
    <m/>
    <n v="0"/>
    <m/>
    <m/>
    <n v="0"/>
    <m/>
    <m/>
    <n v="0"/>
    <n v="5611481.568"/>
    <m/>
  </r>
  <r>
    <n v="2.0699999999999998"/>
    <m/>
    <x v="15"/>
    <s v="OI"/>
    <s v=""/>
    <x v="8"/>
    <m/>
    <d v="2025-09-21T00:00:00"/>
    <n v="1"/>
    <s v="USD"/>
    <n v="63"/>
    <n v="11000"/>
    <n v="693000"/>
    <n v="0"/>
    <n v="693000"/>
    <n v="11000"/>
    <s v="Bomba cotra incendio "/>
    <m/>
    <m/>
    <m/>
    <m/>
    <m/>
    <n v="21"/>
    <n v="1"/>
    <n v="693000"/>
    <m/>
    <m/>
    <n v="0"/>
    <m/>
    <m/>
    <n v="0"/>
    <m/>
    <m/>
    <n v="0"/>
    <m/>
    <m/>
    <n v="0"/>
    <n v="693000"/>
    <m/>
  </r>
  <r>
    <n v="2.0699999999999998"/>
    <m/>
    <x v="15"/>
    <s v="OI"/>
    <s v=""/>
    <x v="9"/>
    <m/>
    <d v="2025-09-21T00:00:00"/>
    <n v="3"/>
    <s v="USD"/>
    <n v="63"/>
    <n v="40"/>
    <n v="7560"/>
    <n v="0.01"/>
    <n v="7635.6"/>
    <n v="121.2"/>
    <s v="Extintores "/>
    <s v="Extintores similar a Nagua "/>
    <m/>
    <m/>
    <m/>
    <s v="TORIBIO MONES "/>
    <n v="21"/>
    <n v="1"/>
    <n v="7635.6"/>
    <m/>
    <m/>
    <n v="0"/>
    <m/>
    <m/>
    <n v="0"/>
    <m/>
    <m/>
    <n v="0"/>
    <m/>
    <m/>
    <n v="0"/>
    <n v="7635.6"/>
    <m/>
  </r>
  <r>
    <n v="2.0699999999999998"/>
    <m/>
    <x v="15"/>
    <s v="OI"/>
    <s v=""/>
    <x v="10"/>
    <m/>
    <d v="2025-09-21T00:00:00"/>
    <n v="4"/>
    <s v="USD"/>
    <n v="63"/>
    <n v="831"/>
    <n v="209412"/>
    <n v="0.01"/>
    <n v="211506.12"/>
    <n v="3357.24"/>
    <s v="Extintores "/>
    <s v="Extintores similar a Nagua "/>
    <m/>
    <m/>
    <m/>
    <s v="TORIBIO MONES "/>
    <n v="21"/>
    <n v="1"/>
    <n v="211506.12"/>
    <m/>
    <m/>
    <n v="0"/>
    <m/>
    <m/>
    <n v="0"/>
    <m/>
    <m/>
    <n v="0"/>
    <m/>
    <m/>
    <n v="0"/>
    <n v="211506.12"/>
    <m/>
  </r>
  <r>
    <n v="2.0699999999999998"/>
    <m/>
    <x v="15"/>
    <s v="OI"/>
    <s v=""/>
    <x v="11"/>
    <m/>
    <d v="2025-09-21T00:00:00"/>
    <n v="17"/>
    <s v="USD"/>
    <n v="63"/>
    <n v="105"/>
    <n v="112455"/>
    <n v="0.01"/>
    <n v="113579.55"/>
    <n v="1802.8500000000001"/>
    <s v="Extintores "/>
    <s v="Extintores similar a Nagua "/>
    <m/>
    <m/>
    <m/>
    <s v="TORIBIO MONES "/>
    <n v="21"/>
    <n v="1"/>
    <n v="113579.55"/>
    <m/>
    <m/>
    <n v="0"/>
    <m/>
    <m/>
    <n v="0"/>
    <m/>
    <m/>
    <n v="0"/>
    <m/>
    <m/>
    <n v="0"/>
    <n v="113579.55"/>
    <m/>
  </r>
  <r>
    <n v="2.0699999999999998"/>
    <m/>
    <x v="15"/>
    <s v="OI"/>
    <s v=""/>
    <x v="12"/>
    <m/>
    <d v="2025-09-21T00:00:00"/>
    <n v="7"/>
    <s v="USD"/>
    <n v="63"/>
    <n v="185"/>
    <n v="81585"/>
    <n v="0.01"/>
    <n v="82400.850000000006"/>
    <n v="1307.95"/>
    <s v="Extintores "/>
    <s v="Extintores similar a Nagua "/>
    <m/>
    <m/>
    <m/>
    <s v="TORIBIO MONES "/>
    <n v="21"/>
    <n v="1"/>
    <n v="82400.850000000006"/>
    <m/>
    <m/>
    <n v="0"/>
    <m/>
    <m/>
    <n v="0"/>
    <m/>
    <m/>
    <n v="0"/>
    <m/>
    <m/>
    <n v="0"/>
    <n v="82400.850000000006"/>
    <m/>
  </r>
  <r>
    <n v="2.0699999999999998"/>
    <m/>
    <x v="15"/>
    <s v="OI"/>
    <s v=""/>
    <x v="13"/>
    <m/>
    <d v="2025-09-21T00:00:00"/>
    <n v="2"/>
    <s v="USD"/>
    <n v="63"/>
    <n v="274"/>
    <n v="34524"/>
    <n v="0.01"/>
    <n v="34869.24"/>
    <n v="553.48"/>
    <s v="Extintores "/>
    <s v="Extintores similar a Nagua "/>
    <m/>
    <m/>
    <m/>
    <s v="TORIBIO MONES "/>
    <n v="21"/>
    <n v="1"/>
    <n v="34869.24"/>
    <m/>
    <m/>
    <n v="0"/>
    <m/>
    <m/>
    <n v="0"/>
    <m/>
    <m/>
    <n v="0"/>
    <m/>
    <m/>
    <n v="0"/>
    <n v="34869.24"/>
    <m/>
  </r>
  <r>
    <n v="2.0699999999999998"/>
    <m/>
    <x v="15"/>
    <s v="OI"/>
    <s v=""/>
    <x v="14"/>
    <m/>
    <d v="2025-09-21T00:00:00"/>
    <n v="6"/>
    <s v="USD"/>
    <n v="63"/>
    <n v="315"/>
    <n v="119070"/>
    <n v="0.01"/>
    <n v="120260.7"/>
    <n v="1908.8999999999999"/>
    <s v="Extintores "/>
    <s v="Extintores similar a Nagua "/>
    <m/>
    <m/>
    <m/>
    <s v="TORIBIO MONES "/>
    <n v="21"/>
    <n v="1"/>
    <n v="120260.7"/>
    <m/>
    <m/>
    <n v="0"/>
    <m/>
    <m/>
    <n v="0"/>
    <m/>
    <m/>
    <n v="0"/>
    <m/>
    <m/>
    <n v="0"/>
    <n v="120260.7"/>
    <m/>
  </r>
  <r>
    <n v="2.0699999999999998"/>
    <m/>
    <x v="15"/>
    <s v="OI"/>
    <s v=""/>
    <x v="15"/>
    <m/>
    <d v="2025-09-21T00:00:00"/>
    <n v="1"/>
    <s v="USD"/>
    <n v="63"/>
    <n v="192"/>
    <n v="12096"/>
    <n v="0.01"/>
    <n v="12216.96"/>
    <n v="193.92"/>
    <s v="Extintores "/>
    <s v="Extintores similar a Nagua "/>
    <m/>
    <m/>
    <m/>
    <s v="TORIBIO MONES "/>
    <n v="21"/>
    <n v="1"/>
    <n v="12216.96"/>
    <m/>
    <m/>
    <n v="0"/>
    <m/>
    <m/>
    <n v="0"/>
    <m/>
    <m/>
    <n v="0"/>
    <m/>
    <m/>
    <n v="0"/>
    <n v="12216.96"/>
    <m/>
  </r>
  <r>
    <n v="2.0699999999999998"/>
    <m/>
    <x v="15"/>
    <s v="OI"/>
    <s v=""/>
    <x v="16"/>
    <m/>
    <d v="2025-09-21T00:00:00"/>
    <n v="1"/>
    <s v="USD"/>
    <n v="63"/>
    <n v="131"/>
    <n v="8253"/>
    <n v="0.01"/>
    <n v="8335.5300000000007"/>
    <n v="132.31"/>
    <s v="Extintores "/>
    <s v="Extintores similar a Nagua "/>
    <m/>
    <m/>
    <m/>
    <s v="TORIBIO MONES "/>
    <n v="21"/>
    <n v="1"/>
    <n v="8335.5300000000007"/>
    <m/>
    <m/>
    <n v="0"/>
    <m/>
    <m/>
    <n v="0"/>
    <m/>
    <m/>
    <n v="0"/>
    <m/>
    <m/>
    <n v="0"/>
    <n v="8335.5300000000007"/>
    <m/>
  </r>
  <r>
    <n v="2.08"/>
    <s v="*"/>
    <x v="16"/>
    <s v="*"/>
    <n v="65014.422349840257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8"/>
    <m/>
    <x v="16"/>
    <s v="OI"/>
    <s v=""/>
    <x v="17"/>
    <n v="4600072909"/>
    <d v="2025-03-13T00:00:00"/>
    <n v="1"/>
    <s v="USD"/>
    <n v="63"/>
    <n v="21660"/>
    <n v="1364580"/>
    <n v="0.2"/>
    <n v="1637496"/>
    <n v="25992"/>
    <s v="Equipos mecanicos"/>
    <m/>
    <m/>
    <m/>
    <m/>
    <s v="IMEQ US"/>
    <n v="8"/>
    <n v="1"/>
    <n v="1637496"/>
    <m/>
    <m/>
    <n v="0"/>
    <m/>
    <m/>
    <n v="0"/>
    <m/>
    <m/>
    <n v="0"/>
    <m/>
    <m/>
    <n v="0"/>
    <n v="1637496"/>
    <m/>
  </r>
  <r>
    <n v="2.08"/>
    <m/>
    <x v="16"/>
    <s v="OI"/>
    <s v=""/>
    <x v="18"/>
    <n v="4600072909"/>
    <d v="2025-03-13T00:00:00"/>
    <n v="1"/>
    <s v="USD"/>
    <n v="63"/>
    <n v="8884.09"/>
    <n v="559697.67000000004"/>
    <n v="0.15"/>
    <n v="643652.32050000003"/>
    <n v="10216.7035"/>
    <s v="Equipos mecanicos"/>
    <m/>
    <m/>
    <m/>
    <m/>
    <s v="IMEQ US"/>
    <n v="8"/>
    <n v="1"/>
    <n v="643652.32050000003"/>
    <m/>
    <m/>
    <n v="0"/>
    <m/>
    <m/>
    <n v="0"/>
    <m/>
    <m/>
    <n v="0"/>
    <m/>
    <m/>
    <n v="0"/>
    <n v="643652.32050000003"/>
    <m/>
  </r>
  <r>
    <n v="2.08"/>
    <m/>
    <x v="16"/>
    <s v="OI"/>
    <s v=""/>
    <x v="19"/>
    <s v="STOCK"/>
    <d v="2025-09-21T00:00:00"/>
    <n v="2"/>
    <s v="USD"/>
    <n v="63"/>
    <n v="4100"/>
    <n v="516600"/>
    <n v="0.15"/>
    <n v="594090"/>
    <n v="9430"/>
    <s v="Equipos mecanicos"/>
    <s v="Cotizado"/>
    <m/>
    <m/>
    <m/>
    <s v="IMEQ US"/>
    <n v="21"/>
    <n v="1"/>
    <n v="594090"/>
    <m/>
    <m/>
    <n v="0"/>
    <m/>
    <m/>
    <n v="0"/>
    <m/>
    <m/>
    <n v="0"/>
    <m/>
    <m/>
    <n v="0"/>
    <n v="594090"/>
    <m/>
  </r>
  <r>
    <n v="2.08"/>
    <m/>
    <x v="16"/>
    <s v="OI"/>
    <s v=""/>
    <x v="20"/>
    <m/>
    <d v="2025-09-21T00:00:00"/>
    <n v="1"/>
    <s v="USD"/>
    <n v="63"/>
    <n v="4200"/>
    <n v="264600"/>
    <n v="0"/>
    <n v="264600"/>
    <n v="4200"/>
    <s v="Equipos mecanicos"/>
    <m/>
    <m/>
    <m/>
    <m/>
    <s v="IMEQ US"/>
    <n v="15"/>
    <n v="0.5"/>
    <n v="132300"/>
    <n v="20"/>
    <n v="0.5"/>
    <n v="132300"/>
    <m/>
    <m/>
    <n v="0"/>
    <m/>
    <m/>
    <n v="0"/>
    <m/>
    <m/>
    <n v="0"/>
    <n v="264600"/>
    <m/>
  </r>
  <r>
    <n v="2.08"/>
    <m/>
    <x v="16"/>
    <s v="OI"/>
    <s v=""/>
    <x v="21"/>
    <m/>
    <d v="2025-09-21T00:00:00"/>
    <n v="1"/>
    <s v="DOP"/>
    <n v="1"/>
    <n v="909800"/>
    <n v="909800"/>
    <n v="0"/>
    <n v="909800"/>
    <n v="14441.269841269841"/>
    <m/>
    <s v="se esta considerando una puerta segun plano"/>
    <m/>
    <m/>
    <m/>
    <s v="DUCHI"/>
    <n v="15"/>
    <n v="0.5"/>
    <n v="454900"/>
    <n v="20"/>
    <n v="0.5"/>
    <n v="454900"/>
    <m/>
    <m/>
    <n v="0"/>
    <m/>
    <m/>
    <n v="0"/>
    <m/>
    <m/>
    <n v="0"/>
    <n v="909800"/>
    <m/>
  </r>
  <r>
    <n v="2.08"/>
    <m/>
    <x v="16"/>
    <s v="OI"/>
    <s v=""/>
    <x v="22"/>
    <m/>
    <d v="2025-09-21T00:00:00"/>
    <n v="1"/>
    <s v="DOP"/>
    <n v="1"/>
    <n v="924074.28"/>
    <n v="924074.28"/>
    <n v="0"/>
    <n v="924074.28"/>
    <n v="14667.845714285715"/>
    <m/>
    <s v="se esta considerando una puerta segun plano"/>
    <m/>
    <m/>
    <m/>
    <s v="DUCHI"/>
    <n v="15"/>
    <n v="0.5"/>
    <n v="462037.14"/>
    <n v="20"/>
    <n v="0.5"/>
    <n v="462037.14"/>
    <m/>
    <m/>
    <n v="0"/>
    <m/>
    <m/>
    <n v="0"/>
    <m/>
    <m/>
    <n v="0"/>
    <n v="924074.28"/>
    <m/>
  </r>
  <r>
    <n v="2.08"/>
    <m/>
    <x v="16"/>
    <s v="OI"/>
    <s v=""/>
    <x v="23"/>
    <m/>
    <d v="2025-09-21T00:00:00"/>
    <n v="1"/>
    <s v="DOP"/>
    <n v="1"/>
    <n v="503395"/>
    <n v="503395"/>
    <n v="0"/>
    <n v="503395"/>
    <n v="7990.3968253968251"/>
    <m/>
    <s v="se esta considerando una puerta segun plano"/>
    <m/>
    <m/>
    <m/>
    <s v="DUCHI"/>
    <n v="15"/>
    <n v="0.5"/>
    <n v="251697.5"/>
    <n v="20"/>
    <n v="0.5"/>
    <n v="251697.5"/>
    <m/>
    <m/>
    <n v="0"/>
    <m/>
    <m/>
    <n v="0"/>
    <m/>
    <m/>
    <n v="0"/>
    <n v="503395"/>
    <m/>
  </r>
  <r>
    <n v="2.09"/>
    <s v="*"/>
    <x v="17"/>
    <s v="*"/>
    <n v="11673.35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09"/>
    <m/>
    <x v="17"/>
    <s v="OI"/>
    <s v=""/>
    <x v="24"/>
    <n v="4600072801"/>
    <s v="10/03/225"/>
    <n v="4"/>
    <s v="USD"/>
    <n v="63"/>
    <n v="321.95"/>
    <n v="81131.399999999994"/>
    <n v="0"/>
    <n v="81131.399999999994"/>
    <n v="1287.8"/>
    <s v="Rejilla y sumidero "/>
    <s v="se coloco el precio de la ultima cot de almanzar "/>
    <m/>
    <m/>
    <m/>
    <s v="ACO CARIBE S.A"/>
    <n v="3"/>
    <n v="0.4"/>
    <n v="32452.559999999998"/>
    <n v="8"/>
    <n v="0.6"/>
    <n v="48678.84"/>
    <m/>
    <m/>
    <n v="0"/>
    <m/>
    <m/>
    <n v="0"/>
    <m/>
    <m/>
    <n v="0"/>
    <n v="81131.399999999994"/>
    <m/>
  </r>
  <r>
    <n v="2.09"/>
    <m/>
    <x v="17"/>
    <s v="OI"/>
    <s v=""/>
    <x v="25"/>
    <n v="4600072801"/>
    <s v="10/03/225"/>
    <n v="11"/>
    <s v="USD"/>
    <n v="63"/>
    <n v="494.55"/>
    <n v="342723.15"/>
    <n v="0"/>
    <n v="342723.15"/>
    <n v="5440.05"/>
    <s v="Rejilla y sumidero "/>
    <s v="se coloco el precio de la ultima cot de almanzar "/>
    <m/>
    <m/>
    <m/>
    <s v="ACO CARIBE S.A"/>
    <n v="3"/>
    <n v="0.4"/>
    <n v="137089.26"/>
    <n v="8"/>
    <n v="0.6"/>
    <n v="205633.89"/>
    <m/>
    <m/>
    <n v="0"/>
    <m/>
    <m/>
    <n v="0"/>
    <m/>
    <m/>
    <n v="0"/>
    <n v="342723.15"/>
    <m/>
  </r>
  <r>
    <n v="2.09"/>
    <m/>
    <x v="17"/>
    <s v="OI"/>
    <s v=""/>
    <x v="26"/>
    <n v="4600072801"/>
    <s v="10/03/225"/>
    <n v="10"/>
    <s v="USD"/>
    <n v="63"/>
    <n v="494.55"/>
    <n v="311566.5"/>
    <n v="0"/>
    <n v="311566.5"/>
    <n v="4945.5"/>
    <s v="Rejilla y sumidero "/>
    <s v="se coloco el precio de la ultima cot de almanzar "/>
    <m/>
    <m/>
    <m/>
    <s v="ACO CARIBE S.A"/>
    <n v="3"/>
    <n v="0.4"/>
    <n v="124626.6"/>
    <n v="8"/>
    <n v="0.6"/>
    <n v="186939.9"/>
    <m/>
    <m/>
    <n v="0"/>
    <m/>
    <m/>
    <n v="0"/>
    <m/>
    <m/>
    <n v="0"/>
    <n v="311566.5"/>
    <m/>
  </r>
  <r>
    <n v="2.1"/>
    <s v="*"/>
    <x v="18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2.11"/>
    <s v="*"/>
    <x v="19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1"/>
    <s v="*"/>
    <x v="20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2"/>
    <s v="*"/>
    <x v="21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s v="*"/>
    <x v="22"/>
    <s v="*"/>
    <n v="165254.22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3"/>
    <m/>
    <x v="22"/>
    <s v="OI"/>
    <s v=""/>
    <x v="27"/>
    <n v="4512415673"/>
    <d v="2025-02-20T00:00:00"/>
    <n v="2"/>
    <s v="USD"/>
    <n v="63"/>
    <n v="82627.11"/>
    <n v="10411015.859999999"/>
    <n v="0"/>
    <n v="10411015.859999999"/>
    <n v="165254.22"/>
    <s v="Equipos mecanicos"/>
    <s v="ultima cotizacion de Imca "/>
    <m/>
    <m/>
    <m/>
    <s v="IMCA"/>
    <n v="2"/>
    <n v="0.5"/>
    <n v="5205507.93"/>
    <n v="21"/>
    <n v="0.5"/>
    <n v="5205507.93"/>
    <m/>
    <m/>
    <n v="0"/>
    <m/>
    <m/>
    <n v="0"/>
    <m/>
    <m/>
    <n v="0"/>
    <n v="10411015.859999999"/>
    <m/>
  </r>
  <r>
    <n v="3.04"/>
    <s v="*"/>
    <x v="23"/>
    <s v="*"/>
    <n v="15304.913597444089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3.04"/>
    <m/>
    <x v="23"/>
    <s v="OI"/>
    <s v=""/>
    <x v="28"/>
    <m/>
    <d v="2025-09-21T00:00:00"/>
    <n v="1"/>
    <s v="USD"/>
    <n v="63"/>
    <n v="1750"/>
    <n v="110250"/>
    <n v="0"/>
    <n v="110250"/>
    <n v="1750"/>
    <s v="Ups e Inversores "/>
    <m/>
    <m/>
    <m/>
    <m/>
    <s v="75343 :ACH CONTRATISTAS ELECTROMEC"/>
    <n v="21"/>
    <n v="1"/>
    <n v="110250"/>
    <m/>
    <m/>
    <n v="0"/>
    <m/>
    <m/>
    <n v="0"/>
    <m/>
    <m/>
    <n v="0"/>
    <m/>
    <m/>
    <n v="0"/>
    <n v="110250"/>
    <m/>
  </r>
  <r>
    <n v="3.04"/>
    <m/>
    <x v="23"/>
    <s v="OI"/>
    <s v=""/>
    <x v="29"/>
    <m/>
    <d v="2025-09-21T00:00:00"/>
    <n v="20"/>
    <s v="USD"/>
    <n v="63"/>
    <n v="47"/>
    <n v="59220"/>
    <n v="0"/>
    <n v="59220"/>
    <n v="940"/>
    <s v="Ups e Inversores "/>
    <m/>
    <m/>
    <m/>
    <m/>
    <s v="75343 :ACH CONTRATISTAS ELECTROMEC"/>
    <n v="21"/>
    <n v="1"/>
    <n v="59220"/>
    <m/>
    <m/>
    <n v="0"/>
    <m/>
    <m/>
    <n v="0"/>
    <m/>
    <m/>
    <n v="0"/>
    <m/>
    <m/>
    <n v="0"/>
    <n v="59220"/>
    <m/>
  </r>
  <r>
    <n v="3.04"/>
    <m/>
    <x v="23"/>
    <s v="OI"/>
    <s v=""/>
    <x v="30"/>
    <m/>
    <d v="2025-09-21T00:00:00"/>
    <n v="1"/>
    <s v="USD"/>
    <n v="63"/>
    <n v="510"/>
    <n v="32130"/>
    <n v="0"/>
    <n v="32130"/>
    <n v="510"/>
    <s v="Ups e Inversores "/>
    <m/>
    <m/>
    <m/>
    <m/>
    <s v="75343 :ACH CONTRATISTAS ELECTROMEC"/>
    <n v="21"/>
    <n v="1"/>
    <n v="32130"/>
    <m/>
    <m/>
    <n v="0"/>
    <m/>
    <m/>
    <n v="0"/>
    <m/>
    <m/>
    <n v="0"/>
    <m/>
    <m/>
    <n v="0"/>
    <n v="32130"/>
    <m/>
  </r>
  <r>
    <n v="3.04"/>
    <m/>
    <x v="23"/>
    <s v="OI"/>
    <s v=""/>
    <x v="31"/>
    <m/>
    <d v="2025-09-21T00:00:00"/>
    <n v="1"/>
    <s v="USD"/>
    <n v="63"/>
    <n v="800"/>
    <n v="50400"/>
    <n v="0"/>
    <n v="50400"/>
    <n v="800"/>
    <s v="Ups e Inversores "/>
    <m/>
    <m/>
    <m/>
    <m/>
    <s v="75343 :ACH CONTRATISTAS ELECTROMEC"/>
    <n v="21"/>
    <n v="1"/>
    <n v="50400"/>
    <m/>
    <m/>
    <n v="0"/>
    <m/>
    <m/>
    <n v="0"/>
    <m/>
    <m/>
    <n v="0"/>
    <m/>
    <m/>
    <n v="0"/>
    <n v="50400"/>
    <m/>
  </r>
  <r>
    <n v="3.04"/>
    <m/>
    <x v="23"/>
    <s v="OI"/>
    <s v=""/>
    <x v="32"/>
    <m/>
    <d v="2025-09-21T00:00:00"/>
    <n v="5"/>
    <s v="USD"/>
    <n v="63"/>
    <n v="1885"/>
    <n v="593775"/>
    <n v="0"/>
    <n v="593775"/>
    <n v="9425"/>
    <s v="Ups e Inversores "/>
    <m/>
    <m/>
    <m/>
    <m/>
    <s v="75343 :ACH CONTRATISTAS ELECTROMEC"/>
    <n v="21"/>
    <n v="1"/>
    <n v="593775"/>
    <m/>
    <m/>
    <n v="0"/>
    <m/>
    <m/>
    <n v="0"/>
    <m/>
    <m/>
    <n v="0"/>
    <m/>
    <m/>
    <n v="0"/>
    <n v="593775"/>
    <m/>
  </r>
  <r>
    <n v="3.04"/>
    <m/>
    <x v="23"/>
    <s v="OI"/>
    <s v=""/>
    <x v="33"/>
    <m/>
    <d v="2025-09-21T00:00:00"/>
    <n v="4"/>
    <s v="USD"/>
    <n v="63"/>
    <n v="480"/>
    <n v="120960"/>
    <n v="0"/>
    <n v="120960"/>
    <n v="1920"/>
    <s v="Ups e Inversores "/>
    <m/>
    <m/>
    <m/>
    <m/>
    <s v="75343 :ACH CONTRATISTAS ELECTROMEC"/>
    <n v="21"/>
    <n v="1"/>
    <n v="120960"/>
    <m/>
    <m/>
    <n v="0"/>
    <m/>
    <m/>
    <n v="0"/>
    <m/>
    <m/>
    <n v="0"/>
    <m/>
    <m/>
    <n v="0"/>
    <n v="120960"/>
    <m/>
  </r>
  <r>
    <n v="3.04"/>
    <m/>
    <x v="23"/>
    <s v="OI"/>
    <s v=""/>
    <x v="34"/>
    <m/>
    <d v="2025-09-21T00:00:00"/>
    <n v="16"/>
    <s v="USD"/>
    <n v="63"/>
    <n v="250"/>
    <n v="252000"/>
    <n v="0"/>
    <n v="252000"/>
    <n v="4000"/>
    <s v="Ups e Inversores "/>
    <m/>
    <m/>
    <m/>
    <m/>
    <s v="75343 :ACH CONTRATISTAS ELECTROMEC"/>
    <n v="21"/>
    <n v="1"/>
    <n v="252000"/>
    <m/>
    <m/>
    <n v="0"/>
    <m/>
    <m/>
    <n v="0"/>
    <m/>
    <m/>
    <n v="0"/>
    <m/>
    <m/>
    <n v="0"/>
    <n v="252000"/>
    <m/>
  </r>
  <r>
    <n v="4.01"/>
    <s v="*"/>
    <x v="24"/>
    <s v="*"/>
    <n v="255437.67022763577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1"/>
    <m/>
    <x v="24"/>
    <s v="OI"/>
    <s v=""/>
    <x v="35"/>
    <n v="4600072951"/>
    <d v="2025-03-14T00:00:00"/>
    <n v="5"/>
    <s v="EUR"/>
    <n v="76"/>
    <n v="33443.97"/>
    <n v="12708708.6"/>
    <n v="0.25"/>
    <n v="15885885.75"/>
    <n v="252156.91666666666"/>
    <s v="AA tipo paquete"/>
    <m/>
    <m/>
    <m/>
    <m/>
    <s v="keyter "/>
    <n v="3"/>
    <n v="0.5"/>
    <n v="7942942.875"/>
    <n v="9"/>
    <n v="0.5"/>
    <n v="7942942.875"/>
    <m/>
    <m/>
    <n v="0"/>
    <m/>
    <m/>
    <n v="0"/>
    <m/>
    <m/>
    <n v="0"/>
    <n v="15885885.75"/>
    <m/>
  </r>
  <r>
    <n v="4.0199999999999996"/>
    <s v="*"/>
    <x v="25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s v="*"/>
    <x v="26"/>
    <s v="*"/>
    <n v="18966.43849840255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4.03"/>
    <m/>
    <x v="26"/>
    <s v="OI"/>
    <s v=""/>
    <x v="36"/>
    <m/>
    <d v="2025-09-21T00:00:00"/>
    <n v="1"/>
    <s v="DOP"/>
    <n v="1"/>
    <n v="130000"/>
    <n v="130000"/>
    <n v="0"/>
    <n v="130000"/>
    <n v="2063.4920634920636"/>
    <s v="Sistema de extracion e inteccion "/>
    <m/>
    <m/>
    <m/>
    <m/>
    <s v="75064 TECNICOMSA SRL"/>
    <n v="15"/>
    <n v="0.6"/>
    <n v="78000"/>
    <n v="21"/>
    <n v="0.4"/>
    <n v="52000"/>
    <m/>
    <m/>
    <n v="0"/>
    <m/>
    <m/>
    <n v="0"/>
    <m/>
    <m/>
    <n v="0"/>
    <n v="130000"/>
    <m/>
  </r>
  <r>
    <n v="4.03"/>
    <m/>
    <x v="26"/>
    <s v="OI"/>
    <s v=""/>
    <x v="37"/>
    <m/>
    <d v="2025-09-21T00:00:00"/>
    <n v="1"/>
    <s v="DOP"/>
    <n v="1"/>
    <n v="85300"/>
    <n v="85300"/>
    <n v="0"/>
    <n v="85300"/>
    <n v="1353.968253968254"/>
    <s v="Sistema de extracion e inteccion "/>
    <m/>
    <m/>
    <m/>
    <m/>
    <s v="75064 TECNICOMSA SRL"/>
    <n v="15"/>
    <n v="0.6"/>
    <n v="51180"/>
    <n v="21"/>
    <n v="0.4"/>
    <n v="34120"/>
    <m/>
    <m/>
    <n v="0"/>
    <m/>
    <m/>
    <n v="0"/>
    <m/>
    <m/>
    <n v="0"/>
    <n v="85300"/>
    <m/>
  </r>
  <r>
    <n v="4.03"/>
    <m/>
    <x v="26"/>
    <s v="OI"/>
    <s v=""/>
    <x v="38"/>
    <m/>
    <d v="2025-09-21T00:00:00"/>
    <n v="1"/>
    <s v="DOP"/>
    <n v="1"/>
    <n v="192146"/>
    <n v="192146"/>
    <n v="0"/>
    <n v="192146"/>
    <n v="3049.936507936508"/>
    <s v="Sistema de extracion e inteccion "/>
    <m/>
    <m/>
    <m/>
    <m/>
    <s v="75064 TECNICOMSA SRL"/>
    <n v="15"/>
    <n v="0.6"/>
    <n v="115287.59999999999"/>
    <n v="21"/>
    <n v="0.4"/>
    <n v="76858.400000000009"/>
    <m/>
    <m/>
    <n v="0"/>
    <m/>
    <m/>
    <n v="0"/>
    <m/>
    <m/>
    <n v="0"/>
    <n v="192146"/>
    <m/>
  </r>
  <r>
    <n v="4.03"/>
    <m/>
    <x v="26"/>
    <s v="OI"/>
    <s v=""/>
    <x v="39"/>
    <m/>
    <d v="2025-09-21T00:00:00"/>
    <n v="1"/>
    <s v="DOP"/>
    <n v="1"/>
    <n v="220888"/>
    <n v="220888"/>
    <n v="0"/>
    <n v="220888"/>
    <n v="3506.1587301587301"/>
    <s v="Sistema de extracion e inteccion "/>
    <m/>
    <m/>
    <m/>
    <m/>
    <s v="75064 TECNICOMSA SRL"/>
    <n v="15"/>
    <n v="0.6"/>
    <n v="132532.79999999999"/>
    <n v="21"/>
    <n v="0.4"/>
    <n v="88355.200000000012"/>
    <m/>
    <m/>
    <n v="0"/>
    <m/>
    <m/>
    <n v="0"/>
    <m/>
    <m/>
    <n v="0"/>
    <n v="220888"/>
    <m/>
  </r>
  <r>
    <n v="4.03"/>
    <m/>
    <x v="26"/>
    <s v="OI"/>
    <s v=""/>
    <x v="40"/>
    <m/>
    <d v="2025-09-21T00:00:00"/>
    <n v="1"/>
    <s v="DOP"/>
    <n v="1"/>
    <n v="37300"/>
    <n v="37300"/>
    <n v="0"/>
    <n v="37300"/>
    <n v="592.06349206349205"/>
    <s v="Sistema de extracion e inteccion "/>
    <m/>
    <m/>
    <m/>
    <m/>
    <s v="75064 TECNICOMSA SRL"/>
    <n v="15"/>
    <n v="0.6"/>
    <n v="22380"/>
    <n v="21"/>
    <n v="0.4"/>
    <n v="14920"/>
    <m/>
    <m/>
    <n v="0"/>
    <m/>
    <m/>
    <n v="0"/>
    <m/>
    <m/>
    <n v="0"/>
    <n v="37300"/>
    <m/>
  </r>
  <r>
    <n v="4.03"/>
    <m/>
    <x v="26"/>
    <s v="OI"/>
    <s v=""/>
    <x v="41"/>
    <m/>
    <d v="2025-09-21T00:00:00"/>
    <n v="1"/>
    <s v="DOP"/>
    <n v="1"/>
    <n v="52083"/>
    <n v="52083"/>
    <n v="0"/>
    <n v="52083"/>
    <n v="826.71428571428567"/>
    <s v="Sistema de extracion e inteccion "/>
    <m/>
    <m/>
    <m/>
    <m/>
    <s v="75064 TECNICOMSA SRL"/>
    <n v="15"/>
    <n v="0.6"/>
    <n v="31249.8"/>
    <n v="21"/>
    <n v="0.4"/>
    <n v="20833.2"/>
    <m/>
    <m/>
    <n v="0"/>
    <m/>
    <m/>
    <n v="0"/>
    <m/>
    <m/>
    <n v="0"/>
    <n v="52083"/>
    <m/>
  </r>
  <r>
    <n v="4.03"/>
    <m/>
    <x v="26"/>
    <s v="OI"/>
    <s v=""/>
    <x v="42"/>
    <m/>
    <d v="2025-09-21T00:00:00"/>
    <n v="2"/>
    <s v="DOP"/>
    <n v="1"/>
    <n v="15000"/>
    <n v="30000"/>
    <n v="0"/>
    <n v="30000"/>
    <n v="476.1904761904762"/>
    <s v="Sistema de extracion e inteccion "/>
    <m/>
    <m/>
    <m/>
    <m/>
    <s v="75064 TECNICOMSA SRL"/>
    <n v="15"/>
    <n v="0.6"/>
    <n v="18000"/>
    <n v="21"/>
    <n v="0.4"/>
    <n v="12000"/>
    <m/>
    <m/>
    <n v="0"/>
    <m/>
    <m/>
    <n v="0"/>
    <m/>
    <m/>
    <n v="0"/>
    <n v="30000"/>
    <m/>
  </r>
  <r>
    <n v="4.03"/>
    <m/>
    <x v="26"/>
    <s v="OI"/>
    <s v=""/>
    <x v="43"/>
    <m/>
    <d v="2025-09-21T00:00:00"/>
    <n v="1"/>
    <s v="DOP"/>
    <n v="1"/>
    <n v="16000"/>
    <n v="16000"/>
    <n v="0"/>
    <n v="16000"/>
    <n v="253.96825396825398"/>
    <s v="Sistema de extracion e inteccion "/>
    <m/>
    <m/>
    <m/>
    <m/>
    <s v="75064 TECNICOMSA SRL"/>
    <n v="15"/>
    <n v="0.6"/>
    <n v="9600"/>
    <n v="21"/>
    <n v="0.4"/>
    <n v="6400"/>
    <m/>
    <m/>
    <n v="0"/>
    <m/>
    <m/>
    <n v="0"/>
    <m/>
    <m/>
    <n v="0"/>
    <n v="16000"/>
    <m/>
  </r>
  <r>
    <n v="4.03"/>
    <m/>
    <x v="26"/>
    <s v="OI"/>
    <s v=""/>
    <x v="44"/>
    <m/>
    <d v="2025-09-21T00:00:00"/>
    <n v="2"/>
    <s v="DOP"/>
    <n v="1"/>
    <n v="15000"/>
    <n v="30000"/>
    <n v="0"/>
    <n v="30000"/>
    <n v="476.1904761904762"/>
    <s v="Sistema de extracion e inteccion "/>
    <m/>
    <m/>
    <m/>
    <m/>
    <s v="75064 TECNICOMSA SRL"/>
    <n v="15"/>
    <n v="0.6"/>
    <n v="18000"/>
    <n v="21"/>
    <n v="0.4"/>
    <n v="12000"/>
    <m/>
    <m/>
    <n v="0"/>
    <m/>
    <m/>
    <n v="0"/>
    <m/>
    <m/>
    <n v="0"/>
    <n v="30000"/>
    <m/>
  </r>
  <r>
    <n v="4.03"/>
    <m/>
    <x v="26"/>
    <s v="OI"/>
    <s v=""/>
    <x v="45"/>
    <m/>
    <d v="2025-09-21T00:00:00"/>
    <n v="1"/>
    <s v="DOP"/>
    <n v="1"/>
    <n v="45000"/>
    <n v="45000"/>
    <n v="0"/>
    <n v="45000"/>
    <n v="714.28571428571433"/>
    <s v="Sistema de extracion e inteccion "/>
    <m/>
    <m/>
    <m/>
    <m/>
    <s v="75064 TECNICOMSA SRL"/>
    <n v="15"/>
    <n v="0.6"/>
    <n v="27000"/>
    <n v="21"/>
    <n v="0.4"/>
    <n v="18000"/>
    <m/>
    <m/>
    <n v="0"/>
    <m/>
    <m/>
    <n v="0"/>
    <m/>
    <m/>
    <n v="0"/>
    <n v="45000"/>
    <m/>
  </r>
  <r>
    <n v="4.03"/>
    <m/>
    <x v="26"/>
    <s v="OI"/>
    <s v=""/>
    <x v="46"/>
    <m/>
    <d v="2024-09-06T00:00:00"/>
    <n v="148"/>
    <s v="DOP"/>
    <n v="1"/>
    <n v="1400"/>
    <n v="207200"/>
    <n v="0"/>
    <n v="207200"/>
    <n v="3288.8888888888887"/>
    <s v="Ductos d pan"/>
    <m/>
    <m/>
    <m/>
    <m/>
    <s v="75064 TECNICOMSA SRL"/>
    <n v="15"/>
    <n v="0.6"/>
    <n v="124320"/>
    <n v="21"/>
    <n v="0.4"/>
    <n v="82880"/>
    <m/>
    <m/>
    <n v="0"/>
    <m/>
    <m/>
    <n v="0"/>
    <m/>
    <m/>
    <n v="0"/>
    <n v="207200"/>
    <m/>
  </r>
  <r>
    <n v="5.01"/>
    <s v="*"/>
    <x v="27"/>
    <s v="*"/>
    <n v="15750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"/>
    <m/>
    <x v="27"/>
    <s v="OI"/>
    <s v=""/>
    <x v="47"/>
    <m/>
    <d v="2025-09-21T00:00:00"/>
    <n v="1"/>
    <s v="USD"/>
    <n v="63"/>
    <n v="103192.23"/>
    <n v="6501110.4899999993"/>
    <n v="0.05"/>
    <n v="6826166.0144999996"/>
    <n v="108351.84149999999"/>
    <s v="Paneles, Puertas Frp, Dimont Plate "/>
    <s v="Se considero la propuesta de Roofet "/>
    <m/>
    <m/>
    <m/>
    <s v="76752 ROOFTEC SRL"/>
    <n v="15"/>
    <n v="0.5"/>
    <n v="3413083.0072499998"/>
    <n v="22"/>
    <n v="0.5"/>
    <n v="3413083.0072499998"/>
    <m/>
    <m/>
    <n v="0"/>
    <m/>
    <m/>
    <n v="0"/>
    <m/>
    <m/>
    <n v="0"/>
    <n v="6826166.0144999996"/>
    <m/>
  </r>
  <r>
    <n v="5.01"/>
    <m/>
    <x v="27"/>
    <s v="OI"/>
    <s v=""/>
    <x v="48"/>
    <m/>
    <d v="2025-09-21T00:00:00"/>
    <n v="1"/>
    <s v="USD"/>
    <n v="63"/>
    <n v="20304.64"/>
    <n v="1279192.32"/>
    <n v="0.05"/>
    <n v="1343151.936"/>
    <n v="21319.871999999999"/>
    <s v="Paneles, Puertas Frp, Dimont Plate "/>
    <s v="Se considero la propuesta de Roofet "/>
    <m/>
    <m/>
    <m/>
    <s v="76752 ROOFTEC SRL"/>
    <n v="15"/>
    <n v="0.5"/>
    <n v="671575.96799999999"/>
    <n v="22"/>
    <n v="0.5"/>
    <n v="671575.96799999999"/>
    <m/>
    <m/>
    <n v="0"/>
    <m/>
    <m/>
    <n v="0"/>
    <m/>
    <m/>
    <n v="0"/>
    <n v="1343151.936"/>
    <m/>
  </r>
  <r>
    <n v="5.0199999999999996"/>
    <s v="*"/>
    <x v="28"/>
    <s v="*"/>
    <n v="32571.3465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199999999999996"/>
    <m/>
    <x v="28"/>
    <s v="OI"/>
    <s v=""/>
    <x v="49"/>
    <m/>
    <d v="2025-09-21T00:00:00"/>
    <n v="1"/>
    <s v="USD"/>
    <n v="63"/>
    <n v="49449.4"/>
    <n v="3115312.2"/>
    <n v="0"/>
    <n v="3115312.2"/>
    <n v="49449.4"/>
    <s v="Paneles, Puertas Frp, Dimont Plate "/>
    <s v="Se considero la propuesta de Roofet "/>
    <m/>
    <m/>
    <m/>
    <s v="76752 ROOFTEC SRL"/>
    <n v="15"/>
    <n v="0.5"/>
    <n v="1557656.1"/>
    <n v="22"/>
    <n v="0.5"/>
    <n v="1557656.1"/>
    <m/>
    <m/>
    <n v="0"/>
    <m/>
    <m/>
    <n v="0"/>
    <m/>
    <m/>
    <n v="0"/>
    <n v="3115312.2"/>
    <m/>
  </r>
  <r>
    <n v="5.03"/>
    <s v="*"/>
    <x v="29"/>
    <s v="*"/>
    <n v="545308.28391773161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3"/>
    <m/>
    <x v="29"/>
    <s v="OI"/>
    <s v=""/>
    <x v="50"/>
    <n v="4600073154"/>
    <d v="2025-03-27T00:00:00"/>
    <n v="1"/>
    <s v="EUR"/>
    <n v="76"/>
    <n v="148337.1"/>
    <n v="11273619.6"/>
    <n v="0.15"/>
    <n v="12964662.539999999"/>
    <n v="205788.29428571428"/>
    <s v="Nevera sala de venta "/>
    <s v="Precio de cotizacion de Arneg "/>
    <m/>
    <m/>
    <m/>
    <s v="ARNEG"/>
    <n v="3"/>
    <n v="0.5"/>
    <n v="6482331.2699999996"/>
    <n v="8"/>
    <n v="0.5"/>
    <n v="6482331.2699999996"/>
    <m/>
    <m/>
    <n v="0"/>
    <m/>
    <m/>
    <n v="0"/>
    <m/>
    <m/>
    <n v="0"/>
    <n v="12964662.539999999"/>
    <m/>
  </r>
  <r>
    <n v="5.03"/>
    <m/>
    <x v="29"/>
    <s v="OI"/>
    <s v=""/>
    <x v="51"/>
    <n v="4600073350"/>
    <d v="2025-04-11T00:00:00"/>
    <n v="1"/>
    <s v="EUR"/>
    <n v="76"/>
    <n v="175139.1"/>
    <n v="13310571.6"/>
    <n v="0.15"/>
    <n v="15307157.34"/>
    <n v="242970.75142857141"/>
    <s v="Rack /Evapo"/>
    <s v="Se coloco el precio real de la orden "/>
    <m/>
    <m/>
    <m/>
    <s v="INFRICO "/>
    <n v="4"/>
    <n v="0.5"/>
    <n v="7653578.6699999999"/>
    <n v="10"/>
    <n v="0.5"/>
    <n v="7653578.6699999999"/>
    <m/>
    <m/>
    <n v="0"/>
    <m/>
    <m/>
    <n v="0"/>
    <m/>
    <m/>
    <n v="0"/>
    <n v="15307157.34"/>
    <s v="       "/>
  </r>
  <r>
    <n v="5.03"/>
    <m/>
    <x v="29"/>
    <s v="OI"/>
    <s v=""/>
    <x v="52"/>
    <n v="4600073602"/>
    <d v="2025-05-02T00:00:00"/>
    <n v="1"/>
    <s v="USD"/>
    <n v="63"/>
    <n v="547"/>
    <n v="34461"/>
    <n v="0.45"/>
    <n v="49968.45"/>
    <n v="793.15"/>
    <s v="Muebles ims "/>
    <s v="Actualizada según ultima cotizacion "/>
    <m/>
    <m/>
    <m/>
    <s v="35455 PRALICCI S.A."/>
    <n v="5"/>
    <n v="0.5"/>
    <n v="24984.224999999999"/>
    <n v="14"/>
    <n v="0.5"/>
    <n v="24984.224999999999"/>
    <m/>
    <m/>
    <n v="0"/>
    <m/>
    <m/>
    <n v="0"/>
    <m/>
    <m/>
    <n v="0"/>
    <n v="49968.45"/>
    <m/>
  </r>
  <r>
    <n v="5.03"/>
    <m/>
    <x v="29"/>
    <s v="OI"/>
    <s v=""/>
    <x v="53"/>
    <n v="4600073602"/>
    <d v="2025-05-02T00:00:00"/>
    <n v="1"/>
    <s v="USD"/>
    <n v="63"/>
    <n v="9030"/>
    <n v="568890"/>
    <n v="0.45"/>
    <n v="824890.5"/>
    <n v="13093.5"/>
    <s v="Nevera auto contenida IMS"/>
    <s v="Actualizada según ultima cotizacion "/>
    <m/>
    <m/>
    <m/>
    <s v="35455 PRALICCI S.A."/>
    <n v="5"/>
    <n v="0.5"/>
    <n v="412445.25"/>
    <n v="14"/>
    <n v="0.5"/>
    <n v="412445.25"/>
    <m/>
    <m/>
    <n v="0"/>
    <m/>
    <m/>
    <n v="0"/>
    <m/>
    <m/>
    <n v="0"/>
    <n v="824890.5"/>
    <m/>
  </r>
  <r>
    <n v="5.03"/>
    <m/>
    <x v="29"/>
    <s v="OI"/>
    <s v=""/>
    <x v="54"/>
    <n v="4600073639"/>
    <d v="2025-05-08T00:00:00"/>
    <n v="1"/>
    <s v="EUR"/>
    <n v="76"/>
    <n v="12438"/>
    <n v="945288"/>
    <n v="0.15"/>
    <n v="1087081.2"/>
    <n v="17255.257142857143"/>
    <s v="Nevera sala de venta "/>
    <s v="Precio de cotizacion de Arneg "/>
    <m/>
    <m/>
    <m/>
    <s v="ARNEG"/>
    <n v="5"/>
    <n v="0.5"/>
    <n v="543540.6"/>
    <n v="8"/>
    <n v="0.5"/>
    <n v="543540.6"/>
    <m/>
    <m/>
    <n v="0"/>
    <m/>
    <m/>
    <n v="0"/>
    <m/>
    <m/>
    <n v="0"/>
    <n v="1087081.2"/>
    <m/>
  </r>
  <r>
    <n v="5.03"/>
    <m/>
    <x v="29"/>
    <s v="OI"/>
    <s v=""/>
    <x v="55"/>
    <n v="4600074308"/>
    <d v="2025-06-14T00:00:00"/>
    <n v="1"/>
    <s v="EUR"/>
    <n v="76"/>
    <n v="11520.69"/>
    <n v="875572.44000000006"/>
    <n v="0.25"/>
    <n v="1094465.55"/>
    <n v="17372.469047619048"/>
    <s v="Walking Cooler "/>
    <s v="Se coloco monto real de la cotizacion +25% de liquidacion desde españa "/>
    <m/>
    <m/>
    <m/>
    <s v="INFRICO "/>
    <n v="6"/>
    <n v="0.5"/>
    <n v="547232.77500000002"/>
    <n v="7"/>
    <n v="0.5"/>
    <n v="547232.77500000002"/>
    <m/>
    <m/>
    <n v="0"/>
    <m/>
    <m/>
    <n v="0"/>
    <m/>
    <m/>
    <n v="0"/>
    <n v="1094465.55"/>
    <m/>
  </r>
  <r>
    <n v="5.03"/>
    <m/>
    <x v="29"/>
    <s v="OI"/>
    <s v=""/>
    <x v="56"/>
    <n v="4600074921"/>
    <d v="2025-07-15T00:00:00"/>
    <n v="1"/>
    <s v="EUR"/>
    <n v="76"/>
    <n v="9981.7199999999993"/>
    <n v="758610.72"/>
    <n v="0.15"/>
    <n v="872402.32799999998"/>
    <n v="13847.655999999999"/>
    <s v="Nevera de carne aistido "/>
    <s v="Se coloco el precio de la cotizacion que Alba compartio a Karle lee"/>
    <m/>
    <m/>
    <m/>
    <s v="Arneg "/>
    <n v="7"/>
    <n v="0.5"/>
    <n v="436201.16399999999"/>
    <n v="14"/>
    <n v="0.5"/>
    <n v="436201.16399999999"/>
    <m/>
    <m/>
    <n v="0"/>
    <m/>
    <m/>
    <n v="0"/>
    <m/>
    <m/>
    <n v="0"/>
    <n v="872402.32799999998"/>
    <m/>
  </r>
  <r>
    <n v="5.03"/>
    <m/>
    <x v="29"/>
    <s v="OI"/>
    <s v=""/>
    <x v="57"/>
    <n v="4600076036"/>
    <d v="2025-09-21T00:00:00"/>
    <n v="2"/>
    <s v="EUR"/>
    <n v="76"/>
    <n v="3674"/>
    <n v="558448"/>
    <n v="0.15"/>
    <n v="642215.19999999995"/>
    <n v="10193.892063492063"/>
    <s v="Nevera sala de venta "/>
    <s v="Precio de cotizacion de Arneg "/>
    <m/>
    <m/>
    <m/>
    <d v="2025-09-29T00:00:00"/>
    <n v="10"/>
    <n v="0.5"/>
    <n v="321107.59999999998"/>
    <n v="14"/>
    <n v="0.5"/>
    <n v="321107.59999999998"/>
    <m/>
    <m/>
    <n v="0"/>
    <m/>
    <m/>
    <n v="0"/>
    <m/>
    <m/>
    <n v="0"/>
    <n v="642215.19999999995"/>
    <m/>
  </r>
  <r>
    <n v="5.03"/>
    <m/>
    <x v="29"/>
    <s v="OI"/>
    <s v=""/>
    <x v="58"/>
    <m/>
    <d v="2025-09-21T00:00:00"/>
    <n v="5"/>
    <s v="USD"/>
    <n v="63"/>
    <n v="2500"/>
    <n v="787500"/>
    <n v="0"/>
    <n v="787500"/>
    <n v="12500"/>
    <s v="Neveras de ante caja "/>
    <m/>
    <m/>
    <m/>
    <m/>
    <s v="76285 FAB.REFRIGERADORES COMERCIALES SRL"/>
    <n v="21"/>
    <n v="1"/>
    <n v="787500"/>
    <m/>
    <m/>
    <n v="0"/>
    <m/>
    <m/>
    <n v="0"/>
    <m/>
    <m/>
    <n v="0"/>
    <m/>
    <m/>
    <n v="0"/>
    <n v="787500"/>
    <m/>
  </r>
  <r>
    <n v="5.03"/>
    <m/>
    <x v="29"/>
    <s v="OI"/>
    <s v=""/>
    <x v="59"/>
    <m/>
    <d v="2025-09-21T00:00:00"/>
    <n v="1"/>
    <s v="USD"/>
    <n v="63"/>
    <n v="2093"/>
    <n v="131859"/>
    <n v="0"/>
    <n v="131859"/>
    <n v="2093"/>
    <s v="Mesa refrigerada "/>
    <m/>
    <m/>
    <m/>
    <m/>
    <s v="76285 FAB.REFRIGERADORES COMERCIALES SRL"/>
    <n v="21"/>
    <n v="1"/>
    <n v="131859"/>
    <m/>
    <m/>
    <n v="0"/>
    <m/>
    <m/>
    <n v="0"/>
    <m/>
    <m/>
    <n v="0"/>
    <m/>
    <m/>
    <n v="0"/>
    <n v="131859"/>
    <m/>
  </r>
  <r>
    <n v="5.03"/>
    <m/>
    <x v="29"/>
    <s v="OI"/>
    <s v=""/>
    <x v="60"/>
    <m/>
    <d v="2025-09-21T00:00:00"/>
    <n v="1"/>
    <s v="USD"/>
    <n v="63"/>
    <n v="1923.75"/>
    <n v="121196.25"/>
    <n v="0"/>
    <n v="121196.25"/>
    <n v="1923.75"/>
    <s v="Nevera farco, reposteria"/>
    <m/>
    <m/>
    <m/>
    <m/>
    <s v="76285 FAB.REFRIGERADORES COMERCIALES SRL"/>
    <n v="21"/>
    <n v="1"/>
    <n v="121196.25"/>
    <m/>
    <m/>
    <n v="0"/>
    <m/>
    <m/>
    <n v="0"/>
    <m/>
    <m/>
    <n v="0"/>
    <m/>
    <m/>
    <n v="0"/>
    <n v="121196.25"/>
    <m/>
  </r>
  <r>
    <n v="5.04"/>
    <s v="*"/>
    <x v="30"/>
    <s v="*"/>
    <n v="28768.60000000000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4"/>
    <m/>
    <x v="30"/>
    <s v="OI"/>
    <s v=""/>
    <x v="61"/>
    <m/>
    <d v="2025-09-21T00:00:00"/>
    <n v="785"/>
    <s v="USD"/>
    <n v="63"/>
    <n v="44.46"/>
    <n v="2198769.2999999998"/>
    <n v="0.25"/>
    <n v="2748461.625"/>
    <n v="43626.375"/>
    <s v="Bumpers "/>
    <s v="Incluido sala de venta/trastienda/ otras areas"/>
    <m/>
    <m/>
    <m/>
    <s v="31338 :MCCUE CORPORATION"/>
    <n v="15"/>
    <n v="0.5"/>
    <n v="1374230.8125"/>
    <n v="19"/>
    <n v="0.5"/>
    <n v="1374230.8125"/>
    <m/>
    <m/>
    <n v="0"/>
    <m/>
    <m/>
    <n v="0"/>
    <m/>
    <m/>
    <n v="0"/>
    <n v="2748461.625"/>
    <m/>
  </r>
  <r>
    <n v="5.04"/>
    <m/>
    <x v="30"/>
    <s v="OI"/>
    <s v=""/>
    <x v="62"/>
    <m/>
    <d v="2025-09-21T00:00:00"/>
    <n v="244"/>
    <s v="USD"/>
    <n v="63"/>
    <n v="34.64"/>
    <n v="532486.07999999996"/>
    <n v="0.25"/>
    <n v="665607.6"/>
    <n v="10565.199999999999"/>
    <s v="Bumpers "/>
    <s v="Incluido sala de venta/trastienda/ otras areas"/>
    <m/>
    <m/>
    <m/>
    <s v="31337 :MCCUE CORPORATION"/>
    <n v="15"/>
    <n v="0.5"/>
    <n v="332803.8"/>
    <n v="19"/>
    <n v="0.5"/>
    <n v="332803.8"/>
    <m/>
    <m/>
    <n v="0"/>
    <m/>
    <m/>
    <n v="0"/>
    <m/>
    <m/>
    <n v="0"/>
    <n v="665607.6"/>
    <m/>
  </r>
  <r>
    <n v="5.04"/>
    <m/>
    <x v="30"/>
    <s v="OI"/>
    <s v=""/>
    <x v="63"/>
    <m/>
    <d v="2025-09-21T00:00:00"/>
    <n v="157"/>
    <s v="USD"/>
    <n v="63"/>
    <n v="30.45"/>
    <n v="301180.95"/>
    <n v="0.25"/>
    <n v="376476.1875"/>
    <n v="5975.8125"/>
    <s v="Bumpers "/>
    <s v="Incluido sala de venta/trastienda/ otras areas"/>
    <m/>
    <m/>
    <m/>
    <s v="31336 :MCCUE CORPORATION"/>
    <n v="15"/>
    <n v="0.5"/>
    <n v="188238.09375"/>
    <n v="19"/>
    <n v="0.5"/>
    <n v="188238.09375"/>
    <m/>
    <m/>
    <n v="0"/>
    <m/>
    <m/>
    <n v="0"/>
    <m/>
    <m/>
    <n v="0"/>
    <n v="376476.1875"/>
    <m/>
  </r>
  <r>
    <n v="5.04"/>
    <m/>
    <x v="30"/>
    <s v="OI"/>
    <s v=""/>
    <x v="64"/>
    <m/>
    <d v="2025-09-21T00:00:00"/>
    <n v="237"/>
    <s v="USD"/>
    <n v="63"/>
    <n v="122.1"/>
    <n v="1823075.0999999999"/>
    <n v="0.25"/>
    <n v="2278843.875"/>
    <n v="36172.125"/>
    <s v="Bumpers "/>
    <s v="Incluido sala de venta/trastienda/ otras areas"/>
    <m/>
    <m/>
    <m/>
    <s v="31335 :MCCUE CORPORATION"/>
    <n v="15"/>
    <n v="0.5"/>
    <n v="1139421.9375"/>
    <n v="19"/>
    <n v="0.5"/>
    <n v="1139421.9375"/>
    <m/>
    <m/>
    <n v="0"/>
    <m/>
    <m/>
    <n v="0"/>
    <m/>
    <m/>
    <n v="0"/>
    <n v="2278843.875"/>
    <m/>
  </r>
  <r>
    <n v="5.04"/>
    <m/>
    <x v="30"/>
    <s v="OI"/>
    <s v=""/>
    <x v="65"/>
    <m/>
    <d v="2025-09-21T00:00:00"/>
    <n v="195"/>
    <s v="USD"/>
    <n v="63"/>
    <n v="76.67"/>
    <n v="941890.95000000007"/>
    <n v="0.25"/>
    <n v="1177363.6875"/>
    <n v="18688.3125"/>
    <s v="Bumpers "/>
    <s v="Incluido sala de venta/trastienda/ otras areas"/>
    <m/>
    <m/>
    <m/>
    <s v="31334 :MCCUE CORPORATION"/>
    <n v="15"/>
    <n v="0.5"/>
    <n v="588681.84375"/>
    <n v="19"/>
    <n v="0.5"/>
    <n v="588681.84375"/>
    <m/>
    <m/>
    <n v="0"/>
    <m/>
    <m/>
    <n v="0"/>
    <m/>
    <m/>
    <n v="0"/>
    <n v="1177363.6875"/>
    <m/>
  </r>
  <r>
    <n v="5.04"/>
    <m/>
    <x v="30"/>
    <s v="OI"/>
    <s v=""/>
    <x v="66"/>
    <m/>
    <d v="2025-09-21T00:00:00"/>
    <n v="74"/>
    <s v="USD"/>
    <n v="63"/>
    <n v="122.1"/>
    <n v="569230.19999999995"/>
    <n v="0.25"/>
    <n v="711537.75"/>
    <n v="11294.25"/>
    <s v="Bumpers "/>
    <s v="Incluido sala de venta/trastienda/ otras areas"/>
    <m/>
    <m/>
    <m/>
    <s v="31333 :MCCUE CORPORATION"/>
    <n v="15"/>
    <n v="0.5"/>
    <n v="355768.875"/>
    <n v="19"/>
    <n v="0.5"/>
    <n v="355768.875"/>
    <m/>
    <m/>
    <n v="0"/>
    <m/>
    <m/>
    <n v="0"/>
    <m/>
    <m/>
    <n v="0"/>
    <n v="711537.75"/>
    <m/>
  </r>
  <r>
    <n v="5.04"/>
    <m/>
    <x v="30"/>
    <s v="OI"/>
    <s v=""/>
    <x v="67"/>
    <m/>
    <d v="2025-09-21T00:00:00"/>
    <n v="137"/>
    <s v="USD"/>
    <n v="63"/>
    <n v="222.5"/>
    <n v="1920397.5"/>
    <n v="0.25"/>
    <n v="2400496.875"/>
    <n v="38103.125"/>
    <s v="Bumpers "/>
    <s v="Incluido sala de venta/trastienda/ otras areas"/>
    <m/>
    <m/>
    <m/>
    <s v="31332 :MCCUE CORPORATION"/>
    <n v="15"/>
    <n v="0.5"/>
    <n v="1200248.4375"/>
    <n v="19"/>
    <n v="0.5"/>
    <n v="1200248.4375"/>
    <m/>
    <m/>
    <n v="0"/>
    <m/>
    <m/>
    <n v="0"/>
    <m/>
    <m/>
    <n v="0"/>
    <n v="2400496.875"/>
    <m/>
  </r>
  <r>
    <n v="5.04"/>
    <m/>
    <x v="30"/>
    <s v="OI"/>
    <s v=""/>
    <x v="68"/>
    <m/>
    <d v="2025-09-21T00:00:00"/>
    <n v="26"/>
    <s v="USD"/>
    <n v="63"/>
    <n v="222.5"/>
    <n v="364455"/>
    <n v="0.25"/>
    <n v="455568.75"/>
    <n v="7231.25"/>
    <s v="Bumpers "/>
    <s v="Incluido sala de venta/trastienda/ otras areas"/>
    <m/>
    <m/>
    <m/>
    <s v="31332 :MCCUE CORPORATION"/>
    <n v="15"/>
    <n v="0.5"/>
    <n v="227784.375"/>
    <n v="19"/>
    <n v="0.5"/>
    <n v="227784.375"/>
    <m/>
    <m/>
    <n v="0"/>
    <m/>
    <m/>
    <n v="0"/>
    <m/>
    <m/>
    <n v="0"/>
    <n v="455568.75"/>
    <m/>
  </r>
  <r>
    <n v="5.04"/>
    <m/>
    <x v="30"/>
    <s v="OI"/>
    <s v=""/>
    <x v="69"/>
    <m/>
    <d v="2025-09-21T00:00:00"/>
    <n v="77"/>
    <s v="USD"/>
    <n v="63"/>
    <n v="80.42"/>
    <n v="390117.42"/>
    <n v="0.25"/>
    <n v="487646.77499999997"/>
    <n v="7740.4249999999993"/>
    <s v="Bumpers "/>
    <s v="Incluido sala de venta/trastienda/ otras areas"/>
    <m/>
    <m/>
    <m/>
    <s v="31332 :MCCUE CORPORATION"/>
    <n v="15"/>
    <n v="0.5"/>
    <n v="243823.38749999998"/>
    <n v="19"/>
    <n v="0.5"/>
    <n v="243823.38749999998"/>
    <m/>
    <m/>
    <n v="0"/>
    <m/>
    <m/>
    <n v="0"/>
    <m/>
    <m/>
    <n v="0"/>
    <n v="487646.77499999997"/>
    <m/>
  </r>
  <r>
    <n v="5.04"/>
    <m/>
    <x v="30"/>
    <s v="OI"/>
    <s v=""/>
    <x v="69"/>
    <m/>
    <d v="2025-09-21T00:00:00"/>
    <n v="121"/>
    <s v="USD"/>
    <n v="63"/>
    <n v="105.53"/>
    <n v="804455.19000000006"/>
    <n v="0.25"/>
    <n v="1005568.9875"/>
    <n v="15961.4125"/>
    <s v="Bumpers "/>
    <s v="Incluido sala de venta/trastienda/ otras areas"/>
    <m/>
    <m/>
    <m/>
    <s v="31332 :MCCUE CORPORATION"/>
    <n v="15"/>
    <n v="0.5"/>
    <n v="502784.49375000002"/>
    <n v="19"/>
    <n v="0.5"/>
    <n v="502784.49375000002"/>
    <m/>
    <m/>
    <n v="0"/>
    <m/>
    <m/>
    <n v="0"/>
    <m/>
    <m/>
    <n v="0"/>
    <n v="1005568.9875"/>
    <m/>
  </r>
  <r>
    <n v="5.04"/>
    <m/>
    <x v="30"/>
    <s v="OI"/>
    <s v=""/>
    <x v="70"/>
    <m/>
    <d v="2025-09-21T00:00:00"/>
    <n v="31"/>
    <s v="USD"/>
    <n v="63"/>
    <n v="133.63"/>
    <n v="260979.38999999998"/>
    <n v="0.25"/>
    <n v="326224.23749999999"/>
    <n v="5178.1624999999995"/>
    <s v="Bumpers "/>
    <s v="Incluido sala de venta/trastienda/ otras areas"/>
    <m/>
    <m/>
    <m/>
    <s v="31332 :MCCUE CORPORATION"/>
    <n v="15"/>
    <n v="0.5"/>
    <n v="163112.11874999999"/>
    <n v="19"/>
    <n v="0.5"/>
    <n v="163112.11874999999"/>
    <m/>
    <m/>
    <n v="0"/>
    <m/>
    <m/>
    <n v="0"/>
    <m/>
    <m/>
    <n v="0"/>
    <n v="326224.23749999999"/>
    <m/>
  </r>
  <r>
    <n v="5.04"/>
    <m/>
    <x v="30"/>
    <s v="OI"/>
    <s v=""/>
    <x v="71"/>
    <m/>
    <d v="2025-09-21T00:00:00"/>
    <n v="8"/>
    <s v="USD"/>
    <n v="63"/>
    <n v="156.41999999999999"/>
    <n v="78835.679999999993"/>
    <n v="0.25"/>
    <n v="98544.599999999991"/>
    <n v="1564.1999999999998"/>
    <s v="Bumpers "/>
    <s v="Incluido sala de venta/trastienda/ otras areas"/>
    <m/>
    <m/>
    <m/>
    <s v="31332 :MCCUE CORPORATION"/>
    <n v="15"/>
    <n v="0.5"/>
    <n v="49272.299999999996"/>
    <n v="19"/>
    <n v="0.5"/>
    <n v="49272.299999999996"/>
    <m/>
    <m/>
    <n v="0"/>
    <m/>
    <m/>
    <n v="0"/>
    <m/>
    <m/>
    <n v="0"/>
    <n v="98544.599999999991"/>
    <m/>
  </r>
  <r>
    <n v="5.04"/>
    <m/>
    <x v="30"/>
    <s v="OI"/>
    <s v=""/>
    <x v="72"/>
    <m/>
    <d v="2025-09-21T00:00:00"/>
    <n v="14"/>
    <s v="USD"/>
    <n v="63"/>
    <n v="18.920000000000002"/>
    <n v="16687.440000000002"/>
    <n v="0.25"/>
    <n v="20859.300000000003"/>
    <n v="331.1"/>
    <s v="Bumpers "/>
    <s v="Incluido sala de venta/trastienda/ otras areas"/>
    <m/>
    <m/>
    <m/>
    <s v="31332 :MCCUE CORPORATION"/>
    <n v="15"/>
    <n v="0.5"/>
    <n v="10429.650000000001"/>
    <n v="19"/>
    <n v="0.5"/>
    <n v="10429.650000000001"/>
    <m/>
    <m/>
    <n v="0"/>
    <m/>
    <m/>
    <n v="0"/>
    <m/>
    <m/>
    <n v="0"/>
    <n v="20859.300000000003"/>
    <m/>
  </r>
  <r>
    <n v="5.04"/>
    <m/>
    <x v="30"/>
    <s v="OI"/>
    <s v=""/>
    <x v="73"/>
    <m/>
    <d v="2025-09-21T00:00:00"/>
    <n v="36"/>
    <s v="USD"/>
    <n v="63"/>
    <n v="79.510000000000005"/>
    <n v="180328.68000000002"/>
    <n v="0.25"/>
    <n v="225410.85000000003"/>
    <n v="3577.9500000000007"/>
    <s v="Bumpers "/>
    <s v="Incluido sala de venta/trastienda/ otras areas"/>
    <m/>
    <m/>
    <m/>
    <s v="31332 :MCCUE CORPORATION"/>
    <n v="15"/>
    <n v="0.5"/>
    <n v="112705.42500000002"/>
    <n v="19"/>
    <n v="0.5"/>
    <n v="112705.42500000002"/>
    <m/>
    <m/>
    <n v="0"/>
    <m/>
    <m/>
    <n v="0"/>
    <m/>
    <m/>
    <n v="0"/>
    <n v="225410.85000000003"/>
    <m/>
  </r>
  <r>
    <n v="5.04"/>
    <m/>
    <x v="30"/>
    <s v="OI"/>
    <s v=""/>
    <x v="74"/>
    <m/>
    <d v="2025-09-21T00:00:00"/>
    <n v="218"/>
    <s v="USD"/>
    <n v="63"/>
    <n v="8.4700000000000006"/>
    <n v="116326.98000000001"/>
    <n v="0.25"/>
    <n v="145408.72500000001"/>
    <n v="2308.0750000000003"/>
    <s v="Bumpers "/>
    <s v="Incluido sala de venta/trastienda/ otras areas"/>
    <m/>
    <m/>
    <m/>
    <s v="31332 :MCCUE CORPORATION"/>
    <n v="15"/>
    <n v="0.5"/>
    <n v="72704.362500000003"/>
    <n v="19"/>
    <n v="0.5"/>
    <n v="72704.362500000003"/>
    <m/>
    <m/>
    <n v="0"/>
    <m/>
    <m/>
    <n v="0"/>
    <m/>
    <m/>
    <n v="0"/>
    <n v="145408.72500000001"/>
    <m/>
  </r>
  <r>
    <n v="5.04"/>
    <m/>
    <x v="30"/>
    <s v="OI"/>
    <s v=""/>
    <x v="69"/>
    <m/>
    <d v="2025-09-21T00:00:00"/>
    <n v="121"/>
    <s v="USD"/>
    <n v="63"/>
    <n v="8.4700000000000006"/>
    <n v="64566.810000000005"/>
    <n v="0.25"/>
    <n v="80708.512500000012"/>
    <n v="1281.0875000000001"/>
    <s v="Bumpers "/>
    <s v="Incluido sala de venta/trastienda/ otras areas"/>
    <m/>
    <m/>
    <m/>
    <s v="31332 :MCCUE CORPORATION"/>
    <n v="15"/>
    <n v="0.5"/>
    <n v="40354.256250000006"/>
    <n v="19"/>
    <n v="0.5"/>
    <n v="40354.256250000006"/>
    <m/>
    <m/>
    <n v="0"/>
    <m/>
    <m/>
    <n v="0"/>
    <m/>
    <m/>
    <n v="0"/>
    <n v="80708.512500000012"/>
    <m/>
  </r>
  <r>
    <n v="5.04"/>
    <m/>
    <x v="30"/>
    <s v="OI"/>
    <s v=""/>
    <x v="75"/>
    <m/>
    <d v="2025-09-21T00:00:00"/>
    <n v="3.15"/>
    <s v="USD"/>
    <n v="63"/>
    <n v="5.25"/>
    <n v="1041.8625"/>
    <n v="0.25"/>
    <n v="1302.328125"/>
    <n v="20.671875"/>
    <s v="Bumpers "/>
    <s v="Incluido sala de venta/trastienda/ otras areas"/>
    <m/>
    <m/>
    <m/>
    <s v="31332 :MCCUE CORPORATION"/>
    <n v="15"/>
    <n v="0.5"/>
    <n v="651.1640625"/>
    <n v="19"/>
    <n v="0.5"/>
    <n v="651.1640625"/>
    <m/>
    <m/>
    <n v="0"/>
    <m/>
    <m/>
    <n v="0"/>
    <m/>
    <m/>
    <n v="0"/>
    <n v="1302.328125"/>
    <m/>
  </r>
  <r>
    <n v="5.05"/>
    <s v="*"/>
    <x v="31"/>
    <s v="*"/>
    <n v="37028.75399361022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"/>
    <m/>
    <x v="31"/>
    <s v="OI"/>
    <s v=""/>
    <x v="76"/>
    <s v="STOCK"/>
    <d v="2025-09-21T00:00:00"/>
    <n v="4"/>
    <s v="DOP"/>
    <n v="1"/>
    <n v="12000"/>
    <n v="48000"/>
    <n v="0"/>
    <n v="48000"/>
    <n v="761.90476190476193"/>
    <s v="Estanteria congelado"/>
    <m/>
    <m/>
    <m/>
    <m/>
    <s v="76722 ALMAR INVERPROYECT SRL F"/>
    <n v="15"/>
    <n v="0.5"/>
    <n v="24000"/>
    <n v="22"/>
    <n v="0.5"/>
    <n v="24000"/>
    <m/>
    <m/>
    <n v="0"/>
    <m/>
    <m/>
    <n v="0"/>
    <m/>
    <m/>
    <n v="0"/>
    <n v="48000"/>
    <m/>
  </r>
  <r>
    <n v="5.05"/>
    <m/>
    <x v="31"/>
    <s v="OI"/>
    <s v=""/>
    <x v="77"/>
    <s v="STOCK"/>
    <d v="2025-09-21T00:00:00"/>
    <n v="22"/>
    <s v="DOP"/>
    <n v="1"/>
    <n v="32000"/>
    <n v="704000"/>
    <n v="0"/>
    <n v="704000"/>
    <n v="11174.603174603175"/>
    <s v="Estanteria Media Temp"/>
    <m/>
    <m/>
    <m/>
    <m/>
    <s v="UTECO "/>
    <n v="15"/>
    <n v="0.5"/>
    <n v="352000"/>
    <n v="22"/>
    <n v="0.5"/>
    <n v="352000"/>
    <m/>
    <m/>
    <n v="0"/>
    <m/>
    <m/>
    <n v="0"/>
    <m/>
    <m/>
    <n v="0"/>
    <n v="704000"/>
    <m/>
  </r>
  <r>
    <n v="5.05"/>
    <m/>
    <x v="31"/>
    <s v="OI"/>
    <s v=""/>
    <x v="78"/>
    <s v="STOCK"/>
    <d v="2025-09-21T00:00:00"/>
    <n v="1"/>
    <s v="DOP"/>
    <n v="1"/>
    <n v="879050.32"/>
    <n v="879050.32"/>
    <n v="0"/>
    <n v="879050.32"/>
    <n v="13953.179682539681"/>
    <s v="Estanteria Media Temp"/>
    <m/>
    <m/>
    <m/>
    <m/>
    <s v="UTECO "/>
    <n v="15"/>
    <n v="0.5"/>
    <n v="439525.16"/>
    <n v="22"/>
    <n v="0.5"/>
    <n v="439525.16"/>
    <m/>
    <m/>
    <n v="0"/>
    <m/>
    <m/>
    <n v="0"/>
    <m/>
    <m/>
    <n v="0"/>
    <n v="879050.32"/>
    <m/>
  </r>
  <r>
    <n v="5.05"/>
    <m/>
    <x v="31"/>
    <s v="OI"/>
    <s v=""/>
    <x v="79"/>
    <m/>
    <d v="2025-09-21T00:00:00"/>
    <n v="6"/>
    <s v="DOP"/>
    <n v="1"/>
    <n v="54940.65"/>
    <n v="329643.90000000002"/>
    <n v="0"/>
    <n v="329643.90000000002"/>
    <n v="5232.4428571428571"/>
    <s v=" Estanteria Cocina/Reposteria"/>
    <m/>
    <m/>
    <m/>
    <m/>
    <s v="76722 ALMAR INVERPROYECT SRL F"/>
    <n v="15"/>
    <n v="0.5"/>
    <n v="164821.95000000001"/>
    <n v="22"/>
    <n v="0.5"/>
    <n v="164821.95000000001"/>
    <m/>
    <m/>
    <n v="0"/>
    <m/>
    <m/>
    <n v="0"/>
    <m/>
    <m/>
    <n v="0"/>
    <n v="329643.90000000002"/>
    <m/>
  </r>
  <r>
    <n v="5.0599999999999996"/>
    <s v="*"/>
    <x v="32"/>
    <s v="*"/>
    <n v="168492.01277955272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599999999999996"/>
    <m/>
    <x v="32"/>
    <s v="OI"/>
    <s v=""/>
    <x v="80"/>
    <n v="4512392669"/>
    <d v="2025-01-15T00:00:00"/>
    <n v="3"/>
    <s v="DOP"/>
    <n v="1"/>
    <n v="220000"/>
    <n v="660000"/>
    <n v="0"/>
    <n v="660000"/>
    <n v="10476.190476190477"/>
    <s v="Supervicion y diseño frio alimentario"/>
    <m/>
    <m/>
    <m/>
    <m/>
    <s v="76878 PROFRIO INDUSTRIAL EIRL"/>
    <n v="1"/>
    <n v="0.6"/>
    <n v="396000"/>
    <n v="21"/>
    <n v="0.4"/>
    <n v="264000"/>
    <m/>
    <m/>
    <n v="0"/>
    <m/>
    <m/>
    <n v="0"/>
    <m/>
    <m/>
    <n v="0"/>
    <n v="660000"/>
    <m/>
  </r>
  <r>
    <n v="5.0599999999999996"/>
    <m/>
    <x v="32"/>
    <s v="OI"/>
    <s v=""/>
    <x v="81"/>
    <n v="4512392671"/>
    <d v="2025-01-15T00:00:00"/>
    <n v="1"/>
    <s v="DOP"/>
    <n v="1"/>
    <n v="387600"/>
    <n v="387600"/>
    <n v="0"/>
    <n v="387600"/>
    <n v="6152.3809523809523"/>
    <s v="Supervicion y diseño frio alimentario"/>
    <m/>
    <m/>
    <m/>
    <m/>
    <s v="76878 PROFRIO INDUSTRIAL EIRL"/>
    <n v="1"/>
    <n v="0.6"/>
    <n v="232560"/>
    <n v="21"/>
    <n v="0.4"/>
    <n v="155040"/>
    <m/>
    <m/>
    <n v="0"/>
    <m/>
    <m/>
    <n v="0"/>
    <m/>
    <m/>
    <n v="0"/>
    <n v="387600"/>
    <m/>
  </r>
  <r>
    <n v="5.0599999999999996"/>
    <m/>
    <x v="32"/>
    <s v="OI"/>
    <s v=""/>
    <x v="82"/>
    <m/>
    <d v="2025-09-21T00:00:00"/>
    <n v="1"/>
    <s v="DOP"/>
    <n v="1"/>
    <n v="6630419.7300000004"/>
    <n v="6630419.7300000004"/>
    <n v="0"/>
    <n v="6630419.7300000004"/>
    <n v="105244.75761904762"/>
    <m/>
    <m/>
    <m/>
    <m/>
    <m/>
    <s v="AIR MASTER "/>
    <n v="15"/>
    <n v="0.6"/>
    <n v="3978251.838"/>
    <n v="23"/>
    <n v="0.4"/>
    <n v="2652167.8920000005"/>
    <m/>
    <m/>
    <n v="0"/>
    <m/>
    <m/>
    <n v="0"/>
    <m/>
    <m/>
    <n v="0"/>
    <n v="6630419.7300000004"/>
    <m/>
  </r>
  <r>
    <n v="5.07"/>
    <s v="*"/>
    <x v="33"/>
    <s v="*"/>
    <n v="73693.434500000003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5.07"/>
    <m/>
    <x v="33"/>
    <s v="OI"/>
    <s v=""/>
    <x v="83"/>
    <m/>
    <d v="2025-09-21T00:00:00"/>
    <n v="1"/>
    <s v="USD"/>
    <n v="63"/>
    <n v="56016.37"/>
    <n v="3529031.31"/>
    <n v="0"/>
    <n v="3529031.31"/>
    <n v="56016.37"/>
    <s v="Paneles, Puertas Frp, Dimont Plate "/>
    <s v="Se considero la propuesta de Roofet "/>
    <m/>
    <m/>
    <m/>
    <s v="76752 ROOFTEC SRL"/>
    <n v="15"/>
    <n v="0.5"/>
    <n v="1764515.655"/>
    <n v="22"/>
    <n v="0.5"/>
    <n v="1764515.655"/>
    <m/>
    <m/>
    <n v="0"/>
    <m/>
    <m/>
    <n v="0"/>
    <m/>
    <m/>
    <n v="0"/>
    <n v="3529031.31"/>
    <m/>
  </r>
  <r>
    <n v="5.07"/>
    <m/>
    <x v="33"/>
    <s v="OI"/>
    <s v=""/>
    <x v="84"/>
    <m/>
    <d v="2025-09-21T00:00:00"/>
    <n v="1"/>
    <s v="USD"/>
    <n v="63"/>
    <n v="3800"/>
    <n v="239400"/>
    <n v="0"/>
    <n v="239400"/>
    <n v="3800"/>
    <s v="Paneles, Puertas Frp, Dimont Plate "/>
    <s v="Se considero la propuesta de Roofet "/>
    <m/>
    <m/>
    <m/>
    <s v="76752 ROOFTEC SRL"/>
    <n v="15"/>
    <n v="0.5"/>
    <n v="119700"/>
    <n v="22"/>
    <n v="0.5"/>
    <n v="119700"/>
    <m/>
    <m/>
    <n v="0"/>
    <m/>
    <m/>
    <n v="0"/>
    <m/>
    <m/>
    <n v="0"/>
    <n v="239400"/>
    <m/>
  </r>
  <r>
    <n v="6.01"/>
    <s v="*"/>
    <x v="34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2"/>
    <s v="*"/>
    <x v="35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3"/>
    <s v="*"/>
    <x v="36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4"/>
    <s v="*"/>
    <x v="37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s v="*"/>
    <x v="38"/>
    <s v="*"/>
    <n v="38430.064728434503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6.05"/>
    <m/>
    <x v="38"/>
    <s v="OI"/>
    <s v=""/>
    <x v="85"/>
    <n v="4512435538"/>
    <d v="2025-03-11T00:00:00"/>
    <n v="13"/>
    <s v="DOP"/>
    <n v="1"/>
    <n v="850"/>
    <n v="11050"/>
    <n v="0"/>
    <n v="11050"/>
    <n v="175.39682539682539"/>
    <s v="Equipos de Tesoreria "/>
    <m/>
    <m/>
    <m/>
    <m/>
    <s v="DOPEL"/>
    <n v="4"/>
    <n v="1"/>
    <n v="11050"/>
    <m/>
    <m/>
    <n v="0"/>
    <m/>
    <m/>
    <n v="0"/>
    <m/>
    <m/>
    <n v="0"/>
    <m/>
    <m/>
    <n v="0"/>
    <n v="11050"/>
    <m/>
  </r>
  <r>
    <n v="6.05"/>
    <m/>
    <x v="38"/>
    <s v="OI"/>
    <s v=""/>
    <x v="86"/>
    <n v="4512435538"/>
    <d v="2025-03-11T00:00:00"/>
    <n v="1"/>
    <s v="DOP"/>
    <n v="1"/>
    <n v="24950"/>
    <n v="24950"/>
    <n v="0"/>
    <n v="24950"/>
    <n v="396.03174603174602"/>
    <s v="Equipos de Tesoreria "/>
    <m/>
    <m/>
    <m/>
    <m/>
    <s v="DOPEL"/>
    <n v="4"/>
    <n v="1"/>
    <n v="24950"/>
    <m/>
    <m/>
    <n v="0"/>
    <m/>
    <m/>
    <n v="0"/>
    <m/>
    <m/>
    <n v="0"/>
    <m/>
    <m/>
    <n v="0"/>
    <n v="24950"/>
    <m/>
  </r>
  <r>
    <n v="6.05"/>
    <m/>
    <x v="38"/>
    <s v="OI"/>
    <s v=""/>
    <x v="87"/>
    <n v="4512435538"/>
    <d v="2025-03-11T00:00:00"/>
    <n v="1"/>
    <s v="DOP"/>
    <n v="1"/>
    <n v="32500"/>
    <n v="32500"/>
    <n v="0"/>
    <n v="32500"/>
    <n v="515.8730158730159"/>
    <s v="Equipos de Tesoreria "/>
    <m/>
    <m/>
    <m/>
    <m/>
    <s v="DOPEL"/>
    <n v="4"/>
    <n v="1"/>
    <n v="32500"/>
    <m/>
    <m/>
    <n v="0"/>
    <m/>
    <m/>
    <n v="0"/>
    <m/>
    <m/>
    <n v="0"/>
    <m/>
    <m/>
    <n v="0"/>
    <n v="32500"/>
    <m/>
  </r>
  <r>
    <n v="6.05"/>
    <m/>
    <x v="38"/>
    <s v="OI"/>
    <s v=""/>
    <x v="88"/>
    <n v="4512504508"/>
    <d v="2025-05-13T00:00:00"/>
    <n v="1"/>
    <s v="USD"/>
    <n v="63"/>
    <n v="20881.12"/>
    <n v="1315510.5599999998"/>
    <n v="0"/>
    <n v="1315510.5599999998"/>
    <n v="20881.12"/>
    <s v="Equipos de Tesoreria "/>
    <s v="Este monto se queda, para suplir cualquie caja fuerte especial que se necesite "/>
    <m/>
    <m/>
    <m/>
    <s v="DOPEL"/>
    <n v="5"/>
    <n v="0.5"/>
    <n v="657755.27999999991"/>
    <n v="21"/>
    <n v="0.5"/>
    <n v="657755.27999999991"/>
    <m/>
    <m/>
    <n v="0"/>
    <m/>
    <m/>
    <n v="0"/>
    <m/>
    <m/>
    <n v="0"/>
    <n v="1315510.5599999998"/>
    <m/>
  </r>
  <r>
    <n v="6.05"/>
    <m/>
    <x v="38"/>
    <s v="OI"/>
    <s v=""/>
    <x v="89"/>
    <m/>
    <d v="2025-09-21T00:00:00"/>
    <n v="22"/>
    <s v="DOP"/>
    <n v="1"/>
    <n v="33000"/>
    <n v="726000"/>
    <n v="0"/>
    <n v="726000"/>
    <n v="11523.809523809523"/>
    <s v="Radios de comunicación "/>
    <m/>
    <m/>
    <m/>
    <m/>
    <s v="RADIO NET"/>
    <n v="21"/>
    <n v="1"/>
    <n v="726000"/>
    <m/>
    <m/>
    <n v="0"/>
    <m/>
    <m/>
    <n v="0"/>
    <m/>
    <m/>
    <n v="0"/>
    <m/>
    <m/>
    <n v="0"/>
    <n v="726000"/>
    <m/>
  </r>
  <r>
    <n v="6.05"/>
    <m/>
    <x v="38"/>
    <s v="OI"/>
    <s v=""/>
    <x v="90"/>
    <m/>
    <d v="2025-09-21T00:00:00"/>
    <n v="1"/>
    <s v="DOP"/>
    <n v="1"/>
    <n v="4418"/>
    <n v="4418"/>
    <n v="0"/>
    <n v="4418"/>
    <n v="70.126984126984127"/>
    <s v="Camilla de emergencia "/>
    <m/>
    <m/>
    <m/>
    <m/>
    <s v="LENYIRUB"/>
    <n v="21"/>
    <n v="1"/>
    <n v="4418"/>
    <m/>
    <m/>
    <n v="0"/>
    <m/>
    <m/>
    <n v="0"/>
    <m/>
    <m/>
    <n v="0"/>
    <m/>
    <m/>
    <n v="0"/>
    <n v="4418"/>
    <m/>
  </r>
  <r>
    <n v="6.05"/>
    <m/>
    <x v="38"/>
    <s v="OI"/>
    <s v=""/>
    <x v="91"/>
    <m/>
    <d v="2025-09-21T00:00:00"/>
    <n v="1"/>
    <s v="DOP"/>
    <n v="1"/>
    <n v="11550"/>
    <n v="11550"/>
    <n v="0"/>
    <n v="11550"/>
    <n v="183.33333333333334"/>
    <s v="Camilla de emergencia "/>
    <m/>
    <m/>
    <m/>
    <m/>
    <s v="LENYIRUB"/>
    <n v="21"/>
    <n v="1"/>
    <n v="11550"/>
    <m/>
    <m/>
    <n v="0"/>
    <m/>
    <m/>
    <n v="0"/>
    <m/>
    <m/>
    <n v="0"/>
    <m/>
    <m/>
    <n v="0"/>
    <n v="11550"/>
    <m/>
  </r>
  <r>
    <n v="6.05"/>
    <m/>
    <x v="38"/>
    <s v="OI"/>
    <s v=""/>
    <x v="92"/>
    <m/>
    <d v="2025-09-21T00:00:00"/>
    <n v="1"/>
    <s v="DOP"/>
    <n v="1"/>
    <n v="4399"/>
    <n v="4399"/>
    <n v="0"/>
    <n v="4399"/>
    <n v="69.825396825396822"/>
    <s v="Camilla de emergencia "/>
    <m/>
    <m/>
    <m/>
    <m/>
    <s v="LENYIRUB"/>
    <n v="21"/>
    <n v="1"/>
    <n v="4399"/>
    <m/>
    <m/>
    <n v="0"/>
    <m/>
    <m/>
    <n v="0"/>
    <m/>
    <m/>
    <n v="0"/>
    <m/>
    <m/>
    <n v="0"/>
    <n v="4399"/>
    <m/>
  </r>
  <r>
    <n v="6.05"/>
    <m/>
    <x v="38"/>
    <s v="OI"/>
    <s v=""/>
    <x v="93"/>
    <m/>
    <d v="2025-09-21T00:00:00"/>
    <n v="1"/>
    <s v="DOP"/>
    <n v="1"/>
    <n v="36291.53"/>
    <n v="36291.53"/>
    <n v="0"/>
    <n v="36291.53"/>
    <n v="576.05603174603175"/>
    <s v="Equipos de Tesoreria "/>
    <m/>
    <m/>
    <m/>
    <m/>
    <s v="DOPEL"/>
    <n v="21"/>
    <n v="1"/>
    <n v="36291.53"/>
    <m/>
    <m/>
    <n v="0"/>
    <m/>
    <m/>
    <n v="0"/>
    <m/>
    <m/>
    <n v="0"/>
    <m/>
    <m/>
    <n v="0"/>
    <n v="36291.53"/>
    <m/>
  </r>
  <r>
    <n v="6.05"/>
    <m/>
    <x v="38"/>
    <s v="OI"/>
    <s v=""/>
    <x v="94"/>
    <m/>
    <d v="2025-09-21T00:00:00"/>
    <n v="1"/>
    <s v="DOP"/>
    <n v="1"/>
    <n v="27923.73"/>
    <n v="27923.73"/>
    <n v="0"/>
    <n v="27923.73"/>
    <n v="443.2338095238095"/>
    <s v="Equipos de Tesoreria "/>
    <m/>
    <m/>
    <m/>
    <m/>
    <s v="DOPEL"/>
    <n v="21"/>
    <n v="1"/>
    <n v="27923.73"/>
    <m/>
    <m/>
    <n v="0"/>
    <m/>
    <m/>
    <n v="0"/>
    <m/>
    <m/>
    <n v="0"/>
    <m/>
    <m/>
    <n v="0"/>
    <n v="27923.73"/>
    <m/>
  </r>
  <r>
    <n v="6.05"/>
    <m/>
    <x v="38"/>
    <s v="OI"/>
    <s v=""/>
    <x v="95"/>
    <m/>
    <d v="2025-09-21T00:00:00"/>
    <n v="1"/>
    <s v="DOP"/>
    <n v="1"/>
    <n v="23500"/>
    <n v="23500"/>
    <n v="0"/>
    <n v="23500"/>
    <n v="373.01587301587301"/>
    <s v="Equipos de Tesoreria "/>
    <m/>
    <m/>
    <m/>
    <m/>
    <s v="DOPEL"/>
    <n v="21"/>
    <n v="1"/>
    <n v="23500"/>
    <m/>
    <m/>
    <n v="0"/>
    <m/>
    <m/>
    <n v="0"/>
    <m/>
    <m/>
    <n v="0"/>
    <m/>
    <m/>
    <n v="0"/>
    <n v="23500"/>
    <m/>
  </r>
  <r>
    <n v="6.05"/>
    <m/>
    <x v="38"/>
    <s v="OI"/>
    <s v=""/>
    <x v="96"/>
    <m/>
    <d v="2025-09-21T00:00:00"/>
    <n v="12"/>
    <s v="USD"/>
    <n v="63"/>
    <n v="141.24"/>
    <n v="106777.44"/>
    <n v="0"/>
    <n v="106777.44"/>
    <n v="1694.88"/>
    <s v="Candado y Amaestramiento de llaves"/>
    <m/>
    <m/>
    <m/>
    <m/>
    <s v="  76522 MAGUEN DAVID SRL"/>
    <n v="15"/>
    <n v="0.5"/>
    <n v="53388.72"/>
    <n v="22"/>
    <n v="0.5"/>
    <n v="53388.72"/>
    <m/>
    <m/>
    <n v="0"/>
    <m/>
    <m/>
    <n v="0"/>
    <m/>
    <m/>
    <n v="0"/>
    <n v="106777.44"/>
    <m/>
  </r>
  <r>
    <n v="6.05"/>
    <m/>
    <x v="38"/>
    <s v="OI"/>
    <s v=""/>
    <x v="97"/>
    <m/>
    <d v="2025-09-21T00:00:00"/>
    <n v="5"/>
    <s v="DOP"/>
    <n v="1"/>
    <n v="11.77"/>
    <n v="58.849999999999994"/>
    <n v="0"/>
    <n v="58.849999999999994"/>
    <n v="0.93412698412698403"/>
    <s v="Candado y Amaestramiento de llaves"/>
    <m/>
    <m/>
    <m/>
    <m/>
    <s v="  76522 MAGUEN DAVID SRL"/>
    <n v="15"/>
    <n v="0.5"/>
    <n v="29.424999999999997"/>
    <n v="22"/>
    <n v="0.5"/>
    <n v="29.424999999999997"/>
    <m/>
    <m/>
    <n v="0"/>
    <m/>
    <m/>
    <n v="0"/>
    <m/>
    <m/>
    <n v="0"/>
    <n v="58.849999999999994"/>
    <m/>
  </r>
  <r>
    <n v="6.05"/>
    <m/>
    <x v="38"/>
    <s v="OI"/>
    <s v=""/>
    <x v="98"/>
    <m/>
    <d v="2025-09-21T00:00:00"/>
    <n v="1"/>
    <s v="USD"/>
    <n v="63"/>
    <n v="274.99"/>
    <n v="17324.37"/>
    <n v="0"/>
    <n v="17324.37"/>
    <n v="274.99"/>
    <s v="Candado y Amaestramiento de llaves"/>
    <m/>
    <m/>
    <m/>
    <m/>
    <s v="  76522 MAGUEN DAVID SRL"/>
    <n v="15"/>
    <n v="0.5"/>
    <n v="8662.1849999999995"/>
    <n v="22"/>
    <n v="0.5"/>
    <n v="8662.1849999999995"/>
    <m/>
    <m/>
    <n v="0"/>
    <m/>
    <m/>
    <n v="0"/>
    <m/>
    <m/>
    <n v="0"/>
    <n v="17324.37"/>
    <m/>
  </r>
  <r>
    <n v="6.05"/>
    <m/>
    <x v="38"/>
    <s v="OI"/>
    <s v=""/>
    <x v="99"/>
    <m/>
    <d v="2025-09-21T00:00:00"/>
    <n v="10"/>
    <s v="USD"/>
    <n v="63"/>
    <n v="11.77"/>
    <n v="7415.0999999999995"/>
    <n v="0"/>
    <n v="7415.0999999999995"/>
    <n v="117.69999999999999"/>
    <s v="Candado y Amaestramiento de llaves"/>
    <m/>
    <m/>
    <m/>
    <m/>
    <s v="  76522 MAGUEN DAVID SRL"/>
    <n v="15"/>
    <n v="0.5"/>
    <n v="3707.5499999999997"/>
    <n v="22"/>
    <n v="0.5"/>
    <n v="3707.5499999999997"/>
    <m/>
    <m/>
    <n v="0"/>
    <m/>
    <m/>
    <n v="0"/>
    <m/>
    <m/>
    <n v="0"/>
    <n v="7415.0999999999995"/>
    <m/>
  </r>
  <r>
    <n v="7.01"/>
    <s v="*"/>
    <x v="39"/>
    <s v="*"/>
    <n v="30264.520766773167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1"/>
    <m/>
    <x v="39"/>
    <s v="OI"/>
    <s v=""/>
    <x v="100"/>
    <m/>
    <d v="2025-09-21T00:00:00"/>
    <n v="4"/>
    <s v="DOP"/>
    <n v="1"/>
    <n v="21622.25"/>
    <n v="86489"/>
    <n v="0"/>
    <n v="86489"/>
    <n v="1372.8412698412699"/>
    <s v="Mobiliario acero inox"/>
    <m/>
    <m/>
    <m/>
    <m/>
    <s v="76722 ALMAR INVERPROYECT SRL F"/>
    <n v="15"/>
    <n v="0.5"/>
    <n v="43244.5"/>
    <n v="22"/>
    <n v="0.5"/>
    <n v="43244.5"/>
    <m/>
    <m/>
    <n v="0"/>
    <m/>
    <m/>
    <n v="0"/>
    <m/>
    <m/>
    <n v="0"/>
    <n v="86489"/>
    <m/>
  </r>
  <r>
    <n v="7.01"/>
    <m/>
    <x v="39"/>
    <s v="OI"/>
    <s v=""/>
    <x v="101"/>
    <m/>
    <d v="2025-09-21T00:00:00"/>
    <n v="1"/>
    <s v="DOP"/>
    <n v="1"/>
    <n v="37116.949999999997"/>
    <n v="37116.949999999997"/>
    <n v="0"/>
    <n v="37116.949999999997"/>
    <n v="589.15793650793648"/>
    <s v="Mobiliario acero inox"/>
    <m/>
    <m/>
    <m/>
    <m/>
    <s v="76722 ALMAR INVERPROYECT SRL F"/>
    <n v="15"/>
    <n v="0.5"/>
    <n v="18558.474999999999"/>
    <n v="22"/>
    <n v="0.5"/>
    <n v="18558.474999999999"/>
    <m/>
    <m/>
    <n v="0"/>
    <m/>
    <m/>
    <n v="0"/>
    <m/>
    <m/>
    <n v="0"/>
    <n v="37116.949999999997"/>
    <m/>
  </r>
  <r>
    <n v="7.01"/>
    <m/>
    <x v="39"/>
    <s v="OI"/>
    <s v=""/>
    <x v="102"/>
    <m/>
    <d v="2025-09-21T00:00:00"/>
    <n v="6"/>
    <s v="DOP"/>
    <n v="1"/>
    <n v="20546.5"/>
    <n v="123279"/>
    <n v="0"/>
    <n v="123279"/>
    <n v="1956.8095238095239"/>
    <s v="Mobiliario acero inox"/>
    <m/>
    <m/>
    <m/>
    <m/>
    <s v="76722 ALMAR INVERPROYECT SRL F"/>
    <n v="15"/>
    <n v="0.5"/>
    <n v="61639.5"/>
    <n v="22"/>
    <n v="0.5"/>
    <n v="61639.5"/>
    <m/>
    <m/>
    <n v="0"/>
    <m/>
    <m/>
    <n v="0"/>
    <m/>
    <m/>
    <n v="0"/>
    <n v="123279"/>
    <m/>
  </r>
  <r>
    <n v="7.01"/>
    <m/>
    <x v="39"/>
    <s v="OI"/>
    <s v=""/>
    <x v="103"/>
    <m/>
    <d v="2025-09-21T00:00:00"/>
    <n v="3"/>
    <s v="DOP"/>
    <n v="1"/>
    <n v="54752.75"/>
    <n v="164258.25"/>
    <n v="0"/>
    <n v="164258.25"/>
    <n v="2607.2738095238096"/>
    <s v="Mobiliario acero inox"/>
    <m/>
    <m/>
    <m/>
    <m/>
    <s v="76722 ALMAR INVERPROYECT SRL F"/>
    <n v="15"/>
    <n v="0.5"/>
    <n v="82129.125"/>
    <n v="22"/>
    <n v="0.5"/>
    <n v="82129.125"/>
    <m/>
    <m/>
    <n v="0"/>
    <m/>
    <m/>
    <n v="0"/>
    <m/>
    <m/>
    <n v="0"/>
    <n v="164258.25"/>
    <m/>
  </r>
  <r>
    <n v="7.01"/>
    <m/>
    <x v="39"/>
    <s v="OI"/>
    <s v=""/>
    <x v="104"/>
    <m/>
    <d v="2025-09-21T00:00:00"/>
    <n v="5"/>
    <s v="DOP"/>
    <n v="1"/>
    <n v="50157.25"/>
    <n v="250786.25"/>
    <n v="0"/>
    <n v="250786.25"/>
    <n v="3980.7341269841268"/>
    <s v="Mobiliario acero inox"/>
    <m/>
    <m/>
    <m/>
    <m/>
    <s v="76722 ALMAR INVERPROYECT SRL F"/>
    <n v="15"/>
    <n v="0.5"/>
    <n v="125393.125"/>
    <n v="22"/>
    <n v="0.5"/>
    <n v="125393.125"/>
    <m/>
    <m/>
    <n v="0"/>
    <m/>
    <m/>
    <n v="0"/>
    <m/>
    <m/>
    <n v="0"/>
    <n v="250786.25"/>
    <m/>
  </r>
  <r>
    <n v="7.01"/>
    <m/>
    <x v="39"/>
    <s v="OI"/>
    <s v=""/>
    <x v="105"/>
    <m/>
    <d v="2025-09-21T00:00:00"/>
    <n v="2"/>
    <s v="DOP"/>
    <n v="1"/>
    <n v="37696.75"/>
    <n v="75393.5"/>
    <n v="0"/>
    <n v="75393.5"/>
    <n v="1196.7222222222222"/>
    <s v="Mobiliario acero inox"/>
    <m/>
    <m/>
    <m/>
    <m/>
    <s v="76722 ALMAR INVERPROYECT SRL F"/>
    <n v="15"/>
    <n v="0.5"/>
    <n v="37696.75"/>
    <n v="22"/>
    <n v="0.5"/>
    <n v="37696.75"/>
    <m/>
    <m/>
    <n v="0"/>
    <m/>
    <m/>
    <n v="0"/>
    <m/>
    <m/>
    <n v="0"/>
    <n v="75393.5"/>
    <m/>
  </r>
  <r>
    <n v="7.01"/>
    <m/>
    <x v="39"/>
    <s v="OI"/>
    <s v=""/>
    <x v="106"/>
    <m/>
    <d v="2025-09-21T00:00:00"/>
    <n v="7"/>
    <s v="DOP"/>
    <n v="1"/>
    <n v="37306.75"/>
    <n v="261147.25"/>
    <n v="0"/>
    <n v="261147.25"/>
    <n v="4145.1944444444443"/>
    <s v="Mobiliario acero inox"/>
    <m/>
    <m/>
    <m/>
    <m/>
    <s v="76722 ALMAR INVERPROYECT SRL F"/>
    <n v="15"/>
    <n v="0.5"/>
    <n v="130573.625"/>
    <n v="22"/>
    <n v="0.5"/>
    <n v="130573.625"/>
    <m/>
    <m/>
    <n v="0"/>
    <m/>
    <m/>
    <n v="0"/>
    <m/>
    <m/>
    <n v="0"/>
    <n v="261147.25"/>
    <m/>
  </r>
  <r>
    <n v="7.01"/>
    <m/>
    <x v="39"/>
    <s v="OI"/>
    <s v=""/>
    <x v="107"/>
    <m/>
    <d v="2025-09-21T00:00:00"/>
    <n v="2"/>
    <s v="DOP"/>
    <n v="1"/>
    <n v="28187.9"/>
    <n v="56375.8"/>
    <n v="0"/>
    <n v="56375.8"/>
    <n v="894.85396825396833"/>
    <s v="Mobiliario acero inox"/>
    <m/>
    <m/>
    <m/>
    <m/>
    <s v="76722 ALMAR INVERPROYECT SRL F"/>
    <n v="15"/>
    <n v="0.5"/>
    <n v="28187.9"/>
    <n v="22"/>
    <n v="0.5"/>
    <n v="28187.9"/>
    <m/>
    <m/>
    <n v="0"/>
    <m/>
    <m/>
    <n v="0"/>
    <m/>
    <m/>
    <n v="0"/>
    <n v="56375.8"/>
    <m/>
  </r>
  <r>
    <n v="7.01"/>
    <m/>
    <x v="39"/>
    <s v="OI"/>
    <s v=""/>
    <x v="108"/>
    <m/>
    <d v="2025-09-21T00:00:00"/>
    <n v="3"/>
    <s v="DOP"/>
    <n v="1"/>
    <n v="36845.9"/>
    <n v="110537.70000000001"/>
    <n v="0"/>
    <n v="110537.70000000001"/>
    <n v="1754.5666666666668"/>
    <s v="Mobiliario acero inox"/>
    <m/>
    <m/>
    <m/>
    <m/>
    <s v="76722 ALMAR INVERPROYECT SRL F"/>
    <n v="15"/>
    <n v="0.5"/>
    <n v="55268.850000000006"/>
    <n v="22"/>
    <n v="0.5"/>
    <n v="55268.850000000006"/>
    <m/>
    <m/>
    <n v="0"/>
    <m/>
    <m/>
    <n v="0"/>
    <m/>
    <m/>
    <n v="0"/>
    <n v="110537.70000000001"/>
    <m/>
  </r>
  <r>
    <n v="7.01"/>
    <m/>
    <x v="39"/>
    <s v="OI"/>
    <s v=""/>
    <x v="109"/>
    <m/>
    <d v="2025-09-21T00:00:00"/>
    <n v="2"/>
    <s v="DOP"/>
    <n v="1"/>
    <n v="27966.25"/>
    <n v="55932.5"/>
    <n v="0"/>
    <n v="55932.5"/>
    <n v="887.81746031746036"/>
    <s v="Mobiliario acero inox"/>
    <m/>
    <m/>
    <m/>
    <m/>
    <s v="76722 ALMAR INVERPROYECT SRL F"/>
    <n v="15"/>
    <n v="0.5"/>
    <n v="27966.25"/>
    <n v="22"/>
    <n v="0.5"/>
    <n v="27966.25"/>
    <m/>
    <m/>
    <n v="0"/>
    <m/>
    <m/>
    <n v="0"/>
    <m/>
    <m/>
    <n v="0"/>
    <n v="55932.5"/>
    <m/>
  </r>
  <r>
    <n v="7.01"/>
    <m/>
    <x v="39"/>
    <s v="OI"/>
    <s v=""/>
    <x v="110"/>
    <m/>
    <d v="2025-09-21T00:00:00"/>
    <n v="3"/>
    <s v="DOP"/>
    <n v="1"/>
    <n v="19272.5"/>
    <n v="57817.5"/>
    <n v="0"/>
    <n v="57817.5"/>
    <n v="917.73809523809518"/>
    <s v="Mobiliario acero inox"/>
    <m/>
    <m/>
    <m/>
    <m/>
    <s v="76722 ALMAR INVERPROYECT SRL F"/>
    <n v="15"/>
    <n v="0.5"/>
    <n v="28908.75"/>
    <n v="22"/>
    <n v="0.5"/>
    <n v="28908.75"/>
    <m/>
    <m/>
    <n v="0"/>
    <m/>
    <m/>
    <n v="0"/>
    <m/>
    <m/>
    <n v="0"/>
    <n v="57817.5"/>
    <m/>
  </r>
  <r>
    <n v="7.02"/>
    <s v="*"/>
    <x v="40"/>
    <s v="*"/>
    <n v="65026.09498402555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2"/>
    <m/>
    <x v="40"/>
    <s v="OI"/>
    <s v=""/>
    <x v="111"/>
    <n v="4512411708"/>
    <d v="2025-02-17T00:00:00"/>
    <n v="1"/>
    <s v="DOP"/>
    <n v="1"/>
    <n v="64770.41"/>
    <n v="64770.41"/>
    <n v="0"/>
    <n v="64770.41"/>
    <n v="1028.1017460317462"/>
    <s v="Equipos de Carniceria "/>
    <m/>
    <m/>
    <m/>
    <m/>
    <s v="75272 RENT A EQUIPOS MUESES, "/>
    <n v="10"/>
    <n v="0.5"/>
    <n v="32385.205000000002"/>
    <n v="21"/>
    <n v="0.5"/>
    <n v="32385.205000000002"/>
    <m/>
    <m/>
    <n v="0"/>
    <m/>
    <m/>
    <n v="0"/>
    <m/>
    <m/>
    <n v="0"/>
    <n v="64770.41"/>
    <m/>
  </r>
  <r>
    <n v="7.02"/>
    <m/>
    <x v="40"/>
    <s v="OI"/>
    <s v=""/>
    <x v="112"/>
    <n v="4512411708"/>
    <d v="2025-02-17T00:00:00"/>
    <n v="1"/>
    <s v="DOP"/>
    <n v="1"/>
    <n v="307391.34000000003"/>
    <n v="307391.34000000003"/>
    <n v="0"/>
    <n v="307391.34000000003"/>
    <n v="4879.2276190476196"/>
    <s v="Equipos de Carniceria "/>
    <m/>
    <m/>
    <m/>
    <m/>
    <s v="75272 RENT A EQUIPOS MUESES, "/>
    <n v="10"/>
    <n v="0.5"/>
    <n v="153695.67000000001"/>
    <n v="21"/>
    <n v="0.5"/>
    <n v="153695.67000000001"/>
    <m/>
    <m/>
    <n v="0"/>
    <m/>
    <m/>
    <n v="0"/>
    <m/>
    <m/>
    <n v="0"/>
    <n v="307391.34000000003"/>
    <m/>
  </r>
  <r>
    <n v="7.02"/>
    <m/>
    <x v="40"/>
    <s v="OI"/>
    <s v=""/>
    <x v="113"/>
    <n v="4512411708"/>
    <d v="2025-02-17T00:00:00"/>
    <n v="1"/>
    <s v="DOP"/>
    <n v="1"/>
    <n v="3650.85"/>
    <n v="3650.85"/>
    <n v="0"/>
    <n v="3650.85"/>
    <n v="57.949999999999996"/>
    <s v="Equipos de Carniceria "/>
    <m/>
    <m/>
    <m/>
    <m/>
    <s v="75272 RENT A EQUIPOS MUESES, "/>
    <n v="10"/>
    <n v="0.5"/>
    <n v="1825.425"/>
    <n v="21"/>
    <n v="0.5"/>
    <n v="1825.425"/>
    <m/>
    <m/>
    <n v="0"/>
    <m/>
    <m/>
    <n v="0"/>
    <m/>
    <m/>
    <n v="0"/>
    <n v="3650.85"/>
    <m/>
  </r>
  <r>
    <n v="7.02"/>
    <m/>
    <x v="40"/>
    <s v="OI"/>
    <s v=""/>
    <x v="113"/>
    <n v="4512411708"/>
    <d v="2025-02-17T00:00:00"/>
    <n v="1"/>
    <s v="DOP"/>
    <n v="1"/>
    <n v="4242.25"/>
    <n v="4242.25"/>
    <n v="0"/>
    <n v="4242.25"/>
    <n v="67.337301587301582"/>
    <s v="Equipos de Carniceria "/>
    <m/>
    <m/>
    <m/>
    <m/>
    <s v="75272 RENT A EQUIPOS MUESES, "/>
    <n v="10"/>
    <n v="0.5"/>
    <n v="2121.125"/>
    <n v="21"/>
    <n v="0.5"/>
    <n v="2121.125"/>
    <m/>
    <m/>
    <n v="0"/>
    <m/>
    <m/>
    <n v="0"/>
    <m/>
    <m/>
    <n v="0"/>
    <n v="4242.25"/>
    <m/>
  </r>
  <r>
    <n v="7.02"/>
    <m/>
    <x v="40"/>
    <s v="OI"/>
    <s v=""/>
    <x v="114"/>
    <n v="4512411708"/>
    <d v="2025-02-17T00:00:00"/>
    <n v="1"/>
    <s v="DOP"/>
    <n v="1"/>
    <n v="4853"/>
    <n v="4853"/>
    <n v="0"/>
    <n v="4853"/>
    <n v="77.031746031746039"/>
    <s v="Equipos de Carniceria "/>
    <m/>
    <m/>
    <m/>
    <m/>
    <s v="75272 RENT A EQUIPOS MUESES, "/>
    <n v="10"/>
    <n v="0.5"/>
    <n v="2426.5"/>
    <n v="21"/>
    <n v="0.5"/>
    <n v="2426.5"/>
    <m/>
    <m/>
    <n v="0"/>
    <m/>
    <m/>
    <n v="0"/>
    <m/>
    <m/>
    <n v="0"/>
    <n v="4853"/>
    <m/>
  </r>
  <r>
    <n v="7.02"/>
    <m/>
    <x v="40"/>
    <s v="OI"/>
    <s v=""/>
    <x v="115"/>
    <n v="4512411708"/>
    <d v="2025-02-17T00:00:00"/>
    <n v="1"/>
    <s v="DOP"/>
    <n v="1"/>
    <n v="5821.21"/>
    <n v="5821.21"/>
    <n v="0"/>
    <n v="5821.21"/>
    <n v="92.400158730158736"/>
    <s v="Equipos de Carniceria "/>
    <m/>
    <m/>
    <m/>
    <m/>
    <s v="75272 RENT A EQUIPOS MUESES, "/>
    <n v="10"/>
    <n v="0.5"/>
    <n v="2910.605"/>
    <n v="21"/>
    <n v="0.5"/>
    <n v="2910.605"/>
    <m/>
    <m/>
    <n v="0"/>
    <m/>
    <m/>
    <n v="0"/>
    <m/>
    <m/>
    <n v="0"/>
    <n v="5821.21"/>
    <m/>
  </r>
  <r>
    <n v="7.02"/>
    <m/>
    <x v="40"/>
    <s v="OI"/>
    <s v=""/>
    <x v="116"/>
    <n v="4512411708"/>
    <d v="2025-02-17T00:00:00"/>
    <n v="1"/>
    <s v="DOP"/>
    <n v="1"/>
    <n v="6438.22"/>
    <n v="6438.22"/>
    <n v="0"/>
    <n v="6438.22"/>
    <n v="102.19396825396827"/>
    <s v="Equipos de Carniceria "/>
    <m/>
    <m/>
    <m/>
    <m/>
    <s v="75272 RENT A EQUIPOS MUESES, "/>
    <n v="10"/>
    <n v="0.5"/>
    <n v="3219.11"/>
    <n v="21"/>
    <n v="0.5"/>
    <n v="3219.11"/>
    <m/>
    <m/>
    <n v="0"/>
    <m/>
    <m/>
    <n v="0"/>
    <m/>
    <m/>
    <n v="0"/>
    <n v="6438.22"/>
    <m/>
  </r>
  <r>
    <n v="7.02"/>
    <m/>
    <x v="40"/>
    <s v="OI"/>
    <s v=""/>
    <x v="117"/>
    <n v="4512411708"/>
    <d v="2025-02-17T00:00:00"/>
    <n v="1"/>
    <s v="DOP"/>
    <n v="1"/>
    <n v="2433.33"/>
    <n v="2433.33"/>
    <n v="0"/>
    <n v="2433.33"/>
    <n v="38.624285714285712"/>
    <s v="Equipos de Carniceria "/>
    <m/>
    <m/>
    <m/>
    <m/>
    <s v="75272 RENT A EQUIPOS MUESES, "/>
    <n v="10"/>
    <n v="0.5"/>
    <n v="1216.665"/>
    <n v="21"/>
    <n v="0.5"/>
    <n v="1216.665"/>
    <m/>
    <m/>
    <n v="0"/>
    <m/>
    <m/>
    <n v="0"/>
    <m/>
    <m/>
    <n v="0"/>
    <n v="2433.33"/>
    <m/>
  </r>
  <r>
    <n v="7.02"/>
    <m/>
    <x v="40"/>
    <s v="OI"/>
    <s v=""/>
    <x v="118"/>
    <n v="4512501398"/>
    <d v="2025-09-21T00:00:00"/>
    <n v="15"/>
    <s v="DOP"/>
    <n v="1"/>
    <n v="1200"/>
    <n v="18000"/>
    <n v="0"/>
    <n v="18000"/>
    <n v="285.71428571428572"/>
    <s v="Bandeja gastronomica "/>
    <m/>
    <m/>
    <m/>
    <m/>
    <s v="76610 CARIBBEAN COPACKERS SODFUM"/>
    <n v="5"/>
    <n v="0.6"/>
    <n v="10800"/>
    <n v="16"/>
    <n v="0.4"/>
    <n v="7200"/>
    <m/>
    <m/>
    <n v="0"/>
    <m/>
    <m/>
    <n v="0"/>
    <m/>
    <m/>
    <n v="0"/>
    <n v="18000"/>
    <m/>
  </r>
  <r>
    <n v="7.02"/>
    <m/>
    <x v="40"/>
    <s v="OI"/>
    <s v=""/>
    <x v="119"/>
    <n v="4512501398"/>
    <d v="2025-05-09T00:00:00"/>
    <n v="2"/>
    <s v="USD"/>
    <n v="63"/>
    <n v="17341.264999999999"/>
    <n v="2184999.39"/>
    <n v="0"/>
    <n v="2184999.39"/>
    <n v="34682.53"/>
    <s v="Horno Rational "/>
    <m/>
    <m/>
    <m/>
    <m/>
    <s v="76610 CARIBBEAN COPACKERS SODFUM"/>
    <n v="5"/>
    <n v="0.6"/>
    <n v="1310999.6340000001"/>
    <n v="21"/>
    <n v="0.4"/>
    <n v="873999.75600000005"/>
    <m/>
    <m/>
    <n v="0"/>
    <m/>
    <m/>
    <n v="0"/>
    <m/>
    <m/>
    <n v="0"/>
    <n v="2184999.39"/>
    <m/>
  </r>
  <r>
    <n v="7.02"/>
    <m/>
    <x v="40"/>
    <s v="OI"/>
    <s v=""/>
    <x v="120"/>
    <n v="4512501398"/>
    <d v="2025-05-09T00:00:00"/>
    <n v="2"/>
    <s v="USD"/>
    <n v="63"/>
    <n v="3380"/>
    <n v="425880"/>
    <n v="0"/>
    <n v="425880"/>
    <n v="6760"/>
    <s v="Horno combi"/>
    <m/>
    <m/>
    <m/>
    <m/>
    <s v="76610 CARIBBEAN COPACKERS SODFUM"/>
    <n v="5"/>
    <n v="0.6"/>
    <n v="255528"/>
    <n v="16"/>
    <n v="0.4"/>
    <n v="170352"/>
    <m/>
    <m/>
    <n v="0"/>
    <m/>
    <m/>
    <n v="0"/>
    <m/>
    <m/>
    <n v="0"/>
    <n v="425880"/>
    <m/>
  </r>
  <r>
    <n v="7.02"/>
    <m/>
    <x v="40"/>
    <s v="OI"/>
    <s v=""/>
    <x v="121"/>
    <n v="4512501398"/>
    <d v="2025-05-09T00:00:00"/>
    <n v="1"/>
    <s v="USD"/>
    <n v="63"/>
    <n v="300"/>
    <n v="18900"/>
    <n v="0"/>
    <n v="18900"/>
    <n v="300"/>
    <s v="Horno Rational "/>
    <m/>
    <m/>
    <m/>
    <m/>
    <s v="76610 CARIBBEAN COPACKERS SODFUM"/>
    <n v="5"/>
    <n v="0.6"/>
    <n v="11340"/>
    <n v="21"/>
    <n v="0.4"/>
    <n v="7560"/>
    <m/>
    <m/>
    <n v="0"/>
    <m/>
    <m/>
    <n v="0"/>
    <m/>
    <m/>
    <n v="0"/>
    <n v="18900"/>
    <m/>
  </r>
  <r>
    <n v="7.02"/>
    <m/>
    <x v="40"/>
    <s v="OI"/>
    <s v=""/>
    <x v="122"/>
    <n v="4512501398"/>
    <d v="2025-05-09T00:00:00"/>
    <n v="1"/>
    <s v="USD"/>
    <n v="63"/>
    <n v="187.38"/>
    <n v="11804.94"/>
    <n v="0"/>
    <n v="11804.94"/>
    <n v="187.38"/>
    <s v="Horno Rational "/>
    <m/>
    <m/>
    <m/>
    <m/>
    <s v="76610 CARIBBEAN COPACKERS SODFUM"/>
    <n v="5"/>
    <n v="0.6"/>
    <n v="7082.9639999999999"/>
    <n v="21"/>
    <n v="0.4"/>
    <n v="4721.9760000000006"/>
    <m/>
    <m/>
    <n v="0"/>
    <m/>
    <m/>
    <n v="0"/>
    <m/>
    <m/>
    <n v="0"/>
    <n v="11804.94"/>
    <m/>
  </r>
  <r>
    <n v="7.02"/>
    <m/>
    <x v="40"/>
    <s v="OI"/>
    <s v=""/>
    <x v="123"/>
    <n v="4512501398"/>
    <d v="2025-05-09T00:00:00"/>
    <n v="9"/>
    <s v="USD"/>
    <n v="63"/>
    <n v="100.51"/>
    <n v="56989.170000000006"/>
    <n v="0"/>
    <n v="56989.170000000006"/>
    <n v="904.59"/>
    <s v="Horno Rational "/>
    <m/>
    <m/>
    <m/>
    <m/>
    <s v="76610 CARIBBEAN COPACKERS SODFUM"/>
    <n v="5"/>
    <n v="0.6"/>
    <n v="34193.502"/>
    <n v="21"/>
    <n v="0.4"/>
    <n v="22795.668000000005"/>
    <m/>
    <m/>
    <n v="0"/>
    <m/>
    <m/>
    <n v="0"/>
    <m/>
    <m/>
    <n v="0"/>
    <n v="56989.170000000006"/>
    <m/>
  </r>
  <r>
    <n v="7.02"/>
    <m/>
    <x v="40"/>
    <s v="OI"/>
    <s v=""/>
    <x v="124"/>
    <n v="4512501398"/>
    <d v="2025-05-09T00:00:00"/>
    <n v="4"/>
    <s v="USD"/>
    <n v="63"/>
    <n v="106.59"/>
    <n v="26860.68"/>
    <n v="0"/>
    <n v="26860.68"/>
    <n v="426.36"/>
    <s v="Horno Rational "/>
    <m/>
    <m/>
    <m/>
    <m/>
    <s v="76610 CARIBBEAN COPACKERS SODFUM"/>
    <n v="5"/>
    <n v="0.6"/>
    <n v="16116.407999999999"/>
    <n v="21"/>
    <n v="0.4"/>
    <n v="10744.272000000001"/>
    <m/>
    <m/>
    <n v="0"/>
    <m/>
    <m/>
    <n v="0"/>
    <m/>
    <m/>
    <n v="0"/>
    <n v="26860.68"/>
    <m/>
  </r>
  <r>
    <n v="7.02"/>
    <m/>
    <x v="40"/>
    <s v="OI"/>
    <s v=""/>
    <x v="125"/>
    <n v="4600072453"/>
    <d v="2025-02-11T00:00:00"/>
    <n v="3"/>
    <s v="DOP"/>
    <n v="1"/>
    <n v="34"/>
    <n v="102"/>
    <n v="0"/>
    <n v="102"/>
    <n v="1.6190476190476191"/>
    <s v="Utensilios de Cocina"/>
    <m/>
    <m/>
    <m/>
    <m/>
    <s v="TOSCA"/>
    <n v="4"/>
    <n v="1"/>
    <n v="102"/>
    <m/>
    <m/>
    <n v="0"/>
    <m/>
    <m/>
    <n v="0"/>
    <m/>
    <m/>
    <n v="0"/>
    <m/>
    <m/>
    <n v="0"/>
    <n v="102"/>
    <m/>
  </r>
  <r>
    <n v="7.02"/>
    <m/>
    <x v="40"/>
    <s v="OI"/>
    <s v=""/>
    <x v="126"/>
    <n v="4600072453"/>
    <d v="2025-02-11T00:00:00"/>
    <n v="3"/>
    <s v="DOP"/>
    <n v="1"/>
    <n v="19.399999999999999"/>
    <n v="58.199999999999996"/>
    <n v="0"/>
    <n v="58.199999999999996"/>
    <n v="0.92380952380952375"/>
    <s v="Utensilios de Cocina"/>
    <m/>
    <m/>
    <m/>
    <m/>
    <s v="TOSCA"/>
    <n v="4"/>
    <n v="1"/>
    <n v="58.199999999999996"/>
    <m/>
    <m/>
    <n v="0"/>
    <m/>
    <m/>
    <n v="0"/>
    <m/>
    <m/>
    <n v="0"/>
    <m/>
    <m/>
    <n v="0"/>
    <n v="58.199999999999996"/>
    <m/>
  </r>
  <r>
    <n v="7.02"/>
    <m/>
    <x v="40"/>
    <s v="OI"/>
    <s v=""/>
    <x v="127"/>
    <m/>
    <d v="2025-09-21T00:00:00"/>
    <n v="2"/>
    <s v="DOP"/>
    <n v="1"/>
    <n v="8715.76"/>
    <n v="17431.52"/>
    <n v="0"/>
    <n v="17431.52"/>
    <n v="276.69079365079364"/>
    <s v="Trmometro"/>
    <m/>
    <m/>
    <m/>
    <m/>
    <s v="UTIHOTEL"/>
    <n v="21"/>
    <n v="1"/>
    <n v="17431.52"/>
    <m/>
    <m/>
    <n v="0"/>
    <m/>
    <m/>
    <n v="0"/>
    <m/>
    <m/>
    <n v="0"/>
    <m/>
    <m/>
    <n v="0"/>
    <n v="17431.52"/>
    <m/>
  </r>
  <r>
    <n v="7.02"/>
    <m/>
    <x v="40"/>
    <s v="OI"/>
    <s v=""/>
    <x v="128"/>
    <m/>
    <d v="2025-09-21T00:00:00"/>
    <n v="1"/>
    <s v="DOP"/>
    <n v="1"/>
    <n v="122664.36"/>
    <n v="122664.36"/>
    <n v="0"/>
    <n v="122664.36"/>
    <n v="1947.0533333333333"/>
    <s v="Utensiilios de cocina"/>
    <m/>
    <m/>
    <m/>
    <m/>
    <s v="UTIHOTEL"/>
    <n v="21"/>
    <n v="1"/>
    <n v="122664.36"/>
    <m/>
    <m/>
    <n v="0"/>
    <m/>
    <m/>
    <n v="0"/>
    <m/>
    <m/>
    <n v="0"/>
    <m/>
    <m/>
    <n v="0"/>
    <n v="122664.36"/>
    <m/>
  </r>
  <r>
    <n v="7.02"/>
    <m/>
    <x v="40"/>
    <s v="OI"/>
    <s v=""/>
    <x v="129"/>
    <m/>
    <d v="2025-09-21T00:00:00"/>
    <n v="4"/>
    <s v="DOP"/>
    <n v="1"/>
    <n v="25900"/>
    <n v="103600"/>
    <n v="0"/>
    <n v="103600"/>
    <n v="1644.4444444444443"/>
    <s v="Utensilios de Cocina"/>
    <m/>
    <m/>
    <m/>
    <m/>
    <m/>
    <n v="21"/>
    <n v="1"/>
    <n v="103600"/>
    <m/>
    <m/>
    <n v="0"/>
    <m/>
    <m/>
    <n v="0"/>
    <m/>
    <m/>
    <n v="0"/>
    <m/>
    <m/>
    <n v="0"/>
    <n v="103600"/>
    <m/>
  </r>
  <r>
    <n v="7.02"/>
    <m/>
    <x v="40"/>
    <s v="OI"/>
    <s v=""/>
    <x v="130"/>
    <m/>
    <d v="2025-09-21T00:00:00"/>
    <n v="4"/>
    <s v="DOP"/>
    <n v="1"/>
    <n v="635.59"/>
    <n v="2542.36"/>
    <n v="0"/>
    <n v="2542.36"/>
    <n v="40.354920634920639"/>
    <s v="Bandeja gastronomica"/>
    <s v="Neveras nuevas del deli "/>
    <m/>
    <m/>
    <m/>
    <s v="UTECO "/>
    <n v="21"/>
    <n v="1"/>
    <n v="2542.36"/>
    <m/>
    <m/>
    <n v="0"/>
    <m/>
    <m/>
    <n v="0"/>
    <m/>
    <m/>
    <n v="0"/>
    <m/>
    <m/>
    <n v="0"/>
    <n v="2542.36"/>
    <m/>
  </r>
  <r>
    <n v="7.02"/>
    <m/>
    <x v="40"/>
    <s v="OI"/>
    <s v=""/>
    <x v="131"/>
    <m/>
    <d v="2025-09-21T00:00:00"/>
    <n v="15"/>
    <s v="DOP"/>
    <n v="1"/>
    <n v="550.84"/>
    <n v="8262.6"/>
    <n v="0"/>
    <n v="8262.6"/>
    <n v="131.15238095238095"/>
    <s v="Bandeja gastronomica "/>
    <s v="Neveras nuevas del deli "/>
    <m/>
    <m/>
    <m/>
    <s v="UTECO "/>
    <n v="21"/>
    <n v="1"/>
    <n v="8262.6"/>
    <m/>
    <m/>
    <n v="0"/>
    <m/>
    <m/>
    <n v="0"/>
    <m/>
    <m/>
    <n v="0"/>
    <m/>
    <m/>
    <n v="0"/>
    <n v="8262.6"/>
    <m/>
  </r>
  <r>
    <n v="7.02"/>
    <m/>
    <x v="40"/>
    <s v="OI"/>
    <s v=""/>
    <x v="132"/>
    <m/>
    <d v="2025-09-21T00:00:00"/>
    <n v="4"/>
    <s v="DOP"/>
    <n v="1"/>
    <n v="1990"/>
    <n v="7960"/>
    <n v="0"/>
    <n v="7960"/>
    <n v="126.34920634920636"/>
    <s v="Utensilios de Cocina"/>
    <m/>
    <m/>
    <m/>
    <m/>
    <s v="UTECO "/>
    <n v="21"/>
    <n v="1"/>
    <n v="7960"/>
    <m/>
    <m/>
    <n v="0"/>
    <m/>
    <m/>
    <n v="0"/>
    <m/>
    <m/>
    <n v="0"/>
    <m/>
    <m/>
    <n v="0"/>
    <n v="7960"/>
    <m/>
  </r>
  <r>
    <n v="7.02"/>
    <m/>
    <x v="40"/>
    <s v="OI"/>
    <s v=""/>
    <x v="133"/>
    <m/>
    <d v="2025-09-21T00:00:00"/>
    <n v="2"/>
    <s v="DOP"/>
    <n v="1"/>
    <n v="2000"/>
    <n v="4000"/>
    <n v="0"/>
    <n v="4000"/>
    <n v="63.492063492063494"/>
    <s v="Utensilios de Cocina"/>
    <m/>
    <m/>
    <m/>
    <m/>
    <s v="UTECO "/>
    <n v="21"/>
    <n v="1"/>
    <n v="4000"/>
    <m/>
    <m/>
    <n v="0"/>
    <m/>
    <m/>
    <n v="0"/>
    <m/>
    <m/>
    <n v="0"/>
    <m/>
    <m/>
    <n v="0"/>
    <n v="4000"/>
    <m/>
  </r>
  <r>
    <n v="7.02"/>
    <m/>
    <x v="40"/>
    <s v="OI"/>
    <s v=""/>
    <x v="134"/>
    <m/>
    <d v="2025-09-21T00:00:00"/>
    <n v="2"/>
    <s v="DOP"/>
    <n v="1"/>
    <n v="850"/>
    <n v="1700"/>
    <n v="0"/>
    <n v="1700"/>
    <n v="26.984126984126984"/>
    <s v="Utensilios de Cocina"/>
    <m/>
    <m/>
    <m/>
    <m/>
    <s v="UTECO "/>
    <n v="21"/>
    <n v="1"/>
    <n v="1700"/>
    <m/>
    <m/>
    <n v="0"/>
    <m/>
    <m/>
    <n v="0"/>
    <m/>
    <m/>
    <n v="0"/>
    <m/>
    <m/>
    <n v="0"/>
    <n v="1700"/>
    <m/>
  </r>
  <r>
    <n v="7.02"/>
    <m/>
    <x v="40"/>
    <s v="OI"/>
    <s v=""/>
    <x v="135"/>
    <m/>
    <d v="2025-09-21T00:00:00"/>
    <n v="10"/>
    <s v="DOP"/>
    <n v="1"/>
    <n v="450"/>
    <n v="4500"/>
    <n v="0"/>
    <n v="4500"/>
    <n v="71.428571428571431"/>
    <s v="Utensilios de Cocina"/>
    <m/>
    <m/>
    <m/>
    <m/>
    <s v="UTECO "/>
    <n v="21"/>
    <n v="1"/>
    <n v="4500"/>
    <m/>
    <m/>
    <n v="0"/>
    <m/>
    <m/>
    <n v="0"/>
    <m/>
    <m/>
    <n v="0"/>
    <m/>
    <m/>
    <n v="0"/>
    <n v="4500"/>
    <m/>
  </r>
  <r>
    <n v="7.02"/>
    <m/>
    <x v="40"/>
    <s v="OI"/>
    <s v=""/>
    <x v="136"/>
    <m/>
    <d v="2025-09-21T00:00:00"/>
    <n v="10"/>
    <s v="DOP"/>
    <n v="1"/>
    <n v="1650"/>
    <n v="16500"/>
    <n v="0"/>
    <n v="16500"/>
    <n v="261.90476190476193"/>
    <s v="Utensilios de Cocina"/>
    <m/>
    <m/>
    <m/>
    <m/>
    <s v="UTECO "/>
    <n v="21"/>
    <n v="1"/>
    <n v="16500"/>
    <m/>
    <m/>
    <n v="0"/>
    <m/>
    <m/>
    <n v="0"/>
    <m/>
    <m/>
    <n v="0"/>
    <m/>
    <m/>
    <n v="0"/>
    <n v="16500"/>
    <m/>
  </r>
  <r>
    <n v="7.02"/>
    <m/>
    <x v="40"/>
    <s v="OI"/>
    <s v=""/>
    <x v="137"/>
    <m/>
    <d v="2025-09-21T00:00:00"/>
    <n v="2"/>
    <s v="DOP"/>
    <n v="1"/>
    <n v="500"/>
    <n v="1000"/>
    <n v="0"/>
    <n v="1000"/>
    <n v="15.873015873015873"/>
    <s v="Utensilios de Cocina"/>
    <m/>
    <m/>
    <m/>
    <m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38"/>
    <m/>
    <d v="2025-09-21T00:00:00"/>
    <n v="2"/>
    <s v="DOP"/>
    <n v="1"/>
    <n v="400"/>
    <n v="800"/>
    <n v="0"/>
    <n v="800"/>
    <n v="12.698412698412698"/>
    <s v="Utensilios de Cocina"/>
    <m/>
    <m/>
    <m/>
    <m/>
    <s v="UTECO "/>
    <n v="21"/>
    <n v="1"/>
    <n v="800"/>
    <m/>
    <m/>
    <n v="0"/>
    <m/>
    <m/>
    <n v="0"/>
    <m/>
    <m/>
    <n v="0"/>
    <m/>
    <m/>
    <n v="0"/>
    <n v="800"/>
    <m/>
  </r>
  <r>
    <n v="7.02"/>
    <m/>
    <x v="40"/>
    <s v="OI"/>
    <s v=""/>
    <x v="139"/>
    <m/>
    <d v="2025-09-21T00:00:00"/>
    <n v="2"/>
    <s v="DOP"/>
    <n v="1"/>
    <n v="600"/>
    <n v="1200"/>
    <n v="0"/>
    <n v="1200"/>
    <n v="19.047619047619047"/>
    <s v="Utensilios de Cocina"/>
    <m/>
    <m/>
    <m/>
    <m/>
    <s v="UTECO "/>
    <n v="21"/>
    <n v="1"/>
    <n v="1200"/>
    <m/>
    <m/>
    <n v="0"/>
    <m/>
    <m/>
    <n v="0"/>
    <m/>
    <m/>
    <n v="0"/>
    <m/>
    <m/>
    <n v="0"/>
    <n v="1200"/>
    <m/>
  </r>
  <r>
    <n v="7.02"/>
    <m/>
    <x v="40"/>
    <s v="OI"/>
    <s v=""/>
    <x v="140"/>
    <m/>
    <d v="2025-09-21T00:00:00"/>
    <n v="2"/>
    <s v="DOP"/>
    <n v="1"/>
    <n v="250"/>
    <n v="500"/>
    <n v="0"/>
    <n v="500"/>
    <n v="7.9365079365079367"/>
    <s v="Utensilios de Cocina"/>
    <m/>
    <m/>
    <m/>
    <m/>
    <s v="UTECO "/>
    <n v="21"/>
    <n v="1"/>
    <n v="500"/>
    <m/>
    <m/>
    <n v="0"/>
    <m/>
    <m/>
    <n v="0"/>
    <m/>
    <m/>
    <n v="0"/>
    <m/>
    <m/>
    <n v="0"/>
    <n v="500"/>
    <m/>
  </r>
  <r>
    <n v="7.02"/>
    <m/>
    <x v="40"/>
    <s v="OI"/>
    <s v=""/>
    <x v="141"/>
    <m/>
    <d v="2025-09-21T00:00:00"/>
    <n v="4"/>
    <s v="DOP"/>
    <n v="1"/>
    <n v="1450"/>
    <n v="5800"/>
    <n v="0"/>
    <n v="5800"/>
    <n v="92.063492063492063"/>
    <s v="Utensilios de Cocina"/>
    <m/>
    <m/>
    <m/>
    <m/>
    <s v="UTECO "/>
    <n v="21"/>
    <n v="1"/>
    <n v="5800"/>
    <m/>
    <m/>
    <n v="0"/>
    <m/>
    <m/>
    <n v="0"/>
    <m/>
    <m/>
    <n v="0"/>
    <m/>
    <m/>
    <n v="0"/>
    <n v="5800"/>
    <m/>
  </r>
  <r>
    <n v="7.02"/>
    <m/>
    <x v="40"/>
    <s v="OI"/>
    <s v=""/>
    <x v="142"/>
    <m/>
    <d v="2025-09-21T00:00:00"/>
    <n v="2"/>
    <s v="DOP"/>
    <n v="1"/>
    <n v="1450"/>
    <n v="2900"/>
    <n v="0"/>
    <n v="2900"/>
    <n v="46.031746031746032"/>
    <s v="Utensilios de Cocina"/>
    <m/>
    <m/>
    <m/>
    <m/>
    <s v="UTECO "/>
    <n v="21"/>
    <n v="1"/>
    <n v="2900"/>
    <m/>
    <m/>
    <n v="0"/>
    <m/>
    <m/>
    <n v="0"/>
    <m/>
    <m/>
    <n v="0"/>
    <m/>
    <m/>
    <n v="0"/>
    <n v="2900"/>
    <m/>
  </r>
  <r>
    <n v="7.02"/>
    <m/>
    <x v="40"/>
    <s v="OI"/>
    <s v=""/>
    <x v="143"/>
    <m/>
    <d v="2025-09-21T00:00:00"/>
    <n v="1"/>
    <s v="DOP"/>
    <n v="1"/>
    <n v="3050"/>
    <n v="3050"/>
    <n v="0"/>
    <n v="3050"/>
    <n v="48.412698412698411"/>
    <s v="Utensilios de Cocina"/>
    <m/>
    <m/>
    <m/>
    <m/>
    <s v="UTECO "/>
    <n v="21"/>
    <n v="1"/>
    <n v="3050"/>
    <m/>
    <m/>
    <n v="0"/>
    <m/>
    <m/>
    <n v="0"/>
    <m/>
    <m/>
    <n v="0"/>
    <m/>
    <m/>
    <n v="0"/>
    <n v="3050"/>
    <m/>
  </r>
  <r>
    <n v="7.02"/>
    <m/>
    <x v="40"/>
    <s v="OI"/>
    <s v=""/>
    <x v="144"/>
    <m/>
    <d v="2025-09-21T00:00:00"/>
    <n v="4"/>
    <s v="DOP"/>
    <n v="1"/>
    <n v="1650"/>
    <n v="6600"/>
    <n v="0"/>
    <n v="6600"/>
    <n v="104.76190476190476"/>
    <s v="Utensilios de Cocina"/>
    <m/>
    <m/>
    <m/>
    <m/>
    <s v="UTECO "/>
    <n v="21"/>
    <n v="1"/>
    <n v="6600"/>
    <m/>
    <m/>
    <n v="0"/>
    <m/>
    <m/>
    <n v="0"/>
    <m/>
    <m/>
    <n v="0"/>
    <m/>
    <m/>
    <n v="0"/>
    <n v="6600"/>
    <m/>
  </r>
  <r>
    <n v="7.02"/>
    <m/>
    <x v="40"/>
    <s v="OI"/>
    <s v=""/>
    <x v="145"/>
    <m/>
    <d v="2025-09-21T00:00:00"/>
    <n v="2"/>
    <s v="DOP"/>
    <n v="1"/>
    <n v="3200"/>
    <n v="6400"/>
    <n v="0"/>
    <n v="6400"/>
    <n v="101.58730158730158"/>
    <s v="Utensilios de Cocina"/>
    <m/>
    <m/>
    <m/>
    <m/>
    <s v="UTECO "/>
    <n v="21"/>
    <n v="1"/>
    <n v="6400"/>
    <m/>
    <m/>
    <n v="0"/>
    <m/>
    <m/>
    <n v="0"/>
    <m/>
    <m/>
    <n v="0"/>
    <m/>
    <m/>
    <n v="0"/>
    <n v="6400"/>
    <m/>
  </r>
  <r>
    <n v="7.02"/>
    <m/>
    <x v="40"/>
    <s v="OI"/>
    <s v=""/>
    <x v="146"/>
    <m/>
    <d v="2025-09-21T00:00:00"/>
    <n v="3"/>
    <s v="DOP"/>
    <n v="1"/>
    <n v="690"/>
    <n v="2070"/>
    <n v="0"/>
    <n v="2070"/>
    <n v="32.857142857142854"/>
    <s v="Utensilios de Cocina"/>
    <m/>
    <m/>
    <m/>
    <m/>
    <s v="UTECO "/>
    <n v="21"/>
    <n v="1"/>
    <n v="2070"/>
    <m/>
    <m/>
    <n v="0"/>
    <m/>
    <m/>
    <n v="0"/>
    <m/>
    <m/>
    <n v="0"/>
    <m/>
    <m/>
    <n v="0"/>
    <n v="2070"/>
    <m/>
  </r>
  <r>
    <n v="7.02"/>
    <m/>
    <x v="40"/>
    <s v="OI"/>
    <s v=""/>
    <x v="147"/>
    <m/>
    <d v="2025-09-21T00:00:00"/>
    <n v="2"/>
    <s v="DOP"/>
    <n v="1"/>
    <n v="500"/>
    <n v="1000"/>
    <n v="0"/>
    <n v="1000"/>
    <n v="15.873015873015873"/>
    <s v="Utensilios de Cocina"/>
    <m/>
    <m/>
    <m/>
    <m/>
    <s v="UTECO "/>
    <n v="21"/>
    <n v="1"/>
    <n v="1000"/>
    <m/>
    <m/>
    <n v="0"/>
    <m/>
    <m/>
    <n v="0"/>
    <m/>
    <m/>
    <n v="0"/>
    <m/>
    <m/>
    <n v="0"/>
    <n v="1000"/>
    <m/>
  </r>
  <r>
    <n v="7.02"/>
    <m/>
    <x v="40"/>
    <s v="OI"/>
    <s v=""/>
    <x v="148"/>
    <m/>
    <d v="2025-09-21T00:00:00"/>
    <n v="2"/>
    <s v="DOP"/>
    <n v="1"/>
    <n v="1200"/>
    <n v="2400"/>
    <n v="0"/>
    <n v="2400"/>
    <n v="38.095238095238095"/>
    <s v="Utensilios de Cocina"/>
    <m/>
    <m/>
    <m/>
    <m/>
    <s v="UTECO "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49"/>
    <m/>
    <d v="2025-09-21T00:00:00"/>
    <n v="1"/>
    <s v="DOP"/>
    <n v="1"/>
    <n v="68807.789999999994"/>
    <n v="68807.789999999994"/>
    <n v="0"/>
    <n v="68807.789999999994"/>
    <n v="1092.1871428571428"/>
    <s v="Utensilios de Cocina"/>
    <m/>
    <m/>
    <m/>
    <m/>
    <s v="UTECO "/>
    <n v="21"/>
    <n v="1"/>
    <n v="68807.789999999994"/>
    <m/>
    <m/>
    <n v="0"/>
    <m/>
    <m/>
    <n v="0"/>
    <m/>
    <m/>
    <n v="0"/>
    <m/>
    <m/>
    <n v="0"/>
    <n v="68807.789999999994"/>
    <m/>
  </r>
  <r>
    <n v="7.02"/>
    <m/>
    <x v="40"/>
    <s v="OI"/>
    <s v=""/>
    <x v="150"/>
    <m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51"/>
    <m/>
    <d v="2025-09-21T00:00:00"/>
    <n v="3"/>
    <s v="DOP"/>
    <n v="1"/>
    <n v="300"/>
    <n v="900"/>
    <n v="0"/>
    <n v="900"/>
    <n v="14.285714285714286"/>
    <s v="Utensilios de Cocina"/>
    <m/>
    <m/>
    <m/>
    <m/>
    <s v="UTECO "/>
    <n v="21"/>
    <n v="1"/>
    <n v="900"/>
    <m/>
    <m/>
    <n v="0"/>
    <m/>
    <m/>
    <n v="0"/>
    <m/>
    <m/>
    <n v="0"/>
    <m/>
    <m/>
    <n v="0"/>
    <n v="900"/>
    <m/>
  </r>
  <r>
    <n v="7.02"/>
    <m/>
    <x v="40"/>
    <s v="OI"/>
    <s v=""/>
    <x v="152"/>
    <m/>
    <d v="2025-09-21T00:00:00"/>
    <n v="1"/>
    <s v="DOP"/>
    <n v="1"/>
    <n v="22251.88"/>
    <n v="22251.88"/>
    <n v="0"/>
    <n v="22251.88"/>
    <n v="353.20444444444445"/>
    <s v="pedal neumatico"/>
    <m/>
    <m/>
    <m/>
    <m/>
    <s v="LA CASA DEL CAMION "/>
    <n v="21"/>
    <n v="1"/>
    <n v="22251.88"/>
    <m/>
    <m/>
    <n v="0"/>
    <m/>
    <m/>
    <n v="0"/>
    <m/>
    <m/>
    <n v="0"/>
    <m/>
    <m/>
    <n v="0"/>
    <n v="22251.88"/>
    <m/>
  </r>
  <r>
    <n v="7.02"/>
    <m/>
    <x v="40"/>
    <s v="OI"/>
    <s v=""/>
    <x v="153"/>
    <m/>
    <d v="2025-09-21T00:00:00"/>
    <n v="9"/>
    <s v="DOP"/>
    <n v="1"/>
    <n v="25029.784444444445"/>
    <n v="225268.06"/>
    <n v="0"/>
    <n v="225268.06"/>
    <n v="3575.6834920634919"/>
    <s v="Rapeadora "/>
    <m/>
    <m/>
    <m/>
    <m/>
    <s v="INSTITUCIONALES "/>
    <n v="21"/>
    <n v="1"/>
    <n v="225268.06"/>
    <m/>
    <m/>
    <n v="0"/>
    <m/>
    <m/>
    <n v="0"/>
    <m/>
    <m/>
    <n v="0"/>
    <m/>
    <m/>
    <n v="0"/>
    <n v="225268.06"/>
    <m/>
  </r>
  <r>
    <n v="7.02"/>
    <m/>
    <x v="40"/>
    <s v="OI"/>
    <s v=""/>
    <x v="154"/>
    <m/>
    <d v="2025-09-21T00:00:00"/>
    <n v="60"/>
    <s v="DOP"/>
    <n v="1"/>
    <n v="2389.0038333333337"/>
    <n v="143340.23000000001"/>
    <n v="0"/>
    <n v="143340.23000000001"/>
    <n v="2275.2417460317461"/>
    <s v="Bandeja gastronomica "/>
    <m/>
    <m/>
    <m/>
    <m/>
    <s v="IMEQ US"/>
    <n v="10"/>
    <n v="0.5"/>
    <n v="71670.115000000005"/>
    <n v="21"/>
    <n v="0.5"/>
    <n v="71670.115000000005"/>
    <m/>
    <m/>
    <n v="0"/>
    <m/>
    <m/>
    <n v="0"/>
    <m/>
    <m/>
    <n v="0"/>
    <n v="143340.23000000001"/>
    <m/>
  </r>
  <r>
    <n v="7.02"/>
    <m/>
    <x v="40"/>
    <s v="OI"/>
    <s v=""/>
    <x v="155"/>
    <m/>
    <d v="2025-09-21T00:00:00"/>
    <n v="3"/>
    <s v="DOP"/>
    <n v="1"/>
    <n v="22800"/>
    <n v="68400"/>
    <n v="0"/>
    <n v="68400"/>
    <n v="1085.7142857142858"/>
    <s v="Microonda"/>
    <m/>
    <m/>
    <m/>
    <m/>
    <s v="ALMACENES UNIDOS"/>
    <n v="21"/>
    <n v="1"/>
    <n v="68400"/>
    <n v="22"/>
    <m/>
    <n v="0"/>
    <m/>
    <m/>
    <n v="0"/>
    <m/>
    <m/>
    <n v="0"/>
    <m/>
    <m/>
    <n v="0"/>
    <n v="68400"/>
    <m/>
  </r>
  <r>
    <n v="7.02"/>
    <m/>
    <x v="40"/>
    <s v="OI"/>
    <s v=""/>
    <x v="156"/>
    <m/>
    <d v="2025-09-21T00:00:00"/>
    <n v="1"/>
    <s v="DOP"/>
    <n v="1"/>
    <n v="16413.669999999998"/>
    <n v="16413.669999999998"/>
    <n v="0"/>
    <n v="16413.669999999998"/>
    <n v="260.53444444444443"/>
    <s v="Utensilios de Cocina"/>
    <m/>
    <m/>
    <m/>
    <m/>
    <s v="AGUSTIN LOMBA"/>
    <n v="10"/>
    <n v="0.5"/>
    <n v="8206.8349999999991"/>
    <n v="21"/>
    <n v="0.5"/>
    <n v="8206.8349999999991"/>
    <m/>
    <m/>
    <n v="0"/>
    <m/>
    <m/>
    <n v="0"/>
    <m/>
    <m/>
    <n v="0"/>
    <n v="16413.669999999998"/>
    <m/>
  </r>
  <r>
    <n v="7.02"/>
    <m/>
    <x v="40"/>
    <s v="OI"/>
    <s v=""/>
    <x v="157"/>
    <m/>
    <d v="2025-09-21T00:00:00"/>
    <n v="2"/>
    <s v="DOP"/>
    <n v="1"/>
    <n v="650"/>
    <n v="1300"/>
    <n v="0"/>
    <n v="1300"/>
    <n v="20.634920634920636"/>
    <s v="Utensilios de Cocina"/>
    <m/>
    <m/>
    <m/>
    <m/>
    <m/>
    <n v="21"/>
    <n v="1"/>
    <n v="1300"/>
    <m/>
    <m/>
    <n v="0"/>
    <m/>
    <m/>
    <n v="0"/>
    <m/>
    <m/>
    <n v="0"/>
    <m/>
    <m/>
    <n v="0"/>
    <n v="1300"/>
    <m/>
  </r>
  <r>
    <n v="7.02"/>
    <m/>
    <x v="40"/>
    <s v="OI"/>
    <s v=""/>
    <x v="158"/>
    <m/>
    <d v="2025-09-21T00:00:00"/>
    <n v="1"/>
    <s v="DOP"/>
    <n v="1"/>
    <n v="950"/>
    <n v="950"/>
    <n v="0"/>
    <n v="950"/>
    <n v="15.079365079365079"/>
    <s v="Utensilios de Cocina"/>
    <m/>
    <m/>
    <m/>
    <m/>
    <m/>
    <n v="21"/>
    <n v="1"/>
    <n v="950"/>
    <m/>
    <m/>
    <n v="0"/>
    <m/>
    <m/>
    <n v="0"/>
    <m/>
    <m/>
    <n v="0"/>
    <m/>
    <m/>
    <n v="0"/>
    <n v="950"/>
    <m/>
  </r>
  <r>
    <n v="7.02"/>
    <m/>
    <x v="40"/>
    <s v="OI"/>
    <s v=""/>
    <x v="159"/>
    <m/>
    <d v="2025-09-21T00:00:00"/>
    <n v="2"/>
    <s v="DOP"/>
    <n v="1"/>
    <n v="950"/>
    <n v="1900"/>
    <n v="0"/>
    <n v="1900"/>
    <n v="30.158730158730158"/>
    <s v="Utensilios de Cocina"/>
    <m/>
    <m/>
    <m/>
    <m/>
    <m/>
    <n v="21"/>
    <n v="1"/>
    <n v="1900"/>
    <m/>
    <m/>
    <n v="0"/>
    <m/>
    <m/>
    <n v="0"/>
    <m/>
    <m/>
    <n v="0"/>
    <m/>
    <m/>
    <n v="0"/>
    <n v="1900"/>
    <m/>
  </r>
  <r>
    <n v="7.02"/>
    <m/>
    <x v="40"/>
    <s v="OI"/>
    <s v=""/>
    <x v="160"/>
    <m/>
    <d v="2025-09-21T00:00:00"/>
    <n v="4"/>
    <s v="DOP"/>
    <n v="1"/>
    <n v="1400"/>
    <n v="5600"/>
    <n v="0"/>
    <n v="5600"/>
    <n v="88.888888888888886"/>
    <s v="Utensilios de Cocina"/>
    <m/>
    <m/>
    <m/>
    <m/>
    <m/>
    <n v="21"/>
    <n v="1"/>
    <n v="5600"/>
    <m/>
    <m/>
    <n v="0"/>
    <m/>
    <m/>
    <n v="0"/>
    <m/>
    <m/>
    <n v="0"/>
    <m/>
    <m/>
    <n v="0"/>
    <n v="5600"/>
    <m/>
  </r>
  <r>
    <n v="7.02"/>
    <m/>
    <x v="40"/>
    <s v="OI"/>
    <s v=""/>
    <x v="161"/>
    <m/>
    <d v="2025-09-21T00:00:00"/>
    <n v="4"/>
    <s v="DOP"/>
    <n v="1"/>
    <n v="1200"/>
    <n v="4800"/>
    <n v="0"/>
    <n v="4800"/>
    <n v="76.19047619047619"/>
    <s v="Utensilios de Cocina"/>
    <m/>
    <m/>
    <m/>
    <m/>
    <m/>
    <n v="21"/>
    <n v="1"/>
    <n v="4800"/>
    <m/>
    <m/>
    <n v="0"/>
    <m/>
    <m/>
    <n v="0"/>
    <m/>
    <m/>
    <n v="0"/>
    <m/>
    <m/>
    <n v="0"/>
    <n v="4800"/>
    <m/>
  </r>
  <r>
    <n v="7.02"/>
    <m/>
    <x v="40"/>
    <s v="OI"/>
    <s v=""/>
    <x v="162"/>
    <m/>
    <d v="2025-09-21T00:00:00"/>
    <n v="1"/>
    <s v="DOP"/>
    <n v="1"/>
    <n v="14000"/>
    <n v="14000"/>
    <n v="0"/>
    <n v="14000"/>
    <n v="222.22222222222223"/>
    <s v="Utensilios de Cocina"/>
    <m/>
    <m/>
    <m/>
    <m/>
    <m/>
    <n v="21"/>
    <n v="1"/>
    <n v="14000"/>
    <m/>
    <m/>
    <n v="0"/>
    <m/>
    <m/>
    <n v="0"/>
    <m/>
    <m/>
    <n v="0"/>
    <m/>
    <m/>
    <n v="0"/>
    <n v="14000"/>
    <m/>
  </r>
  <r>
    <n v="7.02"/>
    <m/>
    <x v="40"/>
    <s v="OI"/>
    <s v=""/>
    <x v="163"/>
    <m/>
    <d v="2025-09-21T00:00:00"/>
    <n v="1"/>
    <s v="DOP"/>
    <n v="1"/>
    <n v="2400"/>
    <n v="2400"/>
    <n v="0"/>
    <n v="2400"/>
    <n v="38.095238095238095"/>
    <s v="Utensilios de Cocina"/>
    <m/>
    <m/>
    <m/>
    <m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64"/>
    <m/>
    <d v="2025-09-21T00:00:00"/>
    <n v="1"/>
    <s v="DOP"/>
    <n v="1"/>
    <n v="2400"/>
    <n v="2400"/>
    <n v="0"/>
    <n v="2400"/>
    <n v="38.095238095238095"/>
    <s v="Utensilios de Cocina"/>
    <m/>
    <m/>
    <m/>
    <m/>
    <m/>
    <n v="21"/>
    <n v="1"/>
    <n v="2400"/>
    <m/>
    <m/>
    <n v="0"/>
    <m/>
    <m/>
    <n v="0"/>
    <m/>
    <m/>
    <n v="0"/>
    <m/>
    <m/>
    <n v="0"/>
    <n v="2400"/>
    <m/>
  </r>
  <r>
    <n v="7.02"/>
    <m/>
    <x v="40"/>
    <s v="OI"/>
    <s v=""/>
    <x v="165"/>
    <m/>
    <d v="2025-09-21T00:00:00"/>
    <n v="2"/>
    <s v="DOP"/>
    <n v="1"/>
    <n v="4000"/>
    <n v="8000"/>
    <n v="0"/>
    <n v="8000"/>
    <n v="126.98412698412699"/>
    <s v="Utensilios de Cocina"/>
    <m/>
    <m/>
    <m/>
    <m/>
    <m/>
    <n v="21"/>
    <n v="1"/>
    <n v="8000"/>
    <m/>
    <m/>
    <n v="0"/>
    <m/>
    <m/>
    <n v="0"/>
    <m/>
    <m/>
    <n v="0"/>
    <m/>
    <m/>
    <n v="0"/>
    <n v="8000"/>
    <m/>
  </r>
  <r>
    <n v="7.02"/>
    <m/>
    <x v="40"/>
    <s v="OI"/>
    <s v=""/>
    <x v="166"/>
    <m/>
    <d v="2025-09-21T00:00:00"/>
    <n v="1"/>
    <s v="DOP"/>
    <n v="1"/>
    <n v="6000"/>
    <n v="6000"/>
    <n v="0"/>
    <n v="6000"/>
    <n v="95.238095238095241"/>
    <s v="Utensilios de Cocina"/>
    <m/>
    <m/>
    <m/>
    <m/>
    <m/>
    <n v="21"/>
    <n v="1"/>
    <n v="6000"/>
    <m/>
    <m/>
    <n v="0"/>
    <m/>
    <m/>
    <n v="0"/>
    <m/>
    <m/>
    <n v="0"/>
    <m/>
    <m/>
    <n v="0"/>
    <n v="6000"/>
    <m/>
  </r>
  <r>
    <n v="7.02"/>
    <m/>
    <x v="40"/>
    <s v="OI"/>
    <s v=""/>
    <x v="167"/>
    <m/>
    <d v="2025-09-21T00:00:00"/>
    <n v="1"/>
    <s v="DOP"/>
    <n v="1"/>
    <n v="600"/>
    <n v="600"/>
    <n v="0"/>
    <n v="600"/>
    <n v="9.5238095238095237"/>
    <s v="Utensilios de Cocina"/>
    <m/>
    <m/>
    <m/>
    <m/>
    <m/>
    <n v="21"/>
    <n v="1"/>
    <n v="600"/>
    <m/>
    <m/>
    <n v="0"/>
    <m/>
    <m/>
    <n v="0"/>
    <m/>
    <m/>
    <n v="0"/>
    <m/>
    <m/>
    <n v="0"/>
    <n v="600"/>
    <m/>
  </r>
  <r>
    <n v="7.02"/>
    <m/>
    <x v="40"/>
    <s v="OI"/>
    <s v=""/>
    <x v="168"/>
    <m/>
    <d v="2025-09-21T00:00:00"/>
    <n v="3"/>
    <s v="DOP"/>
    <n v="1"/>
    <n v="230"/>
    <n v="690"/>
    <n v="0"/>
    <n v="690"/>
    <n v="10.952380952380953"/>
    <s v="Utensilios de Cocina"/>
    <m/>
    <m/>
    <m/>
    <m/>
    <m/>
    <n v="21"/>
    <n v="1"/>
    <n v="690"/>
    <m/>
    <m/>
    <n v="0"/>
    <m/>
    <m/>
    <n v="0"/>
    <m/>
    <m/>
    <n v="0"/>
    <m/>
    <m/>
    <n v="0"/>
    <n v="690"/>
    <m/>
  </r>
  <r>
    <n v="7.02"/>
    <m/>
    <x v="40"/>
    <s v="OI"/>
    <s v=""/>
    <x v="169"/>
    <m/>
    <d v="2025-09-21T00:00:00"/>
    <n v="2"/>
    <s v="DOP"/>
    <n v="1"/>
    <n v="3000"/>
    <n v="6000"/>
    <n v="0"/>
    <n v="6000"/>
    <n v="95.238095238095241"/>
    <s v="Utensilios de Cocina"/>
    <m/>
    <m/>
    <m/>
    <m/>
    <m/>
    <n v="21"/>
    <n v="1"/>
    <n v="6000"/>
    <m/>
    <m/>
    <n v="0"/>
    <m/>
    <m/>
    <n v="0"/>
    <m/>
    <m/>
    <n v="0"/>
    <m/>
    <m/>
    <n v="0"/>
    <n v="6000"/>
    <m/>
  </r>
  <r>
    <n v="7.02"/>
    <m/>
    <x v="40"/>
    <s v="OI"/>
    <s v=""/>
    <x v="170"/>
    <m/>
    <d v="2025-09-21T00:00:00"/>
    <n v="3"/>
    <s v="DOP"/>
    <n v="1"/>
    <n v="150"/>
    <n v="450"/>
    <n v="0"/>
    <n v="450"/>
    <n v="7.1428571428571432"/>
    <s v="Utensilios de Cocina"/>
    <m/>
    <m/>
    <m/>
    <m/>
    <m/>
    <n v="21"/>
    <n v="1"/>
    <n v="450"/>
    <m/>
    <m/>
    <n v="0"/>
    <m/>
    <m/>
    <n v="0"/>
    <m/>
    <m/>
    <n v="0"/>
    <m/>
    <m/>
    <n v="0"/>
    <n v="450"/>
    <m/>
  </r>
  <r>
    <n v="7.03"/>
    <s v="*"/>
    <x v="41"/>
    <s v="*"/>
    <n v="53605.920479233231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3"/>
    <m/>
    <x v="41"/>
    <s v="OI"/>
    <s v=""/>
    <x v="171"/>
    <n v="4512411633"/>
    <d v="2025-02-17T00:00:00"/>
    <n v="1"/>
    <s v="DOP"/>
    <n v="1"/>
    <n v="165106.71"/>
    <n v="165106.71"/>
    <n v="0"/>
    <n v="165106.71"/>
    <n v="2620.7414285714285"/>
    <s v="Equipos de Carniceria "/>
    <m/>
    <m/>
    <m/>
    <m/>
    <s v="75272 RENT A EQUIPOS MUESES, "/>
    <n v="10"/>
    <n v="0.5"/>
    <n v="82553.354999999996"/>
    <n v="21"/>
    <n v="0.5"/>
    <n v="82553.354999999996"/>
    <m/>
    <m/>
    <n v="0"/>
    <m/>
    <m/>
    <n v="0"/>
    <m/>
    <m/>
    <n v="0"/>
    <n v="165106.71"/>
    <m/>
  </r>
  <r>
    <n v="7.03"/>
    <m/>
    <x v="41"/>
    <s v="OI"/>
    <s v=""/>
    <x v="172"/>
    <n v="4512411633"/>
    <d v="2025-02-17T00:00:00"/>
    <n v="2"/>
    <s v="DOP"/>
    <n v="1"/>
    <n v="294000"/>
    <n v="588000"/>
    <n v="0"/>
    <n v="588000"/>
    <n v="9333.3333333333339"/>
    <s v="Equipos de Carniceria "/>
    <m/>
    <m/>
    <m/>
    <m/>
    <s v="75272 RENT A EQUIPOS MUESES, "/>
    <n v="10"/>
    <n v="0.5"/>
    <n v="294000"/>
    <n v="21"/>
    <n v="0.5"/>
    <n v="294000"/>
    <m/>
    <m/>
    <n v="0"/>
    <m/>
    <m/>
    <n v="0"/>
    <m/>
    <m/>
    <n v="0"/>
    <n v="588000"/>
    <m/>
  </r>
  <r>
    <n v="7.03"/>
    <m/>
    <x v="41"/>
    <s v="OI"/>
    <s v=""/>
    <x v="173"/>
    <n v="4512411633"/>
    <d v="2025-02-17T00:00:00"/>
    <n v="2"/>
    <s v="DOP"/>
    <n v="1"/>
    <n v="151549.5"/>
    <n v="303099"/>
    <n v="0"/>
    <n v="303099"/>
    <n v="4811.0952380952385"/>
    <s v="Equipos de Carniceria "/>
    <m/>
    <m/>
    <m/>
    <m/>
    <s v="75272 RENT A EQUIPOS MUESES, "/>
    <n v="10"/>
    <n v="0.5"/>
    <n v="151549.5"/>
    <n v="21"/>
    <n v="0.5"/>
    <n v="151549.5"/>
    <m/>
    <m/>
    <n v="0"/>
    <m/>
    <m/>
    <n v="0"/>
    <m/>
    <m/>
    <n v="0"/>
    <n v="303099"/>
    <m/>
  </r>
  <r>
    <n v="7.03"/>
    <m/>
    <x v="41"/>
    <s v="OI"/>
    <s v=""/>
    <x v="174"/>
    <n v="4512411633"/>
    <d v="2025-02-17T00:00:00"/>
    <n v="1"/>
    <s v="DOP"/>
    <n v="1"/>
    <n v="397260.62"/>
    <n v="397260.62"/>
    <n v="0"/>
    <n v="397260.62"/>
    <n v="6305.724126984127"/>
    <s v="Equipos de Carniceria "/>
    <m/>
    <m/>
    <m/>
    <m/>
    <s v="75272 RENT A EQUIPOS MUESES, "/>
    <n v="10"/>
    <n v="0.5"/>
    <n v="198630.31"/>
    <n v="21"/>
    <n v="0.5"/>
    <n v="198630.31"/>
    <m/>
    <m/>
    <n v="0"/>
    <m/>
    <m/>
    <n v="0"/>
    <m/>
    <m/>
    <n v="0"/>
    <n v="397260.62"/>
    <m/>
  </r>
  <r>
    <n v="7.03"/>
    <m/>
    <x v="41"/>
    <s v="OI"/>
    <s v=""/>
    <x v="175"/>
    <n v="4512411633"/>
    <d v="2025-02-17T00:00:00"/>
    <n v="1"/>
    <s v="DOP"/>
    <n v="1"/>
    <n v="181574.8"/>
    <n v="181574.8"/>
    <n v="0"/>
    <n v="181574.8"/>
    <n v="2882.1396825396823"/>
    <s v="Equipos de Carniceria "/>
    <m/>
    <m/>
    <m/>
    <m/>
    <s v="75272 RENT A EQUIPOS MUESES, "/>
    <n v="10"/>
    <n v="0.5"/>
    <n v="90787.4"/>
    <n v="21"/>
    <n v="0.5"/>
    <n v="90787.4"/>
    <m/>
    <m/>
    <n v="0"/>
    <m/>
    <m/>
    <n v="0"/>
    <m/>
    <m/>
    <n v="0"/>
    <n v="181574.8"/>
    <m/>
  </r>
  <r>
    <n v="7.03"/>
    <m/>
    <x v="41"/>
    <s v="OI"/>
    <s v=""/>
    <x v="176"/>
    <n v="4512411633"/>
    <d v="2025-02-17T00:00:00"/>
    <n v="1"/>
    <s v="DOP"/>
    <n v="1"/>
    <n v="546727.98"/>
    <n v="546727.98"/>
    <n v="0"/>
    <n v="546727.98"/>
    <n v="8678.2219047619037"/>
    <s v="Equipos de Carniceria "/>
    <m/>
    <m/>
    <m/>
    <m/>
    <s v="75272 RENT A EQUIPOS MUESES, "/>
    <n v="10"/>
    <n v="0.5"/>
    <n v="273363.99"/>
    <n v="21"/>
    <n v="0.5"/>
    <n v="273363.99"/>
    <m/>
    <m/>
    <n v="0"/>
    <m/>
    <m/>
    <n v="0"/>
    <m/>
    <m/>
    <n v="0"/>
    <n v="546727.98"/>
    <m/>
  </r>
  <r>
    <n v="7.03"/>
    <m/>
    <x v="41"/>
    <s v="OI"/>
    <s v=""/>
    <x v="177"/>
    <n v="4512411633"/>
    <d v="2025-02-17T00:00:00"/>
    <n v="1"/>
    <s v="DOP"/>
    <n v="1"/>
    <n v="937877.67"/>
    <n v="937877.67"/>
    <n v="0"/>
    <n v="937877.67"/>
    <n v="14886.947142857143"/>
    <s v="Equipos de Carniceria "/>
    <m/>
    <m/>
    <m/>
    <m/>
    <s v="75272 RENT A EQUIPOS MUESES, "/>
    <n v="10"/>
    <n v="0.5"/>
    <n v="468938.83500000002"/>
    <n v="21"/>
    <n v="0.5"/>
    <n v="468938.83500000002"/>
    <m/>
    <m/>
    <n v="0"/>
    <m/>
    <m/>
    <n v="0"/>
    <m/>
    <m/>
    <n v="0"/>
    <n v="937877.67"/>
    <m/>
  </r>
  <r>
    <n v="7.03"/>
    <m/>
    <x v="41"/>
    <s v="OI"/>
    <s v=""/>
    <x v="178"/>
    <n v="4512411633"/>
    <d v="2025-02-17T00:00:00"/>
    <n v="1"/>
    <s v="DOP"/>
    <n v="1"/>
    <n v="140501.32999999999"/>
    <n v="140501.32999999999"/>
    <n v="0"/>
    <n v="140501.32999999999"/>
    <n v="2230.1798412698413"/>
    <s v="Equipos de Carniceria "/>
    <m/>
    <m/>
    <m/>
    <m/>
    <s v="75272 RENT A EQUIPOS MUESES, "/>
    <n v="10"/>
    <n v="0.5"/>
    <n v="70250.664999999994"/>
    <n v="21"/>
    <n v="0.5"/>
    <n v="70250.664999999994"/>
    <m/>
    <m/>
    <n v="0"/>
    <m/>
    <m/>
    <n v="0"/>
    <m/>
    <m/>
    <n v="0"/>
    <n v="140501.32999999999"/>
    <m/>
  </r>
  <r>
    <n v="7.03"/>
    <m/>
    <x v="41"/>
    <s v="OI"/>
    <s v=""/>
    <x v="179"/>
    <n v="4600072453"/>
    <d v="2025-02-11T00:00:00"/>
    <n v="18"/>
    <s v="DOP"/>
    <n v="1"/>
    <n v="475.52000000000004"/>
    <n v="8559.36"/>
    <n v="0.2"/>
    <n v="10271.232"/>
    <n v="163.03542857142858"/>
    <s v="Canastos frutas y Vegetales"/>
    <m/>
    <m/>
    <m/>
    <m/>
    <s v="TOSCA"/>
    <n v="4"/>
    <n v="1"/>
    <n v="10271.232"/>
    <m/>
    <m/>
    <n v="0"/>
    <m/>
    <m/>
    <n v="0"/>
    <m/>
    <m/>
    <n v="0"/>
    <m/>
    <m/>
    <n v="0"/>
    <n v="10271.232"/>
    <m/>
  </r>
  <r>
    <n v="7.03"/>
    <m/>
    <x v="41"/>
    <s v="OI"/>
    <s v=""/>
    <x v="180"/>
    <m/>
    <d v="2025-09-21T00:00:00"/>
    <n v="2"/>
    <s v="DOP"/>
    <n v="1"/>
    <n v="8808.0550000000003"/>
    <n v="17616.11"/>
    <n v="0"/>
    <n v="17616.11"/>
    <n v="279.62079365079364"/>
    <s v="Utensilios Carniceria"/>
    <m/>
    <m/>
    <m/>
    <m/>
    <m/>
    <n v="21"/>
    <n v="1"/>
    <n v="17616.11"/>
    <m/>
    <m/>
    <n v="0"/>
    <m/>
    <m/>
    <n v="0"/>
    <m/>
    <m/>
    <n v="0"/>
    <m/>
    <m/>
    <n v="0"/>
    <n v="17616.11"/>
    <m/>
  </r>
  <r>
    <n v="7.03"/>
    <m/>
    <x v="41"/>
    <s v="OI"/>
    <s v=""/>
    <x v="181"/>
    <m/>
    <d v="2025-09-21T00:00:00"/>
    <n v="6"/>
    <s v="DOP"/>
    <n v="1"/>
    <n v="1337.0183333333332"/>
    <n v="8022.1099999999988"/>
    <n v="0"/>
    <n v="8022.1099999999988"/>
    <n v="127.33507936507935"/>
    <s v="Utensilios Carniceria"/>
    <m/>
    <m/>
    <m/>
    <m/>
    <m/>
    <n v="21"/>
    <n v="1"/>
    <n v="8022.1099999999988"/>
    <m/>
    <m/>
    <n v="0"/>
    <m/>
    <m/>
    <n v="0"/>
    <m/>
    <m/>
    <n v="0"/>
    <m/>
    <m/>
    <n v="0"/>
    <n v="8022.1099999999988"/>
    <m/>
  </r>
  <r>
    <n v="7.03"/>
    <m/>
    <x v="41"/>
    <s v="OI"/>
    <s v=""/>
    <x v="182"/>
    <m/>
    <d v="2025-09-21T00:00:00"/>
    <n v="3"/>
    <s v="DOP"/>
    <n v="1"/>
    <n v="2626.0833333333335"/>
    <n v="7878.25"/>
    <n v="0"/>
    <n v="7878.25"/>
    <n v="125.0515873015873"/>
    <s v="Utensilios Carniceria"/>
    <m/>
    <m/>
    <m/>
    <m/>
    <m/>
    <n v="21"/>
    <n v="1"/>
    <n v="7878.25"/>
    <m/>
    <m/>
    <n v="0"/>
    <m/>
    <m/>
    <n v="0"/>
    <m/>
    <m/>
    <n v="0"/>
    <m/>
    <m/>
    <n v="0"/>
    <n v="7878.25"/>
    <m/>
  </r>
  <r>
    <n v="7.03"/>
    <m/>
    <x v="41"/>
    <s v="OI"/>
    <s v=""/>
    <x v="183"/>
    <m/>
    <d v="2025-09-21T00:00:00"/>
    <n v="5"/>
    <s v="DOP"/>
    <n v="1"/>
    <n v="3567.6959999999999"/>
    <n v="17838.48"/>
    <n v="0"/>
    <n v="17838.48"/>
    <n v="283.15047619047618"/>
    <s v="Utensilios Carniceria"/>
    <m/>
    <m/>
    <m/>
    <m/>
    <m/>
    <n v="21"/>
    <n v="1"/>
    <n v="17838.48"/>
    <m/>
    <m/>
    <n v="0"/>
    <m/>
    <m/>
    <n v="0"/>
    <m/>
    <m/>
    <n v="0"/>
    <m/>
    <m/>
    <n v="0"/>
    <n v="17838.48"/>
    <m/>
  </r>
  <r>
    <n v="7.03"/>
    <m/>
    <x v="41"/>
    <s v="OI"/>
    <s v=""/>
    <x v="184"/>
    <m/>
    <d v="2025-09-21T00:00:00"/>
    <n v="1"/>
    <s v="DOP"/>
    <n v="1"/>
    <n v="8316.0499999999993"/>
    <n v="8316.0499999999993"/>
    <n v="0"/>
    <n v="8316.0499999999993"/>
    <n v="132.00079365079364"/>
    <s v="Utensilios Carniceria"/>
    <m/>
    <m/>
    <m/>
    <m/>
    <m/>
    <n v="21"/>
    <n v="1"/>
    <n v="8316.0499999999993"/>
    <m/>
    <m/>
    <n v="0"/>
    <m/>
    <m/>
    <n v="0"/>
    <m/>
    <m/>
    <n v="0"/>
    <m/>
    <m/>
    <n v="0"/>
    <n v="8316.0499999999993"/>
    <m/>
  </r>
  <r>
    <n v="7.03"/>
    <m/>
    <x v="41"/>
    <s v="OI"/>
    <s v=""/>
    <x v="185"/>
    <m/>
    <d v="2025-09-21T00:00:00"/>
    <n v="3"/>
    <s v="DOP"/>
    <n v="1"/>
    <n v="8546.76"/>
    <n v="25640.28"/>
    <n v="0"/>
    <n v="25640.28"/>
    <n v="406.98857142857139"/>
    <s v="Utensilios de Cocina"/>
    <m/>
    <m/>
    <m/>
    <m/>
    <m/>
    <n v="21"/>
    <n v="1"/>
    <n v="25640.28"/>
    <m/>
    <m/>
    <n v="0"/>
    <m/>
    <m/>
    <n v="0"/>
    <m/>
    <m/>
    <n v="0"/>
    <m/>
    <m/>
    <n v="0"/>
    <n v="25640.28"/>
    <m/>
  </r>
  <r>
    <n v="7.04"/>
    <s v="*"/>
    <x v="42"/>
    <s v="*"/>
    <n v="170136.863897763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4"/>
    <m/>
    <x v="42"/>
    <s v="OI"/>
    <s v=""/>
    <x v="186"/>
    <n v="4512411633"/>
    <d v="2025-02-17T00:00:00"/>
    <n v="1"/>
    <s v="DOP"/>
    <n v="1"/>
    <n v="109750"/>
    <n v="109750"/>
    <n v="0"/>
    <n v="109750"/>
    <n v="1742.063492063492"/>
    <s v="molino Rallador "/>
    <m/>
    <m/>
    <m/>
    <m/>
    <s v="75272 RENT A EQUIPOS MUESES, "/>
    <n v="21"/>
    <n v="1"/>
    <n v="109750"/>
    <m/>
    <m/>
    <n v="0"/>
    <m/>
    <m/>
    <n v="0"/>
    <m/>
    <m/>
    <n v="0"/>
    <m/>
    <m/>
    <n v="0"/>
    <n v="109750"/>
    <m/>
  </r>
  <r>
    <n v="7.04"/>
    <m/>
    <x v="42"/>
    <s v="OI"/>
    <s v=""/>
    <x v="187"/>
    <n v="4512510967"/>
    <d v="2025-05-20T00:00:00"/>
    <n v="1"/>
    <s v="USD"/>
    <n v="63"/>
    <n v="25116"/>
    <n v="1582308"/>
    <n v="0"/>
    <n v="1582308"/>
    <n v="25116"/>
    <s v="Camara fermentadora"/>
    <m/>
    <m/>
    <m/>
    <m/>
    <s v="75113 EQUIPAN SRL"/>
    <n v="5"/>
    <n v="0.6"/>
    <n v="949384.79999999993"/>
    <n v="14"/>
    <n v="0.4"/>
    <n v="632923.20000000007"/>
    <m/>
    <m/>
    <n v="0"/>
    <m/>
    <m/>
    <n v="0"/>
    <m/>
    <m/>
    <n v="0"/>
    <n v="1582308"/>
    <m/>
  </r>
  <r>
    <n v="7.04"/>
    <m/>
    <x v="42"/>
    <s v="OI"/>
    <s v=""/>
    <x v="188"/>
    <n v="4600073130"/>
    <d v="2025-03-26T00:00:00"/>
    <n v="1"/>
    <s v="USD"/>
    <n v="63"/>
    <n v="2733"/>
    <n v="172179"/>
    <n v="0.45"/>
    <n v="249659.55"/>
    <n v="3962.85"/>
    <s v="Muebles ims "/>
    <s v="Actualizada según ultima cotizacion "/>
    <m/>
    <m/>
    <m/>
    <s v="35455 PRALICCI S.A."/>
    <n v="3"/>
    <n v="0.5"/>
    <n v="124829.77499999999"/>
    <n v="14"/>
    <n v="0.5"/>
    <n v="124829.77499999999"/>
    <m/>
    <m/>
    <n v="0"/>
    <m/>
    <m/>
    <n v="0"/>
    <m/>
    <m/>
    <n v="0"/>
    <n v="249659.55"/>
    <m/>
  </r>
  <r>
    <n v="7.04"/>
    <m/>
    <x v="42"/>
    <s v="OI"/>
    <s v=""/>
    <x v="189"/>
    <n v="4600073130"/>
    <d v="2025-03-26T00:00:00"/>
    <n v="3"/>
    <s v="USD"/>
    <n v="63"/>
    <n v="2733"/>
    <n v="516537"/>
    <n v="0.45"/>
    <n v="748978.65"/>
    <n v="11888.550000000001"/>
    <s v="Muebles ims "/>
    <s v="Actualizada según ultima cotizacion "/>
    <m/>
    <m/>
    <m/>
    <s v="35455 PRALICCI S.A."/>
    <n v="3"/>
    <n v="0.5"/>
    <n v="374489.32500000001"/>
    <n v="14"/>
    <n v="0.5"/>
    <n v="374489.32500000001"/>
    <m/>
    <m/>
    <n v="0"/>
    <m/>
    <m/>
    <n v="0"/>
    <m/>
    <m/>
    <n v="0"/>
    <n v="748978.65"/>
    <m/>
  </r>
  <r>
    <n v="7.04"/>
    <m/>
    <x v="42"/>
    <s v="OI"/>
    <s v=""/>
    <x v="190"/>
    <n v="4600073130"/>
    <d v="2025-03-26T00:00:00"/>
    <n v="2"/>
    <s v="USD"/>
    <n v="63"/>
    <n v="3560"/>
    <n v="448560"/>
    <n v="0.45"/>
    <n v="650412"/>
    <n v="10324"/>
    <s v="Muebles ims "/>
    <s v="Actualizada según ultima cotizacion "/>
    <m/>
    <m/>
    <m/>
    <s v="35455 PRALICCI S.A."/>
    <n v="3"/>
    <n v="0.5"/>
    <n v="325206"/>
    <n v="14"/>
    <n v="0.5"/>
    <n v="325206"/>
    <m/>
    <m/>
    <n v="0"/>
    <m/>
    <m/>
    <n v="0"/>
    <m/>
    <m/>
    <n v="0"/>
    <n v="650412"/>
    <m/>
  </r>
  <r>
    <n v="7.04"/>
    <m/>
    <x v="42"/>
    <s v="OI"/>
    <s v=""/>
    <x v="191"/>
    <n v="4600073130"/>
    <d v="2025-03-26T00:00:00"/>
    <n v="7"/>
    <s v="USD"/>
    <n v="63"/>
    <n v="2535"/>
    <n v="1117935"/>
    <n v="0.45"/>
    <n v="1621005.75"/>
    <n v="25730.25"/>
    <s v="Muebles ims "/>
    <s v="Actualizada según ultima cotizacion "/>
    <m/>
    <m/>
    <m/>
    <s v="35455 PRALICCI S.A."/>
    <n v="3"/>
    <n v="0.5"/>
    <n v="810502.875"/>
    <n v="14"/>
    <n v="0.5"/>
    <n v="810502.875"/>
    <m/>
    <m/>
    <n v="0"/>
    <m/>
    <m/>
    <n v="0"/>
    <m/>
    <m/>
    <n v="0"/>
    <n v="1621005.75"/>
    <m/>
  </r>
  <r>
    <n v="7.04"/>
    <m/>
    <x v="42"/>
    <s v="OI"/>
    <s v=""/>
    <x v="192"/>
    <n v="4600073130"/>
    <d v="2025-03-26T00:00:00"/>
    <n v="1"/>
    <s v="USD"/>
    <n v="63"/>
    <n v="3560"/>
    <n v="224280"/>
    <n v="0.45"/>
    <n v="325206"/>
    <n v="5162"/>
    <s v="Muebles ims "/>
    <s v="Actualizada según ultima cotizacion "/>
    <m/>
    <m/>
    <m/>
    <s v="35455 PRALICCI S.A."/>
    <n v="3"/>
    <n v="0.5"/>
    <n v="162603"/>
    <n v="14"/>
    <n v="0.5"/>
    <n v="162603"/>
    <m/>
    <m/>
    <n v="0"/>
    <m/>
    <m/>
    <n v="0"/>
    <m/>
    <m/>
    <n v="0"/>
    <n v="325206"/>
    <m/>
  </r>
  <r>
    <n v="7.04"/>
    <m/>
    <x v="42"/>
    <s v="OI"/>
    <s v=""/>
    <x v="193"/>
    <n v="4600073130"/>
    <d v="2025-03-26T00:00:00"/>
    <n v="1"/>
    <s v="USD"/>
    <n v="63"/>
    <n v="7086"/>
    <n v="446418"/>
    <n v="0.45"/>
    <n v="647306.1"/>
    <n v="10274.699999999999"/>
    <s v="Muebles ims "/>
    <s v="Actualizada según ultima cotizacion "/>
    <m/>
    <m/>
    <m/>
    <s v="35455 PRALICCI S.A."/>
    <n v="3"/>
    <n v="0.5"/>
    <n v="323653.05"/>
    <n v="14"/>
    <n v="0.5"/>
    <n v="323653.05"/>
    <m/>
    <m/>
    <n v="0"/>
    <m/>
    <m/>
    <n v="0"/>
    <m/>
    <m/>
    <n v="0"/>
    <n v="647306.1"/>
    <m/>
  </r>
  <r>
    <n v="7.04"/>
    <m/>
    <x v="42"/>
    <s v="OI"/>
    <s v=""/>
    <x v="194"/>
    <n v="4600073981"/>
    <d v="2025-06-15T00:00:00"/>
    <n v="510"/>
    <s v="USD"/>
    <n v="63"/>
    <n v="23.05"/>
    <n v="740596.5"/>
    <n v="0"/>
    <n v="740596.5"/>
    <n v="11755.5"/>
    <s v="Bandeja gastronomica "/>
    <m/>
    <m/>
    <m/>
    <m/>
    <s v="IMEQ US"/>
    <n v="6"/>
    <n v="0.5"/>
    <n v="370298.25"/>
    <n v="8"/>
    <n v="0.5"/>
    <n v="370298.25"/>
    <m/>
    <m/>
    <n v="0"/>
    <m/>
    <m/>
    <n v="0"/>
    <m/>
    <m/>
    <n v="0"/>
    <n v="740596.5"/>
    <m/>
  </r>
  <r>
    <n v="7.04"/>
    <m/>
    <x v="42"/>
    <s v="OI"/>
    <s v=""/>
    <x v="195"/>
    <n v="4600073981"/>
    <d v="2025-06-15T00:00:00"/>
    <n v="120"/>
    <s v="USD"/>
    <n v="63"/>
    <n v="46.17"/>
    <n v="349045.2"/>
    <n v="0"/>
    <n v="349045.2"/>
    <n v="5540.4000000000005"/>
    <s v="Bandeja gastronomica "/>
    <m/>
    <m/>
    <m/>
    <m/>
    <s v="IMEQ US"/>
    <n v="6"/>
    <n v="0.5"/>
    <n v="174522.6"/>
    <n v="8"/>
    <n v="0.5"/>
    <n v="174522.6"/>
    <m/>
    <m/>
    <n v="0"/>
    <m/>
    <m/>
    <n v="0"/>
    <m/>
    <m/>
    <n v="0"/>
    <n v="349045.2"/>
    <m/>
  </r>
  <r>
    <n v="7.04"/>
    <m/>
    <x v="42"/>
    <s v="OI"/>
    <s v=""/>
    <x v="196"/>
    <n v="4600073981"/>
    <d v="2025-06-15T00:00:00"/>
    <n v="17"/>
    <s v="USD"/>
    <n v="63"/>
    <n v="21.15"/>
    <n v="22651.649999999998"/>
    <n v="0"/>
    <n v="22651.649999999998"/>
    <n v="359.54999999999995"/>
    <s v="Bandeja gastronomica "/>
    <m/>
    <m/>
    <m/>
    <m/>
    <s v="IMEQ US"/>
    <n v="6"/>
    <n v="0.5"/>
    <n v="11325.824999999999"/>
    <n v="8"/>
    <n v="0.5"/>
    <n v="11325.824999999999"/>
    <m/>
    <m/>
    <n v="0"/>
    <m/>
    <m/>
    <n v="0"/>
    <m/>
    <m/>
    <n v="0"/>
    <n v="22651.649999999998"/>
    <m/>
  </r>
  <r>
    <n v="7.04"/>
    <m/>
    <x v="42"/>
    <s v="OI"/>
    <s v=""/>
    <x v="197"/>
    <n v="4600073981"/>
    <d v="2025-06-15T00:00:00"/>
    <n v="50"/>
    <s v="USD"/>
    <n v="63"/>
    <n v="43.5"/>
    <n v="137025"/>
    <n v="0"/>
    <n v="137025"/>
    <n v="2175"/>
    <s v="Bandeja gastronomica "/>
    <m/>
    <m/>
    <m/>
    <m/>
    <s v="IMEQ US"/>
    <n v="6"/>
    <n v="0.5"/>
    <n v="68512.5"/>
    <n v="8"/>
    <n v="0.5"/>
    <n v="68512.5"/>
    <m/>
    <m/>
    <n v="0"/>
    <m/>
    <m/>
    <n v="0"/>
    <m/>
    <m/>
    <n v="0"/>
    <n v="137025"/>
    <m/>
  </r>
  <r>
    <n v="7.04"/>
    <m/>
    <x v="42"/>
    <s v="OI"/>
    <s v=""/>
    <x v="198"/>
    <n v="4600074116"/>
    <d v="2025-06-05T00:00:00"/>
    <n v="2"/>
    <s v="EUR"/>
    <n v="76"/>
    <n v="17360"/>
    <n v="2638720"/>
    <n v="0.25"/>
    <n v="3298400"/>
    <n v="52355.555555555555"/>
    <s v="Horno Rotor "/>
    <m/>
    <m/>
    <m/>
    <m/>
    <s v="DANZI FORNI SRL"/>
    <n v="6"/>
    <n v="0.6"/>
    <n v="1979040"/>
    <n v="14"/>
    <n v="0.4"/>
    <n v="1319360"/>
    <m/>
    <m/>
    <n v="0"/>
    <m/>
    <m/>
    <n v="0"/>
    <m/>
    <m/>
    <n v="0"/>
    <n v="3298400"/>
    <m/>
  </r>
  <r>
    <n v="7.04"/>
    <m/>
    <x v="42"/>
    <s v="OI"/>
    <s v=""/>
    <x v="199"/>
    <n v="4600074513"/>
    <d v="2025-06-30T00:00:00"/>
    <n v="18"/>
    <s v="EUR"/>
    <n v="76"/>
    <n v="300"/>
    <n v="410400"/>
    <n v="0.25"/>
    <n v="513000"/>
    <n v="8142.8571428571431"/>
    <s v="Carro para horno"/>
    <m/>
    <m/>
    <m/>
    <m/>
    <s v="DANZI FORNI SRL"/>
    <n v="6"/>
    <n v="0.5"/>
    <n v="256500"/>
    <n v="14"/>
    <n v="0.5"/>
    <n v="256500"/>
    <m/>
    <m/>
    <n v="0"/>
    <m/>
    <m/>
    <n v="0"/>
    <m/>
    <m/>
    <n v="0"/>
    <n v="513000"/>
    <m/>
  </r>
  <r>
    <n v="7.04"/>
    <m/>
    <x v="42"/>
    <s v="OI"/>
    <s v=""/>
    <x v="200"/>
    <m/>
    <d v="2025-09-21T00:00:00"/>
    <n v="2"/>
    <s v="DOP"/>
    <n v="1"/>
    <n v="15394.4"/>
    <n v="30788.799999999999"/>
    <n v="0"/>
    <n v="30788.799999999999"/>
    <n v="488.71111111111111"/>
    <s v="Horno Rotor "/>
    <m/>
    <m/>
    <m/>
    <m/>
    <s v="DANZI FORNI SRL"/>
    <n v="6"/>
    <n v="0.6"/>
    <n v="18473.28"/>
    <n v="21"/>
    <n v="0.4"/>
    <n v="12315.52"/>
    <m/>
    <m/>
    <n v="0"/>
    <m/>
    <m/>
    <n v="0"/>
    <m/>
    <m/>
    <n v="0"/>
    <n v="30788.799999999999"/>
    <m/>
  </r>
  <r>
    <n v="7.05"/>
    <s v="*"/>
    <x v="43"/>
    <s v="*"/>
    <n v="62951.34920127794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5"/>
    <m/>
    <x v="43"/>
    <s v="OI"/>
    <s v=""/>
    <x v="201"/>
    <n v="460007437"/>
    <d v="2025-07-15T00:00:00"/>
    <n v="2"/>
    <s v="USD"/>
    <n v="63"/>
    <n v="1811.06"/>
    <n v="228193.56"/>
    <n v="0.45"/>
    <n v="330880.66200000001"/>
    <n v="5252.0740000000005"/>
    <s v="Mueble de planta y flores"/>
    <m/>
    <m/>
    <m/>
    <m/>
    <s v="CAYUGA"/>
    <n v="4"/>
    <n v="1"/>
    <n v="330880.66200000001"/>
    <m/>
    <m/>
    <n v="0"/>
    <m/>
    <m/>
    <n v="0"/>
    <m/>
    <m/>
    <n v="0"/>
    <m/>
    <m/>
    <n v="0"/>
    <n v="330880.66200000001"/>
    <m/>
  </r>
  <r>
    <n v="7.05"/>
    <m/>
    <x v="43"/>
    <s v="OI"/>
    <s v=""/>
    <x v="202"/>
    <n v="4600072453"/>
    <d v="2025-02-11T00:00:00"/>
    <n v="170"/>
    <s v="DOP"/>
    <n v="1"/>
    <n v="475.52023529411764"/>
    <n v="80838.44"/>
    <n v="0"/>
    <n v="80838.44"/>
    <n v="1283.1498412698413"/>
    <s v="Canastos frutas y Vegetales"/>
    <m/>
    <m/>
    <m/>
    <m/>
    <s v="TOSCA"/>
    <n v="4"/>
    <n v="1"/>
    <n v="80838.44"/>
    <m/>
    <m/>
    <n v="0"/>
    <m/>
    <m/>
    <n v="0"/>
    <m/>
    <m/>
    <n v="0"/>
    <m/>
    <m/>
    <n v="0"/>
    <n v="80838.44"/>
    <m/>
  </r>
  <r>
    <n v="7.05"/>
    <m/>
    <x v="43"/>
    <s v="OI"/>
    <s v=""/>
    <x v="203"/>
    <n v="4600072453"/>
    <d v="2025-02-11T00:00:00"/>
    <n v="20"/>
    <s v="DOP"/>
    <n v="1"/>
    <n v="356.72899999999998"/>
    <n v="7134.58"/>
    <n v="0"/>
    <n v="7134.58"/>
    <n v="113.24730158730159"/>
    <s v="Canastos frutas y Vegetales"/>
    <m/>
    <m/>
    <m/>
    <m/>
    <s v="TOSCA"/>
    <n v="4"/>
    <n v="1"/>
    <n v="7134.58"/>
    <m/>
    <m/>
    <n v="0"/>
    <m/>
    <m/>
    <n v="0"/>
    <m/>
    <m/>
    <n v="0"/>
    <m/>
    <m/>
    <n v="0"/>
    <n v="7134.58"/>
    <m/>
  </r>
  <r>
    <n v="7.05"/>
    <m/>
    <x v="43"/>
    <s v="OI"/>
    <s v=""/>
    <x v="204"/>
    <n v="4600073130"/>
    <d v="2025-03-26T00:00:00"/>
    <n v="12"/>
    <s v="USD"/>
    <n v="63"/>
    <n v="130"/>
    <n v="98280"/>
    <n v="0.45"/>
    <n v="142506"/>
    <n v="2262"/>
    <s v="Muebles ims "/>
    <s v="Actualizada según ultima cotizacion "/>
    <m/>
    <m/>
    <m/>
    <s v="35455 PRALICCI S.A."/>
    <n v="3"/>
    <n v="0.5"/>
    <n v="71253"/>
    <n v="14"/>
    <n v="0.5"/>
    <n v="71253"/>
    <m/>
    <m/>
    <n v="0"/>
    <m/>
    <m/>
    <n v="0"/>
    <m/>
    <m/>
    <n v="0"/>
    <n v="142506"/>
    <m/>
  </r>
  <r>
    <n v="7.05"/>
    <m/>
    <x v="43"/>
    <s v="OI"/>
    <s v=""/>
    <x v="205"/>
    <n v="4600073130"/>
    <d v="2025-03-26T00:00:00"/>
    <n v="6"/>
    <s v="USD"/>
    <n v="63"/>
    <n v="1228"/>
    <n v="464184"/>
    <n v="0.45"/>
    <n v="673066.8"/>
    <n v="10683.6"/>
    <s v="Muebles ims "/>
    <s v="Actualizada según ultima cotizacion "/>
    <m/>
    <m/>
    <m/>
    <s v="35455 PRALICCI S.A."/>
    <n v="3"/>
    <n v="0.5"/>
    <n v="336533.4"/>
    <n v="14"/>
    <n v="0.5"/>
    <n v="336533.4"/>
    <m/>
    <m/>
    <n v="0"/>
    <m/>
    <m/>
    <n v="0"/>
    <m/>
    <m/>
    <n v="0"/>
    <n v="673066.8"/>
    <m/>
  </r>
  <r>
    <n v="7.05"/>
    <m/>
    <x v="43"/>
    <s v="OI"/>
    <s v=""/>
    <x v="206"/>
    <n v="4600073130"/>
    <d v="2025-03-26T00:00:00"/>
    <n v="18"/>
    <s v="USD"/>
    <n v="63"/>
    <n v="1531"/>
    <n v="1736154"/>
    <n v="0.45"/>
    <n v="2517423.2999999998"/>
    <n v="39959.1"/>
    <s v="Muebles ims "/>
    <s v="Actualizada según ultima cotizacion "/>
    <m/>
    <m/>
    <m/>
    <s v="35455 PRALICCI S.A."/>
    <n v="3"/>
    <n v="0.5"/>
    <n v="1258711.6499999999"/>
    <n v="14"/>
    <n v="0.5"/>
    <n v="1258711.6499999999"/>
    <m/>
    <m/>
    <n v="0"/>
    <m/>
    <m/>
    <n v="0"/>
    <m/>
    <m/>
    <n v="0"/>
    <n v="2517423.2999999998"/>
    <m/>
  </r>
  <r>
    <n v="7.05"/>
    <m/>
    <x v="43"/>
    <s v="OI"/>
    <s v=""/>
    <x v="207"/>
    <m/>
    <d v="2025-09-21T00:00:00"/>
    <n v="1"/>
    <s v="DOP"/>
    <n v="1"/>
    <n v="900"/>
    <n v="900"/>
    <n v="0"/>
    <n v="900"/>
    <n v="14.285714285714286"/>
    <s v="Balanza"/>
    <m/>
    <m/>
    <m/>
    <m/>
    <s v="LA INOVACION"/>
    <n v="21"/>
    <n v="1"/>
    <n v="900"/>
    <m/>
    <m/>
    <n v="0"/>
    <m/>
    <m/>
    <n v="0"/>
    <m/>
    <m/>
    <n v="0"/>
    <m/>
    <m/>
    <n v="0"/>
    <n v="900"/>
    <m/>
  </r>
  <r>
    <n v="7.06"/>
    <s v="*"/>
    <x v="44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7.07"/>
    <s v="*"/>
    <x v="45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s v="*"/>
    <x v="46"/>
    <s v="*"/>
    <n v="355288.99980431306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1"/>
    <m/>
    <x v="46"/>
    <s v="OI"/>
    <s v=""/>
    <x v="208"/>
    <n v="4600074011"/>
    <d v="2025-05-30T00:00:00"/>
    <n v="1"/>
    <s v="EUR"/>
    <n v="76"/>
    <n v="209548.21"/>
    <n v="15925663.959999999"/>
    <n v="0.35"/>
    <n v="21499646.345999997"/>
    <n v="341264.22771428566"/>
    <s v="Gondolas"/>
    <m/>
    <m/>
    <m/>
    <m/>
    <s v="Imola"/>
    <n v="9"/>
    <n v="0.5"/>
    <n v="10749823.172999999"/>
    <n v="14"/>
    <n v="0.5"/>
    <n v="10749823.172999999"/>
    <m/>
    <m/>
    <n v="0"/>
    <m/>
    <m/>
    <n v="0"/>
    <m/>
    <m/>
    <n v="0"/>
    <n v="21499646.345999997"/>
    <m/>
  </r>
  <r>
    <n v="8.01"/>
    <m/>
    <x v="46"/>
    <s v="OI"/>
    <s v=""/>
    <x v="209"/>
    <m/>
    <d v="2025-09-21T00:00:00"/>
    <n v="1"/>
    <s v="DOP"/>
    <n v="1"/>
    <n v="600000"/>
    <n v="600000"/>
    <n v="0"/>
    <n v="600000"/>
    <n v="9523.8095238095229"/>
    <s v="Gondolas"/>
    <m/>
    <m/>
    <m/>
    <m/>
    <s v="Imola"/>
    <n v="15"/>
    <n v="0.6"/>
    <n v="360000"/>
    <n v="21"/>
    <n v="0.4"/>
    <n v="240000"/>
    <m/>
    <m/>
    <n v="0"/>
    <m/>
    <m/>
    <n v="0"/>
    <m/>
    <m/>
    <n v="0"/>
    <n v="600000"/>
    <m/>
  </r>
  <r>
    <n v="8.01"/>
    <m/>
    <x v="46"/>
    <s v="OI"/>
    <s v=""/>
    <x v="210"/>
    <n v="4600074011"/>
    <d v="2025-05-30T00:00:00"/>
    <n v="12"/>
    <s v="EUR"/>
    <n v="76"/>
    <n v="645.1"/>
    <n v="588331.20000000007"/>
    <n v="0.35"/>
    <n v="794247.12000000011"/>
    <n v="12607.097142857145"/>
    <s v="Gondolas ante caja"/>
    <m/>
    <m/>
    <m/>
    <m/>
    <s v="Imola"/>
    <n v="9"/>
    <n v="0.5"/>
    <n v="397123.56000000006"/>
    <n v="14"/>
    <n v="0.5"/>
    <n v="397123.56000000006"/>
    <m/>
    <m/>
    <n v="0"/>
    <m/>
    <m/>
    <n v="0"/>
    <m/>
    <m/>
    <n v="0"/>
    <n v="794247.12000000011"/>
    <m/>
  </r>
  <r>
    <n v="8.02"/>
    <s v="*"/>
    <x v="47"/>
    <s v="*"/>
    <n v="48231.140750798724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"/>
    <m/>
    <x v="47"/>
    <s v="OI"/>
    <s v=""/>
    <x v="211"/>
    <n v="4600074011"/>
    <d v="2025-05-30T00:00:00"/>
    <n v="12"/>
    <s v="EUR"/>
    <n v="76"/>
    <n v="1791.17"/>
    <n v="1633547.04"/>
    <n v="0.35"/>
    <n v="2205288.5039999997"/>
    <n v="35004.579428571422"/>
    <s v="checkouts Caunter"/>
    <m/>
    <m/>
    <m/>
    <m/>
    <s v="Imola"/>
    <n v="10"/>
    <n v="0.5"/>
    <n v="1102644.2519999999"/>
    <n v="14"/>
    <n v="0.5"/>
    <n v="1102644.2519999999"/>
    <m/>
    <m/>
    <n v="0"/>
    <m/>
    <m/>
    <n v="0"/>
    <m/>
    <m/>
    <n v="0"/>
    <n v="2205288.5039999997"/>
    <m/>
  </r>
  <r>
    <n v="8.0299999999999994"/>
    <s v="*"/>
    <x v="48"/>
    <s v="*"/>
    <n v="46512.175439940249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299999999999994"/>
    <m/>
    <x v="48"/>
    <s v="OI"/>
    <s v=""/>
    <x v="212"/>
    <n v="4600074838"/>
    <d v="2025-07-15T00:00:00"/>
    <n v="2"/>
    <s v="DOP"/>
    <n v="1"/>
    <n v="76528.710000000006"/>
    <n v="153057.42000000001"/>
    <n v="0.3"/>
    <n v="198974.64600000001"/>
    <n v="3158.3277142857146"/>
    <s v="Carros de Compra "/>
    <m/>
    <m/>
    <m/>
    <m/>
    <s v="ARAVEN "/>
    <n v="14"/>
    <n v="0.5"/>
    <n v="99487.323000000004"/>
    <n v="16"/>
    <n v="0.5"/>
    <n v="99487.323000000004"/>
    <m/>
    <m/>
    <n v="0"/>
    <m/>
    <m/>
    <n v="0"/>
    <m/>
    <m/>
    <n v="0"/>
    <n v="198974.64600000001"/>
    <m/>
  </r>
  <r>
    <n v="8.0299999999999994"/>
    <m/>
    <x v="48"/>
    <s v="OI"/>
    <s v=""/>
    <x v="213"/>
    <n v="4600074838"/>
    <d v="2025-07-15T00:00:00"/>
    <n v="1"/>
    <s v="DOP"/>
    <n v="1"/>
    <n v="95330.28"/>
    <n v="95330.28"/>
    <n v="0.3"/>
    <n v="123929.364"/>
    <n v="1967.132761904762"/>
    <s v="Silla de Rueda "/>
    <m/>
    <m/>
    <m/>
    <m/>
    <s v="ARAVEN "/>
    <n v="14"/>
    <n v="0.5"/>
    <n v="61964.682000000001"/>
    <n v="16"/>
    <n v="0.5"/>
    <n v="61964.682000000001"/>
    <m/>
    <m/>
    <n v="0"/>
    <m/>
    <m/>
    <n v="0"/>
    <m/>
    <m/>
    <n v="0"/>
    <n v="123929.364"/>
    <m/>
  </r>
  <r>
    <n v="8.0299999999999994"/>
    <m/>
    <x v="48"/>
    <s v="OI"/>
    <s v=""/>
    <x v="214"/>
    <n v="4600074838"/>
    <d v="2025-07-15T00:00:00"/>
    <n v="60"/>
    <s v="DOP"/>
    <n v="1"/>
    <n v="1438.7834523809524"/>
    <n v="86327.007142857154"/>
    <n v="0.3"/>
    <n v="112225.10928571429"/>
    <n v="1781.350941043084"/>
    <s v="Carros de Compra "/>
    <m/>
    <m/>
    <m/>
    <m/>
    <s v="ARAVEN "/>
    <n v="14"/>
    <n v="0.5"/>
    <n v="56112.554642857147"/>
    <n v="16"/>
    <n v="0.5"/>
    <n v="56112.554642857147"/>
    <m/>
    <m/>
    <n v="0"/>
    <m/>
    <m/>
    <n v="0"/>
    <m/>
    <m/>
    <n v="0"/>
    <n v="112225.10928571429"/>
    <m/>
  </r>
  <r>
    <n v="8.0299999999999994"/>
    <m/>
    <x v="48"/>
    <s v="OI"/>
    <s v=""/>
    <x v="215"/>
    <n v="4600074838"/>
    <d v="2025-07-15T00:00:00"/>
    <n v="3"/>
    <s v="DOP"/>
    <n v="1"/>
    <n v="5806.3549999999996"/>
    <n v="17419.064999999999"/>
    <n v="0.3"/>
    <n v="22644.784499999998"/>
    <n v="359.44102380952376"/>
    <s v="Carros de Compra "/>
    <m/>
    <m/>
    <m/>
    <m/>
    <s v="ARAVEN "/>
    <n v="14"/>
    <n v="0.5"/>
    <n v="11322.392249999999"/>
    <n v="16"/>
    <n v="0.5"/>
    <n v="11322.392249999999"/>
    <m/>
    <m/>
    <n v="0"/>
    <m/>
    <m/>
    <n v="0"/>
    <m/>
    <m/>
    <n v="0"/>
    <n v="22644.784499999998"/>
    <m/>
  </r>
  <r>
    <n v="8.0299999999999994"/>
    <m/>
    <x v="48"/>
    <s v="OI"/>
    <s v=""/>
    <x v="216"/>
    <n v="4600074838"/>
    <d v="2025-07-15T00:00:00"/>
    <n v="2"/>
    <s v="DOP"/>
    <n v="1"/>
    <n v="6189.2379999999994"/>
    <n v="12378.475999999999"/>
    <n v="0.3"/>
    <n v="16092.018799999998"/>
    <n v="255.4288698412698"/>
    <s v="Silla de bebe"/>
    <m/>
    <m/>
    <m/>
    <m/>
    <s v="ARAVEN "/>
    <n v="14"/>
    <n v="0.5"/>
    <n v="8046.009399999999"/>
    <n v="16"/>
    <n v="0.5"/>
    <n v="8046.009399999999"/>
    <m/>
    <m/>
    <n v="0"/>
    <m/>
    <m/>
    <n v="0"/>
    <m/>
    <m/>
    <n v="0"/>
    <n v="16092.018799999998"/>
    <m/>
  </r>
  <r>
    <n v="8.0299999999999994"/>
    <m/>
    <x v="48"/>
    <s v="OI"/>
    <s v=""/>
    <x v="217"/>
    <n v="4600074838"/>
    <d v="2025-07-15T00:00:00"/>
    <n v="150"/>
    <s v="DOP"/>
    <n v="1"/>
    <n v="9341.7875999999997"/>
    <n v="1401268.14"/>
    <n v="0.3"/>
    <n v="1821648.5819999999"/>
    <n v="28915.056857142856"/>
    <s v="Carros de Compra "/>
    <m/>
    <m/>
    <m/>
    <m/>
    <s v="ARAVEN "/>
    <n v="14"/>
    <n v="0.5"/>
    <n v="910824.29099999997"/>
    <n v="16"/>
    <n v="0.5"/>
    <n v="910824.29099999997"/>
    <m/>
    <m/>
    <n v="0"/>
    <m/>
    <m/>
    <n v="0"/>
    <m/>
    <m/>
    <n v="0"/>
    <n v="1821648.5819999999"/>
    <m/>
  </r>
  <r>
    <n v="8.0299999999999994"/>
    <m/>
    <x v="48"/>
    <s v="OI"/>
    <s v=""/>
    <x v="218"/>
    <n v="4600074838"/>
    <d v="2025-07-15T00:00:00"/>
    <n v="75"/>
    <s v="DOP"/>
    <n v="1"/>
    <n v="6319.4633636363633"/>
    <n v="473959.75227272726"/>
    <n v="0.3"/>
    <n v="616147.67795454548"/>
    <n v="9780.1218722943722"/>
    <s v="Carros de Compra "/>
    <m/>
    <m/>
    <m/>
    <m/>
    <s v="ARAVEN "/>
    <n v="14"/>
    <n v="0.5"/>
    <n v="308073.83897727274"/>
    <n v="16"/>
    <n v="0.5"/>
    <n v="308073.83897727274"/>
    <m/>
    <m/>
    <n v="0"/>
    <m/>
    <m/>
    <n v="0"/>
    <m/>
    <m/>
    <n v="0"/>
    <n v="616147.67795454548"/>
    <m/>
  </r>
  <r>
    <n v="8.0399999999999991"/>
    <s v="*"/>
    <x v="49"/>
    <s v="*"/>
    <n v="23083.509503194888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399999999999991"/>
    <m/>
    <x v="49"/>
    <s v="OI"/>
    <s v=""/>
    <x v="219"/>
    <m/>
    <d v="2025-09-21T00:00:00"/>
    <n v="1"/>
    <s v="DOP"/>
    <n v="1"/>
    <n v="960176.56"/>
    <n v="960176.56"/>
    <n v="0.01"/>
    <n v="969778.3256000001"/>
    <n v="15393.306755555557"/>
    <s v="Tramerias de Almacen "/>
    <m/>
    <m/>
    <m/>
    <m/>
    <n v="0"/>
    <n v="15"/>
    <n v="0.6"/>
    <n v="581866.99536000006"/>
    <n v="22"/>
    <n v="0.4"/>
    <n v="387911.33024000004"/>
    <m/>
    <m/>
    <n v="0"/>
    <m/>
    <m/>
    <n v="0"/>
    <m/>
    <m/>
    <n v="0"/>
    <n v="969778.3256000001"/>
    <m/>
  </r>
  <r>
    <n v="8.0399999999999991"/>
    <m/>
    <x v="49"/>
    <s v="OI"/>
    <s v=""/>
    <x v="220"/>
    <m/>
    <d v="2025-09-21T00:00:00"/>
    <n v="1"/>
    <s v="DOP"/>
    <n v="1"/>
    <n v="0"/>
    <n v="0"/>
    <n v="0.01"/>
    <n v="0"/>
    <n v="0"/>
    <s v="Tramerias de Almacen "/>
    <m/>
    <m/>
    <m/>
    <m/>
    <n v="0"/>
    <n v="15"/>
    <n v="0.6"/>
    <n v="0"/>
    <n v="22"/>
    <n v="0.4"/>
    <n v="0"/>
    <m/>
    <m/>
    <n v="0"/>
    <m/>
    <m/>
    <n v="0"/>
    <m/>
    <m/>
    <n v="0"/>
    <n v="0"/>
    <m/>
  </r>
  <r>
    <n v="8.0500000000000007"/>
    <s v="*"/>
    <x v="50"/>
    <s v="*"/>
    <n v="106439.12076677317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500000000000007"/>
    <m/>
    <x v="50"/>
    <s v="OI"/>
    <s v=""/>
    <x v="221"/>
    <m/>
    <d v="2025-09-21T00:00:00"/>
    <n v="22"/>
    <s v="DOP"/>
    <n v="1"/>
    <n v="11304"/>
    <n v="248688"/>
    <n v="0"/>
    <n v="248688"/>
    <n v="3947.4285714285716"/>
    <s v="MESAS Y SILAS AREA DE FOOD CORD"/>
    <s v="Mobiliario exterior "/>
    <m/>
    <m/>
    <m/>
    <m/>
    <n v="15"/>
    <n v="0.5"/>
    <n v="124344"/>
    <n v="20"/>
    <n v="0.5"/>
    <n v="124344"/>
    <m/>
    <m/>
    <n v="0"/>
    <m/>
    <m/>
    <n v="0"/>
    <m/>
    <m/>
    <n v="0"/>
    <n v="248688"/>
    <m/>
  </r>
  <r>
    <n v="8.0500000000000007"/>
    <m/>
    <x v="50"/>
    <s v="OI"/>
    <s v=""/>
    <x v="222"/>
    <m/>
    <d v="2025-09-21T00:00:00"/>
    <n v="88"/>
    <s v="DOP"/>
    <n v="1"/>
    <n v="6543"/>
    <n v="575784"/>
    <n v="0"/>
    <n v="575784"/>
    <n v="9139.4285714285706"/>
    <s v="MESAS Y SILAS AREA DE FOOD CORD"/>
    <s v="Mobiliario exterior "/>
    <m/>
    <m/>
    <m/>
    <m/>
    <n v="15"/>
    <n v="0.5"/>
    <n v="287892"/>
    <n v="20"/>
    <n v="0.5"/>
    <n v="287892"/>
    <m/>
    <m/>
    <n v="0"/>
    <m/>
    <m/>
    <n v="0"/>
    <m/>
    <m/>
    <n v="0"/>
    <n v="575784"/>
    <m/>
  </r>
  <r>
    <n v="8.0500000000000007"/>
    <m/>
    <x v="50"/>
    <s v="OI"/>
    <s v=""/>
    <x v="223"/>
    <m/>
    <d v="2025-09-21T00:00:00"/>
    <n v="1"/>
    <s v="DOP"/>
    <n v="1"/>
    <n v="12000"/>
    <n v="12000"/>
    <n v="0"/>
    <n v="12000"/>
    <n v="190.47619047619048"/>
    <s v="Cafetera "/>
    <m/>
    <m/>
    <m/>
    <m/>
    <s v="UTECO "/>
    <n v="21"/>
    <n v="1"/>
    <n v="12000"/>
    <m/>
    <m/>
    <n v="0"/>
    <m/>
    <m/>
    <n v="0"/>
    <m/>
    <m/>
    <n v="0"/>
    <m/>
    <m/>
    <n v="0"/>
    <n v="12000"/>
    <m/>
  </r>
  <r>
    <n v="8.0500000000000007"/>
    <m/>
    <x v="50"/>
    <s v="OI"/>
    <s v=""/>
    <x v="224"/>
    <m/>
    <d v="2025-09-21T00:00:00"/>
    <n v="6"/>
    <s v="DOP"/>
    <n v="1"/>
    <n v="39220.06"/>
    <n v="235320.36"/>
    <n v="0"/>
    <n v="235320.36"/>
    <n v="3735.2438095238094"/>
    <s v="Lockers colaboradores "/>
    <m/>
    <m/>
    <m/>
    <m/>
    <s v="TRAMERIAS Y SOL.DE ALMACENAJE "/>
    <n v="21"/>
    <n v="1"/>
    <n v="235320.36"/>
    <m/>
    <m/>
    <n v="0"/>
    <m/>
    <m/>
    <n v="0"/>
    <m/>
    <m/>
    <n v="0"/>
    <m/>
    <m/>
    <n v="0"/>
    <n v="235320.36"/>
    <m/>
  </r>
  <r>
    <n v="8.0500000000000007"/>
    <m/>
    <x v="50"/>
    <s v="OI"/>
    <s v=""/>
    <x v="225"/>
    <m/>
    <d v="2025-09-21T00:00:00"/>
    <n v="1"/>
    <s v="DOP"/>
    <n v="1"/>
    <n v="41428.57"/>
    <n v="41428.57"/>
    <n v="0"/>
    <n v="41428.57"/>
    <n v="657.59634920634915"/>
    <s v="Lockers colaboradores "/>
    <m/>
    <m/>
    <m/>
    <m/>
    <s v="TRAMERIAS Y SOL.DE ALMACENAJE "/>
    <n v="21"/>
    <n v="1"/>
    <n v="41428.57"/>
    <m/>
    <m/>
    <n v="0"/>
    <m/>
    <m/>
    <n v="0"/>
    <m/>
    <m/>
    <n v="0"/>
    <m/>
    <m/>
    <n v="0"/>
    <n v="41428.57"/>
    <m/>
  </r>
  <r>
    <n v="8.0500000000000007"/>
    <m/>
    <x v="50"/>
    <s v="OI"/>
    <s v=""/>
    <x v="226"/>
    <m/>
    <d v="2025-09-21T00:00:00"/>
    <n v="72"/>
    <s v="DOP"/>
    <n v="1"/>
    <n v="233.05"/>
    <n v="16779.600000000002"/>
    <n v="0"/>
    <n v="16779.600000000002"/>
    <n v="266.34285714285716"/>
    <s v="Candado Yale"/>
    <m/>
    <m/>
    <m/>
    <m/>
    <s v="MATERIALES INDUSTRIALES "/>
    <n v="21"/>
    <n v="1"/>
    <n v="16779.600000000002"/>
    <m/>
    <m/>
    <n v="0"/>
    <m/>
    <m/>
    <n v="0"/>
    <m/>
    <m/>
    <n v="0"/>
    <m/>
    <m/>
    <n v="0"/>
    <n v="16779.600000000002"/>
    <m/>
  </r>
  <r>
    <n v="8.0500000000000007"/>
    <m/>
    <x v="50"/>
    <s v="OI"/>
    <s v=""/>
    <x v="227"/>
    <m/>
    <d v="2025-09-21T00:00:00"/>
    <n v="1"/>
    <s v="DOP"/>
    <n v="1"/>
    <n v="14067.79"/>
    <n v="14067.79"/>
    <n v="0"/>
    <n v="14067.79"/>
    <n v="223.29825396825399"/>
    <s v="Mobiliario Oficina"/>
    <m/>
    <m/>
    <m/>
    <m/>
    <s v="MUEBLES OMAR"/>
    <n v="21"/>
    <n v="1"/>
    <n v="14067.79"/>
    <m/>
    <m/>
    <n v="0"/>
    <m/>
    <m/>
    <n v="0"/>
    <m/>
    <m/>
    <n v="0"/>
    <m/>
    <m/>
    <n v="0"/>
    <n v="14067.79"/>
    <m/>
  </r>
  <r>
    <n v="8.0500000000000007"/>
    <m/>
    <x v="50"/>
    <s v="OI"/>
    <s v=""/>
    <x v="228"/>
    <m/>
    <d v="2025-09-21T00:00:00"/>
    <n v="1"/>
    <s v="DOP"/>
    <n v="1"/>
    <n v="6779.66"/>
    <n v="6779.66"/>
    <n v="0"/>
    <n v="6779.66"/>
    <n v="107.61365079365079"/>
    <s v="Mobiliario Oficina"/>
    <m/>
    <m/>
    <m/>
    <m/>
    <s v="MUEBLES OMAR"/>
    <n v="21"/>
    <n v="1"/>
    <n v="6779.66"/>
    <m/>
    <m/>
    <n v="0"/>
    <m/>
    <m/>
    <n v="0"/>
    <m/>
    <m/>
    <n v="0"/>
    <m/>
    <m/>
    <n v="0"/>
    <n v="6779.66"/>
    <m/>
  </r>
  <r>
    <n v="8.0500000000000007"/>
    <m/>
    <x v="50"/>
    <s v="OI"/>
    <s v=""/>
    <x v="229"/>
    <m/>
    <d v="2025-09-21T00:00:00"/>
    <n v="1"/>
    <s v="DOP"/>
    <n v="1"/>
    <n v="878493.7"/>
    <n v="878493.7"/>
    <n v="0"/>
    <n v="878493.7"/>
    <n v="13944.344444444443"/>
    <s v="Mobiliarios de oficina "/>
    <m/>
    <m/>
    <m/>
    <m/>
    <s v="MUEBLES OMAR"/>
    <n v="21"/>
    <n v="1"/>
    <n v="878493.7"/>
    <m/>
    <m/>
    <n v="0"/>
    <m/>
    <m/>
    <n v="0"/>
    <m/>
    <m/>
    <n v="0"/>
    <m/>
    <m/>
    <n v="0"/>
    <n v="878493.7"/>
    <m/>
  </r>
  <r>
    <n v="8.0500000000000007"/>
    <m/>
    <x v="50"/>
    <s v="OI"/>
    <s v=""/>
    <x v="230"/>
    <m/>
    <d v="2025-09-21T00:00:00"/>
    <n v="1"/>
    <s v="DOP"/>
    <n v="1"/>
    <n v="16288"/>
    <n v="16288"/>
    <n v="0"/>
    <n v="16288"/>
    <n v="258.53968253968253"/>
    <s v="Acrilico pared"/>
    <m/>
    <m/>
    <m/>
    <m/>
    <s v="MA CREACIONES "/>
    <n v="21"/>
    <n v="1"/>
    <n v="16288"/>
    <m/>
    <m/>
    <n v="0"/>
    <m/>
    <m/>
    <n v="0"/>
    <m/>
    <m/>
    <n v="0"/>
    <m/>
    <m/>
    <n v="0"/>
    <n v="16288"/>
    <m/>
  </r>
  <r>
    <n v="8.0500000000000007"/>
    <m/>
    <x v="50"/>
    <s v="OI"/>
    <s v=""/>
    <x v="231"/>
    <m/>
    <d v="2025-09-21T00:00:00"/>
    <n v="1"/>
    <s v="DOP"/>
    <n v="1"/>
    <n v="16000"/>
    <n v="16000"/>
    <n v="0"/>
    <n v="16000"/>
    <n v="253.96825396825398"/>
    <s v="Acrilico pared"/>
    <m/>
    <m/>
    <m/>
    <m/>
    <s v="MA CREACIONES "/>
    <n v="21"/>
    <n v="1"/>
    <n v="16000"/>
    <m/>
    <m/>
    <n v="0"/>
    <m/>
    <m/>
    <n v="0"/>
    <m/>
    <m/>
    <n v="0"/>
    <m/>
    <m/>
    <n v="0"/>
    <n v="16000"/>
    <m/>
  </r>
  <r>
    <n v="8.0500000000000007"/>
    <m/>
    <x v="50"/>
    <s v="OI"/>
    <s v=""/>
    <x v="232"/>
    <m/>
    <d v="2025-09-21T00:00:00"/>
    <n v="14"/>
    <s v="DOP"/>
    <n v="1"/>
    <n v="13500"/>
    <n v="189000"/>
    <n v="0"/>
    <n v="189000"/>
    <n v="3000"/>
    <s v="Acrilico pared"/>
    <m/>
    <m/>
    <m/>
    <m/>
    <s v="MA CREACIONES "/>
    <n v="21"/>
    <n v="1"/>
    <n v="189000"/>
    <m/>
    <m/>
    <n v="0"/>
    <m/>
    <m/>
    <n v="0"/>
    <m/>
    <m/>
    <n v="0"/>
    <m/>
    <m/>
    <n v="0"/>
    <n v="189000"/>
    <m/>
  </r>
  <r>
    <n v="8.0500000000000007"/>
    <m/>
    <x v="50"/>
    <s v="OI"/>
    <s v=""/>
    <x v="233"/>
    <m/>
    <d v="2025-09-21T00:00:00"/>
    <n v="1"/>
    <s v="DOP"/>
    <n v="1"/>
    <n v="19049.52"/>
    <n v="19049.52"/>
    <n v="0"/>
    <n v="19049.52"/>
    <n v="302.37333333333333"/>
    <s v="pllancha de vapor "/>
    <m/>
    <m/>
    <m/>
    <m/>
    <s v="IP INDUSTRIAL"/>
    <n v="21"/>
    <n v="1"/>
    <n v="19049.52"/>
    <m/>
    <m/>
    <n v="0"/>
    <m/>
    <m/>
    <n v="0"/>
    <m/>
    <m/>
    <n v="0"/>
    <m/>
    <m/>
    <n v="0"/>
    <n v="19049.52"/>
    <m/>
  </r>
  <r>
    <n v="8.0500000000000007"/>
    <m/>
    <x v="50"/>
    <s v="OI"/>
    <s v=""/>
    <x v="234"/>
    <m/>
    <d v="2025-09-21T00:00:00"/>
    <n v="1"/>
    <s v="DOP"/>
    <n v="1"/>
    <n v="1910000"/>
    <n v="1910000"/>
    <n v="0"/>
    <n v="1910000"/>
    <n v="30317.460317460318"/>
    <s v="Mobiliario serv al cliente "/>
    <s v="El mueble del servicio al cliente tiene un monto mayor, por que se esta considerando el nuevo esquema de landini "/>
    <m/>
    <m/>
    <m/>
    <s v="FAMEJAO"/>
    <n v="15"/>
    <n v="0.5"/>
    <n v="955000"/>
    <n v="22"/>
    <n v="0.5"/>
    <n v="955000"/>
    <m/>
    <m/>
    <n v="0"/>
    <m/>
    <m/>
    <n v="0"/>
    <m/>
    <m/>
    <n v="0"/>
    <n v="1910000"/>
    <m/>
  </r>
  <r>
    <n v="8.0500000000000007"/>
    <m/>
    <x v="50"/>
    <s v="OI"/>
    <s v=""/>
    <x v="235"/>
    <m/>
    <d v="2025-09-21T00:00:00"/>
    <n v="1"/>
    <s v="DOP"/>
    <n v="1"/>
    <n v="37718.239999999998"/>
    <n v="37718.239999999998"/>
    <n v="0"/>
    <n v="37718.239999999998"/>
    <n v="598.70222222222219"/>
    <s v="Mobiliario cuadre y menudo"/>
    <m/>
    <m/>
    <m/>
    <m/>
    <s v="FAMEJAO"/>
    <n v="15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36"/>
    <m/>
    <d v="2025-09-21T00:00:00"/>
    <n v="1"/>
    <s v="DOP"/>
    <n v="1"/>
    <n v="58496.2"/>
    <n v="58496.2"/>
    <n v="0"/>
    <n v="58496.2"/>
    <n v="928.51111111111106"/>
    <s v="Mobiliario cuadre y menudo"/>
    <m/>
    <m/>
    <m/>
    <m/>
    <s v="FAMEJAO"/>
    <n v="15"/>
    <n v="0.5"/>
    <n v="29248.1"/>
    <n v="22"/>
    <n v="0.5"/>
    <n v="29248.1"/>
    <m/>
    <m/>
    <n v="0"/>
    <m/>
    <m/>
    <n v="0"/>
    <m/>
    <m/>
    <n v="0"/>
    <n v="58496.2"/>
    <m/>
  </r>
  <r>
    <n v="8.0500000000000007"/>
    <m/>
    <x v="50"/>
    <s v="OI"/>
    <s v=""/>
    <x v="237"/>
    <m/>
    <d v="2025-09-21T00:00:00"/>
    <n v="1"/>
    <s v="DOP"/>
    <n v="1"/>
    <n v="68208"/>
    <n v="68208"/>
    <n v="0"/>
    <n v="68208"/>
    <n v="1082.6666666666667"/>
    <s v="Mobiliario cuadre y menudo"/>
    <m/>
    <m/>
    <m/>
    <m/>
    <s v="FAMEJAO"/>
    <n v="15"/>
    <n v="0.5"/>
    <n v="34104"/>
    <n v="22"/>
    <n v="0.5"/>
    <n v="34104"/>
    <m/>
    <m/>
    <n v="0"/>
    <m/>
    <m/>
    <n v="0"/>
    <m/>
    <m/>
    <n v="0"/>
    <n v="68208"/>
    <m/>
  </r>
  <r>
    <n v="8.0500000000000007"/>
    <m/>
    <x v="50"/>
    <s v="OI"/>
    <s v=""/>
    <x v="238"/>
    <m/>
    <d v="2025-09-21T00:00:00"/>
    <n v="1"/>
    <s v="DOP"/>
    <n v="1"/>
    <n v="74970"/>
    <n v="74970"/>
    <n v="0"/>
    <n v="74970"/>
    <n v="1190"/>
    <s v="Mobiliario cuadre y menudo"/>
    <m/>
    <m/>
    <m/>
    <m/>
    <s v="FAMEJAO"/>
    <n v="15"/>
    <n v="0.5"/>
    <n v="37485"/>
    <n v="22"/>
    <n v="0.5"/>
    <n v="37485"/>
    <m/>
    <m/>
    <n v="0"/>
    <m/>
    <m/>
    <n v="0"/>
    <m/>
    <m/>
    <n v="0"/>
    <n v="74970"/>
    <m/>
  </r>
  <r>
    <n v="8.0500000000000007"/>
    <m/>
    <x v="50"/>
    <s v="OI"/>
    <s v=""/>
    <x v="239"/>
    <m/>
    <d v="2025-09-21T00:00:00"/>
    <n v="1"/>
    <s v="DOP"/>
    <n v="1"/>
    <n v="37718.239999999998"/>
    <n v="37718.239999999998"/>
    <n v="0"/>
    <n v="37718.239999999998"/>
    <n v="598.70222222222219"/>
    <s v="Mobiliario cuadre y menudo"/>
    <m/>
    <m/>
    <m/>
    <m/>
    <s v="FAMEJAO"/>
    <n v="15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40"/>
    <m/>
    <d v="2025-09-21T00:00:00"/>
    <n v="1"/>
    <s v="DOP"/>
    <n v="1"/>
    <n v="37718.239999999998"/>
    <n v="37718.239999999998"/>
    <n v="0"/>
    <n v="37718.239999999998"/>
    <n v="598.70222222222219"/>
    <s v="Mobiliario cuadre y menudo"/>
    <m/>
    <m/>
    <m/>
    <m/>
    <s v="FAMEJAO"/>
    <n v="15"/>
    <n v="0.5"/>
    <n v="18859.12"/>
    <n v="22"/>
    <n v="0.5"/>
    <n v="18859.12"/>
    <m/>
    <m/>
    <n v="0"/>
    <m/>
    <m/>
    <n v="0"/>
    <m/>
    <m/>
    <n v="0"/>
    <n v="37718.239999999998"/>
    <m/>
  </r>
  <r>
    <n v="8.0500000000000007"/>
    <m/>
    <x v="50"/>
    <s v="OI"/>
    <s v=""/>
    <x v="241"/>
    <m/>
    <d v="2025-09-21T00:00:00"/>
    <n v="1"/>
    <s v="DOP"/>
    <n v="1"/>
    <n v="33891.339999999997"/>
    <n v="33891.339999999997"/>
    <n v="0"/>
    <n v="33891.339999999997"/>
    <n v="537.95777777777778"/>
    <s v="Mobiliario cuadre y menudo"/>
    <m/>
    <m/>
    <m/>
    <m/>
    <s v="FAMEJAO"/>
    <n v="15"/>
    <n v="0.5"/>
    <n v="16945.669999999998"/>
    <n v="22"/>
    <n v="0.5"/>
    <n v="16945.669999999998"/>
    <m/>
    <m/>
    <n v="0"/>
    <m/>
    <m/>
    <n v="0"/>
    <m/>
    <m/>
    <n v="0"/>
    <n v="33891.339999999997"/>
    <m/>
  </r>
  <r>
    <n v="8.0500000000000007"/>
    <m/>
    <x v="50"/>
    <s v="OI"/>
    <s v=""/>
    <x v="242"/>
    <m/>
    <d v="2025-09-21T00:00:00"/>
    <n v="1"/>
    <s v="DOP"/>
    <n v="1"/>
    <n v="44345"/>
    <n v="44345"/>
    <n v="0"/>
    <n v="44345"/>
    <n v="703.88888888888891"/>
    <s v="Mobiliario cuadre y menudo"/>
    <m/>
    <m/>
    <m/>
    <m/>
    <s v="FAMEJAO"/>
    <n v="15"/>
    <n v="0.5"/>
    <n v="22172.5"/>
    <n v="22"/>
    <n v="0.5"/>
    <n v="22172.5"/>
    <m/>
    <m/>
    <n v="0"/>
    <m/>
    <m/>
    <n v="0"/>
    <m/>
    <m/>
    <n v="0"/>
    <n v="44345"/>
    <m/>
  </r>
  <r>
    <n v="8.0500000000000007"/>
    <m/>
    <x v="50"/>
    <s v="OI"/>
    <s v=""/>
    <x v="243"/>
    <m/>
    <d v="2025-09-21T00:00:00"/>
    <n v="1"/>
    <s v="DOP"/>
    <n v="1"/>
    <n v="42630"/>
    <n v="42630"/>
    <n v="0"/>
    <n v="42630"/>
    <n v="676.66666666666663"/>
    <s v="Mobiliario cuadre y menudo"/>
    <m/>
    <m/>
    <m/>
    <m/>
    <s v="FAMEJAO"/>
    <n v="15"/>
    <n v="0.5"/>
    <n v="21315"/>
    <n v="22"/>
    <n v="0.5"/>
    <n v="21315"/>
    <m/>
    <m/>
    <n v="0"/>
    <m/>
    <m/>
    <n v="0"/>
    <m/>
    <m/>
    <n v="0"/>
    <n v="42630"/>
    <m/>
  </r>
  <r>
    <n v="8.0500000000000007"/>
    <m/>
    <x v="50"/>
    <s v="OI"/>
    <s v=""/>
    <x v="244"/>
    <m/>
    <d v="2025-09-21T00:00:00"/>
    <n v="1"/>
    <s v="DOP"/>
    <n v="1"/>
    <n v="3000"/>
    <n v="3000"/>
    <n v="0"/>
    <n v="3000"/>
    <n v="47.61904761904762"/>
    <s v="Mobiliario cuadre y menudo"/>
    <m/>
    <m/>
    <m/>
    <m/>
    <s v="FAMEJAO"/>
    <n v="15"/>
    <n v="0.5"/>
    <n v="1500"/>
    <n v="22"/>
    <n v="0.5"/>
    <n v="1500"/>
    <m/>
    <m/>
    <n v="0"/>
    <m/>
    <m/>
    <n v="0"/>
    <m/>
    <m/>
    <n v="0"/>
    <n v="3000"/>
    <m/>
  </r>
  <r>
    <n v="8.0500000000000007"/>
    <m/>
    <x v="50"/>
    <s v="OI"/>
    <s v=""/>
    <x v="245"/>
    <m/>
    <d v="2025-09-21T00:00:00"/>
    <n v="11"/>
    <s v="DOP"/>
    <n v="1"/>
    <n v="8785.6"/>
    <n v="96641.600000000006"/>
    <n v="0"/>
    <n v="96641.600000000006"/>
    <n v="1533.9936507936509"/>
    <s v="Mobiliario serv al cliente "/>
    <m/>
    <m/>
    <m/>
    <m/>
    <s v="FAMEJAO"/>
    <n v="15"/>
    <n v="0.5"/>
    <n v="48320.800000000003"/>
    <n v="22"/>
    <n v="0.5"/>
    <n v="48320.800000000003"/>
    <m/>
    <m/>
    <n v="0"/>
    <m/>
    <m/>
    <n v="0"/>
    <m/>
    <m/>
    <n v="0"/>
    <n v="96641.600000000006"/>
    <m/>
  </r>
  <r>
    <n v="8.0500000000000007"/>
    <m/>
    <x v="50"/>
    <s v="OI"/>
    <s v=""/>
    <x v="246"/>
    <m/>
    <d v="2025-09-21T00:00:00"/>
    <n v="1"/>
    <s v="DOP"/>
    <n v="1"/>
    <n v="9893.11"/>
    <n v="9893.11"/>
    <n v="0"/>
    <n v="9893.11"/>
    <n v="157.03349206349208"/>
    <s v="Mobiliario cuadre y menudo"/>
    <m/>
    <m/>
    <m/>
    <m/>
    <s v="FAMEJAO"/>
    <n v="15"/>
    <n v="0.5"/>
    <n v="4946.5550000000003"/>
    <n v="22"/>
    <n v="0.5"/>
    <n v="4946.5550000000003"/>
    <m/>
    <m/>
    <n v="0"/>
    <m/>
    <m/>
    <n v="0"/>
    <m/>
    <m/>
    <n v="0"/>
    <n v="9893.11"/>
    <m/>
  </r>
  <r>
    <n v="8.0500000000000007"/>
    <m/>
    <x v="50"/>
    <s v="OI"/>
    <s v=""/>
    <x v="247"/>
    <m/>
    <d v="2025-09-21T00:00:00"/>
    <n v="1"/>
    <s v="DOP"/>
    <n v="1"/>
    <n v="41538.28"/>
    <n v="41538.28"/>
    <n v="0"/>
    <n v="41538.28"/>
    <n v="659.33777777777777"/>
    <s v="Mobiliario cuadre y menudo"/>
    <m/>
    <m/>
    <m/>
    <m/>
    <s v="FAMEJAO"/>
    <n v="15"/>
    <n v="0.5"/>
    <n v="20769.14"/>
    <n v="22"/>
    <n v="0.5"/>
    <n v="20769.14"/>
    <m/>
    <m/>
    <n v="0"/>
    <m/>
    <m/>
    <n v="0"/>
    <m/>
    <m/>
    <n v="0"/>
    <n v="41538.28"/>
    <m/>
  </r>
  <r>
    <n v="8.0500000000000007"/>
    <m/>
    <x v="50"/>
    <s v="OI"/>
    <s v=""/>
    <x v="248"/>
    <m/>
    <d v="2025-09-21T00:00:00"/>
    <n v="1"/>
    <s v="DOP"/>
    <n v="1"/>
    <n v="71010.8"/>
    <n v="71010.8"/>
    <n v="0"/>
    <n v="71010.8"/>
    <n v="1127.1555555555556"/>
    <s v="Mobiliario cuadre y menudo"/>
    <m/>
    <m/>
    <m/>
    <m/>
    <s v="FAMEJAO"/>
    <n v="15"/>
    <n v="0.5"/>
    <n v="35505.4"/>
    <n v="22"/>
    <n v="0.5"/>
    <n v="35505.4"/>
    <m/>
    <m/>
    <n v="0"/>
    <m/>
    <m/>
    <n v="0"/>
    <m/>
    <m/>
    <n v="0"/>
    <n v="71010.8"/>
    <m/>
  </r>
  <r>
    <n v="8.0500000000000007"/>
    <m/>
    <x v="50"/>
    <s v="OI"/>
    <s v=""/>
    <x v="231"/>
    <m/>
    <d v="2025-09-21T00:00:00"/>
    <n v="1"/>
    <s v="DOP"/>
    <n v="1"/>
    <n v="32800"/>
    <n v="32800"/>
    <n v="0"/>
    <n v="32800"/>
    <n v="520.6349206349206"/>
    <m/>
    <m/>
    <m/>
    <m/>
    <m/>
    <s v="FAMEJAO"/>
    <n v="15"/>
    <n v="0.5"/>
    <n v="16400"/>
    <n v="22"/>
    <n v="0.5"/>
    <n v="16400"/>
    <m/>
    <m/>
    <n v="0"/>
    <m/>
    <m/>
    <n v="0"/>
    <m/>
    <m/>
    <n v="0"/>
    <n v="32800"/>
    <m/>
  </r>
  <r>
    <n v="8.0500000000000007"/>
    <m/>
    <x v="50"/>
    <s v="OI"/>
    <s v=""/>
    <x v="249"/>
    <m/>
    <d v="2025-09-21T00:00:00"/>
    <n v="1"/>
    <s v="DOP"/>
    <n v="1"/>
    <n v="87000.05"/>
    <n v="87000.05"/>
    <n v="0"/>
    <n v="87000.05"/>
    <n v="1380.9531746031746"/>
    <m/>
    <m/>
    <m/>
    <m/>
    <m/>
    <s v="FAMEJAO"/>
    <n v="15"/>
    <n v="0.5"/>
    <n v="43500.025000000001"/>
    <n v="22"/>
    <n v="0.5"/>
    <n v="43500.025000000001"/>
    <m/>
    <m/>
    <n v="0"/>
    <m/>
    <m/>
    <n v="0"/>
    <m/>
    <m/>
    <n v="0"/>
    <n v="87000.05"/>
    <m/>
  </r>
  <r>
    <n v="8.0500000000000007"/>
    <m/>
    <x v="50"/>
    <s v="OI"/>
    <s v=""/>
    <x v="250"/>
    <m/>
    <d v="2025-09-21T00:00:00"/>
    <n v="1"/>
    <s v="DOP"/>
    <n v="1"/>
    <n v="36260"/>
    <n v="36260"/>
    <n v="0"/>
    <n v="36260"/>
    <n v="575.55555555555554"/>
    <s v="Banco vestidores"/>
    <m/>
    <m/>
    <m/>
    <m/>
    <s v="FAMEJAO"/>
    <n v="15"/>
    <n v="0.5"/>
    <n v="18130"/>
    <n v="22"/>
    <n v="0.5"/>
    <n v="18130"/>
    <m/>
    <m/>
    <n v="0"/>
    <m/>
    <m/>
    <n v="0"/>
    <m/>
    <m/>
    <n v="0"/>
    <n v="36260"/>
    <m/>
  </r>
  <r>
    <n v="8.0500000000000007"/>
    <m/>
    <x v="50"/>
    <s v="OI"/>
    <s v=""/>
    <x v="251"/>
    <m/>
    <d v="2025-09-21T00:00:00"/>
    <n v="4"/>
    <s v="DOP"/>
    <n v="1"/>
    <n v="16356.2"/>
    <n v="65424.800000000003"/>
    <n v="0"/>
    <n v="65424.800000000003"/>
    <n v="1038.4888888888888"/>
    <s v="Banco vestidores"/>
    <m/>
    <m/>
    <m/>
    <m/>
    <s v="FAMEJAO"/>
    <n v="15"/>
    <n v="0.5"/>
    <n v="32712.400000000001"/>
    <n v="22"/>
    <n v="0.5"/>
    <n v="32712.400000000001"/>
    <m/>
    <m/>
    <n v="0"/>
    <m/>
    <m/>
    <n v="0"/>
    <m/>
    <m/>
    <n v="0"/>
    <n v="65424.800000000003"/>
    <m/>
  </r>
  <r>
    <n v="8.0500000000000007"/>
    <m/>
    <x v="50"/>
    <s v="OI"/>
    <s v=""/>
    <x v="252"/>
    <m/>
    <d v="2025-09-21T00:00:00"/>
    <n v="1"/>
    <s v="DOP"/>
    <n v="1"/>
    <n v="34300"/>
    <n v="34300"/>
    <n v="0"/>
    <n v="34300"/>
    <n v="544.44444444444446"/>
    <s v="Mes colaboradores"/>
    <m/>
    <m/>
    <m/>
    <m/>
    <s v="FAMEJAO"/>
    <n v="15"/>
    <n v="0.5"/>
    <n v="17150"/>
    <n v="22"/>
    <n v="0.5"/>
    <n v="17150"/>
    <m/>
    <m/>
    <n v="0"/>
    <m/>
    <m/>
    <n v="0"/>
    <m/>
    <m/>
    <n v="0"/>
    <n v="34300"/>
    <m/>
  </r>
  <r>
    <n v="8.0500000000000007"/>
    <m/>
    <x v="50"/>
    <s v="OI"/>
    <s v=""/>
    <x v="253"/>
    <m/>
    <d v="2025-09-21T00:00:00"/>
    <n v="4"/>
    <s v="DOP"/>
    <n v="1"/>
    <n v="61250"/>
    <n v="245000"/>
    <n v="0"/>
    <n v="245000"/>
    <n v="3888.8888888888887"/>
    <s v="Mesa de Colaboradores"/>
    <m/>
    <m/>
    <m/>
    <m/>
    <s v="FAMEJAO"/>
    <n v="15"/>
    <n v="0.5"/>
    <n v="122500"/>
    <n v="22"/>
    <n v="0.5"/>
    <n v="122500"/>
    <m/>
    <m/>
    <n v="0"/>
    <m/>
    <m/>
    <n v="0"/>
    <m/>
    <m/>
    <n v="0"/>
    <n v="245000"/>
    <m/>
  </r>
  <r>
    <n v="8.0500000000000007"/>
    <m/>
    <x v="50"/>
    <s v="OI"/>
    <s v=""/>
    <x v="254"/>
    <m/>
    <d v="2025-09-21T00:00:00"/>
    <n v="5"/>
    <s v="DOP"/>
    <n v="1"/>
    <n v="69597.457999999999"/>
    <n v="347987.29"/>
    <n v="0"/>
    <n v="347987.29"/>
    <n v="5523.6077777777773"/>
    <s v="Purificador de agua "/>
    <m/>
    <m/>
    <m/>
    <m/>
    <s v="ESD CORPORATION SRL"/>
    <n v="21"/>
    <n v="1"/>
    <n v="347987.29"/>
    <m/>
    <m/>
    <n v="0"/>
    <m/>
    <m/>
    <n v="0"/>
    <m/>
    <m/>
    <n v="0"/>
    <m/>
    <m/>
    <n v="0"/>
    <n v="347987.29"/>
    <m/>
  </r>
  <r>
    <n v="8.0500000000000007"/>
    <m/>
    <x v="50"/>
    <s v="OI"/>
    <s v=""/>
    <x v="255"/>
    <m/>
    <d v="2025-09-21T00:00:00"/>
    <n v="60"/>
    <s v="DOP"/>
    <n v="1"/>
    <n v="1517.7958333333333"/>
    <n v="91067.75"/>
    <n v="0"/>
    <n v="91067.75"/>
    <n v="1445.5198412698412"/>
    <s v="Purificador de agua "/>
    <s v="Se esta incluyendo la menbresia de los 5 purificadores "/>
    <m/>
    <m/>
    <m/>
    <s v="ESD CORPORATION SRL"/>
    <n v="21"/>
    <n v="1"/>
    <n v="91067.75"/>
    <m/>
    <m/>
    <n v="0"/>
    <m/>
    <m/>
    <n v="0"/>
    <m/>
    <m/>
    <n v="0"/>
    <m/>
    <m/>
    <n v="0"/>
    <n v="91067.75"/>
    <m/>
  </r>
  <r>
    <n v="8.0500000000000007"/>
    <m/>
    <x v="50"/>
    <s v="OI"/>
    <s v=""/>
    <x v="256"/>
    <m/>
    <d v="2025-09-21T00:00:00"/>
    <n v="4"/>
    <s v="DOP"/>
    <n v="1"/>
    <n v="135500"/>
    <n v="542000"/>
    <n v="0"/>
    <n v="542000"/>
    <n v="8603.1746031746025"/>
    <s v="Lockers clientes "/>
    <s v="MUEBLE LOCKER 9/15/3 PUERTAS FENOLICO C/CERRADURA ELECTRONICA"/>
    <m/>
    <m/>
    <m/>
    <m/>
    <n v="15"/>
    <n v="0.5"/>
    <n v="271000"/>
    <n v="16"/>
    <n v="0.5"/>
    <n v="271000"/>
    <m/>
    <m/>
    <n v="0"/>
    <m/>
    <m/>
    <n v="0"/>
    <m/>
    <m/>
    <n v="0"/>
    <n v="542000"/>
    <m/>
  </r>
  <r>
    <n v="8.0500000000000007"/>
    <m/>
    <x v="50"/>
    <s v="OI"/>
    <s v=""/>
    <x v="257"/>
    <m/>
    <d v="2025-09-21T00:00:00"/>
    <n v="2"/>
    <s v="DOP"/>
    <n v="1"/>
    <n v="121011.5"/>
    <n v="242023"/>
    <n v="0"/>
    <n v="242023"/>
    <n v="3841.6349206349205"/>
    <s v="Mima"/>
    <m/>
    <m/>
    <m/>
    <m/>
    <m/>
    <n v="21"/>
    <n v="1"/>
    <n v="242023"/>
    <m/>
    <m/>
    <n v="0"/>
    <m/>
    <m/>
    <n v="0"/>
    <m/>
    <m/>
    <n v="0"/>
    <m/>
    <m/>
    <n v="0"/>
    <n v="242023"/>
    <m/>
  </r>
  <r>
    <n v="8.0500000000000007"/>
    <m/>
    <x v="50"/>
    <s v="OI"/>
    <s v=""/>
    <x v="258"/>
    <m/>
    <d v="2025-09-21T00:00:00"/>
    <n v="2"/>
    <s v="DOP"/>
    <n v="1"/>
    <n v="3069.56"/>
    <n v="6139.12"/>
    <n v="0"/>
    <n v="6139.12"/>
    <n v="97.446349206349211"/>
    <s v="Mima"/>
    <s v="Mima colaborador y cliente "/>
    <m/>
    <m/>
    <m/>
    <m/>
    <n v="21"/>
    <n v="1"/>
    <n v="6139.12"/>
    <m/>
    <m/>
    <n v="0"/>
    <m/>
    <m/>
    <n v="0"/>
    <m/>
    <m/>
    <n v="0"/>
    <m/>
    <m/>
    <n v="0"/>
    <n v="6139.12"/>
    <m/>
  </r>
  <r>
    <n v="8.06"/>
    <s v="*"/>
    <x v="51"/>
    <s v="*"/>
    <n v="44550.663258785949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6"/>
    <m/>
    <x v="51"/>
    <s v="OI"/>
    <s v=""/>
    <x v="259"/>
    <m/>
    <d v="2025-09-21T00:00:00"/>
    <n v="5"/>
    <s v="DOP"/>
    <n v="1"/>
    <n v="21271.19"/>
    <n v="106355.95"/>
    <n v="0"/>
    <n v="106355.95"/>
    <n v="1688.1896825396825"/>
    <s v="Rack textil "/>
    <m/>
    <m/>
    <m/>
    <m/>
    <m/>
    <n v="15"/>
    <n v="0.6"/>
    <n v="63813.569999999992"/>
    <n v="22"/>
    <n v="0.4"/>
    <n v="42542.380000000005"/>
    <m/>
    <m/>
    <n v="0"/>
    <m/>
    <m/>
    <n v="0"/>
    <m/>
    <m/>
    <n v="0"/>
    <n v="106355.95"/>
    <m/>
  </r>
  <r>
    <n v="8.06"/>
    <m/>
    <x v="51"/>
    <s v="OI"/>
    <s v=""/>
    <x v="260"/>
    <m/>
    <d v="2025-09-21T00:00:00"/>
    <n v="0"/>
    <s v="DOP"/>
    <n v="1"/>
    <n v="15967.980000000001"/>
    <n v="0"/>
    <n v="0"/>
    <n v="0"/>
    <n v="0"/>
    <s v="Rack textil "/>
    <m/>
    <m/>
    <m/>
    <m/>
    <m/>
    <m/>
    <m/>
    <n v="0"/>
    <n v="15"/>
    <n v="0.4"/>
    <n v="0"/>
    <m/>
    <m/>
    <n v="0"/>
    <m/>
    <m/>
    <n v="0"/>
    <m/>
    <m/>
    <n v="0"/>
    <n v="0"/>
    <m/>
  </r>
  <r>
    <n v="8.06"/>
    <m/>
    <x v="51"/>
    <s v="OI"/>
    <s v=""/>
    <x v="261"/>
    <m/>
    <d v="2025-09-21T00:00:00"/>
    <n v="1"/>
    <s v="DOP"/>
    <n v="1"/>
    <n v="41101.69"/>
    <n v="41101.69"/>
    <n v="0"/>
    <n v="41101.69"/>
    <n v="652.40777777777782"/>
    <s v="Mesas nido "/>
    <m/>
    <m/>
    <m/>
    <m/>
    <s v="FAMEJAO"/>
    <n v="15"/>
    <n v="0.5"/>
    <n v="20550.845000000001"/>
    <n v="22"/>
    <n v="0.5"/>
    <n v="20550.845000000001"/>
    <m/>
    <m/>
    <n v="0"/>
    <m/>
    <m/>
    <n v="0"/>
    <m/>
    <m/>
    <n v="0"/>
    <n v="41101.69"/>
    <m/>
  </r>
  <r>
    <n v="8.06"/>
    <m/>
    <x v="51"/>
    <s v="OI"/>
    <s v=""/>
    <x v="262"/>
    <m/>
    <d v="2025-09-21T00:00:00"/>
    <n v="4"/>
    <s v="DOP"/>
    <n v="1"/>
    <n v="4237.29"/>
    <n v="16949.16"/>
    <n v="0"/>
    <n v="16949.16"/>
    <n v="269.03428571428572"/>
    <s v="Maniqui"/>
    <m/>
    <m/>
    <m/>
    <m/>
    <s v="DISPLAY INTERNATIONAL"/>
    <n v="12"/>
    <n v="0.5"/>
    <n v="8474.58"/>
    <n v="22"/>
    <n v="0.5"/>
    <n v="8474.58"/>
    <m/>
    <m/>
    <n v="0"/>
    <m/>
    <m/>
    <n v="0"/>
    <m/>
    <m/>
    <n v="0"/>
    <n v="16949.16"/>
    <m/>
  </r>
  <r>
    <n v="8.06"/>
    <m/>
    <x v="51"/>
    <s v="OI"/>
    <s v=""/>
    <x v="263"/>
    <m/>
    <d v="2025-09-21T00:00:00"/>
    <n v="2"/>
    <s v="DOP"/>
    <n v="1"/>
    <n v="11822.03"/>
    <n v="23644.06"/>
    <n v="0"/>
    <n v="23644.06"/>
    <n v="375.3025396825397"/>
    <s v="Maniqui"/>
    <m/>
    <m/>
    <m/>
    <m/>
    <s v="DISPLAY INTERNATIONAL"/>
    <n v="12"/>
    <n v="0.5"/>
    <n v="11822.03"/>
    <n v="22"/>
    <n v="0.5"/>
    <n v="11822.03"/>
    <m/>
    <m/>
    <n v="0"/>
    <m/>
    <m/>
    <n v="0"/>
    <m/>
    <m/>
    <n v="0"/>
    <n v="23644.06"/>
    <m/>
  </r>
  <r>
    <n v="8.06"/>
    <m/>
    <x v="51"/>
    <s v="OI"/>
    <s v=""/>
    <x v="264"/>
    <m/>
    <d v="2025-09-21T00:00:00"/>
    <n v="1"/>
    <s v="DOP"/>
    <n v="1"/>
    <n v="16398.310000000001"/>
    <n v="16398.310000000001"/>
    <n v="0"/>
    <n v="16398.310000000001"/>
    <n v="260.29063492063494"/>
    <s v="Maniqui"/>
    <m/>
    <m/>
    <m/>
    <m/>
    <s v="DISPLAY INTERNATIONAL"/>
    <n v="12"/>
    <n v="0.5"/>
    <n v="8199.1550000000007"/>
    <n v="22"/>
    <n v="0.5"/>
    <n v="8199.1550000000007"/>
    <m/>
    <m/>
    <n v="0"/>
    <m/>
    <m/>
    <n v="0"/>
    <m/>
    <m/>
    <n v="0"/>
    <n v="16398.310000000001"/>
    <m/>
  </r>
  <r>
    <n v="8.06"/>
    <m/>
    <x v="51"/>
    <s v="OI"/>
    <s v=""/>
    <x v="265"/>
    <m/>
    <d v="2025-09-21T00:00:00"/>
    <n v="2"/>
    <s v="DOP"/>
    <n v="1"/>
    <n v="4728.8149999999996"/>
    <n v="9457.6299999999992"/>
    <n v="0"/>
    <n v="9457.6299999999992"/>
    <n v="150.12111111111111"/>
    <s v="Maniqui"/>
    <m/>
    <m/>
    <m/>
    <m/>
    <s v="DISPLAY INTERNATIONAL"/>
    <n v="12"/>
    <n v="0.5"/>
    <n v="4728.8149999999996"/>
    <n v="22"/>
    <n v="0.5"/>
    <n v="4728.8149999999996"/>
    <m/>
    <m/>
    <n v="0"/>
    <m/>
    <m/>
    <n v="0"/>
    <m/>
    <m/>
    <n v="0"/>
    <n v="9457.6299999999992"/>
    <m/>
  </r>
  <r>
    <n v="8.06"/>
    <m/>
    <x v="51"/>
    <s v="OI"/>
    <s v=""/>
    <x v="266"/>
    <m/>
    <d v="2025-09-21T00:00:00"/>
    <n v="3"/>
    <s v="DOP"/>
    <n v="1"/>
    <n v="11822.029999999999"/>
    <n v="35466.089999999997"/>
    <n v="0"/>
    <n v="35466.089999999997"/>
    <n v="562.95380952380947"/>
    <s v="Maniqui"/>
    <m/>
    <m/>
    <m/>
    <m/>
    <s v="DISPLAY INTERNATIONAL"/>
    <n v="12"/>
    <n v="0.5"/>
    <n v="17733.044999999998"/>
    <n v="22"/>
    <n v="0.5"/>
    <n v="17733.044999999998"/>
    <m/>
    <m/>
    <n v="0"/>
    <m/>
    <m/>
    <n v="0"/>
    <m/>
    <m/>
    <n v="0"/>
    <n v="35466.089999999997"/>
    <m/>
  </r>
  <r>
    <n v="8.06"/>
    <m/>
    <x v="51"/>
    <s v="OI"/>
    <s v=""/>
    <x v="267"/>
    <m/>
    <d v="2025-09-21T00:00:00"/>
    <n v="2"/>
    <s v="DOP"/>
    <n v="1"/>
    <n v="4728.8149999999996"/>
    <n v="9457.6299999999992"/>
    <n v="0"/>
    <n v="9457.6299999999992"/>
    <n v="150.12111111111111"/>
    <s v="Maniqui"/>
    <m/>
    <m/>
    <m/>
    <m/>
    <s v="DISPLAY INTERNATIONAL"/>
    <n v="12"/>
    <n v="0.5"/>
    <n v="4728.8149999999996"/>
    <n v="22"/>
    <n v="0.5"/>
    <n v="4728.8149999999996"/>
    <m/>
    <m/>
    <n v="0"/>
    <m/>
    <m/>
    <n v="0"/>
    <m/>
    <m/>
    <n v="0"/>
    <n v="9457.6299999999992"/>
    <m/>
  </r>
  <r>
    <n v="8.06"/>
    <m/>
    <x v="51"/>
    <s v="OI"/>
    <s v=""/>
    <x v="268"/>
    <m/>
    <d v="2025-09-21T00:00:00"/>
    <n v="1"/>
    <s v="DOP"/>
    <n v="1"/>
    <n v="9279.66"/>
    <n v="9279.66"/>
    <n v="0"/>
    <n v="9279.66"/>
    <n v="147.29619047619047"/>
    <s v="Maniqui"/>
    <m/>
    <m/>
    <m/>
    <m/>
    <s v="DISPLAY INTERNATIONAL"/>
    <n v="12"/>
    <n v="0.5"/>
    <n v="4639.83"/>
    <n v="22"/>
    <n v="0.5"/>
    <n v="4639.83"/>
    <m/>
    <m/>
    <n v="0"/>
    <m/>
    <m/>
    <n v="0"/>
    <m/>
    <m/>
    <n v="0"/>
    <n v="9279.66"/>
    <m/>
  </r>
  <r>
    <n v="8.06"/>
    <m/>
    <x v="51"/>
    <s v="OI"/>
    <s v=""/>
    <x v="269"/>
    <m/>
    <d v="2025-09-21T00:00:00"/>
    <n v="1"/>
    <s v="DOP"/>
    <n v="1"/>
    <n v="8940.68"/>
    <n v="8940.68"/>
    <n v="0"/>
    <n v="8940.68"/>
    <n v="141.91555555555556"/>
    <s v="Maniqui"/>
    <m/>
    <m/>
    <m/>
    <m/>
    <s v="DISPLAY INTERNATIONAL"/>
    <n v="12"/>
    <n v="0.5"/>
    <n v="4470.34"/>
    <n v="22"/>
    <n v="0.5"/>
    <n v="4470.34"/>
    <m/>
    <m/>
    <n v="0"/>
    <m/>
    <m/>
    <n v="0"/>
    <m/>
    <m/>
    <n v="0"/>
    <n v="8940.68"/>
    <m/>
  </r>
  <r>
    <n v="8.06"/>
    <m/>
    <x v="51"/>
    <s v="OI"/>
    <s v=""/>
    <x v="262"/>
    <m/>
    <d v="2025-09-21T00:00:00"/>
    <n v="6"/>
    <s v="DOP"/>
    <n v="1"/>
    <n v="4237.29"/>
    <n v="25423.739999999998"/>
    <n v="0"/>
    <n v="25423.739999999998"/>
    <n v="403.55142857142852"/>
    <s v="Maniqui"/>
    <m/>
    <m/>
    <m/>
    <m/>
    <s v="DISPLAY INTERNATIONAL"/>
    <n v="12"/>
    <n v="0.5"/>
    <n v="12711.869999999999"/>
    <n v="22"/>
    <n v="0.5"/>
    <n v="12711.869999999999"/>
    <m/>
    <m/>
    <n v="0"/>
    <m/>
    <m/>
    <n v="0"/>
    <m/>
    <m/>
    <n v="0"/>
    <n v="25423.739999999998"/>
    <m/>
  </r>
  <r>
    <n v="8.06"/>
    <m/>
    <x v="51"/>
    <s v="OI"/>
    <s v=""/>
    <x v="79"/>
    <m/>
    <d v="2025-09-21T00:00:00"/>
    <n v="6"/>
    <s v="DOP"/>
    <n v="1"/>
    <n v="12000"/>
    <n v="72000"/>
    <n v="0"/>
    <n v="72000"/>
    <n v="1142.8571428571429"/>
    <s v="Tramerias sirena Go"/>
    <m/>
    <m/>
    <m/>
    <m/>
    <s v="UTECO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70"/>
    <m/>
    <d v="2025-09-21T00:00:00"/>
    <n v="1"/>
    <s v="DOP"/>
    <n v="1"/>
    <n v="81947.600000000006"/>
    <n v="81947.600000000006"/>
    <n v="0"/>
    <n v="81947.600000000006"/>
    <n v="1300.7555555555557"/>
    <s v="Caunter vestidores "/>
    <m/>
    <m/>
    <m/>
    <m/>
    <s v="FAMEJAO"/>
    <n v="15"/>
    <n v="0.5"/>
    <n v="40973.800000000003"/>
    <n v="22"/>
    <n v="0.5"/>
    <n v="40973.800000000003"/>
    <m/>
    <m/>
    <n v="0"/>
    <m/>
    <m/>
    <n v="0"/>
    <m/>
    <m/>
    <n v="0"/>
    <n v="81947.600000000006"/>
    <m/>
  </r>
  <r>
    <n v="8.06"/>
    <m/>
    <x v="51"/>
    <s v="OI"/>
    <s v=""/>
    <x v="271"/>
    <m/>
    <d v="2025-09-21T00:00:00"/>
    <n v="1"/>
    <s v="DOP"/>
    <n v="1"/>
    <n v="35857.22"/>
    <n v="35857.22"/>
    <n v="0"/>
    <n v="35857.22"/>
    <n v="569.16222222222223"/>
    <s v="Mobiliario Oficina"/>
    <m/>
    <m/>
    <m/>
    <m/>
    <s v="FAMEJAO"/>
    <n v="15"/>
    <n v="0.5"/>
    <n v="17928.61"/>
    <n v="22"/>
    <n v="0.5"/>
    <n v="17928.61"/>
    <m/>
    <m/>
    <n v="0"/>
    <m/>
    <m/>
    <n v="0"/>
    <m/>
    <m/>
    <n v="0"/>
    <n v="35857.22"/>
    <m/>
  </r>
  <r>
    <n v="8.06"/>
    <m/>
    <x v="51"/>
    <s v="OI"/>
    <s v=""/>
    <x v="272"/>
    <m/>
    <d v="2025-09-21T00:00:00"/>
    <n v="1"/>
    <s v="DOP"/>
    <n v="1"/>
    <n v="47871"/>
    <n v="47871"/>
    <n v="0"/>
    <n v="47871"/>
    <n v="759.85714285714289"/>
    <s v="checkouts Caunter"/>
    <m/>
    <m/>
    <m/>
    <m/>
    <m/>
    <n v="21"/>
    <n v="1"/>
    <n v="47871"/>
    <m/>
    <m/>
    <n v="0"/>
    <m/>
    <m/>
    <n v="0"/>
    <m/>
    <m/>
    <n v="0"/>
    <m/>
    <m/>
    <n v="0"/>
    <n v="47871"/>
    <m/>
  </r>
  <r>
    <n v="8.06"/>
    <m/>
    <x v="51"/>
    <s v="OI"/>
    <s v=""/>
    <x v="273"/>
    <m/>
    <d v="2025-09-21T00:00:00"/>
    <n v="12"/>
    <s v="DOP"/>
    <n v="1"/>
    <n v="0"/>
    <n v="0"/>
    <n v="0"/>
    <n v="0"/>
    <n v="0"/>
    <s v="Portico de Caja "/>
    <s v="Ya no aplican "/>
    <m/>
    <m/>
    <m/>
    <s v="MILGRID"/>
    <n v="15"/>
    <n v="0.5"/>
    <n v="0"/>
    <n v="22"/>
    <n v="0.5"/>
    <n v="0"/>
    <m/>
    <m/>
    <n v="0"/>
    <m/>
    <m/>
    <n v="0"/>
    <m/>
    <m/>
    <n v="0"/>
    <n v="0"/>
    <m/>
  </r>
  <r>
    <n v="8.06"/>
    <m/>
    <x v="51"/>
    <s v="OI"/>
    <s v=""/>
    <x v="274"/>
    <m/>
    <d v="2025-09-21T00:00:00"/>
    <n v="12"/>
    <s v="DOP"/>
    <n v="1"/>
    <n v="0"/>
    <n v="0"/>
    <n v="0"/>
    <n v="0"/>
    <n v="0"/>
    <s v="Portico de Caja "/>
    <s v="Ya no aplican "/>
    <m/>
    <m/>
    <m/>
    <s v="MILGRID"/>
    <n v="15"/>
    <n v="0.5"/>
    <n v="0"/>
    <n v="22"/>
    <n v="0.5"/>
    <n v="0"/>
    <m/>
    <m/>
    <n v="0"/>
    <m/>
    <m/>
    <n v="0"/>
    <m/>
    <m/>
    <n v="0"/>
    <n v="0"/>
    <m/>
  </r>
  <r>
    <n v="8.06"/>
    <m/>
    <x v="51"/>
    <s v="OI"/>
    <s v=""/>
    <x v="275"/>
    <m/>
    <d v="2025-09-21T00:00:00"/>
    <n v="2"/>
    <s v="DOP"/>
    <n v="1"/>
    <n v="184000"/>
    <n v="368000"/>
    <n v="0"/>
    <n v="368000"/>
    <n v="5841.269841269841"/>
    <s v="Vestidores "/>
    <m/>
    <m/>
    <m/>
    <m/>
    <s v="MILGRID"/>
    <n v="15"/>
    <n v="0.5"/>
    <n v="184000"/>
    <n v="22"/>
    <n v="0.5"/>
    <n v="184000"/>
    <m/>
    <m/>
    <n v="0"/>
    <m/>
    <m/>
    <n v="0"/>
    <m/>
    <m/>
    <n v="0"/>
    <n v="368000"/>
    <m/>
  </r>
  <r>
    <n v="8.06"/>
    <m/>
    <x v="51"/>
    <s v="OI"/>
    <s v=""/>
    <x v="276"/>
    <m/>
    <d v="2025-09-21T00:00:00"/>
    <n v="1"/>
    <s v="DOP"/>
    <n v="1"/>
    <n v="150000"/>
    <n v="150000"/>
    <n v="0"/>
    <n v="150000"/>
    <n v="2380.9523809523807"/>
    <s v="Vestidores "/>
    <m/>
    <m/>
    <m/>
    <m/>
    <s v="MILGRID"/>
    <n v="15"/>
    <n v="0.5"/>
    <n v="75000"/>
    <n v="22"/>
    <n v="0.5"/>
    <n v="75000"/>
    <m/>
    <m/>
    <n v="0"/>
    <m/>
    <m/>
    <n v="0"/>
    <m/>
    <m/>
    <n v="0"/>
    <n v="150000"/>
    <m/>
  </r>
  <r>
    <n v="8.06"/>
    <m/>
    <x v="51"/>
    <s v="OI"/>
    <s v=""/>
    <x v="277"/>
    <m/>
    <d v="2025-09-21T00:00:00"/>
    <n v="1"/>
    <s v="DOP"/>
    <n v="1"/>
    <n v="125000"/>
    <n v="125000"/>
    <n v="0"/>
    <n v="125000"/>
    <n v="1984.1269841269841"/>
    <s v="Vestidores "/>
    <m/>
    <m/>
    <m/>
    <m/>
    <s v="MILGRID"/>
    <n v="15"/>
    <n v="0.5"/>
    <n v="62500"/>
    <n v="22"/>
    <n v="0.5"/>
    <n v="62500"/>
    <m/>
    <m/>
    <n v="0"/>
    <m/>
    <m/>
    <n v="0"/>
    <m/>
    <m/>
    <n v="0"/>
    <n v="125000"/>
    <m/>
  </r>
  <r>
    <n v="8.06"/>
    <m/>
    <x v="51"/>
    <s v="OI"/>
    <s v=""/>
    <x v="278"/>
    <m/>
    <d v="2025-09-21T00:00:00"/>
    <n v="1"/>
    <s v="DOP"/>
    <n v="1"/>
    <n v="0"/>
    <n v="0"/>
    <n v="0"/>
    <n v="0"/>
    <n v="0"/>
    <s v="Portico de Caja "/>
    <s v="Ya no aplican "/>
    <m/>
    <m/>
    <m/>
    <s v="MILGRID"/>
    <n v="15"/>
    <n v="0.5"/>
    <n v="0"/>
    <n v="22"/>
    <n v="0.5"/>
    <n v="0"/>
    <m/>
    <m/>
    <n v="0"/>
    <m/>
    <m/>
    <n v="0"/>
    <m/>
    <m/>
    <n v="0"/>
    <n v="0"/>
    <m/>
  </r>
  <r>
    <n v="8.06"/>
    <m/>
    <x v="51"/>
    <s v="OI"/>
    <s v=""/>
    <x v="279"/>
    <m/>
    <d v="2025-09-21T00:00:00"/>
    <n v="10"/>
    <s v="DOP"/>
    <n v="1"/>
    <n v="28950"/>
    <n v="289500"/>
    <n v="0"/>
    <n v="289500"/>
    <n v="4595.2380952380954"/>
    <s v="Carro Gondolero "/>
    <m/>
    <m/>
    <m/>
    <m/>
    <s v="RUE MAX"/>
    <n v="21"/>
    <n v="1"/>
    <n v="289500"/>
    <m/>
    <m/>
    <n v="0"/>
    <m/>
    <m/>
    <n v="0"/>
    <m/>
    <m/>
    <n v="0"/>
    <m/>
    <m/>
    <n v="0"/>
    <n v="289500"/>
    <m/>
  </r>
  <r>
    <n v="8.06"/>
    <m/>
    <x v="51"/>
    <s v="OI"/>
    <s v=""/>
    <x v="280"/>
    <m/>
    <d v="2025-09-21T00:00:00"/>
    <n v="1"/>
    <s v="DOP"/>
    <n v="1"/>
    <n v="22000"/>
    <n v="22000"/>
    <n v="0"/>
    <n v="22000"/>
    <n v="349.20634920634922"/>
    <s v="Cambiador "/>
    <m/>
    <m/>
    <m/>
    <m/>
    <s v="UTECO "/>
    <n v="21"/>
    <n v="1"/>
    <n v="22000"/>
    <m/>
    <m/>
    <n v="0"/>
    <m/>
    <m/>
    <n v="0"/>
    <m/>
    <m/>
    <n v="0"/>
    <m/>
    <m/>
    <n v="0"/>
    <n v="22000"/>
    <m/>
  </r>
  <r>
    <n v="8.06"/>
    <m/>
    <x v="51"/>
    <s v="OI"/>
    <s v=""/>
    <x v="281"/>
    <m/>
    <d v="2025-09-21T00:00:00"/>
    <n v="1"/>
    <s v="DOP"/>
    <n v="1"/>
    <n v="107857.62"/>
    <n v="107857.62"/>
    <n v="0"/>
    <n v="107857.62"/>
    <n v="1712.0257142857142"/>
    <s v="Escalera"/>
    <m/>
    <m/>
    <m/>
    <m/>
    <s v="PAPATERRA"/>
    <n v="21"/>
    <n v="1"/>
    <n v="107857.62"/>
    <m/>
    <m/>
    <n v="0"/>
    <m/>
    <m/>
    <n v="0"/>
    <m/>
    <m/>
    <n v="0"/>
    <m/>
    <m/>
    <n v="0"/>
    <n v="107857.62"/>
    <m/>
  </r>
  <r>
    <n v="8.06"/>
    <m/>
    <x v="51"/>
    <s v="OI"/>
    <s v=""/>
    <x v="282"/>
    <m/>
    <d v="2025-09-21T00:00:00"/>
    <n v="6"/>
    <s v="DOP"/>
    <n v="1"/>
    <n v="2300"/>
    <n v="13800"/>
    <n v="0"/>
    <n v="13800"/>
    <n v="219.04761904761904"/>
    <s v="Escaleras"/>
    <m/>
    <m/>
    <m/>
    <m/>
    <s v="MATERIALES INDUSTRIALES "/>
    <n v="21"/>
    <n v="1"/>
    <n v="13800"/>
    <m/>
    <m/>
    <n v="0"/>
    <m/>
    <m/>
    <n v="0"/>
    <m/>
    <m/>
    <n v="0"/>
    <m/>
    <m/>
    <n v="0"/>
    <n v="13800"/>
    <m/>
  </r>
  <r>
    <n v="8.06"/>
    <m/>
    <x v="51"/>
    <s v="OI"/>
    <s v=""/>
    <x v="283"/>
    <m/>
    <d v="2025-09-21T00:00:00"/>
    <n v="2"/>
    <s v="DOP"/>
    <n v="1"/>
    <n v="7240.68"/>
    <n v="14481.36"/>
    <n v="0"/>
    <n v="14481.36"/>
    <n v="229.86285714285717"/>
    <s v="Escaleras"/>
    <m/>
    <m/>
    <m/>
    <m/>
    <s v="MATERIALES INDUSTRIALES "/>
    <n v="21"/>
    <n v="1"/>
    <n v="14481.36"/>
    <m/>
    <m/>
    <n v="0"/>
    <m/>
    <m/>
    <n v="0"/>
    <m/>
    <m/>
    <n v="0"/>
    <m/>
    <m/>
    <n v="0"/>
    <n v="14481.36"/>
    <m/>
  </r>
  <r>
    <n v="8.06"/>
    <m/>
    <x v="51"/>
    <s v="OI"/>
    <s v=""/>
    <x v="284"/>
    <m/>
    <d v="2025-09-21T00:00:00"/>
    <n v="2"/>
    <s v="DOP"/>
    <n v="1"/>
    <n v="16711.86"/>
    <n v="33423.72"/>
    <n v="0"/>
    <n v="33423.72"/>
    <n v="530.53523809523813"/>
    <s v="Escaleras"/>
    <m/>
    <m/>
    <m/>
    <m/>
    <s v="MATERIALES INDUSTRIALES "/>
    <n v="21"/>
    <n v="1"/>
    <n v="33423.72"/>
    <m/>
    <m/>
    <n v="0"/>
    <m/>
    <m/>
    <n v="0"/>
    <m/>
    <m/>
    <n v="0"/>
    <m/>
    <m/>
    <n v="0"/>
    <n v="33423.72"/>
    <m/>
  </r>
  <r>
    <n v="8.06"/>
    <m/>
    <x v="51"/>
    <s v="OI"/>
    <s v=""/>
    <x v="285"/>
    <m/>
    <d v="2025-09-21T00:00:00"/>
    <n v="2"/>
    <s v="DOP"/>
    <n v="1"/>
    <n v="15319.49"/>
    <n v="30638.98"/>
    <n v="0"/>
    <n v="30638.98"/>
    <n v="486.33301587301588"/>
    <s v="Escaleras"/>
    <m/>
    <m/>
    <m/>
    <m/>
    <s v="MATERIALES INDUSTRIALES "/>
    <n v="21"/>
    <n v="1"/>
    <n v="30638.98"/>
    <m/>
    <m/>
    <n v="0"/>
    <m/>
    <m/>
    <n v="0"/>
    <m/>
    <m/>
    <n v="0"/>
    <m/>
    <m/>
    <n v="0"/>
    <n v="30638.98"/>
    <m/>
  </r>
  <r>
    <n v="8.06"/>
    <m/>
    <x v="51"/>
    <s v="OI"/>
    <s v=""/>
    <x v="286"/>
    <m/>
    <d v="2025-09-21T00:00:00"/>
    <n v="6"/>
    <s v="DOP"/>
    <n v="1"/>
    <n v="261.02"/>
    <n v="1566.12"/>
    <n v="0"/>
    <n v="1566.12"/>
    <n v="24.859047619047619"/>
    <s v="Manguera "/>
    <m/>
    <m/>
    <m/>
    <m/>
    <s v="MATERIALES INDUSTRIALES "/>
    <n v="21"/>
    <n v="1"/>
    <n v="1566.12"/>
    <m/>
    <m/>
    <n v="0"/>
    <m/>
    <m/>
    <n v="0"/>
    <m/>
    <m/>
    <n v="0"/>
    <m/>
    <m/>
    <n v="0"/>
    <n v="1566.12"/>
    <m/>
  </r>
  <r>
    <n v="8.06"/>
    <m/>
    <x v="51"/>
    <s v="OI"/>
    <s v=""/>
    <x v="287"/>
    <m/>
    <d v="2025-09-21T00:00:00"/>
    <n v="6"/>
    <s v="DOP"/>
    <n v="1"/>
    <n v="1845.76"/>
    <n v="11074.56"/>
    <n v="0"/>
    <n v="11074.56"/>
    <n v="175.78666666666666"/>
    <s v="Manguera "/>
    <m/>
    <m/>
    <m/>
    <m/>
    <s v="MATERIALES INDUSTRIALES "/>
    <n v="21"/>
    <n v="1"/>
    <n v="11074.56"/>
    <m/>
    <m/>
    <n v="0"/>
    <m/>
    <m/>
    <n v="0"/>
    <m/>
    <m/>
    <n v="0"/>
    <m/>
    <m/>
    <n v="0"/>
    <n v="11074.56"/>
    <m/>
  </r>
  <r>
    <n v="8.06"/>
    <m/>
    <x v="51"/>
    <s v="OI"/>
    <s v=""/>
    <x v="288"/>
    <m/>
    <d v="2025-09-21T00:00:00"/>
    <n v="6"/>
    <s v="DOP"/>
    <n v="1"/>
    <n v="550"/>
    <n v="3300"/>
    <n v="0"/>
    <n v="3300"/>
    <n v="52.38095238095238"/>
    <s v="Zafacon"/>
    <m/>
    <m/>
    <m/>
    <m/>
    <s v="MATERIALES INDUSTRIALES "/>
    <n v="21"/>
    <n v="1"/>
    <n v="3300"/>
    <m/>
    <m/>
    <n v="0"/>
    <m/>
    <m/>
    <n v="0"/>
    <m/>
    <m/>
    <n v="0"/>
    <m/>
    <m/>
    <n v="0"/>
    <n v="3300"/>
    <m/>
  </r>
  <r>
    <n v="8.06"/>
    <m/>
    <x v="51"/>
    <s v="OI"/>
    <s v=""/>
    <x v="289"/>
    <m/>
    <d v="2025-09-21T00:00:00"/>
    <n v="6"/>
    <s v="DOP"/>
    <n v="1"/>
    <n v="1400"/>
    <n v="8400"/>
    <n v="0"/>
    <n v="8400"/>
    <n v="133.33333333333334"/>
    <s v="Zafacon"/>
    <m/>
    <m/>
    <m/>
    <m/>
    <s v="MATERIALES INDUSTRIALES "/>
    <n v="21"/>
    <n v="1"/>
    <n v="8400"/>
    <m/>
    <m/>
    <n v="0"/>
    <m/>
    <m/>
    <n v="0"/>
    <m/>
    <m/>
    <n v="0"/>
    <m/>
    <m/>
    <n v="0"/>
    <n v="8400"/>
    <m/>
  </r>
  <r>
    <n v="8.06"/>
    <m/>
    <x v="51"/>
    <s v="OI"/>
    <s v=""/>
    <x v="290"/>
    <m/>
    <d v="2025-09-21T00:00:00"/>
    <n v="4"/>
    <s v="DOP"/>
    <n v="1"/>
    <n v="18000"/>
    <n v="72000"/>
    <n v="0"/>
    <n v="72000"/>
    <n v="1142.8571428571429"/>
    <s v="Zafacon"/>
    <m/>
    <m/>
    <m/>
    <m/>
    <s v="MATERIALES INDUSTRIALES "/>
    <n v="21"/>
    <n v="1"/>
    <n v="72000"/>
    <m/>
    <m/>
    <n v="0"/>
    <m/>
    <m/>
    <n v="0"/>
    <m/>
    <m/>
    <n v="0"/>
    <m/>
    <m/>
    <n v="0"/>
    <n v="72000"/>
    <m/>
  </r>
  <r>
    <n v="8.06"/>
    <m/>
    <x v="51"/>
    <s v="OI"/>
    <s v=""/>
    <x v="291"/>
    <m/>
    <d v="2025-09-21T00:00:00"/>
    <n v="1"/>
    <s v="DOP"/>
    <n v="1"/>
    <n v="5843.88"/>
    <n v="5843.88"/>
    <n v="0"/>
    <n v="5843.88"/>
    <n v="92.76"/>
    <s v="Guillotina"/>
    <m/>
    <m/>
    <m/>
    <m/>
    <s v="MATERIALES INDUSTRIALES "/>
    <n v="21"/>
    <n v="1"/>
    <n v="5843.88"/>
    <m/>
    <m/>
    <n v="0"/>
    <m/>
    <m/>
    <n v="0"/>
    <m/>
    <m/>
    <n v="0"/>
    <m/>
    <m/>
    <n v="0"/>
    <n v="5843.88"/>
    <m/>
  </r>
  <r>
    <n v="8.06"/>
    <m/>
    <x v="51"/>
    <s v="OI"/>
    <s v=""/>
    <x v="292"/>
    <m/>
    <d v="2025-09-21T00:00:00"/>
    <n v="1"/>
    <s v="DOP"/>
    <n v="1"/>
    <n v="10000"/>
    <n v="10000"/>
    <n v="0"/>
    <n v="10000"/>
    <n v="158.73015873015873"/>
    <s v="KIT CLIENTE (JUMPER,CARGADOR,GATO) "/>
    <m/>
    <m/>
    <m/>
    <m/>
    <s v="MATERIALES INDUSTRIALES "/>
    <n v="21"/>
    <n v="1"/>
    <n v="10000"/>
    <m/>
    <m/>
    <n v="0"/>
    <m/>
    <m/>
    <n v="0"/>
    <m/>
    <m/>
    <n v="0"/>
    <m/>
    <m/>
    <n v="0"/>
    <n v="10000"/>
    <m/>
  </r>
  <r>
    <n v="8.06"/>
    <m/>
    <x v="51"/>
    <s v="OI"/>
    <s v=""/>
    <x v="293"/>
    <m/>
    <d v="2025-09-21T00:00:00"/>
    <n v="4"/>
    <s v="DOP"/>
    <n v="1"/>
    <n v="317.8"/>
    <n v="1271.2"/>
    <n v="0"/>
    <n v="1271.2"/>
    <n v="20.177777777777777"/>
    <s v="Cono Reflectivo"/>
    <m/>
    <m/>
    <m/>
    <m/>
    <s v="MATERIALES INDUSTRIALES "/>
    <n v="21"/>
    <n v="1"/>
    <n v="1271.2"/>
    <m/>
    <m/>
    <n v="0"/>
    <m/>
    <m/>
    <n v="0"/>
    <m/>
    <m/>
    <n v="0"/>
    <m/>
    <m/>
    <n v="0"/>
    <n v="1271.2"/>
    <m/>
  </r>
  <r>
    <n v="8.06"/>
    <m/>
    <x v="51"/>
    <s v="OI"/>
    <s v=""/>
    <x v="294"/>
    <m/>
    <d v="2025-09-21T00:00:00"/>
    <n v="1"/>
    <s v="DOP"/>
    <n v="1"/>
    <n v="17490.68"/>
    <n v="17490.68"/>
    <n v="0"/>
    <n v="17490.68"/>
    <n v="277.62984126984128"/>
    <s v="Hidrolavadora"/>
    <m/>
    <m/>
    <m/>
    <m/>
    <s v="MAERIALES INDUSTRIALES INDUSTRIALES "/>
    <n v="21"/>
    <n v="1"/>
    <n v="17490.68"/>
    <m/>
    <m/>
    <n v="0"/>
    <m/>
    <m/>
    <n v="0"/>
    <m/>
    <m/>
    <n v="0"/>
    <m/>
    <m/>
    <n v="0"/>
    <n v="17490.68"/>
    <m/>
  </r>
  <r>
    <n v="8.06"/>
    <m/>
    <x v="51"/>
    <s v="OI"/>
    <s v=""/>
    <x v="295"/>
    <m/>
    <d v="2025-09-21T00:00:00"/>
    <n v="1"/>
    <s v="DOP"/>
    <n v="1"/>
    <n v="17000"/>
    <n v="17000"/>
    <n v="0"/>
    <n v="17000"/>
    <n v="269.84126984126982"/>
    <s v="Maquina de lavado "/>
    <m/>
    <m/>
    <m/>
    <m/>
    <s v="LA INOVACION"/>
    <n v="21"/>
    <n v="1"/>
    <n v="17000"/>
    <m/>
    <m/>
    <n v="0"/>
    <m/>
    <m/>
    <n v="0"/>
    <m/>
    <m/>
    <n v="0"/>
    <m/>
    <m/>
    <n v="0"/>
    <n v="17000"/>
    <m/>
  </r>
  <r>
    <n v="8.06"/>
    <m/>
    <x v="51"/>
    <s v="OI"/>
    <s v=""/>
    <x v="296"/>
    <m/>
    <d v="2025-09-21T00:00:00"/>
    <n v="25"/>
    <s v="DOP"/>
    <n v="1"/>
    <n v="612.78839999999991"/>
    <n v="15319.709999999997"/>
    <n v="0"/>
    <n v="15319.709999999997"/>
    <n v="243.16999999999996"/>
    <s v="cuchilla Easy cut"/>
    <m/>
    <m/>
    <m/>
    <m/>
    <s v="IMEQ US"/>
    <n v="21"/>
    <n v="1"/>
    <n v="15319.709999999997"/>
    <m/>
    <m/>
    <n v="0"/>
    <m/>
    <m/>
    <n v="0"/>
    <m/>
    <m/>
    <n v="0"/>
    <m/>
    <m/>
    <n v="0"/>
    <n v="15319.709999999997"/>
    <m/>
  </r>
  <r>
    <n v="8.06"/>
    <m/>
    <x v="51"/>
    <s v="OI"/>
    <s v=""/>
    <x v="297"/>
    <m/>
    <d v="2025-09-21T00:00:00"/>
    <n v="4"/>
    <s v="DOP"/>
    <n v="1"/>
    <n v="40470.647499999999"/>
    <n v="161882.59"/>
    <n v="0"/>
    <n v="161882.59"/>
    <n v="2569.5649206349208"/>
    <s v="Secador de mano "/>
    <m/>
    <m/>
    <m/>
    <m/>
    <s v="FEMI SOLUCIONES Y SERVICIOS COM"/>
    <n v="21"/>
    <n v="1"/>
    <n v="161882.59"/>
    <m/>
    <m/>
    <n v="0"/>
    <m/>
    <m/>
    <n v="0"/>
    <m/>
    <m/>
    <n v="0"/>
    <m/>
    <m/>
    <n v="0"/>
    <n v="161882.59"/>
    <m/>
  </r>
  <r>
    <n v="8.06"/>
    <m/>
    <x v="51"/>
    <s v="OI"/>
    <s v=""/>
    <x v="298"/>
    <m/>
    <d v="2025-09-21T00:00:00"/>
    <n v="11"/>
    <s v="DOP"/>
    <n v="1"/>
    <n v="446.23636363636365"/>
    <n v="4908.6000000000004"/>
    <n v="0"/>
    <n v="4908.6000000000004"/>
    <n v="77.914285714285725"/>
    <s v="zafacon de malla"/>
    <m/>
    <m/>
    <m/>
    <m/>
    <s v="BENIGNO ZAPATERTO"/>
    <n v="21"/>
    <n v="1"/>
    <n v="4908.6000000000004"/>
    <m/>
    <m/>
    <n v="0"/>
    <m/>
    <m/>
    <n v="0"/>
    <m/>
    <m/>
    <n v="0"/>
    <m/>
    <m/>
    <n v="0"/>
    <n v="4908.6000000000004"/>
    <m/>
  </r>
  <r>
    <n v="8.06"/>
    <m/>
    <x v="51"/>
    <s v="OI"/>
    <s v=""/>
    <x v="299"/>
    <m/>
    <d v="2025-09-21T00:00:00"/>
    <n v="12"/>
    <s v="DOP"/>
    <n v="1"/>
    <n v="1772.9475"/>
    <n v="21275.37"/>
    <n v="0"/>
    <n v="21275.37"/>
    <n v="337.70428571428567"/>
    <s v="zafacon evo 25LT"/>
    <m/>
    <m/>
    <m/>
    <m/>
    <s v="BENIGNO ZAPATERO"/>
    <n v="21"/>
    <n v="1"/>
    <n v="21275.37"/>
    <m/>
    <m/>
    <n v="0"/>
    <m/>
    <m/>
    <n v="0"/>
    <m/>
    <m/>
    <n v="0"/>
    <m/>
    <m/>
    <n v="0"/>
    <n v="21275.37"/>
    <m/>
  </r>
  <r>
    <n v="8.06"/>
    <m/>
    <x v="51"/>
    <s v="OI"/>
    <s v=""/>
    <x v="300"/>
    <m/>
    <d v="2025-09-21T00:00:00"/>
    <n v="1"/>
    <s v="DOP"/>
    <n v="1"/>
    <n v="17773.189999999999"/>
    <n v="17773.189999999999"/>
    <n v="0"/>
    <n v="17773.189999999999"/>
    <n v="282.11412698412698"/>
    <s v="Plastificadora "/>
    <m/>
    <m/>
    <m/>
    <m/>
    <s v="AGUSTIN LOMBA"/>
    <n v="21"/>
    <n v="1"/>
    <n v="17773.189999999999"/>
    <m/>
    <m/>
    <n v="0"/>
    <m/>
    <m/>
    <n v="0"/>
    <m/>
    <m/>
    <n v="0"/>
    <m/>
    <m/>
    <n v="0"/>
    <n v="17773.189999999999"/>
    <m/>
  </r>
  <r>
    <n v="8.06"/>
    <m/>
    <x v="51"/>
    <s v="OI"/>
    <s v=""/>
    <x v="301"/>
    <m/>
    <d v="2025-09-21T00:00:00"/>
    <n v="1"/>
    <s v="DOP"/>
    <n v="1"/>
    <n v="2210.6999999999998"/>
    <n v="2210.6999999999998"/>
    <n v="0"/>
    <n v="2210.6999999999998"/>
    <n v="35.090476190476188"/>
    <s v="Palastificadora "/>
    <m/>
    <m/>
    <m/>
    <m/>
    <s v="AGUSTIN LOMBA"/>
    <n v="21"/>
    <n v="1"/>
    <n v="2210.6999999999998"/>
    <m/>
    <m/>
    <n v="0"/>
    <m/>
    <m/>
    <n v="0"/>
    <m/>
    <m/>
    <n v="0"/>
    <m/>
    <m/>
    <n v="0"/>
    <n v="2210.6999999999998"/>
    <m/>
  </r>
  <r>
    <n v="8.06"/>
    <m/>
    <x v="51"/>
    <s v="OI"/>
    <s v=""/>
    <x v="302"/>
    <m/>
    <d v="2025-09-21T00:00:00"/>
    <n v="1"/>
    <s v="USD"/>
    <n v="63"/>
    <n v="6100"/>
    <n v="384300"/>
    <n v="0"/>
    <n v="384300"/>
    <n v="6100"/>
    <s v="Nuevo esquema considerado"/>
    <s v="Este incluye las baterias "/>
    <m/>
    <m/>
    <m/>
    <m/>
    <n v="21"/>
    <n v="1"/>
    <n v="384300"/>
    <m/>
    <m/>
    <n v="0"/>
    <m/>
    <m/>
    <n v="0"/>
    <m/>
    <m/>
    <n v="0"/>
    <m/>
    <m/>
    <n v="0"/>
    <n v="384300"/>
    <m/>
  </r>
  <r>
    <n v="8.06"/>
    <m/>
    <x v="51"/>
    <s v="OI"/>
    <s v=""/>
    <x v="303"/>
    <m/>
    <d v="2025-09-21T00:00:00"/>
    <n v="4"/>
    <s v="DOP"/>
    <n v="1"/>
    <n v="34403.894999999997"/>
    <n v="137615.57999999999"/>
    <n v="0"/>
    <n v="137615.57999999999"/>
    <n v="2184.3742857142856"/>
    <s v="Hang Pallet"/>
    <m/>
    <m/>
    <m/>
    <m/>
    <m/>
    <n v="21"/>
    <n v="1"/>
    <n v="137615.57999999999"/>
    <m/>
    <m/>
    <n v="0"/>
    <m/>
    <m/>
    <n v="0"/>
    <m/>
    <m/>
    <n v="0"/>
    <m/>
    <m/>
    <n v="0"/>
    <n v="137615.57999999999"/>
    <m/>
  </r>
  <r>
    <n v="8.07"/>
    <s v="*"/>
    <x v="52"/>
    <s v="*"/>
    <n v="123730.70926517571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7"/>
    <m/>
    <x v="52"/>
    <s v="OI"/>
    <s v=""/>
    <x v="304"/>
    <m/>
    <d v="2025-09-21T00:00:00"/>
    <n v="1"/>
    <s v="DOP"/>
    <n v="1"/>
    <n v="7200000"/>
    <n v="7200000"/>
    <n v="0"/>
    <n v="7200000"/>
    <n v="114285.71428571429"/>
    <s v="Decoracion int"/>
    <m/>
    <m/>
    <m/>
    <m/>
    <m/>
    <n v="15"/>
    <n v="0.5"/>
    <n v="3600000"/>
    <n v="16"/>
    <n v="0.5"/>
    <n v="3600000"/>
    <m/>
    <m/>
    <n v="0"/>
    <m/>
    <m/>
    <n v="0"/>
    <m/>
    <m/>
    <n v="0"/>
    <n v="7200000"/>
    <m/>
  </r>
  <r>
    <n v="8.07"/>
    <m/>
    <x v="52"/>
    <s v="OI"/>
    <s v=""/>
    <x v="305"/>
    <m/>
    <d v="2025-09-21T00:00:00"/>
    <n v="1"/>
    <s v="DOP"/>
    <n v="1"/>
    <n v="333955"/>
    <n v="333955"/>
    <n v="0.05"/>
    <n v="350652.75"/>
    <n v="5565.916666666667"/>
    <s v="Ruta de Evacuacion "/>
    <m/>
    <m/>
    <m/>
    <m/>
    <m/>
    <n v="21"/>
    <n v="1"/>
    <n v="350652.75"/>
    <m/>
    <m/>
    <n v="0"/>
    <m/>
    <m/>
    <n v="0"/>
    <m/>
    <m/>
    <n v="0"/>
    <m/>
    <m/>
    <n v="0"/>
    <n v="350652.75"/>
    <m/>
  </r>
  <r>
    <n v="8.07"/>
    <m/>
    <x v="52"/>
    <s v="OI"/>
    <s v=""/>
    <x v="306"/>
    <m/>
    <d v="2025-09-21T00:00:00"/>
    <n v="1"/>
    <s v="DOP"/>
    <n v="1"/>
    <n v="129986.4"/>
    <n v="129986.4"/>
    <n v="0"/>
    <n v="129986.4"/>
    <n v="2063.2761904761905"/>
    <s v="Ruta de Evacuacion "/>
    <m/>
    <m/>
    <m/>
    <m/>
    <m/>
    <n v="21"/>
    <n v="1"/>
    <n v="129986.4"/>
    <m/>
    <m/>
    <n v="0"/>
    <m/>
    <m/>
    <n v="0"/>
    <m/>
    <m/>
    <n v="0"/>
    <m/>
    <m/>
    <n v="0"/>
    <n v="129986.4"/>
    <m/>
  </r>
  <r>
    <n v="8.07"/>
    <m/>
    <x v="52"/>
    <s v="OI"/>
    <s v=""/>
    <x v="307"/>
    <m/>
    <d v="2025-09-21T00:00:00"/>
    <n v="1"/>
    <s v="DOP"/>
    <n v="1"/>
    <n v="37556"/>
    <n v="37556"/>
    <n v="0"/>
    <n v="37556"/>
    <n v="596.1269841269841"/>
    <s v="Ruta de Evacuacion "/>
    <m/>
    <m/>
    <m/>
    <m/>
    <m/>
    <n v="21"/>
    <n v="1"/>
    <n v="37556"/>
    <m/>
    <m/>
    <n v="0"/>
    <m/>
    <m/>
    <n v="0"/>
    <m/>
    <m/>
    <n v="0"/>
    <m/>
    <m/>
    <n v="0"/>
    <n v="37556"/>
    <m/>
  </r>
  <r>
    <n v="8.08"/>
    <s v="*"/>
    <x v="53"/>
    <s v="*"/>
    <n v="61875.39936102237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8.08"/>
    <m/>
    <x v="53"/>
    <s v="OI"/>
    <s v=""/>
    <x v="308"/>
    <m/>
    <d v="2025-09-21T00:00:00"/>
    <n v="1"/>
    <s v="DOP"/>
    <n v="1"/>
    <n v="540000"/>
    <n v="540000"/>
    <n v="0"/>
    <n v="540000"/>
    <n v="8571.4285714285706"/>
    <s v="Decoracion ext "/>
    <s v="se tomo la ultima cotizacion de Las Americas "/>
    <m/>
    <m/>
    <m/>
    <m/>
    <n v="15"/>
    <n v="0.5"/>
    <n v="270000"/>
    <n v="16"/>
    <n v="0.5"/>
    <n v="270000"/>
    <m/>
    <m/>
    <n v="0"/>
    <m/>
    <m/>
    <n v="0"/>
    <m/>
    <m/>
    <n v="0"/>
    <n v="540000"/>
    <m/>
  </r>
  <r>
    <n v="8.08"/>
    <m/>
    <x v="53"/>
    <s v="OI"/>
    <s v=""/>
    <x v="309"/>
    <m/>
    <d v="2025-09-21T00:00:00"/>
    <n v="1"/>
    <s v="DOP"/>
    <n v="1"/>
    <n v="548000"/>
    <n v="548000"/>
    <n v="0"/>
    <n v="548000"/>
    <n v="8698.4126984126979"/>
    <s v="Decoracion ext "/>
    <s v="se tomo la ultima cotizacion de Las Americas "/>
    <m/>
    <m/>
    <m/>
    <m/>
    <n v="15"/>
    <n v="0.5"/>
    <n v="274000"/>
    <n v="16"/>
    <n v="0.5"/>
    <n v="274000"/>
    <m/>
    <m/>
    <n v="0"/>
    <m/>
    <m/>
    <n v="0"/>
    <m/>
    <m/>
    <n v="0"/>
    <n v="548000"/>
    <m/>
  </r>
  <r>
    <n v="8.08"/>
    <m/>
    <x v="53"/>
    <s v="OI"/>
    <s v=""/>
    <x v="310"/>
    <m/>
    <d v="2025-09-21T00:00:00"/>
    <n v="1"/>
    <s v="DOP"/>
    <n v="1"/>
    <n v="390000"/>
    <n v="390000"/>
    <n v="0"/>
    <n v="390000"/>
    <n v="6190.4761904761908"/>
    <s v="Decoracion ext "/>
    <s v="se tomo la ultima cotizacion de Las Americas "/>
    <m/>
    <m/>
    <m/>
    <m/>
    <n v="15"/>
    <n v="0.5"/>
    <n v="195000"/>
    <n v="16"/>
    <n v="0.5"/>
    <n v="195000"/>
    <m/>
    <m/>
    <n v="0"/>
    <m/>
    <m/>
    <n v="0"/>
    <m/>
    <m/>
    <n v="0"/>
    <n v="390000"/>
    <m/>
  </r>
  <r>
    <n v="8.08"/>
    <m/>
    <x v="53"/>
    <s v="OI"/>
    <s v=""/>
    <x v="311"/>
    <m/>
    <d v="2025-09-21T00:00:00"/>
    <n v="1"/>
    <s v="DOP"/>
    <n v="1"/>
    <n v="255000"/>
    <n v="255000"/>
    <n v="0"/>
    <n v="255000"/>
    <n v="4047.6190476190477"/>
    <s v="Decoracion ext "/>
    <s v="se tomo la ultima cotizacion de Las Americas "/>
    <m/>
    <m/>
    <m/>
    <m/>
    <n v="15"/>
    <n v="0.5"/>
    <n v="127500"/>
    <n v="16"/>
    <n v="0.5"/>
    <n v="127500"/>
    <m/>
    <m/>
    <n v="0"/>
    <m/>
    <m/>
    <n v="0"/>
    <m/>
    <m/>
    <n v="0"/>
    <n v="255000"/>
    <m/>
  </r>
  <r>
    <n v="8.08"/>
    <m/>
    <x v="53"/>
    <s v="OI"/>
    <s v=""/>
    <x v="312"/>
    <m/>
    <d v="2025-09-21T00:00:00"/>
    <n v="1"/>
    <s v="DOP"/>
    <n v="1"/>
    <n v="297722"/>
    <n v="297722"/>
    <n v="0"/>
    <n v="297722"/>
    <n v="4725.7460317460318"/>
    <s v="Decoracion ext "/>
    <s v="se tomo la ultima cotizacion de Las Americas "/>
    <m/>
    <m/>
    <m/>
    <m/>
    <n v="15"/>
    <n v="0.5"/>
    <n v="148861"/>
    <n v="16"/>
    <n v="0.5"/>
    <n v="148861"/>
    <m/>
    <m/>
    <n v="0"/>
    <m/>
    <m/>
    <n v="0"/>
    <m/>
    <m/>
    <n v="0"/>
    <n v="297722"/>
    <m/>
  </r>
  <r>
    <n v="8.08"/>
    <m/>
    <x v="53"/>
    <s v="OI"/>
    <s v=""/>
    <x v="313"/>
    <m/>
    <d v="2025-09-21T00:00:00"/>
    <n v="1"/>
    <s v="DOP"/>
    <n v="1"/>
    <n v="145000"/>
    <n v="145000"/>
    <n v="0"/>
    <n v="145000"/>
    <n v="2301.5873015873017"/>
    <s v="Decoracion ext "/>
    <s v="se tomo la ultima cotizacion de Las Americas "/>
    <m/>
    <m/>
    <m/>
    <m/>
    <n v="15"/>
    <n v="0.5"/>
    <n v="72500"/>
    <n v="16"/>
    <n v="0.5"/>
    <n v="72500"/>
    <m/>
    <m/>
    <n v="0"/>
    <m/>
    <m/>
    <n v="0"/>
    <m/>
    <m/>
    <n v="0"/>
    <n v="145000"/>
    <m/>
  </r>
  <r>
    <n v="8.08"/>
    <m/>
    <x v="53"/>
    <s v="OI"/>
    <s v=""/>
    <x v="314"/>
    <m/>
    <d v="2025-09-21T00:00:00"/>
    <n v="5"/>
    <s v="DOP"/>
    <n v="1"/>
    <n v="95000"/>
    <n v="475000"/>
    <n v="0"/>
    <n v="475000"/>
    <n v="7539.6825396825398"/>
    <s v="Decoracion ext "/>
    <s v="se tomo la ultima cotizacion de Las Americas "/>
    <m/>
    <m/>
    <m/>
    <m/>
    <n v="15"/>
    <n v="0.5"/>
    <n v="237500"/>
    <n v="16"/>
    <n v="0.5"/>
    <n v="237500"/>
    <m/>
    <m/>
    <n v="0"/>
    <m/>
    <m/>
    <n v="0"/>
    <m/>
    <m/>
    <n v="0"/>
    <n v="475000"/>
    <m/>
  </r>
  <r>
    <n v="8.08"/>
    <m/>
    <x v="53"/>
    <s v="OI"/>
    <s v=""/>
    <x v="231"/>
    <m/>
    <d v="2025-09-21T00:00:00"/>
    <n v="1"/>
    <s v="DOP"/>
    <n v="1"/>
    <n v="68400"/>
    <n v="68400"/>
    <n v="0"/>
    <n v="68400"/>
    <n v="1085.7142857142858"/>
    <s v="Decoracion ext "/>
    <s v="se tomo la ultima cotizacion de Las Americas "/>
    <m/>
    <m/>
    <m/>
    <m/>
    <n v="15"/>
    <n v="0.5"/>
    <n v="34200"/>
    <n v="16"/>
    <n v="0.5"/>
    <n v="34200"/>
    <m/>
    <m/>
    <n v="0"/>
    <m/>
    <m/>
    <n v="0"/>
    <m/>
    <m/>
    <n v="0"/>
    <n v="68400"/>
    <m/>
  </r>
  <r>
    <n v="8.08"/>
    <m/>
    <x v="53"/>
    <s v="OI"/>
    <s v=""/>
    <x v="315"/>
    <m/>
    <d v="2025-09-21T00:00:00"/>
    <n v="1"/>
    <s v="DOP"/>
    <n v="1"/>
    <n v="1750000"/>
    <n v="1750000"/>
    <n v="0"/>
    <n v="1750000"/>
    <n v="27777.777777777777"/>
    <s v="Decoracion ext "/>
    <s v="se tomo la ultima cotizacion de Las Americas "/>
    <m/>
    <m/>
    <m/>
    <m/>
    <n v="15"/>
    <n v="0.5"/>
    <n v="875000"/>
    <n v="16"/>
    <n v="0.5"/>
    <n v="875000"/>
    <m/>
    <m/>
    <n v="0"/>
    <m/>
    <m/>
    <n v="0"/>
    <m/>
    <m/>
    <n v="0"/>
    <n v="1750000"/>
    <m/>
  </r>
  <r>
    <n v="8.08"/>
    <m/>
    <x v="53"/>
    <s v="OI"/>
    <s v=""/>
    <x v="316"/>
    <m/>
    <d v="2025-09-21T00:00:00"/>
    <n v="1"/>
    <s v="DOP"/>
    <n v="1"/>
    <n v="350000"/>
    <n v="350000"/>
    <n v="0"/>
    <n v="350000"/>
    <n v="5555.5555555555557"/>
    <s v="Decoracion ext "/>
    <s v="se tomo la ultima cotizacion de Las Americas "/>
    <m/>
    <m/>
    <m/>
    <m/>
    <n v="15"/>
    <n v="0.5"/>
    <n v="175000"/>
    <n v="16"/>
    <n v="0.5"/>
    <n v="175000"/>
    <m/>
    <m/>
    <n v="0"/>
    <m/>
    <m/>
    <n v="0"/>
    <m/>
    <m/>
    <n v="0"/>
    <n v="350000"/>
    <m/>
  </r>
  <r>
    <n v="9.01"/>
    <s v="*"/>
    <x v="54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"/>
    <s v="*"/>
    <x v="55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299999999999994"/>
    <s v="*"/>
    <x v="56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399999999999991"/>
    <s v="*"/>
    <x v="57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499999999999989"/>
    <s v="*"/>
    <x v="58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  <r>
    <n v="9.06"/>
    <s v="*"/>
    <x v="59"/>
    <s v="*"/>
    <n v="0"/>
    <x v="0"/>
    <m/>
    <m/>
    <n v="1"/>
    <s v="USD"/>
    <n v="63"/>
    <n v="0"/>
    <n v="0"/>
    <n v="0"/>
    <n v="0"/>
    <n v="0"/>
    <m/>
    <m/>
    <m/>
    <m/>
    <m/>
    <m/>
    <m/>
    <m/>
    <n v="0"/>
    <m/>
    <m/>
    <n v="0"/>
    <m/>
    <m/>
    <n v="0"/>
    <m/>
    <m/>
    <n v="0"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00BF5-F9EA-40FE-8285-4B82A54A7AC7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307" firstHeaderRow="0" firstDataRow="1" firstDataCol="1"/>
  <pivotFields count="39">
    <pivotField showAll="0"/>
    <pivotField showAll="0"/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showAll="0"/>
    <pivotField showAll="0"/>
    <pivotField axis="axisRow" showAll="0">
      <items count="374">
        <item m="1" x="324"/>
        <item x="230"/>
        <item x="35"/>
        <item x="170"/>
        <item x="140"/>
        <item x="169"/>
        <item x="307"/>
        <item m="1" x="334"/>
        <item x="168"/>
        <item x="246"/>
        <item x="92"/>
        <item x="207"/>
        <item x="118"/>
        <item x="122"/>
        <item x="124"/>
        <item m="1" x="325"/>
        <item x="126"/>
        <item x="262"/>
        <item m="1" x="318"/>
        <item x="177"/>
        <item x="176"/>
        <item x="175"/>
        <item x="7"/>
        <item x="73"/>
        <item m="1" x="329"/>
        <item x="70"/>
        <item m="1" x="330"/>
        <item m="1" x="331"/>
        <item x="69"/>
        <item x="74"/>
        <item m="1" x="326"/>
        <item x="64"/>
        <item x="67"/>
        <item x="63"/>
        <item x="65"/>
        <item m="1" x="327"/>
        <item m="1" x="328"/>
        <item x="71"/>
        <item x="75"/>
        <item x="223"/>
        <item x="93"/>
        <item x="88"/>
        <item x="94"/>
        <item x="187"/>
        <item m="1" x="362"/>
        <item m="1" x="361"/>
        <item m="1" x="363"/>
        <item x="136"/>
        <item x="135"/>
        <item x="91"/>
        <item x="37"/>
        <item x="214"/>
        <item x="203"/>
        <item x="179"/>
        <item x="202"/>
        <item m="1" x="333"/>
        <item x="167"/>
        <item x="212"/>
        <item x="217"/>
        <item x="218"/>
        <item x="279"/>
        <item x="215"/>
        <item m="1" x="336"/>
        <item x="199"/>
        <item x="86"/>
        <item x="85"/>
        <item x="51"/>
        <item x="166"/>
        <item x="165"/>
        <item x="297"/>
        <item x="211"/>
        <item x="197"/>
        <item x="195"/>
        <item x="196"/>
        <item x="194"/>
        <item x="154"/>
        <item x="182"/>
        <item x="18"/>
        <item m="1" x="370"/>
        <item x="293"/>
        <item x="274"/>
        <item x="87"/>
        <item x="273"/>
        <item x="156"/>
        <item x="9"/>
        <item x="255"/>
        <item x="254"/>
        <item x="303"/>
        <item x="146"/>
        <item x="139"/>
        <item x="296"/>
        <item x="183"/>
        <item x="304"/>
        <item m="1" x="364"/>
        <item x="164"/>
        <item x="163"/>
        <item x="117"/>
        <item x="81"/>
        <item m="1" x="368"/>
        <item x="40"/>
        <item x="41"/>
        <item m="1" x="335"/>
        <item x="162"/>
        <item x="225"/>
        <item x="17"/>
        <item x="285"/>
        <item x="284"/>
        <item x="283"/>
        <item x="282"/>
        <item x="76"/>
        <item x="77"/>
        <item m="1" x="332"/>
        <item x="10"/>
        <item x="11"/>
        <item x="12"/>
        <item x="13"/>
        <item x="14"/>
        <item x="15"/>
        <item x="38"/>
        <item x="235"/>
        <item x="253"/>
        <item x="243"/>
        <item x="242"/>
        <item x="248"/>
        <item x="249"/>
        <item x="247"/>
        <item x="236"/>
        <item x="241"/>
        <item x="238"/>
        <item x="271"/>
        <item x="237"/>
        <item x="270"/>
        <item x="239"/>
        <item x="240"/>
        <item m="1" x="357"/>
        <item x="232"/>
        <item x="60"/>
        <item x="58"/>
        <item x="59"/>
        <item x="181"/>
        <item x="127"/>
        <item x="145"/>
        <item m="1" x="337"/>
        <item x="103"/>
        <item x="16"/>
        <item m="1" x="319"/>
        <item m="1" x="360"/>
        <item x="210"/>
        <item x="208"/>
        <item x="134"/>
        <item x="144"/>
        <item x="133"/>
        <item x="172"/>
        <item x="198"/>
        <item x="119"/>
        <item m="1" x="365"/>
        <item x="90"/>
        <item x="231"/>
        <item m="1" x="372"/>
        <item m="1" x="366"/>
        <item x="200"/>
        <item x="8"/>
        <item x="43"/>
        <item x="82"/>
        <item x="84"/>
        <item x="44"/>
        <item x="306"/>
        <item x="209"/>
        <item x="250"/>
        <item x="313"/>
        <item m="1" x="338"/>
        <item x="39"/>
        <item x="261"/>
        <item x="258"/>
        <item x="292"/>
        <item x="52"/>
        <item x="204"/>
        <item m="1" x="339"/>
        <item x="311"/>
        <item x="308"/>
        <item x="310"/>
        <item x="316"/>
        <item x="260"/>
        <item x="224"/>
        <item x="281"/>
        <item m="1" x="356"/>
        <item m="1" x="367"/>
        <item x="269"/>
        <item x="267"/>
        <item x="266"/>
        <item x="265"/>
        <item x="264"/>
        <item x="263"/>
        <item x="268"/>
        <item x="95"/>
        <item x="295"/>
        <item x="294"/>
        <item x="3"/>
        <item x="1"/>
        <item x="2"/>
        <item x="121"/>
        <item x="205"/>
        <item x="228"/>
        <item x="188"/>
        <item x="189"/>
        <item x="106"/>
        <item m="1" x="340"/>
        <item m="1" x="341"/>
        <item m="1" x="354"/>
        <item x="120"/>
        <item x="206"/>
        <item m="1" x="342"/>
        <item m="1" x="343"/>
        <item m="1" x="344"/>
        <item m="1" x="345"/>
        <item m="1" x="346"/>
        <item m="1" x="347"/>
        <item m="1" x="352"/>
        <item m="1" x="350"/>
        <item x="155"/>
        <item x="112"/>
        <item x="229"/>
        <item x="178"/>
        <item x="186"/>
        <item x="89"/>
        <item x="201"/>
        <item x="234"/>
        <item x="256"/>
        <item x="190"/>
        <item x="191"/>
        <item x="192"/>
        <item x="193"/>
        <item x="53"/>
        <item x="251"/>
        <item m="1" x="371"/>
        <item x="57"/>
        <item x="56"/>
        <item x="54"/>
        <item x="50"/>
        <item m="1" x="320"/>
        <item x="47"/>
        <item x="143"/>
        <item m="1" x="321"/>
        <item x="152"/>
        <item x="138"/>
        <item x="233"/>
        <item x="300"/>
        <item x="151"/>
        <item x="150"/>
        <item m="1" x="317"/>
        <item x="48"/>
        <item x="83"/>
        <item x="259"/>
        <item m="1" x="359"/>
        <item x="173"/>
        <item x="131"/>
        <item x="130"/>
        <item x="161"/>
        <item x="160"/>
        <item x="24"/>
        <item x="25"/>
        <item x="26"/>
        <item x="278"/>
        <item m="1" x="358"/>
        <item x="299"/>
        <item x="301"/>
        <item x="280"/>
        <item x="132"/>
        <item x="289"/>
        <item x="288"/>
        <item x="148"/>
        <item x="20"/>
        <item x="305"/>
        <item m="1" x="349"/>
        <item x="174"/>
        <item x="213"/>
        <item m="1" x="353"/>
        <item m="1" x="351"/>
        <item x="216"/>
        <item m="1" x="355"/>
        <item x="116"/>
        <item x="115"/>
        <item x="114"/>
        <item x="113"/>
        <item x="111"/>
        <item x="171"/>
        <item x="5"/>
        <item x="6"/>
        <item x="227"/>
        <item m="1" x="348"/>
        <item x="49"/>
        <item x="123"/>
        <item x="80"/>
        <item x="291"/>
        <item x="257"/>
        <item x="142"/>
        <item x="141"/>
        <item x="159"/>
        <item x="158"/>
        <item x="245"/>
        <item x="147"/>
        <item x="125"/>
        <item x="219"/>
        <item x="302"/>
        <item x="244"/>
        <item x="252"/>
        <item x="45"/>
        <item x="272"/>
        <item x="287"/>
        <item x="286"/>
        <item m="1" x="322"/>
        <item m="1" x="323"/>
        <item x="128"/>
        <item x="149"/>
        <item x="314"/>
        <item x="180"/>
        <item x="185"/>
        <item x="184"/>
        <item m="1" x="369"/>
        <item x="55"/>
        <item x="137"/>
        <item x="157"/>
        <item x="79"/>
        <item x="153"/>
        <item x="226"/>
        <item x="298"/>
        <item x="290"/>
        <item x="129"/>
        <item h="1" x="0"/>
        <item h="1" x="4"/>
        <item h="1" x="19"/>
        <item h="1" x="27"/>
        <item h="1" x="46"/>
        <item h="1" x="21"/>
        <item h="1" x="22"/>
        <item h="1" x="23"/>
        <item h="1" x="28"/>
        <item h="1" x="29"/>
        <item h="1" x="30"/>
        <item h="1" x="31"/>
        <item h="1" x="32"/>
        <item h="1" x="33"/>
        <item h="1" x="34"/>
        <item h="1" x="36"/>
        <item h="1" x="42"/>
        <item h="1" x="61"/>
        <item h="1" x="62"/>
        <item h="1" x="66"/>
        <item h="1" x="68"/>
        <item h="1" x="72"/>
        <item h="1" x="78"/>
        <item h="1" x="96"/>
        <item h="1" x="97"/>
        <item h="1" x="98"/>
        <item h="1" x="99"/>
        <item h="1" x="100"/>
        <item h="1" x="101"/>
        <item h="1" x="102"/>
        <item h="1" x="104"/>
        <item h="1" x="105"/>
        <item h="1" x="107"/>
        <item h="1" x="108"/>
        <item h="1" x="109"/>
        <item h="1" x="110"/>
        <item h="1" x="220"/>
        <item h="1" x="221"/>
        <item h="1" x="222"/>
        <item h="1" x="275"/>
        <item h="1" x="276"/>
        <item h="1" x="277"/>
        <item h="1" x="309"/>
        <item h="1" x="312"/>
        <item h="1" x="315"/>
        <item t="default"/>
      </items>
    </pivotField>
    <pivotField showAll="0"/>
    <pivotField showAll="0"/>
    <pivotField showAll="0"/>
    <pivotField showAll="0"/>
    <pivotField numFmtId="166" showAll="0"/>
    <pivotField numFmtId="165" showAll="0"/>
    <pivotField numFmtId="166" showAll="0"/>
    <pivotField numFmtId="9" showAll="0"/>
    <pivotField dataField="1"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showAll="0"/>
    <pivotField showAll="0"/>
    <pivotField dataField="1" numFmtId="166" showAll="0"/>
    <pivotField numFmtId="166" showAll="0"/>
    <pivotField showAll="0"/>
  </pivotFields>
  <rowFields count="2">
    <field x="2"/>
    <field x="5"/>
  </rowFields>
  <rowItems count="304">
    <i>
      <x v="9"/>
    </i>
    <i r="1">
      <x v="197"/>
    </i>
    <i r="1">
      <x v="198"/>
    </i>
    <i r="1">
      <x v="199"/>
    </i>
    <i>
      <x v="13"/>
    </i>
    <i r="1">
      <x v="286"/>
    </i>
    <i>
      <x v="14"/>
    </i>
    <i r="1">
      <x v="287"/>
    </i>
    <i>
      <x v="15"/>
    </i>
    <i r="1">
      <x v="22"/>
    </i>
    <i r="1">
      <x v="84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44"/>
    </i>
    <i r="1">
      <x v="161"/>
    </i>
    <i>
      <x v="16"/>
    </i>
    <i r="1">
      <x v="77"/>
    </i>
    <i r="1">
      <x v="104"/>
    </i>
    <i r="1">
      <x v="271"/>
    </i>
    <i>
      <x v="17"/>
    </i>
    <i r="1">
      <x v="259"/>
    </i>
    <i r="1">
      <x v="260"/>
    </i>
    <i r="1">
      <x v="261"/>
    </i>
    <i>
      <x v="24"/>
    </i>
    <i r="1">
      <x v="2"/>
    </i>
    <i>
      <x v="26"/>
    </i>
    <i r="1">
      <x v="50"/>
    </i>
    <i r="1">
      <x v="99"/>
    </i>
    <i r="1">
      <x v="100"/>
    </i>
    <i r="1">
      <x v="118"/>
    </i>
    <i r="1">
      <x v="162"/>
    </i>
    <i r="1">
      <x v="165"/>
    </i>
    <i r="1">
      <x v="171"/>
    </i>
    <i r="1">
      <x v="306"/>
    </i>
    <i>
      <x v="27"/>
    </i>
    <i r="1">
      <x v="240"/>
    </i>
    <i r="1">
      <x v="250"/>
    </i>
    <i>
      <x v="28"/>
    </i>
    <i r="1">
      <x v="290"/>
    </i>
    <i>
      <x v="29"/>
    </i>
    <i r="1">
      <x v="66"/>
    </i>
    <i r="1">
      <x v="136"/>
    </i>
    <i r="1">
      <x v="137"/>
    </i>
    <i r="1">
      <x v="138"/>
    </i>
    <i r="1">
      <x v="175"/>
    </i>
    <i r="1">
      <x v="232"/>
    </i>
    <i r="1">
      <x v="235"/>
    </i>
    <i r="1">
      <x v="236"/>
    </i>
    <i r="1">
      <x v="237"/>
    </i>
    <i r="1">
      <x v="238"/>
    </i>
    <i r="1">
      <x v="319"/>
    </i>
    <i>
      <x v="30"/>
    </i>
    <i r="1">
      <x v="23"/>
    </i>
    <i r="1">
      <x v="25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>
      <x v="31"/>
    </i>
    <i r="1">
      <x v="109"/>
    </i>
    <i r="1">
      <x v="110"/>
    </i>
    <i r="1">
      <x v="322"/>
    </i>
    <i>
      <x v="32"/>
    </i>
    <i r="1">
      <x v="97"/>
    </i>
    <i r="1">
      <x v="163"/>
    </i>
    <i r="1">
      <x v="292"/>
    </i>
    <i>
      <x v="33"/>
    </i>
    <i r="1">
      <x v="164"/>
    </i>
    <i r="1">
      <x v="251"/>
    </i>
    <i>
      <x v="38"/>
    </i>
    <i r="1">
      <x v="10"/>
    </i>
    <i r="1">
      <x v="40"/>
    </i>
    <i r="1">
      <x v="41"/>
    </i>
    <i r="1">
      <x v="42"/>
    </i>
    <i r="1">
      <x v="49"/>
    </i>
    <i r="1">
      <x v="64"/>
    </i>
    <i r="1">
      <x v="65"/>
    </i>
    <i r="1">
      <x v="81"/>
    </i>
    <i r="1">
      <x v="156"/>
    </i>
    <i r="1">
      <x v="194"/>
    </i>
    <i r="1">
      <x v="224"/>
    </i>
    <i>
      <x v="39"/>
    </i>
    <i r="1">
      <x v="143"/>
    </i>
    <i r="1">
      <x v="205"/>
    </i>
    <i>
      <x v="40"/>
    </i>
    <i r="1">
      <x v="3"/>
    </i>
    <i r="1">
      <x v="4"/>
    </i>
    <i r="1">
      <x v="5"/>
    </i>
    <i r="1">
      <x v="8"/>
    </i>
    <i r="1">
      <x v="12"/>
    </i>
    <i r="1">
      <x v="13"/>
    </i>
    <i r="1">
      <x v="14"/>
    </i>
    <i r="1">
      <x v="16"/>
    </i>
    <i r="1">
      <x v="47"/>
    </i>
    <i r="1">
      <x v="48"/>
    </i>
    <i r="1">
      <x v="56"/>
    </i>
    <i r="1">
      <x v="67"/>
    </i>
    <i r="1">
      <x v="68"/>
    </i>
    <i r="1">
      <x v="75"/>
    </i>
    <i r="1">
      <x v="83"/>
    </i>
    <i r="1">
      <x v="88"/>
    </i>
    <i r="1">
      <x v="89"/>
    </i>
    <i r="1">
      <x v="94"/>
    </i>
    <i r="1">
      <x v="95"/>
    </i>
    <i r="1">
      <x v="96"/>
    </i>
    <i r="1">
      <x v="102"/>
    </i>
    <i r="1">
      <x v="140"/>
    </i>
    <i r="1">
      <x v="141"/>
    </i>
    <i r="1">
      <x v="149"/>
    </i>
    <i r="1">
      <x v="150"/>
    </i>
    <i r="1">
      <x v="151"/>
    </i>
    <i r="1">
      <x v="154"/>
    </i>
    <i r="1">
      <x v="200"/>
    </i>
    <i r="1">
      <x v="209"/>
    </i>
    <i r="1">
      <x v="219"/>
    </i>
    <i r="1">
      <x v="220"/>
    </i>
    <i r="1">
      <x v="241"/>
    </i>
    <i r="1">
      <x v="243"/>
    </i>
    <i r="1">
      <x v="244"/>
    </i>
    <i r="1">
      <x v="247"/>
    </i>
    <i r="1">
      <x v="248"/>
    </i>
    <i r="1">
      <x v="255"/>
    </i>
    <i r="1">
      <x v="256"/>
    </i>
    <i r="1">
      <x v="257"/>
    </i>
    <i r="1">
      <x v="258"/>
    </i>
    <i r="1">
      <x v="267"/>
    </i>
    <i r="1">
      <x v="270"/>
    </i>
    <i r="1">
      <x v="280"/>
    </i>
    <i r="1">
      <x v="281"/>
    </i>
    <i r="1">
      <x v="282"/>
    </i>
    <i r="1">
      <x v="283"/>
    </i>
    <i r="1">
      <x v="284"/>
    </i>
    <i r="1">
      <x v="291"/>
    </i>
    <i r="1">
      <x v="295"/>
    </i>
    <i r="1">
      <x v="296"/>
    </i>
    <i r="1">
      <x v="297"/>
    </i>
    <i r="1">
      <x v="298"/>
    </i>
    <i r="1">
      <x v="300"/>
    </i>
    <i r="1">
      <x v="301"/>
    </i>
    <i r="1">
      <x v="312"/>
    </i>
    <i r="1">
      <x v="313"/>
    </i>
    <i r="1">
      <x v="320"/>
    </i>
    <i r="1">
      <x v="321"/>
    </i>
    <i r="1">
      <x v="323"/>
    </i>
    <i r="1">
      <x v="327"/>
    </i>
    <i>
      <x v="41"/>
    </i>
    <i r="1">
      <x v="19"/>
    </i>
    <i r="1">
      <x v="20"/>
    </i>
    <i r="1">
      <x v="21"/>
    </i>
    <i r="1">
      <x v="53"/>
    </i>
    <i r="1">
      <x v="76"/>
    </i>
    <i r="1">
      <x v="91"/>
    </i>
    <i r="1">
      <x v="139"/>
    </i>
    <i r="1">
      <x v="152"/>
    </i>
    <i r="1">
      <x v="222"/>
    </i>
    <i r="1">
      <x v="254"/>
    </i>
    <i r="1">
      <x v="274"/>
    </i>
    <i r="1">
      <x v="285"/>
    </i>
    <i r="1">
      <x v="315"/>
    </i>
    <i r="1">
      <x v="316"/>
    </i>
    <i r="1">
      <x v="317"/>
    </i>
    <i>
      <x v="42"/>
    </i>
    <i r="1">
      <x v="43"/>
    </i>
    <i r="1">
      <x v="63"/>
    </i>
    <i r="1">
      <x v="71"/>
    </i>
    <i r="1">
      <x v="72"/>
    </i>
    <i r="1">
      <x v="73"/>
    </i>
    <i r="1">
      <x v="74"/>
    </i>
    <i r="1">
      <x v="153"/>
    </i>
    <i r="1">
      <x v="160"/>
    </i>
    <i r="1">
      <x v="203"/>
    </i>
    <i r="1">
      <x v="204"/>
    </i>
    <i r="1">
      <x v="223"/>
    </i>
    <i r="1">
      <x v="228"/>
    </i>
    <i r="1">
      <x v="229"/>
    </i>
    <i r="1">
      <x v="230"/>
    </i>
    <i r="1">
      <x v="231"/>
    </i>
    <i>
      <x v="43"/>
    </i>
    <i r="1">
      <x v="11"/>
    </i>
    <i r="1">
      <x v="52"/>
    </i>
    <i r="1">
      <x v="54"/>
    </i>
    <i r="1">
      <x v="176"/>
    </i>
    <i r="1">
      <x v="201"/>
    </i>
    <i r="1">
      <x v="210"/>
    </i>
    <i r="1">
      <x v="225"/>
    </i>
    <i>
      <x v="46"/>
    </i>
    <i r="1">
      <x v="147"/>
    </i>
    <i r="1">
      <x v="148"/>
    </i>
    <i r="1">
      <x v="167"/>
    </i>
    <i>
      <x v="47"/>
    </i>
    <i r="1">
      <x v="70"/>
    </i>
    <i>
      <x v="48"/>
    </i>
    <i r="1">
      <x v="51"/>
    </i>
    <i r="1">
      <x v="57"/>
    </i>
    <i r="1">
      <x v="58"/>
    </i>
    <i r="1">
      <x v="59"/>
    </i>
    <i r="1">
      <x v="61"/>
    </i>
    <i r="1">
      <x v="275"/>
    </i>
    <i r="1">
      <x v="278"/>
    </i>
    <i>
      <x v="49"/>
    </i>
    <i r="1">
      <x v="302"/>
    </i>
    <i>
      <x v="50"/>
    </i>
    <i r="1">
      <x v="1"/>
    </i>
    <i r="1">
      <x v="9"/>
    </i>
    <i r="1">
      <x v="39"/>
    </i>
    <i r="1">
      <x v="85"/>
    </i>
    <i r="1">
      <x v="86"/>
    </i>
    <i r="1">
      <x v="103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30"/>
    </i>
    <i r="1">
      <x v="132"/>
    </i>
    <i r="1">
      <x v="133"/>
    </i>
    <i r="1">
      <x v="135"/>
    </i>
    <i r="1">
      <x v="157"/>
    </i>
    <i r="1">
      <x v="168"/>
    </i>
    <i r="1">
      <x v="173"/>
    </i>
    <i r="1">
      <x v="183"/>
    </i>
    <i r="1">
      <x v="202"/>
    </i>
    <i r="1">
      <x v="221"/>
    </i>
    <i r="1">
      <x v="226"/>
    </i>
    <i r="1">
      <x v="227"/>
    </i>
    <i r="1">
      <x v="233"/>
    </i>
    <i r="1">
      <x v="245"/>
    </i>
    <i r="1">
      <x v="288"/>
    </i>
    <i r="1">
      <x v="294"/>
    </i>
    <i r="1">
      <x v="299"/>
    </i>
    <i r="1">
      <x v="304"/>
    </i>
    <i r="1">
      <x v="305"/>
    </i>
    <i r="1">
      <x v="324"/>
    </i>
    <i>
      <x v="51"/>
    </i>
    <i r="1">
      <x v="17"/>
    </i>
    <i r="1">
      <x v="60"/>
    </i>
    <i r="1">
      <x v="69"/>
    </i>
    <i r="1">
      <x v="79"/>
    </i>
    <i r="1">
      <x v="80"/>
    </i>
    <i r="1">
      <x v="82"/>
    </i>
    <i r="1">
      <x v="87"/>
    </i>
    <i r="1">
      <x v="90"/>
    </i>
    <i r="1">
      <x v="105"/>
    </i>
    <i r="1">
      <x v="106"/>
    </i>
    <i r="1">
      <x v="107"/>
    </i>
    <i r="1">
      <x v="108"/>
    </i>
    <i r="1">
      <x v="129"/>
    </i>
    <i r="1">
      <x v="131"/>
    </i>
    <i r="1">
      <x v="172"/>
    </i>
    <i r="1">
      <x v="174"/>
    </i>
    <i r="1">
      <x v="182"/>
    </i>
    <i r="1">
      <x v="184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5"/>
    </i>
    <i r="1">
      <x v="196"/>
    </i>
    <i r="1">
      <x v="246"/>
    </i>
    <i r="1">
      <x v="252"/>
    </i>
    <i r="1">
      <x v="262"/>
    </i>
    <i r="1">
      <x v="264"/>
    </i>
    <i r="1">
      <x v="265"/>
    </i>
    <i r="1">
      <x v="266"/>
    </i>
    <i r="1">
      <x v="268"/>
    </i>
    <i r="1">
      <x v="269"/>
    </i>
    <i r="1">
      <x v="293"/>
    </i>
    <i r="1">
      <x v="303"/>
    </i>
    <i r="1">
      <x v="307"/>
    </i>
    <i r="1">
      <x v="308"/>
    </i>
    <i r="1">
      <x v="309"/>
    </i>
    <i r="1">
      <x v="322"/>
    </i>
    <i r="1">
      <x v="325"/>
    </i>
    <i r="1">
      <x v="326"/>
    </i>
    <i>
      <x v="52"/>
    </i>
    <i r="1">
      <x v="6"/>
    </i>
    <i r="1">
      <x v="92"/>
    </i>
    <i r="1">
      <x v="166"/>
    </i>
    <i r="1">
      <x v="272"/>
    </i>
    <i>
      <x v="53"/>
    </i>
    <i r="1">
      <x v="157"/>
    </i>
    <i r="1">
      <x v="169"/>
    </i>
    <i r="1">
      <x v="178"/>
    </i>
    <i r="1">
      <x v="179"/>
    </i>
    <i r="1">
      <x v="180"/>
    </i>
    <i r="1">
      <x v="181"/>
    </i>
    <i r="1">
      <x v="3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Ppto. Orden Interna [DOP]" fld="14" baseField="0" baseItem="0" numFmtId="166"/>
    <dataField name="Suma de Ppto. Orden Interna [USD]" fld="15" baseField="0" baseItem="0" numFmtId="166"/>
    <dataField name="Suma de Pago 1" fld="24" baseField="0" baseItem="0" numFmtId="166"/>
    <dataField name="Suma de Pago 2" fld="27" baseField="0" baseItem="0" numFmtId="166"/>
    <dataField name="Suma de Pago 3" fld="30" baseField="0" baseItem="0" numFmtId="166"/>
    <dataField name="Suma de Pago 4" fld="33" baseField="0" baseItem="0" numFmtId="166"/>
    <dataField name="Suma de Pago 5" fld="36" baseField="0" baseItem="0" numFmtId="166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39C6-D3CC-46E3-8EE8-0172FEA8AAD5}" name="PPto" displayName="PPto" ref="A20:N89" headerRowDxfId="338">
  <tableColumns count="14">
    <tableColumn id="1" xr3:uid="{79E752A2-4F83-47F4-A28D-8FC5049B25CE}" name="Part." totalsRowLabel="Total" dataDxfId="337" totalsRowDxfId="336"/>
    <tableColumn id="8" xr3:uid="{6C6CC44E-7097-43E1-B9DB-CE6008E12528}" name="Gran Part."/>
    <tableColumn id="2" xr3:uid="{97080DDC-48F4-420A-84F1-A2DE757110C2}" name="Edificación, Instalaciones y Equipamientos" dataDxfId="335" totalsRowDxfId="334"/>
    <tableColumn id="10" xr3:uid="{5A8165F4-0A70-46F1-8678-F929D43FE3BA}" name="Total [USD]" dataDxfId="333" totalsRowDxfId="332" dataCellStyle="Millares">
      <calculatedColumnFormula>SUM(D22:D28)</calculatedColumnFormula>
    </tableColumn>
    <tableColumn id="12" xr3:uid="{F965A044-63F4-4200-B0B2-14E7A4CC6390}" name="Total [USD]3" dataDxfId="331" totalsRowDxfId="330" dataCellStyle="Millares"/>
    <tableColumn id="11" xr3:uid="{398E4EA6-BA6C-4AA7-8062-989B269A1AA5}" name="Columna2" dataDxfId="329" totalsRowDxfId="328"/>
    <tableColumn id="4" xr3:uid="{875F3B5F-069F-4B1D-A26F-9C337EBB0E71}" name="Ppto. OI [DOP]2" dataDxfId="327" totalsRowDxfId="326" dataCellStyle="Millares"/>
    <tableColumn id="5" xr3:uid="{EC6E05E6-D0BD-49C7-B88B-F1670D31C4D4}" name="Ppto. Capex [DOP]" dataDxfId="325" totalsRowDxfId="324" dataCellStyle="Millares"/>
    <tableColumn id="6" xr3:uid="{9CF8237E-950D-4274-891D-E80D5A98AE37}" name="Total [DOP]" dataDxfId="323" totalsRowDxfId="322" dataCellStyle="Millares">
      <calculatedColumnFormula>PPto[[#This Row],[Ppto. Capex '[DOP']]]+PPto[[#This Row],[Ppto. OI '[DOP']2]]</calculatedColumnFormula>
    </tableColumn>
    <tableColumn id="3" xr3:uid="{9755C562-A26D-41DF-80A1-9E83CE50ED9B}" name="Ppto. OI [USD]" dataDxfId="321" totalsRowDxfId="320" dataCellStyle="Millares"/>
    <tableColumn id="7" xr3:uid="{BC4EECF9-8310-4553-A78F-F0DEBD21727A}" name="Ppto. Capex [USD]" dataDxfId="319" totalsRowDxfId="318" dataCellStyle="Millares"/>
    <tableColumn id="9" xr3:uid="{E1B56C5A-5657-449B-B0C3-1F9B430BF214}" name="Total [USD]2" totalsRowFunction="sum" dataDxfId="317" totalsRowDxfId="316" dataCellStyle="Millares">
      <calculatedColumnFormula>PPto[[#This Row],[Ppto. Capex '[USD']]]+PPto[[#This Row],[Ppto. OI '[USD']]]</calculatedColumnFormula>
    </tableColumn>
    <tableColumn id="14" xr3:uid="{B7F1E2F7-C180-43D4-BAF1-F77D7F75C36F}" name="Columna1"/>
    <tableColumn id="13" xr3:uid="{91CE1F1E-4FFE-47FF-8682-0BD22C2D00C4}" name="Ahorro según ejecución " dataDxfId="315">
      <calculatedColumnFormula>+PPto[[#This Row],[Total '[USD']3]]-PPto[[#This Row],[Total '[USD']2]]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BD4D42-2AB6-4DDD-93A1-C547FC46FB6F}" name="Tabla3" displayName="Tabla3" ref="A5:AH75" totalsRowCount="1" headerRowDxfId="314" totalsRowBorderDxfId="313">
  <autoFilter ref="A5:AH74" xr:uid="{21BD4D42-2AB6-4DDD-93A1-C547FC46FB6F}">
    <filterColumn colId="2">
      <colorFilter dxfId="312"/>
    </filterColumn>
  </autoFilter>
  <tableColumns count="34">
    <tableColumn id="1" xr3:uid="{72D19A11-688A-480A-9FA4-96BAE5045D5E}" name="Part." totalsRowLabel="Total" dataDxfId="311" totalsRowDxfId="310"/>
    <tableColumn id="2" xr3:uid="{8072D5A8-92FB-460F-A5DA-F114F16E226B}" name="Edificación, Instalaciones y Equipamientos" totalsRowLabel="Total - DOP" dataDxfId="309" totalsRowDxfId="308">
      <calculatedColumnFormula>VLOOKUP(Tabla3[[#This Row],[Part.]],PPto[],3,FALSE)</calculatedColumnFormula>
    </tableColumn>
    <tableColumn id="3" xr3:uid="{C67E90F0-F64E-4805-AB95-0A6F9C235529}" name="Ppto OI [DOP]" totalsRowFunction="custom" dataDxfId="307" totalsRowDxfId="306" dataCellStyle="Millares">
      <totalsRowFormula>C68+C59+C51+C45+C37+C33+C28+C16+C6</totalsRowFormula>
    </tableColumn>
    <tableColumn id="4" xr3:uid="{1420A1EB-6234-4D13-96B7-4FA8C61E7CBA}" name="P1" totalsRowFunction="custom" dataDxfId="305" totalsRowDxfId="304">
      <totalsRowFormula>D68+D59+D51+D45+D37+D33+D28+D16+D6</totalsRowFormula>
    </tableColumn>
    <tableColumn id="5" xr3:uid="{E9F3080F-A530-4A45-B25E-9CE6F3DEAD45}" name="P2" totalsRowFunction="custom" dataDxfId="303" totalsRowDxfId="302">
      <totalsRowFormula>E68+E59+E51+E45+E37+E33+E28+E16+E6</totalsRowFormula>
    </tableColumn>
    <tableColumn id="6" xr3:uid="{409CD941-BF82-4214-9C02-E96DF66C0BFB}" name="P3" totalsRowFunction="custom" dataDxfId="301" totalsRowDxfId="300">
      <totalsRowFormula>F68+F59+F51+F45+F37+F33+F28+F16+F6</totalsRowFormula>
    </tableColumn>
    <tableColumn id="7" xr3:uid="{8F37FB2E-BE3F-4EF1-B783-70077B3E68FD}" name="P4" totalsRowFunction="custom" dataDxfId="299" totalsRowDxfId="298">
      <totalsRowFormula>G68+G59+G51+G45+G37+G33+G28+G16+G6</totalsRowFormula>
    </tableColumn>
    <tableColumn id="8" xr3:uid="{A951B9FA-5EF8-4D08-B394-D99B5AB94E60}" name="P5" totalsRowFunction="custom" dataDxfId="297" totalsRowDxfId="296">
      <totalsRowFormula>H68+H59+H51+H45+H37+H33+H28+H16+H6</totalsRowFormula>
    </tableColumn>
    <tableColumn id="9" xr3:uid="{1048F746-35A3-4C4E-8EBC-5DF920C79AC0}" name="P6" totalsRowFunction="custom" dataDxfId="295" totalsRowDxfId="294">
      <totalsRowFormula>I68+I59+I51+I45+I37+I33+I28+I16+I6</totalsRowFormula>
    </tableColumn>
    <tableColumn id="10" xr3:uid="{E6040B9A-BF1C-4AC7-881C-FEEBC01F309F}" name="P7" totalsRowFunction="custom" dataDxfId="293" totalsRowDxfId="292">
      <totalsRowFormula>J68+J59+J51+J45+J37+J33+J28+J16+J6</totalsRowFormula>
    </tableColumn>
    <tableColumn id="11" xr3:uid="{B1949E19-A18B-4476-BBFF-5D138E1023CD}" name="P8" totalsRowFunction="custom" dataDxfId="291" totalsRowDxfId="290">
      <totalsRowFormula>K68+K59+K51+K45+K37+K33+K28+K16+K6</totalsRowFormula>
    </tableColumn>
    <tableColumn id="12" xr3:uid="{C70E5387-BC35-44B6-A147-365B91BE7456}" name="P9" totalsRowFunction="custom" dataDxfId="289" totalsRowDxfId="288">
      <totalsRowFormula>L68+L59+L51+L45+L37+L33+L28+L16+L6</totalsRowFormula>
    </tableColumn>
    <tableColumn id="13" xr3:uid="{AAD29839-84F2-4F5B-B3DC-594BBE3B6563}" name="P10" totalsRowFunction="custom" dataDxfId="287" totalsRowDxfId="286">
      <totalsRowFormula>M68+M59+M51+M45+M37+M33+M28+M16+M6</totalsRowFormula>
    </tableColumn>
    <tableColumn id="14" xr3:uid="{B0B0A463-BE8E-4640-B276-BB468DC06EA0}" name="P11" totalsRowFunction="custom" dataDxfId="285" totalsRowDxfId="284">
      <totalsRowFormula>N68+N59+N51+N45+N37+N33+N28+N16+N6</totalsRowFormula>
    </tableColumn>
    <tableColumn id="15" xr3:uid="{9AE03CFB-FCC3-4B81-B1B6-15815E91BAF1}" name="P12" totalsRowFunction="custom" dataDxfId="283" totalsRowDxfId="282">
      <totalsRowFormula>O68+O59+O51+O45+O37+O33+O28+O16+O6</totalsRowFormula>
    </tableColumn>
    <tableColumn id="16" xr3:uid="{216E496E-1FBF-48EA-8FFA-2BFF3774CDE6}" name="P13" totalsRowFunction="custom" dataDxfId="281" totalsRowDxfId="280">
      <totalsRowFormula>P68+P59+P51+P45+P37+P33+P28+P16+P6</totalsRowFormula>
    </tableColumn>
    <tableColumn id="17" xr3:uid="{E3CD3759-EEAB-4FB8-A88E-5D9FB3EC0BCA}" name="P14" totalsRowFunction="custom" dataDxfId="279" totalsRowDxfId="278">
      <totalsRowFormula>Q68+Q59+Q51+Q45+Q37+Q33+Q28+Q16+Q6</totalsRowFormula>
    </tableColumn>
    <tableColumn id="18" xr3:uid="{7F26701D-D9C5-462E-B93B-546DBA64207E}" name="P15" totalsRowFunction="custom" dataDxfId="277" totalsRowDxfId="276">
      <totalsRowFormula>R68+R59+R51+R45+R37+R33+R28+R16+R6</totalsRowFormula>
    </tableColumn>
    <tableColumn id="19" xr3:uid="{8B531EED-687B-4E3A-9C14-BD0A86B22CA3}" name="P16" totalsRowFunction="custom" dataDxfId="275" totalsRowDxfId="274">
      <totalsRowFormula>S68+S59+S51+S45+S37+S33+S28+S16+S6</totalsRowFormula>
    </tableColumn>
    <tableColumn id="20" xr3:uid="{DECC4CE9-2D35-4E58-A4A2-2274DEF15F25}" name="P17" totalsRowFunction="custom" dataDxfId="273" totalsRowDxfId="272">
      <totalsRowFormula>T68+T59+T51+T45+T37+T33+T28+T16+T6</totalsRowFormula>
    </tableColumn>
    <tableColumn id="21" xr3:uid="{0A7D79B7-FDE2-40A5-9A30-89E5314EAF5F}" name="P18" totalsRowFunction="custom" dataDxfId="271" totalsRowDxfId="270">
      <totalsRowFormula>U68+U59+U51+U45+U37+U33+U28+U16+U6</totalsRowFormula>
    </tableColumn>
    <tableColumn id="25" xr3:uid="{3193DA61-5A92-40CA-A4D6-6B89B821E7E7}" name="P19" totalsRowFunction="custom" dataDxfId="269" totalsRowDxfId="268">
      <calculatedColumnFormula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calculatedColumnFormula>
      <totalsRowFormula>V68+V59+V51+V45+V37+V33+V28+V16+V6</totalsRowFormula>
    </tableColumn>
    <tableColumn id="28" xr3:uid="{A40AA8E8-934F-4988-9492-D2EA9F22421E}" name="P20" totalsRowFunction="custom" dataDxfId="267" totalsRowDxfId="266">
      <calculatedColumnFormula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calculatedColumnFormula>
      <totalsRowFormula>W68+W59+W51+W45+W37+W33+W28+W16+W6</totalsRowFormula>
    </tableColumn>
    <tableColumn id="27" xr3:uid="{92DDEC89-5F66-440D-A9CC-546B2B71DE74}" name="P21" totalsRowFunction="custom" dataDxfId="265" totalsRowDxfId="264">
      <calculatedColumnFormula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calculatedColumnFormula>
      <totalsRowFormula>X68+X59+X51+X45+X37+X33+X28+X16+X6</totalsRowFormula>
    </tableColumn>
    <tableColumn id="26" xr3:uid="{6385EDF9-FC27-4661-9410-F8B570B64281}" name="P22" totalsRowFunction="custom" dataDxfId="263" totalsRowDxfId="262">
      <calculatedColumnFormula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calculatedColumnFormula>
      <totalsRowFormula>Y68+Y59+Y51+Y45+Y37+Y33+Y28+Y16+Y6</totalsRowFormula>
    </tableColumn>
    <tableColumn id="30" xr3:uid="{EB289107-B443-4367-9E14-8A0C3ABCD111}" name="P23" totalsRowFunction="custom" dataDxfId="261" totalsRowDxfId="260">
      <totalsRowFormula>Z68+Z59+Z51+Z45+Z37+Z33+Z28+Z16+Z6</totalsRowFormula>
    </tableColumn>
    <tableColumn id="29" xr3:uid="{F1440D09-DA61-40D7-BA7A-905C4104E5BB}" name="P24" dataDxfId="259" totalsRowDxfId="258"/>
    <tableColumn id="33" xr3:uid="{1E414F50-8DD9-4461-9BA0-634743125E6A}" name="P245" dataDxfId="257" totalsRowDxfId="256">
      <calculatedColumnFormula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calculatedColumnFormula>
    </tableColumn>
    <tableColumn id="34" xr3:uid="{406FE979-CD31-49FD-9E89-82E410E96912}" name="P246" dataDxfId="255" totalsRowDxfId="254">
      <calculatedColumnFormula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calculatedColumnFormula>
    </tableColumn>
    <tableColumn id="31" xr3:uid="{7BEE7B55-ED17-4FDC-9FD9-24D13BDBC772}" name="P243" dataDxfId="253" totalsRowDxfId="252">
      <calculatedColumnFormula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calculatedColumnFormula>
    </tableColumn>
    <tableColumn id="32" xr3:uid="{6C8D99DC-0395-44EE-96F2-EEE98B0C7107}" name="P244" dataDxfId="251" totalsRowDxfId="250">
      <calculatedColumnFormula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calculatedColumnFormula>
    </tableColumn>
    <tableColumn id="24" xr3:uid="{BA52CAED-281D-45E4-B10B-0FC0CFB26501}" name="P242" dataDxfId="249" totalsRowDxfId="248">
      <calculatedColumnFormula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calculatedColumnFormula>
    </tableColumn>
    <tableColumn id="23" xr3:uid="{1AD50FCA-219C-4A5E-8ACD-8C775C672EEF}" name="P25" dataDxfId="247" totalsRowDxfId="246">
      <calculatedColumnFormula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calculatedColumnFormula>
    </tableColumn>
    <tableColumn id="22" xr3:uid="{35ECF56E-FF81-43F8-9E55-1464C0DBDD06}" name="Total Ppto." totalsRowFunction="custom" dataDxfId="245" totalsRowDxfId="244">
      <calculatedColumnFormula>SUM(Tabla3[[#This Row],[P1]:[P24]])</calculatedColumnFormula>
      <totalsRowFormula>AH68+AH59+AH51+AH45+AH37+AH33+AH28+AH16+AH6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EB27C-5912-45F2-A52E-AF6463BCCB96}" name="BD.PD" displayName="BD.PD" ref="A4:AI361" totalsRowCount="1" headerRowDxfId="411" dataDxfId="410" totalsRowDxfId="409">
  <autoFilter ref="A4:AI360" xr:uid="{986B6B00-1F88-4258-89C2-EC784BD693BA}"/>
  <sortState xmlns:xlrd2="http://schemas.microsoft.com/office/spreadsheetml/2017/richdata2" ref="A5:AI360">
    <sortCondition ref="C4:C360"/>
  </sortState>
  <tableColumns count="35">
    <tableColumn id="2" xr3:uid="{6E1F23B9-9ABF-420B-9D23-5C597165F81B}" name="Pos" totalsRowLabel="Total" dataDxfId="408" totalsRowDxfId="407"/>
    <tableColumn id="31" xr3:uid="{B179A0A2-1BEF-46ED-B96E-A4FFB337ABCA}" name="." dataDxfId="406" totalsRowDxfId="405"/>
    <tableColumn id="3" xr3:uid="{1D00EF5A-3CD8-4013-9AF0-93DD31BDB608}" name="Partidas" dataDxfId="404" totalsRowDxfId="403">
      <calculatedColumnFormula>VLOOKUP(BD.PD[[#This Row],[Pos]],PPto[],3,FALSE)</calculatedColumnFormula>
    </tableColumn>
    <tableColumn id="35" xr3:uid="{7A357675-B0C6-4946-96FB-264DCF2E0B5D}" name="Tipo Ppto" dataDxfId="402" totalsRowDxfId="401"/>
    <tableColumn id="32" xr3:uid="{5A561947-1813-478B-936C-D3141334F071}" name="Plan" totalsRowFunction="sum" dataDxfId="400" totalsRowDxfId="399">
      <calculatedColumnFormula>IF(BD.PD[[#This Row],[.]]="*",VLOOKUP(BD.PD[[#This Row],[Pos]],Presupuesto!A:H,7,FALSE),"")</calculatedColumnFormula>
    </tableColumn>
    <tableColumn id="4" xr3:uid="{FBD07775-E1C5-4DB6-BD96-547ACEBA2E9D}" name="Item" dataDxfId="398" totalsRowDxfId="397"/>
    <tableColumn id="33" xr3:uid="{0D8195DB-6061-4036-83AA-0F67754C57C5}" name="Orden de compra " dataDxfId="396" totalsRowDxfId="395"/>
    <tableColumn id="30" xr3:uid="{BBCEFCD1-5283-430E-AFA5-DD5ABCF7792A}" name="Fecha " dataDxfId="394" totalsRowDxfId="393"/>
    <tableColumn id="7" xr3:uid="{F7FB70C2-3DCB-4767-862A-AEA09481803C}" name="Cant." dataDxfId="392" totalsRowDxfId="391" dataCellStyle="Millares"/>
    <tableColumn id="8" xr3:uid="{167BE5A9-8F34-4574-BC08-6BF3AA7565A0}" name="Mon" dataDxfId="390" totalsRowDxfId="389"/>
    <tableColumn id="9" xr3:uid="{0288CF2F-D58D-481D-9C3C-FB7E9394B22B}" name=" Tasa " dataDxfId="388" totalsRowDxfId="387" dataCellStyle="Millares">
      <calculatedColumnFormula>IF(BD.PD[[#This Row],[Mon]]="DOP",1,HLOOKUP(BD.PD[[#This Row],[Mon]],$J$1:$K$2,2,FALSE))</calculatedColumnFormula>
    </tableColumn>
    <tableColumn id="10" xr3:uid="{4E233B7C-5C4E-49BB-B0C9-984834F48697}" name=" Precio Und." dataDxfId="386" totalsRowDxfId="385" dataCellStyle="Millares"/>
    <tableColumn id="11" xr3:uid="{FA11E4BF-A8A4-4B36-8CC6-81D5493E3C55}" name="Valor Neto [DOP]" totalsRowFunction="sum" dataDxfId="384" totalsRowDxfId="383" dataCellStyle="Millares">
      <calculatedColumnFormula>BD.PD[[#This Row],[Cant.]]*BD.PD[[#This Row],[ Tasa ]]*BD.PD[[#This Row],[ Precio Und.]]</calculatedColumnFormula>
    </tableColumn>
    <tableColumn id="12" xr3:uid="{1757F09A-24E5-48BB-B92A-40CEB3577D7C}" name="Liquid. [%]" dataDxfId="382" totalsRowDxfId="381" dataCellStyle="Porcentaje"/>
    <tableColumn id="13" xr3:uid="{49944C88-B869-4B65-AD95-F6D7F15A2C53}" name="Ppto. Orden Interna [DOP]" totalsRowFunction="sum" dataDxfId="380" totalsRowDxfId="379" dataCellStyle="Millares">
      <calculatedColumnFormula>IF(BD.PD[[#This Row],[Liquid. '[%']]]&lt;&gt;0,(BD.PD[[#This Row],[Valor Neto '[DOP']]]*BD.PD[[#This Row],[Liquid. '[%']]])+BD.PD[[#This Row],[Valor Neto '[DOP']]],BD.PD[[#This Row],[Valor Neto '[DOP']]])</calculatedColumnFormula>
    </tableColumn>
    <tableColumn id="1" xr3:uid="{10B9B9FF-2DFD-48E9-914B-5F2D2DC739B6}" name="Ppto. Orden Interna [USD]" totalsRowFunction="sum" dataDxfId="378" totalsRowDxfId="377" dataCellStyle="Millares">
      <calculatedColumnFormula>BD.PD[[#This Row],[Ppto. Orden Interna '[DOP']]]/HLOOKUP("USD",$J$1:$K$2,2,FALSE)</calculatedColumnFormula>
    </tableColumn>
    <tableColumn id="14" xr3:uid="{64D44C23-EAC1-4FE9-8AC1-EE2C014E0FB1}" name="Comentario " dataDxfId="376" totalsRowDxfId="375" dataCellStyle="Millares"/>
    <tableColumn id="15" xr3:uid="{F69786D3-8695-4A1C-AFC2-B5F9A5A1DD98}" name="Proveedor" dataDxfId="374" totalsRowDxfId="373"/>
    <tableColumn id="5" xr3:uid="{E34C7C38-95E3-4E27-BD12-5013126ED9E4}" name="Per.P1" dataDxfId="372" totalsRowDxfId="371"/>
    <tableColumn id="6" xr3:uid="{7731102B-886F-4282-862E-18A12627E0F4}" name="Av.P1 [%]" dataDxfId="370" totalsRowDxfId="369" dataCellStyle="Porcentaje"/>
    <tableColumn id="16" xr3:uid="{D3C7E792-CEB4-4232-9079-57C5D837AA2F}" name="Pago 1" dataDxfId="368" totalsRowDxfId="367" dataCellStyle="Millares">
      <calculatedColumnFormula>BD.PD[[#This Row],[Av.P1 '[%']]]*BD.PD[[#This Row],[Ppto. Orden Interna '[DOP']]]</calculatedColumnFormula>
    </tableColumn>
    <tableColumn id="17" xr3:uid="{B4AD9A79-39C1-43CA-A322-B5BF19A42CE6}" name="Per.P2" dataDxfId="366" totalsRowDxfId="365"/>
    <tableColumn id="18" xr3:uid="{A5D40D90-6ACC-4AB8-978F-869E0DFD362A}" name="Av.P2 [%]" dataDxfId="364" totalsRowDxfId="363" dataCellStyle="Porcentaje"/>
    <tableColumn id="19" xr3:uid="{6CE2E88D-623A-49CA-99A1-1C5667205607}" name="Pago 2" dataDxfId="362" totalsRowDxfId="361" dataCellStyle="Millares">
      <calculatedColumnFormula>BD.PD[[#This Row],[Av.P2 '[%']]]*BD.PD[[#This Row],[Ppto. Orden Interna '[DOP']]]</calculatedColumnFormula>
    </tableColumn>
    <tableColumn id="20" xr3:uid="{3B3812E2-4F38-458B-A533-F2937AD9DA84}" name="Per.P3" dataDxfId="360" totalsRowDxfId="359"/>
    <tableColumn id="21" xr3:uid="{5028AE15-8D1D-4AFB-ADF0-FD2ABDEA35F4}" name="Av.P3 [%]" dataDxfId="358" totalsRowDxfId="357" dataCellStyle="Porcentaje"/>
    <tableColumn id="22" xr3:uid="{08CB78D6-1771-4252-AAC4-E2300F3269F6}" name="Pago 3" dataDxfId="356" totalsRowDxfId="355" dataCellStyle="Millares">
      <calculatedColumnFormula>BD.PD[[#This Row],[Av.P3 '[%']]]*BD.PD[[#This Row],[Ppto. Orden Interna '[DOP']]]</calculatedColumnFormula>
    </tableColumn>
    <tableColumn id="23" xr3:uid="{35EF6CC6-580F-4219-8280-943AB6D628F3}" name="Per.P4" dataDxfId="354" totalsRowDxfId="353"/>
    <tableColumn id="24" xr3:uid="{74A758BA-4DC7-462D-B212-CF929712C032}" name="Av.P4 [%]" dataDxfId="352" totalsRowDxfId="351" dataCellStyle="Porcentaje"/>
    <tableColumn id="25" xr3:uid="{DF9051AA-8884-4424-BA0D-6404ADD5D432}" name="Pago 4" dataDxfId="350" totalsRowDxfId="349" dataCellStyle="Millares">
      <calculatedColumnFormula>BD.PD[[#This Row],[Av.P4 '[%']]]*BD.PD[[#This Row],[Ppto. Orden Interna '[DOP']]]</calculatedColumnFormula>
    </tableColumn>
    <tableColumn id="26" xr3:uid="{936C815D-F13E-4C9A-A54A-FB341E22FA32}" name="Per.P5" dataDxfId="348" totalsRowDxfId="347"/>
    <tableColumn id="27" xr3:uid="{3DE00D5F-9982-4ECB-BA78-110EDB581B8C}" name="Av.P5 [%]" dataDxfId="346" totalsRowDxfId="345" dataCellStyle="Porcentaje"/>
    <tableColumn id="28" xr3:uid="{E0F4F641-D963-48EF-BC96-FEE728CA8B9A}" name="Pago 5" dataDxfId="344" totalsRowDxfId="343" dataCellStyle="Millares">
      <calculatedColumnFormula>BD.PD[[#This Row],[Av.P5 '[%']]]*BD.PD[[#This Row],[Ppto. Orden Interna '[DOP']]]</calculatedColumnFormula>
    </tableColumn>
    <tableColumn id="29" xr3:uid="{C73448D7-0E2B-4A19-AC36-823E8CCFF060}" name="Total Flujo Caja" totalsRowFunction="sum" dataDxfId="342" totalsRowDxfId="341" dataCellStyle="Millares">
      <calculatedColumnFormula>BD.PD[[#This Row],[Pago 5]]+BD.PD[[#This Row],[Pago 4]]+BD.PD[[#This Row],[Pago 3]]+BD.PD[[#This Row],[Pago 2]]+BD.PD[[#This Row],[Pago 1]]</calculatedColumnFormula>
    </tableColumn>
    <tableColumn id="39" xr3:uid="{1279A95E-2785-4468-922C-D043685BA717}" name="Columna1" dataDxfId="340" totalsRowDxfId="339"/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99FD3A-4751-47FB-9ED3-D4514CBC733F}" name="BD.PD510" displayName="BD.PD510" ref="A4:AM121" totalsRowCount="1" headerRowDxfId="243" dataDxfId="242" totalsRowDxfId="241">
  <autoFilter ref="A4:AM120" xr:uid="{0F4CF9C6-8835-432A-8956-D86D011EB138}">
    <filterColumn colId="3">
      <filters>
        <filter val="Tipo C"/>
      </filters>
    </filterColumn>
  </autoFilter>
  <sortState xmlns:xlrd2="http://schemas.microsoft.com/office/spreadsheetml/2017/richdata2" ref="A5:AM33">
    <sortCondition ref="B4:B33"/>
  </sortState>
  <tableColumns count="39">
    <tableColumn id="2" xr3:uid="{9B91FEF9-68B7-4A40-BAA8-66953CF38F0D}" name="Pos" totalsRowLabel="Total" dataDxfId="240" totalsRowDxfId="239"/>
    <tableColumn id="31" xr3:uid="{C8F04AD0-EFCB-434C-82F4-7C39BCB56704}" name="." dataDxfId="238" totalsRowDxfId="237"/>
    <tableColumn id="3" xr3:uid="{C516AFA7-DA15-475D-8F1B-DD87C062C5D6}" name="Partidas" dataDxfId="236" totalsRowDxfId="235">
      <calculatedColumnFormula>VLOOKUP(BD.PD510[[#This Row],[Pos]],[16]!PPto[#Data],3,FALSE)</calculatedColumnFormula>
    </tableColumn>
    <tableColumn id="35" xr3:uid="{DEAA11AD-0CCC-4E3E-B22B-CA4EA675C654}" name="Tipo Ppto" dataDxfId="234" totalsRowDxfId="233"/>
    <tableColumn id="32" xr3:uid="{19A99E58-8DC3-46DA-9610-E4BE157E427F}" name="Plan" totalsRowFunction="sum" dataDxfId="232" totalsRowDxfId="231">
      <calculatedColumnFormula>IF(BD.PD510[[#This Row],[.]]="*",VLOOKUP(BD.PD510[[#This Row],[Pos]],[16]Presupuesto!A:H,7,FALSE),"")</calculatedColumnFormula>
    </tableColumn>
    <tableColumn id="4" xr3:uid="{65ADECC9-7CD2-4EA5-8160-EB87056AE359}" name="Item" dataDxfId="230" totalsRowDxfId="229"/>
    <tableColumn id="33" xr3:uid="{AFB40573-3C0C-4595-AC9A-F83B399DAF22}" name="Orden de compra " dataDxfId="228" totalsRowDxfId="227"/>
    <tableColumn id="30" xr3:uid="{67A8B5A7-8746-4498-BAD6-DA4BE732F27B}" name="Fecha " dataDxfId="226" totalsRowDxfId="225"/>
    <tableColumn id="7" xr3:uid="{F88E80F4-4784-4517-A253-9DA2CE049F60}" name="Cant." dataDxfId="224" totalsRowDxfId="223" dataCellStyle="Millares"/>
    <tableColumn id="8" xr3:uid="{01D82EFB-BB15-4547-BD01-8F611838B171}" name="Mon" dataDxfId="222" totalsRowDxfId="221"/>
    <tableColumn id="9" xr3:uid="{82412019-F625-4BFE-8E84-C7A0DE58DDCB}" name=" Tasa " dataDxfId="220" totalsRowDxfId="219" dataCellStyle="Millares">
      <calculatedColumnFormula>IF(BD.PD510[[#This Row],[Mon]]="DOP",1,HLOOKUP(BD.PD510[[#This Row],[Mon]],$J$1:$K$2,2,FALSE))</calculatedColumnFormula>
    </tableColumn>
    <tableColumn id="10" xr3:uid="{CC6A4F7B-7158-437C-9BB6-FAB7F254E245}" name=" Precio Und." dataDxfId="218" totalsRowDxfId="217" dataCellStyle="Millares"/>
    <tableColumn id="11" xr3:uid="{76B33DD3-2A85-4948-BD37-71FFDC3A8345}" name="Valor Neto [DOP]" totalsRowFunction="sum" dataDxfId="216" totalsRowDxfId="215" dataCellStyle="Millares">
      <calculatedColumnFormula>BD.PD510[[#This Row],[Cant.]]*BD.PD510[[#This Row],[ Tasa ]]*BD.PD510[[#This Row],[ Precio Und.]]</calculatedColumnFormula>
    </tableColumn>
    <tableColumn id="12" xr3:uid="{D4280E96-157D-4348-B42C-3C9127E62D04}" name="Liquid. [%]" dataDxfId="214" totalsRowDxfId="213" dataCellStyle="Porcentaje"/>
    <tableColumn id="13" xr3:uid="{D45B811F-5A98-45A9-BD29-0F283F6570BA}" name="Ppto. Orden Interna [DOP]" totalsRowFunction="sum" dataDxfId="212" totalsRowDxfId="211" dataCellStyle="Millares">
      <calculatedColumnFormula>IF(BD.PD510[[#This Row],[Liquid. '[%']]]&lt;&gt;0,(BD.PD510[[#This Row],[Valor Neto '[DOP']]]*BD.PD510[[#This Row],[Liquid. '[%']]])+BD.PD510[[#This Row],[Valor Neto '[DOP']]],BD.PD510[[#This Row],[Valor Neto '[DOP']]])</calculatedColumnFormula>
    </tableColumn>
    <tableColumn id="1" xr3:uid="{51D65E1D-B1A2-4B7D-8961-DD7C113697E8}" name="Ppto. Orden Interna [USD]" totalsRowFunction="sum" dataDxfId="210" totalsRowDxfId="209" dataCellStyle="Millares">
      <calculatedColumnFormula>BD.PD510[[#This Row],[Ppto. Orden Interna '[DOP']]]/HLOOKUP("USD",$J$1:$K$2,2,FALSE)</calculatedColumnFormula>
    </tableColumn>
    <tableColumn id="14" xr3:uid="{7E9285A3-FAA9-4353-AF52-9AD04A4B66C6}" name="Comentario " dataDxfId="208" totalsRowDxfId="207" dataCellStyle="Millares"/>
    <tableColumn id="34" xr3:uid="{974AC682-5BE9-484F-BBDA-DB5713167320}" name="Notas" dataDxfId="206" totalsRowDxfId="205" dataCellStyle="Millares"/>
    <tableColumn id="38" xr3:uid="{89665905-0577-4041-AA42-F84DE6BE1E7E}" name="Documento Contable" dataDxfId="204" totalsRowDxfId="203" dataCellStyle="Millares"/>
    <tableColumn id="37" xr3:uid="{681AEB09-5C71-478B-BD96-7311FD2C6A10}" name="Orden Interna" dataDxfId="202" totalsRowDxfId="201" dataCellStyle="Millares"/>
    <tableColumn id="36" xr3:uid="{1DF6DA21-72B6-42B4-9087-CBB6D1F994EB}" name="AFeC" dataDxfId="200" totalsRowDxfId="199" dataCellStyle="Millares"/>
    <tableColumn id="15" xr3:uid="{49AB9FF2-F24F-4D39-B944-1D13CD1B38BF}" name="Proveedor" dataDxfId="198" totalsRowDxfId="197"/>
    <tableColumn id="5" xr3:uid="{E50CC82C-564F-4555-92B6-83B48A29F18A}" name="Per.P1" dataDxfId="196" totalsRowDxfId="195"/>
    <tableColumn id="6" xr3:uid="{C4AFA2BE-1900-4D63-A017-E613766AA8C8}" name="Av.P1 [%]" dataDxfId="194" totalsRowDxfId="193" dataCellStyle="Porcentaje"/>
    <tableColumn id="16" xr3:uid="{4DD11C24-86D3-4CAA-A05B-B4E6B7C82C31}" name="Pago 1" dataDxfId="192" totalsRowDxfId="191" dataCellStyle="Millares">
      <calculatedColumnFormula>BD.PD510[[#This Row],[Av.P1 '[%']]]*BD.PD510[[#This Row],[Ppto. Orden Interna '[DOP']]]</calculatedColumnFormula>
    </tableColumn>
    <tableColumn id="17" xr3:uid="{DC471BCD-B67D-4D8A-AD70-A746BE5BFBCB}" name="Per.P2" dataDxfId="190" totalsRowDxfId="189"/>
    <tableColumn id="18" xr3:uid="{5C8E0283-0821-454D-A319-E6ECC0E01B2D}" name="Av.P2 [%]" dataDxfId="188" totalsRowDxfId="187" dataCellStyle="Porcentaje"/>
    <tableColumn id="19" xr3:uid="{1EA8D7B1-2724-4321-864D-F7FC8FD3683C}" name="Pago 2" dataDxfId="186" totalsRowDxfId="185" dataCellStyle="Millares">
      <calculatedColumnFormula>BD.PD510[[#This Row],[Av.P2 '[%']]]*BD.PD510[[#This Row],[Ppto. Orden Interna '[DOP']]]</calculatedColumnFormula>
    </tableColumn>
    <tableColumn id="20" xr3:uid="{0E8E8D12-C551-43D1-8946-544224BC4F68}" name="Per.P3" dataDxfId="184" totalsRowDxfId="183"/>
    <tableColumn id="21" xr3:uid="{A9D888B2-AFD5-4A83-9D24-489FCF2F1D41}" name="Av.P3 [%]" dataDxfId="182" totalsRowDxfId="181" dataCellStyle="Porcentaje"/>
    <tableColumn id="22" xr3:uid="{2A2F0D53-1270-47AA-97BC-822DA792DFC6}" name="Pago 3" dataDxfId="180" totalsRowDxfId="179" dataCellStyle="Millares">
      <calculatedColumnFormula>BD.PD510[[#This Row],[Av.P3 '[%']]]*BD.PD510[[#This Row],[Ppto. Orden Interna '[DOP']]]</calculatedColumnFormula>
    </tableColumn>
    <tableColumn id="23" xr3:uid="{CACBA268-A624-4EE6-B55E-B164790B9247}" name="Per.P4" dataDxfId="178" totalsRowDxfId="177"/>
    <tableColumn id="24" xr3:uid="{22472D9D-C515-481B-ACD7-48512D7873CC}" name="Av.P4 [%]" dataDxfId="176" totalsRowDxfId="175" dataCellStyle="Porcentaje"/>
    <tableColumn id="25" xr3:uid="{C85F2A4D-BC78-4FCA-8A98-7F9F3AD47FB2}" name="Pago 4" dataDxfId="174" totalsRowDxfId="173" dataCellStyle="Millares">
      <calculatedColumnFormula>BD.PD510[[#This Row],[Av.P4 '[%']]]*BD.PD510[[#This Row],[Ppto. Orden Interna '[DOP']]]</calculatedColumnFormula>
    </tableColumn>
    <tableColumn id="26" xr3:uid="{215B233B-AE92-402B-A4C3-FE5A2A2181D2}" name="Per.P5" dataDxfId="172" totalsRowDxfId="171"/>
    <tableColumn id="27" xr3:uid="{979178A9-96BC-4152-B574-DA3975DEEF61}" name="Av.P5 [%]" dataDxfId="170" totalsRowDxfId="169" dataCellStyle="Porcentaje"/>
    <tableColumn id="28" xr3:uid="{430BF518-B6C1-479A-BFF5-5E46E0766867}" name="Pago 5" dataDxfId="168" totalsRowDxfId="167" dataCellStyle="Millares">
      <calculatedColumnFormula>BD.PD510[[#This Row],[Av.P5 '[%']]]*BD.PD510[[#This Row],[Ppto. Orden Interna '[DOP']]]</calculatedColumnFormula>
    </tableColumn>
    <tableColumn id="29" xr3:uid="{85B97192-E7A8-476A-AE94-7E4D4E3160A2}" name="Total Flujo Caja" totalsRowFunction="sum" dataDxfId="166" totalsRowDxfId="165" dataCellStyle="Millares">
      <calculatedColumnFormula>BD.PD510[[#This Row],[Pago 5]]+BD.PD510[[#This Row],[Pago 4]]+BD.PD510[[#This Row],[Pago 3]]+BD.PD510[[#This Row],[Pago 2]]+BD.PD510[[#This Row],[Pago 1]]</calculatedColumnFormula>
    </tableColumn>
    <tableColumn id="39" xr3:uid="{50E75494-6573-4106-93A4-B54B18AFF567}" name="Columna1" dataDxfId="164" totalsRowDxfId="163"/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24503C-8719-493E-9570-41BFC6BBD102}" name="Tabla35" displayName="Tabla35" ref="A1:C11" totalsRowShown="0">
  <autoFilter ref="A1:C11" xr:uid="{E19B9DA8-2AA1-472A-A89F-1B460877639B}"/>
  <tableColumns count="3">
    <tableColumn id="1" xr3:uid="{37792761-7977-4CEA-A994-67D8EE0DF941}" name="Puntos pendientes" dataDxfId="162"/>
    <tableColumn id="2" xr3:uid="{33492D89-1320-4E51-A02B-C2C003A17568}" name="Responsable" dataDxfId="161"/>
    <tableColumn id="3" xr3:uid="{F2B8CBD4-2002-4452-B29D-84A501F5FC17}" name="Columna1" dataDxfId="1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4AA9-39B4-4357-9D0D-5941F60EC1CB}">
  <sheetPr codeName="Hoja1">
    <tabColor rgb="FFFFC000"/>
  </sheetPr>
  <dimension ref="B1"/>
  <sheetViews>
    <sheetView showGridLines="0" workbookViewId="0">
      <selection activeCell="K11" sqref="K11"/>
    </sheetView>
  </sheetViews>
  <sheetFormatPr baseColWidth="10" defaultColWidth="11.5546875" defaultRowHeight="14.4" x14ac:dyDescent="0.3"/>
  <cols>
    <col min="1" max="1" width="13.44140625" style="54" customWidth="1"/>
    <col min="2" max="2" width="81.5546875" style="416" customWidth="1"/>
    <col min="3" max="16384" width="11.5546875" style="54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0C8-FB12-4892-B1FD-E49041EFC491}">
  <sheetPr codeName="Hoja2">
    <tabColor theme="8" tint="0.59999389629810485"/>
  </sheetPr>
  <dimension ref="A1:P89"/>
  <sheetViews>
    <sheetView showGridLines="0" topLeftCell="C1" zoomScale="87" zoomScaleNormal="87" workbookViewId="0">
      <selection activeCell="P20" sqref="P20"/>
    </sheetView>
  </sheetViews>
  <sheetFormatPr baseColWidth="10" defaultColWidth="11.44140625" defaultRowHeight="14.4" outlineLevelCol="1" x14ac:dyDescent="0.3"/>
  <cols>
    <col min="1" max="1" width="7" hidden="1" customWidth="1"/>
    <col min="2" max="2" width="13.44140625" hidden="1" customWidth="1"/>
    <col min="3" max="3" width="52.44140625" customWidth="1"/>
    <col min="4" max="4" width="27.44140625" hidden="1" customWidth="1"/>
    <col min="5" max="5" width="19.77734375" customWidth="1"/>
    <col min="6" max="6" width="4.44140625" customWidth="1"/>
    <col min="7" max="8" width="20.5546875" style="177" hidden="1" customWidth="1" outlineLevel="1"/>
    <col min="9" max="9" width="24" style="177" customWidth="1" collapsed="1"/>
    <col min="10" max="11" width="20.5546875" style="177" hidden="1" customWidth="1" outlineLevel="1"/>
    <col min="12" max="12" width="21.44140625" style="177" customWidth="1" collapsed="1"/>
    <col min="13" max="13" width="7.5546875" hidden="1" customWidth="1"/>
    <col min="14" max="14" width="22" customWidth="1"/>
    <col min="15" max="16" width="14.44140625" bestFit="1" customWidth="1"/>
  </cols>
  <sheetData>
    <row r="1" spans="1:16" ht="23.4" x14ac:dyDescent="0.3">
      <c r="C1" s="523" t="s">
        <v>1</v>
      </c>
      <c r="D1" s="523"/>
      <c r="E1" s="523"/>
      <c r="F1" s="523"/>
      <c r="G1" s="523"/>
      <c r="H1" s="523"/>
      <c r="I1" s="523"/>
      <c r="J1" s="523"/>
      <c r="K1" s="523"/>
      <c r="L1" s="523"/>
    </row>
    <row r="2" spans="1:16" x14ac:dyDescent="0.3">
      <c r="C2" s="521" t="s">
        <v>2</v>
      </c>
      <c r="D2" s="521"/>
      <c r="E2" s="521"/>
      <c r="F2" s="521"/>
      <c r="G2" s="521"/>
      <c r="H2" s="521"/>
    </row>
    <row r="3" spans="1:16" x14ac:dyDescent="0.3">
      <c r="C3" s="522">
        <v>45512</v>
      </c>
      <c r="D3" s="522"/>
      <c r="E3" s="522"/>
      <c r="F3" s="522"/>
      <c r="G3" s="522"/>
      <c r="H3" s="522"/>
    </row>
    <row r="4" spans="1:16" x14ac:dyDescent="0.3">
      <c r="C4" s="512"/>
      <c r="D4" s="512"/>
      <c r="E4" s="512"/>
      <c r="F4" s="512"/>
      <c r="G4" s="512"/>
      <c r="H4" s="512"/>
    </row>
    <row r="5" spans="1:16" ht="29.4" thickBot="1" x14ac:dyDescent="0.35">
      <c r="C5" s="174" t="s">
        <v>1344</v>
      </c>
      <c r="D5" s="417" t="s">
        <v>3</v>
      </c>
      <c r="E5" s="513" t="s">
        <v>1340</v>
      </c>
      <c r="F5" s="174"/>
      <c r="G5" s="232"/>
      <c r="H5" s="239"/>
      <c r="I5" s="418" t="s">
        <v>4</v>
      </c>
      <c r="J5" s="240"/>
      <c r="K5" s="241"/>
      <c r="L5" s="513" t="s">
        <v>1341</v>
      </c>
      <c r="O5" s="427"/>
      <c r="P5" s="427"/>
    </row>
    <row r="6" spans="1:16" s="12" customFormat="1" ht="18" thickBot="1" x14ac:dyDescent="0.35">
      <c r="A6" s="175"/>
      <c r="B6" s="175"/>
      <c r="C6" s="176"/>
      <c r="D6" s="242" t="s">
        <v>5</v>
      </c>
      <c r="E6" s="242" t="s">
        <v>5</v>
      </c>
      <c r="F6" s="372"/>
      <c r="G6" s="380" t="s">
        <v>6</v>
      </c>
      <c r="H6" s="380" t="s">
        <v>7</v>
      </c>
      <c r="I6" s="376" t="s">
        <v>8</v>
      </c>
      <c r="J6" s="378" t="s">
        <v>9</v>
      </c>
      <c r="K6" s="379" t="s">
        <v>10</v>
      </c>
      <c r="L6" s="377" t="s">
        <v>11</v>
      </c>
      <c r="P6" s="427"/>
    </row>
    <row r="7" spans="1:16" ht="15.6" x14ac:dyDescent="0.3">
      <c r="A7" s="16"/>
      <c r="B7" s="16"/>
      <c r="C7" s="16" t="s">
        <v>12</v>
      </c>
      <c r="D7" s="244">
        <f>D10+D11+D12</f>
        <v>3179486.8321140045</v>
      </c>
      <c r="E7" s="244">
        <f>E10+E11+E12</f>
        <v>2950565.9282458513</v>
      </c>
      <c r="F7" s="16"/>
      <c r="G7" s="243">
        <f t="shared" ref="G7:H7" si="0">SUM(G10:G12)</f>
        <v>180212125.20684031</v>
      </c>
      <c r="H7" s="243">
        <f t="shared" si="0"/>
        <v>0</v>
      </c>
      <c r="I7" s="244">
        <f>H7+G7</f>
        <v>180212125.20684031</v>
      </c>
      <c r="J7" s="245">
        <f>SUM(J10:J12)</f>
        <v>2860509.9239180996</v>
      </c>
      <c r="K7" s="243">
        <f t="shared" ref="K7" si="1">SUM(K10:K12)</f>
        <v>0</v>
      </c>
      <c r="L7" s="244">
        <f>K7+J7</f>
        <v>2860509.9239180996</v>
      </c>
      <c r="O7" s="427"/>
      <c r="P7" s="421"/>
    </row>
    <row r="8" spans="1:16" s="17" customFormat="1" ht="5.4" x14ac:dyDescent="0.15">
      <c r="D8" s="247"/>
      <c r="E8" s="247"/>
      <c r="G8" s="246"/>
      <c r="H8" s="246"/>
      <c r="I8" s="247"/>
      <c r="J8" s="248"/>
      <c r="K8" s="246"/>
      <c r="L8" s="247"/>
    </row>
    <row r="9" spans="1:16" ht="17.399999999999999" x14ac:dyDescent="0.3">
      <c r="A9" s="1"/>
      <c r="B9" s="1"/>
      <c r="C9" s="1" t="s">
        <v>13</v>
      </c>
      <c r="D9" s="250"/>
      <c r="E9" s="250"/>
      <c r="F9" s="373"/>
      <c r="G9" s="249"/>
      <c r="H9" s="249"/>
      <c r="I9" s="250"/>
      <c r="J9" s="251"/>
      <c r="K9" s="249"/>
      <c r="L9" s="250"/>
    </row>
    <row r="10" spans="1:16" x14ac:dyDescent="0.3">
      <c r="A10" s="2"/>
      <c r="B10" s="2"/>
      <c r="C10" s="2" t="s">
        <v>14</v>
      </c>
      <c r="D10" s="252">
        <f>SUMIF(PPto[Gran Part.],$C10,PPto[Total '[USD']])</f>
        <v>2901152.4563490045</v>
      </c>
      <c r="E10" s="252">
        <f>SUMIF(PPto[Gran Part.],$C10,PPto[Total '[USD']3])</f>
        <v>2728452.2062218897</v>
      </c>
      <c r="F10" s="2"/>
      <c r="G10" s="233">
        <f>SUMIF(PPto[Gran Part.],$C10,PPto[Ppto. OI '[DOP']2])</f>
        <v>168255757.95684031</v>
      </c>
      <c r="H10" s="233">
        <f>SUMIF(PPto[Gran Part.],$C10,PPto[Ppto. Capex '[DOP']])</f>
        <v>0</v>
      </c>
      <c r="I10" s="252">
        <f>SUMIF(PPto[Gran Part.],$C10,PPto[Total '[DOP']])</f>
        <v>168255757.95684031</v>
      </c>
      <c r="J10" s="253">
        <f>SUMIF(PPto[Gran Part.],C10,PPto[Ppto. OI '[USD']])</f>
        <v>2670726.3167752423</v>
      </c>
      <c r="K10" s="233">
        <f>SUMIF(PPto[Gran Part.],C10,PPto[Ppto. Capex '[USD']])</f>
        <v>0</v>
      </c>
      <c r="L10" s="252">
        <f>K10+J10</f>
        <v>2670726.3167752423</v>
      </c>
    </row>
    <row r="11" spans="1:16" x14ac:dyDescent="0.3">
      <c r="A11" s="2"/>
      <c r="B11" s="2"/>
      <c r="C11" s="2" t="s">
        <v>15</v>
      </c>
      <c r="D11" s="252">
        <f>SUMIF(PPto[Gran Part.],$C11,PPto[Total '[USD']])</f>
        <v>278334.37576499995</v>
      </c>
      <c r="E11" s="252">
        <f>SUMIF(PPto[Gran Part.],$C11,PPto[Total '[USD']3])</f>
        <v>222113.72202396166</v>
      </c>
      <c r="F11" s="2"/>
      <c r="G11" s="233">
        <f>SUMIF(PPto[Gran Part.],$C11,PPto[Ppto. OI '[DOP']2])</f>
        <v>11956367.25</v>
      </c>
      <c r="H11" s="233">
        <f>SUMIF(PPto[Gran Part.],$C11,PPto[Ppto. Capex '[DOP']])</f>
        <v>0</v>
      </c>
      <c r="I11" s="252">
        <f>SUMIF(PPto[Gran Part.],$C11,PPto[Total '[DOP']])</f>
        <v>11956367.25</v>
      </c>
      <c r="J11" s="253">
        <f>SUMIF(PPto[Gran Part.],C11,PPto[Ppto. OI '[USD']])</f>
        <v>189783.60714285713</v>
      </c>
      <c r="K11" s="233">
        <f>SUMIF(PPto[Gran Part.],C11,PPto[Ppto. Capex '[USD']])</f>
        <v>0</v>
      </c>
      <c r="L11" s="252">
        <f>K11+J11</f>
        <v>189783.60714285713</v>
      </c>
    </row>
    <row r="12" spans="1:16" x14ac:dyDescent="0.3">
      <c r="A12" s="13"/>
      <c r="B12" s="13"/>
      <c r="C12" s="13" t="s">
        <v>16</v>
      </c>
      <c r="D12" s="254">
        <v>0</v>
      </c>
      <c r="E12" s="254">
        <v>0</v>
      </c>
      <c r="F12" s="2"/>
      <c r="G12" s="234">
        <f>SUMIF(PPto[Gran Part.],$C12,PPto[Ppto. OI '[DOP']2])</f>
        <v>0</v>
      </c>
      <c r="H12" s="234">
        <f>SUMIF(PPto[Gran Part.],$C12,PPto[Ppto. Capex '[DOP']])</f>
        <v>0</v>
      </c>
      <c r="I12" s="254">
        <f t="shared" ref="I12:I13" si="2">H12+G12</f>
        <v>0</v>
      </c>
      <c r="J12" s="255">
        <f>SUMIF(PPto[Gran Part.],C12,PPto[Ppto. OI '[USD']])</f>
        <v>0</v>
      </c>
      <c r="K12" s="234">
        <f>SUMIF(PPto[Gran Part.],C12,PPto[Ppto. Capex '[USD']])</f>
        <v>0</v>
      </c>
      <c r="L12" s="254">
        <f t="shared" ref="L12:L13" si="3">K12+J12</f>
        <v>0</v>
      </c>
    </row>
    <row r="13" spans="1:16" x14ac:dyDescent="0.3">
      <c r="A13" s="2"/>
      <c r="B13" s="2"/>
      <c r="C13" s="2" t="s">
        <v>17</v>
      </c>
      <c r="D13" s="256">
        <v>0</v>
      </c>
      <c r="E13" s="256">
        <v>0</v>
      </c>
      <c r="F13" s="2"/>
      <c r="G13" s="233">
        <f>SUMIF(PPto[Gran Part.],$C13,PPto[Ppto. OI '[DOP']2])</f>
        <v>0</v>
      </c>
      <c r="H13" s="233">
        <f>SUMIF(PPto[Gran Part.],$C13,PPto[Ppto. Capex '[DOP']])</f>
        <v>0</v>
      </c>
      <c r="I13" s="256">
        <f t="shared" si="2"/>
        <v>0</v>
      </c>
      <c r="J13" s="253">
        <f>SUMIF(PPto[Gran Part.],C13,PPto[Ppto. OI '[USD']])</f>
        <v>0</v>
      </c>
      <c r="K13" s="233">
        <f>SUMIF(PPto[Gran Part.],C13,PPto[Ppto. Capex '[USD']])</f>
        <v>0</v>
      </c>
      <c r="L13" s="256">
        <f t="shared" si="3"/>
        <v>0</v>
      </c>
    </row>
    <row r="14" spans="1:16" s="18" customFormat="1" ht="9" customHeight="1" x14ac:dyDescent="0.15">
      <c r="A14" s="19"/>
      <c r="B14" s="19"/>
      <c r="C14" s="19"/>
      <c r="D14" s="258"/>
      <c r="E14" s="258"/>
      <c r="F14" s="19"/>
      <c r="G14" s="257"/>
      <c r="H14" s="257"/>
      <c r="I14" s="258"/>
      <c r="J14" s="259"/>
      <c r="K14" s="257"/>
      <c r="L14" s="258"/>
    </row>
    <row r="15" spans="1:16" x14ac:dyDescent="0.3">
      <c r="A15" s="3"/>
      <c r="B15" s="3"/>
      <c r="C15" s="3" t="s">
        <v>18</v>
      </c>
      <c r="D15" s="261"/>
      <c r="E15" s="261"/>
      <c r="F15" s="374"/>
      <c r="G15" s="260"/>
      <c r="H15" s="260"/>
      <c r="I15" s="261"/>
      <c r="J15" s="262"/>
      <c r="K15" s="260"/>
      <c r="L15" s="261"/>
    </row>
    <row r="16" spans="1:16" x14ac:dyDescent="0.3">
      <c r="A16" s="2"/>
      <c r="B16" s="2"/>
      <c r="C16" s="2" t="s">
        <v>19</v>
      </c>
      <c r="D16" s="263"/>
      <c r="E16" s="263"/>
      <c r="F16" s="2"/>
      <c r="G16" s="233"/>
      <c r="H16" s="233"/>
      <c r="I16" s="263"/>
      <c r="J16" s="253"/>
      <c r="K16" s="233"/>
      <c r="L16" s="263"/>
    </row>
    <row r="17" spans="1:14" x14ac:dyDescent="0.3">
      <c r="A17" s="2"/>
      <c r="B17" s="2"/>
      <c r="C17" s="2" t="s">
        <v>20</v>
      </c>
      <c r="D17" s="263"/>
      <c r="E17" s="263"/>
      <c r="F17" s="2"/>
      <c r="G17" s="233"/>
      <c r="H17" s="233"/>
      <c r="I17" s="263"/>
      <c r="J17" s="253"/>
      <c r="K17" s="233"/>
      <c r="L17" s="263"/>
    </row>
    <row r="18" spans="1:14" x14ac:dyDescent="0.3">
      <c r="A18" s="2"/>
      <c r="B18" s="2"/>
      <c r="C18" s="2" t="s">
        <v>21</v>
      </c>
      <c r="D18" s="263"/>
      <c r="E18" s="263"/>
      <c r="F18" s="2"/>
      <c r="G18" s="233"/>
      <c r="H18" s="233"/>
      <c r="I18" s="263"/>
      <c r="J18" s="253"/>
      <c r="K18" s="233"/>
      <c r="L18" s="263"/>
    </row>
    <row r="19" spans="1:14" s="18" customFormat="1" ht="4.8" thickBot="1" x14ac:dyDescent="0.2">
      <c r="A19" s="19"/>
      <c r="B19" s="19"/>
      <c r="C19" s="19"/>
      <c r="D19" s="258"/>
      <c r="E19" s="258"/>
      <c r="F19" s="19"/>
      <c r="G19" s="264" t="s">
        <v>22</v>
      </c>
      <c r="H19" s="264" t="s">
        <v>23</v>
      </c>
      <c r="I19" s="258"/>
      <c r="J19" s="265" t="s">
        <v>22</v>
      </c>
      <c r="K19" s="264" t="s">
        <v>23</v>
      </c>
      <c r="L19" s="258"/>
    </row>
    <row r="20" spans="1:14" x14ac:dyDescent="0.3">
      <c r="A20" s="8" t="s">
        <v>24</v>
      </c>
      <c r="B20" s="8" t="s">
        <v>25</v>
      </c>
      <c r="C20" s="8" t="s">
        <v>26</v>
      </c>
      <c r="D20" s="266" t="s">
        <v>27</v>
      </c>
      <c r="E20" s="266" t="s">
        <v>28</v>
      </c>
      <c r="F20" s="374" t="s">
        <v>29</v>
      </c>
      <c r="G20" s="235" t="s">
        <v>30</v>
      </c>
      <c r="H20" s="235" t="s">
        <v>31</v>
      </c>
      <c r="I20" s="266" t="s">
        <v>32</v>
      </c>
      <c r="J20" s="267" t="s">
        <v>33</v>
      </c>
      <c r="K20" s="235" t="s">
        <v>34</v>
      </c>
      <c r="L20" s="266" t="s">
        <v>35</v>
      </c>
      <c r="M20" t="s">
        <v>573</v>
      </c>
      <c r="N20" s="3" t="s">
        <v>1342</v>
      </c>
    </row>
    <row r="21" spans="1:14" x14ac:dyDescent="0.3">
      <c r="A21" s="6">
        <v>1</v>
      </c>
      <c r="B21" s="7"/>
      <c r="C21" s="173" t="s">
        <v>36</v>
      </c>
      <c r="D21" s="236">
        <f t="shared" ref="D21:E21" si="4">SUM(D22:D28)</f>
        <v>0</v>
      </c>
      <c r="E21" s="236">
        <f t="shared" si="4"/>
        <v>0</v>
      </c>
      <c r="F21" s="375"/>
      <c r="G21" s="236">
        <f>SUM(G22:G30)</f>
        <v>0</v>
      </c>
      <c r="H21" s="236">
        <f t="shared" ref="H21" si="5">SUM(H22:H30)</f>
        <v>0</v>
      </c>
      <c r="I21" s="268">
        <f>PPto[[#This Row],[Ppto. Capex '[DOP']]]+PPto[[#This Row],[Ppto. OI '[DOP']2]]</f>
        <v>0</v>
      </c>
      <c r="J21" s="269">
        <f t="shared" ref="J21:K21" si="6">SUM(J22:J30)</f>
        <v>0</v>
      </c>
      <c r="K21" s="236">
        <f t="shared" si="6"/>
        <v>0</v>
      </c>
      <c r="L21" s="268">
        <f>PPto[[#This Row],[Ppto. Capex '[USD']]]+PPto[[#This Row],[Ppto. OI '[USD']]]</f>
        <v>0</v>
      </c>
      <c r="N21" s="177">
        <f>+PPto[[#This Row],[Total '[USD']3]]-PPto[[#This Row],[Total '[USD']2]]</f>
        <v>0</v>
      </c>
    </row>
    <row r="22" spans="1:14" x14ac:dyDescent="0.3">
      <c r="A22" s="5">
        <v>1.01</v>
      </c>
      <c r="B22" s="12" t="s">
        <v>37</v>
      </c>
      <c r="C22" s="4" t="s">
        <v>38</v>
      </c>
      <c r="D22" s="270">
        <v>0</v>
      </c>
      <c r="E22" s="270">
        <v>0</v>
      </c>
      <c r="F22" s="4"/>
      <c r="G22" s="237">
        <f>SUMIFS(BD.PD[Ppto. Orden Interna '[DOP']],BD.PD[Pos],PPto[[#This Row],[Part.]],BD.PD[Tipo Ppto],G$19)</f>
        <v>0</v>
      </c>
      <c r="H22" s="237">
        <f>SUMIFS(BD.PD[Ppto. Orden Interna '[DOP']],BD.PD[Pos],PPto[[#This Row],[Part.]],BD.PD[Tipo Ppto],H$19)</f>
        <v>0</v>
      </c>
      <c r="I22" s="270">
        <f>PPto[[#This Row],[Ppto. Capex '[DOP']]]+PPto[[#This Row],[Ppto. OI '[DOP']2]]</f>
        <v>0</v>
      </c>
      <c r="J22" s="271">
        <f>SUMIFS(BD.PD[Ppto. Orden Interna '[USD']],BD.PD[Pos],PPto[[#This Row],[Part.]],BD.PD[Tipo Ppto],J$19)</f>
        <v>0</v>
      </c>
      <c r="K22" s="237">
        <f>SUMIFS(BD.PD[Ppto. Orden Interna '[USD']],BD.PD[Pos],PPto[[#This Row],[Part.]],BD.PD[Tipo Ppto],K$19)</f>
        <v>0</v>
      </c>
      <c r="L22" s="270">
        <f>PPto[[#This Row],[Ppto. Capex '[USD']]]+PPto[[#This Row],[Ppto. OI '[USD']]]</f>
        <v>0</v>
      </c>
      <c r="N22" s="177">
        <f>+PPto[[#This Row],[Total '[USD']3]]-PPto[[#This Row],[Total '[USD']2]]</f>
        <v>0</v>
      </c>
    </row>
    <row r="23" spans="1:14" x14ac:dyDescent="0.3">
      <c r="A23" s="5">
        <v>1.02</v>
      </c>
      <c r="B23" s="12" t="s">
        <v>37</v>
      </c>
      <c r="C23" s="4" t="s">
        <v>39</v>
      </c>
      <c r="D23" s="270">
        <v>0</v>
      </c>
      <c r="E23" s="270">
        <v>0</v>
      </c>
      <c r="F23" s="4"/>
      <c r="G23" s="237">
        <f>SUMIFS(BD.PD[Ppto. Orden Interna '[DOP']],BD.PD[Pos],PPto[[#This Row],[Part.]],BD.PD[Tipo Ppto],G$19)</f>
        <v>0</v>
      </c>
      <c r="H23" s="237">
        <f>SUMIFS(BD.PD[Ppto. Orden Interna '[DOP']],BD.PD[Pos],PPto[[#This Row],[Part.]],BD.PD[Tipo Ppto],H$19)</f>
        <v>0</v>
      </c>
      <c r="I23" s="270">
        <f>PPto[[#This Row],[Ppto. Capex '[DOP']]]+PPto[[#This Row],[Ppto. OI '[DOP']2]]</f>
        <v>0</v>
      </c>
      <c r="J23" s="271">
        <f>SUMIFS(BD.PD[Ppto. Orden Interna '[USD']],BD.PD[Pos],PPto[[#This Row],[Part.]],BD.PD[Tipo Ppto],J$19)</f>
        <v>0</v>
      </c>
      <c r="K23" s="237">
        <f>SUMIFS(BD.PD[Ppto. Orden Interna '[USD']],BD.PD[Pos],PPto[[#This Row],[Part.]],BD.PD[Tipo Ppto],K$19)</f>
        <v>0</v>
      </c>
      <c r="L23" s="270">
        <f>PPto[[#This Row],[Ppto. Capex '[USD']]]+PPto[[#This Row],[Ppto. OI '[USD']]]</f>
        <v>0</v>
      </c>
      <c r="N23" s="177">
        <f>+PPto[[#This Row],[Total '[USD']3]]-PPto[[#This Row],[Total '[USD']2]]</f>
        <v>0</v>
      </c>
    </row>
    <row r="24" spans="1:14" x14ac:dyDescent="0.3">
      <c r="A24" s="5">
        <v>1.03</v>
      </c>
      <c r="B24" s="12" t="s">
        <v>37</v>
      </c>
      <c r="C24" s="4" t="s">
        <v>40</v>
      </c>
      <c r="D24" s="270">
        <v>0</v>
      </c>
      <c r="E24" s="270">
        <v>0</v>
      </c>
      <c r="F24" s="4"/>
      <c r="G24" s="237">
        <f>SUMIFS(BD.PD[Ppto. Orden Interna '[DOP']],BD.PD[Pos],PPto[[#This Row],[Part.]],BD.PD[Tipo Ppto],G$19)</f>
        <v>0</v>
      </c>
      <c r="H24" s="237">
        <f>SUMIFS(BD.PD[Ppto. Orden Interna '[DOP']],BD.PD[Pos],PPto[[#This Row],[Part.]],BD.PD[Tipo Ppto],H$19)</f>
        <v>0</v>
      </c>
      <c r="I24" s="270">
        <f>PPto[[#This Row],[Ppto. Capex '[DOP']]]+PPto[[#This Row],[Ppto. OI '[DOP']2]]</f>
        <v>0</v>
      </c>
      <c r="J24" s="271">
        <f>SUMIFS(BD.PD[Ppto. Orden Interna '[USD']],BD.PD[Pos],PPto[[#This Row],[Part.]],BD.PD[Tipo Ppto],J$19)</f>
        <v>0</v>
      </c>
      <c r="K24" s="237">
        <f>SUMIFS(BD.PD[Ppto. Orden Interna '[USD']],BD.PD[Pos],PPto[[#This Row],[Part.]],BD.PD[Tipo Ppto],K$19)</f>
        <v>0</v>
      </c>
      <c r="L24" s="270">
        <f>PPto[[#This Row],[Ppto. Capex '[USD']]]+PPto[[#This Row],[Ppto. OI '[USD']]]</f>
        <v>0</v>
      </c>
      <c r="N24" s="177">
        <f>+PPto[[#This Row],[Total '[USD']3]]-PPto[[#This Row],[Total '[USD']2]]</f>
        <v>0</v>
      </c>
    </row>
    <row r="25" spans="1:14" x14ac:dyDescent="0.3">
      <c r="A25" s="5">
        <v>1.04</v>
      </c>
      <c r="B25" s="12" t="s">
        <v>37</v>
      </c>
      <c r="C25" s="4" t="s">
        <v>41</v>
      </c>
      <c r="D25" s="270">
        <v>0</v>
      </c>
      <c r="E25" s="270">
        <v>0</v>
      </c>
      <c r="F25" s="4"/>
      <c r="G25" s="237">
        <f>SUMIFS(BD.PD[Ppto. Orden Interna '[DOP']],BD.PD[Pos],PPto[[#This Row],[Part.]],BD.PD[Tipo Ppto],G$19)</f>
        <v>0</v>
      </c>
      <c r="H25" s="237">
        <f>SUMIFS(BD.PD[Ppto. Orden Interna '[DOP']],BD.PD[Pos],PPto[[#This Row],[Part.]],BD.PD[Tipo Ppto],H$19)</f>
        <v>0</v>
      </c>
      <c r="I25" s="270">
        <f>PPto[[#This Row],[Ppto. Capex '[DOP']]]+PPto[[#This Row],[Ppto. OI '[DOP']2]]</f>
        <v>0</v>
      </c>
      <c r="J25" s="271">
        <f>SUMIFS(BD.PD[Ppto. Orden Interna '[USD']],BD.PD[Pos],PPto[[#This Row],[Part.]],BD.PD[Tipo Ppto],J$19)</f>
        <v>0</v>
      </c>
      <c r="K25" s="237">
        <f>SUMIFS(BD.PD[Ppto. Orden Interna '[USD']],BD.PD[Pos],PPto[[#This Row],[Part.]],BD.PD[Tipo Ppto],K$19)</f>
        <v>0</v>
      </c>
      <c r="L25" s="270">
        <f>PPto[[#This Row],[Ppto. Capex '[USD']]]+PPto[[#This Row],[Ppto. OI '[USD']]]</f>
        <v>0</v>
      </c>
      <c r="N25" s="177">
        <f>+PPto[[#This Row],[Total '[USD']3]]-PPto[[#This Row],[Total '[USD']2]]</f>
        <v>0</v>
      </c>
    </row>
    <row r="26" spans="1:14" x14ac:dyDescent="0.3">
      <c r="A26" s="5">
        <v>1.05</v>
      </c>
      <c r="B26" s="12" t="s">
        <v>37</v>
      </c>
      <c r="C26" s="4" t="s">
        <v>42</v>
      </c>
      <c r="D26" s="270">
        <v>0</v>
      </c>
      <c r="E26" s="270">
        <v>0</v>
      </c>
      <c r="F26" s="4"/>
      <c r="G26" s="237">
        <f>SUMIFS(BD.PD[Ppto. Orden Interna '[DOP']],BD.PD[Pos],PPto[[#This Row],[Part.]],BD.PD[Tipo Ppto],G$19)</f>
        <v>0</v>
      </c>
      <c r="H26" s="237">
        <f>SUMIFS(BD.PD[Ppto. Orden Interna '[DOP']],BD.PD[Pos],PPto[[#This Row],[Part.]],BD.PD[Tipo Ppto],H$19)</f>
        <v>0</v>
      </c>
      <c r="I26" s="270">
        <f>PPto[[#This Row],[Ppto. Capex '[DOP']]]+PPto[[#This Row],[Ppto. OI '[DOP']2]]</f>
        <v>0</v>
      </c>
      <c r="J26" s="271">
        <f>SUMIFS(BD.PD[Ppto. Orden Interna '[USD']],BD.PD[Pos],PPto[[#This Row],[Part.]],BD.PD[Tipo Ppto],J$19)</f>
        <v>0</v>
      </c>
      <c r="K26" s="237">
        <f>SUMIFS(BD.PD[Ppto. Orden Interna '[USD']],BD.PD[Pos],PPto[[#This Row],[Part.]],BD.PD[Tipo Ppto],K$19)</f>
        <v>0</v>
      </c>
      <c r="L26" s="270">
        <f>PPto[[#This Row],[Ppto. Capex '[USD']]]+PPto[[#This Row],[Ppto. OI '[USD']]]</f>
        <v>0</v>
      </c>
      <c r="N26" s="177">
        <f>+PPto[[#This Row],[Total '[USD']3]]-PPto[[#This Row],[Total '[USD']2]]</f>
        <v>0</v>
      </c>
    </row>
    <row r="27" spans="1:14" x14ac:dyDescent="0.3">
      <c r="A27" s="5">
        <v>1.06</v>
      </c>
      <c r="B27" s="12" t="s">
        <v>37</v>
      </c>
      <c r="C27" s="4" t="s">
        <v>43</v>
      </c>
      <c r="D27" s="270">
        <v>0</v>
      </c>
      <c r="E27" s="270">
        <v>0</v>
      </c>
      <c r="F27" s="4"/>
      <c r="G27" s="237">
        <f>SUMIFS(BD.PD[Ppto. Orden Interna '[DOP']],BD.PD[Pos],PPto[[#This Row],[Part.]],BD.PD[Tipo Ppto],G$19)</f>
        <v>0</v>
      </c>
      <c r="H27" s="237">
        <f>SUMIFS(BD.PD[Ppto. Orden Interna '[DOP']],BD.PD[Pos],PPto[[#This Row],[Part.]],BD.PD[Tipo Ppto],H$19)</f>
        <v>0</v>
      </c>
      <c r="I27" s="270">
        <f>PPto[[#This Row],[Ppto. Capex '[DOP']]]+PPto[[#This Row],[Ppto. OI '[DOP']2]]</f>
        <v>0</v>
      </c>
      <c r="J27" s="271">
        <f>SUMIFS(BD.PD[Ppto. Orden Interna '[USD']],BD.PD[Pos],PPto[[#This Row],[Part.]],BD.PD[Tipo Ppto],J$19)</f>
        <v>0</v>
      </c>
      <c r="K27" s="237">
        <f>SUMIFS(BD.PD[Ppto. Orden Interna '[USD']],BD.PD[Pos],PPto[[#This Row],[Part.]],BD.PD[Tipo Ppto],K$19)</f>
        <v>0</v>
      </c>
      <c r="L27" s="270">
        <f>PPto[[#This Row],[Ppto. Capex '[USD']]]+PPto[[#This Row],[Ppto. OI '[USD']]]</f>
        <v>0</v>
      </c>
      <c r="N27" s="177">
        <f>+PPto[[#This Row],[Total '[USD']3]]-PPto[[#This Row],[Total '[USD']2]]</f>
        <v>0</v>
      </c>
    </row>
    <row r="28" spans="1:14" x14ac:dyDescent="0.3">
      <c r="A28" s="5">
        <v>1.07</v>
      </c>
      <c r="B28" s="12" t="s">
        <v>37</v>
      </c>
      <c r="C28" s="4" t="s">
        <v>44</v>
      </c>
      <c r="D28" s="270">
        <v>0</v>
      </c>
      <c r="E28" s="270">
        <v>0</v>
      </c>
      <c r="F28" s="4"/>
      <c r="G28" s="237">
        <f>SUMIFS(BD.PD[Ppto. Orden Interna '[DOP']],BD.PD[Pos],PPto[[#This Row],[Part.]],BD.PD[Tipo Ppto],G$19)</f>
        <v>0</v>
      </c>
      <c r="H28" s="237">
        <f>SUMIFS(BD.PD[Ppto. Orden Interna '[DOP']],BD.PD[Pos],PPto[[#This Row],[Part.]],BD.PD[Tipo Ppto],H$19)</f>
        <v>0</v>
      </c>
      <c r="I28" s="270">
        <f>PPto[[#This Row],[Ppto. Capex '[DOP']]]+PPto[[#This Row],[Ppto. OI '[DOP']2]]</f>
        <v>0</v>
      </c>
      <c r="J28" s="271">
        <f>SUMIFS(BD.PD[Ppto. Orden Interna '[USD']],BD.PD[Pos],PPto[[#This Row],[Part.]],BD.PD[Tipo Ppto],J$19)</f>
        <v>0</v>
      </c>
      <c r="K28" s="237">
        <f>SUMIFS(BD.PD[Ppto. Orden Interna '[USD']],BD.PD[Pos],PPto[[#This Row],[Part.]],BD.PD[Tipo Ppto],K$19)</f>
        <v>0</v>
      </c>
      <c r="L28" s="270">
        <f>PPto[[#This Row],[Ppto. Capex '[USD']]]+PPto[[#This Row],[Ppto. OI '[USD']]]</f>
        <v>0</v>
      </c>
      <c r="N28" s="177">
        <f>+PPto[[#This Row],[Total '[USD']3]]-PPto[[#This Row],[Total '[USD']2]]</f>
        <v>0</v>
      </c>
    </row>
    <row r="29" spans="1:14" x14ac:dyDescent="0.3">
      <c r="A29" s="5">
        <v>1.08</v>
      </c>
      <c r="B29" s="12" t="s">
        <v>37</v>
      </c>
      <c r="C29" s="4" t="s">
        <v>45</v>
      </c>
      <c r="D29" s="270">
        <v>0</v>
      </c>
      <c r="E29" s="270">
        <v>0</v>
      </c>
      <c r="F29" s="4"/>
      <c r="G29" s="237">
        <f>SUMIFS(BD.PD[Ppto. Orden Interna '[DOP']],BD.PD[Pos],PPto[[#This Row],[Part.]],BD.PD[Tipo Ppto],G$19)</f>
        <v>0</v>
      </c>
      <c r="H29" s="237">
        <f>SUMIFS(BD.PD[Ppto. Orden Interna '[DOP']],BD.PD[Pos],PPto[[#This Row],[Part.]],BD.PD[Tipo Ppto],H$19)</f>
        <v>0</v>
      </c>
      <c r="I29" s="270">
        <f>PPto[[#This Row],[Ppto. Capex '[DOP']]]+PPto[[#This Row],[Ppto. OI '[DOP']2]]</f>
        <v>0</v>
      </c>
      <c r="J29" s="271">
        <f>SUMIFS(BD.PD[Ppto. Orden Interna '[USD']],BD.PD[Pos],PPto[[#This Row],[Part.]],BD.PD[Tipo Ppto],J$19)</f>
        <v>0</v>
      </c>
      <c r="K29" s="237">
        <f>SUMIFS(BD.PD[Ppto. Orden Interna '[USD']],BD.PD[Pos],PPto[[#This Row],[Part.]],BD.PD[Tipo Ppto],K$19)</f>
        <v>0</v>
      </c>
      <c r="L29" s="270">
        <f>PPto[[#This Row],[Ppto. Capex '[USD']]]+PPto[[#This Row],[Ppto. OI '[USD']]]</f>
        <v>0</v>
      </c>
      <c r="N29" s="177">
        <f>+PPto[[#This Row],[Total '[USD']3]]-PPto[[#This Row],[Total '[USD']2]]</f>
        <v>0</v>
      </c>
    </row>
    <row r="30" spans="1:14" x14ac:dyDescent="0.3">
      <c r="A30" s="5">
        <v>1.0900000000000001</v>
      </c>
      <c r="B30" s="12" t="s">
        <v>37</v>
      </c>
      <c r="C30" s="4" t="s">
        <v>46</v>
      </c>
      <c r="D30" s="270">
        <v>0</v>
      </c>
      <c r="E30" s="270">
        <v>0</v>
      </c>
      <c r="F30" s="4"/>
      <c r="G30" s="237">
        <f>SUMIFS(BD.PD[Ppto. Orden Interna '[DOP']],BD.PD[Pos],PPto[[#This Row],[Part.]],BD.PD[Tipo Ppto],G$19)</f>
        <v>0</v>
      </c>
      <c r="H30" s="237">
        <f>SUMIFS(BD.PD[Ppto. Orden Interna '[DOP']],BD.PD[Pos],PPto[[#This Row],[Part.]],BD.PD[Tipo Ppto],H$19)</f>
        <v>0</v>
      </c>
      <c r="I30" s="270">
        <f>PPto[[#This Row],[Ppto. Capex '[DOP']]]+PPto[[#This Row],[Ppto. OI '[DOP']2]]</f>
        <v>0</v>
      </c>
      <c r="J30" s="271">
        <f>SUMIFS(BD.PD[Ppto. Orden Interna '[USD']],BD.PD[Pos],PPto[[#This Row],[Part.]],BD.PD[Tipo Ppto],J$19)</f>
        <v>0</v>
      </c>
      <c r="K30" s="237">
        <f>SUMIFS(BD.PD[Ppto. Orden Interna '[USD']],BD.PD[Pos],PPto[[#This Row],[Part.]],BD.PD[Tipo Ppto],K$19)</f>
        <v>0</v>
      </c>
      <c r="L30" s="270">
        <f>PPto[[#This Row],[Ppto. Capex '[USD']]]+PPto[[#This Row],[Ppto. OI '[USD']]]</f>
        <v>0</v>
      </c>
      <c r="N30" s="177">
        <f>+PPto[[#This Row],[Total '[USD']3]]-PPto[[#This Row],[Total '[USD']2]]</f>
        <v>0</v>
      </c>
    </row>
    <row r="31" spans="1:14" x14ac:dyDescent="0.3">
      <c r="A31" s="6">
        <v>2</v>
      </c>
      <c r="B31" s="7"/>
      <c r="C31" s="173" t="s">
        <v>47</v>
      </c>
      <c r="D31" s="236">
        <f>SUM(D32:D42)</f>
        <v>278334.37576499995</v>
      </c>
      <c r="E31" s="236">
        <f>SUM(E32:E42)</f>
        <v>222113.72202396166</v>
      </c>
      <c r="F31" s="375"/>
      <c r="G31" s="236">
        <f t="shared" ref="G31" si="7">SUM(G32:G42)</f>
        <v>11956367.25</v>
      </c>
      <c r="H31" s="236">
        <f t="shared" ref="H31" si="8">SUM(H32:H42)</f>
        <v>0</v>
      </c>
      <c r="I31" s="268">
        <f>PPto[[#This Row],[Ppto. Capex '[DOP']]]+PPto[[#This Row],[Ppto. OI '[DOP']2]]</f>
        <v>11956367.25</v>
      </c>
      <c r="J31" s="269">
        <f t="shared" ref="J31:K31" si="9">SUM(J32:J42)</f>
        <v>189783.60714285713</v>
      </c>
      <c r="K31" s="236">
        <f t="shared" si="9"/>
        <v>0</v>
      </c>
      <c r="L31" s="268">
        <f>PPto[[#This Row],[Ppto. Capex '[USD']]]+PPto[[#This Row],[Ppto. OI '[USD']]]</f>
        <v>189783.60714285713</v>
      </c>
      <c r="M31" s="426"/>
      <c r="N31" s="177"/>
    </row>
    <row r="32" spans="1:14" x14ac:dyDescent="0.3">
      <c r="A32" s="5">
        <v>2.0099999999999998</v>
      </c>
      <c r="B32" s="12" t="s">
        <v>37</v>
      </c>
      <c r="C32" s="4" t="s">
        <v>49</v>
      </c>
      <c r="D32" s="270">
        <v>161119.59999999995</v>
      </c>
      <c r="E32" s="270">
        <v>8353.66</v>
      </c>
      <c r="F32" s="4"/>
      <c r="G32" s="237">
        <f>SUMIFS(BD.PD[Ppto. Orden Interna '[DOP']],BD.PD[Pos],PPto[[#This Row],[Part.]],BD.PD[Tipo Ppto],G$19)</f>
        <v>526280.57999999996</v>
      </c>
      <c r="H32" s="237">
        <f>SUMIFS(BD.PD[Ppto. Orden Interna '[DOP']],BD.PD[Pos],PPto[[#This Row],[Part.]],BD.PD[Tipo Ppto],H$19)</f>
        <v>0</v>
      </c>
      <c r="I32" s="270">
        <f>PPto[[#This Row],[Ppto. Capex '[DOP']]]+PPto[[#This Row],[Ppto. OI '[DOP']2]]</f>
        <v>526280.57999999996</v>
      </c>
      <c r="J32" s="271">
        <f>SUMIFS(BD.PD[Ppto. Orden Interna '[USD']],BD.PD[Pos],PPto[[#This Row],[Part.]],BD.PD[Tipo Ppto],J$19)</f>
        <v>8353.66</v>
      </c>
      <c r="K32" s="237">
        <f>SUMIFS(BD.PD[Ppto. Orden Interna '[USD']],BD.PD[Pos],PPto[[#This Row],[Part.]],BD.PD[Tipo Ppto],K$19)</f>
        <v>0</v>
      </c>
      <c r="L32" s="270">
        <f>PPto[[#This Row],[Ppto. Capex '[USD']]]+PPto[[#This Row],[Ppto. OI '[USD']]]</f>
        <v>8353.66</v>
      </c>
      <c r="N32" s="177">
        <f>+PPto[[#This Row],[Total '[USD']3]]-PPto[[#This Row],[Total '[USD']2]]</f>
        <v>0</v>
      </c>
    </row>
    <row r="33" spans="1:14" x14ac:dyDescent="0.3">
      <c r="A33" s="5">
        <v>2.02</v>
      </c>
      <c r="B33" s="12" t="s">
        <v>37</v>
      </c>
      <c r="C33" s="4" t="s">
        <v>50</v>
      </c>
      <c r="D33" s="270">
        <v>0</v>
      </c>
      <c r="E33" s="270">
        <v>0</v>
      </c>
      <c r="F33" s="4"/>
      <c r="G33" s="237">
        <f>SUMIFS(BD.PD[Ppto. Orden Interna '[DOP']],BD.PD[Pos],PPto[[#This Row],[Part.]],BD.PD[Tipo Ppto],G$19)</f>
        <v>0</v>
      </c>
      <c r="H33" s="237">
        <f>SUMIFS(BD.PD[Ppto. Orden Interna '[DOP']],BD.PD[Pos],PPto[[#This Row],[Part.]],BD.PD[Tipo Ppto],H$19)</f>
        <v>0</v>
      </c>
      <c r="I33" s="270">
        <f>PPto[[#This Row],[Ppto. Capex '[DOP']]]+PPto[[#This Row],[Ppto. OI '[DOP']2]]</f>
        <v>0</v>
      </c>
      <c r="J33" s="271">
        <f>SUMIFS(BD.PD[Ppto. Orden Interna '[USD']],BD.PD[Pos],PPto[[#This Row],[Part.]],BD.PD[Tipo Ppto],J$19)</f>
        <v>0</v>
      </c>
      <c r="K33" s="237">
        <f>SUMIFS(BD.PD[Ppto. Orden Interna '[USD']],BD.PD[Pos],PPto[[#This Row],[Part.]],BD.PD[Tipo Ppto],K$19)</f>
        <v>0</v>
      </c>
      <c r="L33" s="270">
        <f>PPto[[#This Row],[Ppto. Capex '[USD']]]+PPto[[#This Row],[Ppto. OI '[USD']]]</f>
        <v>0</v>
      </c>
      <c r="N33" s="177">
        <f>+PPto[[#This Row],[Total '[USD']3]]-PPto[[#This Row],[Total '[USD']2]]</f>
        <v>0</v>
      </c>
    </row>
    <row r="34" spans="1:14" x14ac:dyDescent="0.3">
      <c r="A34" s="5">
        <v>2.0299999999999998</v>
      </c>
      <c r="B34" s="12" t="s">
        <v>37</v>
      </c>
      <c r="C34" s="4" t="s">
        <v>51</v>
      </c>
      <c r="D34" s="270">
        <v>0</v>
      </c>
      <c r="E34" s="270">
        <v>0</v>
      </c>
      <c r="F34" s="4"/>
      <c r="G34" s="237">
        <f>SUMIFS(BD.PD[Ppto. Orden Interna '[DOP']],BD.PD[Pos],PPto[[#This Row],[Part.]],BD.PD[Tipo Ppto],G$19)</f>
        <v>0</v>
      </c>
      <c r="H34" s="237">
        <f>SUMIFS(BD.PD[Ppto. Orden Interna '[DOP']],BD.PD[Pos],PPto[[#This Row],[Part.]],BD.PD[Tipo Ppto],H$19)</f>
        <v>0</v>
      </c>
      <c r="I34" s="270">
        <f>PPto[[#This Row],[Ppto. Capex '[DOP']]]+PPto[[#This Row],[Ppto. OI '[DOP']2]]</f>
        <v>0</v>
      </c>
      <c r="J34" s="271">
        <f>SUMIFS(BD.PD[Ppto. Orden Interna '[USD']],BD.PD[Pos],PPto[[#This Row],[Part.]],BD.PD[Tipo Ppto],J$19)</f>
        <v>0</v>
      </c>
      <c r="K34" s="237">
        <f>SUMIFS(BD.PD[Ppto. Orden Interna '[USD']],BD.PD[Pos],PPto[[#This Row],[Part.]],BD.PD[Tipo Ppto],K$19)</f>
        <v>0</v>
      </c>
      <c r="L34" s="270">
        <f>PPto[[#This Row],[Ppto. Capex '[USD']]]+PPto[[#This Row],[Ppto. OI '[USD']]]</f>
        <v>0</v>
      </c>
      <c r="N34" s="177">
        <f>+PPto[[#This Row],[Total '[USD']3]]-PPto[[#This Row],[Total '[USD']2]]</f>
        <v>0</v>
      </c>
    </row>
    <row r="35" spans="1:14" x14ac:dyDescent="0.3">
      <c r="A35" s="5">
        <v>2.04</v>
      </c>
      <c r="B35" s="12" t="s">
        <v>37</v>
      </c>
      <c r="C35" s="4" t="s">
        <v>52</v>
      </c>
      <c r="D35" s="270">
        <v>0</v>
      </c>
      <c r="E35" s="270">
        <v>0</v>
      </c>
      <c r="F35" s="4"/>
      <c r="G35" s="237">
        <f>SUMIFS(BD.PD[Ppto. Orden Interna '[DOP']],BD.PD[Pos],PPto[[#This Row],[Part.]],BD.PD[Tipo Ppto],G$19)</f>
        <v>0</v>
      </c>
      <c r="H35" s="237">
        <f>SUMIFS(BD.PD[Ppto. Orden Interna '[DOP']],BD.PD[Pos],PPto[[#This Row],[Part.]],BD.PD[Tipo Ppto],H$19)</f>
        <v>0</v>
      </c>
      <c r="I35" s="270">
        <f>PPto[[#This Row],[Ppto. Capex '[DOP']]]+PPto[[#This Row],[Ppto. OI '[DOP']2]]</f>
        <v>0</v>
      </c>
      <c r="J35" s="271">
        <f>SUMIFS(BD.PD[Ppto. Orden Interna '[USD']],BD.PD[Pos],PPto[[#This Row],[Part.]],BD.PD[Tipo Ppto],J$19)</f>
        <v>0</v>
      </c>
      <c r="K35" s="237">
        <f>SUMIFS(BD.PD[Ppto. Orden Interna '[USD']],BD.PD[Pos],PPto[[#This Row],[Part.]],BD.PD[Tipo Ppto],K$19)</f>
        <v>0</v>
      </c>
      <c r="L35" s="270">
        <f>PPto[[#This Row],[Ppto. Capex '[USD']]]+PPto[[#This Row],[Ppto. OI '[USD']]]</f>
        <v>0</v>
      </c>
      <c r="N35" s="177">
        <f>+PPto[[#This Row],[Total '[USD']3]]-PPto[[#This Row],[Total '[USD']2]]</f>
        <v>0</v>
      </c>
    </row>
    <row r="36" spans="1:14" x14ac:dyDescent="0.3">
      <c r="A36" s="5">
        <v>2.0499999999999998</v>
      </c>
      <c r="B36" s="12" t="s">
        <v>37</v>
      </c>
      <c r="C36" s="4" t="s">
        <v>53</v>
      </c>
      <c r="D36" s="270">
        <v>25100</v>
      </c>
      <c r="E36" s="270">
        <v>15099.420287539935</v>
      </c>
      <c r="F36" s="4"/>
      <c r="G36" s="237">
        <f>SUMIFS(BD.PD[Ppto. Orden Interna '[DOP']],BD.PD[Pos],PPto[[#This Row],[Part.]],BD.PD[Tipo Ppto],G$19)</f>
        <v>1071000</v>
      </c>
      <c r="H36" s="237">
        <f>SUMIFS(BD.PD[Ppto. Orden Interna '[DOP']],BD.PD[Pos],PPto[[#This Row],[Part.]],BD.PD[Tipo Ppto],H$19)</f>
        <v>0</v>
      </c>
      <c r="I36" s="270">
        <f>PPto[[#This Row],[Ppto. Capex '[DOP']]]+PPto[[#This Row],[Ppto. OI '[DOP']2]]</f>
        <v>1071000</v>
      </c>
      <c r="J36" s="271">
        <f>SUMIFS(BD.PD[Ppto. Orden Interna '[USD']],BD.PD[Pos],PPto[[#This Row],[Part.]],BD.PD[Tipo Ppto],J$19)</f>
        <v>17000</v>
      </c>
      <c r="K36" s="237">
        <f>SUMIFS(BD.PD[Ppto. Orden Interna '[USD']],BD.PD[Pos],PPto[[#This Row],[Part.]],BD.PD[Tipo Ppto],K$19)</f>
        <v>0</v>
      </c>
      <c r="L36" s="270">
        <f>PPto[[#This Row],[Ppto. Capex '[USD']]]+PPto[[#This Row],[Ppto. OI '[USD']]]</f>
        <v>17000</v>
      </c>
      <c r="N36" s="177">
        <f>+PPto[[#This Row],[Total '[USD']3]]-PPto[[#This Row],[Total '[USD']2]]</f>
        <v>-1900.5797124600649</v>
      </c>
    </row>
    <row r="37" spans="1:14" x14ac:dyDescent="0.3">
      <c r="A37" s="5">
        <v>2.06</v>
      </c>
      <c r="B37" s="12" t="s">
        <v>37</v>
      </c>
      <c r="C37" s="4" t="s">
        <v>54</v>
      </c>
      <c r="D37" s="270">
        <v>0</v>
      </c>
      <c r="E37" s="270">
        <v>7260.3833865814695</v>
      </c>
      <c r="F37" s="4"/>
      <c r="G37" s="237">
        <f>SUMIFS(BD.PD[Ppto. Orden Interna '[DOP']],BD.PD[Pos],PPto[[#This Row],[Part.]],BD.PD[Tipo Ppto],G$19)</f>
        <v>0</v>
      </c>
      <c r="H37" s="237">
        <f>SUMIFS(BD.PD[Ppto. Orden Interna '[DOP']],BD.PD[Pos],PPto[[#This Row],[Part.]],BD.PD[Tipo Ppto],H$19)</f>
        <v>0</v>
      </c>
      <c r="I37" s="270">
        <f>PPto[[#This Row],[Ppto. Capex '[DOP']]]+PPto[[#This Row],[Ppto. OI '[DOP']2]]</f>
        <v>0</v>
      </c>
      <c r="J37" s="271">
        <f>SUMIFS(BD.PD[Ppto. Orden Interna '[USD']],BD.PD[Pos],PPto[[#This Row],[Part.]],BD.PD[Tipo Ppto],J$19)</f>
        <v>0</v>
      </c>
      <c r="K37" s="237">
        <f>SUMIFS(BD.PD[Ppto. Orden Interna '[USD']],BD.PD[Pos],PPto[[#This Row],[Part.]],BD.PD[Tipo Ppto],K$19)</f>
        <v>0</v>
      </c>
      <c r="L37" s="270">
        <f>PPto[[#This Row],[Ppto. Capex '[USD']]]+PPto[[#This Row],[Ppto. OI '[USD']]]</f>
        <v>0</v>
      </c>
      <c r="N37" s="177">
        <f>+PPto[[#This Row],[Total '[USD']3]]-PPto[[#This Row],[Total '[USD']2]]</f>
        <v>7260.3833865814695</v>
      </c>
    </row>
    <row r="38" spans="1:14" x14ac:dyDescent="0.3">
      <c r="A38" s="5">
        <v>2.0699999999999998</v>
      </c>
      <c r="B38" s="12" t="s">
        <v>37</v>
      </c>
      <c r="C38" s="4" t="s">
        <v>55</v>
      </c>
      <c r="D38" s="270">
        <v>8266.7757650000003</v>
      </c>
      <c r="E38" s="270">
        <v>114712.486</v>
      </c>
      <c r="F38" s="4"/>
      <c r="G38" s="237">
        <f>SUMIFS(BD.PD[Ppto. Orden Interna '[DOP']],BD.PD[Pos],PPto[[#This Row],[Part.]],BD.PD[Tipo Ppto],G$19)</f>
        <v>6294055.9500000002</v>
      </c>
      <c r="H38" s="237">
        <f>SUMIFS(BD.PD[Ppto. Orden Interna '[DOP']],BD.PD[Pos],PPto[[#This Row],[Part.]],BD.PD[Tipo Ppto],H$19)</f>
        <v>0</v>
      </c>
      <c r="I38" s="270">
        <f>PPto[[#This Row],[Ppto. Capex '[DOP']]]+PPto[[#This Row],[Ppto. OI '[DOP']2]]</f>
        <v>6294055.9500000002</v>
      </c>
      <c r="J38" s="271">
        <f>SUMIFS(BD.PD[Ppto. Orden Interna '[USD']],BD.PD[Pos],PPto[[#This Row],[Part.]],BD.PD[Tipo Ppto],J$19)</f>
        <v>99905.65</v>
      </c>
      <c r="K38" s="237">
        <f>SUMIFS(BD.PD[Ppto. Orden Interna '[USD']],BD.PD[Pos],PPto[[#This Row],[Part.]],BD.PD[Tipo Ppto],K$19)</f>
        <v>0</v>
      </c>
      <c r="L38" s="270">
        <f>PPto[[#This Row],[Ppto. Capex '[USD']]]+PPto[[#This Row],[Ppto. OI '[USD']]]</f>
        <v>99905.65</v>
      </c>
      <c r="N38" s="514">
        <f>+PPto[[#This Row],[Total '[USD']3]]-PPto[[#This Row],[Total '[USD']2]]</f>
        <v>14806.83600000001</v>
      </c>
    </row>
    <row r="39" spans="1:14" x14ac:dyDescent="0.3">
      <c r="A39" s="5">
        <v>2.08</v>
      </c>
      <c r="B39" s="12" t="s">
        <v>37</v>
      </c>
      <c r="C39" s="4" t="s">
        <v>56</v>
      </c>
      <c r="D39" s="270">
        <v>83848</v>
      </c>
      <c r="E39" s="270">
        <v>65014.422349840257</v>
      </c>
      <c r="F39" s="4"/>
      <c r="G39" s="237">
        <f>SUMIFS(BD.PD[Ppto. Orden Interna '[DOP']],BD.PD[Pos],PPto[[#This Row],[Part.]],BD.PD[Tipo Ppto],G$19)</f>
        <v>3329609.67</v>
      </c>
      <c r="H39" s="237">
        <f>SUMIFS(BD.PD[Ppto. Orden Interna '[DOP']],BD.PD[Pos],PPto[[#This Row],[Part.]],BD.PD[Tipo Ppto],H$19)</f>
        <v>0</v>
      </c>
      <c r="I39" s="270">
        <f>PPto[[#This Row],[Ppto. Capex '[DOP']]]+PPto[[#This Row],[Ppto. OI '[DOP']2]]</f>
        <v>3329609.67</v>
      </c>
      <c r="J39" s="271">
        <f>SUMIFS(BD.PD[Ppto. Orden Interna '[USD']],BD.PD[Pos],PPto[[#This Row],[Part.]],BD.PD[Tipo Ppto],J$19)</f>
        <v>52850.947142857141</v>
      </c>
      <c r="K39" s="237">
        <f>SUMIFS(BD.PD[Ppto. Orden Interna '[USD']],BD.PD[Pos],PPto[[#This Row],[Part.]],BD.PD[Tipo Ppto],K$19)</f>
        <v>0</v>
      </c>
      <c r="L39" s="270">
        <f>PPto[[#This Row],[Ppto. Capex '[USD']]]+PPto[[#This Row],[Ppto. OI '[USD']]]</f>
        <v>52850.947142857141</v>
      </c>
      <c r="N39" s="514">
        <f>+PPto[[#This Row],[Total '[USD']3]]-PPto[[#This Row],[Total '[USD']2]]</f>
        <v>12163.475206983116</v>
      </c>
    </row>
    <row r="40" spans="1:14" x14ac:dyDescent="0.3">
      <c r="A40" s="5">
        <v>2.09</v>
      </c>
      <c r="B40" s="12" t="s">
        <v>37</v>
      </c>
      <c r="C40" s="4" t="s">
        <v>57</v>
      </c>
      <c r="D40" s="270">
        <v>0</v>
      </c>
      <c r="E40" s="270">
        <v>11673.35</v>
      </c>
      <c r="F40" s="4"/>
      <c r="G40" s="237">
        <f>SUMIFS(BD.PD[Ppto. Orden Interna '[DOP']],BD.PD[Pos],PPto[[#This Row],[Part.]],BD.PD[Tipo Ppto],G$19)</f>
        <v>735421.05</v>
      </c>
      <c r="H40" s="237">
        <f>SUMIFS(BD.PD[Ppto. Orden Interna '[DOP']],BD.PD[Pos],PPto[[#This Row],[Part.]],BD.PD[Tipo Ppto],H$19)</f>
        <v>0</v>
      </c>
      <c r="I40" s="270">
        <f>PPto[[#This Row],[Ppto. Capex '[DOP']]]+PPto[[#This Row],[Ppto. OI '[DOP']2]]</f>
        <v>735421.05</v>
      </c>
      <c r="J40" s="271">
        <f>SUMIFS(BD.PD[Ppto. Orden Interna '[USD']],BD.PD[Pos],PPto[[#This Row],[Part.]],BD.PD[Tipo Ppto],J$19)</f>
        <v>11673.35</v>
      </c>
      <c r="K40" s="237">
        <f>SUMIFS(BD.PD[Ppto. Orden Interna '[USD']],BD.PD[Pos],PPto[[#This Row],[Part.]],BD.PD[Tipo Ppto],K$19)</f>
        <v>0</v>
      </c>
      <c r="L40" s="270">
        <f>PPto[[#This Row],[Ppto. Capex '[USD']]]+PPto[[#This Row],[Ppto. OI '[USD']]]</f>
        <v>11673.35</v>
      </c>
      <c r="M40" t="s">
        <v>58</v>
      </c>
      <c r="N40" s="177">
        <f>+PPto[[#This Row],[Total '[USD']3]]-PPto[[#This Row],[Total '[USD']2]]</f>
        <v>0</v>
      </c>
    </row>
    <row r="41" spans="1:14" x14ac:dyDescent="0.3">
      <c r="A41" s="5">
        <v>2.1</v>
      </c>
      <c r="B41" s="12" t="s">
        <v>37</v>
      </c>
      <c r="C41" s="4" t="s">
        <v>59</v>
      </c>
      <c r="D41" s="270">
        <v>0</v>
      </c>
      <c r="E41" s="270">
        <v>0</v>
      </c>
      <c r="F41" s="4"/>
      <c r="G41" s="237">
        <f>SUMIFS(BD.PD[Ppto. Orden Interna '[DOP']],BD.PD[Pos],PPto[[#This Row],[Part.]],BD.PD[Tipo Ppto],G$19)</f>
        <v>0</v>
      </c>
      <c r="H41" s="237">
        <f>SUMIFS(BD.PD[Ppto. Orden Interna '[DOP']],BD.PD[Pos],PPto[[#This Row],[Part.]],BD.PD[Tipo Ppto],H$19)</f>
        <v>0</v>
      </c>
      <c r="I41" s="270">
        <f>PPto[[#This Row],[Ppto. Capex '[DOP']]]+PPto[[#This Row],[Ppto. OI '[DOP']2]]</f>
        <v>0</v>
      </c>
      <c r="J41" s="271">
        <f>SUMIFS(BD.PD[Ppto. Orden Interna '[USD']],BD.PD[Pos],PPto[[#This Row],[Part.]],BD.PD[Tipo Ppto],J$19)</f>
        <v>0</v>
      </c>
      <c r="K41" s="237">
        <f>SUMIFS(BD.PD[Ppto. Orden Interna '[USD']],BD.PD[Pos],PPto[[#This Row],[Part.]],BD.PD[Tipo Ppto],K$19)</f>
        <v>0</v>
      </c>
      <c r="L41" s="270">
        <f>PPto[[#This Row],[Ppto. Capex '[USD']]]+PPto[[#This Row],[Ppto. OI '[USD']]]</f>
        <v>0</v>
      </c>
      <c r="N41" s="177">
        <f>+PPto[[#This Row],[Total '[USD']3]]-PPto[[#This Row],[Total '[USD']2]]</f>
        <v>0</v>
      </c>
    </row>
    <row r="42" spans="1:14" x14ac:dyDescent="0.3">
      <c r="A42" s="5">
        <v>2.11</v>
      </c>
      <c r="B42" s="12" t="s">
        <v>37</v>
      </c>
      <c r="C42" s="4" t="s">
        <v>60</v>
      </c>
      <c r="D42" s="270">
        <v>0</v>
      </c>
      <c r="E42" s="270">
        <v>0</v>
      </c>
      <c r="F42" s="4"/>
      <c r="G42" s="237">
        <f>SUMIFS(BD.PD[Ppto. Orden Interna '[DOP']],BD.PD[Pos],PPto[[#This Row],[Part.]],BD.PD[Tipo Ppto],G$19)</f>
        <v>0</v>
      </c>
      <c r="H42" s="237">
        <f>SUMIFS(BD.PD[Ppto. Orden Interna '[DOP']],BD.PD[Pos],PPto[[#This Row],[Part.]],BD.PD[Tipo Ppto],H$19)</f>
        <v>0</v>
      </c>
      <c r="I42" s="270">
        <f>PPto[[#This Row],[Ppto. Capex '[DOP']]]+PPto[[#This Row],[Ppto. OI '[DOP']2]]</f>
        <v>0</v>
      </c>
      <c r="J42" s="271">
        <f>SUMIFS(BD.PD[Ppto. Orden Interna '[USD']],BD.PD[Pos],PPto[[#This Row],[Part.]],BD.PD[Tipo Ppto],J$19)</f>
        <v>0</v>
      </c>
      <c r="K42" s="237">
        <f>SUMIFS(BD.PD[Ppto. Orden Interna '[USD']],BD.PD[Pos],PPto[[#This Row],[Part.]],BD.PD[Tipo Ppto],K$19)</f>
        <v>0</v>
      </c>
      <c r="L42" s="270">
        <f>PPto[[#This Row],[Ppto. Capex '[USD']]]+PPto[[#This Row],[Ppto. OI '[USD']]]</f>
        <v>0</v>
      </c>
      <c r="N42" s="177">
        <f>+PPto[[#This Row],[Total '[USD']3]]-PPto[[#This Row],[Total '[USD']2]]</f>
        <v>0</v>
      </c>
    </row>
    <row r="43" spans="1:14" x14ac:dyDescent="0.3">
      <c r="A43" s="6">
        <v>3</v>
      </c>
      <c r="B43" s="7"/>
      <c r="C43" s="173" t="s">
        <v>61</v>
      </c>
      <c r="D43" s="236">
        <f>SUM(D44:D47)</f>
        <v>146108.5625</v>
      </c>
      <c r="E43" s="236">
        <f>SUM(E44:E47)</f>
        <v>180559.1335974441</v>
      </c>
      <c r="F43" s="375"/>
      <c r="G43" s="236">
        <f>SUM(G44:G47)</f>
        <v>27933332.489999998</v>
      </c>
      <c r="H43" s="236">
        <f t="shared" ref="H43" si="10">SUM(H44:H47)</f>
        <v>0</v>
      </c>
      <c r="I43" s="268">
        <f>PPto[[#This Row],[Ppto. Capex '[DOP']]]+PPto[[#This Row],[Ppto. OI '[DOP']2]]</f>
        <v>27933332.489999998</v>
      </c>
      <c r="J43" s="269">
        <f t="shared" ref="J43:K43" si="11">SUM(J44:J47)</f>
        <v>443386.23</v>
      </c>
      <c r="K43" s="236">
        <f t="shared" si="11"/>
        <v>0</v>
      </c>
      <c r="L43" s="268">
        <f>PPto[[#This Row],[Ppto. Capex '[USD']]]+PPto[[#This Row],[Ppto. OI '[USD']]]</f>
        <v>443386.23</v>
      </c>
      <c r="N43" s="177">
        <f>+PPto[[#This Row],[Total '[USD']3]]-PPto[[#This Row],[Total '[USD']2]]</f>
        <v>-262827.09640255588</v>
      </c>
    </row>
    <row r="44" spans="1:14" x14ac:dyDescent="0.3">
      <c r="A44" s="5">
        <v>3.01</v>
      </c>
      <c r="B44" t="s">
        <v>62</v>
      </c>
      <c r="C44" s="4" t="s">
        <v>63</v>
      </c>
      <c r="D44" s="270">
        <v>0</v>
      </c>
      <c r="E44" s="270">
        <v>0</v>
      </c>
      <c r="F44" s="4"/>
      <c r="G44" s="237">
        <f>SUMIFS(BD.PD[Ppto. Orden Interna '[DOP']],BD.PD[Pos],PPto[[#This Row],[Part.]],BD.PD[Tipo Ppto],G$19)</f>
        <v>16303581.629999999</v>
      </c>
      <c r="H44" s="237">
        <f>SUMIFS(BD.PD[Ppto. Orden Interna '[DOP']],BD.PD[Pos],PPto[[#This Row],[Part.]],BD.PD[Tipo Ppto],H$19)</f>
        <v>0</v>
      </c>
      <c r="I44" s="270">
        <f>PPto[[#This Row],[Ppto. Capex '[DOP']]]+PPto[[#This Row],[Ppto. OI '[DOP']2]]</f>
        <v>16303581.629999999</v>
      </c>
      <c r="J44" s="271">
        <f>SUMIFS(BD.PD[Ppto. Orden Interna '[USD']],BD.PD[Pos],PPto[[#This Row],[Part.]],BD.PD[Tipo Ppto],J$19)</f>
        <v>258787.00999999998</v>
      </c>
      <c r="K44" s="237">
        <f>SUMIFS(BD.PD[Ppto. Orden Interna '[USD']],BD.PD[Pos],PPto[[#This Row],[Part.]],BD.PD[Tipo Ppto],K$19)</f>
        <v>0</v>
      </c>
      <c r="L44" s="270">
        <f>PPto[[#This Row],[Ppto. Capex '[USD']]]+PPto[[#This Row],[Ppto. OI '[USD']]]</f>
        <v>258787.00999999998</v>
      </c>
      <c r="N44" s="177">
        <f>+PPto[[#This Row],[Total '[USD']3]]-PPto[[#This Row],[Total '[USD']2]]</f>
        <v>-258787.00999999998</v>
      </c>
    </row>
    <row r="45" spans="1:14" x14ac:dyDescent="0.3">
      <c r="A45" s="5">
        <v>3.02</v>
      </c>
      <c r="B45" t="s">
        <v>62</v>
      </c>
      <c r="C45" s="4" t="s">
        <v>64</v>
      </c>
      <c r="D45" s="270">
        <v>0</v>
      </c>
      <c r="E45" s="270">
        <v>0</v>
      </c>
      <c r="F45" s="4"/>
      <c r="G45" s="237">
        <f>SUMIFS(BD.PD[Ppto. Orden Interna '[DOP']],BD.PD[Pos],PPto[[#This Row],[Part.]],BD.PD[Tipo Ppto],G$19)</f>
        <v>0</v>
      </c>
      <c r="H45" s="237">
        <f>SUMIFS(BD.PD[Ppto. Orden Interna '[DOP']],BD.PD[Pos],PPto[[#This Row],[Part.]],BD.PD[Tipo Ppto],H$19)</f>
        <v>0</v>
      </c>
      <c r="I45" s="270">
        <f>PPto[[#This Row],[Ppto. Capex '[DOP']]]+PPto[[#This Row],[Ppto. OI '[DOP']2]]</f>
        <v>0</v>
      </c>
      <c r="J45" s="271">
        <f>SUMIFS(BD.PD[Ppto. Orden Interna '[USD']],BD.PD[Pos],PPto[[#This Row],[Part.]],BD.PD[Tipo Ppto],J$19)</f>
        <v>0</v>
      </c>
      <c r="K45" s="237">
        <f>SUMIFS(BD.PD[Ppto. Orden Interna '[USD']],BD.PD[Pos],PPto[[#This Row],[Part.]],BD.PD[Tipo Ppto],K$19)</f>
        <v>0</v>
      </c>
      <c r="L45" s="270">
        <f>PPto[[#This Row],[Ppto. Capex '[USD']]]+PPto[[#This Row],[Ppto. OI '[USD']]]</f>
        <v>0</v>
      </c>
      <c r="N45" s="177">
        <f>+PPto[[#This Row],[Total '[USD']3]]-PPto[[#This Row],[Total '[USD']2]]</f>
        <v>0</v>
      </c>
    </row>
    <row r="46" spans="1:14" x14ac:dyDescent="0.3">
      <c r="A46" s="5">
        <v>3.03</v>
      </c>
      <c r="B46" t="s">
        <v>62</v>
      </c>
      <c r="C46" s="4" t="s">
        <v>65</v>
      </c>
      <c r="D46" s="270">
        <v>130677.96</v>
      </c>
      <c r="E46" s="270">
        <v>165254.22</v>
      </c>
      <c r="F46" s="4"/>
      <c r="G46" s="237">
        <f>SUMIFS(BD.PD[Ppto. Orden Interna '[DOP']],BD.PD[Pos],PPto[[#This Row],[Part.]],BD.PD[Tipo Ppto],G$19)</f>
        <v>10411015.859999999</v>
      </c>
      <c r="H46" s="237">
        <f>SUMIFS(BD.PD[Ppto. Orden Interna '[DOP']],BD.PD[Pos],PPto[[#This Row],[Part.]],BD.PD[Tipo Ppto],H$19)</f>
        <v>0</v>
      </c>
      <c r="I46" s="270">
        <f>PPto[[#This Row],[Ppto. Capex '[DOP']]]+PPto[[#This Row],[Ppto. OI '[DOP']2]]</f>
        <v>10411015.859999999</v>
      </c>
      <c r="J46" s="271">
        <f>SUMIFS(BD.PD[Ppto. Orden Interna '[USD']],BD.PD[Pos],PPto[[#This Row],[Part.]],BD.PD[Tipo Ppto],J$19)</f>
        <v>165254.22</v>
      </c>
      <c r="K46" s="237">
        <f>SUMIFS(BD.PD[Ppto. Orden Interna '[USD']],BD.PD[Pos],PPto[[#This Row],[Part.]],BD.PD[Tipo Ppto],K$19)</f>
        <v>0</v>
      </c>
      <c r="L46" s="270">
        <f>PPto[[#This Row],[Ppto. Capex '[USD']]]+PPto[[#This Row],[Ppto. OI '[USD']]]</f>
        <v>165254.22</v>
      </c>
      <c r="N46" s="177">
        <f>+PPto[[#This Row],[Total '[USD']3]]-PPto[[#This Row],[Total '[USD']2]]</f>
        <v>0</v>
      </c>
    </row>
    <row r="47" spans="1:14" x14ac:dyDescent="0.3">
      <c r="A47" s="5">
        <v>3.04</v>
      </c>
      <c r="B47" t="s">
        <v>62</v>
      </c>
      <c r="C47" s="4" t="s">
        <v>66</v>
      </c>
      <c r="D47" s="270">
        <v>15430.602499999999</v>
      </c>
      <c r="E47" s="270">
        <v>15304.913597444089</v>
      </c>
      <c r="F47" s="4"/>
      <c r="G47" s="237">
        <f>SUMIFS(BD.PD[Ppto. Orden Interna '[DOP']],BD.PD[Pos],PPto[[#This Row],[Part.]],BD.PD[Tipo Ppto],G$19)</f>
        <v>1218735</v>
      </c>
      <c r="H47" s="237">
        <f>SUMIFS(BD.PD[Ppto. Orden Interna '[DOP']],BD.PD[Pos],PPto[[#This Row],[Part.]],BD.PD[Tipo Ppto],H$19)</f>
        <v>0</v>
      </c>
      <c r="I47" s="270">
        <f>PPto[[#This Row],[Ppto. Capex '[DOP']]]+PPto[[#This Row],[Ppto. OI '[DOP']2]]</f>
        <v>1218735</v>
      </c>
      <c r="J47" s="271">
        <f>SUMIFS(BD.PD[Ppto. Orden Interna '[USD']],BD.PD[Pos],PPto[[#This Row],[Part.]],BD.PD[Tipo Ppto],J$19)</f>
        <v>19345</v>
      </c>
      <c r="K47" s="237">
        <f>SUMIFS(BD.PD[Ppto. Orden Interna '[USD']],BD.PD[Pos],PPto[[#This Row],[Part.]],BD.PD[Tipo Ppto],K$19)</f>
        <v>0</v>
      </c>
      <c r="L47" s="270">
        <f>PPto[[#This Row],[Ppto. Capex '[USD']]]+PPto[[#This Row],[Ppto. OI '[USD']]]</f>
        <v>19345</v>
      </c>
      <c r="N47" s="177">
        <f>+PPto[[#This Row],[Total '[USD']3]]-PPto[[#This Row],[Total '[USD']2]]</f>
        <v>-4040.0864025559113</v>
      </c>
    </row>
    <row r="48" spans="1:14" x14ac:dyDescent="0.3">
      <c r="A48" s="6">
        <v>4</v>
      </c>
      <c r="B48" s="7"/>
      <c r="C48" s="173" t="s">
        <v>67</v>
      </c>
      <c r="D48" s="236">
        <f>SUM(D49:D51)</f>
        <v>17671.380833333333</v>
      </c>
      <c r="E48" s="236">
        <f>SUM(E49:E51)</f>
        <v>274404.10872603831</v>
      </c>
      <c r="F48" s="375"/>
      <c r="G48" s="236">
        <f t="shared" ref="G48" si="12">SUM(G49:G51)</f>
        <v>7596030.75</v>
      </c>
      <c r="H48" s="236">
        <f t="shared" ref="H48" si="13">SUM(H49:H51)</f>
        <v>0</v>
      </c>
      <c r="I48" s="268">
        <f>PPto[[#This Row],[Ppto. Capex '[DOP']]]+PPto[[#This Row],[Ppto. OI '[DOP']2]]</f>
        <v>7596030.75</v>
      </c>
      <c r="J48" s="269">
        <f t="shared" ref="J48:K48" si="14">SUM(J49:J51)</f>
        <v>120571.91666666667</v>
      </c>
      <c r="K48" s="236">
        <f t="shared" si="14"/>
        <v>0</v>
      </c>
      <c r="L48" s="268">
        <f>PPto[[#This Row],[Ppto. Capex '[USD']]]+PPto[[#This Row],[Ppto. OI '[USD']]]</f>
        <v>120571.91666666667</v>
      </c>
      <c r="M48" s="426" t="s">
        <v>48</v>
      </c>
      <c r="N48" s="177"/>
    </row>
    <row r="49" spans="1:14" x14ac:dyDescent="0.3">
      <c r="A49" s="5">
        <v>4.01</v>
      </c>
      <c r="B49" t="s">
        <v>62</v>
      </c>
      <c r="C49" s="4" t="s">
        <v>68</v>
      </c>
      <c r="D49" s="270">
        <v>0</v>
      </c>
      <c r="E49" s="270">
        <v>255437.67022763577</v>
      </c>
      <c r="F49" s="4"/>
      <c r="G49" s="237">
        <f>SUMIFS(BD.PD[Ppto. Orden Interna '[DOP']],BD.PD[Pos],PPto[[#This Row],[Part.]],BD.PD[Tipo Ppto],G$19)</f>
        <v>6416313.75</v>
      </c>
      <c r="H49" s="237">
        <f>SUMIFS(BD.PD[Ppto. Orden Interna '[DOP']],BD.PD[Pos],PPto[[#This Row],[Part.]],BD.PD[Tipo Ppto],H$19)</f>
        <v>0</v>
      </c>
      <c r="I49" s="270">
        <f>PPto[[#This Row],[Ppto. Capex '[DOP']]]+PPto[[#This Row],[Ppto. OI '[DOP']2]]</f>
        <v>6416313.75</v>
      </c>
      <c r="J49" s="271">
        <f>SUMIFS(BD.PD[Ppto. Orden Interna '[USD']],BD.PD[Pos],PPto[[#This Row],[Part.]],BD.PD[Tipo Ppto],J$19)</f>
        <v>101846.25</v>
      </c>
      <c r="K49" s="237">
        <f>SUMIFS(BD.PD[Ppto. Orden Interna '[USD']],BD.PD[Pos],PPto[[#This Row],[Part.]],BD.PD[Tipo Ppto],K$19)</f>
        <v>0</v>
      </c>
      <c r="L49" s="270">
        <f>PPto[[#This Row],[Ppto. Capex '[USD']]]+PPto[[#This Row],[Ppto. OI '[USD']]]</f>
        <v>101846.25</v>
      </c>
      <c r="M49" t="s">
        <v>69</v>
      </c>
      <c r="N49" s="514">
        <f>+PPto[[#This Row],[Total '[USD']3]]-PPto[[#This Row],[Total '[USD']2]]</f>
        <v>153591.42022763577</v>
      </c>
    </row>
    <row r="50" spans="1:14" x14ac:dyDescent="0.3">
      <c r="A50" s="5">
        <v>4.0199999999999996</v>
      </c>
      <c r="B50" t="s">
        <v>62</v>
      </c>
      <c r="C50" s="4" t="s">
        <v>70</v>
      </c>
      <c r="D50" s="270">
        <v>0</v>
      </c>
      <c r="E50" s="270">
        <v>0</v>
      </c>
      <c r="F50" s="4"/>
      <c r="G50" s="237">
        <f>SUMIFS(BD.PD[Ppto. Orden Interna '[DOP']],BD.PD[Pos],PPto[[#This Row],[Part.]],BD.PD[Tipo Ppto],G$19)</f>
        <v>0</v>
      </c>
      <c r="H50" s="237">
        <f>SUMIFS(BD.PD[Ppto. Orden Interna '[DOP']],BD.PD[Pos],PPto[[#This Row],[Part.]],BD.PD[Tipo Ppto],H$19)</f>
        <v>0</v>
      </c>
      <c r="I50" s="270">
        <f>PPto[[#This Row],[Ppto. Capex '[DOP']]]+PPto[[#This Row],[Ppto. OI '[DOP']2]]</f>
        <v>0</v>
      </c>
      <c r="J50" s="271">
        <f>SUMIFS(BD.PD[Ppto. Orden Interna '[USD']],BD.PD[Pos],PPto[[#This Row],[Part.]],BD.PD[Tipo Ppto],J$19)</f>
        <v>0</v>
      </c>
      <c r="K50" s="237">
        <f>SUMIFS(BD.PD[Ppto. Orden Interna '[USD']],BD.PD[Pos],PPto[[#This Row],[Part.]],BD.PD[Tipo Ppto],K$19)</f>
        <v>0</v>
      </c>
      <c r="L50" s="270">
        <f>PPto[[#This Row],[Ppto. Capex '[USD']]]+PPto[[#This Row],[Ppto. OI '[USD']]]</f>
        <v>0</v>
      </c>
      <c r="N50" s="177">
        <f>+PPto[[#This Row],[Total '[USD']3]]-PPto[[#This Row],[Total '[USD']2]]</f>
        <v>0</v>
      </c>
    </row>
    <row r="51" spans="1:14" x14ac:dyDescent="0.3">
      <c r="A51" s="5">
        <v>4.03</v>
      </c>
      <c r="B51" t="s">
        <v>62</v>
      </c>
      <c r="C51" s="4" t="s">
        <v>71</v>
      </c>
      <c r="D51" s="270">
        <v>17671.380833333333</v>
      </c>
      <c r="E51" s="270">
        <v>18966.438498402556</v>
      </c>
      <c r="F51" s="4"/>
      <c r="G51" s="237">
        <f>SUMIFS(BD.PD[Ppto. Orden Interna '[DOP']],BD.PD[Pos],PPto[[#This Row],[Part.]],BD.PD[Tipo Ppto],G$19)</f>
        <v>1179717</v>
      </c>
      <c r="H51" s="237">
        <f>SUMIFS(BD.PD[Ppto. Orden Interna '[DOP']],BD.PD[Pos],PPto[[#This Row],[Part.]],BD.PD[Tipo Ppto],H$19)</f>
        <v>0</v>
      </c>
      <c r="I51" s="270">
        <f>PPto[[#This Row],[Ppto. Capex '[DOP']]]+PPto[[#This Row],[Ppto. OI '[DOP']2]]</f>
        <v>1179717</v>
      </c>
      <c r="J51" s="271">
        <f>SUMIFS(BD.PD[Ppto. Orden Interna '[USD']],BD.PD[Pos],PPto[[#This Row],[Part.]],BD.PD[Tipo Ppto],J$19)</f>
        <v>18725.666666666668</v>
      </c>
      <c r="K51" s="237">
        <f>SUMIFS(BD.PD[Ppto. Orden Interna '[USD']],BD.PD[Pos],PPto[[#This Row],[Part.]],BD.PD[Tipo Ppto],K$19)</f>
        <v>0</v>
      </c>
      <c r="L51" s="270">
        <f>PPto[[#This Row],[Ppto. Capex '[USD']]]+PPto[[#This Row],[Ppto. OI '[USD']]]</f>
        <v>18725.666666666668</v>
      </c>
      <c r="N51" s="514">
        <f>+PPto[[#This Row],[Total '[USD']3]]-PPto[[#This Row],[Total '[USD']2]]</f>
        <v>240.77183173588855</v>
      </c>
    </row>
    <row r="52" spans="1:14" x14ac:dyDescent="0.3">
      <c r="A52" s="6">
        <v>5</v>
      </c>
      <c r="B52" s="7"/>
      <c r="C52" s="173" t="s">
        <v>72</v>
      </c>
      <c r="D52" s="236">
        <f>SUM(D53:D59)</f>
        <v>1189624.4392333333</v>
      </c>
      <c r="E52" s="236">
        <f>SUM(E53:E59)</f>
        <v>1043362.4316908945</v>
      </c>
      <c r="F52" s="375"/>
      <c r="G52" s="236">
        <f t="shared" ref="G52" si="15">SUM(G53:G59)</f>
        <v>67449916.559200004</v>
      </c>
      <c r="H52" s="236">
        <f t="shared" ref="H52" si="16">SUM(H53:H59)</f>
        <v>0</v>
      </c>
      <c r="I52" s="268">
        <f>PPto[[#This Row],[Ppto. Capex '[DOP']]]+PPto[[#This Row],[Ppto. OI '[DOP']2]]</f>
        <v>67449916.559200004</v>
      </c>
      <c r="J52" s="269">
        <f t="shared" ref="J52:K52" si="17">SUM(J53:J59)</f>
        <v>1070633.5961777777</v>
      </c>
      <c r="K52" s="236">
        <f t="shared" si="17"/>
        <v>0</v>
      </c>
      <c r="L52" s="268">
        <f>PPto[[#This Row],[Ppto. Capex '[USD']]]+PPto[[#This Row],[Ppto. OI '[USD']]]</f>
        <v>1070633.5961777777</v>
      </c>
      <c r="N52" s="177"/>
    </row>
    <row r="53" spans="1:14" x14ac:dyDescent="0.3">
      <c r="A53" s="5">
        <v>5.01</v>
      </c>
      <c r="B53" t="s">
        <v>62</v>
      </c>
      <c r="C53" s="4" t="s">
        <v>73</v>
      </c>
      <c r="D53" s="270">
        <v>279003.08700000006</v>
      </c>
      <c r="E53" s="270">
        <v>157500</v>
      </c>
      <c r="F53" s="4"/>
      <c r="G53" s="237">
        <f>SUMIFS(BD.PD[Ppto. Orden Interna '[DOP']],BD.PD[Pos],PPto[[#This Row],[Part.]],BD.PD[Tipo Ppto],G$19)</f>
        <v>9989501.7599999998</v>
      </c>
      <c r="H53" s="237">
        <f>SUMIFS(BD.PD[Ppto. Orden Interna '[DOP']],BD.PD[Pos],PPto[[#This Row],[Part.]],BD.PD[Tipo Ppto],H$19)</f>
        <v>0</v>
      </c>
      <c r="I53" s="270">
        <f>PPto[[#This Row],[Ppto. Capex '[DOP']]]+PPto[[#This Row],[Ppto. OI '[DOP']2]]</f>
        <v>9989501.7599999998</v>
      </c>
      <c r="J53" s="271">
        <f>SUMIFS(BD.PD[Ppto. Orden Interna '[USD']],BD.PD[Pos],PPto[[#This Row],[Part.]],BD.PD[Tipo Ppto],J$19)</f>
        <v>158563.51999999999</v>
      </c>
      <c r="K53" s="237">
        <f>SUMIFS(BD.PD[Ppto. Orden Interna '[USD']],BD.PD[Pos],PPto[[#This Row],[Part.]],BD.PD[Tipo Ppto],K$19)</f>
        <v>0</v>
      </c>
      <c r="L53" s="270">
        <f>PPto[[#This Row],[Ppto. Capex '[USD']]]+PPto[[#This Row],[Ppto. OI '[USD']]]</f>
        <v>158563.51999999999</v>
      </c>
      <c r="M53" s="426" t="s">
        <v>48</v>
      </c>
      <c r="N53" s="177">
        <f>+PPto[[#This Row],[Total '[USD']3]]-PPto[[#This Row],[Total '[USD']2]]</f>
        <v>-1063.5199999999895</v>
      </c>
    </row>
    <row r="54" spans="1:14" ht="15.6" customHeight="1" x14ac:dyDescent="0.3">
      <c r="A54" s="5">
        <v>5.0199999999999996</v>
      </c>
      <c r="B54" t="s">
        <v>62</v>
      </c>
      <c r="C54" s="4" t="s">
        <v>74</v>
      </c>
      <c r="D54" s="270">
        <v>51676.036500000002</v>
      </c>
      <c r="E54" s="270">
        <v>32571.3465</v>
      </c>
      <c r="F54" s="4"/>
      <c r="G54" s="237">
        <f>SUMIFS(BD.PD[Ppto. Orden Interna '[DOP']],BD.PD[Pos],PPto[[#This Row],[Part.]],BD.PD[Tipo Ppto],G$19)</f>
        <v>1810132.38</v>
      </c>
      <c r="H54" s="237">
        <f>SUMIFS(BD.PD[Ppto. Orden Interna '[DOP']],BD.PD[Pos],PPto[[#This Row],[Part.]],BD.PD[Tipo Ppto],H$19)</f>
        <v>0</v>
      </c>
      <c r="I54" s="270">
        <f>PPto[[#This Row],[Ppto. Capex '[DOP']]]+PPto[[#This Row],[Ppto. OI '[DOP']2]]</f>
        <v>1810132.38</v>
      </c>
      <c r="J54" s="271">
        <f>SUMIFS(BD.PD[Ppto. Orden Interna '[USD']],BD.PD[Pos],PPto[[#This Row],[Part.]],BD.PD[Tipo Ppto],J$19)</f>
        <v>28732.26</v>
      </c>
      <c r="K54" s="237">
        <f>SUMIFS(BD.PD[Ppto. Orden Interna '[USD']],BD.PD[Pos],PPto[[#This Row],[Part.]],BD.PD[Tipo Ppto],K$19)</f>
        <v>0</v>
      </c>
      <c r="L54" s="270">
        <f>PPto[[#This Row],[Ppto. Capex '[USD']]]+PPto[[#This Row],[Ppto. OI '[USD']]]</f>
        <v>28732.26</v>
      </c>
      <c r="N54" s="514">
        <f>+PPto[[#This Row],[Total '[USD']3]]-PPto[[#This Row],[Total '[USD']2]]</f>
        <v>3839.0865000000013</v>
      </c>
    </row>
    <row r="55" spans="1:14" x14ac:dyDescent="0.3">
      <c r="A55" s="5">
        <v>5.03</v>
      </c>
      <c r="B55" t="s">
        <v>62</v>
      </c>
      <c r="C55" s="4" t="s">
        <v>75</v>
      </c>
      <c r="D55" s="270">
        <v>589970.59459999995</v>
      </c>
      <c r="E55" s="270">
        <v>545308.28391773161</v>
      </c>
      <c r="F55" s="4"/>
      <c r="G55" s="237">
        <f>SUMIFS(BD.PD[Ppto. Orden Interna '[DOP']],BD.PD[Pos],PPto[[#This Row],[Part.]],BD.PD[Tipo Ppto],G$19)</f>
        <v>40348896.09920001</v>
      </c>
      <c r="H55" s="237">
        <f>SUMIFS(BD.PD[Ppto. Orden Interna '[DOP']],BD.PD[Pos],PPto[[#This Row],[Part.]],BD.PD[Tipo Ppto],H$19)</f>
        <v>0</v>
      </c>
      <c r="I55" s="270">
        <f>PPto[[#This Row],[Ppto. Capex '[DOP']]]+PPto[[#This Row],[Ppto. OI '[DOP']2]]</f>
        <v>40348896.09920001</v>
      </c>
      <c r="J55" s="271">
        <f>SUMIFS(BD.PD[Ppto. Orden Interna '[USD']],BD.PD[Pos],PPto[[#This Row],[Part.]],BD.PD[Tipo Ppto],J$19)</f>
        <v>640458.66824126989</v>
      </c>
      <c r="K55" s="237">
        <f>SUMIFS(BD.PD[Ppto. Orden Interna '[USD']],BD.PD[Pos],PPto[[#This Row],[Part.]],BD.PD[Tipo Ppto],K$19)</f>
        <v>0</v>
      </c>
      <c r="L55" s="270">
        <f>PPto[[#This Row],[Ppto. Capex '[USD']]]+PPto[[#This Row],[Ppto. OI '[USD']]]</f>
        <v>640458.66824126989</v>
      </c>
      <c r="M55" t="s">
        <v>76</v>
      </c>
      <c r="N55" s="177">
        <f>+PPto[[#This Row],[Total '[USD']3]]-PPto[[#This Row],[Total '[USD']2]]</f>
        <v>-95150.384323538281</v>
      </c>
    </row>
    <row r="56" spans="1:14" x14ac:dyDescent="0.3">
      <c r="A56" s="5">
        <v>5.04</v>
      </c>
      <c r="B56" t="s">
        <v>62</v>
      </c>
      <c r="C56" s="4" t="s">
        <v>77</v>
      </c>
      <c r="D56" s="270">
        <v>30149.492800000004</v>
      </c>
      <c r="E56" s="270">
        <v>28768.600000000006</v>
      </c>
      <c r="F56" s="4"/>
      <c r="G56" s="237">
        <f>SUMIFS(BD.PD[Ppto. Orden Interna '[DOP']],BD.PD[Pos],PPto[[#This Row],[Part.]],BD.PD[Tipo Ppto],G$19)</f>
        <v>1658065.02</v>
      </c>
      <c r="H56" s="237">
        <f>SUMIFS(BD.PD[Ppto. Orden Interna '[DOP']],BD.PD[Pos],PPto[[#This Row],[Part.]],BD.PD[Tipo Ppto],H$19)</f>
        <v>0</v>
      </c>
      <c r="I56" s="270">
        <f>PPto[[#This Row],[Ppto. Capex '[DOP']]]+PPto[[#This Row],[Ppto. OI '[DOP']2]]</f>
        <v>1658065.02</v>
      </c>
      <c r="J56" s="271">
        <f>SUMIFS(BD.PD[Ppto. Orden Interna '[USD']],BD.PD[Pos],PPto[[#This Row],[Part.]],BD.PD[Tipo Ppto],J$19)</f>
        <v>26318.492380952383</v>
      </c>
      <c r="K56" s="237">
        <f>SUMIFS(BD.PD[Ppto. Orden Interna '[USD']],BD.PD[Pos],PPto[[#This Row],[Part.]],BD.PD[Tipo Ppto],K$19)</f>
        <v>0</v>
      </c>
      <c r="L56" s="270">
        <f>PPto[[#This Row],[Ppto. Capex '[USD']]]+PPto[[#This Row],[Ppto. OI '[USD']]]</f>
        <v>26318.492380952383</v>
      </c>
      <c r="N56" s="514">
        <f>+PPto[[#This Row],[Total '[USD']3]]-PPto[[#This Row],[Total '[USD']2]]</f>
        <v>2450.1076190476233</v>
      </c>
    </row>
    <row r="57" spans="1:14" x14ac:dyDescent="0.3">
      <c r="A57" s="5">
        <v>5.05</v>
      </c>
      <c r="B57" t="s">
        <v>62</v>
      </c>
      <c r="C57" s="4" t="s">
        <v>78</v>
      </c>
      <c r="D57" s="270">
        <v>34455.644999999997</v>
      </c>
      <c r="E57" s="270">
        <v>37028.753993610226</v>
      </c>
      <c r="F57" s="4"/>
      <c r="G57" s="237">
        <f>SUMIFS(BD.PD[Ppto. Orden Interna '[DOP']],BD.PD[Pos],PPto[[#This Row],[Part.]],BD.PD[Tipo Ppto],G$19)</f>
        <v>1960694.2199999997</v>
      </c>
      <c r="H57" s="237">
        <f>SUMIFS(BD.PD[Ppto. Orden Interna '[DOP']],BD.PD[Pos],PPto[[#This Row],[Part.]],BD.PD[Tipo Ppto],H$19)</f>
        <v>0</v>
      </c>
      <c r="I57" s="270">
        <f>PPto[[#This Row],[Ppto. Capex '[DOP']]]+PPto[[#This Row],[Ppto. OI '[DOP']2]]</f>
        <v>1960694.2199999997</v>
      </c>
      <c r="J57" s="271">
        <f>SUMIFS(BD.PD[Ppto. Orden Interna '[USD']],BD.PD[Pos],PPto[[#This Row],[Part.]],BD.PD[Tipo Ppto],J$19)</f>
        <v>31122.130476190476</v>
      </c>
      <c r="K57" s="237">
        <f>SUMIFS(BD.PD[Ppto. Orden Interna '[USD']],BD.PD[Pos],PPto[[#This Row],[Part.]],BD.PD[Tipo Ppto],K$19)</f>
        <v>0</v>
      </c>
      <c r="L57" s="270">
        <f>PPto[[#This Row],[Ppto. Capex '[USD']]]+PPto[[#This Row],[Ppto. OI '[USD']]]</f>
        <v>31122.130476190476</v>
      </c>
      <c r="N57" s="514">
        <f>+PPto[[#This Row],[Total '[USD']3]]-PPto[[#This Row],[Total '[USD']2]]</f>
        <v>5906.62351741975</v>
      </c>
    </row>
    <row r="58" spans="1:14" x14ac:dyDescent="0.3">
      <c r="A58" s="5">
        <v>5.0599999999999996</v>
      </c>
      <c r="B58" t="s">
        <v>62</v>
      </c>
      <c r="C58" s="4" t="s">
        <v>79</v>
      </c>
      <c r="D58" s="270">
        <v>170833.33333333334</v>
      </c>
      <c r="E58" s="270">
        <v>168492.01277955272</v>
      </c>
      <c r="F58" s="4"/>
      <c r="G58" s="237">
        <f>SUMIFS(BD.PD[Ppto. Orden Interna '[DOP']],BD.PD[Pos],PPto[[#This Row],[Part.]],BD.PD[Tipo Ppto],G$19)</f>
        <v>8254359.2300000004</v>
      </c>
      <c r="H58" s="237">
        <f>SUMIFS(BD.PD[Ppto. Orden Interna '[DOP']],BD.PD[Pos],PPto[[#This Row],[Part.]],BD.PD[Tipo Ppto],H$19)</f>
        <v>0</v>
      </c>
      <c r="I58" s="270">
        <f>PPto[[#This Row],[Ppto. Capex '[DOP']]]+PPto[[#This Row],[Ppto. OI '[DOP']2]]</f>
        <v>8254359.2300000004</v>
      </c>
      <c r="J58" s="271">
        <f>SUMIFS(BD.PD[Ppto. Orden Interna '[USD']],BD.PD[Pos],PPto[[#This Row],[Part.]],BD.PD[Tipo Ppto],J$19)</f>
        <v>131021.57507936508</v>
      </c>
      <c r="K58" s="237">
        <f>SUMIFS(BD.PD[Ppto. Orden Interna '[USD']],BD.PD[Pos],PPto[[#This Row],[Part.]],BD.PD[Tipo Ppto],K$19)</f>
        <v>0</v>
      </c>
      <c r="L58" s="270">
        <f>PPto[[#This Row],[Ppto. Capex '[USD']]]+PPto[[#This Row],[Ppto. OI '[USD']]]</f>
        <v>131021.57507936508</v>
      </c>
      <c r="N58" s="514">
        <f>+PPto[[#This Row],[Total '[USD']3]]-PPto[[#This Row],[Total '[USD']2]]</f>
        <v>37470.437700187642</v>
      </c>
    </row>
    <row r="59" spans="1:14" x14ac:dyDescent="0.3">
      <c r="A59" s="5">
        <v>5.07</v>
      </c>
      <c r="B59" t="s">
        <v>62</v>
      </c>
      <c r="C59" s="4" t="s">
        <v>80</v>
      </c>
      <c r="D59" s="270">
        <v>33536.25</v>
      </c>
      <c r="E59" s="270">
        <v>73693.434500000003</v>
      </c>
      <c r="F59" s="4"/>
      <c r="G59" s="237">
        <f>SUMIFS(BD.PD[Ppto. Orden Interna '[DOP']],BD.PD[Pos],PPto[[#This Row],[Part.]],BD.PD[Tipo Ppto],G$19)</f>
        <v>3428267.8499999996</v>
      </c>
      <c r="H59" s="237">
        <f>SUMIFS(BD.PD[Ppto. Orden Interna '[DOP']],BD.PD[Pos],PPto[[#This Row],[Part.]],BD.PD[Tipo Ppto],H$19)</f>
        <v>0</v>
      </c>
      <c r="I59" s="270">
        <f>PPto[[#This Row],[Ppto. Capex '[DOP']]]+PPto[[#This Row],[Ppto. OI '[DOP']2]]</f>
        <v>3428267.8499999996</v>
      </c>
      <c r="J59" s="271">
        <f>SUMIFS(BD.PD[Ppto. Orden Interna '[USD']],BD.PD[Pos],PPto[[#This Row],[Part.]],BD.PD[Tipo Ppto],J$19)</f>
        <v>54416.95</v>
      </c>
      <c r="K59" s="237">
        <f>SUMIFS(BD.PD[Ppto. Orden Interna '[USD']],BD.PD[Pos],PPto[[#This Row],[Part.]],BD.PD[Tipo Ppto],K$19)</f>
        <v>0</v>
      </c>
      <c r="L59" s="270">
        <f>PPto[[#This Row],[Ppto. Capex '[USD']]]+PPto[[#This Row],[Ppto. OI '[USD']]]</f>
        <v>54416.95</v>
      </c>
      <c r="N59" s="514">
        <f>+PPto[[#This Row],[Total '[USD']3]]-PPto[[#This Row],[Total '[USD']2]]</f>
        <v>19276.484500000006</v>
      </c>
    </row>
    <row r="60" spans="1:14" x14ac:dyDescent="0.3">
      <c r="A60" s="6">
        <v>6</v>
      </c>
      <c r="B60" s="7"/>
      <c r="C60" s="173" t="s">
        <v>81</v>
      </c>
      <c r="D60" s="236">
        <f>SUM(D61:D65)</f>
        <v>35818.000500000002</v>
      </c>
      <c r="E60" s="236">
        <f>SUM(E61:E65)</f>
        <v>38430.064728434503</v>
      </c>
      <c r="F60" s="375"/>
      <c r="G60" s="236">
        <f t="shared" ref="G60" si="18">SUM(G61:G65)</f>
        <v>2381525.7499999995</v>
      </c>
      <c r="H60" s="236">
        <f t="shared" ref="H60" si="19">SUM(H61:H65)</f>
        <v>0</v>
      </c>
      <c r="I60" s="268">
        <f>PPto[[#This Row],[Ppto. Capex '[DOP']]]+PPto[[#This Row],[Ppto. OI '[DOP']2]]</f>
        <v>2381525.7499999995</v>
      </c>
      <c r="J60" s="269">
        <f t="shared" ref="J60:K60" si="20">SUM(J61:J65)</f>
        <v>37801.996031746021</v>
      </c>
      <c r="K60" s="236">
        <f t="shared" si="20"/>
        <v>0</v>
      </c>
      <c r="L60" s="268">
        <f>PPto[[#This Row],[Ppto. Capex '[USD']]]+PPto[[#This Row],[Ppto. OI '[USD']]]</f>
        <v>37801.996031746021</v>
      </c>
      <c r="N60" s="177"/>
    </row>
    <row r="61" spans="1:14" x14ac:dyDescent="0.3">
      <c r="A61" s="5">
        <v>6.01</v>
      </c>
      <c r="B61" t="s">
        <v>62</v>
      </c>
      <c r="C61" s="4" t="s">
        <v>82</v>
      </c>
      <c r="D61" s="270">
        <v>0</v>
      </c>
      <c r="E61" s="270">
        <v>0</v>
      </c>
      <c r="F61" s="4"/>
      <c r="G61" s="237">
        <f>SUMIFS(BD.PD[Ppto. Orden Interna '[DOP']],BD.PD[Pos],PPto[[#This Row],[Part.]],BD.PD[Tipo Ppto],G$19)</f>
        <v>0</v>
      </c>
      <c r="H61" s="237">
        <f>SUMIFS(BD.PD[Ppto. Orden Interna '[DOP']],BD.PD[Pos],PPto[[#This Row],[Part.]],BD.PD[Tipo Ppto],H$19)</f>
        <v>0</v>
      </c>
      <c r="I61" s="270">
        <f>PPto[[#This Row],[Ppto. Capex '[DOP']]]+PPto[[#This Row],[Ppto. OI '[DOP']2]]</f>
        <v>0</v>
      </c>
      <c r="J61" s="271">
        <f>SUMIFS(BD.PD[Ppto. Orden Interna '[USD']],BD.PD[Pos],PPto[[#This Row],[Part.]],BD.PD[Tipo Ppto],J$19)</f>
        <v>0</v>
      </c>
      <c r="K61" s="237">
        <f>SUMIFS(BD.PD[Ppto. Orden Interna '[USD']],BD.PD[Pos],PPto[[#This Row],[Part.]],BD.PD[Tipo Ppto],K$19)</f>
        <v>0</v>
      </c>
      <c r="L61" s="270">
        <f>PPto[[#This Row],[Ppto. Capex '[USD']]]+PPto[[#This Row],[Ppto. OI '[USD']]]</f>
        <v>0</v>
      </c>
      <c r="N61" s="177">
        <f>+PPto[[#This Row],[Total '[USD']3]]-PPto[[#This Row],[Total '[USD']2]]</f>
        <v>0</v>
      </c>
    </row>
    <row r="62" spans="1:14" x14ac:dyDescent="0.3">
      <c r="A62" s="5">
        <v>6.02</v>
      </c>
      <c r="B62" t="s">
        <v>62</v>
      </c>
      <c r="C62" s="4" t="s">
        <v>83</v>
      </c>
      <c r="D62" s="270">
        <v>0</v>
      </c>
      <c r="E62" s="270">
        <v>0</v>
      </c>
      <c r="F62" s="4"/>
      <c r="G62" s="237">
        <f>SUMIFS(BD.PD[Ppto. Orden Interna '[DOP']],BD.PD[Pos],PPto[[#This Row],[Part.]],BD.PD[Tipo Ppto],G$19)</f>
        <v>0</v>
      </c>
      <c r="H62" s="237">
        <f>SUMIFS(BD.PD[Ppto. Orden Interna '[DOP']],BD.PD[Pos],PPto[[#This Row],[Part.]],BD.PD[Tipo Ppto],H$19)</f>
        <v>0</v>
      </c>
      <c r="I62" s="270">
        <f>PPto[[#This Row],[Ppto. Capex '[DOP']]]+PPto[[#This Row],[Ppto. OI '[DOP']2]]</f>
        <v>0</v>
      </c>
      <c r="J62" s="271">
        <f>SUMIFS(BD.PD[Ppto. Orden Interna '[USD']],BD.PD[Pos],PPto[[#This Row],[Part.]],BD.PD[Tipo Ppto],J$19)</f>
        <v>0</v>
      </c>
      <c r="K62" s="237">
        <f>SUMIFS(BD.PD[Ppto. Orden Interna '[USD']],BD.PD[Pos],PPto[[#This Row],[Part.]],BD.PD[Tipo Ppto],K$19)</f>
        <v>0</v>
      </c>
      <c r="L62" s="270">
        <f>PPto[[#This Row],[Ppto. Capex '[USD']]]+PPto[[#This Row],[Ppto. OI '[USD']]]</f>
        <v>0</v>
      </c>
      <c r="N62" s="177">
        <f>+PPto[[#This Row],[Total '[USD']3]]-PPto[[#This Row],[Total '[USD']2]]</f>
        <v>0</v>
      </c>
    </row>
    <row r="63" spans="1:14" x14ac:dyDescent="0.3">
      <c r="A63" s="5">
        <v>6.03</v>
      </c>
      <c r="B63" t="s">
        <v>62</v>
      </c>
      <c r="C63" s="4" t="s">
        <v>84</v>
      </c>
      <c r="D63" s="270">
        <v>0</v>
      </c>
      <c r="E63" s="270">
        <v>0</v>
      </c>
      <c r="F63" s="4"/>
      <c r="G63" s="237">
        <f>SUMIFS(BD.PD[Ppto. Orden Interna '[DOP']],BD.PD[Pos],PPto[[#This Row],[Part.]],BD.PD[Tipo Ppto],G$19)</f>
        <v>0</v>
      </c>
      <c r="H63" s="237">
        <f>SUMIFS(BD.PD[Ppto. Orden Interna '[DOP']],BD.PD[Pos],PPto[[#This Row],[Part.]],BD.PD[Tipo Ppto],H$19)</f>
        <v>0</v>
      </c>
      <c r="I63" s="270">
        <f>PPto[[#This Row],[Ppto. Capex '[DOP']]]+PPto[[#This Row],[Ppto. OI '[DOP']2]]</f>
        <v>0</v>
      </c>
      <c r="J63" s="271">
        <f>SUMIFS(BD.PD[Ppto. Orden Interna '[USD']],BD.PD[Pos],PPto[[#This Row],[Part.]],BD.PD[Tipo Ppto],J$19)</f>
        <v>0</v>
      </c>
      <c r="K63" s="237">
        <f>SUMIFS(BD.PD[Ppto. Orden Interna '[USD']],BD.PD[Pos],PPto[[#This Row],[Part.]],BD.PD[Tipo Ppto],K$19)</f>
        <v>0</v>
      </c>
      <c r="L63" s="270">
        <f>PPto[[#This Row],[Ppto. Capex '[USD']]]+PPto[[#This Row],[Ppto. OI '[USD']]]</f>
        <v>0</v>
      </c>
      <c r="N63" s="177">
        <f>+PPto[[#This Row],[Total '[USD']3]]-PPto[[#This Row],[Total '[USD']2]]</f>
        <v>0</v>
      </c>
    </row>
    <row r="64" spans="1:14" x14ac:dyDescent="0.3">
      <c r="A64" s="5">
        <v>6.04</v>
      </c>
      <c r="B64" t="s">
        <v>62</v>
      </c>
      <c r="C64" s="4" t="s">
        <v>85</v>
      </c>
      <c r="D64" s="270">
        <v>0</v>
      </c>
      <c r="E64" s="270">
        <v>0</v>
      </c>
      <c r="F64" s="4"/>
      <c r="G64" s="237">
        <f>SUMIFS(BD.PD[Ppto. Orden Interna '[DOP']],BD.PD[Pos],PPto[[#This Row],[Part.]],BD.PD[Tipo Ppto],G$19)</f>
        <v>0</v>
      </c>
      <c r="H64" s="237">
        <f>SUMIFS(BD.PD[Ppto. Orden Interna '[DOP']],BD.PD[Pos],PPto[[#This Row],[Part.]],BD.PD[Tipo Ppto],H$19)</f>
        <v>0</v>
      </c>
      <c r="I64" s="270">
        <f>PPto[[#This Row],[Ppto. Capex '[DOP']]]+PPto[[#This Row],[Ppto. OI '[DOP']2]]</f>
        <v>0</v>
      </c>
      <c r="J64" s="271">
        <f>SUMIFS(BD.PD[Ppto. Orden Interna '[USD']],BD.PD[Pos],PPto[[#This Row],[Part.]],BD.PD[Tipo Ppto],J$19)</f>
        <v>0</v>
      </c>
      <c r="K64" s="237">
        <f>SUMIFS(BD.PD[Ppto. Orden Interna '[USD']],BD.PD[Pos],PPto[[#This Row],[Part.]],BD.PD[Tipo Ppto],K$19)</f>
        <v>0</v>
      </c>
      <c r="L64" s="270">
        <f>PPto[[#This Row],[Ppto. Capex '[USD']]]+PPto[[#This Row],[Ppto. OI '[USD']]]</f>
        <v>0</v>
      </c>
      <c r="N64" s="177">
        <f>+PPto[[#This Row],[Total '[USD']3]]-PPto[[#This Row],[Total '[USD']2]]</f>
        <v>0</v>
      </c>
    </row>
    <row r="65" spans="1:14" x14ac:dyDescent="0.3">
      <c r="A65" s="5">
        <v>6.05</v>
      </c>
      <c r="B65" t="s">
        <v>62</v>
      </c>
      <c r="C65" s="4" t="s">
        <v>86</v>
      </c>
      <c r="D65" s="270">
        <v>35818.000500000002</v>
      </c>
      <c r="E65" s="270">
        <v>38430.064728434503</v>
      </c>
      <c r="F65" s="4"/>
      <c r="G65" s="237">
        <f>SUMIFS(BD.PD[Ppto. Orden Interna '[DOP']],BD.PD[Pos],PPto[[#This Row],[Part.]],BD.PD[Tipo Ppto],G$19)</f>
        <v>2381525.7499999995</v>
      </c>
      <c r="H65" s="237">
        <f>SUMIFS(BD.PD[Ppto. Orden Interna '[DOP']],BD.PD[Pos],PPto[[#This Row],[Part.]],BD.PD[Tipo Ppto],H$19)</f>
        <v>0</v>
      </c>
      <c r="I65" s="270">
        <f>PPto[[#This Row],[Ppto. Capex '[DOP']]]+PPto[[#This Row],[Ppto. OI '[DOP']2]]</f>
        <v>2381525.7499999995</v>
      </c>
      <c r="J65" s="271">
        <f>SUMIFS(BD.PD[Ppto. Orden Interna '[USD']],BD.PD[Pos],PPto[[#This Row],[Part.]],BD.PD[Tipo Ppto],J$19)</f>
        <v>37801.996031746021</v>
      </c>
      <c r="K65" s="237">
        <f>SUMIFS(BD.PD[Ppto. Orden Interna '[USD']],BD.PD[Pos],PPto[[#This Row],[Part.]],BD.PD[Tipo Ppto],K$19)</f>
        <v>0</v>
      </c>
      <c r="L65" s="270">
        <f>PPto[[#This Row],[Ppto. Capex '[USD']]]+PPto[[#This Row],[Ppto. OI '[USD']]]</f>
        <v>37801.996031746021</v>
      </c>
      <c r="N65" s="514">
        <f>+PPto[[#This Row],[Total '[USD']3]]-PPto[[#This Row],[Total '[USD']2]]</f>
        <v>628.06869668848231</v>
      </c>
    </row>
    <row r="66" spans="1:14" x14ac:dyDescent="0.3">
      <c r="A66" s="6">
        <v>7</v>
      </c>
      <c r="B66" s="7"/>
      <c r="C66" s="173" t="s">
        <v>87</v>
      </c>
      <c r="D66" s="236">
        <f>SUM(D67:D73)</f>
        <v>416815.69815833325</v>
      </c>
      <c r="E66" s="236">
        <f>SUM(E67:E73)</f>
        <v>381984.74932907347</v>
      </c>
      <c r="F66" s="375"/>
      <c r="G66" s="236">
        <f t="shared" ref="G66" si="21">SUM(G67:G73)</f>
        <v>22980867.531999998</v>
      </c>
      <c r="H66" s="236">
        <f t="shared" ref="H66" si="22">SUM(H67:H73)</f>
        <v>0</v>
      </c>
      <c r="I66" s="268">
        <f>PPto[[#This Row],[Ppto. Capex '[DOP']]]+PPto[[#This Row],[Ppto. OI '[DOP']2]]</f>
        <v>22980867.531999998</v>
      </c>
      <c r="J66" s="269">
        <f t="shared" ref="J66:K66" si="23">SUM(J67:J73)</f>
        <v>364775.67511111102</v>
      </c>
      <c r="K66" s="236">
        <f t="shared" si="23"/>
        <v>0</v>
      </c>
      <c r="L66" s="268">
        <f>PPto[[#This Row],[Ppto. Capex '[USD']]]+PPto[[#This Row],[Ppto. OI '[USD']]]</f>
        <v>364775.67511111102</v>
      </c>
      <c r="M66" s="426" t="s">
        <v>48</v>
      </c>
      <c r="N66" s="177"/>
    </row>
    <row r="67" spans="1:14" x14ac:dyDescent="0.3">
      <c r="A67" s="5">
        <v>7.01</v>
      </c>
      <c r="B67" t="s">
        <v>62</v>
      </c>
      <c r="C67" s="4" t="s">
        <v>88</v>
      </c>
      <c r="D67" s="270">
        <v>21337.878625000001</v>
      </c>
      <c r="E67" s="270">
        <v>30264.520766773167</v>
      </c>
      <c r="F67" s="4"/>
      <c r="G67" s="237">
        <f>SUMIFS(BD.PD[Ppto. Orden Interna '[DOP']],BD.PD[Pos],PPto[[#This Row],[Part.]],BD.PD[Tipo Ppto],G$19)</f>
        <v>1279133.7</v>
      </c>
      <c r="H67" s="237">
        <f>SUMIFS(BD.PD[Ppto. Orden Interna '[DOP']],BD.PD[Pos],PPto[[#This Row],[Part.]],BD.PD[Tipo Ppto],H$19)</f>
        <v>0</v>
      </c>
      <c r="I67" s="270">
        <f>PPto[[#This Row],[Ppto. Capex '[DOP']]]+PPto[[#This Row],[Ppto. OI '[DOP']2]]</f>
        <v>1279133.7</v>
      </c>
      <c r="J67" s="271">
        <f>SUMIFS(BD.PD[Ppto. Orden Interna '[USD']],BD.PD[Pos],PPto[[#This Row],[Part.]],BD.PD[Tipo Ppto],J$19)</f>
        <v>20303.709523809521</v>
      </c>
      <c r="K67" s="237">
        <f>SUMIFS(BD.PD[Ppto. Orden Interna '[USD']],BD.PD[Pos],PPto[[#This Row],[Part.]],BD.PD[Tipo Ppto],K$19)</f>
        <v>0</v>
      </c>
      <c r="L67" s="270">
        <f>PPto[[#This Row],[Ppto. Capex '[USD']]]+PPto[[#This Row],[Ppto. OI '[USD']]]</f>
        <v>20303.709523809521</v>
      </c>
      <c r="N67" s="514">
        <f>+PPto[[#This Row],[Total '[USD']3]]-PPto[[#This Row],[Total '[USD']2]]</f>
        <v>9960.8112429636458</v>
      </c>
    </row>
    <row r="68" spans="1:14" x14ac:dyDescent="0.3">
      <c r="A68" s="5">
        <v>7.02</v>
      </c>
      <c r="B68" t="s">
        <v>62</v>
      </c>
      <c r="C68" s="4" t="s">
        <v>89</v>
      </c>
      <c r="D68" s="270">
        <v>51651.608500000002</v>
      </c>
      <c r="E68" s="270">
        <v>65026.094984025556</v>
      </c>
      <c r="F68" s="4"/>
      <c r="G68" s="237">
        <f>SUMIFS(BD.PD[Ppto. Orden Interna '[DOP']],BD.PD[Pos],PPto[[#This Row],[Part.]],BD.PD[Tipo Ppto],G$19)</f>
        <v>4069547.46</v>
      </c>
      <c r="H68" s="237">
        <f>SUMIFS(BD.PD[Ppto. Orden Interna '[DOP']],BD.PD[Pos],PPto[[#This Row],[Part.]],BD.PD[Tipo Ppto],H$19)</f>
        <v>0</v>
      </c>
      <c r="I68" s="270">
        <f>PPto[[#This Row],[Ppto. Capex '[DOP']]]+PPto[[#This Row],[Ppto. OI '[DOP']2]]</f>
        <v>4069547.46</v>
      </c>
      <c r="J68" s="271">
        <f>SUMIFS(BD.PD[Ppto. Orden Interna '[USD']],BD.PD[Pos],PPto[[#This Row],[Part.]],BD.PD[Tipo Ppto],J$19)</f>
        <v>64595.991428571404</v>
      </c>
      <c r="K68" s="237">
        <f>SUMIFS(BD.PD[Ppto. Orden Interna '[USD']],BD.PD[Pos],PPto[[#This Row],[Part.]],BD.PD[Tipo Ppto],K$19)</f>
        <v>0</v>
      </c>
      <c r="L68" s="270">
        <f>PPto[[#This Row],[Ppto. Capex '[USD']]]+PPto[[#This Row],[Ppto. OI '[USD']]]</f>
        <v>64595.991428571404</v>
      </c>
      <c r="M68" t="s">
        <v>90</v>
      </c>
      <c r="N68" s="514">
        <f>+PPto[[#This Row],[Total '[USD']3]]-PPto[[#This Row],[Total '[USD']2]]</f>
        <v>430.10355545415223</v>
      </c>
    </row>
    <row r="69" spans="1:14" x14ac:dyDescent="0.3">
      <c r="A69" s="5">
        <v>7.03</v>
      </c>
      <c r="B69" t="s">
        <v>62</v>
      </c>
      <c r="C69" s="4" t="s">
        <v>91</v>
      </c>
      <c r="D69" s="270">
        <v>55943.109299999996</v>
      </c>
      <c r="E69" s="270">
        <v>53605.920479233231</v>
      </c>
      <c r="F69" s="4"/>
      <c r="G69" s="237">
        <f>SUMIFS(BD.PD[Ppto. Orden Interna '[DOP']],BD.PD[Pos],PPto[[#This Row],[Part.]],BD.PD[Tipo Ppto],G$19)</f>
        <v>3354018.7499999995</v>
      </c>
      <c r="H69" s="237">
        <f>SUMIFS(BD.PD[Ppto. Orden Interna '[DOP']],BD.PD[Pos],PPto[[#This Row],[Part.]],BD.PD[Tipo Ppto],H$19)</f>
        <v>0</v>
      </c>
      <c r="I69" s="270">
        <f>PPto[[#This Row],[Ppto. Capex '[DOP']]]+PPto[[#This Row],[Ppto. OI '[DOP']2]]</f>
        <v>3354018.7499999995</v>
      </c>
      <c r="J69" s="271">
        <f>SUMIFS(BD.PD[Ppto. Orden Interna '[USD']],BD.PD[Pos],PPto[[#This Row],[Part.]],BD.PD[Tipo Ppto],J$19)</f>
        <v>53238.392857142848</v>
      </c>
      <c r="K69" s="237">
        <f>SUMIFS(BD.PD[Ppto. Orden Interna '[USD']],BD.PD[Pos],PPto[[#This Row],[Part.]],BD.PD[Tipo Ppto],K$19)</f>
        <v>0</v>
      </c>
      <c r="L69" s="270">
        <f>PPto[[#This Row],[Ppto. Capex '[USD']]]+PPto[[#This Row],[Ppto. OI '[USD']]]</f>
        <v>53238.392857142848</v>
      </c>
      <c r="N69" s="514">
        <f>+PPto[[#This Row],[Total '[USD']3]]-PPto[[#This Row],[Total '[USD']2]]</f>
        <v>367.52762209038337</v>
      </c>
    </row>
    <row r="70" spans="1:14" ht="15.6" customHeight="1" x14ac:dyDescent="0.3">
      <c r="A70" s="5">
        <v>7.04</v>
      </c>
      <c r="B70" t="s">
        <v>62</v>
      </c>
      <c r="C70" s="4" t="s">
        <v>92</v>
      </c>
      <c r="D70" s="270">
        <v>212892.00533333331</v>
      </c>
      <c r="E70" s="270">
        <v>170136.8638977636</v>
      </c>
      <c r="F70" s="4"/>
      <c r="G70" s="237">
        <f>SUMIFS(BD.PD[Ppto. Orden Interna '[DOP']],BD.PD[Pos],PPto[[#This Row],[Part.]],BD.PD[Tipo Ppto],G$19)</f>
        <v>10525417.840000002</v>
      </c>
      <c r="H70" s="237">
        <f>SUMIFS(BD.PD[Ppto. Orden Interna '[DOP']],BD.PD[Pos],PPto[[#This Row],[Part.]],BD.PD[Tipo Ppto],H$19)</f>
        <v>0</v>
      </c>
      <c r="I70" s="270">
        <f>PPto[[#This Row],[Ppto. Capex '[DOP']]]+PPto[[#This Row],[Ppto. OI '[DOP']2]]</f>
        <v>10525417.840000002</v>
      </c>
      <c r="J70" s="271">
        <f>SUMIFS(BD.PD[Ppto. Orden Interna '[USD']],BD.PD[Pos],PPto[[#This Row],[Part.]],BD.PD[Tipo Ppto],J$19)</f>
        <v>167070.12444444443</v>
      </c>
      <c r="K70" s="237">
        <f>SUMIFS(BD.PD[Ppto. Orden Interna '[USD']],BD.PD[Pos],PPto[[#This Row],[Part.]],BD.PD[Tipo Ppto],K$19)</f>
        <v>0</v>
      </c>
      <c r="L70" s="270">
        <f>PPto[[#This Row],[Ppto. Capex '[USD']]]+PPto[[#This Row],[Ppto. OI '[USD']]]</f>
        <v>167070.12444444443</v>
      </c>
      <c r="M70" t="s">
        <v>93</v>
      </c>
      <c r="N70" s="177">
        <f>+PPto[[#This Row],[Total '[USD']3]]-PPto[[#This Row],[Total '[USD']2]]</f>
        <v>3066.7394533191691</v>
      </c>
    </row>
    <row r="71" spans="1:14" x14ac:dyDescent="0.3">
      <c r="A71" s="5">
        <v>7.05</v>
      </c>
      <c r="B71" t="s">
        <v>62</v>
      </c>
      <c r="C71" s="4" t="s">
        <v>94</v>
      </c>
      <c r="D71" s="270">
        <v>74991.09639999998</v>
      </c>
      <c r="E71" s="270">
        <v>62951.349201277946</v>
      </c>
      <c r="F71" s="4"/>
      <c r="G71" s="237">
        <f>SUMIFS(BD.PD[Ppto. Orden Interna '[DOP']],BD.PD[Pos],PPto[[#This Row],[Part.]],BD.PD[Tipo Ppto],G$19)</f>
        <v>3752749.7819999997</v>
      </c>
      <c r="H71" s="237">
        <f>SUMIFS(BD.PD[Ppto. Orden Interna '[DOP']],BD.PD[Pos],PPto[[#This Row],[Part.]],BD.PD[Tipo Ppto],H$19)</f>
        <v>0</v>
      </c>
      <c r="I71" s="270">
        <f>PPto[[#This Row],[Ppto. Capex '[DOP']]]+PPto[[#This Row],[Ppto. OI '[DOP']2]]</f>
        <v>3752749.7819999997</v>
      </c>
      <c r="J71" s="271">
        <f>SUMIFS(BD.PD[Ppto. Orden Interna '[USD']],BD.PD[Pos],PPto[[#This Row],[Part.]],BD.PD[Tipo Ppto],J$19)</f>
        <v>59567.456857142861</v>
      </c>
      <c r="K71" s="237">
        <f>SUMIFS(BD.PD[Ppto. Orden Interna '[USD']],BD.PD[Pos],PPto[[#This Row],[Part.]],BD.PD[Tipo Ppto],K$19)</f>
        <v>0</v>
      </c>
      <c r="L71" s="270">
        <f>PPto[[#This Row],[Ppto. Capex '[USD']]]+PPto[[#This Row],[Ppto. OI '[USD']]]</f>
        <v>59567.456857142861</v>
      </c>
      <c r="N71" s="177">
        <f>+PPto[[#This Row],[Total '[USD']3]]-PPto[[#This Row],[Total '[USD']2]]</f>
        <v>3383.8923441350853</v>
      </c>
    </row>
    <row r="72" spans="1:14" x14ac:dyDescent="0.3">
      <c r="A72" s="5">
        <v>7.06</v>
      </c>
      <c r="B72" t="s">
        <v>62</v>
      </c>
      <c r="C72" s="4" t="s">
        <v>95</v>
      </c>
      <c r="D72" s="270">
        <v>0</v>
      </c>
      <c r="E72" s="270">
        <f>PPto[[#This Row],[Ppto. Capex '[USD']]]+PPto[[#This Row],[Ppto. OI '[USD']]]</f>
        <v>0</v>
      </c>
      <c r="F72" s="4"/>
      <c r="G72" s="237">
        <f>SUMIFS(BD.PD[Ppto. Orden Interna '[DOP']],BD.PD[Pos],PPto[[#This Row],[Part.]],BD.PD[Tipo Ppto],G$19)</f>
        <v>0</v>
      </c>
      <c r="H72" s="237">
        <f>SUMIFS(BD.PD[Ppto. Orden Interna '[DOP']],BD.PD[Pos],PPto[[#This Row],[Part.]],BD.PD[Tipo Ppto],H$19)</f>
        <v>0</v>
      </c>
      <c r="I72" s="270">
        <f>PPto[[#This Row],[Ppto. Capex '[DOP']]]+PPto[[#This Row],[Ppto. OI '[DOP']2]]</f>
        <v>0</v>
      </c>
      <c r="J72" s="271">
        <f>SUMIFS(BD.PD[Ppto. Orden Interna '[USD']],BD.PD[Pos],PPto[[#This Row],[Part.]],BD.PD[Tipo Ppto],J$19)</f>
        <v>0</v>
      </c>
      <c r="K72" s="237">
        <f>SUMIFS(BD.PD[Ppto. Orden Interna '[USD']],BD.PD[Pos],PPto[[#This Row],[Part.]],BD.PD[Tipo Ppto],K$19)</f>
        <v>0</v>
      </c>
      <c r="L72" s="270">
        <f>PPto[[#This Row],[Ppto. Capex '[USD']]]+PPto[[#This Row],[Ppto. OI '[USD']]]</f>
        <v>0</v>
      </c>
      <c r="N72" s="177">
        <f>+PPto[[#This Row],[Total '[USD']3]]-PPto[[#This Row],[Total '[USD']2]]</f>
        <v>0</v>
      </c>
    </row>
    <row r="73" spans="1:14" x14ac:dyDescent="0.3">
      <c r="A73" s="5">
        <v>7.07</v>
      </c>
      <c r="B73" t="s">
        <v>62</v>
      </c>
      <c r="C73" s="4" t="s">
        <v>96</v>
      </c>
      <c r="D73" s="270">
        <v>0</v>
      </c>
      <c r="E73" s="270">
        <f>PPto[[#This Row],[Ppto. Capex '[USD']]]+PPto[[#This Row],[Ppto. OI '[USD']]]</f>
        <v>0</v>
      </c>
      <c r="F73" s="4"/>
      <c r="G73" s="237">
        <f>SUMIFS(BD.PD[Ppto. Orden Interna '[DOP']],BD.PD[Pos],PPto[[#This Row],[Part.]],BD.PD[Tipo Ppto],G$19)</f>
        <v>0</v>
      </c>
      <c r="H73" s="237">
        <f>SUMIFS(BD.PD[Ppto. Orden Interna '[DOP']],BD.PD[Pos],PPto[[#This Row],[Part.]],BD.PD[Tipo Ppto],H$19)</f>
        <v>0</v>
      </c>
      <c r="I73" s="270">
        <f>PPto[[#This Row],[Ppto. Capex '[DOP']]]+PPto[[#This Row],[Ppto. OI '[DOP']2]]</f>
        <v>0</v>
      </c>
      <c r="J73" s="271">
        <f>SUMIFS(BD.PD[Ppto. Orden Interna '[USD']],BD.PD[Pos],PPto[[#This Row],[Part.]],BD.PD[Tipo Ppto],J$19)</f>
        <v>0</v>
      </c>
      <c r="K73" s="237">
        <f>SUMIFS(BD.PD[Ppto. Orden Interna '[USD']],BD.PD[Pos],PPto[[#This Row],[Part.]],BD.PD[Tipo Ppto],K$19)</f>
        <v>0</v>
      </c>
      <c r="L73" s="270">
        <f>PPto[[#This Row],[Ppto. Capex '[USD']]]+PPto[[#This Row],[Ppto. OI '[USD']]]</f>
        <v>0</v>
      </c>
      <c r="N73" s="177">
        <f>+PPto[[#This Row],[Total '[USD']3]]-PPto[[#This Row],[Total '[USD']2]]</f>
        <v>0</v>
      </c>
    </row>
    <row r="74" spans="1:14" x14ac:dyDescent="0.3">
      <c r="A74" s="6">
        <v>8</v>
      </c>
      <c r="B74" s="7"/>
      <c r="C74" s="173" t="s">
        <v>97</v>
      </c>
      <c r="D74" s="236">
        <f>SUM(D75:D82)</f>
        <v>1095114.3751240042</v>
      </c>
      <c r="E74" s="236">
        <f>SUM(E75:E82)</f>
        <v>809711.71815000416</v>
      </c>
      <c r="F74" s="375"/>
      <c r="G74" s="236">
        <f t="shared" ref="G74" si="24">SUM(G75:G82)</f>
        <v>39914084.875640258</v>
      </c>
      <c r="H74" s="236">
        <f t="shared" ref="H74" si="25">SUM(H75:H82)</f>
        <v>0</v>
      </c>
      <c r="I74" s="268">
        <f>PPto[[#This Row],[Ppto. Capex '[DOP']]]+PPto[[#This Row],[Ppto. OI '[DOP']2]]</f>
        <v>39914084.875640258</v>
      </c>
      <c r="J74" s="269">
        <f t="shared" ref="J74:K74" si="26">SUM(J75:J82)</f>
        <v>633556.90278794058</v>
      </c>
      <c r="K74" s="236">
        <f t="shared" si="26"/>
        <v>0</v>
      </c>
      <c r="L74" s="268">
        <f>PPto[[#This Row],[Ppto. Capex '[USD']]]+PPto[[#This Row],[Ppto. OI '[USD']]]</f>
        <v>633556.90278794058</v>
      </c>
      <c r="N74" s="177"/>
    </row>
    <row r="75" spans="1:14" x14ac:dyDescent="0.3">
      <c r="A75" s="5">
        <v>8.01</v>
      </c>
      <c r="B75" t="s">
        <v>62</v>
      </c>
      <c r="C75" s="4" t="s">
        <v>98</v>
      </c>
      <c r="D75" s="270">
        <v>599762.97566666664</v>
      </c>
      <c r="E75" s="270">
        <v>355288.99980431306</v>
      </c>
      <c r="F75" s="4"/>
      <c r="G75" s="237">
        <f>SUMIFS(BD.PD[Ppto. Orden Interna '[DOP']],BD.PD[Pos],PPto[[#This Row],[Part.]],BD.PD[Tipo Ppto],G$19)</f>
        <v>13583577.8925</v>
      </c>
      <c r="H75" s="237">
        <f>SUMIFS(BD.PD[Ppto. Orden Interna '[DOP']],BD.PD[Pos],PPto[[#This Row],[Part.]],BD.PD[Tipo Ppto],H$19)</f>
        <v>0</v>
      </c>
      <c r="I75" s="270">
        <f>PPto[[#This Row],[Ppto. Capex '[DOP']]]+PPto[[#This Row],[Ppto. OI '[DOP']2]]</f>
        <v>13583577.8925</v>
      </c>
      <c r="J75" s="271">
        <f>SUMIFS(BD.PD[Ppto. Orden Interna '[USD']],BD.PD[Pos],PPto[[#This Row],[Part.]],BD.PD[Tipo Ppto],J$19)</f>
        <v>215612.3475</v>
      </c>
      <c r="K75" s="237">
        <f>SUMIFS(BD.PD[Ppto. Orden Interna '[USD']],BD.PD[Pos],PPto[[#This Row],[Part.]],BD.PD[Tipo Ppto],K$19)</f>
        <v>0</v>
      </c>
      <c r="L75" s="270">
        <f>PPto[[#This Row],[Ppto. Capex '[USD']]]+PPto[[#This Row],[Ppto. OI '[USD']]]</f>
        <v>215612.3475</v>
      </c>
      <c r="N75" s="514">
        <f>+PPto[[#This Row],[Total '[USD']3]]-PPto[[#This Row],[Total '[USD']2]]</f>
        <v>139676.65230431306</v>
      </c>
    </row>
    <row r="76" spans="1:14" x14ac:dyDescent="0.3">
      <c r="A76" s="5">
        <v>8.02</v>
      </c>
      <c r="B76" t="s">
        <v>62</v>
      </c>
      <c r="C76" s="4" t="s">
        <v>99</v>
      </c>
      <c r="D76" s="270">
        <v>83931.609333333356</v>
      </c>
      <c r="E76" s="270">
        <v>48231.140750798724</v>
      </c>
      <c r="F76" s="4"/>
      <c r="G76" s="237">
        <f>SUMIFS(BD.PD[Ppto. Orden Interna '[DOP']],BD.PD[Pos],PPto[[#This Row],[Part.]],BD.PD[Tipo Ppto],G$19)</f>
        <v>2389277.3309999998</v>
      </c>
      <c r="H76" s="237">
        <f>SUMIFS(BD.PD[Ppto. Orden Interna '[DOP']],BD.PD[Pos],PPto[[#This Row],[Part.]],BD.PD[Tipo Ppto],H$19)</f>
        <v>0</v>
      </c>
      <c r="I76" s="270">
        <f>PPto[[#This Row],[Ppto. Capex '[DOP']]]+PPto[[#This Row],[Ppto. OI '[DOP']2]]</f>
        <v>2389277.3309999998</v>
      </c>
      <c r="J76" s="271">
        <f>SUMIFS(BD.PD[Ppto. Orden Interna '[USD']],BD.PD[Pos],PPto[[#This Row],[Part.]],BD.PD[Tipo Ppto],J$19)</f>
        <v>37925.036999999997</v>
      </c>
      <c r="K76" s="237">
        <f>SUMIFS(BD.PD[Ppto. Orden Interna '[USD']],BD.PD[Pos],PPto[[#This Row],[Part.]],BD.PD[Tipo Ppto],K$19)</f>
        <v>0</v>
      </c>
      <c r="L76" s="270">
        <f>PPto[[#This Row],[Ppto. Capex '[USD']]]+PPto[[#This Row],[Ppto. OI '[USD']]]</f>
        <v>37925.036999999997</v>
      </c>
      <c r="M76" t="s">
        <v>100</v>
      </c>
      <c r="N76" s="514">
        <f>+PPto[[#This Row],[Total '[USD']3]]-PPto[[#This Row],[Total '[USD']2]]</f>
        <v>10306.103750798728</v>
      </c>
    </row>
    <row r="77" spans="1:14" x14ac:dyDescent="0.3">
      <c r="A77" s="5">
        <v>8.0299999999999994</v>
      </c>
      <c r="B77" t="s">
        <v>62</v>
      </c>
      <c r="C77" s="4" t="s">
        <v>101</v>
      </c>
      <c r="D77" s="270">
        <v>48527.703042337656</v>
      </c>
      <c r="E77" s="270">
        <v>46512.175439940249</v>
      </c>
      <c r="F77" s="4"/>
      <c r="G77" s="237">
        <f>SUMIFS(BD.PD[Ppto. Orden Interna '[DOP']],BD.PD[Pos],PPto[[#This Row],[Part.]],BD.PD[Tipo Ppto],G$19)</f>
        <v>2911662.1825402593</v>
      </c>
      <c r="H77" s="237">
        <f>SUMIFS(BD.PD[Ppto. Orden Interna '[DOP']],BD.PD[Pos],PPto[[#This Row],[Part.]],BD.PD[Tipo Ppto],H$19)</f>
        <v>0</v>
      </c>
      <c r="I77" s="270">
        <f>PPto[[#This Row],[Ppto. Capex '[DOP']]]+PPto[[#This Row],[Ppto. OI '[DOP']2]]</f>
        <v>2911662.1825402593</v>
      </c>
      <c r="J77" s="271">
        <f>SUMIFS(BD.PD[Ppto. Orden Interna '[USD']],BD.PD[Pos],PPto[[#This Row],[Part.]],BD.PD[Tipo Ppto],J$19)</f>
        <v>46216.860040321582</v>
      </c>
      <c r="K77" s="237">
        <f>SUMIFS(BD.PD[Ppto. Orden Interna '[USD']],BD.PD[Pos],PPto[[#This Row],[Part.]],BD.PD[Tipo Ppto],K$19)</f>
        <v>0</v>
      </c>
      <c r="L77" s="270">
        <f>PPto[[#This Row],[Ppto. Capex '[USD']]]+PPto[[#This Row],[Ppto. OI '[USD']]]</f>
        <v>46216.860040321582</v>
      </c>
      <c r="N77" s="514">
        <f>+PPto[[#This Row],[Total '[USD']3]]-PPto[[#This Row],[Total '[USD']2]]</f>
        <v>295.31539961866656</v>
      </c>
    </row>
    <row r="78" spans="1:14" x14ac:dyDescent="0.3">
      <c r="A78" s="5">
        <v>8.0399999999999991</v>
      </c>
      <c r="B78" t="s">
        <v>62</v>
      </c>
      <c r="C78" s="4" t="s">
        <v>102</v>
      </c>
      <c r="D78" s="270">
        <v>54383.794914999999</v>
      </c>
      <c r="E78" s="270">
        <v>23083.509503194888</v>
      </c>
      <c r="F78" s="4"/>
      <c r="G78" s="237">
        <f>SUMIFS(BD.PD[Ppto. Orden Interna '[DOP']],BD.PD[Pos],PPto[[#This Row],[Part.]],BD.PD[Tipo Ppto],G$19)</f>
        <v>969778.3256000001</v>
      </c>
      <c r="H78" s="237">
        <f>SUMIFS(BD.PD[Ppto. Orden Interna '[DOP']],BD.PD[Pos],PPto[[#This Row],[Part.]],BD.PD[Tipo Ppto],H$19)</f>
        <v>0</v>
      </c>
      <c r="I78" s="270">
        <f>PPto[[#This Row],[Ppto. Capex '[DOP']]]+PPto[[#This Row],[Ppto. OI '[DOP']2]]</f>
        <v>969778.3256000001</v>
      </c>
      <c r="J78" s="271">
        <f>SUMIFS(BD.PD[Ppto. Orden Interna '[USD']],BD.PD[Pos],PPto[[#This Row],[Part.]],BD.PD[Tipo Ppto],J$19)</f>
        <v>15393.306755555557</v>
      </c>
      <c r="K78" s="237">
        <f>SUMIFS(BD.PD[Ppto. Orden Interna '[USD']],BD.PD[Pos],PPto[[#This Row],[Part.]],BD.PD[Tipo Ppto],K$19)</f>
        <v>0</v>
      </c>
      <c r="L78" s="270">
        <f>PPto[[#This Row],[Ppto. Capex '[USD']]]+PPto[[#This Row],[Ppto. OI '[USD']]]</f>
        <v>15393.306755555557</v>
      </c>
      <c r="N78" s="514">
        <f>+PPto[[#This Row],[Total '[USD']3]]-PPto[[#This Row],[Total '[USD']2]]</f>
        <v>7690.2027476393305</v>
      </c>
    </row>
    <row r="79" spans="1:14" x14ac:dyDescent="0.3">
      <c r="A79" s="5">
        <v>8.0500000000000007</v>
      </c>
      <c r="B79" t="s">
        <v>62</v>
      </c>
      <c r="C79" s="4" t="s">
        <v>103</v>
      </c>
      <c r="D79" s="270">
        <v>96620.274166666684</v>
      </c>
      <c r="E79" s="270">
        <v>106439.12076677317</v>
      </c>
      <c r="F79" s="4"/>
      <c r="G79" s="237">
        <f>SUMIFS(BD.PD[Ppto. Orden Interna '[DOP']],BD.PD[Pos],PPto[[#This Row],[Part.]],BD.PD[Tipo Ppto],G$19)</f>
        <v>5077430.6940000001</v>
      </c>
      <c r="H79" s="237">
        <f>SUMIFS(BD.PD[Ppto. Orden Interna '[DOP']],BD.PD[Pos],PPto[[#This Row],[Part.]],BD.PD[Tipo Ppto],H$19)</f>
        <v>0</v>
      </c>
      <c r="I79" s="270">
        <f>PPto[[#This Row],[Ppto. Capex '[DOP']]]+PPto[[#This Row],[Ppto. OI '[DOP']2]]</f>
        <v>5077430.6940000001</v>
      </c>
      <c r="J79" s="271">
        <f>SUMIFS(BD.PD[Ppto. Orden Interna '[USD']],BD.PD[Pos],PPto[[#This Row],[Part.]],BD.PD[Tipo Ppto],J$19)</f>
        <v>80594.138000000006</v>
      </c>
      <c r="K79" s="237">
        <f>SUMIFS(BD.PD[Ppto. Orden Interna '[USD']],BD.PD[Pos],PPto[[#This Row],[Part.]],BD.PD[Tipo Ppto],K$19)</f>
        <v>0</v>
      </c>
      <c r="L79" s="270">
        <f>PPto[[#This Row],[Ppto. Capex '[USD']]]+PPto[[#This Row],[Ppto. OI '[USD']]]</f>
        <v>80594.138000000006</v>
      </c>
      <c r="M79" t="s">
        <v>104</v>
      </c>
      <c r="N79" s="514">
        <f>+PPto[[#This Row],[Total '[USD']3]]-PPto[[#This Row],[Total '[USD']2]]</f>
        <v>25844.982766773159</v>
      </c>
    </row>
    <row r="80" spans="1:14" x14ac:dyDescent="0.3">
      <c r="A80" s="5">
        <v>8.06</v>
      </c>
      <c r="B80" t="s">
        <v>62</v>
      </c>
      <c r="C80" s="4" t="s">
        <v>105</v>
      </c>
      <c r="D80" s="270">
        <v>19588.977999999999</v>
      </c>
      <c r="E80" s="270">
        <v>44550.663258785949</v>
      </c>
      <c r="F80" s="4"/>
      <c r="G80" s="237">
        <f>SUMIFS(BD.PD[Ppto. Orden Interna '[DOP']],BD.PD[Pos],PPto[[#This Row],[Part.]],BD.PD[Tipo Ppto],G$19)</f>
        <v>2445041.3000000007</v>
      </c>
      <c r="H80" s="237">
        <f>SUMIFS(BD.PD[Ppto. Orden Interna '[DOP']],BD.PD[Pos],PPto[[#This Row],[Part.]],BD.PD[Tipo Ppto],H$19)</f>
        <v>0</v>
      </c>
      <c r="I80" s="270">
        <f>PPto[[#This Row],[Ppto. Capex '[DOP']]]+PPto[[#This Row],[Ppto. OI '[DOP']2]]</f>
        <v>2445041.3000000007</v>
      </c>
      <c r="J80" s="271">
        <f>SUMIFS(BD.PD[Ppto. Orden Interna '[USD']],BD.PD[Pos],PPto[[#This Row],[Part.]],BD.PD[Tipo Ppto],J$19)</f>
        <v>38810.17936507937</v>
      </c>
      <c r="K80" s="237">
        <f>SUMIFS(BD.PD[Ppto. Orden Interna '[USD']],BD.PD[Pos],PPto[[#This Row],[Part.]],BD.PD[Tipo Ppto],K$19)</f>
        <v>0</v>
      </c>
      <c r="L80" s="270">
        <f>PPto[[#This Row],[Ppto. Capex '[USD']]]+PPto[[#This Row],[Ppto. OI '[USD']]]</f>
        <v>38810.17936507937</v>
      </c>
      <c r="N80" s="514">
        <f>+PPto[[#This Row],[Total '[USD']3]]-PPto[[#This Row],[Total '[USD']2]]</f>
        <v>5740.4838937065797</v>
      </c>
    </row>
    <row r="81" spans="1:14" x14ac:dyDescent="0.3">
      <c r="A81" s="5">
        <v>8.07</v>
      </c>
      <c r="B81" t="s">
        <v>62</v>
      </c>
      <c r="C81" s="4" t="s">
        <v>106</v>
      </c>
      <c r="D81" s="270">
        <v>113999.04000000001</v>
      </c>
      <c r="E81" s="270">
        <v>123730.70926517571</v>
      </c>
      <c r="F81" s="4"/>
      <c r="G81" s="237">
        <f>SUMIFS(BD.PD[Ppto. Orden Interna '[DOP']],BD.PD[Pos],PPto[[#This Row],[Part.]],BD.PD[Tipo Ppto],G$19)</f>
        <v>7718195.1500000004</v>
      </c>
      <c r="H81" s="237">
        <f>SUMIFS(BD.PD[Ppto. Orden Interna '[DOP']],BD.PD[Pos],PPto[[#This Row],[Part.]],BD.PD[Tipo Ppto],H$19)</f>
        <v>0</v>
      </c>
      <c r="I81" s="270">
        <f>PPto[[#This Row],[Ppto. Capex '[DOP']]]+PPto[[#This Row],[Ppto. OI '[DOP']2]]</f>
        <v>7718195.1500000004</v>
      </c>
      <c r="J81" s="271">
        <f>SUMIFS(BD.PD[Ppto. Orden Interna '[USD']],BD.PD[Pos],PPto[[#This Row],[Part.]],BD.PD[Tipo Ppto],J$19)</f>
        <v>122511.03412698413</v>
      </c>
      <c r="K81" s="237">
        <f>SUMIFS(BD.PD[Ppto. Orden Interna '[USD']],BD.PD[Pos],PPto[[#This Row],[Part.]],BD.PD[Tipo Ppto],K$19)</f>
        <v>0</v>
      </c>
      <c r="L81" s="270">
        <f>PPto[[#This Row],[Ppto. Capex '[USD']]]+PPto[[#This Row],[Ppto. OI '[USD']]]</f>
        <v>122511.03412698413</v>
      </c>
      <c r="N81" s="514">
        <f>+PPto[[#This Row],[Total '[USD']3]]-PPto[[#This Row],[Total '[USD']2]]</f>
        <v>1219.6751381915819</v>
      </c>
    </row>
    <row r="82" spans="1:14" x14ac:dyDescent="0.3">
      <c r="A82" s="5">
        <v>8.08</v>
      </c>
      <c r="B82" t="s">
        <v>62</v>
      </c>
      <c r="C82" s="4" t="s">
        <v>107</v>
      </c>
      <c r="D82" s="270">
        <v>78300</v>
      </c>
      <c r="E82" s="270">
        <v>61875.39936102237</v>
      </c>
      <c r="F82" s="4"/>
      <c r="G82" s="237">
        <f>SUMIFS(BD.PD[Ppto. Orden Interna '[DOP']],BD.PD[Pos],PPto[[#This Row],[Part.]],BD.PD[Tipo Ppto],G$19)</f>
        <v>4819122</v>
      </c>
      <c r="H82" s="237">
        <f>SUMIFS(BD.PD[Ppto. Orden Interna '[DOP']],BD.PD[Pos],PPto[[#This Row],[Part.]],BD.PD[Tipo Ppto],H$19)</f>
        <v>0</v>
      </c>
      <c r="I82" s="270">
        <f>PPto[[#This Row],[Ppto. Capex '[DOP']]]+PPto[[#This Row],[Ppto. OI '[DOP']2]]</f>
        <v>4819122</v>
      </c>
      <c r="J82" s="271">
        <f>SUMIFS(BD.PD[Ppto. Orden Interna '[USD']],BD.PD[Pos],PPto[[#This Row],[Part.]],BD.PD[Tipo Ppto],J$19)</f>
        <v>76494</v>
      </c>
      <c r="K82" s="237">
        <f>SUMIFS(BD.PD[Ppto. Orden Interna '[USD']],BD.PD[Pos],PPto[[#This Row],[Part.]],BD.PD[Tipo Ppto],K$19)</f>
        <v>0</v>
      </c>
      <c r="L82" s="270">
        <f>PPto[[#This Row],[Ppto. Capex '[USD']]]+PPto[[#This Row],[Ppto. OI '[USD']]]</f>
        <v>76494</v>
      </c>
      <c r="N82" s="177">
        <f>+PPto[[#This Row],[Total '[USD']3]]-PPto[[#This Row],[Total '[USD']2]]</f>
        <v>-14618.60063897763</v>
      </c>
    </row>
    <row r="83" spans="1:14" x14ac:dyDescent="0.3">
      <c r="A83" s="6">
        <v>9</v>
      </c>
      <c r="B83" s="7"/>
      <c r="C83" s="173" t="s">
        <v>108</v>
      </c>
      <c r="D83" s="236">
        <f>SUM(D84:D89)</f>
        <v>0</v>
      </c>
      <c r="E83" s="236">
        <f>SUM(E84:E89)</f>
        <v>0</v>
      </c>
      <c r="F83" s="375"/>
      <c r="G83" s="236">
        <f t="shared" ref="G83" si="27">SUM(G84:G89)</f>
        <v>0</v>
      </c>
      <c r="H83" s="236">
        <f t="shared" ref="H83" si="28">SUM(H84:H89)</f>
        <v>0</v>
      </c>
      <c r="I83" s="268">
        <f>PPto[[#This Row],[Ppto. Capex '[DOP']]]+PPto[[#This Row],[Ppto. OI '[DOP']2]]</f>
        <v>0</v>
      </c>
      <c r="J83" s="269">
        <f t="shared" ref="J83:K83" si="29">SUM(J84:J89)</f>
        <v>0</v>
      </c>
      <c r="K83" s="236">
        <f t="shared" si="29"/>
        <v>0</v>
      </c>
      <c r="L83" s="268">
        <f>PPto[[#This Row],[Ppto. Capex '[USD']]]+PPto[[#This Row],[Ppto. OI '[USD']]]</f>
        <v>0</v>
      </c>
      <c r="N83" s="177">
        <f>+PPto[[#This Row],[Total '[USD']3]]-PPto[[#This Row],[Total '[USD']2]]</f>
        <v>0</v>
      </c>
    </row>
    <row r="84" spans="1:14" x14ac:dyDescent="0.3">
      <c r="A84" s="5">
        <v>9.01</v>
      </c>
      <c r="B84" t="s">
        <v>17</v>
      </c>
      <c r="C84" s="4" t="s">
        <v>109</v>
      </c>
      <c r="D84" s="270">
        <f t="shared" ref="D84:E84" si="30">SUM(D85:D91)</f>
        <v>0</v>
      </c>
      <c r="E84" s="270">
        <f t="shared" si="30"/>
        <v>0</v>
      </c>
      <c r="F84" s="4"/>
      <c r="G84" s="237">
        <f>SUMIFS(BD.PD[Ppto. Orden Interna '[DOP']],BD.PD[Pos],PPto[[#This Row],[Part.]],BD.PD[Tipo Ppto],G$19)</f>
        <v>0</v>
      </c>
      <c r="H84" s="237">
        <f>SUMIFS(BD.PD[Ppto. Orden Interna '[DOP']],BD.PD[Pos],PPto[[#This Row],[Part.]],BD.PD[Tipo Ppto],H$19)</f>
        <v>0</v>
      </c>
      <c r="I84" s="270">
        <f>PPto[[#This Row],[Ppto. Capex '[DOP']]]+PPto[[#This Row],[Ppto. OI '[DOP']2]]</f>
        <v>0</v>
      </c>
      <c r="J84" s="271">
        <f>SUMIFS(BD.PD[Ppto. Orden Interna '[USD']],BD.PD[Pos],PPto[[#This Row],[Part.]],BD.PD[Tipo Ppto],J$19)</f>
        <v>0</v>
      </c>
      <c r="K84" s="237">
        <f>SUMIFS(BD.PD[Ppto. Orden Interna '[USD']],BD.PD[Pos],PPto[[#This Row],[Part.]],BD.PD[Tipo Ppto],K$19)</f>
        <v>0</v>
      </c>
      <c r="L84" s="270">
        <f>PPto[[#This Row],[Ppto. Capex '[USD']]]+PPto[[#This Row],[Ppto. OI '[USD']]]</f>
        <v>0</v>
      </c>
      <c r="N84" s="177">
        <f>+PPto[[#This Row],[Total '[USD']3]]-PPto[[#This Row],[Total '[USD']2]]</f>
        <v>0</v>
      </c>
    </row>
    <row r="85" spans="1:14" x14ac:dyDescent="0.3">
      <c r="A85" s="5">
        <v>9.02</v>
      </c>
      <c r="B85" t="s">
        <v>17</v>
      </c>
      <c r="C85" s="4" t="s">
        <v>110</v>
      </c>
      <c r="D85" s="270">
        <f t="shared" ref="D85:E89" si="31">SUM(D86:D92)</f>
        <v>0</v>
      </c>
      <c r="E85" s="270">
        <f t="shared" si="31"/>
        <v>0</v>
      </c>
      <c r="F85" s="4"/>
      <c r="G85" s="237">
        <f>SUMIFS(BD.PD[Ppto. Orden Interna '[DOP']],BD.PD[Pos],PPto[[#This Row],[Part.]],BD.PD[Tipo Ppto],G$19)</f>
        <v>0</v>
      </c>
      <c r="H85" s="237">
        <f>SUMIFS(BD.PD[Ppto. Orden Interna '[DOP']],BD.PD[Pos],PPto[[#This Row],[Part.]],BD.PD[Tipo Ppto],H$19)</f>
        <v>0</v>
      </c>
      <c r="I85" s="270">
        <f>PPto[[#This Row],[Ppto. Capex '[DOP']]]+PPto[[#This Row],[Ppto. OI '[DOP']2]]</f>
        <v>0</v>
      </c>
      <c r="J85" s="271">
        <f>SUMIFS(BD.PD[Ppto. Orden Interna '[USD']],BD.PD[Pos],PPto[[#This Row],[Part.]],BD.PD[Tipo Ppto],J$19)</f>
        <v>0</v>
      </c>
      <c r="K85" s="237">
        <f>SUMIFS(BD.PD[Ppto. Orden Interna '[USD']],BD.PD[Pos],PPto[[#This Row],[Part.]],BD.PD[Tipo Ppto],K$19)</f>
        <v>0</v>
      </c>
      <c r="L85" s="270">
        <f>PPto[[#This Row],[Ppto. Capex '[USD']]]+PPto[[#This Row],[Ppto. OI '[USD']]]</f>
        <v>0</v>
      </c>
      <c r="N85" s="177">
        <f>+PPto[[#This Row],[Total '[USD']3]]-PPto[[#This Row],[Total '[USD']2]]</f>
        <v>0</v>
      </c>
    </row>
    <row r="86" spans="1:14" x14ac:dyDescent="0.3">
      <c r="A86" s="5">
        <v>9.0299999999999994</v>
      </c>
      <c r="B86" t="s">
        <v>17</v>
      </c>
      <c r="C86" s="4" t="s">
        <v>111</v>
      </c>
      <c r="D86" s="270">
        <f t="shared" si="31"/>
        <v>0</v>
      </c>
      <c r="E86" s="270">
        <f t="shared" si="31"/>
        <v>0</v>
      </c>
      <c r="F86" s="4"/>
      <c r="G86" s="237">
        <f>SUMIFS(BD.PD[Ppto. Orden Interna '[DOP']],BD.PD[Pos],PPto[[#This Row],[Part.]],BD.PD[Tipo Ppto],G$19)</f>
        <v>0</v>
      </c>
      <c r="H86" s="237">
        <f>SUMIFS(BD.PD[Ppto. Orden Interna '[DOP']],BD.PD[Pos],PPto[[#This Row],[Part.]],BD.PD[Tipo Ppto],H$19)</f>
        <v>0</v>
      </c>
      <c r="I86" s="270">
        <f>PPto[[#This Row],[Ppto. Capex '[DOP']]]+PPto[[#This Row],[Ppto. OI '[DOP']2]]</f>
        <v>0</v>
      </c>
      <c r="J86" s="271">
        <f>SUMIFS(BD.PD[Ppto. Orden Interna '[USD']],BD.PD[Pos],PPto[[#This Row],[Part.]],BD.PD[Tipo Ppto],J$19)</f>
        <v>0</v>
      </c>
      <c r="K86" s="237">
        <f>SUMIFS(BD.PD[Ppto. Orden Interna '[USD']],BD.PD[Pos],PPto[[#This Row],[Part.]],BD.PD[Tipo Ppto],K$19)</f>
        <v>0</v>
      </c>
      <c r="L86" s="270">
        <f>PPto[[#This Row],[Ppto. Capex '[USD']]]+PPto[[#This Row],[Ppto. OI '[USD']]]</f>
        <v>0</v>
      </c>
      <c r="N86" s="177">
        <f>+PPto[[#This Row],[Total '[USD']3]]-PPto[[#This Row],[Total '[USD']2]]</f>
        <v>0</v>
      </c>
    </row>
    <row r="87" spans="1:14" x14ac:dyDescent="0.3">
      <c r="A87" s="5">
        <v>9.0399999999999991</v>
      </c>
      <c r="B87" t="s">
        <v>17</v>
      </c>
      <c r="C87" s="4" t="s">
        <v>112</v>
      </c>
      <c r="D87" s="270">
        <f t="shared" si="31"/>
        <v>0</v>
      </c>
      <c r="E87" s="270">
        <f t="shared" si="31"/>
        <v>0</v>
      </c>
      <c r="F87" s="4"/>
      <c r="G87" s="237">
        <f>SUMIFS(BD.PD[Ppto. Orden Interna '[DOP']],BD.PD[Pos],PPto[[#This Row],[Part.]],BD.PD[Tipo Ppto],G$19)</f>
        <v>0</v>
      </c>
      <c r="H87" s="237">
        <f>SUMIFS(BD.PD[Ppto. Orden Interna '[DOP']],BD.PD[Pos],PPto[[#This Row],[Part.]],BD.PD[Tipo Ppto],H$19)</f>
        <v>0</v>
      </c>
      <c r="I87" s="270">
        <f>PPto[[#This Row],[Ppto. Capex '[DOP']]]+PPto[[#This Row],[Ppto. OI '[DOP']2]]</f>
        <v>0</v>
      </c>
      <c r="J87" s="271">
        <f>SUMIFS(BD.PD[Ppto. Orden Interna '[USD']],BD.PD[Pos],PPto[[#This Row],[Part.]],BD.PD[Tipo Ppto],J$19)</f>
        <v>0</v>
      </c>
      <c r="K87" s="237">
        <f>SUMIFS(BD.PD[Ppto. Orden Interna '[USD']],BD.PD[Pos],PPto[[#This Row],[Part.]],BD.PD[Tipo Ppto],K$19)</f>
        <v>0</v>
      </c>
      <c r="L87" s="270">
        <f>PPto[[#This Row],[Ppto. Capex '[USD']]]+PPto[[#This Row],[Ppto. OI '[USD']]]</f>
        <v>0</v>
      </c>
      <c r="N87" s="177">
        <f>+PPto[[#This Row],[Total '[USD']3]]-PPto[[#This Row],[Total '[USD']2]]</f>
        <v>0</v>
      </c>
    </row>
    <row r="88" spans="1:14" x14ac:dyDescent="0.3">
      <c r="A88" s="5">
        <v>9.0499999999999989</v>
      </c>
      <c r="B88" t="s">
        <v>17</v>
      </c>
      <c r="C88" s="4" t="s">
        <v>113</v>
      </c>
      <c r="D88" s="270">
        <f t="shared" si="31"/>
        <v>0</v>
      </c>
      <c r="E88" s="270">
        <f t="shared" si="31"/>
        <v>0</v>
      </c>
      <c r="F88" s="4"/>
      <c r="G88" s="237">
        <f>SUMIFS(BD.PD[Ppto. Orden Interna '[DOP']],BD.PD[Pos],PPto[[#This Row],[Part.]],BD.PD[Tipo Ppto],G$19)</f>
        <v>0</v>
      </c>
      <c r="H88" s="237">
        <f>SUMIFS(BD.PD[Ppto. Orden Interna '[DOP']],BD.PD[Pos],PPto[[#This Row],[Part.]],BD.PD[Tipo Ppto],H$19)</f>
        <v>0</v>
      </c>
      <c r="I88" s="270">
        <f>PPto[[#This Row],[Ppto. Capex '[DOP']]]+PPto[[#This Row],[Ppto. OI '[DOP']2]]</f>
        <v>0</v>
      </c>
      <c r="J88" s="271">
        <f>SUMIFS(BD.PD[Ppto. Orden Interna '[USD']],BD.PD[Pos],PPto[[#This Row],[Part.]],BD.PD[Tipo Ppto],J$19)</f>
        <v>0</v>
      </c>
      <c r="K88" s="237">
        <f>SUMIFS(BD.PD[Ppto. Orden Interna '[USD']],BD.PD[Pos],PPto[[#This Row],[Part.]],BD.PD[Tipo Ppto],K$19)</f>
        <v>0</v>
      </c>
      <c r="L88" s="270">
        <f>PPto[[#This Row],[Ppto. Capex '[USD']]]+PPto[[#This Row],[Ppto. OI '[USD']]]</f>
        <v>0</v>
      </c>
      <c r="N88" s="177">
        <f>+PPto[[#This Row],[Total '[USD']3]]-PPto[[#This Row],[Total '[USD']2]]</f>
        <v>0</v>
      </c>
    </row>
    <row r="89" spans="1:14" ht="15" thickBot="1" x14ac:dyDescent="0.35">
      <c r="A89" s="9">
        <v>9.06</v>
      </c>
      <c r="B89" s="10" t="s">
        <v>17</v>
      </c>
      <c r="C89" s="11" t="s">
        <v>114</v>
      </c>
      <c r="D89" s="272">
        <f t="shared" si="31"/>
        <v>0</v>
      </c>
      <c r="E89" s="272">
        <f t="shared" si="31"/>
        <v>0</v>
      </c>
      <c r="F89" s="4"/>
      <c r="G89" s="238">
        <f>SUMIFS(BD.PD[Ppto. Orden Interna '[DOP']],BD.PD[Pos],PPto[[#This Row],[Part.]],BD.PD[Tipo Ppto],G$19)</f>
        <v>0</v>
      </c>
      <c r="H89" s="238">
        <f>SUMIFS(BD.PD[Ppto. Orden Interna '[DOP']],BD.PD[Pos],PPto[[#This Row],[Part.]],BD.PD[Tipo Ppto],H$19)</f>
        <v>0</v>
      </c>
      <c r="I89" s="272">
        <f>PPto[[#This Row],[Ppto. Capex '[DOP']]]+PPto[[#This Row],[Ppto. OI '[DOP']2]]</f>
        <v>0</v>
      </c>
      <c r="J89" s="273">
        <f>SUMIFS(BD.PD[Ppto. Orden Interna '[USD']],BD.PD[Pos],PPto[[#This Row],[Part.]],BD.PD[Tipo Ppto],J$19)</f>
        <v>0</v>
      </c>
      <c r="K89" s="238">
        <f>SUMIFS(BD.PD[Ppto. Orden Interna '[USD']],BD.PD[Pos],PPto[[#This Row],[Part.]],BD.PD[Tipo Ppto],K$19)</f>
        <v>0</v>
      </c>
      <c r="L89" s="272">
        <f>PPto[[#This Row],[Ppto. Capex '[USD']]]+PPto[[#This Row],[Ppto. OI '[USD']]]</f>
        <v>0</v>
      </c>
      <c r="N89" s="177">
        <f>+PPto[[#This Row],[Total '[USD']3]]-PPto[[#This Row],[Total '[USD']2]]</f>
        <v>0</v>
      </c>
    </row>
  </sheetData>
  <mergeCells count="3">
    <mergeCell ref="C2:H2"/>
    <mergeCell ref="C3:H3"/>
    <mergeCell ref="C1:L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4DB3-9499-4C2A-8CC9-1FF543347DE6}">
  <sheetPr codeName="Hoja3"/>
  <dimension ref="A3:H307"/>
  <sheetViews>
    <sheetView workbookViewId="0">
      <selection activeCell="G358" sqref="G358"/>
    </sheetView>
  </sheetViews>
  <sheetFormatPr baseColWidth="10" defaultColWidth="11.44140625" defaultRowHeight="14.4" x14ac:dyDescent="0.3"/>
  <cols>
    <col min="1" max="1" width="71.44140625" bestFit="1" customWidth="1"/>
    <col min="2" max="2" width="30.109375" bestFit="1" customWidth="1"/>
    <col min="3" max="3" width="30" bestFit="1" customWidth="1"/>
    <col min="4" max="5" width="14" bestFit="1" customWidth="1"/>
    <col min="6" max="8" width="13.5546875" bestFit="1" customWidth="1"/>
    <col min="9" max="10" width="34.5546875" bestFit="1" customWidth="1"/>
    <col min="11" max="15" width="18.5546875" bestFit="1" customWidth="1"/>
    <col min="16" max="19" width="13" bestFit="1" customWidth="1"/>
    <col min="20" max="24" width="14" bestFit="1" customWidth="1"/>
    <col min="25" max="25" width="14.5546875" bestFit="1" customWidth="1"/>
    <col min="26" max="26" width="30" bestFit="1" customWidth="1"/>
    <col min="27" max="29" width="10.44140625" bestFit="1" customWidth="1"/>
    <col min="30" max="35" width="11.44140625" bestFit="1" customWidth="1"/>
    <col min="36" max="36" width="10" bestFit="1" customWidth="1"/>
    <col min="37" max="37" width="9.44140625" bestFit="1" customWidth="1"/>
    <col min="38" max="39" width="10.44140625" bestFit="1" customWidth="1"/>
    <col min="40" max="41" width="11.44140625" bestFit="1" customWidth="1"/>
    <col min="42" max="43" width="10.44140625" bestFit="1" customWidth="1"/>
    <col min="44" max="47" width="11.44140625" bestFit="1" customWidth="1"/>
    <col min="48" max="48" width="12" bestFit="1" customWidth="1"/>
    <col min="49" max="49" width="14.5546875" bestFit="1" customWidth="1"/>
    <col min="50" max="50" width="13.5546875" bestFit="1" customWidth="1"/>
    <col min="51" max="53" width="11.44140625" bestFit="1" customWidth="1"/>
    <col min="54" max="57" width="14" bestFit="1" customWidth="1"/>
    <col min="58" max="59" width="13" bestFit="1" customWidth="1"/>
    <col min="60" max="61" width="10.44140625" bestFit="1" customWidth="1"/>
    <col min="62" max="63" width="11.44140625" bestFit="1" customWidth="1"/>
    <col min="64" max="65" width="13" bestFit="1" customWidth="1"/>
    <col min="66" max="67" width="11.44140625" bestFit="1" customWidth="1"/>
    <col min="68" max="69" width="14" bestFit="1" customWidth="1"/>
    <col min="70" max="71" width="13" bestFit="1" customWidth="1"/>
    <col min="72" max="72" width="14" bestFit="1" customWidth="1"/>
    <col min="73" max="73" width="14.5546875" bestFit="1" customWidth="1"/>
    <col min="74" max="74" width="13.5546875" bestFit="1" customWidth="1"/>
    <col min="75" max="77" width="11.44140625" bestFit="1" customWidth="1"/>
    <col min="78" max="81" width="14" bestFit="1" customWidth="1"/>
    <col min="82" max="83" width="13" bestFit="1" customWidth="1"/>
    <col min="84" max="85" width="10.44140625" bestFit="1" customWidth="1"/>
    <col min="86" max="87" width="11.44140625" bestFit="1" customWidth="1"/>
    <col min="88" max="89" width="13" bestFit="1" customWidth="1"/>
    <col min="90" max="91" width="11.44140625" bestFit="1" customWidth="1"/>
    <col min="92" max="93" width="14" bestFit="1" customWidth="1"/>
    <col min="94" max="95" width="13" bestFit="1" customWidth="1"/>
    <col min="96" max="96" width="12" bestFit="1" customWidth="1"/>
    <col min="97" max="97" width="14.5546875" bestFit="1" customWidth="1"/>
    <col min="98" max="98" width="13.5546875" bestFit="1" customWidth="1"/>
    <col min="99" max="99" width="6.5546875" bestFit="1" customWidth="1"/>
    <col min="100" max="100" width="10" bestFit="1" customWidth="1"/>
    <col min="101" max="101" width="6.5546875" bestFit="1" customWidth="1"/>
    <col min="102" max="102" width="10" bestFit="1" customWidth="1"/>
    <col min="103" max="103" width="6.5546875" bestFit="1" customWidth="1"/>
    <col min="104" max="104" width="10" bestFit="1" customWidth="1"/>
    <col min="105" max="105" width="6.5546875" bestFit="1" customWidth="1"/>
    <col min="106" max="106" width="10" bestFit="1" customWidth="1"/>
    <col min="107" max="107" width="7.5546875" bestFit="1" customWidth="1"/>
    <col min="108" max="108" width="10" bestFit="1" customWidth="1"/>
    <col min="109" max="109" width="7.5546875" bestFit="1" customWidth="1"/>
    <col min="110" max="110" width="10" bestFit="1" customWidth="1"/>
    <col min="111" max="111" width="7.5546875" bestFit="1" customWidth="1"/>
    <col min="112" max="112" width="10" bestFit="1" customWidth="1"/>
    <col min="113" max="113" width="7.5546875" bestFit="1" customWidth="1"/>
    <col min="114" max="114" width="10" bestFit="1" customWidth="1"/>
    <col min="115" max="115" width="7.5546875" bestFit="1" customWidth="1"/>
    <col min="116" max="116" width="10" bestFit="1" customWidth="1"/>
    <col min="117" max="117" width="7.5546875" bestFit="1" customWidth="1"/>
    <col min="118" max="118" width="10" bestFit="1" customWidth="1"/>
    <col min="119" max="119" width="7.5546875" bestFit="1" customWidth="1"/>
    <col min="120" max="120" width="12" bestFit="1" customWidth="1"/>
    <col min="121" max="121" width="14.5546875" bestFit="1" customWidth="1"/>
    <col min="122" max="122" width="13.5546875" bestFit="1" customWidth="1"/>
    <col min="123" max="123" width="6.5546875" bestFit="1" customWidth="1"/>
    <col min="124" max="124" width="10" bestFit="1" customWidth="1"/>
    <col min="125" max="125" width="6.5546875" bestFit="1" customWidth="1"/>
    <col min="126" max="126" width="10" bestFit="1" customWidth="1"/>
    <col min="127" max="127" width="6.5546875" bestFit="1" customWidth="1"/>
    <col min="128" max="128" width="10" bestFit="1" customWidth="1"/>
    <col min="129" max="129" width="6.5546875" bestFit="1" customWidth="1"/>
    <col min="130" max="130" width="10" bestFit="1" customWidth="1"/>
    <col min="131" max="131" width="7.5546875" bestFit="1" customWidth="1"/>
    <col min="132" max="132" width="10" bestFit="1" customWidth="1"/>
    <col min="133" max="133" width="7.5546875" bestFit="1" customWidth="1"/>
    <col min="134" max="134" width="10" bestFit="1" customWidth="1"/>
    <col min="135" max="135" width="7.5546875" bestFit="1" customWidth="1"/>
    <col min="136" max="136" width="10" bestFit="1" customWidth="1"/>
    <col min="137" max="137" width="7.5546875" bestFit="1" customWidth="1"/>
    <col min="138" max="138" width="10" bestFit="1" customWidth="1"/>
    <col min="139" max="139" width="7.5546875" bestFit="1" customWidth="1"/>
    <col min="140" max="140" width="10" bestFit="1" customWidth="1"/>
    <col min="141" max="141" width="7.5546875" bestFit="1" customWidth="1"/>
    <col min="142" max="142" width="10" bestFit="1" customWidth="1"/>
    <col min="143" max="143" width="7.5546875" bestFit="1" customWidth="1"/>
    <col min="144" max="144" width="12" bestFit="1" customWidth="1"/>
    <col min="145" max="145" width="14.5546875" bestFit="1" customWidth="1"/>
    <col min="146" max="146" width="13.5546875" bestFit="1" customWidth="1"/>
    <col min="147" max="147" width="6.5546875" bestFit="1" customWidth="1"/>
    <col min="148" max="148" width="10" bestFit="1" customWidth="1"/>
    <col min="149" max="149" width="6.5546875" bestFit="1" customWidth="1"/>
    <col min="150" max="150" width="10" bestFit="1" customWidth="1"/>
    <col min="151" max="151" width="6.5546875" bestFit="1" customWidth="1"/>
    <col min="152" max="152" width="10" bestFit="1" customWidth="1"/>
    <col min="153" max="153" width="6.5546875" bestFit="1" customWidth="1"/>
    <col min="154" max="154" width="10" bestFit="1" customWidth="1"/>
    <col min="155" max="155" width="7.5546875" bestFit="1" customWidth="1"/>
    <col min="156" max="156" width="10" bestFit="1" customWidth="1"/>
    <col min="157" max="157" width="7.5546875" bestFit="1" customWidth="1"/>
    <col min="158" max="158" width="10" bestFit="1" customWidth="1"/>
    <col min="159" max="159" width="7.5546875" bestFit="1" customWidth="1"/>
    <col min="160" max="160" width="10" bestFit="1" customWidth="1"/>
    <col min="161" max="161" width="7.5546875" bestFit="1" customWidth="1"/>
    <col min="162" max="162" width="10" bestFit="1" customWidth="1"/>
    <col min="163" max="163" width="7.5546875" bestFit="1" customWidth="1"/>
    <col min="164" max="164" width="10" bestFit="1" customWidth="1"/>
    <col min="165" max="165" width="7.5546875" bestFit="1" customWidth="1"/>
    <col min="166" max="166" width="10" bestFit="1" customWidth="1"/>
    <col min="167" max="167" width="7.5546875" bestFit="1" customWidth="1"/>
    <col min="168" max="168" width="12" bestFit="1" customWidth="1"/>
    <col min="169" max="169" width="14.5546875" bestFit="1" customWidth="1"/>
    <col min="170" max="171" width="34.5546875" bestFit="1" customWidth="1"/>
    <col min="172" max="176" width="18.5546875" bestFit="1" customWidth="1"/>
    <col min="177" max="177" width="14.5546875" bestFit="1" customWidth="1"/>
    <col min="178" max="178" width="11.44140625" bestFit="1" customWidth="1"/>
    <col min="179" max="179" width="10" bestFit="1" customWidth="1"/>
    <col min="180" max="180" width="9.44140625" bestFit="1" customWidth="1"/>
    <col min="181" max="181" width="10" bestFit="1" customWidth="1"/>
    <col min="182" max="182" width="7.5546875" bestFit="1" customWidth="1"/>
    <col min="183" max="184" width="10.44140625" bestFit="1" customWidth="1"/>
    <col min="185" max="185" width="12" bestFit="1" customWidth="1"/>
    <col min="186" max="186" width="14.5546875" bestFit="1" customWidth="1"/>
    <col min="187" max="187" width="10.44140625" bestFit="1" customWidth="1"/>
    <col min="188" max="188" width="10" bestFit="1" customWidth="1"/>
    <col min="189" max="189" width="9.44140625" bestFit="1" customWidth="1"/>
    <col min="190" max="191" width="11.44140625" bestFit="1" customWidth="1"/>
    <col min="192" max="192" width="12" bestFit="1" customWidth="1"/>
    <col min="193" max="193" width="14.5546875" bestFit="1" customWidth="1"/>
    <col min="194" max="194" width="11.44140625" bestFit="1" customWidth="1"/>
    <col min="195" max="195" width="12" bestFit="1" customWidth="1"/>
    <col min="196" max="196" width="14.5546875" bestFit="1" customWidth="1"/>
    <col min="197" max="197" width="7.5546875" bestFit="1" customWidth="1"/>
    <col min="198" max="198" width="10" bestFit="1" customWidth="1"/>
    <col min="199" max="199" width="9.44140625" bestFit="1" customWidth="1"/>
    <col min="200" max="200" width="12" bestFit="1" customWidth="1"/>
    <col min="201" max="201" width="14.5546875" bestFit="1" customWidth="1"/>
    <col min="202" max="202" width="10.44140625" bestFit="1" customWidth="1"/>
    <col min="203" max="203" width="10" bestFit="1" customWidth="1"/>
    <col min="204" max="204" width="7.5546875" bestFit="1" customWidth="1"/>
    <col min="205" max="205" width="10" bestFit="1" customWidth="1"/>
    <col min="206" max="206" width="9.44140625" bestFit="1" customWidth="1"/>
    <col min="207" max="207" width="12" bestFit="1" customWidth="1"/>
    <col min="208" max="208" width="14.5546875" bestFit="1" customWidth="1"/>
    <col min="209" max="209" width="10.44140625" bestFit="1" customWidth="1"/>
    <col min="210" max="210" width="13.5546875" bestFit="1" customWidth="1"/>
    <col min="211" max="213" width="13" bestFit="1" customWidth="1"/>
    <col min="214" max="215" width="14" bestFit="1" customWidth="1"/>
    <col min="216" max="217" width="13" bestFit="1" customWidth="1"/>
    <col min="218" max="218" width="14" bestFit="1" customWidth="1"/>
    <col min="219" max="220" width="13" bestFit="1" customWidth="1"/>
    <col min="221" max="221" width="12" bestFit="1" customWidth="1"/>
    <col min="222" max="222" width="14.5546875" bestFit="1" customWidth="1"/>
    <col min="223" max="223" width="13" bestFit="1" customWidth="1"/>
    <col min="224" max="224" width="10" bestFit="1" customWidth="1"/>
    <col min="225" max="225" width="9.44140625" bestFit="1" customWidth="1"/>
    <col min="226" max="231" width="11.44140625" bestFit="1" customWidth="1"/>
    <col min="232" max="234" width="13" bestFit="1" customWidth="1"/>
    <col min="235" max="238" width="11.44140625" bestFit="1" customWidth="1"/>
    <col min="239" max="240" width="14" bestFit="1" customWidth="1"/>
    <col min="241" max="242" width="13" bestFit="1" customWidth="1"/>
    <col min="243" max="243" width="14" bestFit="1" customWidth="1"/>
    <col min="244" max="245" width="11.44140625" bestFit="1" customWidth="1"/>
    <col min="246" max="247" width="10.44140625" bestFit="1" customWidth="1"/>
    <col min="248" max="254" width="11.44140625" bestFit="1" customWidth="1"/>
    <col min="255" max="257" width="14" bestFit="1" customWidth="1"/>
    <col min="258" max="259" width="11.44140625" bestFit="1" customWidth="1"/>
    <col min="260" max="261" width="10.44140625" bestFit="1" customWidth="1"/>
    <col min="262" max="264" width="13" bestFit="1" customWidth="1"/>
    <col min="265" max="266" width="11.44140625" bestFit="1" customWidth="1"/>
    <col min="267" max="267" width="10" bestFit="1" customWidth="1"/>
    <col min="268" max="268" width="9.44140625" bestFit="1" customWidth="1"/>
    <col min="269" max="270" width="11.44140625" bestFit="1" customWidth="1"/>
    <col min="271" max="272" width="13" bestFit="1" customWidth="1"/>
    <col min="273" max="273" width="12" bestFit="1" customWidth="1"/>
    <col min="274" max="274" width="14.5546875" bestFit="1" customWidth="1"/>
    <col min="275" max="277" width="13" bestFit="1" customWidth="1"/>
    <col min="278" max="279" width="11.44140625" bestFit="1" customWidth="1"/>
    <col min="280" max="280" width="13" bestFit="1" customWidth="1"/>
    <col min="281" max="281" width="14.5546875" bestFit="1" customWidth="1"/>
    <col min="282" max="282" width="13" bestFit="1" customWidth="1"/>
    <col min="283" max="284" width="11.44140625" bestFit="1" customWidth="1"/>
    <col min="285" max="285" width="10" bestFit="1" customWidth="1"/>
    <col min="286" max="286" width="9.44140625" bestFit="1" customWidth="1"/>
    <col min="287" max="289" width="13" bestFit="1" customWidth="1"/>
    <col min="290" max="290" width="14.5546875" bestFit="1" customWidth="1"/>
    <col min="291" max="291" width="13" bestFit="1" customWidth="1"/>
    <col min="292" max="293" width="10.44140625" bestFit="1" customWidth="1"/>
    <col min="294" max="296" width="13" bestFit="1" customWidth="1"/>
    <col min="297" max="297" width="14.5546875" bestFit="1" customWidth="1"/>
    <col min="298" max="298" width="14" bestFit="1" customWidth="1"/>
    <col min="299" max="299" width="12" bestFit="1" customWidth="1"/>
    <col min="300" max="300" width="14.5546875" bestFit="1" customWidth="1"/>
    <col min="301" max="301" width="9.44140625" bestFit="1" customWidth="1"/>
    <col min="302" max="303" width="11.44140625" bestFit="1" customWidth="1"/>
    <col min="304" max="304" width="13" bestFit="1" customWidth="1"/>
    <col min="305" max="305" width="14.5546875" bestFit="1" customWidth="1"/>
    <col min="306" max="306" width="13" bestFit="1" customWidth="1"/>
    <col min="307" max="308" width="10.44140625" bestFit="1" customWidth="1"/>
    <col min="309" max="310" width="11.44140625" bestFit="1" customWidth="1"/>
    <col min="311" max="311" width="13" bestFit="1" customWidth="1"/>
    <col min="312" max="312" width="14.5546875" bestFit="1" customWidth="1"/>
    <col min="313" max="313" width="13" bestFit="1" customWidth="1"/>
    <col min="314" max="314" width="13.5546875" bestFit="1" customWidth="1"/>
    <col min="315" max="317" width="13" bestFit="1" customWidth="1"/>
    <col min="318" max="319" width="14" bestFit="1" customWidth="1"/>
    <col min="320" max="321" width="13" bestFit="1" customWidth="1"/>
    <col min="322" max="322" width="14" bestFit="1" customWidth="1"/>
    <col min="323" max="324" width="13" bestFit="1" customWidth="1"/>
    <col min="325" max="325" width="12" bestFit="1" customWidth="1"/>
    <col min="326" max="326" width="14.5546875" bestFit="1" customWidth="1"/>
    <col min="327" max="327" width="13" bestFit="1" customWidth="1"/>
    <col min="328" max="328" width="10" bestFit="1" customWidth="1"/>
    <col min="329" max="329" width="9.44140625" bestFit="1" customWidth="1"/>
    <col min="330" max="335" width="11.44140625" bestFit="1" customWidth="1"/>
    <col min="336" max="338" width="13" bestFit="1" customWidth="1"/>
    <col min="339" max="342" width="11.44140625" bestFit="1" customWidth="1"/>
    <col min="343" max="344" width="14" bestFit="1" customWidth="1"/>
    <col min="345" max="346" width="13" bestFit="1" customWidth="1"/>
    <col min="347" max="347" width="14" bestFit="1" customWidth="1"/>
    <col min="348" max="349" width="11.44140625" bestFit="1" customWidth="1"/>
    <col min="350" max="351" width="10.44140625" bestFit="1" customWidth="1"/>
    <col min="352" max="358" width="11.44140625" bestFit="1" customWidth="1"/>
    <col min="359" max="361" width="14" bestFit="1" customWidth="1"/>
    <col min="362" max="363" width="11.44140625" bestFit="1" customWidth="1"/>
    <col min="364" max="365" width="10.44140625" bestFit="1" customWidth="1"/>
    <col min="366" max="368" width="13" bestFit="1" customWidth="1"/>
    <col min="369" max="370" width="11.44140625" bestFit="1" customWidth="1"/>
    <col min="371" max="371" width="10" bestFit="1" customWidth="1"/>
    <col min="372" max="372" width="9.44140625" bestFit="1" customWidth="1"/>
    <col min="373" max="374" width="11.44140625" bestFit="1" customWidth="1"/>
    <col min="375" max="376" width="13" bestFit="1" customWidth="1"/>
    <col min="377" max="377" width="12" bestFit="1" customWidth="1"/>
    <col min="378" max="378" width="14.5546875" bestFit="1" customWidth="1"/>
    <col min="379" max="381" width="13" bestFit="1" customWidth="1"/>
    <col min="382" max="383" width="11.44140625" bestFit="1" customWidth="1"/>
    <col min="384" max="384" width="12" bestFit="1" customWidth="1"/>
    <col min="385" max="385" width="14.5546875" bestFit="1" customWidth="1"/>
    <col min="386" max="386" width="13" bestFit="1" customWidth="1"/>
    <col min="387" max="388" width="11.44140625" bestFit="1" customWidth="1"/>
    <col min="389" max="389" width="10" bestFit="1" customWidth="1"/>
    <col min="390" max="390" width="9.44140625" bestFit="1" customWidth="1"/>
    <col min="391" max="392" width="13" bestFit="1" customWidth="1"/>
    <col min="393" max="393" width="12" bestFit="1" customWidth="1"/>
    <col min="394" max="394" width="14.5546875" bestFit="1" customWidth="1"/>
    <col min="395" max="395" width="13" bestFit="1" customWidth="1"/>
    <col min="396" max="396" width="10" bestFit="1" customWidth="1"/>
    <col min="397" max="397" width="7.5546875" bestFit="1" customWidth="1"/>
    <col min="398" max="399" width="13" bestFit="1" customWidth="1"/>
    <col min="400" max="400" width="12" bestFit="1" customWidth="1"/>
    <col min="401" max="401" width="14.5546875" bestFit="1" customWidth="1"/>
    <col min="402" max="402" width="13" bestFit="1" customWidth="1"/>
    <col min="403" max="403" width="12" bestFit="1" customWidth="1"/>
    <col min="404" max="404" width="14.5546875" bestFit="1" customWidth="1"/>
    <col min="405" max="405" width="7.5546875" bestFit="1" customWidth="1"/>
    <col min="406" max="407" width="11.44140625" bestFit="1" customWidth="1"/>
    <col min="408" max="408" width="12" bestFit="1" customWidth="1"/>
    <col min="409" max="409" width="14.5546875" bestFit="1" customWidth="1"/>
    <col min="410" max="410" width="11.44140625" bestFit="1" customWidth="1"/>
    <col min="411" max="412" width="10.44140625" bestFit="1" customWidth="1"/>
    <col min="413" max="414" width="11.44140625" bestFit="1" customWidth="1"/>
    <col min="415" max="415" width="12" bestFit="1" customWidth="1"/>
    <col min="416" max="416" width="14.5546875" bestFit="1" customWidth="1"/>
    <col min="417" max="417" width="11.44140625" bestFit="1" customWidth="1"/>
    <col min="418" max="418" width="13.5546875" bestFit="1" customWidth="1"/>
    <col min="419" max="419" width="10" bestFit="1" customWidth="1"/>
    <col min="420" max="420" width="7.5546875" bestFit="1" customWidth="1"/>
    <col min="421" max="421" width="6.5546875" bestFit="1" customWidth="1"/>
    <col min="422" max="422" width="10" bestFit="1" customWidth="1"/>
    <col min="423" max="423" width="6.5546875" bestFit="1" customWidth="1"/>
    <col min="424" max="424" width="10" bestFit="1" customWidth="1"/>
    <col min="425" max="426" width="6.5546875" bestFit="1" customWidth="1"/>
    <col min="427" max="427" width="10" bestFit="1" customWidth="1"/>
    <col min="428" max="428" width="6.5546875" bestFit="1" customWidth="1"/>
    <col min="429" max="429" width="12" bestFit="1" customWidth="1"/>
    <col min="430" max="430" width="14.5546875" bestFit="1" customWidth="1"/>
    <col min="431" max="431" width="6.5546875" bestFit="1" customWidth="1"/>
    <col min="432" max="432" width="10" bestFit="1" customWidth="1"/>
    <col min="433" max="433" width="6.5546875" bestFit="1" customWidth="1"/>
    <col min="434" max="434" width="10" bestFit="1" customWidth="1"/>
    <col min="435" max="435" width="6.5546875" bestFit="1" customWidth="1"/>
    <col min="436" max="436" width="10" bestFit="1" customWidth="1"/>
    <col min="437" max="437" width="6.5546875" bestFit="1" customWidth="1"/>
    <col min="438" max="438" width="10" bestFit="1" customWidth="1"/>
    <col min="439" max="439" width="7.5546875" bestFit="1" customWidth="1"/>
    <col min="440" max="440" width="10" bestFit="1" customWidth="1"/>
    <col min="441" max="441" width="7.5546875" bestFit="1" customWidth="1"/>
    <col min="442" max="442" width="6.5546875" bestFit="1" customWidth="1"/>
    <col min="443" max="443" width="10" bestFit="1" customWidth="1"/>
    <col min="444" max="444" width="6.5546875" bestFit="1" customWidth="1"/>
    <col min="445" max="445" width="10" bestFit="1" customWidth="1"/>
    <col min="446" max="446" width="6.5546875" bestFit="1" customWidth="1"/>
    <col min="447" max="447" width="10" bestFit="1" customWidth="1"/>
    <col min="448" max="448" width="6.5546875" bestFit="1" customWidth="1"/>
    <col min="449" max="449" width="10" bestFit="1" customWidth="1"/>
    <col min="450" max="450" width="7.5546875" bestFit="1" customWidth="1"/>
    <col min="451" max="451" width="6.5546875" bestFit="1" customWidth="1"/>
    <col min="452" max="452" width="10" bestFit="1" customWidth="1"/>
    <col min="453" max="453" width="6.5546875" bestFit="1" customWidth="1"/>
    <col min="454" max="454" width="10" bestFit="1" customWidth="1"/>
    <col min="455" max="455" width="7.5546875" bestFit="1" customWidth="1"/>
    <col min="456" max="456" width="6.5546875" bestFit="1" customWidth="1"/>
    <col min="457" max="457" width="10" bestFit="1" customWidth="1"/>
    <col min="458" max="458" width="6.5546875" bestFit="1" customWidth="1"/>
    <col min="459" max="459" width="10" bestFit="1" customWidth="1"/>
    <col min="460" max="460" width="7.5546875" bestFit="1" customWidth="1"/>
    <col min="461" max="461" width="10" bestFit="1" customWidth="1"/>
    <col min="462" max="462" width="7.5546875" bestFit="1" customWidth="1"/>
    <col min="463" max="463" width="10" bestFit="1" customWidth="1"/>
    <col min="464" max="464" width="7.5546875" bestFit="1" customWidth="1"/>
    <col min="465" max="465" width="6.5546875" bestFit="1" customWidth="1"/>
    <col min="466" max="466" width="10" bestFit="1" customWidth="1"/>
    <col min="467" max="467" width="7.5546875" bestFit="1" customWidth="1"/>
    <col min="468" max="468" width="10" bestFit="1" customWidth="1"/>
    <col min="469" max="469" width="7.5546875" bestFit="1" customWidth="1"/>
    <col min="470" max="470" width="10" bestFit="1" customWidth="1"/>
    <col min="471" max="471" width="7.5546875" bestFit="1" customWidth="1"/>
    <col min="472" max="472" width="6.5546875" bestFit="1" customWidth="1"/>
    <col min="473" max="473" width="10" bestFit="1" customWidth="1"/>
    <col min="474" max="474" width="7.5546875" bestFit="1" customWidth="1"/>
    <col min="475" max="475" width="10" bestFit="1" customWidth="1"/>
    <col min="476" max="476" width="7.5546875" bestFit="1" customWidth="1"/>
    <col min="477" max="477" width="10" bestFit="1" customWidth="1"/>
    <col min="478" max="478" width="7.5546875" bestFit="1" customWidth="1"/>
    <col min="479" max="479" width="10" bestFit="1" customWidth="1"/>
    <col min="480" max="480" width="7.5546875" bestFit="1" customWidth="1"/>
    <col min="481" max="481" width="12" bestFit="1" customWidth="1"/>
    <col min="482" max="482" width="14.5546875" bestFit="1" customWidth="1"/>
    <col min="483" max="483" width="7.5546875" bestFit="1" customWidth="1"/>
    <col min="484" max="484" width="10" bestFit="1" customWidth="1"/>
    <col min="485" max="485" width="7.5546875" bestFit="1" customWidth="1"/>
    <col min="486" max="486" width="10" bestFit="1" customWidth="1"/>
    <col min="487" max="487" width="7.5546875" bestFit="1" customWidth="1"/>
    <col min="488" max="488" width="12" bestFit="1" customWidth="1"/>
    <col min="489" max="489" width="14.5546875" bestFit="1" customWidth="1"/>
    <col min="490" max="490" width="7.5546875" bestFit="1" customWidth="1"/>
    <col min="491" max="491" width="10" bestFit="1" customWidth="1"/>
    <col min="492" max="492" width="6.5546875" bestFit="1" customWidth="1"/>
    <col min="493" max="493" width="10" bestFit="1" customWidth="1"/>
    <col min="494" max="494" width="7.5546875" bestFit="1" customWidth="1"/>
    <col min="495" max="495" width="10" bestFit="1" customWidth="1"/>
    <col min="496" max="496" width="7.5546875" bestFit="1" customWidth="1"/>
    <col min="497" max="497" width="12" bestFit="1" customWidth="1"/>
    <col min="498" max="498" width="14.5546875" bestFit="1" customWidth="1"/>
    <col min="499" max="499" width="7.5546875" bestFit="1" customWidth="1"/>
    <col min="500" max="500" width="10" bestFit="1" customWidth="1"/>
    <col min="501" max="501" width="7.5546875" bestFit="1" customWidth="1"/>
    <col min="502" max="502" width="10" bestFit="1" customWidth="1"/>
    <col min="503" max="503" width="7.5546875" bestFit="1" customWidth="1"/>
    <col min="504" max="504" width="12" bestFit="1" customWidth="1"/>
    <col min="505" max="505" width="14.5546875" bestFit="1" customWidth="1"/>
    <col min="506" max="506" width="7.5546875" bestFit="1" customWidth="1"/>
    <col min="507" max="507" width="12" bestFit="1" customWidth="1"/>
    <col min="508" max="508" width="14.5546875" bestFit="1" customWidth="1"/>
    <col min="509" max="509" width="7.5546875" bestFit="1" customWidth="1"/>
    <col min="510" max="510" width="10" bestFit="1" customWidth="1"/>
    <col min="511" max="511" width="6.5546875" bestFit="1" customWidth="1"/>
    <col min="512" max="512" width="12" bestFit="1" customWidth="1"/>
    <col min="513" max="513" width="14.5546875" bestFit="1" customWidth="1"/>
    <col min="514" max="514" width="7.5546875" bestFit="1" customWidth="1"/>
    <col min="515" max="515" width="10" bestFit="1" customWidth="1"/>
    <col min="516" max="516" width="6.5546875" bestFit="1" customWidth="1"/>
    <col min="517" max="517" width="10" bestFit="1" customWidth="1"/>
    <col min="518" max="518" width="7.5546875" bestFit="1" customWidth="1"/>
    <col min="519" max="519" width="12" bestFit="1" customWidth="1"/>
    <col min="520" max="520" width="14.5546875" bestFit="1" customWidth="1"/>
    <col min="521" max="521" width="7.5546875" bestFit="1" customWidth="1"/>
    <col min="522" max="522" width="13.5546875" bestFit="1" customWidth="1"/>
    <col min="523" max="523" width="10" bestFit="1" customWidth="1"/>
    <col min="524" max="524" width="7.5546875" bestFit="1" customWidth="1"/>
    <col min="525" max="525" width="6.5546875" bestFit="1" customWidth="1"/>
    <col min="526" max="526" width="10" bestFit="1" customWidth="1"/>
    <col min="527" max="527" width="6.5546875" bestFit="1" customWidth="1"/>
    <col min="528" max="528" width="10" bestFit="1" customWidth="1"/>
    <col min="529" max="530" width="6.5546875" bestFit="1" customWidth="1"/>
    <col min="531" max="531" width="10" bestFit="1" customWidth="1"/>
    <col min="532" max="532" width="6.5546875" bestFit="1" customWidth="1"/>
    <col min="533" max="533" width="12" bestFit="1" customWidth="1"/>
    <col min="534" max="534" width="14.5546875" bestFit="1" customWidth="1"/>
    <col min="535" max="535" width="6.5546875" bestFit="1" customWidth="1"/>
    <col min="536" max="536" width="10" bestFit="1" customWidth="1"/>
    <col min="537" max="537" width="6.5546875" bestFit="1" customWidth="1"/>
    <col min="538" max="538" width="10" bestFit="1" customWidth="1"/>
    <col min="539" max="539" width="6.5546875" bestFit="1" customWidth="1"/>
    <col min="540" max="540" width="10" bestFit="1" customWidth="1"/>
    <col min="541" max="541" width="6.5546875" bestFit="1" customWidth="1"/>
    <col min="542" max="542" width="10" bestFit="1" customWidth="1"/>
    <col min="543" max="543" width="7.5546875" bestFit="1" customWidth="1"/>
    <col min="544" max="544" width="10" bestFit="1" customWidth="1"/>
    <col min="545" max="545" width="7.5546875" bestFit="1" customWidth="1"/>
    <col min="546" max="546" width="6.5546875" bestFit="1" customWidth="1"/>
    <col min="547" max="547" width="10" bestFit="1" customWidth="1"/>
    <col min="548" max="548" width="6.5546875" bestFit="1" customWidth="1"/>
    <col min="549" max="549" width="10" bestFit="1" customWidth="1"/>
    <col min="550" max="550" width="6.5546875" bestFit="1" customWidth="1"/>
    <col min="551" max="551" width="10" bestFit="1" customWidth="1"/>
    <col min="552" max="552" width="6.5546875" bestFit="1" customWidth="1"/>
    <col min="553" max="553" width="10" bestFit="1" customWidth="1"/>
    <col min="554" max="554" width="7.5546875" bestFit="1" customWidth="1"/>
    <col min="555" max="555" width="6.5546875" bestFit="1" customWidth="1"/>
    <col min="556" max="556" width="10" bestFit="1" customWidth="1"/>
    <col min="557" max="557" width="6.5546875" bestFit="1" customWidth="1"/>
    <col min="558" max="558" width="10" bestFit="1" customWidth="1"/>
    <col min="559" max="559" width="7.5546875" bestFit="1" customWidth="1"/>
    <col min="560" max="560" width="6.5546875" bestFit="1" customWidth="1"/>
    <col min="561" max="561" width="10" bestFit="1" customWidth="1"/>
    <col min="562" max="562" width="6.5546875" bestFit="1" customWidth="1"/>
    <col min="563" max="563" width="10" bestFit="1" customWidth="1"/>
    <col min="564" max="564" width="7.5546875" bestFit="1" customWidth="1"/>
    <col min="565" max="565" width="10" bestFit="1" customWidth="1"/>
    <col min="566" max="566" width="7.5546875" bestFit="1" customWidth="1"/>
    <col min="567" max="567" width="10" bestFit="1" customWidth="1"/>
    <col min="568" max="568" width="7.5546875" bestFit="1" customWidth="1"/>
    <col min="569" max="569" width="6.5546875" bestFit="1" customWidth="1"/>
    <col min="570" max="570" width="10" bestFit="1" customWidth="1"/>
    <col min="571" max="571" width="7.5546875" bestFit="1" customWidth="1"/>
    <col min="572" max="572" width="10" bestFit="1" customWidth="1"/>
    <col min="573" max="573" width="7.5546875" bestFit="1" customWidth="1"/>
    <col min="574" max="574" width="10" bestFit="1" customWidth="1"/>
    <col min="575" max="575" width="7.5546875" bestFit="1" customWidth="1"/>
    <col min="576" max="576" width="6.5546875" bestFit="1" customWidth="1"/>
    <col min="577" max="577" width="10" bestFit="1" customWidth="1"/>
    <col min="578" max="578" width="7.5546875" bestFit="1" customWidth="1"/>
    <col min="579" max="579" width="10" bestFit="1" customWidth="1"/>
    <col min="580" max="580" width="7.5546875" bestFit="1" customWidth="1"/>
    <col min="581" max="581" width="10" bestFit="1" customWidth="1"/>
    <col min="582" max="582" width="7.5546875" bestFit="1" customWidth="1"/>
    <col min="583" max="583" width="10" bestFit="1" customWidth="1"/>
    <col min="584" max="584" width="7.5546875" bestFit="1" customWidth="1"/>
    <col min="585" max="585" width="12" bestFit="1" customWidth="1"/>
    <col min="586" max="586" width="14.5546875" bestFit="1" customWidth="1"/>
    <col min="587" max="587" width="7.5546875" bestFit="1" customWidth="1"/>
    <col min="588" max="588" width="10" bestFit="1" customWidth="1"/>
    <col min="589" max="589" width="7.5546875" bestFit="1" customWidth="1"/>
    <col min="590" max="590" width="10" bestFit="1" customWidth="1"/>
    <col min="591" max="591" width="7.5546875" bestFit="1" customWidth="1"/>
    <col min="592" max="592" width="12" bestFit="1" customWidth="1"/>
    <col min="593" max="593" width="14.5546875" bestFit="1" customWidth="1"/>
    <col min="594" max="594" width="7.5546875" bestFit="1" customWidth="1"/>
    <col min="595" max="595" width="10" bestFit="1" customWidth="1"/>
    <col min="596" max="596" width="6.5546875" bestFit="1" customWidth="1"/>
    <col min="597" max="597" width="10" bestFit="1" customWidth="1"/>
    <col min="598" max="598" width="7.5546875" bestFit="1" customWidth="1"/>
    <col min="599" max="599" width="10" bestFit="1" customWidth="1"/>
    <col min="600" max="600" width="7.5546875" bestFit="1" customWidth="1"/>
    <col min="601" max="601" width="12" bestFit="1" customWidth="1"/>
    <col min="602" max="602" width="14.5546875" bestFit="1" customWidth="1"/>
    <col min="603" max="603" width="7.5546875" bestFit="1" customWidth="1"/>
    <col min="604" max="604" width="10" bestFit="1" customWidth="1"/>
    <col min="605" max="605" width="7.5546875" bestFit="1" customWidth="1"/>
    <col min="606" max="606" width="10" bestFit="1" customWidth="1"/>
    <col min="607" max="607" width="7.5546875" bestFit="1" customWidth="1"/>
    <col min="608" max="608" width="12" bestFit="1" customWidth="1"/>
    <col min="609" max="609" width="14.5546875" bestFit="1" customWidth="1"/>
    <col min="610" max="610" width="7.5546875" bestFit="1" customWidth="1"/>
    <col min="611" max="611" width="12" bestFit="1" customWidth="1"/>
    <col min="612" max="612" width="14.5546875" bestFit="1" customWidth="1"/>
    <col min="613" max="613" width="7.5546875" bestFit="1" customWidth="1"/>
    <col min="614" max="614" width="10" bestFit="1" customWidth="1"/>
    <col min="615" max="615" width="6.5546875" bestFit="1" customWidth="1"/>
    <col min="616" max="616" width="12" bestFit="1" customWidth="1"/>
    <col min="617" max="617" width="14.5546875" bestFit="1" customWidth="1"/>
    <col min="618" max="618" width="7.5546875" bestFit="1" customWidth="1"/>
    <col min="619" max="619" width="10" bestFit="1" customWidth="1"/>
    <col min="620" max="620" width="6.5546875" bestFit="1" customWidth="1"/>
    <col min="621" max="621" width="10" bestFit="1" customWidth="1"/>
    <col min="622" max="622" width="7.5546875" bestFit="1" customWidth="1"/>
    <col min="623" max="623" width="12" bestFit="1" customWidth="1"/>
    <col min="624" max="624" width="14.5546875" bestFit="1" customWidth="1"/>
    <col min="625" max="625" width="7.5546875" bestFit="1" customWidth="1"/>
    <col min="626" max="626" width="13.5546875" bestFit="1" customWidth="1"/>
    <col min="627" max="627" width="10" bestFit="1" customWidth="1"/>
    <col min="628" max="628" width="7.5546875" bestFit="1" customWidth="1"/>
    <col min="629" max="629" width="6.5546875" bestFit="1" customWidth="1"/>
    <col min="630" max="630" width="10" bestFit="1" customWidth="1"/>
    <col min="631" max="631" width="6.5546875" bestFit="1" customWidth="1"/>
    <col min="632" max="632" width="10" bestFit="1" customWidth="1"/>
    <col min="633" max="634" width="6.5546875" bestFit="1" customWidth="1"/>
    <col min="635" max="635" width="10" bestFit="1" customWidth="1"/>
    <col min="636" max="636" width="6.5546875" bestFit="1" customWidth="1"/>
    <col min="637" max="637" width="12" bestFit="1" customWidth="1"/>
    <col min="638" max="638" width="14.5546875" bestFit="1" customWidth="1"/>
    <col min="639" max="639" width="6.5546875" bestFit="1" customWidth="1"/>
    <col min="640" max="640" width="10" bestFit="1" customWidth="1"/>
    <col min="641" max="641" width="6.5546875" bestFit="1" customWidth="1"/>
    <col min="642" max="642" width="10" bestFit="1" customWidth="1"/>
    <col min="643" max="643" width="6.5546875" bestFit="1" customWidth="1"/>
    <col min="644" max="644" width="10" bestFit="1" customWidth="1"/>
    <col min="645" max="645" width="6.5546875" bestFit="1" customWidth="1"/>
    <col min="646" max="646" width="10" bestFit="1" customWidth="1"/>
    <col min="647" max="647" width="7.5546875" bestFit="1" customWidth="1"/>
    <col min="648" max="648" width="10" bestFit="1" customWidth="1"/>
    <col min="649" max="649" width="7.5546875" bestFit="1" customWidth="1"/>
    <col min="650" max="650" width="6.5546875" bestFit="1" customWidth="1"/>
    <col min="651" max="651" width="10" bestFit="1" customWidth="1"/>
    <col min="652" max="652" width="6.5546875" bestFit="1" customWidth="1"/>
    <col min="653" max="653" width="10" bestFit="1" customWidth="1"/>
    <col min="654" max="654" width="6.5546875" bestFit="1" customWidth="1"/>
    <col min="655" max="655" width="10" bestFit="1" customWidth="1"/>
    <col min="656" max="656" width="6.5546875" bestFit="1" customWidth="1"/>
    <col min="657" max="657" width="10" bestFit="1" customWidth="1"/>
    <col min="658" max="658" width="7.5546875" bestFit="1" customWidth="1"/>
    <col min="659" max="659" width="6.5546875" bestFit="1" customWidth="1"/>
    <col min="660" max="660" width="10" bestFit="1" customWidth="1"/>
    <col min="661" max="661" width="6.5546875" bestFit="1" customWidth="1"/>
    <col min="662" max="662" width="10" bestFit="1" customWidth="1"/>
    <col min="663" max="663" width="7.5546875" bestFit="1" customWidth="1"/>
    <col min="664" max="664" width="6.5546875" bestFit="1" customWidth="1"/>
    <col min="665" max="665" width="10" bestFit="1" customWidth="1"/>
    <col min="666" max="666" width="6.5546875" bestFit="1" customWidth="1"/>
    <col min="667" max="667" width="10" bestFit="1" customWidth="1"/>
    <col min="668" max="668" width="7.5546875" bestFit="1" customWidth="1"/>
    <col min="669" max="669" width="10" bestFit="1" customWidth="1"/>
    <col min="670" max="670" width="7.5546875" bestFit="1" customWidth="1"/>
    <col min="671" max="671" width="10" bestFit="1" customWidth="1"/>
    <col min="672" max="672" width="7.5546875" bestFit="1" customWidth="1"/>
    <col min="673" max="673" width="6.5546875" bestFit="1" customWidth="1"/>
    <col min="674" max="674" width="10" bestFit="1" customWidth="1"/>
    <col min="675" max="675" width="7.5546875" bestFit="1" customWidth="1"/>
    <col min="676" max="676" width="10" bestFit="1" customWidth="1"/>
    <col min="677" max="677" width="7.5546875" bestFit="1" customWidth="1"/>
    <col min="678" max="678" width="10" bestFit="1" customWidth="1"/>
    <col min="679" max="679" width="7.5546875" bestFit="1" customWidth="1"/>
    <col min="680" max="680" width="6.5546875" bestFit="1" customWidth="1"/>
    <col min="681" max="681" width="10" bestFit="1" customWidth="1"/>
    <col min="682" max="682" width="7.5546875" bestFit="1" customWidth="1"/>
    <col min="683" max="683" width="10" bestFit="1" customWidth="1"/>
    <col min="684" max="684" width="7.5546875" bestFit="1" customWidth="1"/>
    <col min="685" max="685" width="10" bestFit="1" customWidth="1"/>
    <col min="686" max="686" width="7.5546875" bestFit="1" customWidth="1"/>
    <col min="687" max="687" width="10" bestFit="1" customWidth="1"/>
    <col min="688" max="688" width="7.5546875" bestFit="1" customWidth="1"/>
    <col min="689" max="689" width="12" bestFit="1" customWidth="1"/>
    <col min="690" max="690" width="14.5546875" bestFit="1" customWidth="1"/>
    <col min="691" max="691" width="7.5546875" bestFit="1" customWidth="1"/>
    <col min="692" max="692" width="10" bestFit="1" customWidth="1"/>
    <col min="693" max="693" width="7.5546875" bestFit="1" customWidth="1"/>
    <col min="694" max="694" width="10" bestFit="1" customWidth="1"/>
    <col min="695" max="695" width="7.5546875" bestFit="1" customWidth="1"/>
    <col min="696" max="696" width="12" bestFit="1" customWidth="1"/>
    <col min="697" max="697" width="14.5546875" bestFit="1" customWidth="1"/>
    <col min="698" max="698" width="7.5546875" bestFit="1" customWidth="1"/>
    <col min="699" max="699" width="10" bestFit="1" customWidth="1"/>
    <col min="700" max="700" width="6.5546875" bestFit="1" customWidth="1"/>
    <col min="701" max="701" width="10" bestFit="1" customWidth="1"/>
    <col min="702" max="702" width="7.5546875" bestFit="1" customWidth="1"/>
    <col min="703" max="703" width="10" bestFit="1" customWidth="1"/>
    <col min="704" max="704" width="7.5546875" bestFit="1" customWidth="1"/>
    <col min="705" max="705" width="12" bestFit="1" customWidth="1"/>
    <col min="706" max="706" width="14.5546875" bestFit="1" customWidth="1"/>
    <col min="707" max="707" width="7.5546875" bestFit="1" customWidth="1"/>
    <col min="708" max="708" width="10" bestFit="1" customWidth="1"/>
    <col min="709" max="709" width="7.5546875" bestFit="1" customWidth="1"/>
    <col min="710" max="710" width="10" bestFit="1" customWidth="1"/>
    <col min="711" max="711" width="7.5546875" bestFit="1" customWidth="1"/>
    <col min="712" max="712" width="12" bestFit="1" customWidth="1"/>
    <col min="713" max="713" width="14.5546875" bestFit="1" customWidth="1"/>
    <col min="714" max="714" width="7.5546875" bestFit="1" customWidth="1"/>
    <col min="715" max="715" width="12" bestFit="1" customWidth="1"/>
    <col min="716" max="716" width="14.5546875" bestFit="1" customWidth="1"/>
    <col min="717" max="717" width="7.5546875" bestFit="1" customWidth="1"/>
    <col min="718" max="718" width="10" bestFit="1" customWidth="1"/>
    <col min="719" max="719" width="6.5546875" bestFit="1" customWidth="1"/>
    <col min="720" max="720" width="12" bestFit="1" customWidth="1"/>
    <col min="721" max="721" width="14.5546875" bestFit="1" customWidth="1"/>
    <col min="722" max="722" width="7.5546875" bestFit="1" customWidth="1"/>
    <col min="723" max="723" width="10" bestFit="1" customWidth="1"/>
    <col min="724" max="724" width="6.5546875" bestFit="1" customWidth="1"/>
    <col min="725" max="725" width="10" bestFit="1" customWidth="1"/>
    <col min="726" max="726" width="7.5546875" bestFit="1" customWidth="1"/>
    <col min="727" max="727" width="12" bestFit="1" customWidth="1"/>
    <col min="728" max="728" width="14.5546875" bestFit="1" customWidth="1"/>
    <col min="729" max="729" width="7.5546875" bestFit="1" customWidth="1"/>
    <col min="730" max="731" width="34.5546875" bestFit="1" customWidth="1"/>
    <col min="732" max="736" width="18.5546875" bestFit="1" customWidth="1"/>
    <col min="737" max="737" width="7.5546875" bestFit="1" customWidth="1"/>
    <col min="738" max="738" width="12" bestFit="1" customWidth="1"/>
    <col min="739" max="739" width="14.5546875" bestFit="1" customWidth="1"/>
    <col min="740" max="740" width="7.5546875" bestFit="1" customWidth="1"/>
    <col min="741" max="741" width="10" bestFit="1" customWidth="1"/>
    <col min="742" max="742" width="6.5546875" bestFit="1" customWidth="1"/>
    <col min="743" max="743" width="10" bestFit="1" customWidth="1"/>
    <col min="744" max="744" width="7.5546875" bestFit="1" customWidth="1"/>
    <col min="745" max="745" width="10" bestFit="1" customWidth="1"/>
    <col min="746" max="746" width="7.5546875" bestFit="1" customWidth="1"/>
    <col min="747" max="747" width="12" bestFit="1" customWidth="1"/>
    <col min="748" max="748" width="14.5546875" bestFit="1" customWidth="1"/>
    <col min="749" max="749" width="7.5546875" bestFit="1" customWidth="1"/>
    <col min="750" max="750" width="10" bestFit="1" customWidth="1"/>
    <col min="751" max="751" width="7.5546875" bestFit="1" customWidth="1"/>
    <col min="752" max="752" width="10" bestFit="1" customWidth="1"/>
    <col min="753" max="753" width="7.5546875" bestFit="1" customWidth="1"/>
    <col min="754" max="754" width="12" bestFit="1" customWidth="1"/>
    <col min="755" max="755" width="14.5546875" bestFit="1" customWidth="1"/>
    <col min="756" max="756" width="7.5546875" bestFit="1" customWidth="1"/>
    <col min="757" max="757" width="12" bestFit="1" customWidth="1"/>
    <col min="758" max="758" width="14.5546875" bestFit="1" customWidth="1"/>
    <col min="759" max="759" width="7.5546875" bestFit="1" customWidth="1"/>
    <col min="760" max="760" width="10" bestFit="1" customWidth="1"/>
    <col min="761" max="761" width="6.5546875" bestFit="1" customWidth="1"/>
    <col min="762" max="762" width="12" bestFit="1" customWidth="1"/>
    <col min="763" max="763" width="14.5546875" bestFit="1" customWidth="1"/>
    <col min="764" max="764" width="7.5546875" bestFit="1" customWidth="1"/>
    <col min="765" max="765" width="10" bestFit="1" customWidth="1"/>
    <col min="766" max="766" width="6.5546875" bestFit="1" customWidth="1"/>
    <col min="767" max="767" width="10" bestFit="1" customWidth="1"/>
    <col min="768" max="768" width="7.5546875" bestFit="1" customWidth="1"/>
    <col min="769" max="769" width="12" bestFit="1" customWidth="1"/>
    <col min="770" max="770" width="14.5546875" bestFit="1" customWidth="1"/>
    <col min="771" max="771" width="7.5546875" bestFit="1" customWidth="1"/>
    <col min="772" max="773" width="34.5546875" bestFit="1" customWidth="1"/>
    <col min="774" max="778" width="18.5546875" bestFit="1" customWidth="1"/>
    <col min="779" max="779" width="6.5546875" bestFit="1" customWidth="1"/>
    <col min="780" max="780" width="12" bestFit="1" customWidth="1"/>
    <col min="781" max="781" width="14.5546875" bestFit="1" customWidth="1"/>
    <col min="782" max="782" width="7.5546875" bestFit="1" customWidth="1"/>
    <col min="783" max="783" width="10" bestFit="1" customWidth="1"/>
    <col min="784" max="784" width="6.5546875" bestFit="1" customWidth="1"/>
    <col min="785" max="785" width="10" bestFit="1" customWidth="1"/>
    <col min="786" max="786" width="7.5546875" bestFit="1" customWidth="1"/>
    <col min="787" max="787" width="12" bestFit="1" customWidth="1"/>
    <col min="788" max="788" width="14.5546875" bestFit="1" customWidth="1"/>
    <col min="789" max="789" width="7.5546875" bestFit="1" customWidth="1"/>
    <col min="790" max="790" width="12" bestFit="1" customWidth="1"/>
    <col min="791" max="791" width="6.5546875" bestFit="1" customWidth="1"/>
    <col min="792" max="792" width="14.5546875" bestFit="1" customWidth="1"/>
    <col min="793" max="794" width="34.5546875" bestFit="1" customWidth="1"/>
    <col min="795" max="799" width="18.5546875" bestFit="1" customWidth="1"/>
  </cols>
  <sheetData>
    <row r="3" spans="1:8" x14ac:dyDescent="0.3">
      <c r="A3" s="432" t="s">
        <v>115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</row>
    <row r="4" spans="1:8" x14ac:dyDescent="0.3">
      <c r="A4" s="433" t="s">
        <v>49</v>
      </c>
      <c r="B4" s="53">
        <v>395146.07999999996</v>
      </c>
      <c r="C4" s="53">
        <v>6272.16</v>
      </c>
      <c r="D4" s="53">
        <v>197573.03999999998</v>
      </c>
      <c r="E4" s="53">
        <v>197573.03999999998</v>
      </c>
      <c r="F4" s="53">
        <v>0</v>
      </c>
      <c r="G4" s="53">
        <v>0</v>
      </c>
      <c r="H4" s="53">
        <v>0</v>
      </c>
    </row>
    <row r="5" spans="1:8" x14ac:dyDescent="0.3">
      <c r="A5" s="434" t="s">
        <v>123</v>
      </c>
      <c r="B5" s="53">
        <v>56758.967999999993</v>
      </c>
      <c r="C5" s="53">
        <v>900.93599999999992</v>
      </c>
      <c r="D5" s="53">
        <v>28379.483999999997</v>
      </c>
      <c r="E5" s="53">
        <v>28379.483999999997</v>
      </c>
      <c r="F5" s="53">
        <v>0</v>
      </c>
      <c r="G5" s="53">
        <v>0</v>
      </c>
      <c r="H5" s="53">
        <v>0</v>
      </c>
    </row>
    <row r="6" spans="1:8" x14ac:dyDescent="0.3">
      <c r="A6" s="434" t="s">
        <v>124</v>
      </c>
      <c r="B6" s="53">
        <v>281195.712</v>
      </c>
      <c r="C6" s="53">
        <v>4463.424</v>
      </c>
      <c r="D6" s="53">
        <v>140597.856</v>
      </c>
      <c r="E6" s="53">
        <v>140597.856</v>
      </c>
      <c r="F6" s="53">
        <v>0</v>
      </c>
      <c r="G6" s="53">
        <v>0</v>
      </c>
      <c r="H6" s="53">
        <v>0</v>
      </c>
    </row>
    <row r="7" spans="1:8" x14ac:dyDescent="0.3">
      <c r="A7" s="434" t="s">
        <v>125</v>
      </c>
      <c r="B7" s="53">
        <v>57191.399999999994</v>
      </c>
      <c r="C7" s="53">
        <v>907.8</v>
      </c>
      <c r="D7" s="53">
        <v>28595.699999999997</v>
      </c>
      <c r="E7" s="53">
        <v>28595.699999999997</v>
      </c>
      <c r="F7" s="53">
        <v>0</v>
      </c>
      <c r="G7" s="53">
        <v>0</v>
      </c>
      <c r="H7" s="53">
        <v>0</v>
      </c>
    </row>
    <row r="8" spans="1:8" x14ac:dyDescent="0.3">
      <c r="A8" s="433" t="s">
        <v>53</v>
      </c>
      <c r="B8" s="53">
        <v>1071000</v>
      </c>
      <c r="C8" s="53">
        <v>17000</v>
      </c>
      <c r="D8" s="53">
        <v>535500</v>
      </c>
      <c r="E8" s="53">
        <v>535500</v>
      </c>
      <c r="F8" s="53">
        <v>0</v>
      </c>
      <c r="G8" s="53">
        <v>0</v>
      </c>
      <c r="H8" s="53">
        <v>0</v>
      </c>
    </row>
    <row r="9" spans="1:8" x14ac:dyDescent="0.3">
      <c r="A9" s="434" t="s">
        <v>126</v>
      </c>
      <c r="B9" s="53">
        <v>1071000</v>
      </c>
      <c r="C9" s="53">
        <v>17000</v>
      </c>
      <c r="D9" s="53">
        <v>535500</v>
      </c>
      <c r="E9" s="53">
        <v>535500</v>
      </c>
      <c r="F9" s="53">
        <v>0</v>
      </c>
      <c r="G9" s="53">
        <v>0</v>
      </c>
      <c r="H9" s="53">
        <v>0</v>
      </c>
    </row>
    <row r="10" spans="1:8" x14ac:dyDescent="0.3">
      <c r="A10" s="433" t="s">
        <v>54</v>
      </c>
      <c r="B10" s="53">
        <v>363276.79999999999</v>
      </c>
      <c r="C10" s="53">
        <v>5766.2984126984129</v>
      </c>
      <c r="D10" s="53">
        <v>181638.39999999999</v>
      </c>
      <c r="E10" s="53">
        <v>181638.39999999999</v>
      </c>
      <c r="F10" s="53">
        <v>0</v>
      </c>
      <c r="G10" s="53">
        <v>0</v>
      </c>
      <c r="H10" s="53">
        <v>0</v>
      </c>
    </row>
    <row r="11" spans="1:8" x14ac:dyDescent="0.3">
      <c r="A11" s="434" t="s">
        <v>127</v>
      </c>
      <c r="B11" s="53">
        <v>363276.79999999999</v>
      </c>
      <c r="C11" s="53">
        <v>5766.2984126984129</v>
      </c>
      <c r="D11" s="53">
        <v>181638.39999999999</v>
      </c>
      <c r="E11" s="53">
        <v>181638.39999999999</v>
      </c>
      <c r="F11" s="53">
        <v>0</v>
      </c>
      <c r="G11" s="53">
        <v>0</v>
      </c>
      <c r="H11" s="53">
        <v>0</v>
      </c>
    </row>
    <row r="12" spans="1:8" x14ac:dyDescent="0.3">
      <c r="A12" s="433" t="s">
        <v>55</v>
      </c>
      <c r="B12" s="53">
        <v>6895286.1179999998</v>
      </c>
      <c r="C12" s="53">
        <v>109448.98599999999</v>
      </c>
      <c r="D12" s="53">
        <v>4089545.3340000003</v>
      </c>
      <c r="E12" s="53">
        <v>2805740.784</v>
      </c>
      <c r="F12" s="53">
        <v>0</v>
      </c>
      <c r="G12" s="53">
        <v>0</v>
      </c>
      <c r="H12" s="53">
        <v>0</v>
      </c>
    </row>
    <row r="13" spans="1:8" x14ac:dyDescent="0.3">
      <c r="A13" s="434" t="s">
        <v>128</v>
      </c>
      <c r="B13" s="53">
        <v>5611481.568</v>
      </c>
      <c r="C13" s="53">
        <v>89071.135999999999</v>
      </c>
      <c r="D13" s="53">
        <v>2805740.784</v>
      </c>
      <c r="E13" s="53">
        <v>2805740.784</v>
      </c>
      <c r="F13" s="53">
        <v>0</v>
      </c>
      <c r="G13" s="53">
        <v>0</v>
      </c>
      <c r="H13" s="53">
        <v>0</v>
      </c>
    </row>
    <row r="14" spans="1:8" x14ac:dyDescent="0.3">
      <c r="A14" s="434" t="s">
        <v>129</v>
      </c>
      <c r="B14" s="53">
        <v>7635.6</v>
      </c>
      <c r="C14" s="53">
        <v>121.2</v>
      </c>
      <c r="D14" s="53">
        <v>7635.6</v>
      </c>
      <c r="E14" s="53">
        <v>0</v>
      </c>
      <c r="F14" s="53">
        <v>0</v>
      </c>
      <c r="G14" s="53">
        <v>0</v>
      </c>
      <c r="H14" s="53">
        <v>0</v>
      </c>
    </row>
    <row r="15" spans="1:8" x14ac:dyDescent="0.3">
      <c r="A15" s="434" t="s">
        <v>130</v>
      </c>
      <c r="B15" s="53">
        <v>211506.12</v>
      </c>
      <c r="C15" s="53">
        <v>3357.24</v>
      </c>
      <c r="D15" s="53">
        <v>211506.12</v>
      </c>
      <c r="E15" s="53">
        <v>0</v>
      </c>
      <c r="F15" s="53">
        <v>0</v>
      </c>
      <c r="G15" s="53">
        <v>0</v>
      </c>
      <c r="H15" s="53">
        <v>0</v>
      </c>
    </row>
    <row r="16" spans="1:8" x14ac:dyDescent="0.3">
      <c r="A16" s="434" t="s">
        <v>131</v>
      </c>
      <c r="B16" s="53">
        <v>113579.55</v>
      </c>
      <c r="C16" s="53">
        <v>1802.8500000000001</v>
      </c>
      <c r="D16" s="53">
        <v>113579.55</v>
      </c>
      <c r="E16" s="53">
        <v>0</v>
      </c>
      <c r="F16" s="53">
        <v>0</v>
      </c>
      <c r="G16" s="53">
        <v>0</v>
      </c>
      <c r="H16" s="53">
        <v>0</v>
      </c>
    </row>
    <row r="17" spans="1:8" x14ac:dyDescent="0.3">
      <c r="A17" s="434" t="s">
        <v>132</v>
      </c>
      <c r="B17" s="53">
        <v>82400.850000000006</v>
      </c>
      <c r="C17" s="53">
        <v>1307.95</v>
      </c>
      <c r="D17" s="53">
        <v>82400.850000000006</v>
      </c>
      <c r="E17" s="53">
        <v>0</v>
      </c>
      <c r="F17" s="53">
        <v>0</v>
      </c>
      <c r="G17" s="53">
        <v>0</v>
      </c>
      <c r="H17" s="53">
        <v>0</v>
      </c>
    </row>
    <row r="18" spans="1:8" x14ac:dyDescent="0.3">
      <c r="A18" s="434" t="s">
        <v>133</v>
      </c>
      <c r="B18" s="53">
        <v>34869.24</v>
      </c>
      <c r="C18" s="53">
        <v>553.48</v>
      </c>
      <c r="D18" s="53">
        <v>34869.24</v>
      </c>
      <c r="E18" s="53">
        <v>0</v>
      </c>
      <c r="F18" s="53">
        <v>0</v>
      </c>
      <c r="G18" s="53">
        <v>0</v>
      </c>
      <c r="H18" s="53">
        <v>0</v>
      </c>
    </row>
    <row r="19" spans="1:8" x14ac:dyDescent="0.3">
      <c r="A19" s="434" t="s">
        <v>134</v>
      </c>
      <c r="B19" s="53">
        <v>120260.7</v>
      </c>
      <c r="C19" s="53">
        <v>1908.8999999999999</v>
      </c>
      <c r="D19" s="53">
        <v>120260.7</v>
      </c>
      <c r="E19" s="53">
        <v>0</v>
      </c>
      <c r="F19" s="53">
        <v>0</v>
      </c>
      <c r="G19" s="53">
        <v>0</v>
      </c>
      <c r="H19" s="53">
        <v>0</v>
      </c>
    </row>
    <row r="20" spans="1:8" x14ac:dyDescent="0.3">
      <c r="A20" s="434" t="s">
        <v>135</v>
      </c>
      <c r="B20" s="53">
        <v>12216.96</v>
      </c>
      <c r="C20" s="53">
        <v>193.92</v>
      </c>
      <c r="D20" s="53">
        <v>12216.96</v>
      </c>
      <c r="E20" s="53">
        <v>0</v>
      </c>
      <c r="F20" s="53">
        <v>0</v>
      </c>
      <c r="G20" s="53">
        <v>0</v>
      </c>
      <c r="H20" s="53">
        <v>0</v>
      </c>
    </row>
    <row r="21" spans="1:8" x14ac:dyDescent="0.3">
      <c r="A21" s="434" t="s">
        <v>136</v>
      </c>
      <c r="B21" s="53">
        <v>8335.5300000000007</v>
      </c>
      <c r="C21" s="53">
        <v>132.31</v>
      </c>
      <c r="D21" s="53">
        <v>8335.5300000000007</v>
      </c>
      <c r="E21" s="53">
        <v>0</v>
      </c>
      <c r="F21" s="53">
        <v>0</v>
      </c>
      <c r="G21" s="53">
        <v>0</v>
      </c>
      <c r="H21" s="53">
        <v>0</v>
      </c>
    </row>
    <row r="22" spans="1:8" x14ac:dyDescent="0.3">
      <c r="A22" s="434" t="s">
        <v>137</v>
      </c>
      <c r="B22" s="53">
        <v>693000</v>
      </c>
      <c r="C22" s="53">
        <v>11000</v>
      </c>
      <c r="D22" s="53">
        <v>693000</v>
      </c>
      <c r="E22" s="53">
        <v>0</v>
      </c>
      <c r="F22" s="53">
        <v>0</v>
      </c>
      <c r="G22" s="53">
        <v>0</v>
      </c>
      <c r="H22" s="53">
        <v>0</v>
      </c>
    </row>
    <row r="23" spans="1:8" x14ac:dyDescent="0.3">
      <c r="A23" s="433" t="s">
        <v>56</v>
      </c>
      <c r="B23" s="53">
        <v>2545748.3204999999</v>
      </c>
      <c r="C23" s="53">
        <v>40408.703500000003</v>
      </c>
      <c r="D23" s="53">
        <v>2413448.3204999999</v>
      </c>
      <c r="E23" s="53">
        <v>132300</v>
      </c>
      <c r="F23" s="53">
        <v>0</v>
      </c>
      <c r="G23" s="53">
        <v>0</v>
      </c>
      <c r="H23" s="53">
        <v>0</v>
      </c>
    </row>
    <row r="24" spans="1:8" x14ac:dyDescent="0.3">
      <c r="A24" s="434" t="s">
        <v>138</v>
      </c>
      <c r="B24" s="53">
        <v>643652.32050000003</v>
      </c>
      <c r="C24" s="53">
        <v>10216.7035</v>
      </c>
      <c r="D24" s="53">
        <v>643652.32050000003</v>
      </c>
      <c r="E24" s="53">
        <v>0</v>
      </c>
      <c r="F24" s="53">
        <v>0</v>
      </c>
      <c r="G24" s="53">
        <v>0</v>
      </c>
      <c r="H24" s="53">
        <v>0</v>
      </c>
    </row>
    <row r="25" spans="1:8" x14ac:dyDescent="0.3">
      <c r="A25" s="434" t="s">
        <v>139</v>
      </c>
      <c r="B25" s="53">
        <v>1637496</v>
      </c>
      <c r="C25" s="53">
        <v>25992</v>
      </c>
      <c r="D25" s="53">
        <v>1637496</v>
      </c>
      <c r="E25" s="53">
        <v>0</v>
      </c>
      <c r="F25" s="53">
        <v>0</v>
      </c>
      <c r="G25" s="53">
        <v>0</v>
      </c>
      <c r="H25" s="53">
        <v>0</v>
      </c>
    </row>
    <row r="26" spans="1:8" x14ac:dyDescent="0.3">
      <c r="A26" s="434" t="s">
        <v>140</v>
      </c>
      <c r="B26" s="53">
        <v>264600</v>
      </c>
      <c r="C26" s="53">
        <v>4200</v>
      </c>
      <c r="D26" s="53">
        <v>132300</v>
      </c>
      <c r="E26" s="53">
        <v>132300</v>
      </c>
      <c r="F26" s="53">
        <v>0</v>
      </c>
      <c r="G26" s="53">
        <v>0</v>
      </c>
      <c r="H26" s="53">
        <v>0</v>
      </c>
    </row>
    <row r="27" spans="1:8" x14ac:dyDescent="0.3">
      <c r="A27" s="433" t="s">
        <v>57</v>
      </c>
      <c r="B27" s="53">
        <v>735421.05</v>
      </c>
      <c r="C27" s="53">
        <v>11673.35</v>
      </c>
      <c r="D27" s="53">
        <v>294168.42000000004</v>
      </c>
      <c r="E27" s="53">
        <v>441252.63</v>
      </c>
      <c r="F27" s="53">
        <v>0</v>
      </c>
      <c r="G27" s="53">
        <v>0</v>
      </c>
      <c r="H27" s="53">
        <v>0</v>
      </c>
    </row>
    <row r="28" spans="1:8" x14ac:dyDescent="0.3">
      <c r="A28" s="434" t="s">
        <v>141</v>
      </c>
      <c r="B28" s="53">
        <v>81131.399999999994</v>
      </c>
      <c r="C28" s="53">
        <v>1287.8</v>
      </c>
      <c r="D28" s="53">
        <v>32452.559999999998</v>
      </c>
      <c r="E28" s="53">
        <v>48678.84</v>
      </c>
      <c r="F28" s="53">
        <v>0</v>
      </c>
      <c r="G28" s="53">
        <v>0</v>
      </c>
      <c r="H28" s="53">
        <v>0</v>
      </c>
    </row>
    <row r="29" spans="1:8" x14ac:dyDescent="0.3">
      <c r="A29" s="434" t="s">
        <v>142</v>
      </c>
      <c r="B29" s="53">
        <v>342723.15</v>
      </c>
      <c r="C29" s="53">
        <v>5440.05</v>
      </c>
      <c r="D29" s="53">
        <v>137089.26</v>
      </c>
      <c r="E29" s="53">
        <v>205633.89</v>
      </c>
      <c r="F29" s="53">
        <v>0</v>
      </c>
      <c r="G29" s="53">
        <v>0</v>
      </c>
      <c r="H29" s="53">
        <v>0</v>
      </c>
    </row>
    <row r="30" spans="1:8" x14ac:dyDescent="0.3">
      <c r="A30" s="434" t="s">
        <v>143</v>
      </c>
      <c r="B30" s="53">
        <v>311566.5</v>
      </c>
      <c r="C30" s="53">
        <v>4945.5</v>
      </c>
      <c r="D30" s="53">
        <v>124626.6</v>
      </c>
      <c r="E30" s="53">
        <v>186939.9</v>
      </c>
      <c r="F30" s="53">
        <v>0</v>
      </c>
      <c r="G30" s="53">
        <v>0</v>
      </c>
      <c r="H30" s="53">
        <v>0</v>
      </c>
    </row>
    <row r="31" spans="1:8" x14ac:dyDescent="0.3">
      <c r="A31" s="433" t="s">
        <v>68</v>
      </c>
      <c r="B31" s="53">
        <v>15885885.75</v>
      </c>
      <c r="C31" s="53">
        <v>252156.91666666666</v>
      </c>
      <c r="D31" s="53">
        <v>7942942.875</v>
      </c>
      <c r="E31" s="53">
        <v>7942942.875</v>
      </c>
      <c r="F31" s="53">
        <v>0</v>
      </c>
      <c r="G31" s="53">
        <v>0</v>
      </c>
      <c r="H31" s="53">
        <v>0</v>
      </c>
    </row>
    <row r="32" spans="1:8" x14ac:dyDescent="0.3">
      <c r="A32" s="434" t="s">
        <v>144</v>
      </c>
      <c r="B32" s="53">
        <v>15885885.75</v>
      </c>
      <c r="C32" s="53">
        <v>252156.91666666666</v>
      </c>
      <c r="D32" s="53">
        <v>7942942.875</v>
      </c>
      <c r="E32" s="53">
        <v>7942942.875</v>
      </c>
      <c r="F32" s="53">
        <v>0</v>
      </c>
      <c r="G32" s="53">
        <v>0</v>
      </c>
      <c r="H32" s="53">
        <v>0</v>
      </c>
    </row>
    <row r="33" spans="1:8" x14ac:dyDescent="0.3">
      <c r="A33" s="433" t="s">
        <v>71</v>
      </c>
      <c r="B33" s="53">
        <v>678717</v>
      </c>
      <c r="C33" s="53">
        <v>10773.285714285714</v>
      </c>
      <c r="D33" s="53">
        <v>407230.19999999995</v>
      </c>
      <c r="E33" s="53">
        <v>271486.80000000005</v>
      </c>
      <c r="F33" s="53">
        <v>0</v>
      </c>
      <c r="G33" s="53">
        <v>0</v>
      </c>
      <c r="H33" s="53">
        <v>0</v>
      </c>
    </row>
    <row r="34" spans="1:8" x14ac:dyDescent="0.3">
      <c r="A34" s="434" t="s">
        <v>145</v>
      </c>
      <c r="B34" s="53">
        <v>85300</v>
      </c>
      <c r="C34" s="53">
        <v>1353.968253968254</v>
      </c>
      <c r="D34" s="53">
        <v>51180</v>
      </c>
      <c r="E34" s="53">
        <v>34120</v>
      </c>
      <c r="F34" s="53">
        <v>0</v>
      </c>
      <c r="G34" s="53">
        <v>0</v>
      </c>
      <c r="H34" s="53">
        <v>0</v>
      </c>
    </row>
    <row r="35" spans="1:8" x14ac:dyDescent="0.3">
      <c r="A35" s="434" t="s">
        <v>146</v>
      </c>
      <c r="B35" s="53">
        <v>37300</v>
      </c>
      <c r="C35" s="53">
        <v>592.06349206349205</v>
      </c>
      <c r="D35" s="53">
        <v>22380</v>
      </c>
      <c r="E35" s="53">
        <v>14920</v>
      </c>
      <c r="F35" s="53">
        <v>0</v>
      </c>
      <c r="G35" s="53">
        <v>0</v>
      </c>
      <c r="H35" s="53">
        <v>0</v>
      </c>
    </row>
    <row r="36" spans="1:8" x14ac:dyDescent="0.3">
      <c r="A36" s="434" t="s">
        <v>147</v>
      </c>
      <c r="B36" s="53">
        <v>52083</v>
      </c>
      <c r="C36" s="53">
        <v>826.71428571428567</v>
      </c>
      <c r="D36" s="53">
        <v>31249.8</v>
      </c>
      <c r="E36" s="53">
        <v>20833.2</v>
      </c>
      <c r="F36" s="53">
        <v>0</v>
      </c>
      <c r="G36" s="53">
        <v>0</v>
      </c>
      <c r="H36" s="53">
        <v>0</v>
      </c>
    </row>
    <row r="37" spans="1:8" x14ac:dyDescent="0.3">
      <c r="A37" s="434" t="s">
        <v>148</v>
      </c>
      <c r="B37" s="53">
        <v>192146</v>
      </c>
      <c r="C37" s="53">
        <v>3049.936507936508</v>
      </c>
      <c r="D37" s="53">
        <v>115287.59999999999</v>
      </c>
      <c r="E37" s="53">
        <v>76858.400000000009</v>
      </c>
      <c r="F37" s="53">
        <v>0</v>
      </c>
      <c r="G37" s="53">
        <v>0</v>
      </c>
      <c r="H37" s="53">
        <v>0</v>
      </c>
    </row>
    <row r="38" spans="1:8" x14ac:dyDescent="0.3">
      <c r="A38" s="434" t="s">
        <v>149</v>
      </c>
      <c r="B38" s="53">
        <v>16000</v>
      </c>
      <c r="C38" s="53">
        <v>253.96825396825398</v>
      </c>
      <c r="D38" s="53">
        <v>9600</v>
      </c>
      <c r="E38" s="53">
        <v>6400</v>
      </c>
      <c r="F38" s="53">
        <v>0</v>
      </c>
      <c r="G38" s="53">
        <v>0</v>
      </c>
      <c r="H38" s="53">
        <v>0</v>
      </c>
    </row>
    <row r="39" spans="1:8" x14ac:dyDescent="0.3">
      <c r="A39" s="434" t="s">
        <v>150</v>
      </c>
      <c r="B39" s="53">
        <v>30000</v>
      </c>
      <c r="C39" s="53">
        <v>476.1904761904762</v>
      </c>
      <c r="D39" s="53">
        <v>18000</v>
      </c>
      <c r="E39" s="53">
        <v>12000</v>
      </c>
      <c r="F39" s="53">
        <v>0</v>
      </c>
      <c r="G39" s="53">
        <v>0</v>
      </c>
      <c r="H39" s="53">
        <v>0</v>
      </c>
    </row>
    <row r="40" spans="1:8" x14ac:dyDescent="0.3">
      <c r="A40" s="434" t="s">
        <v>151</v>
      </c>
      <c r="B40" s="53">
        <v>220888</v>
      </c>
      <c r="C40" s="53">
        <v>3506.1587301587301</v>
      </c>
      <c r="D40" s="53">
        <v>132532.79999999999</v>
      </c>
      <c r="E40" s="53">
        <v>88355.200000000012</v>
      </c>
      <c r="F40" s="53">
        <v>0</v>
      </c>
      <c r="G40" s="53">
        <v>0</v>
      </c>
      <c r="H40" s="53">
        <v>0</v>
      </c>
    </row>
    <row r="41" spans="1:8" x14ac:dyDescent="0.3">
      <c r="A41" s="434" t="s">
        <v>152</v>
      </c>
      <c r="B41" s="53">
        <v>45000</v>
      </c>
      <c r="C41" s="53">
        <v>714.28571428571433</v>
      </c>
      <c r="D41" s="53">
        <v>27000</v>
      </c>
      <c r="E41" s="53">
        <v>18000</v>
      </c>
      <c r="F41" s="53">
        <v>0</v>
      </c>
      <c r="G41" s="53">
        <v>0</v>
      </c>
      <c r="H41" s="53">
        <v>0</v>
      </c>
    </row>
    <row r="42" spans="1:8" x14ac:dyDescent="0.3">
      <c r="A42" s="433" t="s">
        <v>73</v>
      </c>
      <c r="B42" s="53">
        <v>8169317.9504999993</v>
      </c>
      <c r="C42" s="53">
        <v>129671.7135</v>
      </c>
      <c r="D42" s="53">
        <v>4084658.9752499997</v>
      </c>
      <c r="E42" s="53">
        <v>4084658.9752499997</v>
      </c>
      <c r="F42" s="53">
        <v>0</v>
      </c>
      <c r="G42" s="53">
        <v>0</v>
      </c>
      <c r="H42" s="53">
        <v>0</v>
      </c>
    </row>
    <row r="43" spans="1:8" x14ac:dyDescent="0.3">
      <c r="A43" s="434" t="s">
        <v>153</v>
      </c>
      <c r="B43" s="53">
        <v>6826166.0144999996</v>
      </c>
      <c r="C43" s="53">
        <v>108351.84149999999</v>
      </c>
      <c r="D43" s="53">
        <v>3413083.0072499998</v>
      </c>
      <c r="E43" s="53">
        <v>3413083.0072499998</v>
      </c>
      <c r="F43" s="53">
        <v>0</v>
      </c>
      <c r="G43" s="53">
        <v>0</v>
      </c>
      <c r="H43" s="53">
        <v>0</v>
      </c>
    </row>
    <row r="44" spans="1:8" x14ac:dyDescent="0.3">
      <c r="A44" s="434" t="s">
        <v>154</v>
      </c>
      <c r="B44" s="53">
        <v>1343151.936</v>
      </c>
      <c r="C44" s="53">
        <v>21319.871999999999</v>
      </c>
      <c r="D44" s="53">
        <v>671575.96799999999</v>
      </c>
      <c r="E44" s="53">
        <v>671575.96799999999</v>
      </c>
      <c r="F44" s="53">
        <v>0</v>
      </c>
      <c r="G44" s="53">
        <v>0</v>
      </c>
      <c r="H44" s="53">
        <v>0</v>
      </c>
    </row>
    <row r="45" spans="1:8" x14ac:dyDescent="0.3">
      <c r="A45" s="433" t="s">
        <v>74</v>
      </c>
      <c r="B45" s="53">
        <v>3115312.2</v>
      </c>
      <c r="C45" s="53">
        <v>49449.4</v>
      </c>
      <c r="D45" s="53">
        <v>1557656.1</v>
      </c>
      <c r="E45" s="53">
        <v>1557656.1</v>
      </c>
      <c r="F45" s="53">
        <v>0</v>
      </c>
      <c r="G45" s="53">
        <v>0</v>
      </c>
      <c r="H45" s="53">
        <v>0</v>
      </c>
    </row>
    <row r="46" spans="1:8" x14ac:dyDescent="0.3">
      <c r="A46" s="434" t="s">
        <v>155</v>
      </c>
      <c r="B46" s="53">
        <v>3115312.2</v>
      </c>
      <c r="C46" s="53">
        <v>49449.4</v>
      </c>
      <c r="D46" s="53">
        <v>1557656.1</v>
      </c>
      <c r="E46" s="53">
        <v>1557656.1</v>
      </c>
      <c r="F46" s="53">
        <v>0</v>
      </c>
      <c r="G46" s="53">
        <v>0</v>
      </c>
      <c r="H46" s="53">
        <v>0</v>
      </c>
    </row>
    <row r="47" spans="1:8" x14ac:dyDescent="0.3">
      <c r="A47" s="433" t="s">
        <v>75</v>
      </c>
      <c r="B47" s="53">
        <v>33883398.357999995</v>
      </c>
      <c r="C47" s="53">
        <v>537831.71996825398</v>
      </c>
      <c r="D47" s="53">
        <v>17461976.803999998</v>
      </c>
      <c r="E47" s="53">
        <v>16421421.554</v>
      </c>
      <c r="F47" s="53">
        <v>0</v>
      </c>
      <c r="G47" s="53">
        <v>0</v>
      </c>
      <c r="H47" s="53">
        <v>0</v>
      </c>
    </row>
    <row r="48" spans="1:8" x14ac:dyDescent="0.3">
      <c r="A48" s="434" t="s">
        <v>156</v>
      </c>
      <c r="B48" s="53">
        <v>15307157.34</v>
      </c>
      <c r="C48" s="53">
        <v>242970.75142857141</v>
      </c>
      <c r="D48" s="53">
        <v>7653578.6699999999</v>
      </c>
      <c r="E48" s="53">
        <v>7653578.6699999999</v>
      </c>
      <c r="F48" s="53">
        <v>0</v>
      </c>
      <c r="G48" s="53">
        <v>0</v>
      </c>
      <c r="H48" s="53">
        <v>0</v>
      </c>
    </row>
    <row r="49" spans="1:8" x14ac:dyDescent="0.3">
      <c r="A49" s="434" t="s">
        <v>157</v>
      </c>
      <c r="B49" s="53">
        <v>121196.25</v>
      </c>
      <c r="C49" s="53">
        <v>1923.75</v>
      </c>
      <c r="D49" s="53">
        <v>121196.25</v>
      </c>
      <c r="E49" s="53">
        <v>0</v>
      </c>
      <c r="F49" s="53">
        <v>0</v>
      </c>
      <c r="G49" s="53">
        <v>0</v>
      </c>
      <c r="H49" s="53">
        <v>0</v>
      </c>
    </row>
    <row r="50" spans="1:8" x14ac:dyDescent="0.3">
      <c r="A50" s="434" t="s">
        <v>158</v>
      </c>
      <c r="B50" s="53">
        <v>787500</v>
      </c>
      <c r="C50" s="53">
        <v>12500</v>
      </c>
      <c r="D50" s="53">
        <v>787500</v>
      </c>
      <c r="E50" s="53">
        <v>0</v>
      </c>
      <c r="F50" s="53">
        <v>0</v>
      </c>
      <c r="G50" s="53">
        <v>0</v>
      </c>
      <c r="H50" s="53">
        <v>0</v>
      </c>
    </row>
    <row r="51" spans="1:8" x14ac:dyDescent="0.3">
      <c r="A51" s="434" t="s">
        <v>159</v>
      </c>
      <c r="B51" s="53">
        <v>131859</v>
      </c>
      <c r="C51" s="53">
        <v>2093</v>
      </c>
      <c r="D51" s="53">
        <v>131859</v>
      </c>
      <c r="E51" s="53">
        <v>0</v>
      </c>
      <c r="F51" s="53">
        <v>0</v>
      </c>
      <c r="G51" s="53">
        <v>0</v>
      </c>
      <c r="H51" s="53">
        <v>0</v>
      </c>
    </row>
    <row r="52" spans="1:8" x14ac:dyDescent="0.3">
      <c r="A52" s="434" t="s">
        <v>160</v>
      </c>
      <c r="B52" s="53">
        <v>49968.45</v>
      </c>
      <c r="C52" s="53">
        <v>793.15</v>
      </c>
      <c r="D52" s="53">
        <v>24984.224999999999</v>
      </c>
      <c r="E52" s="53">
        <v>24984.224999999999</v>
      </c>
      <c r="F52" s="53">
        <v>0</v>
      </c>
      <c r="G52" s="53">
        <v>0</v>
      </c>
      <c r="H52" s="53">
        <v>0</v>
      </c>
    </row>
    <row r="53" spans="1:8" x14ac:dyDescent="0.3">
      <c r="A53" s="434" t="s">
        <v>161</v>
      </c>
      <c r="B53" s="53">
        <v>824890.5</v>
      </c>
      <c r="C53" s="53">
        <v>13093.5</v>
      </c>
      <c r="D53" s="53">
        <v>412445.25</v>
      </c>
      <c r="E53" s="53">
        <v>412445.25</v>
      </c>
      <c r="F53" s="53">
        <v>0</v>
      </c>
      <c r="G53" s="53">
        <v>0</v>
      </c>
      <c r="H53" s="53">
        <v>0</v>
      </c>
    </row>
    <row r="54" spans="1:8" x14ac:dyDescent="0.3">
      <c r="A54" s="434" t="s">
        <v>162</v>
      </c>
      <c r="B54" s="53">
        <v>642215.19999999995</v>
      </c>
      <c r="C54" s="53">
        <v>10193.892063492063</v>
      </c>
      <c r="D54" s="53">
        <v>321107.59999999998</v>
      </c>
      <c r="E54" s="53">
        <v>321107.59999999998</v>
      </c>
      <c r="F54" s="53">
        <v>0</v>
      </c>
      <c r="G54" s="53">
        <v>0</v>
      </c>
      <c r="H54" s="53">
        <v>0</v>
      </c>
    </row>
    <row r="55" spans="1:8" x14ac:dyDescent="0.3">
      <c r="A55" s="434" t="s">
        <v>163</v>
      </c>
      <c r="B55" s="53">
        <v>872402.32799999998</v>
      </c>
      <c r="C55" s="53">
        <v>13847.655999999999</v>
      </c>
      <c r="D55" s="53">
        <v>436201.16399999999</v>
      </c>
      <c r="E55" s="53">
        <v>436201.16399999999</v>
      </c>
      <c r="F55" s="53">
        <v>0</v>
      </c>
      <c r="G55" s="53">
        <v>0</v>
      </c>
      <c r="H55" s="53">
        <v>0</v>
      </c>
    </row>
    <row r="56" spans="1:8" x14ac:dyDescent="0.3">
      <c r="A56" s="434" t="s">
        <v>164</v>
      </c>
      <c r="B56" s="53">
        <v>1087081.2</v>
      </c>
      <c r="C56" s="53">
        <v>17255.257142857143</v>
      </c>
      <c r="D56" s="53">
        <v>543540.6</v>
      </c>
      <c r="E56" s="53">
        <v>543540.6</v>
      </c>
      <c r="F56" s="53">
        <v>0</v>
      </c>
      <c r="G56" s="53">
        <v>0</v>
      </c>
      <c r="H56" s="53">
        <v>0</v>
      </c>
    </row>
    <row r="57" spans="1:8" x14ac:dyDescent="0.3">
      <c r="A57" s="434" t="s">
        <v>165</v>
      </c>
      <c r="B57" s="53">
        <v>12964662.539999999</v>
      </c>
      <c r="C57" s="53">
        <v>205788.29428571428</v>
      </c>
      <c r="D57" s="53">
        <v>6482331.2699999996</v>
      </c>
      <c r="E57" s="53">
        <v>6482331.2699999996</v>
      </c>
      <c r="F57" s="53">
        <v>0</v>
      </c>
      <c r="G57" s="53">
        <v>0</v>
      </c>
      <c r="H57" s="53">
        <v>0</v>
      </c>
    </row>
    <row r="58" spans="1:8" x14ac:dyDescent="0.3">
      <c r="A58" s="434" t="s">
        <v>166</v>
      </c>
      <c r="B58" s="53">
        <v>1094465.55</v>
      </c>
      <c r="C58" s="53">
        <v>17372.469047619048</v>
      </c>
      <c r="D58" s="53">
        <v>547232.77500000002</v>
      </c>
      <c r="E58" s="53">
        <v>547232.77500000002</v>
      </c>
      <c r="F58" s="53">
        <v>0</v>
      </c>
      <c r="G58" s="53">
        <v>0</v>
      </c>
      <c r="H58" s="53">
        <v>0</v>
      </c>
    </row>
    <row r="59" spans="1:8" x14ac:dyDescent="0.3">
      <c r="A59" s="433" t="s">
        <v>77</v>
      </c>
      <c r="B59" s="53">
        <v>8603995.640625</v>
      </c>
      <c r="C59" s="53">
        <v>136571.359375</v>
      </c>
      <c r="D59" s="53">
        <v>4301997.8203125</v>
      </c>
      <c r="E59" s="53">
        <v>4301997.8203125</v>
      </c>
      <c r="F59" s="53">
        <v>0</v>
      </c>
      <c r="G59" s="53">
        <v>0</v>
      </c>
      <c r="H59" s="53">
        <v>0</v>
      </c>
    </row>
    <row r="60" spans="1:8" x14ac:dyDescent="0.3">
      <c r="A60" s="434" t="s">
        <v>167</v>
      </c>
      <c r="B60" s="53">
        <v>225410.85000000003</v>
      </c>
      <c r="C60" s="53">
        <v>3577.9500000000007</v>
      </c>
      <c r="D60" s="53">
        <v>112705.42500000002</v>
      </c>
      <c r="E60" s="53">
        <v>112705.42500000002</v>
      </c>
      <c r="F60" s="53">
        <v>0</v>
      </c>
      <c r="G60" s="53">
        <v>0</v>
      </c>
      <c r="H60" s="53">
        <v>0</v>
      </c>
    </row>
    <row r="61" spans="1:8" x14ac:dyDescent="0.3">
      <c r="A61" s="434" t="s">
        <v>168</v>
      </c>
      <c r="B61" s="53">
        <v>326224.23749999999</v>
      </c>
      <c r="C61" s="53">
        <v>5178.1624999999995</v>
      </c>
      <c r="D61" s="53">
        <v>163112.11874999999</v>
      </c>
      <c r="E61" s="53">
        <v>163112.11874999999</v>
      </c>
      <c r="F61" s="53">
        <v>0</v>
      </c>
      <c r="G61" s="53">
        <v>0</v>
      </c>
      <c r="H61" s="53">
        <v>0</v>
      </c>
    </row>
    <row r="62" spans="1:8" x14ac:dyDescent="0.3">
      <c r="A62" s="434" t="s">
        <v>169</v>
      </c>
      <c r="B62" s="53">
        <v>1573924.2749999999</v>
      </c>
      <c r="C62" s="53">
        <v>24982.925000000003</v>
      </c>
      <c r="D62" s="53">
        <v>786962.13749999995</v>
      </c>
      <c r="E62" s="53">
        <v>786962.13749999995</v>
      </c>
      <c r="F62" s="53">
        <v>0</v>
      </c>
      <c r="G62" s="53">
        <v>0</v>
      </c>
      <c r="H62" s="53">
        <v>0</v>
      </c>
    </row>
    <row r="63" spans="1:8" x14ac:dyDescent="0.3">
      <c r="A63" s="434" t="s">
        <v>170</v>
      </c>
      <c r="B63" s="53">
        <v>145408.72500000001</v>
      </c>
      <c r="C63" s="53">
        <v>2308.0750000000003</v>
      </c>
      <c r="D63" s="53">
        <v>72704.362500000003</v>
      </c>
      <c r="E63" s="53">
        <v>72704.362500000003</v>
      </c>
      <c r="F63" s="53">
        <v>0</v>
      </c>
      <c r="G63" s="53">
        <v>0</v>
      </c>
      <c r="H63" s="53">
        <v>0</v>
      </c>
    </row>
    <row r="64" spans="1:8" x14ac:dyDescent="0.3">
      <c r="A64" s="434" t="s">
        <v>171</v>
      </c>
      <c r="B64" s="53">
        <v>2278843.875</v>
      </c>
      <c r="C64" s="53">
        <v>36172.125</v>
      </c>
      <c r="D64" s="53">
        <v>1139421.9375</v>
      </c>
      <c r="E64" s="53">
        <v>1139421.9375</v>
      </c>
      <c r="F64" s="53">
        <v>0</v>
      </c>
      <c r="G64" s="53">
        <v>0</v>
      </c>
      <c r="H64" s="53">
        <v>0</v>
      </c>
    </row>
    <row r="65" spans="1:8" x14ac:dyDescent="0.3">
      <c r="A65" s="434" t="s">
        <v>172</v>
      </c>
      <c r="B65" s="53">
        <v>2400496.875</v>
      </c>
      <c r="C65" s="53">
        <v>38103.125</v>
      </c>
      <c r="D65" s="53">
        <v>1200248.4375</v>
      </c>
      <c r="E65" s="53">
        <v>1200248.4375</v>
      </c>
      <c r="F65" s="53">
        <v>0</v>
      </c>
      <c r="G65" s="53">
        <v>0</v>
      </c>
      <c r="H65" s="53">
        <v>0</v>
      </c>
    </row>
    <row r="66" spans="1:8" x14ac:dyDescent="0.3">
      <c r="A66" s="434" t="s">
        <v>173</v>
      </c>
      <c r="B66" s="53">
        <v>376476.1875</v>
      </c>
      <c r="C66" s="53">
        <v>5975.8125</v>
      </c>
      <c r="D66" s="53">
        <v>188238.09375</v>
      </c>
      <c r="E66" s="53">
        <v>188238.09375</v>
      </c>
      <c r="F66" s="53">
        <v>0</v>
      </c>
      <c r="G66" s="53">
        <v>0</v>
      </c>
      <c r="H66" s="53">
        <v>0</v>
      </c>
    </row>
    <row r="67" spans="1:8" x14ac:dyDescent="0.3">
      <c r="A67" s="434" t="s">
        <v>174</v>
      </c>
      <c r="B67" s="53">
        <v>1177363.6875</v>
      </c>
      <c r="C67" s="53">
        <v>18688.3125</v>
      </c>
      <c r="D67" s="53">
        <v>588681.84375</v>
      </c>
      <c r="E67" s="53">
        <v>588681.84375</v>
      </c>
      <c r="F67" s="53">
        <v>0</v>
      </c>
      <c r="G67" s="53">
        <v>0</v>
      </c>
      <c r="H67" s="53">
        <v>0</v>
      </c>
    </row>
    <row r="68" spans="1:8" x14ac:dyDescent="0.3">
      <c r="A68" s="434" t="s">
        <v>175</v>
      </c>
      <c r="B68" s="53">
        <v>98544.599999999991</v>
      </c>
      <c r="C68" s="53">
        <v>1564.1999999999998</v>
      </c>
      <c r="D68" s="53">
        <v>49272.299999999996</v>
      </c>
      <c r="E68" s="53">
        <v>49272.299999999996</v>
      </c>
      <c r="F68" s="53">
        <v>0</v>
      </c>
      <c r="G68" s="53">
        <v>0</v>
      </c>
      <c r="H68" s="53">
        <v>0</v>
      </c>
    </row>
    <row r="69" spans="1:8" x14ac:dyDescent="0.3">
      <c r="A69" s="434" t="s">
        <v>176</v>
      </c>
      <c r="B69" s="53">
        <v>1302.328125</v>
      </c>
      <c r="C69" s="53">
        <v>20.671875</v>
      </c>
      <c r="D69" s="53">
        <v>651.1640625</v>
      </c>
      <c r="E69" s="53">
        <v>651.1640625</v>
      </c>
      <c r="F69" s="53">
        <v>0</v>
      </c>
      <c r="G69" s="53">
        <v>0</v>
      </c>
      <c r="H69" s="53">
        <v>0</v>
      </c>
    </row>
    <row r="70" spans="1:8" x14ac:dyDescent="0.3">
      <c r="A70" s="433" t="s">
        <v>78</v>
      </c>
      <c r="B70" s="53">
        <v>1081643.8999999999</v>
      </c>
      <c r="C70" s="53">
        <v>17168.950793650794</v>
      </c>
      <c r="D70" s="53">
        <v>540821.94999999995</v>
      </c>
      <c r="E70" s="53">
        <v>540821.94999999995</v>
      </c>
      <c r="F70" s="53">
        <v>0</v>
      </c>
      <c r="G70" s="53">
        <v>0</v>
      </c>
      <c r="H70" s="53">
        <v>0</v>
      </c>
    </row>
    <row r="71" spans="1:8" x14ac:dyDescent="0.3">
      <c r="A71" s="434" t="s">
        <v>177</v>
      </c>
      <c r="B71" s="53">
        <v>48000</v>
      </c>
      <c r="C71" s="53">
        <v>761.90476190476193</v>
      </c>
      <c r="D71" s="53">
        <v>24000</v>
      </c>
      <c r="E71" s="53">
        <v>24000</v>
      </c>
      <c r="F71" s="53">
        <v>0</v>
      </c>
      <c r="G71" s="53">
        <v>0</v>
      </c>
      <c r="H71" s="53">
        <v>0</v>
      </c>
    </row>
    <row r="72" spans="1:8" x14ac:dyDescent="0.3">
      <c r="A72" s="434" t="s">
        <v>178</v>
      </c>
      <c r="B72" s="53">
        <v>704000</v>
      </c>
      <c r="C72" s="53">
        <v>11174.603174603175</v>
      </c>
      <c r="D72" s="53">
        <v>352000</v>
      </c>
      <c r="E72" s="53">
        <v>352000</v>
      </c>
      <c r="F72" s="53">
        <v>0</v>
      </c>
      <c r="G72" s="53">
        <v>0</v>
      </c>
      <c r="H72" s="53">
        <v>0</v>
      </c>
    </row>
    <row r="73" spans="1:8" x14ac:dyDescent="0.3">
      <c r="A73" s="434" t="s">
        <v>179</v>
      </c>
      <c r="B73" s="53">
        <v>329643.90000000002</v>
      </c>
      <c r="C73" s="53">
        <v>5232.4428571428571</v>
      </c>
      <c r="D73" s="53">
        <v>164821.95000000001</v>
      </c>
      <c r="E73" s="53">
        <v>164821.95000000001</v>
      </c>
      <c r="F73" s="53">
        <v>0</v>
      </c>
      <c r="G73" s="53">
        <v>0</v>
      </c>
      <c r="H73" s="53">
        <v>0</v>
      </c>
    </row>
    <row r="74" spans="1:8" x14ac:dyDescent="0.3">
      <c r="A74" s="433" t="s">
        <v>79</v>
      </c>
      <c r="B74" s="53">
        <v>7678019.7300000004</v>
      </c>
      <c r="C74" s="53">
        <v>121873.32904761905</v>
      </c>
      <c r="D74" s="53">
        <v>4606811.8379999995</v>
      </c>
      <c r="E74" s="53">
        <v>3071207.8920000005</v>
      </c>
      <c r="F74" s="53">
        <v>0</v>
      </c>
      <c r="G74" s="53">
        <v>0</v>
      </c>
      <c r="H74" s="53">
        <v>0</v>
      </c>
    </row>
    <row r="75" spans="1:8" x14ac:dyDescent="0.3">
      <c r="A75" s="434" t="s">
        <v>180</v>
      </c>
      <c r="B75" s="53">
        <v>387600</v>
      </c>
      <c r="C75" s="53">
        <v>6152.3809523809523</v>
      </c>
      <c r="D75" s="53">
        <v>232560</v>
      </c>
      <c r="E75" s="53">
        <v>155040</v>
      </c>
      <c r="F75" s="53">
        <v>0</v>
      </c>
      <c r="G75" s="53">
        <v>0</v>
      </c>
      <c r="H75" s="53">
        <v>0</v>
      </c>
    </row>
    <row r="76" spans="1:8" x14ac:dyDescent="0.3">
      <c r="A76" s="434" t="s">
        <v>181</v>
      </c>
      <c r="B76" s="53">
        <v>6630419.7300000004</v>
      </c>
      <c r="C76" s="53">
        <v>105244.75761904762</v>
      </c>
      <c r="D76" s="53">
        <v>3978251.838</v>
      </c>
      <c r="E76" s="53">
        <v>2652167.8920000005</v>
      </c>
      <c r="F76" s="53">
        <v>0</v>
      </c>
      <c r="G76" s="53">
        <v>0</v>
      </c>
      <c r="H76" s="53">
        <v>0</v>
      </c>
    </row>
    <row r="77" spans="1:8" x14ac:dyDescent="0.3">
      <c r="A77" s="434" t="s">
        <v>182</v>
      </c>
      <c r="B77" s="53">
        <v>660000</v>
      </c>
      <c r="C77" s="53">
        <v>10476.190476190477</v>
      </c>
      <c r="D77" s="53">
        <v>396000</v>
      </c>
      <c r="E77" s="53">
        <v>264000</v>
      </c>
      <c r="F77" s="53">
        <v>0</v>
      </c>
      <c r="G77" s="53">
        <v>0</v>
      </c>
      <c r="H77" s="53">
        <v>0</v>
      </c>
    </row>
    <row r="78" spans="1:8" x14ac:dyDescent="0.3">
      <c r="A78" s="433" t="s">
        <v>80</v>
      </c>
      <c r="B78" s="53">
        <v>3768431.31</v>
      </c>
      <c r="C78" s="53">
        <v>59816.37</v>
      </c>
      <c r="D78" s="53">
        <v>1884215.655</v>
      </c>
      <c r="E78" s="53">
        <v>1884215.655</v>
      </c>
      <c r="F78" s="53">
        <v>0</v>
      </c>
      <c r="G78" s="53">
        <v>0</v>
      </c>
      <c r="H78" s="53">
        <v>0</v>
      </c>
    </row>
    <row r="79" spans="1:8" x14ac:dyDescent="0.3">
      <c r="A79" s="434" t="s">
        <v>183</v>
      </c>
      <c r="B79" s="53">
        <v>239400</v>
      </c>
      <c r="C79" s="53">
        <v>3800</v>
      </c>
      <c r="D79" s="53">
        <v>119700</v>
      </c>
      <c r="E79" s="53">
        <v>119700</v>
      </c>
      <c r="F79" s="53">
        <v>0</v>
      </c>
      <c r="G79" s="53">
        <v>0</v>
      </c>
      <c r="H79" s="53">
        <v>0</v>
      </c>
    </row>
    <row r="80" spans="1:8" x14ac:dyDescent="0.3">
      <c r="A80" s="434" t="s">
        <v>184</v>
      </c>
      <c r="B80" s="53">
        <v>3529031.31</v>
      </c>
      <c r="C80" s="53">
        <v>56016.37</v>
      </c>
      <c r="D80" s="53">
        <v>1764515.655</v>
      </c>
      <c r="E80" s="53">
        <v>1764515.655</v>
      </c>
      <c r="F80" s="53">
        <v>0</v>
      </c>
      <c r="G80" s="53">
        <v>0</v>
      </c>
      <c r="H80" s="53">
        <v>0</v>
      </c>
    </row>
    <row r="81" spans="1:8" x14ac:dyDescent="0.3">
      <c r="A81" s="433" t="s">
        <v>86</v>
      </c>
      <c r="B81" s="53">
        <v>2218092.8199999998</v>
      </c>
      <c r="C81" s="53">
        <v>35207.822539682536</v>
      </c>
      <c r="D81" s="53">
        <v>1560337.54</v>
      </c>
      <c r="E81" s="53">
        <v>657755.27999999991</v>
      </c>
      <c r="F81" s="53">
        <v>0</v>
      </c>
      <c r="G81" s="53">
        <v>0</v>
      </c>
      <c r="H81" s="53">
        <v>0</v>
      </c>
    </row>
    <row r="82" spans="1:8" x14ac:dyDescent="0.3">
      <c r="A82" s="434" t="s">
        <v>185</v>
      </c>
      <c r="B82" s="53">
        <v>4399</v>
      </c>
      <c r="C82" s="53">
        <v>69.825396825396822</v>
      </c>
      <c r="D82" s="53">
        <v>4399</v>
      </c>
      <c r="E82" s="53">
        <v>0</v>
      </c>
      <c r="F82" s="53">
        <v>0</v>
      </c>
      <c r="G82" s="53">
        <v>0</v>
      </c>
      <c r="H82" s="53">
        <v>0</v>
      </c>
    </row>
    <row r="83" spans="1:8" x14ac:dyDescent="0.3">
      <c r="A83" s="434" t="s">
        <v>186</v>
      </c>
      <c r="B83" s="53">
        <v>36291.53</v>
      </c>
      <c r="C83" s="53">
        <v>576.05603174603175</v>
      </c>
      <c r="D83" s="53">
        <v>36291.53</v>
      </c>
      <c r="E83" s="53">
        <v>0</v>
      </c>
      <c r="F83" s="53">
        <v>0</v>
      </c>
      <c r="G83" s="53">
        <v>0</v>
      </c>
      <c r="H83" s="53">
        <v>0</v>
      </c>
    </row>
    <row r="84" spans="1:8" x14ac:dyDescent="0.3">
      <c r="A84" s="434" t="s">
        <v>187</v>
      </c>
      <c r="B84" s="53">
        <v>1315510.5599999998</v>
      </c>
      <c r="C84" s="53">
        <v>20881.12</v>
      </c>
      <c r="D84" s="53">
        <v>657755.27999999991</v>
      </c>
      <c r="E84" s="53">
        <v>657755.27999999991</v>
      </c>
      <c r="F84" s="53">
        <v>0</v>
      </c>
      <c r="G84" s="53">
        <v>0</v>
      </c>
      <c r="H84" s="53">
        <v>0</v>
      </c>
    </row>
    <row r="85" spans="1:8" x14ac:dyDescent="0.3">
      <c r="A85" s="434" t="s">
        <v>188</v>
      </c>
      <c r="B85" s="53">
        <v>27923.73</v>
      </c>
      <c r="C85" s="53">
        <v>443.2338095238095</v>
      </c>
      <c r="D85" s="53">
        <v>27923.73</v>
      </c>
      <c r="E85" s="53">
        <v>0</v>
      </c>
      <c r="F85" s="53">
        <v>0</v>
      </c>
      <c r="G85" s="53">
        <v>0</v>
      </c>
      <c r="H85" s="53">
        <v>0</v>
      </c>
    </row>
    <row r="86" spans="1:8" x14ac:dyDescent="0.3">
      <c r="A86" s="434" t="s">
        <v>189</v>
      </c>
      <c r="B86" s="53">
        <v>11550</v>
      </c>
      <c r="C86" s="53">
        <v>183.33333333333334</v>
      </c>
      <c r="D86" s="53">
        <v>11550</v>
      </c>
      <c r="E86" s="53">
        <v>0</v>
      </c>
      <c r="F86" s="53">
        <v>0</v>
      </c>
      <c r="G86" s="53">
        <v>0</v>
      </c>
      <c r="H86" s="53">
        <v>0</v>
      </c>
    </row>
    <row r="87" spans="1:8" x14ac:dyDescent="0.3">
      <c r="A87" s="434" t="s">
        <v>190</v>
      </c>
      <c r="B87" s="53">
        <v>24950</v>
      </c>
      <c r="C87" s="53">
        <v>396.03174603174602</v>
      </c>
      <c r="D87" s="53">
        <v>24950</v>
      </c>
      <c r="E87" s="53">
        <v>0</v>
      </c>
      <c r="F87" s="53">
        <v>0</v>
      </c>
      <c r="G87" s="53">
        <v>0</v>
      </c>
      <c r="H87" s="53">
        <v>0</v>
      </c>
    </row>
    <row r="88" spans="1:8" x14ac:dyDescent="0.3">
      <c r="A88" s="434" t="s">
        <v>191</v>
      </c>
      <c r="B88" s="53">
        <v>11050</v>
      </c>
      <c r="C88" s="53">
        <v>175.39682539682539</v>
      </c>
      <c r="D88" s="53">
        <v>11050</v>
      </c>
      <c r="E88" s="53">
        <v>0</v>
      </c>
      <c r="F88" s="53">
        <v>0</v>
      </c>
      <c r="G88" s="53">
        <v>0</v>
      </c>
      <c r="H88" s="53">
        <v>0</v>
      </c>
    </row>
    <row r="89" spans="1:8" x14ac:dyDescent="0.3">
      <c r="A89" s="434" t="s">
        <v>192</v>
      </c>
      <c r="B89" s="53">
        <v>32500</v>
      </c>
      <c r="C89" s="53">
        <v>515.8730158730159</v>
      </c>
      <c r="D89" s="53">
        <v>32500</v>
      </c>
      <c r="E89" s="53">
        <v>0</v>
      </c>
      <c r="F89" s="53">
        <v>0</v>
      </c>
      <c r="G89" s="53">
        <v>0</v>
      </c>
      <c r="H89" s="53">
        <v>0</v>
      </c>
    </row>
    <row r="90" spans="1:8" x14ac:dyDescent="0.3">
      <c r="A90" s="434" t="s">
        <v>193</v>
      </c>
      <c r="B90" s="53">
        <v>4418</v>
      </c>
      <c r="C90" s="53">
        <v>70.126984126984127</v>
      </c>
      <c r="D90" s="53">
        <v>4418</v>
      </c>
      <c r="E90" s="53">
        <v>0</v>
      </c>
      <c r="F90" s="53">
        <v>0</v>
      </c>
      <c r="G90" s="53">
        <v>0</v>
      </c>
      <c r="H90" s="53">
        <v>0</v>
      </c>
    </row>
    <row r="91" spans="1:8" x14ac:dyDescent="0.3">
      <c r="A91" s="434" t="s">
        <v>194</v>
      </c>
      <c r="B91" s="53">
        <v>23500</v>
      </c>
      <c r="C91" s="53">
        <v>373.01587301587301</v>
      </c>
      <c r="D91" s="53">
        <v>23500</v>
      </c>
      <c r="E91" s="53">
        <v>0</v>
      </c>
      <c r="F91" s="53">
        <v>0</v>
      </c>
      <c r="G91" s="53">
        <v>0</v>
      </c>
      <c r="H91" s="53">
        <v>0</v>
      </c>
    </row>
    <row r="92" spans="1:8" x14ac:dyDescent="0.3">
      <c r="A92" s="434" t="s">
        <v>195</v>
      </c>
      <c r="B92" s="53">
        <v>726000</v>
      </c>
      <c r="C92" s="53">
        <v>11523.809523809523</v>
      </c>
      <c r="D92" s="53">
        <v>726000</v>
      </c>
      <c r="E92" s="53">
        <v>0</v>
      </c>
      <c r="F92" s="53">
        <v>0</v>
      </c>
      <c r="G92" s="53">
        <v>0</v>
      </c>
      <c r="H92" s="53">
        <v>0</v>
      </c>
    </row>
    <row r="93" spans="1:8" x14ac:dyDescent="0.3">
      <c r="A93" s="433" t="s">
        <v>88</v>
      </c>
      <c r="B93" s="53">
        <v>425405.5</v>
      </c>
      <c r="C93" s="53">
        <v>6752.4682539682544</v>
      </c>
      <c r="D93" s="53">
        <v>212702.75</v>
      </c>
      <c r="E93" s="53">
        <v>212702.75</v>
      </c>
      <c r="F93" s="53">
        <v>0</v>
      </c>
      <c r="G93" s="53">
        <v>0</v>
      </c>
      <c r="H93" s="53">
        <v>0</v>
      </c>
    </row>
    <row r="94" spans="1:8" x14ac:dyDescent="0.3">
      <c r="A94" s="434" t="s">
        <v>196</v>
      </c>
      <c r="B94" s="53">
        <v>164258.25</v>
      </c>
      <c r="C94" s="53">
        <v>2607.2738095238096</v>
      </c>
      <c r="D94" s="53">
        <v>82129.125</v>
      </c>
      <c r="E94" s="53">
        <v>82129.125</v>
      </c>
      <c r="F94" s="53">
        <v>0</v>
      </c>
      <c r="G94" s="53">
        <v>0</v>
      </c>
      <c r="H94" s="53">
        <v>0</v>
      </c>
    </row>
    <row r="95" spans="1:8" x14ac:dyDescent="0.3">
      <c r="A95" s="434" t="s">
        <v>197</v>
      </c>
      <c r="B95" s="53">
        <v>261147.25</v>
      </c>
      <c r="C95" s="53">
        <v>4145.1944444444443</v>
      </c>
      <c r="D95" s="53">
        <v>130573.625</v>
      </c>
      <c r="E95" s="53">
        <v>130573.625</v>
      </c>
      <c r="F95" s="53">
        <v>0</v>
      </c>
      <c r="G95" s="53">
        <v>0</v>
      </c>
      <c r="H95" s="53">
        <v>0</v>
      </c>
    </row>
    <row r="96" spans="1:8" x14ac:dyDescent="0.3">
      <c r="A96" s="433" t="s">
        <v>89</v>
      </c>
      <c r="B96" s="53">
        <v>4067447.46</v>
      </c>
      <c r="C96" s="53">
        <v>64562.65809523809</v>
      </c>
      <c r="D96" s="53">
        <v>2690396.5329999998</v>
      </c>
      <c r="E96" s="53">
        <v>1377050.9270000001</v>
      </c>
      <c r="F96" s="53">
        <v>0</v>
      </c>
      <c r="G96" s="53">
        <v>0</v>
      </c>
      <c r="H96" s="53">
        <v>0</v>
      </c>
    </row>
    <row r="97" spans="1:8" x14ac:dyDescent="0.3">
      <c r="A97" s="434" t="s">
        <v>198</v>
      </c>
      <c r="B97" s="53">
        <v>450</v>
      </c>
      <c r="C97" s="53">
        <v>7.1428571428571432</v>
      </c>
      <c r="D97" s="53">
        <v>450</v>
      </c>
      <c r="E97" s="53">
        <v>0</v>
      </c>
      <c r="F97" s="53">
        <v>0</v>
      </c>
      <c r="G97" s="53">
        <v>0</v>
      </c>
      <c r="H97" s="53">
        <v>0</v>
      </c>
    </row>
    <row r="98" spans="1:8" x14ac:dyDescent="0.3">
      <c r="A98" s="434" t="s">
        <v>199</v>
      </c>
      <c r="B98" s="53">
        <v>500</v>
      </c>
      <c r="C98" s="53">
        <v>7.9365079365079367</v>
      </c>
      <c r="D98" s="53">
        <v>500</v>
      </c>
      <c r="E98" s="53">
        <v>0</v>
      </c>
      <c r="F98" s="53">
        <v>0</v>
      </c>
      <c r="G98" s="53">
        <v>0</v>
      </c>
      <c r="H98" s="53">
        <v>0</v>
      </c>
    </row>
    <row r="99" spans="1:8" x14ac:dyDescent="0.3">
      <c r="A99" s="434" t="s">
        <v>200</v>
      </c>
      <c r="B99" s="53">
        <v>6000</v>
      </c>
      <c r="C99" s="53">
        <v>95.238095238095241</v>
      </c>
      <c r="D99" s="53">
        <v>6000</v>
      </c>
      <c r="E99" s="53">
        <v>0</v>
      </c>
      <c r="F99" s="53">
        <v>0</v>
      </c>
      <c r="G99" s="53">
        <v>0</v>
      </c>
      <c r="H99" s="53">
        <v>0</v>
      </c>
    </row>
    <row r="100" spans="1:8" x14ac:dyDescent="0.3">
      <c r="A100" s="434" t="s">
        <v>201</v>
      </c>
      <c r="B100" s="53">
        <v>690</v>
      </c>
      <c r="C100" s="53">
        <v>10.952380952380953</v>
      </c>
      <c r="D100" s="53">
        <v>690</v>
      </c>
      <c r="E100" s="53">
        <v>0</v>
      </c>
      <c r="F100" s="53">
        <v>0</v>
      </c>
      <c r="G100" s="53">
        <v>0</v>
      </c>
      <c r="H100" s="53">
        <v>0</v>
      </c>
    </row>
    <row r="101" spans="1:8" x14ac:dyDescent="0.3">
      <c r="A101" s="434" t="s">
        <v>202</v>
      </c>
      <c r="B101" s="53">
        <v>18000</v>
      </c>
      <c r="C101" s="53">
        <v>285.71428571428572</v>
      </c>
      <c r="D101" s="53">
        <v>10800</v>
      </c>
      <c r="E101" s="53">
        <v>7200</v>
      </c>
      <c r="F101" s="53">
        <v>0</v>
      </c>
      <c r="G101" s="53">
        <v>0</v>
      </c>
      <c r="H101" s="53">
        <v>0</v>
      </c>
    </row>
    <row r="102" spans="1:8" x14ac:dyDescent="0.3">
      <c r="A102" s="434" t="s">
        <v>203</v>
      </c>
      <c r="B102" s="53">
        <v>11804.94</v>
      </c>
      <c r="C102" s="53">
        <v>187.38</v>
      </c>
      <c r="D102" s="53">
        <v>7082.9639999999999</v>
      </c>
      <c r="E102" s="53">
        <v>4721.9760000000006</v>
      </c>
      <c r="F102" s="53">
        <v>0</v>
      </c>
      <c r="G102" s="53">
        <v>0</v>
      </c>
      <c r="H102" s="53">
        <v>0</v>
      </c>
    </row>
    <row r="103" spans="1:8" x14ac:dyDescent="0.3">
      <c r="A103" s="434" t="s">
        <v>204</v>
      </c>
      <c r="B103" s="53">
        <v>26860.68</v>
      </c>
      <c r="C103" s="53">
        <v>426.36</v>
      </c>
      <c r="D103" s="53">
        <v>16116.407999999999</v>
      </c>
      <c r="E103" s="53">
        <v>10744.272000000001</v>
      </c>
      <c r="F103" s="53">
        <v>0</v>
      </c>
      <c r="G103" s="53">
        <v>0</v>
      </c>
      <c r="H103" s="53">
        <v>0</v>
      </c>
    </row>
    <row r="104" spans="1:8" x14ac:dyDescent="0.3">
      <c r="A104" s="434" t="s">
        <v>205</v>
      </c>
      <c r="B104" s="53">
        <v>58.199999999999996</v>
      </c>
      <c r="C104" s="53">
        <v>0.92380952380952375</v>
      </c>
      <c r="D104" s="53">
        <v>58.199999999999996</v>
      </c>
      <c r="E104" s="53">
        <v>0</v>
      </c>
      <c r="F104" s="53">
        <v>0</v>
      </c>
      <c r="G104" s="53">
        <v>0</v>
      </c>
      <c r="H104" s="53">
        <v>0</v>
      </c>
    </row>
    <row r="105" spans="1:8" x14ac:dyDescent="0.3">
      <c r="A105" s="434" t="s">
        <v>206</v>
      </c>
      <c r="B105" s="53">
        <v>16500</v>
      </c>
      <c r="C105" s="53">
        <v>261.90476190476193</v>
      </c>
      <c r="D105" s="53">
        <v>16500</v>
      </c>
      <c r="E105" s="53">
        <v>0</v>
      </c>
      <c r="F105" s="53">
        <v>0</v>
      </c>
      <c r="G105" s="53">
        <v>0</v>
      </c>
      <c r="H105" s="53">
        <v>0</v>
      </c>
    </row>
    <row r="106" spans="1:8" x14ac:dyDescent="0.3">
      <c r="A106" s="434" t="s">
        <v>207</v>
      </c>
      <c r="B106" s="53">
        <v>4500</v>
      </c>
      <c r="C106" s="53">
        <v>71.428571428571431</v>
      </c>
      <c r="D106" s="53">
        <v>4500</v>
      </c>
      <c r="E106" s="53">
        <v>0</v>
      </c>
      <c r="F106" s="53">
        <v>0</v>
      </c>
      <c r="G106" s="53">
        <v>0</v>
      </c>
      <c r="H106" s="53">
        <v>0</v>
      </c>
    </row>
    <row r="107" spans="1:8" x14ac:dyDescent="0.3">
      <c r="A107" s="434" t="s">
        <v>208</v>
      </c>
      <c r="B107" s="53">
        <v>600</v>
      </c>
      <c r="C107" s="53">
        <v>9.5238095238095237</v>
      </c>
      <c r="D107" s="53">
        <v>600</v>
      </c>
      <c r="E107" s="53">
        <v>0</v>
      </c>
      <c r="F107" s="53">
        <v>0</v>
      </c>
      <c r="G107" s="53">
        <v>0</v>
      </c>
      <c r="H107" s="53">
        <v>0</v>
      </c>
    </row>
    <row r="108" spans="1:8" x14ac:dyDescent="0.3">
      <c r="A108" s="434" t="s">
        <v>209</v>
      </c>
      <c r="B108" s="53">
        <v>6000</v>
      </c>
      <c r="C108" s="53">
        <v>95.238095238095241</v>
      </c>
      <c r="D108" s="53">
        <v>6000</v>
      </c>
      <c r="E108" s="53">
        <v>0</v>
      </c>
      <c r="F108" s="53">
        <v>0</v>
      </c>
      <c r="G108" s="53">
        <v>0</v>
      </c>
      <c r="H108" s="53">
        <v>0</v>
      </c>
    </row>
    <row r="109" spans="1:8" x14ac:dyDescent="0.3">
      <c r="A109" s="434" t="s">
        <v>210</v>
      </c>
      <c r="B109" s="53">
        <v>8000</v>
      </c>
      <c r="C109" s="53">
        <v>126.98412698412699</v>
      </c>
      <c r="D109" s="53">
        <v>8000</v>
      </c>
      <c r="E109" s="53">
        <v>0</v>
      </c>
      <c r="F109" s="53">
        <v>0</v>
      </c>
      <c r="G109" s="53">
        <v>0</v>
      </c>
      <c r="H109" s="53">
        <v>0</v>
      </c>
    </row>
    <row r="110" spans="1:8" x14ac:dyDescent="0.3">
      <c r="A110" s="434" t="s">
        <v>211</v>
      </c>
      <c r="B110" s="53">
        <v>143340.23000000001</v>
      </c>
      <c r="C110" s="53">
        <v>2275.2417460317461</v>
      </c>
      <c r="D110" s="53">
        <v>71670.115000000005</v>
      </c>
      <c r="E110" s="53">
        <v>71670.115000000005</v>
      </c>
      <c r="F110" s="53">
        <v>0</v>
      </c>
      <c r="G110" s="53">
        <v>0</v>
      </c>
      <c r="H110" s="53">
        <v>0</v>
      </c>
    </row>
    <row r="111" spans="1:8" x14ac:dyDescent="0.3">
      <c r="A111" s="434" t="s">
        <v>212</v>
      </c>
      <c r="B111" s="53">
        <v>16413.669999999998</v>
      </c>
      <c r="C111" s="53">
        <v>260.53444444444443</v>
      </c>
      <c r="D111" s="53">
        <v>8206.8349999999991</v>
      </c>
      <c r="E111" s="53">
        <v>8206.8349999999991</v>
      </c>
      <c r="F111" s="53">
        <v>0</v>
      </c>
      <c r="G111" s="53">
        <v>0</v>
      </c>
      <c r="H111" s="53">
        <v>0</v>
      </c>
    </row>
    <row r="112" spans="1:8" x14ac:dyDescent="0.3">
      <c r="A112" s="434" t="s">
        <v>213</v>
      </c>
      <c r="B112" s="53">
        <v>2070</v>
      </c>
      <c r="C112" s="53">
        <v>32.857142857142854</v>
      </c>
      <c r="D112" s="53">
        <v>2070</v>
      </c>
      <c r="E112" s="53">
        <v>0</v>
      </c>
      <c r="F112" s="53">
        <v>0</v>
      </c>
      <c r="G112" s="53">
        <v>0</v>
      </c>
      <c r="H112" s="53">
        <v>0</v>
      </c>
    </row>
    <row r="113" spans="1:8" x14ac:dyDescent="0.3">
      <c r="A113" s="434" t="s">
        <v>214</v>
      </c>
      <c r="B113" s="53">
        <v>1200</v>
      </c>
      <c r="C113" s="53">
        <v>19.047619047619047</v>
      </c>
      <c r="D113" s="53">
        <v>1200</v>
      </c>
      <c r="E113" s="53">
        <v>0</v>
      </c>
      <c r="F113" s="53">
        <v>0</v>
      </c>
      <c r="G113" s="53">
        <v>0</v>
      </c>
      <c r="H113" s="53">
        <v>0</v>
      </c>
    </row>
    <row r="114" spans="1:8" x14ac:dyDescent="0.3">
      <c r="A114" s="434" t="s">
        <v>215</v>
      </c>
      <c r="B114" s="53">
        <v>2400</v>
      </c>
      <c r="C114" s="53">
        <v>38.095238095238095</v>
      </c>
      <c r="D114" s="53">
        <v>2400</v>
      </c>
      <c r="E114" s="53">
        <v>0</v>
      </c>
      <c r="F114" s="53">
        <v>0</v>
      </c>
      <c r="G114" s="53">
        <v>0</v>
      </c>
      <c r="H114" s="53">
        <v>0</v>
      </c>
    </row>
    <row r="115" spans="1:8" x14ac:dyDescent="0.3">
      <c r="A115" s="434" t="s">
        <v>216</v>
      </c>
      <c r="B115" s="53">
        <v>2400</v>
      </c>
      <c r="C115" s="53">
        <v>38.095238095238095</v>
      </c>
      <c r="D115" s="53">
        <v>2400</v>
      </c>
      <c r="E115" s="53">
        <v>0</v>
      </c>
      <c r="F115" s="53">
        <v>0</v>
      </c>
      <c r="G115" s="53">
        <v>0</v>
      </c>
      <c r="H115" s="53">
        <v>0</v>
      </c>
    </row>
    <row r="116" spans="1:8" x14ac:dyDescent="0.3">
      <c r="A116" s="434" t="s">
        <v>217</v>
      </c>
      <c r="B116" s="53">
        <v>2433.33</v>
      </c>
      <c r="C116" s="53">
        <v>38.624285714285712</v>
      </c>
      <c r="D116" s="53">
        <v>1216.665</v>
      </c>
      <c r="E116" s="53">
        <v>1216.665</v>
      </c>
      <c r="F116" s="53">
        <v>0</v>
      </c>
      <c r="G116" s="53">
        <v>0</v>
      </c>
      <c r="H116" s="53">
        <v>0</v>
      </c>
    </row>
    <row r="117" spans="1:8" x14ac:dyDescent="0.3">
      <c r="A117" s="434" t="s">
        <v>218</v>
      </c>
      <c r="B117" s="53">
        <v>14000</v>
      </c>
      <c r="C117" s="53">
        <v>222.22222222222223</v>
      </c>
      <c r="D117" s="53">
        <v>14000</v>
      </c>
      <c r="E117" s="53">
        <v>0</v>
      </c>
      <c r="F117" s="53">
        <v>0</v>
      </c>
      <c r="G117" s="53">
        <v>0</v>
      </c>
      <c r="H117" s="53">
        <v>0</v>
      </c>
    </row>
    <row r="118" spans="1:8" x14ac:dyDescent="0.3">
      <c r="A118" s="434" t="s">
        <v>219</v>
      </c>
      <c r="B118" s="53">
        <v>17431.52</v>
      </c>
      <c r="C118" s="53">
        <v>276.69079365079364</v>
      </c>
      <c r="D118" s="53">
        <v>17431.52</v>
      </c>
      <c r="E118" s="53">
        <v>0</v>
      </c>
      <c r="F118" s="53">
        <v>0</v>
      </c>
      <c r="G118" s="53">
        <v>0</v>
      </c>
      <c r="H118" s="53">
        <v>0</v>
      </c>
    </row>
    <row r="119" spans="1:8" x14ac:dyDescent="0.3">
      <c r="A119" s="434" t="s">
        <v>220</v>
      </c>
      <c r="B119" s="53">
        <v>6400</v>
      </c>
      <c r="C119" s="53">
        <v>101.58730158730158</v>
      </c>
      <c r="D119" s="53">
        <v>6400</v>
      </c>
      <c r="E119" s="53">
        <v>0</v>
      </c>
      <c r="F119" s="53">
        <v>0</v>
      </c>
      <c r="G119" s="53">
        <v>0</v>
      </c>
      <c r="H119" s="53">
        <v>0</v>
      </c>
    </row>
    <row r="120" spans="1:8" x14ac:dyDescent="0.3">
      <c r="A120" s="434" t="s">
        <v>221</v>
      </c>
      <c r="B120" s="53">
        <v>1700</v>
      </c>
      <c r="C120" s="53">
        <v>26.984126984126984</v>
      </c>
      <c r="D120" s="53">
        <v>1700</v>
      </c>
      <c r="E120" s="53">
        <v>0</v>
      </c>
      <c r="F120" s="53">
        <v>0</v>
      </c>
      <c r="G120" s="53">
        <v>0</v>
      </c>
      <c r="H120" s="53">
        <v>0</v>
      </c>
    </row>
    <row r="121" spans="1:8" x14ac:dyDescent="0.3">
      <c r="A121" s="434" t="s">
        <v>222</v>
      </c>
      <c r="B121" s="53">
        <v>6600</v>
      </c>
      <c r="C121" s="53">
        <v>104.76190476190476</v>
      </c>
      <c r="D121" s="53">
        <v>6600</v>
      </c>
      <c r="E121" s="53">
        <v>0</v>
      </c>
      <c r="F121" s="53">
        <v>0</v>
      </c>
      <c r="G121" s="53">
        <v>0</v>
      </c>
      <c r="H121" s="53">
        <v>0</v>
      </c>
    </row>
    <row r="122" spans="1:8" x14ac:dyDescent="0.3">
      <c r="A122" s="434" t="s">
        <v>223</v>
      </c>
      <c r="B122" s="53">
        <v>4000</v>
      </c>
      <c r="C122" s="53">
        <v>63.492063492063494</v>
      </c>
      <c r="D122" s="53">
        <v>4000</v>
      </c>
      <c r="E122" s="53">
        <v>0</v>
      </c>
      <c r="F122" s="53">
        <v>0</v>
      </c>
      <c r="G122" s="53">
        <v>0</v>
      </c>
      <c r="H122" s="53">
        <v>0</v>
      </c>
    </row>
    <row r="123" spans="1:8" x14ac:dyDescent="0.3">
      <c r="A123" s="434" t="s">
        <v>224</v>
      </c>
      <c r="B123" s="53">
        <v>2184999.39</v>
      </c>
      <c r="C123" s="53">
        <v>34682.53</v>
      </c>
      <c r="D123" s="53">
        <v>1310999.6340000001</v>
      </c>
      <c r="E123" s="53">
        <v>873999.75600000005</v>
      </c>
      <c r="F123" s="53">
        <v>0</v>
      </c>
      <c r="G123" s="53">
        <v>0</v>
      </c>
      <c r="H123" s="53">
        <v>0</v>
      </c>
    </row>
    <row r="124" spans="1:8" x14ac:dyDescent="0.3">
      <c r="A124" s="434" t="s">
        <v>225</v>
      </c>
      <c r="B124" s="53">
        <v>18900</v>
      </c>
      <c r="C124" s="53">
        <v>300</v>
      </c>
      <c r="D124" s="53">
        <v>11340</v>
      </c>
      <c r="E124" s="53">
        <v>7560</v>
      </c>
      <c r="F124" s="53">
        <v>0</v>
      </c>
      <c r="G124" s="53">
        <v>0</v>
      </c>
      <c r="H124" s="53">
        <v>0</v>
      </c>
    </row>
    <row r="125" spans="1:8" x14ac:dyDescent="0.3">
      <c r="A125" s="434" t="s">
        <v>226</v>
      </c>
      <c r="B125" s="53">
        <v>425880</v>
      </c>
      <c r="C125" s="53">
        <v>6760</v>
      </c>
      <c r="D125" s="53">
        <v>255528</v>
      </c>
      <c r="E125" s="53">
        <v>170352</v>
      </c>
      <c r="F125" s="53">
        <v>0</v>
      </c>
      <c r="G125" s="53">
        <v>0</v>
      </c>
      <c r="H125" s="53">
        <v>0</v>
      </c>
    </row>
    <row r="126" spans="1:8" x14ac:dyDescent="0.3">
      <c r="A126" s="434" t="s">
        <v>227</v>
      </c>
      <c r="B126" s="53">
        <v>68400</v>
      </c>
      <c r="C126" s="53">
        <v>1085.7142857142858</v>
      </c>
      <c r="D126" s="53">
        <v>68400</v>
      </c>
      <c r="E126" s="53">
        <v>0</v>
      </c>
      <c r="F126" s="53">
        <v>0</v>
      </c>
      <c r="G126" s="53">
        <v>0</v>
      </c>
      <c r="H126" s="53">
        <v>0</v>
      </c>
    </row>
    <row r="127" spans="1:8" x14ac:dyDescent="0.3">
      <c r="A127" s="434" t="s">
        <v>228</v>
      </c>
      <c r="B127" s="53">
        <v>307391.34000000003</v>
      </c>
      <c r="C127" s="53">
        <v>4879.2276190476196</v>
      </c>
      <c r="D127" s="53">
        <v>153695.67000000001</v>
      </c>
      <c r="E127" s="53">
        <v>153695.67000000001</v>
      </c>
      <c r="F127" s="53">
        <v>0</v>
      </c>
      <c r="G127" s="53">
        <v>0</v>
      </c>
      <c r="H127" s="53">
        <v>0</v>
      </c>
    </row>
    <row r="128" spans="1:8" x14ac:dyDescent="0.3">
      <c r="A128" s="434" t="s">
        <v>229</v>
      </c>
      <c r="B128" s="53">
        <v>3050</v>
      </c>
      <c r="C128" s="53">
        <v>48.412698412698411</v>
      </c>
      <c r="D128" s="53">
        <v>3050</v>
      </c>
      <c r="E128" s="53">
        <v>0</v>
      </c>
      <c r="F128" s="53">
        <v>0</v>
      </c>
      <c r="G128" s="53">
        <v>0</v>
      </c>
      <c r="H128" s="53">
        <v>0</v>
      </c>
    </row>
    <row r="129" spans="1:8" x14ac:dyDescent="0.3">
      <c r="A129" s="434" t="s">
        <v>230</v>
      </c>
      <c r="B129" s="53">
        <v>22251.88</v>
      </c>
      <c r="C129" s="53">
        <v>353.20444444444445</v>
      </c>
      <c r="D129" s="53">
        <v>22251.88</v>
      </c>
      <c r="E129" s="53">
        <v>0</v>
      </c>
      <c r="F129" s="53">
        <v>0</v>
      </c>
      <c r="G129" s="53">
        <v>0</v>
      </c>
      <c r="H129" s="53">
        <v>0</v>
      </c>
    </row>
    <row r="130" spans="1:8" x14ac:dyDescent="0.3">
      <c r="A130" s="434" t="s">
        <v>231</v>
      </c>
      <c r="B130" s="53">
        <v>800</v>
      </c>
      <c r="C130" s="53">
        <v>12.698412698412698</v>
      </c>
      <c r="D130" s="53">
        <v>800</v>
      </c>
      <c r="E130" s="53">
        <v>0</v>
      </c>
      <c r="F130" s="53">
        <v>0</v>
      </c>
      <c r="G130" s="53">
        <v>0</v>
      </c>
      <c r="H130" s="53">
        <v>0</v>
      </c>
    </row>
    <row r="131" spans="1:8" x14ac:dyDescent="0.3">
      <c r="A131" s="434" t="s">
        <v>232</v>
      </c>
      <c r="B131" s="53">
        <v>900</v>
      </c>
      <c r="C131" s="53">
        <v>14.285714285714286</v>
      </c>
      <c r="D131" s="53">
        <v>900</v>
      </c>
      <c r="E131" s="53">
        <v>0</v>
      </c>
      <c r="F131" s="53">
        <v>0</v>
      </c>
      <c r="G131" s="53">
        <v>0</v>
      </c>
      <c r="H131" s="53">
        <v>0</v>
      </c>
    </row>
    <row r="132" spans="1:8" x14ac:dyDescent="0.3">
      <c r="A132" s="434" t="s">
        <v>233</v>
      </c>
      <c r="B132" s="53">
        <v>900</v>
      </c>
      <c r="C132" s="53">
        <v>14.285714285714286</v>
      </c>
      <c r="D132" s="53">
        <v>900</v>
      </c>
      <c r="E132" s="53">
        <v>0</v>
      </c>
      <c r="F132" s="53">
        <v>0</v>
      </c>
      <c r="G132" s="53">
        <v>0</v>
      </c>
      <c r="H132" s="53">
        <v>0</v>
      </c>
    </row>
    <row r="133" spans="1:8" x14ac:dyDescent="0.3">
      <c r="A133" s="434" t="s">
        <v>234</v>
      </c>
      <c r="B133" s="53">
        <v>8262.6</v>
      </c>
      <c r="C133" s="53">
        <v>131.15238095238095</v>
      </c>
      <c r="D133" s="53">
        <v>8262.6</v>
      </c>
      <c r="E133" s="53">
        <v>0</v>
      </c>
      <c r="F133" s="53">
        <v>0</v>
      </c>
      <c r="G133" s="53">
        <v>0</v>
      </c>
      <c r="H133" s="53">
        <v>0</v>
      </c>
    </row>
    <row r="134" spans="1:8" x14ac:dyDescent="0.3">
      <c r="A134" s="434" t="s">
        <v>235</v>
      </c>
      <c r="B134" s="53">
        <v>2542.36</v>
      </c>
      <c r="C134" s="53">
        <v>40.354920634920639</v>
      </c>
      <c r="D134" s="53">
        <v>2542.36</v>
      </c>
      <c r="E134" s="53">
        <v>0</v>
      </c>
      <c r="F134" s="53">
        <v>0</v>
      </c>
      <c r="G134" s="53">
        <v>0</v>
      </c>
      <c r="H134" s="53">
        <v>0</v>
      </c>
    </row>
    <row r="135" spans="1:8" x14ac:dyDescent="0.3">
      <c r="A135" s="434" t="s">
        <v>236</v>
      </c>
      <c r="B135" s="53">
        <v>4800</v>
      </c>
      <c r="C135" s="53">
        <v>76.19047619047619</v>
      </c>
      <c r="D135" s="53">
        <v>4800</v>
      </c>
      <c r="E135" s="53">
        <v>0</v>
      </c>
      <c r="F135" s="53">
        <v>0</v>
      </c>
      <c r="G135" s="53">
        <v>0</v>
      </c>
      <c r="H135" s="53">
        <v>0</v>
      </c>
    </row>
    <row r="136" spans="1:8" x14ac:dyDescent="0.3">
      <c r="A136" s="434" t="s">
        <v>237</v>
      </c>
      <c r="B136" s="53">
        <v>5600</v>
      </c>
      <c r="C136" s="53">
        <v>88.888888888888886</v>
      </c>
      <c r="D136" s="53">
        <v>5600</v>
      </c>
      <c r="E136" s="53">
        <v>0</v>
      </c>
      <c r="F136" s="53">
        <v>0</v>
      </c>
      <c r="G136" s="53">
        <v>0</v>
      </c>
      <c r="H136" s="53">
        <v>0</v>
      </c>
    </row>
    <row r="137" spans="1:8" x14ac:dyDescent="0.3">
      <c r="A137" s="434" t="s">
        <v>238</v>
      </c>
      <c r="B137" s="53">
        <v>7960</v>
      </c>
      <c r="C137" s="53">
        <v>126.34920634920636</v>
      </c>
      <c r="D137" s="53">
        <v>7960</v>
      </c>
      <c r="E137" s="53">
        <v>0</v>
      </c>
      <c r="F137" s="53">
        <v>0</v>
      </c>
      <c r="G137" s="53">
        <v>0</v>
      </c>
      <c r="H137" s="53">
        <v>0</v>
      </c>
    </row>
    <row r="138" spans="1:8" x14ac:dyDescent="0.3">
      <c r="A138" s="434" t="s">
        <v>239</v>
      </c>
      <c r="B138" s="53">
        <v>2400</v>
      </c>
      <c r="C138" s="53">
        <v>38.095238095238095</v>
      </c>
      <c r="D138" s="53">
        <v>2400</v>
      </c>
      <c r="E138" s="53">
        <v>0</v>
      </c>
      <c r="F138" s="53">
        <v>0</v>
      </c>
      <c r="G138" s="53">
        <v>0</v>
      </c>
      <c r="H138" s="53">
        <v>0</v>
      </c>
    </row>
    <row r="139" spans="1:8" x14ac:dyDescent="0.3">
      <c r="A139" s="434" t="s">
        <v>240</v>
      </c>
      <c r="B139" s="53">
        <v>6438.22</v>
      </c>
      <c r="C139" s="53">
        <v>102.19396825396827</v>
      </c>
      <c r="D139" s="53">
        <v>3219.11</v>
      </c>
      <c r="E139" s="53">
        <v>3219.11</v>
      </c>
      <c r="F139" s="53">
        <v>0</v>
      </c>
      <c r="G139" s="53">
        <v>0</v>
      </c>
      <c r="H139" s="53">
        <v>0</v>
      </c>
    </row>
    <row r="140" spans="1:8" x14ac:dyDescent="0.3">
      <c r="A140" s="434" t="s">
        <v>241</v>
      </c>
      <c r="B140" s="53">
        <v>5821.21</v>
      </c>
      <c r="C140" s="53">
        <v>92.400158730158736</v>
      </c>
      <c r="D140" s="53">
        <v>2910.605</v>
      </c>
      <c r="E140" s="53">
        <v>2910.605</v>
      </c>
      <c r="F140" s="53">
        <v>0</v>
      </c>
      <c r="G140" s="53">
        <v>0</v>
      </c>
      <c r="H140" s="53">
        <v>0</v>
      </c>
    </row>
    <row r="141" spans="1:8" x14ac:dyDescent="0.3">
      <c r="A141" s="434" t="s">
        <v>242</v>
      </c>
      <c r="B141" s="53">
        <v>4853</v>
      </c>
      <c r="C141" s="53">
        <v>77.031746031746039</v>
      </c>
      <c r="D141" s="53">
        <v>2426.5</v>
      </c>
      <c r="E141" s="53">
        <v>2426.5</v>
      </c>
      <c r="F141" s="53">
        <v>0</v>
      </c>
      <c r="G141" s="53">
        <v>0</v>
      </c>
      <c r="H141" s="53">
        <v>0</v>
      </c>
    </row>
    <row r="142" spans="1:8" x14ac:dyDescent="0.3">
      <c r="A142" s="434" t="s">
        <v>243</v>
      </c>
      <c r="B142" s="53">
        <v>7893.1</v>
      </c>
      <c r="C142" s="53">
        <v>125.28730158730158</v>
      </c>
      <c r="D142" s="53">
        <v>3946.55</v>
      </c>
      <c r="E142" s="53">
        <v>3946.55</v>
      </c>
      <c r="F142" s="53">
        <v>0</v>
      </c>
      <c r="G142" s="53">
        <v>0</v>
      </c>
      <c r="H142" s="53">
        <v>0</v>
      </c>
    </row>
    <row r="143" spans="1:8" x14ac:dyDescent="0.3">
      <c r="A143" s="434" t="s">
        <v>244</v>
      </c>
      <c r="B143" s="53">
        <v>64770.41</v>
      </c>
      <c r="C143" s="53">
        <v>1028.1017460317462</v>
      </c>
      <c r="D143" s="53">
        <v>32385.205000000002</v>
      </c>
      <c r="E143" s="53">
        <v>32385.205000000002</v>
      </c>
      <c r="F143" s="53">
        <v>0</v>
      </c>
      <c r="G143" s="53">
        <v>0</v>
      </c>
      <c r="H143" s="53">
        <v>0</v>
      </c>
    </row>
    <row r="144" spans="1:8" x14ac:dyDescent="0.3">
      <c r="A144" s="434" t="s">
        <v>245</v>
      </c>
      <c r="B144" s="53">
        <v>56989.170000000006</v>
      </c>
      <c r="C144" s="53">
        <v>904.59</v>
      </c>
      <c r="D144" s="53">
        <v>34193.502</v>
      </c>
      <c r="E144" s="53">
        <v>22795.668000000005</v>
      </c>
      <c r="F144" s="53">
        <v>0</v>
      </c>
      <c r="G144" s="53">
        <v>0</v>
      </c>
      <c r="H144" s="53">
        <v>0</v>
      </c>
    </row>
    <row r="145" spans="1:8" x14ac:dyDescent="0.3">
      <c r="A145" s="434" t="s">
        <v>246</v>
      </c>
      <c r="B145" s="53">
        <v>2900</v>
      </c>
      <c r="C145" s="53">
        <v>46.031746031746032</v>
      </c>
      <c r="D145" s="53">
        <v>2900</v>
      </c>
      <c r="E145" s="53">
        <v>0</v>
      </c>
      <c r="F145" s="53">
        <v>0</v>
      </c>
      <c r="G145" s="53">
        <v>0</v>
      </c>
      <c r="H145" s="53">
        <v>0</v>
      </c>
    </row>
    <row r="146" spans="1:8" x14ac:dyDescent="0.3">
      <c r="A146" s="434" t="s">
        <v>247</v>
      </c>
      <c r="B146" s="53">
        <v>5800</v>
      </c>
      <c r="C146" s="53">
        <v>92.063492063492063</v>
      </c>
      <c r="D146" s="53">
        <v>5800</v>
      </c>
      <c r="E146" s="53">
        <v>0</v>
      </c>
      <c r="F146" s="53">
        <v>0</v>
      </c>
      <c r="G146" s="53">
        <v>0</v>
      </c>
      <c r="H146" s="53">
        <v>0</v>
      </c>
    </row>
    <row r="147" spans="1:8" x14ac:dyDescent="0.3">
      <c r="A147" s="434" t="s">
        <v>248</v>
      </c>
      <c r="B147" s="53">
        <v>1900</v>
      </c>
      <c r="C147" s="53">
        <v>30.158730158730158</v>
      </c>
      <c r="D147" s="53">
        <v>1900</v>
      </c>
      <c r="E147" s="53">
        <v>0</v>
      </c>
      <c r="F147" s="53">
        <v>0</v>
      </c>
      <c r="G147" s="53">
        <v>0</v>
      </c>
      <c r="H147" s="53">
        <v>0</v>
      </c>
    </row>
    <row r="148" spans="1:8" x14ac:dyDescent="0.3">
      <c r="A148" s="434" t="s">
        <v>249</v>
      </c>
      <c r="B148" s="53">
        <v>950</v>
      </c>
      <c r="C148" s="53">
        <v>15.079365079365079</v>
      </c>
      <c r="D148" s="53">
        <v>950</v>
      </c>
      <c r="E148" s="53">
        <v>0</v>
      </c>
      <c r="F148" s="53">
        <v>0</v>
      </c>
      <c r="G148" s="53">
        <v>0</v>
      </c>
      <c r="H148" s="53">
        <v>0</v>
      </c>
    </row>
    <row r="149" spans="1:8" x14ac:dyDescent="0.3">
      <c r="A149" s="434" t="s">
        <v>250</v>
      </c>
      <c r="B149" s="53">
        <v>1000</v>
      </c>
      <c r="C149" s="53">
        <v>15.873015873015873</v>
      </c>
      <c r="D149" s="53">
        <v>1000</v>
      </c>
      <c r="E149" s="53">
        <v>0</v>
      </c>
      <c r="F149" s="53">
        <v>0</v>
      </c>
      <c r="G149" s="53">
        <v>0</v>
      </c>
      <c r="H149" s="53">
        <v>0</v>
      </c>
    </row>
    <row r="150" spans="1:8" x14ac:dyDescent="0.3">
      <c r="A150" s="434" t="s">
        <v>251</v>
      </c>
      <c r="B150" s="53">
        <v>102</v>
      </c>
      <c r="C150" s="53">
        <v>1.6190476190476191</v>
      </c>
      <c r="D150" s="53">
        <v>102</v>
      </c>
      <c r="E150" s="53">
        <v>0</v>
      </c>
      <c r="F150" s="53">
        <v>0</v>
      </c>
      <c r="G150" s="53">
        <v>0</v>
      </c>
      <c r="H150" s="53">
        <v>0</v>
      </c>
    </row>
    <row r="151" spans="1:8" x14ac:dyDescent="0.3">
      <c r="A151" s="434" t="s">
        <v>252</v>
      </c>
      <c r="B151" s="53">
        <v>122664.36</v>
      </c>
      <c r="C151" s="53">
        <v>1947.0533333333333</v>
      </c>
      <c r="D151" s="53">
        <v>122664.36</v>
      </c>
      <c r="E151" s="53">
        <v>0</v>
      </c>
      <c r="F151" s="53">
        <v>0</v>
      </c>
      <c r="G151" s="53">
        <v>0</v>
      </c>
      <c r="H151" s="53">
        <v>0</v>
      </c>
    </row>
    <row r="152" spans="1:8" x14ac:dyDescent="0.3">
      <c r="A152" s="434" t="s">
        <v>253</v>
      </c>
      <c r="B152" s="53">
        <v>68807.789999999994</v>
      </c>
      <c r="C152" s="53">
        <v>1092.1871428571428</v>
      </c>
      <c r="D152" s="53">
        <v>68807.789999999994</v>
      </c>
      <c r="E152" s="53">
        <v>0</v>
      </c>
      <c r="F152" s="53">
        <v>0</v>
      </c>
      <c r="G152" s="53">
        <v>0</v>
      </c>
      <c r="H152" s="53">
        <v>0</v>
      </c>
    </row>
    <row r="153" spans="1:8" x14ac:dyDescent="0.3">
      <c r="A153" s="434" t="s">
        <v>254</v>
      </c>
      <c r="B153" s="53">
        <v>1000</v>
      </c>
      <c r="C153" s="53">
        <v>15.873015873015873</v>
      </c>
      <c r="D153" s="53">
        <v>1000</v>
      </c>
      <c r="E153" s="53">
        <v>0</v>
      </c>
      <c r="F153" s="53">
        <v>0</v>
      </c>
      <c r="G153" s="53">
        <v>0</v>
      </c>
      <c r="H153" s="53">
        <v>0</v>
      </c>
    </row>
    <row r="154" spans="1:8" x14ac:dyDescent="0.3">
      <c r="A154" s="434" t="s">
        <v>255</v>
      </c>
      <c r="B154" s="53">
        <v>1300</v>
      </c>
      <c r="C154" s="53">
        <v>20.634920634920636</v>
      </c>
      <c r="D154" s="53">
        <v>1300</v>
      </c>
      <c r="E154" s="53">
        <v>0</v>
      </c>
      <c r="F154" s="53">
        <v>0</v>
      </c>
      <c r="G154" s="53">
        <v>0</v>
      </c>
      <c r="H154" s="53">
        <v>0</v>
      </c>
    </row>
    <row r="155" spans="1:8" x14ac:dyDescent="0.3">
      <c r="A155" s="434" t="s">
        <v>256</v>
      </c>
      <c r="B155" s="53">
        <v>225268.06</v>
      </c>
      <c r="C155" s="53">
        <v>3575.6834920634919</v>
      </c>
      <c r="D155" s="53">
        <v>225268.06</v>
      </c>
      <c r="E155" s="53">
        <v>0</v>
      </c>
      <c r="F155" s="53">
        <v>0</v>
      </c>
      <c r="G155" s="53">
        <v>0</v>
      </c>
      <c r="H155" s="53">
        <v>0</v>
      </c>
    </row>
    <row r="156" spans="1:8" x14ac:dyDescent="0.3">
      <c r="A156" s="434" t="s">
        <v>257</v>
      </c>
      <c r="B156" s="53">
        <v>103600</v>
      </c>
      <c r="C156" s="53">
        <v>1644.4444444444443</v>
      </c>
      <c r="D156" s="53">
        <v>103600</v>
      </c>
      <c r="E156" s="53">
        <v>0</v>
      </c>
      <c r="F156" s="53">
        <v>0</v>
      </c>
      <c r="G156" s="53">
        <v>0</v>
      </c>
      <c r="H156" s="53">
        <v>0</v>
      </c>
    </row>
    <row r="157" spans="1:8" x14ac:dyDescent="0.3">
      <c r="A157" s="433" t="s">
        <v>91</v>
      </c>
      <c r="B157" s="53">
        <v>3355730.6219999995</v>
      </c>
      <c r="C157" s="53">
        <v>53265.565428571412</v>
      </c>
      <c r="D157" s="53">
        <v>1725656.567</v>
      </c>
      <c r="E157" s="53">
        <v>1630074.0550000002</v>
      </c>
      <c r="F157" s="53">
        <v>0</v>
      </c>
      <c r="G157" s="53">
        <v>0</v>
      </c>
      <c r="H157" s="53">
        <v>0</v>
      </c>
    </row>
    <row r="158" spans="1:8" x14ac:dyDescent="0.3">
      <c r="A158" s="434" t="s">
        <v>258</v>
      </c>
      <c r="B158" s="53">
        <v>937877.67</v>
      </c>
      <c r="C158" s="53">
        <v>14886.947142857143</v>
      </c>
      <c r="D158" s="53">
        <v>468938.83500000002</v>
      </c>
      <c r="E158" s="53">
        <v>468938.83500000002</v>
      </c>
      <c r="F158" s="53">
        <v>0</v>
      </c>
      <c r="G158" s="53">
        <v>0</v>
      </c>
      <c r="H158" s="53">
        <v>0</v>
      </c>
    </row>
    <row r="159" spans="1:8" x14ac:dyDescent="0.3">
      <c r="A159" s="434" t="s">
        <v>259</v>
      </c>
      <c r="B159" s="53">
        <v>546727.98</v>
      </c>
      <c r="C159" s="53">
        <v>8678.2219047619037</v>
      </c>
      <c r="D159" s="53">
        <v>273363.99</v>
      </c>
      <c r="E159" s="53">
        <v>273363.99</v>
      </c>
      <c r="F159" s="53">
        <v>0</v>
      </c>
      <c r="G159" s="53">
        <v>0</v>
      </c>
      <c r="H159" s="53">
        <v>0</v>
      </c>
    </row>
    <row r="160" spans="1:8" x14ac:dyDescent="0.3">
      <c r="A160" s="434" t="s">
        <v>260</v>
      </c>
      <c r="B160" s="53">
        <v>181574.8</v>
      </c>
      <c r="C160" s="53">
        <v>2882.1396825396823</v>
      </c>
      <c r="D160" s="53">
        <v>90787.4</v>
      </c>
      <c r="E160" s="53">
        <v>90787.4</v>
      </c>
      <c r="F160" s="53">
        <v>0</v>
      </c>
      <c r="G160" s="53">
        <v>0</v>
      </c>
      <c r="H160" s="53">
        <v>0</v>
      </c>
    </row>
    <row r="161" spans="1:8" x14ac:dyDescent="0.3">
      <c r="A161" s="434" t="s">
        <v>261</v>
      </c>
      <c r="B161" s="53">
        <v>10271.232</v>
      </c>
      <c r="C161" s="53">
        <v>163.03542857142858</v>
      </c>
      <c r="D161" s="53">
        <v>10271.232</v>
      </c>
      <c r="E161" s="53">
        <v>0</v>
      </c>
      <c r="F161" s="53">
        <v>0</v>
      </c>
      <c r="G161" s="53">
        <v>0</v>
      </c>
      <c r="H161" s="53">
        <v>0</v>
      </c>
    </row>
    <row r="162" spans="1:8" x14ac:dyDescent="0.3">
      <c r="A162" s="434" t="s">
        <v>262</v>
      </c>
      <c r="B162" s="53">
        <v>7878.25</v>
      </c>
      <c r="C162" s="53">
        <v>125.0515873015873</v>
      </c>
      <c r="D162" s="53">
        <v>7878.25</v>
      </c>
      <c r="E162" s="53">
        <v>0</v>
      </c>
      <c r="F162" s="53">
        <v>0</v>
      </c>
      <c r="G162" s="53">
        <v>0</v>
      </c>
      <c r="H162" s="53">
        <v>0</v>
      </c>
    </row>
    <row r="163" spans="1:8" x14ac:dyDescent="0.3">
      <c r="A163" s="434" t="s">
        <v>263</v>
      </c>
      <c r="B163" s="53">
        <v>17838.48</v>
      </c>
      <c r="C163" s="53">
        <v>283.15047619047618</v>
      </c>
      <c r="D163" s="53">
        <v>17838.48</v>
      </c>
      <c r="E163" s="53">
        <v>0</v>
      </c>
      <c r="F163" s="53">
        <v>0</v>
      </c>
      <c r="G163" s="53">
        <v>0</v>
      </c>
      <c r="H163" s="53">
        <v>0</v>
      </c>
    </row>
    <row r="164" spans="1:8" x14ac:dyDescent="0.3">
      <c r="A164" s="434" t="s">
        <v>264</v>
      </c>
      <c r="B164" s="53">
        <v>8022.1099999999988</v>
      </c>
      <c r="C164" s="53">
        <v>127.33507936507935</v>
      </c>
      <c r="D164" s="53">
        <v>8022.1099999999988</v>
      </c>
      <c r="E164" s="53">
        <v>0</v>
      </c>
      <c r="F164" s="53">
        <v>0</v>
      </c>
      <c r="G164" s="53">
        <v>0</v>
      </c>
      <c r="H164" s="53">
        <v>0</v>
      </c>
    </row>
    <row r="165" spans="1:8" x14ac:dyDescent="0.3">
      <c r="A165" s="434" t="s">
        <v>265</v>
      </c>
      <c r="B165" s="53">
        <v>588000</v>
      </c>
      <c r="C165" s="53">
        <v>9333.3333333333339</v>
      </c>
      <c r="D165" s="53">
        <v>294000</v>
      </c>
      <c r="E165" s="53">
        <v>294000</v>
      </c>
      <c r="F165" s="53">
        <v>0</v>
      </c>
      <c r="G165" s="53">
        <v>0</v>
      </c>
      <c r="H165" s="53">
        <v>0</v>
      </c>
    </row>
    <row r="166" spans="1:8" x14ac:dyDescent="0.3">
      <c r="A166" s="434" t="s">
        <v>266</v>
      </c>
      <c r="B166" s="53">
        <v>140501.32999999999</v>
      </c>
      <c r="C166" s="53">
        <v>2230.1798412698413</v>
      </c>
      <c r="D166" s="53">
        <v>70250.664999999994</v>
      </c>
      <c r="E166" s="53">
        <v>70250.664999999994</v>
      </c>
      <c r="F166" s="53">
        <v>0</v>
      </c>
      <c r="G166" s="53">
        <v>0</v>
      </c>
      <c r="H166" s="53">
        <v>0</v>
      </c>
    </row>
    <row r="167" spans="1:8" x14ac:dyDescent="0.3">
      <c r="A167" s="434" t="s">
        <v>267</v>
      </c>
      <c r="B167" s="53">
        <v>303099</v>
      </c>
      <c r="C167" s="53">
        <v>4811.0952380952385</v>
      </c>
      <c r="D167" s="53">
        <v>151549.5</v>
      </c>
      <c r="E167" s="53">
        <v>151549.5</v>
      </c>
      <c r="F167" s="53">
        <v>0</v>
      </c>
      <c r="G167" s="53">
        <v>0</v>
      </c>
      <c r="H167" s="53">
        <v>0</v>
      </c>
    </row>
    <row r="168" spans="1:8" x14ac:dyDescent="0.3">
      <c r="A168" s="434" t="s">
        <v>268</v>
      </c>
      <c r="B168" s="53">
        <v>397260.62</v>
      </c>
      <c r="C168" s="53">
        <v>6305.724126984127</v>
      </c>
      <c r="D168" s="53">
        <v>198630.31</v>
      </c>
      <c r="E168" s="53">
        <v>198630.31</v>
      </c>
      <c r="F168" s="53">
        <v>0</v>
      </c>
      <c r="G168" s="53">
        <v>0</v>
      </c>
      <c r="H168" s="53">
        <v>0</v>
      </c>
    </row>
    <row r="169" spans="1:8" x14ac:dyDescent="0.3">
      <c r="A169" s="434" t="s">
        <v>269</v>
      </c>
      <c r="B169" s="53">
        <v>165106.71</v>
      </c>
      <c r="C169" s="53">
        <v>2620.7414285714285</v>
      </c>
      <c r="D169" s="53">
        <v>82553.354999999996</v>
      </c>
      <c r="E169" s="53">
        <v>82553.354999999996</v>
      </c>
      <c r="F169" s="53">
        <v>0</v>
      </c>
      <c r="G169" s="53">
        <v>0</v>
      </c>
      <c r="H169" s="53">
        <v>0</v>
      </c>
    </row>
    <row r="170" spans="1:8" x14ac:dyDescent="0.3">
      <c r="A170" s="434" t="s">
        <v>270</v>
      </c>
      <c r="B170" s="53">
        <v>17616.11</v>
      </c>
      <c r="C170" s="53">
        <v>279.62079365079364</v>
      </c>
      <c r="D170" s="53">
        <v>17616.11</v>
      </c>
      <c r="E170" s="53">
        <v>0</v>
      </c>
      <c r="F170" s="53">
        <v>0</v>
      </c>
      <c r="G170" s="53">
        <v>0</v>
      </c>
      <c r="H170" s="53">
        <v>0</v>
      </c>
    </row>
    <row r="171" spans="1:8" x14ac:dyDescent="0.3">
      <c r="A171" s="434" t="s">
        <v>271</v>
      </c>
      <c r="B171" s="53">
        <v>25640.28</v>
      </c>
      <c r="C171" s="53">
        <v>406.98857142857139</v>
      </c>
      <c r="D171" s="53">
        <v>25640.28</v>
      </c>
      <c r="E171" s="53">
        <v>0</v>
      </c>
      <c r="F171" s="53">
        <v>0</v>
      </c>
      <c r="G171" s="53">
        <v>0</v>
      </c>
      <c r="H171" s="53">
        <v>0</v>
      </c>
    </row>
    <row r="172" spans="1:8" x14ac:dyDescent="0.3">
      <c r="A172" s="434" t="s">
        <v>272</v>
      </c>
      <c r="B172" s="53">
        <v>8316.0499999999993</v>
      </c>
      <c r="C172" s="53">
        <v>132.00079365079364</v>
      </c>
      <c r="D172" s="53">
        <v>8316.0499999999993</v>
      </c>
      <c r="E172" s="53">
        <v>0</v>
      </c>
      <c r="F172" s="53">
        <v>0</v>
      </c>
      <c r="G172" s="53">
        <v>0</v>
      </c>
      <c r="H172" s="53">
        <v>0</v>
      </c>
    </row>
    <row r="173" spans="1:8" x14ac:dyDescent="0.3">
      <c r="A173" s="433" t="s">
        <v>92</v>
      </c>
      <c r="B173" s="53">
        <v>11026133.199999999</v>
      </c>
      <c r="C173" s="53">
        <v>175017.98730158733</v>
      </c>
      <c r="D173" s="53">
        <v>6059091.2799999993</v>
      </c>
      <c r="E173" s="53">
        <v>4967041.92</v>
      </c>
      <c r="F173" s="53">
        <v>0</v>
      </c>
      <c r="G173" s="53">
        <v>0</v>
      </c>
      <c r="H173" s="53">
        <v>0</v>
      </c>
    </row>
    <row r="174" spans="1:8" x14ac:dyDescent="0.3">
      <c r="A174" s="434" t="s">
        <v>273</v>
      </c>
      <c r="B174" s="53">
        <v>1582308</v>
      </c>
      <c r="C174" s="53">
        <v>25116</v>
      </c>
      <c r="D174" s="53">
        <v>949384.79999999993</v>
      </c>
      <c r="E174" s="53">
        <v>632923.20000000007</v>
      </c>
      <c r="F174" s="53">
        <v>0</v>
      </c>
      <c r="G174" s="53">
        <v>0</v>
      </c>
      <c r="H174" s="53">
        <v>0</v>
      </c>
    </row>
    <row r="175" spans="1:8" x14ac:dyDescent="0.3">
      <c r="A175" s="434" t="s">
        <v>274</v>
      </c>
      <c r="B175" s="53">
        <v>513000</v>
      </c>
      <c r="C175" s="53">
        <v>8142.8571428571431</v>
      </c>
      <c r="D175" s="53">
        <v>256500</v>
      </c>
      <c r="E175" s="53">
        <v>256500</v>
      </c>
      <c r="F175" s="53">
        <v>0</v>
      </c>
      <c r="G175" s="53">
        <v>0</v>
      </c>
      <c r="H175" s="53">
        <v>0</v>
      </c>
    </row>
    <row r="176" spans="1:8" x14ac:dyDescent="0.3">
      <c r="A176" s="434" t="s">
        <v>275</v>
      </c>
      <c r="B176" s="53">
        <v>137025</v>
      </c>
      <c r="C176" s="53">
        <v>2175</v>
      </c>
      <c r="D176" s="53">
        <v>68512.5</v>
      </c>
      <c r="E176" s="53">
        <v>68512.5</v>
      </c>
      <c r="F176" s="53">
        <v>0</v>
      </c>
      <c r="G176" s="53">
        <v>0</v>
      </c>
      <c r="H176" s="53">
        <v>0</v>
      </c>
    </row>
    <row r="177" spans="1:8" x14ac:dyDescent="0.3">
      <c r="A177" s="434" t="s">
        <v>276</v>
      </c>
      <c r="B177" s="53">
        <v>349045.2</v>
      </c>
      <c r="C177" s="53">
        <v>5540.4000000000005</v>
      </c>
      <c r="D177" s="53">
        <v>174522.6</v>
      </c>
      <c r="E177" s="53">
        <v>174522.6</v>
      </c>
      <c r="F177" s="53">
        <v>0</v>
      </c>
      <c r="G177" s="53">
        <v>0</v>
      </c>
      <c r="H177" s="53">
        <v>0</v>
      </c>
    </row>
    <row r="178" spans="1:8" x14ac:dyDescent="0.3">
      <c r="A178" s="434" t="s">
        <v>277</v>
      </c>
      <c r="B178" s="53">
        <v>22651.649999999998</v>
      </c>
      <c r="C178" s="53">
        <v>359.54999999999995</v>
      </c>
      <c r="D178" s="53">
        <v>11325.824999999999</v>
      </c>
      <c r="E178" s="53">
        <v>11325.824999999999</v>
      </c>
      <c r="F178" s="53">
        <v>0</v>
      </c>
      <c r="G178" s="53">
        <v>0</v>
      </c>
      <c r="H178" s="53">
        <v>0</v>
      </c>
    </row>
    <row r="179" spans="1:8" x14ac:dyDescent="0.3">
      <c r="A179" s="434" t="s">
        <v>278</v>
      </c>
      <c r="B179" s="53">
        <v>740596.5</v>
      </c>
      <c r="C179" s="53">
        <v>11755.5</v>
      </c>
      <c r="D179" s="53">
        <v>370298.25</v>
      </c>
      <c r="E179" s="53">
        <v>370298.25</v>
      </c>
      <c r="F179" s="53">
        <v>0</v>
      </c>
      <c r="G179" s="53">
        <v>0</v>
      </c>
      <c r="H179" s="53">
        <v>0</v>
      </c>
    </row>
    <row r="180" spans="1:8" x14ac:dyDescent="0.3">
      <c r="A180" s="434" t="s">
        <v>279</v>
      </c>
      <c r="B180" s="53">
        <v>3298400</v>
      </c>
      <c r="C180" s="53">
        <v>52355.555555555555</v>
      </c>
      <c r="D180" s="53">
        <v>1979040</v>
      </c>
      <c r="E180" s="53">
        <v>1319360</v>
      </c>
      <c r="F180" s="53">
        <v>0</v>
      </c>
      <c r="G180" s="53">
        <v>0</v>
      </c>
      <c r="H180" s="53">
        <v>0</v>
      </c>
    </row>
    <row r="181" spans="1:8" x14ac:dyDescent="0.3">
      <c r="A181" s="434" t="s">
        <v>280</v>
      </c>
      <c r="B181" s="53">
        <v>30788.799999999999</v>
      </c>
      <c r="C181" s="53">
        <v>488.71111111111111</v>
      </c>
      <c r="D181" s="53">
        <v>18473.28</v>
      </c>
      <c r="E181" s="53">
        <v>12315.52</v>
      </c>
      <c r="F181" s="53">
        <v>0</v>
      </c>
      <c r="G181" s="53">
        <v>0</v>
      </c>
      <c r="H181" s="53">
        <v>0</v>
      </c>
    </row>
    <row r="182" spans="1:8" x14ac:dyDescent="0.3">
      <c r="A182" s="434" t="s">
        <v>281</v>
      </c>
      <c r="B182" s="53">
        <v>249659.55</v>
      </c>
      <c r="C182" s="53">
        <v>3962.85</v>
      </c>
      <c r="D182" s="53">
        <v>124829.77499999999</v>
      </c>
      <c r="E182" s="53">
        <v>124829.77499999999</v>
      </c>
      <c r="F182" s="53">
        <v>0</v>
      </c>
      <c r="G182" s="53">
        <v>0</v>
      </c>
      <c r="H182" s="53">
        <v>0</v>
      </c>
    </row>
    <row r="183" spans="1:8" x14ac:dyDescent="0.3">
      <c r="A183" s="434" t="s">
        <v>282</v>
      </c>
      <c r="B183" s="53">
        <v>748978.65</v>
      </c>
      <c r="C183" s="53">
        <v>11888.550000000001</v>
      </c>
      <c r="D183" s="53">
        <v>374489.32500000001</v>
      </c>
      <c r="E183" s="53">
        <v>374489.32500000001</v>
      </c>
      <c r="F183" s="53">
        <v>0</v>
      </c>
      <c r="G183" s="53">
        <v>0</v>
      </c>
      <c r="H183" s="53">
        <v>0</v>
      </c>
    </row>
    <row r="184" spans="1:8" x14ac:dyDescent="0.3">
      <c r="A184" s="434" t="s">
        <v>283</v>
      </c>
      <c r="B184" s="53">
        <v>109750</v>
      </c>
      <c r="C184" s="53">
        <v>1742.063492063492</v>
      </c>
      <c r="D184" s="53">
        <v>109750</v>
      </c>
      <c r="E184" s="53">
        <v>0</v>
      </c>
      <c r="F184" s="53">
        <v>0</v>
      </c>
      <c r="G184" s="53">
        <v>0</v>
      </c>
      <c r="H184" s="53">
        <v>0</v>
      </c>
    </row>
    <row r="185" spans="1:8" x14ac:dyDescent="0.3">
      <c r="A185" s="434" t="s">
        <v>284</v>
      </c>
      <c r="B185" s="53">
        <v>650412</v>
      </c>
      <c r="C185" s="53">
        <v>10324</v>
      </c>
      <c r="D185" s="53">
        <v>325206</v>
      </c>
      <c r="E185" s="53">
        <v>325206</v>
      </c>
      <c r="F185" s="53">
        <v>0</v>
      </c>
      <c r="G185" s="53">
        <v>0</v>
      </c>
      <c r="H185" s="53">
        <v>0</v>
      </c>
    </row>
    <row r="186" spans="1:8" x14ac:dyDescent="0.3">
      <c r="A186" s="434" t="s">
        <v>285</v>
      </c>
      <c r="B186" s="53">
        <v>1621005.75</v>
      </c>
      <c r="C186" s="53">
        <v>25730.25</v>
      </c>
      <c r="D186" s="53">
        <v>810502.875</v>
      </c>
      <c r="E186" s="53">
        <v>810502.875</v>
      </c>
      <c r="F186" s="53">
        <v>0</v>
      </c>
      <c r="G186" s="53">
        <v>0</v>
      </c>
      <c r="H186" s="53">
        <v>0</v>
      </c>
    </row>
    <row r="187" spans="1:8" x14ac:dyDescent="0.3">
      <c r="A187" s="434" t="s">
        <v>286</v>
      </c>
      <c r="B187" s="53">
        <v>325206</v>
      </c>
      <c r="C187" s="53">
        <v>5162</v>
      </c>
      <c r="D187" s="53">
        <v>162603</v>
      </c>
      <c r="E187" s="53">
        <v>162603</v>
      </c>
      <c r="F187" s="53">
        <v>0</v>
      </c>
      <c r="G187" s="53">
        <v>0</v>
      </c>
      <c r="H187" s="53">
        <v>0</v>
      </c>
    </row>
    <row r="188" spans="1:8" x14ac:dyDescent="0.3">
      <c r="A188" s="434" t="s">
        <v>287</v>
      </c>
      <c r="B188" s="53">
        <v>647306.1</v>
      </c>
      <c r="C188" s="53">
        <v>10274.699999999999</v>
      </c>
      <c r="D188" s="53">
        <v>323653.05</v>
      </c>
      <c r="E188" s="53">
        <v>323653.05</v>
      </c>
      <c r="F188" s="53">
        <v>0</v>
      </c>
      <c r="G188" s="53">
        <v>0</v>
      </c>
      <c r="H188" s="53">
        <v>0</v>
      </c>
    </row>
    <row r="189" spans="1:8" x14ac:dyDescent="0.3">
      <c r="A189" s="433" t="s">
        <v>94</v>
      </c>
      <c r="B189" s="53">
        <v>3752749.7820000001</v>
      </c>
      <c r="C189" s="53">
        <v>59567.456857142861</v>
      </c>
      <c r="D189" s="53">
        <v>2086251.7319999998</v>
      </c>
      <c r="E189" s="53">
        <v>1666498.0499999998</v>
      </c>
      <c r="F189" s="53">
        <v>0</v>
      </c>
      <c r="G189" s="53">
        <v>0</v>
      </c>
      <c r="H189" s="53">
        <v>0</v>
      </c>
    </row>
    <row r="190" spans="1:8" x14ac:dyDescent="0.3">
      <c r="A190" s="434" t="s">
        <v>288</v>
      </c>
      <c r="B190" s="53">
        <v>900</v>
      </c>
      <c r="C190" s="53">
        <v>14.285714285714286</v>
      </c>
      <c r="D190" s="53">
        <v>900</v>
      </c>
      <c r="E190" s="53">
        <v>0</v>
      </c>
      <c r="F190" s="53">
        <v>0</v>
      </c>
      <c r="G190" s="53">
        <v>0</v>
      </c>
      <c r="H190" s="53">
        <v>0</v>
      </c>
    </row>
    <row r="191" spans="1:8" x14ac:dyDescent="0.3">
      <c r="A191" s="434" t="s">
        <v>289</v>
      </c>
      <c r="B191" s="53">
        <v>7134.58</v>
      </c>
      <c r="C191" s="53">
        <v>113.24730158730159</v>
      </c>
      <c r="D191" s="53">
        <v>7134.58</v>
      </c>
      <c r="E191" s="53">
        <v>0</v>
      </c>
      <c r="F191" s="53">
        <v>0</v>
      </c>
      <c r="G191" s="53">
        <v>0</v>
      </c>
      <c r="H191" s="53">
        <v>0</v>
      </c>
    </row>
    <row r="192" spans="1:8" x14ac:dyDescent="0.3">
      <c r="A192" s="434" t="s">
        <v>290</v>
      </c>
      <c r="B192" s="53">
        <v>80838.44</v>
      </c>
      <c r="C192" s="53">
        <v>1283.1498412698413</v>
      </c>
      <c r="D192" s="53">
        <v>80838.44</v>
      </c>
      <c r="E192" s="53">
        <v>0</v>
      </c>
      <c r="F192" s="53">
        <v>0</v>
      </c>
      <c r="G192" s="53">
        <v>0</v>
      </c>
      <c r="H192" s="53">
        <v>0</v>
      </c>
    </row>
    <row r="193" spans="1:8" x14ac:dyDescent="0.3">
      <c r="A193" s="434" t="s">
        <v>291</v>
      </c>
      <c r="B193" s="53">
        <v>142506</v>
      </c>
      <c r="C193" s="53">
        <v>2262</v>
      </c>
      <c r="D193" s="53">
        <v>71253</v>
      </c>
      <c r="E193" s="53">
        <v>71253</v>
      </c>
      <c r="F193" s="53">
        <v>0</v>
      </c>
      <c r="G193" s="53">
        <v>0</v>
      </c>
      <c r="H193" s="53">
        <v>0</v>
      </c>
    </row>
    <row r="194" spans="1:8" x14ac:dyDescent="0.3">
      <c r="A194" s="434" t="s">
        <v>292</v>
      </c>
      <c r="B194" s="53">
        <v>673066.8</v>
      </c>
      <c r="C194" s="53">
        <v>10683.6</v>
      </c>
      <c r="D194" s="53">
        <v>336533.4</v>
      </c>
      <c r="E194" s="53">
        <v>336533.4</v>
      </c>
      <c r="F194" s="53">
        <v>0</v>
      </c>
      <c r="G194" s="53">
        <v>0</v>
      </c>
      <c r="H194" s="53">
        <v>0</v>
      </c>
    </row>
    <row r="195" spans="1:8" x14ac:dyDescent="0.3">
      <c r="A195" s="434" t="s">
        <v>293</v>
      </c>
      <c r="B195" s="53">
        <v>2517423.2999999998</v>
      </c>
      <c r="C195" s="53">
        <v>39959.1</v>
      </c>
      <c r="D195" s="53">
        <v>1258711.6499999999</v>
      </c>
      <c r="E195" s="53">
        <v>1258711.6499999999</v>
      </c>
      <c r="F195" s="53">
        <v>0</v>
      </c>
      <c r="G195" s="53">
        <v>0</v>
      </c>
      <c r="H195" s="53">
        <v>0</v>
      </c>
    </row>
    <row r="196" spans="1:8" x14ac:dyDescent="0.3">
      <c r="A196" s="434" t="s">
        <v>294</v>
      </c>
      <c r="B196" s="53">
        <v>330880.66200000001</v>
      </c>
      <c r="C196" s="53">
        <v>5252.0740000000005</v>
      </c>
      <c r="D196" s="53">
        <v>330880.66200000001</v>
      </c>
      <c r="E196" s="53">
        <v>0</v>
      </c>
      <c r="F196" s="53">
        <v>0</v>
      </c>
      <c r="G196" s="53">
        <v>0</v>
      </c>
      <c r="H196" s="53">
        <v>0</v>
      </c>
    </row>
    <row r="197" spans="1:8" x14ac:dyDescent="0.3">
      <c r="A197" s="433" t="s">
        <v>98</v>
      </c>
      <c r="B197" s="53">
        <v>22893893.465999998</v>
      </c>
      <c r="C197" s="53">
        <v>363395.13438095234</v>
      </c>
      <c r="D197" s="53">
        <v>11506946.732999999</v>
      </c>
      <c r="E197" s="53">
        <v>11386946.732999999</v>
      </c>
      <c r="F197" s="53">
        <v>0</v>
      </c>
      <c r="G197" s="53">
        <v>0</v>
      </c>
      <c r="H197" s="53">
        <v>0</v>
      </c>
    </row>
    <row r="198" spans="1:8" x14ac:dyDescent="0.3">
      <c r="A198" s="434" t="s">
        <v>295</v>
      </c>
      <c r="B198" s="53">
        <v>794247.12000000011</v>
      </c>
      <c r="C198" s="53">
        <v>12607.097142857145</v>
      </c>
      <c r="D198" s="53">
        <v>397123.56000000006</v>
      </c>
      <c r="E198" s="53">
        <v>397123.56000000006</v>
      </c>
      <c r="F198" s="53">
        <v>0</v>
      </c>
      <c r="G198" s="53">
        <v>0</v>
      </c>
      <c r="H198" s="53">
        <v>0</v>
      </c>
    </row>
    <row r="199" spans="1:8" x14ac:dyDescent="0.3">
      <c r="A199" s="434" t="s">
        <v>296</v>
      </c>
      <c r="B199" s="53">
        <v>21499646.345999997</v>
      </c>
      <c r="C199" s="53">
        <v>341264.22771428566</v>
      </c>
      <c r="D199" s="53">
        <v>10749823.172999999</v>
      </c>
      <c r="E199" s="53">
        <v>10749823.172999999</v>
      </c>
      <c r="F199" s="53">
        <v>0</v>
      </c>
      <c r="G199" s="53">
        <v>0</v>
      </c>
      <c r="H199" s="53">
        <v>0</v>
      </c>
    </row>
    <row r="200" spans="1:8" x14ac:dyDescent="0.3">
      <c r="A200" s="434" t="s">
        <v>297</v>
      </c>
      <c r="B200" s="53">
        <v>600000</v>
      </c>
      <c r="C200" s="53">
        <v>9523.8095238095229</v>
      </c>
      <c r="D200" s="53">
        <v>360000</v>
      </c>
      <c r="E200" s="53">
        <v>240000</v>
      </c>
      <c r="F200" s="53">
        <v>0</v>
      </c>
      <c r="G200" s="53">
        <v>0</v>
      </c>
      <c r="H200" s="53">
        <v>0</v>
      </c>
    </row>
    <row r="201" spans="1:8" x14ac:dyDescent="0.3">
      <c r="A201" s="433" t="s">
        <v>99</v>
      </c>
      <c r="B201" s="53">
        <v>2205288.5039999997</v>
      </c>
      <c r="C201" s="53">
        <v>35004.579428571422</v>
      </c>
      <c r="D201" s="53">
        <v>1102644.2519999999</v>
      </c>
      <c r="E201" s="53">
        <v>1102644.2519999999</v>
      </c>
      <c r="F201" s="53">
        <v>0</v>
      </c>
      <c r="G201" s="53">
        <v>0</v>
      </c>
      <c r="H201" s="53">
        <v>0</v>
      </c>
    </row>
    <row r="202" spans="1:8" x14ac:dyDescent="0.3">
      <c r="A202" s="434" t="s">
        <v>298</v>
      </c>
      <c r="B202" s="53">
        <v>2205288.5039999997</v>
      </c>
      <c r="C202" s="53">
        <v>35004.579428571422</v>
      </c>
      <c r="D202" s="53">
        <v>1102644.2519999999</v>
      </c>
      <c r="E202" s="53">
        <v>1102644.2519999999</v>
      </c>
      <c r="F202" s="53">
        <v>0</v>
      </c>
      <c r="G202" s="53">
        <v>0</v>
      </c>
      <c r="H202" s="53">
        <v>0</v>
      </c>
    </row>
    <row r="203" spans="1:8" x14ac:dyDescent="0.3">
      <c r="A203" s="433" t="s">
        <v>101</v>
      </c>
      <c r="B203" s="53">
        <v>2911662.1825402598</v>
      </c>
      <c r="C203" s="53">
        <v>46216.860040321582</v>
      </c>
      <c r="D203" s="53">
        <v>1455831.0912701299</v>
      </c>
      <c r="E203" s="53">
        <v>1455831.0912701299</v>
      </c>
      <c r="F203" s="53">
        <v>0</v>
      </c>
      <c r="G203" s="53">
        <v>0</v>
      </c>
      <c r="H203" s="53">
        <v>0</v>
      </c>
    </row>
    <row r="204" spans="1:8" x14ac:dyDescent="0.3">
      <c r="A204" s="434" t="s">
        <v>299</v>
      </c>
      <c r="B204" s="53">
        <v>112225.10928571429</v>
      </c>
      <c r="C204" s="53">
        <v>1781.350941043084</v>
      </c>
      <c r="D204" s="53">
        <v>56112.554642857147</v>
      </c>
      <c r="E204" s="53">
        <v>56112.554642857147</v>
      </c>
      <c r="F204" s="53">
        <v>0</v>
      </c>
      <c r="G204" s="53">
        <v>0</v>
      </c>
      <c r="H204" s="53">
        <v>0</v>
      </c>
    </row>
    <row r="205" spans="1:8" x14ac:dyDescent="0.3">
      <c r="A205" s="434" t="s">
        <v>300</v>
      </c>
      <c r="B205" s="53">
        <v>198974.64600000001</v>
      </c>
      <c r="C205" s="53">
        <v>3158.3277142857146</v>
      </c>
      <c r="D205" s="53">
        <v>99487.323000000004</v>
      </c>
      <c r="E205" s="53">
        <v>99487.323000000004</v>
      </c>
      <c r="F205" s="53">
        <v>0</v>
      </c>
      <c r="G205" s="53">
        <v>0</v>
      </c>
      <c r="H205" s="53">
        <v>0</v>
      </c>
    </row>
    <row r="206" spans="1:8" x14ac:dyDescent="0.3">
      <c r="A206" s="434" t="s">
        <v>301</v>
      </c>
      <c r="B206" s="53">
        <v>1821648.5819999999</v>
      </c>
      <c r="C206" s="53">
        <v>28915.056857142856</v>
      </c>
      <c r="D206" s="53">
        <v>910824.29099999997</v>
      </c>
      <c r="E206" s="53">
        <v>910824.29099999997</v>
      </c>
      <c r="F206" s="53">
        <v>0</v>
      </c>
      <c r="G206" s="53">
        <v>0</v>
      </c>
      <c r="H206" s="53">
        <v>0</v>
      </c>
    </row>
    <row r="207" spans="1:8" x14ac:dyDescent="0.3">
      <c r="A207" s="434" t="s">
        <v>302</v>
      </c>
      <c r="B207" s="53">
        <v>616147.67795454548</v>
      </c>
      <c r="C207" s="53">
        <v>9780.1218722943722</v>
      </c>
      <c r="D207" s="53">
        <v>308073.83897727274</v>
      </c>
      <c r="E207" s="53">
        <v>308073.83897727274</v>
      </c>
      <c r="F207" s="53">
        <v>0</v>
      </c>
      <c r="G207" s="53">
        <v>0</v>
      </c>
      <c r="H207" s="53">
        <v>0</v>
      </c>
    </row>
    <row r="208" spans="1:8" x14ac:dyDescent="0.3">
      <c r="A208" s="434" t="s">
        <v>303</v>
      </c>
      <c r="B208" s="53">
        <v>22644.784499999998</v>
      </c>
      <c r="C208" s="53">
        <v>359.44102380952376</v>
      </c>
      <c r="D208" s="53">
        <v>11322.392249999999</v>
      </c>
      <c r="E208" s="53">
        <v>11322.392249999999</v>
      </c>
      <c r="F208" s="53">
        <v>0</v>
      </c>
      <c r="G208" s="53">
        <v>0</v>
      </c>
      <c r="H208" s="53">
        <v>0</v>
      </c>
    </row>
    <row r="209" spans="1:8" x14ac:dyDescent="0.3">
      <c r="A209" s="434" t="s">
        <v>304</v>
      </c>
      <c r="B209" s="53">
        <v>123929.364</v>
      </c>
      <c r="C209" s="53">
        <v>1967.132761904762</v>
      </c>
      <c r="D209" s="53">
        <v>61964.682000000001</v>
      </c>
      <c r="E209" s="53">
        <v>61964.682000000001</v>
      </c>
      <c r="F209" s="53">
        <v>0</v>
      </c>
      <c r="G209" s="53">
        <v>0</v>
      </c>
      <c r="H209" s="53">
        <v>0</v>
      </c>
    </row>
    <row r="210" spans="1:8" x14ac:dyDescent="0.3">
      <c r="A210" s="434" t="s">
        <v>305</v>
      </c>
      <c r="B210" s="53">
        <v>16092.018799999998</v>
      </c>
      <c r="C210" s="53">
        <v>255.4288698412698</v>
      </c>
      <c r="D210" s="53">
        <v>8046.009399999999</v>
      </c>
      <c r="E210" s="53">
        <v>8046.009399999999</v>
      </c>
      <c r="F210" s="53">
        <v>0</v>
      </c>
      <c r="G210" s="53">
        <v>0</v>
      </c>
      <c r="H210" s="53">
        <v>0</v>
      </c>
    </row>
    <row r="211" spans="1:8" x14ac:dyDescent="0.3">
      <c r="A211" s="433" t="s">
        <v>102</v>
      </c>
      <c r="B211" s="53">
        <v>969778.3256000001</v>
      </c>
      <c r="C211" s="53">
        <v>15393.306755555557</v>
      </c>
      <c r="D211" s="53">
        <v>581866.99536000006</v>
      </c>
      <c r="E211" s="53">
        <v>387911.33024000004</v>
      </c>
      <c r="F211" s="53">
        <v>0</v>
      </c>
      <c r="G211" s="53">
        <v>0</v>
      </c>
      <c r="H211" s="53">
        <v>0</v>
      </c>
    </row>
    <row r="212" spans="1:8" x14ac:dyDescent="0.3">
      <c r="A212" s="434" t="s">
        <v>306</v>
      </c>
      <c r="B212" s="53">
        <v>969778.3256000001</v>
      </c>
      <c r="C212" s="53">
        <v>15393.306755555557</v>
      </c>
      <c r="D212" s="53">
        <v>581866.99536000006</v>
      </c>
      <c r="E212" s="53">
        <v>387911.33024000004</v>
      </c>
      <c r="F212" s="53">
        <v>0</v>
      </c>
      <c r="G212" s="53">
        <v>0</v>
      </c>
      <c r="H212" s="53">
        <v>0</v>
      </c>
    </row>
    <row r="213" spans="1:8" x14ac:dyDescent="0.3">
      <c r="A213" s="433" t="s">
        <v>103</v>
      </c>
      <c r="B213" s="53">
        <v>5742988.2599999988</v>
      </c>
      <c r="C213" s="53">
        <v>91158.543809523806</v>
      </c>
      <c r="D213" s="53">
        <v>3937706.31</v>
      </c>
      <c r="E213" s="53">
        <v>1805281.95</v>
      </c>
      <c r="F213" s="53">
        <v>0</v>
      </c>
      <c r="G213" s="53">
        <v>0</v>
      </c>
      <c r="H213" s="53">
        <v>0</v>
      </c>
    </row>
    <row r="214" spans="1:8" x14ac:dyDescent="0.3">
      <c r="A214" s="434" t="s">
        <v>307</v>
      </c>
      <c r="B214" s="53">
        <v>16288</v>
      </c>
      <c r="C214" s="53">
        <v>258.53968253968253</v>
      </c>
      <c r="D214" s="53">
        <v>16288</v>
      </c>
      <c r="E214" s="53">
        <v>0</v>
      </c>
      <c r="F214" s="53">
        <v>0</v>
      </c>
      <c r="G214" s="53">
        <v>0</v>
      </c>
      <c r="H214" s="53">
        <v>0</v>
      </c>
    </row>
    <row r="215" spans="1:8" x14ac:dyDescent="0.3">
      <c r="A215" s="434" t="s">
        <v>308</v>
      </c>
      <c r="B215" s="53">
        <v>9893.11</v>
      </c>
      <c r="C215" s="53">
        <v>157.03349206349208</v>
      </c>
      <c r="D215" s="53">
        <v>4946.5550000000003</v>
      </c>
      <c r="E215" s="53">
        <v>4946.5550000000003</v>
      </c>
      <c r="F215" s="53">
        <v>0</v>
      </c>
      <c r="G215" s="53">
        <v>0</v>
      </c>
      <c r="H215" s="53">
        <v>0</v>
      </c>
    </row>
    <row r="216" spans="1:8" x14ac:dyDescent="0.3">
      <c r="A216" s="434" t="s">
        <v>309</v>
      </c>
      <c r="B216" s="53">
        <v>12000</v>
      </c>
      <c r="C216" s="53">
        <v>190.47619047619048</v>
      </c>
      <c r="D216" s="53">
        <v>12000</v>
      </c>
      <c r="E216" s="53">
        <v>0</v>
      </c>
      <c r="F216" s="53">
        <v>0</v>
      </c>
      <c r="G216" s="53">
        <v>0</v>
      </c>
      <c r="H216" s="53">
        <v>0</v>
      </c>
    </row>
    <row r="217" spans="1:8" x14ac:dyDescent="0.3">
      <c r="A217" s="434" t="s">
        <v>310</v>
      </c>
      <c r="B217" s="53">
        <v>91067.75</v>
      </c>
      <c r="C217" s="53">
        <v>1445.5198412698412</v>
      </c>
      <c r="D217" s="53">
        <v>91067.75</v>
      </c>
      <c r="E217" s="53">
        <v>0</v>
      </c>
      <c r="F217" s="53">
        <v>0</v>
      </c>
      <c r="G217" s="53">
        <v>0</v>
      </c>
      <c r="H217" s="53">
        <v>0</v>
      </c>
    </row>
    <row r="218" spans="1:8" x14ac:dyDescent="0.3">
      <c r="A218" s="434" t="s">
        <v>311</v>
      </c>
      <c r="B218" s="53">
        <v>347987.29</v>
      </c>
      <c r="C218" s="53">
        <v>5523.6077777777773</v>
      </c>
      <c r="D218" s="53">
        <v>347987.29</v>
      </c>
      <c r="E218" s="53">
        <v>0</v>
      </c>
      <c r="F218" s="53">
        <v>0</v>
      </c>
      <c r="G218" s="53">
        <v>0</v>
      </c>
      <c r="H218" s="53">
        <v>0</v>
      </c>
    </row>
    <row r="219" spans="1:8" x14ac:dyDescent="0.3">
      <c r="A219" s="434" t="s">
        <v>312</v>
      </c>
      <c r="B219" s="53">
        <v>41428.57</v>
      </c>
      <c r="C219" s="53">
        <v>657.59634920634915</v>
      </c>
      <c r="D219" s="53">
        <v>41428.57</v>
      </c>
      <c r="E219" s="53">
        <v>0</v>
      </c>
      <c r="F219" s="53">
        <v>0</v>
      </c>
      <c r="G219" s="53">
        <v>0</v>
      </c>
      <c r="H219" s="53">
        <v>0</v>
      </c>
    </row>
    <row r="220" spans="1:8" x14ac:dyDescent="0.3">
      <c r="A220" s="434" t="s">
        <v>313</v>
      </c>
      <c r="B220" s="53">
        <v>37718.239999999998</v>
      </c>
      <c r="C220" s="53">
        <v>598.70222222222219</v>
      </c>
      <c r="D220" s="53">
        <v>18859.12</v>
      </c>
      <c r="E220" s="53">
        <v>18859.12</v>
      </c>
      <c r="F220" s="53">
        <v>0</v>
      </c>
      <c r="G220" s="53">
        <v>0</v>
      </c>
      <c r="H220" s="53">
        <v>0</v>
      </c>
    </row>
    <row r="221" spans="1:8" x14ac:dyDescent="0.3">
      <c r="A221" s="434" t="s">
        <v>314</v>
      </c>
      <c r="B221" s="53">
        <v>245000</v>
      </c>
      <c r="C221" s="53">
        <v>3888.8888888888887</v>
      </c>
      <c r="D221" s="53">
        <v>122500</v>
      </c>
      <c r="E221" s="53">
        <v>122500</v>
      </c>
      <c r="F221" s="53">
        <v>0</v>
      </c>
      <c r="G221" s="53">
        <v>0</v>
      </c>
      <c r="H221" s="53">
        <v>0</v>
      </c>
    </row>
    <row r="222" spans="1:8" x14ac:dyDescent="0.3">
      <c r="A222" s="434" t="s">
        <v>315</v>
      </c>
      <c r="B222" s="53">
        <v>42630</v>
      </c>
      <c r="C222" s="53">
        <v>676.66666666666663</v>
      </c>
      <c r="D222" s="53">
        <v>21315</v>
      </c>
      <c r="E222" s="53">
        <v>21315</v>
      </c>
      <c r="F222" s="53">
        <v>0</v>
      </c>
      <c r="G222" s="53">
        <v>0</v>
      </c>
      <c r="H222" s="53">
        <v>0</v>
      </c>
    </row>
    <row r="223" spans="1:8" x14ac:dyDescent="0.3">
      <c r="A223" s="434" t="s">
        <v>316</v>
      </c>
      <c r="B223" s="53">
        <v>44345</v>
      </c>
      <c r="C223" s="53">
        <v>703.88888888888891</v>
      </c>
      <c r="D223" s="53">
        <v>22172.5</v>
      </c>
      <c r="E223" s="53">
        <v>22172.5</v>
      </c>
      <c r="F223" s="53">
        <v>0</v>
      </c>
      <c r="G223" s="53">
        <v>0</v>
      </c>
      <c r="H223" s="53">
        <v>0</v>
      </c>
    </row>
    <row r="224" spans="1:8" x14ac:dyDescent="0.3">
      <c r="A224" s="434" t="s">
        <v>317</v>
      </c>
      <c r="B224" s="53">
        <v>71010.8</v>
      </c>
      <c r="C224" s="53">
        <v>1127.1555555555556</v>
      </c>
      <c r="D224" s="53">
        <v>35505.4</v>
      </c>
      <c r="E224" s="53">
        <v>35505.4</v>
      </c>
      <c r="F224" s="53">
        <v>0</v>
      </c>
      <c r="G224" s="53">
        <v>0</v>
      </c>
      <c r="H224" s="53">
        <v>0</v>
      </c>
    </row>
    <row r="225" spans="1:8" x14ac:dyDescent="0.3">
      <c r="A225" s="434" t="s">
        <v>318</v>
      </c>
      <c r="B225" s="53">
        <v>87000.05</v>
      </c>
      <c r="C225" s="53">
        <v>1380.9531746031746</v>
      </c>
      <c r="D225" s="53">
        <v>43500.025000000001</v>
      </c>
      <c r="E225" s="53">
        <v>43500.025000000001</v>
      </c>
      <c r="F225" s="53">
        <v>0</v>
      </c>
      <c r="G225" s="53">
        <v>0</v>
      </c>
      <c r="H225" s="53">
        <v>0</v>
      </c>
    </row>
    <row r="226" spans="1:8" x14ac:dyDescent="0.3">
      <c r="A226" s="434" t="s">
        <v>319</v>
      </c>
      <c r="B226" s="53">
        <v>41538.28</v>
      </c>
      <c r="C226" s="53">
        <v>659.33777777777777</v>
      </c>
      <c r="D226" s="53">
        <v>20769.14</v>
      </c>
      <c r="E226" s="53">
        <v>20769.14</v>
      </c>
      <c r="F226" s="53">
        <v>0</v>
      </c>
      <c r="G226" s="53">
        <v>0</v>
      </c>
      <c r="H226" s="53">
        <v>0</v>
      </c>
    </row>
    <row r="227" spans="1:8" x14ac:dyDescent="0.3">
      <c r="A227" s="434" t="s">
        <v>320</v>
      </c>
      <c r="B227" s="53">
        <v>58496.2</v>
      </c>
      <c r="C227" s="53">
        <v>928.51111111111106</v>
      </c>
      <c r="D227" s="53">
        <v>29248.1</v>
      </c>
      <c r="E227" s="53">
        <v>29248.1</v>
      </c>
      <c r="F227" s="53">
        <v>0</v>
      </c>
      <c r="G227" s="53">
        <v>0</v>
      </c>
      <c r="H227" s="53">
        <v>0</v>
      </c>
    </row>
    <row r="228" spans="1:8" x14ac:dyDescent="0.3">
      <c r="A228" s="434" t="s">
        <v>321</v>
      </c>
      <c r="B228" s="53">
        <v>33891.339999999997</v>
      </c>
      <c r="C228" s="53">
        <v>537.95777777777778</v>
      </c>
      <c r="D228" s="53">
        <v>16945.669999999998</v>
      </c>
      <c r="E228" s="53">
        <v>16945.669999999998</v>
      </c>
      <c r="F228" s="53">
        <v>0</v>
      </c>
      <c r="G228" s="53">
        <v>0</v>
      </c>
      <c r="H228" s="53">
        <v>0</v>
      </c>
    </row>
    <row r="229" spans="1:8" x14ac:dyDescent="0.3">
      <c r="A229" s="434" t="s">
        <v>322</v>
      </c>
      <c r="B229" s="53">
        <v>74970</v>
      </c>
      <c r="C229" s="53">
        <v>1190</v>
      </c>
      <c r="D229" s="53">
        <v>37485</v>
      </c>
      <c r="E229" s="53">
        <v>37485</v>
      </c>
      <c r="F229" s="53">
        <v>0</v>
      </c>
      <c r="G229" s="53">
        <v>0</v>
      </c>
      <c r="H229" s="53">
        <v>0</v>
      </c>
    </row>
    <row r="230" spans="1:8" x14ac:dyDescent="0.3">
      <c r="A230" s="434" t="s">
        <v>323</v>
      </c>
      <c r="B230" s="53">
        <v>68208</v>
      </c>
      <c r="C230" s="53">
        <v>1082.6666666666667</v>
      </c>
      <c r="D230" s="53">
        <v>34104</v>
      </c>
      <c r="E230" s="53">
        <v>34104</v>
      </c>
      <c r="F230" s="53">
        <v>0</v>
      </c>
      <c r="G230" s="53">
        <v>0</v>
      </c>
      <c r="H230" s="53">
        <v>0</v>
      </c>
    </row>
    <row r="231" spans="1:8" x14ac:dyDescent="0.3">
      <c r="A231" s="434" t="s">
        <v>324</v>
      </c>
      <c r="B231" s="53">
        <v>37718.239999999998</v>
      </c>
      <c r="C231" s="53">
        <v>598.70222222222219</v>
      </c>
      <c r="D231" s="53">
        <v>18859.12</v>
      </c>
      <c r="E231" s="53">
        <v>18859.12</v>
      </c>
      <c r="F231" s="53">
        <v>0</v>
      </c>
      <c r="G231" s="53">
        <v>0</v>
      </c>
      <c r="H231" s="53">
        <v>0</v>
      </c>
    </row>
    <row r="232" spans="1:8" x14ac:dyDescent="0.3">
      <c r="A232" s="434" t="s">
        <v>325</v>
      </c>
      <c r="B232" s="53">
        <v>37718.239999999998</v>
      </c>
      <c r="C232" s="53">
        <v>598.70222222222219</v>
      </c>
      <c r="D232" s="53">
        <v>18859.12</v>
      </c>
      <c r="E232" s="53">
        <v>18859.12</v>
      </c>
      <c r="F232" s="53">
        <v>0</v>
      </c>
      <c r="G232" s="53">
        <v>0</v>
      </c>
      <c r="H232" s="53">
        <v>0</v>
      </c>
    </row>
    <row r="233" spans="1:8" x14ac:dyDescent="0.3">
      <c r="A233" s="434" t="s">
        <v>326</v>
      </c>
      <c r="B233" s="53">
        <v>189000</v>
      </c>
      <c r="C233" s="53">
        <v>3000</v>
      </c>
      <c r="D233" s="53">
        <v>189000</v>
      </c>
      <c r="E233" s="53">
        <v>0</v>
      </c>
      <c r="F233" s="53">
        <v>0</v>
      </c>
      <c r="G233" s="53">
        <v>0</v>
      </c>
      <c r="H233" s="53">
        <v>0</v>
      </c>
    </row>
    <row r="234" spans="1:8" x14ac:dyDescent="0.3">
      <c r="A234" s="434" t="s">
        <v>327</v>
      </c>
      <c r="B234" s="53">
        <v>48800</v>
      </c>
      <c r="C234" s="53">
        <v>774.60317460317458</v>
      </c>
      <c r="D234" s="53">
        <v>32400</v>
      </c>
      <c r="E234" s="53">
        <v>16400</v>
      </c>
      <c r="F234" s="53">
        <v>0</v>
      </c>
      <c r="G234" s="53">
        <v>0</v>
      </c>
      <c r="H234" s="53">
        <v>0</v>
      </c>
    </row>
    <row r="235" spans="1:8" x14ac:dyDescent="0.3">
      <c r="A235" s="434" t="s">
        <v>328</v>
      </c>
      <c r="B235" s="53">
        <v>36260</v>
      </c>
      <c r="C235" s="53">
        <v>575.55555555555554</v>
      </c>
      <c r="D235" s="53">
        <v>18130</v>
      </c>
      <c r="E235" s="53">
        <v>18130</v>
      </c>
      <c r="F235" s="53">
        <v>0</v>
      </c>
      <c r="G235" s="53">
        <v>0</v>
      </c>
      <c r="H235" s="53">
        <v>0</v>
      </c>
    </row>
    <row r="236" spans="1:8" x14ac:dyDescent="0.3">
      <c r="A236" s="434" t="s">
        <v>329</v>
      </c>
      <c r="B236" s="53">
        <v>6139.12</v>
      </c>
      <c r="C236" s="53">
        <v>97.446349206349211</v>
      </c>
      <c r="D236" s="53">
        <v>6139.12</v>
      </c>
      <c r="E236" s="53">
        <v>0</v>
      </c>
      <c r="F236" s="53">
        <v>0</v>
      </c>
      <c r="G236" s="53">
        <v>0</v>
      </c>
      <c r="H236" s="53">
        <v>0</v>
      </c>
    </row>
    <row r="237" spans="1:8" x14ac:dyDescent="0.3">
      <c r="A237" s="434" t="s">
        <v>330</v>
      </c>
      <c r="B237" s="53">
        <v>235320.36</v>
      </c>
      <c r="C237" s="53">
        <v>3735.2438095238094</v>
      </c>
      <c r="D237" s="53">
        <v>235320.36</v>
      </c>
      <c r="E237" s="53">
        <v>0</v>
      </c>
      <c r="F237" s="53">
        <v>0</v>
      </c>
      <c r="G237" s="53">
        <v>0</v>
      </c>
      <c r="H237" s="53">
        <v>0</v>
      </c>
    </row>
    <row r="238" spans="1:8" x14ac:dyDescent="0.3">
      <c r="A238" s="434" t="s">
        <v>331</v>
      </c>
      <c r="B238" s="53">
        <v>6779.66</v>
      </c>
      <c r="C238" s="53">
        <v>107.61365079365079</v>
      </c>
      <c r="D238" s="53">
        <v>6779.66</v>
      </c>
      <c r="E238" s="53">
        <v>0</v>
      </c>
      <c r="F238" s="53">
        <v>0</v>
      </c>
      <c r="G238" s="53">
        <v>0</v>
      </c>
      <c r="H238" s="53">
        <v>0</v>
      </c>
    </row>
    <row r="239" spans="1:8" x14ac:dyDescent="0.3">
      <c r="A239" s="434" t="s">
        <v>332</v>
      </c>
      <c r="B239" s="53">
        <v>878493.7</v>
      </c>
      <c r="C239" s="53">
        <v>13944.344444444443</v>
      </c>
      <c r="D239" s="53">
        <v>878493.7</v>
      </c>
      <c r="E239" s="53">
        <v>0</v>
      </c>
      <c r="F239" s="53">
        <v>0</v>
      </c>
      <c r="G239" s="53">
        <v>0</v>
      </c>
      <c r="H239" s="53">
        <v>0</v>
      </c>
    </row>
    <row r="240" spans="1:8" x14ac:dyDescent="0.3">
      <c r="A240" s="434" t="s">
        <v>333</v>
      </c>
      <c r="B240" s="53">
        <v>1910000</v>
      </c>
      <c r="C240" s="53">
        <v>30317.460317460318</v>
      </c>
      <c r="D240" s="53">
        <v>955000</v>
      </c>
      <c r="E240" s="53">
        <v>955000</v>
      </c>
      <c r="F240" s="53">
        <v>0</v>
      </c>
      <c r="G240" s="53">
        <v>0</v>
      </c>
      <c r="H240" s="53">
        <v>0</v>
      </c>
    </row>
    <row r="241" spans="1:8" x14ac:dyDescent="0.3">
      <c r="A241" s="434" t="s">
        <v>334</v>
      </c>
      <c r="B241" s="53">
        <v>542000</v>
      </c>
      <c r="C241" s="53">
        <v>8603.1746031746025</v>
      </c>
      <c r="D241" s="53">
        <v>271000</v>
      </c>
      <c r="E241" s="53">
        <v>271000</v>
      </c>
      <c r="F241" s="53">
        <v>0</v>
      </c>
      <c r="G241" s="53">
        <v>0</v>
      </c>
      <c r="H241" s="53">
        <v>0</v>
      </c>
    </row>
    <row r="242" spans="1:8" x14ac:dyDescent="0.3">
      <c r="A242" s="434" t="s">
        <v>335</v>
      </c>
      <c r="B242" s="53">
        <v>65424.800000000003</v>
      </c>
      <c r="C242" s="53">
        <v>1038.4888888888888</v>
      </c>
      <c r="D242" s="53">
        <v>32712.400000000001</v>
      </c>
      <c r="E242" s="53">
        <v>32712.400000000001</v>
      </c>
      <c r="F242" s="53">
        <v>0</v>
      </c>
      <c r="G242" s="53">
        <v>0</v>
      </c>
      <c r="H242" s="53">
        <v>0</v>
      </c>
    </row>
    <row r="243" spans="1:8" x14ac:dyDescent="0.3">
      <c r="A243" s="434" t="s">
        <v>336</v>
      </c>
      <c r="B243" s="53">
        <v>19049.52</v>
      </c>
      <c r="C243" s="53">
        <v>302.37333333333333</v>
      </c>
      <c r="D243" s="53">
        <v>19049.52</v>
      </c>
      <c r="E243" s="53">
        <v>0</v>
      </c>
      <c r="F243" s="53">
        <v>0</v>
      </c>
      <c r="G243" s="53">
        <v>0</v>
      </c>
      <c r="H243" s="53">
        <v>0</v>
      </c>
    </row>
    <row r="244" spans="1:8" x14ac:dyDescent="0.3">
      <c r="A244" s="434" t="s">
        <v>337</v>
      </c>
      <c r="B244" s="53">
        <v>14067.79</v>
      </c>
      <c r="C244" s="53">
        <v>223.29825396825399</v>
      </c>
      <c r="D244" s="53">
        <v>14067.79</v>
      </c>
      <c r="E244" s="53">
        <v>0</v>
      </c>
      <c r="F244" s="53">
        <v>0</v>
      </c>
      <c r="G244" s="53">
        <v>0</v>
      </c>
      <c r="H244" s="53">
        <v>0</v>
      </c>
    </row>
    <row r="245" spans="1:8" x14ac:dyDescent="0.3">
      <c r="A245" s="434" t="s">
        <v>338</v>
      </c>
      <c r="B245" s="53">
        <v>242023</v>
      </c>
      <c r="C245" s="53">
        <v>3841.6349206349205</v>
      </c>
      <c r="D245" s="53">
        <v>242023</v>
      </c>
      <c r="E245" s="53">
        <v>0</v>
      </c>
      <c r="F245" s="53">
        <v>0</v>
      </c>
      <c r="G245" s="53">
        <v>0</v>
      </c>
      <c r="H245" s="53">
        <v>0</v>
      </c>
    </row>
    <row r="246" spans="1:8" x14ac:dyDescent="0.3">
      <c r="A246" s="434" t="s">
        <v>339</v>
      </c>
      <c r="B246" s="53">
        <v>96641.600000000006</v>
      </c>
      <c r="C246" s="53">
        <v>1533.9936507936509</v>
      </c>
      <c r="D246" s="53">
        <v>48320.800000000003</v>
      </c>
      <c r="E246" s="53">
        <v>48320.800000000003</v>
      </c>
      <c r="F246" s="53">
        <v>0</v>
      </c>
      <c r="G246" s="53">
        <v>0</v>
      </c>
      <c r="H246" s="53">
        <v>0</v>
      </c>
    </row>
    <row r="247" spans="1:8" x14ac:dyDescent="0.3">
      <c r="A247" s="434" t="s">
        <v>340</v>
      </c>
      <c r="B247" s="53">
        <v>3000</v>
      </c>
      <c r="C247" s="53">
        <v>47.61904761904762</v>
      </c>
      <c r="D247" s="53">
        <v>1500</v>
      </c>
      <c r="E247" s="53">
        <v>1500</v>
      </c>
      <c r="F247" s="53">
        <v>0</v>
      </c>
      <c r="G247" s="53">
        <v>0</v>
      </c>
      <c r="H247" s="53">
        <v>0</v>
      </c>
    </row>
    <row r="248" spans="1:8" x14ac:dyDescent="0.3">
      <c r="A248" s="434" t="s">
        <v>341</v>
      </c>
      <c r="B248" s="53">
        <v>34300</v>
      </c>
      <c r="C248" s="53">
        <v>544.44444444444446</v>
      </c>
      <c r="D248" s="53">
        <v>17150</v>
      </c>
      <c r="E248" s="53">
        <v>17150</v>
      </c>
      <c r="F248" s="53">
        <v>0</v>
      </c>
      <c r="G248" s="53">
        <v>0</v>
      </c>
      <c r="H248" s="53">
        <v>0</v>
      </c>
    </row>
    <row r="249" spans="1:8" x14ac:dyDescent="0.3">
      <c r="A249" s="434" t="s">
        <v>342</v>
      </c>
      <c r="B249" s="53">
        <v>16779.600000000002</v>
      </c>
      <c r="C249" s="53">
        <v>266.34285714285716</v>
      </c>
      <c r="D249" s="53">
        <v>16779.600000000002</v>
      </c>
      <c r="E249" s="53">
        <v>0</v>
      </c>
      <c r="F249" s="53">
        <v>0</v>
      </c>
      <c r="G249" s="53">
        <v>0</v>
      </c>
      <c r="H249" s="53">
        <v>0</v>
      </c>
    </row>
    <row r="250" spans="1:8" x14ac:dyDescent="0.3">
      <c r="A250" s="433" t="s">
        <v>105</v>
      </c>
      <c r="B250" s="53">
        <v>1945084.2799999998</v>
      </c>
      <c r="C250" s="53">
        <v>30874.353650793644</v>
      </c>
      <c r="D250" s="53">
        <v>1745580.165</v>
      </c>
      <c r="E250" s="53">
        <v>199504.11499999999</v>
      </c>
      <c r="F250" s="53">
        <v>0</v>
      </c>
      <c r="G250" s="53">
        <v>0</v>
      </c>
      <c r="H250" s="53">
        <v>0</v>
      </c>
    </row>
    <row r="251" spans="1:8" x14ac:dyDescent="0.3">
      <c r="A251" s="434" t="s">
        <v>343</v>
      </c>
      <c r="B251" s="53">
        <v>42372.899999999994</v>
      </c>
      <c r="C251" s="53">
        <v>672.58571428571418</v>
      </c>
      <c r="D251" s="53">
        <v>21186.449999999997</v>
      </c>
      <c r="E251" s="53">
        <v>21186.449999999997</v>
      </c>
      <c r="F251" s="53">
        <v>0</v>
      </c>
      <c r="G251" s="53">
        <v>0</v>
      </c>
      <c r="H251" s="53">
        <v>0</v>
      </c>
    </row>
    <row r="252" spans="1:8" x14ac:dyDescent="0.3">
      <c r="A252" s="434" t="s">
        <v>344</v>
      </c>
      <c r="B252" s="53">
        <v>289500</v>
      </c>
      <c r="C252" s="53">
        <v>4595.2380952380954</v>
      </c>
      <c r="D252" s="53">
        <v>289500</v>
      </c>
      <c r="E252" s="53">
        <v>0</v>
      </c>
      <c r="F252" s="53">
        <v>0</v>
      </c>
      <c r="G252" s="53">
        <v>0</v>
      </c>
      <c r="H252" s="53">
        <v>0</v>
      </c>
    </row>
    <row r="253" spans="1:8" x14ac:dyDescent="0.3">
      <c r="A253" s="434" t="s">
        <v>345</v>
      </c>
      <c r="B253" s="53">
        <v>161882.59</v>
      </c>
      <c r="C253" s="53">
        <v>2569.5649206349208</v>
      </c>
      <c r="D253" s="53">
        <v>161882.59</v>
      </c>
      <c r="E253" s="53">
        <v>0</v>
      </c>
      <c r="F253" s="53">
        <v>0</v>
      </c>
      <c r="G253" s="53">
        <v>0</v>
      </c>
      <c r="H253" s="53">
        <v>0</v>
      </c>
    </row>
    <row r="254" spans="1:8" x14ac:dyDescent="0.3">
      <c r="A254" s="434" t="s">
        <v>346</v>
      </c>
      <c r="B254" s="53">
        <v>1271.2</v>
      </c>
      <c r="C254" s="53">
        <v>20.177777777777777</v>
      </c>
      <c r="D254" s="53">
        <v>1271.2</v>
      </c>
      <c r="E254" s="53">
        <v>0</v>
      </c>
      <c r="F254" s="53">
        <v>0</v>
      </c>
      <c r="G254" s="53">
        <v>0</v>
      </c>
      <c r="H254" s="53">
        <v>0</v>
      </c>
    </row>
    <row r="255" spans="1:8" x14ac:dyDescent="0.3">
      <c r="A255" s="434" t="s">
        <v>347</v>
      </c>
      <c r="B255" s="53">
        <v>0</v>
      </c>
      <c r="C255" s="53">
        <v>0</v>
      </c>
      <c r="D255" s="53">
        <v>0</v>
      </c>
      <c r="E255" s="53">
        <v>0</v>
      </c>
      <c r="F255" s="53">
        <v>0</v>
      </c>
      <c r="G255" s="53">
        <v>0</v>
      </c>
      <c r="H255" s="53">
        <v>0</v>
      </c>
    </row>
    <row r="256" spans="1:8" x14ac:dyDescent="0.3">
      <c r="A256" s="434" t="s">
        <v>348</v>
      </c>
      <c r="B256" s="53">
        <v>0</v>
      </c>
      <c r="C256" s="53">
        <v>0</v>
      </c>
      <c r="D256" s="53">
        <v>0</v>
      </c>
      <c r="E256" s="53">
        <v>0</v>
      </c>
      <c r="F256" s="53">
        <v>0</v>
      </c>
      <c r="G256" s="53">
        <v>0</v>
      </c>
      <c r="H256" s="53">
        <v>0</v>
      </c>
    </row>
    <row r="257" spans="1:8" x14ac:dyDescent="0.3">
      <c r="A257" s="434" t="s">
        <v>349</v>
      </c>
      <c r="B257" s="53">
        <v>137615.57999999999</v>
      </c>
      <c r="C257" s="53">
        <v>2184.3742857142856</v>
      </c>
      <c r="D257" s="53">
        <v>137615.57999999999</v>
      </c>
      <c r="E257" s="53">
        <v>0</v>
      </c>
      <c r="F257" s="53">
        <v>0</v>
      </c>
      <c r="G257" s="53">
        <v>0</v>
      </c>
      <c r="H257" s="53">
        <v>0</v>
      </c>
    </row>
    <row r="258" spans="1:8" x14ac:dyDescent="0.3">
      <c r="A258" s="434" t="s">
        <v>350</v>
      </c>
      <c r="B258" s="53">
        <v>15319.709999999997</v>
      </c>
      <c r="C258" s="53">
        <v>243.16999999999996</v>
      </c>
      <c r="D258" s="53">
        <v>15319.709999999997</v>
      </c>
      <c r="E258" s="53">
        <v>0</v>
      </c>
      <c r="F258" s="53">
        <v>0</v>
      </c>
      <c r="G258" s="53">
        <v>0</v>
      </c>
      <c r="H258" s="53">
        <v>0</v>
      </c>
    </row>
    <row r="259" spans="1:8" x14ac:dyDescent="0.3">
      <c r="A259" s="434" t="s">
        <v>351</v>
      </c>
      <c r="B259" s="53">
        <v>30638.98</v>
      </c>
      <c r="C259" s="53">
        <v>486.33301587301588</v>
      </c>
      <c r="D259" s="53">
        <v>30638.98</v>
      </c>
      <c r="E259" s="53">
        <v>0</v>
      </c>
      <c r="F259" s="53">
        <v>0</v>
      </c>
      <c r="G259" s="53">
        <v>0</v>
      </c>
      <c r="H259" s="53">
        <v>0</v>
      </c>
    </row>
    <row r="260" spans="1:8" x14ac:dyDescent="0.3">
      <c r="A260" s="434" t="s">
        <v>352</v>
      </c>
      <c r="B260" s="53">
        <v>33423.72</v>
      </c>
      <c r="C260" s="53">
        <v>530.53523809523813</v>
      </c>
      <c r="D260" s="53">
        <v>33423.72</v>
      </c>
      <c r="E260" s="53">
        <v>0</v>
      </c>
      <c r="F260" s="53">
        <v>0</v>
      </c>
      <c r="G260" s="53">
        <v>0</v>
      </c>
      <c r="H260" s="53">
        <v>0</v>
      </c>
    </row>
    <row r="261" spans="1:8" x14ac:dyDescent="0.3">
      <c r="A261" s="434" t="s">
        <v>353</v>
      </c>
      <c r="B261" s="53">
        <v>14481.36</v>
      </c>
      <c r="C261" s="53">
        <v>229.86285714285717</v>
      </c>
      <c r="D261" s="53">
        <v>14481.36</v>
      </c>
      <c r="E261" s="53">
        <v>0</v>
      </c>
      <c r="F261" s="53">
        <v>0</v>
      </c>
      <c r="G261" s="53">
        <v>0</v>
      </c>
      <c r="H261" s="53">
        <v>0</v>
      </c>
    </row>
    <row r="262" spans="1:8" x14ac:dyDescent="0.3">
      <c r="A262" s="434" t="s">
        <v>354</v>
      </c>
      <c r="B262" s="53">
        <v>13800</v>
      </c>
      <c r="C262" s="53">
        <v>219.04761904761904</v>
      </c>
      <c r="D262" s="53">
        <v>13800</v>
      </c>
      <c r="E262" s="53">
        <v>0</v>
      </c>
      <c r="F262" s="53">
        <v>0</v>
      </c>
      <c r="G262" s="53">
        <v>0</v>
      </c>
      <c r="H262" s="53">
        <v>0</v>
      </c>
    </row>
    <row r="263" spans="1:8" x14ac:dyDescent="0.3">
      <c r="A263" s="434" t="s">
        <v>355</v>
      </c>
      <c r="B263" s="53">
        <v>35857.22</v>
      </c>
      <c r="C263" s="53">
        <v>569.16222222222223</v>
      </c>
      <c r="D263" s="53">
        <v>17928.61</v>
      </c>
      <c r="E263" s="53">
        <v>17928.61</v>
      </c>
      <c r="F263" s="53">
        <v>0</v>
      </c>
      <c r="G263" s="53">
        <v>0</v>
      </c>
      <c r="H263" s="53">
        <v>0</v>
      </c>
    </row>
    <row r="264" spans="1:8" x14ac:dyDescent="0.3">
      <c r="A264" s="434" t="s">
        <v>356</v>
      </c>
      <c r="B264" s="53">
        <v>81947.600000000006</v>
      </c>
      <c r="C264" s="53">
        <v>1300.7555555555557</v>
      </c>
      <c r="D264" s="53">
        <v>40973.800000000003</v>
      </c>
      <c r="E264" s="53">
        <v>40973.800000000003</v>
      </c>
      <c r="F264" s="53">
        <v>0</v>
      </c>
      <c r="G264" s="53">
        <v>0</v>
      </c>
      <c r="H264" s="53">
        <v>0</v>
      </c>
    </row>
    <row r="265" spans="1:8" x14ac:dyDescent="0.3">
      <c r="A265" s="434" t="s">
        <v>357</v>
      </c>
      <c r="B265" s="53">
        <v>41101.69</v>
      </c>
      <c r="C265" s="53">
        <v>652.40777777777782</v>
      </c>
      <c r="D265" s="53">
        <v>20550.845000000001</v>
      </c>
      <c r="E265" s="53">
        <v>20550.845000000001</v>
      </c>
      <c r="F265" s="53">
        <v>0</v>
      </c>
      <c r="G265" s="53">
        <v>0</v>
      </c>
      <c r="H265" s="53">
        <v>0</v>
      </c>
    </row>
    <row r="266" spans="1:8" x14ac:dyDescent="0.3">
      <c r="A266" s="434" t="s">
        <v>358</v>
      </c>
      <c r="B266" s="53">
        <v>10000</v>
      </c>
      <c r="C266" s="53">
        <v>158.73015873015873</v>
      </c>
      <c r="D266" s="53">
        <v>10000</v>
      </c>
      <c r="E266" s="53">
        <v>0</v>
      </c>
      <c r="F266" s="53">
        <v>0</v>
      </c>
      <c r="G266" s="53">
        <v>0</v>
      </c>
      <c r="H266" s="53">
        <v>0</v>
      </c>
    </row>
    <row r="267" spans="1:8" x14ac:dyDescent="0.3">
      <c r="A267" s="434" t="s">
        <v>359</v>
      </c>
      <c r="B267" s="53">
        <v>0</v>
      </c>
      <c r="C267" s="53">
        <v>0</v>
      </c>
      <c r="D267" s="53">
        <v>0</v>
      </c>
      <c r="E267" s="53">
        <v>0</v>
      </c>
      <c r="F267" s="53">
        <v>0</v>
      </c>
      <c r="G267" s="53">
        <v>0</v>
      </c>
      <c r="H267" s="53">
        <v>0</v>
      </c>
    </row>
    <row r="268" spans="1:8" x14ac:dyDescent="0.3">
      <c r="A268" s="434" t="s">
        <v>360</v>
      </c>
      <c r="B268" s="53">
        <v>107857.62</v>
      </c>
      <c r="C268" s="53">
        <v>1712.0257142857142</v>
      </c>
      <c r="D268" s="53">
        <v>107857.62</v>
      </c>
      <c r="E268" s="53">
        <v>0</v>
      </c>
      <c r="F268" s="53">
        <v>0</v>
      </c>
      <c r="G268" s="53">
        <v>0</v>
      </c>
      <c r="H268" s="53">
        <v>0</v>
      </c>
    </row>
    <row r="269" spans="1:8" x14ac:dyDescent="0.3">
      <c r="A269" s="434" t="s">
        <v>361</v>
      </c>
      <c r="B269" s="53">
        <v>8940.68</v>
      </c>
      <c r="C269" s="53">
        <v>141.91555555555556</v>
      </c>
      <c r="D269" s="53">
        <v>4470.34</v>
      </c>
      <c r="E269" s="53">
        <v>4470.34</v>
      </c>
      <c r="F269" s="53">
        <v>0</v>
      </c>
      <c r="G269" s="53">
        <v>0</v>
      </c>
      <c r="H269" s="53">
        <v>0</v>
      </c>
    </row>
    <row r="270" spans="1:8" x14ac:dyDescent="0.3">
      <c r="A270" s="434" t="s">
        <v>362</v>
      </c>
      <c r="B270" s="53">
        <v>9457.6299999999992</v>
      </c>
      <c r="C270" s="53">
        <v>150.12111111111111</v>
      </c>
      <c r="D270" s="53">
        <v>4728.8149999999996</v>
      </c>
      <c r="E270" s="53">
        <v>4728.8149999999996</v>
      </c>
      <c r="F270" s="53">
        <v>0</v>
      </c>
      <c r="G270" s="53">
        <v>0</v>
      </c>
      <c r="H270" s="53">
        <v>0</v>
      </c>
    </row>
    <row r="271" spans="1:8" x14ac:dyDescent="0.3">
      <c r="A271" s="434" t="s">
        <v>363</v>
      </c>
      <c r="B271" s="53">
        <v>35466.089999999997</v>
      </c>
      <c r="C271" s="53">
        <v>562.95380952380947</v>
      </c>
      <c r="D271" s="53">
        <v>17733.044999999998</v>
      </c>
      <c r="E271" s="53">
        <v>17733.044999999998</v>
      </c>
      <c r="F271" s="53">
        <v>0</v>
      </c>
      <c r="G271" s="53">
        <v>0</v>
      </c>
      <c r="H271" s="53">
        <v>0</v>
      </c>
    </row>
    <row r="272" spans="1:8" x14ac:dyDescent="0.3">
      <c r="A272" s="434" t="s">
        <v>364</v>
      </c>
      <c r="B272" s="53">
        <v>9457.6299999999992</v>
      </c>
      <c r="C272" s="53">
        <v>150.12111111111111</v>
      </c>
      <c r="D272" s="53">
        <v>4728.8149999999996</v>
      </c>
      <c r="E272" s="53">
        <v>4728.8149999999996</v>
      </c>
      <c r="F272" s="53">
        <v>0</v>
      </c>
      <c r="G272" s="53">
        <v>0</v>
      </c>
      <c r="H272" s="53">
        <v>0</v>
      </c>
    </row>
    <row r="273" spans="1:8" x14ac:dyDescent="0.3">
      <c r="A273" s="434" t="s">
        <v>365</v>
      </c>
      <c r="B273" s="53">
        <v>16398.310000000001</v>
      </c>
      <c r="C273" s="53">
        <v>260.29063492063494</v>
      </c>
      <c r="D273" s="53">
        <v>8199.1550000000007</v>
      </c>
      <c r="E273" s="53">
        <v>8199.1550000000007</v>
      </c>
      <c r="F273" s="53">
        <v>0</v>
      </c>
      <c r="G273" s="53">
        <v>0</v>
      </c>
      <c r="H273" s="53">
        <v>0</v>
      </c>
    </row>
    <row r="274" spans="1:8" x14ac:dyDescent="0.3">
      <c r="A274" s="434" t="s">
        <v>366</v>
      </c>
      <c r="B274" s="53">
        <v>23644.06</v>
      </c>
      <c r="C274" s="53">
        <v>375.3025396825397</v>
      </c>
      <c r="D274" s="53">
        <v>11822.03</v>
      </c>
      <c r="E274" s="53">
        <v>11822.03</v>
      </c>
      <c r="F274" s="53">
        <v>0</v>
      </c>
      <c r="G274" s="53">
        <v>0</v>
      </c>
      <c r="H274" s="53">
        <v>0</v>
      </c>
    </row>
    <row r="275" spans="1:8" x14ac:dyDescent="0.3">
      <c r="A275" s="434" t="s">
        <v>367</v>
      </c>
      <c r="B275" s="53">
        <v>9279.66</v>
      </c>
      <c r="C275" s="53">
        <v>147.29619047619047</v>
      </c>
      <c r="D275" s="53">
        <v>4639.83</v>
      </c>
      <c r="E275" s="53">
        <v>4639.83</v>
      </c>
      <c r="F275" s="53">
        <v>0</v>
      </c>
      <c r="G275" s="53">
        <v>0</v>
      </c>
      <c r="H275" s="53">
        <v>0</v>
      </c>
    </row>
    <row r="276" spans="1:8" x14ac:dyDescent="0.3">
      <c r="A276" s="434" t="s">
        <v>368</v>
      </c>
      <c r="B276" s="53">
        <v>17000</v>
      </c>
      <c r="C276" s="53">
        <v>269.84126984126982</v>
      </c>
      <c r="D276" s="53">
        <v>17000</v>
      </c>
      <c r="E276" s="53">
        <v>0</v>
      </c>
      <c r="F276" s="53">
        <v>0</v>
      </c>
      <c r="G276" s="53">
        <v>0</v>
      </c>
      <c r="H276" s="53">
        <v>0</v>
      </c>
    </row>
    <row r="277" spans="1:8" x14ac:dyDescent="0.3">
      <c r="A277" s="434" t="s">
        <v>369</v>
      </c>
      <c r="B277" s="53">
        <v>17490.68</v>
      </c>
      <c r="C277" s="53">
        <v>277.62984126984128</v>
      </c>
      <c r="D277" s="53">
        <v>17490.68</v>
      </c>
      <c r="E277" s="53">
        <v>0</v>
      </c>
      <c r="F277" s="53">
        <v>0</v>
      </c>
      <c r="G277" s="53">
        <v>0</v>
      </c>
      <c r="H277" s="53">
        <v>0</v>
      </c>
    </row>
    <row r="278" spans="1:8" x14ac:dyDescent="0.3">
      <c r="A278" s="434" t="s">
        <v>370</v>
      </c>
      <c r="B278" s="53">
        <v>17773.189999999999</v>
      </c>
      <c r="C278" s="53">
        <v>282.11412698412698</v>
      </c>
      <c r="D278" s="53">
        <v>17773.189999999999</v>
      </c>
      <c r="E278" s="53">
        <v>0</v>
      </c>
      <c r="F278" s="53">
        <v>0</v>
      </c>
      <c r="G278" s="53">
        <v>0</v>
      </c>
      <c r="H278" s="53">
        <v>0</v>
      </c>
    </row>
    <row r="279" spans="1:8" x14ac:dyDescent="0.3">
      <c r="A279" s="434" t="s">
        <v>371</v>
      </c>
      <c r="B279" s="53">
        <v>106355.95</v>
      </c>
      <c r="C279" s="53">
        <v>1688.1896825396825</v>
      </c>
      <c r="D279" s="53">
        <v>63813.569999999992</v>
      </c>
      <c r="E279" s="53">
        <v>42542.380000000005</v>
      </c>
      <c r="F279" s="53">
        <v>0</v>
      </c>
      <c r="G279" s="53">
        <v>0</v>
      </c>
      <c r="H279" s="53">
        <v>0</v>
      </c>
    </row>
    <row r="280" spans="1:8" x14ac:dyDescent="0.3">
      <c r="A280" s="434" t="s">
        <v>372</v>
      </c>
      <c r="B280" s="53">
        <v>0</v>
      </c>
      <c r="C280" s="53">
        <v>0</v>
      </c>
      <c r="D280" s="53">
        <v>0</v>
      </c>
      <c r="E280" s="53">
        <v>0</v>
      </c>
      <c r="F280" s="53">
        <v>0</v>
      </c>
      <c r="G280" s="53">
        <v>0</v>
      </c>
      <c r="H280" s="53">
        <v>0</v>
      </c>
    </row>
    <row r="281" spans="1:8" x14ac:dyDescent="0.3">
      <c r="A281" s="434" t="s">
        <v>373</v>
      </c>
      <c r="B281" s="53">
        <v>21275.37</v>
      </c>
      <c r="C281" s="53">
        <v>337.70428571428567</v>
      </c>
      <c r="D281" s="53">
        <v>21275.37</v>
      </c>
      <c r="E281" s="53">
        <v>0</v>
      </c>
      <c r="F281" s="53">
        <v>0</v>
      </c>
      <c r="G281" s="53">
        <v>0</v>
      </c>
      <c r="H281" s="53">
        <v>0</v>
      </c>
    </row>
    <row r="282" spans="1:8" x14ac:dyDescent="0.3">
      <c r="A282" s="434" t="s">
        <v>374</v>
      </c>
      <c r="B282" s="53">
        <v>2210.6999999999998</v>
      </c>
      <c r="C282" s="53">
        <v>35.090476190476188</v>
      </c>
      <c r="D282" s="53">
        <v>2210.6999999999998</v>
      </c>
      <c r="E282" s="53">
        <v>0</v>
      </c>
      <c r="F282" s="53">
        <v>0</v>
      </c>
      <c r="G282" s="53">
        <v>0</v>
      </c>
      <c r="H282" s="53">
        <v>0</v>
      </c>
    </row>
    <row r="283" spans="1:8" x14ac:dyDescent="0.3">
      <c r="A283" s="434" t="s">
        <v>375</v>
      </c>
      <c r="B283" s="53">
        <v>22000</v>
      </c>
      <c r="C283" s="53">
        <v>349.20634920634922</v>
      </c>
      <c r="D283" s="53">
        <v>22000</v>
      </c>
      <c r="E283" s="53">
        <v>0</v>
      </c>
      <c r="F283" s="53">
        <v>0</v>
      </c>
      <c r="G283" s="53">
        <v>0</v>
      </c>
      <c r="H283" s="53">
        <v>0</v>
      </c>
    </row>
    <row r="284" spans="1:8" x14ac:dyDescent="0.3">
      <c r="A284" s="434" t="s">
        <v>376</v>
      </c>
      <c r="B284" s="53">
        <v>8400</v>
      </c>
      <c r="C284" s="53">
        <v>133.33333333333334</v>
      </c>
      <c r="D284" s="53">
        <v>8400</v>
      </c>
      <c r="E284" s="53">
        <v>0</v>
      </c>
      <c r="F284" s="53">
        <v>0</v>
      </c>
      <c r="G284" s="53">
        <v>0</v>
      </c>
      <c r="H284" s="53">
        <v>0</v>
      </c>
    </row>
    <row r="285" spans="1:8" x14ac:dyDescent="0.3">
      <c r="A285" s="434" t="s">
        <v>377</v>
      </c>
      <c r="B285" s="53">
        <v>3300</v>
      </c>
      <c r="C285" s="53">
        <v>52.38095238095238</v>
      </c>
      <c r="D285" s="53">
        <v>3300</v>
      </c>
      <c r="E285" s="53">
        <v>0</v>
      </c>
      <c r="F285" s="53">
        <v>0</v>
      </c>
      <c r="G285" s="53">
        <v>0</v>
      </c>
      <c r="H285" s="53">
        <v>0</v>
      </c>
    </row>
    <row r="286" spans="1:8" x14ac:dyDescent="0.3">
      <c r="A286" s="434" t="s">
        <v>378</v>
      </c>
      <c r="B286" s="53">
        <v>5843.88</v>
      </c>
      <c r="C286" s="53">
        <v>92.76</v>
      </c>
      <c r="D286" s="53">
        <v>5843.88</v>
      </c>
      <c r="E286" s="53">
        <v>0</v>
      </c>
      <c r="F286" s="53">
        <v>0</v>
      </c>
      <c r="G286" s="53">
        <v>0</v>
      </c>
      <c r="H286" s="53">
        <v>0</v>
      </c>
    </row>
    <row r="287" spans="1:8" x14ac:dyDescent="0.3">
      <c r="A287" s="434" t="s">
        <v>379</v>
      </c>
      <c r="B287" s="53">
        <v>384300</v>
      </c>
      <c r="C287" s="53">
        <v>6100</v>
      </c>
      <c r="D287" s="53">
        <v>384300</v>
      </c>
      <c r="E287" s="53">
        <v>0</v>
      </c>
      <c r="F287" s="53">
        <v>0</v>
      </c>
      <c r="G287" s="53">
        <v>0</v>
      </c>
      <c r="H287" s="53">
        <v>0</v>
      </c>
    </row>
    <row r="288" spans="1:8" x14ac:dyDescent="0.3">
      <c r="A288" s="434" t="s">
        <v>380</v>
      </c>
      <c r="B288" s="53">
        <v>47871</v>
      </c>
      <c r="C288" s="53">
        <v>759.85714285714289</v>
      </c>
      <c r="D288" s="53">
        <v>47871</v>
      </c>
      <c r="E288" s="53">
        <v>0</v>
      </c>
      <c r="F288" s="53">
        <v>0</v>
      </c>
      <c r="G288" s="53">
        <v>0</v>
      </c>
      <c r="H288" s="53">
        <v>0</v>
      </c>
    </row>
    <row r="289" spans="1:8" x14ac:dyDescent="0.3">
      <c r="A289" s="434" t="s">
        <v>381</v>
      </c>
      <c r="B289" s="53">
        <v>11074.56</v>
      </c>
      <c r="C289" s="53">
        <v>175.78666666666666</v>
      </c>
      <c r="D289" s="53">
        <v>11074.56</v>
      </c>
      <c r="E289" s="53">
        <v>0</v>
      </c>
      <c r="F289" s="53">
        <v>0</v>
      </c>
      <c r="G289" s="53">
        <v>0</v>
      </c>
      <c r="H289" s="53">
        <v>0</v>
      </c>
    </row>
    <row r="290" spans="1:8" x14ac:dyDescent="0.3">
      <c r="A290" s="434" t="s">
        <v>382</v>
      </c>
      <c r="B290" s="53">
        <v>1566.12</v>
      </c>
      <c r="C290" s="53">
        <v>24.859047619047619</v>
      </c>
      <c r="D290" s="53">
        <v>1566.12</v>
      </c>
      <c r="E290" s="53">
        <v>0</v>
      </c>
      <c r="F290" s="53">
        <v>0</v>
      </c>
      <c r="G290" s="53">
        <v>0</v>
      </c>
      <c r="H290" s="53">
        <v>0</v>
      </c>
    </row>
    <row r="291" spans="1:8" x14ac:dyDescent="0.3">
      <c r="A291" s="434" t="s">
        <v>179</v>
      </c>
      <c r="B291" s="53">
        <v>72000</v>
      </c>
      <c r="C291" s="53">
        <v>1142.8571428571429</v>
      </c>
      <c r="D291" s="53">
        <v>72000</v>
      </c>
      <c r="E291" s="53">
        <v>0</v>
      </c>
      <c r="F291" s="53">
        <v>0</v>
      </c>
      <c r="G291" s="53">
        <v>0</v>
      </c>
      <c r="H291" s="53">
        <v>0</v>
      </c>
    </row>
    <row r="292" spans="1:8" x14ac:dyDescent="0.3">
      <c r="A292" s="434" t="s">
        <v>383</v>
      </c>
      <c r="B292" s="53">
        <v>4908.6000000000004</v>
      </c>
      <c r="C292" s="53">
        <v>77.914285714285725</v>
      </c>
      <c r="D292" s="53">
        <v>4908.6000000000004</v>
      </c>
      <c r="E292" s="53">
        <v>0</v>
      </c>
      <c r="F292" s="53">
        <v>0</v>
      </c>
      <c r="G292" s="53">
        <v>0</v>
      </c>
      <c r="H292" s="53">
        <v>0</v>
      </c>
    </row>
    <row r="293" spans="1:8" x14ac:dyDescent="0.3">
      <c r="A293" s="434" t="s">
        <v>384</v>
      </c>
      <c r="B293" s="53">
        <v>72000</v>
      </c>
      <c r="C293" s="53">
        <v>1142.8571428571429</v>
      </c>
      <c r="D293" s="53">
        <v>72000</v>
      </c>
      <c r="E293" s="53">
        <v>0</v>
      </c>
      <c r="F293" s="53">
        <v>0</v>
      </c>
      <c r="G293" s="53">
        <v>0</v>
      </c>
      <c r="H293" s="53">
        <v>0</v>
      </c>
    </row>
    <row r="294" spans="1:8" x14ac:dyDescent="0.3">
      <c r="A294" s="433" t="s">
        <v>106</v>
      </c>
      <c r="B294" s="53">
        <v>7718195.1500000004</v>
      </c>
      <c r="C294" s="53">
        <v>122511.03412698413</v>
      </c>
      <c r="D294" s="53">
        <v>4118195.15</v>
      </c>
      <c r="E294" s="53">
        <v>3600000</v>
      </c>
      <c r="F294" s="53">
        <v>0</v>
      </c>
      <c r="G294" s="53">
        <v>0</v>
      </c>
      <c r="H294" s="53">
        <v>0</v>
      </c>
    </row>
    <row r="295" spans="1:8" x14ac:dyDescent="0.3">
      <c r="A295" s="434" t="s">
        <v>385</v>
      </c>
      <c r="B295" s="53">
        <v>37556</v>
      </c>
      <c r="C295" s="53">
        <v>596.1269841269841</v>
      </c>
      <c r="D295" s="53">
        <v>37556</v>
      </c>
      <c r="E295" s="53">
        <v>0</v>
      </c>
      <c r="F295" s="53">
        <v>0</v>
      </c>
      <c r="G295" s="53">
        <v>0</v>
      </c>
      <c r="H295" s="53">
        <v>0</v>
      </c>
    </row>
    <row r="296" spans="1:8" x14ac:dyDescent="0.3">
      <c r="A296" s="434" t="s">
        <v>386</v>
      </c>
      <c r="B296" s="53">
        <v>7200000</v>
      </c>
      <c r="C296" s="53">
        <v>114285.71428571429</v>
      </c>
      <c r="D296" s="53">
        <v>3600000</v>
      </c>
      <c r="E296" s="53">
        <v>3600000</v>
      </c>
      <c r="F296" s="53">
        <v>0</v>
      </c>
      <c r="G296" s="53">
        <v>0</v>
      </c>
      <c r="H296" s="53">
        <v>0</v>
      </c>
    </row>
    <row r="297" spans="1:8" x14ac:dyDescent="0.3">
      <c r="A297" s="434" t="s">
        <v>387</v>
      </c>
      <c r="B297" s="53">
        <v>129986.4</v>
      </c>
      <c r="C297" s="53">
        <v>2063.2761904761905</v>
      </c>
      <c r="D297" s="53">
        <v>129986.4</v>
      </c>
      <c r="E297" s="53">
        <v>0</v>
      </c>
      <c r="F297" s="53">
        <v>0</v>
      </c>
      <c r="G297" s="53">
        <v>0</v>
      </c>
      <c r="H297" s="53">
        <v>0</v>
      </c>
    </row>
    <row r="298" spans="1:8" x14ac:dyDescent="0.3">
      <c r="A298" s="434" t="s">
        <v>388</v>
      </c>
      <c r="B298" s="53">
        <v>350652.75</v>
      </c>
      <c r="C298" s="53">
        <v>5565.916666666667</v>
      </c>
      <c r="D298" s="53">
        <v>350652.75</v>
      </c>
      <c r="E298" s="53">
        <v>0</v>
      </c>
      <c r="F298" s="53">
        <v>0</v>
      </c>
      <c r="G298" s="53">
        <v>0</v>
      </c>
      <c r="H298" s="53">
        <v>0</v>
      </c>
    </row>
    <row r="299" spans="1:8" x14ac:dyDescent="0.3">
      <c r="A299" s="433" t="s">
        <v>107</v>
      </c>
      <c r="B299" s="53">
        <v>2223400</v>
      </c>
      <c r="C299" s="53">
        <v>35292.063492063491</v>
      </c>
      <c r="D299" s="53">
        <v>1111700</v>
      </c>
      <c r="E299" s="53">
        <v>1111700</v>
      </c>
      <c r="F299" s="53">
        <v>0</v>
      </c>
      <c r="G299" s="53">
        <v>0</v>
      </c>
      <c r="H299" s="53">
        <v>0</v>
      </c>
    </row>
    <row r="300" spans="1:8" x14ac:dyDescent="0.3">
      <c r="A300" s="434" t="s">
        <v>327</v>
      </c>
      <c r="B300" s="53">
        <v>68400</v>
      </c>
      <c r="C300" s="53">
        <v>1085.7142857142858</v>
      </c>
      <c r="D300" s="53">
        <v>34200</v>
      </c>
      <c r="E300" s="53">
        <v>34200</v>
      </c>
      <c r="F300" s="53">
        <v>0</v>
      </c>
      <c r="G300" s="53">
        <v>0</v>
      </c>
      <c r="H300" s="53">
        <v>0</v>
      </c>
    </row>
    <row r="301" spans="1:8" x14ac:dyDescent="0.3">
      <c r="A301" s="434" t="s">
        <v>389</v>
      </c>
      <c r="B301" s="53">
        <v>145000</v>
      </c>
      <c r="C301" s="53">
        <v>2301.5873015873017</v>
      </c>
      <c r="D301" s="53">
        <v>72500</v>
      </c>
      <c r="E301" s="53">
        <v>72500</v>
      </c>
      <c r="F301" s="53">
        <v>0</v>
      </c>
      <c r="G301" s="53">
        <v>0</v>
      </c>
      <c r="H301" s="53">
        <v>0</v>
      </c>
    </row>
    <row r="302" spans="1:8" x14ac:dyDescent="0.3">
      <c r="A302" s="434" t="s">
        <v>390</v>
      </c>
      <c r="B302" s="53">
        <v>255000</v>
      </c>
      <c r="C302" s="53">
        <v>4047.6190476190477</v>
      </c>
      <c r="D302" s="53">
        <v>127500</v>
      </c>
      <c r="E302" s="53">
        <v>127500</v>
      </c>
      <c r="F302" s="53">
        <v>0</v>
      </c>
      <c r="G302" s="53">
        <v>0</v>
      </c>
      <c r="H302" s="53">
        <v>0</v>
      </c>
    </row>
    <row r="303" spans="1:8" x14ac:dyDescent="0.3">
      <c r="A303" s="434" t="s">
        <v>391</v>
      </c>
      <c r="B303" s="53">
        <v>540000</v>
      </c>
      <c r="C303" s="53">
        <v>8571.4285714285706</v>
      </c>
      <c r="D303" s="53">
        <v>270000</v>
      </c>
      <c r="E303" s="53">
        <v>270000</v>
      </c>
      <c r="F303" s="53">
        <v>0</v>
      </c>
      <c r="G303" s="53">
        <v>0</v>
      </c>
      <c r="H303" s="53">
        <v>0</v>
      </c>
    </row>
    <row r="304" spans="1:8" x14ac:dyDescent="0.3">
      <c r="A304" s="434" t="s">
        <v>392</v>
      </c>
      <c r="B304" s="53">
        <v>390000</v>
      </c>
      <c r="C304" s="53">
        <v>6190.4761904761908</v>
      </c>
      <c r="D304" s="53">
        <v>195000</v>
      </c>
      <c r="E304" s="53">
        <v>195000</v>
      </c>
      <c r="F304" s="53">
        <v>0</v>
      </c>
      <c r="G304" s="53">
        <v>0</v>
      </c>
      <c r="H304" s="53">
        <v>0</v>
      </c>
    </row>
    <row r="305" spans="1:8" x14ac:dyDescent="0.3">
      <c r="A305" s="434" t="s">
        <v>393</v>
      </c>
      <c r="B305" s="53">
        <v>350000</v>
      </c>
      <c r="C305" s="53">
        <v>5555.5555555555557</v>
      </c>
      <c r="D305" s="53">
        <v>175000</v>
      </c>
      <c r="E305" s="53">
        <v>175000</v>
      </c>
      <c r="F305" s="53">
        <v>0</v>
      </c>
      <c r="G305" s="53">
        <v>0</v>
      </c>
      <c r="H305" s="53">
        <v>0</v>
      </c>
    </row>
    <row r="306" spans="1:8" x14ac:dyDescent="0.3">
      <c r="A306" s="434" t="s">
        <v>394</v>
      </c>
      <c r="B306" s="53">
        <v>475000</v>
      </c>
      <c r="C306" s="53">
        <v>7539.6825396825398</v>
      </c>
      <c r="D306" s="53">
        <v>237500</v>
      </c>
      <c r="E306" s="53">
        <v>237500</v>
      </c>
      <c r="F306" s="53">
        <v>0</v>
      </c>
      <c r="G306" s="53">
        <v>0</v>
      </c>
      <c r="H306" s="53">
        <v>0</v>
      </c>
    </row>
    <row r="307" spans="1:8" x14ac:dyDescent="0.3">
      <c r="A307" s="433" t="s">
        <v>395</v>
      </c>
      <c r="B307" s="53">
        <v>166326449.7597653</v>
      </c>
      <c r="C307" s="53">
        <v>2640102.3771391287</v>
      </c>
      <c r="D307" s="53">
        <v>90395092.830692664</v>
      </c>
      <c r="E307" s="53">
        <v>75931356.929072648</v>
      </c>
      <c r="F307" s="53">
        <v>0</v>
      </c>
      <c r="G307" s="53">
        <v>0</v>
      </c>
      <c r="H307" s="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36F-C667-4D2E-B008-43E805EFB0D6}">
  <sheetPr codeName="Hoja4">
    <tabColor rgb="FF002060"/>
  </sheetPr>
  <dimension ref="A1:AH80"/>
  <sheetViews>
    <sheetView showGridLines="0" zoomScale="80" zoomScaleNormal="80" workbookViewId="0">
      <selection activeCell="B3" sqref="B3"/>
    </sheetView>
  </sheetViews>
  <sheetFormatPr baseColWidth="10" defaultColWidth="11.44140625" defaultRowHeight="15" customHeight="1" x14ac:dyDescent="0.3"/>
  <cols>
    <col min="1" max="1" width="9.5546875" customWidth="1"/>
    <col min="2" max="2" width="51.44140625" bestFit="1" customWidth="1"/>
    <col min="3" max="3" width="20.44140625" customWidth="1"/>
    <col min="4" max="33" width="15.5546875" customWidth="1"/>
    <col min="34" max="34" width="23.33203125" customWidth="1"/>
  </cols>
  <sheetData>
    <row r="1" spans="1:34" ht="14.1" customHeight="1" x14ac:dyDescent="0.3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4" s="17" customFormat="1" ht="4.3499999999999996" customHeight="1" x14ac:dyDescent="0.15">
      <c r="AH2" s="526" t="s">
        <v>396</v>
      </c>
    </row>
    <row r="3" spans="1:34" ht="21" x14ac:dyDescent="0.4">
      <c r="B3" s="448" t="s">
        <v>1343</v>
      </c>
      <c r="D3" s="524" t="s">
        <v>397</v>
      </c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526"/>
    </row>
    <row r="4" spans="1:34" s="355" customFormat="1" ht="21" x14ac:dyDescent="0.4">
      <c r="B4" s="525" t="str">
        <f>'Plan OI'!C1</f>
        <v>Presupuesto Detallado - Propuesta para Sirena Compacta Mao</v>
      </c>
      <c r="C4" s="525"/>
      <c r="D4" s="356" t="s">
        <v>398</v>
      </c>
      <c r="E4" s="356" t="s">
        <v>399</v>
      </c>
      <c r="F4" s="356" t="s">
        <v>400</v>
      </c>
      <c r="G4" s="356" t="s">
        <v>401</v>
      </c>
      <c r="H4" s="356" t="s">
        <v>402</v>
      </c>
      <c r="I4" s="356" t="s">
        <v>403</v>
      </c>
      <c r="J4" s="356" t="s">
        <v>404</v>
      </c>
      <c r="K4" s="356" t="s">
        <v>405</v>
      </c>
      <c r="L4" s="356" t="s">
        <v>406</v>
      </c>
      <c r="M4" s="356" t="s">
        <v>407</v>
      </c>
      <c r="N4" s="356" t="s">
        <v>408</v>
      </c>
      <c r="O4" s="449" t="s">
        <v>409</v>
      </c>
      <c r="P4" s="449" t="s">
        <v>410</v>
      </c>
      <c r="Q4" s="449" t="s">
        <v>399</v>
      </c>
      <c r="R4" s="449" t="s">
        <v>400</v>
      </c>
      <c r="S4" s="356" t="s">
        <v>401</v>
      </c>
      <c r="T4" s="356" t="s">
        <v>402</v>
      </c>
      <c r="U4" s="449" t="s">
        <v>403</v>
      </c>
      <c r="V4" s="356" t="s">
        <v>404</v>
      </c>
      <c r="W4" s="356" t="s">
        <v>405</v>
      </c>
      <c r="X4" s="449" t="s">
        <v>406</v>
      </c>
      <c r="Y4" s="356" t="s">
        <v>407</v>
      </c>
      <c r="Z4" s="356" t="s">
        <v>408</v>
      </c>
      <c r="AA4" s="449" t="s">
        <v>409</v>
      </c>
      <c r="AB4" s="449"/>
      <c r="AC4" s="449"/>
      <c r="AD4" s="449"/>
      <c r="AE4" s="449"/>
      <c r="AF4" s="449"/>
      <c r="AG4" s="449"/>
      <c r="AH4" s="526"/>
    </row>
    <row r="5" spans="1:34" ht="14.4" x14ac:dyDescent="0.3">
      <c r="A5" s="20" t="s">
        <v>24</v>
      </c>
      <c r="B5" s="20" t="s">
        <v>26</v>
      </c>
      <c r="C5" s="21" t="s">
        <v>6</v>
      </c>
      <c r="D5" s="20" t="s">
        <v>411</v>
      </c>
      <c r="E5" s="20" t="s">
        <v>412</v>
      </c>
      <c r="F5" s="20" t="s">
        <v>413</v>
      </c>
      <c r="G5" s="20" t="s">
        <v>414</v>
      </c>
      <c r="H5" s="20" t="s">
        <v>415</v>
      </c>
      <c r="I5" s="20" t="s">
        <v>416</v>
      </c>
      <c r="J5" s="20" t="s">
        <v>417</v>
      </c>
      <c r="K5" s="20" t="s">
        <v>418</v>
      </c>
      <c r="L5" s="20" t="s">
        <v>419</v>
      </c>
      <c r="M5" s="20" t="s">
        <v>420</v>
      </c>
      <c r="N5" s="20" t="s">
        <v>421</v>
      </c>
      <c r="O5" s="20" t="s">
        <v>422</v>
      </c>
      <c r="P5" s="20" t="s">
        <v>423</v>
      </c>
      <c r="Q5" s="20" t="s">
        <v>424</v>
      </c>
      <c r="R5" s="20" t="s">
        <v>425</v>
      </c>
      <c r="S5" s="20" t="s">
        <v>426</v>
      </c>
      <c r="T5" s="20" t="s">
        <v>427</v>
      </c>
      <c r="U5" s="20" t="s">
        <v>428</v>
      </c>
      <c r="V5" s="20" t="s">
        <v>429</v>
      </c>
      <c r="W5" s="20" t="s">
        <v>430</v>
      </c>
      <c r="X5" s="20" t="s">
        <v>431</v>
      </c>
      <c r="Y5" s="20" t="s">
        <v>432</v>
      </c>
      <c r="Z5" s="20" t="s">
        <v>433</v>
      </c>
      <c r="AA5" s="20" t="s">
        <v>434</v>
      </c>
      <c r="AB5" s="20" t="s">
        <v>435</v>
      </c>
      <c r="AC5" s="20" t="s">
        <v>436</v>
      </c>
      <c r="AD5" s="20" t="s">
        <v>437</v>
      </c>
      <c r="AE5" s="20" t="s">
        <v>438</v>
      </c>
      <c r="AF5" s="20" t="s">
        <v>439</v>
      </c>
      <c r="AG5" s="20" t="s">
        <v>440</v>
      </c>
      <c r="AH5" s="22" t="s">
        <v>441</v>
      </c>
    </row>
    <row r="6" spans="1:34" ht="14.4" x14ac:dyDescent="0.3">
      <c r="A6" s="24">
        <v>1</v>
      </c>
      <c r="B6" s="25" t="str">
        <f>VLOOKUP(Tabla3[[#This Row],[Part.]],PPto[],3,FALSE)</f>
        <v>1.00 Estudios Preliminares</v>
      </c>
      <c r="C6" s="37">
        <f>SUM(C7:C15)</f>
        <v>0</v>
      </c>
      <c r="D6" s="30">
        <f t="shared" ref="D6:S6" si="0">SUM(D7:D15)</f>
        <v>0</v>
      </c>
      <c r="E6" s="44">
        <f t="shared" si="0"/>
        <v>0</v>
      </c>
      <c r="F6" s="44">
        <f t="shared" si="0"/>
        <v>0</v>
      </c>
      <c r="G6" s="44">
        <f t="shared" si="0"/>
        <v>0</v>
      </c>
      <c r="H6" s="44">
        <f t="shared" si="0"/>
        <v>0</v>
      </c>
      <c r="I6" s="44">
        <f t="shared" si="0"/>
        <v>0</v>
      </c>
      <c r="J6" s="44">
        <f t="shared" si="0"/>
        <v>0</v>
      </c>
      <c r="K6" s="44">
        <f t="shared" si="0"/>
        <v>0</v>
      </c>
      <c r="L6" s="44">
        <f t="shared" si="0"/>
        <v>0</v>
      </c>
      <c r="M6" s="44">
        <f t="shared" si="0"/>
        <v>0</v>
      </c>
      <c r="N6" s="44">
        <f t="shared" si="0"/>
        <v>0</v>
      </c>
      <c r="O6" s="44">
        <f t="shared" si="0"/>
        <v>0</v>
      </c>
      <c r="P6" s="44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>SUM(T7:T15)</f>
        <v>0</v>
      </c>
      <c r="U6" s="44">
        <f t="shared" ref="U6:Y6" si="1">SUM(U7:U15)</f>
        <v>0</v>
      </c>
      <c r="V6" s="44">
        <f t="shared" si="1"/>
        <v>0</v>
      </c>
      <c r="W6" s="44">
        <f t="shared" si="1"/>
        <v>0</v>
      </c>
      <c r="X6" s="44">
        <f t="shared" si="1"/>
        <v>0</v>
      </c>
      <c r="Y6" s="44">
        <f t="shared" si="1"/>
        <v>0</v>
      </c>
      <c r="Z6" s="44">
        <f t="shared" ref="Z6" si="2">SUM(Z7:Z15)</f>
        <v>0</v>
      </c>
      <c r="AA6" s="44">
        <f t="shared" ref="AA6" si="3">SUM(AA7:AA15)</f>
        <v>0</v>
      </c>
      <c r="AB6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" s="45">
        <f>SUM(Tabla3[[#This Row],[P1]:[P24]])</f>
        <v>0</v>
      </c>
    </row>
    <row r="7" spans="1:34" ht="14.4" x14ac:dyDescent="0.3">
      <c r="A7" s="23">
        <v>1.01</v>
      </c>
      <c r="B7" s="26" t="str">
        <f>VLOOKUP(Tabla3[[#This Row],[Part.]],PPto[],3,FALSE)</f>
        <v>1.01 Diseño arquitectónico</v>
      </c>
      <c r="C7" s="38">
        <f>SUMIF(BD.PD[Pos],Tabla3[[#This Row],[Part.]],BD.PD[Ppto. Orden Interna '[DOP']])</f>
        <v>0</v>
      </c>
      <c r="D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" s="46">
        <f>SUM(Tabla3[[#This Row],[P1]:[P24]])</f>
        <v>0</v>
      </c>
    </row>
    <row r="8" spans="1:34" ht="14.4" x14ac:dyDescent="0.3">
      <c r="A8" s="23">
        <v>1.02</v>
      </c>
      <c r="B8" s="26" t="str">
        <f>VLOOKUP(Tabla3[[#This Row],[Part.]],PPto[],3,FALSE)</f>
        <v>1.02 Diseño estructural</v>
      </c>
      <c r="C8" s="38">
        <f>SUMIF(BD.PD[Pos],Tabla3[[#This Row],[Part.]],BD.PD[Ppto. Orden Interna '[DOP']])</f>
        <v>0</v>
      </c>
      <c r="D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8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8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8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8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8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8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8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8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8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8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8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8" s="46">
        <f>SUM(Tabla3[[#This Row],[P1]:[P24]])</f>
        <v>0</v>
      </c>
    </row>
    <row r="9" spans="1:34" ht="14.4" x14ac:dyDescent="0.3">
      <c r="A9" s="23">
        <v>1.03</v>
      </c>
      <c r="B9" s="26" t="str">
        <f>VLOOKUP(Tabla3[[#This Row],[Part.]],PPto[],3,FALSE)</f>
        <v>1.03 Diseño electromecánico</v>
      </c>
      <c r="C9" s="38">
        <f>SUMIF(BD.PD[Pos],Tabla3[[#This Row],[Part.]],BD.PD[Ppto. Orden Interna '[DOP']])</f>
        <v>0</v>
      </c>
      <c r="D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9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9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9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9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9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9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9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9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9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9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9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9" s="46">
        <f>SUM(Tabla3[[#This Row],[P1]:[P24]])</f>
        <v>0</v>
      </c>
    </row>
    <row r="10" spans="1:34" ht="14.4" x14ac:dyDescent="0.3">
      <c r="A10" s="23">
        <v>1.04</v>
      </c>
      <c r="B10" s="26" t="str">
        <f>VLOOKUP(Tabla3[[#This Row],[Part.]],PPto[],3,FALSE)</f>
        <v>1.04 Diseño sanitario</v>
      </c>
      <c r="C10" s="38">
        <f>SUMIF(BD.PD[Pos],Tabla3[[#This Row],[Part.]],BD.PD[Ppto. Orden Interna '[DOP']])</f>
        <v>0</v>
      </c>
      <c r="D1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0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0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0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0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0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0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0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0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0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0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0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0" s="46">
        <f>SUM(Tabla3[[#This Row],[P1]:[P24]])</f>
        <v>0</v>
      </c>
    </row>
    <row r="11" spans="1:34" ht="14.4" x14ac:dyDescent="0.3">
      <c r="A11" s="23">
        <v>1.05</v>
      </c>
      <c r="B11" s="26" t="str">
        <f>VLOOKUP(Tabla3[[#This Row],[Part.]],PPto[],3,FALSE)</f>
        <v>1.05 Estudio Geotécnico</v>
      </c>
      <c r="C11" s="38">
        <f>SUMIF(BD.PD[Pos],Tabla3[[#This Row],[Part.]],BD.PD[Ppto. Orden Interna '[DOP']])</f>
        <v>0</v>
      </c>
      <c r="D1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1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1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1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1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1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1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1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1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1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1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1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1" s="46">
        <f>SUM(Tabla3[[#This Row],[P1]:[P24]])</f>
        <v>0</v>
      </c>
    </row>
    <row r="12" spans="1:34" ht="14.4" x14ac:dyDescent="0.3">
      <c r="A12" s="23">
        <v>1.06</v>
      </c>
      <c r="B12" s="26" t="str">
        <f>VLOOKUP(Tabla3[[#This Row],[Part.]],PPto[],3,FALSE)</f>
        <v>1.06 Levantamiento topográfico</v>
      </c>
      <c r="C12" s="38">
        <f>SUMIF(BD.PD[Pos],Tabla3[[#This Row],[Part.]],BD.PD[Ppto. Orden Interna '[DOP']])</f>
        <v>0</v>
      </c>
      <c r="D1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2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2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2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2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2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2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2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2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2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2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2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2" s="46">
        <f>SUM(Tabla3[[#This Row],[P1]:[P24]])</f>
        <v>0</v>
      </c>
    </row>
    <row r="13" spans="1:34" ht="14.4" x14ac:dyDescent="0.3">
      <c r="A13" s="23">
        <v>1.07</v>
      </c>
      <c r="B13" s="26" t="str">
        <f>VLOOKUP(Tabla3[[#This Row],[Part.]],PPto[],3,FALSE)</f>
        <v>1.07 Permisos</v>
      </c>
      <c r="C13" s="38">
        <f>SUMIF(BD.PD[Pos],Tabla3[[#This Row],[Part.]],BD.PD[Ppto. Orden Interna '[DOP']])</f>
        <v>0</v>
      </c>
      <c r="D1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3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3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3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3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3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3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3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3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3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3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3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3" s="46">
        <f>SUM(Tabla3[[#This Row],[P1]:[P24]])</f>
        <v>0</v>
      </c>
    </row>
    <row r="14" spans="1:34" ht="14.4" x14ac:dyDescent="0.3">
      <c r="A14" s="23">
        <v>1.08</v>
      </c>
      <c r="B14" s="26" t="str">
        <f>VLOOKUP(Tabla3[[#This Row],[Part.]],PPto[],3,FALSE)</f>
        <v>1.08 Diseño sistema contra incendios</v>
      </c>
      <c r="C14" s="38">
        <f>SUMIF(BD.PD[Pos],Tabla3[[#This Row],[Part.]],BD.PD[Ppto. Orden Interna '[DOP']])</f>
        <v>0</v>
      </c>
      <c r="D1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4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4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4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4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4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4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4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4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4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4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4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4" s="46">
        <f>SUM(Tabla3[[#This Row],[P1]:[P24]])</f>
        <v>0</v>
      </c>
    </row>
    <row r="15" spans="1:34" ht="14.4" x14ac:dyDescent="0.3">
      <c r="A15" s="23">
        <v>1.0900000000000001</v>
      </c>
      <c r="B15" s="26" t="str">
        <f>VLOOKUP(Tabla3[[#This Row],[Part.]],PPto[],3,FALSE)</f>
        <v>1.09 Diseño sistema gas</v>
      </c>
      <c r="C15" s="38">
        <f>SUMIF(BD.PD[Pos],Tabla3[[#This Row],[Part.]],BD.PD[Ppto. Orden Interna '[DOP']])</f>
        <v>0</v>
      </c>
      <c r="D1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5" s="33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5" s="33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5" s="33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5" s="33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5" s="33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5" s="51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5" s="51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5" s="51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5" s="51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5" s="51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5" s="51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5" s="46">
        <f>SUM(Tabla3[[#This Row],[P1]:[P24]])</f>
        <v>0</v>
      </c>
    </row>
    <row r="16" spans="1:34" ht="14.4" x14ac:dyDescent="0.3">
      <c r="A16" s="24">
        <v>2</v>
      </c>
      <c r="B16" s="25" t="str">
        <f>VLOOKUP(Tabla3[[#This Row],[Part.]],PPto[],3,FALSE)</f>
        <v>2.00 Obra Civil</v>
      </c>
      <c r="C16" s="37">
        <f t="shared" ref="C16:O16" si="4">SUM(C17:C27)</f>
        <v>11956367.25</v>
      </c>
      <c r="D16" s="30">
        <f t="shared" si="4"/>
        <v>2505125.7000000002</v>
      </c>
      <c r="E16" s="30">
        <f t="shared" si="4"/>
        <v>0</v>
      </c>
      <c r="F16" s="30">
        <f t="shared" si="4"/>
        <v>294168.42000000004</v>
      </c>
      <c r="G16" s="30">
        <f t="shared" si="4"/>
        <v>0</v>
      </c>
      <c r="H16" s="30">
        <f t="shared" si="4"/>
        <v>0</v>
      </c>
      <c r="I16" s="30">
        <f t="shared" si="4"/>
        <v>140597.856</v>
      </c>
      <c r="J16" s="30">
        <f t="shared" si="4"/>
        <v>0</v>
      </c>
      <c r="K16" s="30">
        <f t="shared" si="4"/>
        <v>4981228.4339999994</v>
      </c>
      <c r="L16" s="30">
        <f t="shared" si="4"/>
        <v>0</v>
      </c>
      <c r="M16" s="30">
        <f t="shared" si="4"/>
        <v>0</v>
      </c>
      <c r="N16" s="30">
        <f t="shared" si="4"/>
        <v>0</v>
      </c>
      <c r="O16" s="30">
        <f t="shared" si="4"/>
        <v>263140.28999999998</v>
      </c>
      <c r="P16" s="44">
        <f t="shared" ref="P16:S16" si="5">SUM(P17:P27)</f>
        <v>0</v>
      </c>
      <c r="Q16" s="44">
        <f t="shared" si="5"/>
        <v>0</v>
      </c>
      <c r="R16" s="44">
        <f t="shared" si="5"/>
        <v>0</v>
      </c>
      <c r="S16" s="44">
        <f t="shared" si="5"/>
        <v>0</v>
      </c>
      <c r="T16" s="44">
        <f>SUM(T17:T27)</f>
        <v>0</v>
      </c>
      <c r="U16" s="44">
        <f t="shared" ref="U16:Y16" si="6">SUM(U17:U27)</f>
        <v>0</v>
      </c>
      <c r="V16" s="44">
        <f t="shared" si="6"/>
        <v>0</v>
      </c>
      <c r="W16" s="44">
        <f t="shared" si="6"/>
        <v>516600</v>
      </c>
      <c r="X16" s="44">
        <f t="shared" si="6"/>
        <v>2269655.5499999998</v>
      </c>
      <c r="Y16" s="44">
        <f t="shared" si="6"/>
        <v>0</v>
      </c>
      <c r="Z16" s="44">
        <f>SUM(Z17:Z27)</f>
        <v>985851</v>
      </c>
      <c r="AA16" s="44">
        <f t="shared" ref="AA16" si="7">SUM(AA17:AA27)</f>
        <v>0</v>
      </c>
      <c r="AB16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6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6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6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6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6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6" s="45">
        <f>SUM(Tabla3[[#This Row],[P1]:[P24]])</f>
        <v>11956367.25</v>
      </c>
    </row>
    <row r="17" spans="1:34" ht="14.4" x14ac:dyDescent="0.3">
      <c r="A17" s="23">
        <v>2.0099999999999998</v>
      </c>
      <c r="B17" s="26" t="str">
        <f>VLOOKUP(Tabla3[[#This Row],[Part.]],PPto[],3,FALSE)</f>
        <v xml:space="preserve">2.01 Edificación - Obra Civil </v>
      </c>
      <c r="C17" s="38">
        <f>SUMIF(BD.PD[Pos],Tabla3[[#This Row],[Part.]],BD.PD[Ppto. Orden Interna '[DOP']])</f>
        <v>526280.57999999996</v>
      </c>
      <c r="D1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140597.856</v>
      </c>
      <c r="J1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122542.43399999999</v>
      </c>
      <c r="L1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263140.28999999998</v>
      </c>
      <c r="P1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7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7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7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7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7" s="488"/>
      <c r="AB17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7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7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7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7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7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7" s="46">
        <f>SUM(Tabla3[[#This Row],[P1]:[P24]])</f>
        <v>526280.57999999996</v>
      </c>
    </row>
    <row r="18" spans="1:34" ht="14.4" x14ac:dyDescent="0.3">
      <c r="A18" s="23">
        <v>2.02</v>
      </c>
      <c r="B18" s="26" t="str">
        <f>VLOOKUP(Tabla3[[#This Row],[Part.]],PPto[],3,FALSE)</f>
        <v>2.02 Edificación - Estructura Metálica</v>
      </c>
      <c r="C18" s="38">
        <f>SUMIF(BD.PD[Pos],Tabla3[[#This Row],[Part.]],BD.PD[Ppto. Orden Interna '[DOP']])</f>
        <v>0</v>
      </c>
      <c r="D1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8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8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8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8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8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8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8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8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8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8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8" s="46">
        <f>SUM(Tabla3[[#This Row],[P1]:[P24]])</f>
        <v>0</v>
      </c>
    </row>
    <row r="19" spans="1:34" ht="14.4" x14ac:dyDescent="0.3">
      <c r="A19" s="23">
        <v>2.0299999999999998</v>
      </c>
      <c r="B19" s="26" t="str">
        <f>VLOOKUP(Tabla3[[#This Row],[Part.]],PPto[],3,FALSE)</f>
        <v>2.03 Edificación - Techo S.S. y Cerramientos Multipanel</v>
      </c>
      <c r="C19" s="38">
        <f>SUMIF(BD.PD[Pos],Tabla3[[#This Row],[Part.]],BD.PD[Ppto. Orden Interna '[DOP']])</f>
        <v>0</v>
      </c>
      <c r="D1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1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1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1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1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1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1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1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1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1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1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1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1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1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1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1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1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1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19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19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19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19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1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1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19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19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19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19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19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19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19" s="46">
        <f>SUM(Tabla3[[#This Row],[P1]:[P24]])</f>
        <v>0</v>
      </c>
    </row>
    <row r="20" spans="1:34" ht="14.4" x14ac:dyDescent="0.3">
      <c r="A20" s="23">
        <v>2.04</v>
      </c>
      <c r="B20" s="26" t="str">
        <f>VLOOKUP(Tabla3[[#This Row],[Part.]],PPto[],3,FALSE)</f>
        <v>2.04 Edificación - Tragaluces "Skylights"</v>
      </c>
      <c r="C20" s="38">
        <f>SUMIF(BD.PD[Pos],Tabla3[[#This Row],[Part.]],BD.PD[Ppto. Orden Interna '[DOP']])</f>
        <v>0</v>
      </c>
      <c r="D2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0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0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0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0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0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0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0" s="46">
        <f>SUM(Tabla3[[#This Row],[P1]:[P24]])</f>
        <v>0</v>
      </c>
    </row>
    <row r="21" spans="1:34" ht="14.4" x14ac:dyDescent="0.3">
      <c r="A21" s="23">
        <v>2.0499999999999998</v>
      </c>
      <c r="B21" s="26" t="str">
        <f>VLOOKUP(Tabla3[[#This Row],[Part.]],PPto[],3,FALSE)</f>
        <v>2.05 Instalaciones Sanitarias</v>
      </c>
      <c r="C21" s="38">
        <f>SUMIF(BD.PD[Pos],Tabla3[[#This Row],[Part.]],BD.PD[Ppto. Orden Interna '[DOP']])</f>
        <v>1071000</v>
      </c>
      <c r="D2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1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1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1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535500</v>
      </c>
      <c r="Y21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535500</v>
      </c>
      <c r="AA2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1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1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1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1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1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1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1" s="46">
        <f>SUM(Tabla3[[#This Row],[P1]:[P24]])</f>
        <v>1071000</v>
      </c>
    </row>
    <row r="22" spans="1:34" ht="14.4" x14ac:dyDescent="0.3">
      <c r="A22" s="23">
        <v>2.06</v>
      </c>
      <c r="B22" s="26" t="str">
        <f>VLOOKUP(Tabla3[[#This Row],[Part.]],PPto[],3,FALSE)</f>
        <v>2.06 Instalación de Gas</v>
      </c>
      <c r="C22" s="38">
        <f>SUMIF(BD.PD[Pos],Tabla3[[#This Row],[Part.]],BD.PD[Ppto. Orden Interna '[DOP']])</f>
        <v>0</v>
      </c>
      <c r="D2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2" s="488"/>
      <c r="AB22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2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2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2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2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2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2" s="46">
        <f>SUM(Tabla3[[#This Row],[P1]:[P24]])</f>
        <v>0</v>
      </c>
    </row>
    <row r="23" spans="1:34" ht="14.4" x14ac:dyDescent="0.3">
      <c r="A23" s="23">
        <v>2.0699999999999998</v>
      </c>
      <c r="B23" s="26" t="str">
        <f>VLOOKUP(Tabla3[[#This Row],[Part.]],PPto[],3,FALSE)</f>
        <v xml:space="preserve">2.07 Sistema Contra Incendios </v>
      </c>
      <c r="C23" s="38">
        <f>SUMIF(BD.PD[Pos],Tabla3[[#This Row],[Part.]],BD.PD[Ppto. Orden Interna '[DOP']])</f>
        <v>6294055.9500000002</v>
      </c>
      <c r="D2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2505125.7000000002</v>
      </c>
      <c r="E2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2505125.7000000002</v>
      </c>
      <c r="L2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3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3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3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1283804.55</v>
      </c>
      <c r="Y23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3" s="488"/>
      <c r="AB23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3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3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3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3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3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3" s="46">
        <f>SUM(Tabla3[[#This Row],[P1]:[P24]])</f>
        <v>6294055.9500000002</v>
      </c>
    </row>
    <row r="24" spans="1:34" ht="14.4" x14ac:dyDescent="0.3">
      <c r="A24" s="23">
        <v>2.08</v>
      </c>
      <c r="B24" s="26" t="str">
        <f>VLOOKUP(Tabla3[[#This Row],[Part.]],PPto[],3,FALSE)</f>
        <v>2.08 Instalaciones Mecánicas</v>
      </c>
      <c r="C24" s="38">
        <f>SUMIF(BD.PD[Pos],Tabla3[[#This Row],[Part.]],BD.PD[Ppto. Orden Interna '[DOP']])</f>
        <v>3329609.67</v>
      </c>
      <c r="D2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1912307.67</v>
      </c>
      <c r="L2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516600</v>
      </c>
      <c r="X2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450351</v>
      </c>
      <c r="Y2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450351</v>
      </c>
      <c r="AA24" s="488"/>
      <c r="AB2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4" s="46">
        <f>SUM(Tabla3[[#This Row],[P1]:[P24]])</f>
        <v>3329609.67</v>
      </c>
    </row>
    <row r="25" spans="1:34" ht="14.4" x14ac:dyDescent="0.3">
      <c r="A25" s="23">
        <v>2.09</v>
      </c>
      <c r="B25" s="26" t="str">
        <f>VLOOKUP(Tabla3[[#This Row],[Part.]],PPto[],3,FALSE)</f>
        <v>2.09 Rejillas y Sumideros</v>
      </c>
      <c r="C25" s="38">
        <f>SUMIF(BD.PD[Pos],Tabla3[[#This Row],[Part.]],BD.PD[Ppto. Orden Interna '[DOP']])</f>
        <v>735421.05</v>
      </c>
      <c r="D2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294168.42000000004</v>
      </c>
      <c r="G2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441252.63</v>
      </c>
      <c r="L2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5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5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5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5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5" s="488"/>
      <c r="AB25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5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5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5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5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5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5" s="46">
        <f>SUM(Tabla3[[#This Row],[P1]:[P24]])</f>
        <v>735421.05</v>
      </c>
    </row>
    <row r="26" spans="1:34" ht="14.4" x14ac:dyDescent="0.3">
      <c r="A26" s="23">
        <v>2.1</v>
      </c>
      <c r="B26" s="26" t="str">
        <f>VLOOKUP(Tabla3[[#This Row],[Part.]],PPto[],3,FALSE)</f>
        <v>2.10 Supervisión Civil y Sanitaria</v>
      </c>
      <c r="C26" s="38">
        <f>SUMIF(BD.PD[Pos],Tabla3[[#This Row],[Part.]],BD.PD[Ppto. Orden Interna '[DOP']])</f>
        <v>0</v>
      </c>
      <c r="D2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6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6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6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6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6" s="488"/>
      <c r="AB26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6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6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6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6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6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6" s="46">
        <f>SUM(Tabla3[[#This Row],[P1]:[P24]])</f>
        <v>0</v>
      </c>
    </row>
    <row r="27" spans="1:34" ht="24" customHeight="1" x14ac:dyDescent="0.3">
      <c r="A27" s="23">
        <v>2.11</v>
      </c>
      <c r="B27" s="26" t="str">
        <f>VLOOKUP(Tabla3[[#This Row],[Part.]],PPto[],3,FALSE)</f>
        <v>2.11 Supervisión Arquitectónica</v>
      </c>
      <c r="C27" s="38">
        <f>SUMIF(BD.PD[Pos],Tabla3[[#This Row],[Part.]],BD.PD[Ppto. Orden Interna '[DOP']])</f>
        <v>0</v>
      </c>
      <c r="D2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2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7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7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7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27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7" s="488"/>
      <c r="AB27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7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7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7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7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7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7" s="46">
        <f>SUM(Tabla3[[#This Row],[P1]:[P24]])</f>
        <v>0</v>
      </c>
    </row>
    <row r="28" spans="1:34" ht="14.4" x14ac:dyDescent="0.3">
      <c r="A28" s="24">
        <v>3</v>
      </c>
      <c r="B28" s="25" t="str">
        <f>VLOOKUP(Tabla3[[#This Row],[Part.]],PPto[],3,FALSE)</f>
        <v>3.00 Sistema Eléctrico</v>
      </c>
      <c r="C28" s="37">
        <f t="shared" ref="C28:Y28" si="8">SUM(C29:C32)</f>
        <v>27933332.489999998</v>
      </c>
      <c r="D28" s="30">
        <f t="shared" si="8"/>
        <v>0</v>
      </c>
      <c r="E28" s="44">
        <f t="shared" si="8"/>
        <v>13357298.744999999</v>
      </c>
      <c r="F28" s="44">
        <f t="shared" si="8"/>
        <v>0</v>
      </c>
      <c r="G28" s="44">
        <f t="shared" si="8"/>
        <v>0</v>
      </c>
      <c r="H28" s="44">
        <f t="shared" si="8"/>
        <v>0</v>
      </c>
      <c r="I28" s="44">
        <f t="shared" si="8"/>
        <v>0</v>
      </c>
      <c r="J28" s="44">
        <f t="shared" si="8"/>
        <v>0</v>
      </c>
      <c r="K28" s="44">
        <f t="shared" si="8"/>
        <v>0</v>
      </c>
      <c r="L28" s="44">
        <f t="shared" si="8"/>
        <v>0</v>
      </c>
      <c r="M28" s="44">
        <f t="shared" si="8"/>
        <v>0</v>
      </c>
      <c r="N28" s="44">
        <f t="shared" si="8"/>
        <v>0</v>
      </c>
      <c r="O28" s="30">
        <f>SUM(O29:O39)</f>
        <v>0</v>
      </c>
      <c r="P28" s="44">
        <f t="shared" si="8"/>
        <v>0</v>
      </c>
      <c r="Q28" s="44">
        <f t="shared" si="8"/>
        <v>0</v>
      </c>
      <c r="R28" s="44">
        <f t="shared" si="8"/>
        <v>0</v>
      </c>
      <c r="S28" s="44">
        <f t="shared" si="8"/>
        <v>0</v>
      </c>
      <c r="T28" s="44">
        <f t="shared" si="8"/>
        <v>0</v>
      </c>
      <c r="U28" s="44">
        <f t="shared" si="8"/>
        <v>0</v>
      </c>
      <c r="V28" s="44">
        <f t="shared" si="8"/>
        <v>0</v>
      </c>
      <c r="W28" s="44">
        <f t="shared" si="8"/>
        <v>0</v>
      </c>
      <c r="X28" s="44">
        <f>SUM(X29:X32)</f>
        <v>14576033.744999999</v>
      </c>
      <c r="Y28" s="44">
        <f t="shared" si="8"/>
        <v>0</v>
      </c>
      <c r="Z28" s="44">
        <f>SUM(Z29:Z32)</f>
        <v>0</v>
      </c>
      <c r="AA28" s="44">
        <f>SUM(AA29:AA32)</f>
        <v>0</v>
      </c>
      <c r="AB28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8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8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8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8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8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8" s="45">
        <f>SUM(Tabla3[[#This Row],[P1]:[P24]])</f>
        <v>27933332.489999998</v>
      </c>
    </row>
    <row r="29" spans="1:34" ht="14.4" x14ac:dyDescent="0.3">
      <c r="A29" s="23">
        <v>3.01</v>
      </c>
      <c r="B29" s="26" t="str">
        <f>VLOOKUP(Tabla3[[#This Row],[Part.]],PPto[],3,FALSE)</f>
        <v>3.01 Instalaciones Eléctricas</v>
      </c>
      <c r="C29" s="38">
        <f>SUMIF(BD.PD[Pos],Tabla3[[#This Row],[Part.]],BD.PD[Ppto. Orden Interna '[DOP']])</f>
        <v>16303581.629999999</v>
      </c>
      <c r="D2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2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8151790.8149999995</v>
      </c>
      <c r="F2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2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2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2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2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2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2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2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2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2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2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2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2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2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2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2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29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29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29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8151790.8149999995</v>
      </c>
      <c r="Y29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2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2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29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29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29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29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29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29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29" s="46">
        <f>SUM(Tabla3[[#This Row],[P1]:[P24]])</f>
        <v>16303581.629999999</v>
      </c>
    </row>
    <row r="30" spans="1:34" ht="14.4" x14ac:dyDescent="0.3">
      <c r="A30" s="23">
        <v>3.02</v>
      </c>
      <c r="B30" s="26" t="str">
        <f>VLOOKUP(Tabla3[[#This Row],[Part.]],PPto[],3,FALSE)</f>
        <v>3.02 Supervisión Eléctrica</v>
      </c>
      <c r="C30" s="38">
        <f>SUMIF(BD.PD[Pos],Tabla3[[#This Row],[Part.]],BD.PD[Ppto. Orden Interna '[DOP']])</f>
        <v>0</v>
      </c>
      <c r="D3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0" s="46">
        <f>SUM(Tabla3[[#This Row],[P1]:[P24]])</f>
        <v>0</v>
      </c>
    </row>
    <row r="31" spans="1:34" ht="14.4" x14ac:dyDescent="0.3">
      <c r="A31" s="23">
        <v>3.03</v>
      </c>
      <c r="B31" s="26" t="str">
        <f>VLOOKUP(Tabla3[[#This Row],[Part.]],PPto[],3,FALSE)</f>
        <v>3.03 Generadores</v>
      </c>
      <c r="C31" s="38">
        <f>SUMIF(BD.PD[Pos],Tabla3[[#This Row],[Part.]],BD.PD[Ppto. Orden Interna '[DOP']])</f>
        <v>10411015.859999999</v>
      </c>
      <c r="D3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5205507.93</v>
      </c>
      <c r="F3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1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1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1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5205507.93</v>
      </c>
      <c r="Y31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1" s="46">
        <f>SUM(Tabla3[[#This Row],[P1]:[P24]])</f>
        <v>10411015.859999999</v>
      </c>
    </row>
    <row r="32" spans="1:34" ht="14.4" x14ac:dyDescent="0.3">
      <c r="A32" s="23">
        <v>3.04</v>
      </c>
      <c r="B32" s="26" t="str">
        <f>VLOOKUP(Tabla3[[#This Row],[Part.]],PPto[],3,FALSE)</f>
        <v>3.04 Inversor y UPS</v>
      </c>
      <c r="C32" s="38">
        <f>SUMIF(BD.PD[Pos],Tabla3[[#This Row],[Part.]],BD.PD[Ppto. Orden Interna '[DOP']])</f>
        <v>1218735</v>
      </c>
      <c r="D3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1218735</v>
      </c>
      <c r="Y3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2" s="46">
        <f>SUM(Tabla3[[#This Row],[P1]:[P24]])</f>
        <v>1218735</v>
      </c>
    </row>
    <row r="33" spans="1:34" ht="14.4" x14ac:dyDescent="0.3">
      <c r="A33" s="24">
        <v>4</v>
      </c>
      <c r="B33" s="25" t="str">
        <f>VLOOKUP(Tabla3[[#This Row],[Part.]],PPto[],3,FALSE)</f>
        <v xml:space="preserve">4.00 Sistema de Climatización   </v>
      </c>
      <c r="C33" s="37">
        <f t="shared" ref="C33:Y33" si="9">SUM(C34:C36)</f>
        <v>7596030.75</v>
      </c>
      <c r="D33" s="30">
        <f t="shared" si="9"/>
        <v>0</v>
      </c>
      <c r="E33" s="44">
        <f t="shared" si="9"/>
        <v>0</v>
      </c>
      <c r="F33" s="44">
        <f t="shared" si="9"/>
        <v>3208156.875</v>
      </c>
      <c r="G33" s="44">
        <f t="shared" si="9"/>
        <v>0</v>
      </c>
      <c r="H33" s="44">
        <f t="shared" si="9"/>
        <v>0</v>
      </c>
      <c r="I33" s="44">
        <f t="shared" si="9"/>
        <v>0</v>
      </c>
      <c r="J33" s="44">
        <f t="shared" si="9"/>
        <v>0</v>
      </c>
      <c r="K33" s="44">
        <f t="shared" si="9"/>
        <v>0</v>
      </c>
      <c r="L33" s="44">
        <f t="shared" si="9"/>
        <v>3208156.875</v>
      </c>
      <c r="M33" s="44">
        <f t="shared" si="9"/>
        <v>0</v>
      </c>
      <c r="N33" s="44">
        <f t="shared" si="9"/>
        <v>0</v>
      </c>
      <c r="O33" s="30">
        <f>SUM(O34:O44)</f>
        <v>0</v>
      </c>
      <c r="P33" s="44">
        <f t="shared" si="9"/>
        <v>0</v>
      </c>
      <c r="Q33" s="44">
        <f t="shared" si="9"/>
        <v>0</v>
      </c>
      <c r="R33" s="44">
        <f t="shared" si="9"/>
        <v>0</v>
      </c>
      <c r="S33" s="44">
        <f t="shared" si="9"/>
        <v>0</v>
      </c>
      <c r="T33" s="44">
        <f t="shared" si="9"/>
        <v>0</v>
      </c>
      <c r="U33" s="44">
        <f t="shared" si="9"/>
        <v>0</v>
      </c>
      <c r="V33" s="44">
        <f t="shared" si="9"/>
        <v>0</v>
      </c>
      <c r="W33" s="44">
        <f t="shared" si="9"/>
        <v>0</v>
      </c>
      <c r="X33" s="44">
        <f>SUM(X34:X36)</f>
        <v>707830.2</v>
      </c>
      <c r="Y33" s="44">
        <f t="shared" si="9"/>
        <v>0</v>
      </c>
      <c r="Z33" s="44">
        <f>SUM(Z34:Z36)</f>
        <v>471886.80000000005</v>
      </c>
      <c r="AA33" s="44">
        <f>SUM(AA34:AA36)</f>
        <v>0</v>
      </c>
      <c r="AB33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3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3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3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3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3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3" s="45">
        <f>SUM(Tabla3[[#This Row],[P1]:[P24]])</f>
        <v>7596030.75</v>
      </c>
    </row>
    <row r="34" spans="1:34" ht="14.4" x14ac:dyDescent="0.3">
      <c r="A34" s="23">
        <v>4.01</v>
      </c>
      <c r="B34" s="26" t="str">
        <f>VLOOKUP(Tabla3[[#This Row],[Part.]],PPto[],3,FALSE)</f>
        <v>4.01 Suministro e instalación de Equipos</v>
      </c>
      <c r="C34" s="38">
        <f>SUMIF(BD.PD[Pos],Tabla3[[#This Row],[Part.]],BD.PD[Ppto. Orden Interna '[DOP']])</f>
        <v>6416313.75</v>
      </c>
      <c r="D3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3208156.875</v>
      </c>
      <c r="G3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3208156.875</v>
      </c>
      <c r="M3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4" s="46">
        <f>SUM(Tabla3[[#This Row],[P1]:[P24]])</f>
        <v>6416313.75</v>
      </c>
    </row>
    <row r="35" spans="1:34" ht="14.4" x14ac:dyDescent="0.3">
      <c r="A35" s="23">
        <v>4.0199999999999996</v>
      </c>
      <c r="B35" s="26" t="str">
        <f>VLOOKUP(Tabla3[[#This Row],[Part.]],PPto[],3,FALSE)</f>
        <v>4.02 Supervisión Mecánica</v>
      </c>
      <c r="C35" s="38">
        <f>SUMIF(BD.PD[Pos],Tabla3[[#This Row],[Part.]],BD.PD[Ppto. Orden Interna '[DOP']])</f>
        <v>0</v>
      </c>
      <c r="D3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5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5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5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5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5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5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5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5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5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5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5" s="46">
        <f>SUM(Tabla3[[#This Row],[P1]:[P24]])</f>
        <v>0</v>
      </c>
    </row>
    <row r="36" spans="1:34" ht="14.4" x14ac:dyDescent="0.3">
      <c r="A36" s="23">
        <v>4.03</v>
      </c>
      <c r="B36" s="26" t="str">
        <f>VLOOKUP(Tabla3[[#This Row],[Part.]],PPto[],3,FALSE)</f>
        <v>4.03 Sistema de Extracción cocina</v>
      </c>
      <c r="C36" s="38">
        <f>SUMIF(BD.PD[Pos],Tabla3[[#This Row],[Part.]],BD.PD[Ppto. Orden Interna '[DOP']])</f>
        <v>1179717</v>
      </c>
      <c r="D3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6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6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36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707830.2</v>
      </c>
      <c r="Y36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471886.80000000005</v>
      </c>
      <c r="AA3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36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6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6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6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6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6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6" s="46">
        <f>SUM(Tabla3[[#This Row],[P1]:[P24]])</f>
        <v>1179717</v>
      </c>
    </row>
    <row r="37" spans="1:34" ht="14.4" x14ac:dyDescent="0.3">
      <c r="A37" s="24">
        <v>5</v>
      </c>
      <c r="B37" s="25" t="str">
        <f>VLOOKUP(Tabla3[[#This Row],[Part.]],PPto[],3,FALSE)</f>
        <v>5.00 Frio Alimentario</v>
      </c>
      <c r="C37" s="37">
        <f t="shared" ref="C37:V37" si="10">SUM(C38:C44)</f>
        <v>67449916.559200004</v>
      </c>
      <c r="D37" s="30">
        <f>SUM(D38:D44)</f>
        <v>628560</v>
      </c>
      <c r="E37" s="44">
        <f t="shared" si="10"/>
        <v>0</v>
      </c>
      <c r="F37" s="44">
        <f t="shared" ref="F37:K37" si="11">SUM(F38:F44)</f>
        <v>8095149.8496000003</v>
      </c>
      <c r="G37" s="44">
        <f t="shared" si="11"/>
        <v>10501547</v>
      </c>
      <c r="H37" s="44">
        <f t="shared" si="11"/>
        <v>437429.47499999998</v>
      </c>
      <c r="I37" s="44">
        <f t="shared" si="11"/>
        <v>620044.1</v>
      </c>
      <c r="J37" s="44">
        <f t="shared" si="11"/>
        <v>620044.1</v>
      </c>
      <c r="K37" s="44">
        <f t="shared" si="11"/>
        <v>8095149.8496000003</v>
      </c>
      <c r="L37" s="30">
        <f>SUM(L38:L48)</f>
        <v>0</v>
      </c>
      <c r="M37" s="44">
        <f>SUM(M38:M44)</f>
        <v>10501547</v>
      </c>
      <c r="N37" s="44">
        <f t="shared" si="10"/>
        <v>0</v>
      </c>
      <c r="O37" s="30">
        <f>SUM(O38:O48)</f>
        <v>0</v>
      </c>
      <c r="P37" s="44">
        <f t="shared" si="10"/>
        <v>0</v>
      </c>
      <c r="Q37" s="44">
        <f t="shared" si="10"/>
        <v>0</v>
      </c>
      <c r="R37" s="44">
        <f t="shared" si="10"/>
        <v>0</v>
      </c>
      <c r="S37" s="44">
        <f>SUM(S38:S44)</f>
        <v>437429.47499999998</v>
      </c>
      <c r="T37" s="44">
        <f t="shared" si="10"/>
        <v>0</v>
      </c>
      <c r="U37" s="44">
        <f t="shared" si="10"/>
        <v>0</v>
      </c>
      <c r="V37" s="44">
        <f t="shared" si="10"/>
        <v>0</v>
      </c>
      <c r="W37" s="44">
        <f>SUM(W38:W44)</f>
        <v>10365102.058</v>
      </c>
      <c r="X37" s="44">
        <f>SUM(X38:X44)</f>
        <v>2892974.87</v>
      </c>
      <c r="Y37" s="44">
        <f>SUM(Y38:Y44)</f>
        <v>0</v>
      </c>
      <c r="Z37" s="44">
        <f>SUM(Z38:Z44)</f>
        <v>1433379.62</v>
      </c>
      <c r="AA37" s="44">
        <f>SUM(AA38:AA44)</f>
        <v>8259743.8979999982</v>
      </c>
      <c r="AB37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7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7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7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7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7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7" s="45">
        <f>SUM(Tabla3[[#This Row],[P1]:[P24]])</f>
        <v>62888101.295200005</v>
      </c>
    </row>
    <row r="38" spans="1:34" ht="14.4" x14ac:dyDescent="0.3">
      <c r="A38" s="23">
        <v>5.01</v>
      </c>
      <c r="B38" s="26" t="str">
        <f>VLOOKUP(Tabla3[[#This Row],[Part.]],PPto[],3,FALSE)</f>
        <v>5.01 Paneles</v>
      </c>
      <c r="C38" s="38">
        <f>SUMIF(BD.PD[Pos],Tabla3[[#This Row],[Part.]],BD.PD[Ppto. Orden Interna '[DOP']])</f>
        <v>9989501.7599999998</v>
      </c>
      <c r="D3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8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8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2996850.5279999995</v>
      </c>
      <c r="X38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8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6992651.2319999989</v>
      </c>
      <c r="AB38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8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8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8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8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8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8" s="46">
        <f>SUM(Tabla3[[#This Row],[P1]:[P24]])</f>
        <v>9989501.7599999979</v>
      </c>
    </row>
    <row r="39" spans="1:34" ht="14.4" x14ac:dyDescent="0.3">
      <c r="A39" s="23">
        <v>5.0199999999999996</v>
      </c>
      <c r="B39" s="26" t="str">
        <f>VLOOKUP(Tabla3[[#This Row],[Part.]],PPto[],3,FALSE)</f>
        <v>5.02 FRP y Diamond Plate</v>
      </c>
      <c r="C39" s="38">
        <f>SUMIF(BD.PD[Pos],Tabla3[[#This Row],[Part.]],BD.PD[Ppto. Orden Interna '[DOP']])</f>
        <v>1810132.38</v>
      </c>
      <c r="D3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3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3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3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3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3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3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3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3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3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3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3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3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3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3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3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3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3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39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39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543039.71399999992</v>
      </c>
      <c r="X39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39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3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3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1267092.6659999997</v>
      </c>
      <c r="AB39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39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39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39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39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39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39" s="46">
        <f>SUM(Tabla3[[#This Row],[P1]:[P24]])</f>
        <v>1810132.3799999997</v>
      </c>
    </row>
    <row r="40" spans="1:34" ht="14.4" x14ac:dyDescent="0.3">
      <c r="A40" s="23">
        <v>5.03</v>
      </c>
      <c r="B40" s="26" t="str">
        <f>VLOOKUP(Tabla3[[#This Row],[Part.]],PPto[],3,FALSE)</f>
        <v>5.03 Neveras, Centrales y Evaporadores</v>
      </c>
      <c r="C40" s="38">
        <f>SUMIF(BD.PD[Pos],Tabla3[[#This Row],[Part.]],BD.PD[Ppto. Orden Interna '[DOP']])</f>
        <v>40348896.09920001</v>
      </c>
      <c r="D4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8095149.8496000003</v>
      </c>
      <c r="G4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10501547</v>
      </c>
      <c r="H4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437429.47499999998</v>
      </c>
      <c r="I4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620044.1</v>
      </c>
      <c r="J4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620044.1</v>
      </c>
      <c r="K4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8095149.8496000003</v>
      </c>
      <c r="L4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10501547</v>
      </c>
      <c r="N4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437429.47499999998</v>
      </c>
      <c r="T4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1040555.25</v>
      </c>
      <c r="Y4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0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0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0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0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0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0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0" s="46">
        <f>SUM(Tabla3[[#This Row],[P1]:[P24]])</f>
        <v>40348896.09920001</v>
      </c>
    </row>
    <row r="41" spans="1:34" ht="14.4" x14ac:dyDescent="0.3">
      <c r="A41" s="23">
        <v>5.04</v>
      </c>
      <c r="B41" s="26" t="str">
        <f>VLOOKUP(Tabla3[[#This Row],[Part.]],PPto[],3,FALSE)</f>
        <v>5.04 Bumpers Mcue/ Rack</v>
      </c>
      <c r="C41" s="38">
        <f>SUMIF(BD.PD[Pos],Tabla3[[#This Row],[Part.]],BD.PD[Ppto. Orden Interna '[DOP']])</f>
        <v>1658065.02</v>
      </c>
      <c r="D4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1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1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1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829032.51</v>
      </c>
      <c r="Y41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829032.51</v>
      </c>
      <c r="AA4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1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1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1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1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1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1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1" s="46">
        <f>SUM(Tabla3[[#This Row],[P1]:[P24]])</f>
        <v>1658065.02</v>
      </c>
    </row>
    <row r="42" spans="1:34" ht="14.4" x14ac:dyDescent="0.3">
      <c r="A42" s="23">
        <v>5.05</v>
      </c>
      <c r="B42" s="26" t="str">
        <f>VLOOKUP(Tabla3[[#This Row],[Part.]],PPto[],3,FALSE)</f>
        <v xml:space="preserve">5.05 Trameria Cuarto Frio </v>
      </c>
      <c r="C42" s="38">
        <f>SUMIF(BD.PD[Pos],Tabla3[[#This Row],[Part.]],BD.PD[Ppto. Orden Interna '[DOP']])</f>
        <v>1960694.2199999997</v>
      </c>
      <c r="D4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752000</v>
      </c>
      <c r="X4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604347.11</v>
      </c>
      <c r="Y4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604347.11</v>
      </c>
      <c r="AA42" s="488"/>
      <c r="AB42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2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2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2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2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2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2" s="46">
        <f>SUM(Tabla3[[#This Row],[P1]:[P24]])</f>
        <v>1960694.2199999997</v>
      </c>
    </row>
    <row r="43" spans="1:34" ht="14.4" x14ac:dyDescent="0.3">
      <c r="A43" s="23">
        <v>5.0599999999999996</v>
      </c>
      <c r="B43" s="26" t="str">
        <f>VLOOKUP(Tabla3[[#This Row],[Part.]],PPto[],3,FALSE)</f>
        <v xml:space="preserve">5.06 Instalacion Frio Alimentario </v>
      </c>
      <c r="C43" s="38">
        <f>SUMIF(BD.PD[Pos],Tabla3[[#This Row],[Part.]],BD.PD[Ppto. Orden Interna '[DOP']])</f>
        <v>8254359.2300000004</v>
      </c>
      <c r="D4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628560</v>
      </c>
      <c r="E4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3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3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5044731.4610000001</v>
      </c>
      <c r="X43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419040</v>
      </c>
      <c r="Y43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3" s="488"/>
      <c r="AB43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3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3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3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3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3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3" s="46">
        <f>SUM(Tabla3[[#This Row],[P1]:[P24]])</f>
        <v>6092331.4610000001</v>
      </c>
    </row>
    <row r="44" spans="1:34" ht="14.4" x14ac:dyDescent="0.3">
      <c r="A44" s="23">
        <v>5.07</v>
      </c>
      <c r="B44" s="26" t="str">
        <f>VLOOKUP(Tabla3[[#This Row],[Part.]],PPto[],3,FALSE)</f>
        <v>5.07 Chase Doors</v>
      </c>
      <c r="C44" s="38">
        <f>SUMIF(BD.PD[Pos],Tabla3[[#This Row],[Part.]],BD.PD[Ppto. Orden Interna '[DOP']])</f>
        <v>3428267.8499999996</v>
      </c>
      <c r="D4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1028480.3549999999</v>
      </c>
      <c r="X4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4" s="488"/>
      <c r="AB4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4" s="46">
        <f>SUM(Tabla3[[#This Row],[P1]:[P24]])</f>
        <v>1028480.3549999999</v>
      </c>
    </row>
    <row r="45" spans="1:34" ht="14.4" x14ac:dyDescent="0.3">
      <c r="A45" s="24">
        <v>6</v>
      </c>
      <c r="B45" s="25" t="str">
        <f>VLOOKUP(Tabla3[[#This Row],[Part.]],PPto[],3,FALSE)</f>
        <v>6.00 Tecnología, Seguridad y Tesorería</v>
      </c>
      <c r="C45" s="37">
        <f t="shared" ref="C45:W45" si="12">SUM(C46:C50)</f>
        <v>2381525.7499999995</v>
      </c>
      <c r="D45" s="30">
        <f t="shared" si="12"/>
        <v>0</v>
      </c>
      <c r="E45" s="44">
        <f t="shared" si="12"/>
        <v>0</v>
      </c>
      <c r="F45" s="44">
        <f t="shared" si="12"/>
        <v>0</v>
      </c>
      <c r="G45" s="44">
        <f t="shared" si="12"/>
        <v>68500</v>
      </c>
      <c r="H45" s="44">
        <f t="shared" si="12"/>
        <v>657755.27999999991</v>
      </c>
      <c r="I45" s="44">
        <f t="shared" si="12"/>
        <v>0</v>
      </c>
      <c r="J45" s="44">
        <f t="shared" si="12"/>
        <v>0</v>
      </c>
      <c r="K45" s="44">
        <f t="shared" si="12"/>
        <v>0</v>
      </c>
      <c r="L45" s="44">
        <f t="shared" si="12"/>
        <v>0</v>
      </c>
      <c r="M45" s="44">
        <f t="shared" si="12"/>
        <v>0</v>
      </c>
      <c r="N45" s="44">
        <f t="shared" si="12"/>
        <v>0</v>
      </c>
      <c r="O45" s="44">
        <f t="shared" si="12"/>
        <v>0</v>
      </c>
      <c r="P45" s="44">
        <f t="shared" si="12"/>
        <v>0</v>
      </c>
      <c r="Q45" s="44">
        <f t="shared" si="12"/>
        <v>0</v>
      </c>
      <c r="R45" s="44">
        <f t="shared" si="12"/>
        <v>0</v>
      </c>
      <c r="S45" s="44">
        <f t="shared" si="12"/>
        <v>0</v>
      </c>
      <c r="T45" s="44">
        <f>SUM(T46:T50)</f>
        <v>67612.23</v>
      </c>
      <c r="U45" s="44">
        <f t="shared" si="12"/>
        <v>0</v>
      </c>
      <c r="V45" s="44">
        <f>SUM(V46:V50)</f>
        <v>67612.23</v>
      </c>
      <c r="W45" s="44">
        <f t="shared" si="12"/>
        <v>0</v>
      </c>
      <c r="X45" s="44">
        <f>SUM(X46:X50)</f>
        <v>1520046.0099999998</v>
      </c>
      <c r="Y45" s="44">
        <f>SUM(Y46:Y50)</f>
        <v>0</v>
      </c>
      <c r="Z45" s="490"/>
      <c r="AA45" s="490"/>
      <c r="AB45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5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5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5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5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5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5" s="45">
        <f>SUM(Tabla3[[#This Row],[P1]:[P24]])</f>
        <v>2381525.7499999995</v>
      </c>
    </row>
    <row r="46" spans="1:34" ht="14.4" x14ac:dyDescent="0.3">
      <c r="A46" s="23">
        <v>6.01</v>
      </c>
      <c r="B46" s="26" t="str">
        <f>VLOOKUP(Tabla3[[#This Row],[Part.]],PPto[],3,FALSE)</f>
        <v>6.01 Sistema de cámaras CCTV</v>
      </c>
      <c r="C46" s="38">
        <f>SUMIF(BD.PD[Pos],Tabla3[[#This Row],[Part.]],BD.PD[Ppto. Orden Interna '[DOP']])</f>
        <v>0</v>
      </c>
      <c r="D4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6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6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6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6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6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6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6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6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6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6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6" s="46">
        <f>SUM(Tabla3[[#This Row],[P1]:[P24]])</f>
        <v>0</v>
      </c>
    </row>
    <row r="47" spans="1:34" ht="14.4" x14ac:dyDescent="0.3">
      <c r="A47" s="23">
        <v>6.02</v>
      </c>
      <c r="B47" s="26" t="str">
        <f>VLOOKUP(Tabla3[[#This Row],[Part.]],PPto[],3,FALSE)</f>
        <v>6.02 Antenas detección de robo</v>
      </c>
      <c r="C47" s="38">
        <f>SUMIF(BD.PD[Pos],Tabla3[[#This Row],[Part.]],BD.PD[Ppto. Orden Interna '[DOP']])</f>
        <v>0</v>
      </c>
      <c r="D4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7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7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7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7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7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7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7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7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7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7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7" s="46">
        <f>SUM(Tabla3[[#This Row],[P1]:[P24]])</f>
        <v>0</v>
      </c>
    </row>
    <row r="48" spans="1:34" ht="14.4" x14ac:dyDescent="0.3">
      <c r="A48" s="23">
        <v>6.03</v>
      </c>
      <c r="B48" s="26" t="str">
        <f>VLOOKUP(Tabla3[[#This Row],[Part.]],PPto[],3,FALSE)</f>
        <v>6.03 Puntos de Venta</v>
      </c>
      <c r="C48" s="38">
        <f>SUMIF(BD.PD[Pos],Tabla3[[#This Row],[Part.]],BD.PD[Ppto. Orden Interna '[DOP']])</f>
        <v>0</v>
      </c>
      <c r="D4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8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8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8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8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8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8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8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8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8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8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8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8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8" s="46">
        <f>SUM(Tabla3[[#This Row],[P1]:[P24]])</f>
        <v>0</v>
      </c>
    </row>
    <row r="49" spans="1:34" ht="14.4" x14ac:dyDescent="0.3">
      <c r="A49" s="23">
        <v>6.04</v>
      </c>
      <c r="B49" s="26" t="str">
        <f>VLOOKUP(Tabla3[[#This Row],[Part.]],PPto[],3,FALSE)</f>
        <v>6.04 Instalación de data y voz / Antenas de techo</v>
      </c>
      <c r="C49" s="38">
        <f>SUMIF(BD.PD[Pos],Tabla3[[#This Row],[Part.]],BD.PD[Ppto. Orden Interna '[DOP']])</f>
        <v>0</v>
      </c>
      <c r="D4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4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4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4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4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4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4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4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4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4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4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4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4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4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4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4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4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4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49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49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49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49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4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4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49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49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49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49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49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49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49" s="46">
        <f>SUM(Tabla3[[#This Row],[P1]:[P24]])</f>
        <v>0</v>
      </c>
    </row>
    <row r="50" spans="1:34" ht="14.4" x14ac:dyDescent="0.3">
      <c r="A50" s="23">
        <v>6.05</v>
      </c>
      <c r="B50" s="26" t="str">
        <f>VLOOKUP(Tabla3[[#This Row],[Part.]],PPto[],3,FALSE)</f>
        <v>6.05 Otros sum e inst Tecnología y Seguridad Y Tesoreria</v>
      </c>
      <c r="C50" s="38">
        <f>SUMIF(BD.PD[Pos],Tabla3[[#This Row],[Part.]],BD.PD[Ppto. Orden Interna '[DOP']])</f>
        <v>2381525.7499999995</v>
      </c>
      <c r="D5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68500</v>
      </c>
      <c r="H5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657755.27999999991</v>
      </c>
      <c r="I5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67612.23</v>
      </c>
      <c r="U5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67612.23</v>
      </c>
      <c r="W5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1520046.0099999998</v>
      </c>
      <c r="Y5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0" s="488"/>
      <c r="AA50" s="488"/>
      <c r="AB50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0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0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0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0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0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0" s="46">
        <f>SUM(Tabla3[[#This Row],[P1]:[P24]])</f>
        <v>2381525.7499999995</v>
      </c>
    </row>
    <row r="51" spans="1:34" ht="14.4" x14ac:dyDescent="0.3">
      <c r="A51" s="24">
        <v>7</v>
      </c>
      <c r="B51" s="25" t="str">
        <f>VLOOKUP(Tabla3[[#This Row],[Part.]],PPto[],3,FALSE)</f>
        <v>7.00 Equipamiento Produccion</v>
      </c>
      <c r="C51" s="37">
        <f t="shared" ref="C51:M51" si="13">SUM(C52:C58)</f>
        <v>22980867.531999998</v>
      </c>
      <c r="D51" s="30">
        <f t="shared" si="13"/>
        <v>0</v>
      </c>
      <c r="E51" s="44">
        <f t="shared" si="13"/>
        <v>0</v>
      </c>
      <c r="F51" s="44">
        <f t="shared" si="13"/>
        <v>3787782.0749999997</v>
      </c>
      <c r="G51" s="44">
        <f t="shared" si="13"/>
        <v>427573.24200000003</v>
      </c>
      <c r="H51" s="44">
        <f t="shared" si="13"/>
        <v>2595445.3080000002</v>
      </c>
      <c r="I51" s="44">
        <f t="shared" si="13"/>
        <v>2556760.3590000002</v>
      </c>
      <c r="J51" s="44">
        <f t="shared" si="13"/>
        <v>0</v>
      </c>
      <c r="K51" s="44">
        <f t="shared" si="13"/>
        <v>624659.17499999993</v>
      </c>
      <c r="L51" s="44">
        <f t="shared" si="13"/>
        <v>0</v>
      </c>
      <c r="M51" s="44">
        <f t="shared" si="13"/>
        <v>1829874.36</v>
      </c>
      <c r="N51" s="44">
        <f>SUM(N52:N58)</f>
        <v>1107035.456</v>
      </c>
      <c r="O51" s="44">
        <f t="shared" ref="O51:AG51" si="14">SUM(O52:O58)</f>
        <v>0</v>
      </c>
      <c r="P51" s="44">
        <f t="shared" si="14"/>
        <v>0</v>
      </c>
      <c r="Q51" s="44">
        <f t="shared" si="14"/>
        <v>0</v>
      </c>
      <c r="R51" s="44">
        <f t="shared" si="14"/>
        <v>0</v>
      </c>
      <c r="S51" s="44">
        <f t="shared" si="14"/>
        <v>4236882.0749999993</v>
      </c>
      <c r="T51" s="44">
        <f t="shared" si="14"/>
        <v>0</v>
      </c>
      <c r="U51" s="44">
        <f t="shared" si="14"/>
        <v>0</v>
      </c>
      <c r="V51" s="44">
        <f t="shared" si="14"/>
        <v>639566.85</v>
      </c>
      <c r="W51" s="44">
        <f t="shared" si="14"/>
        <v>0</v>
      </c>
      <c r="X51" s="44">
        <f t="shared" si="14"/>
        <v>3834398.5820000004</v>
      </c>
      <c r="Y51" s="44">
        <f>SUM(Y52:Y58)</f>
        <v>1340890.05</v>
      </c>
      <c r="Z51" s="44">
        <f t="shared" si="14"/>
        <v>0</v>
      </c>
      <c r="AA51" s="44">
        <f t="shared" si="14"/>
        <v>0</v>
      </c>
      <c r="AB51" s="44">
        <f t="shared" si="14"/>
        <v>0</v>
      </c>
      <c r="AC51" s="44">
        <f t="shared" si="14"/>
        <v>0</v>
      </c>
      <c r="AD51" s="44">
        <f t="shared" si="14"/>
        <v>0</v>
      </c>
      <c r="AE51" s="44">
        <f t="shared" si="14"/>
        <v>0</v>
      </c>
      <c r="AF51" s="44">
        <f t="shared" si="14"/>
        <v>0</v>
      </c>
      <c r="AG51" s="44">
        <f t="shared" si="14"/>
        <v>0</v>
      </c>
      <c r="AH51" s="45">
        <f>SUM(Tabla3[[#This Row],[P1]:[P24]])</f>
        <v>22980867.532000002</v>
      </c>
    </row>
    <row r="52" spans="1:34" ht="14.4" x14ac:dyDescent="0.3">
      <c r="A52" s="23">
        <v>7.01</v>
      </c>
      <c r="B52" s="26" t="str">
        <f>VLOOKUP(Tabla3[[#This Row],[Part.]],PPto[],3,FALSE)</f>
        <v xml:space="preserve">7.01 Equipamiento de Acero Inoxidable </v>
      </c>
      <c r="C52" s="38">
        <f>SUMIF(BD.PD[Pos],Tabla3[[#This Row],[Part.]],BD.PD[Ppto. Orden Interna '[DOP']])</f>
        <v>1279133.7</v>
      </c>
      <c r="D5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639566.85</v>
      </c>
      <c r="W5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639566.85</v>
      </c>
      <c r="Z5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2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2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2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2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2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2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2" s="46">
        <f>SUM(Tabla3[[#This Row],[P1]:[P24]])</f>
        <v>1279133.7</v>
      </c>
    </row>
    <row r="53" spans="1:34" ht="14.4" x14ac:dyDescent="0.3">
      <c r="A53" s="23">
        <v>7.02</v>
      </c>
      <c r="B53" s="26" t="str">
        <f>VLOOKUP(Tabla3[[#This Row],[Part.]],PPto[],3,FALSE)</f>
        <v>7.02 Cocina, Patio Comidas y Rostizería</v>
      </c>
      <c r="C53" s="38">
        <f>SUMIF(BD.PD[Pos],Tabla3[[#This Row],[Part.]],BD.PD[Ppto. Orden Interna '[DOP']])</f>
        <v>4069547.46</v>
      </c>
      <c r="D5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160.19999999999999</v>
      </c>
      <c r="H5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1646060.5080000001</v>
      </c>
      <c r="I5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199800.30499999999</v>
      </c>
      <c r="N5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177552</v>
      </c>
      <c r="T5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3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3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3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1977574.4470000002</v>
      </c>
      <c r="Y53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68400</v>
      </c>
      <c r="Z5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3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3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3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3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3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3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3" s="46">
        <f>SUM(Tabla3[[#This Row],[P1]:[P24]])</f>
        <v>4069547.46</v>
      </c>
    </row>
    <row r="54" spans="1:34" ht="14.4" x14ac:dyDescent="0.3">
      <c r="A54" s="23">
        <v>7.03</v>
      </c>
      <c r="B54" s="26" t="str">
        <f>VLOOKUP(Tabla3[[#This Row],[Part.]],PPto[],3,FALSE)</f>
        <v>7.03 Equipamiento Carniceria, Pescadería y Delicatesen</v>
      </c>
      <c r="C54" s="38">
        <f>SUMIF(BD.PD[Pos],Tabla3[[#This Row],[Part.]],BD.PD[Ppto. Orden Interna '[DOP']])</f>
        <v>3354018.7499999995</v>
      </c>
      <c r="D5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8559.36</v>
      </c>
      <c r="H5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1630074.0550000002</v>
      </c>
      <c r="N5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1715385.3350000002</v>
      </c>
      <c r="Y5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4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4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4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4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4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4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4" s="46">
        <f>SUM(Tabla3[[#This Row],[P1]:[P24]])</f>
        <v>3354018.7500000005</v>
      </c>
    </row>
    <row r="55" spans="1:34" ht="14.4" x14ac:dyDescent="0.3">
      <c r="A55" s="23">
        <v>7.04</v>
      </c>
      <c r="B55" s="26" t="str">
        <f>VLOOKUP(Tabla3[[#This Row],[Part.]],PPto[],3,FALSE)</f>
        <v>7.04 Equipamiento de Panaderia, Reposteria y Rosticería</v>
      </c>
      <c r="C55" s="38">
        <f>SUMIF(BD.PD[Pos],Tabla3[[#This Row],[Part.]],BD.PD[Ppto. Orden Interna '[DOP']])</f>
        <v>10525417.840000002</v>
      </c>
      <c r="D5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2121284.0249999999</v>
      </c>
      <c r="G5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949384.79999999993</v>
      </c>
      <c r="I5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2556760.3590000002</v>
      </c>
      <c r="J5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624659.17499999993</v>
      </c>
      <c r="L5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1107035.456</v>
      </c>
      <c r="O5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2392832.0249999999</v>
      </c>
      <c r="T5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5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5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5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140538.79999999999</v>
      </c>
      <c r="Y55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632923.20000000007</v>
      </c>
      <c r="Z5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5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55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5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5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5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5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5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5" s="46">
        <f>SUM(Tabla3[[#This Row],[P1]:[P24]])</f>
        <v>10525417.84</v>
      </c>
    </row>
    <row r="56" spans="1:34" ht="14.4" x14ac:dyDescent="0.3">
      <c r="A56" s="23">
        <v>7.05</v>
      </c>
      <c r="B56" s="26" t="str">
        <f>VLOOKUP(Tabla3[[#This Row],[Part.]],PPto[],3,FALSE)</f>
        <v>7.05 Equipamiento de Frutas y Vegetales</v>
      </c>
      <c r="C56" s="38">
        <f>SUMIF(BD.PD[Pos],Tabla3[[#This Row],[Part.]],BD.PD[Ppto. Orden Interna '[DOP']])</f>
        <v>3752749.7819999997</v>
      </c>
      <c r="D5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1666498.0499999998</v>
      </c>
      <c r="G5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418853.68200000003</v>
      </c>
      <c r="H5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1666498.0499999998</v>
      </c>
      <c r="T5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6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6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6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900</v>
      </c>
      <c r="Y56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6" s="488"/>
      <c r="AA56" s="488"/>
      <c r="AB56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6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6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6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6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6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6" s="46">
        <f>SUM(Tabla3[[#This Row],[P1]:[P24]])</f>
        <v>3752749.7819999997</v>
      </c>
    </row>
    <row r="57" spans="1:34" ht="14.4" x14ac:dyDescent="0.3">
      <c r="A57" s="23">
        <v>7.06</v>
      </c>
      <c r="B57" s="26" t="str">
        <f>VLOOKUP(Tabla3[[#This Row],[Part.]],PPto[],3,FALSE)</f>
        <v>7.06 Balanzas</v>
      </c>
      <c r="C57" s="38">
        <f>SUMIF(BD.PD[Pos],Tabla3[[#This Row],[Part.]],BD.PD[Ppto. Orden Interna '[DOP']])</f>
        <v>0</v>
      </c>
      <c r="D5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7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7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7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7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7" s="488"/>
      <c r="AA57" s="488"/>
      <c r="AB57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7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7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7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7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7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7" s="46">
        <f>SUM(Tabla3[[#This Row],[P1]:[P24]])</f>
        <v>0</v>
      </c>
    </row>
    <row r="58" spans="1:34" ht="14.4" x14ac:dyDescent="0.3">
      <c r="A58" s="23">
        <v>7.07</v>
      </c>
      <c r="B58" s="26" t="str">
        <f>VLOOKUP(Tabla3[[#This Row],[Part.]],PPto[],3,FALSE)</f>
        <v>7.07 Otros Equipamientos de Producción</v>
      </c>
      <c r="C58" s="38">
        <f>SUMIF(BD.PD[Pos],Tabla3[[#This Row],[Part.]],BD.PD[Ppto. Orden Interna '[DOP']])</f>
        <v>0</v>
      </c>
      <c r="D58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58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58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58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58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58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58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58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58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58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58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58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58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58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58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58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58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58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58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58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58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58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58" s="488"/>
      <c r="AA58" s="488"/>
      <c r="AB58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8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8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8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8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8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8" s="46">
        <f>SUM(Tabla3[[#This Row],[P1]:[P24]])</f>
        <v>0</v>
      </c>
    </row>
    <row r="59" spans="1:34" ht="14.4" x14ac:dyDescent="0.3">
      <c r="A59" s="24">
        <v>8</v>
      </c>
      <c r="B59" s="25" t="str">
        <f>VLOOKUP(Tabla3[[#This Row],[Part.]],PPto[],3,FALSE)</f>
        <v>8.00 Equipamiento Tienda</v>
      </c>
      <c r="C59" s="37">
        <f t="shared" ref="C59:S59" si="15">SUM(C60:C67)</f>
        <v>39914084.875640258</v>
      </c>
      <c r="D59" s="30">
        <f t="shared" si="15"/>
        <v>0</v>
      </c>
      <c r="E59" s="44">
        <f t="shared" si="15"/>
        <v>0</v>
      </c>
      <c r="F59" s="44">
        <f t="shared" si="15"/>
        <v>0</v>
      </c>
      <c r="G59" s="44">
        <f t="shared" si="15"/>
        <v>0</v>
      </c>
      <c r="H59" s="44">
        <f t="shared" si="15"/>
        <v>0</v>
      </c>
      <c r="I59" s="44">
        <f t="shared" si="15"/>
        <v>0</v>
      </c>
      <c r="J59" s="44">
        <f t="shared" si="15"/>
        <v>0</v>
      </c>
      <c r="K59" s="44">
        <f t="shared" si="15"/>
        <v>0</v>
      </c>
      <c r="L59" s="44">
        <f t="shared" si="15"/>
        <v>6791788.94625</v>
      </c>
      <c r="M59" s="44">
        <f t="shared" si="15"/>
        <v>1194638.6654999999</v>
      </c>
      <c r="N59" s="44">
        <f t="shared" si="15"/>
        <v>0</v>
      </c>
      <c r="O59" s="44">
        <f t="shared" si="15"/>
        <v>77508.479999999996</v>
      </c>
      <c r="P59" s="44">
        <f t="shared" si="15"/>
        <v>0</v>
      </c>
      <c r="Q59" s="44">
        <f t="shared" si="15"/>
        <v>0</v>
      </c>
      <c r="R59" s="44">
        <f t="shared" si="15"/>
        <v>0</v>
      </c>
      <c r="S59" s="44">
        <f t="shared" si="15"/>
        <v>7986427.6117500002</v>
      </c>
      <c r="T59" s="44">
        <f>SUM(T60:T67)</f>
        <v>190306.2</v>
      </c>
      <c r="U59" s="44">
        <f t="shared" ref="U59:Y59" si="16">SUM(U60:U67)</f>
        <v>0</v>
      </c>
      <c r="V59" s="44">
        <f>SUM(V60:V67)</f>
        <v>2499453.3412701297</v>
      </c>
      <c r="W59" s="44">
        <f t="shared" si="16"/>
        <v>0</v>
      </c>
      <c r="X59" s="44">
        <f>SUM(X60:X67)</f>
        <v>3741034.7039999999</v>
      </c>
      <c r="Y59" s="44">
        <f t="shared" si="16"/>
        <v>9987202.6616301294</v>
      </c>
      <c r="Z59" s="490"/>
      <c r="AA59" s="44">
        <f>SUM(AA60:AA67)</f>
        <v>7445724.2652400006</v>
      </c>
      <c r="AB59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59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59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59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59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59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59" s="45">
        <f>SUM(Tabla3[[#This Row],[P1]:[P24]])</f>
        <v>39914084.875640258</v>
      </c>
    </row>
    <row r="60" spans="1:34" ht="14.4" x14ac:dyDescent="0.3">
      <c r="A60" s="23">
        <v>8.01</v>
      </c>
      <c r="B60" s="26" t="str">
        <f>VLOOKUP(Tabla3[[#This Row],[Part.]],PPto[],3,FALSE)</f>
        <v>8.01 Gondolas</v>
      </c>
      <c r="C60" s="38">
        <f>SUMIF(BD.PD[Pos],Tabla3[[#This Row],[Part.]],BD.PD[Ppto. Orden Interna '[DOP']])</f>
        <v>13583577.8925</v>
      </c>
      <c r="D6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6791788.94625</v>
      </c>
      <c r="M6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6791788.94625</v>
      </c>
      <c r="T6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0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0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0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0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0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0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0" s="46">
        <f>SUM(Tabla3[[#This Row],[P1]:[P24]])</f>
        <v>13583577.8925</v>
      </c>
    </row>
    <row r="61" spans="1:34" ht="14.4" x14ac:dyDescent="0.3">
      <c r="A61" s="23">
        <v>8.02</v>
      </c>
      <c r="B61" s="26" t="str">
        <f>VLOOKUP(Tabla3[[#This Row],[Part.]],PPto[],3,FALSE)</f>
        <v>8.02 Checkout</v>
      </c>
      <c r="C61" s="38">
        <f>SUMIF(BD.PD[Pos],Tabla3[[#This Row],[Part.]],BD.PD[Ppto. Orden Interna '[DOP']])</f>
        <v>2389277.3309999998</v>
      </c>
      <c r="D6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1194638.6654999999</v>
      </c>
      <c r="N6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1194638.6654999999</v>
      </c>
      <c r="T6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1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1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1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1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1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1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1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1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1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1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1" s="46">
        <f>SUM(Tabla3[[#This Row],[P1]:[P24]])</f>
        <v>2389277.3309999998</v>
      </c>
    </row>
    <row r="62" spans="1:34" ht="14.4" x14ac:dyDescent="0.3">
      <c r="A62" s="23">
        <v>8.0299999999999994</v>
      </c>
      <c r="B62" s="26" t="str">
        <f>VLOOKUP(Tabla3[[#This Row],[Part.]],PPto[],3,FALSE)</f>
        <v>8.03 Carritos, Canastas y Accesorios</v>
      </c>
      <c r="C62" s="38">
        <f>SUMIF(BD.PD[Pos],Tabla3[[#This Row],[Part.]],BD.PD[Ppto. Orden Interna '[DOP']])</f>
        <v>2911662.1825402593</v>
      </c>
      <c r="D6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1455831.0912701297</v>
      </c>
      <c r="W6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1455831.0912701297</v>
      </c>
      <c r="Z6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2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2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2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2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2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2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2" s="46">
        <f>SUM(Tabla3[[#This Row],[P1]:[P24]])</f>
        <v>2911662.1825402593</v>
      </c>
    </row>
    <row r="63" spans="1:34" ht="14.4" x14ac:dyDescent="0.3">
      <c r="A63" s="23">
        <v>8.0399999999999991</v>
      </c>
      <c r="B63" s="26" t="str">
        <f>VLOOKUP(Tabla3[[#This Row],[Part.]],PPto[],3,FALSE)</f>
        <v>8.04 Trameria Almacen</v>
      </c>
      <c r="C63" s="38">
        <f>SUMIF(BD.PD[Pos],Tabla3[[#This Row],[Part.]],BD.PD[Ppto. Orden Interna '[DOP']])</f>
        <v>969778.3256000001</v>
      </c>
      <c r="D6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3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3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3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3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581866.99536000006</v>
      </c>
      <c r="Z63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3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387911.33024000004</v>
      </c>
      <c r="AB63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3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3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3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3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3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3" s="46">
        <f>SUM(Tabla3[[#This Row],[P1]:[P24]])</f>
        <v>969778.3256000001</v>
      </c>
    </row>
    <row r="64" spans="1:34" ht="14.4" x14ac:dyDescent="0.3">
      <c r="A64" s="23">
        <v>8.0500000000000007</v>
      </c>
      <c r="B64" s="26" t="str">
        <f>VLOOKUP(Tabla3[[#This Row],[Part.]],PPto[],3,FALSE)</f>
        <v>8.05 Mobiliario no operacional para Tiendas</v>
      </c>
      <c r="C64" s="38">
        <f>SUMIF(BD.PD[Pos],Tabla3[[#This Row],[Part.]],BD.PD[Ppto. Orden Interna '[DOP']])</f>
        <v>5077430.6940000001</v>
      </c>
      <c r="D64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4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4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4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4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4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4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4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4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4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4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4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4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4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4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4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4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16356.2</v>
      </c>
      <c r="U64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4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809268.17</v>
      </c>
      <c r="W64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4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1920375.2440000002</v>
      </c>
      <c r="Y64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1562171.5249999999</v>
      </c>
      <c r="Z64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4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769259.55499999993</v>
      </c>
      <c r="AB64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4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4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4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4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4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4" s="46">
        <f>SUM(Tabla3[[#This Row],[P1]:[P24]])</f>
        <v>5077430.6940000001</v>
      </c>
    </row>
    <row r="65" spans="1:34" ht="14.4" x14ac:dyDescent="0.3">
      <c r="A65" s="23">
        <v>8.06</v>
      </c>
      <c r="B65" s="26" t="str">
        <f>VLOOKUP(Tabla3[[#This Row],[Part.]],PPto[],3,FALSE)</f>
        <v>8.06 Otros Equipamientos de Tienda</v>
      </c>
      <c r="C65" s="38">
        <f>SUMIF(BD.PD[Pos],Tabla3[[#This Row],[Part.]],BD.PD[Ppto. Orden Interna '[DOP']])</f>
        <v>2445041.3000000007</v>
      </c>
      <c r="D65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5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5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5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5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5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5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5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5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5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5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5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77508.479999999996</v>
      </c>
      <c r="P65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5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5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5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5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173950</v>
      </c>
      <c r="U65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5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234354.07999999996</v>
      </c>
      <c r="W65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5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1302464.3099999998</v>
      </c>
      <c r="Y65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377772.05</v>
      </c>
      <c r="Z65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5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278992.38</v>
      </c>
      <c r="AB65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5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5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5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5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5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5" s="46">
        <f>SUM(Tabla3[[#This Row],[P1]:[P24]])</f>
        <v>2445041.2999999993</v>
      </c>
    </row>
    <row r="66" spans="1:34" ht="14.4" x14ac:dyDescent="0.3">
      <c r="A66" s="23">
        <v>8.07</v>
      </c>
      <c r="B66" s="26" t="str">
        <f>VLOOKUP(Tabla3[[#This Row],[Part.]],PPto[],3,FALSE)</f>
        <v>8.07 Señalizacion interiores</v>
      </c>
      <c r="C66" s="38">
        <f>SUMIF(BD.PD[Pos],Tabla3[[#This Row],[Part.]],BD.PD[Ppto. Orden Interna '[DOP']])</f>
        <v>7718195.1500000004</v>
      </c>
      <c r="D66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6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6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6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6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6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6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6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6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6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6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6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6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6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6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6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6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6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6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6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6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518195.15</v>
      </c>
      <c r="Y66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3600000</v>
      </c>
      <c r="Z66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6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3600000</v>
      </c>
      <c r="AB66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6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6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6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6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6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6" s="46">
        <f>SUM(Tabla3[[#This Row],[P1]:[P24]])</f>
        <v>7718195.1500000004</v>
      </c>
    </row>
    <row r="67" spans="1:34" ht="14.4" x14ac:dyDescent="0.3">
      <c r="A67" s="23">
        <v>8.08</v>
      </c>
      <c r="B67" s="26" t="str">
        <f>VLOOKUP(Tabla3[[#This Row],[Part.]],PPto[],3,FALSE)</f>
        <v>8.08 Señalizacion exteriores</v>
      </c>
      <c r="C67" s="38">
        <f>SUMIF(BD.PD[Pos],Tabla3[[#This Row],[Part.]],BD.PD[Ppto. Orden Interna '[DOP']])</f>
        <v>4819122</v>
      </c>
      <c r="D67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7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7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7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7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7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7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7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7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7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7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7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7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7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7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7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7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7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7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7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7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7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2409561</v>
      </c>
      <c r="Z67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7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2409561</v>
      </c>
      <c r="AB67" s="33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7" s="33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7" s="33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7" s="33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7" s="33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7" s="33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7" s="46">
        <f>SUM(Tabla3[[#This Row],[P1]:[P24]])</f>
        <v>4819122</v>
      </c>
    </row>
    <row r="68" spans="1:34" ht="14.4" x14ac:dyDescent="0.3">
      <c r="A68" s="24">
        <v>9</v>
      </c>
      <c r="B68" s="25" t="str">
        <f>VLOOKUP(Tabla3[[#This Row],[Part.]],PPto[],3,FALSE)</f>
        <v>9.00 Otros</v>
      </c>
      <c r="C68" s="37">
        <f t="shared" ref="C68:Y68" si="17">SUM(C69:C74)</f>
        <v>0</v>
      </c>
      <c r="D68" s="30">
        <f t="shared" si="17"/>
        <v>0</v>
      </c>
      <c r="E68" s="44">
        <f t="shared" si="17"/>
        <v>0</v>
      </c>
      <c r="F68" s="44">
        <f t="shared" si="17"/>
        <v>0</v>
      </c>
      <c r="G68" s="44">
        <f t="shared" si="17"/>
        <v>0</v>
      </c>
      <c r="H68" s="44">
        <f t="shared" si="17"/>
        <v>0</v>
      </c>
      <c r="I68" s="44">
        <f t="shared" si="17"/>
        <v>0</v>
      </c>
      <c r="J68" s="44">
        <f t="shared" si="17"/>
        <v>0</v>
      </c>
      <c r="K68" s="44">
        <f t="shared" si="17"/>
        <v>0</v>
      </c>
      <c r="L68" s="44">
        <f t="shared" si="17"/>
        <v>0</v>
      </c>
      <c r="M68" s="44">
        <f t="shared" si="17"/>
        <v>0</v>
      </c>
      <c r="N68" s="44">
        <f t="shared" si="17"/>
        <v>0</v>
      </c>
      <c r="O68" s="44">
        <f t="shared" si="17"/>
        <v>0</v>
      </c>
      <c r="P68" s="44">
        <f t="shared" si="17"/>
        <v>0</v>
      </c>
      <c r="Q68" s="44">
        <f t="shared" si="17"/>
        <v>0</v>
      </c>
      <c r="R68" s="44">
        <f t="shared" si="17"/>
        <v>0</v>
      </c>
      <c r="S68" s="44">
        <f t="shared" si="17"/>
        <v>0</v>
      </c>
      <c r="T68" s="44">
        <f>SUM(T69:T74)</f>
        <v>0</v>
      </c>
      <c r="U68" s="44">
        <f t="shared" si="17"/>
        <v>0</v>
      </c>
      <c r="V68" s="44">
        <f t="shared" si="17"/>
        <v>0</v>
      </c>
      <c r="W68" s="44">
        <f t="shared" si="17"/>
        <v>0</v>
      </c>
      <c r="X68" s="44">
        <f t="shared" si="17"/>
        <v>0</v>
      </c>
      <c r="Y68" s="44">
        <f t="shared" si="17"/>
        <v>0</v>
      </c>
      <c r="Z68" s="490"/>
      <c r="AA68" s="490"/>
      <c r="AB68" s="490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8" s="490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8" s="490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8" s="490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8" s="490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8" s="490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8" s="45">
        <f>SUM(Tabla3[[#This Row],[P1]:[P24]])</f>
        <v>0</v>
      </c>
    </row>
    <row r="69" spans="1:34" ht="14.4" x14ac:dyDescent="0.3">
      <c r="A69" s="23">
        <v>9.01</v>
      </c>
      <c r="B69" s="26" t="str">
        <f>VLOOKUP(Tabla3[[#This Row],[Part.]],PPto[],3,FALSE)</f>
        <v>9.01 COMERCIALIZACION</v>
      </c>
      <c r="C69" s="38">
        <f>SUMIF(BD.PD[Pos],Tabla3[[#This Row],[Part.]],BD.PD[Ppto. Orden Interna '[DOP']])</f>
        <v>0</v>
      </c>
      <c r="D69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69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69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69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69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69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69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69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69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69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69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69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69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69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69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69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69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69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69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69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69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69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69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69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69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69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69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69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69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69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69" s="46">
        <f>SUM(Tabla3[[#This Row],[P1]:[P24]])</f>
        <v>0</v>
      </c>
    </row>
    <row r="70" spans="1:34" ht="14.4" x14ac:dyDescent="0.3">
      <c r="A70" s="23">
        <v>9.02</v>
      </c>
      <c r="B70" s="26" t="str">
        <f>VLOOKUP(Tabla3[[#This Row],[Part.]],PPto[],3,FALSE)</f>
        <v>9.02 INSUMOS</v>
      </c>
      <c r="C70" s="38">
        <f>SUMIF(BD.PD[Pos],Tabla3[[#This Row],[Part.]],BD.PD[Ppto. Orden Interna '[DOP']])</f>
        <v>0</v>
      </c>
      <c r="D70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0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0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0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0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0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0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0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0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0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0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0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0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0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0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0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0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0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0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0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0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0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0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0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0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0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0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0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0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0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0" s="46">
        <f>SUM(Tabla3[[#This Row],[P1]:[P24]])</f>
        <v>0</v>
      </c>
    </row>
    <row r="71" spans="1:34" ht="14.4" x14ac:dyDescent="0.3">
      <c r="A71" s="23">
        <v>9.0299999999999994</v>
      </c>
      <c r="B71" s="26" t="str">
        <f>VLOOKUP(Tabla3[[#This Row],[Part.]],PPto[],3,FALSE)</f>
        <v>9.03 PUBLICIDAD Y MERCADEO</v>
      </c>
      <c r="C71" s="38">
        <f>SUMIF(BD.PD[Pos],Tabla3[[#This Row],[Part.]],BD.PD[Ppto. Orden Interna '[DOP']])</f>
        <v>0</v>
      </c>
      <c r="D71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1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1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1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1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1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1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1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1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1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1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1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1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1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1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1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1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1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1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1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1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1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1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1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1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1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1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1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1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1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1" s="46">
        <f>SUM(Tabla3[[#This Row],[P1]:[P24]])</f>
        <v>0</v>
      </c>
    </row>
    <row r="72" spans="1:34" ht="14.4" x14ac:dyDescent="0.3">
      <c r="A72" s="23">
        <v>9.0399999999999991</v>
      </c>
      <c r="B72" s="26" t="str">
        <f>VLOOKUP(Tabla3[[#This Row],[Part.]],PPto[],3,FALSE)</f>
        <v>9.04 MONTAJE</v>
      </c>
      <c r="C72" s="38">
        <f>SUMIF(BD.PD[Pos],Tabla3[[#This Row],[Part.]],BD.PD[Ppto. Orden Interna '[DOP']])</f>
        <v>0</v>
      </c>
      <c r="D72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2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2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2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2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2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2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2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2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2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2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2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2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2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2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2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2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2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2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2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2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2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2" s="33">
        <f>SUMIFS(BD.PD[Pago 1],BD.PD[Per.P1],Z$1,BD.PD[Pos],Tabla3[[#This Row],[Part.]])+SUMIFS(BD.PD[Pago 2],BD.PD[Per.P2],Z$1,BD.PD[Pos],Tabla3[[#This Row],[Part.]])+SUMIFS(BD.PD[Pago 3],BD.PD[Per.P3],Z$1,BD.PD[Pos],Tabla3[[#This Row],[Part.]])+SUMIFS(BD.PD[Pago 4],BD.PD[Per.P4],Z$1,BD.PD[Pos],Tabla3[[#This Row],[Part.]])+SUMIFS(BD.PD[Pago 5],BD.PD[Per.P5],Z$1,BD.PD[Pos],Tabla3[[#This Row],[Part.]])</f>
        <v>0</v>
      </c>
      <c r="AA72" s="33">
        <f>SUMIFS(BD.PD[Pago 1],BD.PD[Per.P1],AA$1,BD.PD[Pos],Tabla3[[#This Row],[Part.]])+SUMIFS(BD.PD[Pago 2],BD.PD[Per.P2],AA$1,BD.PD[Pos],Tabla3[[#This Row],[Part.]])+SUMIFS(BD.PD[Pago 3],BD.PD[Per.P3],AA$1,BD.PD[Pos],Tabla3[[#This Row],[Part.]])+SUMIFS(BD.PD[Pago 4],BD.PD[Per.P4],AA$1,BD.PD[Pos],Tabla3[[#This Row],[Part.]])+SUMIFS(BD.PD[Pago 5],BD.PD[Per.P5],AA$1,BD.PD[Pos],Tabla3[[#This Row],[Part.]])</f>
        <v>0</v>
      </c>
      <c r="AB72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2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2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2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2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2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2" s="46">
        <f>SUM(Tabla3[[#This Row],[P1]:[P24]])</f>
        <v>0</v>
      </c>
    </row>
    <row r="73" spans="1:34" ht="14.4" x14ac:dyDescent="0.3">
      <c r="A73" s="23">
        <v>9.0499999999999989</v>
      </c>
      <c r="B73" s="26" t="str">
        <f>VLOOKUP(Tabla3[[#This Row],[Part.]],PPto[],3,FALSE)</f>
        <v>9.05 DECORACIÓN TEMPORADAS</v>
      </c>
      <c r="C73" s="38">
        <f>SUMIF(BD.PD[Pos],Tabla3[[#This Row],[Part.]],BD.PD[Ppto. Orden Interna '[DOP']])</f>
        <v>0</v>
      </c>
      <c r="D73" s="31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3" s="33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3" s="33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3" s="33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3" s="33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3" s="33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3" s="33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3" s="33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3" s="33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3" s="33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3" s="33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3" s="33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3" s="33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3" s="33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3" s="33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3" s="33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3" s="33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3" s="34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3" s="488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3" s="488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3" s="488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3" s="488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3" s="488"/>
      <c r="AA73" s="488"/>
      <c r="AB73" s="488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3" s="488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3" s="488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3" s="488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3" s="488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3" s="488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3" s="46">
        <f>SUM(Tabla3[[#This Row],[P1]:[P24]])</f>
        <v>0</v>
      </c>
    </row>
    <row r="74" spans="1:34" thickBot="1" x14ac:dyDescent="0.35">
      <c r="A74" s="27">
        <v>9.06</v>
      </c>
      <c r="B74" s="28" t="str">
        <f>VLOOKUP(Tabla3[[#This Row],[Part.]],PPto[],3,FALSE)</f>
        <v>9.06 -</v>
      </c>
      <c r="C74" s="39">
        <f>SUMIF(BD.PD[Pos],Tabla3[[#This Row],[Part.]],BD.PD[Ppto. Orden Interna '[DOP']])</f>
        <v>0</v>
      </c>
      <c r="D74" s="32">
        <f>SUMIFS(BD.PD[Pago 1],BD.PD[Per.P1],D$1,BD.PD[Pos],Tabla3[[#This Row],[Part.]])+SUMIFS(BD.PD[Pago 2],BD.PD[Per.P2],D$1,BD.PD[Pos],Tabla3[[#This Row],[Part.]])+SUMIFS(BD.PD[Pago 3],BD.PD[Per.P3],D$1,BD.PD[Pos],Tabla3[[#This Row],[Part.]])+SUMIFS(BD.PD[Pago 4],BD.PD[Per.P4],D$1,BD.PD[Pos],Tabla3[[#This Row],[Part.]])+SUMIFS(BD.PD[Pago 5],BD.PD[Per.P5],D$1,BD.PD[Pos],Tabla3[[#This Row],[Part.]])</f>
        <v>0</v>
      </c>
      <c r="E74" s="35">
        <f>SUMIFS(BD.PD[Pago 1],BD.PD[Per.P1],E$1,BD.PD[Pos],Tabla3[[#This Row],[Part.]])+SUMIFS(BD.PD[Pago 2],BD.PD[Per.P2],E$1,BD.PD[Pos],Tabla3[[#This Row],[Part.]])+SUMIFS(BD.PD[Pago 3],BD.PD[Per.P3],E$1,BD.PD[Pos],Tabla3[[#This Row],[Part.]])+SUMIFS(BD.PD[Pago 4],BD.PD[Per.P4],E$1,BD.PD[Pos],Tabla3[[#This Row],[Part.]])+SUMIFS(BD.PD[Pago 5],BD.PD[Per.P5],E$1,BD.PD[Pos],Tabla3[[#This Row],[Part.]])</f>
        <v>0</v>
      </c>
      <c r="F74" s="35">
        <f>SUMIFS(BD.PD[Pago 1],BD.PD[Per.P1],F$1,BD.PD[Pos],Tabla3[[#This Row],[Part.]])+SUMIFS(BD.PD[Pago 2],BD.PD[Per.P2],F$1,BD.PD[Pos],Tabla3[[#This Row],[Part.]])+SUMIFS(BD.PD[Pago 3],BD.PD[Per.P3],F$1,BD.PD[Pos],Tabla3[[#This Row],[Part.]])+SUMIFS(BD.PD[Pago 4],BD.PD[Per.P4],F$1,BD.PD[Pos],Tabla3[[#This Row],[Part.]])+SUMIFS(BD.PD[Pago 5],BD.PD[Per.P5],F$1,BD.PD[Pos],Tabla3[[#This Row],[Part.]])</f>
        <v>0</v>
      </c>
      <c r="G74" s="35">
        <f>SUMIFS(BD.PD[Pago 1],BD.PD[Per.P1],G$1,BD.PD[Pos],Tabla3[[#This Row],[Part.]])+SUMIFS(BD.PD[Pago 2],BD.PD[Per.P2],G$1,BD.PD[Pos],Tabla3[[#This Row],[Part.]])+SUMIFS(BD.PD[Pago 3],BD.PD[Per.P3],G$1,BD.PD[Pos],Tabla3[[#This Row],[Part.]])+SUMIFS(BD.PD[Pago 4],BD.PD[Per.P4],G$1,BD.PD[Pos],Tabla3[[#This Row],[Part.]])+SUMIFS(BD.PD[Pago 5],BD.PD[Per.P5],G$1,BD.PD[Pos],Tabla3[[#This Row],[Part.]])</f>
        <v>0</v>
      </c>
      <c r="H74" s="35">
        <f>SUMIFS(BD.PD[Pago 1],BD.PD[Per.P1],H$1,BD.PD[Pos],Tabla3[[#This Row],[Part.]])+SUMIFS(BD.PD[Pago 2],BD.PD[Per.P2],H$1,BD.PD[Pos],Tabla3[[#This Row],[Part.]])+SUMIFS(BD.PD[Pago 3],BD.PD[Per.P3],H$1,BD.PD[Pos],Tabla3[[#This Row],[Part.]])+SUMIFS(BD.PD[Pago 4],BD.PD[Per.P4],H$1,BD.PD[Pos],Tabla3[[#This Row],[Part.]])+SUMIFS(BD.PD[Pago 5],BD.PD[Per.P5],H$1,BD.PD[Pos],Tabla3[[#This Row],[Part.]])</f>
        <v>0</v>
      </c>
      <c r="I74" s="35">
        <f>SUMIFS(BD.PD[Pago 1],BD.PD[Per.P1],I$1,BD.PD[Pos],Tabla3[[#This Row],[Part.]])+SUMIFS(BD.PD[Pago 2],BD.PD[Per.P2],I$1,BD.PD[Pos],Tabla3[[#This Row],[Part.]])+SUMIFS(BD.PD[Pago 3],BD.PD[Per.P3],I$1,BD.PD[Pos],Tabla3[[#This Row],[Part.]])+SUMIFS(BD.PD[Pago 4],BD.PD[Per.P4],I$1,BD.PD[Pos],Tabla3[[#This Row],[Part.]])+SUMIFS(BD.PD[Pago 5],BD.PD[Per.P5],I$1,BD.PD[Pos],Tabla3[[#This Row],[Part.]])</f>
        <v>0</v>
      </c>
      <c r="J74" s="35">
        <f>SUMIFS(BD.PD[Pago 1],BD.PD[Per.P1],J$1,BD.PD[Pos],Tabla3[[#This Row],[Part.]])+SUMIFS(BD.PD[Pago 2],BD.PD[Per.P2],J$1,BD.PD[Pos],Tabla3[[#This Row],[Part.]])+SUMIFS(BD.PD[Pago 3],BD.PD[Per.P3],J$1,BD.PD[Pos],Tabla3[[#This Row],[Part.]])+SUMIFS(BD.PD[Pago 4],BD.PD[Per.P4],J$1,BD.PD[Pos],Tabla3[[#This Row],[Part.]])+SUMIFS(BD.PD[Pago 5],BD.PD[Per.P5],J$1,BD.PD[Pos],Tabla3[[#This Row],[Part.]])</f>
        <v>0</v>
      </c>
      <c r="K74" s="35">
        <f>SUMIFS(BD.PD[Pago 1],BD.PD[Per.P1],K$1,BD.PD[Pos],Tabla3[[#This Row],[Part.]])+SUMIFS(BD.PD[Pago 2],BD.PD[Per.P2],K$1,BD.PD[Pos],Tabla3[[#This Row],[Part.]])+SUMIFS(BD.PD[Pago 3],BD.PD[Per.P3],K$1,BD.PD[Pos],Tabla3[[#This Row],[Part.]])+SUMIFS(BD.PD[Pago 4],BD.PD[Per.P4],K$1,BD.PD[Pos],Tabla3[[#This Row],[Part.]])+SUMIFS(BD.PD[Pago 5],BD.PD[Per.P5],K$1,BD.PD[Pos],Tabla3[[#This Row],[Part.]])</f>
        <v>0</v>
      </c>
      <c r="L74" s="35">
        <f>SUMIFS(BD.PD[Pago 1],BD.PD[Per.P1],L$1,BD.PD[Pos],Tabla3[[#This Row],[Part.]])+SUMIFS(BD.PD[Pago 2],BD.PD[Per.P2],L$1,BD.PD[Pos],Tabla3[[#This Row],[Part.]])+SUMIFS(BD.PD[Pago 3],BD.PD[Per.P3],L$1,BD.PD[Pos],Tabla3[[#This Row],[Part.]])+SUMIFS(BD.PD[Pago 4],BD.PD[Per.P4],L$1,BD.PD[Pos],Tabla3[[#This Row],[Part.]])+SUMIFS(BD.PD[Pago 5],BD.PD[Per.P5],L$1,BD.PD[Pos],Tabla3[[#This Row],[Part.]])</f>
        <v>0</v>
      </c>
      <c r="M74" s="35">
        <f>SUMIFS(BD.PD[Pago 1],BD.PD[Per.P1],M$1,BD.PD[Pos],Tabla3[[#This Row],[Part.]])+SUMIFS(BD.PD[Pago 2],BD.PD[Per.P2],M$1,BD.PD[Pos],Tabla3[[#This Row],[Part.]])+SUMIFS(BD.PD[Pago 3],BD.PD[Per.P3],M$1,BD.PD[Pos],Tabla3[[#This Row],[Part.]])+SUMIFS(BD.PD[Pago 4],BD.PD[Per.P4],M$1,BD.PD[Pos],Tabla3[[#This Row],[Part.]])+SUMIFS(BD.PD[Pago 5],BD.PD[Per.P5],M$1,BD.PD[Pos],Tabla3[[#This Row],[Part.]])</f>
        <v>0</v>
      </c>
      <c r="N74" s="35">
        <f>SUMIFS(BD.PD[Pago 1],BD.PD[Per.P1],N$1,BD.PD[Pos],Tabla3[[#This Row],[Part.]])+SUMIFS(BD.PD[Pago 2],BD.PD[Per.P2],N$1,BD.PD[Pos],Tabla3[[#This Row],[Part.]])+SUMIFS(BD.PD[Pago 3],BD.PD[Per.P3],N$1,BD.PD[Pos],Tabla3[[#This Row],[Part.]])+SUMIFS(BD.PD[Pago 4],BD.PD[Per.P4],N$1,BD.PD[Pos],Tabla3[[#This Row],[Part.]])+SUMIFS(BD.PD[Pago 5],BD.PD[Per.P5],N$1,BD.PD[Pos],Tabla3[[#This Row],[Part.]])</f>
        <v>0</v>
      </c>
      <c r="O74" s="35">
        <f>SUMIFS(BD.PD[Pago 1],BD.PD[Per.P1],O$1,BD.PD[Pos],Tabla3[[#This Row],[Part.]])+SUMIFS(BD.PD[Pago 2],BD.PD[Per.P2],O$1,BD.PD[Pos],Tabla3[[#This Row],[Part.]])+SUMIFS(BD.PD[Pago 3],BD.PD[Per.P3],O$1,BD.PD[Pos],Tabla3[[#This Row],[Part.]])+SUMIFS(BD.PD[Pago 4],BD.PD[Per.P4],O$1,BD.PD[Pos],Tabla3[[#This Row],[Part.]])+SUMIFS(BD.PD[Pago 5],BD.PD[Per.P5],O$1,BD.PD[Pos],Tabla3[[#This Row],[Part.]])</f>
        <v>0</v>
      </c>
      <c r="P74" s="35">
        <f>SUMIFS(BD.PD[Pago 1],BD.PD[Per.P1],P$1,BD.PD[Pos],Tabla3[[#This Row],[Part.]])+SUMIFS(BD.PD[Pago 2],BD.PD[Per.P2],P$1,BD.PD[Pos],Tabla3[[#This Row],[Part.]])+SUMIFS(BD.PD[Pago 3],BD.PD[Per.P3],P$1,BD.PD[Pos],Tabla3[[#This Row],[Part.]])+SUMIFS(BD.PD[Pago 4],BD.PD[Per.P4],P$1,BD.PD[Pos],Tabla3[[#This Row],[Part.]])+SUMIFS(BD.PD[Pago 5],BD.PD[Per.P5],P$1,BD.PD[Pos],Tabla3[[#This Row],[Part.]])</f>
        <v>0</v>
      </c>
      <c r="Q74" s="35">
        <f>SUMIFS(BD.PD[Pago 1],BD.PD[Per.P1],Q$1,BD.PD[Pos],Tabla3[[#This Row],[Part.]])+SUMIFS(BD.PD[Pago 2],BD.PD[Per.P2],Q$1,BD.PD[Pos],Tabla3[[#This Row],[Part.]])+SUMIFS(BD.PD[Pago 3],BD.PD[Per.P3],Q$1,BD.PD[Pos],Tabla3[[#This Row],[Part.]])+SUMIFS(BD.PD[Pago 4],BD.PD[Per.P4],Q$1,BD.PD[Pos],Tabla3[[#This Row],[Part.]])+SUMIFS(BD.PD[Pago 5],BD.PD[Per.P5],Q$1,BD.PD[Pos],Tabla3[[#This Row],[Part.]])</f>
        <v>0</v>
      </c>
      <c r="R74" s="35">
        <f>SUMIFS(BD.PD[Pago 1],BD.PD[Per.P1],R$1,BD.PD[Pos],Tabla3[[#This Row],[Part.]])+SUMIFS(BD.PD[Pago 2],BD.PD[Per.P2],R$1,BD.PD[Pos],Tabla3[[#This Row],[Part.]])+SUMIFS(BD.PD[Pago 3],BD.PD[Per.P3],R$1,BD.PD[Pos],Tabla3[[#This Row],[Part.]])+SUMIFS(BD.PD[Pago 4],BD.PD[Per.P4],R$1,BD.PD[Pos],Tabla3[[#This Row],[Part.]])+SUMIFS(BD.PD[Pago 5],BD.PD[Per.P5],R$1,BD.PD[Pos],Tabla3[[#This Row],[Part.]])</f>
        <v>0</v>
      </c>
      <c r="S74" s="35">
        <f>SUMIFS(BD.PD[Pago 1],BD.PD[Per.P1],S$1,BD.PD[Pos],Tabla3[[#This Row],[Part.]])+SUMIFS(BD.PD[Pago 2],BD.PD[Per.P2],S$1,BD.PD[Pos],Tabla3[[#This Row],[Part.]])+SUMIFS(BD.PD[Pago 3],BD.PD[Per.P3],S$1,BD.PD[Pos],Tabla3[[#This Row],[Part.]])+SUMIFS(BD.PD[Pago 4],BD.PD[Per.P4],S$1,BD.PD[Pos],Tabla3[[#This Row],[Part.]])+SUMIFS(BD.PD[Pago 5],BD.PD[Per.P5],S$1,BD.PD[Pos],Tabla3[[#This Row],[Part.]])</f>
        <v>0</v>
      </c>
      <c r="T74" s="35">
        <f>SUMIFS(BD.PD[Pago 1],BD.PD[Per.P1],T$1,BD.PD[Pos],Tabla3[[#This Row],[Part.]])+SUMIFS(BD.PD[Pago 2],BD.PD[Per.P2],T$1,BD.PD[Pos],Tabla3[[#This Row],[Part.]])+SUMIFS(BD.PD[Pago 3],BD.PD[Per.P3],T$1,BD.PD[Pos],Tabla3[[#This Row],[Part.]])+SUMIFS(BD.PD[Pago 4],BD.PD[Per.P4],T$1,BD.PD[Pos],Tabla3[[#This Row],[Part.]])+SUMIFS(BD.PD[Pago 5],BD.PD[Per.P5],T$1,BD.PD[Pos],Tabla3[[#This Row],[Part.]])</f>
        <v>0</v>
      </c>
      <c r="U74" s="36">
        <f>SUMIFS(BD.PD[Pago 1],BD.PD[Per.P1],U$1,BD.PD[Pos],Tabla3[[#This Row],[Part.]])+SUMIFS(BD.PD[Pago 2],BD.PD[Per.P2],U$1,BD.PD[Pos],Tabla3[[#This Row],[Part.]])+SUMIFS(BD.PD[Pago 3],BD.PD[Per.P3],U$1,BD.PD[Pos],Tabla3[[#This Row],[Part.]])+SUMIFS(BD.PD[Pago 4],BD.PD[Per.P4],U$1,BD.PD[Pos],Tabla3[[#This Row],[Part.]])+SUMIFS(BD.PD[Pago 5],BD.PD[Per.P5],U$1,BD.PD[Pos],Tabla3[[#This Row],[Part.]])</f>
        <v>0</v>
      </c>
      <c r="V74" s="489">
        <f>SUMIFS(BD.PD[Pago 1],BD.PD[Per.P1],V$1,BD.PD[Pos],Tabla3[[#This Row],[Part.]])+SUMIFS(BD.PD[Pago 2],BD.PD[Per.P2],V$1,BD.PD[Pos],Tabla3[[#This Row],[Part.]])+SUMIFS(BD.PD[Pago 3],BD.PD[Per.P3],V$1,BD.PD[Pos],Tabla3[[#This Row],[Part.]])+SUMIFS(BD.PD[Pago 4],BD.PD[Per.P4],V$1,BD.PD[Pos],Tabla3[[#This Row],[Part.]])+SUMIFS(BD.PD[Pago 5],BD.PD[Per.P5],V$1,BD.PD[Pos],Tabla3[[#This Row],[Part.]])</f>
        <v>0</v>
      </c>
      <c r="W74" s="489">
        <f>SUMIFS(BD.PD[Pago 1],BD.PD[Per.P1],W$1,BD.PD[Pos],Tabla3[[#This Row],[Part.]])+SUMIFS(BD.PD[Pago 2],BD.PD[Per.P2],W$1,BD.PD[Pos],Tabla3[[#This Row],[Part.]])+SUMIFS(BD.PD[Pago 3],BD.PD[Per.P3],W$1,BD.PD[Pos],Tabla3[[#This Row],[Part.]])+SUMIFS(BD.PD[Pago 4],BD.PD[Per.P4],W$1,BD.PD[Pos],Tabla3[[#This Row],[Part.]])+SUMIFS(BD.PD[Pago 5],BD.PD[Per.P5],W$1,BD.PD[Pos],Tabla3[[#This Row],[Part.]])</f>
        <v>0</v>
      </c>
      <c r="X74" s="489">
        <f>SUMIFS(BD.PD[Pago 1],BD.PD[Per.P1],X$1,BD.PD[Pos],Tabla3[[#This Row],[Part.]])+SUMIFS(BD.PD[Pago 2],BD.PD[Per.P2],X$1,BD.PD[Pos],Tabla3[[#This Row],[Part.]])+SUMIFS(BD.PD[Pago 3],BD.PD[Per.P3],X$1,BD.PD[Pos],Tabla3[[#This Row],[Part.]])+SUMIFS(BD.PD[Pago 4],BD.PD[Per.P4],X$1,BD.PD[Pos],Tabla3[[#This Row],[Part.]])+SUMIFS(BD.PD[Pago 5],BD.PD[Per.P5],X$1,BD.PD[Pos],Tabla3[[#This Row],[Part.]])</f>
        <v>0</v>
      </c>
      <c r="Y74" s="489">
        <f>SUMIFS(BD.PD[Pago 1],BD.PD[Per.P1],Y$1,BD.PD[Pos],Tabla3[[#This Row],[Part.]])+SUMIFS(BD.PD[Pago 2],BD.PD[Per.P2],Y$1,BD.PD[Pos],Tabla3[[#This Row],[Part.]])+SUMIFS(BD.PD[Pago 3],BD.PD[Per.P3],Y$1,BD.PD[Pos],Tabla3[[#This Row],[Part.]])+SUMIFS(BD.PD[Pago 4],BD.PD[Per.P4],Y$1,BD.PD[Pos],Tabla3[[#This Row],[Part.]])+SUMIFS(BD.PD[Pago 5],BD.PD[Per.P5],Y$1,BD.PD[Pos],Tabla3[[#This Row],[Part.]])</f>
        <v>0</v>
      </c>
      <c r="Z74" s="489"/>
      <c r="AA74" s="489"/>
      <c r="AB74" s="489">
        <f>SUMIFS(BD.PD[Pago 1],BD.PD[Per.P1],AB$1,BD.PD[Pos],Tabla3[[#This Row],[Part.]])+SUMIFS(BD.PD[Pago 2],BD.PD[Per.P2],AB$1,BD.PD[Pos],Tabla3[[#This Row],[Part.]])+SUMIFS(BD.PD[Pago 3],BD.PD[Per.P3],AB$1,BD.PD[Pos],Tabla3[[#This Row],[Part.]])+SUMIFS(BD.PD[Pago 4],BD.PD[Per.P4],AB$1,BD.PD[Pos],Tabla3[[#This Row],[Part.]])+SUMIFS(BD.PD[Pago 5],BD.PD[Per.P5],AB$1,BD.PD[Pos],Tabla3[[#This Row],[Part.]])</f>
        <v>0</v>
      </c>
      <c r="AC74" s="489">
        <f>SUMIFS(BD.PD[Pago 1],BD.PD[Per.P1],AC$1,BD.PD[Pos],Tabla3[[#This Row],[Part.]])+SUMIFS(BD.PD[Pago 2],BD.PD[Per.P2],AC$1,BD.PD[Pos],Tabla3[[#This Row],[Part.]])+SUMIFS(BD.PD[Pago 3],BD.PD[Per.P3],AC$1,BD.PD[Pos],Tabla3[[#This Row],[Part.]])+SUMIFS(BD.PD[Pago 4],BD.PD[Per.P4],AC$1,BD.PD[Pos],Tabla3[[#This Row],[Part.]])+SUMIFS(BD.PD[Pago 5],BD.PD[Per.P5],AC$1,BD.PD[Pos],Tabla3[[#This Row],[Part.]])</f>
        <v>0</v>
      </c>
      <c r="AD74" s="489">
        <f>SUMIFS(BD.PD[Pago 1],BD.PD[Per.P1],AD$1,BD.PD[Pos],Tabla3[[#This Row],[Part.]])+SUMIFS(BD.PD[Pago 2],BD.PD[Per.P2],AD$1,BD.PD[Pos],Tabla3[[#This Row],[Part.]])+SUMIFS(BD.PD[Pago 3],BD.PD[Per.P3],AD$1,BD.PD[Pos],Tabla3[[#This Row],[Part.]])+SUMIFS(BD.PD[Pago 4],BD.PD[Per.P4],AD$1,BD.PD[Pos],Tabla3[[#This Row],[Part.]])+SUMIFS(BD.PD[Pago 5],BD.PD[Per.P5],AD$1,BD.PD[Pos],Tabla3[[#This Row],[Part.]])</f>
        <v>0</v>
      </c>
      <c r="AE74" s="489">
        <f>SUMIFS(BD.PD[Pago 1],BD.PD[Per.P1],AE$1,BD.PD[Pos],Tabla3[[#This Row],[Part.]])+SUMIFS(BD.PD[Pago 2],BD.PD[Per.P2],AE$1,BD.PD[Pos],Tabla3[[#This Row],[Part.]])+SUMIFS(BD.PD[Pago 3],BD.PD[Per.P3],AE$1,BD.PD[Pos],Tabla3[[#This Row],[Part.]])+SUMIFS(BD.PD[Pago 4],BD.PD[Per.P4],AE$1,BD.PD[Pos],Tabla3[[#This Row],[Part.]])+SUMIFS(BD.PD[Pago 5],BD.PD[Per.P5],AE$1,BD.PD[Pos],Tabla3[[#This Row],[Part.]])</f>
        <v>0</v>
      </c>
      <c r="AF74" s="489">
        <f>SUMIFS(BD.PD[Pago 1],BD.PD[Per.P1],AF$1,BD.PD[Pos],Tabla3[[#This Row],[Part.]])+SUMIFS(BD.PD[Pago 2],BD.PD[Per.P2],AF$1,BD.PD[Pos],Tabla3[[#This Row],[Part.]])+SUMIFS(BD.PD[Pago 3],BD.PD[Per.P3],AF$1,BD.PD[Pos],Tabla3[[#This Row],[Part.]])+SUMIFS(BD.PD[Pago 4],BD.PD[Per.P4],AF$1,BD.PD[Pos],Tabla3[[#This Row],[Part.]])+SUMIFS(BD.PD[Pago 5],BD.PD[Per.P5],AF$1,BD.PD[Pos],Tabla3[[#This Row],[Part.]])</f>
        <v>0</v>
      </c>
      <c r="AG74" s="489">
        <f>SUMIFS(BD.PD[Pago 1],BD.PD[Per.P1],AG$1,BD.PD[Pos],Tabla3[[#This Row],[Part.]])+SUMIFS(BD.PD[Pago 2],BD.PD[Per.P2],AG$1,BD.PD[Pos],Tabla3[[#This Row],[Part.]])+SUMIFS(BD.PD[Pago 3],BD.PD[Per.P3],AG$1,BD.PD[Pos],Tabla3[[#This Row],[Part.]])+SUMIFS(BD.PD[Pago 4],BD.PD[Per.P4],AG$1,BD.PD[Pos],Tabla3[[#This Row],[Part.]])+SUMIFS(BD.PD[Pago 5],BD.PD[Per.P5],AG$1,BD.PD[Pos],Tabla3[[#This Row],[Part.]])</f>
        <v>0</v>
      </c>
      <c r="AH74" s="47">
        <f>SUM(Tabla3[[#This Row],[P1]:[P24]])</f>
        <v>0</v>
      </c>
    </row>
    <row r="75" spans="1:34" ht="15.6" thickTop="1" thickBot="1" x14ac:dyDescent="0.35">
      <c r="A75" s="29" t="s">
        <v>442</v>
      </c>
      <c r="B75" s="48" t="s">
        <v>443</v>
      </c>
      <c r="C75" s="40">
        <f t="shared" ref="C75:Z75" si="18">C68+C59+C51+C45+C37+C33+C28+C16+C6</f>
        <v>180212125.20684028</v>
      </c>
      <c r="D75" s="41">
        <f t="shared" si="18"/>
        <v>3133685.7</v>
      </c>
      <c r="E75" s="42">
        <f t="shared" si="18"/>
        <v>13357298.744999999</v>
      </c>
      <c r="F75" s="42">
        <f t="shared" si="18"/>
        <v>15385257.219599999</v>
      </c>
      <c r="G75" s="42">
        <f t="shared" si="18"/>
        <v>10997620.242000001</v>
      </c>
      <c r="H75" s="42">
        <f t="shared" si="18"/>
        <v>3690630.0630000001</v>
      </c>
      <c r="I75" s="42">
        <f t="shared" si="18"/>
        <v>3317402.3150000004</v>
      </c>
      <c r="J75" s="42">
        <f t="shared" si="18"/>
        <v>620044.1</v>
      </c>
      <c r="K75" s="42">
        <f t="shared" si="18"/>
        <v>13701037.4586</v>
      </c>
      <c r="L75" s="42">
        <f t="shared" si="18"/>
        <v>9999945.8212499991</v>
      </c>
      <c r="M75" s="42">
        <f t="shared" si="18"/>
        <v>13526060.0255</v>
      </c>
      <c r="N75" s="42">
        <f t="shared" si="18"/>
        <v>1107035.456</v>
      </c>
      <c r="O75" s="42">
        <f t="shared" si="18"/>
        <v>340648.76999999996</v>
      </c>
      <c r="P75" s="42">
        <f t="shared" si="18"/>
        <v>0</v>
      </c>
      <c r="Q75" s="42">
        <f t="shared" si="18"/>
        <v>0</v>
      </c>
      <c r="R75" s="42">
        <f t="shared" si="18"/>
        <v>0</v>
      </c>
      <c r="S75" s="42">
        <f t="shared" si="18"/>
        <v>12660739.161749998</v>
      </c>
      <c r="T75" s="42">
        <f t="shared" si="18"/>
        <v>257918.43</v>
      </c>
      <c r="U75" s="42">
        <f t="shared" si="18"/>
        <v>0</v>
      </c>
      <c r="V75" s="42">
        <f t="shared" si="18"/>
        <v>3206632.4212701297</v>
      </c>
      <c r="W75" s="42">
        <f t="shared" si="18"/>
        <v>10881702.058</v>
      </c>
      <c r="X75" s="42">
        <f t="shared" si="18"/>
        <v>29541973.661000002</v>
      </c>
      <c r="Y75" s="42">
        <f t="shared" si="18"/>
        <v>11328092.71163013</v>
      </c>
      <c r="Z75" s="42">
        <f t="shared" si="18"/>
        <v>2891117.42</v>
      </c>
      <c r="AA75" s="43"/>
      <c r="AB75" s="43"/>
      <c r="AC75" s="43"/>
      <c r="AD75" s="43"/>
      <c r="AE75" s="43"/>
      <c r="AF75" s="43"/>
      <c r="AG75" s="43"/>
      <c r="AH75" s="40">
        <f>AH68+AH59+AH51+AH45+AH37+AH33+AH28+AH16+AH6</f>
        <v>175650309.94284028</v>
      </c>
    </row>
    <row r="76" spans="1:34" ht="14.4" x14ac:dyDescent="0.3">
      <c r="B76" s="14" t="s">
        <v>444</v>
      </c>
      <c r="C76" s="53">
        <f>C75-'BD Plan Detallado'!O3</f>
        <v>0</v>
      </c>
    </row>
    <row r="78" spans="1:34" ht="14.4" x14ac:dyDescent="0.3">
      <c r="B78" s="15" t="s">
        <v>445</v>
      </c>
      <c r="C78" s="49">
        <v>63</v>
      </c>
      <c r="D78" s="49">
        <v>63</v>
      </c>
      <c r="E78" s="49">
        <v>63</v>
      </c>
      <c r="F78" s="49">
        <v>63</v>
      </c>
      <c r="G78" s="49">
        <v>63</v>
      </c>
      <c r="H78" s="49">
        <v>63</v>
      </c>
      <c r="I78" s="49">
        <v>63</v>
      </c>
      <c r="J78" s="49">
        <v>63</v>
      </c>
      <c r="K78" s="49">
        <v>63</v>
      </c>
      <c r="L78" s="49">
        <v>63</v>
      </c>
      <c r="M78" s="49">
        <v>63</v>
      </c>
      <c r="N78" s="49">
        <v>63</v>
      </c>
      <c r="O78" s="49">
        <v>63</v>
      </c>
      <c r="P78" s="49">
        <v>63</v>
      </c>
      <c r="Q78" s="49">
        <v>63</v>
      </c>
      <c r="R78" s="49">
        <v>63</v>
      </c>
      <c r="S78" s="49">
        <v>63</v>
      </c>
      <c r="T78" s="49">
        <v>63</v>
      </c>
      <c r="U78" s="49">
        <v>63</v>
      </c>
      <c r="V78" s="49">
        <v>63</v>
      </c>
      <c r="W78" s="49">
        <v>63</v>
      </c>
      <c r="X78" s="49">
        <v>63</v>
      </c>
      <c r="Y78" s="49">
        <v>63</v>
      </c>
      <c r="Z78" s="49">
        <v>63</v>
      </c>
      <c r="AA78" s="49">
        <v>63</v>
      </c>
      <c r="AB78" s="49"/>
      <c r="AC78" s="49"/>
      <c r="AD78" s="49"/>
      <c r="AE78" s="49"/>
      <c r="AF78" s="49"/>
      <c r="AG78" s="49"/>
      <c r="AH78" s="49">
        <v>63</v>
      </c>
    </row>
    <row r="79" spans="1:34" ht="14.4" x14ac:dyDescent="0.3">
      <c r="B79" s="48" t="s">
        <v>446</v>
      </c>
      <c r="C79" s="50">
        <f t="shared" ref="C79:AH79" si="19">C75/C78</f>
        <v>2860509.9239180996</v>
      </c>
      <c r="D79" s="51">
        <f t="shared" si="19"/>
        <v>49741.042857142857</v>
      </c>
      <c r="E79" s="52">
        <f t="shared" si="19"/>
        <v>212020.61499999999</v>
      </c>
      <c r="F79" s="52">
        <f t="shared" si="19"/>
        <v>244210.43205714284</v>
      </c>
      <c r="G79" s="52">
        <f t="shared" si="19"/>
        <v>174565.40066666668</v>
      </c>
      <c r="H79" s="52">
        <f t="shared" si="19"/>
        <v>58581.429571428576</v>
      </c>
      <c r="I79" s="52">
        <f t="shared" si="19"/>
        <v>52657.179603174613</v>
      </c>
      <c r="J79" s="52">
        <f t="shared" si="19"/>
        <v>9841.9698412698417</v>
      </c>
      <c r="K79" s="52">
        <f t="shared" si="19"/>
        <v>217476.78505714284</v>
      </c>
      <c r="L79" s="52">
        <f t="shared" si="19"/>
        <v>158729.29874999999</v>
      </c>
      <c r="M79" s="52">
        <f t="shared" si="19"/>
        <v>214699.36548412699</v>
      </c>
      <c r="N79" s="52">
        <f t="shared" si="19"/>
        <v>17571.991365079364</v>
      </c>
      <c r="O79" s="52">
        <f t="shared" si="19"/>
        <v>5407.123333333333</v>
      </c>
      <c r="P79" s="52">
        <f t="shared" si="19"/>
        <v>0</v>
      </c>
      <c r="Q79" s="52">
        <f t="shared" si="19"/>
        <v>0</v>
      </c>
      <c r="R79" s="52">
        <f t="shared" si="19"/>
        <v>0</v>
      </c>
      <c r="S79" s="52">
        <f t="shared" si="19"/>
        <v>200964.11367857139</v>
      </c>
      <c r="T79" s="52">
        <f>T75/T78</f>
        <v>4093.9433333333332</v>
      </c>
      <c r="U79" s="52">
        <f t="shared" si="19"/>
        <v>0</v>
      </c>
      <c r="V79" s="52">
        <f t="shared" si="19"/>
        <v>50898.927321748088</v>
      </c>
      <c r="W79" s="52">
        <f t="shared" si="19"/>
        <v>172725.4294920635</v>
      </c>
      <c r="X79" s="52">
        <f t="shared" si="19"/>
        <v>468920.21684126987</v>
      </c>
      <c r="Y79" s="52">
        <f t="shared" si="19"/>
        <v>179810.99542270048</v>
      </c>
      <c r="Z79" s="52">
        <f t="shared" si="19"/>
        <v>45890.752698412696</v>
      </c>
      <c r="AA79" s="52">
        <f t="shared" si="19"/>
        <v>0</v>
      </c>
      <c r="AB79" s="52"/>
      <c r="AC79" s="52"/>
      <c r="AD79" s="52"/>
      <c r="AE79" s="52"/>
      <c r="AF79" s="52"/>
      <c r="AG79" s="52"/>
      <c r="AH79" s="52">
        <f t="shared" si="19"/>
        <v>2788100.1578228613</v>
      </c>
    </row>
    <row r="80" spans="1:34" ht="14.4" x14ac:dyDescent="0.3">
      <c r="B80" s="14" t="s">
        <v>444</v>
      </c>
      <c r="C80" s="53">
        <f>C79-'BD Plan Detallado'!P3</f>
        <v>4.1909515857696533E-9</v>
      </c>
    </row>
  </sheetData>
  <mergeCells count="3">
    <mergeCell ref="D3:U3"/>
    <mergeCell ref="B4:C4"/>
    <mergeCell ref="AH2:AH4"/>
  </mergeCells>
  <phoneticPr fontId="5" type="noConversion"/>
  <conditionalFormatting sqref="AH6:AH42 AH44:AH74">
    <cfRule type="expression" dxfId="159" priority="168">
      <formula>$AH6&lt;&gt;$C6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441-D9A5-4E79-B46D-D62FA4EFFD03}">
  <sheetPr codeName="Hoja5">
    <tabColor theme="8"/>
    <pageSetUpPr fitToPage="1"/>
  </sheetPr>
  <dimension ref="A1:J94"/>
  <sheetViews>
    <sheetView showGridLines="0" topLeftCell="A44" zoomScale="90" zoomScaleNormal="90" workbookViewId="0">
      <selection activeCell="M23" sqref="M23"/>
    </sheetView>
  </sheetViews>
  <sheetFormatPr baseColWidth="10" defaultColWidth="9.44140625" defaultRowHeight="13.8" outlineLevelCol="1" x14ac:dyDescent="0.3"/>
  <cols>
    <col min="1" max="1" width="10.44140625" style="117" customWidth="1"/>
    <col min="2" max="2" width="44.44140625" style="117" customWidth="1"/>
    <col min="3" max="3" width="5.44140625" style="117" customWidth="1" outlineLevel="1"/>
    <col min="4" max="4" width="5" style="117" customWidth="1" outlineLevel="1"/>
    <col min="5" max="5" width="6.44140625" style="117" customWidth="1" outlineLevel="1"/>
    <col min="6" max="6" width="17.44140625" style="117" customWidth="1" outlineLevel="1"/>
    <col min="7" max="7" width="23.5546875" style="162" customWidth="1"/>
    <col min="8" max="8" width="13" style="117" customWidth="1"/>
    <col min="9" max="9" width="9.44140625" style="117"/>
    <col min="10" max="10" width="12.44140625" style="117" bestFit="1" customWidth="1"/>
    <col min="11" max="16384" width="9.44140625" style="117"/>
  </cols>
  <sheetData>
    <row r="1" spans="1:10" s="105" customFormat="1" x14ac:dyDescent="0.3">
      <c r="E1" s="106"/>
      <c r="G1" s="158"/>
    </row>
    <row r="2" spans="1:10" s="105" customFormat="1" x14ac:dyDescent="0.3">
      <c r="A2" s="107"/>
      <c r="C2" s="108"/>
      <c r="D2" s="108"/>
      <c r="E2" s="109"/>
      <c r="F2" s="110"/>
      <c r="G2" s="158"/>
    </row>
    <row r="3" spans="1:10" s="382" customFormat="1" ht="21" customHeight="1" x14ac:dyDescent="0.4">
      <c r="A3" s="381"/>
      <c r="B3" s="527" t="s">
        <v>447</v>
      </c>
      <c r="C3" s="527"/>
      <c r="D3" s="527"/>
      <c r="E3" s="527"/>
      <c r="F3" s="527"/>
      <c r="G3" s="381"/>
      <c r="H3" s="381"/>
    </row>
    <row r="4" spans="1:10" s="105" customFormat="1" ht="17.399999999999999" x14ac:dyDescent="0.3">
      <c r="A4" s="107"/>
      <c r="B4" s="111"/>
      <c r="C4" s="108"/>
      <c r="D4" s="108"/>
      <c r="E4" s="109"/>
      <c r="F4" s="110"/>
      <c r="G4" s="158"/>
    </row>
    <row r="5" spans="1:10" s="105" customFormat="1" x14ac:dyDescent="0.3">
      <c r="A5" s="107"/>
      <c r="B5" s="112">
        <v>60</v>
      </c>
      <c r="C5" s="108"/>
      <c r="D5" s="108"/>
      <c r="E5" s="109"/>
      <c r="G5" s="159" t="s">
        <v>448</v>
      </c>
    </row>
    <row r="6" spans="1:10" ht="17.399999999999999" x14ac:dyDescent="0.3">
      <c r="A6" s="113"/>
      <c r="B6" s="114"/>
      <c r="C6" s="114"/>
      <c r="D6" s="114"/>
      <c r="E6" s="115"/>
      <c r="F6" s="116"/>
      <c r="G6" s="160" t="s">
        <v>449</v>
      </c>
      <c r="H6" s="116"/>
    </row>
    <row r="7" spans="1:10" ht="18.75" customHeight="1" x14ac:dyDescent="0.3">
      <c r="A7" s="118"/>
      <c r="B7" s="119" t="s">
        <v>12</v>
      </c>
      <c r="C7" s="119"/>
      <c r="D7" s="120"/>
      <c r="E7" s="120"/>
      <c r="F7" s="121"/>
      <c r="G7" s="161">
        <f>SUM(G10:G12)</f>
        <v>2950565.9282458504</v>
      </c>
    </row>
    <row r="8" spans="1:10" x14ac:dyDescent="0.3">
      <c r="B8" s="120"/>
      <c r="C8" s="120"/>
      <c r="D8" s="120"/>
      <c r="E8" s="120"/>
    </row>
    <row r="9" spans="1:10" ht="17.399999999999999" x14ac:dyDescent="0.3">
      <c r="A9" s="122"/>
      <c r="B9" s="123" t="s">
        <v>13</v>
      </c>
      <c r="C9" s="124"/>
      <c r="D9" s="124"/>
      <c r="E9" s="125"/>
      <c r="F9" s="126"/>
      <c r="G9" s="163"/>
      <c r="H9" s="126"/>
    </row>
    <row r="10" spans="1:10" x14ac:dyDescent="0.3">
      <c r="A10" s="118"/>
      <c r="B10" s="120" t="s">
        <v>450</v>
      </c>
      <c r="C10" s="120"/>
      <c r="D10" s="120"/>
      <c r="E10" s="120"/>
      <c r="F10" s="127"/>
      <c r="G10" s="164">
        <f>SUMIF($C$18:$C$100,"2",$G$18:$G$100)</f>
        <v>677076.96434744413</v>
      </c>
      <c r="H10" s="128"/>
      <c r="J10" s="129"/>
    </row>
    <row r="11" spans="1:10" x14ac:dyDescent="0.3">
      <c r="A11" s="118"/>
      <c r="B11" s="120" t="s">
        <v>14</v>
      </c>
      <c r="C11" s="120"/>
      <c r="D11" s="120"/>
      <c r="E11" s="120"/>
      <c r="F11" s="130"/>
      <c r="G11" s="164">
        <f>SUMIF($C$18:$C$100,"1",$G$18:$G$100)</f>
        <v>2273488.9638984064</v>
      </c>
      <c r="H11" s="128"/>
      <c r="J11" s="129"/>
    </row>
    <row r="12" spans="1:10" x14ac:dyDescent="0.3">
      <c r="A12" s="118"/>
      <c r="B12" s="120" t="s">
        <v>16</v>
      </c>
      <c r="C12" s="120"/>
      <c r="D12" s="120"/>
      <c r="E12" s="120"/>
      <c r="F12" s="127"/>
      <c r="G12" s="164">
        <v>0</v>
      </c>
      <c r="H12" s="128"/>
      <c r="J12" s="129"/>
    </row>
    <row r="13" spans="1:10" x14ac:dyDescent="0.3">
      <c r="A13" s="131"/>
      <c r="B13" s="132" t="s">
        <v>18</v>
      </c>
      <c r="C13" s="133"/>
      <c r="D13" s="133"/>
      <c r="E13" s="134"/>
      <c r="F13" s="135"/>
      <c r="G13" s="165"/>
      <c r="H13" s="135"/>
    </row>
    <row r="14" spans="1:10" x14ac:dyDescent="0.3">
      <c r="A14" s="118"/>
      <c r="B14" s="120" t="s">
        <v>451</v>
      </c>
      <c r="C14" s="120"/>
      <c r="D14" s="120"/>
      <c r="E14" s="120"/>
      <c r="F14" s="136"/>
      <c r="G14" s="164"/>
    </row>
    <row r="15" spans="1:10" x14ac:dyDescent="0.3">
      <c r="A15" s="118"/>
      <c r="B15" s="120" t="s">
        <v>452</v>
      </c>
      <c r="C15" s="120"/>
      <c r="D15" s="120"/>
      <c r="E15" s="120"/>
      <c r="F15" s="136"/>
      <c r="G15" s="164"/>
    </row>
    <row r="16" spans="1:10" x14ac:dyDescent="0.3">
      <c r="A16" s="118"/>
      <c r="B16" s="120" t="s">
        <v>453</v>
      </c>
      <c r="C16" s="120"/>
      <c r="D16" s="120"/>
      <c r="E16" s="120"/>
      <c r="F16" s="136"/>
      <c r="G16" s="164"/>
    </row>
    <row r="17" spans="1:8" ht="13.5" customHeight="1" x14ac:dyDescent="0.3">
      <c r="A17" s="131"/>
      <c r="B17" s="133" t="s">
        <v>26</v>
      </c>
      <c r="C17" s="133"/>
      <c r="D17" s="133"/>
      <c r="E17" s="134"/>
      <c r="F17" s="137"/>
      <c r="G17" s="166"/>
      <c r="H17" s="137"/>
    </row>
    <row r="18" spans="1:8" x14ac:dyDescent="0.3">
      <c r="A18" s="138">
        <v>1</v>
      </c>
      <c r="B18" s="139" t="s">
        <v>454</v>
      </c>
      <c r="C18" s="140"/>
      <c r="D18" s="140"/>
      <c r="E18" s="140"/>
      <c r="F18" s="140"/>
      <c r="G18" s="167">
        <f>SUM(G19:G27)</f>
        <v>0</v>
      </c>
      <c r="H18" s="140"/>
    </row>
    <row r="19" spans="1:8" x14ac:dyDescent="0.3">
      <c r="A19" s="141">
        <v>1.01</v>
      </c>
      <c r="B19" s="142" t="s">
        <v>455</v>
      </c>
      <c r="C19" s="143">
        <v>2</v>
      </c>
      <c r="D19" s="144" t="s">
        <v>456</v>
      </c>
      <c r="E19" s="145">
        <f t="shared" ref="E19:E27" si="0">IF(D19="USD",1,$B$5)</f>
        <v>1</v>
      </c>
      <c r="F19" s="146">
        <v>0</v>
      </c>
      <c r="G19" s="168">
        <f>IF(D19="DOP",F19/E19,F19)</f>
        <v>0</v>
      </c>
    </row>
    <row r="20" spans="1:8" x14ac:dyDescent="0.3">
      <c r="A20" s="141">
        <v>1.02</v>
      </c>
      <c r="B20" s="142" t="s">
        <v>457</v>
      </c>
      <c r="C20" s="143">
        <v>2</v>
      </c>
      <c r="D20" s="144" t="s">
        <v>456</v>
      </c>
      <c r="E20" s="145">
        <f t="shared" si="0"/>
        <v>1</v>
      </c>
      <c r="F20" s="146">
        <v>0</v>
      </c>
      <c r="G20" s="168">
        <f t="shared" ref="G20:G27" si="1">IF(D20="DOP",F20/E20,F20)</f>
        <v>0</v>
      </c>
    </row>
    <row r="21" spans="1:8" x14ac:dyDescent="0.3">
      <c r="A21" s="141">
        <v>1.03</v>
      </c>
      <c r="B21" s="142" t="s">
        <v>458</v>
      </c>
      <c r="C21" s="143">
        <v>2</v>
      </c>
      <c r="D21" s="144" t="s">
        <v>456</v>
      </c>
      <c r="E21" s="145">
        <f t="shared" si="0"/>
        <v>1</v>
      </c>
      <c r="F21" s="146">
        <v>0</v>
      </c>
      <c r="G21" s="168">
        <f t="shared" si="1"/>
        <v>0</v>
      </c>
    </row>
    <row r="22" spans="1:8" x14ac:dyDescent="0.3">
      <c r="A22" s="141">
        <v>1.04</v>
      </c>
      <c r="B22" s="142" t="s">
        <v>459</v>
      </c>
      <c r="C22" s="143">
        <v>2</v>
      </c>
      <c r="D22" s="144" t="s">
        <v>456</v>
      </c>
      <c r="E22" s="145">
        <f t="shared" si="0"/>
        <v>1</v>
      </c>
      <c r="F22" s="146">
        <v>0</v>
      </c>
      <c r="G22" s="168">
        <f t="shared" si="1"/>
        <v>0</v>
      </c>
    </row>
    <row r="23" spans="1:8" x14ac:dyDescent="0.3">
      <c r="A23" s="141">
        <v>1.08</v>
      </c>
      <c r="B23" s="142" t="s">
        <v>460</v>
      </c>
      <c r="C23" s="143">
        <v>2</v>
      </c>
      <c r="D23" s="144" t="s">
        <v>456</v>
      </c>
      <c r="E23" s="145">
        <f t="shared" si="0"/>
        <v>1</v>
      </c>
      <c r="F23" s="146">
        <v>0</v>
      </c>
      <c r="G23" s="168">
        <f t="shared" si="1"/>
        <v>0</v>
      </c>
    </row>
    <row r="24" spans="1:8" x14ac:dyDescent="0.3">
      <c r="A24" s="141">
        <v>1.0900000000000001</v>
      </c>
      <c r="B24" s="142" t="s">
        <v>461</v>
      </c>
      <c r="C24" s="143">
        <v>2</v>
      </c>
      <c r="D24" s="144" t="s">
        <v>456</v>
      </c>
      <c r="E24" s="145">
        <f t="shared" si="0"/>
        <v>1</v>
      </c>
      <c r="F24" s="146">
        <v>0</v>
      </c>
      <c r="G24" s="168">
        <f t="shared" si="1"/>
        <v>0</v>
      </c>
    </row>
    <row r="25" spans="1:8" x14ac:dyDescent="0.3">
      <c r="A25" s="141">
        <v>1.05</v>
      </c>
      <c r="B25" s="142" t="s">
        <v>462</v>
      </c>
      <c r="C25" s="143">
        <v>2</v>
      </c>
      <c r="D25" s="144" t="s">
        <v>456</v>
      </c>
      <c r="E25" s="145">
        <f t="shared" si="0"/>
        <v>1</v>
      </c>
      <c r="F25" s="146">
        <v>0</v>
      </c>
      <c r="G25" s="168">
        <f t="shared" si="1"/>
        <v>0</v>
      </c>
    </row>
    <row r="26" spans="1:8" x14ac:dyDescent="0.3">
      <c r="A26" s="141">
        <v>1.06</v>
      </c>
      <c r="B26" s="142" t="s">
        <v>463</v>
      </c>
      <c r="C26" s="143">
        <v>2</v>
      </c>
      <c r="D26" s="144" t="s">
        <v>456</v>
      </c>
      <c r="E26" s="145">
        <f t="shared" si="0"/>
        <v>1</v>
      </c>
      <c r="F26" s="146">
        <v>0</v>
      </c>
      <c r="G26" s="168">
        <f t="shared" si="1"/>
        <v>0</v>
      </c>
    </row>
    <row r="27" spans="1:8" x14ac:dyDescent="0.3">
      <c r="A27" s="141">
        <v>1.07</v>
      </c>
      <c r="B27" s="142" t="s">
        <v>464</v>
      </c>
      <c r="C27" s="143">
        <v>2</v>
      </c>
      <c r="D27" s="144" t="s">
        <v>456</v>
      </c>
      <c r="E27" s="145">
        <f t="shared" si="0"/>
        <v>1</v>
      </c>
      <c r="F27" s="146">
        <v>0</v>
      </c>
      <c r="G27" s="168">
        <f t="shared" si="1"/>
        <v>0</v>
      </c>
    </row>
    <row r="28" spans="1:8" ht="7.35" customHeight="1" x14ac:dyDescent="0.3">
      <c r="A28" s="147"/>
      <c r="D28" s="148"/>
      <c r="E28" s="148"/>
      <c r="F28" s="149"/>
      <c r="G28" s="169"/>
    </row>
    <row r="29" spans="1:8" x14ac:dyDescent="0.3">
      <c r="A29" s="138">
        <v>2</v>
      </c>
      <c r="B29" s="139" t="s">
        <v>465</v>
      </c>
      <c r="C29" s="140"/>
      <c r="D29" s="140"/>
      <c r="E29" s="140"/>
      <c r="F29" s="140"/>
      <c r="G29" s="167">
        <f>SUM(G30:G41)</f>
        <v>222113.72202396166</v>
      </c>
      <c r="H29" s="140"/>
    </row>
    <row r="30" spans="1:8" x14ac:dyDescent="0.3">
      <c r="A30" s="141">
        <v>2.0099999999999998</v>
      </c>
      <c r="B30" s="142" t="s">
        <v>466</v>
      </c>
      <c r="C30" s="143">
        <v>2</v>
      </c>
      <c r="D30" s="144" t="s">
        <v>467</v>
      </c>
      <c r="E30" s="145">
        <f t="shared" ref="E30:E36" si="2">IF(D30="USD",1,$B$5)</f>
        <v>60</v>
      </c>
      <c r="F30" s="146">
        <v>0</v>
      </c>
      <c r="G30" s="168">
        <v>8353.66</v>
      </c>
    </row>
    <row r="31" spans="1:8" x14ac:dyDescent="0.3">
      <c r="A31" s="141">
        <v>2.02</v>
      </c>
      <c r="B31" s="142" t="s">
        <v>468</v>
      </c>
      <c r="C31" s="143">
        <v>2</v>
      </c>
      <c r="D31" s="144" t="s">
        <v>467</v>
      </c>
      <c r="E31" s="145">
        <f t="shared" si="2"/>
        <v>60</v>
      </c>
      <c r="F31" s="146">
        <v>0</v>
      </c>
      <c r="G31" s="168">
        <v>0</v>
      </c>
    </row>
    <row r="32" spans="1:8" x14ac:dyDescent="0.3">
      <c r="A32" s="141">
        <v>2.0299999999999998</v>
      </c>
      <c r="B32" s="142" t="s">
        <v>469</v>
      </c>
      <c r="C32" s="143">
        <v>2</v>
      </c>
      <c r="D32" s="144" t="s">
        <v>467</v>
      </c>
      <c r="E32" s="145">
        <f t="shared" si="2"/>
        <v>60</v>
      </c>
      <c r="F32" s="146">
        <v>0</v>
      </c>
      <c r="G32" s="168">
        <v>0</v>
      </c>
    </row>
    <row r="33" spans="1:8" x14ac:dyDescent="0.3">
      <c r="A33" s="141">
        <v>2.04</v>
      </c>
      <c r="B33" s="142" t="s">
        <v>470</v>
      </c>
      <c r="C33" s="143">
        <v>2</v>
      </c>
      <c r="D33" s="144" t="s">
        <v>467</v>
      </c>
      <c r="E33" s="145">
        <f t="shared" si="2"/>
        <v>60</v>
      </c>
      <c r="F33" s="146">
        <v>0</v>
      </c>
      <c r="G33" s="168">
        <v>0</v>
      </c>
    </row>
    <row r="34" spans="1:8" x14ac:dyDescent="0.3">
      <c r="A34" s="141">
        <v>2.0499999999999998</v>
      </c>
      <c r="B34" s="142" t="s">
        <v>471</v>
      </c>
      <c r="C34" s="143">
        <v>2</v>
      </c>
      <c r="D34" s="144" t="s">
        <v>467</v>
      </c>
      <c r="E34" s="145">
        <f t="shared" si="2"/>
        <v>60</v>
      </c>
      <c r="F34" s="146">
        <v>0</v>
      </c>
      <c r="G34" s="168">
        <v>15099.420287539935</v>
      </c>
    </row>
    <row r="35" spans="1:8" x14ac:dyDescent="0.3">
      <c r="A35" s="141">
        <v>2.06</v>
      </c>
      <c r="B35" s="142" t="s">
        <v>472</v>
      </c>
      <c r="C35" s="143">
        <v>2</v>
      </c>
      <c r="D35" s="144" t="s">
        <v>467</v>
      </c>
      <c r="E35" s="145">
        <f t="shared" si="2"/>
        <v>60</v>
      </c>
      <c r="F35" s="146">
        <v>0</v>
      </c>
      <c r="G35" s="168">
        <v>7260.3833865814695</v>
      </c>
    </row>
    <row r="36" spans="1:8" x14ac:dyDescent="0.3">
      <c r="A36" s="141">
        <v>2.0699999999999998</v>
      </c>
      <c r="B36" s="142" t="s">
        <v>473</v>
      </c>
      <c r="C36" s="143">
        <v>2</v>
      </c>
      <c r="D36" s="144" t="s">
        <v>467</v>
      </c>
      <c r="E36" s="145">
        <f t="shared" si="2"/>
        <v>60</v>
      </c>
      <c r="F36" s="146">
        <v>0</v>
      </c>
      <c r="G36" s="168">
        <v>114712.486</v>
      </c>
    </row>
    <row r="37" spans="1:8" x14ac:dyDescent="0.3">
      <c r="A37" s="141">
        <v>2.08</v>
      </c>
      <c r="B37" s="142" t="s">
        <v>474</v>
      </c>
      <c r="C37" s="143">
        <v>2</v>
      </c>
      <c r="D37" s="144" t="s">
        <v>467</v>
      </c>
      <c r="E37" s="145">
        <f>IF(D37="USD",1,$B$5)</f>
        <v>60</v>
      </c>
      <c r="F37" s="146">
        <v>0</v>
      </c>
      <c r="G37" s="168">
        <v>65014.422349840257</v>
      </c>
    </row>
    <row r="38" spans="1:8" x14ac:dyDescent="0.3">
      <c r="A38" s="141">
        <v>2.09</v>
      </c>
      <c r="B38" s="142" t="s">
        <v>475</v>
      </c>
      <c r="C38" s="143">
        <v>2</v>
      </c>
      <c r="D38" s="144" t="s">
        <v>467</v>
      </c>
      <c r="E38" s="145">
        <f>IF(D38="USD",1,$B$5)</f>
        <v>60</v>
      </c>
      <c r="F38" s="146">
        <v>0</v>
      </c>
      <c r="G38" s="168">
        <v>11673.35</v>
      </c>
    </row>
    <row r="39" spans="1:8" x14ac:dyDescent="0.3">
      <c r="A39" s="141">
        <v>2.1</v>
      </c>
      <c r="B39" s="142" t="s">
        <v>476</v>
      </c>
      <c r="C39" s="143">
        <v>2</v>
      </c>
      <c r="D39" s="144" t="s">
        <v>467</v>
      </c>
      <c r="E39" s="145">
        <f>IF(D39="USD",1,$B$5)</f>
        <v>60</v>
      </c>
      <c r="F39" s="146">
        <v>0</v>
      </c>
      <c r="G39" s="168">
        <v>0</v>
      </c>
    </row>
    <row r="40" spans="1:8" x14ac:dyDescent="0.3">
      <c r="A40" s="141">
        <v>2.11</v>
      </c>
      <c r="B40" s="142" t="s">
        <v>477</v>
      </c>
      <c r="C40" s="143">
        <v>2</v>
      </c>
      <c r="D40" s="144" t="s">
        <v>467</v>
      </c>
      <c r="E40" s="145">
        <f>IF(D40="USD",1,$B$5)</f>
        <v>60</v>
      </c>
      <c r="F40" s="146">
        <v>0</v>
      </c>
      <c r="G40" s="168">
        <v>0</v>
      </c>
    </row>
    <row r="41" spans="1:8" ht="7.5" customHeight="1" x14ac:dyDescent="0.3">
      <c r="A41" s="147"/>
      <c r="B41" s="143"/>
      <c r="C41" s="143"/>
      <c r="D41" s="150"/>
      <c r="E41" s="150"/>
      <c r="F41" s="151"/>
      <c r="G41" s="169"/>
    </row>
    <row r="42" spans="1:8" x14ac:dyDescent="0.3">
      <c r="A42" s="138">
        <v>3</v>
      </c>
      <c r="B42" s="139" t="s">
        <v>478</v>
      </c>
      <c r="C42" s="140"/>
      <c r="D42" s="140"/>
      <c r="E42" s="140"/>
      <c r="F42" s="140"/>
      <c r="G42" s="167">
        <f>SUBTOTAL(9,G43:G47)</f>
        <v>180559.1335974441</v>
      </c>
      <c r="H42" s="140"/>
    </row>
    <row r="43" spans="1:8" x14ac:dyDescent="0.3">
      <c r="A43" s="141">
        <v>3.01</v>
      </c>
      <c r="B43" s="142" t="s">
        <v>479</v>
      </c>
      <c r="C43" s="143">
        <v>2</v>
      </c>
      <c r="D43" s="144" t="s">
        <v>467</v>
      </c>
      <c r="E43" s="145">
        <f>IF(D43="USD",1,$B$5)</f>
        <v>60</v>
      </c>
      <c r="F43" s="146">
        <v>0</v>
      </c>
      <c r="G43" s="168">
        <v>0</v>
      </c>
    </row>
    <row r="44" spans="1:8" x14ac:dyDescent="0.3">
      <c r="A44" s="141">
        <v>3.02</v>
      </c>
      <c r="B44" s="142" t="s">
        <v>480</v>
      </c>
      <c r="C44" s="143">
        <v>2</v>
      </c>
      <c r="D44" s="144" t="s">
        <v>467</v>
      </c>
      <c r="E44" s="145">
        <f>IF(D44="USD",1,$B$5)</f>
        <v>60</v>
      </c>
      <c r="F44" s="146">
        <v>0</v>
      </c>
      <c r="G44" s="168">
        <v>0</v>
      </c>
    </row>
    <row r="45" spans="1:8" x14ac:dyDescent="0.3">
      <c r="A45" s="141">
        <v>3.03</v>
      </c>
      <c r="B45" s="142" t="s">
        <v>481</v>
      </c>
      <c r="C45" s="143">
        <v>2</v>
      </c>
      <c r="D45" s="144" t="s">
        <v>467</v>
      </c>
      <c r="E45" s="145">
        <f>IF(D45="USD",1,$B$5)</f>
        <v>60</v>
      </c>
      <c r="F45" s="146">
        <v>0</v>
      </c>
      <c r="G45" s="168">
        <v>165254.22</v>
      </c>
    </row>
    <row r="46" spans="1:8" x14ac:dyDescent="0.3">
      <c r="A46" s="141">
        <v>3.04</v>
      </c>
      <c r="B46" s="142" t="s">
        <v>482</v>
      </c>
      <c r="C46" s="143">
        <v>2</v>
      </c>
      <c r="D46" s="144" t="s">
        <v>467</v>
      </c>
      <c r="E46" s="145">
        <f>IF(D46="USD",1,$B$5)</f>
        <v>60</v>
      </c>
      <c r="F46" s="146">
        <v>0</v>
      </c>
      <c r="G46" s="168">
        <v>15304.913597444089</v>
      </c>
    </row>
    <row r="47" spans="1:8" ht="7.5" customHeight="1" x14ac:dyDescent="0.3">
      <c r="A47" s="147"/>
      <c r="B47" s="143"/>
      <c r="C47" s="143"/>
      <c r="D47" s="150"/>
      <c r="E47" s="150"/>
      <c r="F47" s="152"/>
      <c r="G47" s="170"/>
    </row>
    <row r="48" spans="1:8" x14ac:dyDescent="0.3">
      <c r="A48" s="138">
        <v>4</v>
      </c>
      <c r="B48" s="139" t="s">
        <v>483</v>
      </c>
      <c r="C48" s="140"/>
      <c r="D48" s="140"/>
      <c r="E48" s="140"/>
      <c r="F48" s="140"/>
      <c r="G48" s="167">
        <f>SUM(G49:G52)</f>
        <v>274404.10872603831</v>
      </c>
      <c r="H48" s="140"/>
    </row>
    <row r="49" spans="1:8" x14ac:dyDescent="0.3">
      <c r="A49" s="141">
        <v>4.01</v>
      </c>
      <c r="B49" s="142" t="s">
        <v>484</v>
      </c>
      <c r="C49" s="143">
        <v>2</v>
      </c>
      <c r="D49" s="144" t="s">
        <v>467</v>
      </c>
      <c r="E49" s="145">
        <f>IF(D49="USD",1,$B$5)</f>
        <v>60</v>
      </c>
      <c r="F49" s="146">
        <v>0</v>
      </c>
      <c r="G49" s="168">
        <v>255437.67022763577</v>
      </c>
    </row>
    <row r="50" spans="1:8" x14ac:dyDescent="0.3">
      <c r="A50" s="141">
        <v>4.0199999999999996</v>
      </c>
      <c r="B50" s="142" t="s">
        <v>485</v>
      </c>
      <c r="C50" s="143">
        <v>2</v>
      </c>
      <c r="D50" s="144" t="s">
        <v>467</v>
      </c>
      <c r="E50" s="145">
        <f>IF(D50="USD",1,$B$5)</f>
        <v>60</v>
      </c>
      <c r="F50" s="146">
        <v>0</v>
      </c>
      <c r="G50" s="168">
        <v>0</v>
      </c>
    </row>
    <row r="51" spans="1:8" x14ac:dyDescent="0.3">
      <c r="A51" s="141">
        <v>4.03</v>
      </c>
      <c r="B51" s="142" t="s">
        <v>486</v>
      </c>
      <c r="C51" s="143">
        <v>2</v>
      </c>
      <c r="D51" s="144" t="s">
        <v>467</v>
      </c>
      <c r="E51" s="145">
        <f>IF(D51="USD",1,$B$5)</f>
        <v>60</v>
      </c>
      <c r="F51" s="146">
        <v>0</v>
      </c>
      <c r="G51" s="168">
        <v>18966.438498402556</v>
      </c>
    </row>
    <row r="52" spans="1:8" ht="7.5" customHeight="1" x14ac:dyDescent="0.3">
      <c r="A52" s="147"/>
      <c r="B52" s="143"/>
      <c r="C52" s="143"/>
      <c r="D52" s="150"/>
      <c r="E52" s="150"/>
      <c r="F52" s="151"/>
      <c r="G52" s="169"/>
    </row>
    <row r="53" spans="1:8" x14ac:dyDescent="0.3">
      <c r="A53" s="138">
        <v>5</v>
      </c>
      <c r="B53" s="139" t="s">
        <v>487</v>
      </c>
      <c r="C53" s="140"/>
      <c r="D53" s="140"/>
      <c r="E53" s="140"/>
      <c r="F53" s="140"/>
      <c r="G53" s="167">
        <f>SUM(G54:G61)</f>
        <v>1043362.4316908945</v>
      </c>
      <c r="H53" s="140"/>
    </row>
    <row r="54" spans="1:8" x14ac:dyDescent="0.3">
      <c r="A54" s="141">
        <v>5.01</v>
      </c>
      <c r="B54" s="142" t="s">
        <v>488</v>
      </c>
      <c r="C54" s="143">
        <v>1</v>
      </c>
      <c r="D54" s="144" t="s">
        <v>467</v>
      </c>
      <c r="E54" s="145">
        <f>IF(D54="USD",1,$B$5)</f>
        <v>60</v>
      </c>
      <c r="F54" s="146">
        <v>0</v>
      </c>
      <c r="G54" s="168">
        <v>157500</v>
      </c>
    </row>
    <row r="55" spans="1:8" x14ac:dyDescent="0.3">
      <c r="A55" s="141">
        <v>5.0199999999999996</v>
      </c>
      <c r="B55" s="142" t="s">
        <v>489</v>
      </c>
      <c r="C55" s="143">
        <v>1</v>
      </c>
      <c r="D55" s="144" t="s">
        <v>467</v>
      </c>
      <c r="E55" s="145">
        <f t="shared" ref="E55:E60" si="3">IF(D55="USD",1,$B$5)</f>
        <v>60</v>
      </c>
      <c r="F55" s="146">
        <v>0</v>
      </c>
      <c r="G55" s="168">
        <v>32571.3465</v>
      </c>
    </row>
    <row r="56" spans="1:8" x14ac:dyDescent="0.3">
      <c r="A56" s="141">
        <v>5.03</v>
      </c>
      <c r="B56" s="153" t="s">
        <v>490</v>
      </c>
      <c r="C56" s="143">
        <v>1</v>
      </c>
      <c r="D56" s="144" t="s">
        <v>467</v>
      </c>
      <c r="E56" s="145">
        <f t="shared" si="3"/>
        <v>60</v>
      </c>
      <c r="F56" s="146">
        <v>0</v>
      </c>
      <c r="G56" s="168">
        <v>545308.28391773161</v>
      </c>
    </row>
    <row r="57" spans="1:8" x14ac:dyDescent="0.3">
      <c r="A57" s="141">
        <v>5.04</v>
      </c>
      <c r="B57" s="142" t="s">
        <v>491</v>
      </c>
      <c r="C57" s="143">
        <v>1</v>
      </c>
      <c r="D57" s="144" t="s">
        <v>467</v>
      </c>
      <c r="E57" s="145">
        <f t="shared" si="3"/>
        <v>60</v>
      </c>
      <c r="F57" s="146">
        <v>0</v>
      </c>
      <c r="G57" s="171">
        <v>28768.600000000006</v>
      </c>
    </row>
    <row r="58" spans="1:8" x14ac:dyDescent="0.3">
      <c r="A58" s="141">
        <v>5.05</v>
      </c>
      <c r="B58" s="142" t="s">
        <v>492</v>
      </c>
      <c r="C58" s="143">
        <v>1</v>
      </c>
      <c r="D58" s="144" t="s">
        <v>467</v>
      </c>
      <c r="E58" s="145">
        <f t="shared" si="3"/>
        <v>60</v>
      </c>
      <c r="F58" s="146">
        <v>0</v>
      </c>
      <c r="G58" s="171">
        <v>37028.753993610226</v>
      </c>
    </row>
    <row r="59" spans="1:8" x14ac:dyDescent="0.3">
      <c r="A59" s="141">
        <v>5.0599999999999996</v>
      </c>
      <c r="B59" s="142" t="s">
        <v>493</v>
      </c>
      <c r="C59" s="143">
        <v>1</v>
      </c>
      <c r="D59" s="144" t="s">
        <v>467</v>
      </c>
      <c r="E59" s="145">
        <f t="shared" si="3"/>
        <v>60</v>
      </c>
      <c r="F59" s="146">
        <v>0</v>
      </c>
      <c r="G59" s="171">
        <v>168492.01277955272</v>
      </c>
    </row>
    <row r="60" spans="1:8" x14ac:dyDescent="0.3">
      <c r="A60" s="141">
        <v>5.07</v>
      </c>
      <c r="B60" s="142" t="s">
        <v>494</v>
      </c>
      <c r="C60" s="143">
        <v>1</v>
      </c>
      <c r="D60" s="144" t="s">
        <v>467</v>
      </c>
      <c r="E60" s="145">
        <f t="shared" si="3"/>
        <v>60</v>
      </c>
      <c r="F60" s="146">
        <v>0</v>
      </c>
      <c r="G60" s="171">
        <v>73693.434500000003</v>
      </c>
    </row>
    <row r="61" spans="1:8" ht="7.5" customHeight="1" x14ac:dyDescent="0.3">
      <c r="A61" s="147"/>
      <c r="B61" s="143"/>
      <c r="C61" s="143"/>
      <c r="D61" s="150"/>
      <c r="E61" s="150"/>
      <c r="F61" s="152"/>
      <c r="G61" s="170"/>
    </row>
    <row r="62" spans="1:8" x14ac:dyDescent="0.3">
      <c r="A62" s="138">
        <v>6</v>
      </c>
      <c r="B62" s="139" t="s">
        <v>495</v>
      </c>
      <c r="C62" s="140"/>
      <c r="D62" s="140"/>
      <c r="E62" s="140"/>
      <c r="F62" s="140"/>
      <c r="G62" s="167">
        <f>SUM(G63:G68)</f>
        <v>38430.064728434503</v>
      </c>
      <c r="H62" s="140"/>
    </row>
    <row r="63" spans="1:8" x14ac:dyDescent="0.3">
      <c r="A63" s="141">
        <v>6.01</v>
      </c>
      <c r="B63" s="142" t="s">
        <v>496</v>
      </c>
      <c r="C63" s="143">
        <v>1</v>
      </c>
      <c r="D63" s="144" t="s">
        <v>467</v>
      </c>
      <c r="E63" s="145">
        <f>IF(D63="USD",1,$B$5)</f>
        <v>60</v>
      </c>
      <c r="F63" s="146">
        <v>0</v>
      </c>
      <c r="G63" s="171">
        <f t="shared" ref="G63:G66" si="4">IF(D63="DOP",F63/E63,F63)</f>
        <v>0</v>
      </c>
    </row>
    <row r="64" spans="1:8" x14ac:dyDescent="0.3">
      <c r="A64" s="141">
        <v>6.02</v>
      </c>
      <c r="B64" s="142" t="s">
        <v>497</v>
      </c>
      <c r="C64" s="143">
        <v>1</v>
      </c>
      <c r="D64" s="144" t="s">
        <v>467</v>
      </c>
      <c r="E64" s="145">
        <f t="shared" ref="E64:E67" si="5">IF(D64="USD",1,$B$5)</f>
        <v>60</v>
      </c>
      <c r="F64" s="146">
        <v>0</v>
      </c>
      <c r="G64" s="171">
        <f t="shared" si="4"/>
        <v>0</v>
      </c>
    </row>
    <row r="65" spans="1:8" x14ac:dyDescent="0.3">
      <c r="A65" s="141">
        <v>6.03</v>
      </c>
      <c r="B65" s="142" t="s">
        <v>498</v>
      </c>
      <c r="C65" s="143">
        <v>1</v>
      </c>
      <c r="D65" s="144" t="s">
        <v>467</v>
      </c>
      <c r="E65" s="145">
        <f t="shared" si="5"/>
        <v>60</v>
      </c>
      <c r="F65" s="146">
        <v>0</v>
      </c>
      <c r="G65" s="171">
        <f t="shared" si="4"/>
        <v>0</v>
      </c>
    </row>
    <row r="66" spans="1:8" x14ac:dyDescent="0.3">
      <c r="A66" s="141">
        <v>6.04</v>
      </c>
      <c r="B66" s="142" t="s">
        <v>499</v>
      </c>
      <c r="C66" s="143">
        <v>1</v>
      </c>
      <c r="D66" s="144" t="s">
        <v>467</v>
      </c>
      <c r="E66" s="145">
        <f t="shared" si="5"/>
        <v>60</v>
      </c>
      <c r="F66" s="146">
        <v>0</v>
      </c>
      <c r="G66" s="171">
        <f t="shared" si="4"/>
        <v>0</v>
      </c>
    </row>
    <row r="67" spans="1:8" x14ac:dyDescent="0.3">
      <c r="A67" s="141">
        <v>6.05</v>
      </c>
      <c r="B67" s="142" t="s">
        <v>500</v>
      </c>
      <c r="C67" s="143">
        <v>1</v>
      </c>
      <c r="D67" s="144" t="s">
        <v>467</v>
      </c>
      <c r="E67" s="145">
        <f t="shared" si="5"/>
        <v>60</v>
      </c>
      <c r="F67" s="146">
        <v>0</v>
      </c>
      <c r="G67" s="171">
        <v>38430.064728434503</v>
      </c>
    </row>
    <row r="68" spans="1:8" x14ac:dyDescent="0.3">
      <c r="A68" s="147"/>
      <c r="B68" s="154"/>
      <c r="C68" s="143"/>
      <c r="D68" s="150"/>
      <c r="E68" s="155"/>
      <c r="F68" s="156"/>
      <c r="G68" s="169"/>
    </row>
    <row r="69" spans="1:8" x14ac:dyDescent="0.3">
      <c r="A69" s="138">
        <v>7</v>
      </c>
      <c r="B69" s="139" t="s">
        <v>501</v>
      </c>
      <c r="C69" s="140"/>
      <c r="D69" s="140"/>
      <c r="E69" s="140"/>
      <c r="F69" s="140"/>
      <c r="G69" s="167">
        <f>SUM(G70:G77)</f>
        <v>381984.74932907347</v>
      </c>
      <c r="H69" s="140"/>
    </row>
    <row r="70" spans="1:8" s="120" customFormat="1" x14ac:dyDescent="0.3">
      <c r="A70" s="141">
        <v>7.01</v>
      </c>
      <c r="B70" s="142" t="s">
        <v>502</v>
      </c>
      <c r="C70" s="142">
        <v>1</v>
      </c>
      <c r="D70" s="144" t="s">
        <v>467</v>
      </c>
      <c r="E70" s="145">
        <f>IF(D70="USD",1,$B$5)</f>
        <v>60</v>
      </c>
      <c r="F70" s="146">
        <v>0</v>
      </c>
      <c r="G70" s="171">
        <v>30264.520766773167</v>
      </c>
    </row>
    <row r="71" spans="1:8" s="120" customFormat="1" x14ac:dyDescent="0.3">
      <c r="A71" s="141">
        <v>7.02</v>
      </c>
      <c r="B71" s="142" t="s">
        <v>503</v>
      </c>
      <c r="C71" s="142">
        <v>1</v>
      </c>
      <c r="D71" s="144" t="s">
        <v>467</v>
      </c>
      <c r="E71" s="145">
        <f t="shared" ref="E71:E72" si="6">IF(D71="USD",1,$B$5)</f>
        <v>60</v>
      </c>
      <c r="F71" s="146">
        <v>0</v>
      </c>
      <c r="G71" s="171">
        <v>65026.094984025556</v>
      </c>
    </row>
    <row r="72" spans="1:8" s="120" customFormat="1" x14ac:dyDescent="0.3">
      <c r="A72" s="141">
        <v>7.03</v>
      </c>
      <c r="B72" s="142" t="s">
        <v>504</v>
      </c>
      <c r="C72" s="142">
        <v>1</v>
      </c>
      <c r="D72" s="144" t="s">
        <v>467</v>
      </c>
      <c r="E72" s="145">
        <f t="shared" si="6"/>
        <v>60</v>
      </c>
      <c r="F72" s="146">
        <v>0</v>
      </c>
      <c r="G72" s="171">
        <v>53605.920479233231</v>
      </c>
    </row>
    <row r="73" spans="1:8" s="120" customFormat="1" x14ac:dyDescent="0.3">
      <c r="A73" s="141">
        <v>7.04</v>
      </c>
      <c r="B73" s="142" t="s">
        <v>505</v>
      </c>
      <c r="C73" s="142">
        <v>1</v>
      </c>
      <c r="D73" s="144" t="s">
        <v>467</v>
      </c>
      <c r="E73" s="145">
        <f t="shared" ref="E73:E76" si="7">IF(D73="USD",1,$B$5)</f>
        <v>60</v>
      </c>
      <c r="F73" s="146">
        <v>0</v>
      </c>
      <c r="G73" s="171">
        <v>170136.8638977636</v>
      </c>
    </row>
    <row r="74" spans="1:8" s="120" customFormat="1" x14ac:dyDescent="0.3">
      <c r="A74" s="141">
        <v>7.05</v>
      </c>
      <c r="B74" s="142" t="s">
        <v>506</v>
      </c>
      <c r="C74" s="142">
        <v>1</v>
      </c>
      <c r="D74" s="144" t="s">
        <v>467</v>
      </c>
      <c r="E74" s="145">
        <f t="shared" si="7"/>
        <v>60</v>
      </c>
      <c r="F74" s="146">
        <v>0</v>
      </c>
      <c r="G74" s="171">
        <v>62951.349201277946</v>
      </c>
    </row>
    <row r="75" spans="1:8" s="120" customFormat="1" x14ac:dyDescent="0.3">
      <c r="A75" s="141">
        <v>7.06</v>
      </c>
      <c r="B75" s="142" t="s">
        <v>507</v>
      </c>
      <c r="C75" s="142">
        <v>1</v>
      </c>
      <c r="D75" s="144" t="s">
        <v>467</v>
      </c>
      <c r="E75" s="145">
        <f t="shared" si="7"/>
        <v>60</v>
      </c>
      <c r="F75" s="146">
        <v>0</v>
      </c>
      <c r="G75" s="171">
        <v>0</v>
      </c>
    </row>
    <row r="76" spans="1:8" s="120" customFormat="1" x14ac:dyDescent="0.3">
      <c r="A76" s="141">
        <v>7.07</v>
      </c>
      <c r="B76" s="142" t="s">
        <v>508</v>
      </c>
      <c r="C76" s="142">
        <v>1</v>
      </c>
      <c r="D76" s="144" t="s">
        <v>467</v>
      </c>
      <c r="E76" s="145">
        <f t="shared" si="7"/>
        <v>60</v>
      </c>
      <c r="F76" s="146">
        <v>0</v>
      </c>
      <c r="G76" s="171">
        <v>0</v>
      </c>
    </row>
    <row r="77" spans="1:8" ht="7.5" customHeight="1" x14ac:dyDescent="0.3">
      <c r="A77" s="147"/>
      <c r="B77" s="143"/>
      <c r="C77" s="143"/>
      <c r="D77" s="150"/>
      <c r="E77" s="150"/>
      <c r="F77" s="157"/>
      <c r="G77" s="172"/>
    </row>
    <row r="78" spans="1:8" x14ac:dyDescent="0.3">
      <c r="A78" s="138">
        <v>8</v>
      </c>
      <c r="B78" s="139" t="s">
        <v>509</v>
      </c>
      <c r="C78" s="140"/>
      <c r="D78" s="140"/>
      <c r="E78" s="140"/>
      <c r="F78" s="140"/>
      <c r="G78" s="167">
        <f>SUM(G79:G87)</f>
        <v>809711.71815000416</v>
      </c>
      <c r="H78" s="140"/>
    </row>
    <row r="79" spans="1:8" s="120" customFormat="1" x14ac:dyDescent="0.3">
      <c r="A79" s="141">
        <v>8.01</v>
      </c>
      <c r="B79" s="142" t="s">
        <v>510</v>
      </c>
      <c r="C79" s="142">
        <v>1</v>
      </c>
      <c r="D79" s="144" t="s">
        <v>467</v>
      </c>
      <c r="E79" s="145">
        <f t="shared" ref="E79:E86" si="8">IF(D79="USD",1,$B$5)</f>
        <v>60</v>
      </c>
      <c r="F79" s="146">
        <v>0</v>
      </c>
      <c r="G79" s="171">
        <v>355288.99980431306</v>
      </c>
    </row>
    <row r="80" spans="1:8" s="120" customFormat="1" x14ac:dyDescent="0.3">
      <c r="A80" s="141">
        <v>8.02</v>
      </c>
      <c r="B80" s="142" t="s">
        <v>511</v>
      </c>
      <c r="C80" s="142">
        <v>1</v>
      </c>
      <c r="D80" s="144" t="s">
        <v>467</v>
      </c>
      <c r="E80" s="145">
        <f t="shared" si="8"/>
        <v>60</v>
      </c>
      <c r="F80" s="146">
        <v>0</v>
      </c>
      <c r="G80" s="171">
        <v>48231.140750798724</v>
      </c>
    </row>
    <row r="81" spans="1:8" s="120" customFormat="1" x14ac:dyDescent="0.3">
      <c r="A81" s="141">
        <v>8.0299999999999994</v>
      </c>
      <c r="B81" s="142" t="s">
        <v>512</v>
      </c>
      <c r="C81" s="142">
        <v>1</v>
      </c>
      <c r="D81" s="144" t="s">
        <v>467</v>
      </c>
      <c r="E81" s="145">
        <f t="shared" si="8"/>
        <v>60</v>
      </c>
      <c r="F81" s="146">
        <v>0</v>
      </c>
      <c r="G81" s="171">
        <v>46512.175439940249</v>
      </c>
    </row>
    <row r="82" spans="1:8" s="120" customFormat="1" ht="14.25" customHeight="1" x14ac:dyDescent="0.3">
      <c r="A82" s="141">
        <v>8.0399999999999991</v>
      </c>
      <c r="B82" s="142" t="s">
        <v>513</v>
      </c>
      <c r="C82" s="142">
        <v>1</v>
      </c>
      <c r="D82" s="144" t="s">
        <v>467</v>
      </c>
      <c r="E82" s="145">
        <f t="shared" si="8"/>
        <v>60</v>
      </c>
      <c r="F82" s="146">
        <v>0</v>
      </c>
      <c r="G82" s="171">
        <v>23083.509503194888</v>
      </c>
    </row>
    <row r="83" spans="1:8" s="120" customFormat="1" x14ac:dyDescent="0.3">
      <c r="A83" s="141">
        <v>8.0500000000000007</v>
      </c>
      <c r="B83" s="142" t="s">
        <v>514</v>
      </c>
      <c r="C83" s="142">
        <v>1</v>
      </c>
      <c r="D83" s="144" t="s">
        <v>467</v>
      </c>
      <c r="E83" s="145">
        <f t="shared" si="8"/>
        <v>60</v>
      </c>
      <c r="F83" s="146">
        <v>0</v>
      </c>
      <c r="G83" s="171">
        <v>106439.12076677317</v>
      </c>
    </row>
    <row r="84" spans="1:8" s="120" customFormat="1" x14ac:dyDescent="0.3">
      <c r="A84" s="141">
        <v>8.06</v>
      </c>
      <c r="B84" s="142" t="s">
        <v>515</v>
      </c>
      <c r="C84" s="142">
        <v>1</v>
      </c>
      <c r="D84" s="144" t="s">
        <v>467</v>
      </c>
      <c r="E84" s="145">
        <f t="shared" si="8"/>
        <v>60</v>
      </c>
      <c r="F84" s="146">
        <v>0</v>
      </c>
      <c r="G84" s="171">
        <v>44550.663258785949</v>
      </c>
    </row>
    <row r="85" spans="1:8" s="120" customFormat="1" x14ac:dyDescent="0.3">
      <c r="A85" s="141">
        <v>8.07</v>
      </c>
      <c r="B85" s="142" t="s">
        <v>516</v>
      </c>
      <c r="C85" s="142">
        <v>1</v>
      </c>
      <c r="D85" s="144" t="s">
        <v>467</v>
      </c>
      <c r="E85" s="145">
        <f t="shared" si="8"/>
        <v>60</v>
      </c>
      <c r="F85" s="146">
        <v>0</v>
      </c>
      <c r="G85" s="171">
        <v>123730.70926517571</v>
      </c>
    </row>
    <row r="86" spans="1:8" s="120" customFormat="1" x14ac:dyDescent="0.3">
      <c r="A86" s="141">
        <v>8.08</v>
      </c>
      <c r="B86" s="142" t="s">
        <v>517</v>
      </c>
      <c r="C86" s="142">
        <v>1</v>
      </c>
      <c r="D86" s="144" t="s">
        <v>467</v>
      </c>
      <c r="E86" s="145">
        <f t="shared" si="8"/>
        <v>60</v>
      </c>
      <c r="F86" s="146">
        <v>3447098.2007250004</v>
      </c>
      <c r="G86" s="171">
        <v>61875.39936102237</v>
      </c>
    </row>
    <row r="87" spans="1:8" ht="7.5" customHeight="1" x14ac:dyDescent="0.3">
      <c r="A87" s="147"/>
      <c r="B87" s="143"/>
      <c r="C87" s="143"/>
      <c r="D87" s="150"/>
      <c r="E87" s="150"/>
      <c r="F87" s="157"/>
      <c r="G87" s="172"/>
    </row>
    <row r="88" spans="1:8" x14ac:dyDescent="0.3">
      <c r="A88" s="138">
        <v>9</v>
      </c>
      <c r="B88" s="139" t="s">
        <v>518</v>
      </c>
      <c r="C88" s="140"/>
      <c r="D88" s="140"/>
      <c r="E88" s="140"/>
      <c r="F88" s="140"/>
      <c r="G88" s="167">
        <f>SUM(G89:G93)</f>
        <v>0</v>
      </c>
      <c r="H88" s="140"/>
    </row>
    <row r="89" spans="1:8" s="120" customFormat="1" x14ac:dyDescent="0.3">
      <c r="A89" s="141">
        <v>9.01</v>
      </c>
      <c r="B89" s="142" t="s">
        <v>519</v>
      </c>
      <c r="C89" s="142">
        <v>2</v>
      </c>
      <c r="D89" s="144" t="s">
        <v>456</v>
      </c>
      <c r="E89" s="145">
        <f t="shared" ref="E89:E94" si="9">IF(D89="USD",1,$B$5)</f>
        <v>1</v>
      </c>
      <c r="F89" s="146">
        <v>0</v>
      </c>
      <c r="G89" s="171">
        <f t="shared" ref="G89:G94" si="10">IF(D89="DOP",F89/E89,F89)</f>
        <v>0</v>
      </c>
    </row>
    <row r="90" spans="1:8" s="120" customFormat="1" x14ac:dyDescent="0.3">
      <c r="A90" s="141">
        <v>9.02</v>
      </c>
      <c r="B90" s="142" t="s">
        <v>520</v>
      </c>
      <c r="C90" s="142">
        <v>2</v>
      </c>
      <c r="D90" s="144" t="s">
        <v>456</v>
      </c>
      <c r="E90" s="145">
        <f t="shared" si="9"/>
        <v>1</v>
      </c>
      <c r="F90" s="146">
        <v>0</v>
      </c>
      <c r="G90" s="171">
        <f t="shared" si="10"/>
        <v>0</v>
      </c>
    </row>
    <row r="91" spans="1:8" s="120" customFormat="1" x14ac:dyDescent="0.3">
      <c r="A91" s="141">
        <v>9.0299999999999994</v>
      </c>
      <c r="B91" s="142" t="s">
        <v>521</v>
      </c>
      <c r="C91" s="142">
        <v>2</v>
      </c>
      <c r="D91" s="144" t="s">
        <v>456</v>
      </c>
      <c r="E91" s="145">
        <f t="shared" si="9"/>
        <v>1</v>
      </c>
      <c r="F91" s="146">
        <v>0</v>
      </c>
      <c r="G91" s="171">
        <f t="shared" si="10"/>
        <v>0</v>
      </c>
    </row>
    <row r="92" spans="1:8" s="120" customFormat="1" x14ac:dyDescent="0.3">
      <c r="A92" s="141">
        <v>9.0399999999999991</v>
      </c>
      <c r="B92" s="142" t="s">
        <v>522</v>
      </c>
      <c r="C92" s="142">
        <v>2</v>
      </c>
      <c r="D92" s="144" t="s">
        <v>456</v>
      </c>
      <c r="E92" s="145">
        <f t="shared" si="9"/>
        <v>1</v>
      </c>
      <c r="F92" s="146">
        <v>0</v>
      </c>
      <c r="G92" s="171">
        <f t="shared" si="10"/>
        <v>0</v>
      </c>
    </row>
    <row r="93" spans="1:8" s="120" customFormat="1" x14ac:dyDescent="0.3">
      <c r="A93" s="141">
        <v>9.0499999999999989</v>
      </c>
      <c r="B93" s="142" t="s">
        <v>523</v>
      </c>
      <c r="C93" s="142">
        <v>2</v>
      </c>
      <c r="D93" s="144" t="s">
        <v>456</v>
      </c>
      <c r="E93" s="145">
        <f t="shared" si="9"/>
        <v>1</v>
      </c>
      <c r="F93" s="146">
        <v>0</v>
      </c>
      <c r="G93" s="171">
        <f t="shared" si="10"/>
        <v>0</v>
      </c>
    </row>
    <row r="94" spans="1:8" s="120" customFormat="1" x14ac:dyDescent="0.3">
      <c r="A94" s="141">
        <v>9.06</v>
      </c>
      <c r="B94" s="142" t="s">
        <v>524</v>
      </c>
      <c r="C94" s="142">
        <v>2</v>
      </c>
      <c r="D94" s="144" t="s">
        <v>456</v>
      </c>
      <c r="E94" s="145">
        <f t="shared" si="9"/>
        <v>1</v>
      </c>
      <c r="F94" s="146">
        <v>0</v>
      </c>
      <c r="G94" s="171">
        <f t="shared" si="10"/>
        <v>0</v>
      </c>
    </row>
  </sheetData>
  <mergeCells count="1">
    <mergeCell ref="B3:F3"/>
  </mergeCells>
  <printOptions horizontalCentered="1"/>
  <pageMargins left="0.19685039370078741" right="0.19685039370078741" top="0.39370078740157483" bottom="0.39370078740157483" header="0.31496062992125984" footer="0.31496062992125984"/>
  <pageSetup scale="86" fitToHeight="2" orientation="portrait" r:id="rId1"/>
  <headerFooter>
    <oddHeader>&amp;R&amp;G</oddHeader>
    <oddFooter>&amp;L&amp;F&amp;RPág. 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7E8E-67F5-4D7E-9E8A-FF646C9BFFFE}">
  <sheetPr codeName="Hoja6">
    <tabColor theme="1"/>
  </sheetPr>
  <dimension ref="A1:IB378"/>
  <sheetViews>
    <sheetView showGridLines="0" tabSelected="1" topLeftCell="AE1" zoomScale="95" zoomScaleNormal="95" workbookViewId="0">
      <selection activeCell="AI1" sqref="AI1:AI1048576"/>
    </sheetView>
  </sheetViews>
  <sheetFormatPr baseColWidth="10" defaultColWidth="11.44140625" defaultRowHeight="15" customHeight="1" x14ac:dyDescent="0.3"/>
  <cols>
    <col min="1" max="1" width="6.5546875" style="275" customWidth="1"/>
    <col min="2" max="2" width="4.5546875" style="275" customWidth="1"/>
    <col min="3" max="3" width="36.109375" style="275" customWidth="1"/>
    <col min="4" max="4" width="7.5546875" style="275" customWidth="1"/>
    <col min="5" max="5" width="21.109375" style="275" customWidth="1"/>
    <col min="6" max="6" width="42.5546875" style="275" customWidth="1"/>
    <col min="7" max="7" width="20.88671875" style="275" customWidth="1"/>
    <col min="8" max="8" width="11.44140625" style="275" customWidth="1"/>
    <col min="9" max="9" width="10.44140625" style="275" customWidth="1"/>
    <col min="10" max="10" width="9.5546875" style="275" customWidth="1"/>
    <col min="11" max="11" width="10.44140625" style="275" customWidth="1"/>
    <col min="12" max="12" width="16.44140625" style="275" customWidth="1"/>
    <col min="13" max="13" width="20.5546875" style="275" customWidth="1"/>
    <col min="14" max="14" width="11.5546875" style="275" customWidth="1"/>
    <col min="15" max="15" width="18.5546875" style="275" customWidth="1"/>
    <col min="16" max="16" width="15.88671875" style="275" customWidth="1"/>
    <col min="17" max="17" width="17.44140625" style="275" customWidth="1"/>
    <col min="18" max="18" width="13.5546875" style="275" customWidth="1"/>
    <col min="19" max="20" width="11.109375" style="275" customWidth="1"/>
    <col min="21" max="21" width="19" style="278" customWidth="1"/>
    <col min="22" max="22" width="17.5546875" style="275" customWidth="1"/>
    <col min="23" max="23" width="19" style="275" customWidth="1"/>
    <col min="24" max="33" width="14.44140625" style="275" customWidth="1"/>
    <col min="34" max="34" width="22.77734375" style="275" customWidth="1"/>
    <col min="35" max="35" width="17.5546875" style="275" customWidth="1"/>
    <col min="36" max="236" width="11.44140625" style="401"/>
    <col min="237" max="16384" width="11.44140625" style="275"/>
  </cols>
  <sheetData>
    <row r="1" spans="1:235" ht="15" customHeight="1" x14ac:dyDescent="0.3">
      <c r="A1" s="517" t="s">
        <v>525</v>
      </c>
      <c r="B1" s="517"/>
      <c r="C1" s="517"/>
      <c r="D1" s="517"/>
      <c r="E1" s="517"/>
      <c r="F1" s="517"/>
      <c r="G1" s="274"/>
      <c r="H1" s="274"/>
      <c r="J1" s="276" t="s">
        <v>456</v>
      </c>
      <c r="K1" s="276" t="s">
        <v>526</v>
      </c>
      <c r="Q1" s="277" t="s">
        <v>23</v>
      </c>
      <c r="S1" s="275" t="s">
        <v>527</v>
      </c>
      <c r="AI1" s="515" t="s">
        <v>396</v>
      </c>
    </row>
    <row r="2" spans="1:235" ht="15" customHeight="1" x14ac:dyDescent="0.3">
      <c r="A2" s="518">
        <v>45498</v>
      </c>
      <c r="B2" s="518"/>
      <c r="C2" s="517"/>
      <c r="D2" s="517"/>
      <c r="E2" s="517"/>
      <c r="F2" s="517"/>
      <c r="G2" s="274"/>
      <c r="H2" s="274"/>
      <c r="I2" s="276" t="s">
        <v>528</v>
      </c>
      <c r="J2" s="279">
        <v>63</v>
      </c>
      <c r="K2" s="280">
        <v>76</v>
      </c>
      <c r="Q2" s="277" t="s">
        <v>22</v>
      </c>
      <c r="S2" s="520" t="s">
        <v>529</v>
      </c>
      <c r="T2" s="520"/>
      <c r="U2" s="520"/>
      <c r="V2" s="520"/>
      <c r="W2" s="520"/>
      <c r="X2" s="520"/>
      <c r="Y2" s="520"/>
      <c r="Z2" s="520"/>
      <c r="AA2" s="520"/>
      <c r="AB2" s="520"/>
      <c r="AC2" s="520"/>
      <c r="AD2" s="520"/>
      <c r="AE2" s="520"/>
      <c r="AF2" s="520"/>
      <c r="AG2" s="520"/>
      <c r="AH2" s="520"/>
      <c r="AI2" s="515"/>
    </row>
    <row r="3" spans="1:235" ht="15" customHeight="1" x14ac:dyDescent="0.3">
      <c r="D3" s="275" t="s">
        <v>530</v>
      </c>
      <c r="O3" s="281">
        <f>SUBTOTAL(109,BD.PD[Ppto. Orden Interna '[DOP']])</f>
        <v>180212125.20684043</v>
      </c>
      <c r="P3" s="282">
        <f>SUBTOTAL(109,BD.PD[Ppto. Orden Interna '[USD']])</f>
        <v>2860509.9239180954</v>
      </c>
      <c r="S3" s="516" t="s">
        <v>531</v>
      </c>
      <c r="T3" s="516"/>
      <c r="U3" s="516"/>
      <c r="V3" s="519"/>
      <c r="W3" s="516" t="s">
        <v>532</v>
      </c>
      <c r="X3" s="516"/>
      <c r="Y3" s="519"/>
      <c r="Z3" s="516" t="s">
        <v>533</v>
      </c>
      <c r="AA3" s="516"/>
      <c r="AB3" s="519"/>
      <c r="AC3" s="516" t="s">
        <v>534</v>
      </c>
      <c r="AD3" s="516"/>
      <c r="AE3" s="519"/>
      <c r="AF3" s="516" t="s">
        <v>535</v>
      </c>
      <c r="AG3" s="516"/>
      <c r="AH3" s="516"/>
      <c r="AI3" s="515"/>
    </row>
    <row r="4" spans="1:235" s="287" customFormat="1" ht="27.6" x14ac:dyDescent="0.3">
      <c r="A4" s="283" t="s">
        <v>536</v>
      </c>
      <c r="B4" s="283" t="s">
        <v>537</v>
      </c>
      <c r="C4" s="283" t="s">
        <v>538</v>
      </c>
      <c r="D4" s="283" t="s">
        <v>539</v>
      </c>
      <c r="E4" s="283" t="s">
        <v>540</v>
      </c>
      <c r="F4" s="283" t="s">
        <v>541</v>
      </c>
      <c r="G4" s="283" t="s">
        <v>542</v>
      </c>
      <c r="H4" s="283" t="s">
        <v>0</v>
      </c>
      <c r="I4" s="283" t="s">
        <v>543</v>
      </c>
      <c r="J4" s="283" t="s">
        <v>544</v>
      </c>
      <c r="K4" s="283" t="s">
        <v>545</v>
      </c>
      <c r="L4" s="283" t="s">
        <v>546</v>
      </c>
      <c r="M4" s="283" t="s">
        <v>547</v>
      </c>
      <c r="N4" s="283" t="s">
        <v>548</v>
      </c>
      <c r="O4" s="283" t="s">
        <v>549</v>
      </c>
      <c r="P4" s="284" t="s">
        <v>550</v>
      </c>
      <c r="Q4" s="283" t="s">
        <v>551</v>
      </c>
      <c r="R4" s="283" t="s">
        <v>556</v>
      </c>
      <c r="S4" s="283" t="s">
        <v>557</v>
      </c>
      <c r="T4" s="283" t="s">
        <v>558</v>
      </c>
      <c r="U4" s="285" t="s">
        <v>559</v>
      </c>
      <c r="V4" s="283" t="s">
        <v>560</v>
      </c>
      <c r="W4" s="283" t="s">
        <v>561</v>
      </c>
      <c r="X4" s="285" t="s">
        <v>562</v>
      </c>
      <c r="Y4" s="283" t="s">
        <v>563</v>
      </c>
      <c r="Z4" s="283" t="s">
        <v>564</v>
      </c>
      <c r="AA4" s="285" t="s">
        <v>565</v>
      </c>
      <c r="AB4" s="283" t="s">
        <v>566</v>
      </c>
      <c r="AC4" s="283" t="s">
        <v>567</v>
      </c>
      <c r="AD4" s="285" t="s">
        <v>568</v>
      </c>
      <c r="AE4" s="283" t="s">
        <v>569</v>
      </c>
      <c r="AF4" s="283" t="s">
        <v>570</v>
      </c>
      <c r="AG4" s="283" t="s">
        <v>571</v>
      </c>
      <c r="AH4" s="286" t="s">
        <v>572</v>
      </c>
      <c r="AI4" s="405" t="s">
        <v>573</v>
      </c>
      <c r="AJ4" s="403"/>
      <c r="AK4" s="403"/>
      <c r="AL4" s="403"/>
      <c r="AM4" s="403"/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  <c r="IA4" s="403"/>
    </row>
    <row r="5" spans="1:235" s="309" customFormat="1" ht="15" customHeight="1" x14ac:dyDescent="0.3">
      <c r="A5" s="231">
        <v>1.01</v>
      </c>
      <c r="B5" s="288" t="s">
        <v>574</v>
      </c>
      <c r="C5" s="289" t="str">
        <f>VLOOKUP(BD.PD[[#This Row],[Pos]],PPto[],3,FALSE)</f>
        <v>1.01 Diseño arquitectónico</v>
      </c>
      <c r="D5" s="290" t="s">
        <v>574</v>
      </c>
      <c r="E5" s="291">
        <f>IF(BD.PD[[#This Row],[.]]="*",VLOOKUP(BD.PD[[#This Row],[Pos]],Presupuesto!A:H,7,FALSE),"")</f>
        <v>0</v>
      </c>
      <c r="F5" s="292"/>
      <c r="G5" s="292" t="s">
        <v>575</v>
      </c>
      <c r="H5" s="292"/>
      <c r="I5" s="293">
        <v>1</v>
      </c>
      <c r="J5" s="290" t="s">
        <v>456</v>
      </c>
      <c r="K5" s="294">
        <f>IF(BD.PD[[#This Row],[Mon]]="DOP",1,HLOOKUP(BD.PD[[#This Row],[Mon]],$J$1:$K$2,2,FALSE))</f>
        <v>63</v>
      </c>
      <c r="L5" s="295"/>
      <c r="M5" s="296">
        <f>BD.PD[[#This Row],[Cant.]]*BD.PD[[#This Row],[ Tasa ]]*BD.PD[[#This Row],[ Precio Und.]]</f>
        <v>0</v>
      </c>
      <c r="N5" s="297">
        <v>0</v>
      </c>
      <c r="O5" s="296">
        <f>IF(BD.PD[[#This Row],[Liquid. '[%']]]&lt;&gt;0,(BD.PD[[#This Row],[Valor Neto '[DOP']]]*BD.PD[[#This Row],[Liquid. '[%']]])+BD.PD[[#This Row],[Valor Neto '[DOP']]],BD.PD[[#This Row],[Valor Neto '[DOP']]])</f>
        <v>0</v>
      </c>
      <c r="P5" s="298">
        <f>BD.PD[[#This Row],[Ppto. Orden Interna '[DOP']]]/HLOOKUP("USD",$J$1:$K$2,2,FALSE)</f>
        <v>0</v>
      </c>
      <c r="Q5" s="299"/>
      <c r="R5" s="292"/>
      <c r="S5" s="300"/>
      <c r="T5" s="301"/>
      <c r="U5" s="302">
        <f>BD.PD[[#This Row],[Av.P1 '[%']]]*BD.PD[[#This Row],[Ppto. Orden Interna '[DOP']]]</f>
        <v>0</v>
      </c>
      <c r="V5" s="303"/>
      <c r="W5" s="304"/>
      <c r="X5" s="302">
        <f>BD.PD[[#This Row],[Av.P2 '[%']]]*BD.PD[[#This Row],[Ppto. Orden Interna '[DOP']]]</f>
        <v>0</v>
      </c>
      <c r="Y5" s="303"/>
      <c r="Z5" s="304"/>
      <c r="AA5" s="302">
        <f>BD.PD[[#This Row],[Av.P3 '[%']]]*BD.PD[[#This Row],[Ppto. Orden Interna '[DOP']]]</f>
        <v>0</v>
      </c>
      <c r="AB5" s="303"/>
      <c r="AC5" s="304"/>
      <c r="AD5" s="302">
        <f>BD.PD[[#This Row],[Av.P4 '[%']]]*BD.PD[[#This Row],[Ppto. Orden Interna '[DOP']]]</f>
        <v>0</v>
      </c>
      <c r="AE5" s="303"/>
      <c r="AF5" s="304"/>
      <c r="AG5" s="302">
        <f>BD.PD[[#This Row],[Av.P5 '[%']]]*BD.PD[[#This Row],[Ppto. Orden Interna '[DOP']]]</f>
        <v>0</v>
      </c>
      <c r="AH5" s="305">
        <f>BD.PD[[#This Row],[Pago 5]]+BD.PD[[#This Row],[Pago 4]]+BD.PD[[#This Row],[Pago 3]]+BD.PD[[#This Row],[Pago 2]]+BD.PD[[#This Row],[Pago 1]]</f>
        <v>0</v>
      </c>
      <c r="AI5" s="404"/>
      <c r="AJ5" s="404"/>
      <c r="AK5" s="404"/>
      <c r="AL5" s="404"/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  <c r="IA5" s="404"/>
    </row>
    <row r="6" spans="1:235" s="309" customFormat="1" ht="15" customHeight="1" x14ac:dyDescent="0.3">
      <c r="A6" s="231">
        <v>1.02</v>
      </c>
      <c r="B6" s="288" t="s">
        <v>574</v>
      </c>
      <c r="C6" s="289" t="str">
        <f>VLOOKUP(BD.PD[[#This Row],[Pos]],PPto[],3,FALSE)</f>
        <v>1.02 Diseño estructural</v>
      </c>
      <c r="D6" s="290" t="s">
        <v>574</v>
      </c>
      <c r="E6" s="291">
        <f>IF(BD.PD[[#This Row],[.]]="*",VLOOKUP(BD.PD[[#This Row],[Pos]],Presupuesto!A:H,7,FALSE),"")</f>
        <v>0</v>
      </c>
      <c r="F6" s="292"/>
      <c r="G6" s="292" t="s">
        <v>575</v>
      </c>
      <c r="H6" s="292"/>
      <c r="I6" s="293">
        <v>1</v>
      </c>
      <c r="J6" s="290" t="s">
        <v>456</v>
      </c>
      <c r="K6" s="294">
        <f>IF(BD.PD[[#This Row],[Mon]]="DOP",1,HLOOKUP(BD.PD[[#This Row],[Mon]],$J$1:$K$2,2,FALSE))</f>
        <v>63</v>
      </c>
      <c r="L6" s="295">
        <v>0</v>
      </c>
      <c r="M6" s="296">
        <f>BD.PD[[#This Row],[Cant.]]*BD.PD[[#This Row],[ Tasa ]]*BD.PD[[#This Row],[ Precio Und.]]</f>
        <v>0</v>
      </c>
      <c r="N6" s="297">
        <v>0</v>
      </c>
      <c r="O6" s="296">
        <f>IF(BD.PD[[#This Row],[Liquid. '[%']]]&lt;&gt;0,(BD.PD[[#This Row],[Valor Neto '[DOP']]]*BD.PD[[#This Row],[Liquid. '[%']]])+BD.PD[[#This Row],[Valor Neto '[DOP']]],BD.PD[[#This Row],[Valor Neto '[DOP']]])</f>
        <v>0</v>
      </c>
      <c r="P6" s="298">
        <f>BD.PD[[#This Row],[Ppto. Orden Interna '[DOP']]]/HLOOKUP("USD",$J$1:$K$2,2,FALSE)</f>
        <v>0</v>
      </c>
      <c r="Q6" s="299"/>
      <c r="R6" s="292"/>
      <c r="S6" s="300"/>
      <c r="T6" s="301"/>
      <c r="U6" s="302">
        <f>BD.PD[[#This Row],[Av.P1 '[%']]]*BD.PD[[#This Row],[Ppto. Orden Interna '[DOP']]]</f>
        <v>0</v>
      </c>
      <c r="V6" s="303"/>
      <c r="W6" s="304"/>
      <c r="X6" s="302">
        <f>BD.PD[[#This Row],[Av.P2 '[%']]]*BD.PD[[#This Row],[Ppto. Orden Interna '[DOP']]]</f>
        <v>0</v>
      </c>
      <c r="Y6" s="303"/>
      <c r="Z6" s="304"/>
      <c r="AA6" s="302">
        <f>BD.PD[[#This Row],[Av.P3 '[%']]]*BD.PD[[#This Row],[Ppto. Orden Interna '[DOP']]]</f>
        <v>0</v>
      </c>
      <c r="AB6" s="303"/>
      <c r="AC6" s="304"/>
      <c r="AD6" s="302">
        <f>BD.PD[[#This Row],[Av.P4 '[%']]]*BD.PD[[#This Row],[Ppto. Orden Interna '[DOP']]]</f>
        <v>0</v>
      </c>
      <c r="AE6" s="303"/>
      <c r="AF6" s="304"/>
      <c r="AG6" s="302">
        <f>BD.PD[[#This Row],[Av.P5 '[%']]]*BD.PD[[#This Row],[Ppto. Orden Interna '[DOP']]]</f>
        <v>0</v>
      </c>
      <c r="AH6" s="305">
        <f>BD.PD[[#This Row],[Pago 5]]+BD.PD[[#This Row],[Pago 4]]+BD.PD[[#This Row],[Pago 3]]+BD.PD[[#This Row],[Pago 2]]+BD.PD[[#This Row],[Pago 1]]</f>
        <v>0</v>
      </c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4"/>
      <c r="BM6" s="404"/>
      <c r="BN6" s="404"/>
      <c r="BO6" s="404"/>
      <c r="BP6" s="404"/>
      <c r="BQ6" s="404"/>
      <c r="BR6" s="404"/>
      <c r="BS6" s="404"/>
      <c r="BT6" s="404"/>
      <c r="BU6" s="404"/>
      <c r="BV6" s="404"/>
      <c r="BW6" s="404"/>
      <c r="BX6" s="404"/>
      <c r="BY6" s="404"/>
      <c r="BZ6" s="404"/>
      <c r="CA6" s="404"/>
      <c r="CB6" s="404"/>
      <c r="CC6" s="404"/>
      <c r="CD6" s="404"/>
      <c r="CE6" s="404"/>
      <c r="CF6" s="404"/>
      <c r="CG6" s="404"/>
      <c r="CH6" s="404"/>
      <c r="CI6" s="404"/>
      <c r="CJ6" s="404"/>
      <c r="CK6" s="404"/>
      <c r="CL6" s="404"/>
      <c r="CM6" s="404"/>
      <c r="CN6" s="404"/>
      <c r="CO6" s="404"/>
      <c r="CP6" s="404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4"/>
      <c r="DE6" s="404"/>
      <c r="DF6" s="404"/>
      <c r="DG6" s="404"/>
      <c r="DH6" s="404"/>
      <c r="DI6" s="404"/>
      <c r="DJ6" s="404"/>
      <c r="DK6" s="404"/>
      <c r="DL6" s="404"/>
      <c r="DM6" s="404"/>
      <c r="DN6" s="404"/>
      <c r="DO6" s="404"/>
      <c r="DP6" s="404"/>
      <c r="DQ6" s="404"/>
      <c r="DR6" s="404"/>
      <c r="DS6" s="404"/>
      <c r="DT6" s="404"/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EZ6" s="404"/>
      <c r="FA6" s="404"/>
      <c r="FB6" s="404"/>
      <c r="FC6" s="404"/>
      <c r="FD6" s="404"/>
      <c r="FE6" s="404"/>
      <c r="FF6" s="404"/>
      <c r="FG6" s="404"/>
      <c r="FH6" s="404"/>
      <c r="FI6" s="404"/>
      <c r="FJ6" s="404"/>
      <c r="FK6" s="404"/>
      <c r="FL6" s="404"/>
      <c r="FM6" s="404"/>
      <c r="FN6" s="404"/>
      <c r="FO6" s="404"/>
      <c r="FP6" s="404"/>
      <c r="FQ6" s="404"/>
      <c r="FR6" s="404"/>
      <c r="FS6" s="404"/>
      <c r="FT6" s="404"/>
      <c r="FU6" s="404"/>
      <c r="FV6" s="404"/>
      <c r="FW6" s="404"/>
      <c r="FX6" s="404"/>
      <c r="FY6" s="404"/>
      <c r="FZ6" s="404"/>
      <c r="GA6" s="404"/>
      <c r="GB6" s="404"/>
      <c r="GC6" s="404"/>
      <c r="GD6" s="404"/>
      <c r="GE6" s="404"/>
      <c r="GF6" s="404"/>
      <c r="GG6" s="404"/>
      <c r="GH6" s="404"/>
      <c r="GI6" s="404"/>
      <c r="GJ6" s="404"/>
      <c r="GK6" s="404"/>
      <c r="GL6" s="404"/>
      <c r="GM6" s="404"/>
      <c r="GN6" s="404"/>
      <c r="GO6" s="404"/>
      <c r="GP6" s="404"/>
      <c r="GQ6" s="404"/>
      <c r="GR6" s="404"/>
      <c r="GS6" s="404"/>
      <c r="GT6" s="404"/>
      <c r="GU6" s="404"/>
      <c r="GV6" s="404"/>
      <c r="GW6" s="404"/>
      <c r="GX6" s="404"/>
      <c r="GY6" s="404"/>
      <c r="GZ6" s="404"/>
      <c r="HA6" s="404"/>
      <c r="HB6" s="404"/>
      <c r="HC6" s="404"/>
      <c r="HD6" s="404"/>
      <c r="HE6" s="404"/>
      <c r="HF6" s="404"/>
      <c r="HG6" s="404"/>
      <c r="HH6" s="404"/>
      <c r="HI6" s="404"/>
      <c r="HJ6" s="404"/>
      <c r="HK6" s="404"/>
      <c r="HL6" s="404"/>
      <c r="HM6" s="404"/>
      <c r="HN6" s="404"/>
      <c r="HO6" s="404"/>
      <c r="HP6" s="404"/>
      <c r="HQ6" s="404"/>
      <c r="HR6" s="404"/>
      <c r="HS6" s="404"/>
      <c r="HT6" s="404"/>
      <c r="HU6" s="404"/>
      <c r="HV6" s="404"/>
      <c r="HW6" s="404"/>
      <c r="HX6" s="404"/>
      <c r="HY6" s="404"/>
      <c r="HZ6" s="404"/>
      <c r="IA6" s="404"/>
    </row>
    <row r="7" spans="1:235" s="309" customFormat="1" ht="15" customHeight="1" x14ac:dyDescent="0.3">
      <c r="A7" s="231">
        <v>1.03</v>
      </c>
      <c r="B7" s="288" t="s">
        <v>574</v>
      </c>
      <c r="C7" s="289" t="str">
        <f>VLOOKUP(BD.PD[[#This Row],[Pos]],PPto[],3,FALSE)</f>
        <v>1.03 Diseño electromecánico</v>
      </c>
      <c r="D7" s="290" t="s">
        <v>574</v>
      </c>
      <c r="E7" s="291">
        <f>IF(BD.PD[[#This Row],[.]]="*",VLOOKUP(BD.PD[[#This Row],[Pos]],Presupuesto!A:H,7,FALSE),"")</f>
        <v>0</v>
      </c>
      <c r="F7" s="292"/>
      <c r="G7" s="292" t="s">
        <v>575</v>
      </c>
      <c r="H7" s="292"/>
      <c r="I7" s="293">
        <v>1</v>
      </c>
      <c r="J7" s="290" t="s">
        <v>456</v>
      </c>
      <c r="K7" s="294">
        <f>IF(BD.PD[[#This Row],[Mon]]="DOP",1,HLOOKUP(BD.PD[[#This Row],[Mon]],$J$1:$K$2,2,FALSE))</f>
        <v>63</v>
      </c>
      <c r="L7" s="295">
        <v>0</v>
      </c>
      <c r="M7" s="296">
        <f>BD.PD[[#This Row],[Cant.]]*BD.PD[[#This Row],[ Tasa ]]*BD.PD[[#This Row],[ Precio Und.]]</f>
        <v>0</v>
      </c>
      <c r="N7" s="297">
        <v>0</v>
      </c>
      <c r="O7" s="296">
        <f>IF(BD.PD[[#This Row],[Liquid. '[%']]]&lt;&gt;0,(BD.PD[[#This Row],[Valor Neto '[DOP']]]*BD.PD[[#This Row],[Liquid. '[%']]])+BD.PD[[#This Row],[Valor Neto '[DOP']]],BD.PD[[#This Row],[Valor Neto '[DOP']]])</f>
        <v>0</v>
      </c>
      <c r="P7" s="298">
        <f>BD.PD[[#This Row],[Ppto. Orden Interna '[DOP']]]/HLOOKUP("USD",$J$1:$K$2,2,FALSE)</f>
        <v>0</v>
      </c>
      <c r="Q7" s="299"/>
      <c r="R7" s="292"/>
      <c r="S7" s="300"/>
      <c r="T7" s="301"/>
      <c r="U7" s="302">
        <f>BD.PD[[#This Row],[Av.P1 '[%']]]*BD.PD[[#This Row],[Ppto. Orden Interna '[DOP']]]</f>
        <v>0</v>
      </c>
      <c r="V7" s="303"/>
      <c r="W7" s="304"/>
      <c r="X7" s="302">
        <f>BD.PD[[#This Row],[Av.P2 '[%']]]*BD.PD[[#This Row],[Ppto. Orden Interna '[DOP']]]</f>
        <v>0</v>
      </c>
      <c r="Y7" s="303"/>
      <c r="Z7" s="304"/>
      <c r="AA7" s="302">
        <f>BD.PD[[#This Row],[Av.P3 '[%']]]*BD.PD[[#This Row],[Ppto. Orden Interna '[DOP']]]</f>
        <v>0</v>
      </c>
      <c r="AB7" s="303"/>
      <c r="AC7" s="304"/>
      <c r="AD7" s="302">
        <f>BD.PD[[#This Row],[Av.P4 '[%']]]*BD.PD[[#This Row],[Ppto. Orden Interna '[DOP']]]</f>
        <v>0</v>
      </c>
      <c r="AE7" s="303"/>
      <c r="AF7" s="304"/>
      <c r="AG7" s="302">
        <f>BD.PD[[#This Row],[Av.P5 '[%']]]*BD.PD[[#This Row],[Ppto. Orden Interna '[DOP']]]</f>
        <v>0</v>
      </c>
      <c r="AH7" s="305">
        <f>BD.PD[[#This Row],[Pago 5]]+BD.PD[[#This Row],[Pago 4]]+BD.PD[[#This Row],[Pago 3]]+BD.PD[[#This Row],[Pago 2]]+BD.PD[[#This Row],[Pago 1]]</f>
        <v>0</v>
      </c>
      <c r="AI7" s="404"/>
      <c r="AJ7" s="404"/>
      <c r="AK7" s="404"/>
      <c r="AL7" s="404"/>
      <c r="AM7" s="404"/>
      <c r="AN7" s="404"/>
      <c r="AO7" s="404"/>
      <c r="AP7" s="404"/>
      <c r="AQ7" s="404"/>
      <c r="AR7" s="404"/>
      <c r="AS7" s="404"/>
      <c r="AT7" s="404"/>
      <c r="AU7" s="404"/>
      <c r="AV7" s="404"/>
      <c r="AW7" s="404"/>
      <c r="AX7" s="404"/>
      <c r="AY7" s="404"/>
      <c r="AZ7" s="404"/>
      <c r="BA7" s="404"/>
      <c r="BB7" s="404"/>
      <c r="BC7" s="404"/>
      <c r="BD7" s="404"/>
      <c r="BE7" s="404"/>
      <c r="BF7" s="404"/>
      <c r="BG7" s="404"/>
      <c r="BH7" s="404"/>
      <c r="BI7" s="404"/>
      <c r="BJ7" s="404"/>
      <c r="BK7" s="404"/>
      <c r="BL7" s="404"/>
      <c r="BM7" s="404"/>
      <c r="BN7" s="404"/>
      <c r="BO7" s="404"/>
      <c r="BP7" s="404"/>
      <c r="BQ7" s="404"/>
      <c r="BR7" s="404"/>
      <c r="BS7" s="404"/>
      <c r="BT7" s="404"/>
      <c r="BU7" s="404"/>
      <c r="BV7" s="404"/>
      <c r="BW7" s="404"/>
      <c r="BX7" s="404"/>
      <c r="BY7" s="404"/>
      <c r="BZ7" s="404"/>
      <c r="CA7" s="404"/>
      <c r="CB7" s="404"/>
      <c r="CC7" s="404"/>
      <c r="CD7" s="404"/>
      <c r="CE7" s="404"/>
      <c r="CF7" s="404"/>
      <c r="CG7" s="404"/>
      <c r="CH7" s="404"/>
      <c r="CI7" s="404"/>
      <c r="CJ7" s="404"/>
      <c r="CK7" s="404"/>
      <c r="CL7" s="404"/>
      <c r="CM7" s="404"/>
      <c r="CN7" s="404"/>
      <c r="CO7" s="404"/>
      <c r="CP7" s="404"/>
      <c r="CQ7" s="404"/>
      <c r="CR7" s="404"/>
      <c r="CS7" s="404"/>
      <c r="CT7" s="404"/>
      <c r="CU7" s="404"/>
      <c r="CV7" s="404"/>
      <c r="CW7" s="404"/>
      <c r="CX7" s="404"/>
      <c r="CY7" s="404"/>
      <c r="CZ7" s="404"/>
      <c r="DA7" s="404"/>
      <c r="DB7" s="404"/>
      <c r="DC7" s="404"/>
      <c r="DD7" s="404"/>
      <c r="DE7" s="404"/>
      <c r="DF7" s="404"/>
      <c r="DG7" s="404"/>
      <c r="DH7" s="404"/>
      <c r="DI7" s="404"/>
      <c r="DJ7" s="404"/>
      <c r="DK7" s="404"/>
      <c r="DL7" s="404"/>
      <c r="DM7" s="404"/>
      <c r="DN7" s="404"/>
      <c r="DO7" s="404"/>
      <c r="DP7" s="404"/>
      <c r="DQ7" s="404"/>
      <c r="DR7" s="404"/>
      <c r="DS7" s="404"/>
      <c r="DT7" s="404"/>
      <c r="DU7" s="404"/>
      <c r="DV7" s="404"/>
      <c r="DW7" s="404"/>
      <c r="DX7" s="404"/>
      <c r="DY7" s="404"/>
      <c r="DZ7" s="404"/>
      <c r="EA7" s="404"/>
      <c r="EB7" s="404"/>
      <c r="EC7" s="404"/>
      <c r="ED7" s="404"/>
      <c r="EE7" s="404"/>
      <c r="EF7" s="404"/>
      <c r="EG7" s="404"/>
      <c r="EH7" s="404"/>
      <c r="EI7" s="404"/>
      <c r="EJ7" s="404"/>
      <c r="EK7" s="404"/>
      <c r="EL7" s="404"/>
      <c r="EM7" s="404"/>
      <c r="EN7" s="404"/>
      <c r="EO7" s="404"/>
      <c r="EP7" s="404"/>
      <c r="EQ7" s="404"/>
      <c r="ER7" s="404"/>
      <c r="ES7" s="404"/>
      <c r="ET7" s="404"/>
      <c r="EU7" s="404"/>
      <c r="EV7" s="404"/>
      <c r="EW7" s="404"/>
      <c r="EX7" s="404"/>
      <c r="EY7" s="404"/>
      <c r="EZ7" s="404"/>
      <c r="FA7" s="404"/>
      <c r="FB7" s="404"/>
      <c r="FC7" s="404"/>
      <c r="FD7" s="404"/>
      <c r="FE7" s="404"/>
      <c r="FF7" s="404"/>
      <c r="FG7" s="404"/>
      <c r="FH7" s="404"/>
      <c r="FI7" s="404"/>
      <c r="FJ7" s="404"/>
      <c r="FK7" s="404"/>
      <c r="FL7" s="404"/>
      <c r="FM7" s="404"/>
      <c r="FN7" s="404"/>
      <c r="FO7" s="404"/>
      <c r="FP7" s="404"/>
      <c r="FQ7" s="404"/>
      <c r="FR7" s="404"/>
      <c r="FS7" s="404"/>
      <c r="FT7" s="404"/>
      <c r="FU7" s="404"/>
      <c r="FV7" s="404"/>
      <c r="FW7" s="404"/>
      <c r="FX7" s="404"/>
      <c r="FY7" s="404"/>
      <c r="FZ7" s="404"/>
      <c r="GA7" s="404"/>
      <c r="GB7" s="404"/>
      <c r="GC7" s="404"/>
      <c r="GD7" s="404"/>
      <c r="GE7" s="404"/>
      <c r="GF7" s="404"/>
      <c r="GG7" s="404"/>
      <c r="GH7" s="404"/>
      <c r="GI7" s="404"/>
      <c r="GJ7" s="404"/>
      <c r="GK7" s="404"/>
      <c r="GL7" s="404"/>
      <c r="GM7" s="404"/>
      <c r="GN7" s="404"/>
      <c r="GO7" s="404"/>
      <c r="GP7" s="404"/>
      <c r="GQ7" s="404"/>
      <c r="GR7" s="404"/>
      <c r="GS7" s="404"/>
      <c r="GT7" s="404"/>
      <c r="GU7" s="404"/>
      <c r="GV7" s="404"/>
      <c r="GW7" s="404"/>
      <c r="GX7" s="404"/>
      <c r="GY7" s="404"/>
      <c r="GZ7" s="404"/>
      <c r="HA7" s="404"/>
      <c r="HB7" s="404"/>
      <c r="HC7" s="404"/>
      <c r="HD7" s="404"/>
      <c r="HE7" s="404"/>
      <c r="HF7" s="404"/>
      <c r="HG7" s="404"/>
      <c r="HH7" s="404"/>
      <c r="HI7" s="404"/>
      <c r="HJ7" s="404"/>
      <c r="HK7" s="404"/>
      <c r="HL7" s="404"/>
      <c r="HM7" s="404"/>
      <c r="HN7" s="404"/>
      <c r="HO7" s="404"/>
      <c r="HP7" s="404"/>
      <c r="HQ7" s="404"/>
      <c r="HR7" s="404"/>
      <c r="HS7" s="404"/>
      <c r="HT7" s="404"/>
      <c r="HU7" s="404"/>
      <c r="HV7" s="404"/>
      <c r="HW7" s="404"/>
      <c r="HX7" s="404"/>
      <c r="HY7" s="404"/>
      <c r="HZ7" s="404"/>
      <c r="IA7" s="404"/>
    </row>
    <row r="8" spans="1:235" s="309" customFormat="1" ht="15" customHeight="1" x14ac:dyDescent="0.3">
      <c r="A8" s="231">
        <v>1.04</v>
      </c>
      <c r="B8" s="288" t="s">
        <v>574</v>
      </c>
      <c r="C8" s="289" t="str">
        <f>VLOOKUP(BD.PD[[#This Row],[Pos]],PPto[],3,FALSE)</f>
        <v>1.04 Diseño sanitario</v>
      </c>
      <c r="D8" s="290" t="s">
        <v>574</v>
      </c>
      <c r="E8" s="291">
        <f>IF(BD.PD[[#This Row],[.]]="*",VLOOKUP(BD.PD[[#This Row],[Pos]],Presupuesto!A:H,7,FALSE),"")</f>
        <v>0</v>
      </c>
      <c r="F8" s="292"/>
      <c r="G8" s="292" t="s">
        <v>575</v>
      </c>
      <c r="H8" s="292"/>
      <c r="I8" s="293">
        <v>1</v>
      </c>
      <c r="J8" s="290" t="s">
        <v>456</v>
      </c>
      <c r="K8" s="294">
        <f>IF(BD.PD[[#This Row],[Mon]]="DOP",1,HLOOKUP(BD.PD[[#This Row],[Mon]],$J$1:$K$2,2,FALSE))</f>
        <v>63</v>
      </c>
      <c r="L8" s="295">
        <v>0</v>
      </c>
      <c r="M8" s="296">
        <f>BD.PD[[#This Row],[Cant.]]*BD.PD[[#This Row],[ Tasa ]]*BD.PD[[#This Row],[ Precio Und.]]</f>
        <v>0</v>
      </c>
      <c r="N8" s="297">
        <v>0</v>
      </c>
      <c r="O8" s="296">
        <f>IF(BD.PD[[#This Row],[Liquid. '[%']]]&lt;&gt;0,(BD.PD[[#This Row],[Valor Neto '[DOP']]]*BD.PD[[#This Row],[Liquid. '[%']]])+BD.PD[[#This Row],[Valor Neto '[DOP']]],BD.PD[[#This Row],[Valor Neto '[DOP']]])</f>
        <v>0</v>
      </c>
      <c r="P8" s="298">
        <f>BD.PD[[#This Row],[Ppto. Orden Interna '[DOP']]]/HLOOKUP("USD",$J$1:$K$2,2,FALSE)</f>
        <v>0</v>
      </c>
      <c r="Q8" s="299"/>
      <c r="R8" s="292"/>
      <c r="S8" s="300"/>
      <c r="T8" s="301"/>
      <c r="U8" s="302">
        <f>BD.PD[[#This Row],[Av.P1 '[%']]]*BD.PD[[#This Row],[Ppto. Orden Interna '[DOP']]]</f>
        <v>0</v>
      </c>
      <c r="V8" s="303"/>
      <c r="W8" s="304"/>
      <c r="X8" s="302">
        <f>BD.PD[[#This Row],[Av.P2 '[%']]]*BD.PD[[#This Row],[Ppto. Orden Interna '[DOP']]]</f>
        <v>0</v>
      </c>
      <c r="Y8" s="303"/>
      <c r="Z8" s="304"/>
      <c r="AA8" s="302">
        <f>BD.PD[[#This Row],[Av.P3 '[%']]]*BD.PD[[#This Row],[Ppto. Orden Interna '[DOP']]]</f>
        <v>0</v>
      </c>
      <c r="AB8" s="303"/>
      <c r="AC8" s="304"/>
      <c r="AD8" s="302">
        <f>BD.PD[[#This Row],[Av.P4 '[%']]]*BD.PD[[#This Row],[Ppto. Orden Interna '[DOP']]]</f>
        <v>0</v>
      </c>
      <c r="AE8" s="303"/>
      <c r="AF8" s="304"/>
      <c r="AG8" s="302">
        <f>BD.PD[[#This Row],[Av.P5 '[%']]]*BD.PD[[#This Row],[Ppto. Orden Interna '[DOP']]]</f>
        <v>0</v>
      </c>
      <c r="AH8" s="305">
        <f>BD.PD[[#This Row],[Pago 5]]+BD.PD[[#This Row],[Pago 4]]+BD.PD[[#This Row],[Pago 3]]+BD.PD[[#This Row],[Pago 2]]+BD.PD[[#This Row],[Pago 1]]</f>
        <v>0</v>
      </c>
      <c r="AI8" s="404"/>
      <c r="AJ8" s="404"/>
      <c r="AK8" s="404"/>
      <c r="AL8" s="404"/>
      <c r="AM8" s="404"/>
      <c r="AN8" s="404"/>
      <c r="AO8" s="404"/>
      <c r="AP8" s="404"/>
      <c r="AQ8" s="404"/>
      <c r="AR8" s="404"/>
      <c r="AS8" s="404"/>
      <c r="AT8" s="404"/>
      <c r="AU8" s="404"/>
      <c r="AV8" s="404"/>
      <c r="AW8" s="404"/>
      <c r="AX8" s="404"/>
      <c r="AY8" s="404"/>
      <c r="AZ8" s="404"/>
      <c r="BA8" s="404"/>
      <c r="BB8" s="404"/>
      <c r="BC8" s="404"/>
      <c r="BD8" s="404"/>
      <c r="BE8" s="404"/>
      <c r="BF8" s="404"/>
      <c r="BG8" s="404"/>
      <c r="BH8" s="404"/>
      <c r="BI8" s="404"/>
      <c r="BJ8" s="404"/>
      <c r="BK8" s="404"/>
      <c r="BL8" s="404"/>
      <c r="BM8" s="404"/>
      <c r="BN8" s="404"/>
      <c r="BO8" s="404"/>
      <c r="BP8" s="404"/>
      <c r="BQ8" s="404"/>
      <c r="BR8" s="404"/>
      <c r="BS8" s="404"/>
      <c r="BT8" s="404"/>
      <c r="BU8" s="404"/>
      <c r="BV8" s="404"/>
      <c r="BW8" s="404"/>
      <c r="BX8" s="404"/>
      <c r="BY8" s="404"/>
      <c r="BZ8" s="404"/>
      <c r="CA8" s="404"/>
      <c r="CB8" s="404"/>
      <c r="CC8" s="404"/>
      <c r="CD8" s="404"/>
      <c r="CE8" s="404"/>
      <c r="CF8" s="404"/>
      <c r="CG8" s="404"/>
      <c r="CH8" s="404"/>
      <c r="CI8" s="404"/>
      <c r="CJ8" s="404"/>
      <c r="CK8" s="404"/>
      <c r="CL8" s="404"/>
      <c r="CM8" s="404"/>
      <c r="CN8" s="404"/>
      <c r="CO8" s="404"/>
      <c r="CP8" s="404"/>
      <c r="CQ8" s="404"/>
      <c r="CR8" s="404"/>
      <c r="CS8" s="404"/>
      <c r="CT8" s="404"/>
      <c r="CU8" s="404"/>
      <c r="CV8" s="404"/>
      <c r="CW8" s="404"/>
      <c r="CX8" s="404"/>
      <c r="CY8" s="404"/>
      <c r="CZ8" s="404"/>
      <c r="DA8" s="404"/>
      <c r="DB8" s="404"/>
      <c r="DC8" s="404"/>
      <c r="DD8" s="404"/>
      <c r="DE8" s="404"/>
      <c r="DF8" s="404"/>
      <c r="DG8" s="404"/>
      <c r="DH8" s="404"/>
      <c r="DI8" s="404"/>
      <c r="DJ8" s="404"/>
      <c r="DK8" s="404"/>
      <c r="DL8" s="404"/>
      <c r="DM8" s="404"/>
      <c r="DN8" s="404"/>
      <c r="DO8" s="404"/>
      <c r="DP8" s="404"/>
      <c r="DQ8" s="404"/>
      <c r="DR8" s="404"/>
      <c r="DS8" s="404"/>
      <c r="DT8" s="404"/>
      <c r="DU8" s="404"/>
      <c r="DV8" s="404"/>
      <c r="DW8" s="404"/>
      <c r="DX8" s="404"/>
      <c r="DY8" s="404"/>
      <c r="DZ8" s="404"/>
      <c r="EA8" s="404"/>
      <c r="EB8" s="404"/>
      <c r="EC8" s="404"/>
      <c r="ED8" s="404"/>
      <c r="EE8" s="404"/>
      <c r="EF8" s="404"/>
      <c r="EG8" s="404"/>
      <c r="EH8" s="404"/>
      <c r="EI8" s="404"/>
      <c r="EJ8" s="404"/>
      <c r="EK8" s="404"/>
      <c r="EL8" s="404"/>
      <c r="EM8" s="404"/>
      <c r="EN8" s="404"/>
      <c r="EO8" s="404"/>
      <c r="EP8" s="404"/>
      <c r="EQ8" s="404"/>
      <c r="ER8" s="404"/>
      <c r="ES8" s="404"/>
      <c r="ET8" s="404"/>
      <c r="EU8" s="404"/>
      <c r="EV8" s="404"/>
      <c r="EW8" s="404"/>
      <c r="EX8" s="404"/>
      <c r="EY8" s="404"/>
      <c r="EZ8" s="404"/>
      <c r="FA8" s="404"/>
      <c r="FB8" s="404"/>
      <c r="FC8" s="404"/>
      <c r="FD8" s="404"/>
      <c r="FE8" s="404"/>
      <c r="FF8" s="404"/>
      <c r="FG8" s="404"/>
      <c r="FH8" s="404"/>
      <c r="FI8" s="404"/>
      <c r="FJ8" s="404"/>
      <c r="FK8" s="404"/>
      <c r="FL8" s="404"/>
      <c r="FM8" s="404"/>
      <c r="FN8" s="404"/>
      <c r="FO8" s="404"/>
      <c r="FP8" s="404"/>
      <c r="FQ8" s="404"/>
      <c r="FR8" s="404"/>
      <c r="FS8" s="404"/>
      <c r="FT8" s="404"/>
      <c r="FU8" s="404"/>
      <c r="FV8" s="404"/>
      <c r="FW8" s="404"/>
      <c r="FX8" s="404"/>
      <c r="FY8" s="404"/>
      <c r="FZ8" s="404"/>
      <c r="GA8" s="404"/>
      <c r="GB8" s="404"/>
      <c r="GC8" s="404"/>
      <c r="GD8" s="404"/>
      <c r="GE8" s="404"/>
      <c r="GF8" s="404"/>
      <c r="GG8" s="404"/>
      <c r="GH8" s="404"/>
      <c r="GI8" s="404"/>
      <c r="GJ8" s="404"/>
      <c r="GK8" s="404"/>
      <c r="GL8" s="404"/>
      <c r="GM8" s="404"/>
      <c r="GN8" s="404"/>
      <c r="GO8" s="404"/>
      <c r="GP8" s="404"/>
      <c r="GQ8" s="404"/>
      <c r="GR8" s="404"/>
      <c r="GS8" s="404"/>
      <c r="GT8" s="404"/>
      <c r="GU8" s="404"/>
      <c r="GV8" s="404"/>
      <c r="GW8" s="404"/>
      <c r="GX8" s="404"/>
      <c r="GY8" s="404"/>
      <c r="GZ8" s="404"/>
      <c r="HA8" s="404"/>
      <c r="HB8" s="404"/>
      <c r="HC8" s="404"/>
      <c r="HD8" s="404"/>
      <c r="HE8" s="404"/>
      <c r="HF8" s="404"/>
      <c r="HG8" s="404"/>
      <c r="HH8" s="404"/>
      <c r="HI8" s="404"/>
      <c r="HJ8" s="404"/>
      <c r="HK8" s="404"/>
      <c r="HL8" s="404"/>
      <c r="HM8" s="404"/>
      <c r="HN8" s="404"/>
      <c r="HO8" s="404"/>
      <c r="HP8" s="404"/>
      <c r="HQ8" s="404"/>
      <c r="HR8" s="404"/>
      <c r="HS8" s="404"/>
      <c r="HT8" s="404"/>
      <c r="HU8" s="404"/>
      <c r="HV8" s="404"/>
      <c r="HW8" s="404"/>
      <c r="HX8" s="404"/>
      <c r="HY8" s="404"/>
      <c r="HZ8" s="404"/>
      <c r="IA8" s="404"/>
    </row>
    <row r="9" spans="1:235" s="309" customFormat="1" ht="15" customHeight="1" x14ac:dyDescent="0.3">
      <c r="A9" s="231">
        <v>1.05</v>
      </c>
      <c r="B9" s="288" t="s">
        <v>574</v>
      </c>
      <c r="C9" s="289" t="str">
        <f>VLOOKUP(BD.PD[[#This Row],[Pos]],PPto[],3,FALSE)</f>
        <v>1.05 Estudio Geotécnico</v>
      </c>
      <c r="D9" s="290">
        <v>0</v>
      </c>
      <c r="E9" s="291">
        <f>IF(BD.PD[[#This Row],[.]]="*",VLOOKUP(BD.PD[[#This Row],[Pos]],Presupuesto!A:H,7,FALSE),"")</f>
        <v>0</v>
      </c>
      <c r="F9" s="292"/>
      <c r="G9" s="292" t="s">
        <v>575</v>
      </c>
      <c r="H9" s="292"/>
      <c r="I9" s="293">
        <v>1</v>
      </c>
      <c r="J9" s="290" t="s">
        <v>456</v>
      </c>
      <c r="K9" s="294">
        <f>IF(BD.PD[[#This Row],[Mon]]="DOP",1,HLOOKUP(BD.PD[[#This Row],[Mon]],$J$1:$K$2,2,FALSE))</f>
        <v>63</v>
      </c>
      <c r="L9" s="295">
        <v>0</v>
      </c>
      <c r="M9" s="296">
        <f>BD.PD[[#This Row],[Cant.]]*BD.PD[[#This Row],[ Tasa ]]*BD.PD[[#This Row],[ Precio Und.]]</f>
        <v>0</v>
      </c>
      <c r="N9" s="297">
        <v>0</v>
      </c>
      <c r="O9" s="296">
        <f>IF(BD.PD[[#This Row],[Liquid. '[%']]]&lt;&gt;0,(BD.PD[[#This Row],[Valor Neto '[DOP']]]*BD.PD[[#This Row],[Liquid. '[%']]])+BD.PD[[#This Row],[Valor Neto '[DOP']]],BD.PD[[#This Row],[Valor Neto '[DOP']]])</f>
        <v>0</v>
      </c>
      <c r="P9" s="298">
        <f>BD.PD[[#This Row],[Ppto. Orden Interna '[DOP']]]/HLOOKUP("USD",$J$1:$K$2,2,FALSE)</f>
        <v>0</v>
      </c>
      <c r="Q9" s="299"/>
      <c r="R9" s="292"/>
      <c r="S9" s="300"/>
      <c r="T9" s="301"/>
      <c r="U9" s="302">
        <f>BD.PD[[#This Row],[Av.P1 '[%']]]*BD.PD[[#This Row],[Ppto. Orden Interna '[DOP']]]</f>
        <v>0</v>
      </c>
      <c r="V9" s="303"/>
      <c r="W9" s="304"/>
      <c r="X9" s="302">
        <f>BD.PD[[#This Row],[Av.P2 '[%']]]*BD.PD[[#This Row],[Ppto. Orden Interna '[DOP']]]</f>
        <v>0</v>
      </c>
      <c r="Y9" s="303"/>
      <c r="Z9" s="304"/>
      <c r="AA9" s="302">
        <f>BD.PD[[#This Row],[Av.P3 '[%']]]*BD.PD[[#This Row],[Ppto. Orden Interna '[DOP']]]</f>
        <v>0</v>
      </c>
      <c r="AB9" s="303"/>
      <c r="AC9" s="304"/>
      <c r="AD9" s="302">
        <f>BD.PD[[#This Row],[Av.P4 '[%']]]*BD.PD[[#This Row],[Ppto. Orden Interna '[DOP']]]</f>
        <v>0</v>
      </c>
      <c r="AE9" s="303"/>
      <c r="AF9" s="304"/>
      <c r="AG9" s="302">
        <f>BD.PD[[#This Row],[Av.P5 '[%']]]*BD.PD[[#This Row],[Ppto. Orden Interna '[DOP']]]</f>
        <v>0</v>
      </c>
      <c r="AH9" s="305">
        <f>BD.PD[[#This Row],[Pago 5]]+BD.PD[[#This Row],[Pago 4]]+BD.PD[[#This Row],[Pago 3]]+BD.PD[[#This Row],[Pago 2]]+BD.PD[[#This Row],[Pago 1]]</f>
        <v>0</v>
      </c>
      <c r="AI9" s="404"/>
      <c r="AJ9" s="404"/>
      <c r="AK9" s="404"/>
      <c r="AL9" s="404"/>
      <c r="AM9" s="404"/>
      <c r="AN9" s="404"/>
      <c r="AO9" s="404"/>
      <c r="AP9" s="404"/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4"/>
      <c r="CB9" s="404"/>
      <c r="CC9" s="404"/>
      <c r="CD9" s="404"/>
      <c r="CE9" s="404"/>
      <c r="CF9" s="404"/>
      <c r="CG9" s="404"/>
      <c r="CH9" s="404"/>
      <c r="CI9" s="404"/>
      <c r="CJ9" s="404"/>
      <c r="CK9" s="404"/>
      <c r="CL9" s="404"/>
      <c r="CM9" s="404"/>
      <c r="CN9" s="404"/>
      <c r="CO9" s="404"/>
      <c r="CP9" s="404"/>
      <c r="CQ9" s="404"/>
      <c r="CR9" s="404"/>
      <c r="CS9" s="404"/>
      <c r="CT9" s="404"/>
      <c r="CU9" s="404"/>
      <c r="CV9" s="404"/>
      <c r="CW9" s="404"/>
      <c r="CX9" s="404"/>
      <c r="CY9" s="404"/>
      <c r="CZ9" s="404"/>
      <c r="DA9" s="404"/>
      <c r="DB9" s="404"/>
      <c r="DC9" s="404"/>
      <c r="DD9" s="404"/>
      <c r="DE9" s="404"/>
      <c r="DF9" s="404"/>
      <c r="DG9" s="404"/>
      <c r="DH9" s="404"/>
      <c r="DI9" s="404"/>
      <c r="DJ9" s="404"/>
      <c r="DK9" s="404"/>
      <c r="DL9" s="404"/>
      <c r="DM9" s="404"/>
      <c r="DN9" s="404"/>
      <c r="DO9" s="404"/>
      <c r="DP9" s="404"/>
      <c r="DQ9" s="404"/>
      <c r="DR9" s="404"/>
      <c r="DS9" s="404"/>
      <c r="DT9" s="404"/>
      <c r="DU9" s="404"/>
      <c r="DV9" s="404"/>
      <c r="DW9" s="404"/>
      <c r="DX9" s="404"/>
      <c r="DY9" s="404"/>
      <c r="DZ9" s="404"/>
      <c r="EA9" s="404"/>
      <c r="EB9" s="404"/>
      <c r="EC9" s="404"/>
      <c r="ED9" s="404"/>
      <c r="EE9" s="404"/>
      <c r="EF9" s="404"/>
      <c r="EG9" s="404"/>
      <c r="EH9" s="404"/>
      <c r="EI9" s="404"/>
      <c r="EJ9" s="404"/>
      <c r="EK9" s="404"/>
      <c r="EL9" s="404"/>
      <c r="EM9" s="404"/>
      <c r="EN9" s="404"/>
      <c r="EO9" s="404"/>
      <c r="EP9" s="404"/>
      <c r="EQ9" s="404"/>
      <c r="ER9" s="404"/>
      <c r="ES9" s="404"/>
      <c r="ET9" s="404"/>
      <c r="EU9" s="404"/>
      <c r="EV9" s="404"/>
      <c r="EW9" s="404"/>
      <c r="EX9" s="404"/>
      <c r="EY9" s="404"/>
      <c r="EZ9" s="404"/>
      <c r="FA9" s="404"/>
      <c r="FB9" s="404"/>
      <c r="FC9" s="404"/>
      <c r="FD9" s="404"/>
      <c r="FE9" s="404"/>
      <c r="FF9" s="404"/>
      <c r="FG9" s="404"/>
      <c r="FH9" s="404"/>
      <c r="FI9" s="404"/>
      <c r="FJ9" s="404"/>
      <c r="FK9" s="404"/>
      <c r="FL9" s="404"/>
      <c r="FM9" s="404"/>
      <c r="FN9" s="404"/>
      <c r="FO9" s="404"/>
      <c r="FP9" s="404"/>
      <c r="FQ9" s="404"/>
      <c r="FR9" s="404"/>
      <c r="FS9" s="404"/>
      <c r="FT9" s="404"/>
      <c r="FU9" s="404"/>
      <c r="FV9" s="404"/>
      <c r="FW9" s="404"/>
      <c r="FX9" s="404"/>
      <c r="FY9" s="404"/>
      <c r="FZ9" s="404"/>
      <c r="GA9" s="404"/>
      <c r="GB9" s="404"/>
      <c r="GC9" s="404"/>
      <c r="GD9" s="404"/>
      <c r="GE9" s="404"/>
      <c r="GF9" s="404"/>
      <c r="GG9" s="404"/>
      <c r="GH9" s="404"/>
      <c r="GI9" s="404"/>
      <c r="GJ9" s="404"/>
      <c r="GK9" s="404"/>
      <c r="GL9" s="404"/>
      <c r="GM9" s="404"/>
      <c r="GN9" s="404"/>
      <c r="GO9" s="404"/>
      <c r="GP9" s="404"/>
      <c r="GQ9" s="404"/>
      <c r="GR9" s="404"/>
      <c r="GS9" s="404"/>
      <c r="GT9" s="404"/>
      <c r="GU9" s="404"/>
      <c r="GV9" s="404"/>
      <c r="GW9" s="404"/>
      <c r="GX9" s="404"/>
      <c r="GY9" s="404"/>
      <c r="GZ9" s="404"/>
      <c r="HA9" s="404"/>
      <c r="HB9" s="404"/>
      <c r="HC9" s="404"/>
      <c r="HD9" s="404"/>
      <c r="HE9" s="404"/>
      <c r="HF9" s="404"/>
      <c r="HG9" s="404"/>
      <c r="HH9" s="404"/>
      <c r="HI9" s="404"/>
      <c r="HJ9" s="404"/>
      <c r="HK9" s="404"/>
      <c r="HL9" s="404"/>
      <c r="HM9" s="404"/>
      <c r="HN9" s="404"/>
      <c r="HO9" s="404"/>
      <c r="HP9" s="404"/>
      <c r="HQ9" s="404"/>
      <c r="HR9" s="404"/>
      <c r="HS9" s="404"/>
      <c r="HT9" s="404"/>
      <c r="HU9" s="404"/>
      <c r="HV9" s="404"/>
      <c r="HW9" s="404"/>
      <c r="HX9" s="404"/>
      <c r="HY9" s="404"/>
      <c r="HZ9" s="404"/>
      <c r="IA9" s="404"/>
    </row>
    <row r="10" spans="1:235" s="309" customFormat="1" ht="15" customHeight="1" x14ac:dyDescent="0.3">
      <c r="A10" s="231">
        <v>1.06</v>
      </c>
      <c r="B10" s="288" t="s">
        <v>574</v>
      </c>
      <c r="C10" s="289" t="str">
        <f>VLOOKUP(BD.PD[[#This Row],[Pos]],PPto[],3,FALSE)</f>
        <v>1.06 Levantamiento topográfico</v>
      </c>
      <c r="D10" s="290" t="s">
        <v>574</v>
      </c>
      <c r="E10" s="291">
        <f>IF(BD.PD[[#This Row],[.]]="*",VLOOKUP(BD.PD[[#This Row],[Pos]],Presupuesto!A:H,7,FALSE),"")</f>
        <v>0</v>
      </c>
      <c r="F10" s="292"/>
      <c r="G10" s="292" t="s">
        <v>575</v>
      </c>
      <c r="H10" s="292"/>
      <c r="I10" s="293">
        <v>1</v>
      </c>
      <c r="J10" s="290" t="s">
        <v>456</v>
      </c>
      <c r="K10" s="294">
        <f>IF(BD.PD[[#This Row],[Mon]]="DOP",1,HLOOKUP(BD.PD[[#This Row],[Mon]],$J$1:$K$2,2,FALSE))</f>
        <v>63</v>
      </c>
      <c r="L10" s="295">
        <v>0</v>
      </c>
      <c r="M10" s="296">
        <f>BD.PD[[#This Row],[Cant.]]*BD.PD[[#This Row],[ Tasa ]]*BD.PD[[#This Row],[ Precio Und.]]</f>
        <v>0</v>
      </c>
      <c r="N10" s="297">
        <v>0</v>
      </c>
      <c r="O10" s="296">
        <f>IF(BD.PD[[#This Row],[Liquid. '[%']]]&lt;&gt;0,(BD.PD[[#This Row],[Valor Neto '[DOP']]]*BD.PD[[#This Row],[Liquid. '[%']]])+BD.PD[[#This Row],[Valor Neto '[DOP']]],BD.PD[[#This Row],[Valor Neto '[DOP']]])</f>
        <v>0</v>
      </c>
      <c r="P10" s="298">
        <f>BD.PD[[#This Row],[Ppto. Orden Interna '[DOP']]]/HLOOKUP("USD",$J$1:$K$2,2,FALSE)</f>
        <v>0</v>
      </c>
      <c r="Q10" s="299"/>
      <c r="R10" s="292"/>
      <c r="S10" s="300"/>
      <c r="T10" s="301"/>
      <c r="U10" s="302">
        <f>BD.PD[[#This Row],[Av.P1 '[%']]]*BD.PD[[#This Row],[Ppto. Orden Interna '[DOP']]]</f>
        <v>0</v>
      </c>
      <c r="V10" s="303"/>
      <c r="W10" s="304"/>
      <c r="X10" s="302">
        <f>BD.PD[[#This Row],[Av.P2 '[%']]]*BD.PD[[#This Row],[Ppto. Orden Interna '[DOP']]]</f>
        <v>0</v>
      </c>
      <c r="Y10" s="303"/>
      <c r="Z10" s="304"/>
      <c r="AA10" s="302">
        <f>BD.PD[[#This Row],[Av.P3 '[%']]]*BD.PD[[#This Row],[Ppto. Orden Interna '[DOP']]]</f>
        <v>0</v>
      </c>
      <c r="AB10" s="303"/>
      <c r="AC10" s="304"/>
      <c r="AD10" s="302">
        <f>BD.PD[[#This Row],[Av.P4 '[%']]]*BD.PD[[#This Row],[Ppto. Orden Interna '[DOP']]]</f>
        <v>0</v>
      </c>
      <c r="AE10" s="303"/>
      <c r="AF10" s="304"/>
      <c r="AG10" s="302">
        <f>BD.PD[[#This Row],[Av.P5 '[%']]]*BD.PD[[#This Row],[Ppto. Orden Interna '[DOP']]]</f>
        <v>0</v>
      </c>
      <c r="AH10" s="305">
        <f>BD.PD[[#This Row],[Pago 5]]+BD.PD[[#This Row],[Pago 4]]+BD.PD[[#This Row],[Pago 3]]+BD.PD[[#This Row],[Pago 2]]+BD.PD[[#This Row],[Pago 1]]</f>
        <v>0</v>
      </c>
      <c r="AI10" s="404"/>
      <c r="AJ10" s="404"/>
      <c r="AK10" s="404"/>
      <c r="AL10" s="404"/>
      <c r="AM10" s="404"/>
      <c r="AN10" s="404"/>
      <c r="AO10" s="404"/>
      <c r="AP10" s="404"/>
      <c r="AQ10" s="404"/>
      <c r="AR10" s="404"/>
      <c r="AS10" s="404"/>
      <c r="AT10" s="404"/>
      <c r="AU10" s="404"/>
      <c r="AV10" s="404"/>
      <c r="AW10" s="404"/>
      <c r="AX10" s="404"/>
      <c r="AY10" s="404"/>
      <c r="AZ10" s="404"/>
      <c r="BA10" s="404"/>
      <c r="BB10" s="404"/>
      <c r="BC10" s="404"/>
      <c r="BD10" s="404"/>
      <c r="BE10" s="404"/>
      <c r="BF10" s="404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4"/>
      <c r="DD10" s="404"/>
      <c r="DE10" s="404"/>
      <c r="DF10" s="404"/>
      <c r="DG10" s="404"/>
      <c r="DH10" s="404"/>
      <c r="DI10" s="404"/>
      <c r="DJ10" s="404"/>
      <c r="DK10" s="404"/>
      <c r="DL10" s="404"/>
      <c r="DM10" s="404"/>
      <c r="DN10" s="404"/>
      <c r="DO10" s="404"/>
      <c r="DP10" s="404"/>
      <c r="DQ10" s="404"/>
      <c r="DR10" s="404"/>
      <c r="DS10" s="404"/>
      <c r="DT10" s="404"/>
      <c r="DU10" s="404"/>
      <c r="DV10" s="404"/>
      <c r="DW10" s="404"/>
      <c r="DX10" s="404"/>
      <c r="DY10" s="404"/>
      <c r="DZ10" s="404"/>
      <c r="EA10" s="404"/>
      <c r="EB10" s="404"/>
      <c r="EC10" s="404"/>
      <c r="ED10" s="404"/>
      <c r="EE10" s="404"/>
      <c r="EF10" s="404"/>
      <c r="EG10" s="404"/>
      <c r="EH10" s="404"/>
      <c r="EI10" s="404"/>
      <c r="EJ10" s="404"/>
      <c r="EK10" s="404"/>
      <c r="EL10" s="404"/>
      <c r="EM10" s="404"/>
      <c r="EN10" s="404"/>
      <c r="EO10" s="404"/>
      <c r="EP10" s="404"/>
      <c r="EQ10" s="404"/>
      <c r="ER10" s="404"/>
      <c r="ES10" s="404"/>
      <c r="ET10" s="404"/>
      <c r="EU10" s="404"/>
      <c r="EV10" s="404"/>
      <c r="EW10" s="404"/>
      <c r="EX10" s="404"/>
      <c r="EY10" s="404"/>
      <c r="EZ10" s="404"/>
      <c r="FA10" s="404"/>
      <c r="FB10" s="404"/>
      <c r="FC10" s="404"/>
      <c r="FD10" s="404"/>
      <c r="FE10" s="404"/>
      <c r="FF10" s="404"/>
      <c r="FG10" s="404"/>
      <c r="FH10" s="404"/>
      <c r="FI10" s="404"/>
      <c r="FJ10" s="404"/>
      <c r="FK10" s="404"/>
      <c r="FL10" s="404"/>
      <c r="FM10" s="404"/>
      <c r="FN10" s="404"/>
      <c r="FO10" s="404"/>
      <c r="FP10" s="404"/>
      <c r="FQ10" s="404"/>
      <c r="FR10" s="404"/>
      <c r="FS10" s="404"/>
      <c r="FT10" s="404"/>
      <c r="FU10" s="404"/>
      <c r="FV10" s="404"/>
      <c r="FW10" s="404"/>
      <c r="FX10" s="404"/>
      <c r="FY10" s="404"/>
      <c r="FZ10" s="404"/>
      <c r="GA10" s="404"/>
      <c r="GB10" s="404"/>
      <c r="GC10" s="404"/>
      <c r="GD10" s="404"/>
      <c r="GE10" s="404"/>
      <c r="GF10" s="404"/>
      <c r="GG10" s="404"/>
      <c r="GH10" s="404"/>
      <c r="GI10" s="404"/>
      <c r="GJ10" s="404"/>
      <c r="GK10" s="404"/>
      <c r="GL10" s="404"/>
      <c r="GM10" s="404"/>
      <c r="GN10" s="404"/>
      <c r="GO10" s="404"/>
      <c r="GP10" s="404"/>
      <c r="GQ10" s="404"/>
      <c r="GR10" s="404"/>
      <c r="GS10" s="404"/>
      <c r="GT10" s="404"/>
      <c r="GU10" s="404"/>
      <c r="GV10" s="404"/>
      <c r="GW10" s="404"/>
      <c r="GX10" s="404"/>
      <c r="GY10" s="404"/>
      <c r="GZ10" s="404"/>
      <c r="HA10" s="404"/>
      <c r="HB10" s="404"/>
      <c r="HC10" s="404"/>
      <c r="HD10" s="404"/>
      <c r="HE10" s="404"/>
      <c r="HF10" s="404"/>
      <c r="HG10" s="404"/>
      <c r="HH10" s="404"/>
      <c r="HI10" s="404"/>
      <c r="HJ10" s="404"/>
      <c r="HK10" s="404"/>
      <c r="HL10" s="404"/>
      <c r="HM10" s="404"/>
      <c r="HN10" s="404"/>
      <c r="HO10" s="404"/>
      <c r="HP10" s="404"/>
      <c r="HQ10" s="404"/>
      <c r="HR10" s="404"/>
      <c r="HS10" s="404"/>
      <c r="HT10" s="404"/>
      <c r="HU10" s="404"/>
      <c r="HV10" s="404"/>
      <c r="HW10" s="404"/>
      <c r="HX10" s="404"/>
      <c r="HY10" s="404"/>
      <c r="HZ10" s="404"/>
      <c r="IA10" s="404"/>
    </row>
    <row r="11" spans="1:235" s="309" customFormat="1" ht="15" customHeight="1" x14ac:dyDescent="0.3">
      <c r="A11" s="231">
        <v>1.07</v>
      </c>
      <c r="B11" s="288" t="s">
        <v>574</v>
      </c>
      <c r="C11" s="289" t="str">
        <f>VLOOKUP(BD.PD[[#This Row],[Pos]],PPto[],3,FALSE)</f>
        <v>1.07 Permisos</v>
      </c>
      <c r="D11" s="290" t="s">
        <v>574</v>
      </c>
      <c r="E11" s="291">
        <f>IF(BD.PD[[#This Row],[.]]="*",VLOOKUP(BD.PD[[#This Row],[Pos]],Presupuesto!A:H,7,FALSE),"")</f>
        <v>0</v>
      </c>
      <c r="F11" s="292"/>
      <c r="G11" s="292" t="s">
        <v>575</v>
      </c>
      <c r="H11" s="292"/>
      <c r="I11" s="293">
        <v>1</v>
      </c>
      <c r="J11" s="290" t="s">
        <v>456</v>
      </c>
      <c r="K11" s="294">
        <f>IF(BD.PD[[#This Row],[Mon]]="DOP",1,HLOOKUP(BD.PD[[#This Row],[Mon]],$J$1:$K$2,2,FALSE))</f>
        <v>63</v>
      </c>
      <c r="L11" s="295">
        <v>0</v>
      </c>
      <c r="M11" s="296">
        <f>BD.PD[[#This Row],[Cant.]]*BD.PD[[#This Row],[ Tasa ]]*BD.PD[[#This Row],[ Precio Und.]]</f>
        <v>0</v>
      </c>
      <c r="N11" s="297">
        <v>0</v>
      </c>
      <c r="O11" s="296">
        <f>IF(BD.PD[[#This Row],[Liquid. '[%']]]&lt;&gt;0,(BD.PD[[#This Row],[Valor Neto '[DOP']]]*BD.PD[[#This Row],[Liquid. '[%']]])+BD.PD[[#This Row],[Valor Neto '[DOP']]],BD.PD[[#This Row],[Valor Neto '[DOP']]])</f>
        <v>0</v>
      </c>
      <c r="P11" s="298">
        <f>BD.PD[[#This Row],[Ppto. Orden Interna '[DOP']]]/HLOOKUP("USD",$J$1:$K$2,2,FALSE)</f>
        <v>0</v>
      </c>
      <c r="Q11" s="299"/>
      <c r="R11" s="292"/>
      <c r="S11" s="300"/>
      <c r="T11" s="301"/>
      <c r="U11" s="302">
        <f>BD.PD[[#This Row],[Av.P1 '[%']]]*BD.PD[[#This Row],[Ppto. Orden Interna '[DOP']]]</f>
        <v>0</v>
      </c>
      <c r="V11" s="303"/>
      <c r="W11" s="304"/>
      <c r="X11" s="302">
        <f>BD.PD[[#This Row],[Av.P2 '[%']]]*BD.PD[[#This Row],[Ppto. Orden Interna '[DOP']]]</f>
        <v>0</v>
      </c>
      <c r="Y11" s="303"/>
      <c r="Z11" s="304"/>
      <c r="AA11" s="302">
        <f>BD.PD[[#This Row],[Av.P3 '[%']]]*BD.PD[[#This Row],[Ppto. Orden Interna '[DOP']]]</f>
        <v>0</v>
      </c>
      <c r="AB11" s="303"/>
      <c r="AC11" s="304"/>
      <c r="AD11" s="302">
        <f>BD.PD[[#This Row],[Av.P4 '[%']]]*BD.PD[[#This Row],[Ppto. Orden Interna '[DOP']]]</f>
        <v>0</v>
      </c>
      <c r="AE11" s="303"/>
      <c r="AF11" s="304"/>
      <c r="AG11" s="302">
        <f>BD.PD[[#This Row],[Av.P5 '[%']]]*BD.PD[[#This Row],[Ppto. Orden Interna '[DOP']]]</f>
        <v>0</v>
      </c>
      <c r="AH11" s="305">
        <f>BD.PD[[#This Row],[Pago 5]]+BD.PD[[#This Row],[Pago 4]]+BD.PD[[#This Row],[Pago 3]]+BD.PD[[#This Row],[Pago 2]]+BD.PD[[#This Row],[Pago 1]]</f>
        <v>0</v>
      </c>
      <c r="AI11" s="404"/>
      <c r="AJ11" s="404"/>
      <c r="AK11" s="404"/>
      <c r="AL11" s="404"/>
      <c r="AM11" s="404"/>
      <c r="AN11" s="404"/>
      <c r="AO11" s="404"/>
      <c r="AP11" s="404"/>
      <c r="AQ11" s="404"/>
      <c r="AR11" s="404"/>
      <c r="AS11" s="404"/>
      <c r="AT11" s="404"/>
      <c r="AU11" s="404"/>
      <c r="AV11" s="404"/>
      <c r="AW11" s="404"/>
      <c r="AX11" s="404"/>
      <c r="AY11" s="404"/>
      <c r="AZ11" s="404"/>
      <c r="BA11" s="404"/>
      <c r="BB11" s="404"/>
      <c r="BC11" s="404"/>
      <c r="BD11" s="404"/>
      <c r="BE11" s="404"/>
      <c r="BF11" s="404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4"/>
      <c r="DD11" s="404"/>
      <c r="DE11" s="404"/>
      <c r="DF11" s="404"/>
      <c r="DG11" s="404"/>
      <c r="DH11" s="404"/>
      <c r="DI11" s="404"/>
      <c r="DJ11" s="404"/>
      <c r="DK11" s="404"/>
      <c r="DL11" s="404"/>
      <c r="DM11" s="404"/>
      <c r="DN11" s="404"/>
      <c r="DO11" s="404"/>
      <c r="DP11" s="404"/>
      <c r="DQ11" s="404"/>
      <c r="DR11" s="404"/>
      <c r="DS11" s="404"/>
      <c r="DT11" s="404"/>
      <c r="DU11" s="404"/>
      <c r="DV11" s="404"/>
      <c r="DW11" s="404"/>
      <c r="DX11" s="404"/>
      <c r="DY11" s="404"/>
      <c r="DZ11" s="404"/>
      <c r="EA11" s="404"/>
      <c r="EB11" s="404"/>
      <c r="EC11" s="404"/>
      <c r="ED11" s="404"/>
      <c r="EE11" s="404"/>
      <c r="EF11" s="404"/>
      <c r="EG11" s="404"/>
      <c r="EH11" s="404"/>
      <c r="EI11" s="404"/>
      <c r="EJ11" s="404"/>
      <c r="EK11" s="404"/>
      <c r="EL11" s="404"/>
      <c r="EM11" s="404"/>
      <c r="EN11" s="404"/>
      <c r="EO11" s="404"/>
      <c r="EP11" s="404"/>
      <c r="EQ11" s="404"/>
      <c r="ER11" s="404"/>
      <c r="ES11" s="404"/>
      <c r="ET11" s="404"/>
      <c r="EU11" s="404"/>
      <c r="EV11" s="404"/>
      <c r="EW11" s="404"/>
      <c r="EX11" s="404"/>
      <c r="EY11" s="404"/>
      <c r="EZ11" s="404"/>
      <c r="FA11" s="404"/>
      <c r="FB11" s="404"/>
      <c r="FC11" s="404"/>
      <c r="FD11" s="404"/>
      <c r="FE11" s="404"/>
      <c r="FF11" s="404"/>
      <c r="FG11" s="404"/>
      <c r="FH11" s="404"/>
      <c r="FI11" s="404"/>
      <c r="FJ11" s="404"/>
      <c r="FK11" s="404"/>
      <c r="FL11" s="404"/>
      <c r="FM11" s="404"/>
      <c r="FN11" s="404"/>
      <c r="FO11" s="404"/>
      <c r="FP11" s="404"/>
      <c r="FQ11" s="404"/>
      <c r="FR11" s="404"/>
      <c r="FS11" s="404"/>
      <c r="FT11" s="404"/>
      <c r="FU11" s="404"/>
      <c r="FV11" s="404"/>
      <c r="FW11" s="404"/>
      <c r="FX11" s="404"/>
      <c r="FY11" s="404"/>
      <c r="FZ11" s="404"/>
      <c r="GA11" s="404"/>
      <c r="GB11" s="404"/>
      <c r="GC11" s="404"/>
      <c r="GD11" s="404"/>
      <c r="GE11" s="404"/>
      <c r="GF11" s="404"/>
      <c r="GG11" s="404"/>
      <c r="GH11" s="404"/>
      <c r="GI11" s="404"/>
      <c r="GJ11" s="404"/>
      <c r="GK11" s="404"/>
      <c r="GL11" s="404"/>
      <c r="GM11" s="404"/>
      <c r="GN11" s="404"/>
      <c r="GO11" s="404"/>
      <c r="GP11" s="404"/>
      <c r="GQ11" s="404"/>
      <c r="GR11" s="404"/>
      <c r="GS11" s="404"/>
      <c r="GT11" s="404"/>
      <c r="GU11" s="404"/>
      <c r="GV11" s="404"/>
      <c r="GW11" s="404"/>
      <c r="GX11" s="404"/>
      <c r="GY11" s="404"/>
      <c r="GZ11" s="404"/>
      <c r="HA11" s="404"/>
      <c r="HB11" s="404"/>
      <c r="HC11" s="404"/>
      <c r="HD11" s="404"/>
      <c r="HE11" s="404"/>
      <c r="HF11" s="404"/>
      <c r="HG11" s="404"/>
      <c r="HH11" s="404"/>
      <c r="HI11" s="404"/>
      <c r="HJ11" s="404"/>
      <c r="HK11" s="404"/>
      <c r="HL11" s="404"/>
      <c r="HM11" s="404"/>
      <c r="HN11" s="404"/>
      <c r="HO11" s="404"/>
      <c r="HP11" s="404"/>
      <c r="HQ11" s="404"/>
      <c r="HR11" s="404"/>
      <c r="HS11" s="404"/>
      <c r="HT11" s="404"/>
      <c r="HU11" s="404"/>
      <c r="HV11" s="404"/>
      <c r="HW11" s="404"/>
      <c r="HX11" s="404"/>
      <c r="HY11" s="404"/>
      <c r="HZ11" s="404"/>
      <c r="IA11" s="404"/>
    </row>
    <row r="12" spans="1:235" s="309" customFormat="1" ht="15" customHeight="1" x14ac:dyDescent="0.3">
      <c r="A12" s="231">
        <v>1.08</v>
      </c>
      <c r="B12" s="288" t="s">
        <v>574</v>
      </c>
      <c r="C12" s="289" t="str">
        <f>VLOOKUP(BD.PD[[#This Row],[Pos]],PPto[],3,FALSE)</f>
        <v>1.08 Diseño sistema contra incendios</v>
      </c>
      <c r="D12" s="290" t="s">
        <v>574</v>
      </c>
      <c r="E12" s="291">
        <f>IF(BD.PD[[#This Row],[.]]="*",VLOOKUP(BD.PD[[#This Row],[Pos]],Presupuesto!A:H,7,FALSE),"")</f>
        <v>0</v>
      </c>
      <c r="F12" s="292"/>
      <c r="G12" s="292" t="s">
        <v>575</v>
      </c>
      <c r="H12" s="292"/>
      <c r="I12" s="293">
        <v>1</v>
      </c>
      <c r="J12" s="290" t="s">
        <v>456</v>
      </c>
      <c r="K12" s="294">
        <f>IF(BD.PD[[#This Row],[Mon]]="DOP",1,HLOOKUP(BD.PD[[#This Row],[Mon]],$J$1:$K$2,2,FALSE))</f>
        <v>63</v>
      </c>
      <c r="L12" s="295">
        <v>0</v>
      </c>
      <c r="M12" s="296">
        <f>BD.PD[[#This Row],[Cant.]]*BD.PD[[#This Row],[ Tasa ]]*BD.PD[[#This Row],[ Precio Und.]]</f>
        <v>0</v>
      </c>
      <c r="N12" s="297">
        <v>0</v>
      </c>
      <c r="O12" s="296">
        <f>IF(BD.PD[[#This Row],[Liquid. '[%']]]&lt;&gt;0,(BD.PD[[#This Row],[Valor Neto '[DOP']]]*BD.PD[[#This Row],[Liquid. '[%']]])+BD.PD[[#This Row],[Valor Neto '[DOP']]],BD.PD[[#This Row],[Valor Neto '[DOP']]])</f>
        <v>0</v>
      </c>
      <c r="P12" s="298">
        <f>BD.PD[[#This Row],[Ppto. Orden Interna '[DOP']]]/HLOOKUP("USD",$J$1:$K$2,2,FALSE)</f>
        <v>0</v>
      </c>
      <c r="Q12" s="299"/>
      <c r="R12" s="292"/>
      <c r="S12" s="300"/>
      <c r="T12" s="301"/>
      <c r="U12" s="302">
        <f>BD.PD[[#This Row],[Av.P1 '[%']]]*BD.PD[[#This Row],[Ppto. Orden Interna '[DOP']]]</f>
        <v>0</v>
      </c>
      <c r="V12" s="303"/>
      <c r="W12" s="304"/>
      <c r="X12" s="302">
        <f>BD.PD[[#This Row],[Av.P2 '[%']]]*BD.PD[[#This Row],[Ppto. Orden Interna '[DOP']]]</f>
        <v>0</v>
      </c>
      <c r="Y12" s="303"/>
      <c r="Z12" s="304"/>
      <c r="AA12" s="302">
        <f>BD.PD[[#This Row],[Av.P3 '[%']]]*BD.PD[[#This Row],[Ppto. Orden Interna '[DOP']]]</f>
        <v>0</v>
      </c>
      <c r="AB12" s="303"/>
      <c r="AC12" s="304"/>
      <c r="AD12" s="302">
        <f>BD.PD[[#This Row],[Av.P4 '[%']]]*BD.PD[[#This Row],[Ppto. Orden Interna '[DOP']]]</f>
        <v>0</v>
      </c>
      <c r="AE12" s="303"/>
      <c r="AF12" s="304"/>
      <c r="AG12" s="302">
        <f>BD.PD[[#This Row],[Av.P5 '[%']]]*BD.PD[[#This Row],[Ppto. Orden Interna '[DOP']]]</f>
        <v>0</v>
      </c>
      <c r="AH12" s="305">
        <f>BD.PD[[#This Row],[Pago 5]]+BD.PD[[#This Row],[Pago 4]]+BD.PD[[#This Row],[Pago 3]]+BD.PD[[#This Row],[Pago 2]]+BD.PD[[#This Row],[Pago 1]]</f>
        <v>0</v>
      </c>
      <c r="AI12" s="404"/>
      <c r="AJ12" s="404"/>
      <c r="AK12" s="404"/>
      <c r="AL12" s="404"/>
      <c r="AM12" s="404"/>
      <c r="AN12" s="404"/>
      <c r="AO12" s="404"/>
      <c r="AP12" s="404"/>
      <c r="AQ12" s="404"/>
      <c r="AR12" s="404"/>
      <c r="AS12" s="404"/>
      <c r="AT12" s="404"/>
      <c r="AU12" s="404"/>
      <c r="AV12" s="404"/>
      <c r="AW12" s="404"/>
      <c r="AX12" s="404"/>
      <c r="AY12" s="404"/>
      <c r="AZ12" s="404"/>
      <c r="BA12" s="404"/>
      <c r="BB12" s="404"/>
      <c r="BC12" s="404"/>
      <c r="BD12" s="404"/>
      <c r="BE12" s="404"/>
      <c r="BF12" s="404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4"/>
      <c r="DD12" s="404"/>
      <c r="DE12" s="404"/>
      <c r="DF12" s="404"/>
      <c r="DG12" s="404"/>
      <c r="DH12" s="404"/>
      <c r="DI12" s="404"/>
      <c r="DJ12" s="404"/>
      <c r="DK12" s="404"/>
      <c r="DL12" s="404"/>
      <c r="DM12" s="404"/>
      <c r="DN12" s="404"/>
      <c r="DO12" s="404"/>
      <c r="DP12" s="404"/>
      <c r="DQ12" s="404"/>
      <c r="DR12" s="404"/>
      <c r="DS12" s="404"/>
      <c r="DT12" s="404"/>
      <c r="DU12" s="404"/>
      <c r="DV12" s="404"/>
      <c r="DW12" s="404"/>
      <c r="DX12" s="404"/>
      <c r="DY12" s="404"/>
      <c r="DZ12" s="404"/>
      <c r="EA12" s="404"/>
      <c r="EB12" s="404"/>
      <c r="EC12" s="404"/>
      <c r="ED12" s="404"/>
      <c r="EE12" s="404"/>
      <c r="EF12" s="404"/>
      <c r="EG12" s="404"/>
      <c r="EH12" s="404"/>
      <c r="EI12" s="404"/>
      <c r="EJ12" s="404"/>
      <c r="EK12" s="404"/>
      <c r="EL12" s="404"/>
      <c r="EM12" s="404"/>
      <c r="EN12" s="404"/>
      <c r="EO12" s="404"/>
      <c r="EP12" s="404"/>
      <c r="EQ12" s="404"/>
      <c r="ER12" s="404"/>
      <c r="ES12" s="404"/>
      <c r="ET12" s="404"/>
      <c r="EU12" s="404"/>
      <c r="EV12" s="404"/>
      <c r="EW12" s="404"/>
      <c r="EX12" s="404"/>
      <c r="EY12" s="404"/>
      <c r="EZ12" s="404"/>
      <c r="FA12" s="404"/>
      <c r="FB12" s="404"/>
      <c r="FC12" s="404"/>
      <c r="FD12" s="404"/>
      <c r="FE12" s="404"/>
      <c r="FF12" s="404"/>
      <c r="FG12" s="404"/>
      <c r="FH12" s="404"/>
      <c r="FI12" s="404"/>
      <c r="FJ12" s="404"/>
      <c r="FK12" s="404"/>
      <c r="FL12" s="404"/>
      <c r="FM12" s="404"/>
      <c r="FN12" s="404"/>
      <c r="FO12" s="404"/>
      <c r="FP12" s="404"/>
      <c r="FQ12" s="404"/>
      <c r="FR12" s="404"/>
      <c r="FS12" s="404"/>
      <c r="FT12" s="404"/>
      <c r="FU12" s="404"/>
      <c r="FV12" s="404"/>
      <c r="FW12" s="404"/>
      <c r="FX12" s="404"/>
      <c r="FY12" s="404"/>
      <c r="FZ12" s="404"/>
      <c r="GA12" s="404"/>
      <c r="GB12" s="404"/>
      <c r="GC12" s="404"/>
      <c r="GD12" s="404"/>
      <c r="GE12" s="404"/>
      <c r="GF12" s="404"/>
      <c r="GG12" s="404"/>
      <c r="GH12" s="404"/>
      <c r="GI12" s="404"/>
      <c r="GJ12" s="404"/>
      <c r="GK12" s="404"/>
      <c r="GL12" s="404"/>
      <c r="GM12" s="404"/>
      <c r="GN12" s="404"/>
      <c r="GO12" s="404"/>
      <c r="GP12" s="404"/>
      <c r="GQ12" s="404"/>
      <c r="GR12" s="404"/>
      <c r="GS12" s="404"/>
      <c r="GT12" s="404"/>
      <c r="GU12" s="404"/>
      <c r="GV12" s="404"/>
      <c r="GW12" s="404"/>
      <c r="GX12" s="404"/>
      <c r="GY12" s="404"/>
      <c r="GZ12" s="404"/>
      <c r="HA12" s="404"/>
      <c r="HB12" s="404"/>
      <c r="HC12" s="404"/>
      <c r="HD12" s="404"/>
      <c r="HE12" s="404"/>
      <c r="HF12" s="404"/>
      <c r="HG12" s="404"/>
      <c r="HH12" s="404"/>
      <c r="HI12" s="404"/>
      <c r="HJ12" s="404"/>
      <c r="HK12" s="404"/>
      <c r="HL12" s="404"/>
      <c r="HM12" s="404"/>
      <c r="HN12" s="404"/>
      <c r="HO12" s="404"/>
      <c r="HP12" s="404"/>
      <c r="HQ12" s="404"/>
      <c r="HR12" s="404"/>
      <c r="HS12" s="404"/>
      <c r="HT12" s="404"/>
      <c r="HU12" s="404"/>
      <c r="HV12" s="404"/>
      <c r="HW12" s="404"/>
      <c r="HX12" s="404"/>
      <c r="HY12" s="404"/>
      <c r="HZ12" s="404"/>
      <c r="IA12" s="404"/>
    </row>
    <row r="13" spans="1:235" s="309" customFormat="1" ht="15" customHeight="1" x14ac:dyDescent="0.3">
      <c r="A13" s="231">
        <v>1.0900000000000001</v>
      </c>
      <c r="B13" s="288" t="s">
        <v>574</v>
      </c>
      <c r="C13" s="289" t="str">
        <f>VLOOKUP(BD.PD[[#This Row],[Pos]],PPto[],3,FALSE)</f>
        <v>1.09 Diseño sistema gas</v>
      </c>
      <c r="D13" s="290" t="s">
        <v>574</v>
      </c>
      <c r="E13" s="291">
        <f>IF(BD.PD[[#This Row],[.]]="*",VLOOKUP(BD.PD[[#This Row],[Pos]],Presupuesto!A:H,7,FALSE),"")</f>
        <v>0</v>
      </c>
      <c r="F13" s="292"/>
      <c r="G13" s="292" t="s">
        <v>575</v>
      </c>
      <c r="H13" s="292"/>
      <c r="I13" s="293">
        <v>1</v>
      </c>
      <c r="J13" s="290" t="s">
        <v>456</v>
      </c>
      <c r="K13" s="294">
        <f>IF(BD.PD[[#This Row],[Mon]]="DOP",1,HLOOKUP(BD.PD[[#This Row],[Mon]],$J$1:$K$2,2,FALSE))</f>
        <v>63</v>
      </c>
      <c r="L13" s="295">
        <v>0</v>
      </c>
      <c r="M13" s="296">
        <f>BD.PD[[#This Row],[Cant.]]*BD.PD[[#This Row],[ Tasa ]]*BD.PD[[#This Row],[ Precio Und.]]</f>
        <v>0</v>
      </c>
      <c r="N13" s="297">
        <v>0</v>
      </c>
      <c r="O13" s="296">
        <f>IF(BD.PD[[#This Row],[Liquid. '[%']]]&lt;&gt;0,(BD.PD[[#This Row],[Valor Neto '[DOP']]]*BD.PD[[#This Row],[Liquid. '[%']]])+BD.PD[[#This Row],[Valor Neto '[DOP']]],BD.PD[[#This Row],[Valor Neto '[DOP']]])</f>
        <v>0</v>
      </c>
      <c r="P13" s="298">
        <f>BD.PD[[#This Row],[Ppto. Orden Interna '[DOP']]]/HLOOKUP("USD",$J$1:$K$2,2,FALSE)</f>
        <v>0</v>
      </c>
      <c r="Q13" s="299"/>
      <c r="R13" s="292"/>
      <c r="S13" s="300"/>
      <c r="T13" s="301"/>
      <c r="U13" s="302">
        <f>BD.PD[[#This Row],[Av.P1 '[%']]]*BD.PD[[#This Row],[Ppto. Orden Interna '[DOP']]]</f>
        <v>0</v>
      </c>
      <c r="V13" s="303"/>
      <c r="W13" s="304"/>
      <c r="X13" s="302">
        <f>BD.PD[[#This Row],[Av.P2 '[%']]]*BD.PD[[#This Row],[Ppto. Orden Interna '[DOP']]]</f>
        <v>0</v>
      </c>
      <c r="Y13" s="303"/>
      <c r="Z13" s="304"/>
      <c r="AA13" s="302">
        <f>BD.PD[[#This Row],[Av.P3 '[%']]]*BD.PD[[#This Row],[Ppto. Orden Interna '[DOP']]]</f>
        <v>0</v>
      </c>
      <c r="AB13" s="303"/>
      <c r="AC13" s="304"/>
      <c r="AD13" s="302">
        <f>BD.PD[[#This Row],[Av.P4 '[%']]]*BD.PD[[#This Row],[Ppto. Orden Interna '[DOP']]]</f>
        <v>0</v>
      </c>
      <c r="AE13" s="303"/>
      <c r="AF13" s="304"/>
      <c r="AG13" s="302">
        <f>BD.PD[[#This Row],[Av.P5 '[%']]]*BD.PD[[#This Row],[Ppto. Orden Interna '[DOP']]]</f>
        <v>0</v>
      </c>
      <c r="AH13" s="305">
        <f>BD.PD[[#This Row],[Pago 5]]+BD.PD[[#This Row],[Pago 4]]+BD.PD[[#This Row],[Pago 3]]+BD.PD[[#This Row],[Pago 2]]+BD.PD[[#This Row],[Pago 1]]</f>
        <v>0</v>
      </c>
      <c r="AI13" s="404"/>
      <c r="AJ13" s="404"/>
      <c r="AK13" s="404"/>
      <c r="AL13" s="404"/>
      <c r="AM13" s="404"/>
      <c r="AN13" s="404"/>
      <c r="AO13" s="404"/>
      <c r="AP13" s="404"/>
      <c r="AQ13" s="404"/>
      <c r="AR13" s="404"/>
      <c r="AS13" s="404"/>
      <c r="AT13" s="404"/>
      <c r="AU13" s="404"/>
      <c r="AV13" s="404"/>
      <c r="AW13" s="404"/>
      <c r="AX13" s="404"/>
      <c r="AY13" s="404"/>
      <c r="AZ13" s="404"/>
      <c r="BA13" s="404"/>
      <c r="BB13" s="404"/>
      <c r="BC13" s="404"/>
      <c r="BD13" s="404"/>
      <c r="BE13" s="404"/>
      <c r="BF13" s="404"/>
      <c r="BG13" s="404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4"/>
      <c r="DD13" s="404"/>
      <c r="DE13" s="404"/>
      <c r="DF13" s="404"/>
      <c r="DG13" s="404"/>
      <c r="DH13" s="404"/>
      <c r="DI13" s="404"/>
      <c r="DJ13" s="404"/>
      <c r="DK13" s="404"/>
      <c r="DL13" s="404"/>
      <c r="DM13" s="404"/>
      <c r="DN13" s="404"/>
      <c r="DO13" s="404"/>
      <c r="DP13" s="404"/>
      <c r="DQ13" s="404"/>
      <c r="DR13" s="404"/>
      <c r="DS13" s="404"/>
      <c r="DT13" s="404"/>
      <c r="DU13" s="404"/>
      <c r="DV13" s="404"/>
      <c r="DW13" s="404"/>
      <c r="DX13" s="404"/>
      <c r="DY13" s="404"/>
      <c r="DZ13" s="404"/>
      <c r="EA13" s="404"/>
      <c r="EB13" s="404"/>
      <c r="EC13" s="404"/>
      <c r="ED13" s="404"/>
      <c r="EE13" s="404"/>
      <c r="EF13" s="404"/>
      <c r="EG13" s="404"/>
      <c r="EH13" s="404"/>
      <c r="EI13" s="404"/>
      <c r="EJ13" s="404"/>
      <c r="EK13" s="404"/>
      <c r="EL13" s="404"/>
      <c r="EM13" s="404"/>
      <c r="EN13" s="404"/>
      <c r="EO13" s="404"/>
      <c r="EP13" s="404"/>
      <c r="EQ13" s="404"/>
      <c r="ER13" s="404"/>
      <c r="ES13" s="404"/>
      <c r="ET13" s="404"/>
      <c r="EU13" s="404"/>
      <c r="EV13" s="404"/>
      <c r="EW13" s="404"/>
      <c r="EX13" s="404"/>
      <c r="EY13" s="404"/>
      <c r="EZ13" s="404"/>
      <c r="FA13" s="404"/>
      <c r="FB13" s="404"/>
      <c r="FC13" s="404"/>
      <c r="FD13" s="404"/>
      <c r="FE13" s="404"/>
      <c r="FF13" s="404"/>
      <c r="FG13" s="404"/>
      <c r="FH13" s="404"/>
      <c r="FI13" s="404"/>
      <c r="FJ13" s="404"/>
      <c r="FK13" s="404"/>
      <c r="FL13" s="404"/>
      <c r="FM13" s="404"/>
      <c r="FN13" s="404"/>
      <c r="FO13" s="404"/>
      <c r="FP13" s="404"/>
      <c r="FQ13" s="404"/>
      <c r="FR13" s="404"/>
      <c r="FS13" s="404"/>
      <c r="FT13" s="404"/>
      <c r="FU13" s="404"/>
      <c r="FV13" s="404"/>
      <c r="FW13" s="404"/>
      <c r="FX13" s="404"/>
      <c r="FY13" s="404"/>
      <c r="FZ13" s="404"/>
      <c r="GA13" s="404"/>
      <c r="GB13" s="404"/>
      <c r="GC13" s="404"/>
      <c r="GD13" s="404"/>
      <c r="GE13" s="404"/>
      <c r="GF13" s="404"/>
      <c r="GG13" s="404"/>
      <c r="GH13" s="404"/>
      <c r="GI13" s="404"/>
      <c r="GJ13" s="404"/>
      <c r="GK13" s="404"/>
      <c r="GL13" s="404"/>
      <c r="GM13" s="404"/>
      <c r="GN13" s="404"/>
      <c r="GO13" s="404"/>
      <c r="GP13" s="404"/>
      <c r="GQ13" s="404"/>
      <c r="GR13" s="404"/>
      <c r="GS13" s="404"/>
      <c r="GT13" s="404"/>
      <c r="GU13" s="404"/>
      <c r="GV13" s="404"/>
      <c r="GW13" s="404"/>
      <c r="GX13" s="404"/>
      <c r="GY13" s="404"/>
      <c r="GZ13" s="404"/>
      <c r="HA13" s="404"/>
      <c r="HB13" s="404"/>
      <c r="HC13" s="404"/>
      <c r="HD13" s="404"/>
      <c r="HE13" s="404"/>
      <c r="HF13" s="404"/>
      <c r="HG13" s="404"/>
      <c r="HH13" s="404"/>
      <c r="HI13" s="404"/>
      <c r="HJ13" s="404"/>
      <c r="HK13" s="404"/>
      <c r="HL13" s="404"/>
      <c r="HM13" s="404"/>
      <c r="HN13" s="404"/>
      <c r="HO13" s="404"/>
      <c r="HP13" s="404"/>
      <c r="HQ13" s="404"/>
      <c r="HR13" s="404"/>
      <c r="HS13" s="404"/>
      <c r="HT13" s="404"/>
      <c r="HU13" s="404"/>
      <c r="HV13" s="404"/>
      <c r="HW13" s="404"/>
      <c r="HX13" s="404"/>
      <c r="HY13" s="404"/>
      <c r="HZ13" s="404"/>
      <c r="IA13" s="404"/>
    </row>
    <row r="14" spans="1:235" s="309" customFormat="1" ht="15" customHeight="1" x14ac:dyDescent="0.3">
      <c r="A14" s="231">
        <v>2.0099999999999998</v>
      </c>
      <c r="B14" s="288" t="s">
        <v>574</v>
      </c>
      <c r="C14" s="289" t="str">
        <f>VLOOKUP(BD.PD[[#This Row],[Pos]],PPto[],3,FALSE)</f>
        <v xml:space="preserve">2.01 Edificación - Obra Civil </v>
      </c>
      <c r="D14" s="290" t="s">
        <v>574</v>
      </c>
      <c r="E14" s="291">
        <f>IF(BD.PD[[#This Row],[.]]="*",VLOOKUP(BD.PD[[#This Row],[Pos]],Presupuesto!A:H,7,FALSE),"")</f>
        <v>8353.66</v>
      </c>
      <c r="F14" s="292"/>
      <c r="G14" s="292" t="s">
        <v>575</v>
      </c>
      <c r="H14" s="292"/>
      <c r="I14" s="293">
        <v>1</v>
      </c>
      <c r="J14" s="290" t="s">
        <v>456</v>
      </c>
      <c r="K14" s="294">
        <f>IF(BD.PD[[#This Row],[Mon]]="DOP",1,HLOOKUP(BD.PD[[#This Row],[Mon]],$J$1:$K$2,2,FALSE))</f>
        <v>63</v>
      </c>
      <c r="L14" s="295">
        <v>0</v>
      </c>
      <c r="M14" s="296">
        <f>BD.PD[[#This Row],[Cant.]]*BD.PD[[#This Row],[ Tasa ]]*BD.PD[[#This Row],[ Precio Und.]]</f>
        <v>0</v>
      </c>
      <c r="N14" s="297">
        <v>0</v>
      </c>
      <c r="O14" s="296">
        <f>IF(BD.PD[[#This Row],[Liquid. '[%']]]&lt;&gt;0,(BD.PD[[#This Row],[Valor Neto '[DOP']]]*BD.PD[[#This Row],[Liquid. '[%']]])+BD.PD[[#This Row],[Valor Neto '[DOP']]],BD.PD[[#This Row],[Valor Neto '[DOP']]])</f>
        <v>0</v>
      </c>
      <c r="P14" s="298">
        <f>BD.PD[[#This Row],[Ppto. Orden Interna '[DOP']]]/HLOOKUP("USD",$J$1:$K$2,2,FALSE)</f>
        <v>0</v>
      </c>
      <c r="Q14" s="299"/>
      <c r="R14" s="292"/>
      <c r="S14" s="300"/>
      <c r="T14" s="301"/>
      <c r="U14" s="302">
        <f>BD.PD[[#This Row],[Av.P1 '[%']]]*BD.PD[[#This Row],[Ppto. Orden Interna '[DOP']]]</f>
        <v>0</v>
      </c>
      <c r="V14" s="303"/>
      <c r="W14" s="304"/>
      <c r="X14" s="302">
        <f>BD.PD[[#This Row],[Av.P2 '[%']]]*BD.PD[[#This Row],[Ppto. Orden Interna '[DOP']]]</f>
        <v>0</v>
      </c>
      <c r="Y14" s="303"/>
      <c r="Z14" s="304"/>
      <c r="AA14" s="302">
        <f>BD.PD[[#This Row],[Av.P3 '[%']]]*BD.PD[[#This Row],[Ppto. Orden Interna '[DOP']]]</f>
        <v>0</v>
      </c>
      <c r="AB14" s="303"/>
      <c r="AC14" s="304"/>
      <c r="AD14" s="302">
        <f>BD.PD[[#This Row],[Av.P4 '[%']]]*BD.PD[[#This Row],[Ppto. Orden Interna '[DOP']]]</f>
        <v>0</v>
      </c>
      <c r="AE14" s="303"/>
      <c r="AF14" s="304"/>
      <c r="AG14" s="302">
        <f>BD.PD[[#This Row],[Av.P5 '[%']]]*BD.PD[[#This Row],[Ppto. Orden Interna '[DOP']]]</f>
        <v>0</v>
      </c>
      <c r="AH14" s="305">
        <f>BD.PD[[#This Row],[Pago 5]]+BD.PD[[#This Row],[Pago 4]]+BD.PD[[#This Row],[Pago 3]]+BD.PD[[#This Row],[Pago 2]]+BD.PD[[#This Row],[Pago 1]]</f>
        <v>0</v>
      </c>
      <c r="AI14" s="404"/>
      <c r="AJ14" s="404"/>
      <c r="AK14" s="404"/>
      <c r="AL14" s="404"/>
      <c r="AM14" s="404"/>
      <c r="AN14" s="404"/>
      <c r="AO14" s="404"/>
      <c r="AP14" s="404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4"/>
      <c r="BD14" s="404"/>
      <c r="BE14" s="404"/>
      <c r="BF14" s="404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4"/>
      <c r="DD14" s="404"/>
      <c r="DE14" s="404"/>
      <c r="DF14" s="404"/>
      <c r="DG14" s="404"/>
      <c r="DH14" s="404"/>
      <c r="DI14" s="404"/>
      <c r="DJ14" s="404"/>
      <c r="DK14" s="404"/>
      <c r="DL14" s="404"/>
      <c r="DM14" s="404"/>
      <c r="DN14" s="404"/>
      <c r="DO14" s="404"/>
      <c r="DP14" s="404"/>
      <c r="DQ14" s="404"/>
      <c r="DR14" s="404"/>
      <c r="DS14" s="404"/>
      <c r="DT14" s="404"/>
      <c r="DU14" s="404"/>
      <c r="DV14" s="404"/>
      <c r="DW14" s="404"/>
      <c r="DX14" s="404"/>
      <c r="DY14" s="404"/>
      <c r="DZ14" s="404"/>
      <c r="EA14" s="404"/>
      <c r="EB14" s="404"/>
      <c r="EC14" s="404"/>
      <c r="ED14" s="404"/>
      <c r="EE14" s="404"/>
      <c r="EF14" s="404"/>
      <c r="EG14" s="404"/>
      <c r="EH14" s="404"/>
      <c r="EI14" s="404"/>
      <c r="EJ14" s="404"/>
      <c r="EK14" s="404"/>
      <c r="EL14" s="404"/>
      <c r="EM14" s="404"/>
      <c r="EN14" s="404"/>
      <c r="EO14" s="404"/>
      <c r="EP14" s="404"/>
      <c r="EQ14" s="404"/>
      <c r="ER14" s="404"/>
      <c r="ES14" s="404"/>
      <c r="ET14" s="404"/>
      <c r="EU14" s="404"/>
      <c r="EV14" s="404"/>
      <c r="EW14" s="404"/>
      <c r="EX14" s="404"/>
      <c r="EY14" s="404"/>
      <c r="EZ14" s="404"/>
      <c r="FA14" s="404"/>
      <c r="FB14" s="404"/>
      <c r="FC14" s="404"/>
      <c r="FD14" s="404"/>
      <c r="FE14" s="404"/>
      <c r="FF14" s="404"/>
      <c r="FG14" s="404"/>
      <c r="FH14" s="404"/>
      <c r="FI14" s="404"/>
      <c r="FJ14" s="404"/>
      <c r="FK14" s="404"/>
      <c r="FL14" s="404"/>
      <c r="FM14" s="404"/>
      <c r="FN14" s="404"/>
      <c r="FO14" s="404"/>
      <c r="FP14" s="404"/>
      <c r="FQ14" s="404"/>
      <c r="FR14" s="404"/>
      <c r="FS14" s="404"/>
      <c r="FT14" s="404"/>
      <c r="FU14" s="404"/>
      <c r="FV14" s="404"/>
      <c r="FW14" s="404"/>
      <c r="FX14" s="404"/>
      <c r="FY14" s="404"/>
      <c r="FZ14" s="404"/>
      <c r="GA14" s="404"/>
      <c r="GB14" s="404"/>
      <c r="GC14" s="404"/>
      <c r="GD14" s="404"/>
      <c r="GE14" s="404"/>
      <c r="GF14" s="404"/>
      <c r="GG14" s="404"/>
      <c r="GH14" s="404"/>
      <c r="GI14" s="404"/>
      <c r="GJ14" s="404"/>
      <c r="GK14" s="404"/>
      <c r="GL14" s="404"/>
      <c r="GM14" s="404"/>
      <c r="GN14" s="404"/>
      <c r="GO14" s="404"/>
      <c r="GP14" s="404"/>
      <c r="GQ14" s="404"/>
      <c r="GR14" s="404"/>
      <c r="GS14" s="404"/>
      <c r="GT14" s="404"/>
      <c r="GU14" s="404"/>
      <c r="GV14" s="404"/>
      <c r="GW14" s="404"/>
      <c r="GX14" s="404"/>
      <c r="GY14" s="404"/>
      <c r="GZ14" s="404"/>
      <c r="HA14" s="404"/>
      <c r="HB14" s="404"/>
      <c r="HC14" s="404"/>
      <c r="HD14" s="404"/>
      <c r="HE14" s="404"/>
      <c r="HF14" s="404"/>
      <c r="HG14" s="404"/>
      <c r="HH14" s="404"/>
      <c r="HI14" s="404"/>
      <c r="HJ14" s="404"/>
      <c r="HK14" s="404"/>
      <c r="HL14" s="404"/>
      <c r="HM14" s="404"/>
      <c r="HN14" s="404"/>
      <c r="HO14" s="404"/>
      <c r="HP14" s="404"/>
      <c r="HQ14" s="404"/>
      <c r="HR14" s="404"/>
      <c r="HS14" s="404"/>
      <c r="HT14" s="404"/>
      <c r="HU14" s="404"/>
      <c r="HV14" s="404"/>
      <c r="HW14" s="404"/>
      <c r="HX14" s="404"/>
      <c r="HY14" s="404"/>
      <c r="HZ14" s="404"/>
      <c r="IA14" s="404"/>
    </row>
    <row r="15" spans="1:235" s="309" customFormat="1" ht="15" customHeight="1" x14ac:dyDescent="0.3">
      <c r="A15" s="231">
        <v>2.0099999999999998</v>
      </c>
      <c r="B15" s="288"/>
      <c r="C15" s="289" t="str">
        <f>VLOOKUP(BD.PD[[#This Row],[Pos]],PPto[],3,FALSE)</f>
        <v xml:space="preserve">2.01 Edificación - Obra Civil </v>
      </c>
      <c r="D15" s="231" t="s">
        <v>22</v>
      </c>
      <c r="E15" s="291" t="str">
        <f>IF(BD.PD[[#This Row],[.]]="*",VLOOKUP(BD.PD[[#This Row],[Pos]],Presupuesto!A:H,7,FALSE),"")</f>
        <v/>
      </c>
      <c r="F15" s="390" t="s">
        <v>124</v>
      </c>
      <c r="G15" s="292">
        <v>4512595609</v>
      </c>
      <c r="H15" s="358">
        <v>45838</v>
      </c>
      <c r="I15" s="359">
        <v>177.12</v>
      </c>
      <c r="J15" s="231" t="s">
        <v>456</v>
      </c>
      <c r="K15" s="294">
        <f>IF(BD.PD[[#This Row],[Mon]]="DOP",1,HLOOKUP(BD.PD[[#This Row],[Mon]],$J$1:$K$2,2,FALSE))</f>
        <v>63</v>
      </c>
      <c r="L15" s="360">
        <v>25.2</v>
      </c>
      <c r="M15" s="296">
        <f>BD.PD[[#This Row],[Cant.]]*BD.PD[[#This Row],[ Tasa ]]*BD.PD[[#This Row],[ Precio Und.]]</f>
        <v>281195.712</v>
      </c>
      <c r="N15" s="297">
        <v>0</v>
      </c>
      <c r="O15" s="296">
        <f>IF(BD.PD[[#This Row],[Liquid. '[%']]]&lt;&gt;0,(BD.PD[[#This Row],[Valor Neto '[DOP']]]*BD.PD[[#This Row],[Liquid. '[%']]])+BD.PD[[#This Row],[Valor Neto '[DOP']]],BD.PD[[#This Row],[Valor Neto '[DOP']]])</f>
        <v>281195.712</v>
      </c>
      <c r="P15" s="298">
        <f>BD.PD[[#This Row],[Ppto. Orden Interna '[DOP']]]/HLOOKUP("USD",$J$1:$K$2,2,FALSE)</f>
        <v>4463.424</v>
      </c>
      <c r="Q15" s="299"/>
      <c r="R15" s="292" t="s">
        <v>576</v>
      </c>
      <c r="S15" s="300">
        <v>6</v>
      </c>
      <c r="T15" s="301">
        <v>0.5</v>
      </c>
      <c r="U15" s="302">
        <f>BD.PD[[#This Row],[Av.P1 '[%']]]*BD.PD[[#This Row],[Ppto. Orden Interna '[DOP']]]</f>
        <v>140597.856</v>
      </c>
      <c r="V15" s="303">
        <v>12</v>
      </c>
      <c r="W15" s="304">
        <v>0.5</v>
      </c>
      <c r="X15" s="302">
        <f>BD.PD[[#This Row],[Av.P2 '[%']]]*BD.PD[[#This Row],[Ppto. Orden Interna '[DOP']]]</f>
        <v>140597.856</v>
      </c>
      <c r="Y15" s="303"/>
      <c r="Z15" s="304"/>
      <c r="AA15" s="302">
        <f>BD.PD[[#This Row],[Av.P3 '[%']]]*BD.PD[[#This Row],[Ppto. Orden Interna '[DOP']]]</f>
        <v>0</v>
      </c>
      <c r="AB15" s="303"/>
      <c r="AC15" s="304"/>
      <c r="AD15" s="302">
        <f>BD.PD[[#This Row],[Av.P4 '[%']]]*BD.PD[[#This Row],[Ppto. Orden Interna '[DOP']]]</f>
        <v>0</v>
      </c>
      <c r="AE15" s="303"/>
      <c r="AF15" s="304"/>
      <c r="AG15" s="302">
        <f>BD.PD[[#This Row],[Av.P5 '[%']]]*BD.PD[[#This Row],[Ppto. Orden Interna '[DOP']]]</f>
        <v>0</v>
      </c>
      <c r="AH15" s="305">
        <f>BD.PD[[#This Row],[Pago 5]]+BD.PD[[#This Row],[Pago 4]]+BD.PD[[#This Row],[Pago 3]]+BD.PD[[#This Row],[Pago 2]]+BD.PD[[#This Row],[Pago 1]]</f>
        <v>281195.712</v>
      </c>
      <c r="AI15" s="404"/>
      <c r="AJ15" s="404"/>
      <c r="AK15" s="404"/>
      <c r="AL15" s="404"/>
      <c r="AM15" s="404"/>
      <c r="AN15" s="404"/>
      <c r="AO15" s="404"/>
      <c r="AP15" s="404"/>
      <c r="AQ15" s="404"/>
      <c r="AR15" s="404"/>
      <c r="AS15" s="404"/>
      <c r="AT15" s="404"/>
      <c r="AU15" s="404"/>
      <c r="AV15" s="404"/>
      <c r="AW15" s="404"/>
      <c r="AX15" s="404"/>
      <c r="AY15" s="404"/>
      <c r="AZ15" s="404"/>
      <c r="BA15" s="404"/>
      <c r="BB15" s="404"/>
      <c r="BC15" s="404"/>
      <c r="BD15" s="404"/>
      <c r="BE15" s="404"/>
      <c r="BF15" s="404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4"/>
      <c r="DD15" s="404"/>
      <c r="DE15" s="404"/>
      <c r="DF15" s="404"/>
      <c r="DG15" s="404"/>
      <c r="DH15" s="404"/>
      <c r="DI15" s="404"/>
      <c r="DJ15" s="404"/>
      <c r="DK15" s="404"/>
      <c r="DL15" s="404"/>
      <c r="DM15" s="404"/>
      <c r="DN15" s="404"/>
      <c r="DO15" s="404"/>
      <c r="DP15" s="404"/>
      <c r="DQ15" s="404"/>
      <c r="DR15" s="404"/>
      <c r="DS15" s="404"/>
      <c r="DT15" s="404"/>
      <c r="DU15" s="404"/>
      <c r="DV15" s="404"/>
      <c r="DW15" s="404"/>
      <c r="DX15" s="404"/>
      <c r="DY15" s="404"/>
      <c r="DZ15" s="404"/>
      <c r="EA15" s="404"/>
      <c r="EB15" s="404"/>
      <c r="EC15" s="404"/>
      <c r="ED15" s="404"/>
      <c r="EE15" s="404"/>
      <c r="EF15" s="404"/>
      <c r="EG15" s="404"/>
      <c r="EH15" s="404"/>
      <c r="EI15" s="404"/>
      <c r="EJ15" s="404"/>
      <c r="EK15" s="404"/>
      <c r="EL15" s="404"/>
      <c r="EM15" s="404"/>
      <c r="EN15" s="404"/>
      <c r="EO15" s="404"/>
      <c r="EP15" s="404"/>
      <c r="EQ15" s="404"/>
      <c r="ER15" s="404"/>
      <c r="ES15" s="404"/>
      <c r="ET15" s="404"/>
      <c r="EU15" s="404"/>
      <c r="EV15" s="404"/>
      <c r="EW15" s="404"/>
      <c r="EX15" s="404"/>
      <c r="EY15" s="404"/>
      <c r="EZ15" s="404"/>
      <c r="FA15" s="404"/>
      <c r="FB15" s="404"/>
      <c r="FC15" s="404"/>
      <c r="FD15" s="404"/>
      <c r="FE15" s="404"/>
      <c r="FF15" s="404"/>
      <c r="FG15" s="404"/>
      <c r="FH15" s="404"/>
      <c r="FI15" s="404"/>
      <c r="FJ15" s="404"/>
      <c r="FK15" s="404"/>
      <c r="FL15" s="404"/>
      <c r="FM15" s="404"/>
      <c r="FN15" s="404"/>
      <c r="FO15" s="404"/>
      <c r="FP15" s="404"/>
      <c r="FQ15" s="404"/>
      <c r="FR15" s="404"/>
      <c r="FS15" s="404"/>
      <c r="FT15" s="404"/>
      <c r="FU15" s="404"/>
      <c r="FV15" s="404"/>
      <c r="FW15" s="404"/>
      <c r="FX15" s="404"/>
      <c r="FY15" s="404"/>
      <c r="FZ15" s="404"/>
      <c r="GA15" s="404"/>
      <c r="GB15" s="404"/>
      <c r="GC15" s="404"/>
      <c r="GD15" s="404"/>
      <c r="GE15" s="404"/>
      <c r="GF15" s="404"/>
      <c r="GG15" s="404"/>
      <c r="GH15" s="404"/>
      <c r="GI15" s="404"/>
      <c r="GJ15" s="404"/>
      <c r="GK15" s="404"/>
      <c r="GL15" s="404"/>
      <c r="GM15" s="404"/>
      <c r="GN15" s="404"/>
      <c r="GO15" s="404"/>
      <c r="GP15" s="404"/>
      <c r="GQ15" s="404"/>
      <c r="GR15" s="404"/>
      <c r="GS15" s="404"/>
      <c r="GT15" s="404"/>
      <c r="GU15" s="404"/>
      <c r="GV15" s="404"/>
      <c r="GW15" s="404"/>
      <c r="GX15" s="404"/>
      <c r="GY15" s="404"/>
      <c r="GZ15" s="404"/>
      <c r="HA15" s="404"/>
      <c r="HB15" s="404"/>
      <c r="HC15" s="404"/>
      <c r="HD15" s="404"/>
      <c r="HE15" s="404"/>
      <c r="HF15" s="404"/>
      <c r="HG15" s="404"/>
      <c r="HH15" s="404"/>
      <c r="HI15" s="404"/>
      <c r="HJ15" s="404"/>
      <c r="HK15" s="404"/>
      <c r="HL15" s="404"/>
      <c r="HM15" s="404"/>
      <c r="HN15" s="404"/>
      <c r="HO15" s="404"/>
      <c r="HP15" s="404"/>
      <c r="HQ15" s="404"/>
      <c r="HR15" s="404"/>
      <c r="HS15" s="404"/>
      <c r="HT15" s="404"/>
      <c r="HU15" s="404"/>
      <c r="HV15" s="404"/>
      <c r="HW15" s="404"/>
      <c r="HX15" s="404"/>
      <c r="HY15" s="404"/>
      <c r="HZ15" s="404"/>
      <c r="IA15" s="404"/>
    </row>
    <row r="16" spans="1:235" s="309" customFormat="1" ht="15" customHeight="1" x14ac:dyDescent="0.3">
      <c r="A16" s="231">
        <v>2.0099999999999998</v>
      </c>
      <c r="B16" s="288"/>
      <c r="C16" s="289" t="str">
        <f>VLOOKUP(BD.PD[[#This Row],[Pos]],PPto[],3,FALSE)</f>
        <v xml:space="preserve">2.01 Edificación - Obra Civil </v>
      </c>
      <c r="D16" s="231" t="s">
        <v>22</v>
      </c>
      <c r="E16" s="291" t="str">
        <f>IF(BD.PD[[#This Row],[.]]="*",VLOOKUP(BD.PD[[#This Row],[Pos]],Presupuesto!A:H,7,FALSE),"")</f>
        <v/>
      </c>
      <c r="F16" s="390" t="s">
        <v>125</v>
      </c>
      <c r="G16" s="292">
        <v>4512595609</v>
      </c>
      <c r="H16" s="358">
        <v>45869</v>
      </c>
      <c r="I16" s="359">
        <v>26.7</v>
      </c>
      <c r="J16" s="231" t="s">
        <v>456</v>
      </c>
      <c r="K16" s="294">
        <f>IF(BD.PD[[#This Row],[Mon]]="DOP",1,HLOOKUP(BD.PD[[#This Row],[Mon]],$J$1:$K$2,2,FALSE))</f>
        <v>63</v>
      </c>
      <c r="L16" s="360">
        <v>34</v>
      </c>
      <c r="M16" s="296">
        <f>BD.PD[[#This Row],[Cant.]]*BD.PD[[#This Row],[ Tasa ]]*BD.PD[[#This Row],[ Precio Und.]]</f>
        <v>57191.399999999994</v>
      </c>
      <c r="N16" s="297">
        <v>0</v>
      </c>
      <c r="O16" s="296">
        <f>IF(BD.PD[[#This Row],[Liquid. '[%']]]&lt;&gt;0,(BD.PD[[#This Row],[Valor Neto '[DOP']]]*BD.PD[[#This Row],[Liquid. '[%']]])+BD.PD[[#This Row],[Valor Neto '[DOP']]],BD.PD[[#This Row],[Valor Neto '[DOP']]])</f>
        <v>57191.399999999994</v>
      </c>
      <c r="P16" s="298">
        <f>BD.PD[[#This Row],[Ppto. Orden Interna '[DOP']]]/HLOOKUP("USD",$J$1:$K$2,2,FALSE)</f>
        <v>907.8</v>
      </c>
      <c r="Q16" s="299"/>
      <c r="R16" s="292" t="s">
        <v>576</v>
      </c>
      <c r="S16" s="300">
        <v>8</v>
      </c>
      <c r="T16" s="301">
        <v>0.5</v>
      </c>
      <c r="U16" s="302">
        <f>BD.PD[[#This Row],[Av.P1 '[%']]]*BD.PD[[#This Row],[Ppto. Orden Interna '[DOP']]]</f>
        <v>28595.699999999997</v>
      </c>
      <c r="V16" s="303">
        <v>12</v>
      </c>
      <c r="W16" s="304">
        <v>0.5</v>
      </c>
      <c r="X16" s="302">
        <f>BD.PD[[#This Row],[Av.P2 '[%']]]*BD.PD[[#This Row],[Ppto. Orden Interna '[DOP']]]</f>
        <v>28595.699999999997</v>
      </c>
      <c r="Y16" s="303"/>
      <c r="Z16" s="304"/>
      <c r="AA16" s="302">
        <f>BD.PD[[#This Row],[Av.P3 '[%']]]*BD.PD[[#This Row],[Ppto. Orden Interna '[DOP']]]</f>
        <v>0</v>
      </c>
      <c r="AB16" s="303"/>
      <c r="AC16" s="304"/>
      <c r="AD16" s="302">
        <f>BD.PD[[#This Row],[Av.P4 '[%']]]*BD.PD[[#This Row],[Ppto. Orden Interna '[DOP']]]</f>
        <v>0</v>
      </c>
      <c r="AE16" s="303"/>
      <c r="AF16" s="304"/>
      <c r="AG16" s="302">
        <f>BD.PD[[#This Row],[Av.P5 '[%']]]*BD.PD[[#This Row],[Ppto. Orden Interna '[DOP']]]</f>
        <v>0</v>
      </c>
      <c r="AH16" s="305">
        <f>BD.PD[[#This Row],[Pago 5]]+BD.PD[[#This Row],[Pago 4]]+BD.PD[[#This Row],[Pago 3]]+BD.PD[[#This Row],[Pago 2]]+BD.PD[[#This Row],[Pago 1]]</f>
        <v>57191.399999999994</v>
      </c>
      <c r="AI16" s="404"/>
      <c r="AJ16" s="404"/>
      <c r="AK16" s="404"/>
      <c r="AL16" s="404"/>
      <c r="AM16" s="404"/>
      <c r="AN16" s="404"/>
      <c r="AO16" s="404"/>
      <c r="AP16" s="404"/>
      <c r="AQ16" s="404"/>
      <c r="AR16" s="4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4"/>
      <c r="DD16" s="404"/>
      <c r="DE16" s="404"/>
      <c r="DF16" s="404"/>
      <c r="DG16" s="404"/>
      <c r="DH16" s="404"/>
      <c r="DI16" s="404"/>
      <c r="DJ16" s="404"/>
      <c r="DK16" s="404"/>
      <c r="DL16" s="404"/>
      <c r="DM16" s="404"/>
      <c r="DN16" s="404"/>
      <c r="DO16" s="404"/>
      <c r="DP16" s="404"/>
      <c r="DQ16" s="404"/>
      <c r="DR16" s="404"/>
      <c r="DS16" s="404"/>
      <c r="DT16" s="404"/>
      <c r="DU16" s="404"/>
      <c r="DV16" s="404"/>
      <c r="DW16" s="404"/>
      <c r="DX16" s="404"/>
      <c r="DY16" s="404"/>
      <c r="DZ16" s="404"/>
      <c r="EA16" s="404"/>
      <c r="EB16" s="404"/>
      <c r="EC16" s="404"/>
      <c r="ED16" s="404"/>
      <c r="EE16" s="404"/>
      <c r="EF16" s="404"/>
      <c r="EG16" s="404"/>
      <c r="EH16" s="404"/>
      <c r="EI16" s="404"/>
      <c r="EJ16" s="404"/>
      <c r="EK16" s="404"/>
      <c r="EL16" s="404"/>
      <c r="EM16" s="404"/>
      <c r="EN16" s="404"/>
      <c r="EO16" s="404"/>
      <c r="EP16" s="404"/>
      <c r="EQ16" s="404"/>
      <c r="ER16" s="404"/>
      <c r="ES16" s="404"/>
      <c r="ET16" s="404"/>
      <c r="EU16" s="404"/>
      <c r="EV16" s="404"/>
      <c r="EW16" s="404"/>
      <c r="EX16" s="404"/>
      <c r="EY16" s="404"/>
      <c r="EZ16" s="404"/>
      <c r="FA16" s="404"/>
      <c r="FB16" s="404"/>
      <c r="FC16" s="404"/>
      <c r="FD16" s="404"/>
      <c r="FE16" s="404"/>
      <c r="FF16" s="404"/>
      <c r="FG16" s="404"/>
      <c r="FH16" s="404"/>
      <c r="FI16" s="404"/>
      <c r="FJ16" s="404"/>
      <c r="FK16" s="404"/>
      <c r="FL16" s="404"/>
      <c r="FM16" s="404"/>
      <c r="FN16" s="404"/>
      <c r="FO16" s="404"/>
      <c r="FP16" s="404"/>
      <c r="FQ16" s="404"/>
      <c r="FR16" s="404"/>
      <c r="FS16" s="404"/>
      <c r="FT16" s="404"/>
      <c r="FU16" s="404"/>
      <c r="FV16" s="404"/>
      <c r="FW16" s="404"/>
      <c r="FX16" s="404"/>
      <c r="FY16" s="404"/>
      <c r="FZ16" s="404"/>
      <c r="GA16" s="404"/>
      <c r="GB16" s="404"/>
      <c r="GC16" s="404"/>
      <c r="GD16" s="404"/>
      <c r="GE16" s="404"/>
      <c r="GF16" s="404"/>
      <c r="GG16" s="404"/>
      <c r="GH16" s="404"/>
      <c r="GI16" s="404"/>
      <c r="GJ16" s="404"/>
      <c r="GK16" s="404"/>
      <c r="GL16" s="404"/>
      <c r="GM16" s="404"/>
      <c r="GN16" s="404"/>
      <c r="GO16" s="404"/>
      <c r="GP16" s="404"/>
      <c r="GQ16" s="404"/>
      <c r="GR16" s="404"/>
      <c r="GS16" s="404"/>
      <c r="GT16" s="404"/>
      <c r="GU16" s="404"/>
      <c r="GV16" s="404"/>
      <c r="GW16" s="404"/>
      <c r="GX16" s="404"/>
      <c r="GY16" s="404"/>
      <c r="GZ16" s="404"/>
      <c r="HA16" s="404"/>
      <c r="HB16" s="404"/>
      <c r="HC16" s="404"/>
      <c r="HD16" s="404"/>
      <c r="HE16" s="404"/>
      <c r="HF16" s="404"/>
      <c r="HG16" s="404"/>
      <c r="HH16" s="404"/>
      <c r="HI16" s="404"/>
      <c r="HJ16" s="404"/>
      <c r="HK16" s="404"/>
      <c r="HL16" s="404"/>
      <c r="HM16" s="404"/>
      <c r="HN16" s="404"/>
      <c r="HO16" s="404"/>
      <c r="HP16" s="404"/>
      <c r="HQ16" s="404"/>
      <c r="HR16" s="404"/>
      <c r="HS16" s="404"/>
      <c r="HT16" s="404"/>
      <c r="HU16" s="404"/>
      <c r="HV16" s="404"/>
      <c r="HW16" s="404"/>
      <c r="HX16" s="404"/>
      <c r="HY16" s="404"/>
      <c r="HZ16" s="404"/>
      <c r="IA16" s="404"/>
    </row>
    <row r="17" spans="1:235" s="309" customFormat="1" ht="15" customHeight="1" x14ac:dyDescent="0.3">
      <c r="A17" s="231">
        <v>2.0099999999999998</v>
      </c>
      <c r="B17" s="288"/>
      <c r="C17" s="289" t="str">
        <f>VLOOKUP(BD.PD[[#This Row],[Pos]],PPto[],3,FALSE)</f>
        <v xml:space="preserve">2.01 Edificación - Obra Civil </v>
      </c>
      <c r="D17" s="231" t="s">
        <v>22</v>
      </c>
      <c r="E17" s="291" t="str">
        <f>IF(BD.PD[[#This Row],[.]]="*",VLOOKUP(BD.PD[[#This Row],[Pos]],Presupuesto!A:H,7,FALSE),"")</f>
        <v/>
      </c>
      <c r="F17" s="390" t="s">
        <v>123</v>
      </c>
      <c r="G17" s="292">
        <v>4512595609</v>
      </c>
      <c r="H17" s="358">
        <v>45869</v>
      </c>
      <c r="I17" s="359">
        <v>46.44</v>
      </c>
      <c r="J17" s="231" t="s">
        <v>456</v>
      </c>
      <c r="K17" s="294">
        <f>IF(BD.PD[[#This Row],[Mon]]="DOP",1,HLOOKUP(BD.PD[[#This Row],[Mon]],$J$1:$K$2,2,FALSE))</f>
        <v>63</v>
      </c>
      <c r="L17" s="360">
        <v>19.399999999999999</v>
      </c>
      <c r="M17" s="296">
        <f>BD.PD[[#This Row],[Cant.]]*BD.PD[[#This Row],[ Tasa ]]*BD.PD[[#This Row],[ Precio Und.]]</f>
        <v>56758.967999999993</v>
      </c>
      <c r="N17" s="297">
        <v>0</v>
      </c>
      <c r="O17" s="296">
        <f>IF(BD.PD[[#This Row],[Liquid. '[%']]]&lt;&gt;0,(BD.PD[[#This Row],[Valor Neto '[DOP']]]*BD.PD[[#This Row],[Liquid. '[%']]])+BD.PD[[#This Row],[Valor Neto '[DOP']]],BD.PD[[#This Row],[Valor Neto '[DOP']]])</f>
        <v>56758.967999999993</v>
      </c>
      <c r="P17" s="298">
        <f>BD.PD[[#This Row],[Ppto. Orden Interna '[DOP']]]/HLOOKUP("USD",$J$1:$K$2,2,FALSE)</f>
        <v>900.93599999999992</v>
      </c>
      <c r="Q17" s="299"/>
      <c r="R17" s="292" t="s">
        <v>576</v>
      </c>
      <c r="S17" s="300">
        <v>8</v>
      </c>
      <c r="T17" s="301">
        <v>0.5</v>
      </c>
      <c r="U17" s="302">
        <f>BD.PD[[#This Row],[Av.P1 '[%']]]*BD.PD[[#This Row],[Ppto. Orden Interna '[DOP']]]</f>
        <v>28379.483999999997</v>
      </c>
      <c r="V17" s="303">
        <v>12</v>
      </c>
      <c r="W17" s="304">
        <v>0.5</v>
      </c>
      <c r="X17" s="302">
        <f>BD.PD[[#This Row],[Av.P2 '[%']]]*BD.PD[[#This Row],[Ppto. Orden Interna '[DOP']]]</f>
        <v>28379.483999999997</v>
      </c>
      <c r="Y17" s="303"/>
      <c r="Z17" s="304"/>
      <c r="AA17" s="302">
        <f>BD.PD[[#This Row],[Av.P3 '[%']]]*BD.PD[[#This Row],[Ppto. Orden Interna '[DOP']]]</f>
        <v>0</v>
      </c>
      <c r="AB17" s="303"/>
      <c r="AC17" s="304"/>
      <c r="AD17" s="302">
        <f>BD.PD[[#This Row],[Av.P4 '[%']]]*BD.PD[[#This Row],[Ppto. Orden Interna '[DOP']]]</f>
        <v>0</v>
      </c>
      <c r="AE17" s="303"/>
      <c r="AF17" s="304"/>
      <c r="AG17" s="302">
        <f>BD.PD[[#This Row],[Av.P5 '[%']]]*BD.PD[[#This Row],[Ppto. Orden Interna '[DOP']]]</f>
        <v>0</v>
      </c>
      <c r="AH17" s="305">
        <f>BD.PD[[#This Row],[Pago 5]]+BD.PD[[#This Row],[Pago 4]]+BD.PD[[#This Row],[Pago 3]]+BD.PD[[#This Row],[Pago 2]]+BD.PD[[#This Row],[Pago 1]]</f>
        <v>56758.967999999993</v>
      </c>
      <c r="AI17" s="404"/>
      <c r="AJ17" s="404"/>
      <c r="AK17" s="404"/>
      <c r="AL17" s="404"/>
      <c r="AM17" s="404"/>
      <c r="AN17" s="404"/>
      <c r="AO17" s="404"/>
      <c r="AP17" s="404"/>
      <c r="AQ17" s="404"/>
      <c r="AR17" s="404"/>
      <c r="AS17" s="404"/>
      <c r="AT17" s="404"/>
      <c r="AU17" s="404"/>
      <c r="AV17" s="404"/>
      <c r="AW17" s="404"/>
      <c r="AX17" s="404"/>
      <c r="AY17" s="404"/>
      <c r="AZ17" s="404"/>
      <c r="BA17" s="404"/>
      <c r="BB17" s="404"/>
      <c r="BC17" s="404"/>
      <c r="BD17" s="404"/>
      <c r="BE17" s="404"/>
      <c r="BF17" s="404"/>
      <c r="BG17" s="404"/>
      <c r="BH17" s="404"/>
      <c r="BI17" s="404"/>
      <c r="BJ17" s="404"/>
      <c r="BK17" s="404"/>
      <c r="BL17" s="404"/>
      <c r="BM17" s="404"/>
      <c r="BN17" s="404"/>
      <c r="BO17" s="404"/>
      <c r="BP17" s="404"/>
      <c r="BQ17" s="404"/>
      <c r="BR17" s="404"/>
      <c r="BS17" s="404"/>
      <c r="BT17" s="404"/>
      <c r="BU17" s="404"/>
      <c r="BV17" s="404"/>
      <c r="BW17" s="404"/>
      <c r="BX17" s="404"/>
      <c r="BY17" s="404"/>
      <c r="BZ17" s="404"/>
      <c r="CA17" s="404"/>
      <c r="CB17" s="404"/>
      <c r="CC17" s="404"/>
      <c r="CD17" s="404"/>
      <c r="CE17" s="404"/>
      <c r="CF17" s="404"/>
      <c r="CG17" s="404"/>
      <c r="CH17" s="404"/>
      <c r="CI17" s="404"/>
      <c r="CJ17" s="404"/>
      <c r="CK17" s="404"/>
      <c r="CL17" s="404"/>
      <c r="CM17" s="404"/>
      <c r="CN17" s="404"/>
      <c r="CO17" s="404"/>
      <c r="CP17" s="404"/>
      <c r="CQ17" s="404"/>
      <c r="CR17" s="404"/>
      <c r="CS17" s="404"/>
      <c r="CT17" s="404"/>
      <c r="CU17" s="404"/>
      <c r="CV17" s="404"/>
      <c r="CW17" s="404"/>
      <c r="CX17" s="404"/>
      <c r="CY17" s="404"/>
      <c r="CZ17" s="404"/>
      <c r="DA17" s="404"/>
      <c r="DB17" s="404"/>
      <c r="DC17" s="404"/>
      <c r="DD17" s="404"/>
      <c r="DE17" s="404"/>
      <c r="DF17" s="404"/>
      <c r="DG17" s="404"/>
      <c r="DH17" s="404"/>
      <c r="DI17" s="404"/>
      <c r="DJ17" s="404"/>
      <c r="DK17" s="404"/>
      <c r="DL17" s="404"/>
      <c r="DM17" s="404"/>
      <c r="DN17" s="404"/>
      <c r="DO17" s="404"/>
      <c r="DP17" s="404"/>
      <c r="DQ17" s="404"/>
      <c r="DR17" s="404"/>
      <c r="DS17" s="404"/>
      <c r="DT17" s="404"/>
      <c r="DU17" s="404"/>
      <c r="DV17" s="404"/>
      <c r="DW17" s="404"/>
      <c r="DX17" s="404"/>
      <c r="DY17" s="404"/>
      <c r="DZ17" s="404"/>
      <c r="EA17" s="404"/>
      <c r="EB17" s="404"/>
      <c r="EC17" s="404"/>
      <c r="ED17" s="404"/>
      <c r="EE17" s="404"/>
      <c r="EF17" s="404"/>
      <c r="EG17" s="404"/>
      <c r="EH17" s="404"/>
      <c r="EI17" s="404"/>
      <c r="EJ17" s="404"/>
      <c r="EK17" s="404"/>
      <c r="EL17" s="404"/>
      <c r="EM17" s="404"/>
      <c r="EN17" s="404"/>
      <c r="EO17" s="404"/>
      <c r="EP17" s="404"/>
      <c r="EQ17" s="404"/>
      <c r="ER17" s="404"/>
      <c r="ES17" s="404"/>
      <c r="ET17" s="404"/>
      <c r="EU17" s="404"/>
      <c r="EV17" s="404"/>
      <c r="EW17" s="404"/>
      <c r="EX17" s="404"/>
      <c r="EY17" s="404"/>
      <c r="EZ17" s="404"/>
      <c r="FA17" s="404"/>
      <c r="FB17" s="404"/>
      <c r="FC17" s="404"/>
      <c r="FD17" s="404"/>
      <c r="FE17" s="404"/>
      <c r="FF17" s="404"/>
      <c r="FG17" s="404"/>
      <c r="FH17" s="404"/>
      <c r="FI17" s="404"/>
      <c r="FJ17" s="404"/>
      <c r="FK17" s="404"/>
      <c r="FL17" s="404"/>
      <c r="FM17" s="404"/>
      <c r="FN17" s="404"/>
      <c r="FO17" s="404"/>
      <c r="FP17" s="404"/>
      <c r="FQ17" s="404"/>
      <c r="FR17" s="404"/>
      <c r="FS17" s="404"/>
      <c r="FT17" s="404"/>
      <c r="FU17" s="404"/>
      <c r="FV17" s="404"/>
      <c r="FW17" s="404"/>
      <c r="FX17" s="404"/>
      <c r="FY17" s="404"/>
      <c r="FZ17" s="404"/>
      <c r="GA17" s="404"/>
      <c r="GB17" s="404"/>
      <c r="GC17" s="404"/>
      <c r="GD17" s="404"/>
      <c r="GE17" s="404"/>
      <c r="GF17" s="404"/>
      <c r="GG17" s="404"/>
      <c r="GH17" s="404"/>
      <c r="GI17" s="404"/>
      <c r="GJ17" s="404"/>
      <c r="GK17" s="404"/>
      <c r="GL17" s="404"/>
      <c r="GM17" s="404"/>
      <c r="GN17" s="404"/>
      <c r="GO17" s="404"/>
      <c r="GP17" s="404"/>
      <c r="GQ17" s="404"/>
      <c r="GR17" s="404"/>
      <c r="GS17" s="404"/>
      <c r="GT17" s="404"/>
      <c r="GU17" s="404"/>
      <c r="GV17" s="404"/>
      <c r="GW17" s="404"/>
      <c r="GX17" s="404"/>
      <c r="GY17" s="404"/>
      <c r="GZ17" s="404"/>
      <c r="HA17" s="404"/>
      <c r="HB17" s="404"/>
      <c r="HC17" s="404"/>
      <c r="HD17" s="404"/>
      <c r="HE17" s="404"/>
      <c r="HF17" s="404"/>
      <c r="HG17" s="404"/>
      <c r="HH17" s="404"/>
      <c r="HI17" s="404"/>
      <c r="HJ17" s="404"/>
      <c r="HK17" s="404"/>
      <c r="HL17" s="404"/>
      <c r="HM17" s="404"/>
      <c r="HN17" s="404"/>
      <c r="HO17" s="404"/>
      <c r="HP17" s="404"/>
      <c r="HQ17" s="404"/>
      <c r="HR17" s="404"/>
      <c r="HS17" s="404"/>
      <c r="HT17" s="404"/>
      <c r="HU17" s="404"/>
      <c r="HV17" s="404"/>
      <c r="HW17" s="404"/>
      <c r="HX17" s="404"/>
      <c r="HY17" s="404"/>
      <c r="HZ17" s="404"/>
      <c r="IA17" s="404"/>
    </row>
    <row r="18" spans="1:235" s="309" customFormat="1" ht="15" customHeight="1" x14ac:dyDescent="0.3">
      <c r="A18" s="231">
        <v>2.0099999999999998</v>
      </c>
      <c r="B18" s="288"/>
      <c r="C18" s="289" t="str">
        <f>VLOOKUP(BD.PD[[#This Row],[Pos]],PPto[],3,FALSE)</f>
        <v xml:space="preserve">2.01 Edificación - Obra Civil </v>
      </c>
      <c r="D18" s="231" t="s">
        <v>22</v>
      </c>
      <c r="E18" s="291" t="str">
        <f>IF(BD.PD[[#This Row],[.]]="*",VLOOKUP(BD.PD[[#This Row],[Pos]],Presupuesto!A:H,7,FALSE),"")</f>
        <v/>
      </c>
      <c r="F18" s="390" t="s">
        <v>577</v>
      </c>
      <c r="G18" s="292">
        <v>4512560301</v>
      </c>
      <c r="H18" s="358">
        <v>45869</v>
      </c>
      <c r="I18" s="359">
        <v>90.5</v>
      </c>
      <c r="J18" s="231" t="s">
        <v>456</v>
      </c>
      <c r="K18" s="294">
        <f>IF(BD.PD[[#This Row],[Mon]]="DOP",1,HLOOKUP(BD.PD[[#This Row],[Mon]],$J$1:$K$2,2,FALSE))</f>
        <v>63</v>
      </c>
      <c r="L18" s="360">
        <v>23</v>
      </c>
      <c r="M18" s="296">
        <f>BD.PD[[#This Row],[Cant.]]*BD.PD[[#This Row],[ Tasa ]]*BD.PD[[#This Row],[ Precio Und.]]</f>
        <v>131134.5</v>
      </c>
      <c r="N18" s="297">
        <v>0</v>
      </c>
      <c r="O18" s="296">
        <f>IF(BD.PD[[#This Row],[Liquid. '[%']]]&lt;&gt;0,(BD.PD[[#This Row],[Valor Neto '[DOP']]]*BD.PD[[#This Row],[Liquid. '[%']]])+BD.PD[[#This Row],[Valor Neto '[DOP']]],BD.PD[[#This Row],[Valor Neto '[DOP']]])</f>
        <v>131134.5</v>
      </c>
      <c r="P18" s="298">
        <f>BD.PD[[#This Row],[Ppto. Orden Interna '[DOP']]]/HLOOKUP("USD",$J$1:$K$2,2,FALSE)</f>
        <v>2081.5</v>
      </c>
      <c r="Q18" s="299"/>
      <c r="R18" s="292" t="s">
        <v>576</v>
      </c>
      <c r="S18" s="300">
        <v>8</v>
      </c>
      <c r="T18" s="301">
        <v>0.5</v>
      </c>
      <c r="U18" s="302">
        <f>BD.PD[[#This Row],[Av.P1 '[%']]]*BD.PD[[#This Row],[Ppto. Orden Interna '[DOP']]]</f>
        <v>65567.25</v>
      </c>
      <c r="V18" s="303">
        <v>12</v>
      </c>
      <c r="W18" s="304">
        <v>0.5</v>
      </c>
      <c r="X18" s="302">
        <f>BD.PD[[#This Row],[Av.P2 '[%']]]*BD.PD[[#This Row],[Ppto. Orden Interna '[DOP']]]</f>
        <v>65567.25</v>
      </c>
      <c r="Y18" s="303"/>
      <c r="Z18" s="304"/>
      <c r="AA18" s="302">
        <f>BD.PD[[#This Row],[Av.P3 '[%']]]*BD.PD[[#This Row],[Ppto. Orden Interna '[DOP']]]</f>
        <v>0</v>
      </c>
      <c r="AB18" s="303"/>
      <c r="AC18" s="304"/>
      <c r="AD18" s="302">
        <f>BD.PD[[#This Row],[Av.P4 '[%']]]*BD.PD[[#This Row],[Ppto. Orden Interna '[DOP']]]</f>
        <v>0</v>
      </c>
      <c r="AE18" s="303"/>
      <c r="AF18" s="304"/>
      <c r="AG18" s="302">
        <f>BD.PD[[#This Row],[Av.P5 '[%']]]*BD.PD[[#This Row],[Ppto. Orden Interna '[DOP']]]</f>
        <v>0</v>
      </c>
      <c r="AH18" s="305">
        <f>BD.PD[[#This Row],[Pago 5]]+BD.PD[[#This Row],[Pago 4]]+BD.PD[[#This Row],[Pago 3]]+BD.PD[[#This Row],[Pago 2]]+BD.PD[[#This Row],[Pago 1]]</f>
        <v>131134.5</v>
      </c>
      <c r="AI18" s="404"/>
      <c r="AJ18" s="404"/>
      <c r="AK18" s="404"/>
      <c r="AL18" s="404"/>
      <c r="AM18" s="404"/>
      <c r="AN18" s="404"/>
      <c r="AO18" s="404"/>
      <c r="AP18" s="404"/>
      <c r="AQ18" s="404"/>
      <c r="AR18" s="404"/>
      <c r="AS18" s="404"/>
      <c r="AT18" s="404"/>
      <c r="AU18" s="404"/>
      <c r="AV18" s="404"/>
      <c r="AW18" s="404"/>
      <c r="AX18" s="404"/>
      <c r="AY18" s="404"/>
      <c r="AZ18" s="404"/>
      <c r="BA18" s="404"/>
      <c r="BB18" s="404"/>
      <c r="BC18" s="404"/>
      <c r="BD18" s="404"/>
      <c r="BE18" s="404"/>
      <c r="BF18" s="404"/>
      <c r="BG18" s="404"/>
      <c r="BH18" s="404"/>
      <c r="BI18" s="404"/>
      <c r="BJ18" s="404"/>
      <c r="BK18" s="404"/>
      <c r="BL18" s="404"/>
      <c r="BM18" s="404"/>
      <c r="BN18" s="404"/>
      <c r="BO18" s="404"/>
      <c r="BP18" s="404"/>
      <c r="BQ18" s="404"/>
      <c r="BR18" s="404"/>
      <c r="BS18" s="404"/>
      <c r="BT18" s="404"/>
      <c r="BU18" s="404"/>
      <c r="BV18" s="404"/>
      <c r="BW18" s="404"/>
      <c r="BX18" s="404"/>
      <c r="BY18" s="404"/>
      <c r="BZ18" s="404"/>
      <c r="CA18" s="404"/>
      <c r="CB18" s="404"/>
      <c r="CC18" s="404"/>
      <c r="CD18" s="404"/>
      <c r="CE18" s="404"/>
      <c r="CF18" s="404"/>
      <c r="CG18" s="404"/>
      <c r="CH18" s="404"/>
      <c r="CI18" s="404"/>
      <c r="CJ18" s="404"/>
      <c r="CK18" s="404"/>
      <c r="CL18" s="404"/>
      <c r="CM18" s="404"/>
      <c r="CN18" s="404"/>
      <c r="CO18" s="404"/>
      <c r="CP18" s="404"/>
      <c r="CQ18" s="404"/>
      <c r="CR18" s="404"/>
      <c r="CS18" s="404"/>
      <c r="CT18" s="404"/>
      <c r="CU18" s="404"/>
      <c r="CV18" s="404"/>
      <c r="CW18" s="404"/>
      <c r="CX18" s="404"/>
      <c r="CY18" s="404"/>
      <c r="CZ18" s="404"/>
      <c r="DA18" s="404"/>
      <c r="DB18" s="404"/>
      <c r="DC18" s="404"/>
      <c r="DD18" s="404"/>
      <c r="DE18" s="404"/>
      <c r="DF18" s="404"/>
      <c r="DG18" s="404"/>
      <c r="DH18" s="404"/>
      <c r="DI18" s="404"/>
      <c r="DJ18" s="404"/>
      <c r="DK18" s="404"/>
      <c r="DL18" s="404"/>
      <c r="DM18" s="404"/>
      <c r="DN18" s="404"/>
      <c r="DO18" s="404"/>
      <c r="DP18" s="404"/>
      <c r="DQ18" s="404"/>
      <c r="DR18" s="404"/>
      <c r="DS18" s="404"/>
      <c r="DT18" s="404"/>
      <c r="DU18" s="404"/>
      <c r="DV18" s="404"/>
      <c r="DW18" s="404"/>
      <c r="DX18" s="404"/>
      <c r="DY18" s="404"/>
      <c r="DZ18" s="404"/>
      <c r="EA18" s="404"/>
      <c r="EB18" s="404"/>
      <c r="EC18" s="404"/>
      <c r="ED18" s="404"/>
      <c r="EE18" s="404"/>
      <c r="EF18" s="404"/>
      <c r="EG18" s="404"/>
      <c r="EH18" s="404"/>
      <c r="EI18" s="404"/>
      <c r="EJ18" s="404"/>
      <c r="EK18" s="404"/>
      <c r="EL18" s="404"/>
      <c r="EM18" s="404"/>
      <c r="EN18" s="404"/>
      <c r="EO18" s="404"/>
      <c r="EP18" s="404"/>
      <c r="EQ18" s="404"/>
      <c r="ER18" s="404"/>
      <c r="ES18" s="404"/>
      <c r="ET18" s="404"/>
      <c r="EU18" s="404"/>
      <c r="EV18" s="404"/>
      <c r="EW18" s="404"/>
      <c r="EX18" s="404"/>
      <c r="EY18" s="404"/>
      <c r="EZ18" s="404"/>
      <c r="FA18" s="404"/>
      <c r="FB18" s="404"/>
      <c r="FC18" s="404"/>
      <c r="FD18" s="404"/>
      <c r="FE18" s="404"/>
      <c r="FF18" s="404"/>
      <c r="FG18" s="404"/>
      <c r="FH18" s="404"/>
      <c r="FI18" s="404"/>
      <c r="FJ18" s="404"/>
      <c r="FK18" s="404"/>
      <c r="FL18" s="404"/>
      <c r="FM18" s="404"/>
      <c r="FN18" s="404"/>
      <c r="FO18" s="404"/>
      <c r="FP18" s="404"/>
      <c r="FQ18" s="404"/>
      <c r="FR18" s="404"/>
      <c r="FS18" s="404"/>
      <c r="FT18" s="404"/>
      <c r="FU18" s="404"/>
      <c r="FV18" s="404"/>
      <c r="FW18" s="404"/>
      <c r="FX18" s="404"/>
      <c r="FY18" s="404"/>
      <c r="FZ18" s="404"/>
      <c r="GA18" s="404"/>
      <c r="GB18" s="404"/>
      <c r="GC18" s="404"/>
      <c r="GD18" s="404"/>
      <c r="GE18" s="404"/>
      <c r="GF18" s="404"/>
      <c r="GG18" s="404"/>
      <c r="GH18" s="404"/>
      <c r="GI18" s="404"/>
      <c r="GJ18" s="404"/>
      <c r="GK18" s="404"/>
      <c r="GL18" s="404"/>
      <c r="GM18" s="404"/>
      <c r="GN18" s="404"/>
      <c r="GO18" s="404"/>
      <c r="GP18" s="404"/>
      <c r="GQ18" s="404"/>
      <c r="GR18" s="404"/>
      <c r="GS18" s="404"/>
      <c r="GT18" s="404"/>
      <c r="GU18" s="404"/>
      <c r="GV18" s="404"/>
      <c r="GW18" s="404"/>
      <c r="GX18" s="404"/>
      <c r="GY18" s="404"/>
      <c r="GZ18" s="404"/>
      <c r="HA18" s="404"/>
      <c r="HB18" s="404"/>
      <c r="HC18" s="404"/>
      <c r="HD18" s="404"/>
      <c r="HE18" s="404"/>
      <c r="HF18" s="404"/>
      <c r="HG18" s="404"/>
      <c r="HH18" s="404"/>
      <c r="HI18" s="404"/>
      <c r="HJ18" s="404"/>
      <c r="HK18" s="404"/>
      <c r="HL18" s="404"/>
      <c r="HM18" s="404"/>
      <c r="HN18" s="404"/>
      <c r="HO18" s="404"/>
      <c r="HP18" s="404"/>
      <c r="HQ18" s="404"/>
      <c r="HR18" s="404"/>
      <c r="HS18" s="404"/>
      <c r="HT18" s="404"/>
      <c r="HU18" s="404"/>
      <c r="HV18" s="404"/>
      <c r="HW18" s="404"/>
      <c r="HX18" s="404"/>
      <c r="HY18" s="404"/>
      <c r="HZ18" s="404"/>
      <c r="IA18" s="404"/>
    </row>
    <row r="19" spans="1:235" s="309" customFormat="1" ht="15" customHeight="1" x14ac:dyDescent="0.3">
      <c r="A19" s="231">
        <v>2.02</v>
      </c>
      <c r="B19" s="288" t="s">
        <v>574</v>
      </c>
      <c r="C19" s="289" t="str">
        <f>VLOOKUP(BD.PD[[#This Row],[Pos]],PPto[],3,FALSE)</f>
        <v>2.02 Edificación - Estructura Metálica</v>
      </c>
      <c r="D19" s="290" t="s">
        <v>574</v>
      </c>
      <c r="E19" s="291">
        <f>IF(BD.PD[[#This Row],[.]]="*",VLOOKUP(BD.PD[[#This Row],[Pos]],Presupuesto!A:H,7,FALSE),"")</f>
        <v>0</v>
      </c>
      <c r="F19" s="292"/>
      <c r="G19" s="292" t="s">
        <v>575</v>
      </c>
      <c r="H19" s="292"/>
      <c r="I19" s="293">
        <v>1</v>
      </c>
      <c r="J19" s="290" t="s">
        <v>456</v>
      </c>
      <c r="K19" s="294">
        <f>IF(BD.PD[[#This Row],[Mon]]="DOP",1,HLOOKUP(BD.PD[[#This Row],[Mon]],$J$1:$K$2,2,FALSE))</f>
        <v>63</v>
      </c>
      <c r="L19" s="295">
        <v>0</v>
      </c>
      <c r="M19" s="296">
        <f>BD.PD[[#This Row],[Cant.]]*BD.PD[[#This Row],[ Tasa ]]*BD.PD[[#This Row],[ Precio Und.]]</f>
        <v>0</v>
      </c>
      <c r="N19" s="297">
        <v>0</v>
      </c>
      <c r="O19" s="296">
        <f>IF(BD.PD[[#This Row],[Liquid. '[%']]]&lt;&gt;0,(BD.PD[[#This Row],[Valor Neto '[DOP']]]*BD.PD[[#This Row],[Liquid. '[%']]])+BD.PD[[#This Row],[Valor Neto '[DOP']]],BD.PD[[#This Row],[Valor Neto '[DOP']]])</f>
        <v>0</v>
      </c>
      <c r="P19" s="298">
        <f>BD.PD[[#This Row],[Ppto. Orden Interna '[DOP']]]/HLOOKUP("USD",$J$1:$K$2,2,FALSE)</f>
        <v>0</v>
      </c>
      <c r="Q19" s="299"/>
      <c r="R19" s="292"/>
      <c r="S19" s="300"/>
      <c r="T19" s="301"/>
      <c r="U19" s="302">
        <f>BD.PD[[#This Row],[Av.P1 '[%']]]*BD.PD[[#This Row],[Ppto. Orden Interna '[DOP']]]</f>
        <v>0</v>
      </c>
      <c r="V19" s="303"/>
      <c r="W19" s="304"/>
      <c r="X19" s="302">
        <f>BD.PD[[#This Row],[Av.P2 '[%']]]*BD.PD[[#This Row],[Ppto. Orden Interna '[DOP']]]</f>
        <v>0</v>
      </c>
      <c r="Y19" s="303"/>
      <c r="Z19" s="304"/>
      <c r="AA19" s="302">
        <f>BD.PD[[#This Row],[Av.P3 '[%']]]*BD.PD[[#This Row],[Ppto. Orden Interna '[DOP']]]</f>
        <v>0</v>
      </c>
      <c r="AB19" s="303"/>
      <c r="AC19" s="304"/>
      <c r="AD19" s="302">
        <f>BD.PD[[#This Row],[Av.P4 '[%']]]*BD.PD[[#This Row],[Ppto. Orden Interna '[DOP']]]</f>
        <v>0</v>
      </c>
      <c r="AE19" s="303"/>
      <c r="AF19" s="304"/>
      <c r="AG19" s="302">
        <f>BD.PD[[#This Row],[Av.P5 '[%']]]*BD.PD[[#This Row],[Ppto. Orden Interna '[DOP']]]</f>
        <v>0</v>
      </c>
      <c r="AH19" s="305">
        <f>BD.PD[[#This Row],[Pago 5]]+BD.PD[[#This Row],[Pago 4]]+BD.PD[[#This Row],[Pago 3]]+BD.PD[[#This Row],[Pago 2]]+BD.PD[[#This Row],[Pago 1]]</f>
        <v>0</v>
      </c>
      <c r="AI19" s="404"/>
      <c r="AJ19" s="404"/>
      <c r="AK19" s="404"/>
      <c r="AL19" s="404"/>
      <c r="AM19" s="404"/>
      <c r="AN19" s="404"/>
      <c r="AO19" s="404"/>
      <c r="AP19" s="404"/>
      <c r="AQ19" s="404"/>
      <c r="AR19" s="404"/>
      <c r="AS19" s="404"/>
      <c r="AT19" s="404"/>
      <c r="AU19" s="404"/>
      <c r="AV19" s="404"/>
      <c r="AW19" s="404"/>
      <c r="AX19" s="404"/>
      <c r="AY19" s="404"/>
      <c r="AZ19" s="404"/>
      <c r="BA19" s="404"/>
      <c r="BB19" s="404"/>
      <c r="BC19" s="404"/>
      <c r="BD19" s="404"/>
      <c r="BE19" s="404"/>
      <c r="BF19" s="404"/>
      <c r="BG19" s="404"/>
      <c r="BH19" s="404"/>
      <c r="BI19" s="404"/>
      <c r="BJ19" s="404"/>
      <c r="BK19" s="404"/>
      <c r="BL19" s="404"/>
      <c r="BM19" s="404"/>
      <c r="BN19" s="404"/>
      <c r="BO19" s="404"/>
      <c r="BP19" s="404"/>
      <c r="BQ19" s="404"/>
      <c r="BR19" s="404"/>
      <c r="BS19" s="404"/>
      <c r="BT19" s="404"/>
      <c r="BU19" s="404"/>
      <c r="BV19" s="404"/>
      <c r="BW19" s="404"/>
      <c r="BX19" s="404"/>
      <c r="BY19" s="404"/>
      <c r="BZ19" s="404"/>
      <c r="CA19" s="404"/>
      <c r="CB19" s="404"/>
      <c r="CC19" s="404"/>
      <c r="CD19" s="404"/>
      <c r="CE19" s="404"/>
      <c r="CF19" s="404"/>
      <c r="CG19" s="404"/>
      <c r="CH19" s="404"/>
      <c r="CI19" s="404"/>
      <c r="CJ19" s="404"/>
      <c r="CK19" s="404"/>
      <c r="CL19" s="404"/>
      <c r="CM19" s="404"/>
      <c r="CN19" s="404"/>
      <c r="CO19" s="404"/>
      <c r="CP19" s="404"/>
      <c r="CQ19" s="404"/>
      <c r="CR19" s="404"/>
      <c r="CS19" s="404"/>
      <c r="CT19" s="404"/>
      <c r="CU19" s="404"/>
      <c r="CV19" s="404"/>
      <c r="CW19" s="404"/>
      <c r="CX19" s="404"/>
      <c r="CY19" s="404"/>
      <c r="CZ19" s="404"/>
      <c r="DA19" s="404"/>
      <c r="DB19" s="404"/>
      <c r="DC19" s="404"/>
      <c r="DD19" s="404"/>
      <c r="DE19" s="404"/>
      <c r="DF19" s="404"/>
      <c r="DG19" s="404"/>
      <c r="DH19" s="404"/>
      <c r="DI19" s="404"/>
      <c r="DJ19" s="404"/>
      <c r="DK19" s="404"/>
      <c r="DL19" s="404"/>
      <c r="DM19" s="404"/>
      <c r="DN19" s="404"/>
      <c r="DO19" s="404"/>
      <c r="DP19" s="404"/>
      <c r="DQ19" s="404"/>
      <c r="DR19" s="404"/>
      <c r="DS19" s="404"/>
      <c r="DT19" s="404"/>
      <c r="DU19" s="404"/>
      <c r="DV19" s="404"/>
      <c r="DW19" s="404"/>
      <c r="DX19" s="404"/>
      <c r="DY19" s="404"/>
      <c r="DZ19" s="404"/>
      <c r="EA19" s="404"/>
      <c r="EB19" s="404"/>
      <c r="EC19" s="404"/>
      <c r="ED19" s="404"/>
      <c r="EE19" s="404"/>
      <c r="EF19" s="404"/>
      <c r="EG19" s="404"/>
      <c r="EH19" s="404"/>
      <c r="EI19" s="404"/>
      <c r="EJ19" s="404"/>
      <c r="EK19" s="404"/>
      <c r="EL19" s="404"/>
      <c r="EM19" s="404"/>
      <c r="EN19" s="404"/>
      <c r="EO19" s="404"/>
      <c r="EP19" s="404"/>
      <c r="EQ19" s="404"/>
      <c r="ER19" s="404"/>
      <c r="ES19" s="404"/>
      <c r="ET19" s="404"/>
      <c r="EU19" s="404"/>
      <c r="EV19" s="404"/>
      <c r="EW19" s="404"/>
      <c r="EX19" s="404"/>
      <c r="EY19" s="404"/>
      <c r="EZ19" s="404"/>
      <c r="FA19" s="404"/>
      <c r="FB19" s="404"/>
      <c r="FC19" s="404"/>
      <c r="FD19" s="404"/>
      <c r="FE19" s="404"/>
      <c r="FF19" s="404"/>
      <c r="FG19" s="404"/>
      <c r="FH19" s="404"/>
      <c r="FI19" s="404"/>
      <c r="FJ19" s="404"/>
      <c r="FK19" s="404"/>
      <c r="FL19" s="404"/>
      <c r="FM19" s="404"/>
      <c r="FN19" s="404"/>
      <c r="FO19" s="404"/>
      <c r="FP19" s="404"/>
      <c r="FQ19" s="404"/>
      <c r="FR19" s="404"/>
      <c r="FS19" s="404"/>
      <c r="FT19" s="404"/>
      <c r="FU19" s="404"/>
      <c r="FV19" s="404"/>
      <c r="FW19" s="404"/>
      <c r="FX19" s="404"/>
      <c r="FY19" s="404"/>
      <c r="FZ19" s="404"/>
      <c r="GA19" s="404"/>
      <c r="GB19" s="404"/>
      <c r="GC19" s="404"/>
      <c r="GD19" s="404"/>
      <c r="GE19" s="404"/>
      <c r="GF19" s="404"/>
      <c r="GG19" s="404"/>
      <c r="GH19" s="404"/>
      <c r="GI19" s="404"/>
      <c r="GJ19" s="404"/>
      <c r="GK19" s="404"/>
      <c r="GL19" s="404"/>
      <c r="GM19" s="404"/>
      <c r="GN19" s="404"/>
      <c r="GO19" s="404"/>
      <c r="GP19" s="404"/>
      <c r="GQ19" s="404"/>
      <c r="GR19" s="404"/>
      <c r="GS19" s="404"/>
      <c r="GT19" s="404"/>
      <c r="GU19" s="404"/>
      <c r="GV19" s="404"/>
      <c r="GW19" s="404"/>
      <c r="GX19" s="404"/>
      <c r="GY19" s="404"/>
      <c r="GZ19" s="404"/>
      <c r="HA19" s="404"/>
      <c r="HB19" s="404"/>
      <c r="HC19" s="404"/>
      <c r="HD19" s="404"/>
      <c r="HE19" s="404"/>
      <c r="HF19" s="404"/>
      <c r="HG19" s="404"/>
      <c r="HH19" s="404"/>
      <c r="HI19" s="404"/>
      <c r="HJ19" s="404"/>
      <c r="HK19" s="404"/>
      <c r="HL19" s="404"/>
      <c r="HM19" s="404"/>
      <c r="HN19" s="404"/>
      <c r="HO19" s="404"/>
      <c r="HP19" s="404"/>
      <c r="HQ19" s="404"/>
      <c r="HR19" s="404"/>
      <c r="HS19" s="404"/>
      <c r="HT19" s="404"/>
      <c r="HU19" s="404"/>
      <c r="HV19" s="404"/>
      <c r="HW19" s="404"/>
      <c r="HX19" s="404"/>
      <c r="HY19" s="404"/>
      <c r="HZ19" s="404"/>
      <c r="IA19" s="404"/>
    </row>
    <row r="20" spans="1:235" s="309" customFormat="1" ht="15" customHeight="1" x14ac:dyDescent="0.3">
      <c r="A20" s="231">
        <v>2.0299999999999998</v>
      </c>
      <c r="B20" s="288" t="s">
        <v>574</v>
      </c>
      <c r="C20" s="289" t="str">
        <f>VLOOKUP(BD.PD[[#This Row],[Pos]],PPto[],3,FALSE)</f>
        <v>2.03 Edificación - Techo S.S. y Cerramientos Multipanel</v>
      </c>
      <c r="D20" s="290" t="s">
        <v>574</v>
      </c>
      <c r="E20" s="291">
        <f>IF(BD.PD[[#This Row],[.]]="*",VLOOKUP(BD.PD[[#This Row],[Pos]],Presupuesto!A:H,7,FALSE),"")</f>
        <v>0</v>
      </c>
      <c r="F20" s="292"/>
      <c r="G20" s="292" t="s">
        <v>575</v>
      </c>
      <c r="H20" s="292"/>
      <c r="I20" s="293">
        <v>1</v>
      </c>
      <c r="J20" s="290" t="s">
        <v>456</v>
      </c>
      <c r="K20" s="294">
        <f>IF(BD.PD[[#This Row],[Mon]]="DOP",1,HLOOKUP(BD.PD[[#This Row],[Mon]],$J$1:$K$2,2,FALSE))</f>
        <v>63</v>
      </c>
      <c r="L20" s="295">
        <v>0</v>
      </c>
      <c r="M20" s="296">
        <f>BD.PD[[#This Row],[Cant.]]*BD.PD[[#This Row],[ Tasa ]]*BD.PD[[#This Row],[ Precio Und.]]</f>
        <v>0</v>
      </c>
      <c r="N20" s="297">
        <v>0</v>
      </c>
      <c r="O20" s="296">
        <f>IF(BD.PD[[#This Row],[Liquid. '[%']]]&lt;&gt;0,(BD.PD[[#This Row],[Valor Neto '[DOP']]]*BD.PD[[#This Row],[Liquid. '[%']]])+BD.PD[[#This Row],[Valor Neto '[DOP']]],BD.PD[[#This Row],[Valor Neto '[DOP']]])</f>
        <v>0</v>
      </c>
      <c r="P20" s="298">
        <f>BD.PD[[#This Row],[Ppto. Orden Interna '[DOP']]]/HLOOKUP("USD",$J$1:$K$2,2,FALSE)</f>
        <v>0</v>
      </c>
      <c r="Q20" s="299"/>
      <c r="R20" s="292"/>
      <c r="S20" s="300"/>
      <c r="T20" s="301"/>
      <c r="U20" s="302">
        <f>BD.PD[[#This Row],[Av.P1 '[%']]]*BD.PD[[#This Row],[Ppto. Orden Interna '[DOP']]]</f>
        <v>0</v>
      </c>
      <c r="V20" s="303"/>
      <c r="W20" s="304"/>
      <c r="X20" s="302">
        <f>BD.PD[[#This Row],[Av.P2 '[%']]]*BD.PD[[#This Row],[Ppto. Orden Interna '[DOP']]]</f>
        <v>0</v>
      </c>
      <c r="Y20" s="303"/>
      <c r="Z20" s="304"/>
      <c r="AA20" s="302">
        <f>BD.PD[[#This Row],[Av.P3 '[%']]]*BD.PD[[#This Row],[Ppto. Orden Interna '[DOP']]]</f>
        <v>0</v>
      </c>
      <c r="AB20" s="303"/>
      <c r="AC20" s="304"/>
      <c r="AD20" s="302">
        <f>BD.PD[[#This Row],[Av.P4 '[%']]]*BD.PD[[#This Row],[Ppto. Orden Interna '[DOP']]]</f>
        <v>0</v>
      </c>
      <c r="AE20" s="303"/>
      <c r="AF20" s="304"/>
      <c r="AG20" s="302">
        <f>BD.PD[[#This Row],[Av.P5 '[%']]]*BD.PD[[#This Row],[Ppto. Orden Interna '[DOP']]]</f>
        <v>0</v>
      </c>
      <c r="AH20" s="305">
        <f>BD.PD[[#This Row],[Pago 5]]+BD.PD[[#This Row],[Pago 4]]+BD.PD[[#This Row],[Pago 3]]+BD.PD[[#This Row],[Pago 2]]+BD.PD[[#This Row],[Pago 1]]</f>
        <v>0</v>
      </c>
      <c r="AI20" s="404"/>
      <c r="AJ20" s="404"/>
      <c r="AK20" s="404"/>
      <c r="AL20" s="404"/>
      <c r="AM20" s="404"/>
      <c r="AN20" s="404"/>
      <c r="AO20" s="404"/>
      <c r="AP20" s="404"/>
      <c r="AQ20" s="404"/>
      <c r="AR20" s="404"/>
      <c r="AS20" s="404"/>
      <c r="AT20" s="404"/>
      <c r="AU20" s="404"/>
      <c r="AV20" s="404"/>
      <c r="AW20" s="404"/>
      <c r="AX20" s="404"/>
      <c r="AY20" s="404"/>
      <c r="AZ20" s="404"/>
      <c r="BA20" s="404"/>
      <c r="BB20" s="404"/>
      <c r="BC20" s="404"/>
      <c r="BD20" s="404"/>
      <c r="BE20" s="404"/>
      <c r="BF20" s="404"/>
      <c r="BG20" s="404"/>
      <c r="BH20" s="404"/>
      <c r="BI20" s="404"/>
      <c r="BJ20" s="404"/>
      <c r="BK20" s="404"/>
      <c r="BL20" s="404"/>
      <c r="BM20" s="404"/>
      <c r="BN20" s="404"/>
      <c r="BO20" s="404"/>
      <c r="BP20" s="404"/>
      <c r="BQ20" s="404"/>
      <c r="BR20" s="404"/>
      <c r="BS20" s="404"/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4"/>
      <c r="DD20" s="404"/>
      <c r="DE20" s="404"/>
      <c r="DF20" s="404"/>
      <c r="DG20" s="404"/>
      <c r="DH20" s="404"/>
      <c r="DI20" s="404"/>
      <c r="DJ20" s="404"/>
      <c r="DK20" s="404"/>
      <c r="DL20" s="404"/>
      <c r="DM20" s="404"/>
      <c r="DN20" s="404"/>
      <c r="DO20" s="404"/>
      <c r="DP20" s="404"/>
      <c r="DQ20" s="404"/>
      <c r="DR20" s="404"/>
      <c r="DS20" s="404"/>
      <c r="DT20" s="404"/>
      <c r="DU20" s="404"/>
      <c r="DV20" s="404"/>
      <c r="DW20" s="404"/>
      <c r="DX20" s="404"/>
      <c r="DY20" s="404"/>
      <c r="DZ20" s="404"/>
      <c r="EA20" s="404"/>
      <c r="EB20" s="404"/>
      <c r="EC20" s="404"/>
      <c r="ED20" s="404"/>
      <c r="EE20" s="404"/>
      <c r="EF20" s="404"/>
      <c r="EG20" s="404"/>
      <c r="EH20" s="404"/>
      <c r="EI20" s="404"/>
      <c r="EJ20" s="404"/>
      <c r="EK20" s="404"/>
      <c r="EL20" s="404"/>
      <c r="EM20" s="404"/>
      <c r="EN20" s="404"/>
      <c r="EO20" s="404"/>
      <c r="EP20" s="404"/>
      <c r="EQ20" s="404"/>
      <c r="ER20" s="404"/>
      <c r="ES20" s="404"/>
      <c r="ET20" s="404"/>
      <c r="EU20" s="404"/>
      <c r="EV20" s="404"/>
      <c r="EW20" s="404"/>
      <c r="EX20" s="404"/>
      <c r="EY20" s="404"/>
      <c r="EZ20" s="404"/>
      <c r="FA20" s="404"/>
      <c r="FB20" s="404"/>
      <c r="FC20" s="404"/>
      <c r="FD20" s="404"/>
      <c r="FE20" s="404"/>
      <c r="FF20" s="404"/>
      <c r="FG20" s="404"/>
      <c r="FH20" s="404"/>
      <c r="FI20" s="404"/>
      <c r="FJ20" s="404"/>
      <c r="FK20" s="404"/>
      <c r="FL20" s="404"/>
      <c r="FM20" s="404"/>
      <c r="FN20" s="404"/>
      <c r="FO20" s="404"/>
      <c r="FP20" s="404"/>
      <c r="FQ20" s="404"/>
      <c r="FR20" s="404"/>
      <c r="FS20" s="404"/>
      <c r="FT20" s="404"/>
      <c r="FU20" s="404"/>
      <c r="FV20" s="404"/>
      <c r="FW20" s="404"/>
      <c r="FX20" s="404"/>
      <c r="FY20" s="404"/>
      <c r="FZ20" s="404"/>
      <c r="GA20" s="404"/>
      <c r="GB20" s="404"/>
      <c r="GC20" s="404"/>
      <c r="GD20" s="404"/>
      <c r="GE20" s="404"/>
      <c r="GF20" s="404"/>
      <c r="GG20" s="404"/>
      <c r="GH20" s="404"/>
      <c r="GI20" s="404"/>
      <c r="GJ20" s="404"/>
      <c r="GK20" s="404"/>
      <c r="GL20" s="404"/>
      <c r="GM20" s="404"/>
      <c r="GN20" s="404"/>
      <c r="GO20" s="404"/>
      <c r="GP20" s="404"/>
      <c r="GQ20" s="404"/>
      <c r="GR20" s="404"/>
      <c r="GS20" s="404"/>
      <c r="GT20" s="404"/>
      <c r="GU20" s="404"/>
      <c r="GV20" s="404"/>
      <c r="GW20" s="404"/>
      <c r="GX20" s="404"/>
      <c r="GY20" s="404"/>
      <c r="GZ20" s="404"/>
      <c r="HA20" s="404"/>
      <c r="HB20" s="404"/>
      <c r="HC20" s="404"/>
      <c r="HD20" s="404"/>
      <c r="HE20" s="404"/>
      <c r="HF20" s="404"/>
      <c r="HG20" s="404"/>
      <c r="HH20" s="404"/>
      <c r="HI20" s="404"/>
      <c r="HJ20" s="404"/>
      <c r="HK20" s="404"/>
      <c r="HL20" s="404"/>
      <c r="HM20" s="404"/>
      <c r="HN20" s="404"/>
      <c r="HO20" s="404"/>
      <c r="HP20" s="404"/>
      <c r="HQ20" s="404"/>
      <c r="HR20" s="404"/>
      <c r="HS20" s="404"/>
      <c r="HT20" s="404"/>
      <c r="HU20" s="404"/>
      <c r="HV20" s="404"/>
      <c r="HW20" s="404"/>
      <c r="HX20" s="404"/>
      <c r="HY20" s="404"/>
      <c r="HZ20" s="404"/>
      <c r="IA20" s="404"/>
    </row>
    <row r="21" spans="1:235" s="309" customFormat="1" ht="15" customHeight="1" x14ac:dyDescent="0.3">
      <c r="A21" s="231">
        <v>2.04</v>
      </c>
      <c r="B21" s="288" t="s">
        <v>574</v>
      </c>
      <c r="C21" s="289" t="str">
        <f>VLOOKUP(BD.PD[[#This Row],[Pos]],PPto[],3,FALSE)</f>
        <v>2.04 Edificación - Tragaluces "Skylights"</v>
      </c>
      <c r="D21" s="290" t="s">
        <v>574</v>
      </c>
      <c r="E21" s="291">
        <f>IF(BD.PD[[#This Row],[.]]="*",VLOOKUP(BD.PD[[#This Row],[Pos]],Presupuesto!A:H,7,FALSE),"")</f>
        <v>0</v>
      </c>
      <c r="F21" s="292"/>
      <c r="G21" s="292" t="s">
        <v>575</v>
      </c>
      <c r="H21" s="292"/>
      <c r="I21" s="293">
        <v>1</v>
      </c>
      <c r="J21" s="290" t="s">
        <v>456</v>
      </c>
      <c r="K21" s="294">
        <f>IF(BD.PD[[#This Row],[Mon]]="DOP",1,HLOOKUP(BD.PD[[#This Row],[Mon]],$J$1:$K$2,2,FALSE))</f>
        <v>63</v>
      </c>
      <c r="L21" s="295">
        <v>0</v>
      </c>
      <c r="M21" s="296">
        <f>BD.PD[[#This Row],[Cant.]]*BD.PD[[#This Row],[ Tasa ]]*BD.PD[[#This Row],[ Precio Und.]]</f>
        <v>0</v>
      </c>
      <c r="N21" s="297">
        <v>0</v>
      </c>
      <c r="O21" s="296">
        <f>IF(BD.PD[[#This Row],[Liquid. '[%']]]&lt;&gt;0,(BD.PD[[#This Row],[Valor Neto '[DOP']]]*BD.PD[[#This Row],[Liquid. '[%']]])+BD.PD[[#This Row],[Valor Neto '[DOP']]],BD.PD[[#This Row],[Valor Neto '[DOP']]])</f>
        <v>0</v>
      </c>
      <c r="P21" s="298">
        <f>BD.PD[[#This Row],[Ppto. Orden Interna '[DOP']]]/HLOOKUP("USD",$J$1:$K$2,2,FALSE)</f>
        <v>0</v>
      </c>
      <c r="Q21" s="299"/>
      <c r="R21" s="292"/>
      <c r="S21" s="300"/>
      <c r="T21" s="301"/>
      <c r="U21" s="302">
        <f>BD.PD[[#This Row],[Av.P1 '[%']]]*BD.PD[[#This Row],[Ppto. Orden Interna '[DOP']]]</f>
        <v>0</v>
      </c>
      <c r="V21" s="303"/>
      <c r="W21" s="304"/>
      <c r="X21" s="302">
        <f>BD.PD[[#This Row],[Av.P2 '[%']]]*BD.PD[[#This Row],[Ppto. Orden Interna '[DOP']]]</f>
        <v>0</v>
      </c>
      <c r="Y21" s="303"/>
      <c r="Z21" s="304"/>
      <c r="AA21" s="302">
        <f>BD.PD[[#This Row],[Av.P3 '[%']]]*BD.PD[[#This Row],[Ppto. Orden Interna '[DOP']]]</f>
        <v>0</v>
      </c>
      <c r="AB21" s="303"/>
      <c r="AC21" s="304"/>
      <c r="AD21" s="302">
        <f>BD.PD[[#This Row],[Av.P4 '[%']]]*BD.PD[[#This Row],[Ppto. Orden Interna '[DOP']]]</f>
        <v>0</v>
      </c>
      <c r="AE21" s="303"/>
      <c r="AF21" s="304"/>
      <c r="AG21" s="302">
        <f>BD.PD[[#This Row],[Av.P5 '[%']]]*BD.PD[[#This Row],[Ppto. Orden Interna '[DOP']]]</f>
        <v>0</v>
      </c>
      <c r="AH21" s="305">
        <f>BD.PD[[#This Row],[Pago 5]]+BD.PD[[#This Row],[Pago 4]]+BD.PD[[#This Row],[Pago 3]]+BD.PD[[#This Row],[Pago 2]]+BD.PD[[#This Row],[Pago 1]]</f>
        <v>0</v>
      </c>
      <c r="AI21" s="404"/>
      <c r="AJ21" s="404"/>
      <c r="AK21" s="404"/>
      <c r="AL21" s="404"/>
      <c r="AM21" s="404"/>
      <c r="AN21" s="404"/>
      <c r="AO21" s="404"/>
      <c r="AP21" s="404"/>
      <c r="AQ21" s="404"/>
      <c r="AR21" s="404"/>
      <c r="AS21" s="404"/>
      <c r="AT21" s="404"/>
      <c r="AU21" s="404"/>
      <c r="AV21" s="404"/>
      <c r="AW21" s="404"/>
      <c r="AX21" s="404"/>
      <c r="AY21" s="404"/>
      <c r="AZ21" s="404"/>
      <c r="BA21" s="404"/>
      <c r="BB21" s="404"/>
      <c r="BC21" s="404"/>
      <c r="BD21" s="404"/>
      <c r="BE21" s="404"/>
      <c r="BF21" s="404"/>
      <c r="BG21" s="404"/>
      <c r="BH21" s="404"/>
      <c r="BI21" s="404"/>
      <c r="BJ21" s="404"/>
      <c r="BK21" s="404"/>
      <c r="BL21" s="404"/>
      <c r="BM21" s="404"/>
      <c r="BN21" s="404"/>
      <c r="BO21" s="404"/>
      <c r="BP21" s="404"/>
      <c r="BQ21" s="404"/>
      <c r="BR21" s="404"/>
      <c r="BS21" s="404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4"/>
      <c r="DD21" s="404"/>
      <c r="DE21" s="404"/>
      <c r="DF21" s="404"/>
      <c r="DG21" s="404"/>
      <c r="DH21" s="404"/>
      <c r="DI21" s="404"/>
      <c r="DJ21" s="404"/>
      <c r="DK21" s="404"/>
      <c r="DL21" s="404"/>
      <c r="DM21" s="404"/>
      <c r="DN21" s="404"/>
      <c r="DO21" s="404"/>
      <c r="DP21" s="404"/>
      <c r="DQ21" s="404"/>
      <c r="DR21" s="404"/>
      <c r="DS21" s="404"/>
      <c r="DT21" s="404"/>
      <c r="DU21" s="404"/>
      <c r="DV21" s="404"/>
      <c r="DW21" s="404"/>
      <c r="DX21" s="404"/>
      <c r="DY21" s="404"/>
      <c r="DZ21" s="404"/>
      <c r="EA21" s="404"/>
      <c r="EB21" s="404"/>
      <c r="EC21" s="404"/>
      <c r="ED21" s="404"/>
      <c r="EE21" s="404"/>
      <c r="EF21" s="404"/>
      <c r="EG21" s="404"/>
      <c r="EH21" s="404"/>
      <c r="EI21" s="404"/>
      <c r="EJ21" s="404"/>
      <c r="EK21" s="404"/>
      <c r="EL21" s="404"/>
      <c r="EM21" s="404"/>
      <c r="EN21" s="404"/>
      <c r="EO21" s="404"/>
      <c r="EP21" s="404"/>
      <c r="EQ21" s="404"/>
      <c r="ER21" s="404"/>
      <c r="ES21" s="404"/>
      <c r="ET21" s="404"/>
      <c r="EU21" s="404"/>
      <c r="EV21" s="404"/>
      <c r="EW21" s="404"/>
      <c r="EX21" s="404"/>
      <c r="EY21" s="404"/>
      <c r="EZ21" s="404"/>
      <c r="FA21" s="404"/>
      <c r="FB21" s="404"/>
      <c r="FC21" s="404"/>
      <c r="FD21" s="404"/>
      <c r="FE21" s="404"/>
      <c r="FF21" s="404"/>
      <c r="FG21" s="404"/>
      <c r="FH21" s="404"/>
      <c r="FI21" s="404"/>
      <c r="FJ21" s="404"/>
      <c r="FK21" s="404"/>
      <c r="FL21" s="404"/>
      <c r="FM21" s="404"/>
      <c r="FN21" s="404"/>
      <c r="FO21" s="404"/>
      <c r="FP21" s="404"/>
      <c r="FQ21" s="404"/>
      <c r="FR21" s="404"/>
      <c r="FS21" s="404"/>
      <c r="FT21" s="404"/>
      <c r="FU21" s="404"/>
      <c r="FV21" s="404"/>
      <c r="FW21" s="404"/>
      <c r="FX21" s="404"/>
      <c r="FY21" s="404"/>
      <c r="FZ21" s="404"/>
      <c r="GA21" s="404"/>
      <c r="GB21" s="404"/>
      <c r="GC21" s="404"/>
      <c r="GD21" s="404"/>
      <c r="GE21" s="404"/>
      <c r="GF21" s="404"/>
      <c r="GG21" s="404"/>
      <c r="GH21" s="404"/>
      <c r="GI21" s="404"/>
      <c r="GJ21" s="404"/>
      <c r="GK21" s="404"/>
      <c r="GL21" s="404"/>
      <c r="GM21" s="404"/>
      <c r="GN21" s="404"/>
      <c r="GO21" s="404"/>
      <c r="GP21" s="404"/>
      <c r="GQ21" s="404"/>
      <c r="GR21" s="404"/>
      <c r="GS21" s="404"/>
      <c r="GT21" s="404"/>
      <c r="GU21" s="404"/>
      <c r="GV21" s="404"/>
      <c r="GW21" s="404"/>
      <c r="GX21" s="404"/>
      <c r="GY21" s="404"/>
      <c r="GZ21" s="404"/>
      <c r="HA21" s="404"/>
      <c r="HB21" s="404"/>
      <c r="HC21" s="404"/>
      <c r="HD21" s="404"/>
      <c r="HE21" s="404"/>
      <c r="HF21" s="404"/>
      <c r="HG21" s="404"/>
      <c r="HH21" s="404"/>
      <c r="HI21" s="404"/>
      <c r="HJ21" s="404"/>
      <c r="HK21" s="404"/>
      <c r="HL21" s="404"/>
      <c r="HM21" s="404"/>
      <c r="HN21" s="404"/>
      <c r="HO21" s="404"/>
      <c r="HP21" s="404"/>
      <c r="HQ21" s="404"/>
      <c r="HR21" s="404"/>
      <c r="HS21" s="404"/>
      <c r="HT21" s="404"/>
      <c r="HU21" s="404"/>
      <c r="HV21" s="404"/>
      <c r="HW21" s="404"/>
      <c r="HX21" s="404"/>
      <c r="HY21" s="404"/>
      <c r="HZ21" s="404"/>
      <c r="IA21" s="404"/>
    </row>
    <row r="22" spans="1:235" s="309" customFormat="1" ht="15" customHeight="1" x14ac:dyDescent="0.3">
      <c r="A22" s="231">
        <v>2.0499999999999998</v>
      </c>
      <c r="B22" s="288" t="s">
        <v>574</v>
      </c>
      <c r="C22" s="289" t="str">
        <f>VLOOKUP(BD.PD[[#This Row],[Pos]],PPto[],3,FALSE)</f>
        <v>2.05 Instalaciones Sanitarias</v>
      </c>
      <c r="D22" s="290" t="s">
        <v>574</v>
      </c>
      <c r="E22" s="291">
        <f>IF(BD.PD[[#This Row],[.]]="*",VLOOKUP(BD.PD[[#This Row],[Pos]],Presupuesto!A:H,7,FALSE),"")</f>
        <v>15099.420287539935</v>
      </c>
      <c r="F22" s="292"/>
      <c r="G22" s="292" t="s">
        <v>575</v>
      </c>
      <c r="H22" s="292"/>
      <c r="I22" s="293">
        <v>1</v>
      </c>
      <c r="J22" s="290" t="s">
        <v>456</v>
      </c>
      <c r="K22" s="294">
        <f>IF(BD.PD[[#This Row],[Mon]]="DOP",1,HLOOKUP(BD.PD[[#This Row],[Mon]],$J$1:$K$2,2,FALSE))</f>
        <v>63</v>
      </c>
      <c r="L22" s="295">
        <v>0</v>
      </c>
      <c r="M22" s="296">
        <f>BD.PD[[#This Row],[Cant.]]*BD.PD[[#This Row],[ Tasa ]]*BD.PD[[#This Row],[ Precio Und.]]</f>
        <v>0</v>
      </c>
      <c r="N22" s="297">
        <v>0</v>
      </c>
      <c r="O22" s="296">
        <f>IF(BD.PD[[#This Row],[Liquid. '[%']]]&lt;&gt;0,(BD.PD[[#This Row],[Valor Neto '[DOP']]]*BD.PD[[#This Row],[Liquid. '[%']]])+BD.PD[[#This Row],[Valor Neto '[DOP']]],BD.PD[[#This Row],[Valor Neto '[DOP']]])</f>
        <v>0</v>
      </c>
      <c r="P22" s="298">
        <f>BD.PD[[#This Row],[Ppto. Orden Interna '[DOP']]]/HLOOKUP("USD",$J$1:$K$2,2,FALSE)</f>
        <v>0</v>
      </c>
      <c r="Q22" s="299"/>
      <c r="R22" s="292"/>
      <c r="S22" s="300"/>
      <c r="T22" s="301"/>
      <c r="U22" s="302">
        <f>BD.PD[[#This Row],[Av.P1 '[%']]]*BD.PD[[#This Row],[Ppto. Orden Interna '[DOP']]]</f>
        <v>0</v>
      </c>
      <c r="V22" s="303"/>
      <c r="W22" s="304"/>
      <c r="X22" s="302">
        <f>BD.PD[[#This Row],[Av.P2 '[%']]]*BD.PD[[#This Row],[Ppto. Orden Interna '[DOP']]]</f>
        <v>0</v>
      </c>
      <c r="Y22" s="303"/>
      <c r="Z22" s="304"/>
      <c r="AA22" s="302">
        <f>BD.PD[[#This Row],[Av.P3 '[%']]]*BD.PD[[#This Row],[Ppto. Orden Interna '[DOP']]]</f>
        <v>0</v>
      </c>
      <c r="AB22" s="303"/>
      <c r="AC22" s="304"/>
      <c r="AD22" s="302">
        <f>BD.PD[[#This Row],[Av.P4 '[%']]]*BD.PD[[#This Row],[Ppto. Orden Interna '[DOP']]]</f>
        <v>0</v>
      </c>
      <c r="AE22" s="303"/>
      <c r="AF22" s="304"/>
      <c r="AG22" s="302">
        <f>BD.PD[[#This Row],[Av.P5 '[%']]]*BD.PD[[#This Row],[Ppto. Orden Interna '[DOP']]]</f>
        <v>0</v>
      </c>
      <c r="AH22" s="305">
        <f>BD.PD[[#This Row],[Pago 5]]+BD.PD[[#This Row],[Pago 4]]+BD.PD[[#This Row],[Pago 3]]+BD.PD[[#This Row],[Pago 2]]+BD.PD[[#This Row],[Pago 1]]</f>
        <v>0</v>
      </c>
      <c r="AI22" s="404"/>
      <c r="AJ22" s="404"/>
      <c r="AK22" s="404"/>
      <c r="AL22" s="404"/>
      <c r="AM22" s="404"/>
      <c r="AN22" s="404"/>
      <c r="AO22" s="404"/>
      <c r="AP22" s="404"/>
      <c r="AQ22" s="404"/>
      <c r="AR22" s="404"/>
      <c r="AS22" s="404"/>
      <c r="AT22" s="404"/>
      <c r="AU22" s="404"/>
      <c r="AV22" s="404"/>
      <c r="AW22" s="404"/>
      <c r="AX22" s="404"/>
      <c r="AY22" s="404"/>
      <c r="AZ22" s="404"/>
      <c r="BA22" s="404"/>
      <c r="BB22" s="404"/>
      <c r="BC22" s="404"/>
      <c r="BD22" s="404"/>
      <c r="BE22" s="404"/>
      <c r="BF22" s="404"/>
      <c r="BG22" s="404"/>
      <c r="BH22" s="404"/>
      <c r="BI22" s="404"/>
      <c r="BJ22" s="404"/>
      <c r="BK22" s="404"/>
      <c r="BL22" s="404"/>
      <c r="BM22" s="404"/>
      <c r="BN22" s="404"/>
      <c r="BO22" s="404"/>
      <c r="BP22" s="404"/>
      <c r="BQ22" s="404"/>
      <c r="BR22" s="404"/>
      <c r="BS22" s="404"/>
      <c r="BT22" s="404"/>
      <c r="BU22" s="404"/>
      <c r="BV22" s="404"/>
      <c r="BW22" s="404"/>
      <c r="BX22" s="404"/>
      <c r="BY22" s="404"/>
      <c r="BZ22" s="404"/>
      <c r="CA22" s="404"/>
      <c r="CB22" s="404"/>
      <c r="CC22" s="404"/>
      <c r="CD22" s="404"/>
      <c r="CE22" s="404"/>
      <c r="CF22" s="404"/>
      <c r="CG22" s="404"/>
      <c r="CH22" s="404"/>
      <c r="CI22" s="404"/>
      <c r="CJ22" s="404"/>
      <c r="CK22" s="404"/>
      <c r="CL22" s="404"/>
      <c r="CM22" s="404"/>
      <c r="CN22" s="404"/>
      <c r="CO22" s="404"/>
      <c r="CP22" s="404"/>
      <c r="CQ22" s="404"/>
      <c r="CR22" s="404"/>
      <c r="CS22" s="404"/>
      <c r="CT22" s="404"/>
      <c r="CU22" s="404"/>
      <c r="CV22" s="404"/>
      <c r="CW22" s="404"/>
      <c r="CX22" s="404"/>
      <c r="CY22" s="404"/>
      <c r="CZ22" s="404"/>
      <c r="DA22" s="404"/>
      <c r="DB22" s="404"/>
      <c r="DC22" s="404"/>
      <c r="DD22" s="404"/>
      <c r="DE22" s="404"/>
      <c r="DF22" s="404"/>
      <c r="DG22" s="404"/>
      <c r="DH22" s="404"/>
      <c r="DI22" s="404"/>
      <c r="DJ22" s="404"/>
      <c r="DK22" s="404"/>
      <c r="DL22" s="404"/>
      <c r="DM22" s="404"/>
      <c r="DN22" s="404"/>
      <c r="DO22" s="404"/>
      <c r="DP22" s="404"/>
      <c r="DQ22" s="404"/>
      <c r="DR22" s="404"/>
      <c r="DS22" s="404"/>
      <c r="DT22" s="404"/>
      <c r="DU22" s="404"/>
      <c r="DV22" s="404"/>
      <c r="DW22" s="404"/>
      <c r="DX22" s="404"/>
      <c r="DY22" s="404"/>
      <c r="DZ22" s="404"/>
      <c r="EA22" s="404"/>
      <c r="EB22" s="404"/>
      <c r="EC22" s="404"/>
      <c r="ED22" s="404"/>
      <c r="EE22" s="404"/>
      <c r="EF22" s="404"/>
      <c r="EG22" s="404"/>
      <c r="EH22" s="404"/>
      <c r="EI22" s="404"/>
      <c r="EJ22" s="404"/>
      <c r="EK22" s="404"/>
      <c r="EL22" s="404"/>
      <c r="EM22" s="404"/>
      <c r="EN22" s="404"/>
      <c r="EO22" s="404"/>
      <c r="EP22" s="404"/>
      <c r="EQ22" s="404"/>
      <c r="ER22" s="404"/>
      <c r="ES22" s="404"/>
      <c r="ET22" s="404"/>
      <c r="EU22" s="404"/>
      <c r="EV22" s="404"/>
      <c r="EW22" s="404"/>
      <c r="EX22" s="404"/>
      <c r="EY22" s="404"/>
      <c r="EZ22" s="404"/>
      <c r="FA22" s="404"/>
      <c r="FB22" s="404"/>
      <c r="FC22" s="404"/>
      <c r="FD22" s="404"/>
      <c r="FE22" s="404"/>
      <c r="FF22" s="404"/>
      <c r="FG22" s="404"/>
      <c r="FH22" s="404"/>
      <c r="FI22" s="404"/>
      <c r="FJ22" s="404"/>
      <c r="FK22" s="404"/>
      <c r="FL22" s="404"/>
      <c r="FM22" s="404"/>
      <c r="FN22" s="404"/>
      <c r="FO22" s="404"/>
      <c r="FP22" s="404"/>
      <c r="FQ22" s="404"/>
      <c r="FR22" s="404"/>
      <c r="FS22" s="404"/>
      <c r="FT22" s="404"/>
      <c r="FU22" s="404"/>
      <c r="FV22" s="404"/>
      <c r="FW22" s="404"/>
      <c r="FX22" s="404"/>
      <c r="FY22" s="404"/>
      <c r="FZ22" s="404"/>
      <c r="GA22" s="404"/>
      <c r="GB22" s="404"/>
      <c r="GC22" s="404"/>
      <c r="GD22" s="404"/>
      <c r="GE22" s="404"/>
      <c r="GF22" s="404"/>
      <c r="GG22" s="404"/>
      <c r="GH22" s="404"/>
      <c r="GI22" s="404"/>
      <c r="GJ22" s="404"/>
      <c r="GK22" s="404"/>
      <c r="GL22" s="404"/>
      <c r="GM22" s="404"/>
      <c r="GN22" s="404"/>
      <c r="GO22" s="404"/>
      <c r="GP22" s="404"/>
      <c r="GQ22" s="404"/>
      <c r="GR22" s="404"/>
      <c r="GS22" s="404"/>
      <c r="GT22" s="404"/>
      <c r="GU22" s="404"/>
      <c r="GV22" s="404"/>
      <c r="GW22" s="404"/>
      <c r="GX22" s="404"/>
      <c r="GY22" s="404"/>
      <c r="GZ22" s="404"/>
      <c r="HA22" s="404"/>
      <c r="HB22" s="404"/>
      <c r="HC22" s="404"/>
      <c r="HD22" s="404"/>
      <c r="HE22" s="404"/>
      <c r="HF22" s="404"/>
      <c r="HG22" s="404"/>
      <c r="HH22" s="404"/>
      <c r="HI22" s="404"/>
      <c r="HJ22" s="404"/>
      <c r="HK22" s="404"/>
      <c r="HL22" s="404"/>
      <c r="HM22" s="404"/>
      <c r="HN22" s="404"/>
      <c r="HO22" s="404"/>
      <c r="HP22" s="404"/>
      <c r="HQ22" s="404"/>
      <c r="HR22" s="404"/>
      <c r="HS22" s="404"/>
      <c r="HT22" s="404"/>
      <c r="HU22" s="404"/>
      <c r="HV22" s="404"/>
      <c r="HW22" s="404"/>
      <c r="HX22" s="404"/>
      <c r="HY22" s="404"/>
      <c r="HZ22" s="404"/>
      <c r="IA22" s="404"/>
    </row>
    <row r="23" spans="1:235" s="309" customFormat="1" ht="15" customHeight="1" x14ac:dyDescent="0.3">
      <c r="A23" s="231">
        <v>2.0499999999999998</v>
      </c>
      <c r="B23" s="288"/>
      <c r="C23" s="289" t="str">
        <f>VLOOKUP(BD.PD[[#This Row],[Pos]],PPto[],3,FALSE)</f>
        <v>2.05 Instalaciones Sanitarias</v>
      </c>
      <c r="D23" s="231" t="s">
        <v>22</v>
      </c>
      <c r="E23" s="291" t="str">
        <f>IF(BD.PD[[#This Row],[.]]="*",VLOOKUP(BD.PD[[#This Row],[Pos]],Presupuesto!A:H,7,FALSE),"")</f>
        <v/>
      </c>
      <c r="F23" s="384" t="s">
        <v>126</v>
      </c>
      <c r="G23" s="292" t="s">
        <v>578</v>
      </c>
      <c r="H23" s="358">
        <v>45921</v>
      </c>
      <c r="I23" s="359">
        <v>1</v>
      </c>
      <c r="J23" s="231" t="s">
        <v>456</v>
      </c>
      <c r="K23" s="294">
        <f>IF(BD.PD[[#This Row],[Mon]]="DOP",1,HLOOKUP(BD.PD[[#This Row],[Mon]],$J$1:$K$2,2,FALSE))</f>
        <v>63</v>
      </c>
      <c r="L23" s="360">
        <v>17000</v>
      </c>
      <c r="M23" s="296">
        <f>BD.PD[[#This Row],[Cant.]]*BD.PD[[#This Row],[ Tasa ]]*BD.PD[[#This Row],[ Precio Und.]]</f>
        <v>1071000</v>
      </c>
      <c r="N23" s="361">
        <v>0</v>
      </c>
      <c r="O23" s="296">
        <f>IF(BD.PD[[#This Row],[Liquid. '[%']]]&lt;&gt;0,(BD.PD[[#This Row],[Valor Neto '[DOP']]]*BD.PD[[#This Row],[Liquid. '[%']]])+BD.PD[[#This Row],[Valor Neto '[DOP']]],BD.PD[[#This Row],[Valor Neto '[DOP']]])</f>
        <v>1071000</v>
      </c>
      <c r="P23" s="298">
        <f>BD.PD[[#This Row],[Ppto. Orden Interna '[DOP']]]/HLOOKUP("USD",$J$1:$K$2,2,FALSE)</f>
        <v>17000</v>
      </c>
      <c r="Q23" s="299" t="s">
        <v>579</v>
      </c>
      <c r="R23" s="292" t="s">
        <v>580</v>
      </c>
      <c r="S23" s="300">
        <v>21</v>
      </c>
      <c r="T23" s="301">
        <v>0.5</v>
      </c>
      <c r="U23" s="302">
        <f>BD.PD[[#This Row],[Av.P1 '[%']]]*BD.PD[[#This Row],[Ppto. Orden Interna '[DOP']]]</f>
        <v>535500</v>
      </c>
      <c r="V23" s="303">
        <v>23</v>
      </c>
      <c r="W23" s="304">
        <v>0.5</v>
      </c>
      <c r="X23" s="302">
        <f>BD.PD[[#This Row],[Av.P2 '[%']]]*BD.PD[[#This Row],[Ppto. Orden Interna '[DOP']]]</f>
        <v>535500</v>
      </c>
      <c r="Y23" s="303"/>
      <c r="Z23" s="304"/>
      <c r="AA23" s="302">
        <f>BD.PD[[#This Row],[Av.P3 '[%']]]*BD.PD[[#This Row],[Ppto. Orden Interna '[DOP']]]</f>
        <v>0</v>
      </c>
      <c r="AB23" s="303"/>
      <c r="AC23" s="304"/>
      <c r="AD23" s="302">
        <f>BD.PD[[#This Row],[Av.P4 '[%']]]*BD.PD[[#This Row],[Ppto. Orden Interna '[DOP']]]</f>
        <v>0</v>
      </c>
      <c r="AE23" s="303"/>
      <c r="AF23" s="304"/>
      <c r="AG23" s="302">
        <f>BD.PD[[#This Row],[Av.P5 '[%']]]*BD.PD[[#This Row],[Ppto. Orden Interna '[DOP']]]</f>
        <v>0</v>
      </c>
      <c r="AH23" s="305">
        <f>BD.PD[[#This Row],[Pago 5]]+BD.PD[[#This Row],[Pago 4]]+BD.PD[[#This Row],[Pago 3]]+BD.PD[[#This Row],[Pago 2]]+BD.PD[[#This Row],[Pago 1]]</f>
        <v>1071000</v>
      </c>
      <c r="AI23" s="404"/>
      <c r="AJ23" s="404"/>
      <c r="AK23" s="404"/>
      <c r="AL23" s="404"/>
      <c r="AM23" s="404"/>
      <c r="AN23" s="404"/>
      <c r="AO23" s="404"/>
      <c r="AP23" s="404"/>
      <c r="AQ23" s="404"/>
      <c r="AR23" s="404"/>
      <c r="AS23" s="404"/>
      <c r="AT23" s="404"/>
      <c r="AU23" s="404"/>
      <c r="AV23" s="404"/>
      <c r="AW23" s="404"/>
      <c r="AX23" s="404"/>
      <c r="AY23" s="404"/>
      <c r="AZ23" s="404"/>
      <c r="BA23" s="404"/>
      <c r="BB23" s="404"/>
      <c r="BC23" s="404"/>
      <c r="BD23" s="404"/>
      <c r="BE23" s="404"/>
      <c r="BF23" s="404"/>
      <c r="BG23" s="404"/>
      <c r="BH23" s="404"/>
      <c r="BI23" s="404"/>
      <c r="BJ23" s="404"/>
      <c r="BK23" s="404"/>
      <c r="BL23" s="404"/>
      <c r="BM23" s="404"/>
      <c r="BN23" s="404"/>
      <c r="BO23" s="404"/>
      <c r="BP23" s="404"/>
      <c r="BQ23" s="404"/>
      <c r="BR23" s="404"/>
      <c r="BS23" s="404"/>
      <c r="BT23" s="404"/>
      <c r="BU23" s="404"/>
      <c r="BV23" s="404"/>
      <c r="BW23" s="404"/>
      <c r="BX23" s="404"/>
      <c r="BY23" s="404"/>
      <c r="BZ23" s="404"/>
      <c r="CA23" s="404"/>
      <c r="CB23" s="404"/>
      <c r="CC23" s="404"/>
      <c r="CD23" s="404"/>
      <c r="CE23" s="404"/>
      <c r="CF23" s="404"/>
      <c r="CG23" s="404"/>
      <c r="CH23" s="404"/>
      <c r="CI23" s="404"/>
      <c r="CJ23" s="404"/>
      <c r="CK23" s="404"/>
      <c r="CL23" s="404"/>
      <c r="CM23" s="404"/>
      <c r="CN23" s="404"/>
      <c r="CO23" s="404"/>
      <c r="CP23" s="404"/>
      <c r="CQ23" s="404"/>
      <c r="CR23" s="404"/>
      <c r="CS23" s="404"/>
      <c r="CT23" s="404"/>
      <c r="CU23" s="404"/>
      <c r="CV23" s="404"/>
      <c r="CW23" s="404"/>
      <c r="CX23" s="404"/>
      <c r="CY23" s="404"/>
      <c r="CZ23" s="404"/>
      <c r="DA23" s="404"/>
      <c r="DB23" s="404"/>
      <c r="DC23" s="404"/>
      <c r="DD23" s="404"/>
      <c r="DE23" s="404"/>
      <c r="DF23" s="404"/>
      <c r="DG23" s="404"/>
      <c r="DH23" s="404"/>
      <c r="DI23" s="404"/>
      <c r="DJ23" s="404"/>
      <c r="DK23" s="404"/>
      <c r="DL23" s="404"/>
      <c r="DM23" s="404"/>
      <c r="DN23" s="404"/>
      <c r="DO23" s="404"/>
      <c r="DP23" s="404"/>
      <c r="DQ23" s="404"/>
      <c r="DR23" s="404"/>
      <c r="DS23" s="404"/>
      <c r="DT23" s="404"/>
      <c r="DU23" s="404"/>
      <c r="DV23" s="404"/>
      <c r="DW23" s="404"/>
      <c r="DX23" s="404"/>
      <c r="DY23" s="404"/>
      <c r="DZ23" s="404"/>
      <c r="EA23" s="404"/>
      <c r="EB23" s="404"/>
      <c r="EC23" s="404"/>
      <c r="ED23" s="404"/>
      <c r="EE23" s="404"/>
      <c r="EF23" s="404"/>
      <c r="EG23" s="404"/>
      <c r="EH23" s="404"/>
      <c r="EI23" s="404"/>
      <c r="EJ23" s="404"/>
      <c r="EK23" s="404"/>
      <c r="EL23" s="404"/>
      <c r="EM23" s="404"/>
      <c r="EN23" s="404"/>
      <c r="EO23" s="404"/>
      <c r="EP23" s="404"/>
      <c r="EQ23" s="404"/>
      <c r="ER23" s="404"/>
      <c r="ES23" s="404"/>
      <c r="ET23" s="404"/>
      <c r="EU23" s="404"/>
      <c r="EV23" s="404"/>
      <c r="EW23" s="404"/>
      <c r="EX23" s="404"/>
      <c r="EY23" s="404"/>
      <c r="EZ23" s="404"/>
      <c r="FA23" s="404"/>
      <c r="FB23" s="404"/>
      <c r="FC23" s="404"/>
      <c r="FD23" s="404"/>
      <c r="FE23" s="404"/>
      <c r="FF23" s="404"/>
      <c r="FG23" s="404"/>
      <c r="FH23" s="404"/>
      <c r="FI23" s="404"/>
      <c r="FJ23" s="404"/>
      <c r="FK23" s="404"/>
      <c r="FL23" s="404"/>
      <c r="FM23" s="404"/>
      <c r="FN23" s="404"/>
      <c r="FO23" s="404"/>
      <c r="FP23" s="404"/>
      <c r="FQ23" s="404"/>
      <c r="FR23" s="404"/>
      <c r="FS23" s="404"/>
      <c r="FT23" s="404"/>
      <c r="FU23" s="404"/>
      <c r="FV23" s="404"/>
      <c r="FW23" s="404"/>
      <c r="FX23" s="404"/>
      <c r="FY23" s="404"/>
      <c r="FZ23" s="404"/>
      <c r="GA23" s="404"/>
      <c r="GB23" s="404"/>
      <c r="GC23" s="404"/>
      <c r="GD23" s="404"/>
      <c r="GE23" s="404"/>
      <c r="GF23" s="404"/>
      <c r="GG23" s="404"/>
      <c r="GH23" s="404"/>
      <c r="GI23" s="404"/>
      <c r="GJ23" s="404"/>
      <c r="GK23" s="404"/>
      <c r="GL23" s="404"/>
      <c r="GM23" s="404"/>
      <c r="GN23" s="404"/>
      <c r="GO23" s="404"/>
      <c r="GP23" s="404"/>
      <c r="GQ23" s="404"/>
      <c r="GR23" s="404"/>
      <c r="GS23" s="404"/>
      <c r="GT23" s="404"/>
      <c r="GU23" s="404"/>
      <c r="GV23" s="404"/>
      <c r="GW23" s="404"/>
      <c r="GX23" s="404"/>
      <c r="GY23" s="404"/>
      <c r="GZ23" s="404"/>
      <c r="HA23" s="404"/>
      <c r="HB23" s="404"/>
      <c r="HC23" s="404"/>
      <c r="HD23" s="404"/>
      <c r="HE23" s="404"/>
      <c r="HF23" s="404"/>
      <c r="HG23" s="404"/>
      <c r="HH23" s="404"/>
      <c r="HI23" s="404"/>
      <c r="HJ23" s="404"/>
      <c r="HK23" s="404"/>
      <c r="HL23" s="404"/>
      <c r="HM23" s="404"/>
      <c r="HN23" s="404"/>
      <c r="HO23" s="404"/>
      <c r="HP23" s="404"/>
      <c r="HQ23" s="404"/>
      <c r="HR23" s="404"/>
      <c r="HS23" s="404"/>
      <c r="HT23" s="404"/>
      <c r="HU23" s="404"/>
      <c r="HV23" s="404"/>
      <c r="HW23" s="404"/>
      <c r="HX23" s="404"/>
      <c r="HY23" s="404"/>
      <c r="HZ23" s="404"/>
      <c r="IA23" s="404"/>
    </row>
    <row r="24" spans="1:235" s="309" customFormat="1" ht="15" customHeight="1" x14ac:dyDescent="0.3">
      <c r="A24" s="231">
        <v>2.06</v>
      </c>
      <c r="B24" s="288" t="s">
        <v>574</v>
      </c>
      <c r="C24" s="289" t="str">
        <f>VLOOKUP(BD.PD[[#This Row],[Pos]],PPto[],3,FALSE)</f>
        <v>2.06 Instalación de Gas</v>
      </c>
      <c r="D24" s="290" t="s">
        <v>574</v>
      </c>
      <c r="E24" s="291">
        <f>IF(BD.PD[[#This Row],[.]]="*",VLOOKUP(BD.PD[[#This Row],[Pos]],Presupuesto!A:H,7,FALSE),"")</f>
        <v>7260.3833865814695</v>
      </c>
      <c r="F24" s="292"/>
      <c r="G24" s="292" t="s">
        <v>575</v>
      </c>
      <c r="H24" s="292"/>
      <c r="I24" s="293">
        <v>1</v>
      </c>
      <c r="J24" s="290" t="s">
        <v>456</v>
      </c>
      <c r="K24" s="294">
        <f>IF(BD.PD[[#This Row],[Mon]]="DOP",1,HLOOKUP(BD.PD[[#This Row],[Mon]],$J$1:$K$2,2,FALSE))</f>
        <v>63</v>
      </c>
      <c r="L24" s="295">
        <v>0</v>
      </c>
      <c r="M24" s="296">
        <f>BD.PD[[#This Row],[Cant.]]*BD.PD[[#This Row],[ Tasa ]]*BD.PD[[#This Row],[ Precio Und.]]</f>
        <v>0</v>
      </c>
      <c r="N24" s="297">
        <v>0</v>
      </c>
      <c r="O24" s="296">
        <f>IF(BD.PD[[#This Row],[Liquid. '[%']]]&lt;&gt;0,(BD.PD[[#This Row],[Valor Neto '[DOP']]]*BD.PD[[#This Row],[Liquid. '[%']]])+BD.PD[[#This Row],[Valor Neto '[DOP']]],BD.PD[[#This Row],[Valor Neto '[DOP']]])</f>
        <v>0</v>
      </c>
      <c r="P24" s="298">
        <f>BD.PD[[#This Row],[Ppto. Orden Interna '[DOP']]]/HLOOKUP("USD",$J$1:$K$2,2,FALSE)</f>
        <v>0</v>
      </c>
      <c r="Q24" s="299"/>
      <c r="R24" s="292"/>
      <c r="S24" s="300"/>
      <c r="T24" s="301"/>
      <c r="U24" s="302">
        <f>BD.PD[[#This Row],[Av.P1 '[%']]]*BD.PD[[#This Row],[Ppto. Orden Interna '[DOP']]]</f>
        <v>0</v>
      </c>
      <c r="V24" s="303"/>
      <c r="W24" s="304"/>
      <c r="X24" s="302">
        <f>BD.PD[[#This Row],[Av.P2 '[%']]]*BD.PD[[#This Row],[Ppto. Orden Interna '[DOP']]]</f>
        <v>0</v>
      </c>
      <c r="Y24" s="303"/>
      <c r="Z24" s="304"/>
      <c r="AA24" s="302">
        <f>BD.PD[[#This Row],[Av.P3 '[%']]]*BD.PD[[#This Row],[Ppto. Orden Interna '[DOP']]]</f>
        <v>0</v>
      </c>
      <c r="AB24" s="303"/>
      <c r="AC24" s="304"/>
      <c r="AD24" s="302">
        <f>BD.PD[[#This Row],[Av.P4 '[%']]]*BD.PD[[#This Row],[Ppto. Orden Interna '[DOP']]]</f>
        <v>0</v>
      </c>
      <c r="AE24" s="303"/>
      <c r="AF24" s="304"/>
      <c r="AG24" s="302">
        <f>BD.PD[[#This Row],[Av.P5 '[%']]]*BD.PD[[#This Row],[Ppto. Orden Interna '[DOP']]]</f>
        <v>0</v>
      </c>
      <c r="AH24" s="305">
        <f>BD.PD[[#This Row],[Pago 5]]+BD.PD[[#This Row],[Pago 4]]+BD.PD[[#This Row],[Pago 3]]+BD.PD[[#This Row],[Pago 2]]+BD.PD[[#This Row],[Pago 1]]</f>
        <v>0</v>
      </c>
      <c r="AI24" s="404"/>
      <c r="AJ24" s="404"/>
      <c r="AK24" s="404"/>
      <c r="AL24" s="404"/>
      <c r="AM24" s="404"/>
      <c r="AN24" s="404"/>
      <c r="AO24" s="404"/>
      <c r="AP24" s="404"/>
      <c r="AQ24" s="404"/>
      <c r="AR24" s="404"/>
      <c r="AS24" s="404"/>
      <c r="AT24" s="404"/>
      <c r="AU24" s="404"/>
      <c r="AV24" s="404"/>
      <c r="AW24" s="404"/>
      <c r="AX24" s="404"/>
      <c r="AY24" s="404"/>
      <c r="AZ24" s="404"/>
      <c r="BA24" s="404"/>
      <c r="BB24" s="404"/>
      <c r="BC24" s="404"/>
      <c r="BD24" s="404"/>
      <c r="BE24" s="404"/>
      <c r="BF24" s="404"/>
      <c r="BG24" s="404"/>
      <c r="BH24" s="404"/>
      <c r="BI24" s="404"/>
      <c r="BJ24" s="404"/>
      <c r="BK24" s="404"/>
      <c r="BL24" s="404"/>
      <c r="BM24" s="404"/>
      <c r="BN24" s="404"/>
      <c r="BO24" s="404"/>
      <c r="BP24" s="404"/>
      <c r="BQ24" s="404"/>
      <c r="BR24" s="404"/>
      <c r="BS24" s="404"/>
      <c r="BT24" s="404"/>
      <c r="BU24" s="404"/>
      <c r="BV24" s="404"/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4"/>
      <c r="DD24" s="404"/>
      <c r="DE24" s="404"/>
      <c r="DF24" s="404"/>
      <c r="DG24" s="404"/>
      <c r="DH24" s="404"/>
      <c r="DI24" s="404"/>
      <c r="DJ24" s="404"/>
      <c r="DK24" s="404"/>
      <c r="DL24" s="404"/>
      <c r="DM24" s="404"/>
      <c r="DN24" s="404"/>
      <c r="DO24" s="404"/>
      <c r="DP24" s="404"/>
      <c r="DQ24" s="404"/>
      <c r="DR24" s="404"/>
      <c r="DS24" s="404"/>
      <c r="DT24" s="404"/>
      <c r="DU24" s="404"/>
      <c r="DV24" s="404"/>
      <c r="DW24" s="404"/>
      <c r="DX24" s="404"/>
      <c r="DY24" s="404"/>
      <c r="DZ24" s="404"/>
      <c r="EA24" s="404"/>
      <c r="EB24" s="404"/>
      <c r="EC24" s="404"/>
      <c r="ED24" s="404"/>
      <c r="EE24" s="404"/>
      <c r="EF24" s="404"/>
      <c r="EG24" s="404"/>
      <c r="EH24" s="404"/>
      <c r="EI24" s="404"/>
      <c r="EJ24" s="404"/>
      <c r="EK24" s="404"/>
      <c r="EL24" s="404"/>
      <c r="EM24" s="404"/>
      <c r="EN24" s="404"/>
      <c r="EO24" s="404"/>
      <c r="EP24" s="404"/>
      <c r="EQ24" s="404"/>
      <c r="ER24" s="404"/>
      <c r="ES24" s="404"/>
      <c r="ET24" s="404"/>
      <c r="EU24" s="404"/>
      <c r="EV24" s="404"/>
      <c r="EW24" s="404"/>
      <c r="EX24" s="404"/>
      <c r="EY24" s="404"/>
      <c r="EZ24" s="404"/>
      <c r="FA24" s="404"/>
      <c r="FB24" s="404"/>
      <c r="FC24" s="404"/>
      <c r="FD24" s="404"/>
      <c r="FE24" s="404"/>
      <c r="FF24" s="404"/>
      <c r="FG24" s="404"/>
      <c r="FH24" s="404"/>
      <c r="FI24" s="404"/>
      <c r="FJ24" s="404"/>
      <c r="FK24" s="404"/>
      <c r="FL24" s="404"/>
      <c r="FM24" s="404"/>
      <c r="FN24" s="404"/>
      <c r="FO24" s="404"/>
      <c r="FP24" s="404"/>
      <c r="FQ24" s="404"/>
      <c r="FR24" s="404"/>
      <c r="FS24" s="404"/>
      <c r="FT24" s="404"/>
      <c r="FU24" s="404"/>
      <c r="FV24" s="404"/>
      <c r="FW24" s="404"/>
      <c r="FX24" s="404"/>
      <c r="FY24" s="404"/>
      <c r="FZ24" s="404"/>
      <c r="GA24" s="404"/>
      <c r="GB24" s="404"/>
      <c r="GC24" s="404"/>
      <c r="GD24" s="404"/>
      <c r="GE24" s="404"/>
      <c r="GF24" s="404"/>
      <c r="GG24" s="404"/>
      <c r="GH24" s="404"/>
      <c r="GI24" s="404"/>
      <c r="GJ24" s="404"/>
      <c r="GK24" s="404"/>
      <c r="GL24" s="404"/>
      <c r="GM24" s="404"/>
      <c r="GN24" s="404"/>
      <c r="GO24" s="404"/>
      <c r="GP24" s="404"/>
      <c r="GQ24" s="404"/>
      <c r="GR24" s="404"/>
      <c r="GS24" s="404"/>
      <c r="GT24" s="404"/>
      <c r="GU24" s="404"/>
      <c r="GV24" s="404"/>
      <c r="GW24" s="404"/>
      <c r="GX24" s="404"/>
      <c r="GY24" s="404"/>
      <c r="GZ24" s="404"/>
      <c r="HA24" s="404"/>
      <c r="HB24" s="404"/>
      <c r="HC24" s="404"/>
      <c r="HD24" s="404"/>
      <c r="HE24" s="404"/>
      <c r="HF24" s="404"/>
      <c r="HG24" s="404"/>
      <c r="HH24" s="404"/>
      <c r="HI24" s="404"/>
      <c r="HJ24" s="404"/>
      <c r="HK24" s="404"/>
      <c r="HL24" s="404"/>
      <c r="HM24" s="404"/>
      <c r="HN24" s="404"/>
      <c r="HO24" s="404"/>
      <c r="HP24" s="404"/>
      <c r="HQ24" s="404"/>
      <c r="HR24" s="404"/>
      <c r="HS24" s="404"/>
      <c r="HT24" s="404"/>
      <c r="HU24" s="404"/>
      <c r="HV24" s="404"/>
      <c r="HW24" s="404"/>
      <c r="HX24" s="404"/>
      <c r="HY24" s="404"/>
      <c r="HZ24" s="404"/>
      <c r="IA24" s="404"/>
    </row>
    <row r="25" spans="1:235" s="309" customFormat="1" ht="15" customHeight="1" x14ac:dyDescent="0.3">
      <c r="A25" s="231">
        <v>2.06</v>
      </c>
      <c r="B25" s="288"/>
      <c r="C25" s="289" t="str">
        <f>VLOOKUP(BD.PD[[#This Row],[Pos]],PPto[],3,FALSE)</f>
        <v>2.06 Instalación de Gas</v>
      </c>
      <c r="D25" s="231" t="s">
        <v>22</v>
      </c>
      <c r="E25" s="291" t="str">
        <f>IF(BD.PD[[#This Row],[.]]="*",VLOOKUP(BD.PD[[#This Row],[Pos]],Presupuesto!A:H,7,FALSE),"")</f>
        <v/>
      </c>
      <c r="F25" s="292" t="s">
        <v>127</v>
      </c>
      <c r="G25" s="292" t="s">
        <v>1171</v>
      </c>
      <c r="H25" s="358">
        <v>45921</v>
      </c>
      <c r="I25" s="359">
        <v>0</v>
      </c>
      <c r="J25" s="231" t="s">
        <v>581</v>
      </c>
      <c r="K25" s="294">
        <f>IF(BD.PD[[#This Row],[Mon]]="DOP",1,HLOOKUP(BD.PD[[#This Row],[Mon]],$J$1:$K$2,2,FALSE))</f>
        <v>1</v>
      </c>
      <c r="L25" s="499">
        <v>359680</v>
      </c>
      <c r="M25" s="296">
        <f>BD.PD[[#This Row],[Cant.]]*BD.PD[[#This Row],[ Tasa ]]*BD.PD[[#This Row],[ Precio Und.]]</f>
        <v>0</v>
      </c>
      <c r="N25" s="361">
        <v>0.01</v>
      </c>
      <c r="O25" s="296">
        <f>IF(BD.PD[[#This Row],[Liquid. '[%']]]&lt;&gt;0,(BD.PD[[#This Row],[Valor Neto '[DOP']]]*BD.PD[[#This Row],[Liquid. '[%']]])+BD.PD[[#This Row],[Valor Neto '[DOP']]],BD.PD[[#This Row],[Valor Neto '[DOP']]])</f>
        <v>0</v>
      </c>
      <c r="P25" s="306">
        <f>BD.PD[[#This Row],[Ppto. Orden Interna '[DOP']]]/HLOOKUP("USD",$J$1:$K$2,2,FALSE)</f>
        <v>0</v>
      </c>
      <c r="Q25" s="299" t="s">
        <v>582</v>
      </c>
      <c r="R25" s="307"/>
      <c r="S25" s="300">
        <v>21</v>
      </c>
      <c r="T25" s="301">
        <v>0.5</v>
      </c>
      <c r="U25" s="308">
        <f>BD.PD[[#This Row],[Av.P1 '[%']]]*BD.PD[[#This Row],[Ppto. Orden Interna '[DOP']]]</f>
        <v>0</v>
      </c>
      <c r="V25" s="303">
        <v>23</v>
      </c>
      <c r="W25" s="304">
        <v>0.5</v>
      </c>
      <c r="X25" s="308">
        <f>BD.PD[[#This Row],[Av.P2 '[%']]]*BD.PD[[#This Row],[Ppto. Orden Interna '[DOP']]]</f>
        <v>0</v>
      </c>
      <c r="Y25" s="303"/>
      <c r="Z25" s="304"/>
      <c r="AA25" s="308">
        <f>BD.PD[[#This Row],[Av.P3 '[%']]]*BD.PD[[#This Row],[Ppto. Orden Interna '[DOP']]]</f>
        <v>0</v>
      </c>
      <c r="AB25" s="303"/>
      <c r="AC25" s="304"/>
      <c r="AD25" s="308">
        <f>BD.PD[[#This Row],[Av.P4 '[%']]]*BD.PD[[#This Row],[Ppto. Orden Interna '[DOP']]]</f>
        <v>0</v>
      </c>
      <c r="AE25" s="303"/>
      <c r="AF25" s="304"/>
      <c r="AG25" s="308">
        <f>BD.PD[[#This Row],[Av.P5 '[%']]]*BD.PD[[#This Row],[Ppto. Orden Interna '[DOP']]]</f>
        <v>0</v>
      </c>
      <c r="AH25" s="305">
        <f>BD.PD[[#This Row],[Pago 5]]+BD.PD[[#This Row],[Pago 4]]+BD.PD[[#This Row],[Pago 3]]+BD.PD[[#This Row],[Pago 2]]+BD.PD[[#This Row],[Pago 1]]</f>
        <v>0</v>
      </c>
      <c r="AI25" s="404"/>
      <c r="AJ25" s="404"/>
      <c r="AK25" s="404"/>
      <c r="AL25" s="404"/>
      <c r="AM25" s="404"/>
      <c r="AN25" s="404"/>
      <c r="AO25" s="404"/>
      <c r="AP25" s="404"/>
      <c r="AQ25" s="404"/>
      <c r="AR25" s="404"/>
      <c r="AS25" s="404"/>
      <c r="AT25" s="404"/>
      <c r="AU25" s="404"/>
      <c r="AV25" s="404"/>
      <c r="AW25" s="404"/>
      <c r="AX25" s="404"/>
      <c r="AY25" s="404"/>
      <c r="AZ25" s="404"/>
      <c r="BA25" s="404"/>
      <c r="BB25" s="404"/>
      <c r="BC25" s="404"/>
      <c r="BD25" s="404"/>
      <c r="BE25" s="404"/>
      <c r="BF25" s="404"/>
      <c r="BG25" s="404"/>
      <c r="BH25" s="404"/>
      <c r="BI25" s="404"/>
      <c r="BJ25" s="404"/>
      <c r="BK25" s="404"/>
      <c r="BL25" s="404"/>
      <c r="BM25" s="404"/>
      <c r="BN25" s="404"/>
      <c r="BO25" s="404"/>
      <c r="BP25" s="404"/>
      <c r="BQ25" s="404"/>
      <c r="BR25" s="404"/>
      <c r="BS25" s="404"/>
      <c r="BT25" s="404"/>
      <c r="BU25" s="404"/>
      <c r="BV25" s="404"/>
      <c r="BW25" s="404"/>
      <c r="BX25" s="404"/>
      <c r="BY25" s="404"/>
      <c r="BZ25" s="404"/>
      <c r="CA25" s="404"/>
      <c r="CB25" s="404"/>
      <c r="CC25" s="404"/>
      <c r="CD25" s="404"/>
      <c r="CE25" s="404"/>
      <c r="CF25" s="404"/>
      <c r="CG25" s="404"/>
      <c r="CH25" s="404"/>
      <c r="CI25" s="404"/>
      <c r="CJ25" s="404"/>
      <c r="CK25" s="404"/>
      <c r="CL25" s="404"/>
      <c r="CM25" s="404"/>
      <c r="CN25" s="404"/>
      <c r="CO25" s="404"/>
      <c r="CP25" s="404"/>
      <c r="CQ25" s="404"/>
      <c r="CR25" s="404"/>
      <c r="CS25" s="404"/>
      <c r="CT25" s="404"/>
      <c r="CU25" s="404"/>
      <c r="CV25" s="404"/>
      <c r="CW25" s="404"/>
      <c r="CX25" s="404"/>
      <c r="CY25" s="404"/>
      <c r="CZ25" s="404"/>
      <c r="DA25" s="404"/>
      <c r="DB25" s="404"/>
      <c r="DC25" s="404"/>
      <c r="DD25" s="404"/>
      <c r="DE25" s="404"/>
      <c r="DF25" s="404"/>
      <c r="DG25" s="404"/>
      <c r="DH25" s="404"/>
      <c r="DI25" s="404"/>
      <c r="DJ25" s="404"/>
      <c r="DK25" s="404"/>
      <c r="DL25" s="404"/>
      <c r="DM25" s="404"/>
      <c r="DN25" s="404"/>
      <c r="DO25" s="404"/>
      <c r="DP25" s="404"/>
      <c r="DQ25" s="404"/>
      <c r="DR25" s="404"/>
      <c r="DS25" s="404"/>
      <c r="DT25" s="404"/>
      <c r="DU25" s="404"/>
      <c r="DV25" s="404"/>
      <c r="DW25" s="404"/>
      <c r="DX25" s="404"/>
      <c r="DY25" s="404"/>
      <c r="DZ25" s="404"/>
      <c r="EA25" s="404"/>
      <c r="EB25" s="404"/>
      <c r="EC25" s="404"/>
      <c r="ED25" s="404"/>
      <c r="EE25" s="404"/>
      <c r="EF25" s="404"/>
      <c r="EG25" s="404"/>
      <c r="EH25" s="404"/>
      <c r="EI25" s="404"/>
      <c r="EJ25" s="404"/>
      <c r="EK25" s="404"/>
      <c r="EL25" s="404"/>
      <c r="EM25" s="404"/>
      <c r="EN25" s="404"/>
      <c r="EO25" s="404"/>
      <c r="EP25" s="404"/>
      <c r="EQ25" s="404"/>
      <c r="ER25" s="404"/>
      <c r="ES25" s="404"/>
      <c r="ET25" s="404"/>
      <c r="EU25" s="404"/>
      <c r="EV25" s="404"/>
      <c r="EW25" s="404"/>
      <c r="EX25" s="404"/>
      <c r="EY25" s="404"/>
      <c r="EZ25" s="404"/>
      <c r="FA25" s="404"/>
      <c r="FB25" s="404"/>
      <c r="FC25" s="404"/>
      <c r="FD25" s="404"/>
      <c r="FE25" s="404"/>
      <c r="FF25" s="404"/>
      <c r="FG25" s="404"/>
      <c r="FH25" s="404"/>
      <c r="FI25" s="404"/>
      <c r="FJ25" s="404"/>
      <c r="FK25" s="404"/>
      <c r="FL25" s="404"/>
      <c r="FM25" s="404"/>
      <c r="FN25" s="404"/>
      <c r="FO25" s="404"/>
      <c r="FP25" s="404"/>
      <c r="FQ25" s="404"/>
      <c r="FR25" s="404"/>
      <c r="FS25" s="404"/>
      <c r="FT25" s="404"/>
      <c r="FU25" s="404"/>
      <c r="FV25" s="404"/>
      <c r="FW25" s="404"/>
      <c r="FX25" s="404"/>
      <c r="FY25" s="404"/>
      <c r="FZ25" s="404"/>
      <c r="GA25" s="404"/>
      <c r="GB25" s="404"/>
      <c r="GC25" s="404"/>
      <c r="GD25" s="404"/>
      <c r="GE25" s="404"/>
      <c r="GF25" s="404"/>
      <c r="GG25" s="404"/>
      <c r="GH25" s="404"/>
      <c r="GI25" s="404"/>
      <c r="GJ25" s="404"/>
      <c r="GK25" s="404"/>
      <c r="GL25" s="404"/>
      <c r="GM25" s="404"/>
      <c r="GN25" s="404"/>
      <c r="GO25" s="404"/>
      <c r="GP25" s="404"/>
      <c r="GQ25" s="404"/>
      <c r="GR25" s="404"/>
      <c r="GS25" s="404"/>
      <c r="GT25" s="404"/>
      <c r="GU25" s="404"/>
      <c r="GV25" s="404"/>
      <c r="GW25" s="404"/>
      <c r="GX25" s="404"/>
      <c r="GY25" s="404"/>
      <c r="GZ25" s="404"/>
      <c r="HA25" s="404"/>
      <c r="HB25" s="404"/>
      <c r="HC25" s="404"/>
      <c r="HD25" s="404"/>
      <c r="HE25" s="404"/>
      <c r="HF25" s="404"/>
      <c r="HG25" s="404"/>
      <c r="HH25" s="404"/>
      <c r="HI25" s="404"/>
      <c r="HJ25" s="404"/>
      <c r="HK25" s="404"/>
      <c r="HL25" s="404"/>
      <c r="HM25" s="404"/>
      <c r="HN25" s="404"/>
      <c r="HO25" s="404"/>
      <c r="HP25" s="404"/>
      <c r="HQ25" s="404"/>
      <c r="HR25" s="404"/>
      <c r="HS25" s="404"/>
      <c r="HT25" s="404"/>
      <c r="HU25" s="404"/>
      <c r="HV25" s="404"/>
      <c r="HW25" s="404"/>
      <c r="HX25" s="404"/>
      <c r="HY25" s="404"/>
      <c r="HZ25" s="404"/>
      <c r="IA25" s="404"/>
    </row>
    <row r="26" spans="1:235" s="309" customFormat="1" ht="15" customHeight="1" x14ac:dyDescent="0.3">
      <c r="A26" s="231">
        <v>2.0699999999999998</v>
      </c>
      <c r="B26" s="288" t="s">
        <v>574</v>
      </c>
      <c r="C26" s="289" t="str">
        <f>VLOOKUP(BD.PD[[#This Row],[Pos]],PPto[],3,FALSE)</f>
        <v xml:space="preserve">2.07 Sistema Contra Incendios </v>
      </c>
      <c r="D26" s="290" t="s">
        <v>574</v>
      </c>
      <c r="E26" s="291">
        <f>IF(BD.PD[[#This Row],[.]]="*",VLOOKUP(BD.PD[[#This Row],[Pos]],Presupuesto!A:H,7,FALSE),"")</f>
        <v>114712.486</v>
      </c>
      <c r="F26" s="292"/>
      <c r="G26" s="292" t="s">
        <v>575</v>
      </c>
      <c r="H26" s="292"/>
      <c r="I26" s="293">
        <v>1</v>
      </c>
      <c r="J26" s="290" t="s">
        <v>456</v>
      </c>
      <c r="K26" s="294">
        <f>IF(BD.PD[[#This Row],[Mon]]="DOP",1,HLOOKUP(BD.PD[[#This Row],[Mon]],$J$1:$K$2,2,FALSE))</f>
        <v>63</v>
      </c>
      <c r="L26" s="295">
        <v>0</v>
      </c>
      <c r="M26" s="296">
        <f>BD.PD[[#This Row],[Cant.]]*BD.PD[[#This Row],[ Tasa ]]*BD.PD[[#This Row],[ Precio Und.]]</f>
        <v>0</v>
      </c>
      <c r="N26" s="297">
        <v>0</v>
      </c>
      <c r="O26" s="296">
        <f>IF(BD.PD[[#This Row],[Liquid. '[%']]]&lt;&gt;0,(BD.PD[[#This Row],[Valor Neto '[DOP']]]*BD.PD[[#This Row],[Liquid. '[%']]])+BD.PD[[#This Row],[Valor Neto '[DOP']]],BD.PD[[#This Row],[Valor Neto '[DOP']]])</f>
        <v>0</v>
      </c>
      <c r="P26" s="298">
        <f>BD.PD[[#This Row],[Ppto. Orden Interna '[DOP']]]/HLOOKUP("USD",$J$1:$K$2,2,FALSE)</f>
        <v>0</v>
      </c>
      <c r="Q26" s="299"/>
      <c r="R26" s="292"/>
      <c r="S26" s="300"/>
      <c r="T26" s="301"/>
      <c r="U26" s="302">
        <f>BD.PD[[#This Row],[Av.P1 '[%']]]*BD.PD[[#This Row],[Ppto. Orden Interna '[DOP']]]</f>
        <v>0</v>
      </c>
      <c r="V26" s="303"/>
      <c r="W26" s="304"/>
      <c r="X26" s="302">
        <f>BD.PD[[#This Row],[Av.P2 '[%']]]*BD.PD[[#This Row],[Ppto. Orden Interna '[DOP']]]</f>
        <v>0</v>
      </c>
      <c r="Y26" s="303"/>
      <c r="Z26" s="304"/>
      <c r="AA26" s="302">
        <f>BD.PD[[#This Row],[Av.P3 '[%']]]*BD.PD[[#This Row],[Ppto. Orden Interna '[DOP']]]</f>
        <v>0</v>
      </c>
      <c r="AB26" s="303"/>
      <c r="AC26" s="304"/>
      <c r="AD26" s="302">
        <f>BD.PD[[#This Row],[Av.P4 '[%']]]*BD.PD[[#This Row],[Ppto. Orden Interna '[DOP']]]</f>
        <v>0</v>
      </c>
      <c r="AE26" s="303"/>
      <c r="AF26" s="304"/>
      <c r="AG26" s="302">
        <f>BD.PD[[#This Row],[Av.P5 '[%']]]*BD.PD[[#This Row],[Ppto. Orden Interna '[DOP']]]</f>
        <v>0</v>
      </c>
      <c r="AH26" s="305">
        <f>BD.PD[[#This Row],[Pago 5]]+BD.PD[[#This Row],[Pago 4]]+BD.PD[[#This Row],[Pago 3]]+BD.PD[[#This Row],[Pago 2]]+BD.PD[[#This Row],[Pago 1]]</f>
        <v>0</v>
      </c>
      <c r="AI26" s="404"/>
      <c r="AJ26" s="404"/>
      <c r="AK26" s="404"/>
      <c r="AL26" s="404"/>
      <c r="AM26" s="404"/>
      <c r="AN26" s="404"/>
      <c r="AO26" s="404"/>
      <c r="AP26" s="404"/>
      <c r="AQ26" s="404"/>
      <c r="AR26" s="404"/>
      <c r="AS26" s="404"/>
      <c r="AT26" s="404"/>
      <c r="AU26" s="404"/>
      <c r="AV26" s="404"/>
      <c r="AW26" s="404"/>
      <c r="AX26" s="404"/>
      <c r="AY26" s="404"/>
      <c r="AZ26" s="404"/>
      <c r="BA26" s="404"/>
      <c r="BB26" s="404"/>
      <c r="BC26" s="404"/>
      <c r="BD26" s="404"/>
      <c r="BE26" s="404"/>
      <c r="BF26" s="404"/>
      <c r="BG26" s="404"/>
      <c r="BH26" s="404"/>
      <c r="BI26" s="404"/>
      <c r="BJ26" s="404"/>
      <c r="BK26" s="404"/>
      <c r="BL26" s="404"/>
      <c r="BM26" s="404"/>
      <c r="BN26" s="404"/>
      <c r="BO26" s="404"/>
      <c r="BP26" s="404"/>
      <c r="BQ26" s="404"/>
      <c r="BR26" s="404"/>
      <c r="BS26" s="404"/>
      <c r="BT26" s="404"/>
      <c r="BU26" s="404"/>
      <c r="BV26" s="404"/>
      <c r="BW26" s="404"/>
      <c r="BX26" s="404"/>
      <c r="BY26" s="404"/>
      <c r="BZ26" s="404"/>
      <c r="CA26" s="404"/>
      <c r="CB26" s="404"/>
      <c r="CC26" s="404"/>
      <c r="CD26" s="404"/>
      <c r="CE26" s="404"/>
      <c r="CF26" s="404"/>
      <c r="CG26" s="404"/>
      <c r="CH26" s="404"/>
      <c r="CI26" s="404"/>
      <c r="CJ26" s="404"/>
      <c r="CK26" s="404"/>
      <c r="CL26" s="404"/>
      <c r="CM26" s="404"/>
      <c r="CN26" s="404"/>
      <c r="CO26" s="404"/>
      <c r="CP26" s="404"/>
      <c r="CQ26" s="404"/>
      <c r="CR26" s="404"/>
      <c r="CS26" s="404"/>
      <c r="CT26" s="404"/>
      <c r="CU26" s="404"/>
      <c r="CV26" s="404"/>
      <c r="CW26" s="404"/>
      <c r="CX26" s="404"/>
      <c r="CY26" s="404"/>
      <c r="CZ26" s="404"/>
      <c r="DA26" s="404"/>
      <c r="DB26" s="404"/>
      <c r="DC26" s="404"/>
      <c r="DD26" s="404"/>
      <c r="DE26" s="404"/>
      <c r="DF26" s="404"/>
      <c r="DG26" s="404"/>
      <c r="DH26" s="404"/>
      <c r="DI26" s="404"/>
      <c r="DJ26" s="404"/>
      <c r="DK26" s="404"/>
      <c r="DL26" s="404"/>
      <c r="DM26" s="404"/>
      <c r="DN26" s="404"/>
      <c r="DO26" s="404"/>
      <c r="DP26" s="404"/>
      <c r="DQ26" s="404"/>
      <c r="DR26" s="404"/>
      <c r="DS26" s="404"/>
      <c r="DT26" s="404"/>
      <c r="DU26" s="404"/>
      <c r="DV26" s="404"/>
      <c r="DW26" s="404"/>
      <c r="DX26" s="404"/>
      <c r="DY26" s="404"/>
      <c r="DZ26" s="404"/>
      <c r="EA26" s="404"/>
      <c r="EB26" s="404"/>
      <c r="EC26" s="404"/>
      <c r="ED26" s="404"/>
      <c r="EE26" s="404"/>
      <c r="EF26" s="404"/>
      <c r="EG26" s="404"/>
      <c r="EH26" s="404"/>
      <c r="EI26" s="404"/>
      <c r="EJ26" s="404"/>
      <c r="EK26" s="404"/>
      <c r="EL26" s="404"/>
      <c r="EM26" s="404"/>
      <c r="EN26" s="404"/>
      <c r="EO26" s="404"/>
      <c r="EP26" s="404"/>
      <c r="EQ26" s="404"/>
      <c r="ER26" s="404"/>
      <c r="ES26" s="404"/>
      <c r="ET26" s="404"/>
      <c r="EU26" s="404"/>
      <c r="EV26" s="404"/>
      <c r="EW26" s="404"/>
      <c r="EX26" s="404"/>
      <c r="EY26" s="404"/>
      <c r="EZ26" s="404"/>
      <c r="FA26" s="404"/>
      <c r="FB26" s="404"/>
      <c r="FC26" s="404"/>
      <c r="FD26" s="404"/>
      <c r="FE26" s="404"/>
      <c r="FF26" s="404"/>
      <c r="FG26" s="404"/>
      <c r="FH26" s="404"/>
      <c r="FI26" s="404"/>
      <c r="FJ26" s="404"/>
      <c r="FK26" s="404"/>
      <c r="FL26" s="404"/>
      <c r="FM26" s="404"/>
      <c r="FN26" s="404"/>
      <c r="FO26" s="404"/>
      <c r="FP26" s="404"/>
      <c r="FQ26" s="404"/>
      <c r="FR26" s="404"/>
      <c r="FS26" s="404"/>
      <c r="FT26" s="404"/>
      <c r="FU26" s="404"/>
      <c r="FV26" s="404"/>
      <c r="FW26" s="404"/>
      <c r="FX26" s="404"/>
      <c r="FY26" s="404"/>
      <c r="FZ26" s="404"/>
      <c r="GA26" s="404"/>
      <c r="GB26" s="404"/>
      <c r="GC26" s="404"/>
      <c r="GD26" s="404"/>
      <c r="GE26" s="404"/>
      <c r="GF26" s="404"/>
      <c r="GG26" s="404"/>
      <c r="GH26" s="404"/>
      <c r="GI26" s="404"/>
      <c r="GJ26" s="404"/>
      <c r="GK26" s="404"/>
      <c r="GL26" s="404"/>
      <c r="GM26" s="404"/>
      <c r="GN26" s="404"/>
      <c r="GO26" s="404"/>
      <c r="GP26" s="404"/>
      <c r="GQ26" s="404"/>
      <c r="GR26" s="404"/>
      <c r="GS26" s="404"/>
      <c r="GT26" s="404"/>
      <c r="GU26" s="404"/>
      <c r="GV26" s="404"/>
      <c r="GW26" s="404"/>
      <c r="GX26" s="404"/>
      <c r="GY26" s="404"/>
      <c r="GZ26" s="404"/>
      <c r="HA26" s="404"/>
      <c r="HB26" s="404"/>
      <c r="HC26" s="404"/>
      <c r="HD26" s="404"/>
      <c r="HE26" s="404"/>
      <c r="HF26" s="404"/>
      <c r="HG26" s="404"/>
      <c r="HH26" s="404"/>
      <c r="HI26" s="404"/>
      <c r="HJ26" s="404"/>
      <c r="HK26" s="404"/>
      <c r="HL26" s="404"/>
      <c r="HM26" s="404"/>
      <c r="HN26" s="404"/>
      <c r="HO26" s="404"/>
      <c r="HP26" s="404"/>
      <c r="HQ26" s="404"/>
      <c r="HR26" s="404"/>
      <c r="HS26" s="404"/>
      <c r="HT26" s="404"/>
      <c r="HU26" s="404"/>
      <c r="HV26" s="404"/>
      <c r="HW26" s="404"/>
      <c r="HX26" s="404"/>
      <c r="HY26" s="404"/>
      <c r="HZ26" s="404"/>
      <c r="IA26" s="404"/>
    </row>
    <row r="27" spans="1:235" s="309" customFormat="1" ht="15" customHeight="1" x14ac:dyDescent="0.3">
      <c r="A27" s="231">
        <v>2.0699999999999998</v>
      </c>
      <c r="B27" s="288"/>
      <c r="C27" s="289" t="str">
        <f>VLOOKUP(BD.PD[[#This Row],[Pos]],PPto[],3,FALSE)</f>
        <v xml:space="preserve">2.07 Sistema Contra Incendios </v>
      </c>
      <c r="D27" s="231" t="s">
        <v>22</v>
      </c>
      <c r="E27" s="291" t="str">
        <f>IF(BD.PD[[#This Row],[.]]="*",VLOOKUP(BD.PD[[#This Row],[Pos]],Presupuesto!A:H,7,FALSE),"")</f>
        <v/>
      </c>
      <c r="F27" s="292" t="s">
        <v>128</v>
      </c>
      <c r="G27" s="292">
        <v>4600072230</v>
      </c>
      <c r="H27" s="358">
        <v>45735</v>
      </c>
      <c r="I27" s="359">
        <v>1</v>
      </c>
      <c r="J27" s="231" t="s">
        <v>456</v>
      </c>
      <c r="K27" s="294">
        <f>IF(BD.PD[[#This Row],[Mon]]="DOP",1,HLOOKUP(BD.PD[[#This Row],[Mon]],$J$1:$K$2,2,FALSE))</f>
        <v>63</v>
      </c>
      <c r="L27" s="360">
        <v>79527.8</v>
      </c>
      <c r="M27" s="296">
        <f>BD.PD[[#This Row],[Cant.]]*BD.PD[[#This Row],[ Tasa ]]*BD.PD[[#This Row],[ Precio Und.]]</f>
        <v>5010251.4000000004</v>
      </c>
      <c r="N27" s="361">
        <v>0</v>
      </c>
      <c r="O27" s="296">
        <f>IF(BD.PD[[#This Row],[Liquid. '[%']]]&lt;&gt;0,(BD.PD[[#This Row],[Valor Neto '[DOP']]]*BD.PD[[#This Row],[Liquid. '[%']]])+BD.PD[[#This Row],[Valor Neto '[DOP']]],BD.PD[[#This Row],[Valor Neto '[DOP']]])</f>
        <v>5010251.4000000004</v>
      </c>
      <c r="P27" s="298">
        <f>BD.PD[[#This Row],[Ppto. Orden Interna '[DOP']]]/HLOOKUP("USD",$J$1:$K$2,2,FALSE)</f>
        <v>79527.8</v>
      </c>
      <c r="Q27" s="299" t="s">
        <v>583</v>
      </c>
      <c r="R27" s="292"/>
      <c r="S27" s="300">
        <v>1</v>
      </c>
      <c r="T27" s="301">
        <v>0.5</v>
      </c>
      <c r="U27" s="302">
        <f>BD.PD[[#This Row],[Av.P1 '[%']]]*BD.PD[[#This Row],[Ppto. Orden Interna '[DOP']]]</f>
        <v>2505125.7000000002</v>
      </c>
      <c r="V27" s="303">
        <v>8</v>
      </c>
      <c r="W27" s="304">
        <v>0.5</v>
      </c>
      <c r="X27" s="302">
        <f>BD.PD[[#This Row],[Av.P2 '[%']]]*BD.PD[[#This Row],[Ppto. Orden Interna '[DOP']]]</f>
        <v>2505125.7000000002</v>
      </c>
      <c r="Y27" s="303"/>
      <c r="Z27" s="304"/>
      <c r="AA27" s="302">
        <f>BD.PD[[#This Row],[Av.P3 '[%']]]*BD.PD[[#This Row],[Ppto. Orden Interna '[DOP']]]</f>
        <v>0</v>
      </c>
      <c r="AB27" s="303"/>
      <c r="AC27" s="304"/>
      <c r="AD27" s="302">
        <f>BD.PD[[#This Row],[Av.P4 '[%']]]*BD.PD[[#This Row],[Ppto. Orden Interna '[DOP']]]</f>
        <v>0</v>
      </c>
      <c r="AE27" s="303"/>
      <c r="AF27" s="304"/>
      <c r="AG27" s="302">
        <f>BD.PD[[#This Row],[Av.P5 '[%']]]*BD.PD[[#This Row],[Ppto. Orden Interna '[DOP']]]</f>
        <v>0</v>
      </c>
      <c r="AH27" s="305">
        <f>BD.PD[[#This Row],[Pago 5]]+BD.PD[[#This Row],[Pago 4]]+BD.PD[[#This Row],[Pago 3]]+BD.PD[[#This Row],[Pago 2]]+BD.PD[[#This Row],[Pago 1]]</f>
        <v>5010251.4000000004</v>
      </c>
      <c r="AI27" s="404"/>
      <c r="AJ27" s="404"/>
      <c r="AK27" s="404"/>
      <c r="AL27" s="404"/>
      <c r="AM27" s="404"/>
      <c r="AN27" s="404"/>
      <c r="AO27" s="404"/>
      <c r="AP27" s="404"/>
      <c r="AQ27" s="404"/>
      <c r="AR27" s="404"/>
      <c r="AS27" s="404"/>
      <c r="AT27" s="404"/>
      <c r="AU27" s="404"/>
      <c r="AV27" s="404"/>
      <c r="AW27" s="404"/>
      <c r="AX27" s="404"/>
      <c r="AY27" s="404"/>
      <c r="AZ27" s="404"/>
      <c r="BA27" s="404"/>
      <c r="BB27" s="404"/>
      <c r="BC27" s="404"/>
      <c r="BD27" s="404"/>
      <c r="BE27" s="404"/>
      <c r="BF27" s="404"/>
      <c r="BG27" s="404"/>
      <c r="BH27" s="404"/>
      <c r="BI27" s="404"/>
      <c r="BJ27" s="404"/>
      <c r="BK27" s="404"/>
      <c r="BL27" s="404"/>
      <c r="BM27" s="404"/>
      <c r="BN27" s="404"/>
      <c r="BO27" s="404"/>
      <c r="BP27" s="404"/>
      <c r="BQ27" s="404"/>
      <c r="BR27" s="404"/>
      <c r="BS27" s="404"/>
      <c r="BT27" s="404"/>
      <c r="BU27" s="404"/>
      <c r="BV27" s="404"/>
      <c r="BW27" s="404"/>
      <c r="BX27" s="404"/>
      <c r="BY27" s="404"/>
      <c r="BZ27" s="404"/>
      <c r="CA27" s="404"/>
      <c r="CB27" s="404"/>
      <c r="CC27" s="404"/>
      <c r="CD27" s="404"/>
      <c r="CE27" s="404"/>
      <c r="CF27" s="404"/>
      <c r="CG27" s="404"/>
      <c r="CH27" s="404"/>
      <c r="CI27" s="404"/>
      <c r="CJ27" s="404"/>
      <c r="CK27" s="404"/>
      <c r="CL27" s="404"/>
      <c r="CM27" s="404"/>
      <c r="CN27" s="404"/>
      <c r="CO27" s="404"/>
      <c r="CP27" s="404"/>
      <c r="CQ27" s="404"/>
      <c r="CR27" s="404"/>
      <c r="CS27" s="404"/>
      <c r="CT27" s="404"/>
      <c r="CU27" s="404"/>
      <c r="CV27" s="404"/>
      <c r="CW27" s="404"/>
      <c r="CX27" s="404"/>
      <c r="CY27" s="404"/>
      <c r="CZ27" s="404"/>
      <c r="DA27" s="404"/>
      <c r="DB27" s="404"/>
      <c r="DC27" s="404"/>
      <c r="DD27" s="404"/>
      <c r="DE27" s="404"/>
      <c r="DF27" s="404"/>
      <c r="DG27" s="404"/>
      <c r="DH27" s="404"/>
      <c r="DI27" s="404"/>
      <c r="DJ27" s="404"/>
      <c r="DK27" s="404"/>
      <c r="DL27" s="404"/>
      <c r="DM27" s="404"/>
      <c r="DN27" s="404"/>
      <c r="DO27" s="404"/>
      <c r="DP27" s="404"/>
      <c r="DQ27" s="404"/>
      <c r="DR27" s="404"/>
      <c r="DS27" s="404"/>
      <c r="DT27" s="404"/>
      <c r="DU27" s="404"/>
      <c r="DV27" s="404"/>
      <c r="DW27" s="404"/>
      <c r="DX27" s="404"/>
      <c r="DY27" s="404"/>
      <c r="DZ27" s="404"/>
      <c r="EA27" s="404"/>
      <c r="EB27" s="404"/>
      <c r="EC27" s="404"/>
      <c r="ED27" s="404"/>
      <c r="EE27" s="404"/>
      <c r="EF27" s="404"/>
      <c r="EG27" s="404"/>
      <c r="EH27" s="404"/>
      <c r="EI27" s="404"/>
      <c r="EJ27" s="404"/>
      <c r="EK27" s="404"/>
      <c r="EL27" s="404"/>
      <c r="EM27" s="404"/>
      <c r="EN27" s="404"/>
      <c r="EO27" s="404"/>
      <c r="EP27" s="404"/>
      <c r="EQ27" s="404"/>
      <c r="ER27" s="404"/>
      <c r="ES27" s="404"/>
      <c r="ET27" s="404"/>
      <c r="EU27" s="404"/>
      <c r="EV27" s="404"/>
      <c r="EW27" s="404"/>
      <c r="EX27" s="404"/>
      <c r="EY27" s="404"/>
      <c r="EZ27" s="404"/>
      <c r="FA27" s="404"/>
      <c r="FB27" s="404"/>
      <c r="FC27" s="404"/>
      <c r="FD27" s="404"/>
      <c r="FE27" s="404"/>
      <c r="FF27" s="404"/>
      <c r="FG27" s="404"/>
      <c r="FH27" s="404"/>
      <c r="FI27" s="404"/>
      <c r="FJ27" s="404"/>
      <c r="FK27" s="404"/>
      <c r="FL27" s="404"/>
      <c r="FM27" s="404"/>
      <c r="FN27" s="404"/>
      <c r="FO27" s="404"/>
      <c r="FP27" s="404"/>
      <c r="FQ27" s="404"/>
      <c r="FR27" s="404"/>
      <c r="FS27" s="404"/>
      <c r="FT27" s="404"/>
      <c r="FU27" s="404"/>
      <c r="FV27" s="404"/>
      <c r="FW27" s="404"/>
      <c r="FX27" s="404"/>
      <c r="FY27" s="404"/>
      <c r="FZ27" s="404"/>
      <c r="GA27" s="404"/>
      <c r="GB27" s="404"/>
      <c r="GC27" s="404"/>
      <c r="GD27" s="404"/>
      <c r="GE27" s="404"/>
      <c r="GF27" s="404"/>
      <c r="GG27" s="404"/>
      <c r="GH27" s="404"/>
      <c r="GI27" s="404"/>
      <c r="GJ27" s="404"/>
      <c r="GK27" s="404"/>
      <c r="GL27" s="404"/>
      <c r="GM27" s="404"/>
      <c r="GN27" s="404"/>
      <c r="GO27" s="404"/>
      <c r="GP27" s="404"/>
      <c r="GQ27" s="404"/>
      <c r="GR27" s="404"/>
      <c r="GS27" s="404"/>
      <c r="GT27" s="404"/>
      <c r="GU27" s="404"/>
      <c r="GV27" s="404"/>
      <c r="GW27" s="404"/>
      <c r="GX27" s="404"/>
      <c r="GY27" s="404"/>
      <c r="GZ27" s="404"/>
      <c r="HA27" s="404"/>
      <c r="HB27" s="404"/>
      <c r="HC27" s="404"/>
      <c r="HD27" s="404"/>
      <c r="HE27" s="404"/>
      <c r="HF27" s="404"/>
      <c r="HG27" s="404"/>
      <c r="HH27" s="404"/>
      <c r="HI27" s="404"/>
      <c r="HJ27" s="404"/>
      <c r="HK27" s="404"/>
      <c r="HL27" s="404"/>
      <c r="HM27" s="404"/>
      <c r="HN27" s="404"/>
      <c r="HO27" s="404"/>
      <c r="HP27" s="404"/>
      <c r="HQ27" s="404"/>
      <c r="HR27" s="404"/>
      <c r="HS27" s="404"/>
      <c r="HT27" s="404"/>
      <c r="HU27" s="404"/>
      <c r="HV27" s="404"/>
      <c r="HW27" s="404"/>
      <c r="HX27" s="404"/>
      <c r="HY27" s="404"/>
      <c r="HZ27" s="404"/>
      <c r="IA27" s="404"/>
    </row>
    <row r="28" spans="1:235" s="309" customFormat="1" ht="15" customHeight="1" x14ac:dyDescent="0.3">
      <c r="A28" s="231">
        <v>2.0699999999999998</v>
      </c>
      <c r="B28" s="288"/>
      <c r="C28" s="289" t="str">
        <f>VLOOKUP(BD.PD[[#This Row],[Pos]],PPto[],3,FALSE)</f>
        <v xml:space="preserve">2.07 Sistema Contra Incendios </v>
      </c>
      <c r="D28" s="231" t="s">
        <v>22</v>
      </c>
      <c r="E28" s="291" t="str">
        <f>IF(BD.PD[[#This Row],[.]]="*",VLOOKUP(BD.PD[[#This Row],[Pos]],Presupuesto!A:H,7,FALSE),"")</f>
        <v/>
      </c>
      <c r="F28" s="292" t="s">
        <v>137</v>
      </c>
      <c r="G28" s="292" t="s">
        <v>578</v>
      </c>
      <c r="H28" s="358">
        <v>45921</v>
      </c>
      <c r="I28" s="359">
        <v>1</v>
      </c>
      <c r="J28" s="231" t="s">
        <v>456</v>
      </c>
      <c r="K28" s="294">
        <f>IF(BD.PD[[#This Row],[Mon]]="DOP",1,HLOOKUP(BD.PD[[#This Row],[Mon]],$J$1:$K$2,2,FALSE))</f>
        <v>63</v>
      </c>
      <c r="L28" s="499">
        <v>11000</v>
      </c>
      <c r="M28" s="296">
        <f>BD.PD[[#This Row],[Cant.]]*BD.PD[[#This Row],[ Tasa ]]*BD.PD[[#This Row],[ Precio Und.]]</f>
        <v>693000</v>
      </c>
      <c r="N28" s="361">
        <v>0</v>
      </c>
      <c r="O28" s="296">
        <f>IF(BD.PD[[#This Row],[Liquid. '[%']]]&lt;&gt;0,(BD.PD[[#This Row],[Valor Neto '[DOP']]]*BD.PD[[#This Row],[Liquid. '[%']]])+BD.PD[[#This Row],[Valor Neto '[DOP']]],BD.PD[[#This Row],[Valor Neto '[DOP']]])</f>
        <v>693000</v>
      </c>
      <c r="P28" s="298">
        <f>BD.PD[[#This Row],[Ppto. Orden Interna '[DOP']]]/HLOOKUP("USD",$J$1:$K$2,2,FALSE)</f>
        <v>11000</v>
      </c>
      <c r="Q28" s="299" t="s">
        <v>583</v>
      </c>
      <c r="R28" s="292"/>
      <c r="S28" s="300">
        <v>21</v>
      </c>
      <c r="T28" s="301">
        <v>1</v>
      </c>
      <c r="U28" s="302">
        <f>BD.PD[[#This Row],[Av.P1 '[%']]]*BD.PD[[#This Row],[Ppto. Orden Interna '[DOP']]]</f>
        <v>693000</v>
      </c>
      <c r="V28" s="303"/>
      <c r="W28" s="304"/>
      <c r="X28" s="302">
        <f>BD.PD[[#This Row],[Av.P2 '[%']]]*BD.PD[[#This Row],[Ppto. Orden Interna '[DOP']]]</f>
        <v>0</v>
      </c>
      <c r="Y28" s="303"/>
      <c r="Z28" s="304"/>
      <c r="AA28" s="302">
        <f>BD.PD[[#This Row],[Av.P3 '[%']]]*BD.PD[[#This Row],[Ppto. Orden Interna '[DOP']]]</f>
        <v>0</v>
      </c>
      <c r="AB28" s="303"/>
      <c r="AC28" s="304"/>
      <c r="AD28" s="302">
        <f>BD.PD[[#This Row],[Av.P4 '[%']]]*BD.PD[[#This Row],[Ppto. Orden Interna '[DOP']]]</f>
        <v>0</v>
      </c>
      <c r="AE28" s="303"/>
      <c r="AF28" s="304"/>
      <c r="AG28" s="302">
        <f>BD.PD[[#This Row],[Av.P5 '[%']]]*BD.PD[[#This Row],[Ppto. Orden Interna '[DOP']]]</f>
        <v>0</v>
      </c>
      <c r="AH28" s="305">
        <f>BD.PD[[#This Row],[Pago 5]]+BD.PD[[#This Row],[Pago 4]]+BD.PD[[#This Row],[Pago 3]]+BD.PD[[#This Row],[Pago 2]]+BD.PD[[#This Row],[Pago 1]]</f>
        <v>693000</v>
      </c>
      <c r="AI28" s="404"/>
      <c r="AJ28" s="404"/>
      <c r="AK28" s="404"/>
      <c r="AL28" s="404"/>
      <c r="AM28" s="404"/>
      <c r="AN28" s="404"/>
      <c r="AO28" s="404"/>
      <c r="AP28" s="404"/>
      <c r="AQ28" s="404"/>
      <c r="AR28" s="404"/>
      <c r="AS28" s="404"/>
      <c r="AT28" s="404"/>
      <c r="AU28" s="404"/>
      <c r="AV28" s="404"/>
      <c r="AW28" s="404"/>
      <c r="AX28" s="404"/>
      <c r="AY28" s="404"/>
      <c r="AZ28" s="404"/>
      <c r="BA28" s="404"/>
      <c r="BB28" s="404"/>
      <c r="BC28" s="404"/>
      <c r="BD28" s="404"/>
      <c r="BE28" s="404"/>
      <c r="BF28" s="404"/>
      <c r="BG28" s="404"/>
      <c r="BH28" s="404"/>
      <c r="BI28" s="404"/>
      <c r="BJ28" s="404"/>
      <c r="BK28" s="404"/>
      <c r="BL28" s="404"/>
      <c r="BM28" s="404"/>
      <c r="BN28" s="404"/>
      <c r="BO28" s="404"/>
      <c r="BP28" s="404"/>
      <c r="BQ28" s="404"/>
      <c r="BR28" s="404"/>
      <c r="BS28" s="404"/>
      <c r="BT28" s="404"/>
      <c r="BU28" s="404"/>
      <c r="BV28" s="404"/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4"/>
      <c r="DD28" s="404"/>
      <c r="DE28" s="404"/>
      <c r="DF28" s="404"/>
      <c r="DG28" s="404"/>
      <c r="DH28" s="404"/>
      <c r="DI28" s="404"/>
      <c r="DJ28" s="404"/>
      <c r="DK28" s="404"/>
      <c r="DL28" s="404"/>
      <c r="DM28" s="404"/>
      <c r="DN28" s="404"/>
      <c r="DO28" s="404"/>
      <c r="DP28" s="404"/>
      <c r="DQ28" s="404"/>
      <c r="DR28" s="404"/>
      <c r="DS28" s="404"/>
      <c r="DT28" s="404"/>
      <c r="DU28" s="404"/>
      <c r="DV28" s="404"/>
      <c r="DW28" s="404"/>
      <c r="DX28" s="404"/>
      <c r="DY28" s="404"/>
      <c r="DZ28" s="404"/>
      <c r="EA28" s="404"/>
      <c r="EB28" s="404"/>
      <c r="EC28" s="404"/>
      <c r="ED28" s="404"/>
      <c r="EE28" s="404"/>
      <c r="EF28" s="404"/>
      <c r="EG28" s="404"/>
      <c r="EH28" s="404"/>
      <c r="EI28" s="404"/>
      <c r="EJ28" s="404"/>
      <c r="EK28" s="404"/>
      <c r="EL28" s="404"/>
      <c r="EM28" s="404"/>
      <c r="EN28" s="404"/>
      <c r="EO28" s="404"/>
      <c r="EP28" s="404"/>
      <c r="EQ28" s="404"/>
      <c r="ER28" s="404"/>
      <c r="ES28" s="404"/>
      <c r="ET28" s="404"/>
      <c r="EU28" s="404"/>
      <c r="EV28" s="404"/>
      <c r="EW28" s="404"/>
      <c r="EX28" s="404"/>
      <c r="EY28" s="404"/>
      <c r="EZ28" s="404"/>
      <c r="FA28" s="404"/>
      <c r="FB28" s="404"/>
      <c r="FC28" s="404"/>
      <c r="FD28" s="404"/>
      <c r="FE28" s="404"/>
      <c r="FF28" s="404"/>
      <c r="FG28" s="404"/>
      <c r="FH28" s="404"/>
      <c r="FI28" s="404"/>
      <c r="FJ28" s="404"/>
      <c r="FK28" s="404"/>
      <c r="FL28" s="404"/>
      <c r="FM28" s="404"/>
      <c r="FN28" s="404"/>
      <c r="FO28" s="404"/>
      <c r="FP28" s="404"/>
      <c r="FQ28" s="404"/>
      <c r="FR28" s="404"/>
      <c r="FS28" s="404"/>
      <c r="FT28" s="404"/>
      <c r="FU28" s="404"/>
      <c r="FV28" s="404"/>
      <c r="FW28" s="404"/>
      <c r="FX28" s="404"/>
      <c r="FY28" s="404"/>
      <c r="FZ28" s="404"/>
      <c r="GA28" s="404"/>
      <c r="GB28" s="404"/>
      <c r="GC28" s="404"/>
      <c r="GD28" s="404"/>
      <c r="GE28" s="404"/>
      <c r="GF28" s="404"/>
      <c r="GG28" s="404"/>
      <c r="GH28" s="404"/>
      <c r="GI28" s="404"/>
      <c r="GJ28" s="404"/>
      <c r="GK28" s="404"/>
      <c r="GL28" s="404"/>
      <c r="GM28" s="404"/>
      <c r="GN28" s="404"/>
      <c r="GO28" s="404"/>
      <c r="GP28" s="404"/>
      <c r="GQ28" s="404"/>
      <c r="GR28" s="404"/>
      <c r="GS28" s="404"/>
      <c r="GT28" s="404"/>
      <c r="GU28" s="404"/>
      <c r="GV28" s="404"/>
      <c r="GW28" s="404"/>
      <c r="GX28" s="404"/>
      <c r="GY28" s="404"/>
      <c r="GZ28" s="404"/>
      <c r="HA28" s="404"/>
      <c r="HB28" s="404"/>
      <c r="HC28" s="404"/>
      <c r="HD28" s="404"/>
      <c r="HE28" s="404"/>
      <c r="HF28" s="404"/>
      <c r="HG28" s="404"/>
      <c r="HH28" s="404"/>
      <c r="HI28" s="404"/>
      <c r="HJ28" s="404"/>
      <c r="HK28" s="404"/>
      <c r="HL28" s="404"/>
      <c r="HM28" s="404"/>
      <c r="HN28" s="404"/>
      <c r="HO28" s="404"/>
      <c r="HP28" s="404"/>
      <c r="HQ28" s="404"/>
      <c r="HR28" s="404"/>
      <c r="HS28" s="404"/>
      <c r="HT28" s="404"/>
      <c r="HU28" s="404"/>
      <c r="HV28" s="404"/>
      <c r="HW28" s="404"/>
      <c r="HX28" s="404"/>
      <c r="HY28" s="404"/>
      <c r="HZ28" s="404"/>
      <c r="IA28" s="404"/>
    </row>
    <row r="29" spans="1:235" s="309" customFormat="1" ht="15" customHeight="1" x14ac:dyDescent="0.3">
      <c r="A29" s="231">
        <v>2.0699999999999998</v>
      </c>
      <c r="B29" s="288"/>
      <c r="C29" s="289" t="str">
        <f>VLOOKUP(BD.PD[[#This Row],[Pos]],PPto[],3,FALSE)</f>
        <v xml:space="preserve">2.07 Sistema Contra Incendios </v>
      </c>
      <c r="D29" s="231" t="s">
        <v>22</v>
      </c>
      <c r="E29" s="291" t="str">
        <f>IF(BD.PD[[#This Row],[.]]="*",VLOOKUP(BD.PD[[#This Row],[Pos]],Presupuesto!A:H,7,FALSE),"")</f>
        <v/>
      </c>
      <c r="F29" s="384" t="s">
        <v>129</v>
      </c>
      <c r="G29" s="292" t="s">
        <v>578</v>
      </c>
      <c r="H29" s="358">
        <v>45921</v>
      </c>
      <c r="I29" s="359">
        <v>3</v>
      </c>
      <c r="J29" s="231" t="s">
        <v>456</v>
      </c>
      <c r="K29" s="294">
        <f>IF(BD.PD[[#This Row],[Mon]]="DOP",1,HLOOKUP(BD.PD[[#This Row],[Mon]],$J$1:$K$2,2,FALSE))</f>
        <v>63</v>
      </c>
      <c r="L29" s="360">
        <v>40</v>
      </c>
      <c r="M29" s="296">
        <f>BD.PD[[#This Row],[Cant.]]*BD.PD[[#This Row],[ Tasa ]]*BD.PD[[#This Row],[ Precio Und.]]</f>
        <v>7560</v>
      </c>
      <c r="N29" s="361">
        <v>0.01</v>
      </c>
      <c r="O29" s="296">
        <f>IF(BD.PD[[#This Row],[Liquid. '[%']]]&lt;&gt;0,(BD.PD[[#This Row],[Valor Neto '[DOP']]]*BD.PD[[#This Row],[Liquid. '[%']]])+BD.PD[[#This Row],[Valor Neto '[DOP']]],BD.PD[[#This Row],[Valor Neto '[DOP']]])</f>
        <v>7635.6</v>
      </c>
      <c r="P29" s="298">
        <f>BD.PD[[#This Row],[Ppto. Orden Interna '[DOP']]]/HLOOKUP("USD",$J$1:$K$2,2,FALSE)</f>
        <v>121.2</v>
      </c>
      <c r="Q29" s="299" t="s">
        <v>584</v>
      </c>
      <c r="R29" s="292" t="s">
        <v>585</v>
      </c>
      <c r="S29" s="300">
        <v>21</v>
      </c>
      <c r="T29" s="301">
        <v>1</v>
      </c>
      <c r="U29" s="302">
        <f>BD.PD[[#This Row],[Av.P1 '[%']]]*BD.PD[[#This Row],[Ppto. Orden Interna '[DOP']]]</f>
        <v>7635.6</v>
      </c>
      <c r="V29" s="303"/>
      <c r="W29" s="304"/>
      <c r="X29" s="302">
        <f>BD.PD[[#This Row],[Av.P2 '[%']]]*BD.PD[[#This Row],[Ppto. Orden Interna '[DOP']]]</f>
        <v>0</v>
      </c>
      <c r="Y29" s="303"/>
      <c r="Z29" s="304"/>
      <c r="AA29" s="302">
        <f>BD.PD[[#This Row],[Av.P3 '[%']]]*BD.PD[[#This Row],[Ppto. Orden Interna '[DOP']]]</f>
        <v>0</v>
      </c>
      <c r="AB29" s="303"/>
      <c r="AC29" s="304"/>
      <c r="AD29" s="302">
        <f>BD.PD[[#This Row],[Av.P4 '[%']]]*BD.PD[[#This Row],[Ppto. Orden Interna '[DOP']]]</f>
        <v>0</v>
      </c>
      <c r="AE29" s="303"/>
      <c r="AF29" s="304"/>
      <c r="AG29" s="302">
        <f>BD.PD[[#This Row],[Av.P5 '[%']]]*BD.PD[[#This Row],[Ppto. Orden Interna '[DOP']]]</f>
        <v>0</v>
      </c>
      <c r="AH29" s="305">
        <f>BD.PD[[#This Row],[Pago 5]]+BD.PD[[#This Row],[Pago 4]]+BD.PD[[#This Row],[Pago 3]]+BD.PD[[#This Row],[Pago 2]]+BD.PD[[#This Row],[Pago 1]]</f>
        <v>7635.6</v>
      </c>
      <c r="AI29" s="404"/>
      <c r="AJ29" s="404"/>
      <c r="AK29" s="404"/>
      <c r="AL29" s="404"/>
      <c r="AM29" s="404"/>
      <c r="AN29" s="404"/>
      <c r="AO29" s="404"/>
      <c r="AP29" s="404"/>
      <c r="AQ29" s="404"/>
      <c r="AR29" s="404"/>
      <c r="AS29" s="404"/>
      <c r="AT29" s="404"/>
      <c r="AU29" s="404"/>
      <c r="AV29" s="404"/>
      <c r="AW29" s="404"/>
      <c r="AX29" s="404"/>
      <c r="AY29" s="404"/>
      <c r="AZ29" s="404"/>
      <c r="BA29" s="404"/>
      <c r="BB29" s="404"/>
      <c r="BC29" s="404"/>
      <c r="BD29" s="404"/>
      <c r="BE29" s="404"/>
      <c r="BF29" s="404"/>
      <c r="BG29" s="404"/>
      <c r="BH29" s="404"/>
      <c r="BI29" s="404"/>
      <c r="BJ29" s="404"/>
      <c r="BK29" s="404"/>
      <c r="BL29" s="404"/>
      <c r="BM29" s="404"/>
      <c r="BN29" s="404"/>
      <c r="BO29" s="404"/>
      <c r="BP29" s="404"/>
      <c r="BQ29" s="404"/>
      <c r="BR29" s="404"/>
      <c r="BS29" s="404"/>
      <c r="BT29" s="404"/>
      <c r="BU29" s="404"/>
      <c r="BV29" s="404"/>
      <c r="BW29" s="404"/>
      <c r="BX29" s="404"/>
      <c r="BY29" s="404"/>
      <c r="BZ29" s="404"/>
      <c r="CA29" s="404"/>
      <c r="CB29" s="404"/>
      <c r="CC29" s="404"/>
      <c r="CD29" s="404"/>
      <c r="CE29" s="404"/>
      <c r="CF29" s="404"/>
      <c r="CG29" s="404"/>
      <c r="CH29" s="404"/>
      <c r="CI29" s="404"/>
      <c r="CJ29" s="404"/>
      <c r="CK29" s="404"/>
      <c r="CL29" s="404"/>
      <c r="CM29" s="404"/>
      <c r="CN29" s="404"/>
      <c r="CO29" s="404"/>
      <c r="CP29" s="404"/>
      <c r="CQ29" s="404"/>
      <c r="CR29" s="404"/>
      <c r="CS29" s="40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4"/>
      <c r="DD29" s="404"/>
      <c r="DE29" s="404"/>
      <c r="DF29" s="404"/>
      <c r="DG29" s="404"/>
      <c r="DH29" s="404"/>
      <c r="DI29" s="404"/>
      <c r="DJ29" s="404"/>
      <c r="DK29" s="404"/>
      <c r="DL29" s="404"/>
      <c r="DM29" s="404"/>
      <c r="DN29" s="404"/>
      <c r="DO29" s="404"/>
      <c r="DP29" s="404"/>
      <c r="DQ29" s="404"/>
      <c r="DR29" s="404"/>
      <c r="DS29" s="404"/>
      <c r="DT29" s="404"/>
      <c r="DU29" s="404"/>
      <c r="DV29" s="404"/>
      <c r="DW29" s="404"/>
      <c r="DX29" s="404"/>
      <c r="DY29" s="404"/>
      <c r="DZ29" s="404"/>
      <c r="EA29" s="404"/>
      <c r="EB29" s="404"/>
      <c r="EC29" s="404"/>
      <c r="ED29" s="404"/>
      <c r="EE29" s="404"/>
      <c r="EF29" s="404"/>
      <c r="EG29" s="404"/>
      <c r="EH29" s="404"/>
      <c r="EI29" s="404"/>
      <c r="EJ29" s="404"/>
      <c r="EK29" s="404"/>
      <c r="EL29" s="404"/>
      <c r="EM29" s="404"/>
      <c r="EN29" s="404"/>
      <c r="EO29" s="404"/>
      <c r="EP29" s="404"/>
      <c r="EQ29" s="404"/>
      <c r="ER29" s="404"/>
      <c r="ES29" s="404"/>
      <c r="ET29" s="404"/>
      <c r="EU29" s="404"/>
      <c r="EV29" s="404"/>
      <c r="EW29" s="404"/>
      <c r="EX29" s="404"/>
      <c r="EY29" s="404"/>
      <c r="EZ29" s="404"/>
      <c r="FA29" s="404"/>
      <c r="FB29" s="404"/>
      <c r="FC29" s="404"/>
      <c r="FD29" s="404"/>
      <c r="FE29" s="404"/>
      <c r="FF29" s="404"/>
      <c r="FG29" s="404"/>
      <c r="FH29" s="404"/>
      <c r="FI29" s="404"/>
      <c r="FJ29" s="404"/>
      <c r="FK29" s="404"/>
      <c r="FL29" s="404"/>
      <c r="FM29" s="404"/>
      <c r="FN29" s="404"/>
      <c r="FO29" s="404"/>
      <c r="FP29" s="404"/>
      <c r="FQ29" s="404"/>
      <c r="FR29" s="404"/>
      <c r="FS29" s="404"/>
      <c r="FT29" s="404"/>
      <c r="FU29" s="404"/>
      <c r="FV29" s="404"/>
      <c r="FW29" s="404"/>
      <c r="FX29" s="404"/>
      <c r="FY29" s="404"/>
      <c r="FZ29" s="404"/>
      <c r="GA29" s="404"/>
      <c r="GB29" s="404"/>
      <c r="GC29" s="404"/>
      <c r="GD29" s="404"/>
      <c r="GE29" s="404"/>
      <c r="GF29" s="404"/>
      <c r="GG29" s="404"/>
      <c r="GH29" s="404"/>
      <c r="GI29" s="404"/>
      <c r="GJ29" s="404"/>
      <c r="GK29" s="404"/>
      <c r="GL29" s="404"/>
      <c r="GM29" s="404"/>
      <c r="GN29" s="404"/>
      <c r="GO29" s="404"/>
      <c r="GP29" s="404"/>
      <c r="GQ29" s="404"/>
      <c r="GR29" s="404"/>
      <c r="GS29" s="404"/>
      <c r="GT29" s="404"/>
      <c r="GU29" s="404"/>
      <c r="GV29" s="404"/>
      <c r="GW29" s="404"/>
      <c r="GX29" s="404"/>
      <c r="GY29" s="404"/>
      <c r="GZ29" s="404"/>
      <c r="HA29" s="404"/>
      <c r="HB29" s="404"/>
      <c r="HC29" s="404"/>
      <c r="HD29" s="404"/>
      <c r="HE29" s="404"/>
      <c r="HF29" s="404"/>
      <c r="HG29" s="404"/>
      <c r="HH29" s="404"/>
      <c r="HI29" s="404"/>
      <c r="HJ29" s="404"/>
      <c r="HK29" s="404"/>
      <c r="HL29" s="404"/>
      <c r="HM29" s="404"/>
      <c r="HN29" s="404"/>
      <c r="HO29" s="404"/>
      <c r="HP29" s="404"/>
      <c r="HQ29" s="404"/>
      <c r="HR29" s="404"/>
      <c r="HS29" s="404"/>
      <c r="HT29" s="404"/>
      <c r="HU29" s="404"/>
      <c r="HV29" s="404"/>
      <c r="HW29" s="404"/>
      <c r="HX29" s="404"/>
      <c r="HY29" s="404"/>
      <c r="HZ29" s="404"/>
      <c r="IA29" s="404"/>
    </row>
    <row r="30" spans="1:235" s="309" customFormat="1" ht="15" customHeight="1" x14ac:dyDescent="0.3">
      <c r="A30" s="231">
        <v>2.0699999999999998</v>
      </c>
      <c r="B30" s="288"/>
      <c r="C30" s="289" t="str">
        <f>VLOOKUP(BD.PD[[#This Row],[Pos]],PPto[],3,FALSE)</f>
        <v xml:space="preserve">2.07 Sistema Contra Incendios </v>
      </c>
      <c r="D30" s="231" t="s">
        <v>22</v>
      </c>
      <c r="E30" s="291" t="str">
        <f>IF(BD.PD[[#This Row],[.]]="*",VLOOKUP(BD.PD[[#This Row],[Pos]],Presupuesto!A:H,7,FALSE),"")</f>
        <v/>
      </c>
      <c r="F30" s="384" t="s">
        <v>130</v>
      </c>
      <c r="G30" s="292" t="s">
        <v>578</v>
      </c>
      <c r="H30" s="358">
        <v>45921</v>
      </c>
      <c r="I30" s="359">
        <v>4</v>
      </c>
      <c r="J30" s="231" t="s">
        <v>456</v>
      </c>
      <c r="K30" s="294">
        <f>IF(BD.PD[[#This Row],[Mon]]="DOP",1,HLOOKUP(BD.PD[[#This Row],[Mon]],$J$1:$K$2,2,FALSE))</f>
        <v>63</v>
      </c>
      <c r="L30" s="360">
        <v>831</v>
      </c>
      <c r="M30" s="296">
        <f>BD.PD[[#This Row],[Cant.]]*BD.PD[[#This Row],[ Tasa ]]*BD.PD[[#This Row],[ Precio Und.]]</f>
        <v>209412</v>
      </c>
      <c r="N30" s="361">
        <v>0.01</v>
      </c>
      <c r="O30" s="296">
        <f>IF(BD.PD[[#This Row],[Liquid. '[%']]]&lt;&gt;0,(BD.PD[[#This Row],[Valor Neto '[DOP']]]*BD.PD[[#This Row],[Liquid. '[%']]])+BD.PD[[#This Row],[Valor Neto '[DOP']]],BD.PD[[#This Row],[Valor Neto '[DOP']]])</f>
        <v>211506.12</v>
      </c>
      <c r="P30" s="298">
        <f>BD.PD[[#This Row],[Ppto. Orden Interna '[DOP']]]/HLOOKUP("USD",$J$1:$K$2,2,FALSE)</f>
        <v>3357.24</v>
      </c>
      <c r="Q30" s="299" t="s">
        <v>584</v>
      </c>
      <c r="R30" s="292" t="s">
        <v>585</v>
      </c>
      <c r="S30" s="300">
        <v>21</v>
      </c>
      <c r="T30" s="301">
        <v>1</v>
      </c>
      <c r="U30" s="302">
        <f>BD.PD[[#This Row],[Av.P1 '[%']]]*BD.PD[[#This Row],[Ppto. Orden Interna '[DOP']]]</f>
        <v>211506.12</v>
      </c>
      <c r="V30" s="303"/>
      <c r="W30" s="304"/>
      <c r="X30" s="302">
        <f>BD.PD[[#This Row],[Av.P2 '[%']]]*BD.PD[[#This Row],[Ppto. Orden Interna '[DOP']]]</f>
        <v>0</v>
      </c>
      <c r="Y30" s="303"/>
      <c r="Z30" s="304"/>
      <c r="AA30" s="302">
        <f>BD.PD[[#This Row],[Av.P3 '[%']]]*BD.PD[[#This Row],[Ppto. Orden Interna '[DOP']]]</f>
        <v>0</v>
      </c>
      <c r="AB30" s="303"/>
      <c r="AC30" s="304"/>
      <c r="AD30" s="302">
        <f>BD.PD[[#This Row],[Av.P4 '[%']]]*BD.PD[[#This Row],[Ppto. Orden Interna '[DOP']]]</f>
        <v>0</v>
      </c>
      <c r="AE30" s="303"/>
      <c r="AF30" s="304"/>
      <c r="AG30" s="302">
        <f>BD.PD[[#This Row],[Av.P5 '[%']]]*BD.PD[[#This Row],[Ppto. Orden Interna '[DOP']]]</f>
        <v>0</v>
      </c>
      <c r="AH30" s="305">
        <f>BD.PD[[#This Row],[Pago 5]]+BD.PD[[#This Row],[Pago 4]]+BD.PD[[#This Row],[Pago 3]]+BD.PD[[#This Row],[Pago 2]]+BD.PD[[#This Row],[Pago 1]]</f>
        <v>211506.12</v>
      </c>
      <c r="AI30" s="404"/>
      <c r="AJ30" s="404"/>
      <c r="AK30" s="404"/>
      <c r="AL30" s="404"/>
      <c r="AM30" s="404"/>
      <c r="AN30" s="404"/>
      <c r="AO30" s="404"/>
      <c r="AP30" s="404"/>
      <c r="AQ30" s="404"/>
      <c r="AR30" s="404"/>
      <c r="AS30" s="404"/>
      <c r="AT30" s="404"/>
      <c r="AU30" s="404"/>
      <c r="AV30" s="404"/>
      <c r="AW30" s="404"/>
      <c r="AX30" s="404"/>
      <c r="AY30" s="404"/>
      <c r="AZ30" s="404"/>
      <c r="BA30" s="404"/>
      <c r="BB30" s="404"/>
      <c r="BC30" s="404"/>
      <c r="BD30" s="404"/>
      <c r="BE30" s="404"/>
      <c r="BF30" s="404"/>
      <c r="BG30" s="404"/>
      <c r="BH30" s="404"/>
      <c r="BI30" s="404"/>
      <c r="BJ30" s="404"/>
      <c r="BK30" s="404"/>
      <c r="BL30" s="404"/>
      <c r="BM30" s="404"/>
      <c r="BN30" s="404"/>
      <c r="BO30" s="404"/>
      <c r="BP30" s="404"/>
      <c r="BQ30" s="404"/>
      <c r="BR30" s="404"/>
      <c r="BS30" s="404"/>
      <c r="BT30" s="404"/>
      <c r="BU30" s="404"/>
      <c r="BV30" s="404"/>
      <c r="BW30" s="404"/>
      <c r="BX30" s="404"/>
      <c r="BY30" s="404"/>
      <c r="BZ30" s="404"/>
      <c r="CA30" s="404"/>
      <c r="CB30" s="404"/>
      <c r="CC30" s="404"/>
      <c r="CD30" s="404"/>
      <c r="CE30" s="404"/>
      <c r="CF30" s="404"/>
      <c r="CG30" s="404"/>
      <c r="CH30" s="404"/>
      <c r="CI30" s="404"/>
      <c r="CJ30" s="404"/>
      <c r="CK30" s="404"/>
      <c r="CL30" s="404"/>
      <c r="CM30" s="404"/>
      <c r="CN30" s="404"/>
      <c r="CO30" s="404"/>
      <c r="CP30" s="404"/>
      <c r="CQ30" s="404"/>
      <c r="CR30" s="404"/>
      <c r="CS30" s="40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4"/>
      <c r="DD30" s="404"/>
      <c r="DE30" s="404"/>
      <c r="DF30" s="404"/>
      <c r="DG30" s="404"/>
      <c r="DH30" s="404"/>
      <c r="DI30" s="404"/>
      <c r="DJ30" s="404"/>
      <c r="DK30" s="404"/>
      <c r="DL30" s="404"/>
      <c r="DM30" s="404"/>
      <c r="DN30" s="404"/>
      <c r="DO30" s="404"/>
      <c r="DP30" s="404"/>
      <c r="DQ30" s="404"/>
      <c r="DR30" s="404"/>
      <c r="DS30" s="404"/>
      <c r="DT30" s="404"/>
      <c r="DU30" s="404"/>
      <c r="DV30" s="404"/>
      <c r="DW30" s="404"/>
      <c r="DX30" s="404"/>
      <c r="DY30" s="404"/>
      <c r="DZ30" s="404"/>
      <c r="EA30" s="404"/>
      <c r="EB30" s="404"/>
      <c r="EC30" s="404"/>
      <c r="ED30" s="404"/>
      <c r="EE30" s="404"/>
      <c r="EF30" s="404"/>
      <c r="EG30" s="404"/>
      <c r="EH30" s="404"/>
      <c r="EI30" s="404"/>
      <c r="EJ30" s="404"/>
      <c r="EK30" s="404"/>
      <c r="EL30" s="404"/>
      <c r="EM30" s="404"/>
      <c r="EN30" s="404"/>
      <c r="EO30" s="404"/>
      <c r="EP30" s="404"/>
      <c r="EQ30" s="404"/>
      <c r="ER30" s="404"/>
      <c r="ES30" s="404"/>
      <c r="ET30" s="404"/>
      <c r="EU30" s="404"/>
      <c r="EV30" s="404"/>
      <c r="EW30" s="404"/>
      <c r="EX30" s="404"/>
      <c r="EY30" s="404"/>
      <c r="EZ30" s="404"/>
      <c r="FA30" s="404"/>
      <c r="FB30" s="404"/>
      <c r="FC30" s="404"/>
      <c r="FD30" s="404"/>
      <c r="FE30" s="404"/>
      <c r="FF30" s="404"/>
      <c r="FG30" s="404"/>
      <c r="FH30" s="404"/>
      <c r="FI30" s="404"/>
      <c r="FJ30" s="404"/>
      <c r="FK30" s="404"/>
      <c r="FL30" s="404"/>
      <c r="FM30" s="404"/>
      <c r="FN30" s="404"/>
      <c r="FO30" s="404"/>
      <c r="FP30" s="404"/>
      <c r="FQ30" s="404"/>
      <c r="FR30" s="404"/>
      <c r="FS30" s="404"/>
      <c r="FT30" s="404"/>
      <c r="FU30" s="404"/>
      <c r="FV30" s="404"/>
      <c r="FW30" s="404"/>
      <c r="FX30" s="404"/>
      <c r="FY30" s="404"/>
      <c r="FZ30" s="404"/>
      <c r="GA30" s="404"/>
      <c r="GB30" s="404"/>
      <c r="GC30" s="404"/>
      <c r="GD30" s="404"/>
      <c r="GE30" s="404"/>
      <c r="GF30" s="404"/>
      <c r="GG30" s="404"/>
      <c r="GH30" s="404"/>
      <c r="GI30" s="404"/>
      <c r="GJ30" s="404"/>
      <c r="GK30" s="404"/>
      <c r="GL30" s="404"/>
      <c r="GM30" s="404"/>
      <c r="GN30" s="404"/>
      <c r="GO30" s="404"/>
      <c r="GP30" s="404"/>
      <c r="GQ30" s="404"/>
      <c r="GR30" s="404"/>
      <c r="GS30" s="404"/>
      <c r="GT30" s="404"/>
      <c r="GU30" s="404"/>
      <c r="GV30" s="404"/>
      <c r="GW30" s="404"/>
      <c r="GX30" s="404"/>
      <c r="GY30" s="404"/>
      <c r="GZ30" s="404"/>
      <c r="HA30" s="404"/>
      <c r="HB30" s="404"/>
      <c r="HC30" s="404"/>
      <c r="HD30" s="404"/>
      <c r="HE30" s="404"/>
      <c r="HF30" s="404"/>
      <c r="HG30" s="404"/>
      <c r="HH30" s="404"/>
      <c r="HI30" s="404"/>
      <c r="HJ30" s="404"/>
      <c r="HK30" s="404"/>
      <c r="HL30" s="404"/>
      <c r="HM30" s="404"/>
      <c r="HN30" s="404"/>
      <c r="HO30" s="404"/>
      <c r="HP30" s="404"/>
      <c r="HQ30" s="404"/>
      <c r="HR30" s="404"/>
      <c r="HS30" s="404"/>
      <c r="HT30" s="404"/>
      <c r="HU30" s="404"/>
      <c r="HV30" s="404"/>
      <c r="HW30" s="404"/>
      <c r="HX30" s="404"/>
      <c r="HY30" s="404"/>
      <c r="HZ30" s="404"/>
      <c r="IA30" s="404"/>
    </row>
    <row r="31" spans="1:235" s="309" customFormat="1" ht="15" customHeight="1" x14ac:dyDescent="0.3">
      <c r="A31" s="231">
        <v>2.0699999999999998</v>
      </c>
      <c r="B31" s="288"/>
      <c r="C31" s="289" t="str">
        <f>VLOOKUP(BD.PD[[#This Row],[Pos]],PPto[],3,FALSE)</f>
        <v xml:space="preserve">2.07 Sistema Contra Incendios </v>
      </c>
      <c r="D31" s="231" t="s">
        <v>22</v>
      </c>
      <c r="E31" s="291" t="str">
        <f>IF(BD.PD[[#This Row],[.]]="*",VLOOKUP(BD.PD[[#This Row],[Pos]],Presupuesto!A:H,7,FALSE),"")</f>
        <v/>
      </c>
      <c r="F31" s="384" t="s">
        <v>131</v>
      </c>
      <c r="G31" s="292" t="s">
        <v>578</v>
      </c>
      <c r="H31" s="358">
        <v>45921</v>
      </c>
      <c r="I31" s="359">
        <v>17</v>
      </c>
      <c r="J31" s="231" t="s">
        <v>456</v>
      </c>
      <c r="K31" s="294">
        <f>IF(BD.PD[[#This Row],[Mon]]="DOP",1,HLOOKUP(BD.PD[[#This Row],[Mon]],$J$1:$K$2,2,FALSE))</f>
        <v>63</v>
      </c>
      <c r="L31" s="360">
        <v>105</v>
      </c>
      <c r="M31" s="296">
        <f>BD.PD[[#This Row],[Cant.]]*BD.PD[[#This Row],[ Tasa ]]*BD.PD[[#This Row],[ Precio Und.]]</f>
        <v>112455</v>
      </c>
      <c r="N31" s="361">
        <v>0.01</v>
      </c>
      <c r="O31" s="296">
        <f>IF(BD.PD[[#This Row],[Liquid. '[%']]]&lt;&gt;0,(BD.PD[[#This Row],[Valor Neto '[DOP']]]*BD.PD[[#This Row],[Liquid. '[%']]])+BD.PD[[#This Row],[Valor Neto '[DOP']]],BD.PD[[#This Row],[Valor Neto '[DOP']]])</f>
        <v>113579.55</v>
      </c>
      <c r="P31" s="298">
        <f>BD.PD[[#This Row],[Ppto. Orden Interna '[DOP']]]/HLOOKUP("USD",$J$1:$K$2,2,FALSE)</f>
        <v>1802.8500000000001</v>
      </c>
      <c r="Q31" s="299" t="s">
        <v>584</v>
      </c>
      <c r="R31" s="292" t="s">
        <v>585</v>
      </c>
      <c r="S31" s="300">
        <v>21</v>
      </c>
      <c r="T31" s="301">
        <v>1</v>
      </c>
      <c r="U31" s="302">
        <f>BD.PD[[#This Row],[Av.P1 '[%']]]*BD.PD[[#This Row],[Ppto. Orden Interna '[DOP']]]</f>
        <v>113579.55</v>
      </c>
      <c r="V31" s="303"/>
      <c r="W31" s="304"/>
      <c r="X31" s="302">
        <f>BD.PD[[#This Row],[Av.P2 '[%']]]*BD.PD[[#This Row],[Ppto. Orden Interna '[DOP']]]</f>
        <v>0</v>
      </c>
      <c r="Y31" s="303"/>
      <c r="Z31" s="304"/>
      <c r="AA31" s="302">
        <f>BD.PD[[#This Row],[Av.P3 '[%']]]*BD.PD[[#This Row],[Ppto. Orden Interna '[DOP']]]</f>
        <v>0</v>
      </c>
      <c r="AB31" s="303"/>
      <c r="AC31" s="304"/>
      <c r="AD31" s="302">
        <f>BD.PD[[#This Row],[Av.P4 '[%']]]*BD.PD[[#This Row],[Ppto. Orden Interna '[DOP']]]</f>
        <v>0</v>
      </c>
      <c r="AE31" s="303"/>
      <c r="AF31" s="304"/>
      <c r="AG31" s="302">
        <f>BD.PD[[#This Row],[Av.P5 '[%']]]*BD.PD[[#This Row],[Ppto. Orden Interna '[DOP']]]</f>
        <v>0</v>
      </c>
      <c r="AH31" s="305">
        <f>BD.PD[[#This Row],[Pago 5]]+BD.PD[[#This Row],[Pago 4]]+BD.PD[[#This Row],[Pago 3]]+BD.PD[[#This Row],[Pago 2]]+BD.PD[[#This Row],[Pago 1]]</f>
        <v>113579.55</v>
      </c>
      <c r="AI31" s="404"/>
      <c r="AJ31" s="404"/>
      <c r="AK31" s="404"/>
      <c r="AL31" s="404"/>
      <c r="AM31" s="404"/>
      <c r="AN31" s="404"/>
      <c r="AO31" s="404"/>
      <c r="AP31" s="404"/>
      <c r="AQ31" s="404"/>
      <c r="AR31" s="404"/>
      <c r="AS31" s="404"/>
      <c r="AT31" s="404"/>
      <c r="AU31" s="404"/>
      <c r="AV31" s="404"/>
      <c r="AW31" s="404"/>
      <c r="AX31" s="404"/>
      <c r="AY31" s="404"/>
      <c r="AZ31" s="404"/>
      <c r="BA31" s="404"/>
      <c r="BB31" s="404"/>
      <c r="BC31" s="404"/>
      <c r="BD31" s="404"/>
      <c r="BE31" s="404"/>
      <c r="BF31" s="404"/>
      <c r="BG31" s="404"/>
      <c r="BH31" s="404"/>
      <c r="BI31" s="404"/>
      <c r="BJ31" s="404"/>
      <c r="BK31" s="404"/>
      <c r="BL31" s="404"/>
      <c r="BM31" s="404"/>
      <c r="BN31" s="404"/>
      <c r="BO31" s="404"/>
      <c r="BP31" s="404"/>
      <c r="BQ31" s="404"/>
      <c r="BR31" s="404"/>
      <c r="BS31" s="404"/>
      <c r="BT31" s="404"/>
      <c r="BU31" s="404"/>
      <c r="BV31" s="404"/>
      <c r="BW31" s="404"/>
      <c r="BX31" s="404"/>
      <c r="BY31" s="404"/>
      <c r="BZ31" s="404"/>
      <c r="CA31" s="404"/>
      <c r="CB31" s="404"/>
      <c r="CC31" s="404"/>
      <c r="CD31" s="404"/>
      <c r="CE31" s="404"/>
      <c r="CF31" s="404"/>
      <c r="CG31" s="404"/>
      <c r="CH31" s="404"/>
      <c r="CI31" s="404"/>
      <c r="CJ31" s="404"/>
      <c r="CK31" s="404"/>
      <c r="CL31" s="404"/>
      <c r="CM31" s="404"/>
      <c r="CN31" s="404"/>
      <c r="CO31" s="404"/>
      <c r="CP31" s="404"/>
      <c r="CQ31" s="404"/>
      <c r="CR31" s="404"/>
      <c r="CS31" s="404"/>
      <c r="CT31" s="404"/>
      <c r="CU31" s="404"/>
      <c r="CV31" s="404"/>
      <c r="CW31" s="404"/>
      <c r="CX31" s="404"/>
      <c r="CY31" s="404"/>
      <c r="CZ31" s="404"/>
      <c r="DA31" s="404"/>
      <c r="DB31" s="404"/>
      <c r="DC31" s="404"/>
      <c r="DD31" s="404"/>
      <c r="DE31" s="404"/>
      <c r="DF31" s="404"/>
      <c r="DG31" s="404"/>
      <c r="DH31" s="404"/>
      <c r="DI31" s="404"/>
      <c r="DJ31" s="404"/>
      <c r="DK31" s="404"/>
      <c r="DL31" s="404"/>
      <c r="DM31" s="404"/>
      <c r="DN31" s="404"/>
      <c r="DO31" s="404"/>
      <c r="DP31" s="404"/>
      <c r="DQ31" s="404"/>
      <c r="DR31" s="404"/>
      <c r="DS31" s="404"/>
      <c r="DT31" s="404"/>
      <c r="DU31" s="404"/>
      <c r="DV31" s="404"/>
      <c r="DW31" s="404"/>
      <c r="DX31" s="404"/>
      <c r="DY31" s="404"/>
      <c r="DZ31" s="404"/>
      <c r="EA31" s="404"/>
      <c r="EB31" s="404"/>
      <c r="EC31" s="404"/>
      <c r="ED31" s="404"/>
      <c r="EE31" s="404"/>
      <c r="EF31" s="404"/>
      <c r="EG31" s="404"/>
      <c r="EH31" s="404"/>
      <c r="EI31" s="404"/>
      <c r="EJ31" s="404"/>
      <c r="EK31" s="404"/>
      <c r="EL31" s="404"/>
      <c r="EM31" s="404"/>
      <c r="EN31" s="404"/>
      <c r="EO31" s="404"/>
      <c r="EP31" s="404"/>
      <c r="EQ31" s="404"/>
      <c r="ER31" s="404"/>
      <c r="ES31" s="404"/>
      <c r="ET31" s="404"/>
      <c r="EU31" s="404"/>
      <c r="EV31" s="404"/>
      <c r="EW31" s="404"/>
      <c r="EX31" s="404"/>
      <c r="EY31" s="404"/>
      <c r="EZ31" s="404"/>
      <c r="FA31" s="404"/>
      <c r="FB31" s="404"/>
      <c r="FC31" s="404"/>
      <c r="FD31" s="404"/>
      <c r="FE31" s="404"/>
      <c r="FF31" s="404"/>
      <c r="FG31" s="404"/>
      <c r="FH31" s="404"/>
      <c r="FI31" s="404"/>
      <c r="FJ31" s="404"/>
      <c r="FK31" s="404"/>
      <c r="FL31" s="404"/>
      <c r="FM31" s="404"/>
      <c r="FN31" s="404"/>
      <c r="FO31" s="404"/>
      <c r="FP31" s="404"/>
      <c r="FQ31" s="404"/>
      <c r="FR31" s="404"/>
      <c r="FS31" s="404"/>
      <c r="FT31" s="404"/>
      <c r="FU31" s="404"/>
      <c r="FV31" s="404"/>
      <c r="FW31" s="404"/>
      <c r="FX31" s="404"/>
      <c r="FY31" s="404"/>
      <c r="FZ31" s="404"/>
      <c r="GA31" s="404"/>
      <c r="GB31" s="404"/>
      <c r="GC31" s="404"/>
      <c r="GD31" s="404"/>
      <c r="GE31" s="404"/>
      <c r="GF31" s="404"/>
      <c r="GG31" s="404"/>
      <c r="GH31" s="404"/>
      <c r="GI31" s="404"/>
      <c r="GJ31" s="404"/>
      <c r="GK31" s="404"/>
      <c r="GL31" s="404"/>
      <c r="GM31" s="404"/>
      <c r="GN31" s="404"/>
      <c r="GO31" s="404"/>
      <c r="GP31" s="404"/>
      <c r="GQ31" s="404"/>
      <c r="GR31" s="404"/>
      <c r="GS31" s="404"/>
      <c r="GT31" s="404"/>
      <c r="GU31" s="404"/>
      <c r="GV31" s="404"/>
      <c r="GW31" s="404"/>
      <c r="GX31" s="404"/>
      <c r="GY31" s="404"/>
      <c r="GZ31" s="404"/>
      <c r="HA31" s="404"/>
      <c r="HB31" s="404"/>
      <c r="HC31" s="404"/>
      <c r="HD31" s="404"/>
      <c r="HE31" s="404"/>
      <c r="HF31" s="404"/>
      <c r="HG31" s="404"/>
      <c r="HH31" s="404"/>
      <c r="HI31" s="404"/>
      <c r="HJ31" s="404"/>
      <c r="HK31" s="404"/>
      <c r="HL31" s="404"/>
      <c r="HM31" s="404"/>
      <c r="HN31" s="404"/>
      <c r="HO31" s="404"/>
      <c r="HP31" s="404"/>
      <c r="HQ31" s="404"/>
      <c r="HR31" s="404"/>
      <c r="HS31" s="404"/>
      <c r="HT31" s="404"/>
      <c r="HU31" s="404"/>
      <c r="HV31" s="404"/>
      <c r="HW31" s="404"/>
      <c r="HX31" s="404"/>
      <c r="HY31" s="404"/>
      <c r="HZ31" s="404"/>
      <c r="IA31" s="404"/>
    </row>
    <row r="32" spans="1:235" s="309" customFormat="1" ht="15" customHeight="1" x14ac:dyDescent="0.3">
      <c r="A32" s="231">
        <v>2.0699999999999998</v>
      </c>
      <c r="B32" s="288"/>
      <c r="C32" s="289" t="str">
        <f>VLOOKUP(BD.PD[[#This Row],[Pos]],PPto[],3,FALSE)</f>
        <v xml:space="preserve">2.07 Sistema Contra Incendios </v>
      </c>
      <c r="D32" s="231" t="s">
        <v>22</v>
      </c>
      <c r="E32" s="291" t="str">
        <f>IF(BD.PD[[#This Row],[.]]="*",VLOOKUP(BD.PD[[#This Row],[Pos]],Presupuesto!A:H,7,FALSE),"")</f>
        <v/>
      </c>
      <c r="F32" s="384" t="s">
        <v>132</v>
      </c>
      <c r="G32" s="292" t="s">
        <v>578</v>
      </c>
      <c r="H32" s="358">
        <v>45921</v>
      </c>
      <c r="I32" s="359">
        <v>7</v>
      </c>
      <c r="J32" s="231" t="s">
        <v>456</v>
      </c>
      <c r="K32" s="294">
        <f>IF(BD.PD[[#This Row],[Mon]]="DOP",1,HLOOKUP(BD.PD[[#This Row],[Mon]],$J$1:$K$2,2,FALSE))</f>
        <v>63</v>
      </c>
      <c r="L32" s="360">
        <v>185</v>
      </c>
      <c r="M32" s="296">
        <f>BD.PD[[#This Row],[Cant.]]*BD.PD[[#This Row],[ Tasa ]]*BD.PD[[#This Row],[ Precio Und.]]</f>
        <v>81585</v>
      </c>
      <c r="N32" s="361">
        <v>0.01</v>
      </c>
      <c r="O32" s="296">
        <f>IF(BD.PD[[#This Row],[Liquid. '[%']]]&lt;&gt;0,(BD.PD[[#This Row],[Valor Neto '[DOP']]]*BD.PD[[#This Row],[Liquid. '[%']]])+BD.PD[[#This Row],[Valor Neto '[DOP']]],BD.PD[[#This Row],[Valor Neto '[DOP']]])</f>
        <v>82400.850000000006</v>
      </c>
      <c r="P32" s="298">
        <f>BD.PD[[#This Row],[Ppto. Orden Interna '[DOP']]]/HLOOKUP("USD",$J$1:$K$2,2,FALSE)</f>
        <v>1307.95</v>
      </c>
      <c r="Q32" s="299" t="s">
        <v>584</v>
      </c>
      <c r="R32" s="292" t="s">
        <v>585</v>
      </c>
      <c r="S32" s="300">
        <v>21</v>
      </c>
      <c r="T32" s="301">
        <v>1</v>
      </c>
      <c r="U32" s="302">
        <f>BD.PD[[#This Row],[Av.P1 '[%']]]*BD.PD[[#This Row],[Ppto. Orden Interna '[DOP']]]</f>
        <v>82400.850000000006</v>
      </c>
      <c r="V32" s="303"/>
      <c r="W32" s="304"/>
      <c r="X32" s="302">
        <f>BD.PD[[#This Row],[Av.P2 '[%']]]*BD.PD[[#This Row],[Ppto. Orden Interna '[DOP']]]</f>
        <v>0</v>
      </c>
      <c r="Y32" s="303"/>
      <c r="Z32" s="304"/>
      <c r="AA32" s="302">
        <f>BD.PD[[#This Row],[Av.P3 '[%']]]*BD.PD[[#This Row],[Ppto. Orden Interna '[DOP']]]</f>
        <v>0</v>
      </c>
      <c r="AB32" s="303"/>
      <c r="AC32" s="304"/>
      <c r="AD32" s="302">
        <f>BD.PD[[#This Row],[Av.P4 '[%']]]*BD.PD[[#This Row],[Ppto. Orden Interna '[DOP']]]</f>
        <v>0</v>
      </c>
      <c r="AE32" s="303"/>
      <c r="AF32" s="304"/>
      <c r="AG32" s="302">
        <f>BD.PD[[#This Row],[Av.P5 '[%']]]*BD.PD[[#This Row],[Ppto. Orden Interna '[DOP']]]</f>
        <v>0</v>
      </c>
      <c r="AH32" s="305">
        <f>BD.PD[[#This Row],[Pago 5]]+BD.PD[[#This Row],[Pago 4]]+BD.PD[[#This Row],[Pago 3]]+BD.PD[[#This Row],[Pago 2]]+BD.PD[[#This Row],[Pago 1]]</f>
        <v>82400.850000000006</v>
      </c>
      <c r="AI32" s="404"/>
      <c r="AJ32" s="404"/>
      <c r="AK32" s="404"/>
      <c r="AL32" s="404"/>
      <c r="AM32" s="404"/>
      <c r="AN32" s="404"/>
      <c r="AO32" s="404"/>
      <c r="AP32" s="404"/>
      <c r="AQ32" s="404"/>
      <c r="AR32" s="404"/>
      <c r="AS32" s="404"/>
      <c r="AT32" s="404"/>
      <c r="AU32" s="404"/>
      <c r="AV32" s="404"/>
      <c r="AW32" s="404"/>
      <c r="AX32" s="404"/>
      <c r="AY32" s="404"/>
      <c r="AZ32" s="404"/>
      <c r="BA32" s="404"/>
      <c r="BB32" s="404"/>
      <c r="BC32" s="404"/>
      <c r="BD32" s="404"/>
      <c r="BE32" s="404"/>
      <c r="BF32" s="404"/>
      <c r="BG32" s="404"/>
      <c r="BH32" s="404"/>
      <c r="BI32" s="404"/>
      <c r="BJ32" s="404"/>
      <c r="BK32" s="404"/>
      <c r="BL32" s="404"/>
      <c r="BM32" s="404"/>
      <c r="BN32" s="404"/>
      <c r="BO32" s="404"/>
      <c r="BP32" s="404"/>
      <c r="BQ32" s="404"/>
      <c r="BR32" s="404"/>
      <c r="BS32" s="404"/>
      <c r="BT32" s="404"/>
      <c r="BU32" s="404"/>
      <c r="BV32" s="404"/>
      <c r="BW32" s="404"/>
      <c r="BX32" s="404"/>
      <c r="BY32" s="404"/>
      <c r="BZ32" s="404"/>
      <c r="CA32" s="404"/>
      <c r="CB32" s="404"/>
      <c r="CC32" s="404"/>
      <c r="CD32" s="404"/>
      <c r="CE32" s="404"/>
      <c r="CF32" s="404"/>
      <c r="CG32" s="404"/>
      <c r="CH32" s="404"/>
      <c r="CI32" s="404"/>
      <c r="CJ32" s="404"/>
      <c r="CK32" s="404"/>
      <c r="CL32" s="404"/>
      <c r="CM32" s="404"/>
      <c r="CN32" s="404"/>
      <c r="CO32" s="404"/>
      <c r="CP32" s="404"/>
      <c r="CQ32" s="404"/>
      <c r="CR32" s="404"/>
      <c r="CS32" s="404"/>
      <c r="CT32" s="404"/>
      <c r="CU32" s="404"/>
      <c r="CV32" s="404"/>
      <c r="CW32" s="404"/>
      <c r="CX32" s="404"/>
      <c r="CY32" s="404"/>
      <c r="CZ32" s="404"/>
      <c r="DA32" s="404"/>
      <c r="DB32" s="404"/>
      <c r="DC32" s="404"/>
      <c r="DD32" s="404"/>
      <c r="DE32" s="404"/>
      <c r="DF32" s="404"/>
      <c r="DG32" s="404"/>
      <c r="DH32" s="404"/>
      <c r="DI32" s="404"/>
      <c r="DJ32" s="404"/>
      <c r="DK32" s="404"/>
      <c r="DL32" s="404"/>
      <c r="DM32" s="404"/>
      <c r="DN32" s="404"/>
      <c r="DO32" s="404"/>
      <c r="DP32" s="404"/>
      <c r="DQ32" s="404"/>
      <c r="DR32" s="404"/>
      <c r="DS32" s="404"/>
      <c r="DT32" s="404"/>
      <c r="DU32" s="404"/>
      <c r="DV32" s="404"/>
      <c r="DW32" s="404"/>
      <c r="DX32" s="404"/>
      <c r="DY32" s="404"/>
      <c r="DZ32" s="404"/>
      <c r="EA32" s="404"/>
      <c r="EB32" s="404"/>
      <c r="EC32" s="404"/>
      <c r="ED32" s="404"/>
      <c r="EE32" s="404"/>
      <c r="EF32" s="404"/>
      <c r="EG32" s="404"/>
      <c r="EH32" s="404"/>
      <c r="EI32" s="404"/>
      <c r="EJ32" s="404"/>
      <c r="EK32" s="404"/>
      <c r="EL32" s="404"/>
      <c r="EM32" s="404"/>
      <c r="EN32" s="404"/>
      <c r="EO32" s="404"/>
      <c r="EP32" s="404"/>
      <c r="EQ32" s="404"/>
      <c r="ER32" s="404"/>
      <c r="ES32" s="404"/>
      <c r="ET32" s="404"/>
      <c r="EU32" s="404"/>
      <c r="EV32" s="404"/>
      <c r="EW32" s="404"/>
      <c r="EX32" s="404"/>
      <c r="EY32" s="404"/>
      <c r="EZ32" s="404"/>
      <c r="FA32" s="404"/>
      <c r="FB32" s="404"/>
      <c r="FC32" s="404"/>
      <c r="FD32" s="404"/>
      <c r="FE32" s="404"/>
      <c r="FF32" s="404"/>
      <c r="FG32" s="404"/>
      <c r="FH32" s="404"/>
      <c r="FI32" s="404"/>
      <c r="FJ32" s="404"/>
      <c r="FK32" s="404"/>
      <c r="FL32" s="404"/>
      <c r="FM32" s="404"/>
      <c r="FN32" s="404"/>
      <c r="FO32" s="404"/>
      <c r="FP32" s="404"/>
      <c r="FQ32" s="404"/>
      <c r="FR32" s="404"/>
      <c r="FS32" s="404"/>
      <c r="FT32" s="404"/>
      <c r="FU32" s="404"/>
      <c r="FV32" s="404"/>
      <c r="FW32" s="404"/>
      <c r="FX32" s="404"/>
      <c r="FY32" s="404"/>
      <c r="FZ32" s="404"/>
      <c r="GA32" s="404"/>
      <c r="GB32" s="404"/>
      <c r="GC32" s="404"/>
      <c r="GD32" s="404"/>
      <c r="GE32" s="404"/>
      <c r="GF32" s="404"/>
      <c r="GG32" s="404"/>
      <c r="GH32" s="404"/>
      <c r="GI32" s="404"/>
      <c r="GJ32" s="404"/>
      <c r="GK32" s="404"/>
      <c r="GL32" s="404"/>
      <c r="GM32" s="404"/>
      <c r="GN32" s="404"/>
      <c r="GO32" s="404"/>
      <c r="GP32" s="404"/>
      <c r="GQ32" s="404"/>
      <c r="GR32" s="404"/>
      <c r="GS32" s="404"/>
      <c r="GT32" s="404"/>
      <c r="GU32" s="404"/>
      <c r="GV32" s="404"/>
      <c r="GW32" s="404"/>
      <c r="GX32" s="404"/>
      <c r="GY32" s="404"/>
      <c r="GZ32" s="404"/>
      <c r="HA32" s="404"/>
      <c r="HB32" s="404"/>
      <c r="HC32" s="404"/>
      <c r="HD32" s="404"/>
      <c r="HE32" s="404"/>
      <c r="HF32" s="404"/>
      <c r="HG32" s="404"/>
      <c r="HH32" s="404"/>
      <c r="HI32" s="404"/>
      <c r="HJ32" s="404"/>
      <c r="HK32" s="404"/>
      <c r="HL32" s="404"/>
      <c r="HM32" s="404"/>
      <c r="HN32" s="404"/>
      <c r="HO32" s="404"/>
      <c r="HP32" s="404"/>
      <c r="HQ32" s="404"/>
      <c r="HR32" s="404"/>
      <c r="HS32" s="404"/>
      <c r="HT32" s="404"/>
      <c r="HU32" s="404"/>
      <c r="HV32" s="404"/>
      <c r="HW32" s="404"/>
      <c r="HX32" s="404"/>
      <c r="HY32" s="404"/>
      <c r="HZ32" s="404"/>
      <c r="IA32" s="404"/>
    </row>
    <row r="33" spans="1:235" s="309" customFormat="1" ht="15" customHeight="1" x14ac:dyDescent="0.3">
      <c r="A33" s="231">
        <v>2.0699999999999998</v>
      </c>
      <c r="B33" s="288"/>
      <c r="C33" s="289" t="str">
        <f>VLOOKUP(BD.PD[[#This Row],[Pos]],PPto[],3,FALSE)</f>
        <v xml:space="preserve">2.07 Sistema Contra Incendios </v>
      </c>
      <c r="D33" s="231" t="s">
        <v>22</v>
      </c>
      <c r="E33" s="291" t="str">
        <f>IF(BD.PD[[#This Row],[.]]="*",VLOOKUP(BD.PD[[#This Row],[Pos]],Presupuesto!A:H,7,FALSE),"")</f>
        <v/>
      </c>
      <c r="F33" s="384" t="s">
        <v>133</v>
      </c>
      <c r="G33" s="292" t="s">
        <v>578</v>
      </c>
      <c r="H33" s="358">
        <v>45921</v>
      </c>
      <c r="I33" s="359">
        <v>2</v>
      </c>
      <c r="J33" s="231" t="s">
        <v>456</v>
      </c>
      <c r="K33" s="294">
        <f>IF(BD.PD[[#This Row],[Mon]]="DOP",1,HLOOKUP(BD.PD[[#This Row],[Mon]],$J$1:$K$2,2,FALSE))</f>
        <v>63</v>
      </c>
      <c r="L33" s="360">
        <v>274</v>
      </c>
      <c r="M33" s="296">
        <f>BD.PD[[#This Row],[Cant.]]*BD.PD[[#This Row],[ Tasa ]]*BD.PD[[#This Row],[ Precio Und.]]</f>
        <v>34524</v>
      </c>
      <c r="N33" s="361">
        <v>0.01</v>
      </c>
      <c r="O33" s="296">
        <f>IF(BD.PD[[#This Row],[Liquid. '[%']]]&lt;&gt;0,(BD.PD[[#This Row],[Valor Neto '[DOP']]]*BD.PD[[#This Row],[Liquid. '[%']]])+BD.PD[[#This Row],[Valor Neto '[DOP']]],BD.PD[[#This Row],[Valor Neto '[DOP']]])</f>
        <v>34869.24</v>
      </c>
      <c r="P33" s="298">
        <f>BD.PD[[#This Row],[Ppto. Orden Interna '[DOP']]]/HLOOKUP("USD",$J$1:$K$2,2,FALSE)</f>
        <v>553.48</v>
      </c>
      <c r="Q33" s="299" t="s">
        <v>584</v>
      </c>
      <c r="R33" s="292" t="s">
        <v>585</v>
      </c>
      <c r="S33" s="300">
        <v>21</v>
      </c>
      <c r="T33" s="301">
        <v>1</v>
      </c>
      <c r="U33" s="302">
        <f>BD.PD[[#This Row],[Av.P1 '[%']]]*BD.PD[[#This Row],[Ppto. Orden Interna '[DOP']]]</f>
        <v>34869.24</v>
      </c>
      <c r="V33" s="303"/>
      <c r="W33" s="304"/>
      <c r="X33" s="302">
        <f>BD.PD[[#This Row],[Av.P2 '[%']]]*BD.PD[[#This Row],[Ppto. Orden Interna '[DOP']]]</f>
        <v>0</v>
      </c>
      <c r="Y33" s="303"/>
      <c r="Z33" s="304"/>
      <c r="AA33" s="302">
        <f>BD.PD[[#This Row],[Av.P3 '[%']]]*BD.PD[[#This Row],[Ppto. Orden Interna '[DOP']]]</f>
        <v>0</v>
      </c>
      <c r="AB33" s="303"/>
      <c r="AC33" s="304"/>
      <c r="AD33" s="302">
        <f>BD.PD[[#This Row],[Av.P4 '[%']]]*BD.PD[[#This Row],[Ppto. Orden Interna '[DOP']]]</f>
        <v>0</v>
      </c>
      <c r="AE33" s="303"/>
      <c r="AF33" s="304"/>
      <c r="AG33" s="302">
        <f>BD.PD[[#This Row],[Av.P5 '[%']]]*BD.PD[[#This Row],[Ppto. Orden Interna '[DOP']]]</f>
        <v>0</v>
      </c>
      <c r="AH33" s="305">
        <f>BD.PD[[#This Row],[Pago 5]]+BD.PD[[#This Row],[Pago 4]]+BD.PD[[#This Row],[Pago 3]]+BD.PD[[#This Row],[Pago 2]]+BD.PD[[#This Row],[Pago 1]]</f>
        <v>34869.24</v>
      </c>
      <c r="AI33" s="404"/>
      <c r="AJ33" s="404"/>
      <c r="AK33" s="404"/>
      <c r="AL33" s="404"/>
      <c r="AM33" s="404"/>
      <c r="AN33" s="404"/>
      <c r="AO33" s="404"/>
      <c r="AP33" s="404"/>
      <c r="AQ33" s="404"/>
      <c r="AR33" s="404"/>
      <c r="AS33" s="404"/>
      <c r="AT33" s="404"/>
      <c r="AU33" s="404"/>
      <c r="AV33" s="404"/>
      <c r="AW33" s="404"/>
      <c r="AX33" s="404"/>
      <c r="AY33" s="404"/>
      <c r="AZ33" s="404"/>
      <c r="BA33" s="404"/>
      <c r="BB33" s="404"/>
      <c r="BC33" s="404"/>
      <c r="BD33" s="404"/>
      <c r="BE33" s="404"/>
      <c r="BF33" s="404"/>
      <c r="BG33" s="404"/>
      <c r="BH33" s="404"/>
      <c r="BI33" s="404"/>
      <c r="BJ33" s="404"/>
      <c r="BK33" s="404"/>
      <c r="BL33" s="404"/>
      <c r="BM33" s="404"/>
      <c r="BN33" s="404"/>
      <c r="BO33" s="404"/>
      <c r="BP33" s="404"/>
      <c r="BQ33" s="404"/>
      <c r="BR33" s="404"/>
      <c r="BS33" s="404"/>
      <c r="BT33" s="404"/>
      <c r="BU33" s="404"/>
      <c r="BV33" s="404"/>
      <c r="BW33" s="404"/>
      <c r="BX33" s="404"/>
      <c r="BY33" s="404"/>
      <c r="BZ33" s="404"/>
      <c r="CA33" s="404"/>
      <c r="CB33" s="404"/>
      <c r="CC33" s="404"/>
      <c r="CD33" s="404"/>
      <c r="CE33" s="404"/>
      <c r="CF33" s="404"/>
      <c r="CG33" s="404"/>
      <c r="CH33" s="404"/>
      <c r="CI33" s="404"/>
      <c r="CJ33" s="404"/>
      <c r="CK33" s="404"/>
      <c r="CL33" s="404"/>
      <c r="CM33" s="404"/>
      <c r="CN33" s="404"/>
      <c r="CO33" s="404"/>
      <c r="CP33" s="404"/>
      <c r="CQ33" s="404"/>
      <c r="CR33" s="404"/>
      <c r="CS33" s="404"/>
      <c r="CT33" s="404"/>
      <c r="CU33" s="404"/>
      <c r="CV33" s="404"/>
      <c r="CW33" s="404"/>
      <c r="CX33" s="404"/>
      <c r="CY33" s="404"/>
      <c r="CZ33" s="404"/>
      <c r="DA33" s="404"/>
      <c r="DB33" s="404"/>
      <c r="DC33" s="404"/>
      <c r="DD33" s="404"/>
      <c r="DE33" s="404"/>
      <c r="DF33" s="404"/>
      <c r="DG33" s="404"/>
      <c r="DH33" s="404"/>
      <c r="DI33" s="404"/>
      <c r="DJ33" s="404"/>
      <c r="DK33" s="404"/>
      <c r="DL33" s="404"/>
      <c r="DM33" s="404"/>
      <c r="DN33" s="404"/>
      <c r="DO33" s="404"/>
      <c r="DP33" s="404"/>
      <c r="DQ33" s="404"/>
      <c r="DR33" s="404"/>
      <c r="DS33" s="404"/>
      <c r="DT33" s="404"/>
      <c r="DU33" s="404"/>
      <c r="DV33" s="404"/>
      <c r="DW33" s="404"/>
      <c r="DX33" s="404"/>
      <c r="DY33" s="404"/>
      <c r="DZ33" s="404"/>
      <c r="EA33" s="404"/>
      <c r="EB33" s="404"/>
      <c r="EC33" s="404"/>
      <c r="ED33" s="404"/>
      <c r="EE33" s="404"/>
      <c r="EF33" s="404"/>
      <c r="EG33" s="404"/>
      <c r="EH33" s="404"/>
      <c r="EI33" s="404"/>
      <c r="EJ33" s="404"/>
      <c r="EK33" s="404"/>
      <c r="EL33" s="404"/>
      <c r="EM33" s="404"/>
      <c r="EN33" s="404"/>
      <c r="EO33" s="404"/>
      <c r="EP33" s="404"/>
      <c r="EQ33" s="404"/>
      <c r="ER33" s="404"/>
      <c r="ES33" s="404"/>
      <c r="ET33" s="404"/>
      <c r="EU33" s="404"/>
      <c r="EV33" s="404"/>
      <c r="EW33" s="404"/>
      <c r="EX33" s="404"/>
      <c r="EY33" s="404"/>
      <c r="EZ33" s="404"/>
      <c r="FA33" s="404"/>
      <c r="FB33" s="404"/>
      <c r="FC33" s="404"/>
      <c r="FD33" s="404"/>
      <c r="FE33" s="404"/>
      <c r="FF33" s="404"/>
      <c r="FG33" s="404"/>
      <c r="FH33" s="404"/>
      <c r="FI33" s="404"/>
      <c r="FJ33" s="404"/>
      <c r="FK33" s="404"/>
      <c r="FL33" s="404"/>
      <c r="FM33" s="404"/>
      <c r="FN33" s="404"/>
      <c r="FO33" s="404"/>
      <c r="FP33" s="404"/>
      <c r="FQ33" s="404"/>
      <c r="FR33" s="404"/>
      <c r="FS33" s="404"/>
      <c r="FT33" s="404"/>
      <c r="FU33" s="404"/>
      <c r="FV33" s="404"/>
      <c r="FW33" s="404"/>
      <c r="FX33" s="404"/>
      <c r="FY33" s="404"/>
      <c r="FZ33" s="404"/>
      <c r="GA33" s="404"/>
      <c r="GB33" s="404"/>
      <c r="GC33" s="404"/>
      <c r="GD33" s="404"/>
      <c r="GE33" s="404"/>
      <c r="GF33" s="404"/>
      <c r="GG33" s="404"/>
      <c r="GH33" s="404"/>
      <c r="GI33" s="404"/>
      <c r="GJ33" s="404"/>
      <c r="GK33" s="404"/>
      <c r="GL33" s="404"/>
      <c r="GM33" s="404"/>
      <c r="GN33" s="404"/>
      <c r="GO33" s="404"/>
      <c r="GP33" s="404"/>
      <c r="GQ33" s="404"/>
      <c r="GR33" s="404"/>
      <c r="GS33" s="404"/>
      <c r="GT33" s="404"/>
      <c r="GU33" s="404"/>
      <c r="GV33" s="404"/>
      <c r="GW33" s="404"/>
      <c r="GX33" s="404"/>
      <c r="GY33" s="404"/>
      <c r="GZ33" s="404"/>
      <c r="HA33" s="404"/>
      <c r="HB33" s="404"/>
      <c r="HC33" s="404"/>
      <c r="HD33" s="404"/>
      <c r="HE33" s="404"/>
      <c r="HF33" s="404"/>
      <c r="HG33" s="404"/>
      <c r="HH33" s="404"/>
      <c r="HI33" s="404"/>
      <c r="HJ33" s="404"/>
      <c r="HK33" s="404"/>
      <c r="HL33" s="404"/>
      <c r="HM33" s="404"/>
      <c r="HN33" s="404"/>
      <c r="HO33" s="404"/>
      <c r="HP33" s="404"/>
      <c r="HQ33" s="404"/>
      <c r="HR33" s="404"/>
      <c r="HS33" s="404"/>
      <c r="HT33" s="404"/>
      <c r="HU33" s="404"/>
      <c r="HV33" s="404"/>
      <c r="HW33" s="404"/>
      <c r="HX33" s="404"/>
      <c r="HY33" s="404"/>
      <c r="HZ33" s="404"/>
      <c r="IA33" s="404"/>
    </row>
    <row r="34" spans="1:235" s="309" customFormat="1" ht="15" customHeight="1" x14ac:dyDescent="0.3">
      <c r="A34" s="231">
        <v>2.0699999999999998</v>
      </c>
      <c r="B34" s="288"/>
      <c r="C34" s="289" t="str">
        <f>VLOOKUP(BD.PD[[#This Row],[Pos]],PPto[],3,FALSE)</f>
        <v xml:space="preserve">2.07 Sistema Contra Incendios </v>
      </c>
      <c r="D34" s="231" t="s">
        <v>22</v>
      </c>
      <c r="E34" s="291" t="str">
        <f>IF(BD.PD[[#This Row],[.]]="*",VLOOKUP(BD.PD[[#This Row],[Pos]],Presupuesto!A:H,7,FALSE),"")</f>
        <v/>
      </c>
      <c r="F34" s="384" t="s">
        <v>134</v>
      </c>
      <c r="G34" s="292" t="s">
        <v>578</v>
      </c>
      <c r="H34" s="358">
        <v>45921</v>
      </c>
      <c r="I34" s="359">
        <v>6</v>
      </c>
      <c r="J34" s="231" t="s">
        <v>456</v>
      </c>
      <c r="K34" s="294">
        <f>IF(BD.PD[[#This Row],[Mon]]="DOP",1,HLOOKUP(BD.PD[[#This Row],[Mon]],$J$1:$K$2,2,FALSE))</f>
        <v>63</v>
      </c>
      <c r="L34" s="360">
        <v>315</v>
      </c>
      <c r="M34" s="296">
        <f>BD.PD[[#This Row],[Cant.]]*BD.PD[[#This Row],[ Tasa ]]*BD.PD[[#This Row],[ Precio Und.]]</f>
        <v>119070</v>
      </c>
      <c r="N34" s="361">
        <v>0.01</v>
      </c>
      <c r="O34" s="296">
        <f>IF(BD.PD[[#This Row],[Liquid. '[%']]]&lt;&gt;0,(BD.PD[[#This Row],[Valor Neto '[DOP']]]*BD.PD[[#This Row],[Liquid. '[%']]])+BD.PD[[#This Row],[Valor Neto '[DOP']]],BD.PD[[#This Row],[Valor Neto '[DOP']]])</f>
        <v>120260.7</v>
      </c>
      <c r="P34" s="298">
        <f>BD.PD[[#This Row],[Ppto. Orden Interna '[DOP']]]/HLOOKUP("USD",$J$1:$K$2,2,FALSE)</f>
        <v>1908.8999999999999</v>
      </c>
      <c r="Q34" s="299" t="s">
        <v>584</v>
      </c>
      <c r="R34" s="292" t="s">
        <v>585</v>
      </c>
      <c r="S34" s="300">
        <v>21</v>
      </c>
      <c r="T34" s="301">
        <v>1</v>
      </c>
      <c r="U34" s="302">
        <f>BD.PD[[#This Row],[Av.P1 '[%']]]*BD.PD[[#This Row],[Ppto. Orden Interna '[DOP']]]</f>
        <v>120260.7</v>
      </c>
      <c r="V34" s="303"/>
      <c r="W34" s="304"/>
      <c r="X34" s="302">
        <f>BD.PD[[#This Row],[Av.P2 '[%']]]*BD.PD[[#This Row],[Ppto. Orden Interna '[DOP']]]</f>
        <v>0</v>
      </c>
      <c r="Y34" s="303"/>
      <c r="Z34" s="304"/>
      <c r="AA34" s="302">
        <f>BD.PD[[#This Row],[Av.P3 '[%']]]*BD.PD[[#This Row],[Ppto. Orden Interna '[DOP']]]</f>
        <v>0</v>
      </c>
      <c r="AB34" s="303"/>
      <c r="AC34" s="304"/>
      <c r="AD34" s="302">
        <f>BD.PD[[#This Row],[Av.P4 '[%']]]*BD.PD[[#This Row],[Ppto. Orden Interna '[DOP']]]</f>
        <v>0</v>
      </c>
      <c r="AE34" s="303"/>
      <c r="AF34" s="304"/>
      <c r="AG34" s="302">
        <f>BD.PD[[#This Row],[Av.P5 '[%']]]*BD.PD[[#This Row],[Ppto. Orden Interna '[DOP']]]</f>
        <v>0</v>
      </c>
      <c r="AH34" s="305">
        <f>BD.PD[[#This Row],[Pago 5]]+BD.PD[[#This Row],[Pago 4]]+BD.PD[[#This Row],[Pago 3]]+BD.PD[[#This Row],[Pago 2]]+BD.PD[[#This Row],[Pago 1]]</f>
        <v>120260.7</v>
      </c>
      <c r="AI34" s="404"/>
      <c r="AJ34" s="404"/>
      <c r="AK34" s="404"/>
      <c r="AL34" s="404"/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  <c r="IA34" s="404"/>
    </row>
    <row r="35" spans="1:235" s="309" customFormat="1" ht="15" customHeight="1" x14ac:dyDescent="0.3">
      <c r="A35" s="231">
        <v>2.0699999999999998</v>
      </c>
      <c r="B35" s="288"/>
      <c r="C35" s="289" t="str">
        <f>VLOOKUP(BD.PD[[#This Row],[Pos]],PPto[],3,FALSE)</f>
        <v xml:space="preserve">2.07 Sistema Contra Incendios </v>
      </c>
      <c r="D35" s="231" t="s">
        <v>22</v>
      </c>
      <c r="E35" s="291" t="str">
        <f>IF(BD.PD[[#This Row],[.]]="*",VLOOKUP(BD.PD[[#This Row],[Pos]],Presupuesto!A:H,7,FALSE),"")</f>
        <v/>
      </c>
      <c r="F35" s="384" t="s">
        <v>135</v>
      </c>
      <c r="G35" s="292" t="s">
        <v>578</v>
      </c>
      <c r="H35" s="358">
        <v>45921</v>
      </c>
      <c r="I35" s="359">
        <v>1</v>
      </c>
      <c r="J35" s="231" t="s">
        <v>456</v>
      </c>
      <c r="K35" s="294">
        <f>IF(BD.PD[[#This Row],[Mon]]="DOP",1,HLOOKUP(BD.PD[[#This Row],[Mon]],$J$1:$K$2,2,FALSE))</f>
        <v>63</v>
      </c>
      <c r="L35" s="360">
        <v>192</v>
      </c>
      <c r="M35" s="296">
        <f>BD.PD[[#This Row],[Cant.]]*BD.PD[[#This Row],[ Tasa ]]*BD.PD[[#This Row],[ Precio Und.]]</f>
        <v>12096</v>
      </c>
      <c r="N35" s="361">
        <v>0.01</v>
      </c>
      <c r="O35" s="296">
        <f>IF(BD.PD[[#This Row],[Liquid. '[%']]]&lt;&gt;0,(BD.PD[[#This Row],[Valor Neto '[DOP']]]*BD.PD[[#This Row],[Liquid. '[%']]])+BD.PD[[#This Row],[Valor Neto '[DOP']]],BD.PD[[#This Row],[Valor Neto '[DOP']]])</f>
        <v>12216.96</v>
      </c>
      <c r="P35" s="298">
        <f>BD.PD[[#This Row],[Ppto. Orden Interna '[DOP']]]/HLOOKUP("USD",$J$1:$K$2,2,FALSE)</f>
        <v>193.92</v>
      </c>
      <c r="Q35" s="299" t="s">
        <v>584</v>
      </c>
      <c r="R35" s="292" t="s">
        <v>585</v>
      </c>
      <c r="S35" s="300">
        <v>21</v>
      </c>
      <c r="T35" s="301">
        <v>1</v>
      </c>
      <c r="U35" s="302">
        <f>BD.PD[[#This Row],[Av.P1 '[%']]]*BD.PD[[#This Row],[Ppto. Orden Interna '[DOP']]]</f>
        <v>12216.96</v>
      </c>
      <c r="V35" s="303"/>
      <c r="W35" s="304"/>
      <c r="X35" s="302">
        <f>BD.PD[[#This Row],[Av.P2 '[%']]]*BD.PD[[#This Row],[Ppto. Orden Interna '[DOP']]]</f>
        <v>0</v>
      </c>
      <c r="Y35" s="303"/>
      <c r="Z35" s="304"/>
      <c r="AA35" s="302">
        <f>BD.PD[[#This Row],[Av.P3 '[%']]]*BD.PD[[#This Row],[Ppto. Orden Interna '[DOP']]]</f>
        <v>0</v>
      </c>
      <c r="AB35" s="303"/>
      <c r="AC35" s="304"/>
      <c r="AD35" s="302">
        <f>BD.PD[[#This Row],[Av.P4 '[%']]]*BD.PD[[#This Row],[Ppto. Orden Interna '[DOP']]]</f>
        <v>0</v>
      </c>
      <c r="AE35" s="303"/>
      <c r="AF35" s="304"/>
      <c r="AG35" s="302">
        <f>BD.PD[[#This Row],[Av.P5 '[%']]]*BD.PD[[#This Row],[Ppto. Orden Interna '[DOP']]]</f>
        <v>0</v>
      </c>
      <c r="AH35" s="305">
        <f>BD.PD[[#This Row],[Pago 5]]+BD.PD[[#This Row],[Pago 4]]+BD.PD[[#This Row],[Pago 3]]+BD.PD[[#This Row],[Pago 2]]+BD.PD[[#This Row],[Pago 1]]</f>
        <v>12216.96</v>
      </c>
      <c r="AI35" s="404"/>
      <c r="AJ35" s="404"/>
      <c r="AK35" s="404"/>
      <c r="AL35" s="404"/>
      <c r="AM35" s="404"/>
      <c r="AN35" s="404"/>
      <c r="AO35" s="404"/>
      <c r="AP35" s="404"/>
      <c r="AQ35" s="404"/>
      <c r="AR35" s="404"/>
      <c r="AS35" s="404"/>
      <c r="AT35" s="404"/>
      <c r="AU35" s="404"/>
      <c r="AV35" s="404"/>
      <c r="AW35" s="404"/>
      <c r="AX35" s="404"/>
      <c r="AY35" s="404"/>
      <c r="AZ35" s="404"/>
      <c r="BA35" s="404"/>
      <c r="BB35" s="404"/>
      <c r="BC35" s="404"/>
      <c r="BD35" s="404"/>
      <c r="BE35" s="404"/>
      <c r="BF35" s="404"/>
      <c r="BG35" s="404"/>
      <c r="BH35" s="404"/>
      <c r="BI35" s="404"/>
      <c r="BJ35" s="404"/>
      <c r="BK35" s="404"/>
      <c r="BL35" s="404"/>
      <c r="BM35" s="404"/>
      <c r="BN35" s="404"/>
      <c r="BO35" s="404"/>
      <c r="BP35" s="404"/>
      <c r="BQ35" s="404"/>
      <c r="BR35" s="404"/>
      <c r="BS35" s="404"/>
      <c r="BT35" s="404"/>
      <c r="BU35" s="404"/>
      <c r="BV35" s="404"/>
      <c r="BW35" s="404"/>
      <c r="BX35" s="404"/>
      <c r="BY35" s="404"/>
      <c r="BZ35" s="404"/>
      <c r="CA35" s="404"/>
      <c r="CB35" s="404"/>
      <c r="CC35" s="404"/>
      <c r="CD35" s="404"/>
      <c r="CE35" s="404"/>
      <c r="CF35" s="404"/>
      <c r="CG35" s="404"/>
      <c r="CH35" s="404"/>
      <c r="CI35" s="404"/>
      <c r="CJ35" s="404"/>
      <c r="CK35" s="404"/>
      <c r="CL35" s="404"/>
      <c r="CM35" s="404"/>
      <c r="CN35" s="404"/>
      <c r="CO35" s="404"/>
      <c r="CP35" s="404"/>
      <c r="CQ35" s="404"/>
      <c r="CR35" s="404"/>
      <c r="CS35" s="404"/>
      <c r="CT35" s="404"/>
      <c r="CU35" s="404"/>
      <c r="CV35" s="404"/>
      <c r="CW35" s="404"/>
      <c r="CX35" s="404"/>
      <c r="CY35" s="404"/>
      <c r="CZ35" s="404"/>
      <c r="DA35" s="404"/>
      <c r="DB35" s="404"/>
      <c r="DC35" s="404"/>
      <c r="DD35" s="404"/>
      <c r="DE35" s="404"/>
      <c r="DF35" s="404"/>
      <c r="DG35" s="404"/>
      <c r="DH35" s="404"/>
      <c r="DI35" s="404"/>
      <c r="DJ35" s="404"/>
      <c r="DK35" s="404"/>
      <c r="DL35" s="404"/>
      <c r="DM35" s="404"/>
      <c r="DN35" s="404"/>
      <c r="DO35" s="404"/>
      <c r="DP35" s="404"/>
      <c r="DQ35" s="404"/>
      <c r="DR35" s="404"/>
      <c r="DS35" s="404"/>
      <c r="DT35" s="404"/>
      <c r="DU35" s="404"/>
      <c r="DV35" s="404"/>
      <c r="DW35" s="404"/>
      <c r="DX35" s="404"/>
      <c r="DY35" s="404"/>
      <c r="DZ35" s="404"/>
      <c r="EA35" s="404"/>
      <c r="EB35" s="404"/>
      <c r="EC35" s="404"/>
      <c r="ED35" s="404"/>
      <c r="EE35" s="404"/>
      <c r="EF35" s="404"/>
      <c r="EG35" s="404"/>
      <c r="EH35" s="404"/>
      <c r="EI35" s="404"/>
      <c r="EJ35" s="404"/>
      <c r="EK35" s="404"/>
      <c r="EL35" s="404"/>
      <c r="EM35" s="404"/>
      <c r="EN35" s="404"/>
      <c r="EO35" s="404"/>
      <c r="EP35" s="404"/>
      <c r="EQ35" s="404"/>
      <c r="ER35" s="404"/>
      <c r="ES35" s="404"/>
      <c r="ET35" s="404"/>
      <c r="EU35" s="404"/>
      <c r="EV35" s="404"/>
      <c r="EW35" s="404"/>
      <c r="EX35" s="404"/>
      <c r="EY35" s="404"/>
      <c r="EZ35" s="404"/>
      <c r="FA35" s="404"/>
      <c r="FB35" s="404"/>
      <c r="FC35" s="404"/>
      <c r="FD35" s="404"/>
      <c r="FE35" s="404"/>
      <c r="FF35" s="404"/>
      <c r="FG35" s="404"/>
      <c r="FH35" s="404"/>
      <c r="FI35" s="404"/>
      <c r="FJ35" s="404"/>
      <c r="FK35" s="404"/>
      <c r="FL35" s="404"/>
      <c r="FM35" s="404"/>
      <c r="FN35" s="404"/>
      <c r="FO35" s="404"/>
      <c r="FP35" s="404"/>
      <c r="FQ35" s="404"/>
      <c r="FR35" s="404"/>
      <c r="FS35" s="404"/>
      <c r="FT35" s="404"/>
      <c r="FU35" s="404"/>
      <c r="FV35" s="404"/>
      <c r="FW35" s="404"/>
      <c r="FX35" s="404"/>
      <c r="FY35" s="404"/>
      <c r="FZ35" s="404"/>
      <c r="GA35" s="404"/>
      <c r="GB35" s="404"/>
      <c r="GC35" s="404"/>
      <c r="GD35" s="404"/>
      <c r="GE35" s="404"/>
      <c r="GF35" s="404"/>
      <c r="GG35" s="404"/>
      <c r="GH35" s="404"/>
      <c r="GI35" s="404"/>
      <c r="GJ35" s="404"/>
      <c r="GK35" s="404"/>
      <c r="GL35" s="404"/>
      <c r="GM35" s="404"/>
      <c r="GN35" s="404"/>
      <c r="GO35" s="404"/>
      <c r="GP35" s="404"/>
      <c r="GQ35" s="404"/>
      <c r="GR35" s="404"/>
      <c r="GS35" s="404"/>
      <c r="GT35" s="404"/>
      <c r="GU35" s="404"/>
      <c r="GV35" s="404"/>
      <c r="GW35" s="404"/>
      <c r="GX35" s="404"/>
      <c r="GY35" s="404"/>
      <c r="GZ35" s="404"/>
      <c r="HA35" s="404"/>
      <c r="HB35" s="404"/>
      <c r="HC35" s="404"/>
      <c r="HD35" s="404"/>
      <c r="HE35" s="404"/>
      <c r="HF35" s="404"/>
      <c r="HG35" s="404"/>
      <c r="HH35" s="404"/>
      <c r="HI35" s="404"/>
      <c r="HJ35" s="404"/>
      <c r="HK35" s="404"/>
      <c r="HL35" s="404"/>
      <c r="HM35" s="404"/>
      <c r="HN35" s="404"/>
      <c r="HO35" s="404"/>
      <c r="HP35" s="404"/>
      <c r="HQ35" s="404"/>
      <c r="HR35" s="404"/>
      <c r="HS35" s="404"/>
      <c r="HT35" s="404"/>
      <c r="HU35" s="404"/>
      <c r="HV35" s="404"/>
      <c r="HW35" s="404"/>
      <c r="HX35" s="404"/>
      <c r="HY35" s="404"/>
      <c r="HZ35" s="404"/>
      <c r="IA35" s="404"/>
    </row>
    <row r="36" spans="1:235" s="309" customFormat="1" ht="15" customHeight="1" x14ac:dyDescent="0.3">
      <c r="A36" s="231">
        <v>2.0699999999999998</v>
      </c>
      <c r="B36" s="288"/>
      <c r="C36" s="289" t="str">
        <f>VLOOKUP(BD.PD[[#This Row],[Pos]],PPto[],3,FALSE)</f>
        <v xml:space="preserve">2.07 Sistema Contra Incendios </v>
      </c>
      <c r="D36" s="231" t="s">
        <v>22</v>
      </c>
      <c r="E36" s="291" t="str">
        <f>IF(BD.PD[[#This Row],[.]]="*",VLOOKUP(BD.PD[[#This Row],[Pos]],Presupuesto!A:H,7,FALSE),"")</f>
        <v/>
      </c>
      <c r="F36" s="384" t="s">
        <v>136</v>
      </c>
      <c r="G36" s="292" t="s">
        <v>578</v>
      </c>
      <c r="H36" s="358">
        <v>45921</v>
      </c>
      <c r="I36" s="359">
        <v>1</v>
      </c>
      <c r="J36" s="231" t="s">
        <v>456</v>
      </c>
      <c r="K36" s="294">
        <f>IF(BD.PD[[#This Row],[Mon]]="DOP",1,HLOOKUP(BD.PD[[#This Row],[Mon]],$J$1:$K$2,2,FALSE))</f>
        <v>63</v>
      </c>
      <c r="L36" s="360">
        <v>131</v>
      </c>
      <c r="M36" s="296">
        <f>BD.PD[[#This Row],[Cant.]]*BD.PD[[#This Row],[ Tasa ]]*BD.PD[[#This Row],[ Precio Und.]]</f>
        <v>8253</v>
      </c>
      <c r="N36" s="361">
        <v>0.01</v>
      </c>
      <c r="O36" s="296">
        <f>IF(BD.PD[[#This Row],[Liquid. '[%']]]&lt;&gt;0,(BD.PD[[#This Row],[Valor Neto '[DOP']]]*BD.PD[[#This Row],[Liquid. '[%']]])+BD.PD[[#This Row],[Valor Neto '[DOP']]],BD.PD[[#This Row],[Valor Neto '[DOP']]])</f>
        <v>8335.5300000000007</v>
      </c>
      <c r="P36" s="298">
        <f>BD.PD[[#This Row],[Ppto. Orden Interna '[DOP']]]/HLOOKUP("USD",$J$1:$K$2,2,FALSE)</f>
        <v>132.31</v>
      </c>
      <c r="Q36" s="299" t="s">
        <v>584</v>
      </c>
      <c r="R36" s="292" t="s">
        <v>585</v>
      </c>
      <c r="S36" s="300">
        <v>21</v>
      </c>
      <c r="T36" s="301">
        <v>1</v>
      </c>
      <c r="U36" s="302">
        <f>BD.PD[[#This Row],[Av.P1 '[%']]]*BD.PD[[#This Row],[Ppto. Orden Interna '[DOP']]]</f>
        <v>8335.5300000000007</v>
      </c>
      <c r="V36" s="303"/>
      <c r="W36" s="304"/>
      <c r="X36" s="302">
        <f>BD.PD[[#This Row],[Av.P2 '[%']]]*BD.PD[[#This Row],[Ppto. Orden Interna '[DOP']]]</f>
        <v>0</v>
      </c>
      <c r="Y36" s="303"/>
      <c r="Z36" s="304"/>
      <c r="AA36" s="302">
        <f>BD.PD[[#This Row],[Av.P3 '[%']]]*BD.PD[[#This Row],[Ppto. Orden Interna '[DOP']]]</f>
        <v>0</v>
      </c>
      <c r="AB36" s="303"/>
      <c r="AC36" s="304"/>
      <c r="AD36" s="302">
        <f>BD.PD[[#This Row],[Av.P4 '[%']]]*BD.PD[[#This Row],[Ppto. Orden Interna '[DOP']]]</f>
        <v>0</v>
      </c>
      <c r="AE36" s="303"/>
      <c r="AF36" s="304"/>
      <c r="AG36" s="302">
        <f>BD.PD[[#This Row],[Av.P5 '[%']]]*BD.PD[[#This Row],[Ppto. Orden Interna '[DOP']]]</f>
        <v>0</v>
      </c>
      <c r="AH36" s="305">
        <f>BD.PD[[#This Row],[Pago 5]]+BD.PD[[#This Row],[Pago 4]]+BD.PD[[#This Row],[Pago 3]]+BD.PD[[#This Row],[Pago 2]]+BD.PD[[#This Row],[Pago 1]]</f>
        <v>8335.5300000000007</v>
      </c>
      <c r="AI36" s="404"/>
      <c r="AJ36" s="404"/>
      <c r="AK36" s="404"/>
      <c r="AL36" s="404"/>
      <c r="AM36" s="404"/>
      <c r="AN36" s="404"/>
      <c r="AO36" s="404"/>
      <c r="AP36" s="404"/>
      <c r="AQ36" s="404"/>
      <c r="AR36" s="404"/>
      <c r="AS36" s="404"/>
      <c r="AT36" s="404"/>
      <c r="AU36" s="404"/>
      <c r="AV36" s="404"/>
      <c r="AW36" s="404"/>
      <c r="AX36" s="404"/>
      <c r="AY36" s="404"/>
      <c r="AZ36" s="404"/>
      <c r="BA36" s="404"/>
      <c r="BB36" s="404"/>
      <c r="BC36" s="404"/>
      <c r="BD36" s="404"/>
      <c r="BE36" s="404"/>
      <c r="BF36" s="404"/>
      <c r="BG36" s="404"/>
      <c r="BH36" s="404"/>
      <c r="BI36" s="404"/>
      <c r="BJ36" s="404"/>
      <c r="BK36" s="404"/>
      <c r="BL36" s="404"/>
      <c r="BM36" s="404"/>
      <c r="BN36" s="404"/>
      <c r="BO36" s="404"/>
      <c r="BP36" s="404"/>
      <c r="BQ36" s="404"/>
      <c r="BR36" s="404"/>
      <c r="BS36" s="404"/>
      <c r="BT36" s="404"/>
      <c r="BU36" s="404"/>
      <c r="BV36" s="404"/>
      <c r="BW36" s="404"/>
      <c r="BX36" s="404"/>
      <c r="BY36" s="404"/>
      <c r="BZ36" s="404"/>
      <c r="CA36" s="404"/>
      <c r="CB36" s="404"/>
      <c r="CC36" s="404"/>
      <c r="CD36" s="404"/>
      <c r="CE36" s="404"/>
      <c r="CF36" s="404"/>
      <c r="CG36" s="404"/>
      <c r="CH36" s="404"/>
      <c r="CI36" s="404"/>
      <c r="CJ36" s="404"/>
      <c r="CK36" s="404"/>
      <c r="CL36" s="404"/>
      <c r="CM36" s="404"/>
      <c r="CN36" s="404"/>
      <c r="CO36" s="404"/>
      <c r="CP36" s="404"/>
      <c r="CQ36" s="404"/>
      <c r="CR36" s="404"/>
      <c r="CS36" s="404"/>
      <c r="CT36" s="404"/>
      <c r="CU36" s="404"/>
      <c r="CV36" s="404"/>
      <c r="CW36" s="404"/>
      <c r="CX36" s="404"/>
      <c r="CY36" s="404"/>
      <c r="CZ36" s="404"/>
      <c r="DA36" s="404"/>
      <c r="DB36" s="404"/>
      <c r="DC36" s="404"/>
      <c r="DD36" s="404"/>
      <c r="DE36" s="404"/>
      <c r="DF36" s="404"/>
      <c r="DG36" s="404"/>
      <c r="DH36" s="404"/>
      <c r="DI36" s="404"/>
      <c r="DJ36" s="404"/>
      <c r="DK36" s="404"/>
      <c r="DL36" s="404"/>
      <c r="DM36" s="404"/>
      <c r="DN36" s="404"/>
      <c r="DO36" s="404"/>
      <c r="DP36" s="404"/>
      <c r="DQ36" s="404"/>
      <c r="DR36" s="404"/>
      <c r="DS36" s="404"/>
      <c r="DT36" s="404"/>
      <c r="DU36" s="404"/>
      <c r="DV36" s="404"/>
      <c r="DW36" s="404"/>
      <c r="DX36" s="404"/>
      <c r="DY36" s="404"/>
      <c r="DZ36" s="404"/>
      <c r="EA36" s="404"/>
      <c r="EB36" s="404"/>
      <c r="EC36" s="404"/>
      <c r="ED36" s="404"/>
      <c r="EE36" s="404"/>
      <c r="EF36" s="404"/>
      <c r="EG36" s="404"/>
      <c r="EH36" s="404"/>
      <c r="EI36" s="404"/>
      <c r="EJ36" s="404"/>
      <c r="EK36" s="404"/>
      <c r="EL36" s="404"/>
      <c r="EM36" s="404"/>
      <c r="EN36" s="404"/>
      <c r="EO36" s="404"/>
      <c r="EP36" s="404"/>
      <c r="EQ36" s="404"/>
      <c r="ER36" s="404"/>
      <c r="ES36" s="404"/>
      <c r="ET36" s="404"/>
      <c r="EU36" s="404"/>
      <c r="EV36" s="404"/>
      <c r="EW36" s="404"/>
      <c r="EX36" s="404"/>
      <c r="EY36" s="404"/>
      <c r="EZ36" s="404"/>
      <c r="FA36" s="404"/>
      <c r="FB36" s="404"/>
      <c r="FC36" s="404"/>
      <c r="FD36" s="404"/>
      <c r="FE36" s="404"/>
      <c r="FF36" s="404"/>
      <c r="FG36" s="404"/>
      <c r="FH36" s="404"/>
      <c r="FI36" s="404"/>
      <c r="FJ36" s="404"/>
      <c r="FK36" s="404"/>
      <c r="FL36" s="404"/>
      <c r="FM36" s="404"/>
      <c r="FN36" s="404"/>
      <c r="FO36" s="404"/>
      <c r="FP36" s="404"/>
      <c r="FQ36" s="404"/>
      <c r="FR36" s="404"/>
      <c r="FS36" s="404"/>
      <c r="FT36" s="404"/>
      <c r="FU36" s="404"/>
      <c r="FV36" s="404"/>
      <c r="FW36" s="404"/>
      <c r="FX36" s="404"/>
      <c r="FY36" s="404"/>
      <c r="FZ36" s="404"/>
      <c r="GA36" s="404"/>
      <c r="GB36" s="404"/>
      <c r="GC36" s="404"/>
      <c r="GD36" s="404"/>
      <c r="GE36" s="404"/>
      <c r="GF36" s="404"/>
      <c r="GG36" s="404"/>
      <c r="GH36" s="404"/>
      <c r="GI36" s="404"/>
      <c r="GJ36" s="404"/>
      <c r="GK36" s="404"/>
      <c r="GL36" s="404"/>
      <c r="GM36" s="404"/>
      <c r="GN36" s="404"/>
      <c r="GO36" s="404"/>
      <c r="GP36" s="404"/>
      <c r="GQ36" s="404"/>
      <c r="GR36" s="404"/>
      <c r="GS36" s="404"/>
      <c r="GT36" s="404"/>
      <c r="GU36" s="404"/>
      <c r="GV36" s="404"/>
      <c r="GW36" s="404"/>
      <c r="GX36" s="404"/>
      <c r="GY36" s="404"/>
      <c r="GZ36" s="404"/>
      <c r="HA36" s="404"/>
      <c r="HB36" s="404"/>
      <c r="HC36" s="404"/>
      <c r="HD36" s="404"/>
      <c r="HE36" s="404"/>
      <c r="HF36" s="404"/>
      <c r="HG36" s="404"/>
      <c r="HH36" s="404"/>
      <c r="HI36" s="404"/>
      <c r="HJ36" s="404"/>
      <c r="HK36" s="404"/>
      <c r="HL36" s="404"/>
      <c r="HM36" s="404"/>
      <c r="HN36" s="404"/>
      <c r="HO36" s="404"/>
      <c r="HP36" s="404"/>
      <c r="HQ36" s="404"/>
      <c r="HR36" s="404"/>
      <c r="HS36" s="404"/>
      <c r="HT36" s="404"/>
      <c r="HU36" s="404"/>
      <c r="HV36" s="404"/>
      <c r="HW36" s="404"/>
      <c r="HX36" s="404"/>
      <c r="HY36" s="404"/>
      <c r="HZ36" s="404"/>
      <c r="IA36" s="404"/>
    </row>
    <row r="37" spans="1:235" s="309" customFormat="1" ht="15" customHeight="1" x14ac:dyDescent="0.3">
      <c r="A37" s="231">
        <v>2.08</v>
      </c>
      <c r="B37" s="288" t="s">
        <v>574</v>
      </c>
      <c r="C37" s="289" t="str">
        <f>VLOOKUP(BD.PD[[#This Row],[Pos]],PPto[],3,FALSE)</f>
        <v>2.08 Instalaciones Mecánicas</v>
      </c>
      <c r="D37" s="290" t="s">
        <v>574</v>
      </c>
      <c r="E37" s="291">
        <f>IF(BD.PD[[#This Row],[.]]="*",VLOOKUP(BD.PD[[#This Row],[Pos]],Presupuesto!A:H,7,FALSE),"")</f>
        <v>65014.422349840257</v>
      </c>
      <c r="F37" s="292"/>
      <c r="G37" s="292" t="s">
        <v>575</v>
      </c>
      <c r="H37" s="292"/>
      <c r="I37" s="293">
        <v>1</v>
      </c>
      <c r="J37" s="290" t="s">
        <v>456</v>
      </c>
      <c r="K37" s="294">
        <f>IF(BD.PD[[#This Row],[Mon]]="DOP",1,HLOOKUP(BD.PD[[#This Row],[Mon]],$J$1:$K$2,2,FALSE))</f>
        <v>63</v>
      </c>
      <c r="L37" s="295">
        <v>0</v>
      </c>
      <c r="M37" s="296">
        <f>BD.PD[[#This Row],[Cant.]]*BD.PD[[#This Row],[ Tasa ]]*BD.PD[[#This Row],[ Precio Und.]]</f>
        <v>0</v>
      </c>
      <c r="N37" s="297">
        <v>0</v>
      </c>
      <c r="O37" s="296">
        <f>IF(BD.PD[[#This Row],[Liquid. '[%']]]&lt;&gt;0,(BD.PD[[#This Row],[Valor Neto '[DOP']]]*BD.PD[[#This Row],[Liquid. '[%']]])+BD.PD[[#This Row],[Valor Neto '[DOP']]],BD.PD[[#This Row],[Valor Neto '[DOP']]])</f>
        <v>0</v>
      </c>
      <c r="P37" s="298">
        <f>BD.PD[[#This Row],[Ppto. Orden Interna '[DOP']]]/HLOOKUP("USD",$J$1:$K$2,2,FALSE)</f>
        <v>0</v>
      </c>
      <c r="Q37" s="299"/>
      <c r="R37" s="292"/>
      <c r="S37" s="300"/>
      <c r="T37" s="301"/>
      <c r="U37" s="302">
        <f>BD.PD[[#This Row],[Av.P1 '[%']]]*BD.PD[[#This Row],[Ppto. Orden Interna '[DOP']]]</f>
        <v>0</v>
      </c>
      <c r="V37" s="303"/>
      <c r="W37" s="304"/>
      <c r="X37" s="302">
        <f>BD.PD[[#This Row],[Av.P2 '[%']]]*BD.PD[[#This Row],[Ppto. Orden Interna '[DOP']]]</f>
        <v>0</v>
      </c>
      <c r="Y37" s="303"/>
      <c r="Z37" s="304"/>
      <c r="AA37" s="302">
        <f>BD.PD[[#This Row],[Av.P3 '[%']]]*BD.PD[[#This Row],[Ppto. Orden Interna '[DOP']]]</f>
        <v>0</v>
      </c>
      <c r="AB37" s="303"/>
      <c r="AC37" s="304"/>
      <c r="AD37" s="302">
        <f>BD.PD[[#This Row],[Av.P4 '[%']]]*BD.PD[[#This Row],[Ppto. Orden Interna '[DOP']]]</f>
        <v>0</v>
      </c>
      <c r="AE37" s="303"/>
      <c r="AF37" s="304"/>
      <c r="AG37" s="302">
        <f>BD.PD[[#This Row],[Av.P5 '[%']]]*BD.PD[[#This Row],[Ppto. Orden Interna '[DOP']]]</f>
        <v>0</v>
      </c>
      <c r="AH37" s="305">
        <f>BD.PD[[#This Row],[Pago 5]]+BD.PD[[#This Row],[Pago 4]]+BD.PD[[#This Row],[Pago 3]]+BD.PD[[#This Row],[Pago 2]]+BD.PD[[#This Row],[Pago 1]]</f>
        <v>0</v>
      </c>
      <c r="AI37" s="404"/>
      <c r="AJ37" s="404"/>
      <c r="AK37" s="404"/>
      <c r="AL37" s="404"/>
      <c r="AM37" s="404"/>
      <c r="AN37" s="404"/>
      <c r="AO37" s="404"/>
      <c r="AP37" s="404"/>
      <c r="AQ37" s="404"/>
      <c r="AR37" s="404"/>
      <c r="AS37" s="404"/>
      <c r="AT37" s="404"/>
      <c r="AU37" s="404"/>
      <c r="AV37" s="404"/>
      <c r="AW37" s="404"/>
      <c r="AX37" s="404"/>
      <c r="AY37" s="404"/>
      <c r="AZ37" s="404"/>
      <c r="BA37" s="404"/>
      <c r="BB37" s="404"/>
      <c r="BC37" s="404"/>
      <c r="BD37" s="404"/>
      <c r="BE37" s="404"/>
      <c r="BF37" s="404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  <c r="BU37" s="404"/>
      <c r="BV37" s="404"/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4"/>
      <c r="DD37" s="404"/>
      <c r="DE37" s="404"/>
      <c r="DF37" s="404"/>
      <c r="DG37" s="404"/>
      <c r="DH37" s="404"/>
      <c r="DI37" s="404"/>
      <c r="DJ37" s="404"/>
      <c r="DK37" s="404"/>
      <c r="DL37" s="404"/>
      <c r="DM37" s="404"/>
      <c r="DN37" s="404"/>
      <c r="DO37" s="404"/>
      <c r="DP37" s="404"/>
      <c r="DQ37" s="404"/>
      <c r="DR37" s="404"/>
      <c r="DS37" s="404"/>
      <c r="DT37" s="404"/>
      <c r="DU37" s="404"/>
      <c r="DV37" s="404"/>
      <c r="DW37" s="404"/>
      <c r="DX37" s="404"/>
      <c r="DY37" s="404"/>
      <c r="DZ37" s="404"/>
      <c r="EA37" s="404"/>
      <c r="EB37" s="404"/>
      <c r="EC37" s="404"/>
      <c r="ED37" s="404"/>
      <c r="EE37" s="404"/>
      <c r="EF37" s="404"/>
      <c r="EG37" s="404"/>
      <c r="EH37" s="404"/>
      <c r="EI37" s="404"/>
      <c r="EJ37" s="404"/>
      <c r="EK37" s="404"/>
      <c r="EL37" s="404"/>
      <c r="EM37" s="404"/>
      <c r="EN37" s="404"/>
      <c r="EO37" s="404"/>
      <c r="EP37" s="404"/>
      <c r="EQ37" s="404"/>
      <c r="ER37" s="404"/>
      <c r="ES37" s="404"/>
      <c r="ET37" s="404"/>
      <c r="EU37" s="404"/>
      <c r="EV37" s="404"/>
      <c r="EW37" s="404"/>
      <c r="EX37" s="404"/>
      <c r="EY37" s="404"/>
      <c r="EZ37" s="404"/>
      <c r="FA37" s="404"/>
      <c r="FB37" s="404"/>
      <c r="FC37" s="404"/>
      <c r="FD37" s="404"/>
      <c r="FE37" s="404"/>
      <c r="FF37" s="404"/>
      <c r="FG37" s="404"/>
      <c r="FH37" s="404"/>
      <c r="FI37" s="404"/>
      <c r="FJ37" s="404"/>
      <c r="FK37" s="404"/>
      <c r="FL37" s="404"/>
      <c r="FM37" s="404"/>
      <c r="FN37" s="404"/>
      <c r="FO37" s="404"/>
      <c r="FP37" s="404"/>
      <c r="FQ37" s="404"/>
      <c r="FR37" s="404"/>
      <c r="FS37" s="404"/>
      <c r="FT37" s="404"/>
      <c r="FU37" s="404"/>
      <c r="FV37" s="404"/>
      <c r="FW37" s="404"/>
      <c r="FX37" s="404"/>
      <c r="FY37" s="404"/>
      <c r="FZ37" s="404"/>
      <c r="GA37" s="404"/>
      <c r="GB37" s="404"/>
      <c r="GC37" s="404"/>
      <c r="GD37" s="404"/>
      <c r="GE37" s="404"/>
      <c r="GF37" s="404"/>
      <c r="GG37" s="404"/>
      <c r="GH37" s="404"/>
      <c r="GI37" s="404"/>
      <c r="GJ37" s="404"/>
      <c r="GK37" s="404"/>
      <c r="GL37" s="404"/>
      <c r="GM37" s="404"/>
      <c r="GN37" s="404"/>
      <c r="GO37" s="404"/>
      <c r="GP37" s="404"/>
      <c r="GQ37" s="404"/>
      <c r="GR37" s="404"/>
      <c r="GS37" s="404"/>
      <c r="GT37" s="404"/>
      <c r="GU37" s="404"/>
      <c r="GV37" s="404"/>
      <c r="GW37" s="404"/>
      <c r="GX37" s="404"/>
      <c r="GY37" s="404"/>
      <c r="GZ37" s="404"/>
      <c r="HA37" s="404"/>
      <c r="HB37" s="404"/>
      <c r="HC37" s="404"/>
      <c r="HD37" s="404"/>
      <c r="HE37" s="404"/>
      <c r="HF37" s="404"/>
      <c r="HG37" s="404"/>
      <c r="HH37" s="404"/>
      <c r="HI37" s="404"/>
      <c r="HJ37" s="404"/>
      <c r="HK37" s="404"/>
      <c r="HL37" s="404"/>
      <c r="HM37" s="404"/>
      <c r="HN37" s="404"/>
      <c r="HO37" s="404"/>
      <c r="HP37" s="404"/>
      <c r="HQ37" s="404"/>
      <c r="HR37" s="404"/>
      <c r="HS37" s="404"/>
      <c r="HT37" s="404"/>
      <c r="HU37" s="404"/>
      <c r="HV37" s="404"/>
      <c r="HW37" s="404"/>
      <c r="HX37" s="404"/>
      <c r="HY37" s="404"/>
      <c r="HZ37" s="404"/>
      <c r="IA37" s="404"/>
    </row>
    <row r="38" spans="1:235" s="309" customFormat="1" ht="15" customHeight="1" x14ac:dyDescent="0.3">
      <c r="A38" s="231">
        <v>2.08</v>
      </c>
      <c r="B38" s="288"/>
      <c r="C38" s="289" t="str">
        <f>VLOOKUP(BD.PD[[#This Row],[Pos]],PPto[],3,FALSE)</f>
        <v>2.08 Instalaciones Mecánicas</v>
      </c>
      <c r="D38" s="231" t="s">
        <v>22</v>
      </c>
      <c r="E38" s="291" t="str">
        <f>IF(BD.PD[[#This Row],[.]]="*",VLOOKUP(BD.PD[[#This Row],[Pos]],Presupuesto!A:H,7,FALSE),"")</f>
        <v/>
      </c>
      <c r="F38" s="357" t="s">
        <v>139</v>
      </c>
      <c r="G38" s="292">
        <v>4600072909</v>
      </c>
      <c r="H38" s="358">
        <v>45729</v>
      </c>
      <c r="I38" s="359">
        <v>1</v>
      </c>
      <c r="J38" s="231" t="s">
        <v>456</v>
      </c>
      <c r="K38" s="294">
        <f>IF(BD.PD[[#This Row],[Mon]]="DOP",1,HLOOKUP(BD.PD[[#This Row],[Mon]],$J$1:$K$2,2,FALSE))</f>
        <v>63</v>
      </c>
      <c r="L38" s="360">
        <v>21470</v>
      </c>
      <c r="M38" s="296">
        <f>BD.PD[[#This Row],[Cant.]]*BD.PD[[#This Row],[ Tasa ]]*BD.PD[[#This Row],[ Precio Und.]]</f>
        <v>1352610</v>
      </c>
      <c r="N38" s="361">
        <v>0</v>
      </c>
      <c r="O38" s="296">
        <f>IF(BD.PD[[#This Row],[Liquid. '[%']]]&lt;&gt;0,(BD.PD[[#This Row],[Valor Neto '[DOP']]]*BD.PD[[#This Row],[Liquid. '[%']]])+BD.PD[[#This Row],[Valor Neto '[DOP']]],BD.PD[[#This Row],[Valor Neto '[DOP']]])</f>
        <v>1352610</v>
      </c>
      <c r="P38" s="298">
        <f>BD.PD[[#This Row],[Ppto. Orden Interna '[DOP']]]/HLOOKUP("USD",$J$1:$K$2,2,FALSE)</f>
        <v>21470</v>
      </c>
      <c r="Q38" s="299" t="s">
        <v>586</v>
      </c>
      <c r="R38" s="292" t="s">
        <v>587</v>
      </c>
      <c r="S38" s="300">
        <v>8</v>
      </c>
      <c r="T38" s="301">
        <v>1</v>
      </c>
      <c r="U38" s="302">
        <f>BD.PD[[#This Row],[Av.P1 '[%']]]*BD.PD[[#This Row],[Ppto. Orden Interna '[DOP']]]</f>
        <v>1352610</v>
      </c>
      <c r="V38" s="303"/>
      <c r="W38" s="304"/>
      <c r="X38" s="302">
        <f>BD.PD[[#This Row],[Av.P2 '[%']]]*BD.PD[[#This Row],[Ppto. Orden Interna '[DOP']]]</f>
        <v>0</v>
      </c>
      <c r="Y38" s="303"/>
      <c r="Z38" s="304"/>
      <c r="AA38" s="302">
        <f>BD.PD[[#This Row],[Av.P3 '[%']]]*BD.PD[[#This Row],[Ppto. Orden Interna '[DOP']]]</f>
        <v>0</v>
      </c>
      <c r="AB38" s="303"/>
      <c r="AC38" s="304"/>
      <c r="AD38" s="302">
        <f>BD.PD[[#This Row],[Av.P4 '[%']]]*BD.PD[[#This Row],[Ppto. Orden Interna '[DOP']]]</f>
        <v>0</v>
      </c>
      <c r="AE38" s="303"/>
      <c r="AF38" s="304"/>
      <c r="AG38" s="302">
        <f>BD.PD[[#This Row],[Av.P5 '[%']]]*BD.PD[[#This Row],[Ppto. Orden Interna '[DOP']]]</f>
        <v>0</v>
      </c>
      <c r="AH38" s="305">
        <f>BD.PD[[#This Row],[Pago 5]]+BD.PD[[#This Row],[Pago 4]]+BD.PD[[#This Row],[Pago 3]]+BD.PD[[#This Row],[Pago 2]]+BD.PD[[#This Row],[Pago 1]]</f>
        <v>1352610</v>
      </c>
      <c r="AI38" s="404"/>
      <c r="AJ38" s="404"/>
      <c r="AK38" s="404"/>
      <c r="AL38" s="404"/>
      <c r="AM38" s="404"/>
      <c r="AN38" s="404"/>
      <c r="AO38" s="404"/>
      <c r="AP38" s="404"/>
      <c r="AQ38" s="404"/>
      <c r="AR38" s="404"/>
      <c r="AS38" s="404"/>
      <c r="AT38" s="404"/>
      <c r="AU38" s="404"/>
      <c r="AV38" s="404"/>
      <c r="AW38" s="404"/>
      <c r="AX38" s="404"/>
      <c r="AY38" s="404"/>
      <c r="AZ38" s="404"/>
      <c r="BA38" s="404"/>
      <c r="BB38" s="404"/>
      <c r="BC38" s="404"/>
      <c r="BD38" s="404"/>
      <c r="BE38" s="404"/>
      <c r="BF38" s="404"/>
      <c r="BG38" s="404"/>
      <c r="BH38" s="404"/>
      <c r="BI38" s="404"/>
      <c r="BJ38" s="404"/>
      <c r="BK38" s="404"/>
      <c r="BL38" s="404"/>
      <c r="BM38" s="404"/>
      <c r="BN38" s="404"/>
      <c r="BO38" s="404"/>
      <c r="BP38" s="404"/>
      <c r="BQ38" s="404"/>
      <c r="BR38" s="404"/>
      <c r="BS38" s="404"/>
      <c r="BT38" s="404"/>
      <c r="BU38" s="404"/>
      <c r="BV38" s="404"/>
      <c r="BW38" s="404"/>
      <c r="BX38" s="404"/>
      <c r="BY38" s="404"/>
      <c r="BZ38" s="404"/>
      <c r="CA38" s="404"/>
      <c r="CB38" s="404"/>
      <c r="CC38" s="404"/>
      <c r="CD38" s="404"/>
      <c r="CE38" s="404"/>
      <c r="CF38" s="404"/>
      <c r="CG38" s="404"/>
      <c r="CH38" s="404"/>
      <c r="CI38" s="404"/>
      <c r="CJ38" s="404"/>
      <c r="CK38" s="404"/>
      <c r="CL38" s="404"/>
      <c r="CM38" s="404"/>
      <c r="CN38" s="404"/>
      <c r="CO38" s="404"/>
      <c r="CP38" s="404"/>
      <c r="CQ38" s="404"/>
      <c r="CR38" s="404"/>
      <c r="CS38" s="404"/>
      <c r="CT38" s="404"/>
      <c r="CU38" s="404"/>
      <c r="CV38" s="404"/>
      <c r="CW38" s="404"/>
      <c r="CX38" s="404"/>
      <c r="CY38" s="404"/>
      <c r="CZ38" s="404"/>
      <c r="DA38" s="404"/>
      <c r="DB38" s="404"/>
      <c r="DC38" s="404"/>
      <c r="DD38" s="404"/>
      <c r="DE38" s="404"/>
      <c r="DF38" s="404"/>
      <c r="DG38" s="404"/>
      <c r="DH38" s="404"/>
      <c r="DI38" s="404"/>
      <c r="DJ38" s="404"/>
      <c r="DK38" s="404"/>
      <c r="DL38" s="404"/>
      <c r="DM38" s="404"/>
      <c r="DN38" s="404"/>
      <c r="DO38" s="404"/>
      <c r="DP38" s="404"/>
      <c r="DQ38" s="404"/>
      <c r="DR38" s="404"/>
      <c r="DS38" s="404"/>
      <c r="DT38" s="404"/>
      <c r="DU38" s="404"/>
      <c r="DV38" s="404"/>
      <c r="DW38" s="404"/>
      <c r="DX38" s="404"/>
      <c r="DY38" s="404"/>
      <c r="DZ38" s="404"/>
      <c r="EA38" s="404"/>
      <c r="EB38" s="404"/>
      <c r="EC38" s="404"/>
      <c r="ED38" s="404"/>
      <c r="EE38" s="404"/>
      <c r="EF38" s="404"/>
      <c r="EG38" s="404"/>
      <c r="EH38" s="404"/>
      <c r="EI38" s="404"/>
      <c r="EJ38" s="404"/>
      <c r="EK38" s="404"/>
      <c r="EL38" s="404"/>
      <c r="EM38" s="404"/>
      <c r="EN38" s="404"/>
      <c r="EO38" s="404"/>
      <c r="EP38" s="404"/>
      <c r="EQ38" s="404"/>
      <c r="ER38" s="404"/>
      <c r="ES38" s="404"/>
      <c r="ET38" s="404"/>
      <c r="EU38" s="404"/>
      <c r="EV38" s="404"/>
      <c r="EW38" s="404"/>
      <c r="EX38" s="404"/>
      <c r="EY38" s="404"/>
      <c r="EZ38" s="404"/>
      <c r="FA38" s="404"/>
      <c r="FB38" s="404"/>
      <c r="FC38" s="404"/>
      <c r="FD38" s="404"/>
      <c r="FE38" s="404"/>
      <c r="FF38" s="404"/>
      <c r="FG38" s="404"/>
      <c r="FH38" s="404"/>
      <c r="FI38" s="404"/>
      <c r="FJ38" s="404"/>
      <c r="FK38" s="404"/>
      <c r="FL38" s="404"/>
      <c r="FM38" s="404"/>
      <c r="FN38" s="404"/>
      <c r="FO38" s="404"/>
      <c r="FP38" s="404"/>
      <c r="FQ38" s="404"/>
      <c r="FR38" s="404"/>
      <c r="FS38" s="404"/>
      <c r="FT38" s="404"/>
      <c r="FU38" s="404"/>
      <c r="FV38" s="404"/>
      <c r="FW38" s="404"/>
      <c r="FX38" s="404"/>
      <c r="FY38" s="404"/>
      <c r="FZ38" s="404"/>
      <c r="GA38" s="404"/>
      <c r="GB38" s="404"/>
      <c r="GC38" s="404"/>
      <c r="GD38" s="404"/>
      <c r="GE38" s="404"/>
      <c r="GF38" s="404"/>
      <c r="GG38" s="404"/>
      <c r="GH38" s="404"/>
      <c r="GI38" s="404"/>
      <c r="GJ38" s="404"/>
      <c r="GK38" s="404"/>
      <c r="GL38" s="404"/>
      <c r="GM38" s="404"/>
      <c r="GN38" s="404"/>
      <c r="GO38" s="404"/>
      <c r="GP38" s="404"/>
      <c r="GQ38" s="404"/>
      <c r="GR38" s="404"/>
      <c r="GS38" s="404"/>
      <c r="GT38" s="404"/>
      <c r="GU38" s="404"/>
      <c r="GV38" s="404"/>
      <c r="GW38" s="404"/>
      <c r="GX38" s="404"/>
      <c r="GY38" s="404"/>
      <c r="GZ38" s="404"/>
      <c r="HA38" s="404"/>
      <c r="HB38" s="404"/>
      <c r="HC38" s="404"/>
      <c r="HD38" s="404"/>
      <c r="HE38" s="404"/>
      <c r="HF38" s="404"/>
      <c r="HG38" s="404"/>
      <c r="HH38" s="404"/>
      <c r="HI38" s="404"/>
      <c r="HJ38" s="404"/>
      <c r="HK38" s="404"/>
      <c r="HL38" s="404"/>
      <c r="HM38" s="404"/>
      <c r="HN38" s="404"/>
      <c r="HO38" s="404"/>
      <c r="HP38" s="404"/>
      <c r="HQ38" s="404"/>
      <c r="HR38" s="404"/>
      <c r="HS38" s="404"/>
      <c r="HT38" s="404"/>
      <c r="HU38" s="404"/>
      <c r="HV38" s="404"/>
      <c r="HW38" s="404"/>
      <c r="HX38" s="404"/>
      <c r="HY38" s="404"/>
      <c r="HZ38" s="404"/>
      <c r="IA38" s="404"/>
    </row>
    <row r="39" spans="1:235" s="309" customFormat="1" ht="15" customHeight="1" x14ac:dyDescent="0.3">
      <c r="A39" s="231">
        <v>2.08</v>
      </c>
      <c r="B39" s="288"/>
      <c r="C39" s="289" t="str">
        <f>VLOOKUP(BD.PD[[#This Row],[Pos]],PPto[],3,FALSE)</f>
        <v>2.08 Instalaciones Mecánicas</v>
      </c>
      <c r="D39" s="231" t="s">
        <v>22</v>
      </c>
      <c r="E39" s="291" t="str">
        <f>IF(BD.PD[[#This Row],[.]]="*",VLOOKUP(BD.PD[[#This Row],[Pos]],Presupuesto!A:H,7,FALSE),"")</f>
        <v/>
      </c>
      <c r="F39" s="386" t="s">
        <v>138</v>
      </c>
      <c r="G39" s="292">
        <v>4600072909</v>
      </c>
      <c r="H39" s="358">
        <v>45729</v>
      </c>
      <c r="I39" s="359">
        <v>1</v>
      </c>
      <c r="J39" s="231" t="s">
        <v>456</v>
      </c>
      <c r="K39" s="294">
        <f>IF(BD.PD[[#This Row],[Mon]]="DOP",1,HLOOKUP(BD.PD[[#This Row],[Mon]],$J$1:$K$2,2,FALSE))</f>
        <v>63</v>
      </c>
      <c r="L39" s="360">
        <v>8884.09</v>
      </c>
      <c r="M39" s="296">
        <f>BD.PD[[#This Row],[Cant.]]*BD.PD[[#This Row],[ Tasa ]]*BD.PD[[#This Row],[ Precio Und.]]</f>
        <v>559697.67000000004</v>
      </c>
      <c r="N39" s="361">
        <v>0</v>
      </c>
      <c r="O39" s="296">
        <f>IF(BD.PD[[#This Row],[Liquid. '[%']]]&lt;&gt;0,(BD.PD[[#This Row],[Valor Neto '[DOP']]]*BD.PD[[#This Row],[Liquid. '[%']]])+BD.PD[[#This Row],[Valor Neto '[DOP']]],BD.PD[[#This Row],[Valor Neto '[DOP']]])</f>
        <v>559697.67000000004</v>
      </c>
      <c r="P39" s="298">
        <f>BD.PD[[#This Row],[Ppto. Orden Interna '[DOP']]]/HLOOKUP("USD",$J$1:$K$2,2,FALSE)</f>
        <v>8884.09</v>
      </c>
      <c r="Q39" s="299" t="s">
        <v>586</v>
      </c>
      <c r="R39" s="307" t="s">
        <v>587</v>
      </c>
      <c r="S39" s="300">
        <v>8</v>
      </c>
      <c r="T39" s="301">
        <v>1</v>
      </c>
      <c r="U39" s="308">
        <f>BD.PD[[#This Row],[Av.P1 '[%']]]*BD.PD[[#This Row],[Ppto. Orden Interna '[DOP']]]</f>
        <v>559697.67000000004</v>
      </c>
      <c r="V39" s="303"/>
      <c r="W39" s="304"/>
      <c r="X39" s="308">
        <f>BD.PD[[#This Row],[Av.P2 '[%']]]*BD.PD[[#This Row],[Ppto. Orden Interna '[DOP']]]</f>
        <v>0</v>
      </c>
      <c r="Y39" s="303"/>
      <c r="Z39" s="304"/>
      <c r="AA39" s="308">
        <f>BD.PD[[#This Row],[Av.P3 '[%']]]*BD.PD[[#This Row],[Ppto. Orden Interna '[DOP']]]</f>
        <v>0</v>
      </c>
      <c r="AB39" s="303"/>
      <c r="AC39" s="304"/>
      <c r="AD39" s="308">
        <f>BD.PD[[#This Row],[Av.P4 '[%']]]*BD.PD[[#This Row],[Ppto. Orden Interna '[DOP']]]</f>
        <v>0</v>
      </c>
      <c r="AE39" s="303"/>
      <c r="AF39" s="304"/>
      <c r="AG39" s="308">
        <f>BD.PD[[#This Row],[Av.P5 '[%']]]*BD.PD[[#This Row],[Ppto. Orden Interna '[DOP']]]</f>
        <v>0</v>
      </c>
      <c r="AH39" s="305">
        <f>BD.PD[[#This Row],[Pago 5]]+BD.PD[[#This Row],[Pago 4]]+BD.PD[[#This Row],[Pago 3]]+BD.PD[[#This Row],[Pago 2]]+BD.PD[[#This Row],[Pago 1]]</f>
        <v>559697.67000000004</v>
      </c>
      <c r="AI39" s="404"/>
      <c r="AJ39" s="404"/>
      <c r="AK39" s="404"/>
      <c r="AL39" s="404"/>
      <c r="AM39" s="404"/>
      <c r="AN39" s="404"/>
      <c r="AO39" s="404"/>
      <c r="AP39" s="404"/>
      <c r="AQ39" s="404"/>
      <c r="AR39" s="404"/>
      <c r="AS39" s="404"/>
      <c r="AT39" s="404"/>
      <c r="AU39" s="404"/>
      <c r="AV39" s="404"/>
      <c r="AW39" s="404"/>
      <c r="AX39" s="404"/>
      <c r="AY39" s="404"/>
      <c r="AZ39" s="404"/>
      <c r="BA39" s="404"/>
      <c r="BB39" s="404"/>
      <c r="BC39" s="404"/>
      <c r="BD39" s="404"/>
      <c r="BE39" s="404"/>
      <c r="BF39" s="404"/>
      <c r="BG39" s="404"/>
      <c r="BH39" s="404"/>
      <c r="BI39" s="404"/>
      <c r="BJ39" s="404"/>
      <c r="BK39" s="404"/>
      <c r="BL39" s="404"/>
      <c r="BM39" s="404"/>
      <c r="BN39" s="404"/>
      <c r="BO39" s="404"/>
      <c r="BP39" s="404"/>
      <c r="BQ39" s="404"/>
      <c r="BR39" s="404"/>
      <c r="BS39" s="404"/>
      <c r="BT39" s="404"/>
      <c r="BU39" s="404"/>
      <c r="BV39" s="404"/>
      <c r="BW39" s="404"/>
      <c r="BX39" s="404"/>
      <c r="BY39" s="404"/>
      <c r="BZ39" s="404"/>
      <c r="CA39" s="404"/>
      <c r="CB39" s="404"/>
      <c r="CC39" s="404"/>
      <c r="CD39" s="404"/>
      <c r="CE39" s="404"/>
      <c r="CF39" s="404"/>
      <c r="CG39" s="404"/>
      <c r="CH39" s="404"/>
      <c r="CI39" s="404"/>
      <c r="CJ39" s="404"/>
      <c r="CK39" s="404"/>
      <c r="CL39" s="404"/>
      <c r="CM39" s="404"/>
      <c r="CN39" s="404"/>
      <c r="CO39" s="404"/>
      <c r="CP39" s="404"/>
      <c r="CQ39" s="404"/>
      <c r="CR39" s="404"/>
      <c r="CS39" s="404"/>
      <c r="CT39" s="404"/>
      <c r="CU39" s="404"/>
      <c r="CV39" s="404"/>
      <c r="CW39" s="404"/>
      <c r="CX39" s="404"/>
      <c r="CY39" s="404"/>
      <c r="CZ39" s="404"/>
      <c r="DA39" s="404"/>
      <c r="DB39" s="404"/>
      <c r="DC39" s="404"/>
      <c r="DD39" s="404"/>
      <c r="DE39" s="404"/>
      <c r="DF39" s="404"/>
      <c r="DG39" s="404"/>
      <c r="DH39" s="404"/>
      <c r="DI39" s="404"/>
      <c r="DJ39" s="404"/>
      <c r="DK39" s="404"/>
      <c r="DL39" s="404"/>
      <c r="DM39" s="404"/>
      <c r="DN39" s="404"/>
      <c r="DO39" s="404"/>
      <c r="DP39" s="404"/>
      <c r="DQ39" s="404"/>
      <c r="DR39" s="404"/>
      <c r="DS39" s="404"/>
      <c r="DT39" s="404"/>
      <c r="DU39" s="404"/>
      <c r="DV39" s="404"/>
      <c r="DW39" s="404"/>
      <c r="DX39" s="404"/>
      <c r="DY39" s="404"/>
      <c r="DZ39" s="404"/>
      <c r="EA39" s="404"/>
      <c r="EB39" s="404"/>
      <c r="EC39" s="404"/>
      <c r="ED39" s="404"/>
      <c r="EE39" s="404"/>
      <c r="EF39" s="404"/>
      <c r="EG39" s="404"/>
      <c r="EH39" s="404"/>
      <c r="EI39" s="404"/>
      <c r="EJ39" s="404"/>
      <c r="EK39" s="404"/>
      <c r="EL39" s="404"/>
      <c r="EM39" s="404"/>
      <c r="EN39" s="404"/>
      <c r="EO39" s="404"/>
      <c r="EP39" s="404"/>
      <c r="EQ39" s="404"/>
      <c r="ER39" s="404"/>
      <c r="ES39" s="404"/>
      <c r="ET39" s="404"/>
      <c r="EU39" s="404"/>
      <c r="EV39" s="404"/>
      <c r="EW39" s="404"/>
      <c r="EX39" s="404"/>
      <c r="EY39" s="404"/>
      <c r="EZ39" s="404"/>
      <c r="FA39" s="404"/>
      <c r="FB39" s="404"/>
      <c r="FC39" s="404"/>
      <c r="FD39" s="404"/>
      <c r="FE39" s="404"/>
      <c r="FF39" s="404"/>
      <c r="FG39" s="404"/>
      <c r="FH39" s="404"/>
      <c r="FI39" s="404"/>
      <c r="FJ39" s="404"/>
      <c r="FK39" s="404"/>
      <c r="FL39" s="404"/>
      <c r="FM39" s="404"/>
      <c r="FN39" s="404"/>
      <c r="FO39" s="404"/>
      <c r="FP39" s="404"/>
      <c r="FQ39" s="404"/>
      <c r="FR39" s="404"/>
      <c r="FS39" s="404"/>
      <c r="FT39" s="404"/>
      <c r="FU39" s="404"/>
      <c r="FV39" s="404"/>
      <c r="FW39" s="404"/>
      <c r="FX39" s="404"/>
      <c r="FY39" s="404"/>
      <c r="FZ39" s="404"/>
      <c r="GA39" s="404"/>
      <c r="GB39" s="404"/>
      <c r="GC39" s="404"/>
      <c r="GD39" s="404"/>
      <c r="GE39" s="404"/>
      <c r="GF39" s="404"/>
      <c r="GG39" s="404"/>
      <c r="GH39" s="404"/>
      <c r="GI39" s="404"/>
      <c r="GJ39" s="404"/>
      <c r="GK39" s="404"/>
      <c r="GL39" s="404"/>
      <c r="GM39" s="404"/>
      <c r="GN39" s="404"/>
      <c r="GO39" s="404"/>
      <c r="GP39" s="404"/>
      <c r="GQ39" s="404"/>
      <c r="GR39" s="404"/>
      <c r="GS39" s="404"/>
      <c r="GT39" s="404"/>
      <c r="GU39" s="404"/>
      <c r="GV39" s="404"/>
      <c r="GW39" s="404"/>
      <c r="GX39" s="404"/>
      <c r="GY39" s="404"/>
      <c r="GZ39" s="404"/>
      <c r="HA39" s="404"/>
      <c r="HB39" s="404"/>
      <c r="HC39" s="404"/>
      <c r="HD39" s="404"/>
      <c r="HE39" s="404"/>
      <c r="HF39" s="404"/>
      <c r="HG39" s="404"/>
      <c r="HH39" s="404"/>
      <c r="HI39" s="404"/>
      <c r="HJ39" s="404"/>
      <c r="HK39" s="404"/>
      <c r="HL39" s="404"/>
      <c r="HM39" s="404"/>
      <c r="HN39" s="404"/>
      <c r="HO39" s="404"/>
      <c r="HP39" s="404"/>
      <c r="HQ39" s="404"/>
      <c r="HR39" s="404"/>
      <c r="HS39" s="404"/>
      <c r="HT39" s="404"/>
      <c r="HU39" s="404"/>
      <c r="HV39" s="404"/>
      <c r="HW39" s="404"/>
      <c r="HX39" s="404"/>
      <c r="HY39" s="404"/>
      <c r="HZ39" s="404"/>
      <c r="IA39" s="404"/>
    </row>
    <row r="40" spans="1:235" s="309" customFormat="1" ht="15" customHeight="1" x14ac:dyDescent="0.3">
      <c r="A40" s="231">
        <v>2.08</v>
      </c>
      <c r="B40" s="288"/>
      <c r="C40" s="289" t="str">
        <f>VLOOKUP(BD.PD[[#This Row],[Pos]],PPto[],3,FALSE)</f>
        <v>2.08 Instalaciones Mecánicas</v>
      </c>
      <c r="D40" s="231" t="s">
        <v>22</v>
      </c>
      <c r="E40" s="291" t="str">
        <f>IF(BD.PD[[#This Row],[.]]="*",VLOOKUP(BD.PD[[#This Row],[Pos]],Presupuesto!A:H,7,FALSE),"")</f>
        <v/>
      </c>
      <c r="F40" s="383" t="s">
        <v>588</v>
      </c>
      <c r="G40" s="292" t="s">
        <v>1345</v>
      </c>
      <c r="H40" s="358">
        <v>45921</v>
      </c>
      <c r="I40" s="359">
        <v>2</v>
      </c>
      <c r="J40" s="231" t="s">
        <v>456</v>
      </c>
      <c r="K40" s="294">
        <f>IF(BD.PD[[#This Row],[Mon]]="DOP",1,HLOOKUP(BD.PD[[#This Row],[Mon]],$J$1:$K$2,2,FALSE))</f>
        <v>63</v>
      </c>
      <c r="L40" s="360">
        <v>4100</v>
      </c>
      <c r="M40" s="296">
        <f>BD.PD[[#This Row],[Cant.]]*BD.PD[[#This Row],[ Tasa ]]*BD.PD[[#This Row],[ Precio Und.]]</f>
        <v>516600</v>
      </c>
      <c r="N40" s="361">
        <v>0</v>
      </c>
      <c r="O40" s="296">
        <f>IF(BD.PD[[#This Row],[Liquid. '[%']]]&lt;&gt;0,(BD.PD[[#This Row],[Valor Neto '[DOP']]]*BD.PD[[#This Row],[Liquid. '[%']]])+BD.PD[[#This Row],[Valor Neto '[DOP']]],BD.PD[[#This Row],[Valor Neto '[DOP']]])</f>
        <v>516600</v>
      </c>
      <c r="P40" s="298">
        <f>BD.PD[[#This Row],[Ppto. Orden Interna '[DOP']]]/HLOOKUP("USD",$J$1:$K$2,2,FALSE)</f>
        <v>8200</v>
      </c>
      <c r="Q40" s="299" t="s">
        <v>586</v>
      </c>
      <c r="R40" s="292" t="s">
        <v>587</v>
      </c>
      <c r="S40" s="300">
        <v>20</v>
      </c>
      <c r="T40" s="301">
        <v>1</v>
      </c>
      <c r="U40" s="302">
        <f>BD.PD[[#This Row],[Av.P1 '[%']]]*BD.PD[[#This Row],[Ppto. Orden Interna '[DOP']]]</f>
        <v>516600</v>
      </c>
      <c r="V40" s="303"/>
      <c r="W40" s="304"/>
      <c r="X40" s="302">
        <f>BD.PD[[#This Row],[Av.P2 '[%']]]*BD.PD[[#This Row],[Ppto. Orden Interna '[DOP']]]</f>
        <v>0</v>
      </c>
      <c r="Y40" s="303"/>
      <c r="Z40" s="304"/>
      <c r="AA40" s="302">
        <f>BD.PD[[#This Row],[Av.P3 '[%']]]*BD.PD[[#This Row],[Ppto. Orden Interna '[DOP']]]</f>
        <v>0</v>
      </c>
      <c r="AB40" s="303"/>
      <c r="AC40" s="304"/>
      <c r="AD40" s="302">
        <f>BD.PD[[#This Row],[Av.P4 '[%']]]*BD.PD[[#This Row],[Ppto. Orden Interna '[DOP']]]</f>
        <v>0</v>
      </c>
      <c r="AE40" s="303"/>
      <c r="AF40" s="304"/>
      <c r="AG40" s="302">
        <f>BD.PD[[#This Row],[Av.P5 '[%']]]*BD.PD[[#This Row],[Ppto. Orden Interna '[DOP']]]</f>
        <v>0</v>
      </c>
      <c r="AH40" s="305">
        <f>BD.PD[[#This Row],[Pago 5]]+BD.PD[[#This Row],[Pago 4]]+BD.PD[[#This Row],[Pago 3]]+BD.PD[[#This Row],[Pago 2]]+BD.PD[[#This Row],[Pago 1]]</f>
        <v>516600</v>
      </c>
      <c r="AI40" s="404"/>
      <c r="AJ40" s="404"/>
      <c r="AK40" s="404"/>
      <c r="AL40" s="404"/>
      <c r="AM40" s="404"/>
      <c r="AN40" s="404"/>
      <c r="AO40" s="404"/>
      <c r="AP40" s="404"/>
      <c r="AQ40" s="404"/>
      <c r="AR40" s="404"/>
      <c r="AS40" s="404"/>
      <c r="AT40" s="404"/>
      <c r="AU40" s="404"/>
      <c r="AV40" s="404"/>
      <c r="AW40" s="404"/>
      <c r="AX40" s="404"/>
      <c r="AY40" s="404"/>
      <c r="AZ40" s="404"/>
      <c r="BA40" s="404"/>
      <c r="BB40" s="404"/>
      <c r="BC40" s="404"/>
      <c r="BD40" s="404"/>
      <c r="BE40" s="404"/>
      <c r="BF40" s="404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404"/>
      <c r="CL40" s="404"/>
      <c r="CM40" s="404"/>
      <c r="CN40" s="404"/>
      <c r="CO40" s="404"/>
      <c r="CP40" s="404"/>
      <c r="CQ40" s="404"/>
      <c r="CR40" s="404"/>
      <c r="CS40" s="404"/>
      <c r="CT40" s="404"/>
      <c r="CU40" s="404"/>
      <c r="CV40" s="404"/>
      <c r="CW40" s="404"/>
      <c r="CX40" s="404"/>
      <c r="CY40" s="404"/>
      <c r="CZ40" s="404"/>
      <c r="DA40" s="404"/>
      <c r="DB40" s="404"/>
      <c r="DC40" s="404"/>
      <c r="DD40" s="404"/>
      <c r="DE40" s="404"/>
      <c r="DF40" s="404"/>
      <c r="DG40" s="404"/>
      <c r="DH40" s="404"/>
      <c r="DI40" s="404"/>
      <c r="DJ40" s="404"/>
      <c r="DK40" s="404"/>
      <c r="DL40" s="404"/>
      <c r="DM40" s="404"/>
      <c r="DN40" s="404"/>
      <c r="DO40" s="404"/>
      <c r="DP40" s="404"/>
      <c r="DQ40" s="404"/>
      <c r="DR40" s="404"/>
      <c r="DS40" s="404"/>
      <c r="DT40" s="404"/>
      <c r="DU40" s="404"/>
      <c r="DV40" s="404"/>
      <c r="DW40" s="404"/>
      <c r="DX40" s="404"/>
      <c r="DY40" s="404"/>
      <c r="DZ40" s="404"/>
      <c r="EA40" s="404"/>
      <c r="EB40" s="404"/>
      <c r="EC40" s="404"/>
      <c r="ED40" s="404"/>
      <c r="EE40" s="404"/>
      <c r="EF40" s="404"/>
      <c r="EG40" s="404"/>
      <c r="EH40" s="404"/>
      <c r="EI40" s="404"/>
      <c r="EJ40" s="404"/>
      <c r="EK40" s="404"/>
      <c r="EL40" s="404"/>
      <c r="EM40" s="404"/>
      <c r="EN40" s="404"/>
      <c r="EO40" s="404"/>
      <c r="EP40" s="404"/>
      <c r="EQ40" s="404"/>
      <c r="ER40" s="404"/>
      <c r="ES40" s="404"/>
      <c r="ET40" s="404"/>
      <c r="EU40" s="404"/>
      <c r="EV40" s="404"/>
      <c r="EW40" s="404"/>
      <c r="EX40" s="404"/>
      <c r="EY40" s="404"/>
      <c r="EZ40" s="404"/>
      <c r="FA40" s="404"/>
      <c r="FB40" s="404"/>
      <c r="FC40" s="404"/>
      <c r="FD40" s="404"/>
      <c r="FE40" s="404"/>
      <c r="FF40" s="404"/>
      <c r="FG40" s="404"/>
      <c r="FH40" s="404"/>
      <c r="FI40" s="404"/>
      <c r="FJ40" s="404"/>
      <c r="FK40" s="404"/>
      <c r="FL40" s="404"/>
      <c r="FM40" s="404"/>
      <c r="FN40" s="404"/>
      <c r="FO40" s="404"/>
      <c r="FP40" s="404"/>
      <c r="FQ40" s="404"/>
      <c r="FR40" s="404"/>
      <c r="FS40" s="404"/>
      <c r="FT40" s="404"/>
      <c r="FU40" s="404"/>
      <c r="FV40" s="404"/>
      <c r="FW40" s="404"/>
      <c r="FX40" s="404"/>
      <c r="FY40" s="404"/>
      <c r="FZ40" s="404"/>
      <c r="GA40" s="404"/>
      <c r="GB40" s="404"/>
      <c r="GC40" s="404"/>
      <c r="GD40" s="404"/>
      <c r="GE40" s="404"/>
      <c r="GF40" s="404"/>
      <c r="GG40" s="404"/>
      <c r="GH40" s="404"/>
      <c r="GI40" s="404"/>
      <c r="GJ40" s="404"/>
      <c r="GK40" s="404"/>
      <c r="GL40" s="404"/>
      <c r="GM40" s="404"/>
      <c r="GN40" s="404"/>
      <c r="GO40" s="404"/>
      <c r="GP40" s="404"/>
      <c r="GQ40" s="404"/>
      <c r="GR40" s="404"/>
      <c r="GS40" s="404"/>
      <c r="GT40" s="404"/>
      <c r="GU40" s="404"/>
      <c r="GV40" s="404"/>
      <c r="GW40" s="404"/>
      <c r="GX40" s="404"/>
      <c r="GY40" s="404"/>
      <c r="GZ40" s="404"/>
      <c r="HA40" s="404"/>
      <c r="HB40" s="404"/>
      <c r="HC40" s="404"/>
      <c r="HD40" s="404"/>
      <c r="HE40" s="404"/>
      <c r="HF40" s="404"/>
      <c r="HG40" s="404"/>
      <c r="HH40" s="404"/>
      <c r="HI40" s="404"/>
      <c r="HJ40" s="404"/>
      <c r="HK40" s="404"/>
      <c r="HL40" s="404"/>
      <c r="HM40" s="404"/>
      <c r="HN40" s="404"/>
      <c r="HO40" s="404"/>
      <c r="HP40" s="404"/>
      <c r="HQ40" s="404"/>
      <c r="HR40" s="404"/>
      <c r="HS40" s="404"/>
      <c r="HT40" s="404"/>
      <c r="HU40" s="404"/>
      <c r="HV40" s="404"/>
      <c r="HW40" s="404"/>
      <c r="HX40" s="404"/>
      <c r="HY40" s="404"/>
      <c r="HZ40" s="404"/>
      <c r="IA40" s="404"/>
    </row>
    <row r="41" spans="1:235" s="309" customFormat="1" ht="15" customHeight="1" x14ac:dyDescent="0.3">
      <c r="A41" s="231">
        <v>2.08</v>
      </c>
      <c r="B41" s="288"/>
      <c r="C41" s="289" t="str">
        <f>VLOOKUP(BD.PD[[#This Row],[Pos]],PPto[],3,FALSE)</f>
        <v>2.08 Instalaciones Mecánicas</v>
      </c>
      <c r="D41" s="231" t="s">
        <v>22</v>
      </c>
      <c r="E41" s="291" t="str">
        <f>IF(BD.PD[[#This Row],[.]]="*",VLOOKUP(BD.PD[[#This Row],[Pos]],Presupuesto!A:H,7,FALSE),"")</f>
        <v/>
      </c>
      <c r="F41" s="386" t="s">
        <v>140</v>
      </c>
      <c r="G41" s="292">
        <v>4513049018</v>
      </c>
      <c r="H41" s="358">
        <v>46239</v>
      </c>
      <c r="I41" s="359">
        <v>1</v>
      </c>
      <c r="J41" s="231" t="s">
        <v>456</v>
      </c>
      <c r="K41" s="294">
        <f>IF(BD.PD[[#This Row],[Mon]]="DOP",1,HLOOKUP(BD.PD[[#This Row],[Mon]],$J$1:$K$2,2,FALSE))</f>
        <v>63</v>
      </c>
      <c r="L41" s="360">
        <v>4200</v>
      </c>
      <c r="M41" s="296">
        <f>BD.PD[[#This Row],[Cant.]]*BD.PD[[#This Row],[ Tasa ]]*BD.PD[[#This Row],[ Precio Und.]]</f>
        <v>264600</v>
      </c>
      <c r="N41" s="361">
        <v>0</v>
      </c>
      <c r="O41" s="296">
        <f>IF(BD.PD[[#This Row],[Liquid. '[%']]]&lt;&gt;0,(BD.PD[[#This Row],[Valor Neto '[DOP']]]*BD.PD[[#This Row],[Liquid. '[%']]])+BD.PD[[#This Row],[Valor Neto '[DOP']]],BD.PD[[#This Row],[Valor Neto '[DOP']]])</f>
        <v>264600</v>
      </c>
      <c r="P41" s="298">
        <f>BD.PD[[#This Row],[Ppto. Orden Interna '[DOP']]]/HLOOKUP("USD",$J$1:$K$2,2,FALSE)</f>
        <v>4200</v>
      </c>
      <c r="Q41" s="299" t="s">
        <v>586</v>
      </c>
      <c r="R41" s="307" t="s">
        <v>587</v>
      </c>
      <c r="S41" s="300">
        <v>21</v>
      </c>
      <c r="T41" s="301">
        <v>0.5</v>
      </c>
      <c r="U41" s="308">
        <f>BD.PD[[#This Row],[Av.P1 '[%']]]*BD.PD[[#This Row],[Ppto. Orden Interna '[DOP']]]</f>
        <v>132300</v>
      </c>
      <c r="V41" s="303">
        <v>23</v>
      </c>
      <c r="W41" s="304">
        <v>0.5</v>
      </c>
      <c r="X41" s="308">
        <f>BD.PD[[#This Row],[Av.P2 '[%']]]*BD.PD[[#This Row],[Ppto. Orden Interna '[DOP']]]</f>
        <v>132300</v>
      </c>
      <c r="Y41" s="303"/>
      <c r="Z41" s="304"/>
      <c r="AA41" s="308">
        <f>BD.PD[[#This Row],[Av.P3 '[%']]]*BD.PD[[#This Row],[Ppto. Orden Interna '[DOP']]]</f>
        <v>0</v>
      </c>
      <c r="AB41" s="303"/>
      <c r="AC41" s="304"/>
      <c r="AD41" s="308">
        <f>BD.PD[[#This Row],[Av.P4 '[%']]]*BD.PD[[#This Row],[Ppto. Orden Interna '[DOP']]]</f>
        <v>0</v>
      </c>
      <c r="AE41" s="303"/>
      <c r="AF41" s="304"/>
      <c r="AG41" s="308">
        <f>BD.PD[[#This Row],[Av.P5 '[%']]]*BD.PD[[#This Row],[Ppto. Orden Interna '[DOP']]]</f>
        <v>0</v>
      </c>
      <c r="AH41" s="305">
        <f>BD.PD[[#This Row],[Pago 5]]+BD.PD[[#This Row],[Pago 4]]+BD.PD[[#This Row],[Pago 3]]+BD.PD[[#This Row],[Pago 2]]+BD.PD[[#This Row],[Pago 1]]</f>
        <v>264600</v>
      </c>
      <c r="AI41" s="404"/>
      <c r="AJ41" s="404"/>
      <c r="AK41" s="404"/>
      <c r="AL41" s="404"/>
      <c r="AM41" s="404"/>
      <c r="AN41" s="404"/>
      <c r="AO41" s="404"/>
      <c r="AP41" s="404"/>
      <c r="AQ41" s="404"/>
      <c r="AR41" s="404"/>
      <c r="AS41" s="404"/>
      <c r="AT41" s="404"/>
      <c r="AU41" s="404"/>
      <c r="AV41" s="404"/>
      <c r="AW41" s="404"/>
      <c r="AX41" s="404"/>
      <c r="AY41" s="404"/>
      <c r="AZ41" s="404"/>
      <c r="BA41" s="404"/>
      <c r="BB41" s="404"/>
      <c r="BC41" s="404"/>
      <c r="BD41" s="404"/>
      <c r="BE41" s="404"/>
      <c r="BF41" s="404"/>
      <c r="BG41" s="404"/>
      <c r="BH41" s="404"/>
      <c r="BI41" s="404"/>
      <c r="BJ41" s="404"/>
      <c r="BK41" s="404"/>
      <c r="BL41" s="404"/>
      <c r="BM41" s="404"/>
      <c r="BN41" s="404"/>
      <c r="BO41" s="404"/>
      <c r="BP41" s="404"/>
      <c r="BQ41" s="404"/>
      <c r="BR41" s="404"/>
      <c r="BS41" s="404"/>
      <c r="BT41" s="404"/>
      <c r="BU41" s="404"/>
      <c r="BV41" s="404"/>
      <c r="BW41" s="404"/>
      <c r="BX41" s="404"/>
      <c r="BY41" s="404"/>
      <c r="BZ41" s="404"/>
      <c r="CA41" s="404"/>
      <c r="CB41" s="404"/>
      <c r="CC41" s="404"/>
      <c r="CD41" s="404"/>
      <c r="CE41" s="404"/>
      <c r="CF41" s="404"/>
      <c r="CG41" s="404"/>
      <c r="CH41" s="404"/>
      <c r="CI41" s="404"/>
      <c r="CJ41" s="404"/>
      <c r="CK41" s="404"/>
      <c r="CL41" s="404"/>
      <c r="CM41" s="404"/>
      <c r="CN41" s="404"/>
      <c r="CO41" s="404"/>
      <c r="CP41" s="404"/>
      <c r="CQ41" s="404"/>
      <c r="CR41" s="404"/>
      <c r="CS41" s="404"/>
      <c r="CT41" s="404"/>
      <c r="CU41" s="404"/>
      <c r="CV41" s="404"/>
      <c r="CW41" s="404"/>
      <c r="CX41" s="404"/>
      <c r="CY41" s="404"/>
      <c r="CZ41" s="404"/>
      <c r="DA41" s="404"/>
      <c r="DB41" s="404"/>
      <c r="DC41" s="404"/>
      <c r="DD41" s="404"/>
      <c r="DE41" s="404"/>
      <c r="DF41" s="404"/>
      <c r="DG41" s="404"/>
      <c r="DH41" s="404"/>
      <c r="DI41" s="404"/>
      <c r="DJ41" s="404"/>
      <c r="DK41" s="404"/>
      <c r="DL41" s="404"/>
      <c r="DM41" s="404"/>
      <c r="DN41" s="404"/>
      <c r="DO41" s="404"/>
      <c r="DP41" s="404"/>
      <c r="DQ41" s="404"/>
      <c r="DR41" s="404"/>
      <c r="DS41" s="404"/>
      <c r="DT41" s="404"/>
      <c r="DU41" s="404"/>
      <c r="DV41" s="404"/>
      <c r="DW41" s="404"/>
      <c r="DX41" s="404"/>
      <c r="DY41" s="404"/>
      <c r="DZ41" s="404"/>
      <c r="EA41" s="404"/>
      <c r="EB41" s="404"/>
      <c r="EC41" s="404"/>
      <c r="ED41" s="404"/>
      <c r="EE41" s="404"/>
      <c r="EF41" s="404"/>
      <c r="EG41" s="404"/>
      <c r="EH41" s="404"/>
      <c r="EI41" s="404"/>
      <c r="EJ41" s="404"/>
      <c r="EK41" s="404"/>
      <c r="EL41" s="404"/>
      <c r="EM41" s="404"/>
      <c r="EN41" s="404"/>
      <c r="EO41" s="404"/>
      <c r="EP41" s="404"/>
      <c r="EQ41" s="404"/>
      <c r="ER41" s="404"/>
      <c r="ES41" s="404"/>
      <c r="ET41" s="404"/>
      <c r="EU41" s="404"/>
      <c r="EV41" s="404"/>
      <c r="EW41" s="404"/>
      <c r="EX41" s="404"/>
      <c r="EY41" s="404"/>
      <c r="EZ41" s="404"/>
      <c r="FA41" s="404"/>
      <c r="FB41" s="404"/>
      <c r="FC41" s="404"/>
      <c r="FD41" s="404"/>
      <c r="FE41" s="404"/>
      <c r="FF41" s="404"/>
      <c r="FG41" s="404"/>
      <c r="FH41" s="404"/>
      <c r="FI41" s="404"/>
      <c r="FJ41" s="404"/>
      <c r="FK41" s="404"/>
      <c r="FL41" s="404"/>
      <c r="FM41" s="404"/>
      <c r="FN41" s="404"/>
      <c r="FO41" s="404"/>
      <c r="FP41" s="404"/>
      <c r="FQ41" s="404"/>
      <c r="FR41" s="404"/>
      <c r="FS41" s="404"/>
      <c r="FT41" s="404"/>
      <c r="FU41" s="404"/>
      <c r="FV41" s="404"/>
      <c r="FW41" s="404"/>
      <c r="FX41" s="404"/>
      <c r="FY41" s="404"/>
      <c r="FZ41" s="404"/>
      <c r="GA41" s="404"/>
      <c r="GB41" s="404"/>
      <c r="GC41" s="404"/>
      <c r="GD41" s="404"/>
      <c r="GE41" s="404"/>
      <c r="GF41" s="404"/>
      <c r="GG41" s="404"/>
      <c r="GH41" s="404"/>
      <c r="GI41" s="404"/>
      <c r="GJ41" s="404"/>
      <c r="GK41" s="404"/>
      <c r="GL41" s="404"/>
      <c r="GM41" s="404"/>
      <c r="GN41" s="404"/>
      <c r="GO41" s="404"/>
      <c r="GP41" s="404"/>
      <c r="GQ41" s="404"/>
      <c r="GR41" s="404"/>
      <c r="GS41" s="404"/>
      <c r="GT41" s="404"/>
      <c r="GU41" s="404"/>
      <c r="GV41" s="404"/>
      <c r="GW41" s="404"/>
      <c r="GX41" s="404"/>
      <c r="GY41" s="404"/>
      <c r="GZ41" s="404"/>
      <c r="HA41" s="404"/>
      <c r="HB41" s="404"/>
      <c r="HC41" s="404"/>
      <c r="HD41" s="404"/>
      <c r="HE41" s="404"/>
      <c r="HF41" s="404"/>
      <c r="HG41" s="404"/>
      <c r="HH41" s="404"/>
      <c r="HI41" s="404"/>
      <c r="HJ41" s="404"/>
      <c r="HK41" s="404"/>
      <c r="HL41" s="404"/>
      <c r="HM41" s="404"/>
      <c r="HN41" s="404"/>
      <c r="HO41" s="404"/>
      <c r="HP41" s="404"/>
      <c r="HQ41" s="404"/>
      <c r="HR41" s="404"/>
      <c r="HS41" s="404"/>
      <c r="HT41" s="404"/>
      <c r="HU41" s="404"/>
      <c r="HV41" s="404"/>
      <c r="HW41" s="404"/>
      <c r="HX41" s="404"/>
      <c r="HY41" s="404"/>
      <c r="HZ41" s="404"/>
      <c r="IA41" s="404"/>
    </row>
    <row r="42" spans="1:235" s="309" customFormat="1" ht="15" customHeight="1" x14ac:dyDescent="0.3">
      <c r="A42" s="231">
        <v>2.08</v>
      </c>
      <c r="B42" s="288"/>
      <c r="C42" s="289" t="str">
        <f>VLOOKUP(BD.PD[[#This Row],[Pos]],PPto[],3,FALSE)</f>
        <v>2.08 Instalaciones Mecánicas</v>
      </c>
      <c r="D42" s="231" t="s">
        <v>22</v>
      </c>
      <c r="E42" s="291" t="str">
        <f>IF(BD.PD[[#This Row],[.]]="*",VLOOKUP(BD.PD[[#This Row],[Pos]],Presupuesto!A:H,7,FALSE),"")</f>
        <v/>
      </c>
      <c r="F42" s="500" t="s">
        <v>589</v>
      </c>
      <c r="G42" s="292" t="s">
        <v>1171</v>
      </c>
      <c r="H42" s="358">
        <v>45921</v>
      </c>
      <c r="I42" s="359">
        <v>0</v>
      </c>
      <c r="J42" s="231" t="s">
        <v>581</v>
      </c>
      <c r="K42" s="294">
        <f>IF(BD.PD[[#This Row],[Mon]]="DOP",1,HLOOKUP(BD.PD[[#This Row],[Mon]],$J$1:$K$2,2,FALSE))</f>
        <v>1</v>
      </c>
      <c r="L42" s="360">
        <v>909800</v>
      </c>
      <c r="M42" s="296">
        <f>BD.PD[[#This Row],[Cant.]]*BD.PD[[#This Row],[ Tasa ]]*BD.PD[[#This Row],[ Precio Und.]]</f>
        <v>0</v>
      </c>
      <c r="N42" s="297">
        <v>0</v>
      </c>
      <c r="O42" s="296">
        <f>IF(BD.PD[[#This Row],[Liquid. '[%']]]&lt;&gt;0,(BD.PD[[#This Row],[Valor Neto '[DOP']]]*BD.PD[[#This Row],[Liquid. '[%']]])+BD.PD[[#This Row],[Valor Neto '[DOP']]],BD.PD[[#This Row],[Valor Neto '[DOP']]])</f>
        <v>0</v>
      </c>
      <c r="P42" s="298">
        <f>BD.PD[[#This Row],[Ppto. Orden Interna '[DOP']]]/HLOOKUP("USD",$J$1:$K$2,2,FALSE)</f>
        <v>0</v>
      </c>
      <c r="Q42" s="299"/>
      <c r="R42" s="307" t="s">
        <v>590</v>
      </c>
      <c r="S42" s="300">
        <v>21</v>
      </c>
      <c r="T42" s="301">
        <v>0.5</v>
      </c>
      <c r="U42" s="308">
        <f>BD.PD[[#This Row],[Av.P1 '[%']]]*BD.PD[[#This Row],[Ppto. Orden Interna '[DOP']]]</f>
        <v>0</v>
      </c>
      <c r="V42" s="303">
        <v>23</v>
      </c>
      <c r="W42" s="304">
        <v>0.5</v>
      </c>
      <c r="X42" s="308">
        <f>BD.PD[[#This Row],[Av.P2 '[%']]]*BD.PD[[#This Row],[Ppto. Orden Interna '[DOP']]]</f>
        <v>0</v>
      </c>
      <c r="Y42" s="303"/>
      <c r="Z42" s="304"/>
      <c r="AA42" s="308">
        <f>BD.PD[[#This Row],[Av.P3 '[%']]]*BD.PD[[#This Row],[Ppto. Orden Interna '[DOP']]]</f>
        <v>0</v>
      </c>
      <c r="AB42" s="303"/>
      <c r="AC42" s="304"/>
      <c r="AD42" s="308">
        <f>BD.PD[[#This Row],[Av.P4 '[%']]]*BD.PD[[#This Row],[Ppto. Orden Interna '[DOP']]]</f>
        <v>0</v>
      </c>
      <c r="AE42" s="303"/>
      <c r="AF42" s="304"/>
      <c r="AG42" s="308">
        <f>BD.PD[[#This Row],[Av.P5 '[%']]]*BD.PD[[#This Row],[Ppto. Orden Interna '[DOP']]]</f>
        <v>0</v>
      </c>
      <c r="AH42" s="305">
        <f>BD.PD[[#This Row],[Pago 5]]+BD.PD[[#This Row],[Pago 4]]+BD.PD[[#This Row],[Pago 3]]+BD.PD[[#This Row],[Pago 2]]+BD.PD[[#This Row],[Pago 1]]</f>
        <v>0</v>
      </c>
      <c r="AI42" s="404"/>
      <c r="AJ42" s="404"/>
      <c r="AK42" s="404"/>
      <c r="AL42" s="404"/>
      <c r="AM42" s="404"/>
      <c r="AN42" s="404"/>
      <c r="AO42" s="404"/>
      <c r="AP42" s="404"/>
      <c r="AQ42" s="404"/>
      <c r="AR42" s="404"/>
      <c r="AS42" s="404"/>
      <c r="AT42" s="404"/>
      <c r="AU42" s="404"/>
      <c r="AV42" s="404"/>
      <c r="AW42" s="404"/>
      <c r="AX42" s="404"/>
      <c r="AY42" s="404"/>
      <c r="AZ42" s="404"/>
      <c r="BA42" s="404"/>
      <c r="BB42" s="404"/>
      <c r="BC42" s="404"/>
      <c r="BD42" s="404"/>
      <c r="BE42" s="404"/>
      <c r="BF42" s="404"/>
      <c r="BG42" s="404"/>
      <c r="BH42" s="404"/>
      <c r="BI42" s="404"/>
      <c r="BJ42" s="404"/>
      <c r="BK42" s="404"/>
      <c r="BL42" s="404"/>
      <c r="BM42" s="404"/>
      <c r="BN42" s="404"/>
      <c r="BO42" s="404"/>
      <c r="BP42" s="404"/>
      <c r="BQ42" s="404"/>
      <c r="BR42" s="404"/>
      <c r="BS42" s="404"/>
      <c r="BT42" s="404"/>
      <c r="BU42" s="404"/>
      <c r="BV42" s="404"/>
      <c r="BW42" s="404"/>
      <c r="BX42" s="404"/>
      <c r="BY42" s="404"/>
      <c r="BZ42" s="404"/>
      <c r="CA42" s="404"/>
      <c r="CB42" s="404"/>
      <c r="CC42" s="404"/>
      <c r="CD42" s="404"/>
      <c r="CE42" s="404"/>
      <c r="CF42" s="404"/>
      <c r="CG42" s="404"/>
      <c r="CH42" s="404"/>
      <c r="CI42" s="404"/>
      <c r="CJ42" s="404"/>
      <c r="CK42" s="404"/>
      <c r="CL42" s="404"/>
      <c r="CM42" s="404"/>
      <c r="CN42" s="404"/>
      <c r="CO42" s="404"/>
      <c r="CP42" s="404"/>
      <c r="CQ42" s="404"/>
      <c r="CR42" s="404"/>
      <c r="CS42" s="404"/>
      <c r="CT42" s="404"/>
      <c r="CU42" s="404"/>
      <c r="CV42" s="404"/>
      <c r="CW42" s="404"/>
      <c r="CX42" s="404"/>
      <c r="CY42" s="404"/>
      <c r="CZ42" s="404"/>
      <c r="DA42" s="404"/>
      <c r="DB42" s="404"/>
      <c r="DC42" s="404"/>
      <c r="DD42" s="404"/>
      <c r="DE42" s="404"/>
      <c r="DF42" s="404"/>
      <c r="DG42" s="404"/>
      <c r="DH42" s="404"/>
      <c r="DI42" s="404"/>
      <c r="DJ42" s="404"/>
      <c r="DK42" s="404"/>
      <c r="DL42" s="404"/>
      <c r="DM42" s="404"/>
      <c r="DN42" s="404"/>
      <c r="DO42" s="404"/>
      <c r="DP42" s="404"/>
      <c r="DQ42" s="404"/>
      <c r="DR42" s="404"/>
      <c r="DS42" s="404"/>
      <c r="DT42" s="404"/>
      <c r="DU42" s="404"/>
      <c r="DV42" s="404"/>
      <c r="DW42" s="404"/>
      <c r="DX42" s="404"/>
      <c r="DY42" s="404"/>
      <c r="DZ42" s="404"/>
      <c r="EA42" s="404"/>
      <c r="EB42" s="404"/>
      <c r="EC42" s="404"/>
      <c r="ED42" s="404"/>
      <c r="EE42" s="404"/>
      <c r="EF42" s="404"/>
      <c r="EG42" s="404"/>
      <c r="EH42" s="404"/>
      <c r="EI42" s="404"/>
      <c r="EJ42" s="404"/>
      <c r="EK42" s="404"/>
      <c r="EL42" s="404"/>
      <c r="EM42" s="404"/>
      <c r="EN42" s="404"/>
      <c r="EO42" s="404"/>
      <c r="EP42" s="404"/>
      <c r="EQ42" s="404"/>
      <c r="ER42" s="404"/>
      <c r="ES42" s="404"/>
      <c r="ET42" s="404"/>
      <c r="EU42" s="404"/>
      <c r="EV42" s="404"/>
      <c r="EW42" s="404"/>
      <c r="EX42" s="404"/>
      <c r="EY42" s="404"/>
      <c r="EZ42" s="404"/>
      <c r="FA42" s="404"/>
      <c r="FB42" s="404"/>
      <c r="FC42" s="404"/>
      <c r="FD42" s="404"/>
      <c r="FE42" s="404"/>
      <c r="FF42" s="404"/>
      <c r="FG42" s="404"/>
      <c r="FH42" s="404"/>
      <c r="FI42" s="404"/>
      <c r="FJ42" s="404"/>
      <c r="FK42" s="404"/>
      <c r="FL42" s="404"/>
      <c r="FM42" s="404"/>
      <c r="FN42" s="404"/>
      <c r="FO42" s="404"/>
      <c r="FP42" s="404"/>
      <c r="FQ42" s="404"/>
      <c r="FR42" s="404"/>
      <c r="FS42" s="404"/>
      <c r="FT42" s="404"/>
      <c r="FU42" s="404"/>
      <c r="FV42" s="404"/>
      <c r="FW42" s="404"/>
      <c r="FX42" s="404"/>
      <c r="FY42" s="404"/>
      <c r="FZ42" s="404"/>
      <c r="GA42" s="404"/>
      <c r="GB42" s="404"/>
      <c r="GC42" s="404"/>
      <c r="GD42" s="404"/>
      <c r="GE42" s="404"/>
      <c r="GF42" s="404"/>
      <c r="GG42" s="404"/>
      <c r="GH42" s="404"/>
      <c r="GI42" s="404"/>
      <c r="GJ42" s="404"/>
      <c r="GK42" s="404"/>
      <c r="GL42" s="404"/>
      <c r="GM42" s="404"/>
      <c r="GN42" s="404"/>
      <c r="GO42" s="404"/>
      <c r="GP42" s="404"/>
      <c r="GQ42" s="404"/>
      <c r="GR42" s="404"/>
      <c r="GS42" s="404"/>
      <c r="GT42" s="404"/>
      <c r="GU42" s="404"/>
      <c r="GV42" s="404"/>
      <c r="GW42" s="404"/>
      <c r="GX42" s="404"/>
      <c r="GY42" s="404"/>
      <c r="GZ42" s="404"/>
      <c r="HA42" s="404"/>
      <c r="HB42" s="404"/>
      <c r="HC42" s="404"/>
      <c r="HD42" s="404"/>
      <c r="HE42" s="404"/>
      <c r="HF42" s="404"/>
      <c r="HG42" s="404"/>
      <c r="HH42" s="404"/>
      <c r="HI42" s="404"/>
      <c r="HJ42" s="404"/>
      <c r="HK42" s="404"/>
      <c r="HL42" s="404"/>
      <c r="HM42" s="404"/>
      <c r="HN42" s="404"/>
      <c r="HO42" s="404"/>
      <c r="HP42" s="404"/>
      <c r="HQ42" s="404"/>
      <c r="HR42" s="404"/>
      <c r="HS42" s="404"/>
      <c r="HT42" s="404"/>
      <c r="HU42" s="404"/>
      <c r="HV42" s="404"/>
      <c r="HW42" s="404"/>
      <c r="HX42" s="404"/>
      <c r="HY42" s="404"/>
      <c r="HZ42" s="404"/>
      <c r="IA42" s="404"/>
    </row>
    <row r="43" spans="1:235" s="309" customFormat="1" ht="15" customHeight="1" x14ac:dyDescent="0.3">
      <c r="A43" s="231">
        <v>2.08</v>
      </c>
      <c r="B43" s="288"/>
      <c r="C43" s="289" t="str">
        <f>VLOOKUP(BD.PD[[#This Row],[Pos]],PPto[],3,FALSE)</f>
        <v>2.08 Instalaciones Mecánicas</v>
      </c>
      <c r="D43" s="231" t="s">
        <v>22</v>
      </c>
      <c r="E43" s="291" t="str">
        <f>IF(BD.PD[[#This Row],[.]]="*",VLOOKUP(BD.PD[[#This Row],[Pos]],Presupuesto!A:H,7,FALSE),"")</f>
        <v/>
      </c>
      <c r="F43" s="500" t="s">
        <v>591</v>
      </c>
      <c r="G43" s="292" t="s">
        <v>1171</v>
      </c>
      <c r="H43" s="358">
        <v>45921</v>
      </c>
      <c r="I43" s="359">
        <v>0</v>
      </c>
      <c r="J43" s="231" t="s">
        <v>581</v>
      </c>
      <c r="K43" s="294">
        <f>IF(BD.PD[[#This Row],[Mon]]="DOP",1,HLOOKUP(BD.PD[[#This Row],[Mon]],$J$1:$K$2,2,FALSE))</f>
        <v>1</v>
      </c>
      <c r="L43" s="360">
        <v>924074.28</v>
      </c>
      <c r="M43" s="296">
        <f>BD.PD[[#This Row],[Cant.]]*BD.PD[[#This Row],[ Tasa ]]*BD.PD[[#This Row],[ Precio Und.]]</f>
        <v>0</v>
      </c>
      <c r="N43" s="297">
        <v>0</v>
      </c>
      <c r="O43" s="296">
        <f>IF(BD.PD[[#This Row],[Liquid. '[%']]]&lt;&gt;0,(BD.PD[[#This Row],[Valor Neto '[DOP']]]*BD.PD[[#This Row],[Liquid. '[%']]])+BD.PD[[#This Row],[Valor Neto '[DOP']]],BD.PD[[#This Row],[Valor Neto '[DOP']]])</f>
        <v>0</v>
      </c>
      <c r="P43" s="298">
        <f>BD.PD[[#This Row],[Ppto. Orden Interna '[DOP']]]/HLOOKUP("USD",$J$1:$K$2,2,FALSE)</f>
        <v>0</v>
      </c>
      <c r="Q43" s="299"/>
      <c r="R43" s="307" t="s">
        <v>590</v>
      </c>
      <c r="S43" s="300">
        <v>21</v>
      </c>
      <c r="T43" s="301">
        <v>0.5</v>
      </c>
      <c r="U43" s="308">
        <f>BD.PD[[#This Row],[Av.P1 '[%']]]*BD.PD[[#This Row],[Ppto. Orden Interna '[DOP']]]</f>
        <v>0</v>
      </c>
      <c r="V43" s="303">
        <v>23</v>
      </c>
      <c r="W43" s="304">
        <v>0.5</v>
      </c>
      <c r="X43" s="308">
        <f>BD.PD[[#This Row],[Av.P2 '[%']]]*BD.PD[[#This Row],[Ppto. Orden Interna '[DOP']]]</f>
        <v>0</v>
      </c>
      <c r="Y43" s="303"/>
      <c r="Z43" s="304"/>
      <c r="AA43" s="308">
        <f>BD.PD[[#This Row],[Av.P3 '[%']]]*BD.PD[[#This Row],[Ppto. Orden Interna '[DOP']]]</f>
        <v>0</v>
      </c>
      <c r="AB43" s="303"/>
      <c r="AC43" s="304"/>
      <c r="AD43" s="308">
        <f>BD.PD[[#This Row],[Av.P4 '[%']]]*BD.PD[[#This Row],[Ppto. Orden Interna '[DOP']]]</f>
        <v>0</v>
      </c>
      <c r="AE43" s="303"/>
      <c r="AF43" s="304"/>
      <c r="AG43" s="308">
        <f>BD.PD[[#This Row],[Av.P5 '[%']]]*BD.PD[[#This Row],[Ppto. Orden Interna '[DOP']]]</f>
        <v>0</v>
      </c>
      <c r="AH43" s="305">
        <f>BD.PD[[#This Row],[Pago 5]]+BD.PD[[#This Row],[Pago 4]]+BD.PD[[#This Row],[Pago 3]]+BD.PD[[#This Row],[Pago 2]]+BD.PD[[#This Row],[Pago 1]]</f>
        <v>0</v>
      </c>
      <c r="AI43" s="404"/>
      <c r="AJ43" s="404"/>
      <c r="AK43" s="404"/>
      <c r="AL43" s="404"/>
      <c r="AM43" s="404"/>
      <c r="AN43" s="404"/>
      <c r="AO43" s="404"/>
      <c r="AP43" s="404"/>
      <c r="AQ43" s="404"/>
      <c r="AR43" s="404"/>
      <c r="AS43" s="404"/>
      <c r="AT43" s="404"/>
      <c r="AU43" s="404"/>
      <c r="AV43" s="404"/>
      <c r="AW43" s="404"/>
      <c r="AX43" s="404"/>
      <c r="AY43" s="404"/>
      <c r="AZ43" s="404"/>
      <c r="BA43" s="404"/>
      <c r="BB43" s="404"/>
      <c r="BC43" s="404"/>
      <c r="BD43" s="404"/>
      <c r="BE43" s="404"/>
      <c r="BF43" s="404"/>
      <c r="BG43" s="404"/>
      <c r="BH43" s="404"/>
      <c r="BI43" s="404"/>
      <c r="BJ43" s="404"/>
      <c r="BK43" s="404"/>
      <c r="BL43" s="404"/>
      <c r="BM43" s="404"/>
      <c r="BN43" s="404"/>
      <c r="BO43" s="404"/>
      <c r="BP43" s="404"/>
      <c r="BQ43" s="404"/>
      <c r="BR43" s="404"/>
      <c r="BS43" s="404"/>
      <c r="BT43" s="404"/>
      <c r="BU43" s="404"/>
      <c r="BV43" s="404"/>
      <c r="BW43" s="404"/>
      <c r="BX43" s="404"/>
      <c r="BY43" s="404"/>
      <c r="BZ43" s="404"/>
      <c r="CA43" s="404"/>
      <c r="CB43" s="404"/>
      <c r="CC43" s="404"/>
      <c r="CD43" s="404"/>
      <c r="CE43" s="404"/>
      <c r="CF43" s="404"/>
      <c r="CG43" s="404"/>
      <c r="CH43" s="404"/>
      <c r="CI43" s="404"/>
      <c r="CJ43" s="404"/>
      <c r="CK43" s="404"/>
      <c r="CL43" s="404"/>
      <c r="CM43" s="404"/>
      <c r="CN43" s="404"/>
      <c r="CO43" s="404"/>
      <c r="CP43" s="404"/>
      <c r="CQ43" s="404"/>
      <c r="CR43" s="404"/>
      <c r="CS43" s="404"/>
      <c r="CT43" s="404"/>
      <c r="CU43" s="404"/>
      <c r="CV43" s="404"/>
      <c r="CW43" s="404"/>
      <c r="CX43" s="404"/>
      <c r="CY43" s="404"/>
      <c r="CZ43" s="404"/>
      <c r="DA43" s="404"/>
      <c r="DB43" s="404"/>
      <c r="DC43" s="404"/>
      <c r="DD43" s="404"/>
      <c r="DE43" s="404"/>
      <c r="DF43" s="404"/>
      <c r="DG43" s="404"/>
      <c r="DH43" s="404"/>
      <c r="DI43" s="404"/>
      <c r="DJ43" s="404"/>
      <c r="DK43" s="404"/>
      <c r="DL43" s="404"/>
      <c r="DM43" s="404"/>
      <c r="DN43" s="404"/>
      <c r="DO43" s="404"/>
      <c r="DP43" s="404"/>
      <c r="DQ43" s="404"/>
      <c r="DR43" s="404"/>
      <c r="DS43" s="404"/>
      <c r="DT43" s="404"/>
      <c r="DU43" s="404"/>
      <c r="DV43" s="404"/>
      <c r="DW43" s="404"/>
      <c r="DX43" s="404"/>
      <c r="DY43" s="404"/>
      <c r="DZ43" s="404"/>
      <c r="EA43" s="404"/>
      <c r="EB43" s="404"/>
      <c r="EC43" s="404"/>
      <c r="ED43" s="404"/>
      <c r="EE43" s="404"/>
      <c r="EF43" s="404"/>
      <c r="EG43" s="404"/>
      <c r="EH43" s="404"/>
      <c r="EI43" s="404"/>
      <c r="EJ43" s="404"/>
      <c r="EK43" s="404"/>
      <c r="EL43" s="404"/>
      <c r="EM43" s="404"/>
      <c r="EN43" s="404"/>
      <c r="EO43" s="404"/>
      <c r="EP43" s="404"/>
      <c r="EQ43" s="404"/>
      <c r="ER43" s="404"/>
      <c r="ES43" s="404"/>
      <c r="ET43" s="404"/>
      <c r="EU43" s="404"/>
      <c r="EV43" s="404"/>
      <c r="EW43" s="404"/>
      <c r="EX43" s="404"/>
      <c r="EY43" s="404"/>
      <c r="EZ43" s="404"/>
      <c r="FA43" s="404"/>
      <c r="FB43" s="404"/>
      <c r="FC43" s="404"/>
      <c r="FD43" s="404"/>
      <c r="FE43" s="404"/>
      <c r="FF43" s="404"/>
      <c r="FG43" s="404"/>
      <c r="FH43" s="404"/>
      <c r="FI43" s="404"/>
      <c r="FJ43" s="404"/>
      <c r="FK43" s="404"/>
      <c r="FL43" s="404"/>
      <c r="FM43" s="404"/>
      <c r="FN43" s="404"/>
      <c r="FO43" s="404"/>
      <c r="FP43" s="404"/>
      <c r="FQ43" s="404"/>
      <c r="FR43" s="404"/>
      <c r="FS43" s="404"/>
      <c r="FT43" s="404"/>
      <c r="FU43" s="404"/>
      <c r="FV43" s="404"/>
      <c r="FW43" s="404"/>
      <c r="FX43" s="404"/>
      <c r="FY43" s="404"/>
      <c r="FZ43" s="404"/>
      <c r="GA43" s="404"/>
      <c r="GB43" s="404"/>
      <c r="GC43" s="404"/>
      <c r="GD43" s="404"/>
      <c r="GE43" s="404"/>
      <c r="GF43" s="404"/>
      <c r="GG43" s="404"/>
      <c r="GH43" s="404"/>
      <c r="GI43" s="404"/>
      <c r="GJ43" s="404"/>
      <c r="GK43" s="404"/>
      <c r="GL43" s="404"/>
      <c r="GM43" s="404"/>
      <c r="GN43" s="404"/>
      <c r="GO43" s="404"/>
      <c r="GP43" s="404"/>
      <c r="GQ43" s="404"/>
      <c r="GR43" s="404"/>
      <c r="GS43" s="404"/>
      <c r="GT43" s="404"/>
      <c r="GU43" s="404"/>
      <c r="GV43" s="404"/>
      <c r="GW43" s="404"/>
      <c r="GX43" s="404"/>
      <c r="GY43" s="404"/>
      <c r="GZ43" s="404"/>
      <c r="HA43" s="404"/>
      <c r="HB43" s="404"/>
      <c r="HC43" s="404"/>
      <c r="HD43" s="404"/>
      <c r="HE43" s="404"/>
      <c r="HF43" s="404"/>
      <c r="HG43" s="404"/>
      <c r="HH43" s="404"/>
      <c r="HI43" s="404"/>
      <c r="HJ43" s="404"/>
      <c r="HK43" s="404"/>
      <c r="HL43" s="404"/>
      <c r="HM43" s="404"/>
      <c r="HN43" s="404"/>
      <c r="HO43" s="404"/>
      <c r="HP43" s="404"/>
      <c r="HQ43" s="404"/>
      <c r="HR43" s="404"/>
      <c r="HS43" s="404"/>
      <c r="HT43" s="404"/>
      <c r="HU43" s="404"/>
      <c r="HV43" s="404"/>
      <c r="HW43" s="404"/>
      <c r="HX43" s="404"/>
      <c r="HY43" s="404"/>
      <c r="HZ43" s="404"/>
      <c r="IA43" s="404"/>
    </row>
    <row r="44" spans="1:235" s="309" customFormat="1" ht="15" customHeight="1" x14ac:dyDescent="0.3">
      <c r="A44" s="231">
        <v>2.08</v>
      </c>
      <c r="B44" s="288"/>
      <c r="C44" s="289" t="str">
        <f>VLOOKUP(BD.PD[[#This Row],[Pos]],PPto[],3,FALSE)</f>
        <v>2.08 Instalaciones Mecánicas</v>
      </c>
      <c r="D44" s="231" t="s">
        <v>22</v>
      </c>
      <c r="E44" s="291" t="str">
        <f>IF(BD.PD[[#This Row],[.]]="*",VLOOKUP(BD.PD[[#This Row],[Pos]],Presupuesto!A:H,7,FALSE),"")</f>
        <v/>
      </c>
      <c r="F44" s="500" t="s">
        <v>592</v>
      </c>
      <c r="G44" s="292">
        <v>4513080234</v>
      </c>
      <c r="H44" s="358" t="s">
        <v>1325</v>
      </c>
      <c r="I44" s="359">
        <v>1</v>
      </c>
      <c r="J44" s="231" t="s">
        <v>581</v>
      </c>
      <c r="K44" s="294">
        <f>IF(BD.PD[[#This Row],[Mon]]="DOP",1,HLOOKUP(BD.PD[[#This Row],[Mon]],$J$1:$K$2,2,FALSE))</f>
        <v>1</v>
      </c>
      <c r="L44" s="360">
        <v>636102</v>
      </c>
      <c r="M44" s="296">
        <f>BD.PD[[#This Row],[Cant.]]*BD.PD[[#This Row],[ Tasa ]]*BD.PD[[#This Row],[ Precio Und.]]</f>
        <v>636102</v>
      </c>
      <c r="N44" s="297">
        <v>0</v>
      </c>
      <c r="O44" s="296">
        <f>IF(BD.PD[[#This Row],[Liquid. '[%']]]&lt;&gt;0,(BD.PD[[#This Row],[Valor Neto '[DOP']]]*BD.PD[[#This Row],[Liquid. '[%']]])+BD.PD[[#This Row],[Valor Neto '[DOP']]],BD.PD[[#This Row],[Valor Neto '[DOP']]])</f>
        <v>636102</v>
      </c>
      <c r="P44" s="298">
        <f>BD.PD[[#This Row],[Ppto. Orden Interna '[DOP']]]/HLOOKUP("USD",$J$1:$K$2,2,FALSE)</f>
        <v>10096.857142857143</v>
      </c>
      <c r="Q44" s="299"/>
      <c r="R44" s="307" t="s">
        <v>590</v>
      </c>
      <c r="S44" s="300">
        <v>21</v>
      </c>
      <c r="T44" s="301">
        <v>0.5</v>
      </c>
      <c r="U44" s="308">
        <f>BD.PD[[#This Row],[Av.P1 '[%']]]*BD.PD[[#This Row],[Ppto. Orden Interna '[DOP']]]</f>
        <v>318051</v>
      </c>
      <c r="V44" s="303">
        <v>23</v>
      </c>
      <c r="W44" s="304">
        <v>0.5</v>
      </c>
      <c r="X44" s="308">
        <f>BD.PD[[#This Row],[Av.P2 '[%']]]*BD.PD[[#This Row],[Ppto. Orden Interna '[DOP']]]</f>
        <v>318051</v>
      </c>
      <c r="Y44" s="303"/>
      <c r="Z44" s="304"/>
      <c r="AA44" s="308">
        <f>BD.PD[[#This Row],[Av.P3 '[%']]]*BD.PD[[#This Row],[Ppto. Orden Interna '[DOP']]]</f>
        <v>0</v>
      </c>
      <c r="AB44" s="303"/>
      <c r="AC44" s="304"/>
      <c r="AD44" s="308">
        <f>BD.PD[[#This Row],[Av.P4 '[%']]]*BD.PD[[#This Row],[Ppto. Orden Interna '[DOP']]]</f>
        <v>0</v>
      </c>
      <c r="AE44" s="303"/>
      <c r="AF44" s="304"/>
      <c r="AG44" s="308">
        <f>BD.PD[[#This Row],[Av.P5 '[%']]]*BD.PD[[#This Row],[Ppto. Orden Interna '[DOP']]]</f>
        <v>0</v>
      </c>
      <c r="AH44" s="305">
        <f>BD.PD[[#This Row],[Pago 5]]+BD.PD[[#This Row],[Pago 4]]+BD.PD[[#This Row],[Pago 3]]+BD.PD[[#This Row],[Pago 2]]+BD.PD[[#This Row],[Pago 1]]</f>
        <v>636102</v>
      </c>
      <c r="AI44" s="404"/>
      <c r="AJ44" s="404"/>
      <c r="AK44" s="404"/>
      <c r="AL44" s="404"/>
      <c r="AM44" s="404"/>
      <c r="AN44" s="404"/>
      <c r="AO44" s="404"/>
      <c r="AP44" s="404"/>
      <c r="AQ44" s="404"/>
      <c r="AR44" s="404"/>
      <c r="AS44" s="404"/>
      <c r="AT44" s="404"/>
      <c r="AU44" s="404"/>
      <c r="AV44" s="404"/>
      <c r="AW44" s="404"/>
      <c r="AX44" s="404"/>
      <c r="AY44" s="404"/>
      <c r="AZ44" s="404"/>
      <c r="BA44" s="404"/>
      <c r="BB44" s="404"/>
      <c r="BC44" s="404"/>
      <c r="BD44" s="404"/>
      <c r="BE44" s="404"/>
      <c r="BF44" s="404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4"/>
      <c r="DD44" s="404"/>
      <c r="DE44" s="404"/>
      <c r="DF44" s="404"/>
      <c r="DG44" s="404"/>
      <c r="DH44" s="404"/>
      <c r="DI44" s="404"/>
      <c r="DJ44" s="404"/>
      <c r="DK44" s="404"/>
      <c r="DL44" s="404"/>
      <c r="DM44" s="404"/>
      <c r="DN44" s="404"/>
      <c r="DO44" s="404"/>
      <c r="DP44" s="404"/>
      <c r="DQ44" s="404"/>
      <c r="DR44" s="404"/>
      <c r="DS44" s="404"/>
      <c r="DT44" s="404"/>
      <c r="DU44" s="404"/>
      <c r="DV44" s="404"/>
      <c r="DW44" s="404"/>
      <c r="DX44" s="404"/>
      <c r="DY44" s="404"/>
      <c r="DZ44" s="404"/>
      <c r="EA44" s="404"/>
      <c r="EB44" s="404"/>
      <c r="EC44" s="404"/>
      <c r="ED44" s="404"/>
      <c r="EE44" s="404"/>
      <c r="EF44" s="404"/>
      <c r="EG44" s="404"/>
      <c r="EH44" s="404"/>
      <c r="EI44" s="404"/>
      <c r="EJ44" s="404"/>
      <c r="EK44" s="404"/>
      <c r="EL44" s="404"/>
      <c r="EM44" s="404"/>
      <c r="EN44" s="404"/>
      <c r="EO44" s="404"/>
      <c r="EP44" s="404"/>
      <c r="EQ44" s="404"/>
      <c r="ER44" s="404"/>
      <c r="ES44" s="404"/>
      <c r="ET44" s="404"/>
      <c r="EU44" s="404"/>
      <c r="EV44" s="404"/>
      <c r="EW44" s="404"/>
      <c r="EX44" s="404"/>
      <c r="EY44" s="404"/>
      <c r="EZ44" s="404"/>
      <c r="FA44" s="404"/>
      <c r="FB44" s="404"/>
      <c r="FC44" s="404"/>
      <c r="FD44" s="404"/>
      <c r="FE44" s="404"/>
      <c r="FF44" s="404"/>
      <c r="FG44" s="404"/>
      <c r="FH44" s="404"/>
      <c r="FI44" s="404"/>
      <c r="FJ44" s="404"/>
      <c r="FK44" s="404"/>
      <c r="FL44" s="404"/>
      <c r="FM44" s="404"/>
      <c r="FN44" s="404"/>
      <c r="FO44" s="404"/>
      <c r="FP44" s="404"/>
      <c r="FQ44" s="404"/>
      <c r="FR44" s="404"/>
      <c r="FS44" s="404"/>
      <c r="FT44" s="404"/>
      <c r="FU44" s="404"/>
      <c r="FV44" s="404"/>
      <c r="FW44" s="404"/>
      <c r="FX44" s="404"/>
      <c r="FY44" s="404"/>
      <c r="FZ44" s="404"/>
      <c r="GA44" s="404"/>
      <c r="GB44" s="404"/>
      <c r="GC44" s="404"/>
      <c r="GD44" s="404"/>
      <c r="GE44" s="404"/>
      <c r="GF44" s="404"/>
      <c r="GG44" s="404"/>
      <c r="GH44" s="404"/>
      <c r="GI44" s="404"/>
      <c r="GJ44" s="404"/>
      <c r="GK44" s="404"/>
      <c r="GL44" s="404"/>
      <c r="GM44" s="404"/>
      <c r="GN44" s="404"/>
      <c r="GO44" s="404"/>
      <c r="GP44" s="404"/>
      <c r="GQ44" s="404"/>
      <c r="GR44" s="404"/>
      <c r="GS44" s="404"/>
      <c r="GT44" s="404"/>
      <c r="GU44" s="404"/>
      <c r="GV44" s="404"/>
      <c r="GW44" s="404"/>
      <c r="GX44" s="404"/>
      <c r="GY44" s="404"/>
      <c r="GZ44" s="404"/>
      <c r="HA44" s="404"/>
      <c r="HB44" s="404"/>
      <c r="HC44" s="404"/>
      <c r="HD44" s="404"/>
      <c r="HE44" s="404"/>
      <c r="HF44" s="404"/>
      <c r="HG44" s="404"/>
      <c r="HH44" s="404"/>
      <c r="HI44" s="404"/>
      <c r="HJ44" s="404"/>
      <c r="HK44" s="404"/>
      <c r="HL44" s="404"/>
      <c r="HM44" s="404"/>
      <c r="HN44" s="404"/>
      <c r="HO44" s="404"/>
      <c r="HP44" s="404"/>
      <c r="HQ44" s="404"/>
      <c r="HR44" s="404"/>
      <c r="HS44" s="404"/>
      <c r="HT44" s="404"/>
      <c r="HU44" s="404"/>
      <c r="HV44" s="404"/>
      <c r="HW44" s="404"/>
      <c r="HX44" s="404"/>
      <c r="HY44" s="404"/>
      <c r="HZ44" s="404"/>
      <c r="IA44" s="404"/>
    </row>
    <row r="45" spans="1:235" s="309" customFormat="1" ht="15" customHeight="1" x14ac:dyDescent="0.3">
      <c r="A45" s="231">
        <v>2.09</v>
      </c>
      <c r="B45" s="288" t="s">
        <v>574</v>
      </c>
      <c r="C45" s="289" t="str">
        <f>VLOOKUP(BD.PD[[#This Row],[Pos]],PPto[],3,FALSE)</f>
        <v>2.09 Rejillas y Sumideros</v>
      </c>
      <c r="D45" s="290" t="s">
        <v>574</v>
      </c>
      <c r="E45" s="291">
        <f>IF(BD.PD[[#This Row],[.]]="*",VLOOKUP(BD.PD[[#This Row],[Pos]],Presupuesto!A:H,7,FALSE),"")</f>
        <v>11673.35</v>
      </c>
      <c r="F45" s="292"/>
      <c r="G45" s="292" t="s">
        <v>575</v>
      </c>
      <c r="H45" s="292"/>
      <c r="I45" s="293">
        <v>1</v>
      </c>
      <c r="J45" s="290" t="s">
        <v>456</v>
      </c>
      <c r="K45" s="294">
        <f>IF(BD.PD[[#This Row],[Mon]]="DOP",1,HLOOKUP(BD.PD[[#This Row],[Mon]],$J$1:$K$2,2,FALSE))</f>
        <v>63</v>
      </c>
      <c r="L45" s="295">
        <v>0</v>
      </c>
      <c r="M45" s="296">
        <f>BD.PD[[#This Row],[Cant.]]*BD.PD[[#This Row],[ Tasa ]]*BD.PD[[#This Row],[ Precio Und.]]</f>
        <v>0</v>
      </c>
      <c r="N45" s="297">
        <v>0</v>
      </c>
      <c r="O45" s="296">
        <f>IF(BD.PD[[#This Row],[Liquid. '[%']]]&lt;&gt;0,(BD.PD[[#This Row],[Valor Neto '[DOP']]]*BD.PD[[#This Row],[Liquid. '[%']]])+BD.PD[[#This Row],[Valor Neto '[DOP']]],BD.PD[[#This Row],[Valor Neto '[DOP']]])</f>
        <v>0</v>
      </c>
      <c r="P45" s="298">
        <f>BD.PD[[#This Row],[Ppto. Orden Interna '[DOP']]]/HLOOKUP("USD",$J$1:$K$2,2,FALSE)</f>
        <v>0</v>
      </c>
      <c r="Q45" s="299"/>
      <c r="R45" s="307"/>
      <c r="S45" s="300"/>
      <c r="T45" s="301"/>
      <c r="U45" s="308">
        <f>BD.PD[[#This Row],[Av.P1 '[%']]]*BD.PD[[#This Row],[Ppto. Orden Interna '[DOP']]]</f>
        <v>0</v>
      </c>
      <c r="V45" s="303"/>
      <c r="W45" s="304"/>
      <c r="X45" s="308">
        <f>BD.PD[[#This Row],[Av.P2 '[%']]]*BD.PD[[#This Row],[Ppto. Orden Interna '[DOP']]]</f>
        <v>0</v>
      </c>
      <c r="Y45" s="303"/>
      <c r="Z45" s="304"/>
      <c r="AA45" s="308">
        <f>BD.PD[[#This Row],[Av.P3 '[%']]]*BD.PD[[#This Row],[Ppto. Orden Interna '[DOP']]]</f>
        <v>0</v>
      </c>
      <c r="AB45" s="303"/>
      <c r="AC45" s="304"/>
      <c r="AD45" s="308">
        <f>BD.PD[[#This Row],[Av.P4 '[%']]]*BD.PD[[#This Row],[Ppto. Orden Interna '[DOP']]]</f>
        <v>0</v>
      </c>
      <c r="AE45" s="303"/>
      <c r="AF45" s="304"/>
      <c r="AG45" s="308">
        <f>BD.PD[[#This Row],[Av.P5 '[%']]]*BD.PD[[#This Row],[Ppto. Orden Interna '[DOP']]]</f>
        <v>0</v>
      </c>
      <c r="AH45" s="305">
        <f>BD.PD[[#This Row],[Pago 5]]+BD.PD[[#This Row],[Pago 4]]+BD.PD[[#This Row],[Pago 3]]+BD.PD[[#This Row],[Pago 2]]+BD.PD[[#This Row],[Pago 1]]</f>
        <v>0</v>
      </c>
      <c r="AI45" s="404"/>
      <c r="AJ45" s="404"/>
      <c r="AK45" s="404"/>
      <c r="AL45" s="404"/>
      <c r="AM45" s="404"/>
      <c r="AN45" s="404"/>
      <c r="AO45" s="404"/>
      <c r="AP45" s="404"/>
      <c r="AQ45" s="404"/>
      <c r="AR45" s="404"/>
      <c r="AS45" s="404"/>
      <c r="AT45" s="404"/>
      <c r="AU45" s="404"/>
      <c r="AV45" s="404"/>
      <c r="AW45" s="404"/>
      <c r="AX45" s="404"/>
      <c r="AY45" s="404"/>
      <c r="AZ45" s="404"/>
      <c r="BA45" s="404"/>
      <c r="BB45" s="404"/>
      <c r="BC45" s="404"/>
      <c r="BD45" s="404"/>
      <c r="BE45" s="404"/>
      <c r="BF45" s="404"/>
      <c r="BG45" s="404"/>
      <c r="BH45" s="404"/>
      <c r="BI45" s="404"/>
      <c r="BJ45" s="404"/>
      <c r="BK45" s="404"/>
      <c r="BL45" s="404"/>
      <c r="BM45" s="404"/>
      <c r="BN45" s="404"/>
      <c r="BO45" s="404"/>
      <c r="BP45" s="404"/>
      <c r="BQ45" s="404"/>
      <c r="BR45" s="404"/>
      <c r="BS45" s="404"/>
      <c r="BT45" s="404"/>
      <c r="BU45" s="404"/>
      <c r="BV45" s="404"/>
      <c r="BW45" s="404"/>
      <c r="BX45" s="404"/>
      <c r="BY45" s="404"/>
      <c r="BZ45" s="404"/>
      <c r="CA45" s="404"/>
      <c r="CB45" s="404"/>
      <c r="CC45" s="404"/>
      <c r="CD45" s="404"/>
      <c r="CE45" s="404"/>
      <c r="CF45" s="404"/>
      <c r="CG45" s="404"/>
      <c r="CH45" s="404"/>
      <c r="CI45" s="404"/>
      <c r="CJ45" s="404"/>
      <c r="CK45" s="404"/>
      <c r="CL45" s="404"/>
      <c r="CM45" s="404"/>
      <c r="CN45" s="404"/>
      <c r="CO45" s="404"/>
      <c r="CP45" s="404"/>
      <c r="CQ45" s="404"/>
      <c r="CR45" s="404"/>
      <c r="CS45" s="404"/>
      <c r="CT45" s="404"/>
      <c r="CU45" s="404"/>
      <c r="CV45" s="404"/>
      <c r="CW45" s="404"/>
      <c r="CX45" s="404"/>
      <c r="CY45" s="404"/>
      <c r="CZ45" s="404"/>
      <c r="DA45" s="404"/>
      <c r="DB45" s="404"/>
      <c r="DC45" s="404"/>
      <c r="DD45" s="404"/>
      <c r="DE45" s="404"/>
      <c r="DF45" s="404"/>
      <c r="DG45" s="404"/>
      <c r="DH45" s="404"/>
      <c r="DI45" s="404"/>
      <c r="DJ45" s="404"/>
      <c r="DK45" s="404"/>
      <c r="DL45" s="404"/>
      <c r="DM45" s="404"/>
      <c r="DN45" s="404"/>
      <c r="DO45" s="404"/>
      <c r="DP45" s="404"/>
      <c r="DQ45" s="404"/>
      <c r="DR45" s="404"/>
      <c r="DS45" s="404"/>
      <c r="DT45" s="404"/>
      <c r="DU45" s="404"/>
      <c r="DV45" s="404"/>
      <c r="DW45" s="404"/>
      <c r="DX45" s="404"/>
      <c r="DY45" s="404"/>
      <c r="DZ45" s="404"/>
      <c r="EA45" s="404"/>
      <c r="EB45" s="404"/>
      <c r="EC45" s="404"/>
      <c r="ED45" s="404"/>
      <c r="EE45" s="404"/>
      <c r="EF45" s="404"/>
      <c r="EG45" s="404"/>
      <c r="EH45" s="404"/>
      <c r="EI45" s="404"/>
      <c r="EJ45" s="404"/>
      <c r="EK45" s="404"/>
      <c r="EL45" s="404"/>
      <c r="EM45" s="404"/>
      <c r="EN45" s="404"/>
      <c r="EO45" s="404"/>
      <c r="EP45" s="404"/>
      <c r="EQ45" s="404"/>
      <c r="ER45" s="404"/>
      <c r="ES45" s="404"/>
      <c r="ET45" s="404"/>
      <c r="EU45" s="404"/>
      <c r="EV45" s="404"/>
      <c r="EW45" s="404"/>
      <c r="EX45" s="404"/>
      <c r="EY45" s="404"/>
      <c r="EZ45" s="404"/>
      <c r="FA45" s="404"/>
      <c r="FB45" s="404"/>
      <c r="FC45" s="404"/>
      <c r="FD45" s="404"/>
      <c r="FE45" s="404"/>
      <c r="FF45" s="404"/>
      <c r="FG45" s="404"/>
      <c r="FH45" s="404"/>
      <c r="FI45" s="404"/>
      <c r="FJ45" s="404"/>
      <c r="FK45" s="404"/>
      <c r="FL45" s="404"/>
      <c r="FM45" s="404"/>
      <c r="FN45" s="404"/>
      <c r="FO45" s="404"/>
      <c r="FP45" s="404"/>
      <c r="FQ45" s="404"/>
      <c r="FR45" s="404"/>
      <c r="FS45" s="404"/>
      <c r="FT45" s="404"/>
      <c r="FU45" s="404"/>
      <c r="FV45" s="404"/>
      <c r="FW45" s="404"/>
      <c r="FX45" s="404"/>
      <c r="FY45" s="404"/>
      <c r="FZ45" s="404"/>
      <c r="GA45" s="404"/>
      <c r="GB45" s="404"/>
      <c r="GC45" s="404"/>
      <c r="GD45" s="404"/>
      <c r="GE45" s="404"/>
      <c r="GF45" s="404"/>
      <c r="GG45" s="404"/>
      <c r="GH45" s="404"/>
      <c r="GI45" s="404"/>
      <c r="GJ45" s="404"/>
      <c r="GK45" s="404"/>
      <c r="GL45" s="404"/>
      <c r="GM45" s="404"/>
      <c r="GN45" s="404"/>
      <c r="GO45" s="404"/>
      <c r="GP45" s="404"/>
      <c r="GQ45" s="404"/>
      <c r="GR45" s="404"/>
      <c r="GS45" s="404"/>
      <c r="GT45" s="404"/>
      <c r="GU45" s="404"/>
      <c r="GV45" s="404"/>
      <c r="GW45" s="404"/>
      <c r="GX45" s="404"/>
      <c r="GY45" s="404"/>
      <c r="GZ45" s="404"/>
      <c r="HA45" s="404"/>
      <c r="HB45" s="404"/>
      <c r="HC45" s="404"/>
      <c r="HD45" s="404"/>
      <c r="HE45" s="404"/>
      <c r="HF45" s="404"/>
      <c r="HG45" s="404"/>
      <c r="HH45" s="404"/>
      <c r="HI45" s="404"/>
      <c r="HJ45" s="404"/>
      <c r="HK45" s="404"/>
      <c r="HL45" s="404"/>
      <c r="HM45" s="404"/>
      <c r="HN45" s="404"/>
      <c r="HO45" s="404"/>
      <c r="HP45" s="404"/>
      <c r="HQ45" s="404"/>
      <c r="HR45" s="404"/>
      <c r="HS45" s="404"/>
      <c r="HT45" s="404"/>
      <c r="HU45" s="404"/>
      <c r="HV45" s="404"/>
      <c r="HW45" s="404"/>
      <c r="HX45" s="404"/>
      <c r="HY45" s="404"/>
      <c r="HZ45" s="404"/>
      <c r="IA45" s="404"/>
    </row>
    <row r="46" spans="1:235" s="309" customFormat="1" ht="15" customHeight="1" x14ac:dyDescent="0.3">
      <c r="A46" s="231">
        <v>2.09</v>
      </c>
      <c r="B46" s="288"/>
      <c r="C46" s="289" t="str">
        <f>VLOOKUP(BD.PD[[#This Row],[Pos]],PPto[],3,FALSE)</f>
        <v>2.09 Rejillas y Sumideros</v>
      </c>
      <c r="D46" s="231" t="s">
        <v>22</v>
      </c>
      <c r="E46" s="291" t="str">
        <f>IF(BD.PD[[#This Row],[.]]="*",VLOOKUP(BD.PD[[#This Row],[Pos]],Presupuesto!A:H,7,FALSE),"")</f>
        <v/>
      </c>
      <c r="F46" s="292" t="s">
        <v>141</v>
      </c>
      <c r="G46" s="292">
        <v>4600072801</v>
      </c>
      <c r="H46" s="292" t="s">
        <v>593</v>
      </c>
      <c r="I46" s="359">
        <v>4</v>
      </c>
      <c r="J46" s="231" t="s">
        <v>456</v>
      </c>
      <c r="K46" s="294">
        <f>IF(BD.PD[[#This Row],[Mon]]="DOP",1,HLOOKUP(BD.PD[[#This Row],[Mon]],$J$1:$K$2,2,FALSE))</f>
        <v>63</v>
      </c>
      <c r="L46" s="360">
        <v>321.95</v>
      </c>
      <c r="M46" s="296">
        <f>BD.PD[[#This Row],[Cant.]]*BD.PD[[#This Row],[ Tasa ]]*BD.PD[[#This Row],[ Precio Und.]]</f>
        <v>81131.399999999994</v>
      </c>
      <c r="N46" s="361">
        <v>0</v>
      </c>
      <c r="O46" s="296">
        <f>IF(BD.PD[[#This Row],[Liquid. '[%']]]&lt;&gt;0,(BD.PD[[#This Row],[Valor Neto '[DOP']]]*BD.PD[[#This Row],[Liquid. '[%']]])+BD.PD[[#This Row],[Valor Neto '[DOP']]],BD.PD[[#This Row],[Valor Neto '[DOP']]])</f>
        <v>81131.399999999994</v>
      </c>
      <c r="P46" s="306">
        <f>BD.PD[[#This Row],[Ppto. Orden Interna '[DOP']]]/HLOOKUP("USD",$J$1:$K$2,2,FALSE)</f>
        <v>1287.8</v>
      </c>
      <c r="Q46" s="299" t="s">
        <v>594</v>
      </c>
      <c r="R46" s="307" t="s">
        <v>595</v>
      </c>
      <c r="S46" s="300">
        <v>3</v>
      </c>
      <c r="T46" s="301">
        <v>0.4</v>
      </c>
      <c r="U46" s="308">
        <f>BD.PD[[#This Row],[Av.P1 '[%']]]*BD.PD[[#This Row],[Ppto. Orden Interna '[DOP']]]</f>
        <v>32452.559999999998</v>
      </c>
      <c r="V46" s="303">
        <v>8</v>
      </c>
      <c r="W46" s="304">
        <v>0.6</v>
      </c>
      <c r="X46" s="308">
        <f>BD.PD[[#This Row],[Av.P2 '[%']]]*BD.PD[[#This Row],[Ppto. Orden Interna '[DOP']]]</f>
        <v>48678.84</v>
      </c>
      <c r="Y46" s="303"/>
      <c r="Z46" s="304"/>
      <c r="AA46" s="308">
        <f>BD.PD[[#This Row],[Av.P3 '[%']]]*BD.PD[[#This Row],[Ppto. Orden Interna '[DOP']]]</f>
        <v>0</v>
      </c>
      <c r="AB46" s="303"/>
      <c r="AC46" s="304"/>
      <c r="AD46" s="308">
        <f>BD.PD[[#This Row],[Av.P4 '[%']]]*BD.PD[[#This Row],[Ppto. Orden Interna '[DOP']]]</f>
        <v>0</v>
      </c>
      <c r="AE46" s="303"/>
      <c r="AF46" s="304"/>
      <c r="AG46" s="308">
        <f>BD.PD[[#This Row],[Av.P5 '[%']]]*BD.PD[[#This Row],[Ppto. Orden Interna '[DOP']]]</f>
        <v>0</v>
      </c>
      <c r="AH46" s="305">
        <f>BD.PD[[#This Row],[Pago 5]]+BD.PD[[#This Row],[Pago 4]]+BD.PD[[#This Row],[Pago 3]]+BD.PD[[#This Row],[Pago 2]]+BD.PD[[#This Row],[Pago 1]]</f>
        <v>81131.399999999994</v>
      </c>
      <c r="AI46" s="404"/>
      <c r="AJ46" s="404"/>
      <c r="AK46" s="404"/>
      <c r="AL46" s="404"/>
      <c r="AM46" s="404"/>
      <c r="AN46" s="404"/>
      <c r="AO46" s="404"/>
      <c r="AP46" s="404"/>
      <c r="AQ46" s="404"/>
      <c r="AR46" s="404"/>
      <c r="AS46" s="404"/>
      <c r="AT46" s="404"/>
      <c r="AU46" s="404"/>
      <c r="AV46" s="404"/>
      <c r="AW46" s="404"/>
      <c r="AX46" s="404"/>
      <c r="AY46" s="404"/>
      <c r="AZ46" s="404"/>
      <c r="BA46" s="404"/>
      <c r="BB46" s="404"/>
      <c r="BC46" s="404"/>
      <c r="BD46" s="404"/>
      <c r="BE46" s="404"/>
      <c r="BF46" s="404"/>
      <c r="BG46" s="404"/>
      <c r="BH46" s="404"/>
      <c r="BI46" s="404"/>
      <c r="BJ46" s="404"/>
      <c r="BK46" s="404"/>
      <c r="BL46" s="404"/>
      <c r="BM46" s="404"/>
      <c r="BN46" s="404"/>
      <c r="BO46" s="404"/>
      <c r="BP46" s="404"/>
      <c r="BQ46" s="404"/>
      <c r="BR46" s="404"/>
      <c r="BS46" s="404"/>
      <c r="BT46" s="404"/>
      <c r="BU46" s="404"/>
      <c r="BV46" s="404"/>
      <c r="BW46" s="404"/>
      <c r="BX46" s="404"/>
      <c r="BY46" s="404"/>
      <c r="BZ46" s="404"/>
      <c r="CA46" s="404"/>
      <c r="CB46" s="404"/>
      <c r="CC46" s="404"/>
      <c r="CD46" s="404"/>
      <c r="CE46" s="404"/>
      <c r="CF46" s="404"/>
      <c r="CG46" s="404"/>
      <c r="CH46" s="404"/>
      <c r="CI46" s="404"/>
      <c r="CJ46" s="404"/>
      <c r="CK46" s="404"/>
      <c r="CL46" s="404"/>
      <c r="CM46" s="404"/>
      <c r="CN46" s="404"/>
      <c r="CO46" s="404"/>
      <c r="CP46" s="404"/>
      <c r="CQ46" s="404"/>
      <c r="CR46" s="404"/>
      <c r="CS46" s="404"/>
      <c r="CT46" s="404"/>
      <c r="CU46" s="404"/>
      <c r="CV46" s="404"/>
      <c r="CW46" s="404"/>
      <c r="CX46" s="404"/>
      <c r="CY46" s="404"/>
      <c r="CZ46" s="404"/>
      <c r="DA46" s="404"/>
      <c r="DB46" s="404"/>
      <c r="DC46" s="404"/>
      <c r="DD46" s="404"/>
      <c r="DE46" s="404"/>
      <c r="DF46" s="404"/>
      <c r="DG46" s="404"/>
      <c r="DH46" s="404"/>
      <c r="DI46" s="404"/>
      <c r="DJ46" s="404"/>
      <c r="DK46" s="404"/>
      <c r="DL46" s="404"/>
      <c r="DM46" s="404"/>
      <c r="DN46" s="404"/>
      <c r="DO46" s="404"/>
      <c r="DP46" s="404"/>
      <c r="DQ46" s="404"/>
      <c r="DR46" s="404"/>
      <c r="DS46" s="404"/>
      <c r="DT46" s="404"/>
      <c r="DU46" s="404"/>
      <c r="DV46" s="404"/>
      <c r="DW46" s="404"/>
      <c r="DX46" s="404"/>
      <c r="DY46" s="404"/>
      <c r="DZ46" s="404"/>
      <c r="EA46" s="404"/>
      <c r="EB46" s="404"/>
      <c r="EC46" s="404"/>
      <c r="ED46" s="404"/>
      <c r="EE46" s="404"/>
      <c r="EF46" s="404"/>
      <c r="EG46" s="404"/>
      <c r="EH46" s="404"/>
      <c r="EI46" s="404"/>
      <c r="EJ46" s="404"/>
      <c r="EK46" s="404"/>
      <c r="EL46" s="404"/>
      <c r="EM46" s="404"/>
      <c r="EN46" s="404"/>
      <c r="EO46" s="404"/>
      <c r="EP46" s="404"/>
      <c r="EQ46" s="404"/>
      <c r="ER46" s="404"/>
      <c r="ES46" s="404"/>
      <c r="ET46" s="404"/>
      <c r="EU46" s="404"/>
      <c r="EV46" s="404"/>
      <c r="EW46" s="404"/>
      <c r="EX46" s="404"/>
      <c r="EY46" s="404"/>
      <c r="EZ46" s="404"/>
      <c r="FA46" s="404"/>
      <c r="FB46" s="404"/>
      <c r="FC46" s="404"/>
      <c r="FD46" s="404"/>
      <c r="FE46" s="404"/>
      <c r="FF46" s="404"/>
      <c r="FG46" s="404"/>
      <c r="FH46" s="404"/>
      <c r="FI46" s="404"/>
      <c r="FJ46" s="404"/>
      <c r="FK46" s="404"/>
      <c r="FL46" s="404"/>
      <c r="FM46" s="404"/>
      <c r="FN46" s="404"/>
      <c r="FO46" s="404"/>
      <c r="FP46" s="404"/>
      <c r="FQ46" s="404"/>
      <c r="FR46" s="404"/>
      <c r="FS46" s="404"/>
      <c r="FT46" s="404"/>
      <c r="FU46" s="404"/>
      <c r="FV46" s="404"/>
      <c r="FW46" s="404"/>
      <c r="FX46" s="404"/>
      <c r="FY46" s="404"/>
      <c r="FZ46" s="404"/>
      <c r="GA46" s="404"/>
      <c r="GB46" s="404"/>
      <c r="GC46" s="404"/>
      <c r="GD46" s="404"/>
      <c r="GE46" s="404"/>
      <c r="GF46" s="404"/>
      <c r="GG46" s="404"/>
      <c r="GH46" s="404"/>
      <c r="GI46" s="404"/>
      <c r="GJ46" s="404"/>
      <c r="GK46" s="404"/>
      <c r="GL46" s="404"/>
      <c r="GM46" s="404"/>
      <c r="GN46" s="404"/>
      <c r="GO46" s="404"/>
      <c r="GP46" s="404"/>
      <c r="GQ46" s="404"/>
      <c r="GR46" s="404"/>
      <c r="GS46" s="404"/>
      <c r="GT46" s="404"/>
      <c r="GU46" s="404"/>
      <c r="GV46" s="404"/>
      <c r="GW46" s="404"/>
      <c r="GX46" s="404"/>
      <c r="GY46" s="404"/>
      <c r="GZ46" s="404"/>
      <c r="HA46" s="404"/>
      <c r="HB46" s="404"/>
      <c r="HC46" s="404"/>
      <c r="HD46" s="404"/>
      <c r="HE46" s="404"/>
      <c r="HF46" s="404"/>
      <c r="HG46" s="404"/>
      <c r="HH46" s="404"/>
      <c r="HI46" s="404"/>
      <c r="HJ46" s="404"/>
      <c r="HK46" s="404"/>
      <c r="HL46" s="404"/>
      <c r="HM46" s="404"/>
      <c r="HN46" s="404"/>
      <c r="HO46" s="404"/>
      <c r="HP46" s="404"/>
      <c r="HQ46" s="404"/>
      <c r="HR46" s="404"/>
      <c r="HS46" s="404"/>
      <c r="HT46" s="404"/>
      <c r="HU46" s="404"/>
      <c r="HV46" s="404"/>
      <c r="HW46" s="404"/>
      <c r="HX46" s="404"/>
      <c r="HY46" s="404"/>
      <c r="HZ46" s="404"/>
      <c r="IA46" s="404"/>
    </row>
    <row r="47" spans="1:235" s="309" customFormat="1" ht="15" customHeight="1" x14ac:dyDescent="0.3">
      <c r="A47" s="231">
        <v>2.09</v>
      </c>
      <c r="B47" s="288"/>
      <c r="C47" s="289" t="str">
        <f>VLOOKUP(BD.PD[[#This Row],[Pos]],PPto[],3,FALSE)</f>
        <v>2.09 Rejillas y Sumideros</v>
      </c>
      <c r="D47" s="231" t="s">
        <v>22</v>
      </c>
      <c r="E47" s="291" t="str">
        <f>IF(BD.PD[[#This Row],[.]]="*",VLOOKUP(BD.PD[[#This Row],[Pos]],Presupuesto!A:H,7,FALSE),"")</f>
        <v/>
      </c>
      <c r="F47" s="292" t="s">
        <v>142</v>
      </c>
      <c r="G47" s="292">
        <v>4600072801</v>
      </c>
      <c r="H47" s="292" t="s">
        <v>593</v>
      </c>
      <c r="I47" s="359">
        <v>11</v>
      </c>
      <c r="J47" s="231" t="s">
        <v>456</v>
      </c>
      <c r="K47" s="294">
        <f>IF(BD.PD[[#This Row],[Mon]]="DOP",1,HLOOKUP(BD.PD[[#This Row],[Mon]],$J$1:$K$2,2,FALSE))</f>
        <v>63</v>
      </c>
      <c r="L47" s="360">
        <v>494.55</v>
      </c>
      <c r="M47" s="296">
        <f>BD.PD[[#This Row],[Cant.]]*BD.PD[[#This Row],[ Tasa ]]*BD.PD[[#This Row],[ Precio Und.]]</f>
        <v>342723.15</v>
      </c>
      <c r="N47" s="361">
        <v>0</v>
      </c>
      <c r="O47" s="296">
        <f>IF(BD.PD[[#This Row],[Liquid. '[%']]]&lt;&gt;0,(BD.PD[[#This Row],[Valor Neto '[DOP']]]*BD.PD[[#This Row],[Liquid. '[%']]])+BD.PD[[#This Row],[Valor Neto '[DOP']]],BD.PD[[#This Row],[Valor Neto '[DOP']]])</f>
        <v>342723.15</v>
      </c>
      <c r="P47" s="306">
        <f>BD.PD[[#This Row],[Ppto. Orden Interna '[DOP']]]/HLOOKUP("USD",$J$1:$K$2,2,FALSE)</f>
        <v>5440.05</v>
      </c>
      <c r="Q47" s="299" t="s">
        <v>594</v>
      </c>
      <c r="R47" s="307" t="s">
        <v>595</v>
      </c>
      <c r="S47" s="300">
        <v>3</v>
      </c>
      <c r="T47" s="301">
        <v>0.4</v>
      </c>
      <c r="U47" s="308">
        <f>BD.PD[[#This Row],[Av.P1 '[%']]]*BD.PD[[#This Row],[Ppto. Orden Interna '[DOP']]]</f>
        <v>137089.26</v>
      </c>
      <c r="V47" s="303">
        <v>8</v>
      </c>
      <c r="W47" s="304">
        <v>0.6</v>
      </c>
      <c r="X47" s="308">
        <f>BD.PD[[#This Row],[Av.P2 '[%']]]*BD.PD[[#This Row],[Ppto. Orden Interna '[DOP']]]</f>
        <v>205633.89</v>
      </c>
      <c r="Y47" s="303"/>
      <c r="Z47" s="304"/>
      <c r="AA47" s="308">
        <f>BD.PD[[#This Row],[Av.P3 '[%']]]*BD.PD[[#This Row],[Ppto. Orden Interna '[DOP']]]</f>
        <v>0</v>
      </c>
      <c r="AB47" s="303"/>
      <c r="AC47" s="304"/>
      <c r="AD47" s="308">
        <f>BD.PD[[#This Row],[Av.P4 '[%']]]*BD.PD[[#This Row],[Ppto. Orden Interna '[DOP']]]</f>
        <v>0</v>
      </c>
      <c r="AE47" s="303"/>
      <c r="AF47" s="304"/>
      <c r="AG47" s="308">
        <f>BD.PD[[#This Row],[Av.P5 '[%']]]*BD.PD[[#This Row],[Ppto. Orden Interna '[DOP']]]</f>
        <v>0</v>
      </c>
      <c r="AH47" s="305">
        <f>BD.PD[[#This Row],[Pago 5]]+BD.PD[[#This Row],[Pago 4]]+BD.PD[[#This Row],[Pago 3]]+BD.PD[[#This Row],[Pago 2]]+BD.PD[[#This Row],[Pago 1]]</f>
        <v>342723.15</v>
      </c>
      <c r="AI47" s="404"/>
      <c r="AJ47" s="404"/>
      <c r="AK47" s="404"/>
      <c r="AL47" s="404"/>
      <c r="AM47" s="404"/>
      <c r="AN47" s="404"/>
      <c r="AO47" s="404"/>
      <c r="AP47" s="404"/>
      <c r="AQ47" s="404"/>
      <c r="AR47" s="404"/>
      <c r="AS47" s="404"/>
      <c r="AT47" s="404"/>
      <c r="AU47" s="404"/>
      <c r="AV47" s="404"/>
      <c r="AW47" s="404"/>
      <c r="AX47" s="404"/>
      <c r="AY47" s="404"/>
      <c r="AZ47" s="404"/>
      <c r="BA47" s="404"/>
      <c r="BB47" s="404"/>
      <c r="BC47" s="404"/>
      <c r="BD47" s="404"/>
      <c r="BE47" s="404"/>
      <c r="BF47" s="404"/>
      <c r="BG47" s="404"/>
      <c r="BH47" s="404"/>
      <c r="BI47" s="404"/>
      <c r="BJ47" s="404"/>
      <c r="BK47" s="404"/>
      <c r="BL47" s="404"/>
      <c r="BM47" s="404"/>
      <c r="BN47" s="404"/>
      <c r="BO47" s="404"/>
      <c r="BP47" s="404"/>
      <c r="BQ47" s="404"/>
      <c r="BR47" s="404"/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4"/>
      <c r="DD47" s="404"/>
      <c r="DE47" s="404"/>
      <c r="DF47" s="404"/>
      <c r="DG47" s="404"/>
      <c r="DH47" s="404"/>
      <c r="DI47" s="404"/>
      <c r="DJ47" s="404"/>
      <c r="DK47" s="404"/>
      <c r="DL47" s="404"/>
      <c r="DM47" s="404"/>
      <c r="DN47" s="404"/>
      <c r="DO47" s="404"/>
      <c r="DP47" s="404"/>
      <c r="DQ47" s="404"/>
      <c r="DR47" s="404"/>
      <c r="DS47" s="404"/>
      <c r="DT47" s="404"/>
      <c r="DU47" s="404"/>
      <c r="DV47" s="404"/>
      <c r="DW47" s="404"/>
      <c r="DX47" s="404"/>
      <c r="DY47" s="404"/>
      <c r="DZ47" s="404"/>
      <c r="EA47" s="404"/>
      <c r="EB47" s="404"/>
      <c r="EC47" s="404"/>
      <c r="ED47" s="404"/>
      <c r="EE47" s="404"/>
      <c r="EF47" s="404"/>
      <c r="EG47" s="404"/>
      <c r="EH47" s="404"/>
      <c r="EI47" s="404"/>
      <c r="EJ47" s="404"/>
      <c r="EK47" s="404"/>
      <c r="EL47" s="404"/>
      <c r="EM47" s="404"/>
      <c r="EN47" s="404"/>
      <c r="EO47" s="404"/>
      <c r="EP47" s="404"/>
      <c r="EQ47" s="404"/>
      <c r="ER47" s="404"/>
      <c r="ES47" s="404"/>
      <c r="ET47" s="404"/>
      <c r="EU47" s="404"/>
      <c r="EV47" s="404"/>
      <c r="EW47" s="404"/>
      <c r="EX47" s="404"/>
      <c r="EY47" s="404"/>
      <c r="EZ47" s="404"/>
      <c r="FA47" s="404"/>
      <c r="FB47" s="404"/>
      <c r="FC47" s="404"/>
      <c r="FD47" s="404"/>
      <c r="FE47" s="404"/>
      <c r="FF47" s="404"/>
      <c r="FG47" s="404"/>
      <c r="FH47" s="404"/>
      <c r="FI47" s="404"/>
      <c r="FJ47" s="404"/>
      <c r="FK47" s="404"/>
      <c r="FL47" s="404"/>
      <c r="FM47" s="404"/>
      <c r="FN47" s="404"/>
      <c r="FO47" s="404"/>
      <c r="FP47" s="404"/>
      <c r="FQ47" s="404"/>
      <c r="FR47" s="404"/>
      <c r="FS47" s="404"/>
      <c r="FT47" s="404"/>
      <c r="FU47" s="404"/>
      <c r="FV47" s="404"/>
      <c r="FW47" s="404"/>
      <c r="FX47" s="404"/>
      <c r="FY47" s="404"/>
      <c r="FZ47" s="404"/>
      <c r="GA47" s="404"/>
      <c r="GB47" s="404"/>
      <c r="GC47" s="404"/>
      <c r="GD47" s="404"/>
      <c r="GE47" s="404"/>
      <c r="GF47" s="404"/>
      <c r="GG47" s="404"/>
      <c r="GH47" s="404"/>
      <c r="GI47" s="404"/>
      <c r="GJ47" s="404"/>
      <c r="GK47" s="404"/>
      <c r="GL47" s="404"/>
      <c r="GM47" s="404"/>
      <c r="GN47" s="404"/>
      <c r="GO47" s="404"/>
      <c r="GP47" s="404"/>
      <c r="GQ47" s="404"/>
      <c r="GR47" s="404"/>
      <c r="GS47" s="404"/>
      <c r="GT47" s="404"/>
      <c r="GU47" s="404"/>
      <c r="GV47" s="404"/>
      <c r="GW47" s="404"/>
      <c r="GX47" s="404"/>
      <c r="GY47" s="404"/>
      <c r="GZ47" s="404"/>
      <c r="HA47" s="404"/>
      <c r="HB47" s="404"/>
      <c r="HC47" s="404"/>
      <c r="HD47" s="404"/>
      <c r="HE47" s="404"/>
      <c r="HF47" s="404"/>
      <c r="HG47" s="404"/>
      <c r="HH47" s="404"/>
      <c r="HI47" s="404"/>
      <c r="HJ47" s="404"/>
      <c r="HK47" s="404"/>
      <c r="HL47" s="404"/>
      <c r="HM47" s="404"/>
      <c r="HN47" s="404"/>
      <c r="HO47" s="404"/>
      <c r="HP47" s="404"/>
      <c r="HQ47" s="404"/>
      <c r="HR47" s="404"/>
      <c r="HS47" s="404"/>
      <c r="HT47" s="404"/>
      <c r="HU47" s="404"/>
      <c r="HV47" s="404"/>
      <c r="HW47" s="404"/>
      <c r="HX47" s="404"/>
      <c r="HY47" s="404"/>
      <c r="HZ47" s="404"/>
      <c r="IA47" s="404"/>
    </row>
    <row r="48" spans="1:235" s="309" customFormat="1" ht="15" customHeight="1" x14ac:dyDescent="0.3">
      <c r="A48" s="231">
        <v>2.09</v>
      </c>
      <c r="B48" s="288"/>
      <c r="C48" s="289" t="str">
        <f>VLOOKUP(BD.PD[[#This Row],[Pos]],PPto[],3,FALSE)</f>
        <v>2.09 Rejillas y Sumideros</v>
      </c>
      <c r="D48" s="231" t="s">
        <v>22</v>
      </c>
      <c r="E48" s="291" t="str">
        <f>IF(BD.PD[[#This Row],[.]]="*",VLOOKUP(BD.PD[[#This Row],[Pos]],Presupuesto!A:H,7,FALSE),"")</f>
        <v/>
      </c>
      <c r="F48" s="292" t="s">
        <v>143</v>
      </c>
      <c r="G48" s="292">
        <v>4600072801</v>
      </c>
      <c r="H48" s="292" t="s">
        <v>593</v>
      </c>
      <c r="I48" s="359">
        <v>10</v>
      </c>
      <c r="J48" s="231" t="s">
        <v>456</v>
      </c>
      <c r="K48" s="294">
        <f>IF(BD.PD[[#This Row],[Mon]]="DOP",1,HLOOKUP(BD.PD[[#This Row],[Mon]],$J$1:$K$2,2,FALSE))</f>
        <v>63</v>
      </c>
      <c r="L48" s="360">
        <v>494.55</v>
      </c>
      <c r="M48" s="296">
        <f>BD.PD[[#This Row],[Cant.]]*BD.PD[[#This Row],[ Tasa ]]*BD.PD[[#This Row],[ Precio Und.]]</f>
        <v>311566.5</v>
      </c>
      <c r="N48" s="361">
        <v>0</v>
      </c>
      <c r="O48" s="296">
        <f>IF(BD.PD[[#This Row],[Liquid. '[%']]]&lt;&gt;0,(BD.PD[[#This Row],[Valor Neto '[DOP']]]*BD.PD[[#This Row],[Liquid. '[%']]])+BD.PD[[#This Row],[Valor Neto '[DOP']]],BD.PD[[#This Row],[Valor Neto '[DOP']]])</f>
        <v>311566.5</v>
      </c>
      <c r="P48" s="306">
        <f>BD.PD[[#This Row],[Ppto. Orden Interna '[DOP']]]/HLOOKUP("USD",$J$1:$K$2,2,FALSE)</f>
        <v>4945.5</v>
      </c>
      <c r="Q48" s="299" t="s">
        <v>594</v>
      </c>
      <c r="R48" s="307" t="s">
        <v>595</v>
      </c>
      <c r="S48" s="300">
        <v>3</v>
      </c>
      <c r="T48" s="301">
        <v>0.4</v>
      </c>
      <c r="U48" s="308">
        <f>BD.PD[[#This Row],[Av.P1 '[%']]]*BD.PD[[#This Row],[Ppto. Orden Interna '[DOP']]]</f>
        <v>124626.6</v>
      </c>
      <c r="V48" s="303">
        <v>8</v>
      </c>
      <c r="W48" s="304">
        <v>0.6</v>
      </c>
      <c r="X48" s="308">
        <f>BD.PD[[#This Row],[Av.P2 '[%']]]*BD.PD[[#This Row],[Ppto. Orden Interna '[DOP']]]</f>
        <v>186939.9</v>
      </c>
      <c r="Y48" s="303"/>
      <c r="Z48" s="304"/>
      <c r="AA48" s="308">
        <f>BD.PD[[#This Row],[Av.P3 '[%']]]*BD.PD[[#This Row],[Ppto. Orden Interna '[DOP']]]</f>
        <v>0</v>
      </c>
      <c r="AB48" s="303"/>
      <c r="AC48" s="304"/>
      <c r="AD48" s="308">
        <f>BD.PD[[#This Row],[Av.P4 '[%']]]*BD.PD[[#This Row],[Ppto. Orden Interna '[DOP']]]</f>
        <v>0</v>
      </c>
      <c r="AE48" s="303"/>
      <c r="AF48" s="304"/>
      <c r="AG48" s="308">
        <f>BD.PD[[#This Row],[Av.P5 '[%']]]*BD.PD[[#This Row],[Ppto. Orden Interna '[DOP']]]</f>
        <v>0</v>
      </c>
      <c r="AH48" s="305">
        <f>BD.PD[[#This Row],[Pago 5]]+BD.PD[[#This Row],[Pago 4]]+BD.PD[[#This Row],[Pago 3]]+BD.PD[[#This Row],[Pago 2]]+BD.PD[[#This Row],[Pago 1]]</f>
        <v>311566.5</v>
      </c>
      <c r="AI48" s="404"/>
      <c r="AJ48" s="404"/>
      <c r="AK48" s="404"/>
      <c r="AL48" s="404"/>
      <c r="AM48" s="404"/>
      <c r="AN48" s="404"/>
      <c r="AO48" s="404"/>
      <c r="AP48" s="404"/>
      <c r="AQ48" s="404"/>
      <c r="AR48" s="404"/>
      <c r="AS48" s="404"/>
      <c r="AT48" s="404"/>
      <c r="AU48" s="404"/>
      <c r="AV48" s="404"/>
      <c r="AW48" s="404"/>
      <c r="AX48" s="404"/>
      <c r="AY48" s="404"/>
      <c r="AZ48" s="404"/>
      <c r="BA48" s="404"/>
      <c r="BB48" s="404"/>
      <c r="BC48" s="404"/>
      <c r="BD48" s="404"/>
      <c r="BE48" s="404"/>
      <c r="BF48" s="404"/>
      <c r="BG48" s="404"/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4"/>
      <c r="CA48" s="404"/>
      <c r="CB48" s="404"/>
      <c r="CC48" s="404"/>
      <c r="CD48" s="404"/>
      <c r="CE48" s="404"/>
      <c r="CF48" s="404"/>
      <c r="CG48" s="404"/>
      <c r="CH48" s="404"/>
      <c r="CI48" s="404"/>
      <c r="CJ48" s="404"/>
      <c r="CK48" s="404"/>
      <c r="CL48" s="404"/>
      <c r="CM48" s="404"/>
      <c r="CN48" s="404"/>
      <c r="CO48" s="404"/>
      <c r="CP48" s="404"/>
      <c r="CQ48" s="404"/>
      <c r="CR48" s="404"/>
      <c r="CS48" s="404"/>
      <c r="CT48" s="404"/>
      <c r="CU48" s="404"/>
      <c r="CV48" s="404"/>
      <c r="CW48" s="404"/>
      <c r="CX48" s="404"/>
      <c r="CY48" s="404"/>
      <c r="CZ48" s="404"/>
      <c r="DA48" s="404"/>
      <c r="DB48" s="404"/>
      <c r="DC48" s="404"/>
      <c r="DD48" s="404"/>
      <c r="DE48" s="404"/>
      <c r="DF48" s="404"/>
      <c r="DG48" s="404"/>
      <c r="DH48" s="404"/>
      <c r="DI48" s="404"/>
      <c r="DJ48" s="404"/>
      <c r="DK48" s="404"/>
      <c r="DL48" s="404"/>
      <c r="DM48" s="404"/>
      <c r="DN48" s="404"/>
      <c r="DO48" s="404"/>
      <c r="DP48" s="404"/>
      <c r="DQ48" s="404"/>
      <c r="DR48" s="404"/>
      <c r="DS48" s="404"/>
      <c r="DT48" s="404"/>
      <c r="DU48" s="404"/>
      <c r="DV48" s="404"/>
      <c r="DW48" s="404"/>
      <c r="DX48" s="404"/>
      <c r="DY48" s="404"/>
      <c r="DZ48" s="404"/>
      <c r="EA48" s="404"/>
      <c r="EB48" s="404"/>
      <c r="EC48" s="404"/>
      <c r="ED48" s="404"/>
      <c r="EE48" s="404"/>
      <c r="EF48" s="404"/>
      <c r="EG48" s="404"/>
      <c r="EH48" s="404"/>
      <c r="EI48" s="404"/>
      <c r="EJ48" s="404"/>
      <c r="EK48" s="404"/>
      <c r="EL48" s="404"/>
      <c r="EM48" s="404"/>
      <c r="EN48" s="404"/>
      <c r="EO48" s="404"/>
      <c r="EP48" s="404"/>
      <c r="EQ48" s="404"/>
      <c r="ER48" s="404"/>
      <c r="ES48" s="404"/>
      <c r="ET48" s="404"/>
      <c r="EU48" s="404"/>
      <c r="EV48" s="404"/>
      <c r="EW48" s="404"/>
      <c r="EX48" s="404"/>
      <c r="EY48" s="404"/>
      <c r="EZ48" s="404"/>
      <c r="FA48" s="404"/>
      <c r="FB48" s="404"/>
      <c r="FC48" s="404"/>
      <c r="FD48" s="404"/>
      <c r="FE48" s="404"/>
      <c r="FF48" s="404"/>
      <c r="FG48" s="404"/>
      <c r="FH48" s="404"/>
      <c r="FI48" s="404"/>
      <c r="FJ48" s="404"/>
      <c r="FK48" s="404"/>
      <c r="FL48" s="404"/>
      <c r="FM48" s="404"/>
      <c r="FN48" s="404"/>
      <c r="FO48" s="404"/>
      <c r="FP48" s="404"/>
      <c r="FQ48" s="404"/>
      <c r="FR48" s="404"/>
      <c r="FS48" s="404"/>
      <c r="FT48" s="404"/>
      <c r="FU48" s="404"/>
      <c r="FV48" s="404"/>
      <c r="FW48" s="404"/>
      <c r="FX48" s="404"/>
      <c r="FY48" s="404"/>
      <c r="FZ48" s="404"/>
      <c r="GA48" s="404"/>
      <c r="GB48" s="404"/>
      <c r="GC48" s="404"/>
      <c r="GD48" s="404"/>
      <c r="GE48" s="404"/>
      <c r="GF48" s="404"/>
      <c r="GG48" s="404"/>
      <c r="GH48" s="404"/>
      <c r="GI48" s="404"/>
      <c r="GJ48" s="404"/>
      <c r="GK48" s="404"/>
      <c r="GL48" s="404"/>
      <c r="GM48" s="404"/>
      <c r="GN48" s="404"/>
      <c r="GO48" s="404"/>
      <c r="GP48" s="404"/>
      <c r="GQ48" s="404"/>
      <c r="GR48" s="404"/>
      <c r="GS48" s="404"/>
      <c r="GT48" s="404"/>
      <c r="GU48" s="404"/>
      <c r="GV48" s="404"/>
      <c r="GW48" s="404"/>
      <c r="GX48" s="404"/>
      <c r="GY48" s="404"/>
      <c r="GZ48" s="404"/>
      <c r="HA48" s="404"/>
      <c r="HB48" s="404"/>
      <c r="HC48" s="404"/>
      <c r="HD48" s="404"/>
      <c r="HE48" s="404"/>
      <c r="HF48" s="404"/>
      <c r="HG48" s="404"/>
      <c r="HH48" s="404"/>
      <c r="HI48" s="404"/>
      <c r="HJ48" s="404"/>
      <c r="HK48" s="404"/>
      <c r="HL48" s="404"/>
      <c r="HM48" s="404"/>
      <c r="HN48" s="404"/>
      <c r="HO48" s="404"/>
      <c r="HP48" s="404"/>
      <c r="HQ48" s="404"/>
      <c r="HR48" s="404"/>
      <c r="HS48" s="404"/>
      <c r="HT48" s="404"/>
      <c r="HU48" s="404"/>
      <c r="HV48" s="404"/>
      <c r="HW48" s="404"/>
      <c r="HX48" s="404"/>
      <c r="HY48" s="404"/>
      <c r="HZ48" s="404"/>
      <c r="IA48" s="404"/>
    </row>
    <row r="49" spans="1:235" s="309" customFormat="1" ht="15" customHeight="1" x14ac:dyDescent="0.3">
      <c r="A49" s="231">
        <v>2.1</v>
      </c>
      <c r="B49" s="288" t="s">
        <v>574</v>
      </c>
      <c r="C49" s="289" t="str">
        <f>VLOOKUP(BD.PD[[#This Row],[Pos]],PPto[],3,FALSE)</f>
        <v>2.10 Supervisión Civil y Sanitaria</v>
      </c>
      <c r="D49" s="290" t="s">
        <v>574</v>
      </c>
      <c r="E49" s="291">
        <f>IF(BD.PD[[#This Row],[.]]="*",VLOOKUP(BD.PD[[#This Row],[Pos]],Presupuesto!A:H,7,FALSE),"")</f>
        <v>0</v>
      </c>
      <c r="F49" s="292"/>
      <c r="G49" s="292" t="s">
        <v>575</v>
      </c>
      <c r="H49" s="292"/>
      <c r="I49" s="293">
        <v>1</v>
      </c>
      <c r="J49" s="290" t="s">
        <v>456</v>
      </c>
      <c r="K49" s="294">
        <f>IF(BD.PD[[#This Row],[Mon]]="DOP",1,HLOOKUP(BD.PD[[#This Row],[Mon]],$J$1:$K$2,2,FALSE))</f>
        <v>63</v>
      </c>
      <c r="L49" s="295">
        <v>0</v>
      </c>
      <c r="M49" s="296">
        <f>BD.PD[[#This Row],[Cant.]]*BD.PD[[#This Row],[ Tasa ]]*BD.PD[[#This Row],[ Precio Und.]]</f>
        <v>0</v>
      </c>
      <c r="N49" s="297">
        <v>0</v>
      </c>
      <c r="O49" s="296">
        <f>IF(BD.PD[[#This Row],[Liquid. '[%']]]&lt;&gt;0,(BD.PD[[#This Row],[Valor Neto '[DOP']]]*BD.PD[[#This Row],[Liquid. '[%']]])+BD.PD[[#This Row],[Valor Neto '[DOP']]],BD.PD[[#This Row],[Valor Neto '[DOP']]])</f>
        <v>0</v>
      </c>
      <c r="P49" s="298">
        <f>BD.PD[[#This Row],[Ppto. Orden Interna '[DOP']]]/HLOOKUP("USD",$J$1:$K$2,2,FALSE)</f>
        <v>0</v>
      </c>
      <c r="Q49" s="299"/>
      <c r="R49" s="307"/>
      <c r="S49" s="300"/>
      <c r="T49" s="301"/>
      <c r="U49" s="308">
        <f>BD.PD[[#This Row],[Av.P1 '[%']]]*BD.PD[[#This Row],[Ppto. Orden Interna '[DOP']]]</f>
        <v>0</v>
      </c>
      <c r="V49" s="303"/>
      <c r="W49" s="304"/>
      <c r="X49" s="308">
        <f>BD.PD[[#This Row],[Av.P2 '[%']]]*BD.PD[[#This Row],[Ppto. Orden Interna '[DOP']]]</f>
        <v>0</v>
      </c>
      <c r="Y49" s="303"/>
      <c r="Z49" s="304"/>
      <c r="AA49" s="308">
        <f>BD.PD[[#This Row],[Av.P3 '[%']]]*BD.PD[[#This Row],[Ppto. Orden Interna '[DOP']]]</f>
        <v>0</v>
      </c>
      <c r="AB49" s="303"/>
      <c r="AC49" s="304"/>
      <c r="AD49" s="308">
        <f>BD.PD[[#This Row],[Av.P4 '[%']]]*BD.PD[[#This Row],[Ppto. Orden Interna '[DOP']]]</f>
        <v>0</v>
      </c>
      <c r="AE49" s="303"/>
      <c r="AF49" s="304"/>
      <c r="AG49" s="308">
        <f>BD.PD[[#This Row],[Av.P5 '[%']]]*BD.PD[[#This Row],[Ppto. Orden Interna '[DOP']]]</f>
        <v>0</v>
      </c>
      <c r="AH49" s="305">
        <f>BD.PD[[#This Row],[Pago 5]]+BD.PD[[#This Row],[Pago 4]]+BD.PD[[#This Row],[Pago 3]]+BD.PD[[#This Row],[Pago 2]]+BD.PD[[#This Row],[Pago 1]]</f>
        <v>0</v>
      </c>
      <c r="AI49" s="404"/>
      <c r="AJ49" s="404"/>
      <c r="AK49" s="404"/>
      <c r="AL49" s="404"/>
      <c r="AM49" s="404"/>
      <c r="AN49" s="404"/>
      <c r="AO49" s="404"/>
      <c r="AP49" s="404"/>
      <c r="AQ49" s="404"/>
      <c r="AR49" s="404"/>
      <c r="AS49" s="404"/>
      <c r="AT49" s="404"/>
      <c r="AU49" s="404"/>
      <c r="AV49" s="404"/>
      <c r="AW49" s="404"/>
      <c r="AX49" s="404"/>
      <c r="AY49" s="404"/>
      <c r="AZ49" s="404"/>
      <c r="BA49" s="404"/>
      <c r="BB49" s="404"/>
      <c r="BC49" s="404"/>
      <c r="BD49" s="404"/>
      <c r="BE49" s="404"/>
      <c r="BF49" s="404"/>
      <c r="BG49" s="404"/>
      <c r="BH49" s="404"/>
      <c r="BI49" s="404"/>
      <c r="BJ49" s="404"/>
      <c r="BK49" s="404"/>
      <c r="BL49" s="404"/>
      <c r="BM49" s="404"/>
      <c r="BN49" s="404"/>
      <c r="BO49" s="404"/>
      <c r="BP49" s="404"/>
      <c r="BQ49" s="404"/>
      <c r="BR49" s="404"/>
      <c r="BS49" s="404"/>
      <c r="BT49" s="404"/>
      <c r="BU49" s="404"/>
      <c r="BV49" s="404"/>
      <c r="BW49" s="404"/>
      <c r="BX49" s="404"/>
      <c r="BY49" s="404"/>
      <c r="BZ49" s="404"/>
      <c r="CA49" s="404"/>
      <c r="CB49" s="404"/>
      <c r="CC49" s="404"/>
      <c r="CD49" s="404"/>
      <c r="CE49" s="404"/>
      <c r="CF49" s="404"/>
      <c r="CG49" s="404"/>
      <c r="CH49" s="404"/>
      <c r="CI49" s="404"/>
      <c r="CJ49" s="404"/>
      <c r="CK49" s="404"/>
      <c r="CL49" s="404"/>
      <c r="CM49" s="404"/>
      <c r="CN49" s="404"/>
      <c r="CO49" s="404"/>
      <c r="CP49" s="404"/>
      <c r="CQ49" s="404"/>
      <c r="CR49" s="404"/>
      <c r="CS49" s="404"/>
      <c r="CT49" s="404"/>
      <c r="CU49" s="404"/>
      <c r="CV49" s="404"/>
      <c r="CW49" s="404"/>
      <c r="CX49" s="404"/>
      <c r="CY49" s="404"/>
      <c r="CZ49" s="404"/>
      <c r="DA49" s="404"/>
      <c r="DB49" s="404"/>
      <c r="DC49" s="404"/>
      <c r="DD49" s="404"/>
      <c r="DE49" s="404"/>
      <c r="DF49" s="404"/>
      <c r="DG49" s="404"/>
      <c r="DH49" s="404"/>
      <c r="DI49" s="404"/>
      <c r="DJ49" s="404"/>
      <c r="DK49" s="404"/>
      <c r="DL49" s="404"/>
      <c r="DM49" s="404"/>
      <c r="DN49" s="404"/>
      <c r="DO49" s="404"/>
      <c r="DP49" s="404"/>
      <c r="DQ49" s="404"/>
      <c r="DR49" s="404"/>
      <c r="DS49" s="404"/>
      <c r="DT49" s="404"/>
      <c r="DU49" s="404"/>
      <c r="DV49" s="404"/>
      <c r="DW49" s="404"/>
      <c r="DX49" s="404"/>
      <c r="DY49" s="404"/>
      <c r="DZ49" s="404"/>
      <c r="EA49" s="404"/>
      <c r="EB49" s="404"/>
      <c r="EC49" s="404"/>
      <c r="ED49" s="404"/>
      <c r="EE49" s="404"/>
      <c r="EF49" s="404"/>
      <c r="EG49" s="404"/>
      <c r="EH49" s="404"/>
      <c r="EI49" s="404"/>
      <c r="EJ49" s="404"/>
      <c r="EK49" s="404"/>
      <c r="EL49" s="404"/>
      <c r="EM49" s="404"/>
      <c r="EN49" s="404"/>
      <c r="EO49" s="404"/>
      <c r="EP49" s="404"/>
      <c r="EQ49" s="404"/>
      <c r="ER49" s="404"/>
      <c r="ES49" s="404"/>
      <c r="ET49" s="404"/>
      <c r="EU49" s="404"/>
      <c r="EV49" s="404"/>
      <c r="EW49" s="404"/>
      <c r="EX49" s="404"/>
      <c r="EY49" s="404"/>
      <c r="EZ49" s="404"/>
      <c r="FA49" s="404"/>
      <c r="FB49" s="404"/>
      <c r="FC49" s="404"/>
      <c r="FD49" s="404"/>
      <c r="FE49" s="404"/>
      <c r="FF49" s="404"/>
      <c r="FG49" s="404"/>
      <c r="FH49" s="404"/>
      <c r="FI49" s="404"/>
      <c r="FJ49" s="404"/>
      <c r="FK49" s="404"/>
      <c r="FL49" s="404"/>
      <c r="FM49" s="404"/>
      <c r="FN49" s="404"/>
      <c r="FO49" s="404"/>
      <c r="FP49" s="404"/>
      <c r="FQ49" s="404"/>
      <c r="FR49" s="404"/>
      <c r="FS49" s="404"/>
      <c r="FT49" s="404"/>
      <c r="FU49" s="404"/>
      <c r="FV49" s="404"/>
      <c r="FW49" s="404"/>
      <c r="FX49" s="404"/>
      <c r="FY49" s="404"/>
      <c r="FZ49" s="404"/>
      <c r="GA49" s="404"/>
      <c r="GB49" s="404"/>
      <c r="GC49" s="404"/>
      <c r="GD49" s="404"/>
      <c r="GE49" s="404"/>
      <c r="GF49" s="404"/>
      <c r="GG49" s="404"/>
      <c r="GH49" s="404"/>
      <c r="GI49" s="404"/>
      <c r="GJ49" s="404"/>
      <c r="GK49" s="404"/>
      <c r="GL49" s="404"/>
      <c r="GM49" s="404"/>
      <c r="GN49" s="404"/>
      <c r="GO49" s="404"/>
      <c r="GP49" s="404"/>
      <c r="GQ49" s="404"/>
      <c r="GR49" s="404"/>
      <c r="GS49" s="404"/>
      <c r="GT49" s="404"/>
      <c r="GU49" s="404"/>
      <c r="GV49" s="404"/>
      <c r="GW49" s="404"/>
      <c r="GX49" s="404"/>
      <c r="GY49" s="404"/>
      <c r="GZ49" s="404"/>
      <c r="HA49" s="404"/>
      <c r="HB49" s="404"/>
      <c r="HC49" s="404"/>
      <c r="HD49" s="404"/>
      <c r="HE49" s="404"/>
      <c r="HF49" s="404"/>
      <c r="HG49" s="404"/>
      <c r="HH49" s="404"/>
      <c r="HI49" s="404"/>
      <c r="HJ49" s="404"/>
      <c r="HK49" s="404"/>
      <c r="HL49" s="404"/>
      <c r="HM49" s="404"/>
      <c r="HN49" s="404"/>
      <c r="HO49" s="404"/>
      <c r="HP49" s="404"/>
      <c r="HQ49" s="404"/>
      <c r="HR49" s="404"/>
      <c r="HS49" s="404"/>
      <c r="HT49" s="404"/>
      <c r="HU49" s="404"/>
      <c r="HV49" s="404"/>
      <c r="HW49" s="404"/>
      <c r="HX49" s="404"/>
      <c r="HY49" s="404"/>
      <c r="HZ49" s="404"/>
      <c r="IA49" s="404"/>
    </row>
    <row r="50" spans="1:235" s="309" customFormat="1" ht="15" customHeight="1" x14ac:dyDescent="0.3">
      <c r="A50" s="231">
        <v>2.11</v>
      </c>
      <c r="B50" s="288" t="s">
        <v>574</v>
      </c>
      <c r="C50" s="289" t="str">
        <f>VLOOKUP(BD.PD[[#This Row],[Pos]],PPto[],3,FALSE)</f>
        <v>2.11 Supervisión Arquitectónica</v>
      </c>
      <c r="D50" s="290" t="s">
        <v>574</v>
      </c>
      <c r="E50" s="291">
        <f>IF(BD.PD[[#This Row],[.]]="*",VLOOKUP(BD.PD[[#This Row],[Pos]],Presupuesto!A:H,7,FALSE),"")</f>
        <v>0</v>
      </c>
      <c r="F50" s="292"/>
      <c r="G50" s="292" t="s">
        <v>575</v>
      </c>
      <c r="H50" s="292"/>
      <c r="I50" s="293">
        <v>1</v>
      </c>
      <c r="J50" s="290" t="s">
        <v>456</v>
      </c>
      <c r="K50" s="294">
        <f>IF(BD.PD[[#This Row],[Mon]]="DOP",1,HLOOKUP(BD.PD[[#This Row],[Mon]],$J$1:$K$2,2,FALSE))</f>
        <v>63</v>
      </c>
      <c r="L50" s="295">
        <v>0</v>
      </c>
      <c r="M50" s="296">
        <f>BD.PD[[#This Row],[Cant.]]*BD.PD[[#This Row],[ Tasa ]]*BD.PD[[#This Row],[ Precio Und.]]</f>
        <v>0</v>
      </c>
      <c r="N50" s="297">
        <v>0</v>
      </c>
      <c r="O50" s="296">
        <f>IF(BD.PD[[#This Row],[Liquid. '[%']]]&lt;&gt;0,(BD.PD[[#This Row],[Valor Neto '[DOP']]]*BD.PD[[#This Row],[Liquid. '[%']]])+BD.PD[[#This Row],[Valor Neto '[DOP']]],BD.PD[[#This Row],[Valor Neto '[DOP']]])</f>
        <v>0</v>
      </c>
      <c r="P50" s="298">
        <f>BD.PD[[#This Row],[Ppto. Orden Interna '[DOP']]]/HLOOKUP("USD",$J$1:$K$2,2,FALSE)</f>
        <v>0</v>
      </c>
      <c r="Q50" s="299"/>
      <c r="R50" s="307"/>
      <c r="S50" s="300"/>
      <c r="T50" s="301"/>
      <c r="U50" s="308">
        <f>BD.PD[[#This Row],[Av.P1 '[%']]]*BD.PD[[#This Row],[Ppto. Orden Interna '[DOP']]]</f>
        <v>0</v>
      </c>
      <c r="V50" s="303"/>
      <c r="W50" s="304"/>
      <c r="X50" s="308">
        <f>BD.PD[[#This Row],[Av.P2 '[%']]]*BD.PD[[#This Row],[Ppto. Orden Interna '[DOP']]]</f>
        <v>0</v>
      </c>
      <c r="Y50" s="303"/>
      <c r="Z50" s="304"/>
      <c r="AA50" s="308">
        <f>BD.PD[[#This Row],[Av.P3 '[%']]]*BD.PD[[#This Row],[Ppto. Orden Interna '[DOP']]]</f>
        <v>0</v>
      </c>
      <c r="AB50" s="303"/>
      <c r="AC50" s="304"/>
      <c r="AD50" s="308">
        <f>BD.PD[[#This Row],[Av.P4 '[%']]]*BD.PD[[#This Row],[Ppto. Orden Interna '[DOP']]]</f>
        <v>0</v>
      </c>
      <c r="AE50" s="303"/>
      <c r="AF50" s="304"/>
      <c r="AG50" s="308">
        <f>BD.PD[[#This Row],[Av.P5 '[%']]]*BD.PD[[#This Row],[Ppto. Orden Interna '[DOP']]]</f>
        <v>0</v>
      </c>
      <c r="AH50" s="305">
        <f>BD.PD[[#This Row],[Pago 5]]+BD.PD[[#This Row],[Pago 4]]+BD.PD[[#This Row],[Pago 3]]+BD.PD[[#This Row],[Pago 2]]+BD.PD[[#This Row],[Pago 1]]</f>
        <v>0</v>
      </c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404"/>
      <c r="BG50" s="404"/>
      <c r="BH50" s="404"/>
      <c r="BI50" s="404"/>
      <c r="BJ50" s="404"/>
      <c r="BK50" s="404"/>
      <c r="BL50" s="404"/>
      <c r="BM50" s="404"/>
      <c r="BN50" s="404"/>
      <c r="BO50" s="404"/>
      <c r="BP50" s="404"/>
      <c r="BQ50" s="404"/>
      <c r="BR50" s="404"/>
      <c r="BS50" s="404"/>
      <c r="BT50" s="404"/>
      <c r="BU50" s="404"/>
      <c r="BV50" s="404"/>
      <c r="BW50" s="404"/>
      <c r="BX50" s="404"/>
      <c r="BY50" s="404"/>
      <c r="BZ50" s="404"/>
      <c r="CA50" s="404"/>
      <c r="CB50" s="404"/>
      <c r="CC50" s="404"/>
      <c r="CD50" s="404"/>
      <c r="CE50" s="404"/>
      <c r="CF50" s="404"/>
      <c r="CG50" s="404"/>
      <c r="CH50" s="404"/>
      <c r="CI50" s="404"/>
      <c r="CJ50" s="404"/>
      <c r="CK50" s="404"/>
      <c r="CL50" s="404"/>
      <c r="CM50" s="404"/>
      <c r="CN50" s="404"/>
      <c r="CO50" s="404"/>
      <c r="CP50" s="404"/>
      <c r="CQ50" s="404"/>
      <c r="CR50" s="404"/>
      <c r="CS50" s="404"/>
      <c r="CT50" s="404"/>
      <c r="CU50" s="404"/>
      <c r="CV50" s="404"/>
      <c r="CW50" s="404"/>
      <c r="CX50" s="404"/>
      <c r="CY50" s="404"/>
      <c r="CZ50" s="404"/>
      <c r="DA50" s="404"/>
      <c r="DB50" s="404"/>
      <c r="DC50" s="404"/>
      <c r="DD50" s="404"/>
      <c r="DE50" s="404"/>
      <c r="DF50" s="404"/>
      <c r="DG50" s="404"/>
      <c r="DH50" s="404"/>
      <c r="DI50" s="404"/>
      <c r="DJ50" s="404"/>
      <c r="DK50" s="404"/>
      <c r="DL50" s="404"/>
      <c r="DM50" s="404"/>
      <c r="DN50" s="404"/>
      <c r="DO50" s="404"/>
      <c r="DP50" s="404"/>
      <c r="DQ50" s="404"/>
      <c r="DR50" s="404"/>
      <c r="DS50" s="404"/>
      <c r="DT50" s="404"/>
      <c r="DU50" s="404"/>
      <c r="DV50" s="404"/>
      <c r="DW50" s="404"/>
      <c r="DX50" s="404"/>
      <c r="DY50" s="404"/>
      <c r="DZ50" s="404"/>
      <c r="EA50" s="404"/>
      <c r="EB50" s="404"/>
      <c r="EC50" s="404"/>
      <c r="ED50" s="404"/>
      <c r="EE50" s="404"/>
      <c r="EF50" s="404"/>
      <c r="EG50" s="404"/>
      <c r="EH50" s="404"/>
      <c r="EI50" s="404"/>
      <c r="EJ50" s="404"/>
      <c r="EK50" s="404"/>
      <c r="EL50" s="404"/>
      <c r="EM50" s="404"/>
      <c r="EN50" s="404"/>
      <c r="EO50" s="404"/>
      <c r="EP50" s="404"/>
      <c r="EQ50" s="404"/>
      <c r="ER50" s="404"/>
      <c r="ES50" s="404"/>
      <c r="ET50" s="404"/>
      <c r="EU50" s="404"/>
      <c r="EV50" s="404"/>
      <c r="EW50" s="404"/>
      <c r="EX50" s="404"/>
      <c r="EY50" s="404"/>
      <c r="EZ50" s="404"/>
      <c r="FA50" s="404"/>
      <c r="FB50" s="404"/>
      <c r="FC50" s="404"/>
      <c r="FD50" s="404"/>
      <c r="FE50" s="404"/>
      <c r="FF50" s="404"/>
      <c r="FG50" s="404"/>
      <c r="FH50" s="404"/>
      <c r="FI50" s="404"/>
      <c r="FJ50" s="404"/>
      <c r="FK50" s="404"/>
      <c r="FL50" s="404"/>
      <c r="FM50" s="404"/>
      <c r="FN50" s="404"/>
      <c r="FO50" s="404"/>
      <c r="FP50" s="404"/>
      <c r="FQ50" s="404"/>
      <c r="FR50" s="404"/>
      <c r="FS50" s="404"/>
      <c r="FT50" s="404"/>
      <c r="FU50" s="404"/>
      <c r="FV50" s="404"/>
      <c r="FW50" s="404"/>
      <c r="FX50" s="404"/>
      <c r="FY50" s="404"/>
      <c r="FZ50" s="404"/>
      <c r="GA50" s="404"/>
      <c r="GB50" s="404"/>
      <c r="GC50" s="404"/>
      <c r="GD50" s="404"/>
      <c r="GE50" s="404"/>
      <c r="GF50" s="404"/>
      <c r="GG50" s="404"/>
      <c r="GH50" s="404"/>
      <c r="GI50" s="404"/>
      <c r="GJ50" s="404"/>
      <c r="GK50" s="404"/>
      <c r="GL50" s="404"/>
      <c r="GM50" s="404"/>
      <c r="GN50" s="404"/>
      <c r="GO50" s="404"/>
      <c r="GP50" s="404"/>
      <c r="GQ50" s="404"/>
      <c r="GR50" s="404"/>
      <c r="GS50" s="404"/>
      <c r="GT50" s="404"/>
      <c r="GU50" s="404"/>
      <c r="GV50" s="404"/>
      <c r="GW50" s="404"/>
      <c r="GX50" s="404"/>
      <c r="GY50" s="404"/>
      <c r="GZ50" s="404"/>
      <c r="HA50" s="404"/>
      <c r="HB50" s="404"/>
      <c r="HC50" s="404"/>
      <c r="HD50" s="404"/>
      <c r="HE50" s="404"/>
      <c r="HF50" s="404"/>
      <c r="HG50" s="404"/>
      <c r="HH50" s="404"/>
      <c r="HI50" s="404"/>
      <c r="HJ50" s="404"/>
      <c r="HK50" s="404"/>
      <c r="HL50" s="404"/>
      <c r="HM50" s="404"/>
      <c r="HN50" s="404"/>
      <c r="HO50" s="404"/>
      <c r="HP50" s="404"/>
      <c r="HQ50" s="404"/>
      <c r="HR50" s="404"/>
      <c r="HS50" s="404"/>
      <c r="HT50" s="404"/>
      <c r="HU50" s="404"/>
      <c r="HV50" s="404"/>
      <c r="HW50" s="404"/>
      <c r="HX50" s="404"/>
      <c r="HY50" s="404"/>
      <c r="HZ50" s="404"/>
      <c r="IA50" s="404"/>
    </row>
    <row r="51" spans="1:235" s="309" customFormat="1" ht="15" customHeight="1" x14ac:dyDescent="0.3">
      <c r="A51" s="231">
        <v>3.01</v>
      </c>
      <c r="B51" s="288" t="s">
        <v>574</v>
      </c>
      <c r="C51" s="289" t="str">
        <f>VLOOKUP(BD.PD[[#This Row],[Pos]],PPto[],3,FALSE)</f>
        <v>3.01 Instalaciones Eléctricas</v>
      </c>
      <c r="D51" s="290" t="s">
        <v>574</v>
      </c>
      <c r="E51" s="291">
        <f>IF(BD.PD[[#This Row],[.]]="*",VLOOKUP(BD.PD[[#This Row],[Pos]],Presupuesto!A:H,7,FALSE),"")</f>
        <v>0</v>
      </c>
      <c r="F51" s="292"/>
      <c r="G51" s="292" t="s">
        <v>575</v>
      </c>
      <c r="H51" s="292"/>
      <c r="I51" s="293">
        <v>1</v>
      </c>
      <c r="J51" s="290" t="s">
        <v>456</v>
      </c>
      <c r="K51" s="294">
        <f>IF(BD.PD[[#This Row],[Mon]]="DOP",1,HLOOKUP(BD.PD[[#This Row],[Mon]],$J$1:$K$2,2,FALSE))</f>
        <v>63</v>
      </c>
      <c r="L51" s="295">
        <v>0</v>
      </c>
      <c r="M51" s="296">
        <f>BD.PD[[#This Row],[Cant.]]*BD.PD[[#This Row],[ Tasa ]]*BD.PD[[#This Row],[ Precio Und.]]</f>
        <v>0</v>
      </c>
      <c r="N51" s="297">
        <v>0</v>
      </c>
      <c r="O51" s="296">
        <f>IF(BD.PD[[#This Row],[Liquid. '[%']]]&lt;&gt;0,(BD.PD[[#This Row],[Valor Neto '[DOP']]]*BD.PD[[#This Row],[Liquid. '[%']]])+BD.PD[[#This Row],[Valor Neto '[DOP']]],BD.PD[[#This Row],[Valor Neto '[DOP']]])</f>
        <v>0</v>
      </c>
      <c r="P51" s="298">
        <f>BD.PD[[#This Row],[Ppto. Orden Interna '[DOP']]]/HLOOKUP("USD",$J$1:$K$2,2,FALSE)</f>
        <v>0</v>
      </c>
      <c r="Q51" s="299"/>
      <c r="R51" s="307"/>
      <c r="S51" s="300"/>
      <c r="T51" s="301"/>
      <c r="U51" s="308">
        <f>BD.PD[[#This Row],[Av.P1 '[%']]]*BD.PD[[#This Row],[Ppto. Orden Interna '[DOP']]]</f>
        <v>0</v>
      </c>
      <c r="V51" s="303"/>
      <c r="W51" s="304"/>
      <c r="X51" s="308">
        <f>BD.PD[[#This Row],[Av.P2 '[%']]]*BD.PD[[#This Row],[Ppto. Orden Interna '[DOP']]]</f>
        <v>0</v>
      </c>
      <c r="Y51" s="303"/>
      <c r="Z51" s="304"/>
      <c r="AA51" s="308">
        <f>BD.PD[[#This Row],[Av.P3 '[%']]]*BD.PD[[#This Row],[Ppto. Orden Interna '[DOP']]]</f>
        <v>0</v>
      </c>
      <c r="AB51" s="303"/>
      <c r="AC51" s="304"/>
      <c r="AD51" s="308">
        <f>BD.PD[[#This Row],[Av.P4 '[%']]]*BD.PD[[#This Row],[Ppto. Orden Interna '[DOP']]]</f>
        <v>0</v>
      </c>
      <c r="AE51" s="303"/>
      <c r="AF51" s="304"/>
      <c r="AG51" s="308">
        <f>BD.PD[[#This Row],[Av.P5 '[%']]]*BD.PD[[#This Row],[Ppto. Orden Interna '[DOP']]]</f>
        <v>0</v>
      </c>
      <c r="AH51" s="305">
        <f>BD.PD[[#This Row],[Pago 5]]+BD.PD[[#This Row],[Pago 4]]+BD.PD[[#This Row],[Pago 3]]+BD.PD[[#This Row],[Pago 2]]+BD.PD[[#This Row],[Pago 1]]</f>
        <v>0</v>
      </c>
      <c r="AI51" s="404"/>
      <c r="AJ51" s="404"/>
      <c r="AK51" s="404"/>
      <c r="AL51" s="404"/>
      <c r="AM51" s="404"/>
      <c r="AN51" s="404"/>
      <c r="AO51" s="404"/>
      <c r="AP51" s="404"/>
      <c r="AQ51" s="404"/>
      <c r="AR51" s="404"/>
      <c r="AS51" s="404"/>
      <c r="AT51" s="404"/>
      <c r="AU51" s="404"/>
      <c r="AV51" s="404"/>
      <c r="AW51" s="404"/>
      <c r="AX51" s="404"/>
      <c r="AY51" s="404"/>
      <c r="AZ51" s="404"/>
      <c r="BA51" s="404"/>
      <c r="BB51" s="404"/>
      <c r="BC51" s="404"/>
      <c r="BD51" s="404"/>
      <c r="BE51" s="404"/>
      <c r="BF51" s="404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4"/>
      <c r="DD51" s="404"/>
      <c r="DE51" s="404"/>
      <c r="DF51" s="404"/>
      <c r="DG51" s="404"/>
      <c r="DH51" s="404"/>
      <c r="DI51" s="404"/>
      <c r="DJ51" s="404"/>
      <c r="DK51" s="404"/>
      <c r="DL51" s="404"/>
      <c r="DM51" s="404"/>
      <c r="DN51" s="404"/>
      <c r="DO51" s="404"/>
      <c r="DP51" s="404"/>
      <c r="DQ51" s="404"/>
      <c r="DR51" s="404"/>
      <c r="DS51" s="404"/>
      <c r="DT51" s="404"/>
      <c r="DU51" s="404"/>
      <c r="DV51" s="404"/>
      <c r="DW51" s="404"/>
      <c r="DX51" s="404"/>
      <c r="DY51" s="404"/>
      <c r="DZ51" s="404"/>
      <c r="EA51" s="404"/>
      <c r="EB51" s="404"/>
      <c r="EC51" s="404"/>
      <c r="ED51" s="404"/>
      <c r="EE51" s="404"/>
      <c r="EF51" s="404"/>
      <c r="EG51" s="404"/>
      <c r="EH51" s="404"/>
      <c r="EI51" s="404"/>
      <c r="EJ51" s="404"/>
      <c r="EK51" s="404"/>
      <c r="EL51" s="404"/>
      <c r="EM51" s="404"/>
      <c r="EN51" s="404"/>
      <c r="EO51" s="404"/>
      <c r="EP51" s="404"/>
      <c r="EQ51" s="404"/>
      <c r="ER51" s="404"/>
      <c r="ES51" s="404"/>
      <c r="ET51" s="404"/>
      <c r="EU51" s="404"/>
      <c r="EV51" s="404"/>
      <c r="EW51" s="404"/>
      <c r="EX51" s="404"/>
      <c r="EY51" s="404"/>
      <c r="EZ51" s="404"/>
      <c r="FA51" s="404"/>
      <c r="FB51" s="404"/>
      <c r="FC51" s="404"/>
      <c r="FD51" s="404"/>
      <c r="FE51" s="404"/>
      <c r="FF51" s="404"/>
      <c r="FG51" s="404"/>
      <c r="FH51" s="404"/>
      <c r="FI51" s="404"/>
      <c r="FJ51" s="404"/>
      <c r="FK51" s="404"/>
      <c r="FL51" s="404"/>
      <c r="FM51" s="404"/>
      <c r="FN51" s="404"/>
      <c r="FO51" s="404"/>
      <c r="FP51" s="404"/>
      <c r="FQ51" s="404"/>
      <c r="FR51" s="404"/>
      <c r="FS51" s="404"/>
      <c r="FT51" s="404"/>
      <c r="FU51" s="404"/>
      <c r="FV51" s="404"/>
      <c r="FW51" s="404"/>
      <c r="FX51" s="404"/>
      <c r="FY51" s="404"/>
      <c r="FZ51" s="404"/>
      <c r="GA51" s="404"/>
      <c r="GB51" s="404"/>
      <c r="GC51" s="404"/>
      <c r="GD51" s="404"/>
      <c r="GE51" s="404"/>
      <c r="GF51" s="404"/>
      <c r="GG51" s="404"/>
      <c r="GH51" s="404"/>
      <c r="GI51" s="404"/>
      <c r="GJ51" s="404"/>
      <c r="GK51" s="404"/>
      <c r="GL51" s="404"/>
      <c r="GM51" s="404"/>
      <c r="GN51" s="404"/>
      <c r="GO51" s="404"/>
      <c r="GP51" s="404"/>
      <c r="GQ51" s="404"/>
      <c r="GR51" s="404"/>
      <c r="GS51" s="404"/>
      <c r="GT51" s="404"/>
      <c r="GU51" s="404"/>
      <c r="GV51" s="404"/>
      <c r="GW51" s="404"/>
      <c r="GX51" s="404"/>
      <c r="GY51" s="404"/>
      <c r="GZ51" s="404"/>
      <c r="HA51" s="404"/>
      <c r="HB51" s="404"/>
      <c r="HC51" s="404"/>
      <c r="HD51" s="404"/>
      <c r="HE51" s="404"/>
      <c r="HF51" s="404"/>
      <c r="HG51" s="404"/>
      <c r="HH51" s="404"/>
      <c r="HI51" s="404"/>
      <c r="HJ51" s="404"/>
      <c r="HK51" s="404"/>
      <c r="HL51" s="404"/>
      <c r="HM51" s="404"/>
      <c r="HN51" s="404"/>
      <c r="HO51" s="404"/>
      <c r="HP51" s="404"/>
      <c r="HQ51" s="404"/>
      <c r="HR51" s="404"/>
      <c r="HS51" s="404"/>
      <c r="HT51" s="404"/>
      <c r="HU51" s="404"/>
      <c r="HV51" s="404"/>
      <c r="HW51" s="404"/>
      <c r="HX51" s="404"/>
      <c r="HY51" s="404"/>
      <c r="HZ51" s="404"/>
      <c r="IA51" s="404"/>
    </row>
    <row r="52" spans="1:235" s="309" customFormat="1" ht="15" customHeight="1" x14ac:dyDescent="0.3">
      <c r="A52" s="231">
        <v>3.02</v>
      </c>
      <c r="B52" s="288" t="s">
        <v>574</v>
      </c>
      <c r="C52" s="289" t="str">
        <f>VLOOKUP(BD.PD[[#This Row],[Pos]],PPto[],3,FALSE)</f>
        <v>3.02 Supervisión Eléctrica</v>
      </c>
      <c r="D52" s="290" t="s">
        <v>574</v>
      </c>
      <c r="E52" s="291">
        <f>IF(BD.PD[[#This Row],[.]]="*",VLOOKUP(BD.PD[[#This Row],[Pos]],Presupuesto!A:H,7,FALSE),"")</f>
        <v>0</v>
      </c>
      <c r="F52" s="292"/>
      <c r="G52" s="292" t="s">
        <v>575</v>
      </c>
      <c r="H52" s="292"/>
      <c r="I52" s="293">
        <v>1</v>
      </c>
      <c r="J52" s="290" t="s">
        <v>456</v>
      </c>
      <c r="K52" s="294">
        <f>IF(BD.PD[[#This Row],[Mon]]="DOP",1,HLOOKUP(BD.PD[[#This Row],[Mon]],$J$1:$K$2,2,FALSE))</f>
        <v>63</v>
      </c>
      <c r="L52" s="295">
        <v>0</v>
      </c>
      <c r="M52" s="296">
        <f>BD.PD[[#This Row],[Cant.]]*BD.PD[[#This Row],[ Tasa ]]*BD.PD[[#This Row],[ Precio Und.]]</f>
        <v>0</v>
      </c>
      <c r="N52" s="297">
        <v>0</v>
      </c>
      <c r="O52" s="296">
        <f>IF(BD.PD[[#This Row],[Liquid. '[%']]]&lt;&gt;0,(BD.PD[[#This Row],[Valor Neto '[DOP']]]*BD.PD[[#This Row],[Liquid. '[%']]])+BD.PD[[#This Row],[Valor Neto '[DOP']]],BD.PD[[#This Row],[Valor Neto '[DOP']]])</f>
        <v>0</v>
      </c>
      <c r="P52" s="298">
        <f>BD.PD[[#This Row],[Ppto. Orden Interna '[DOP']]]/HLOOKUP("USD",$J$1:$K$2,2,FALSE)</f>
        <v>0</v>
      </c>
      <c r="Q52" s="299"/>
      <c r="R52" s="307"/>
      <c r="S52" s="300"/>
      <c r="T52" s="301"/>
      <c r="U52" s="308">
        <f>BD.PD[[#This Row],[Av.P1 '[%']]]*BD.PD[[#This Row],[Ppto. Orden Interna '[DOP']]]</f>
        <v>0</v>
      </c>
      <c r="V52" s="303"/>
      <c r="W52" s="304"/>
      <c r="X52" s="308">
        <f>BD.PD[[#This Row],[Av.P2 '[%']]]*BD.PD[[#This Row],[Ppto. Orden Interna '[DOP']]]</f>
        <v>0</v>
      </c>
      <c r="Y52" s="303"/>
      <c r="Z52" s="304"/>
      <c r="AA52" s="308">
        <f>BD.PD[[#This Row],[Av.P3 '[%']]]*BD.PD[[#This Row],[Ppto. Orden Interna '[DOP']]]</f>
        <v>0</v>
      </c>
      <c r="AB52" s="303"/>
      <c r="AC52" s="304"/>
      <c r="AD52" s="308">
        <f>BD.PD[[#This Row],[Av.P4 '[%']]]*BD.PD[[#This Row],[Ppto. Orden Interna '[DOP']]]</f>
        <v>0</v>
      </c>
      <c r="AE52" s="303"/>
      <c r="AF52" s="304"/>
      <c r="AG52" s="308">
        <f>BD.PD[[#This Row],[Av.P5 '[%']]]*BD.PD[[#This Row],[Ppto. Orden Interna '[DOP']]]</f>
        <v>0</v>
      </c>
      <c r="AH52" s="305">
        <f>BD.PD[[#This Row],[Pago 5]]+BD.PD[[#This Row],[Pago 4]]+BD.PD[[#This Row],[Pago 3]]+BD.PD[[#This Row],[Pago 2]]+BD.PD[[#This Row],[Pago 1]]</f>
        <v>0</v>
      </c>
      <c r="AI52" s="404"/>
      <c r="AJ52" s="404"/>
      <c r="AK52" s="404"/>
      <c r="AL52" s="404"/>
      <c r="AM52" s="404"/>
      <c r="AN52" s="404"/>
      <c r="AO52" s="404"/>
      <c r="AP52" s="404"/>
      <c r="AQ52" s="404"/>
      <c r="AR52" s="404"/>
      <c r="AS52" s="404"/>
      <c r="AT52" s="404"/>
      <c r="AU52" s="404"/>
      <c r="AV52" s="404"/>
      <c r="AW52" s="404"/>
      <c r="AX52" s="404"/>
      <c r="AY52" s="404"/>
      <c r="AZ52" s="404"/>
      <c r="BA52" s="404"/>
      <c r="BB52" s="404"/>
      <c r="BC52" s="404"/>
      <c r="BD52" s="404"/>
      <c r="BE52" s="404"/>
      <c r="BF52" s="404"/>
      <c r="BG52" s="404"/>
      <c r="BH52" s="404"/>
      <c r="BI52" s="404"/>
      <c r="BJ52" s="404"/>
      <c r="BK52" s="404"/>
      <c r="BL52" s="404"/>
      <c r="BM52" s="404"/>
      <c r="BN52" s="404"/>
      <c r="BO52" s="404"/>
      <c r="BP52" s="404"/>
      <c r="BQ52" s="404"/>
      <c r="BR52" s="404"/>
      <c r="BS52" s="404"/>
      <c r="BT52" s="404"/>
      <c r="BU52" s="404"/>
      <c r="BV52" s="404"/>
      <c r="BW52" s="404"/>
      <c r="BX52" s="404"/>
      <c r="BY52" s="404"/>
      <c r="BZ52" s="404"/>
      <c r="CA52" s="404"/>
      <c r="CB52" s="404"/>
      <c r="CC52" s="404"/>
      <c r="CD52" s="404"/>
      <c r="CE52" s="404"/>
      <c r="CF52" s="404"/>
      <c r="CG52" s="404"/>
      <c r="CH52" s="404"/>
      <c r="CI52" s="404"/>
      <c r="CJ52" s="404"/>
      <c r="CK52" s="404"/>
      <c r="CL52" s="404"/>
      <c r="CM52" s="404"/>
      <c r="CN52" s="404"/>
      <c r="CO52" s="404"/>
      <c r="CP52" s="404"/>
      <c r="CQ52" s="404"/>
      <c r="CR52" s="404"/>
      <c r="CS52" s="404"/>
      <c r="CT52" s="404"/>
      <c r="CU52" s="404"/>
      <c r="CV52" s="404"/>
      <c r="CW52" s="404"/>
      <c r="CX52" s="404"/>
      <c r="CY52" s="404"/>
      <c r="CZ52" s="404"/>
      <c r="DA52" s="404"/>
      <c r="DB52" s="404"/>
      <c r="DC52" s="404"/>
      <c r="DD52" s="404"/>
      <c r="DE52" s="404"/>
      <c r="DF52" s="404"/>
      <c r="DG52" s="404"/>
      <c r="DH52" s="404"/>
      <c r="DI52" s="404"/>
      <c r="DJ52" s="404"/>
      <c r="DK52" s="404"/>
      <c r="DL52" s="404"/>
      <c r="DM52" s="404"/>
      <c r="DN52" s="404"/>
      <c r="DO52" s="404"/>
      <c r="DP52" s="404"/>
      <c r="DQ52" s="404"/>
      <c r="DR52" s="404"/>
      <c r="DS52" s="404"/>
      <c r="DT52" s="404"/>
      <c r="DU52" s="404"/>
      <c r="DV52" s="404"/>
      <c r="DW52" s="404"/>
      <c r="DX52" s="404"/>
      <c r="DY52" s="404"/>
      <c r="DZ52" s="404"/>
      <c r="EA52" s="404"/>
      <c r="EB52" s="404"/>
      <c r="EC52" s="404"/>
      <c r="ED52" s="404"/>
      <c r="EE52" s="404"/>
      <c r="EF52" s="404"/>
      <c r="EG52" s="404"/>
      <c r="EH52" s="404"/>
      <c r="EI52" s="404"/>
      <c r="EJ52" s="404"/>
      <c r="EK52" s="404"/>
      <c r="EL52" s="404"/>
      <c r="EM52" s="404"/>
      <c r="EN52" s="404"/>
      <c r="EO52" s="404"/>
      <c r="EP52" s="404"/>
      <c r="EQ52" s="404"/>
      <c r="ER52" s="404"/>
      <c r="ES52" s="404"/>
      <c r="ET52" s="404"/>
      <c r="EU52" s="404"/>
      <c r="EV52" s="404"/>
      <c r="EW52" s="404"/>
      <c r="EX52" s="404"/>
      <c r="EY52" s="404"/>
      <c r="EZ52" s="404"/>
      <c r="FA52" s="404"/>
      <c r="FB52" s="404"/>
      <c r="FC52" s="404"/>
      <c r="FD52" s="404"/>
      <c r="FE52" s="404"/>
      <c r="FF52" s="404"/>
      <c r="FG52" s="404"/>
      <c r="FH52" s="404"/>
      <c r="FI52" s="404"/>
      <c r="FJ52" s="404"/>
      <c r="FK52" s="404"/>
      <c r="FL52" s="404"/>
      <c r="FM52" s="404"/>
      <c r="FN52" s="404"/>
      <c r="FO52" s="404"/>
      <c r="FP52" s="404"/>
      <c r="FQ52" s="404"/>
      <c r="FR52" s="404"/>
      <c r="FS52" s="404"/>
      <c r="FT52" s="404"/>
      <c r="FU52" s="404"/>
      <c r="FV52" s="404"/>
      <c r="FW52" s="404"/>
      <c r="FX52" s="404"/>
      <c r="FY52" s="404"/>
      <c r="FZ52" s="404"/>
      <c r="GA52" s="404"/>
      <c r="GB52" s="404"/>
      <c r="GC52" s="404"/>
      <c r="GD52" s="404"/>
      <c r="GE52" s="404"/>
      <c r="GF52" s="404"/>
      <c r="GG52" s="404"/>
      <c r="GH52" s="404"/>
      <c r="GI52" s="404"/>
      <c r="GJ52" s="404"/>
      <c r="GK52" s="404"/>
      <c r="GL52" s="404"/>
      <c r="GM52" s="404"/>
      <c r="GN52" s="404"/>
      <c r="GO52" s="404"/>
      <c r="GP52" s="404"/>
      <c r="GQ52" s="404"/>
      <c r="GR52" s="404"/>
      <c r="GS52" s="404"/>
      <c r="GT52" s="404"/>
      <c r="GU52" s="404"/>
      <c r="GV52" s="404"/>
      <c r="GW52" s="404"/>
      <c r="GX52" s="404"/>
      <c r="GY52" s="404"/>
      <c r="GZ52" s="404"/>
      <c r="HA52" s="404"/>
      <c r="HB52" s="404"/>
      <c r="HC52" s="404"/>
      <c r="HD52" s="404"/>
      <c r="HE52" s="404"/>
      <c r="HF52" s="404"/>
      <c r="HG52" s="404"/>
      <c r="HH52" s="404"/>
      <c r="HI52" s="404"/>
      <c r="HJ52" s="404"/>
      <c r="HK52" s="404"/>
      <c r="HL52" s="404"/>
      <c r="HM52" s="404"/>
      <c r="HN52" s="404"/>
      <c r="HO52" s="404"/>
      <c r="HP52" s="404"/>
      <c r="HQ52" s="404"/>
      <c r="HR52" s="404"/>
      <c r="HS52" s="404"/>
      <c r="HT52" s="404"/>
      <c r="HU52" s="404"/>
      <c r="HV52" s="404"/>
      <c r="HW52" s="404"/>
      <c r="HX52" s="404"/>
      <c r="HY52" s="404"/>
      <c r="HZ52" s="404"/>
      <c r="IA52" s="404"/>
    </row>
    <row r="53" spans="1:235" s="309" customFormat="1" ht="15" customHeight="1" x14ac:dyDescent="0.3">
      <c r="A53" s="231">
        <v>3.03</v>
      </c>
      <c r="B53" s="288" t="s">
        <v>574</v>
      </c>
      <c r="C53" s="289" t="str">
        <f>VLOOKUP(BD.PD[[#This Row],[Pos]],PPto[],3,FALSE)</f>
        <v>3.03 Generadores</v>
      </c>
      <c r="D53" s="290" t="s">
        <v>574</v>
      </c>
      <c r="E53" s="291">
        <f>IF(BD.PD[[#This Row],[.]]="*",VLOOKUP(BD.PD[[#This Row],[Pos]],Presupuesto!A:H,7,FALSE),"")</f>
        <v>165254.22</v>
      </c>
      <c r="F53" s="292"/>
      <c r="G53" s="292" t="s">
        <v>575</v>
      </c>
      <c r="H53" s="292"/>
      <c r="I53" s="293">
        <v>1</v>
      </c>
      <c r="J53" s="290" t="s">
        <v>456</v>
      </c>
      <c r="K53" s="294">
        <f>IF(BD.PD[[#This Row],[Mon]]="DOP",1,HLOOKUP(BD.PD[[#This Row],[Mon]],$J$1:$K$2,2,FALSE))</f>
        <v>63</v>
      </c>
      <c r="L53" s="295">
        <v>0</v>
      </c>
      <c r="M53" s="296">
        <f>BD.PD[[#This Row],[Cant.]]*BD.PD[[#This Row],[ Tasa ]]*BD.PD[[#This Row],[ Precio Und.]]</f>
        <v>0</v>
      </c>
      <c r="N53" s="297">
        <v>0</v>
      </c>
      <c r="O53" s="296">
        <f>IF(BD.PD[[#This Row],[Liquid. '[%']]]&lt;&gt;0,(BD.PD[[#This Row],[Valor Neto '[DOP']]]*BD.PD[[#This Row],[Liquid. '[%']]])+BD.PD[[#This Row],[Valor Neto '[DOP']]],BD.PD[[#This Row],[Valor Neto '[DOP']]])</f>
        <v>0</v>
      </c>
      <c r="P53" s="298">
        <f>BD.PD[[#This Row],[Ppto. Orden Interna '[DOP']]]/HLOOKUP("USD",$J$1:$K$2,2,FALSE)</f>
        <v>0</v>
      </c>
      <c r="Q53" s="299"/>
      <c r="R53" s="307"/>
      <c r="S53" s="300"/>
      <c r="T53" s="301"/>
      <c r="U53" s="308">
        <f>BD.PD[[#This Row],[Av.P1 '[%']]]*BD.PD[[#This Row],[Ppto. Orden Interna '[DOP']]]</f>
        <v>0</v>
      </c>
      <c r="V53" s="303"/>
      <c r="W53" s="304"/>
      <c r="X53" s="308">
        <f>BD.PD[[#This Row],[Av.P2 '[%']]]*BD.PD[[#This Row],[Ppto. Orden Interna '[DOP']]]</f>
        <v>0</v>
      </c>
      <c r="Y53" s="303"/>
      <c r="Z53" s="304"/>
      <c r="AA53" s="308">
        <f>BD.PD[[#This Row],[Av.P3 '[%']]]*BD.PD[[#This Row],[Ppto. Orden Interna '[DOP']]]</f>
        <v>0</v>
      </c>
      <c r="AB53" s="303"/>
      <c r="AC53" s="304"/>
      <c r="AD53" s="308">
        <f>BD.PD[[#This Row],[Av.P4 '[%']]]*BD.PD[[#This Row],[Ppto. Orden Interna '[DOP']]]</f>
        <v>0</v>
      </c>
      <c r="AE53" s="303"/>
      <c r="AF53" s="304"/>
      <c r="AG53" s="308">
        <f>BD.PD[[#This Row],[Av.P5 '[%']]]*BD.PD[[#This Row],[Ppto. Orden Interna '[DOP']]]</f>
        <v>0</v>
      </c>
      <c r="AH53" s="305">
        <f>BD.PD[[#This Row],[Pago 5]]+BD.PD[[#This Row],[Pago 4]]+BD.PD[[#This Row],[Pago 3]]+BD.PD[[#This Row],[Pago 2]]+BD.PD[[#This Row],[Pago 1]]</f>
        <v>0</v>
      </c>
      <c r="AI53" s="404"/>
      <c r="AJ53" s="404"/>
      <c r="AK53" s="404"/>
      <c r="AL53" s="404"/>
      <c r="AM53" s="404"/>
      <c r="AN53" s="404"/>
      <c r="AO53" s="404"/>
      <c r="AP53" s="404"/>
      <c r="AQ53" s="404"/>
      <c r="AR53" s="404"/>
      <c r="AS53" s="404"/>
      <c r="AT53" s="404"/>
      <c r="AU53" s="404"/>
      <c r="AV53" s="404"/>
      <c r="AW53" s="404"/>
      <c r="AX53" s="404"/>
      <c r="AY53" s="404"/>
      <c r="AZ53" s="404"/>
      <c r="BA53" s="404"/>
      <c r="BB53" s="404"/>
      <c r="BC53" s="404"/>
      <c r="BD53" s="404"/>
      <c r="BE53" s="404"/>
      <c r="BF53" s="404"/>
      <c r="BG53" s="404"/>
      <c r="BH53" s="404"/>
      <c r="BI53" s="404"/>
      <c r="BJ53" s="404"/>
      <c r="BK53" s="404"/>
      <c r="BL53" s="404"/>
      <c r="BM53" s="404"/>
      <c r="BN53" s="404"/>
      <c r="BO53" s="404"/>
      <c r="BP53" s="404"/>
      <c r="BQ53" s="404"/>
      <c r="BR53" s="404"/>
      <c r="BS53" s="404"/>
      <c r="BT53" s="404"/>
      <c r="BU53" s="404"/>
      <c r="BV53" s="404"/>
      <c r="BW53" s="404"/>
      <c r="BX53" s="404"/>
      <c r="BY53" s="404"/>
      <c r="BZ53" s="404"/>
      <c r="CA53" s="404"/>
      <c r="CB53" s="404"/>
      <c r="CC53" s="404"/>
      <c r="CD53" s="404"/>
      <c r="CE53" s="404"/>
      <c r="CF53" s="404"/>
      <c r="CG53" s="404"/>
      <c r="CH53" s="404"/>
      <c r="CI53" s="404"/>
      <c r="CJ53" s="404"/>
      <c r="CK53" s="404"/>
      <c r="CL53" s="404"/>
      <c r="CM53" s="404"/>
      <c r="CN53" s="404"/>
      <c r="CO53" s="404"/>
      <c r="CP53" s="404"/>
      <c r="CQ53" s="404"/>
      <c r="CR53" s="404"/>
      <c r="CS53" s="404"/>
      <c r="CT53" s="404"/>
      <c r="CU53" s="404"/>
      <c r="CV53" s="404"/>
      <c r="CW53" s="404"/>
      <c r="CX53" s="404"/>
      <c r="CY53" s="404"/>
      <c r="CZ53" s="404"/>
      <c r="DA53" s="404"/>
      <c r="DB53" s="404"/>
      <c r="DC53" s="404"/>
      <c r="DD53" s="404"/>
      <c r="DE53" s="404"/>
      <c r="DF53" s="404"/>
      <c r="DG53" s="404"/>
      <c r="DH53" s="404"/>
      <c r="DI53" s="404"/>
      <c r="DJ53" s="404"/>
      <c r="DK53" s="404"/>
      <c r="DL53" s="404"/>
      <c r="DM53" s="404"/>
      <c r="DN53" s="404"/>
      <c r="DO53" s="404"/>
      <c r="DP53" s="404"/>
      <c r="DQ53" s="404"/>
      <c r="DR53" s="404"/>
      <c r="DS53" s="404"/>
      <c r="DT53" s="404"/>
      <c r="DU53" s="404"/>
      <c r="DV53" s="404"/>
      <c r="DW53" s="404"/>
      <c r="DX53" s="404"/>
      <c r="DY53" s="404"/>
      <c r="DZ53" s="404"/>
      <c r="EA53" s="404"/>
      <c r="EB53" s="404"/>
      <c r="EC53" s="404"/>
      <c r="ED53" s="404"/>
      <c r="EE53" s="404"/>
      <c r="EF53" s="404"/>
      <c r="EG53" s="404"/>
      <c r="EH53" s="404"/>
      <c r="EI53" s="404"/>
      <c r="EJ53" s="404"/>
      <c r="EK53" s="404"/>
      <c r="EL53" s="404"/>
      <c r="EM53" s="404"/>
      <c r="EN53" s="404"/>
      <c r="EO53" s="404"/>
      <c r="EP53" s="404"/>
      <c r="EQ53" s="404"/>
      <c r="ER53" s="404"/>
      <c r="ES53" s="404"/>
      <c r="ET53" s="404"/>
      <c r="EU53" s="404"/>
      <c r="EV53" s="404"/>
      <c r="EW53" s="404"/>
      <c r="EX53" s="404"/>
      <c r="EY53" s="404"/>
      <c r="EZ53" s="404"/>
      <c r="FA53" s="404"/>
      <c r="FB53" s="404"/>
      <c r="FC53" s="404"/>
      <c r="FD53" s="404"/>
      <c r="FE53" s="404"/>
      <c r="FF53" s="404"/>
      <c r="FG53" s="404"/>
      <c r="FH53" s="404"/>
      <c r="FI53" s="404"/>
      <c r="FJ53" s="404"/>
      <c r="FK53" s="404"/>
      <c r="FL53" s="404"/>
      <c r="FM53" s="404"/>
      <c r="FN53" s="404"/>
      <c r="FO53" s="404"/>
      <c r="FP53" s="404"/>
      <c r="FQ53" s="404"/>
      <c r="FR53" s="404"/>
      <c r="FS53" s="404"/>
      <c r="FT53" s="404"/>
      <c r="FU53" s="404"/>
      <c r="FV53" s="404"/>
      <c r="FW53" s="404"/>
      <c r="FX53" s="404"/>
      <c r="FY53" s="404"/>
      <c r="FZ53" s="404"/>
      <c r="GA53" s="404"/>
      <c r="GB53" s="404"/>
      <c r="GC53" s="404"/>
      <c r="GD53" s="404"/>
      <c r="GE53" s="404"/>
      <c r="GF53" s="404"/>
      <c r="GG53" s="404"/>
      <c r="GH53" s="404"/>
      <c r="GI53" s="404"/>
      <c r="GJ53" s="404"/>
      <c r="GK53" s="404"/>
      <c r="GL53" s="404"/>
      <c r="GM53" s="404"/>
      <c r="GN53" s="404"/>
      <c r="GO53" s="404"/>
      <c r="GP53" s="404"/>
      <c r="GQ53" s="404"/>
      <c r="GR53" s="404"/>
      <c r="GS53" s="404"/>
      <c r="GT53" s="404"/>
      <c r="GU53" s="404"/>
      <c r="GV53" s="404"/>
      <c r="GW53" s="404"/>
      <c r="GX53" s="404"/>
      <c r="GY53" s="404"/>
      <c r="GZ53" s="404"/>
      <c r="HA53" s="404"/>
      <c r="HB53" s="404"/>
      <c r="HC53" s="404"/>
      <c r="HD53" s="404"/>
      <c r="HE53" s="404"/>
      <c r="HF53" s="404"/>
      <c r="HG53" s="404"/>
      <c r="HH53" s="404"/>
      <c r="HI53" s="404"/>
      <c r="HJ53" s="404"/>
      <c r="HK53" s="404"/>
      <c r="HL53" s="404"/>
      <c r="HM53" s="404"/>
      <c r="HN53" s="404"/>
      <c r="HO53" s="404"/>
      <c r="HP53" s="404"/>
      <c r="HQ53" s="404"/>
      <c r="HR53" s="404"/>
      <c r="HS53" s="404"/>
      <c r="HT53" s="404"/>
      <c r="HU53" s="404"/>
      <c r="HV53" s="404"/>
      <c r="HW53" s="404"/>
      <c r="HX53" s="404"/>
      <c r="HY53" s="404"/>
      <c r="HZ53" s="404"/>
      <c r="IA53" s="404"/>
    </row>
    <row r="54" spans="1:235" s="309" customFormat="1" ht="15" customHeight="1" x14ac:dyDescent="0.3">
      <c r="A54" s="231">
        <v>3.01</v>
      </c>
      <c r="B54" s="288"/>
      <c r="C54" s="289" t="str">
        <f>VLOOKUP(BD.PD[[#This Row],[Pos]],PPto[],3,FALSE)</f>
        <v>3.01 Instalaciones Eléctricas</v>
      </c>
      <c r="D54" s="231" t="s">
        <v>22</v>
      </c>
      <c r="E54" s="291" t="str">
        <f>IF(BD.PD[[#This Row],[.]]="*",VLOOKUP(BD.PD[[#This Row],[Pos]],Presupuesto!A:H,7,FALSE),"")</f>
        <v/>
      </c>
      <c r="F54" s="292" t="s">
        <v>596</v>
      </c>
      <c r="G54" s="292">
        <v>4600079255</v>
      </c>
      <c r="H54" s="358">
        <v>46204</v>
      </c>
      <c r="I54" s="359">
        <v>1</v>
      </c>
      <c r="J54" s="231" t="s">
        <v>456</v>
      </c>
      <c r="K54" s="294">
        <f>IF(BD.PD[[#This Row],[Mon]]="DOP",1,HLOOKUP(BD.PD[[#This Row],[Mon]],$J$1:$K$2,2,FALSE))</f>
        <v>63</v>
      </c>
      <c r="L54" s="360">
        <v>212120.5</v>
      </c>
      <c r="M54" s="296">
        <f>BD.PD[[#This Row],[Cant.]]*BD.PD[[#This Row],[ Tasa ]]*BD.PD[[#This Row],[ Precio Und.]]</f>
        <v>13363591.5</v>
      </c>
      <c r="N54" s="361">
        <v>0.22</v>
      </c>
      <c r="O54" s="296">
        <f>IF(BD.PD[[#This Row],[Liquid. '[%']]]&lt;&gt;0,(BD.PD[[#This Row],[Valor Neto '[DOP']]]*BD.PD[[#This Row],[Liquid. '[%']]])+BD.PD[[#This Row],[Valor Neto '[DOP']]],BD.PD[[#This Row],[Valor Neto '[DOP']]])</f>
        <v>16303581.629999999</v>
      </c>
      <c r="P54" s="298">
        <f>BD.PD[[#This Row],[Ppto. Orden Interna '[DOP']]]/HLOOKUP("USD",$J$1:$K$2,2,FALSE)</f>
        <v>258787.00999999998</v>
      </c>
      <c r="Q54" s="299" t="s">
        <v>586</v>
      </c>
      <c r="R54" s="307" t="s">
        <v>597</v>
      </c>
      <c r="S54" s="300">
        <v>2</v>
      </c>
      <c r="T54" s="301">
        <v>0.5</v>
      </c>
      <c r="U54" s="308">
        <f>BD.PD[[#This Row],[Av.P1 '[%']]]*BD.PD[[#This Row],[Ppto. Orden Interna '[DOP']]]</f>
        <v>8151790.8149999995</v>
      </c>
      <c r="V54" s="303">
        <v>21</v>
      </c>
      <c r="W54" s="304">
        <v>0.5</v>
      </c>
      <c r="X54" s="308">
        <f>BD.PD[[#This Row],[Av.P2 '[%']]]*BD.PD[[#This Row],[Ppto. Orden Interna '[DOP']]]</f>
        <v>8151790.8149999995</v>
      </c>
      <c r="Y54" s="303"/>
      <c r="Z54" s="304"/>
      <c r="AA54" s="308">
        <f>BD.PD[[#This Row],[Av.P3 '[%']]]*BD.PD[[#This Row],[Ppto. Orden Interna '[DOP']]]</f>
        <v>0</v>
      </c>
      <c r="AB54" s="303"/>
      <c r="AC54" s="304"/>
      <c r="AD54" s="308">
        <f>BD.PD[[#This Row],[Av.P4 '[%']]]*BD.PD[[#This Row],[Ppto. Orden Interna '[DOP']]]</f>
        <v>0</v>
      </c>
      <c r="AE54" s="303"/>
      <c r="AF54" s="304"/>
      <c r="AG54" s="308">
        <f>BD.PD[[#This Row],[Av.P5 '[%']]]*BD.PD[[#This Row],[Ppto. Orden Interna '[DOP']]]</f>
        <v>0</v>
      </c>
      <c r="AH54" s="305">
        <f>BD.PD[[#This Row],[Pago 5]]+BD.PD[[#This Row],[Pago 4]]+BD.PD[[#This Row],[Pago 3]]+BD.PD[[#This Row],[Pago 2]]+BD.PD[[#This Row],[Pago 1]]</f>
        <v>16303581.629999999</v>
      </c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404"/>
      <c r="BG54" s="404"/>
      <c r="BH54" s="404"/>
      <c r="BI54" s="404"/>
      <c r="BJ54" s="404"/>
      <c r="BK54" s="404"/>
      <c r="BL54" s="404"/>
      <c r="BM54" s="404"/>
      <c r="BN54" s="404"/>
      <c r="BO54" s="404"/>
      <c r="BP54" s="404"/>
      <c r="BQ54" s="404"/>
      <c r="BR54" s="404"/>
      <c r="BS54" s="404"/>
      <c r="BT54" s="404"/>
      <c r="BU54" s="404"/>
      <c r="BV54" s="404"/>
      <c r="BW54" s="404"/>
      <c r="BX54" s="404"/>
      <c r="BY54" s="404"/>
      <c r="BZ54" s="404"/>
      <c r="CA54" s="404"/>
      <c r="CB54" s="404"/>
      <c r="CC54" s="404"/>
      <c r="CD54" s="404"/>
      <c r="CE54" s="404"/>
      <c r="CF54" s="404"/>
      <c r="CG54" s="404"/>
      <c r="CH54" s="404"/>
      <c r="CI54" s="404"/>
      <c r="CJ54" s="404"/>
      <c r="CK54" s="404"/>
      <c r="CL54" s="404"/>
      <c r="CM54" s="404"/>
      <c r="CN54" s="404"/>
      <c r="CO54" s="404"/>
      <c r="CP54" s="404"/>
      <c r="CQ54" s="404"/>
      <c r="CR54" s="404"/>
      <c r="CS54" s="404"/>
      <c r="CT54" s="404"/>
      <c r="CU54" s="404"/>
      <c r="CV54" s="404"/>
      <c r="CW54" s="404"/>
      <c r="CX54" s="404"/>
      <c r="CY54" s="404"/>
      <c r="CZ54" s="404"/>
      <c r="DA54" s="404"/>
      <c r="DB54" s="404"/>
      <c r="DC54" s="404"/>
      <c r="DD54" s="404"/>
      <c r="DE54" s="404"/>
      <c r="DF54" s="404"/>
      <c r="DG54" s="404"/>
      <c r="DH54" s="404"/>
      <c r="DI54" s="404"/>
      <c r="DJ54" s="404"/>
      <c r="DK54" s="404"/>
      <c r="DL54" s="404"/>
      <c r="DM54" s="404"/>
      <c r="DN54" s="404"/>
      <c r="DO54" s="404"/>
      <c r="DP54" s="404"/>
      <c r="DQ54" s="404"/>
      <c r="DR54" s="404"/>
      <c r="DS54" s="404"/>
      <c r="DT54" s="404"/>
      <c r="DU54" s="404"/>
      <c r="DV54" s="404"/>
      <c r="DW54" s="404"/>
      <c r="DX54" s="404"/>
      <c r="DY54" s="404"/>
      <c r="DZ54" s="404"/>
      <c r="EA54" s="404"/>
      <c r="EB54" s="404"/>
      <c r="EC54" s="404"/>
      <c r="ED54" s="404"/>
      <c r="EE54" s="404"/>
      <c r="EF54" s="404"/>
      <c r="EG54" s="404"/>
      <c r="EH54" s="404"/>
      <c r="EI54" s="404"/>
      <c r="EJ54" s="404"/>
      <c r="EK54" s="404"/>
      <c r="EL54" s="404"/>
      <c r="EM54" s="404"/>
      <c r="EN54" s="404"/>
      <c r="EO54" s="404"/>
      <c r="EP54" s="404"/>
      <c r="EQ54" s="404"/>
      <c r="ER54" s="404"/>
      <c r="ES54" s="404"/>
      <c r="ET54" s="404"/>
      <c r="EU54" s="404"/>
      <c r="EV54" s="404"/>
      <c r="EW54" s="404"/>
      <c r="EX54" s="404"/>
      <c r="EY54" s="404"/>
      <c r="EZ54" s="404"/>
      <c r="FA54" s="404"/>
      <c r="FB54" s="404"/>
      <c r="FC54" s="404"/>
      <c r="FD54" s="404"/>
      <c r="FE54" s="404"/>
      <c r="FF54" s="404"/>
      <c r="FG54" s="404"/>
      <c r="FH54" s="404"/>
      <c r="FI54" s="404"/>
      <c r="FJ54" s="404"/>
      <c r="FK54" s="404"/>
      <c r="FL54" s="404"/>
      <c r="FM54" s="404"/>
      <c r="FN54" s="404"/>
      <c r="FO54" s="404"/>
      <c r="FP54" s="404"/>
      <c r="FQ54" s="404"/>
      <c r="FR54" s="404"/>
      <c r="FS54" s="404"/>
      <c r="FT54" s="404"/>
      <c r="FU54" s="404"/>
      <c r="FV54" s="404"/>
      <c r="FW54" s="404"/>
      <c r="FX54" s="404"/>
      <c r="FY54" s="404"/>
      <c r="FZ54" s="404"/>
      <c r="GA54" s="404"/>
      <c r="GB54" s="404"/>
      <c r="GC54" s="404"/>
      <c r="GD54" s="404"/>
      <c r="GE54" s="404"/>
      <c r="GF54" s="404"/>
      <c r="GG54" s="404"/>
      <c r="GH54" s="404"/>
      <c r="GI54" s="404"/>
      <c r="GJ54" s="404"/>
      <c r="GK54" s="404"/>
      <c r="GL54" s="404"/>
      <c r="GM54" s="404"/>
      <c r="GN54" s="404"/>
      <c r="GO54" s="404"/>
      <c r="GP54" s="404"/>
      <c r="GQ54" s="404"/>
      <c r="GR54" s="404"/>
      <c r="GS54" s="404"/>
      <c r="GT54" s="404"/>
      <c r="GU54" s="404"/>
      <c r="GV54" s="404"/>
      <c r="GW54" s="404"/>
      <c r="GX54" s="404"/>
      <c r="GY54" s="404"/>
      <c r="GZ54" s="404"/>
      <c r="HA54" s="404"/>
      <c r="HB54" s="404"/>
      <c r="HC54" s="404"/>
      <c r="HD54" s="404"/>
      <c r="HE54" s="404"/>
      <c r="HF54" s="404"/>
      <c r="HG54" s="404"/>
      <c r="HH54" s="404"/>
      <c r="HI54" s="404"/>
      <c r="HJ54" s="404"/>
      <c r="HK54" s="404"/>
      <c r="HL54" s="404"/>
      <c r="HM54" s="404"/>
      <c r="HN54" s="404"/>
      <c r="HO54" s="404"/>
      <c r="HP54" s="404"/>
      <c r="HQ54" s="404"/>
      <c r="HR54" s="404"/>
      <c r="HS54" s="404"/>
      <c r="HT54" s="404"/>
      <c r="HU54" s="404"/>
      <c r="HV54" s="404"/>
      <c r="HW54" s="404"/>
      <c r="HX54" s="404"/>
      <c r="HY54" s="404"/>
      <c r="HZ54" s="404"/>
      <c r="IA54" s="404"/>
    </row>
    <row r="55" spans="1:235" s="309" customFormat="1" ht="15" customHeight="1" x14ac:dyDescent="0.3">
      <c r="A55" s="231">
        <v>3.03</v>
      </c>
      <c r="B55" s="288"/>
      <c r="C55" s="289" t="str">
        <f>VLOOKUP(BD.PD[[#This Row],[Pos]],PPto[],3,FALSE)</f>
        <v>3.03 Generadores</v>
      </c>
      <c r="D55" s="231" t="s">
        <v>22</v>
      </c>
      <c r="E55" s="291" t="str">
        <f>IF(BD.PD[[#This Row],[.]]="*",VLOOKUP(BD.PD[[#This Row],[Pos]],Presupuesto!A:H,7,FALSE),"")</f>
        <v/>
      </c>
      <c r="F55" s="292" t="s">
        <v>598</v>
      </c>
      <c r="G55" s="292">
        <v>4512415673</v>
      </c>
      <c r="H55" s="358">
        <v>45708</v>
      </c>
      <c r="I55" s="359">
        <v>2</v>
      </c>
      <c r="J55" s="231" t="s">
        <v>456</v>
      </c>
      <c r="K55" s="294">
        <f>IF(BD.PD[[#This Row],[Mon]]="DOP",1,HLOOKUP(BD.PD[[#This Row],[Mon]],$J$1:$K$2,2,FALSE))</f>
        <v>63</v>
      </c>
      <c r="L55" s="360">
        <v>82627.11</v>
      </c>
      <c r="M55" s="296">
        <f>BD.PD[[#This Row],[Cant.]]*BD.PD[[#This Row],[ Tasa ]]*BD.PD[[#This Row],[ Precio Und.]]</f>
        <v>10411015.859999999</v>
      </c>
      <c r="N55" s="361">
        <v>0</v>
      </c>
      <c r="O55" s="296">
        <f>IF(BD.PD[[#This Row],[Liquid. '[%']]]&lt;&gt;0,(BD.PD[[#This Row],[Valor Neto '[DOP']]]*BD.PD[[#This Row],[Liquid. '[%']]])+BD.PD[[#This Row],[Valor Neto '[DOP']]],BD.PD[[#This Row],[Valor Neto '[DOP']]])</f>
        <v>10411015.859999999</v>
      </c>
      <c r="P55" s="298">
        <f>BD.PD[[#This Row],[Ppto. Orden Interna '[DOP']]]/HLOOKUP("USD",$J$1:$K$2,2,FALSE)</f>
        <v>165254.22</v>
      </c>
      <c r="Q55" s="299" t="s">
        <v>586</v>
      </c>
      <c r="R55" s="307" t="s">
        <v>597</v>
      </c>
      <c r="S55" s="300">
        <v>2</v>
      </c>
      <c r="T55" s="301">
        <v>0.5</v>
      </c>
      <c r="U55" s="308">
        <f>BD.PD[[#This Row],[Av.P1 '[%']]]*BD.PD[[#This Row],[Ppto. Orden Interna '[DOP']]]</f>
        <v>5205507.93</v>
      </c>
      <c r="V55" s="303">
        <v>21</v>
      </c>
      <c r="W55" s="304">
        <v>0.5</v>
      </c>
      <c r="X55" s="308">
        <f>BD.PD[[#This Row],[Av.P2 '[%']]]*BD.PD[[#This Row],[Ppto. Orden Interna '[DOP']]]</f>
        <v>5205507.93</v>
      </c>
      <c r="Y55" s="303"/>
      <c r="Z55" s="304"/>
      <c r="AA55" s="308">
        <f>BD.PD[[#This Row],[Av.P3 '[%']]]*BD.PD[[#This Row],[Ppto. Orden Interna '[DOP']]]</f>
        <v>0</v>
      </c>
      <c r="AB55" s="303"/>
      <c r="AC55" s="304"/>
      <c r="AD55" s="308">
        <f>BD.PD[[#This Row],[Av.P4 '[%']]]*BD.PD[[#This Row],[Ppto. Orden Interna '[DOP']]]</f>
        <v>0</v>
      </c>
      <c r="AE55" s="303"/>
      <c r="AF55" s="304"/>
      <c r="AG55" s="308">
        <f>BD.PD[[#This Row],[Av.P5 '[%']]]*BD.PD[[#This Row],[Ppto. Orden Interna '[DOP']]]</f>
        <v>0</v>
      </c>
      <c r="AH55" s="305">
        <f>BD.PD[[#This Row],[Pago 5]]+BD.PD[[#This Row],[Pago 4]]+BD.PD[[#This Row],[Pago 3]]+BD.PD[[#This Row],[Pago 2]]+BD.PD[[#This Row],[Pago 1]]</f>
        <v>10411015.859999999</v>
      </c>
      <c r="AI55" s="404"/>
      <c r="AJ55" s="404"/>
      <c r="AK55" s="404"/>
      <c r="AL55" s="404"/>
      <c r="AM55" s="404"/>
      <c r="AN55" s="404"/>
      <c r="AO55" s="404"/>
      <c r="AP55" s="404"/>
      <c r="AQ55" s="404"/>
      <c r="AR55" s="404"/>
      <c r="AS55" s="404"/>
      <c r="AT55" s="404"/>
      <c r="AU55" s="404"/>
      <c r="AV55" s="404"/>
      <c r="AW55" s="404"/>
      <c r="AX55" s="404"/>
      <c r="AY55" s="404"/>
      <c r="AZ55" s="404"/>
      <c r="BA55" s="404"/>
      <c r="BB55" s="404"/>
      <c r="BC55" s="404"/>
      <c r="BD55" s="404"/>
      <c r="BE55" s="404"/>
      <c r="BF55" s="404"/>
      <c r="BG55" s="404"/>
      <c r="BH55" s="404"/>
      <c r="BI55" s="404"/>
      <c r="BJ55" s="404"/>
      <c r="BK55" s="404"/>
      <c r="BL55" s="404"/>
      <c r="BM55" s="404"/>
      <c r="BN55" s="404"/>
      <c r="BO55" s="404"/>
      <c r="BP55" s="404"/>
      <c r="BQ55" s="404"/>
      <c r="BR55" s="404"/>
      <c r="BS55" s="404"/>
      <c r="BT55" s="404"/>
      <c r="BU55" s="404"/>
      <c r="BV55" s="404"/>
      <c r="BW55" s="404"/>
      <c r="BX55" s="404"/>
      <c r="BY55" s="404"/>
      <c r="BZ55" s="404"/>
      <c r="CA55" s="404"/>
      <c r="CB55" s="404"/>
      <c r="CC55" s="404"/>
      <c r="CD55" s="404"/>
      <c r="CE55" s="404"/>
      <c r="CF55" s="404"/>
      <c r="CG55" s="404"/>
      <c r="CH55" s="404"/>
      <c r="CI55" s="404"/>
      <c r="CJ55" s="404"/>
      <c r="CK55" s="404"/>
      <c r="CL55" s="404"/>
      <c r="CM55" s="404"/>
      <c r="CN55" s="404"/>
      <c r="CO55" s="404"/>
      <c r="CP55" s="404"/>
      <c r="CQ55" s="404"/>
      <c r="CR55" s="404"/>
      <c r="CS55" s="404"/>
      <c r="CT55" s="404"/>
      <c r="CU55" s="404"/>
      <c r="CV55" s="404"/>
      <c r="CW55" s="404"/>
      <c r="CX55" s="404"/>
      <c r="CY55" s="404"/>
      <c r="CZ55" s="404"/>
      <c r="DA55" s="404"/>
      <c r="DB55" s="404"/>
      <c r="DC55" s="404"/>
      <c r="DD55" s="404"/>
      <c r="DE55" s="404"/>
      <c r="DF55" s="404"/>
      <c r="DG55" s="404"/>
      <c r="DH55" s="404"/>
      <c r="DI55" s="404"/>
      <c r="DJ55" s="404"/>
      <c r="DK55" s="404"/>
      <c r="DL55" s="404"/>
      <c r="DM55" s="404"/>
      <c r="DN55" s="404"/>
      <c r="DO55" s="404"/>
      <c r="DP55" s="404"/>
      <c r="DQ55" s="404"/>
      <c r="DR55" s="404"/>
      <c r="DS55" s="404"/>
      <c r="DT55" s="404"/>
      <c r="DU55" s="404"/>
      <c r="DV55" s="404"/>
      <c r="DW55" s="404"/>
      <c r="DX55" s="404"/>
      <c r="DY55" s="404"/>
      <c r="DZ55" s="404"/>
      <c r="EA55" s="404"/>
      <c r="EB55" s="404"/>
      <c r="EC55" s="404"/>
      <c r="ED55" s="404"/>
      <c r="EE55" s="404"/>
      <c r="EF55" s="404"/>
      <c r="EG55" s="404"/>
      <c r="EH55" s="404"/>
      <c r="EI55" s="404"/>
      <c r="EJ55" s="404"/>
      <c r="EK55" s="404"/>
      <c r="EL55" s="404"/>
      <c r="EM55" s="404"/>
      <c r="EN55" s="404"/>
      <c r="EO55" s="404"/>
      <c r="EP55" s="404"/>
      <c r="EQ55" s="404"/>
      <c r="ER55" s="404"/>
      <c r="ES55" s="404"/>
      <c r="ET55" s="404"/>
      <c r="EU55" s="404"/>
      <c r="EV55" s="404"/>
      <c r="EW55" s="404"/>
      <c r="EX55" s="404"/>
      <c r="EY55" s="404"/>
      <c r="EZ55" s="404"/>
      <c r="FA55" s="404"/>
      <c r="FB55" s="404"/>
      <c r="FC55" s="404"/>
      <c r="FD55" s="404"/>
      <c r="FE55" s="404"/>
      <c r="FF55" s="404"/>
      <c r="FG55" s="404"/>
      <c r="FH55" s="404"/>
      <c r="FI55" s="404"/>
      <c r="FJ55" s="404"/>
      <c r="FK55" s="404"/>
      <c r="FL55" s="404"/>
      <c r="FM55" s="404"/>
      <c r="FN55" s="404"/>
      <c r="FO55" s="404"/>
      <c r="FP55" s="404"/>
      <c r="FQ55" s="404"/>
      <c r="FR55" s="404"/>
      <c r="FS55" s="404"/>
      <c r="FT55" s="404"/>
      <c r="FU55" s="404"/>
      <c r="FV55" s="404"/>
      <c r="FW55" s="404"/>
      <c r="FX55" s="404"/>
      <c r="FY55" s="404"/>
      <c r="FZ55" s="404"/>
      <c r="GA55" s="404"/>
      <c r="GB55" s="404"/>
      <c r="GC55" s="404"/>
      <c r="GD55" s="404"/>
      <c r="GE55" s="404"/>
      <c r="GF55" s="404"/>
      <c r="GG55" s="404"/>
      <c r="GH55" s="404"/>
      <c r="GI55" s="404"/>
      <c r="GJ55" s="404"/>
      <c r="GK55" s="404"/>
      <c r="GL55" s="404"/>
      <c r="GM55" s="404"/>
      <c r="GN55" s="404"/>
      <c r="GO55" s="404"/>
      <c r="GP55" s="404"/>
      <c r="GQ55" s="404"/>
      <c r="GR55" s="404"/>
      <c r="GS55" s="404"/>
      <c r="GT55" s="404"/>
      <c r="GU55" s="404"/>
      <c r="GV55" s="404"/>
      <c r="GW55" s="404"/>
      <c r="GX55" s="404"/>
      <c r="GY55" s="404"/>
      <c r="GZ55" s="404"/>
      <c r="HA55" s="404"/>
      <c r="HB55" s="404"/>
      <c r="HC55" s="404"/>
      <c r="HD55" s="404"/>
      <c r="HE55" s="404"/>
      <c r="HF55" s="404"/>
      <c r="HG55" s="404"/>
      <c r="HH55" s="404"/>
      <c r="HI55" s="404"/>
      <c r="HJ55" s="404"/>
      <c r="HK55" s="404"/>
      <c r="HL55" s="404"/>
      <c r="HM55" s="404"/>
      <c r="HN55" s="404"/>
      <c r="HO55" s="404"/>
      <c r="HP55" s="404"/>
      <c r="HQ55" s="404"/>
      <c r="HR55" s="404"/>
      <c r="HS55" s="404"/>
      <c r="HT55" s="404"/>
      <c r="HU55" s="404"/>
      <c r="HV55" s="404"/>
      <c r="HW55" s="404"/>
      <c r="HX55" s="404"/>
      <c r="HY55" s="404"/>
      <c r="HZ55" s="404"/>
      <c r="IA55" s="404"/>
    </row>
    <row r="56" spans="1:235" s="309" customFormat="1" ht="15" customHeight="1" x14ac:dyDescent="0.3">
      <c r="A56" s="231">
        <v>3.04</v>
      </c>
      <c r="B56" s="288" t="s">
        <v>574</v>
      </c>
      <c r="C56" s="289" t="str">
        <f>VLOOKUP(BD.PD[[#This Row],[Pos]],PPto[],3,FALSE)</f>
        <v>3.04 Inversor y UPS</v>
      </c>
      <c r="D56" s="290" t="s">
        <v>574</v>
      </c>
      <c r="E56" s="291">
        <f>IF(BD.PD[[#This Row],[.]]="*",VLOOKUP(BD.PD[[#This Row],[Pos]],Presupuesto!A:H,7,FALSE),"")</f>
        <v>15304.913597444089</v>
      </c>
      <c r="F56" s="292"/>
      <c r="G56" s="292" t="s">
        <v>575</v>
      </c>
      <c r="H56" s="292"/>
      <c r="I56" s="293">
        <v>1</v>
      </c>
      <c r="J56" s="290" t="s">
        <v>456</v>
      </c>
      <c r="K56" s="294">
        <f>IF(BD.PD[[#This Row],[Mon]]="DOP",1,HLOOKUP(BD.PD[[#This Row],[Mon]],$J$1:$K$2,2,FALSE))</f>
        <v>63</v>
      </c>
      <c r="L56" s="295">
        <v>0</v>
      </c>
      <c r="M56" s="296">
        <f>BD.PD[[#This Row],[Cant.]]*BD.PD[[#This Row],[ Tasa ]]*BD.PD[[#This Row],[ Precio Und.]]</f>
        <v>0</v>
      </c>
      <c r="N56" s="297">
        <v>0</v>
      </c>
      <c r="O56" s="296">
        <f>IF(BD.PD[[#This Row],[Liquid. '[%']]]&lt;&gt;0,(BD.PD[[#This Row],[Valor Neto '[DOP']]]*BD.PD[[#This Row],[Liquid. '[%']]])+BD.PD[[#This Row],[Valor Neto '[DOP']]],BD.PD[[#This Row],[Valor Neto '[DOP']]])</f>
        <v>0</v>
      </c>
      <c r="P56" s="298">
        <f>BD.PD[[#This Row],[Ppto. Orden Interna '[DOP']]]/HLOOKUP("USD",$J$1:$K$2,2,FALSE)</f>
        <v>0</v>
      </c>
      <c r="Q56" s="299"/>
      <c r="R56" s="307"/>
      <c r="S56" s="300"/>
      <c r="T56" s="301"/>
      <c r="U56" s="308">
        <f>BD.PD[[#This Row],[Av.P1 '[%']]]*BD.PD[[#This Row],[Ppto. Orden Interna '[DOP']]]</f>
        <v>0</v>
      </c>
      <c r="V56" s="303"/>
      <c r="W56" s="304"/>
      <c r="X56" s="308">
        <f>BD.PD[[#This Row],[Av.P2 '[%']]]*BD.PD[[#This Row],[Ppto. Orden Interna '[DOP']]]</f>
        <v>0</v>
      </c>
      <c r="Y56" s="303"/>
      <c r="Z56" s="304"/>
      <c r="AA56" s="308">
        <f>BD.PD[[#This Row],[Av.P3 '[%']]]*BD.PD[[#This Row],[Ppto. Orden Interna '[DOP']]]</f>
        <v>0</v>
      </c>
      <c r="AB56" s="303"/>
      <c r="AC56" s="304"/>
      <c r="AD56" s="308">
        <f>BD.PD[[#This Row],[Av.P4 '[%']]]*BD.PD[[#This Row],[Ppto. Orden Interna '[DOP']]]</f>
        <v>0</v>
      </c>
      <c r="AE56" s="303"/>
      <c r="AF56" s="304"/>
      <c r="AG56" s="308">
        <f>BD.PD[[#This Row],[Av.P5 '[%']]]*BD.PD[[#This Row],[Ppto. Orden Interna '[DOP']]]</f>
        <v>0</v>
      </c>
      <c r="AH56" s="305">
        <f>BD.PD[[#This Row],[Pago 5]]+BD.PD[[#This Row],[Pago 4]]+BD.PD[[#This Row],[Pago 3]]+BD.PD[[#This Row],[Pago 2]]+BD.PD[[#This Row],[Pago 1]]</f>
        <v>0</v>
      </c>
      <c r="AI56" s="404"/>
      <c r="AJ56" s="404"/>
      <c r="AK56" s="404"/>
      <c r="AL56" s="404"/>
      <c r="AM56" s="404"/>
      <c r="AN56" s="404"/>
      <c r="AO56" s="404"/>
      <c r="AP56" s="404"/>
      <c r="AQ56" s="404"/>
      <c r="AR56" s="404"/>
      <c r="AS56" s="404"/>
      <c r="AT56" s="404"/>
      <c r="AU56" s="404"/>
      <c r="AV56" s="404"/>
      <c r="AW56" s="404"/>
      <c r="AX56" s="404"/>
      <c r="AY56" s="404"/>
      <c r="AZ56" s="404"/>
      <c r="BA56" s="404"/>
      <c r="BB56" s="404"/>
      <c r="BC56" s="404"/>
      <c r="BD56" s="404"/>
      <c r="BE56" s="404"/>
      <c r="BF56" s="404"/>
      <c r="BG56" s="404"/>
      <c r="BH56" s="404"/>
      <c r="BI56" s="404"/>
      <c r="BJ56" s="404"/>
      <c r="BK56" s="404"/>
      <c r="BL56" s="404"/>
      <c r="BM56" s="404"/>
      <c r="BN56" s="404"/>
      <c r="BO56" s="404"/>
      <c r="BP56" s="404"/>
      <c r="BQ56" s="404"/>
      <c r="BR56" s="404"/>
      <c r="BS56" s="404"/>
      <c r="BT56" s="404"/>
      <c r="BU56" s="404"/>
      <c r="BV56" s="404"/>
      <c r="BW56" s="404"/>
      <c r="BX56" s="404"/>
      <c r="BY56" s="404"/>
      <c r="BZ56" s="404"/>
      <c r="CA56" s="404"/>
      <c r="CB56" s="404"/>
      <c r="CC56" s="404"/>
      <c r="CD56" s="404"/>
      <c r="CE56" s="404"/>
      <c r="CF56" s="404"/>
      <c r="CG56" s="404"/>
      <c r="CH56" s="404"/>
      <c r="CI56" s="404"/>
      <c r="CJ56" s="404"/>
      <c r="CK56" s="404"/>
      <c r="CL56" s="404"/>
      <c r="CM56" s="404"/>
      <c r="CN56" s="404"/>
      <c r="CO56" s="404"/>
      <c r="CP56" s="404"/>
      <c r="CQ56" s="404"/>
      <c r="CR56" s="404"/>
      <c r="CS56" s="404"/>
      <c r="CT56" s="404"/>
      <c r="CU56" s="404"/>
      <c r="CV56" s="404"/>
      <c r="CW56" s="404"/>
      <c r="CX56" s="404"/>
      <c r="CY56" s="404"/>
      <c r="CZ56" s="404"/>
      <c r="DA56" s="404"/>
      <c r="DB56" s="404"/>
      <c r="DC56" s="404"/>
      <c r="DD56" s="404"/>
      <c r="DE56" s="404"/>
      <c r="DF56" s="404"/>
      <c r="DG56" s="404"/>
      <c r="DH56" s="404"/>
      <c r="DI56" s="404"/>
      <c r="DJ56" s="404"/>
      <c r="DK56" s="404"/>
      <c r="DL56" s="404"/>
      <c r="DM56" s="404"/>
      <c r="DN56" s="404"/>
      <c r="DO56" s="404"/>
      <c r="DP56" s="404"/>
      <c r="DQ56" s="404"/>
      <c r="DR56" s="404"/>
      <c r="DS56" s="404"/>
      <c r="DT56" s="404"/>
      <c r="DU56" s="404"/>
      <c r="DV56" s="404"/>
      <c r="DW56" s="404"/>
      <c r="DX56" s="404"/>
      <c r="DY56" s="404"/>
      <c r="DZ56" s="404"/>
      <c r="EA56" s="404"/>
      <c r="EB56" s="404"/>
      <c r="EC56" s="404"/>
      <c r="ED56" s="404"/>
      <c r="EE56" s="404"/>
      <c r="EF56" s="404"/>
      <c r="EG56" s="404"/>
      <c r="EH56" s="404"/>
      <c r="EI56" s="404"/>
      <c r="EJ56" s="404"/>
      <c r="EK56" s="404"/>
      <c r="EL56" s="404"/>
      <c r="EM56" s="404"/>
      <c r="EN56" s="404"/>
      <c r="EO56" s="404"/>
      <c r="EP56" s="404"/>
      <c r="EQ56" s="404"/>
      <c r="ER56" s="404"/>
      <c r="ES56" s="404"/>
      <c r="ET56" s="404"/>
      <c r="EU56" s="404"/>
      <c r="EV56" s="404"/>
      <c r="EW56" s="404"/>
      <c r="EX56" s="404"/>
      <c r="EY56" s="404"/>
      <c r="EZ56" s="404"/>
      <c r="FA56" s="404"/>
      <c r="FB56" s="404"/>
      <c r="FC56" s="404"/>
      <c r="FD56" s="404"/>
      <c r="FE56" s="404"/>
      <c r="FF56" s="404"/>
      <c r="FG56" s="404"/>
      <c r="FH56" s="404"/>
      <c r="FI56" s="404"/>
      <c r="FJ56" s="404"/>
      <c r="FK56" s="404"/>
      <c r="FL56" s="404"/>
      <c r="FM56" s="404"/>
      <c r="FN56" s="404"/>
      <c r="FO56" s="404"/>
      <c r="FP56" s="404"/>
      <c r="FQ56" s="404"/>
      <c r="FR56" s="404"/>
      <c r="FS56" s="404"/>
      <c r="FT56" s="404"/>
      <c r="FU56" s="404"/>
      <c r="FV56" s="404"/>
      <c r="FW56" s="404"/>
      <c r="FX56" s="404"/>
      <c r="FY56" s="404"/>
      <c r="FZ56" s="404"/>
      <c r="GA56" s="404"/>
      <c r="GB56" s="404"/>
      <c r="GC56" s="404"/>
      <c r="GD56" s="404"/>
      <c r="GE56" s="404"/>
      <c r="GF56" s="404"/>
      <c r="GG56" s="404"/>
      <c r="GH56" s="404"/>
      <c r="GI56" s="404"/>
      <c r="GJ56" s="404"/>
      <c r="GK56" s="404"/>
      <c r="GL56" s="404"/>
      <c r="GM56" s="404"/>
      <c r="GN56" s="404"/>
      <c r="GO56" s="404"/>
      <c r="GP56" s="404"/>
      <c r="GQ56" s="404"/>
      <c r="GR56" s="404"/>
      <c r="GS56" s="404"/>
      <c r="GT56" s="404"/>
      <c r="GU56" s="404"/>
      <c r="GV56" s="404"/>
      <c r="GW56" s="404"/>
      <c r="GX56" s="404"/>
      <c r="GY56" s="404"/>
      <c r="GZ56" s="404"/>
      <c r="HA56" s="404"/>
      <c r="HB56" s="404"/>
      <c r="HC56" s="404"/>
      <c r="HD56" s="404"/>
      <c r="HE56" s="404"/>
      <c r="HF56" s="404"/>
      <c r="HG56" s="404"/>
      <c r="HH56" s="404"/>
      <c r="HI56" s="404"/>
      <c r="HJ56" s="404"/>
      <c r="HK56" s="404"/>
      <c r="HL56" s="404"/>
      <c r="HM56" s="404"/>
      <c r="HN56" s="404"/>
      <c r="HO56" s="404"/>
      <c r="HP56" s="404"/>
      <c r="HQ56" s="404"/>
      <c r="HR56" s="404"/>
      <c r="HS56" s="404"/>
      <c r="HT56" s="404"/>
      <c r="HU56" s="404"/>
      <c r="HV56" s="404"/>
      <c r="HW56" s="404"/>
      <c r="HX56" s="404"/>
      <c r="HY56" s="404"/>
      <c r="HZ56" s="404"/>
      <c r="IA56" s="404"/>
    </row>
    <row r="57" spans="1:235" s="309" customFormat="1" ht="15" customHeight="1" x14ac:dyDescent="0.3">
      <c r="A57" s="231">
        <v>3.04</v>
      </c>
      <c r="B57" s="288"/>
      <c r="C57" s="289" t="str">
        <f>VLOOKUP(BD.PD[[#This Row],[Pos]],PPto[],3,FALSE)</f>
        <v>3.04 Inversor y UPS</v>
      </c>
      <c r="D57" s="231" t="s">
        <v>22</v>
      </c>
      <c r="E57" s="291" t="str">
        <f>IF(BD.PD[[#This Row],[.]]="*",VLOOKUP(BD.PD[[#This Row],[Pos]],Presupuesto!A:H,7,FALSE),"")</f>
        <v/>
      </c>
      <c r="F57" s="384" t="s">
        <v>599</v>
      </c>
      <c r="G57" s="292" t="s">
        <v>578</v>
      </c>
      <c r="H57" s="358">
        <v>45921</v>
      </c>
      <c r="I57" s="491">
        <v>1</v>
      </c>
      <c r="J57" s="231" t="s">
        <v>456</v>
      </c>
      <c r="K57" s="294">
        <f>IF(BD.PD[[#This Row],[Mon]]="DOP",1,HLOOKUP(BD.PD[[#This Row],[Mon]],$J$1:$K$2,2,FALSE))</f>
        <v>63</v>
      </c>
      <c r="L57" s="492">
        <v>1750</v>
      </c>
      <c r="M57" s="296">
        <f>BD.PD[[#This Row],[Cant.]]*BD.PD[[#This Row],[ Tasa ]]*BD.PD[[#This Row],[ Precio Und.]]</f>
        <v>110250</v>
      </c>
      <c r="N57" s="361">
        <v>0</v>
      </c>
      <c r="O57" s="296">
        <f>IF(BD.PD[[#This Row],[Liquid. '[%']]]&lt;&gt;0,(BD.PD[[#This Row],[Valor Neto '[DOP']]]*BD.PD[[#This Row],[Liquid. '[%']]])+BD.PD[[#This Row],[Valor Neto '[DOP']]],BD.PD[[#This Row],[Valor Neto '[DOP']]])</f>
        <v>110250</v>
      </c>
      <c r="P57" s="306">
        <f>BD.PD[[#This Row],[Ppto. Orden Interna '[DOP']]]/HLOOKUP("USD",$J$1:$K$2,2,FALSE)</f>
        <v>1750</v>
      </c>
      <c r="Q57" s="299" t="s">
        <v>600</v>
      </c>
      <c r="R57" s="307" t="s">
        <v>601</v>
      </c>
      <c r="S57" s="300">
        <v>21</v>
      </c>
      <c r="T57" s="301">
        <v>1</v>
      </c>
      <c r="U57" s="308">
        <f>BD.PD[[#This Row],[Av.P1 '[%']]]*BD.PD[[#This Row],[Ppto. Orden Interna '[DOP']]]</f>
        <v>110250</v>
      </c>
      <c r="V57" s="303"/>
      <c r="W57" s="304"/>
      <c r="X57" s="308">
        <f>BD.PD[[#This Row],[Av.P2 '[%']]]*BD.PD[[#This Row],[Ppto. Orden Interna '[DOP']]]</f>
        <v>0</v>
      </c>
      <c r="Y57" s="303"/>
      <c r="Z57" s="304"/>
      <c r="AA57" s="308">
        <f>BD.PD[[#This Row],[Av.P3 '[%']]]*BD.PD[[#This Row],[Ppto. Orden Interna '[DOP']]]</f>
        <v>0</v>
      </c>
      <c r="AB57" s="303"/>
      <c r="AC57" s="304"/>
      <c r="AD57" s="308">
        <f>BD.PD[[#This Row],[Av.P4 '[%']]]*BD.PD[[#This Row],[Ppto. Orden Interna '[DOP']]]</f>
        <v>0</v>
      </c>
      <c r="AE57" s="303"/>
      <c r="AF57" s="304"/>
      <c r="AG57" s="308">
        <f>BD.PD[[#This Row],[Av.P5 '[%']]]*BD.PD[[#This Row],[Ppto. Orden Interna '[DOP']]]</f>
        <v>0</v>
      </c>
      <c r="AH57" s="305">
        <f>BD.PD[[#This Row],[Pago 5]]+BD.PD[[#This Row],[Pago 4]]+BD.PD[[#This Row],[Pago 3]]+BD.PD[[#This Row],[Pago 2]]+BD.PD[[#This Row],[Pago 1]]</f>
        <v>110250</v>
      </c>
      <c r="AI57" s="404"/>
      <c r="AJ57" s="404"/>
      <c r="AK57" s="404"/>
      <c r="AL57" s="404"/>
      <c r="AM57" s="404"/>
      <c r="AN57" s="404"/>
      <c r="AO57" s="404"/>
      <c r="AP57" s="404"/>
      <c r="AQ57" s="404"/>
      <c r="AR57" s="404"/>
      <c r="AS57" s="404"/>
      <c r="AT57" s="404"/>
      <c r="AU57" s="404"/>
      <c r="AV57" s="404"/>
      <c r="AW57" s="404"/>
      <c r="AX57" s="404"/>
      <c r="AY57" s="404"/>
      <c r="AZ57" s="404"/>
      <c r="BA57" s="404"/>
      <c r="BB57" s="404"/>
      <c r="BC57" s="404"/>
      <c r="BD57" s="404"/>
      <c r="BE57" s="404"/>
      <c r="BF57" s="404"/>
      <c r="BG57" s="404"/>
      <c r="BH57" s="404"/>
      <c r="BI57" s="404"/>
      <c r="BJ57" s="404"/>
      <c r="BK57" s="404"/>
      <c r="BL57" s="404"/>
      <c r="BM57" s="404"/>
      <c r="BN57" s="404"/>
      <c r="BO57" s="404"/>
      <c r="BP57" s="404"/>
      <c r="BQ57" s="404"/>
      <c r="BR57" s="404"/>
      <c r="BS57" s="404"/>
      <c r="BT57" s="404"/>
      <c r="BU57" s="404"/>
      <c r="BV57" s="404"/>
      <c r="BW57" s="404"/>
      <c r="BX57" s="404"/>
      <c r="BY57" s="404"/>
      <c r="BZ57" s="404"/>
      <c r="CA57" s="404"/>
      <c r="CB57" s="404"/>
      <c r="CC57" s="404"/>
      <c r="CD57" s="404"/>
      <c r="CE57" s="404"/>
      <c r="CF57" s="404"/>
      <c r="CG57" s="404"/>
      <c r="CH57" s="404"/>
      <c r="CI57" s="404"/>
      <c r="CJ57" s="404"/>
      <c r="CK57" s="404"/>
      <c r="CL57" s="404"/>
      <c r="CM57" s="404"/>
      <c r="CN57" s="404"/>
      <c r="CO57" s="404"/>
      <c r="CP57" s="404"/>
      <c r="CQ57" s="404"/>
      <c r="CR57" s="404"/>
      <c r="CS57" s="404"/>
      <c r="CT57" s="404"/>
      <c r="CU57" s="404"/>
      <c r="CV57" s="404"/>
      <c r="CW57" s="404"/>
      <c r="CX57" s="404"/>
      <c r="CY57" s="404"/>
      <c r="CZ57" s="404"/>
      <c r="DA57" s="404"/>
      <c r="DB57" s="404"/>
      <c r="DC57" s="404"/>
      <c r="DD57" s="404"/>
      <c r="DE57" s="404"/>
      <c r="DF57" s="404"/>
      <c r="DG57" s="404"/>
      <c r="DH57" s="404"/>
      <c r="DI57" s="404"/>
      <c r="DJ57" s="404"/>
      <c r="DK57" s="404"/>
      <c r="DL57" s="404"/>
      <c r="DM57" s="404"/>
      <c r="DN57" s="404"/>
      <c r="DO57" s="404"/>
      <c r="DP57" s="404"/>
      <c r="DQ57" s="404"/>
      <c r="DR57" s="404"/>
      <c r="DS57" s="404"/>
      <c r="DT57" s="404"/>
      <c r="DU57" s="404"/>
      <c r="DV57" s="404"/>
      <c r="DW57" s="404"/>
      <c r="DX57" s="404"/>
      <c r="DY57" s="404"/>
      <c r="DZ57" s="404"/>
      <c r="EA57" s="404"/>
      <c r="EB57" s="404"/>
      <c r="EC57" s="404"/>
      <c r="ED57" s="404"/>
      <c r="EE57" s="404"/>
      <c r="EF57" s="404"/>
      <c r="EG57" s="404"/>
      <c r="EH57" s="404"/>
      <c r="EI57" s="404"/>
      <c r="EJ57" s="404"/>
      <c r="EK57" s="404"/>
      <c r="EL57" s="404"/>
      <c r="EM57" s="404"/>
      <c r="EN57" s="404"/>
      <c r="EO57" s="404"/>
      <c r="EP57" s="404"/>
      <c r="EQ57" s="404"/>
      <c r="ER57" s="404"/>
      <c r="ES57" s="404"/>
      <c r="ET57" s="404"/>
      <c r="EU57" s="404"/>
      <c r="EV57" s="404"/>
      <c r="EW57" s="404"/>
      <c r="EX57" s="404"/>
      <c r="EY57" s="404"/>
      <c r="EZ57" s="404"/>
      <c r="FA57" s="404"/>
      <c r="FB57" s="404"/>
      <c r="FC57" s="404"/>
      <c r="FD57" s="404"/>
      <c r="FE57" s="404"/>
      <c r="FF57" s="404"/>
      <c r="FG57" s="404"/>
      <c r="FH57" s="404"/>
      <c r="FI57" s="404"/>
      <c r="FJ57" s="404"/>
      <c r="FK57" s="404"/>
      <c r="FL57" s="404"/>
      <c r="FM57" s="404"/>
      <c r="FN57" s="404"/>
      <c r="FO57" s="404"/>
      <c r="FP57" s="404"/>
      <c r="FQ57" s="404"/>
      <c r="FR57" s="404"/>
      <c r="FS57" s="404"/>
      <c r="FT57" s="404"/>
      <c r="FU57" s="404"/>
      <c r="FV57" s="404"/>
      <c r="FW57" s="404"/>
      <c r="FX57" s="404"/>
      <c r="FY57" s="404"/>
      <c r="FZ57" s="404"/>
      <c r="GA57" s="404"/>
      <c r="GB57" s="404"/>
      <c r="GC57" s="404"/>
      <c r="GD57" s="404"/>
      <c r="GE57" s="404"/>
      <c r="GF57" s="404"/>
      <c r="GG57" s="404"/>
      <c r="GH57" s="404"/>
      <c r="GI57" s="404"/>
      <c r="GJ57" s="404"/>
      <c r="GK57" s="404"/>
      <c r="GL57" s="404"/>
      <c r="GM57" s="404"/>
      <c r="GN57" s="404"/>
      <c r="GO57" s="404"/>
      <c r="GP57" s="404"/>
      <c r="GQ57" s="404"/>
      <c r="GR57" s="404"/>
      <c r="GS57" s="404"/>
      <c r="GT57" s="404"/>
      <c r="GU57" s="404"/>
      <c r="GV57" s="404"/>
      <c r="GW57" s="404"/>
      <c r="GX57" s="404"/>
      <c r="GY57" s="404"/>
      <c r="GZ57" s="404"/>
      <c r="HA57" s="404"/>
      <c r="HB57" s="404"/>
      <c r="HC57" s="404"/>
      <c r="HD57" s="404"/>
      <c r="HE57" s="404"/>
      <c r="HF57" s="404"/>
      <c r="HG57" s="404"/>
      <c r="HH57" s="404"/>
      <c r="HI57" s="404"/>
      <c r="HJ57" s="404"/>
      <c r="HK57" s="404"/>
      <c r="HL57" s="404"/>
      <c r="HM57" s="404"/>
      <c r="HN57" s="404"/>
      <c r="HO57" s="404"/>
      <c r="HP57" s="404"/>
      <c r="HQ57" s="404"/>
      <c r="HR57" s="404"/>
      <c r="HS57" s="404"/>
      <c r="HT57" s="404"/>
      <c r="HU57" s="404"/>
      <c r="HV57" s="404"/>
      <c r="HW57" s="404"/>
      <c r="HX57" s="404"/>
      <c r="HY57" s="404"/>
      <c r="HZ57" s="404"/>
      <c r="IA57" s="404"/>
    </row>
    <row r="58" spans="1:235" s="309" customFormat="1" ht="15" customHeight="1" x14ac:dyDescent="0.3">
      <c r="A58" s="231">
        <v>3.04</v>
      </c>
      <c r="B58" s="288"/>
      <c r="C58" s="289" t="str">
        <f>VLOOKUP(BD.PD[[#This Row],[Pos]],PPto[],3,FALSE)</f>
        <v>3.04 Inversor y UPS</v>
      </c>
      <c r="D58" s="231" t="s">
        <v>22</v>
      </c>
      <c r="E58" s="291" t="str">
        <f>IF(BD.PD[[#This Row],[.]]="*",VLOOKUP(BD.PD[[#This Row],[Pos]],Presupuesto!A:H,7,FALSE),"")</f>
        <v/>
      </c>
      <c r="F58" s="384" t="s">
        <v>602</v>
      </c>
      <c r="G58" s="292" t="s">
        <v>578</v>
      </c>
      <c r="H58" s="358">
        <v>45921</v>
      </c>
      <c r="I58" s="491">
        <v>20</v>
      </c>
      <c r="J58" s="231" t="s">
        <v>456</v>
      </c>
      <c r="K58" s="294">
        <f>IF(BD.PD[[#This Row],[Mon]]="DOP",1,HLOOKUP(BD.PD[[#This Row],[Mon]],$J$1:$K$2,2,FALSE))</f>
        <v>63</v>
      </c>
      <c r="L58" s="492">
        <v>47</v>
      </c>
      <c r="M58" s="296">
        <f>BD.PD[[#This Row],[Cant.]]*BD.PD[[#This Row],[ Tasa ]]*BD.PD[[#This Row],[ Precio Und.]]</f>
        <v>59220</v>
      </c>
      <c r="N58" s="361">
        <v>0</v>
      </c>
      <c r="O58" s="296">
        <f>IF(BD.PD[[#This Row],[Liquid. '[%']]]&lt;&gt;0,(BD.PD[[#This Row],[Valor Neto '[DOP']]]*BD.PD[[#This Row],[Liquid. '[%']]])+BD.PD[[#This Row],[Valor Neto '[DOP']]],BD.PD[[#This Row],[Valor Neto '[DOP']]])</f>
        <v>59220</v>
      </c>
      <c r="P58" s="306">
        <f>BD.PD[[#This Row],[Ppto. Orden Interna '[DOP']]]/HLOOKUP("USD",$J$1:$K$2,2,FALSE)</f>
        <v>940</v>
      </c>
      <c r="Q58" s="299" t="s">
        <v>600</v>
      </c>
      <c r="R58" s="307" t="s">
        <v>601</v>
      </c>
      <c r="S58" s="300">
        <v>21</v>
      </c>
      <c r="T58" s="301">
        <v>1</v>
      </c>
      <c r="U58" s="308">
        <f>BD.PD[[#This Row],[Av.P1 '[%']]]*BD.PD[[#This Row],[Ppto. Orden Interna '[DOP']]]</f>
        <v>59220</v>
      </c>
      <c r="V58" s="303"/>
      <c r="W58" s="304"/>
      <c r="X58" s="308">
        <f>BD.PD[[#This Row],[Av.P2 '[%']]]*BD.PD[[#This Row],[Ppto. Orden Interna '[DOP']]]</f>
        <v>0</v>
      </c>
      <c r="Y58" s="303"/>
      <c r="Z58" s="304"/>
      <c r="AA58" s="308">
        <f>BD.PD[[#This Row],[Av.P3 '[%']]]*BD.PD[[#This Row],[Ppto. Orden Interna '[DOP']]]</f>
        <v>0</v>
      </c>
      <c r="AB58" s="303"/>
      <c r="AC58" s="304"/>
      <c r="AD58" s="308">
        <f>BD.PD[[#This Row],[Av.P4 '[%']]]*BD.PD[[#This Row],[Ppto. Orden Interna '[DOP']]]</f>
        <v>0</v>
      </c>
      <c r="AE58" s="303"/>
      <c r="AF58" s="304"/>
      <c r="AG58" s="308">
        <f>BD.PD[[#This Row],[Av.P5 '[%']]]*BD.PD[[#This Row],[Ppto. Orden Interna '[DOP']]]</f>
        <v>0</v>
      </c>
      <c r="AH58" s="305">
        <f>BD.PD[[#This Row],[Pago 5]]+BD.PD[[#This Row],[Pago 4]]+BD.PD[[#This Row],[Pago 3]]+BD.PD[[#This Row],[Pago 2]]+BD.PD[[#This Row],[Pago 1]]</f>
        <v>59220</v>
      </c>
      <c r="AI58" s="404"/>
      <c r="AJ58" s="404"/>
      <c r="AK58" s="404"/>
      <c r="AL58" s="404"/>
      <c r="AM58" s="404"/>
      <c r="AN58" s="404"/>
      <c r="AO58" s="404"/>
      <c r="AP58" s="404"/>
      <c r="AQ58" s="404"/>
      <c r="AR58" s="404"/>
      <c r="AS58" s="404"/>
      <c r="AT58" s="404"/>
      <c r="AU58" s="404"/>
      <c r="AV58" s="404"/>
      <c r="AW58" s="404"/>
      <c r="AX58" s="404"/>
      <c r="AY58" s="404"/>
      <c r="AZ58" s="404"/>
      <c r="BA58" s="404"/>
      <c r="BB58" s="404"/>
      <c r="BC58" s="404"/>
      <c r="BD58" s="404"/>
      <c r="BE58" s="404"/>
      <c r="BF58" s="404"/>
      <c r="BG58" s="404"/>
      <c r="BH58" s="404"/>
      <c r="BI58" s="404"/>
      <c r="BJ58" s="404"/>
      <c r="BK58" s="404"/>
      <c r="BL58" s="404"/>
      <c r="BM58" s="404"/>
      <c r="BN58" s="404"/>
      <c r="BO58" s="404"/>
      <c r="BP58" s="404"/>
      <c r="BQ58" s="404"/>
      <c r="BR58" s="404"/>
      <c r="BS58" s="404"/>
      <c r="BT58" s="404"/>
      <c r="BU58" s="404"/>
      <c r="BV58" s="404"/>
      <c r="BW58" s="404"/>
      <c r="BX58" s="404"/>
      <c r="BY58" s="404"/>
      <c r="BZ58" s="404"/>
      <c r="CA58" s="404"/>
      <c r="CB58" s="404"/>
      <c r="CC58" s="404"/>
      <c r="CD58" s="404"/>
      <c r="CE58" s="404"/>
      <c r="CF58" s="404"/>
      <c r="CG58" s="404"/>
      <c r="CH58" s="404"/>
      <c r="CI58" s="404"/>
      <c r="CJ58" s="404"/>
      <c r="CK58" s="404"/>
      <c r="CL58" s="404"/>
      <c r="CM58" s="404"/>
      <c r="CN58" s="404"/>
      <c r="CO58" s="404"/>
      <c r="CP58" s="404"/>
      <c r="CQ58" s="404"/>
      <c r="CR58" s="404"/>
      <c r="CS58" s="404"/>
      <c r="CT58" s="404"/>
      <c r="CU58" s="404"/>
      <c r="CV58" s="404"/>
      <c r="CW58" s="404"/>
      <c r="CX58" s="404"/>
      <c r="CY58" s="404"/>
      <c r="CZ58" s="404"/>
      <c r="DA58" s="404"/>
      <c r="DB58" s="404"/>
      <c r="DC58" s="404"/>
      <c r="DD58" s="404"/>
      <c r="DE58" s="404"/>
      <c r="DF58" s="404"/>
      <c r="DG58" s="404"/>
      <c r="DH58" s="404"/>
      <c r="DI58" s="404"/>
      <c r="DJ58" s="404"/>
      <c r="DK58" s="404"/>
      <c r="DL58" s="404"/>
      <c r="DM58" s="404"/>
      <c r="DN58" s="404"/>
      <c r="DO58" s="404"/>
      <c r="DP58" s="404"/>
      <c r="DQ58" s="404"/>
      <c r="DR58" s="404"/>
      <c r="DS58" s="404"/>
      <c r="DT58" s="404"/>
      <c r="DU58" s="404"/>
      <c r="DV58" s="404"/>
      <c r="DW58" s="404"/>
      <c r="DX58" s="404"/>
      <c r="DY58" s="404"/>
      <c r="DZ58" s="404"/>
      <c r="EA58" s="404"/>
      <c r="EB58" s="404"/>
      <c r="EC58" s="404"/>
      <c r="ED58" s="404"/>
      <c r="EE58" s="404"/>
      <c r="EF58" s="404"/>
      <c r="EG58" s="404"/>
      <c r="EH58" s="404"/>
      <c r="EI58" s="404"/>
      <c r="EJ58" s="404"/>
      <c r="EK58" s="404"/>
      <c r="EL58" s="404"/>
      <c r="EM58" s="404"/>
      <c r="EN58" s="404"/>
      <c r="EO58" s="404"/>
      <c r="EP58" s="404"/>
      <c r="EQ58" s="404"/>
      <c r="ER58" s="404"/>
      <c r="ES58" s="404"/>
      <c r="ET58" s="404"/>
      <c r="EU58" s="404"/>
      <c r="EV58" s="404"/>
      <c r="EW58" s="404"/>
      <c r="EX58" s="404"/>
      <c r="EY58" s="404"/>
      <c r="EZ58" s="404"/>
      <c r="FA58" s="404"/>
      <c r="FB58" s="404"/>
      <c r="FC58" s="404"/>
      <c r="FD58" s="404"/>
      <c r="FE58" s="404"/>
      <c r="FF58" s="404"/>
      <c r="FG58" s="404"/>
      <c r="FH58" s="404"/>
      <c r="FI58" s="404"/>
      <c r="FJ58" s="404"/>
      <c r="FK58" s="404"/>
      <c r="FL58" s="404"/>
      <c r="FM58" s="404"/>
      <c r="FN58" s="404"/>
      <c r="FO58" s="404"/>
      <c r="FP58" s="404"/>
      <c r="FQ58" s="404"/>
      <c r="FR58" s="404"/>
      <c r="FS58" s="404"/>
      <c r="FT58" s="404"/>
      <c r="FU58" s="404"/>
      <c r="FV58" s="404"/>
      <c r="FW58" s="404"/>
      <c r="FX58" s="404"/>
      <c r="FY58" s="404"/>
      <c r="FZ58" s="404"/>
      <c r="GA58" s="404"/>
      <c r="GB58" s="404"/>
      <c r="GC58" s="404"/>
      <c r="GD58" s="404"/>
      <c r="GE58" s="404"/>
      <c r="GF58" s="404"/>
      <c r="GG58" s="404"/>
      <c r="GH58" s="404"/>
      <c r="GI58" s="404"/>
      <c r="GJ58" s="404"/>
      <c r="GK58" s="404"/>
      <c r="GL58" s="404"/>
      <c r="GM58" s="404"/>
      <c r="GN58" s="404"/>
      <c r="GO58" s="404"/>
      <c r="GP58" s="404"/>
      <c r="GQ58" s="404"/>
      <c r="GR58" s="404"/>
      <c r="GS58" s="404"/>
      <c r="GT58" s="404"/>
      <c r="GU58" s="404"/>
      <c r="GV58" s="404"/>
      <c r="GW58" s="404"/>
      <c r="GX58" s="404"/>
      <c r="GY58" s="404"/>
      <c r="GZ58" s="404"/>
      <c r="HA58" s="404"/>
      <c r="HB58" s="404"/>
      <c r="HC58" s="404"/>
      <c r="HD58" s="404"/>
      <c r="HE58" s="404"/>
      <c r="HF58" s="404"/>
      <c r="HG58" s="404"/>
      <c r="HH58" s="404"/>
      <c r="HI58" s="404"/>
      <c r="HJ58" s="404"/>
      <c r="HK58" s="404"/>
      <c r="HL58" s="404"/>
      <c r="HM58" s="404"/>
      <c r="HN58" s="404"/>
      <c r="HO58" s="404"/>
      <c r="HP58" s="404"/>
      <c r="HQ58" s="404"/>
      <c r="HR58" s="404"/>
      <c r="HS58" s="404"/>
      <c r="HT58" s="404"/>
      <c r="HU58" s="404"/>
      <c r="HV58" s="404"/>
      <c r="HW58" s="404"/>
      <c r="HX58" s="404"/>
      <c r="HY58" s="404"/>
      <c r="HZ58" s="404"/>
      <c r="IA58" s="404"/>
    </row>
    <row r="59" spans="1:235" s="309" customFormat="1" ht="15" customHeight="1" x14ac:dyDescent="0.3">
      <c r="A59" s="231">
        <v>3.04</v>
      </c>
      <c r="B59" s="288"/>
      <c r="C59" s="289" t="str">
        <f>VLOOKUP(BD.PD[[#This Row],[Pos]],PPto[],3,FALSE)</f>
        <v>3.04 Inversor y UPS</v>
      </c>
      <c r="D59" s="231" t="s">
        <v>22</v>
      </c>
      <c r="E59" s="291" t="str">
        <f>IF(BD.PD[[#This Row],[.]]="*",VLOOKUP(BD.PD[[#This Row],[Pos]],Presupuesto!A:H,7,FALSE),"")</f>
        <v/>
      </c>
      <c r="F59" s="384" t="s">
        <v>603</v>
      </c>
      <c r="G59" s="292" t="s">
        <v>578</v>
      </c>
      <c r="H59" s="358">
        <v>45921</v>
      </c>
      <c r="I59" s="491">
        <v>1</v>
      </c>
      <c r="J59" s="231" t="s">
        <v>456</v>
      </c>
      <c r="K59" s="294">
        <f>IF(BD.PD[[#This Row],[Mon]]="DOP",1,HLOOKUP(BD.PD[[#This Row],[Mon]],$J$1:$K$2,2,FALSE))</f>
        <v>63</v>
      </c>
      <c r="L59" s="492">
        <v>510</v>
      </c>
      <c r="M59" s="296">
        <f>BD.PD[[#This Row],[Cant.]]*BD.PD[[#This Row],[ Tasa ]]*BD.PD[[#This Row],[ Precio Und.]]</f>
        <v>32130</v>
      </c>
      <c r="N59" s="361">
        <v>0</v>
      </c>
      <c r="O59" s="296">
        <f>IF(BD.PD[[#This Row],[Liquid. '[%']]]&lt;&gt;0,(BD.PD[[#This Row],[Valor Neto '[DOP']]]*BD.PD[[#This Row],[Liquid. '[%']]])+BD.PD[[#This Row],[Valor Neto '[DOP']]],BD.PD[[#This Row],[Valor Neto '[DOP']]])</f>
        <v>32130</v>
      </c>
      <c r="P59" s="306">
        <f>BD.PD[[#This Row],[Ppto. Orden Interna '[DOP']]]/HLOOKUP("USD",$J$1:$K$2,2,FALSE)</f>
        <v>510</v>
      </c>
      <c r="Q59" s="299" t="s">
        <v>600</v>
      </c>
      <c r="R59" s="307" t="s">
        <v>601</v>
      </c>
      <c r="S59" s="300">
        <v>21</v>
      </c>
      <c r="T59" s="301">
        <v>1</v>
      </c>
      <c r="U59" s="308">
        <f>BD.PD[[#This Row],[Av.P1 '[%']]]*BD.PD[[#This Row],[Ppto. Orden Interna '[DOP']]]</f>
        <v>32130</v>
      </c>
      <c r="V59" s="303"/>
      <c r="W59" s="304"/>
      <c r="X59" s="308">
        <f>BD.PD[[#This Row],[Av.P2 '[%']]]*BD.PD[[#This Row],[Ppto. Orden Interna '[DOP']]]</f>
        <v>0</v>
      </c>
      <c r="Y59" s="303"/>
      <c r="Z59" s="304"/>
      <c r="AA59" s="308">
        <f>BD.PD[[#This Row],[Av.P3 '[%']]]*BD.PD[[#This Row],[Ppto. Orden Interna '[DOP']]]</f>
        <v>0</v>
      </c>
      <c r="AB59" s="303"/>
      <c r="AC59" s="304"/>
      <c r="AD59" s="308">
        <f>BD.PD[[#This Row],[Av.P4 '[%']]]*BD.PD[[#This Row],[Ppto. Orden Interna '[DOP']]]</f>
        <v>0</v>
      </c>
      <c r="AE59" s="303"/>
      <c r="AF59" s="304"/>
      <c r="AG59" s="308">
        <f>BD.PD[[#This Row],[Av.P5 '[%']]]*BD.PD[[#This Row],[Ppto. Orden Interna '[DOP']]]</f>
        <v>0</v>
      </c>
      <c r="AH59" s="305">
        <f>BD.PD[[#This Row],[Pago 5]]+BD.PD[[#This Row],[Pago 4]]+BD.PD[[#This Row],[Pago 3]]+BD.PD[[#This Row],[Pago 2]]+BD.PD[[#This Row],[Pago 1]]</f>
        <v>32130</v>
      </c>
      <c r="AI59" s="404"/>
      <c r="AJ59" s="404"/>
      <c r="AK59" s="404"/>
      <c r="AL59" s="404"/>
      <c r="AM59" s="404"/>
      <c r="AN59" s="404"/>
      <c r="AO59" s="404"/>
      <c r="AP59" s="404"/>
      <c r="AQ59" s="404"/>
      <c r="AR59" s="404"/>
      <c r="AS59" s="404"/>
      <c r="AT59" s="404"/>
      <c r="AU59" s="404"/>
      <c r="AV59" s="404"/>
      <c r="AW59" s="404"/>
      <c r="AX59" s="404"/>
      <c r="AY59" s="404"/>
      <c r="AZ59" s="404"/>
      <c r="BA59" s="404"/>
      <c r="BB59" s="404"/>
      <c r="BC59" s="404"/>
      <c r="BD59" s="404"/>
      <c r="BE59" s="404"/>
      <c r="BF59" s="404"/>
      <c r="BG59" s="404"/>
      <c r="BH59" s="404"/>
      <c r="BI59" s="404"/>
      <c r="BJ59" s="404"/>
      <c r="BK59" s="404"/>
      <c r="BL59" s="404"/>
      <c r="BM59" s="404"/>
      <c r="BN59" s="404"/>
      <c r="BO59" s="404"/>
      <c r="BP59" s="404"/>
      <c r="BQ59" s="404"/>
      <c r="BR59" s="404"/>
      <c r="BS59" s="404"/>
      <c r="BT59" s="404"/>
      <c r="BU59" s="404"/>
      <c r="BV59" s="404"/>
      <c r="BW59" s="404"/>
      <c r="BX59" s="404"/>
      <c r="BY59" s="404"/>
      <c r="BZ59" s="404"/>
      <c r="CA59" s="404"/>
      <c r="CB59" s="404"/>
      <c r="CC59" s="404"/>
      <c r="CD59" s="404"/>
      <c r="CE59" s="404"/>
      <c r="CF59" s="404"/>
      <c r="CG59" s="404"/>
      <c r="CH59" s="404"/>
      <c r="CI59" s="404"/>
      <c r="CJ59" s="404"/>
      <c r="CK59" s="404"/>
      <c r="CL59" s="404"/>
      <c r="CM59" s="404"/>
      <c r="CN59" s="404"/>
      <c r="CO59" s="404"/>
      <c r="CP59" s="404"/>
      <c r="CQ59" s="404"/>
      <c r="CR59" s="404"/>
      <c r="CS59" s="404"/>
      <c r="CT59" s="404"/>
      <c r="CU59" s="404"/>
      <c r="CV59" s="404"/>
      <c r="CW59" s="404"/>
      <c r="CX59" s="404"/>
      <c r="CY59" s="404"/>
      <c r="CZ59" s="404"/>
      <c r="DA59" s="404"/>
      <c r="DB59" s="404"/>
      <c r="DC59" s="404"/>
      <c r="DD59" s="404"/>
      <c r="DE59" s="404"/>
      <c r="DF59" s="404"/>
      <c r="DG59" s="404"/>
      <c r="DH59" s="404"/>
      <c r="DI59" s="404"/>
      <c r="DJ59" s="404"/>
      <c r="DK59" s="404"/>
      <c r="DL59" s="404"/>
      <c r="DM59" s="404"/>
      <c r="DN59" s="404"/>
      <c r="DO59" s="404"/>
      <c r="DP59" s="404"/>
      <c r="DQ59" s="404"/>
      <c r="DR59" s="404"/>
      <c r="DS59" s="404"/>
      <c r="DT59" s="404"/>
      <c r="DU59" s="404"/>
      <c r="DV59" s="404"/>
      <c r="DW59" s="404"/>
      <c r="DX59" s="404"/>
      <c r="DY59" s="404"/>
      <c r="DZ59" s="404"/>
      <c r="EA59" s="404"/>
      <c r="EB59" s="404"/>
      <c r="EC59" s="404"/>
      <c r="ED59" s="404"/>
      <c r="EE59" s="404"/>
      <c r="EF59" s="404"/>
      <c r="EG59" s="404"/>
      <c r="EH59" s="404"/>
      <c r="EI59" s="404"/>
      <c r="EJ59" s="404"/>
      <c r="EK59" s="404"/>
      <c r="EL59" s="404"/>
      <c r="EM59" s="404"/>
      <c r="EN59" s="404"/>
      <c r="EO59" s="404"/>
      <c r="EP59" s="404"/>
      <c r="EQ59" s="404"/>
      <c r="ER59" s="404"/>
      <c r="ES59" s="404"/>
      <c r="ET59" s="404"/>
      <c r="EU59" s="404"/>
      <c r="EV59" s="404"/>
      <c r="EW59" s="404"/>
      <c r="EX59" s="404"/>
      <c r="EY59" s="404"/>
      <c r="EZ59" s="404"/>
      <c r="FA59" s="404"/>
      <c r="FB59" s="404"/>
      <c r="FC59" s="404"/>
      <c r="FD59" s="404"/>
      <c r="FE59" s="404"/>
      <c r="FF59" s="404"/>
      <c r="FG59" s="404"/>
      <c r="FH59" s="404"/>
      <c r="FI59" s="404"/>
      <c r="FJ59" s="404"/>
      <c r="FK59" s="404"/>
      <c r="FL59" s="404"/>
      <c r="FM59" s="404"/>
      <c r="FN59" s="404"/>
      <c r="FO59" s="404"/>
      <c r="FP59" s="404"/>
      <c r="FQ59" s="404"/>
      <c r="FR59" s="404"/>
      <c r="FS59" s="404"/>
      <c r="FT59" s="404"/>
      <c r="FU59" s="404"/>
      <c r="FV59" s="404"/>
      <c r="FW59" s="404"/>
      <c r="FX59" s="404"/>
      <c r="FY59" s="404"/>
      <c r="FZ59" s="404"/>
      <c r="GA59" s="404"/>
      <c r="GB59" s="404"/>
      <c r="GC59" s="404"/>
      <c r="GD59" s="404"/>
      <c r="GE59" s="404"/>
      <c r="GF59" s="404"/>
      <c r="GG59" s="404"/>
      <c r="GH59" s="404"/>
      <c r="GI59" s="404"/>
      <c r="GJ59" s="404"/>
      <c r="GK59" s="404"/>
      <c r="GL59" s="404"/>
      <c r="GM59" s="404"/>
      <c r="GN59" s="404"/>
      <c r="GO59" s="404"/>
      <c r="GP59" s="404"/>
      <c r="GQ59" s="404"/>
      <c r="GR59" s="404"/>
      <c r="GS59" s="404"/>
      <c r="GT59" s="404"/>
      <c r="GU59" s="404"/>
      <c r="GV59" s="404"/>
      <c r="GW59" s="404"/>
      <c r="GX59" s="404"/>
      <c r="GY59" s="404"/>
      <c r="GZ59" s="404"/>
      <c r="HA59" s="404"/>
      <c r="HB59" s="404"/>
      <c r="HC59" s="404"/>
      <c r="HD59" s="404"/>
      <c r="HE59" s="404"/>
      <c r="HF59" s="404"/>
      <c r="HG59" s="404"/>
      <c r="HH59" s="404"/>
      <c r="HI59" s="404"/>
      <c r="HJ59" s="404"/>
      <c r="HK59" s="404"/>
      <c r="HL59" s="404"/>
      <c r="HM59" s="404"/>
      <c r="HN59" s="404"/>
      <c r="HO59" s="404"/>
      <c r="HP59" s="404"/>
      <c r="HQ59" s="404"/>
      <c r="HR59" s="404"/>
      <c r="HS59" s="404"/>
      <c r="HT59" s="404"/>
      <c r="HU59" s="404"/>
      <c r="HV59" s="404"/>
      <c r="HW59" s="404"/>
      <c r="HX59" s="404"/>
      <c r="HY59" s="404"/>
      <c r="HZ59" s="404"/>
      <c r="IA59" s="404"/>
    </row>
    <row r="60" spans="1:235" s="309" customFormat="1" ht="15" customHeight="1" x14ac:dyDescent="0.3">
      <c r="A60" s="231">
        <v>3.04</v>
      </c>
      <c r="B60" s="288"/>
      <c r="C60" s="289" t="str">
        <f>VLOOKUP(BD.PD[[#This Row],[Pos]],PPto[],3,FALSE)</f>
        <v>3.04 Inversor y UPS</v>
      </c>
      <c r="D60" s="231" t="s">
        <v>22</v>
      </c>
      <c r="E60" s="291" t="str">
        <f>IF(BD.PD[[#This Row],[.]]="*",VLOOKUP(BD.PD[[#This Row],[Pos]],Presupuesto!A:H,7,FALSE),"")</f>
        <v/>
      </c>
      <c r="F60" s="384" t="s">
        <v>604</v>
      </c>
      <c r="G60" s="292" t="s">
        <v>578</v>
      </c>
      <c r="H60" s="358">
        <v>45921</v>
      </c>
      <c r="I60" s="491">
        <v>1</v>
      </c>
      <c r="J60" s="231" t="s">
        <v>456</v>
      </c>
      <c r="K60" s="294">
        <f>IF(BD.PD[[#This Row],[Mon]]="DOP",1,HLOOKUP(BD.PD[[#This Row],[Mon]],$J$1:$K$2,2,FALSE))</f>
        <v>63</v>
      </c>
      <c r="L60" s="492">
        <v>800</v>
      </c>
      <c r="M60" s="296">
        <f>BD.PD[[#This Row],[Cant.]]*BD.PD[[#This Row],[ Tasa ]]*BD.PD[[#This Row],[ Precio Und.]]</f>
        <v>50400</v>
      </c>
      <c r="N60" s="361">
        <v>0</v>
      </c>
      <c r="O60" s="296">
        <f>IF(BD.PD[[#This Row],[Liquid. '[%']]]&lt;&gt;0,(BD.PD[[#This Row],[Valor Neto '[DOP']]]*BD.PD[[#This Row],[Liquid. '[%']]])+BD.PD[[#This Row],[Valor Neto '[DOP']]],BD.PD[[#This Row],[Valor Neto '[DOP']]])</f>
        <v>50400</v>
      </c>
      <c r="P60" s="306">
        <f>BD.PD[[#This Row],[Ppto. Orden Interna '[DOP']]]/HLOOKUP("USD",$J$1:$K$2,2,FALSE)</f>
        <v>800</v>
      </c>
      <c r="Q60" s="299" t="s">
        <v>600</v>
      </c>
      <c r="R60" s="307" t="s">
        <v>601</v>
      </c>
      <c r="S60" s="300">
        <v>21</v>
      </c>
      <c r="T60" s="301">
        <v>1</v>
      </c>
      <c r="U60" s="308">
        <f>BD.PD[[#This Row],[Av.P1 '[%']]]*BD.PD[[#This Row],[Ppto. Orden Interna '[DOP']]]</f>
        <v>50400</v>
      </c>
      <c r="V60" s="303"/>
      <c r="W60" s="304"/>
      <c r="X60" s="308">
        <f>BD.PD[[#This Row],[Av.P2 '[%']]]*BD.PD[[#This Row],[Ppto. Orden Interna '[DOP']]]</f>
        <v>0</v>
      </c>
      <c r="Y60" s="303"/>
      <c r="Z60" s="304"/>
      <c r="AA60" s="308">
        <f>BD.PD[[#This Row],[Av.P3 '[%']]]*BD.PD[[#This Row],[Ppto. Orden Interna '[DOP']]]</f>
        <v>0</v>
      </c>
      <c r="AB60" s="303"/>
      <c r="AC60" s="304"/>
      <c r="AD60" s="308">
        <f>BD.PD[[#This Row],[Av.P4 '[%']]]*BD.PD[[#This Row],[Ppto. Orden Interna '[DOP']]]</f>
        <v>0</v>
      </c>
      <c r="AE60" s="303"/>
      <c r="AF60" s="304"/>
      <c r="AG60" s="308">
        <f>BD.PD[[#This Row],[Av.P5 '[%']]]*BD.PD[[#This Row],[Ppto. Orden Interna '[DOP']]]</f>
        <v>0</v>
      </c>
      <c r="AH60" s="305">
        <f>BD.PD[[#This Row],[Pago 5]]+BD.PD[[#This Row],[Pago 4]]+BD.PD[[#This Row],[Pago 3]]+BD.PD[[#This Row],[Pago 2]]+BD.PD[[#This Row],[Pago 1]]</f>
        <v>50400</v>
      </c>
      <c r="AI60" s="404"/>
      <c r="AJ60" s="404"/>
      <c r="AK60" s="404"/>
      <c r="AL60" s="404"/>
      <c r="AM60" s="404"/>
      <c r="AN60" s="404"/>
      <c r="AO60" s="404"/>
      <c r="AP60" s="404"/>
      <c r="AQ60" s="404"/>
      <c r="AR60" s="404"/>
      <c r="AS60" s="404"/>
      <c r="AT60" s="404"/>
      <c r="AU60" s="404"/>
      <c r="AV60" s="404"/>
      <c r="AW60" s="404"/>
      <c r="AX60" s="404"/>
      <c r="AY60" s="404"/>
      <c r="AZ60" s="404"/>
      <c r="BA60" s="404"/>
      <c r="BB60" s="404"/>
      <c r="BC60" s="404"/>
      <c r="BD60" s="404"/>
      <c r="BE60" s="404"/>
      <c r="BF60" s="404"/>
      <c r="BG60" s="404"/>
      <c r="BH60" s="404"/>
      <c r="BI60" s="404"/>
      <c r="BJ60" s="404"/>
      <c r="BK60" s="404"/>
      <c r="BL60" s="404"/>
      <c r="BM60" s="404"/>
      <c r="BN60" s="404"/>
      <c r="BO60" s="404"/>
      <c r="BP60" s="404"/>
      <c r="BQ60" s="404"/>
      <c r="BR60" s="404"/>
      <c r="BS60" s="404"/>
      <c r="BT60" s="404"/>
      <c r="BU60" s="404"/>
      <c r="BV60" s="404"/>
      <c r="BW60" s="404"/>
      <c r="BX60" s="404"/>
      <c r="BY60" s="404"/>
      <c r="BZ60" s="404"/>
      <c r="CA60" s="404"/>
      <c r="CB60" s="404"/>
      <c r="CC60" s="404"/>
      <c r="CD60" s="404"/>
      <c r="CE60" s="404"/>
      <c r="CF60" s="404"/>
      <c r="CG60" s="404"/>
      <c r="CH60" s="404"/>
      <c r="CI60" s="404"/>
      <c r="CJ60" s="404"/>
      <c r="CK60" s="404"/>
      <c r="CL60" s="404"/>
      <c r="CM60" s="404"/>
      <c r="CN60" s="404"/>
      <c r="CO60" s="404"/>
      <c r="CP60" s="404"/>
      <c r="CQ60" s="404"/>
      <c r="CR60" s="404"/>
      <c r="CS60" s="404"/>
      <c r="CT60" s="404"/>
      <c r="CU60" s="404"/>
      <c r="CV60" s="404"/>
      <c r="CW60" s="404"/>
      <c r="CX60" s="404"/>
      <c r="CY60" s="404"/>
      <c r="CZ60" s="404"/>
      <c r="DA60" s="404"/>
      <c r="DB60" s="404"/>
      <c r="DC60" s="404"/>
      <c r="DD60" s="404"/>
      <c r="DE60" s="404"/>
      <c r="DF60" s="404"/>
      <c r="DG60" s="404"/>
      <c r="DH60" s="404"/>
      <c r="DI60" s="404"/>
      <c r="DJ60" s="404"/>
      <c r="DK60" s="404"/>
      <c r="DL60" s="404"/>
      <c r="DM60" s="404"/>
      <c r="DN60" s="404"/>
      <c r="DO60" s="404"/>
      <c r="DP60" s="404"/>
      <c r="DQ60" s="404"/>
      <c r="DR60" s="404"/>
      <c r="DS60" s="404"/>
      <c r="DT60" s="404"/>
      <c r="DU60" s="404"/>
      <c r="DV60" s="404"/>
      <c r="DW60" s="404"/>
      <c r="DX60" s="404"/>
      <c r="DY60" s="404"/>
      <c r="DZ60" s="404"/>
      <c r="EA60" s="404"/>
      <c r="EB60" s="404"/>
      <c r="EC60" s="404"/>
      <c r="ED60" s="404"/>
      <c r="EE60" s="404"/>
      <c r="EF60" s="404"/>
      <c r="EG60" s="404"/>
      <c r="EH60" s="404"/>
      <c r="EI60" s="404"/>
      <c r="EJ60" s="404"/>
      <c r="EK60" s="404"/>
      <c r="EL60" s="404"/>
      <c r="EM60" s="404"/>
      <c r="EN60" s="404"/>
      <c r="EO60" s="404"/>
      <c r="EP60" s="404"/>
      <c r="EQ60" s="404"/>
      <c r="ER60" s="404"/>
      <c r="ES60" s="404"/>
      <c r="ET60" s="404"/>
      <c r="EU60" s="404"/>
      <c r="EV60" s="404"/>
      <c r="EW60" s="404"/>
      <c r="EX60" s="404"/>
      <c r="EY60" s="404"/>
      <c r="EZ60" s="404"/>
      <c r="FA60" s="404"/>
      <c r="FB60" s="404"/>
      <c r="FC60" s="404"/>
      <c r="FD60" s="404"/>
      <c r="FE60" s="404"/>
      <c r="FF60" s="404"/>
      <c r="FG60" s="404"/>
      <c r="FH60" s="404"/>
      <c r="FI60" s="404"/>
      <c r="FJ60" s="404"/>
      <c r="FK60" s="404"/>
      <c r="FL60" s="404"/>
      <c r="FM60" s="404"/>
      <c r="FN60" s="404"/>
      <c r="FO60" s="404"/>
      <c r="FP60" s="404"/>
      <c r="FQ60" s="404"/>
      <c r="FR60" s="404"/>
      <c r="FS60" s="404"/>
      <c r="FT60" s="404"/>
      <c r="FU60" s="404"/>
      <c r="FV60" s="404"/>
      <c r="FW60" s="404"/>
      <c r="FX60" s="404"/>
      <c r="FY60" s="404"/>
      <c r="FZ60" s="404"/>
      <c r="GA60" s="404"/>
      <c r="GB60" s="404"/>
      <c r="GC60" s="404"/>
      <c r="GD60" s="404"/>
      <c r="GE60" s="404"/>
      <c r="GF60" s="404"/>
      <c r="GG60" s="404"/>
      <c r="GH60" s="404"/>
      <c r="GI60" s="404"/>
      <c r="GJ60" s="404"/>
      <c r="GK60" s="404"/>
      <c r="GL60" s="404"/>
      <c r="GM60" s="404"/>
      <c r="GN60" s="404"/>
      <c r="GO60" s="404"/>
      <c r="GP60" s="404"/>
      <c r="GQ60" s="404"/>
      <c r="GR60" s="404"/>
      <c r="GS60" s="404"/>
      <c r="GT60" s="404"/>
      <c r="GU60" s="404"/>
      <c r="GV60" s="404"/>
      <c r="GW60" s="404"/>
      <c r="GX60" s="404"/>
      <c r="GY60" s="404"/>
      <c r="GZ60" s="404"/>
      <c r="HA60" s="404"/>
      <c r="HB60" s="404"/>
      <c r="HC60" s="404"/>
      <c r="HD60" s="404"/>
      <c r="HE60" s="404"/>
      <c r="HF60" s="404"/>
      <c r="HG60" s="404"/>
      <c r="HH60" s="404"/>
      <c r="HI60" s="404"/>
      <c r="HJ60" s="404"/>
      <c r="HK60" s="404"/>
      <c r="HL60" s="404"/>
      <c r="HM60" s="404"/>
      <c r="HN60" s="404"/>
      <c r="HO60" s="404"/>
      <c r="HP60" s="404"/>
      <c r="HQ60" s="404"/>
      <c r="HR60" s="404"/>
      <c r="HS60" s="404"/>
      <c r="HT60" s="404"/>
      <c r="HU60" s="404"/>
      <c r="HV60" s="404"/>
      <c r="HW60" s="404"/>
      <c r="HX60" s="404"/>
      <c r="HY60" s="404"/>
      <c r="HZ60" s="404"/>
      <c r="IA60" s="404"/>
    </row>
    <row r="61" spans="1:235" s="309" customFormat="1" ht="15" customHeight="1" x14ac:dyDescent="0.3">
      <c r="A61" s="231">
        <v>3.04</v>
      </c>
      <c r="B61" s="288"/>
      <c r="C61" s="289" t="str">
        <f>VLOOKUP(BD.PD[[#This Row],[Pos]],PPto[],3,FALSE)</f>
        <v>3.04 Inversor y UPS</v>
      </c>
      <c r="D61" s="231" t="s">
        <v>22</v>
      </c>
      <c r="E61" s="291" t="str">
        <f>IF(BD.PD[[#This Row],[.]]="*",VLOOKUP(BD.PD[[#This Row],[Pos]],Presupuesto!A:H,7,FALSE),"")</f>
        <v/>
      </c>
      <c r="F61" s="384" t="s">
        <v>605</v>
      </c>
      <c r="G61" s="292" t="s">
        <v>578</v>
      </c>
      <c r="H61" s="358">
        <v>45921</v>
      </c>
      <c r="I61" s="491">
        <v>5</v>
      </c>
      <c r="J61" s="231" t="s">
        <v>456</v>
      </c>
      <c r="K61" s="294">
        <f>IF(BD.PD[[#This Row],[Mon]]="DOP",1,HLOOKUP(BD.PD[[#This Row],[Mon]],$J$1:$K$2,2,FALSE))</f>
        <v>63</v>
      </c>
      <c r="L61" s="492">
        <v>1885</v>
      </c>
      <c r="M61" s="296">
        <f>BD.PD[[#This Row],[Cant.]]*BD.PD[[#This Row],[ Tasa ]]*BD.PD[[#This Row],[ Precio Und.]]</f>
        <v>593775</v>
      </c>
      <c r="N61" s="361">
        <v>0</v>
      </c>
      <c r="O61" s="296">
        <f>IF(BD.PD[[#This Row],[Liquid. '[%']]]&lt;&gt;0,(BD.PD[[#This Row],[Valor Neto '[DOP']]]*BD.PD[[#This Row],[Liquid. '[%']]])+BD.PD[[#This Row],[Valor Neto '[DOP']]],BD.PD[[#This Row],[Valor Neto '[DOP']]])</f>
        <v>593775</v>
      </c>
      <c r="P61" s="306">
        <f>BD.PD[[#This Row],[Ppto. Orden Interna '[DOP']]]/HLOOKUP("USD",$J$1:$K$2,2,FALSE)</f>
        <v>9425</v>
      </c>
      <c r="Q61" s="299" t="s">
        <v>600</v>
      </c>
      <c r="R61" s="307" t="s">
        <v>601</v>
      </c>
      <c r="S61" s="300">
        <v>21</v>
      </c>
      <c r="T61" s="301">
        <v>1</v>
      </c>
      <c r="U61" s="308">
        <f>BD.PD[[#This Row],[Av.P1 '[%']]]*BD.PD[[#This Row],[Ppto. Orden Interna '[DOP']]]</f>
        <v>593775</v>
      </c>
      <c r="V61" s="303"/>
      <c r="W61" s="304"/>
      <c r="X61" s="308">
        <f>BD.PD[[#This Row],[Av.P2 '[%']]]*BD.PD[[#This Row],[Ppto. Orden Interna '[DOP']]]</f>
        <v>0</v>
      </c>
      <c r="Y61" s="303"/>
      <c r="Z61" s="304"/>
      <c r="AA61" s="308">
        <f>BD.PD[[#This Row],[Av.P3 '[%']]]*BD.PD[[#This Row],[Ppto. Orden Interna '[DOP']]]</f>
        <v>0</v>
      </c>
      <c r="AB61" s="303"/>
      <c r="AC61" s="304"/>
      <c r="AD61" s="308">
        <f>BD.PD[[#This Row],[Av.P4 '[%']]]*BD.PD[[#This Row],[Ppto. Orden Interna '[DOP']]]</f>
        <v>0</v>
      </c>
      <c r="AE61" s="303"/>
      <c r="AF61" s="304"/>
      <c r="AG61" s="308">
        <f>BD.PD[[#This Row],[Av.P5 '[%']]]*BD.PD[[#This Row],[Ppto. Orden Interna '[DOP']]]</f>
        <v>0</v>
      </c>
      <c r="AH61" s="305">
        <f>BD.PD[[#This Row],[Pago 5]]+BD.PD[[#This Row],[Pago 4]]+BD.PD[[#This Row],[Pago 3]]+BD.PD[[#This Row],[Pago 2]]+BD.PD[[#This Row],[Pago 1]]</f>
        <v>593775</v>
      </c>
      <c r="AI61" s="404"/>
      <c r="AJ61" s="404"/>
      <c r="AK61" s="404"/>
      <c r="AL61" s="404"/>
      <c r="AM61" s="404"/>
      <c r="AN61" s="404"/>
      <c r="AO61" s="404"/>
      <c r="AP61" s="404"/>
      <c r="AQ61" s="404"/>
      <c r="AR61" s="404"/>
      <c r="AS61" s="404"/>
      <c r="AT61" s="404"/>
      <c r="AU61" s="404"/>
      <c r="AV61" s="404"/>
      <c r="AW61" s="404"/>
      <c r="AX61" s="404"/>
      <c r="AY61" s="404"/>
      <c r="AZ61" s="404"/>
      <c r="BA61" s="404"/>
      <c r="BB61" s="404"/>
      <c r="BC61" s="404"/>
      <c r="BD61" s="404"/>
      <c r="BE61" s="404"/>
      <c r="BF61" s="404"/>
      <c r="BG61" s="404"/>
      <c r="BH61" s="404"/>
      <c r="BI61" s="404"/>
      <c r="BJ61" s="404"/>
      <c r="BK61" s="404"/>
      <c r="BL61" s="404"/>
      <c r="BM61" s="404"/>
      <c r="BN61" s="404"/>
      <c r="BO61" s="404"/>
      <c r="BP61" s="404"/>
      <c r="BQ61" s="404"/>
      <c r="BR61" s="404"/>
      <c r="BS61" s="404"/>
      <c r="BT61" s="404"/>
      <c r="BU61" s="404"/>
      <c r="BV61" s="404"/>
      <c r="BW61" s="404"/>
      <c r="BX61" s="404"/>
      <c r="BY61" s="404"/>
      <c r="BZ61" s="404"/>
      <c r="CA61" s="404"/>
      <c r="CB61" s="404"/>
      <c r="CC61" s="404"/>
      <c r="CD61" s="404"/>
      <c r="CE61" s="404"/>
      <c r="CF61" s="404"/>
      <c r="CG61" s="404"/>
      <c r="CH61" s="404"/>
      <c r="CI61" s="404"/>
      <c r="CJ61" s="404"/>
      <c r="CK61" s="404"/>
      <c r="CL61" s="404"/>
      <c r="CM61" s="404"/>
      <c r="CN61" s="404"/>
      <c r="CO61" s="404"/>
      <c r="CP61" s="404"/>
      <c r="CQ61" s="404"/>
      <c r="CR61" s="404"/>
      <c r="CS61" s="404"/>
      <c r="CT61" s="404"/>
      <c r="CU61" s="404"/>
      <c r="CV61" s="404"/>
      <c r="CW61" s="404"/>
      <c r="CX61" s="404"/>
      <c r="CY61" s="404"/>
      <c r="CZ61" s="404"/>
      <c r="DA61" s="404"/>
      <c r="DB61" s="404"/>
      <c r="DC61" s="404"/>
      <c r="DD61" s="404"/>
      <c r="DE61" s="404"/>
      <c r="DF61" s="404"/>
      <c r="DG61" s="404"/>
      <c r="DH61" s="404"/>
      <c r="DI61" s="404"/>
      <c r="DJ61" s="404"/>
      <c r="DK61" s="404"/>
      <c r="DL61" s="404"/>
      <c r="DM61" s="404"/>
      <c r="DN61" s="404"/>
      <c r="DO61" s="404"/>
      <c r="DP61" s="404"/>
      <c r="DQ61" s="404"/>
      <c r="DR61" s="404"/>
      <c r="DS61" s="404"/>
      <c r="DT61" s="404"/>
      <c r="DU61" s="404"/>
      <c r="DV61" s="404"/>
      <c r="DW61" s="404"/>
      <c r="DX61" s="404"/>
      <c r="DY61" s="404"/>
      <c r="DZ61" s="404"/>
      <c r="EA61" s="404"/>
      <c r="EB61" s="404"/>
      <c r="EC61" s="404"/>
      <c r="ED61" s="404"/>
      <c r="EE61" s="404"/>
      <c r="EF61" s="404"/>
      <c r="EG61" s="404"/>
      <c r="EH61" s="404"/>
      <c r="EI61" s="404"/>
      <c r="EJ61" s="404"/>
      <c r="EK61" s="404"/>
      <c r="EL61" s="404"/>
      <c r="EM61" s="404"/>
      <c r="EN61" s="404"/>
      <c r="EO61" s="404"/>
      <c r="EP61" s="404"/>
      <c r="EQ61" s="404"/>
      <c r="ER61" s="404"/>
      <c r="ES61" s="404"/>
      <c r="ET61" s="404"/>
      <c r="EU61" s="404"/>
      <c r="EV61" s="404"/>
      <c r="EW61" s="404"/>
      <c r="EX61" s="404"/>
      <c r="EY61" s="404"/>
      <c r="EZ61" s="404"/>
      <c r="FA61" s="404"/>
      <c r="FB61" s="404"/>
      <c r="FC61" s="404"/>
      <c r="FD61" s="404"/>
      <c r="FE61" s="404"/>
      <c r="FF61" s="404"/>
      <c r="FG61" s="404"/>
      <c r="FH61" s="404"/>
      <c r="FI61" s="404"/>
      <c r="FJ61" s="404"/>
      <c r="FK61" s="404"/>
      <c r="FL61" s="404"/>
      <c r="FM61" s="404"/>
      <c r="FN61" s="404"/>
      <c r="FO61" s="404"/>
      <c r="FP61" s="404"/>
      <c r="FQ61" s="404"/>
      <c r="FR61" s="404"/>
      <c r="FS61" s="404"/>
      <c r="FT61" s="404"/>
      <c r="FU61" s="404"/>
      <c r="FV61" s="404"/>
      <c r="FW61" s="404"/>
      <c r="FX61" s="404"/>
      <c r="FY61" s="404"/>
      <c r="FZ61" s="404"/>
      <c r="GA61" s="404"/>
      <c r="GB61" s="404"/>
      <c r="GC61" s="404"/>
      <c r="GD61" s="404"/>
      <c r="GE61" s="404"/>
      <c r="GF61" s="404"/>
      <c r="GG61" s="404"/>
      <c r="GH61" s="404"/>
      <c r="GI61" s="404"/>
      <c r="GJ61" s="404"/>
      <c r="GK61" s="404"/>
      <c r="GL61" s="404"/>
      <c r="GM61" s="404"/>
      <c r="GN61" s="404"/>
      <c r="GO61" s="404"/>
      <c r="GP61" s="404"/>
      <c r="GQ61" s="404"/>
      <c r="GR61" s="404"/>
      <c r="GS61" s="404"/>
      <c r="GT61" s="404"/>
      <c r="GU61" s="404"/>
      <c r="GV61" s="404"/>
      <c r="GW61" s="404"/>
      <c r="GX61" s="404"/>
      <c r="GY61" s="404"/>
      <c r="GZ61" s="404"/>
      <c r="HA61" s="404"/>
      <c r="HB61" s="404"/>
      <c r="HC61" s="404"/>
      <c r="HD61" s="404"/>
      <c r="HE61" s="404"/>
      <c r="HF61" s="404"/>
      <c r="HG61" s="404"/>
      <c r="HH61" s="404"/>
      <c r="HI61" s="404"/>
      <c r="HJ61" s="404"/>
      <c r="HK61" s="404"/>
      <c r="HL61" s="404"/>
      <c r="HM61" s="404"/>
      <c r="HN61" s="404"/>
      <c r="HO61" s="404"/>
      <c r="HP61" s="404"/>
      <c r="HQ61" s="404"/>
      <c r="HR61" s="404"/>
      <c r="HS61" s="404"/>
      <c r="HT61" s="404"/>
      <c r="HU61" s="404"/>
      <c r="HV61" s="404"/>
      <c r="HW61" s="404"/>
      <c r="HX61" s="404"/>
      <c r="HY61" s="404"/>
      <c r="HZ61" s="404"/>
      <c r="IA61" s="404"/>
    </row>
    <row r="62" spans="1:235" s="309" customFormat="1" ht="15" customHeight="1" x14ac:dyDescent="0.3">
      <c r="A62" s="231">
        <v>3.04</v>
      </c>
      <c r="B62" s="288"/>
      <c r="C62" s="289" t="str">
        <f>VLOOKUP(BD.PD[[#This Row],[Pos]],PPto[],3,FALSE)</f>
        <v>3.04 Inversor y UPS</v>
      </c>
      <c r="D62" s="231" t="s">
        <v>22</v>
      </c>
      <c r="E62" s="291" t="str">
        <f>IF(BD.PD[[#This Row],[.]]="*",VLOOKUP(BD.PD[[#This Row],[Pos]],Presupuesto!A:H,7,FALSE),"")</f>
        <v/>
      </c>
      <c r="F62" s="384" t="s">
        <v>606</v>
      </c>
      <c r="G62" s="292" t="s">
        <v>578</v>
      </c>
      <c r="H62" s="358">
        <v>45921</v>
      </c>
      <c r="I62" s="491">
        <v>4</v>
      </c>
      <c r="J62" s="231" t="s">
        <v>456</v>
      </c>
      <c r="K62" s="294">
        <f>IF(BD.PD[[#This Row],[Mon]]="DOP",1,HLOOKUP(BD.PD[[#This Row],[Mon]],$J$1:$K$2,2,FALSE))</f>
        <v>63</v>
      </c>
      <c r="L62" s="492">
        <v>480</v>
      </c>
      <c r="M62" s="296">
        <f>BD.PD[[#This Row],[Cant.]]*BD.PD[[#This Row],[ Tasa ]]*BD.PD[[#This Row],[ Precio Und.]]</f>
        <v>120960</v>
      </c>
      <c r="N62" s="361">
        <v>0</v>
      </c>
      <c r="O62" s="296">
        <f>IF(BD.PD[[#This Row],[Liquid. '[%']]]&lt;&gt;0,(BD.PD[[#This Row],[Valor Neto '[DOP']]]*BD.PD[[#This Row],[Liquid. '[%']]])+BD.PD[[#This Row],[Valor Neto '[DOP']]],BD.PD[[#This Row],[Valor Neto '[DOP']]])</f>
        <v>120960</v>
      </c>
      <c r="P62" s="306">
        <f>BD.PD[[#This Row],[Ppto. Orden Interna '[DOP']]]/HLOOKUP("USD",$J$1:$K$2,2,FALSE)</f>
        <v>1920</v>
      </c>
      <c r="Q62" s="299" t="s">
        <v>600</v>
      </c>
      <c r="R62" s="307" t="s">
        <v>601</v>
      </c>
      <c r="S62" s="300">
        <v>21</v>
      </c>
      <c r="T62" s="301">
        <v>1</v>
      </c>
      <c r="U62" s="308">
        <f>BD.PD[[#This Row],[Av.P1 '[%']]]*BD.PD[[#This Row],[Ppto. Orden Interna '[DOP']]]</f>
        <v>120960</v>
      </c>
      <c r="V62" s="303"/>
      <c r="W62" s="304"/>
      <c r="X62" s="308">
        <f>BD.PD[[#This Row],[Av.P2 '[%']]]*BD.PD[[#This Row],[Ppto. Orden Interna '[DOP']]]</f>
        <v>0</v>
      </c>
      <c r="Y62" s="303"/>
      <c r="Z62" s="304"/>
      <c r="AA62" s="308">
        <f>BD.PD[[#This Row],[Av.P3 '[%']]]*BD.PD[[#This Row],[Ppto. Orden Interna '[DOP']]]</f>
        <v>0</v>
      </c>
      <c r="AB62" s="303"/>
      <c r="AC62" s="304"/>
      <c r="AD62" s="308">
        <f>BD.PD[[#This Row],[Av.P4 '[%']]]*BD.PD[[#This Row],[Ppto. Orden Interna '[DOP']]]</f>
        <v>0</v>
      </c>
      <c r="AE62" s="303"/>
      <c r="AF62" s="304"/>
      <c r="AG62" s="308">
        <f>BD.PD[[#This Row],[Av.P5 '[%']]]*BD.PD[[#This Row],[Ppto. Orden Interna '[DOP']]]</f>
        <v>0</v>
      </c>
      <c r="AH62" s="305">
        <f>BD.PD[[#This Row],[Pago 5]]+BD.PD[[#This Row],[Pago 4]]+BD.PD[[#This Row],[Pago 3]]+BD.PD[[#This Row],[Pago 2]]+BD.PD[[#This Row],[Pago 1]]</f>
        <v>120960</v>
      </c>
      <c r="AI62" s="404"/>
      <c r="AJ62" s="404"/>
      <c r="AK62" s="404"/>
      <c r="AL62" s="404"/>
      <c r="AM62" s="404"/>
      <c r="AN62" s="404"/>
      <c r="AO62" s="404"/>
      <c r="AP62" s="404"/>
      <c r="AQ62" s="404"/>
      <c r="AR62" s="404"/>
      <c r="AS62" s="404"/>
      <c r="AT62" s="404"/>
      <c r="AU62" s="404"/>
      <c r="AV62" s="404"/>
      <c r="AW62" s="404"/>
      <c r="AX62" s="404"/>
      <c r="AY62" s="404"/>
      <c r="AZ62" s="404"/>
      <c r="BA62" s="404"/>
      <c r="BB62" s="404"/>
      <c r="BC62" s="404"/>
      <c r="BD62" s="404"/>
      <c r="BE62" s="404"/>
      <c r="BF62" s="404"/>
      <c r="BG62" s="404"/>
      <c r="BH62" s="404"/>
      <c r="BI62" s="404"/>
      <c r="BJ62" s="404"/>
      <c r="BK62" s="404"/>
      <c r="BL62" s="404"/>
      <c r="BM62" s="404"/>
      <c r="BN62" s="404"/>
      <c r="BO62" s="404"/>
      <c r="BP62" s="404"/>
      <c r="BQ62" s="404"/>
      <c r="BR62" s="404"/>
      <c r="BS62" s="404"/>
      <c r="BT62" s="404"/>
      <c r="BU62" s="404"/>
      <c r="BV62" s="404"/>
      <c r="BW62" s="404"/>
      <c r="BX62" s="404"/>
      <c r="BY62" s="404"/>
      <c r="BZ62" s="404"/>
      <c r="CA62" s="404"/>
      <c r="CB62" s="404"/>
      <c r="CC62" s="404"/>
      <c r="CD62" s="404"/>
      <c r="CE62" s="404"/>
      <c r="CF62" s="404"/>
      <c r="CG62" s="404"/>
      <c r="CH62" s="404"/>
      <c r="CI62" s="404"/>
      <c r="CJ62" s="404"/>
      <c r="CK62" s="404"/>
      <c r="CL62" s="404"/>
      <c r="CM62" s="404"/>
      <c r="CN62" s="404"/>
      <c r="CO62" s="404"/>
      <c r="CP62" s="404"/>
      <c r="CQ62" s="404"/>
      <c r="CR62" s="404"/>
      <c r="CS62" s="404"/>
      <c r="CT62" s="404"/>
      <c r="CU62" s="404"/>
      <c r="CV62" s="404"/>
      <c r="CW62" s="404"/>
      <c r="CX62" s="404"/>
      <c r="CY62" s="404"/>
      <c r="CZ62" s="404"/>
      <c r="DA62" s="404"/>
      <c r="DB62" s="404"/>
      <c r="DC62" s="404"/>
      <c r="DD62" s="404"/>
      <c r="DE62" s="404"/>
      <c r="DF62" s="404"/>
      <c r="DG62" s="404"/>
      <c r="DH62" s="404"/>
      <c r="DI62" s="404"/>
      <c r="DJ62" s="404"/>
      <c r="DK62" s="404"/>
      <c r="DL62" s="404"/>
      <c r="DM62" s="404"/>
      <c r="DN62" s="404"/>
      <c r="DO62" s="404"/>
      <c r="DP62" s="404"/>
      <c r="DQ62" s="404"/>
      <c r="DR62" s="404"/>
      <c r="DS62" s="404"/>
      <c r="DT62" s="404"/>
      <c r="DU62" s="404"/>
      <c r="DV62" s="404"/>
      <c r="DW62" s="404"/>
      <c r="DX62" s="404"/>
      <c r="DY62" s="404"/>
      <c r="DZ62" s="404"/>
      <c r="EA62" s="404"/>
      <c r="EB62" s="404"/>
      <c r="EC62" s="404"/>
      <c r="ED62" s="404"/>
      <c r="EE62" s="404"/>
      <c r="EF62" s="404"/>
      <c r="EG62" s="404"/>
      <c r="EH62" s="404"/>
      <c r="EI62" s="404"/>
      <c r="EJ62" s="404"/>
      <c r="EK62" s="404"/>
      <c r="EL62" s="404"/>
      <c r="EM62" s="404"/>
      <c r="EN62" s="404"/>
      <c r="EO62" s="404"/>
      <c r="EP62" s="404"/>
      <c r="EQ62" s="404"/>
      <c r="ER62" s="404"/>
      <c r="ES62" s="404"/>
      <c r="ET62" s="404"/>
      <c r="EU62" s="404"/>
      <c r="EV62" s="404"/>
      <c r="EW62" s="404"/>
      <c r="EX62" s="404"/>
      <c r="EY62" s="404"/>
      <c r="EZ62" s="404"/>
      <c r="FA62" s="404"/>
      <c r="FB62" s="404"/>
      <c r="FC62" s="404"/>
      <c r="FD62" s="404"/>
      <c r="FE62" s="404"/>
      <c r="FF62" s="404"/>
      <c r="FG62" s="404"/>
      <c r="FH62" s="404"/>
      <c r="FI62" s="404"/>
      <c r="FJ62" s="404"/>
      <c r="FK62" s="404"/>
      <c r="FL62" s="404"/>
      <c r="FM62" s="404"/>
      <c r="FN62" s="404"/>
      <c r="FO62" s="404"/>
      <c r="FP62" s="404"/>
      <c r="FQ62" s="404"/>
      <c r="FR62" s="404"/>
      <c r="FS62" s="404"/>
      <c r="FT62" s="404"/>
      <c r="FU62" s="404"/>
      <c r="FV62" s="404"/>
      <c r="FW62" s="404"/>
      <c r="FX62" s="404"/>
      <c r="FY62" s="404"/>
      <c r="FZ62" s="404"/>
      <c r="GA62" s="404"/>
      <c r="GB62" s="404"/>
      <c r="GC62" s="404"/>
      <c r="GD62" s="404"/>
      <c r="GE62" s="404"/>
      <c r="GF62" s="404"/>
      <c r="GG62" s="404"/>
      <c r="GH62" s="404"/>
      <c r="GI62" s="404"/>
      <c r="GJ62" s="404"/>
      <c r="GK62" s="404"/>
      <c r="GL62" s="404"/>
      <c r="GM62" s="404"/>
      <c r="GN62" s="404"/>
      <c r="GO62" s="404"/>
      <c r="GP62" s="404"/>
      <c r="GQ62" s="404"/>
      <c r="GR62" s="404"/>
      <c r="GS62" s="404"/>
      <c r="GT62" s="404"/>
      <c r="GU62" s="404"/>
      <c r="GV62" s="404"/>
      <c r="GW62" s="404"/>
      <c r="GX62" s="404"/>
      <c r="GY62" s="404"/>
      <c r="GZ62" s="404"/>
      <c r="HA62" s="404"/>
      <c r="HB62" s="404"/>
      <c r="HC62" s="404"/>
      <c r="HD62" s="404"/>
      <c r="HE62" s="404"/>
      <c r="HF62" s="404"/>
      <c r="HG62" s="404"/>
      <c r="HH62" s="404"/>
      <c r="HI62" s="404"/>
      <c r="HJ62" s="404"/>
      <c r="HK62" s="404"/>
      <c r="HL62" s="404"/>
      <c r="HM62" s="404"/>
      <c r="HN62" s="404"/>
      <c r="HO62" s="404"/>
      <c r="HP62" s="404"/>
      <c r="HQ62" s="404"/>
      <c r="HR62" s="404"/>
      <c r="HS62" s="404"/>
      <c r="HT62" s="404"/>
      <c r="HU62" s="404"/>
      <c r="HV62" s="404"/>
      <c r="HW62" s="404"/>
      <c r="HX62" s="404"/>
      <c r="HY62" s="404"/>
      <c r="HZ62" s="404"/>
      <c r="IA62" s="404"/>
    </row>
    <row r="63" spans="1:235" s="309" customFormat="1" ht="15" customHeight="1" x14ac:dyDescent="0.3">
      <c r="A63" s="231">
        <v>3.04</v>
      </c>
      <c r="B63" s="288"/>
      <c r="C63" s="289" t="str">
        <f>VLOOKUP(BD.PD[[#This Row],[Pos]],PPto[],3,FALSE)</f>
        <v>3.04 Inversor y UPS</v>
      </c>
      <c r="D63" s="231" t="s">
        <v>22</v>
      </c>
      <c r="E63" s="291" t="str">
        <f>IF(BD.PD[[#This Row],[.]]="*",VLOOKUP(BD.PD[[#This Row],[Pos]],Presupuesto!A:H,7,FALSE),"")</f>
        <v/>
      </c>
      <c r="F63" s="384" t="s">
        <v>607</v>
      </c>
      <c r="G63" s="292" t="s">
        <v>578</v>
      </c>
      <c r="H63" s="358">
        <v>45921</v>
      </c>
      <c r="I63" s="491">
        <v>16</v>
      </c>
      <c r="J63" s="231" t="s">
        <v>456</v>
      </c>
      <c r="K63" s="294">
        <f>IF(BD.PD[[#This Row],[Mon]]="DOP",1,HLOOKUP(BD.PD[[#This Row],[Mon]],$J$1:$K$2,2,FALSE))</f>
        <v>63</v>
      </c>
      <c r="L63" s="492">
        <v>250</v>
      </c>
      <c r="M63" s="296">
        <f>BD.PD[[#This Row],[Cant.]]*BD.PD[[#This Row],[ Tasa ]]*BD.PD[[#This Row],[ Precio Und.]]</f>
        <v>252000</v>
      </c>
      <c r="N63" s="361">
        <v>0</v>
      </c>
      <c r="O63" s="296">
        <f>IF(BD.PD[[#This Row],[Liquid. '[%']]]&lt;&gt;0,(BD.PD[[#This Row],[Valor Neto '[DOP']]]*BD.PD[[#This Row],[Liquid. '[%']]])+BD.PD[[#This Row],[Valor Neto '[DOP']]],BD.PD[[#This Row],[Valor Neto '[DOP']]])</f>
        <v>252000</v>
      </c>
      <c r="P63" s="306">
        <f>BD.PD[[#This Row],[Ppto. Orden Interna '[DOP']]]/HLOOKUP("USD",$J$1:$K$2,2,FALSE)</f>
        <v>4000</v>
      </c>
      <c r="Q63" s="299" t="s">
        <v>600</v>
      </c>
      <c r="R63" s="307" t="s">
        <v>601</v>
      </c>
      <c r="S63" s="300">
        <v>21</v>
      </c>
      <c r="T63" s="301">
        <v>1</v>
      </c>
      <c r="U63" s="308">
        <f>BD.PD[[#This Row],[Av.P1 '[%']]]*BD.PD[[#This Row],[Ppto. Orden Interna '[DOP']]]</f>
        <v>252000</v>
      </c>
      <c r="V63" s="303"/>
      <c r="W63" s="304"/>
      <c r="X63" s="308">
        <f>BD.PD[[#This Row],[Av.P2 '[%']]]*BD.PD[[#This Row],[Ppto. Orden Interna '[DOP']]]</f>
        <v>0</v>
      </c>
      <c r="Y63" s="303"/>
      <c r="Z63" s="304"/>
      <c r="AA63" s="308">
        <f>BD.PD[[#This Row],[Av.P3 '[%']]]*BD.PD[[#This Row],[Ppto. Orden Interna '[DOP']]]</f>
        <v>0</v>
      </c>
      <c r="AB63" s="303"/>
      <c r="AC63" s="304"/>
      <c r="AD63" s="308">
        <f>BD.PD[[#This Row],[Av.P4 '[%']]]*BD.PD[[#This Row],[Ppto. Orden Interna '[DOP']]]</f>
        <v>0</v>
      </c>
      <c r="AE63" s="303"/>
      <c r="AF63" s="304"/>
      <c r="AG63" s="308">
        <f>BD.PD[[#This Row],[Av.P5 '[%']]]*BD.PD[[#This Row],[Ppto. Orden Interna '[DOP']]]</f>
        <v>0</v>
      </c>
      <c r="AH63" s="305">
        <f>BD.PD[[#This Row],[Pago 5]]+BD.PD[[#This Row],[Pago 4]]+BD.PD[[#This Row],[Pago 3]]+BD.PD[[#This Row],[Pago 2]]+BD.PD[[#This Row],[Pago 1]]</f>
        <v>252000</v>
      </c>
      <c r="AI63" s="404"/>
      <c r="AJ63" s="404"/>
      <c r="AK63" s="404"/>
      <c r="AL63" s="404"/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  <c r="IA63" s="404"/>
    </row>
    <row r="64" spans="1:235" s="309" customFormat="1" ht="15" customHeight="1" x14ac:dyDescent="0.3">
      <c r="A64" s="231">
        <v>4.01</v>
      </c>
      <c r="B64" s="288" t="s">
        <v>574</v>
      </c>
      <c r="C64" s="289" t="str">
        <f>VLOOKUP(BD.PD[[#This Row],[Pos]],PPto[],3,FALSE)</f>
        <v>4.01 Suministro e instalación de Equipos</v>
      </c>
      <c r="D64" s="290" t="s">
        <v>574</v>
      </c>
      <c r="E64" s="291">
        <f>IF(BD.PD[[#This Row],[.]]="*",VLOOKUP(BD.PD[[#This Row],[Pos]],Presupuesto!A:H,7,FALSE),"")</f>
        <v>255437.67022763577</v>
      </c>
      <c r="F64" s="292"/>
      <c r="G64" s="292" t="s">
        <v>575</v>
      </c>
      <c r="H64" s="292"/>
      <c r="I64" s="293">
        <v>1</v>
      </c>
      <c r="J64" s="290" t="s">
        <v>456</v>
      </c>
      <c r="K64" s="294">
        <f>IF(BD.PD[[#This Row],[Mon]]="DOP",1,HLOOKUP(BD.PD[[#This Row],[Mon]],$J$1:$K$2,2,FALSE))</f>
        <v>63</v>
      </c>
      <c r="L64" s="295">
        <v>0</v>
      </c>
      <c r="M64" s="296">
        <f>BD.PD[[#This Row],[Cant.]]*BD.PD[[#This Row],[ Tasa ]]*BD.PD[[#This Row],[ Precio Und.]]</f>
        <v>0</v>
      </c>
      <c r="N64" s="297">
        <v>0</v>
      </c>
      <c r="O64" s="296">
        <f>IF(BD.PD[[#This Row],[Liquid. '[%']]]&lt;&gt;0,(BD.PD[[#This Row],[Valor Neto '[DOP']]]*BD.PD[[#This Row],[Liquid. '[%']]])+BD.PD[[#This Row],[Valor Neto '[DOP']]],BD.PD[[#This Row],[Valor Neto '[DOP']]])</f>
        <v>0</v>
      </c>
      <c r="P64" s="306">
        <f>BD.PD[[#This Row],[Ppto. Orden Interna '[DOP']]]/HLOOKUP("USD",$J$1:$K$2,2,FALSE)</f>
        <v>0</v>
      </c>
      <c r="Q64" s="299"/>
      <c r="R64" s="307"/>
      <c r="S64" s="300"/>
      <c r="T64" s="301"/>
      <c r="U64" s="308">
        <f>BD.PD[[#This Row],[Av.P1 '[%']]]*BD.PD[[#This Row],[Ppto. Orden Interna '[DOP']]]</f>
        <v>0</v>
      </c>
      <c r="V64" s="303"/>
      <c r="W64" s="304"/>
      <c r="X64" s="308">
        <f>BD.PD[[#This Row],[Av.P2 '[%']]]*BD.PD[[#This Row],[Ppto. Orden Interna '[DOP']]]</f>
        <v>0</v>
      </c>
      <c r="Y64" s="303"/>
      <c r="Z64" s="304"/>
      <c r="AA64" s="308">
        <f>BD.PD[[#This Row],[Av.P3 '[%']]]*BD.PD[[#This Row],[Ppto. Orden Interna '[DOP']]]</f>
        <v>0</v>
      </c>
      <c r="AB64" s="303"/>
      <c r="AC64" s="304"/>
      <c r="AD64" s="308">
        <f>BD.PD[[#This Row],[Av.P4 '[%']]]*BD.PD[[#This Row],[Ppto. Orden Interna '[DOP']]]</f>
        <v>0</v>
      </c>
      <c r="AE64" s="303"/>
      <c r="AF64" s="304"/>
      <c r="AG64" s="308">
        <f>BD.PD[[#This Row],[Av.P5 '[%']]]*BD.PD[[#This Row],[Ppto. Orden Interna '[DOP']]]</f>
        <v>0</v>
      </c>
      <c r="AH64" s="305">
        <f>BD.PD[[#This Row],[Pago 5]]+BD.PD[[#This Row],[Pago 4]]+BD.PD[[#This Row],[Pago 3]]+BD.PD[[#This Row],[Pago 2]]+BD.PD[[#This Row],[Pago 1]]</f>
        <v>0</v>
      </c>
      <c r="AI64" s="404"/>
      <c r="AJ64" s="404"/>
      <c r="AK64" s="404"/>
      <c r="AL64" s="404"/>
      <c r="AM64" s="404"/>
      <c r="AN64" s="404"/>
      <c r="AO64" s="404"/>
      <c r="AP64" s="404"/>
      <c r="AQ64" s="404"/>
      <c r="AR64" s="404"/>
      <c r="AS64" s="404"/>
      <c r="AT64" s="404"/>
      <c r="AU64" s="404"/>
      <c r="AV64" s="404"/>
      <c r="AW64" s="404"/>
      <c r="AX64" s="404"/>
      <c r="AY64" s="404"/>
      <c r="AZ64" s="404"/>
      <c r="BA64" s="404"/>
      <c r="BB64" s="404"/>
      <c r="BC64" s="404"/>
      <c r="BD64" s="404"/>
      <c r="BE64" s="404"/>
      <c r="BF64" s="404"/>
      <c r="BG64" s="404"/>
      <c r="BH64" s="404"/>
      <c r="BI64" s="404"/>
      <c r="BJ64" s="404"/>
      <c r="BK64" s="404"/>
      <c r="BL64" s="404"/>
      <c r="BM64" s="404"/>
      <c r="BN64" s="404"/>
      <c r="BO64" s="404"/>
      <c r="BP64" s="404"/>
      <c r="BQ64" s="404"/>
      <c r="BR64" s="404"/>
      <c r="BS64" s="404"/>
      <c r="BT64" s="404"/>
      <c r="BU64" s="404"/>
      <c r="BV64" s="404"/>
      <c r="BW64" s="404"/>
      <c r="BX64" s="404"/>
      <c r="BY64" s="404"/>
      <c r="BZ64" s="404"/>
      <c r="CA64" s="404"/>
      <c r="CB64" s="404"/>
      <c r="CC64" s="404"/>
      <c r="CD64" s="404"/>
      <c r="CE64" s="404"/>
      <c r="CF64" s="404"/>
      <c r="CG64" s="404"/>
      <c r="CH64" s="404"/>
      <c r="CI64" s="404"/>
      <c r="CJ64" s="404"/>
      <c r="CK64" s="404"/>
      <c r="CL64" s="404"/>
      <c r="CM64" s="404"/>
      <c r="CN64" s="404"/>
      <c r="CO64" s="404"/>
      <c r="CP64" s="404"/>
      <c r="CQ64" s="404"/>
      <c r="CR64" s="404"/>
      <c r="CS64" s="404"/>
      <c r="CT64" s="404"/>
      <c r="CU64" s="404"/>
      <c r="CV64" s="404"/>
      <c r="CW64" s="404"/>
      <c r="CX64" s="404"/>
      <c r="CY64" s="404"/>
      <c r="CZ64" s="404"/>
      <c r="DA64" s="404"/>
      <c r="DB64" s="404"/>
      <c r="DC64" s="404"/>
      <c r="DD64" s="404"/>
      <c r="DE64" s="404"/>
      <c r="DF64" s="404"/>
      <c r="DG64" s="404"/>
      <c r="DH64" s="404"/>
      <c r="DI64" s="404"/>
      <c r="DJ64" s="404"/>
      <c r="DK64" s="404"/>
      <c r="DL64" s="404"/>
      <c r="DM64" s="404"/>
      <c r="DN64" s="404"/>
      <c r="DO64" s="404"/>
      <c r="DP64" s="404"/>
      <c r="DQ64" s="404"/>
      <c r="DR64" s="404"/>
      <c r="DS64" s="404"/>
      <c r="DT64" s="404"/>
      <c r="DU64" s="404"/>
      <c r="DV64" s="404"/>
      <c r="DW64" s="404"/>
      <c r="DX64" s="404"/>
      <c r="DY64" s="404"/>
      <c r="DZ64" s="404"/>
      <c r="EA64" s="404"/>
      <c r="EB64" s="404"/>
      <c r="EC64" s="404"/>
      <c r="ED64" s="404"/>
      <c r="EE64" s="404"/>
      <c r="EF64" s="404"/>
      <c r="EG64" s="404"/>
      <c r="EH64" s="404"/>
      <c r="EI64" s="404"/>
      <c r="EJ64" s="404"/>
      <c r="EK64" s="404"/>
      <c r="EL64" s="404"/>
      <c r="EM64" s="404"/>
      <c r="EN64" s="404"/>
      <c r="EO64" s="404"/>
      <c r="EP64" s="404"/>
      <c r="EQ64" s="404"/>
      <c r="ER64" s="404"/>
      <c r="ES64" s="404"/>
      <c r="ET64" s="404"/>
      <c r="EU64" s="404"/>
      <c r="EV64" s="404"/>
      <c r="EW64" s="404"/>
      <c r="EX64" s="404"/>
      <c r="EY64" s="404"/>
      <c r="EZ64" s="404"/>
      <c r="FA64" s="404"/>
      <c r="FB64" s="404"/>
      <c r="FC64" s="404"/>
      <c r="FD64" s="404"/>
      <c r="FE64" s="404"/>
      <c r="FF64" s="404"/>
      <c r="FG64" s="404"/>
      <c r="FH64" s="404"/>
      <c r="FI64" s="404"/>
      <c r="FJ64" s="404"/>
      <c r="FK64" s="404"/>
      <c r="FL64" s="404"/>
      <c r="FM64" s="404"/>
      <c r="FN64" s="404"/>
      <c r="FO64" s="404"/>
      <c r="FP64" s="404"/>
      <c r="FQ64" s="404"/>
      <c r="FR64" s="404"/>
      <c r="FS64" s="404"/>
      <c r="FT64" s="404"/>
      <c r="FU64" s="404"/>
      <c r="FV64" s="404"/>
      <c r="FW64" s="404"/>
      <c r="FX64" s="404"/>
      <c r="FY64" s="404"/>
      <c r="FZ64" s="404"/>
      <c r="GA64" s="404"/>
      <c r="GB64" s="404"/>
      <c r="GC64" s="404"/>
      <c r="GD64" s="404"/>
      <c r="GE64" s="404"/>
      <c r="GF64" s="404"/>
      <c r="GG64" s="404"/>
      <c r="GH64" s="404"/>
      <c r="GI64" s="404"/>
      <c r="GJ64" s="404"/>
      <c r="GK64" s="404"/>
      <c r="GL64" s="404"/>
      <c r="GM64" s="404"/>
      <c r="GN64" s="404"/>
      <c r="GO64" s="404"/>
      <c r="GP64" s="404"/>
      <c r="GQ64" s="404"/>
      <c r="GR64" s="404"/>
      <c r="GS64" s="404"/>
      <c r="GT64" s="404"/>
      <c r="GU64" s="404"/>
      <c r="GV64" s="404"/>
      <c r="GW64" s="404"/>
      <c r="GX64" s="404"/>
      <c r="GY64" s="404"/>
      <c r="GZ64" s="404"/>
      <c r="HA64" s="404"/>
      <c r="HB64" s="404"/>
      <c r="HC64" s="404"/>
      <c r="HD64" s="404"/>
      <c r="HE64" s="404"/>
      <c r="HF64" s="404"/>
      <c r="HG64" s="404"/>
      <c r="HH64" s="404"/>
      <c r="HI64" s="404"/>
      <c r="HJ64" s="404"/>
      <c r="HK64" s="404"/>
      <c r="HL64" s="404"/>
      <c r="HM64" s="404"/>
      <c r="HN64" s="404"/>
      <c r="HO64" s="404"/>
      <c r="HP64" s="404"/>
      <c r="HQ64" s="404"/>
      <c r="HR64" s="404"/>
      <c r="HS64" s="404"/>
      <c r="HT64" s="404"/>
      <c r="HU64" s="404"/>
      <c r="HV64" s="404"/>
      <c r="HW64" s="404"/>
      <c r="HX64" s="404"/>
      <c r="HY64" s="404"/>
      <c r="HZ64" s="404"/>
      <c r="IA64" s="404"/>
    </row>
    <row r="65" spans="1:236" s="309" customFormat="1" ht="15" customHeight="1" x14ac:dyDescent="0.3">
      <c r="A65" s="231">
        <v>4.01</v>
      </c>
      <c r="B65" s="288"/>
      <c r="C65" s="289" t="str">
        <f>VLOOKUP(BD.PD[[#This Row],[Pos]],PPto[],3,FALSE)</f>
        <v>4.01 Suministro e instalación de Equipos</v>
      </c>
      <c r="D65" s="231" t="s">
        <v>22</v>
      </c>
      <c r="E65" s="291" t="str">
        <f>IF(BD.PD[[#This Row],[.]]="*",VLOOKUP(BD.PD[[#This Row],[Pos]],Presupuesto!A:H,7,FALSE),"")</f>
        <v/>
      </c>
      <c r="F65" s="292" t="s">
        <v>144</v>
      </c>
      <c r="G65" s="292">
        <v>4600078724</v>
      </c>
      <c r="H65" s="358">
        <v>45730</v>
      </c>
      <c r="I65" s="359">
        <v>5</v>
      </c>
      <c r="J65" s="231" t="s">
        <v>456</v>
      </c>
      <c r="K65" s="294">
        <f>IF(BD.PD[[#This Row],[Mon]]="DOP",1,HLOOKUP(BD.PD[[#This Row],[Mon]],$J$1:$K$2,2,FALSE))</f>
        <v>63</v>
      </c>
      <c r="L65" s="360">
        <v>12345</v>
      </c>
      <c r="M65" s="296">
        <f>BD.PD[[#This Row],[Cant.]]*BD.PD[[#This Row],[ Tasa ]]*BD.PD[[#This Row],[ Precio Und.]]</f>
        <v>3888675</v>
      </c>
      <c r="N65" s="361">
        <v>0.65</v>
      </c>
      <c r="O65" s="296">
        <f>IF(BD.PD[[#This Row],[Liquid. '[%']]]&lt;&gt;0,(BD.PD[[#This Row],[Valor Neto '[DOP']]]*BD.PD[[#This Row],[Liquid. '[%']]])+BD.PD[[#This Row],[Valor Neto '[DOP']]],BD.PD[[#This Row],[Valor Neto '[DOP']]])</f>
        <v>6416313.75</v>
      </c>
      <c r="P65" s="306">
        <f>BD.PD[[#This Row],[Ppto. Orden Interna '[DOP']]]/HLOOKUP("USD",$J$1:$K$2,2,FALSE)</f>
        <v>101846.25</v>
      </c>
      <c r="Q65" s="299" t="s">
        <v>608</v>
      </c>
      <c r="R65" s="408" t="s">
        <v>609</v>
      </c>
      <c r="S65" s="300">
        <v>3</v>
      </c>
      <c r="T65" s="301">
        <v>0.5</v>
      </c>
      <c r="U65" s="308">
        <f>BD.PD[[#This Row],[Av.P1 '[%']]]*BD.PD[[#This Row],[Ppto. Orden Interna '[DOP']]]</f>
        <v>3208156.875</v>
      </c>
      <c r="V65" s="303">
        <v>9</v>
      </c>
      <c r="W65" s="304">
        <v>0.5</v>
      </c>
      <c r="X65" s="308">
        <f>BD.PD[[#This Row],[Av.P2 '[%']]]*BD.PD[[#This Row],[Ppto. Orden Interna '[DOP']]]</f>
        <v>3208156.875</v>
      </c>
      <c r="Y65" s="303"/>
      <c r="Z65" s="304"/>
      <c r="AA65" s="308">
        <f>BD.PD[[#This Row],[Av.P3 '[%']]]*BD.PD[[#This Row],[Ppto. Orden Interna '[DOP']]]</f>
        <v>0</v>
      </c>
      <c r="AB65" s="303"/>
      <c r="AC65" s="304"/>
      <c r="AD65" s="308">
        <f>BD.PD[[#This Row],[Av.P4 '[%']]]*BD.PD[[#This Row],[Ppto. Orden Interna '[DOP']]]</f>
        <v>0</v>
      </c>
      <c r="AE65" s="303"/>
      <c r="AF65" s="304"/>
      <c r="AG65" s="308">
        <f>BD.PD[[#This Row],[Av.P5 '[%']]]*BD.PD[[#This Row],[Ppto. Orden Interna '[DOP']]]</f>
        <v>0</v>
      </c>
      <c r="AH65" s="305">
        <f>BD.PD[[#This Row],[Pago 5]]+BD.PD[[#This Row],[Pago 4]]+BD.PD[[#This Row],[Pago 3]]+BD.PD[[#This Row],[Pago 2]]+BD.PD[[#This Row],[Pago 1]]</f>
        <v>6416313.75</v>
      </c>
      <c r="AI65" s="404"/>
      <c r="AJ65" s="404"/>
      <c r="AK65" s="404"/>
      <c r="AL65" s="404"/>
      <c r="AM65" s="404"/>
      <c r="AN65" s="404"/>
      <c r="AO65" s="404"/>
      <c r="AP65" s="404"/>
      <c r="AQ65" s="404"/>
      <c r="AR65" s="404"/>
      <c r="AS65" s="404"/>
      <c r="AT65" s="404"/>
      <c r="AU65" s="404"/>
      <c r="AV65" s="404"/>
      <c r="AW65" s="404"/>
      <c r="AX65" s="404"/>
      <c r="AY65" s="404"/>
      <c r="AZ65" s="404"/>
      <c r="BA65" s="404"/>
      <c r="BB65" s="404"/>
      <c r="BC65" s="404"/>
      <c r="BD65" s="404"/>
      <c r="BE65" s="404"/>
      <c r="BF65" s="404"/>
      <c r="BG65" s="404"/>
      <c r="BH65" s="404"/>
      <c r="BI65" s="404"/>
      <c r="BJ65" s="404"/>
      <c r="BK65" s="404"/>
      <c r="BL65" s="404"/>
      <c r="BM65" s="404"/>
      <c r="BN65" s="404"/>
      <c r="BO65" s="404"/>
      <c r="BP65" s="404"/>
      <c r="BQ65" s="404"/>
      <c r="BR65" s="404"/>
      <c r="BS65" s="404"/>
      <c r="BT65" s="404"/>
      <c r="BU65" s="404"/>
      <c r="BV65" s="404"/>
      <c r="BW65" s="404"/>
      <c r="BX65" s="404"/>
      <c r="BY65" s="404"/>
      <c r="BZ65" s="404"/>
      <c r="CA65" s="404"/>
      <c r="CB65" s="404"/>
      <c r="CC65" s="404"/>
      <c r="CD65" s="404"/>
      <c r="CE65" s="404"/>
      <c r="CF65" s="404"/>
      <c r="CG65" s="404"/>
      <c r="CH65" s="404"/>
      <c r="CI65" s="404"/>
      <c r="CJ65" s="404"/>
      <c r="CK65" s="404"/>
      <c r="CL65" s="404"/>
      <c r="CM65" s="404"/>
      <c r="CN65" s="404"/>
      <c r="CO65" s="404"/>
      <c r="CP65" s="404"/>
      <c r="CQ65" s="404"/>
      <c r="CR65" s="404"/>
      <c r="CS65" s="404"/>
      <c r="CT65" s="404"/>
      <c r="CU65" s="404"/>
      <c r="CV65" s="404"/>
      <c r="CW65" s="404"/>
      <c r="CX65" s="404"/>
      <c r="CY65" s="404"/>
      <c r="CZ65" s="404"/>
      <c r="DA65" s="404"/>
      <c r="DB65" s="404"/>
      <c r="DC65" s="404"/>
      <c r="DD65" s="404"/>
      <c r="DE65" s="404"/>
      <c r="DF65" s="404"/>
      <c r="DG65" s="404"/>
      <c r="DH65" s="404"/>
      <c r="DI65" s="404"/>
      <c r="DJ65" s="404"/>
      <c r="DK65" s="404"/>
      <c r="DL65" s="404"/>
      <c r="DM65" s="404"/>
      <c r="DN65" s="404"/>
      <c r="DO65" s="404"/>
      <c r="DP65" s="404"/>
      <c r="DQ65" s="404"/>
      <c r="DR65" s="404"/>
      <c r="DS65" s="404"/>
      <c r="DT65" s="404"/>
      <c r="DU65" s="404"/>
      <c r="DV65" s="404"/>
      <c r="DW65" s="404"/>
      <c r="DX65" s="404"/>
      <c r="DY65" s="404"/>
      <c r="DZ65" s="404"/>
      <c r="EA65" s="404"/>
      <c r="EB65" s="404"/>
      <c r="EC65" s="404"/>
      <c r="ED65" s="404"/>
      <c r="EE65" s="404"/>
      <c r="EF65" s="404"/>
      <c r="EG65" s="404"/>
      <c r="EH65" s="404"/>
      <c r="EI65" s="404"/>
      <c r="EJ65" s="404"/>
      <c r="EK65" s="404"/>
      <c r="EL65" s="404"/>
      <c r="EM65" s="404"/>
      <c r="EN65" s="404"/>
      <c r="EO65" s="404"/>
      <c r="EP65" s="404"/>
      <c r="EQ65" s="404"/>
      <c r="ER65" s="404"/>
      <c r="ES65" s="404"/>
      <c r="ET65" s="404"/>
      <c r="EU65" s="404"/>
      <c r="EV65" s="404"/>
      <c r="EW65" s="404"/>
      <c r="EX65" s="404"/>
      <c r="EY65" s="404"/>
      <c r="EZ65" s="404"/>
      <c r="FA65" s="404"/>
      <c r="FB65" s="404"/>
      <c r="FC65" s="404"/>
      <c r="FD65" s="404"/>
      <c r="FE65" s="404"/>
      <c r="FF65" s="404"/>
      <c r="FG65" s="404"/>
      <c r="FH65" s="404"/>
      <c r="FI65" s="404"/>
      <c r="FJ65" s="404"/>
      <c r="FK65" s="404"/>
      <c r="FL65" s="404"/>
      <c r="FM65" s="404"/>
      <c r="FN65" s="404"/>
      <c r="FO65" s="404"/>
      <c r="FP65" s="404"/>
      <c r="FQ65" s="404"/>
      <c r="FR65" s="404"/>
      <c r="FS65" s="404"/>
      <c r="FT65" s="404"/>
      <c r="FU65" s="404"/>
      <c r="FV65" s="404"/>
      <c r="FW65" s="404"/>
      <c r="FX65" s="404"/>
      <c r="FY65" s="404"/>
      <c r="FZ65" s="404"/>
      <c r="GA65" s="404"/>
      <c r="GB65" s="404"/>
      <c r="GC65" s="404"/>
      <c r="GD65" s="404"/>
      <c r="GE65" s="404"/>
      <c r="GF65" s="404"/>
      <c r="GG65" s="404"/>
      <c r="GH65" s="404"/>
      <c r="GI65" s="404"/>
      <c r="GJ65" s="404"/>
      <c r="GK65" s="404"/>
      <c r="GL65" s="404"/>
      <c r="GM65" s="404"/>
      <c r="GN65" s="404"/>
      <c r="GO65" s="404"/>
      <c r="GP65" s="404"/>
      <c r="GQ65" s="404"/>
      <c r="GR65" s="404"/>
      <c r="GS65" s="404"/>
      <c r="GT65" s="404"/>
      <c r="GU65" s="404"/>
      <c r="GV65" s="404"/>
      <c r="GW65" s="404"/>
      <c r="GX65" s="404"/>
      <c r="GY65" s="404"/>
      <c r="GZ65" s="404"/>
      <c r="HA65" s="404"/>
      <c r="HB65" s="404"/>
      <c r="HC65" s="404"/>
      <c r="HD65" s="404"/>
      <c r="HE65" s="404"/>
      <c r="HF65" s="404"/>
      <c r="HG65" s="404"/>
      <c r="HH65" s="404"/>
      <c r="HI65" s="404"/>
      <c r="HJ65" s="404"/>
      <c r="HK65" s="404"/>
      <c r="HL65" s="404"/>
      <c r="HM65" s="404"/>
      <c r="HN65" s="404"/>
      <c r="HO65" s="404"/>
      <c r="HP65" s="404"/>
      <c r="HQ65" s="404"/>
      <c r="HR65" s="404"/>
      <c r="HS65" s="404"/>
      <c r="HT65" s="404"/>
      <c r="HU65" s="404"/>
      <c r="HV65" s="404"/>
      <c r="HW65" s="404"/>
      <c r="HX65" s="404"/>
      <c r="HY65" s="404"/>
      <c r="HZ65" s="404"/>
      <c r="IA65" s="404"/>
    </row>
    <row r="66" spans="1:236" s="309" customFormat="1" ht="24.6" customHeight="1" x14ac:dyDescent="0.3">
      <c r="A66" s="231">
        <v>4.0199999999999996</v>
      </c>
      <c r="B66" s="288" t="s">
        <v>574</v>
      </c>
      <c r="C66" s="289" t="str">
        <f>VLOOKUP(BD.PD[[#This Row],[Pos]],PPto[],3,FALSE)</f>
        <v>4.02 Supervisión Mecánica</v>
      </c>
      <c r="D66" s="290" t="s">
        <v>574</v>
      </c>
      <c r="E66" s="291">
        <f>IF(BD.PD[[#This Row],[.]]="*",VLOOKUP(BD.PD[[#This Row],[Pos]],Presupuesto!A:H,7,FALSE),"")</f>
        <v>0</v>
      </c>
      <c r="F66" s="292"/>
      <c r="G66" s="292" t="s">
        <v>575</v>
      </c>
      <c r="H66" s="292"/>
      <c r="I66" s="293">
        <v>1</v>
      </c>
      <c r="J66" s="290" t="s">
        <v>456</v>
      </c>
      <c r="K66" s="294">
        <f>IF(BD.PD[[#This Row],[Mon]]="DOP",1,HLOOKUP(BD.PD[[#This Row],[Mon]],$J$1:$K$2,2,FALSE))</f>
        <v>63</v>
      </c>
      <c r="L66" s="295">
        <v>0</v>
      </c>
      <c r="M66" s="296">
        <f>BD.PD[[#This Row],[Cant.]]*BD.PD[[#This Row],[ Tasa ]]*BD.PD[[#This Row],[ Precio Und.]]</f>
        <v>0</v>
      </c>
      <c r="N66" s="297">
        <v>0</v>
      </c>
      <c r="O66" s="296">
        <f>IF(BD.PD[[#This Row],[Liquid. '[%']]]&lt;&gt;0,(BD.PD[[#This Row],[Valor Neto '[DOP']]]*BD.PD[[#This Row],[Liquid. '[%']]])+BD.PD[[#This Row],[Valor Neto '[DOP']]],BD.PD[[#This Row],[Valor Neto '[DOP']]])</f>
        <v>0</v>
      </c>
      <c r="P66" s="306">
        <f>BD.PD[[#This Row],[Ppto. Orden Interna '[DOP']]]/HLOOKUP("USD",$J$1:$K$2,2,FALSE)</f>
        <v>0</v>
      </c>
      <c r="Q66" s="299"/>
      <c r="R66" s="307"/>
      <c r="S66" s="300"/>
      <c r="T66" s="301"/>
      <c r="U66" s="308">
        <f>BD.PD[[#This Row],[Av.P1 '[%']]]*BD.PD[[#This Row],[Ppto. Orden Interna '[DOP']]]</f>
        <v>0</v>
      </c>
      <c r="V66" s="303"/>
      <c r="W66" s="304"/>
      <c r="X66" s="308">
        <f>BD.PD[[#This Row],[Av.P2 '[%']]]*BD.PD[[#This Row],[Ppto. Orden Interna '[DOP']]]</f>
        <v>0</v>
      </c>
      <c r="Y66" s="303"/>
      <c r="Z66" s="304"/>
      <c r="AA66" s="308">
        <f>BD.PD[[#This Row],[Av.P3 '[%']]]*BD.PD[[#This Row],[Ppto. Orden Interna '[DOP']]]</f>
        <v>0</v>
      </c>
      <c r="AB66" s="303"/>
      <c r="AC66" s="304"/>
      <c r="AD66" s="308">
        <f>BD.PD[[#This Row],[Av.P4 '[%']]]*BD.PD[[#This Row],[Ppto. Orden Interna '[DOP']]]</f>
        <v>0</v>
      </c>
      <c r="AE66" s="303"/>
      <c r="AF66" s="304"/>
      <c r="AG66" s="308">
        <f>BD.PD[[#This Row],[Av.P5 '[%']]]*BD.PD[[#This Row],[Ppto. Orden Interna '[DOP']]]</f>
        <v>0</v>
      </c>
      <c r="AH66" s="305">
        <f>BD.PD[[#This Row],[Pago 5]]+BD.PD[[#This Row],[Pago 4]]+BD.PD[[#This Row],[Pago 3]]+BD.PD[[#This Row],[Pago 2]]+BD.PD[[#This Row],[Pago 1]]</f>
        <v>0</v>
      </c>
      <c r="AI66" s="404"/>
      <c r="AJ66" s="404"/>
      <c r="AK66" s="404"/>
      <c r="AL66" s="404"/>
      <c r="AM66" s="404"/>
      <c r="AN66" s="404"/>
      <c r="AO66" s="404"/>
      <c r="AP66" s="404"/>
      <c r="AQ66" s="404"/>
      <c r="AR66" s="404"/>
      <c r="AS66" s="404"/>
      <c r="AT66" s="404"/>
      <c r="AU66" s="404"/>
      <c r="AV66" s="404"/>
      <c r="AW66" s="404"/>
      <c r="AX66" s="404"/>
      <c r="AY66" s="404"/>
      <c r="AZ66" s="404"/>
      <c r="BA66" s="404"/>
      <c r="BB66" s="404"/>
      <c r="BC66" s="404"/>
      <c r="BD66" s="404"/>
      <c r="BE66" s="404"/>
      <c r="BF66" s="404"/>
      <c r="BG66" s="404"/>
      <c r="BH66" s="404"/>
      <c r="BI66" s="404"/>
      <c r="BJ66" s="404"/>
      <c r="BK66" s="404"/>
      <c r="BL66" s="404"/>
      <c r="BM66" s="404"/>
      <c r="BN66" s="404"/>
      <c r="BO66" s="404"/>
      <c r="BP66" s="404"/>
      <c r="BQ66" s="404"/>
      <c r="BR66" s="404"/>
      <c r="BS66" s="404"/>
      <c r="BT66" s="404"/>
      <c r="BU66" s="404"/>
      <c r="BV66" s="404"/>
      <c r="BW66" s="404"/>
      <c r="BX66" s="404"/>
      <c r="BY66" s="404"/>
      <c r="BZ66" s="404"/>
      <c r="CA66" s="404"/>
      <c r="CB66" s="404"/>
      <c r="CC66" s="404"/>
      <c r="CD66" s="404"/>
      <c r="CE66" s="404"/>
      <c r="CF66" s="404"/>
      <c r="CG66" s="404"/>
      <c r="CH66" s="404"/>
      <c r="CI66" s="404"/>
      <c r="CJ66" s="404"/>
      <c r="CK66" s="404"/>
      <c r="CL66" s="404"/>
      <c r="CM66" s="404"/>
      <c r="CN66" s="404"/>
      <c r="CO66" s="404"/>
      <c r="CP66" s="404"/>
      <c r="CQ66" s="404"/>
      <c r="CR66" s="404"/>
      <c r="CS66" s="404"/>
      <c r="CT66" s="404"/>
      <c r="CU66" s="404"/>
      <c r="CV66" s="404"/>
      <c r="CW66" s="404"/>
      <c r="CX66" s="404"/>
      <c r="CY66" s="404"/>
      <c r="CZ66" s="404"/>
      <c r="DA66" s="404"/>
      <c r="DB66" s="404"/>
      <c r="DC66" s="404"/>
      <c r="DD66" s="404"/>
      <c r="DE66" s="404"/>
      <c r="DF66" s="404"/>
      <c r="DG66" s="404"/>
      <c r="DH66" s="404"/>
      <c r="DI66" s="404"/>
      <c r="DJ66" s="404"/>
      <c r="DK66" s="404"/>
      <c r="DL66" s="404"/>
      <c r="DM66" s="404"/>
      <c r="DN66" s="404"/>
      <c r="DO66" s="404"/>
      <c r="DP66" s="404"/>
      <c r="DQ66" s="404"/>
      <c r="DR66" s="404"/>
      <c r="DS66" s="404"/>
      <c r="DT66" s="404"/>
      <c r="DU66" s="404"/>
      <c r="DV66" s="404"/>
      <c r="DW66" s="404"/>
      <c r="DX66" s="404"/>
      <c r="DY66" s="404"/>
      <c r="DZ66" s="404"/>
      <c r="EA66" s="404"/>
      <c r="EB66" s="404"/>
      <c r="EC66" s="404"/>
      <c r="ED66" s="404"/>
      <c r="EE66" s="404"/>
      <c r="EF66" s="404"/>
      <c r="EG66" s="404"/>
      <c r="EH66" s="404"/>
      <c r="EI66" s="404"/>
      <c r="EJ66" s="404"/>
      <c r="EK66" s="404"/>
      <c r="EL66" s="404"/>
      <c r="EM66" s="404"/>
      <c r="EN66" s="404"/>
      <c r="EO66" s="404"/>
      <c r="EP66" s="404"/>
      <c r="EQ66" s="404"/>
      <c r="ER66" s="404"/>
      <c r="ES66" s="404"/>
      <c r="ET66" s="404"/>
      <c r="EU66" s="404"/>
      <c r="EV66" s="404"/>
      <c r="EW66" s="404"/>
      <c r="EX66" s="404"/>
      <c r="EY66" s="404"/>
      <c r="EZ66" s="404"/>
      <c r="FA66" s="404"/>
      <c r="FB66" s="404"/>
      <c r="FC66" s="404"/>
      <c r="FD66" s="404"/>
      <c r="FE66" s="404"/>
      <c r="FF66" s="404"/>
      <c r="FG66" s="404"/>
      <c r="FH66" s="404"/>
      <c r="FI66" s="404"/>
      <c r="FJ66" s="404"/>
      <c r="FK66" s="404"/>
      <c r="FL66" s="404"/>
      <c r="FM66" s="404"/>
      <c r="FN66" s="404"/>
      <c r="FO66" s="404"/>
      <c r="FP66" s="404"/>
      <c r="FQ66" s="404"/>
      <c r="FR66" s="404"/>
      <c r="FS66" s="404"/>
      <c r="FT66" s="404"/>
      <c r="FU66" s="404"/>
      <c r="FV66" s="404"/>
      <c r="FW66" s="404"/>
      <c r="FX66" s="404"/>
      <c r="FY66" s="404"/>
      <c r="FZ66" s="404"/>
      <c r="GA66" s="404"/>
      <c r="GB66" s="404"/>
      <c r="GC66" s="404"/>
      <c r="GD66" s="404"/>
      <c r="GE66" s="404"/>
      <c r="GF66" s="404"/>
      <c r="GG66" s="404"/>
      <c r="GH66" s="404"/>
      <c r="GI66" s="404"/>
      <c r="GJ66" s="404"/>
      <c r="GK66" s="404"/>
      <c r="GL66" s="404"/>
      <c r="GM66" s="404"/>
      <c r="GN66" s="404"/>
      <c r="GO66" s="404"/>
      <c r="GP66" s="404"/>
      <c r="GQ66" s="404"/>
      <c r="GR66" s="404"/>
      <c r="GS66" s="404"/>
      <c r="GT66" s="404"/>
      <c r="GU66" s="404"/>
      <c r="GV66" s="404"/>
      <c r="GW66" s="404"/>
      <c r="GX66" s="404"/>
      <c r="GY66" s="404"/>
      <c r="GZ66" s="404"/>
      <c r="HA66" s="404"/>
      <c r="HB66" s="404"/>
      <c r="HC66" s="404"/>
      <c r="HD66" s="404"/>
      <c r="HE66" s="404"/>
      <c r="HF66" s="404"/>
      <c r="HG66" s="404"/>
      <c r="HH66" s="404"/>
      <c r="HI66" s="404"/>
      <c r="HJ66" s="404"/>
      <c r="HK66" s="404"/>
      <c r="HL66" s="404"/>
      <c r="HM66" s="404"/>
      <c r="HN66" s="404"/>
      <c r="HO66" s="404"/>
      <c r="HP66" s="404"/>
      <c r="HQ66" s="404"/>
      <c r="HR66" s="404"/>
      <c r="HS66" s="404"/>
      <c r="HT66" s="404"/>
      <c r="HU66" s="404"/>
      <c r="HV66" s="404"/>
      <c r="HW66" s="404"/>
      <c r="HX66" s="404"/>
      <c r="HY66" s="404"/>
      <c r="HZ66" s="404"/>
      <c r="IA66" s="404"/>
    </row>
    <row r="67" spans="1:236" s="309" customFormat="1" ht="24.6" customHeight="1" x14ac:dyDescent="0.3">
      <c r="A67" s="231">
        <v>4.03</v>
      </c>
      <c r="B67" s="288" t="s">
        <v>574</v>
      </c>
      <c r="C67" s="289" t="str">
        <f>VLOOKUP(BD.PD[[#This Row],[Pos]],PPto[],3,FALSE)</f>
        <v>4.03 Sistema de Extracción cocina</v>
      </c>
      <c r="D67" s="290" t="s">
        <v>574</v>
      </c>
      <c r="E67" s="291">
        <f>IF(BD.PD[[#This Row],[.]]="*",VLOOKUP(BD.PD[[#This Row],[Pos]],Presupuesto!A:H,7,FALSE),"")</f>
        <v>18966.438498402556</v>
      </c>
      <c r="F67" s="292"/>
      <c r="G67" s="292" t="s">
        <v>575</v>
      </c>
      <c r="H67" s="292"/>
      <c r="I67" s="293">
        <v>1</v>
      </c>
      <c r="J67" s="290" t="s">
        <v>456</v>
      </c>
      <c r="K67" s="294">
        <f>IF(BD.PD[[#This Row],[Mon]]="DOP",1,HLOOKUP(BD.PD[[#This Row],[Mon]],$J$1:$K$2,2,FALSE))</f>
        <v>63</v>
      </c>
      <c r="L67" s="295">
        <v>0</v>
      </c>
      <c r="M67" s="296">
        <f>BD.PD[[#This Row],[Cant.]]*BD.PD[[#This Row],[ Tasa ]]*BD.PD[[#This Row],[ Precio Und.]]</f>
        <v>0</v>
      </c>
      <c r="N67" s="297">
        <v>0</v>
      </c>
      <c r="O67" s="296">
        <f>IF(BD.PD[[#This Row],[Liquid. '[%']]]&lt;&gt;0,(BD.PD[[#This Row],[Valor Neto '[DOP']]]*BD.PD[[#This Row],[Liquid. '[%']]])+BD.PD[[#This Row],[Valor Neto '[DOP']]],BD.PD[[#This Row],[Valor Neto '[DOP']]])</f>
        <v>0</v>
      </c>
      <c r="P67" s="306">
        <f>BD.PD[[#This Row],[Ppto. Orden Interna '[DOP']]]/HLOOKUP("USD",$J$1:$K$2,2,FALSE)</f>
        <v>0</v>
      </c>
      <c r="Q67" s="299"/>
      <c r="R67" s="307"/>
      <c r="S67" s="300"/>
      <c r="T67" s="301"/>
      <c r="U67" s="308">
        <f>BD.PD[[#This Row],[Av.P1 '[%']]]*BD.PD[[#This Row],[Ppto. Orden Interna '[DOP']]]</f>
        <v>0</v>
      </c>
      <c r="V67" s="303"/>
      <c r="W67" s="304"/>
      <c r="X67" s="308">
        <f>BD.PD[[#This Row],[Av.P2 '[%']]]*BD.PD[[#This Row],[Ppto. Orden Interna '[DOP']]]</f>
        <v>0</v>
      </c>
      <c r="Y67" s="303"/>
      <c r="Z67" s="304"/>
      <c r="AA67" s="308">
        <f>BD.PD[[#This Row],[Av.P3 '[%']]]*BD.PD[[#This Row],[Ppto. Orden Interna '[DOP']]]</f>
        <v>0</v>
      </c>
      <c r="AB67" s="303"/>
      <c r="AC67" s="304"/>
      <c r="AD67" s="308">
        <f>BD.PD[[#This Row],[Av.P4 '[%']]]*BD.PD[[#This Row],[Ppto. Orden Interna '[DOP']]]</f>
        <v>0</v>
      </c>
      <c r="AE67" s="303"/>
      <c r="AF67" s="304"/>
      <c r="AG67" s="308">
        <f>BD.PD[[#This Row],[Av.P5 '[%']]]*BD.PD[[#This Row],[Ppto. Orden Interna '[DOP']]]</f>
        <v>0</v>
      </c>
      <c r="AH67" s="305">
        <f>BD.PD[[#This Row],[Pago 5]]+BD.PD[[#This Row],[Pago 4]]+BD.PD[[#This Row],[Pago 3]]+BD.PD[[#This Row],[Pago 2]]+BD.PD[[#This Row],[Pago 1]]</f>
        <v>0</v>
      </c>
      <c r="AI67" s="404"/>
      <c r="AJ67" s="404"/>
      <c r="AK67" s="404"/>
      <c r="AL67" s="404"/>
      <c r="AM67" s="404"/>
      <c r="AN67" s="404"/>
      <c r="AO67" s="404"/>
      <c r="AP67" s="404"/>
      <c r="AQ67" s="404"/>
      <c r="AR67" s="404"/>
      <c r="AS67" s="404"/>
      <c r="AT67" s="404"/>
      <c r="AU67" s="404"/>
      <c r="AV67" s="404"/>
      <c r="AW67" s="404"/>
      <c r="AX67" s="404"/>
      <c r="AY67" s="404"/>
      <c r="AZ67" s="404"/>
      <c r="BA67" s="404"/>
      <c r="BB67" s="404"/>
      <c r="BC67" s="404"/>
      <c r="BD67" s="404"/>
      <c r="BE67" s="404"/>
      <c r="BF67" s="404"/>
      <c r="BG67" s="404"/>
      <c r="BH67" s="404"/>
      <c r="BI67" s="404"/>
      <c r="BJ67" s="404"/>
      <c r="BK67" s="404"/>
      <c r="BL67" s="404"/>
      <c r="BM67" s="404"/>
      <c r="BN67" s="404"/>
      <c r="BO67" s="404"/>
      <c r="BP67" s="404"/>
      <c r="BQ67" s="404"/>
      <c r="BR67" s="404"/>
      <c r="BS67" s="404"/>
      <c r="BT67" s="404"/>
      <c r="BU67" s="404"/>
      <c r="BV67" s="404"/>
      <c r="BW67" s="404"/>
      <c r="BX67" s="404"/>
      <c r="BY67" s="404"/>
      <c r="BZ67" s="404"/>
      <c r="CA67" s="404"/>
      <c r="CB67" s="404"/>
      <c r="CC67" s="404"/>
      <c r="CD67" s="404"/>
      <c r="CE67" s="404"/>
      <c r="CF67" s="404"/>
      <c r="CG67" s="404"/>
      <c r="CH67" s="404"/>
      <c r="CI67" s="404"/>
      <c r="CJ67" s="404"/>
      <c r="CK67" s="404"/>
      <c r="CL67" s="404"/>
      <c r="CM67" s="404"/>
      <c r="CN67" s="404"/>
      <c r="CO67" s="404"/>
      <c r="CP67" s="404"/>
      <c r="CQ67" s="404"/>
      <c r="CR67" s="404"/>
      <c r="CS67" s="404"/>
      <c r="CT67" s="404"/>
      <c r="CU67" s="404"/>
      <c r="CV67" s="404"/>
      <c r="CW67" s="404"/>
      <c r="CX67" s="404"/>
      <c r="CY67" s="404"/>
      <c r="CZ67" s="404"/>
      <c r="DA67" s="404"/>
      <c r="DB67" s="404"/>
      <c r="DC67" s="404"/>
      <c r="DD67" s="404"/>
      <c r="DE67" s="404"/>
      <c r="DF67" s="404"/>
      <c r="DG67" s="404"/>
      <c r="DH67" s="404"/>
      <c r="DI67" s="404"/>
      <c r="DJ67" s="404"/>
      <c r="DK67" s="404"/>
      <c r="DL67" s="404"/>
      <c r="DM67" s="404"/>
      <c r="DN67" s="404"/>
      <c r="DO67" s="404"/>
      <c r="DP67" s="404"/>
      <c r="DQ67" s="404"/>
      <c r="DR67" s="404"/>
      <c r="DS67" s="404"/>
      <c r="DT67" s="404"/>
      <c r="DU67" s="404"/>
      <c r="DV67" s="404"/>
      <c r="DW67" s="404"/>
      <c r="DX67" s="404"/>
      <c r="DY67" s="404"/>
      <c r="DZ67" s="404"/>
      <c r="EA67" s="404"/>
      <c r="EB67" s="404"/>
      <c r="EC67" s="404"/>
      <c r="ED67" s="404"/>
      <c r="EE67" s="404"/>
      <c r="EF67" s="404"/>
      <c r="EG67" s="404"/>
      <c r="EH67" s="404"/>
      <c r="EI67" s="404"/>
      <c r="EJ67" s="404"/>
      <c r="EK67" s="404"/>
      <c r="EL67" s="404"/>
      <c r="EM67" s="404"/>
      <c r="EN67" s="404"/>
      <c r="EO67" s="404"/>
      <c r="EP67" s="404"/>
      <c r="EQ67" s="404"/>
      <c r="ER67" s="404"/>
      <c r="ES67" s="404"/>
      <c r="ET67" s="404"/>
      <c r="EU67" s="404"/>
      <c r="EV67" s="404"/>
      <c r="EW67" s="404"/>
      <c r="EX67" s="404"/>
      <c r="EY67" s="404"/>
      <c r="EZ67" s="404"/>
      <c r="FA67" s="404"/>
      <c r="FB67" s="404"/>
      <c r="FC67" s="404"/>
      <c r="FD67" s="404"/>
      <c r="FE67" s="404"/>
      <c r="FF67" s="404"/>
      <c r="FG67" s="404"/>
      <c r="FH67" s="404"/>
      <c r="FI67" s="404"/>
      <c r="FJ67" s="404"/>
      <c r="FK67" s="404"/>
      <c r="FL67" s="404"/>
      <c r="FM67" s="404"/>
      <c r="FN67" s="404"/>
      <c r="FO67" s="404"/>
      <c r="FP67" s="404"/>
      <c r="FQ67" s="404"/>
      <c r="FR67" s="404"/>
      <c r="FS67" s="404"/>
      <c r="FT67" s="404"/>
      <c r="FU67" s="404"/>
      <c r="FV67" s="404"/>
      <c r="FW67" s="404"/>
      <c r="FX67" s="404"/>
      <c r="FY67" s="404"/>
      <c r="FZ67" s="404"/>
      <c r="GA67" s="404"/>
      <c r="GB67" s="404"/>
      <c r="GC67" s="404"/>
      <c r="GD67" s="404"/>
      <c r="GE67" s="404"/>
      <c r="GF67" s="404"/>
      <c r="GG67" s="404"/>
      <c r="GH67" s="404"/>
      <c r="GI67" s="404"/>
      <c r="GJ67" s="404"/>
      <c r="GK67" s="404"/>
      <c r="GL67" s="404"/>
      <c r="GM67" s="404"/>
      <c r="GN67" s="404"/>
      <c r="GO67" s="404"/>
      <c r="GP67" s="404"/>
      <c r="GQ67" s="404"/>
      <c r="GR67" s="404"/>
      <c r="GS67" s="404"/>
      <c r="GT67" s="404"/>
      <c r="GU67" s="404"/>
      <c r="GV67" s="404"/>
      <c r="GW67" s="404"/>
      <c r="GX67" s="404"/>
      <c r="GY67" s="404"/>
      <c r="GZ67" s="404"/>
      <c r="HA67" s="404"/>
      <c r="HB67" s="404"/>
      <c r="HC67" s="404"/>
      <c r="HD67" s="404"/>
      <c r="HE67" s="404"/>
      <c r="HF67" s="404"/>
      <c r="HG67" s="404"/>
      <c r="HH67" s="404"/>
      <c r="HI67" s="404"/>
      <c r="HJ67" s="404"/>
      <c r="HK67" s="404"/>
      <c r="HL67" s="404"/>
      <c r="HM67" s="404"/>
      <c r="HN67" s="404"/>
      <c r="HO67" s="404"/>
      <c r="HP67" s="404"/>
      <c r="HQ67" s="404"/>
      <c r="HR67" s="404"/>
      <c r="HS67" s="404"/>
      <c r="HT67" s="404"/>
      <c r="HU67" s="404"/>
      <c r="HV67" s="404"/>
      <c r="HW67" s="404"/>
      <c r="HX67" s="404"/>
      <c r="HY67" s="404"/>
      <c r="HZ67" s="404"/>
      <c r="IA67" s="404"/>
    </row>
    <row r="68" spans="1:236" s="309" customFormat="1" ht="24.6" customHeight="1" x14ac:dyDescent="0.3">
      <c r="A68" s="231">
        <v>4.03</v>
      </c>
      <c r="B68" s="288"/>
      <c r="C68" s="289" t="str">
        <f>VLOOKUP(BD.PD[[#This Row],[Pos]],PPto[],3,FALSE)</f>
        <v>4.03 Sistema de Extracción cocina</v>
      </c>
      <c r="D68" s="231" t="s">
        <v>22</v>
      </c>
      <c r="E68" s="291" t="str">
        <f>IF(BD.PD[[#This Row],[.]]="*",VLOOKUP(BD.PD[[#This Row],[Pos]],Presupuesto!A:H,7,FALSE),"")</f>
        <v/>
      </c>
      <c r="F68" s="500" t="s">
        <v>610</v>
      </c>
      <c r="G68" s="292">
        <v>4513087438</v>
      </c>
      <c r="H68" s="358" t="s">
        <v>1326</v>
      </c>
      <c r="I68" s="359">
        <v>1</v>
      </c>
      <c r="J68" s="231" t="s">
        <v>581</v>
      </c>
      <c r="K68" s="294">
        <f>IF(BD.PD[[#This Row],[Mon]]="DOP",1,HLOOKUP(BD.PD[[#This Row],[Mon]],$J$1:$K$2,2,FALSE))</f>
        <v>1</v>
      </c>
      <c r="L68" s="360">
        <v>140000</v>
      </c>
      <c r="M68" s="296">
        <f>BD.PD[[#This Row],[Cant.]]*BD.PD[[#This Row],[ Tasa ]]*BD.PD[[#This Row],[ Precio Und.]]</f>
        <v>140000</v>
      </c>
      <c r="N68" s="361">
        <v>0</v>
      </c>
      <c r="O68" s="296">
        <f>IF(BD.PD[[#This Row],[Liquid. '[%']]]&lt;&gt;0,(BD.PD[[#This Row],[Valor Neto '[DOP']]]*BD.PD[[#This Row],[Liquid. '[%']]])+BD.PD[[#This Row],[Valor Neto '[DOP']]],BD.PD[[#This Row],[Valor Neto '[DOP']]])</f>
        <v>140000</v>
      </c>
      <c r="P68" s="306">
        <f>BD.PD[[#This Row],[Ppto. Orden Interna '[DOP']]]/HLOOKUP("USD",$J$1:$K$2,2,FALSE)</f>
        <v>2222.2222222222222</v>
      </c>
      <c r="Q68" s="299" t="s">
        <v>611</v>
      </c>
      <c r="R68" s="408" t="s">
        <v>612</v>
      </c>
      <c r="S68" s="300">
        <v>21</v>
      </c>
      <c r="T68" s="301">
        <v>0.6</v>
      </c>
      <c r="U68" s="308">
        <f>BD.PD[[#This Row],[Av.P1 '[%']]]*BD.PD[[#This Row],[Ppto. Orden Interna '[DOP']]]</f>
        <v>84000</v>
      </c>
      <c r="V68" s="303">
        <v>23</v>
      </c>
      <c r="W68" s="304">
        <v>0.4</v>
      </c>
      <c r="X68" s="308">
        <f>BD.PD[[#This Row],[Av.P2 '[%']]]*BD.PD[[#This Row],[Ppto. Orden Interna '[DOP']]]</f>
        <v>56000</v>
      </c>
      <c r="Y68" s="303"/>
      <c r="Z68" s="304"/>
      <c r="AA68" s="308">
        <f>BD.PD[[#This Row],[Av.P3 '[%']]]*BD.PD[[#This Row],[Ppto. Orden Interna '[DOP']]]</f>
        <v>0</v>
      </c>
      <c r="AB68" s="303"/>
      <c r="AC68" s="304"/>
      <c r="AD68" s="308">
        <f>BD.PD[[#This Row],[Av.P4 '[%']]]*BD.PD[[#This Row],[Ppto. Orden Interna '[DOP']]]</f>
        <v>0</v>
      </c>
      <c r="AE68" s="303"/>
      <c r="AF68" s="304"/>
      <c r="AG68" s="308">
        <f>BD.PD[[#This Row],[Av.P5 '[%']]]*BD.PD[[#This Row],[Ppto. Orden Interna '[DOP']]]</f>
        <v>0</v>
      </c>
      <c r="AH68" s="305">
        <f>BD.PD[[#This Row],[Pago 5]]+BD.PD[[#This Row],[Pago 4]]+BD.PD[[#This Row],[Pago 3]]+BD.PD[[#This Row],[Pago 2]]+BD.PD[[#This Row],[Pago 1]]</f>
        <v>140000</v>
      </c>
      <c r="AI68" s="404"/>
      <c r="AJ68" s="404"/>
      <c r="AK68" s="404"/>
      <c r="AL68" s="404"/>
      <c r="AM68" s="404"/>
      <c r="AN68" s="404"/>
      <c r="AO68" s="404"/>
      <c r="AP68" s="404"/>
      <c r="AQ68" s="404"/>
      <c r="AR68" s="404"/>
      <c r="AS68" s="404"/>
      <c r="AT68" s="404"/>
      <c r="AU68" s="404"/>
      <c r="AV68" s="404"/>
      <c r="AW68" s="404"/>
      <c r="AX68" s="404"/>
      <c r="AY68" s="404"/>
      <c r="AZ68" s="404"/>
      <c r="BA68" s="404"/>
      <c r="BB68" s="404"/>
      <c r="BC68" s="404"/>
      <c r="BD68" s="404"/>
      <c r="BE68" s="404"/>
      <c r="BF68" s="404"/>
      <c r="BG68" s="404"/>
      <c r="BH68" s="404"/>
      <c r="BI68" s="404"/>
      <c r="BJ68" s="404"/>
      <c r="BK68" s="404"/>
      <c r="BL68" s="404"/>
      <c r="BM68" s="404"/>
      <c r="BN68" s="404"/>
      <c r="BO68" s="404"/>
      <c r="BP68" s="404"/>
      <c r="BQ68" s="404"/>
      <c r="BR68" s="404"/>
      <c r="BS68" s="404"/>
      <c r="BT68" s="404"/>
      <c r="BU68" s="404"/>
      <c r="BV68" s="404"/>
      <c r="BW68" s="404"/>
      <c r="BX68" s="404"/>
      <c r="BY68" s="404"/>
      <c r="BZ68" s="404"/>
      <c r="CA68" s="404"/>
      <c r="CB68" s="404"/>
      <c r="CC68" s="404"/>
      <c r="CD68" s="404"/>
      <c r="CE68" s="404"/>
      <c r="CF68" s="404"/>
      <c r="CG68" s="404"/>
      <c r="CH68" s="404"/>
      <c r="CI68" s="404"/>
      <c r="CJ68" s="404"/>
      <c r="CK68" s="404"/>
      <c r="CL68" s="404"/>
      <c r="CM68" s="404"/>
      <c r="CN68" s="404"/>
      <c r="CO68" s="404"/>
      <c r="CP68" s="404"/>
      <c r="CQ68" s="404"/>
      <c r="CR68" s="404"/>
      <c r="CS68" s="404"/>
      <c r="CT68" s="404"/>
      <c r="CU68" s="404"/>
      <c r="CV68" s="404"/>
      <c r="CW68" s="404"/>
      <c r="CX68" s="404"/>
      <c r="CY68" s="404"/>
      <c r="CZ68" s="404"/>
      <c r="DA68" s="404"/>
      <c r="DB68" s="404"/>
      <c r="DC68" s="404"/>
      <c r="DD68" s="404"/>
      <c r="DE68" s="404"/>
      <c r="DF68" s="404"/>
      <c r="DG68" s="404"/>
      <c r="DH68" s="404"/>
      <c r="DI68" s="404"/>
      <c r="DJ68" s="404"/>
      <c r="DK68" s="404"/>
      <c r="DL68" s="404"/>
      <c r="DM68" s="404"/>
      <c r="DN68" s="404"/>
      <c r="DO68" s="404"/>
      <c r="DP68" s="404"/>
      <c r="DQ68" s="404"/>
      <c r="DR68" s="404"/>
      <c r="DS68" s="404"/>
      <c r="DT68" s="404"/>
      <c r="DU68" s="404"/>
      <c r="DV68" s="404"/>
      <c r="DW68" s="404"/>
      <c r="DX68" s="404"/>
      <c r="DY68" s="404"/>
      <c r="DZ68" s="404"/>
      <c r="EA68" s="404"/>
      <c r="EB68" s="404"/>
      <c r="EC68" s="404"/>
      <c r="ED68" s="404"/>
      <c r="EE68" s="404"/>
      <c r="EF68" s="404"/>
      <c r="EG68" s="404"/>
      <c r="EH68" s="404"/>
      <c r="EI68" s="404"/>
      <c r="EJ68" s="404"/>
      <c r="EK68" s="404"/>
      <c r="EL68" s="404"/>
      <c r="EM68" s="404"/>
      <c r="EN68" s="404"/>
      <c r="EO68" s="404"/>
      <c r="EP68" s="404"/>
      <c r="EQ68" s="404"/>
      <c r="ER68" s="404"/>
      <c r="ES68" s="404"/>
      <c r="ET68" s="404"/>
      <c r="EU68" s="404"/>
      <c r="EV68" s="404"/>
      <c r="EW68" s="404"/>
      <c r="EX68" s="404"/>
      <c r="EY68" s="404"/>
      <c r="EZ68" s="404"/>
      <c r="FA68" s="404"/>
      <c r="FB68" s="404"/>
      <c r="FC68" s="404"/>
      <c r="FD68" s="404"/>
      <c r="FE68" s="404"/>
      <c r="FF68" s="404"/>
      <c r="FG68" s="404"/>
      <c r="FH68" s="404"/>
      <c r="FI68" s="404"/>
      <c r="FJ68" s="404"/>
      <c r="FK68" s="404"/>
      <c r="FL68" s="404"/>
      <c r="FM68" s="404"/>
      <c r="FN68" s="404"/>
      <c r="FO68" s="404"/>
      <c r="FP68" s="404"/>
      <c r="FQ68" s="404"/>
      <c r="FR68" s="404"/>
      <c r="FS68" s="404"/>
      <c r="FT68" s="404"/>
      <c r="FU68" s="404"/>
      <c r="FV68" s="404"/>
      <c r="FW68" s="404"/>
      <c r="FX68" s="404"/>
      <c r="FY68" s="404"/>
      <c r="FZ68" s="404"/>
      <c r="GA68" s="404"/>
      <c r="GB68" s="404"/>
      <c r="GC68" s="404"/>
      <c r="GD68" s="404"/>
      <c r="GE68" s="404"/>
      <c r="GF68" s="404"/>
      <c r="GG68" s="404"/>
      <c r="GH68" s="404"/>
      <c r="GI68" s="404"/>
      <c r="GJ68" s="404"/>
      <c r="GK68" s="404"/>
      <c r="GL68" s="404"/>
      <c r="GM68" s="404"/>
      <c r="GN68" s="404"/>
      <c r="GO68" s="404"/>
      <c r="GP68" s="404"/>
      <c r="GQ68" s="404"/>
      <c r="GR68" s="404"/>
      <c r="GS68" s="404"/>
      <c r="GT68" s="404"/>
      <c r="GU68" s="404"/>
      <c r="GV68" s="404"/>
      <c r="GW68" s="404"/>
      <c r="GX68" s="404"/>
      <c r="GY68" s="404"/>
      <c r="GZ68" s="404"/>
      <c r="HA68" s="404"/>
      <c r="HB68" s="404"/>
      <c r="HC68" s="404"/>
      <c r="HD68" s="404"/>
      <c r="HE68" s="404"/>
      <c r="HF68" s="404"/>
      <c r="HG68" s="404"/>
      <c r="HH68" s="404"/>
      <c r="HI68" s="404"/>
      <c r="HJ68" s="404"/>
      <c r="HK68" s="404"/>
      <c r="HL68" s="404"/>
      <c r="HM68" s="404"/>
      <c r="HN68" s="404"/>
      <c r="HO68" s="404"/>
      <c r="HP68" s="404"/>
      <c r="HQ68" s="404"/>
      <c r="HR68" s="404"/>
      <c r="HS68" s="404"/>
      <c r="HT68" s="404"/>
      <c r="HU68" s="404"/>
      <c r="HV68" s="404"/>
      <c r="HW68" s="404"/>
      <c r="HX68" s="404"/>
      <c r="HY68" s="404"/>
      <c r="HZ68" s="404"/>
      <c r="IA68" s="404"/>
    </row>
    <row r="69" spans="1:236" s="309" customFormat="1" ht="28.35" customHeight="1" x14ac:dyDescent="0.3">
      <c r="A69" s="231">
        <v>4.03</v>
      </c>
      <c r="B69" s="288"/>
      <c r="C69" s="289" t="str">
        <f>VLOOKUP(BD.PD[[#This Row],[Pos]],PPto[],3,FALSE)</f>
        <v>4.03 Sistema de Extracción cocina</v>
      </c>
      <c r="D69" s="231" t="s">
        <v>22</v>
      </c>
      <c r="E69" s="291" t="str">
        <f>IF(BD.PD[[#This Row],[.]]="*",VLOOKUP(BD.PD[[#This Row],[Pos]],Presupuesto!A:H,7,FALSE),"")</f>
        <v/>
      </c>
      <c r="F69" s="500" t="s">
        <v>145</v>
      </c>
      <c r="G69" s="292">
        <v>4513087438</v>
      </c>
      <c r="H69" s="358" t="s">
        <v>1326</v>
      </c>
      <c r="I69" s="359">
        <v>1</v>
      </c>
      <c r="J69" s="231" t="s">
        <v>581</v>
      </c>
      <c r="K69" s="294">
        <f>IF(BD.PD[[#This Row],[Mon]]="DOP",1,HLOOKUP(BD.PD[[#This Row],[Mon]],$J$1:$K$2,2,FALSE))</f>
        <v>1</v>
      </c>
      <c r="L69" s="360">
        <v>90300</v>
      </c>
      <c r="M69" s="296">
        <f>BD.PD[[#This Row],[Cant.]]*BD.PD[[#This Row],[ Tasa ]]*BD.PD[[#This Row],[ Precio Und.]]</f>
        <v>90300</v>
      </c>
      <c r="N69" s="361">
        <v>0</v>
      </c>
      <c r="O69" s="296">
        <f>IF(BD.PD[[#This Row],[Liquid. '[%']]]&lt;&gt;0,(BD.PD[[#This Row],[Valor Neto '[DOP']]]*BD.PD[[#This Row],[Liquid. '[%']]])+BD.PD[[#This Row],[Valor Neto '[DOP']]],BD.PD[[#This Row],[Valor Neto '[DOP']]])</f>
        <v>90300</v>
      </c>
      <c r="P69" s="306">
        <f>BD.PD[[#This Row],[Ppto. Orden Interna '[DOP']]]/HLOOKUP("USD",$J$1:$K$2,2,FALSE)</f>
        <v>1433.3333333333333</v>
      </c>
      <c r="Q69" s="299" t="s">
        <v>611</v>
      </c>
      <c r="R69" s="408" t="s">
        <v>612</v>
      </c>
      <c r="S69" s="300">
        <v>21</v>
      </c>
      <c r="T69" s="301">
        <v>0.6</v>
      </c>
      <c r="U69" s="308">
        <f>BD.PD[[#This Row],[Av.P1 '[%']]]*BD.PD[[#This Row],[Ppto. Orden Interna '[DOP']]]</f>
        <v>54180</v>
      </c>
      <c r="V69" s="303">
        <v>23</v>
      </c>
      <c r="W69" s="304">
        <v>0.4</v>
      </c>
      <c r="X69" s="308">
        <f>BD.PD[[#This Row],[Av.P2 '[%']]]*BD.PD[[#This Row],[Ppto. Orden Interna '[DOP']]]</f>
        <v>36120</v>
      </c>
      <c r="Y69" s="303"/>
      <c r="Z69" s="304"/>
      <c r="AA69" s="308">
        <f>BD.PD[[#This Row],[Av.P3 '[%']]]*BD.PD[[#This Row],[Ppto. Orden Interna '[DOP']]]</f>
        <v>0</v>
      </c>
      <c r="AB69" s="303"/>
      <c r="AC69" s="304"/>
      <c r="AD69" s="308">
        <f>BD.PD[[#This Row],[Av.P4 '[%']]]*BD.PD[[#This Row],[Ppto. Orden Interna '[DOP']]]</f>
        <v>0</v>
      </c>
      <c r="AE69" s="303"/>
      <c r="AF69" s="304"/>
      <c r="AG69" s="308">
        <f>BD.PD[[#This Row],[Av.P5 '[%']]]*BD.PD[[#This Row],[Ppto. Orden Interna '[DOP']]]</f>
        <v>0</v>
      </c>
      <c r="AH69" s="305">
        <f>BD.PD[[#This Row],[Pago 5]]+BD.PD[[#This Row],[Pago 4]]+BD.PD[[#This Row],[Pago 3]]+BD.PD[[#This Row],[Pago 2]]+BD.PD[[#This Row],[Pago 1]]</f>
        <v>90300</v>
      </c>
      <c r="AI69" s="404"/>
      <c r="AJ69" s="404"/>
      <c r="AK69" s="404"/>
      <c r="AL69" s="404"/>
      <c r="AM69" s="404"/>
      <c r="AN69" s="404"/>
      <c r="AO69" s="404"/>
      <c r="AP69" s="404"/>
      <c r="AQ69" s="404"/>
      <c r="AR69" s="404"/>
      <c r="AS69" s="404"/>
      <c r="AT69" s="404"/>
      <c r="AU69" s="404"/>
      <c r="AV69" s="404"/>
      <c r="AW69" s="404"/>
      <c r="AX69" s="404"/>
      <c r="AY69" s="404"/>
      <c r="AZ69" s="404"/>
      <c r="BA69" s="404"/>
      <c r="BB69" s="404"/>
      <c r="BC69" s="404"/>
      <c r="BD69" s="404"/>
      <c r="BE69" s="404"/>
      <c r="BF69" s="404"/>
      <c r="BG69" s="404"/>
      <c r="BH69" s="404"/>
      <c r="BI69" s="404"/>
      <c r="BJ69" s="404"/>
      <c r="BK69" s="404"/>
      <c r="BL69" s="404"/>
      <c r="BM69" s="404"/>
      <c r="BN69" s="404"/>
      <c r="BO69" s="404"/>
      <c r="BP69" s="404"/>
      <c r="BQ69" s="404"/>
      <c r="BR69" s="404"/>
      <c r="BS69" s="404"/>
      <c r="BT69" s="404"/>
      <c r="BU69" s="404"/>
      <c r="BV69" s="404"/>
      <c r="BW69" s="404"/>
      <c r="BX69" s="404"/>
      <c r="BY69" s="404"/>
      <c r="BZ69" s="404"/>
      <c r="CA69" s="404"/>
      <c r="CB69" s="404"/>
      <c r="CC69" s="404"/>
      <c r="CD69" s="404"/>
      <c r="CE69" s="404"/>
      <c r="CF69" s="404"/>
      <c r="CG69" s="404"/>
      <c r="CH69" s="404"/>
      <c r="CI69" s="404"/>
      <c r="CJ69" s="404"/>
      <c r="CK69" s="404"/>
      <c r="CL69" s="404"/>
      <c r="CM69" s="404"/>
      <c r="CN69" s="404"/>
      <c r="CO69" s="404"/>
      <c r="CP69" s="404"/>
      <c r="CQ69" s="404"/>
      <c r="CR69" s="404"/>
      <c r="CS69" s="404"/>
      <c r="CT69" s="404"/>
      <c r="CU69" s="404"/>
      <c r="CV69" s="404"/>
      <c r="CW69" s="404"/>
      <c r="CX69" s="404"/>
      <c r="CY69" s="404"/>
      <c r="CZ69" s="404"/>
      <c r="DA69" s="404"/>
      <c r="DB69" s="404"/>
      <c r="DC69" s="404"/>
      <c r="DD69" s="404"/>
      <c r="DE69" s="404"/>
      <c r="DF69" s="404"/>
      <c r="DG69" s="404"/>
      <c r="DH69" s="404"/>
      <c r="DI69" s="404"/>
      <c r="DJ69" s="404"/>
      <c r="DK69" s="404"/>
      <c r="DL69" s="404"/>
      <c r="DM69" s="404"/>
      <c r="DN69" s="404"/>
      <c r="DO69" s="404"/>
      <c r="DP69" s="404"/>
      <c r="DQ69" s="404"/>
      <c r="DR69" s="404"/>
      <c r="DS69" s="404"/>
      <c r="DT69" s="404"/>
      <c r="DU69" s="404"/>
      <c r="DV69" s="404"/>
      <c r="DW69" s="404"/>
      <c r="DX69" s="404"/>
      <c r="DY69" s="404"/>
      <c r="DZ69" s="404"/>
      <c r="EA69" s="404"/>
      <c r="EB69" s="404"/>
      <c r="EC69" s="404"/>
      <c r="ED69" s="404"/>
      <c r="EE69" s="404"/>
      <c r="EF69" s="404"/>
      <c r="EG69" s="404"/>
      <c r="EH69" s="404"/>
      <c r="EI69" s="404"/>
      <c r="EJ69" s="404"/>
      <c r="EK69" s="404"/>
      <c r="EL69" s="404"/>
      <c r="EM69" s="404"/>
      <c r="EN69" s="404"/>
      <c r="EO69" s="404"/>
      <c r="EP69" s="404"/>
      <c r="EQ69" s="404"/>
      <c r="ER69" s="404"/>
      <c r="ES69" s="404"/>
      <c r="ET69" s="404"/>
      <c r="EU69" s="404"/>
      <c r="EV69" s="404"/>
      <c r="EW69" s="404"/>
      <c r="EX69" s="404"/>
      <c r="EY69" s="404"/>
      <c r="EZ69" s="404"/>
      <c r="FA69" s="404"/>
      <c r="FB69" s="404"/>
      <c r="FC69" s="404"/>
      <c r="FD69" s="404"/>
      <c r="FE69" s="404"/>
      <c r="FF69" s="404"/>
      <c r="FG69" s="404"/>
      <c r="FH69" s="404"/>
      <c r="FI69" s="404"/>
      <c r="FJ69" s="404"/>
      <c r="FK69" s="404"/>
      <c r="FL69" s="404"/>
      <c r="FM69" s="404"/>
      <c r="FN69" s="404"/>
      <c r="FO69" s="404"/>
      <c r="FP69" s="404"/>
      <c r="FQ69" s="404"/>
      <c r="FR69" s="404"/>
      <c r="FS69" s="404"/>
      <c r="FT69" s="404"/>
      <c r="FU69" s="404"/>
      <c r="FV69" s="404"/>
      <c r="FW69" s="404"/>
      <c r="FX69" s="404"/>
      <c r="FY69" s="404"/>
      <c r="FZ69" s="404"/>
      <c r="GA69" s="404"/>
      <c r="GB69" s="404"/>
      <c r="GC69" s="404"/>
      <c r="GD69" s="404"/>
      <c r="GE69" s="404"/>
      <c r="GF69" s="404"/>
      <c r="GG69" s="404"/>
      <c r="GH69" s="404"/>
      <c r="GI69" s="404"/>
      <c r="GJ69" s="404"/>
      <c r="GK69" s="404"/>
      <c r="GL69" s="404"/>
      <c r="GM69" s="404"/>
      <c r="GN69" s="404"/>
      <c r="GO69" s="404"/>
      <c r="GP69" s="404"/>
      <c r="GQ69" s="404"/>
      <c r="GR69" s="404"/>
      <c r="GS69" s="404"/>
      <c r="GT69" s="404"/>
      <c r="GU69" s="404"/>
      <c r="GV69" s="404"/>
      <c r="GW69" s="404"/>
      <c r="GX69" s="404"/>
      <c r="GY69" s="404"/>
      <c r="GZ69" s="404"/>
      <c r="HA69" s="404"/>
      <c r="HB69" s="404"/>
      <c r="HC69" s="404"/>
      <c r="HD69" s="404"/>
      <c r="HE69" s="404"/>
      <c r="HF69" s="404"/>
      <c r="HG69" s="404"/>
      <c r="HH69" s="404"/>
      <c r="HI69" s="404"/>
      <c r="HJ69" s="404"/>
      <c r="HK69" s="404"/>
      <c r="HL69" s="404"/>
      <c r="HM69" s="404"/>
      <c r="HN69" s="404"/>
      <c r="HO69" s="404"/>
      <c r="HP69" s="404"/>
      <c r="HQ69" s="404"/>
      <c r="HR69" s="404"/>
      <c r="HS69" s="404"/>
      <c r="HT69" s="404"/>
      <c r="HU69" s="404"/>
      <c r="HV69" s="404"/>
      <c r="HW69" s="404"/>
      <c r="HX69" s="404"/>
      <c r="HY69" s="404"/>
      <c r="HZ69" s="404"/>
      <c r="IA69" s="404"/>
    </row>
    <row r="70" spans="1:236" s="309" customFormat="1" ht="24.6" customHeight="1" x14ac:dyDescent="0.3">
      <c r="A70" s="231">
        <v>4.03</v>
      </c>
      <c r="B70" s="288"/>
      <c r="C70" s="289" t="str">
        <f>VLOOKUP(BD.PD[[#This Row],[Pos]],PPto[],3,FALSE)</f>
        <v>4.03 Sistema de Extracción cocina</v>
      </c>
      <c r="D70" s="231" t="s">
        <v>22</v>
      </c>
      <c r="E70" s="291" t="str">
        <f>IF(BD.PD[[#This Row],[.]]="*",VLOOKUP(BD.PD[[#This Row],[Pos]],Presupuesto!A:H,7,FALSE),"")</f>
        <v/>
      </c>
      <c r="F70" s="500" t="s">
        <v>148</v>
      </c>
      <c r="G70" s="292">
        <v>4513087438</v>
      </c>
      <c r="H70" s="358" t="s">
        <v>1326</v>
      </c>
      <c r="I70" s="359">
        <v>1</v>
      </c>
      <c r="J70" s="231" t="s">
        <v>581</v>
      </c>
      <c r="K70" s="294">
        <f>IF(BD.PD[[#This Row],[Mon]]="DOP",1,HLOOKUP(BD.PD[[#This Row],[Mon]],$J$1:$K$2,2,FALSE))</f>
        <v>1</v>
      </c>
      <c r="L70" s="360">
        <v>192146</v>
      </c>
      <c r="M70" s="296">
        <f>BD.PD[[#This Row],[Cant.]]*BD.PD[[#This Row],[ Tasa ]]*BD.PD[[#This Row],[ Precio Und.]]</f>
        <v>192146</v>
      </c>
      <c r="N70" s="361">
        <v>0</v>
      </c>
      <c r="O70" s="296">
        <f>IF(BD.PD[[#This Row],[Liquid. '[%']]]&lt;&gt;0,(BD.PD[[#This Row],[Valor Neto '[DOP']]]*BD.PD[[#This Row],[Liquid. '[%']]])+BD.PD[[#This Row],[Valor Neto '[DOP']]],BD.PD[[#This Row],[Valor Neto '[DOP']]])</f>
        <v>192146</v>
      </c>
      <c r="P70" s="306">
        <f>BD.PD[[#This Row],[Ppto. Orden Interna '[DOP']]]/HLOOKUP("USD",$J$1:$K$2,2,FALSE)</f>
        <v>3049.936507936508</v>
      </c>
      <c r="Q70" s="299" t="s">
        <v>611</v>
      </c>
      <c r="R70" s="408" t="s">
        <v>612</v>
      </c>
      <c r="S70" s="300">
        <v>21</v>
      </c>
      <c r="T70" s="301">
        <v>0.6</v>
      </c>
      <c r="U70" s="308">
        <f>BD.PD[[#This Row],[Av.P1 '[%']]]*BD.PD[[#This Row],[Ppto. Orden Interna '[DOP']]]</f>
        <v>115287.59999999999</v>
      </c>
      <c r="V70" s="303">
        <v>23</v>
      </c>
      <c r="W70" s="304">
        <v>0.4</v>
      </c>
      <c r="X70" s="308">
        <f>BD.PD[[#This Row],[Av.P2 '[%']]]*BD.PD[[#This Row],[Ppto. Orden Interna '[DOP']]]</f>
        <v>76858.400000000009</v>
      </c>
      <c r="Y70" s="303"/>
      <c r="Z70" s="304"/>
      <c r="AA70" s="308">
        <f>BD.PD[[#This Row],[Av.P3 '[%']]]*BD.PD[[#This Row],[Ppto. Orden Interna '[DOP']]]</f>
        <v>0</v>
      </c>
      <c r="AB70" s="303"/>
      <c r="AC70" s="304"/>
      <c r="AD70" s="308">
        <f>BD.PD[[#This Row],[Av.P4 '[%']]]*BD.PD[[#This Row],[Ppto. Orden Interna '[DOP']]]</f>
        <v>0</v>
      </c>
      <c r="AE70" s="303"/>
      <c r="AF70" s="304"/>
      <c r="AG70" s="308">
        <f>BD.PD[[#This Row],[Av.P5 '[%']]]*BD.PD[[#This Row],[Ppto. Orden Interna '[DOP']]]</f>
        <v>0</v>
      </c>
      <c r="AH70" s="305">
        <f>BD.PD[[#This Row],[Pago 5]]+BD.PD[[#This Row],[Pago 4]]+BD.PD[[#This Row],[Pago 3]]+BD.PD[[#This Row],[Pago 2]]+BD.PD[[#This Row],[Pago 1]]</f>
        <v>192146</v>
      </c>
      <c r="AI70" s="404"/>
      <c r="AJ70" s="404"/>
      <c r="AK70" s="404"/>
      <c r="AL70" s="404"/>
      <c r="AM70" s="404"/>
      <c r="AN70" s="404"/>
      <c r="AO70" s="404"/>
      <c r="AP70" s="404"/>
      <c r="AQ70" s="404"/>
      <c r="AR70" s="404"/>
      <c r="AS70" s="404"/>
      <c r="AT70" s="404"/>
      <c r="AU70" s="404"/>
      <c r="AV70" s="404"/>
      <c r="AW70" s="404"/>
      <c r="AX70" s="404"/>
      <c r="AY70" s="404"/>
      <c r="AZ70" s="404"/>
      <c r="BA70" s="404"/>
      <c r="BB70" s="404"/>
      <c r="BC70" s="404"/>
      <c r="BD70" s="404"/>
      <c r="BE70" s="404"/>
      <c r="BF70" s="404"/>
      <c r="BG70" s="404"/>
      <c r="BH70" s="404"/>
      <c r="BI70" s="404"/>
      <c r="BJ70" s="404"/>
      <c r="BK70" s="404"/>
      <c r="BL70" s="404"/>
      <c r="BM70" s="404"/>
      <c r="BN70" s="404"/>
      <c r="BO70" s="404"/>
      <c r="BP70" s="404"/>
      <c r="BQ70" s="404"/>
      <c r="BR70" s="404"/>
      <c r="BS70" s="404"/>
      <c r="BT70" s="404"/>
      <c r="BU70" s="404"/>
      <c r="BV70" s="404"/>
      <c r="BW70" s="404"/>
      <c r="BX70" s="404"/>
      <c r="BY70" s="404"/>
      <c r="BZ70" s="404"/>
      <c r="CA70" s="404"/>
      <c r="CB70" s="404"/>
      <c r="CC70" s="404"/>
      <c r="CD70" s="404"/>
      <c r="CE70" s="404"/>
      <c r="CF70" s="404"/>
      <c r="CG70" s="404"/>
      <c r="CH70" s="404"/>
      <c r="CI70" s="404"/>
      <c r="CJ70" s="404"/>
      <c r="CK70" s="404"/>
      <c r="CL70" s="404"/>
      <c r="CM70" s="404"/>
      <c r="CN70" s="404"/>
      <c r="CO70" s="404"/>
      <c r="CP70" s="404"/>
      <c r="CQ70" s="404"/>
      <c r="CR70" s="404"/>
      <c r="CS70" s="404"/>
      <c r="CT70" s="404"/>
      <c r="CU70" s="404"/>
      <c r="CV70" s="404"/>
      <c r="CW70" s="404"/>
      <c r="CX70" s="404"/>
      <c r="CY70" s="404"/>
      <c r="CZ70" s="404"/>
      <c r="DA70" s="404"/>
      <c r="DB70" s="404"/>
      <c r="DC70" s="404"/>
      <c r="DD70" s="404"/>
      <c r="DE70" s="404"/>
      <c r="DF70" s="404"/>
      <c r="DG70" s="404"/>
      <c r="DH70" s="404"/>
      <c r="DI70" s="404"/>
      <c r="DJ70" s="404"/>
      <c r="DK70" s="404"/>
      <c r="DL70" s="404"/>
      <c r="DM70" s="404"/>
      <c r="DN70" s="404"/>
      <c r="DO70" s="404"/>
      <c r="DP70" s="404"/>
      <c r="DQ70" s="404"/>
      <c r="DR70" s="404"/>
      <c r="DS70" s="404"/>
      <c r="DT70" s="404"/>
      <c r="DU70" s="404"/>
      <c r="DV70" s="404"/>
      <c r="DW70" s="404"/>
      <c r="DX70" s="404"/>
      <c r="DY70" s="404"/>
      <c r="DZ70" s="404"/>
      <c r="EA70" s="404"/>
      <c r="EB70" s="404"/>
      <c r="EC70" s="404"/>
      <c r="ED70" s="404"/>
      <c r="EE70" s="404"/>
      <c r="EF70" s="404"/>
      <c r="EG70" s="404"/>
      <c r="EH70" s="404"/>
      <c r="EI70" s="404"/>
      <c r="EJ70" s="404"/>
      <c r="EK70" s="404"/>
      <c r="EL70" s="404"/>
      <c r="EM70" s="404"/>
      <c r="EN70" s="404"/>
      <c r="EO70" s="404"/>
      <c r="EP70" s="404"/>
      <c r="EQ70" s="404"/>
      <c r="ER70" s="404"/>
      <c r="ES70" s="404"/>
      <c r="ET70" s="404"/>
      <c r="EU70" s="404"/>
      <c r="EV70" s="404"/>
      <c r="EW70" s="404"/>
      <c r="EX70" s="404"/>
      <c r="EY70" s="404"/>
      <c r="EZ70" s="404"/>
      <c r="FA70" s="404"/>
      <c r="FB70" s="404"/>
      <c r="FC70" s="404"/>
      <c r="FD70" s="404"/>
      <c r="FE70" s="404"/>
      <c r="FF70" s="404"/>
      <c r="FG70" s="404"/>
      <c r="FH70" s="404"/>
      <c r="FI70" s="404"/>
      <c r="FJ70" s="404"/>
      <c r="FK70" s="404"/>
      <c r="FL70" s="404"/>
      <c r="FM70" s="404"/>
      <c r="FN70" s="404"/>
      <c r="FO70" s="404"/>
      <c r="FP70" s="404"/>
      <c r="FQ70" s="404"/>
      <c r="FR70" s="404"/>
      <c r="FS70" s="404"/>
      <c r="FT70" s="404"/>
      <c r="FU70" s="404"/>
      <c r="FV70" s="404"/>
      <c r="FW70" s="404"/>
      <c r="FX70" s="404"/>
      <c r="FY70" s="404"/>
      <c r="FZ70" s="404"/>
      <c r="GA70" s="404"/>
      <c r="GB70" s="404"/>
      <c r="GC70" s="404"/>
      <c r="GD70" s="404"/>
      <c r="GE70" s="404"/>
      <c r="GF70" s="404"/>
      <c r="GG70" s="404"/>
      <c r="GH70" s="404"/>
      <c r="GI70" s="404"/>
      <c r="GJ70" s="404"/>
      <c r="GK70" s="404"/>
      <c r="GL70" s="404"/>
      <c r="GM70" s="404"/>
      <c r="GN70" s="404"/>
      <c r="GO70" s="404"/>
      <c r="GP70" s="404"/>
      <c r="GQ70" s="404"/>
      <c r="GR70" s="404"/>
      <c r="GS70" s="404"/>
      <c r="GT70" s="404"/>
      <c r="GU70" s="404"/>
      <c r="GV70" s="404"/>
      <c r="GW70" s="404"/>
      <c r="GX70" s="404"/>
      <c r="GY70" s="404"/>
      <c r="GZ70" s="404"/>
      <c r="HA70" s="404"/>
      <c r="HB70" s="404"/>
      <c r="HC70" s="404"/>
      <c r="HD70" s="404"/>
      <c r="HE70" s="404"/>
      <c r="HF70" s="404"/>
      <c r="HG70" s="404"/>
      <c r="HH70" s="404"/>
      <c r="HI70" s="404"/>
      <c r="HJ70" s="404"/>
      <c r="HK70" s="404"/>
      <c r="HL70" s="404"/>
      <c r="HM70" s="404"/>
      <c r="HN70" s="404"/>
      <c r="HO70" s="404"/>
      <c r="HP70" s="404"/>
      <c r="HQ70" s="404"/>
      <c r="HR70" s="404"/>
      <c r="HS70" s="404"/>
      <c r="HT70" s="404"/>
      <c r="HU70" s="404"/>
      <c r="HV70" s="404"/>
      <c r="HW70" s="404"/>
      <c r="HX70" s="404"/>
      <c r="HY70" s="404"/>
      <c r="HZ70" s="404"/>
      <c r="IA70" s="404"/>
    </row>
    <row r="71" spans="1:236" s="309" customFormat="1" ht="15" customHeight="1" x14ac:dyDescent="0.3">
      <c r="A71" s="231">
        <v>4.03</v>
      </c>
      <c r="B71" s="288"/>
      <c r="C71" s="289" t="str">
        <f>VLOOKUP(BD.PD[[#This Row],[Pos]],PPto[],3,FALSE)</f>
        <v>4.03 Sistema de Extracción cocina</v>
      </c>
      <c r="D71" s="231" t="s">
        <v>22</v>
      </c>
      <c r="E71" s="291" t="str">
        <f>IF(BD.PD[[#This Row],[.]]="*",VLOOKUP(BD.PD[[#This Row],[Pos]],Presupuesto!A:H,7,FALSE),"")</f>
        <v/>
      </c>
      <c r="F71" s="500" t="s">
        <v>151</v>
      </c>
      <c r="G71" s="292">
        <v>4513087438</v>
      </c>
      <c r="H71" s="358" t="s">
        <v>1326</v>
      </c>
      <c r="I71" s="359">
        <v>1</v>
      </c>
      <c r="J71" s="231" t="s">
        <v>581</v>
      </c>
      <c r="K71" s="294">
        <f>IF(BD.PD[[#This Row],[Mon]]="DOP",1,HLOOKUP(BD.PD[[#This Row],[Mon]],$J$1:$K$2,2,FALSE))</f>
        <v>1</v>
      </c>
      <c r="L71" s="360">
        <v>220888</v>
      </c>
      <c r="M71" s="296">
        <f>BD.PD[[#This Row],[Cant.]]*BD.PD[[#This Row],[ Tasa ]]*BD.PD[[#This Row],[ Precio Und.]]</f>
        <v>220888</v>
      </c>
      <c r="N71" s="361">
        <v>0</v>
      </c>
      <c r="O71" s="296">
        <f>IF(BD.PD[[#This Row],[Liquid. '[%']]]&lt;&gt;0,(BD.PD[[#This Row],[Valor Neto '[DOP']]]*BD.PD[[#This Row],[Liquid. '[%']]])+BD.PD[[#This Row],[Valor Neto '[DOP']]],BD.PD[[#This Row],[Valor Neto '[DOP']]])</f>
        <v>220888</v>
      </c>
      <c r="P71" s="306">
        <f>BD.PD[[#This Row],[Ppto. Orden Interna '[DOP']]]/HLOOKUP("USD",$J$1:$K$2,2,FALSE)</f>
        <v>3506.1587301587301</v>
      </c>
      <c r="Q71" s="299" t="s">
        <v>611</v>
      </c>
      <c r="R71" s="408" t="s">
        <v>612</v>
      </c>
      <c r="S71" s="300">
        <v>21</v>
      </c>
      <c r="T71" s="301">
        <v>0.6</v>
      </c>
      <c r="U71" s="308">
        <f>BD.PD[[#This Row],[Av.P1 '[%']]]*BD.PD[[#This Row],[Ppto. Orden Interna '[DOP']]]</f>
        <v>132532.79999999999</v>
      </c>
      <c r="V71" s="303">
        <v>23</v>
      </c>
      <c r="W71" s="304">
        <v>0.4</v>
      </c>
      <c r="X71" s="308">
        <f>BD.PD[[#This Row],[Av.P2 '[%']]]*BD.PD[[#This Row],[Ppto. Orden Interna '[DOP']]]</f>
        <v>88355.200000000012</v>
      </c>
      <c r="Y71" s="303"/>
      <c r="Z71" s="304"/>
      <c r="AA71" s="308">
        <f>BD.PD[[#This Row],[Av.P3 '[%']]]*BD.PD[[#This Row],[Ppto. Orden Interna '[DOP']]]</f>
        <v>0</v>
      </c>
      <c r="AB71" s="303"/>
      <c r="AC71" s="304"/>
      <c r="AD71" s="308">
        <f>BD.PD[[#This Row],[Av.P4 '[%']]]*BD.PD[[#This Row],[Ppto. Orden Interna '[DOP']]]</f>
        <v>0</v>
      </c>
      <c r="AE71" s="303"/>
      <c r="AF71" s="304"/>
      <c r="AG71" s="308">
        <f>BD.PD[[#This Row],[Av.P5 '[%']]]*BD.PD[[#This Row],[Ppto. Orden Interna '[DOP']]]</f>
        <v>0</v>
      </c>
      <c r="AH71" s="305">
        <f>BD.PD[[#This Row],[Pago 5]]+BD.PD[[#This Row],[Pago 4]]+BD.PD[[#This Row],[Pago 3]]+BD.PD[[#This Row],[Pago 2]]+BD.PD[[#This Row],[Pago 1]]</f>
        <v>220888</v>
      </c>
      <c r="AI71" s="404"/>
      <c r="AJ71" s="404"/>
      <c r="AK71" s="404"/>
      <c r="AL71" s="404"/>
      <c r="AM71" s="404"/>
      <c r="AN71" s="404"/>
      <c r="AO71" s="404"/>
      <c r="AP71" s="404"/>
      <c r="AQ71" s="404"/>
      <c r="AR71" s="404"/>
      <c r="AS71" s="404"/>
      <c r="AT71" s="404"/>
      <c r="AU71" s="404"/>
      <c r="AV71" s="404"/>
      <c r="AW71" s="404"/>
      <c r="AX71" s="404"/>
      <c r="AY71" s="404"/>
      <c r="AZ71" s="404"/>
      <c r="BA71" s="404"/>
      <c r="BB71" s="404"/>
      <c r="BC71" s="404"/>
      <c r="BD71" s="404"/>
      <c r="BE71" s="404"/>
      <c r="BF71" s="404"/>
      <c r="BG71" s="404"/>
      <c r="BH71" s="404"/>
      <c r="BI71" s="404"/>
      <c r="BJ71" s="404"/>
      <c r="BK71" s="404"/>
      <c r="BL71" s="404"/>
      <c r="BM71" s="404"/>
      <c r="BN71" s="404"/>
      <c r="BO71" s="404"/>
      <c r="BP71" s="404"/>
      <c r="BQ71" s="404"/>
      <c r="BR71" s="404"/>
      <c r="BS71" s="404"/>
      <c r="BT71" s="404"/>
      <c r="BU71" s="404"/>
      <c r="BV71" s="404"/>
      <c r="BW71" s="404"/>
      <c r="BX71" s="404"/>
      <c r="BY71" s="404"/>
      <c r="BZ71" s="404"/>
      <c r="CA71" s="404"/>
      <c r="CB71" s="404"/>
      <c r="CC71" s="404"/>
      <c r="CD71" s="404"/>
      <c r="CE71" s="404"/>
      <c r="CF71" s="404"/>
      <c r="CG71" s="404"/>
      <c r="CH71" s="404"/>
      <c r="CI71" s="404"/>
      <c r="CJ71" s="404"/>
      <c r="CK71" s="404"/>
      <c r="CL71" s="404"/>
      <c r="CM71" s="404"/>
      <c r="CN71" s="404"/>
      <c r="CO71" s="404"/>
      <c r="CP71" s="404"/>
      <c r="CQ71" s="404"/>
      <c r="CR71" s="404"/>
      <c r="CS71" s="404"/>
      <c r="CT71" s="404"/>
      <c r="CU71" s="404"/>
      <c r="CV71" s="404"/>
      <c r="CW71" s="404"/>
      <c r="CX71" s="404"/>
      <c r="CY71" s="404"/>
      <c r="CZ71" s="404"/>
      <c r="DA71" s="404"/>
      <c r="DB71" s="404"/>
      <c r="DC71" s="404"/>
      <c r="DD71" s="404"/>
      <c r="DE71" s="404"/>
      <c r="DF71" s="404"/>
      <c r="DG71" s="404"/>
      <c r="DH71" s="404"/>
      <c r="DI71" s="404"/>
      <c r="DJ71" s="404"/>
      <c r="DK71" s="404"/>
      <c r="DL71" s="404"/>
      <c r="DM71" s="404"/>
      <c r="DN71" s="404"/>
      <c r="DO71" s="404"/>
      <c r="DP71" s="404"/>
      <c r="DQ71" s="404"/>
      <c r="DR71" s="404"/>
      <c r="DS71" s="404"/>
      <c r="DT71" s="404"/>
      <c r="DU71" s="404"/>
      <c r="DV71" s="404"/>
      <c r="DW71" s="404"/>
      <c r="DX71" s="404"/>
      <c r="DY71" s="404"/>
      <c r="DZ71" s="404"/>
      <c r="EA71" s="404"/>
      <c r="EB71" s="404"/>
      <c r="EC71" s="404"/>
      <c r="ED71" s="404"/>
      <c r="EE71" s="404"/>
      <c r="EF71" s="404"/>
      <c r="EG71" s="404"/>
      <c r="EH71" s="404"/>
      <c r="EI71" s="404"/>
      <c r="EJ71" s="404"/>
      <c r="EK71" s="404"/>
      <c r="EL71" s="404"/>
      <c r="EM71" s="404"/>
      <c r="EN71" s="404"/>
      <c r="EO71" s="404"/>
      <c r="EP71" s="404"/>
      <c r="EQ71" s="404"/>
      <c r="ER71" s="404"/>
      <c r="ES71" s="404"/>
      <c r="ET71" s="404"/>
      <c r="EU71" s="404"/>
      <c r="EV71" s="404"/>
      <c r="EW71" s="404"/>
      <c r="EX71" s="404"/>
      <c r="EY71" s="404"/>
      <c r="EZ71" s="404"/>
      <c r="FA71" s="404"/>
      <c r="FB71" s="404"/>
      <c r="FC71" s="404"/>
      <c r="FD71" s="404"/>
      <c r="FE71" s="404"/>
      <c r="FF71" s="404"/>
      <c r="FG71" s="404"/>
      <c r="FH71" s="404"/>
      <c r="FI71" s="404"/>
      <c r="FJ71" s="404"/>
      <c r="FK71" s="404"/>
      <c r="FL71" s="404"/>
      <c r="FM71" s="404"/>
      <c r="FN71" s="404"/>
      <c r="FO71" s="404"/>
      <c r="FP71" s="404"/>
      <c r="FQ71" s="404"/>
      <c r="FR71" s="404"/>
      <c r="FS71" s="404"/>
      <c r="FT71" s="404"/>
      <c r="FU71" s="404"/>
      <c r="FV71" s="404"/>
      <c r="FW71" s="404"/>
      <c r="FX71" s="404"/>
      <c r="FY71" s="404"/>
      <c r="FZ71" s="404"/>
      <c r="GA71" s="404"/>
      <c r="GB71" s="404"/>
      <c r="GC71" s="404"/>
      <c r="GD71" s="404"/>
      <c r="GE71" s="404"/>
      <c r="GF71" s="404"/>
      <c r="GG71" s="404"/>
      <c r="GH71" s="404"/>
      <c r="GI71" s="404"/>
      <c r="GJ71" s="404"/>
      <c r="GK71" s="404"/>
      <c r="GL71" s="404"/>
      <c r="GM71" s="404"/>
      <c r="GN71" s="404"/>
      <c r="GO71" s="404"/>
      <c r="GP71" s="404"/>
      <c r="GQ71" s="404"/>
      <c r="GR71" s="404"/>
      <c r="GS71" s="404"/>
      <c r="GT71" s="404"/>
      <c r="GU71" s="404"/>
      <c r="GV71" s="404"/>
      <c r="GW71" s="404"/>
      <c r="GX71" s="404"/>
      <c r="GY71" s="404"/>
      <c r="GZ71" s="404"/>
      <c r="HA71" s="404"/>
      <c r="HB71" s="404"/>
      <c r="HC71" s="404"/>
      <c r="HD71" s="404"/>
      <c r="HE71" s="404"/>
      <c r="HF71" s="404"/>
      <c r="HG71" s="404"/>
      <c r="HH71" s="404"/>
      <c r="HI71" s="404"/>
      <c r="HJ71" s="404"/>
      <c r="HK71" s="404"/>
      <c r="HL71" s="404"/>
      <c r="HM71" s="404"/>
      <c r="HN71" s="404"/>
      <c r="HO71" s="404"/>
      <c r="HP71" s="404"/>
      <c r="HQ71" s="404"/>
      <c r="HR71" s="404"/>
      <c r="HS71" s="404"/>
      <c r="HT71" s="404"/>
      <c r="HU71" s="404"/>
      <c r="HV71" s="404"/>
      <c r="HW71" s="404"/>
      <c r="HX71" s="404"/>
      <c r="HY71" s="404"/>
      <c r="HZ71" s="404"/>
      <c r="IA71" s="404"/>
    </row>
    <row r="72" spans="1:236" ht="15" customHeight="1" x14ac:dyDescent="0.3">
      <c r="A72" s="231">
        <v>4.03</v>
      </c>
      <c r="B72" s="288"/>
      <c r="C72" s="289" t="str">
        <f>VLOOKUP(BD.PD[[#This Row],[Pos]],PPto[],3,FALSE)</f>
        <v>4.03 Sistema de Extracción cocina</v>
      </c>
      <c r="D72" s="231" t="s">
        <v>22</v>
      </c>
      <c r="E72" s="291" t="str">
        <f>IF(BD.PD[[#This Row],[.]]="*",VLOOKUP(BD.PD[[#This Row],[Pos]],Presupuesto!A:H,7,FALSE),"")</f>
        <v/>
      </c>
      <c r="F72" s="500" t="s">
        <v>146</v>
      </c>
      <c r="G72" s="292">
        <v>4513087438</v>
      </c>
      <c r="H72" s="358" t="s">
        <v>1326</v>
      </c>
      <c r="I72" s="359">
        <v>1</v>
      </c>
      <c r="J72" s="231" t="s">
        <v>581</v>
      </c>
      <c r="K72" s="294">
        <f>IF(BD.PD[[#This Row],[Mon]]="DOP",1,HLOOKUP(BD.PD[[#This Row],[Mon]],$J$1:$K$2,2,FALSE))</f>
        <v>1</v>
      </c>
      <c r="L72" s="360">
        <v>116600</v>
      </c>
      <c r="M72" s="296">
        <f>BD.PD[[#This Row],[Cant.]]*BD.PD[[#This Row],[ Tasa ]]*BD.PD[[#This Row],[ Precio Und.]]</f>
        <v>116600</v>
      </c>
      <c r="N72" s="361">
        <v>0</v>
      </c>
      <c r="O72" s="296">
        <f>IF(BD.PD[[#This Row],[Liquid. '[%']]]&lt;&gt;0,(BD.PD[[#This Row],[Valor Neto '[DOP']]]*BD.PD[[#This Row],[Liquid. '[%']]])+BD.PD[[#This Row],[Valor Neto '[DOP']]],BD.PD[[#This Row],[Valor Neto '[DOP']]])</f>
        <v>116600</v>
      </c>
      <c r="P72" s="306">
        <f>BD.PD[[#This Row],[Ppto. Orden Interna '[DOP']]]/HLOOKUP("USD",$J$1:$K$2,2,FALSE)</f>
        <v>1850.7936507936508</v>
      </c>
      <c r="Q72" s="299" t="s">
        <v>611</v>
      </c>
      <c r="R72" s="408" t="s">
        <v>612</v>
      </c>
      <c r="S72" s="300">
        <v>21</v>
      </c>
      <c r="T72" s="301">
        <v>0.6</v>
      </c>
      <c r="U72" s="308">
        <f>BD.PD[[#This Row],[Av.P1 '[%']]]*BD.PD[[#This Row],[Ppto. Orden Interna '[DOP']]]</f>
        <v>69960</v>
      </c>
      <c r="V72" s="303">
        <v>23</v>
      </c>
      <c r="W72" s="304">
        <v>0.4</v>
      </c>
      <c r="X72" s="308">
        <f>BD.PD[[#This Row],[Av.P2 '[%']]]*BD.PD[[#This Row],[Ppto. Orden Interna '[DOP']]]</f>
        <v>46640</v>
      </c>
      <c r="Y72" s="303"/>
      <c r="Z72" s="304"/>
      <c r="AA72" s="308">
        <f>BD.PD[[#This Row],[Av.P3 '[%']]]*BD.PD[[#This Row],[Ppto. Orden Interna '[DOP']]]</f>
        <v>0</v>
      </c>
      <c r="AB72" s="303"/>
      <c r="AC72" s="304"/>
      <c r="AD72" s="308">
        <f>BD.PD[[#This Row],[Av.P4 '[%']]]*BD.PD[[#This Row],[Ppto. Orden Interna '[DOP']]]</f>
        <v>0</v>
      </c>
      <c r="AE72" s="303"/>
      <c r="AF72" s="304"/>
      <c r="AG72" s="308">
        <f>BD.PD[[#This Row],[Av.P5 '[%']]]*BD.PD[[#This Row],[Ppto. Orden Interna '[DOP']]]</f>
        <v>0</v>
      </c>
      <c r="AH72" s="305">
        <f>BD.PD[[#This Row],[Pago 5]]+BD.PD[[#This Row],[Pago 4]]+BD.PD[[#This Row],[Pago 3]]+BD.PD[[#This Row],[Pago 2]]+BD.PD[[#This Row],[Pago 1]]</f>
        <v>116600</v>
      </c>
      <c r="AI72" s="404"/>
      <c r="IB72" s="275"/>
    </row>
    <row r="73" spans="1:236" ht="15" customHeight="1" x14ac:dyDescent="0.3">
      <c r="A73" s="231">
        <v>4.03</v>
      </c>
      <c r="B73" s="288"/>
      <c r="C73" s="289" t="str">
        <f>VLOOKUP(BD.PD[[#This Row],[Pos]],PPto[],3,FALSE)</f>
        <v>4.03 Sistema de Extracción cocina</v>
      </c>
      <c r="D73" s="231" t="s">
        <v>22</v>
      </c>
      <c r="E73" s="291" t="str">
        <f>IF(BD.PD[[#This Row],[.]]="*",VLOOKUP(BD.PD[[#This Row],[Pos]],Presupuesto!A:H,7,FALSE),"")</f>
        <v/>
      </c>
      <c r="F73" s="500" t="s">
        <v>147</v>
      </c>
      <c r="G73" s="292">
        <v>4513087438</v>
      </c>
      <c r="H73" s="358" t="s">
        <v>1326</v>
      </c>
      <c r="I73" s="359">
        <v>1</v>
      </c>
      <c r="J73" s="231" t="s">
        <v>581</v>
      </c>
      <c r="K73" s="294">
        <f>IF(BD.PD[[#This Row],[Mon]]="DOP",1,HLOOKUP(BD.PD[[#This Row],[Mon]],$J$1:$K$2,2,FALSE))</f>
        <v>1</v>
      </c>
      <c r="L73" s="360">
        <v>81583</v>
      </c>
      <c r="M73" s="296">
        <f>BD.PD[[#This Row],[Cant.]]*BD.PD[[#This Row],[ Tasa ]]*BD.PD[[#This Row],[ Precio Und.]]</f>
        <v>81583</v>
      </c>
      <c r="N73" s="361">
        <v>0</v>
      </c>
      <c r="O73" s="296">
        <f>IF(BD.PD[[#This Row],[Liquid. '[%']]]&lt;&gt;0,(BD.PD[[#This Row],[Valor Neto '[DOP']]]*BD.PD[[#This Row],[Liquid. '[%']]])+BD.PD[[#This Row],[Valor Neto '[DOP']]],BD.PD[[#This Row],[Valor Neto '[DOP']]])</f>
        <v>81583</v>
      </c>
      <c r="P73" s="306">
        <f>BD.PD[[#This Row],[Ppto. Orden Interna '[DOP']]]/HLOOKUP("USD",$J$1:$K$2,2,FALSE)</f>
        <v>1294.968253968254</v>
      </c>
      <c r="Q73" s="299" t="s">
        <v>611</v>
      </c>
      <c r="R73" s="408" t="s">
        <v>612</v>
      </c>
      <c r="S73" s="300">
        <v>21</v>
      </c>
      <c r="T73" s="301">
        <v>0.6</v>
      </c>
      <c r="U73" s="308">
        <f>BD.PD[[#This Row],[Av.P1 '[%']]]*BD.PD[[#This Row],[Ppto. Orden Interna '[DOP']]]</f>
        <v>48949.799999999996</v>
      </c>
      <c r="V73" s="303">
        <v>23</v>
      </c>
      <c r="W73" s="304">
        <v>0.4</v>
      </c>
      <c r="X73" s="308">
        <f>BD.PD[[#This Row],[Av.P2 '[%']]]*BD.PD[[#This Row],[Ppto. Orden Interna '[DOP']]]</f>
        <v>32633.200000000001</v>
      </c>
      <c r="Y73" s="303"/>
      <c r="Z73" s="304"/>
      <c r="AA73" s="308">
        <f>BD.PD[[#This Row],[Av.P3 '[%']]]*BD.PD[[#This Row],[Ppto. Orden Interna '[DOP']]]</f>
        <v>0</v>
      </c>
      <c r="AB73" s="303"/>
      <c r="AC73" s="304"/>
      <c r="AD73" s="308">
        <f>BD.PD[[#This Row],[Av.P4 '[%']]]*BD.PD[[#This Row],[Ppto. Orden Interna '[DOP']]]</f>
        <v>0</v>
      </c>
      <c r="AE73" s="303"/>
      <c r="AF73" s="304"/>
      <c r="AG73" s="308">
        <f>BD.PD[[#This Row],[Av.P5 '[%']]]*BD.PD[[#This Row],[Ppto. Orden Interna '[DOP']]]</f>
        <v>0</v>
      </c>
      <c r="AH73" s="305">
        <f>BD.PD[[#This Row],[Pago 5]]+BD.PD[[#This Row],[Pago 4]]+BD.PD[[#This Row],[Pago 3]]+BD.PD[[#This Row],[Pago 2]]+BD.PD[[#This Row],[Pago 1]]</f>
        <v>81583</v>
      </c>
      <c r="AI73" s="404"/>
      <c r="IB73" s="275"/>
    </row>
    <row r="74" spans="1:236" ht="15" customHeight="1" x14ac:dyDescent="0.3">
      <c r="A74" s="231">
        <v>4.03</v>
      </c>
      <c r="B74" s="288"/>
      <c r="C74" s="289" t="str">
        <f>VLOOKUP(BD.PD[[#This Row],[Pos]],PPto[],3,FALSE)</f>
        <v>4.03 Sistema de Extracción cocina</v>
      </c>
      <c r="D74" s="231" t="s">
        <v>22</v>
      </c>
      <c r="E74" s="291" t="str">
        <f>IF(BD.PD[[#This Row],[.]]="*",VLOOKUP(BD.PD[[#This Row],[Pos]],Presupuesto!A:H,7,FALSE),"")</f>
        <v/>
      </c>
      <c r="F74" s="500" t="s">
        <v>613</v>
      </c>
      <c r="G74" s="292">
        <v>4513087438</v>
      </c>
      <c r="H74" s="358" t="s">
        <v>1326</v>
      </c>
      <c r="I74" s="359">
        <v>2</v>
      </c>
      <c r="J74" s="231" t="s">
        <v>581</v>
      </c>
      <c r="K74" s="294">
        <f>IF(BD.PD[[#This Row],[Mon]]="DOP",1,HLOOKUP(BD.PD[[#This Row],[Mon]],$J$1:$K$2,2,FALSE))</f>
        <v>1</v>
      </c>
      <c r="L74" s="360">
        <v>15000</v>
      </c>
      <c r="M74" s="296">
        <f>BD.PD[[#This Row],[Cant.]]*BD.PD[[#This Row],[ Tasa ]]*BD.PD[[#This Row],[ Precio Und.]]</f>
        <v>30000</v>
      </c>
      <c r="N74" s="361">
        <v>0</v>
      </c>
      <c r="O74" s="296">
        <f>IF(BD.PD[[#This Row],[Liquid. '[%']]]&lt;&gt;0,(BD.PD[[#This Row],[Valor Neto '[DOP']]]*BD.PD[[#This Row],[Liquid. '[%']]])+BD.PD[[#This Row],[Valor Neto '[DOP']]],BD.PD[[#This Row],[Valor Neto '[DOP']]])</f>
        <v>30000</v>
      </c>
      <c r="P74" s="306">
        <f>BD.PD[[#This Row],[Ppto. Orden Interna '[DOP']]]/HLOOKUP("USD",$J$1:$K$2,2,FALSE)</f>
        <v>476.1904761904762</v>
      </c>
      <c r="Q74" s="299" t="s">
        <v>611</v>
      </c>
      <c r="R74" s="408" t="s">
        <v>612</v>
      </c>
      <c r="S74" s="300">
        <v>21</v>
      </c>
      <c r="T74" s="301">
        <v>0.6</v>
      </c>
      <c r="U74" s="308">
        <f>BD.PD[[#This Row],[Av.P1 '[%']]]*BD.PD[[#This Row],[Ppto. Orden Interna '[DOP']]]</f>
        <v>18000</v>
      </c>
      <c r="V74" s="303">
        <v>23</v>
      </c>
      <c r="W74" s="304">
        <v>0.4</v>
      </c>
      <c r="X74" s="308">
        <f>BD.PD[[#This Row],[Av.P2 '[%']]]*BD.PD[[#This Row],[Ppto. Orden Interna '[DOP']]]</f>
        <v>12000</v>
      </c>
      <c r="Y74" s="303"/>
      <c r="Z74" s="304"/>
      <c r="AA74" s="308">
        <f>BD.PD[[#This Row],[Av.P3 '[%']]]*BD.PD[[#This Row],[Ppto. Orden Interna '[DOP']]]</f>
        <v>0</v>
      </c>
      <c r="AB74" s="303"/>
      <c r="AC74" s="304"/>
      <c r="AD74" s="308">
        <f>BD.PD[[#This Row],[Av.P4 '[%']]]*BD.PD[[#This Row],[Ppto. Orden Interna '[DOP']]]</f>
        <v>0</v>
      </c>
      <c r="AE74" s="303"/>
      <c r="AF74" s="304"/>
      <c r="AG74" s="308">
        <f>BD.PD[[#This Row],[Av.P5 '[%']]]*BD.PD[[#This Row],[Ppto. Orden Interna '[DOP']]]</f>
        <v>0</v>
      </c>
      <c r="AH74" s="305">
        <f>BD.PD[[#This Row],[Pago 5]]+BD.PD[[#This Row],[Pago 4]]+BD.PD[[#This Row],[Pago 3]]+BD.PD[[#This Row],[Pago 2]]+BD.PD[[#This Row],[Pago 1]]</f>
        <v>30000</v>
      </c>
      <c r="AI74" s="404"/>
      <c r="IB74" s="275"/>
    </row>
    <row r="75" spans="1:236" ht="15" customHeight="1" x14ac:dyDescent="0.3">
      <c r="A75" s="231">
        <v>4.03</v>
      </c>
      <c r="B75" s="288"/>
      <c r="C75" s="289" t="str">
        <f>VLOOKUP(BD.PD[[#This Row],[Pos]],PPto[],3,FALSE)</f>
        <v>4.03 Sistema de Extracción cocina</v>
      </c>
      <c r="D75" s="231" t="s">
        <v>22</v>
      </c>
      <c r="E75" s="291" t="str">
        <f>IF(BD.PD[[#This Row],[.]]="*",VLOOKUP(BD.PD[[#This Row],[Pos]],Presupuesto!A:H,7,FALSE),"")</f>
        <v/>
      </c>
      <c r="F75" s="500" t="s">
        <v>149</v>
      </c>
      <c r="G75" s="292">
        <v>4513087438</v>
      </c>
      <c r="H75" s="358" t="s">
        <v>1326</v>
      </c>
      <c r="I75" s="359">
        <v>1</v>
      </c>
      <c r="J75" s="231" t="s">
        <v>581</v>
      </c>
      <c r="K75" s="294">
        <f>IF(BD.PD[[#This Row],[Mon]]="DOP",1,HLOOKUP(BD.PD[[#This Row],[Mon]],$J$1:$K$2,2,FALSE))</f>
        <v>1</v>
      </c>
      <c r="L75" s="360">
        <v>16000</v>
      </c>
      <c r="M75" s="296">
        <f>BD.PD[[#This Row],[Cant.]]*BD.PD[[#This Row],[ Tasa ]]*BD.PD[[#This Row],[ Precio Und.]]</f>
        <v>16000</v>
      </c>
      <c r="N75" s="361">
        <v>0</v>
      </c>
      <c r="O75" s="296">
        <f>IF(BD.PD[[#This Row],[Liquid. '[%']]]&lt;&gt;0,(BD.PD[[#This Row],[Valor Neto '[DOP']]]*BD.PD[[#This Row],[Liquid. '[%']]])+BD.PD[[#This Row],[Valor Neto '[DOP']]],BD.PD[[#This Row],[Valor Neto '[DOP']]])</f>
        <v>16000</v>
      </c>
      <c r="P75" s="306">
        <f>BD.PD[[#This Row],[Ppto. Orden Interna '[DOP']]]/HLOOKUP("USD",$J$1:$K$2,2,FALSE)</f>
        <v>253.96825396825398</v>
      </c>
      <c r="Q75" s="299" t="s">
        <v>611</v>
      </c>
      <c r="R75" s="408" t="s">
        <v>612</v>
      </c>
      <c r="S75" s="300">
        <v>21</v>
      </c>
      <c r="T75" s="301">
        <v>0.6</v>
      </c>
      <c r="U75" s="308">
        <f>BD.PD[[#This Row],[Av.P1 '[%']]]*BD.PD[[#This Row],[Ppto. Orden Interna '[DOP']]]</f>
        <v>9600</v>
      </c>
      <c r="V75" s="303">
        <v>23</v>
      </c>
      <c r="W75" s="304">
        <v>0.4</v>
      </c>
      <c r="X75" s="308">
        <f>BD.PD[[#This Row],[Av.P2 '[%']]]*BD.PD[[#This Row],[Ppto. Orden Interna '[DOP']]]</f>
        <v>6400</v>
      </c>
      <c r="Y75" s="303"/>
      <c r="Z75" s="304"/>
      <c r="AA75" s="308">
        <f>BD.PD[[#This Row],[Av.P3 '[%']]]*BD.PD[[#This Row],[Ppto. Orden Interna '[DOP']]]</f>
        <v>0</v>
      </c>
      <c r="AB75" s="303"/>
      <c r="AC75" s="304"/>
      <c r="AD75" s="308">
        <f>BD.PD[[#This Row],[Av.P4 '[%']]]*BD.PD[[#This Row],[Ppto. Orden Interna '[DOP']]]</f>
        <v>0</v>
      </c>
      <c r="AE75" s="303"/>
      <c r="AF75" s="304"/>
      <c r="AG75" s="308">
        <f>BD.PD[[#This Row],[Av.P5 '[%']]]*BD.PD[[#This Row],[Ppto. Orden Interna '[DOP']]]</f>
        <v>0</v>
      </c>
      <c r="AH75" s="305">
        <f>BD.PD[[#This Row],[Pago 5]]+BD.PD[[#This Row],[Pago 4]]+BD.PD[[#This Row],[Pago 3]]+BD.PD[[#This Row],[Pago 2]]+BD.PD[[#This Row],[Pago 1]]</f>
        <v>16000</v>
      </c>
      <c r="AI75" s="404"/>
      <c r="IB75" s="275"/>
    </row>
    <row r="76" spans="1:236" ht="15" customHeight="1" x14ac:dyDescent="0.3">
      <c r="A76" s="231">
        <v>4.03</v>
      </c>
      <c r="B76" s="288"/>
      <c r="C76" s="289" t="str">
        <f>VLOOKUP(BD.PD[[#This Row],[Pos]],PPto[],3,FALSE)</f>
        <v>4.03 Sistema de Extracción cocina</v>
      </c>
      <c r="D76" s="231" t="s">
        <v>22</v>
      </c>
      <c r="E76" s="291" t="str">
        <f>IF(BD.PD[[#This Row],[.]]="*",VLOOKUP(BD.PD[[#This Row],[Pos]],Presupuesto!A:H,7,FALSE),"")</f>
        <v/>
      </c>
      <c r="F76" s="500" t="s">
        <v>150</v>
      </c>
      <c r="G76" s="292">
        <v>4513087438</v>
      </c>
      <c r="H76" s="358" t="s">
        <v>1326</v>
      </c>
      <c r="I76" s="359">
        <v>2</v>
      </c>
      <c r="J76" s="231" t="s">
        <v>581</v>
      </c>
      <c r="K76" s="294">
        <f>IF(BD.PD[[#This Row],[Mon]]="DOP",1,HLOOKUP(BD.PD[[#This Row],[Mon]],$J$1:$K$2,2,FALSE))</f>
        <v>1</v>
      </c>
      <c r="L76" s="360">
        <v>15000</v>
      </c>
      <c r="M76" s="296">
        <f>BD.PD[[#This Row],[Cant.]]*BD.PD[[#This Row],[ Tasa ]]*BD.PD[[#This Row],[ Precio Und.]]</f>
        <v>30000</v>
      </c>
      <c r="N76" s="361">
        <v>0</v>
      </c>
      <c r="O76" s="296">
        <f>IF(BD.PD[[#This Row],[Liquid. '[%']]]&lt;&gt;0,(BD.PD[[#This Row],[Valor Neto '[DOP']]]*BD.PD[[#This Row],[Liquid. '[%']]])+BD.PD[[#This Row],[Valor Neto '[DOP']]],BD.PD[[#This Row],[Valor Neto '[DOP']]])</f>
        <v>30000</v>
      </c>
      <c r="P76" s="306">
        <f>BD.PD[[#This Row],[Ppto. Orden Interna '[DOP']]]/HLOOKUP("USD",$J$1:$K$2,2,FALSE)</f>
        <v>476.1904761904762</v>
      </c>
      <c r="Q76" s="299" t="s">
        <v>611</v>
      </c>
      <c r="R76" s="408" t="s">
        <v>612</v>
      </c>
      <c r="S76" s="300">
        <v>21</v>
      </c>
      <c r="T76" s="301">
        <v>0.6</v>
      </c>
      <c r="U76" s="308">
        <f>BD.PD[[#This Row],[Av.P1 '[%']]]*BD.PD[[#This Row],[Ppto. Orden Interna '[DOP']]]</f>
        <v>18000</v>
      </c>
      <c r="V76" s="303">
        <v>23</v>
      </c>
      <c r="W76" s="304">
        <v>0.4</v>
      </c>
      <c r="X76" s="308">
        <f>BD.PD[[#This Row],[Av.P2 '[%']]]*BD.PD[[#This Row],[Ppto. Orden Interna '[DOP']]]</f>
        <v>12000</v>
      </c>
      <c r="Y76" s="303"/>
      <c r="Z76" s="304"/>
      <c r="AA76" s="308">
        <f>BD.PD[[#This Row],[Av.P3 '[%']]]*BD.PD[[#This Row],[Ppto. Orden Interna '[DOP']]]</f>
        <v>0</v>
      </c>
      <c r="AB76" s="303"/>
      <c r="AC76" s="304"/>
      <c r="AD76" s="308">
        <f>BD.PD[[#This Row],[Av.P4 '[%']]]*BD.PD[[#This Row],[Ppto. Orden Interna '[DOP']]]</f>
        <v>0</v>
      </c>
      <c r="AE76" s="303"/>
      <c r="AF76" s="304"/>
      <c r="AG76" s="308">
        <f>BD.PD[[#This Row],[Av.P5 '[%']]]*BD.PD[[#This Row],[Ppto. Orden Interna '[DOP']]]</f>
        <v>0</v>
      </c>
      <c r="AH76" s="305">
        <f>BD.PD[[#This Row],[Pago 5]]+BD.PD[[#This Row],[Pago 4]]+BD.PD[[#This Row],[Pago 3]]+BD.PD[[#This Row],[Pago 2]]+BD.PD[[#This Row],[Pago 1]]</f>
        <v>30000</v>
      </c>
      <c r="AI76" s="404"/>
      <c r="IB76" s="275"/>
    </row>
    <row r="77" spans="1:236" ht="15" customHeight="1" x14ac:dyDescent="0.3">
      <c r="A77" s="231">
        <v>4.03</v>
      </c>
      <c r="B77" s="288"/>
      <c r="C77" s="289" t="str">
        <f>VLOOKUP(BD.PD[[#This Row],[Pos]],PPto[],3,FALSE)</f>
        <v>4.03 Sistema de Extracción cocina</v>
      </c>
      <c r="D77" s="231" t="s">
        <v>22</v>
      </c>
      <c r="E77" s="291" t="str">
        <f>IF(BD.PD[[#This Row],[.]]="*",VLOOKUP(BD.PD[[#This Row],[Pos]],Presupuesto!A:H,7,FALSE),"")</f>
        <v/>
      </c>
      <c r="F77" s="500" t="s">
        <v>152</v>
      </c>
      <c r="G77" s="292">
        <v>4513087438</v>
      </c>
      <c r="H77" s="358" t="s">
        <v>1326</v>
      </c>
      <c r="I77" s="359">
        <v>1</v>
      </c>
      <c r="J77" s="231" t="s">
        <v>581</v>
      </c>
      <c r="K77" s="294">
        <f>IF(BD.PD[[#This Row],[Mon]]="DOP",1,HLOOKUP(BD.PD[[#This Row],[Mon]],$J$1:$K$2,2,FALSE))</f>
        <v>1</v>
      </c>
      <c r="L77" s="360">
        <v>55000</v>
      </c>
      <c r="M77" s="296">
        <f>BD.PD[[#This Row],[Cant.]]*BD.PD[[#This Row],[ Tasa ]]*BD.PD[[#This Row],[ Precio Und.]]</f>
        <v>55000</v>
      </c>
      <c r="N77" s="361">
        <v>0</v>
      </c>
      <c r="O77" s="296">
        <f>IF(BD.PD[[#This Row],[Liquid. '[%']]]&lt;&gt;0,(BD.PD[[#This Row],[Valor Neto '[DOP']]]*BD.PD[[#This Row],[Liquid. '[%']]])+BD.PD[[#This Row],[Valor Neto '[DOP']]],BD.PD[[#This Row],[Valor Neto '[DOP']]])</f>
        <v>55000</v>
      </c>
      <c r="P77" s="306">
        <f>BD.PD[[#This Row],[Ppto. Orden Interna '[DOP']]]/HLOOKUP("USD",$J$1:$K$2,2,FALSE)</f>
        <v>873.01587301587301</v>
      </c>
      <c r="Q77" s="299" t="s">
        <v>611</v>
      </c>
      <c r="R77" s="408" t="s">
        <v>612</v>
      </c>
      <c r="S77" s="300">
        <v>21</v>
      </c>
      <c r="T77" s="301">
        <v>0.6</v>
      </c>
      <c r="U77" s="308">
        <f>BD.PD[[#This Row],[Av.P1 '[%']]]*BD.PD[[#This Row],[Ppto. Orden Interna '[DOP']]]</f>
        <v>33000</v>
      </c>
      <c r="V77" s="303">
        <v>23</v>
      </c>
      <c r="W77" s="304">
        <v>0.4</v>
      </c>
      <c r="X77" s="308">
        <f>BD.PD[[#This Row],[Av.P2 '[%']]]*BD.PD[[#This Row],[Ppto. Orden Interna '[DOP']]]</f>
        <v>22000</v>
      </c>
      <c r="Y77" s="303"/>
      <c r="Z77" s="304"/>
      <c r="AA77" s="308">
        <f>BD.PD[[#This Row],[Av.P3 '[%']]]*BD.PD[[#This Row],[Ppto. Orden Interna '[DOP']]]</f>
        <v>0</v>
      </c>
      <c r="AB77" s="303"/>
      <c r="AC77" s="304"/>
      <c r="AD77" s="308">
        <f>BD.PD[[#This Row],[Av.P4 '[%']]]*BD.PD[[#This Row],[Ppto. Orden Interna '[DOP']]]</f>
        <v>0</v>
      </c>
      <c r="AE77" s="303"/>
      <c r="AF77" s="304"/>
      <c r="AG77" s="308">
        <f>BD.PD[[#This Row],[Av.P5 '[%']]]*BD.PD[[#This Row],[Ppto. Orden Interna '[DOP']]]</f>
        <v>0</v>
      </c>
      <c r="AH77" s="305">
        <f>BD.PD[[#This Row],[Pago 5]]+BD.PD[[#This Row],[Pago 4]]+BD.PD[[#This Row],[Pago 3]]+BD.PD[[#This Row],[Pago 2]]+BD.PD[[#This Row],[Pago 1]]</f>
        <v>55000</v>
      </c>
      <c r="AI77" s="404"/>
      <c r="IB77" s="275"/>
    </row>
    <row r="78" spans="1:236" ht="15" customHeight="1" x14ac:dyDescent="0.3">
      <c r="A78" s="231">
        <v>4.03</v>
      </c>
      <c r="B78" s="288"/>
      <c r="C78" s="289" t="str">
        <f>VLOOKUP(BD.PD[[#This Row],[Pos]],PPto[],3,FALSE)</f>
        <v>4.03 Sistema de Extracción cocina</v>
      </c>
      <c r="D78" s="231" t="s">
        <v>22</v>
      </c>
      <c r="E78" s="291" t="str">
        <f>IF(BD.PD[[#This Row],[.]]="*",VLOOKUP(BD.PD[[#This Row],[Pos]],Presupuesto!A:H,7,FALSE),"")</f>
        <v/>
      </c>
      <c r="F78" s="430" t="s">
        <v>614</v>
      </c>
      <c r="G78" s="292" t="s">
        <v>578</v>
      </c>
      <c r="H78" s="358">
        <v>45541</v>
      </c>
      <c r="I78" s="359">
        <v>148</v>
      </c>
      <c r="J78" s="231" t="s">
        <v>581</v>
      </c>
      <c r="K78" s="294">
        <f>IF(BD.PD[[#This Row],[Mon]]="DOP",1,HLOOKUP(BD.PD[[#This Row],[Mon]],$J$1:$K$2,2,FALSE))</f>
        <v>1</v>
      </c>
      <c r="L78" s="360">
        <v>1400</v>
      </c>
      <c r="M78" s="296">
        <f>BD.PD[[#This Row],[Cant.]]*BD.PD[[#This Row],[ Tasa ]]*BD.PD[[#This Row],[ Precio Und.]]</f>
        <v>207200</v>
      </c>
      <c r="N78" s="361">
        <v>0</v>
      </c>
      <c r="O78" s="296">
        <f>IF(BD.PD[[#This Row],[Liquid. '[%']]]&lt;&gt;0,(BD.PD[[#This Row],[Valor Neto '[DOP']]]*BD.PD[[#This Row],[Liquid. '[%']]])+BD.PD[[#This Row],[Valor Neto '[DOP']]],BD.PD[[#This Row],[Valor Neto '[DOP']]])</f>
        <v>207200</v>
      </c>
      <c r="P78" s="306">
        <f>BD.PD[[#This Row],[Ppto. Orden Interna '[DOP']]]/HLOOKUP("USD",$J$1:$K$2,2,FALSE)</f>
        <v>3288.8888888888887</v>
      </c>
      <c r="Q78" s="299" t="s">
        <v>615</v>
      </c>
      <c r="R78" s="408" t="s">
        <v>612</v>
      </c>
      <c r="S78" s="300">
        <v>21</v>
      </c>
      <c r="T78" s="301">
        <v>0.6</v>
      </c>
      <c r="U78" s="308">
        <f>BD.PD[[#This Row],[Av.P1 '[%']]]*BD.PD[[#This Row],[Ppto. Orden Interna '[DOP']]]</f>
        <v>124320</v>
      </c>
      <c r="V78" s="303">
        <v>23</v>
      </c>
      <c r="W78" s="304">
        <v>0.4</v>
      </c>
      <c r="X78" s="308">
        <f>BD.PD[[#This Row],[Av.P2 '[%']]]*BD.PD[[#This Row],[Ppto. Orden Interna '[DOP']]]</f>
        <v>82880</v>
      </c>
      <c r="Y78" s="303"/>
      <c r="Z78" s="304"/>
      <c r="AA78" s="308">
        <f>BD.PD[[#This Row],[Av.P3 '[%']]]*BD.PD[[#This Row],[Ppto. Orden Interna '[DOP']]]</f>
        <v>0</v>
      </c>
      <c r="AB78" s="303"/>
      <c r="AC78" s="304"/>
      <c r="AD78" s="308">
        <f>BD.PD[[#This Row],[Av.P4 '[%']]]*BD.PD[[#This Row],[Ppto. Orden Interna '[DOP']]]</f>
        <v>0</v>
      </c>
      <c r="AE78" s="303"/>
      <c r="AF78" s="304"/>
      <c r="AG78" s="308">
        <f>BD.PD[[#This Row],[Av.P5 '[%']]]*BD.PD[[#This Row],[Ppto. Orden Interna '[DOP']]]</f>
        <v>0</v>
      </c>
      <c r="AH78" s="305">
        <f>BD.PD[[#This Row],[Pago 5]]+BD.PD[[#This Row],[Pago 4]]+BD.PD[[#This Row],[Pago 3]]+BD.PD[[#This Row],[Pago 2]]+BD.PD[[#This Row],[Pago 1]]</f>
        <v>207200</v>
      </c>
      <c r="AI78" s="404"/>
      <c r="IB78" s="275"/>
    </row>
    <row r="79" spans="1:236" ht="15" customHeight="1" x14ac:dyDescent="0.3">
      <c r="A79" s="231">
        <v>5.01</v>
      </c>
      <c r="B79" s="288" t="s">
        <v>574</v>
      </c>
      <c r="C79" s="289" t="str">
        <f>VLOOKUP(BD.PD[[#This Row],[Pos]],PPto[],3,FALSE)</f>
        <v>5.01 Paneles</v>
      </c>
      <c r="D79" s="290" t="s">
        <v>574</v>
      </c>
      <c r="E79" s="291">
        <f>IF(BD.PD[[#This Row],[.]]="*",VLOOKUP(BD.PD[[#This Row],[Pos]],Presupuesto!A:H,7,FALSE),"")</f>
        <v>157500</v>
      </c>
      <c r="F79" s="292"/>
      <c r="G79" s="292" t="s">
        <v>575</v>
      </c>
      <c r="H79" s="292"/>
      <c r="I79" s="293">
        <v>1</v>
      </c>
      <c r="J79" s="290" t="s">
        <v>456</v>
      </c>
      <c r="K79" s="294">
        <f>IF(BD.PD[[#This Row],[Mon]]="DOP",1,HLOOKUP(BD.PD[[#This Row],[Mon]],$J$1:$K$2,2,FALSE))</f>
        <v>63</v>
      </c>
      <c r="L79" s="295">
        <v>0</v>
      </c>
      <c r="M79" s="296">
        <f>BD.PD[[#This Row],[Cant.]]*BD.PD[[#This Row],[ Tasa ]]*BD.PD[[#This Row],[ Precio Und.]]</f>
        <v>0</v>
      </c>
      <c r="N79" s="297">
        <v>0</v>
      </c>
      <c r="O79" s="296">
        <f>IF(BD.PD[[#This Row],[Liquid. '[%']]]&lt;&gt;0,(BD.PD[[#This Row],[Valor Neto '[DOP']]]*BD.PD[[#This Row],[Liquid. '[%']]])+BD.PD[[#This Row],[Valor Neto '[DOP']]],BD.PD[[#This Row],[Valor Neto '[DOP']]])</f>
        <v>0</v>
      </c>
      <c r="P79" s="306">
        <f>BD.PD[[#This Row],[Ppto. Orden Interna '[DOP']]]/HLOOKUP("USD",$J$1:$K$2,2,FALSE)</f>
        <v>0</v>
      </c>
      <c r="Q79" s="299"/>
      <c r="R79" s="307"/>
      <c r="S79" s="300"/>
      <c r="T79" s="301"/>
      <c r="U79" s="308">
        <f>BD.PD[[#This Row],[Av.P1 '[%']]]*BD.PD[[#This Row],[Ppto. Orden Interna '[DOP']]]</f>
        <v>0</v>
      </c>
      <c r="V79" s="303"/>
      <c r="W79" s="304"/>
      <c r="X79" s="308">
        <f>BD.PD[[#This Row],[Av.P2 '[%']]]*BD.PD[[#This Row],[Ppto. Orden Interna '[DOP']]]</f>
        <v>0</v>
      </c>
      <c r="Y79" s="303"/>
      <c r="Z79" s="304"/>
      <c r="AA79" s="308">
        <f>BD.PD[[#This Row],[Av.P3 '[%']]]*BD.PD[[#This Row],[Ppto. Orden Interna '[DOP']]]</f>
        <v>0</v>
      </c>
      <c r="AB79" s="303"/>
      <c r="AC79" s="304"/>
      <c r="AD79" s="308">
        <f>BD.PD[[#This Row],[Av.P4 '[%']]]*BD.PD[[#This Row],[Ppto. Orden Interna '[DOP']]]</f>
        <v>0</v>
      </c>
      <c r="AE79" s="303"/>
      <c r="AF79" s="304"/>
      <c r="AG79" s="308">
        <f>BD.PD[[#This Row],[Av.P5 '[%']]]*BD.PD[[#This Row],[Ppto. Orden Interna '[DOP']]]</f>
        <v>0</v>
      </c>
      <c r="AH79" s="305">
        <f>BD.PD[[#This Row],[Pago 5]]+BD.PD[[#This Row],[Pago 4]]+BD.PD[[#This Row],[Pago 3]]+BD.PD[[#This Row],[Pago 2]]+BD.PD[[#This Row],[Pago 1]]</f>
        <v>0</v>
      </c>
      <c r="AI79" s="404"/>
      <c r="IB79" s="275"/>
    </row>
    <row r="80" spans="1:236" ht="15.6" customHeight="1" x14ac:dyDescent="0.3">
      <c r="A80" s="231">
        <v>5.01</v>
      </c>
      <c r="B80" s="288"/>
      <c r="C80" s="289" t="str">
        <f>VLOOKUP(BD.PD[[#This Row],[Pos]],PPto[],3,FALSE)</f>
        <v>5.01 Paneles</v>
      </c>
      <c r="D80" s="231" t="s">
        <v>22</v>
      </c>
      <c r="E80" s="291" t="str">
        <f>IF(BD.PD[[#This Row],[.]]="*",VLOOKUP(BD.PD[[#This Row],[Pos]],Presupuesto!A:H,7,FALSE),"")</f>
        <v/>
      </c>
      <c r="F80" s="422" t="s">
        <v>153</v>
      </c>
      <c r="G80" s="292">
        <v>4513049018</v>
      </c>
      <c r="H80" s="358">
        <v>46239</v>
      </c>
      <c r="I80" s="359">
        <v>1</v>
      </c>
      <c r="J80" s="389" t="s">
        <v>456</v>
      </c>
      <c r="K80" s="294">
        <f>IF(BD.PD[[#This Row],[Mon]]="DOP",1,HLOOKUP(BD.PD[[#This Row],[Mon]],$J$1:$K$2,2,FALSE))</f>
        <v>63</v>
      </c>
      <c r="L80" s="360">
        <v>125834.42</v>
      </c>
      <c r="M80" s="296">
        <f>BD.PD[[#This Row],[Cant.]]*BD.PD[[#This Row],[ Tasa ]]*BD.PD[[#This Row],[ Precio Und.]]</f>
        <v>7927568.46</v>
      </c>
      <c r="N80" s="361">
        <v>0</v>
      </c>
      <c r="O80" s="296">
        <f>IF(BD.PD[[#This Row],[Liquid. '[%']]]&lt;&gt;0,(BD.PD[[#This Row],[Valor Neto '[DOP']]]*BD.PD[[#This Row],[Liquid. '[%']]])+BD.PD[[#This Row],[Valor Neto '[DOP']]],BD.PD[[#This Row],[Valor Neto '[DOP']]])</f>
        <v>7927568.46</v>
      </c>
      <c r="P80" s="306">
        <f>BD.PD[[#This Row],[Ppto. Orden Interna '[DOP']]]/HLOOKUP("USD",$J$1:$K$2,2,FALSE)</f>
        <v>125834.42</v>
      </c>
      <c r="Q80" s="299" t="s">
        <v>616</v>
      </c>
      <c r="R80" s="307" t="s">
        <v>617</v>
      </c>
      <c r="S80" s="300">
        <v>20</v>
      </c>
      <c r="T80" s="301">
        <v>0.3</v>
      </c>
      <c r="U80" s="308">
        <f>BD.PD[[#This Row],[Av.P1 '[%']]]*BD.PD[[#This Row],[Ppto. Orden Interna '[DOP']]]</f>
        <v>2378270.5379999997</v>
      </c>
      <c r="V80" s="303">
        <v>24</v>
      </c>
      <c r="W80" s="304">
        <v>0.7</v>
      </c>
      <c r="X80" s="308">
        <f>BD.PD[[#This Row],[Av.P2 '[%']]]*BD.PD[[#This Row],[Ppto. Orden Interna '[DOP']]]</f>
        <v>5549297.9219999993</v>
      </c>
      <c r="Y80" s="303"/>
      <c r="Z80" s="304"/>
      <c r="AA80" s="308">
        <f>BD.PD[[#This Row],[Av.P3 '[%']]]*BD.PD[[#This Row],[Ppto. Orden Interna '[DOP']]]</f>
        <v>0</v>
      </c>
      <c r="AB80" s="303"/>
      <c r="AC80" s="304"/>
      <c r="AD80" s="308">
        <f>BD.PD[[#This Row],[Av.P4 '[%']]]*BD.PD[[#This Row],[Ppto. Orden Interna '[DOP']]]</f>
        <v>0</v>
      </c>
      <c r="AE80" s="303"/>
      <c r="AF80" s="304"/>
      <c r="AG80" s="308">
        <f>BD.PD[[#This Row],[Av.P5 '[%']]]*BD.PD[[#This Row],[Ppto. Orden Interna '[DOP']]]</f>
        <v>0</v>
      </c>
      <c r="AH80" s="305">
        <f>BD.PD[[#This Row],[Pago 5]]+BD.PD[[#This Row],[Pago 4]]+BD.PD[[#This Row],[Pago 3]]+BD.PD[[#This Row],[Pago 2]]+BD.PD[[#This Row],[Pago 1]]</f>
        <v>7927568.459999999</v>
      </c>
      <c r="AI80" s="404"/>
      <c r="IB80" s="275"/>
    </row>
    <row r="81" spans="1:236" ht="15" customHeight="1" x14ac:dyDescent="0.3">
      <c r="A81" s="231">
        <v>5.01</v>
      </c>
      <c r="B81" s="288"/>
      <c r="C81" s="289" t="str">
        <f>VLOOKUP(BD.PD[[#This Row],[Pos]],PPto[],3,FALSE)</f>
        <v>5.01 Paneles</v>
      </c>
      <c r="D81" s="231" t="s">
        <v>22</v>
      </c>
      <c r="E81" s="291" t="str">
        <f>IF(BD.PD[[#This Row],[.]]="*",VLOOKUP(BD.PD[[#This Row],[Pos]],Presupuesto!A:H,7,FALSE),"")</f>
        <v/>
      </c>
      <c r="F81" s="292" t="s">
        <v>154</v>
      </c>
      <c r="G81" s="292">
        <v>4513049036</v>
      </c>
      <c r="H81" s="358">
        <v>46239</v>
      </c>
      <c r="I81" s="359">
        <v>1</v>
      </c>
      <c r="J81" s="389" t="s">
        <v>456</v>
      </c>
      <c r="K81" s="294">
        <f>IF(BD.PD[[#This Row],[Mon]]="DOP",1,HLOOKUP(BD.PD[[#This Row],[Mon]],$J$1:$K$2,2,FALSE))</f>
        <v>63</v>
      </c>
      <c r="L81" s="360">
        <v>32729.099999999995</v>
      </c>
      <c r="M81" s="296">
        <f>BD.PD[[#This Row],[Cant.]]*BD.PD[[#This Row],[ Tasa ]]*BD.PD[[#This Row],[ Precio Und.]]</f>
        <v>2061933.2999999996</v>
      </c>
      <c r="N81" s="361">
        <v>0</v>
      </c>
      <c r="O81" s="296">
        <f>IF(BD.PD[[#This Row],[Liquid. '[%']]]&lt;&gt;0,(BD.PD[[#This Row],[Valor Neto '[DOP']]]*BD.PD[[#This Row],[Liquid. '[%']]])+BD.PD[[#This Row],[Valor Neto '[DOP']]],BD.PD[[#This Row],[Valor Neto '[DOP']]])</f>
        <v>2061933.2999999996</v>
      </c>
      <c r="P81" s="306">
        <f>BD.PD[[#This Row],[Ppto. Orden Interna '[DOP']]]/HLOOKUP("USD",$J$1:$K$2,2,FALSE)</f>
        <v>32729.099999999995</v>
      </c>
      <c r="Q81" s="299" t="s">
        <v>616</v>
      </c>
      <c r="R81" s="307" t="s">
        <v>617</v>
      </c>
      <c r="S81" s="300">
        <v>20</v>
      </c>
      <c r="T81" s="301">
        <v>0.3</v>
      </c>
      <c r="U81" s="308">
        <f>BD.PD[[#This Row],[Av.P1 '[%']]]*BD.PD[[#This Row],[Ppto. Orden Interna '[DOP']]]</f>
        <v>618579.98999999987</v>
      </c>
      <c r="V81" s="303">
        <v>24</v>
      </c>
      <c r="W81" s="304">
        <v>0.7</v>
      </c>
      <c r="X81" s="308">
        <f>BD.PD[[#This Row],[Av.P2 '[%']]]*BD.PD[[#This Row],[Ppto. Orden Interna '[DOP']]]</f>
        <v>1443353.3099999996</v>
      </c>
      <c r="Y81" s="303"/>
      <c r="Z81" s="304"/>
      <c r="AA81" s="308">
        <f>BD.PD[[#This Row],[Av.P3 '[%']]]*BD.PD[[#This Row],[Ppto. Orden Interna '[DOP']]]</f>
        <v>0</v>
      </c>
      <c r="AB81" s="303"/>
      <c r="AC81" s="304"/>
      <c r="AD81" s="308">
        <f>BD.PD[[#This Row],[Av.P4 '[%']]]*BD.PD[[#This Row],[Ppto. Orden Interna '[DOP']]]</f>
        <v>0</v>
      </c>
      <c r="AE81" s="303"/>
      <c r="AF81" s="304"/>
      <c r="AG81" s="308">
        <f>BD.PD[[#This Row],[Av.P5 '[%']]]*BD.PD[[#This Row],[Ppto. Orden Interna '[DOP']]]</f>
        <v>0</v>
      </c>
      <c r="AH81" s="305">
        <f>BD.PD[[#This Row],[Pago 5]]+BD.PD[[#This Row],[Pago 4]]+BD.PD[[#This Row],[Pago 3]]+BD.PD[[#This Row],[Pago 2]]+BD.PD[[#This Row],[Pago 1]]</f>
        <v>2061933.2999999993</v>
      </c>
      <c r="AI81" s="404"/>
      <c r="IB81" s="275"/>
    </row>
    <row r="82" spans="1:236" ht="15" customHeight="1" x14ac:dyDescent="0.3">
      <c r="A82" s="231">
        <v>5.0199999999999996</v>
      </c>
      <c r="B82" s="288" t="s">
        <v>574</v>
      </c>
      <c r="C82" s="289" t="str">
        <f>VLOOKUP(BD.PD[[#This Row],[Pos]],PPto[],3,FALSE)</f>
        <v>5.02 FRP y Diamond Plate</v>
      </c>
      <c r="D82" s="290" t="s">
        <v>574</v>
      </c>
      <c r="E82" s="291">
        <f>IF(BD.PD[[#This Row],[.]]="*",VLOOKUP(BD.PD[[#This Row],[Pos]],Presupuesto!A:H,7,FALSE),"")</f>
        <v>32571.3465</v>
      </c>
      <c r="F82" s="292"/>
      <c r="G82" s="292" t="s">
        <v>575</v>
      </c>
      <c r="H82" s="292"/>
      <c r="I82" s="293">
        <v>1</v>
      </c>
      <c r="J82" s="290" t="s">
        <v>456</v>
      </c>
      <c r="K82" s="294">
        <f>IF(BD.PD[[#This Row],[Mon]]="DOP",1,HLOOKUP(BD.PD[[#This Row],[Mon]],$J$1:$K$2,2,FALSE))</f>
        <v>63</v>
      </c>
      <c r="L82" s="295">
        <v>0</v>
      </c>
      <c r="M82" s="296">
        <f>BD.PD[[#This Row],[Cant.]]*BD.PD[[#This Row],[ Tasa ]]*BD.PD[[#This Row],[ Precio Und.]]</f>
        <v>0</v>
      </c>
      <c r="N82" s="297">
        <v>0</v>
      </c>
      <c r="O82" s="296">
        <f>IF(BD.PD[[#This Row],[Liquid. '[%']]]&lt;&gt;0,(BD.PD[[#This Row],[Valor Neto '[DOP']]]*BD.PD[[#This Row],[Liquid. '[%']]])+BD.PD[[#This Row],[Valor Neto '[DOP']]],BD.PD[[#This Row],[Valor Neto '[DOP']]])</f>
        <v>0</v>
      </c>
      <c r="P82" s="306">
        <f>BD.PD[[#This Row],[Ppto. Orden Interna '[DOP']]]/HLOOKUP("USD",$J$1:$K$2,2,FALSE)</f>
        <v>0</v>
      </c>
      <c r="Q82" s="299"/>
      <c r="R82" s="307"/>
      <c r="S82" s="300"/>
      <c r="T82" s="301"/>
      <c r="U82" s="308">
        <f>BD.PD[[#This Row],[Av.P1 '[%']]]*BD.PD[[#This Row],[Ppto. Orden Interna '[DOP']]]</f>
        <v>0</v>
      </c>
      <c r="V82" s="303"/>
      <c r="W82" s="304"/>
      <c r="X82" s="308">
        <f>BD.PD[[#This Row],[Av.P2 '[%']]]*BD.PD[[#This Row],[Ppto. Orden Interna '[DOP']]]</f>
        <v>0</v>
      </c>
      <c r="Y82" s="303"/>
      <c r="Z82" s="304"/>
      <c r="AA82" s="308">
        <f>BD.PD[[#This Row],[Av.P3 '[%']]]*BD.PD[[#This Row],[Ppto. Orden Interna '[DOP']]]</f>
        <v>0</v>
      </c>
      <c r="AB82" s="303"/>
      <c r="AC82" s="304"/>
      <c r="AD82" s="308">
        <f>BD.PD[[#This Row],[Av.P4 '[%']]]*BD.PD[[#This Row],[Ppto. Orden Interna '[DOP']]]</f>
        <v>0</v>
      </c>
      <c r="AE82" s="303"/>
      <c r="AF82" s="304"/>
      <c r="AG82" s="308">
        <f>BD.PD[[#This Row],[Av.P5 '[%']]]*BD.PD[[#This Row],[Ppto. Orden Interna '[DOP']]]</f>
        <v>0</v>
      </c>
      <c r="AH82" s="305">
        <f>BD.PD[[#This Row],[Pago 5]]+BD.PD[[#This Row],[Pago 4]]+BD.PD[[#This Row],[Pago 3]]+BD.PD[[#This Row],[Pago 2]]+BD.PD[[#This Row],[Pago 1]]</f>
        <v>0</v>
      </c>
      <c r="AI82" s="404"/>
      <c r="IB82" s="275"/>
    </row>
    <row r="83" spans="1:236" ht="15" customHeight="1" x14ac:dyDescent="0.3">
      <c r="A83" s="231">
        <v>5.0199999999999996</v>
      </c>
      <c r="B83" s="288"/>
      <c r="C83" s="289" t="str">
        <f>VLOOKUP(BD.PD[[#This Row],[Pos]],PPto[],3,FALSE)</f>
        <v>5.02 FRP y Diamond Plate</v>
      </c>
      <c r="D83" s="231" t="s">
        <v>22</v>
      </c>
      <c r="E83" s="291" t="str">
        <f>IF(BD.PD[[#This Row],[.]]="*",VLOOKUP(BD.PD[[#This Row],[Pos]],Presupuesto!A:H,7,FALSE),"")</f>
        <v/>
      </c>
      <c r="F83" s="292" t="s">
        <v>155</v>
      </c>
      <c r="G83" s="292">
        <v>4513049015</v>
      </c>
      <c r="H83" s="358">
        <v>46239</v>
      </c>
      <c r="I83" s="359">
        <v>1</v>
      </c>
      <c r="J83" s="389" t="s">
        <v>456</v>
      </c>
      <c r="K83" s="294">
        <f>IF(BD.PD[[#This Row],[Mon]]="DOP",1,HLOOKUP(BD.PD[[#This Row],[Mon]],$J$1:$K$2,2,FALSE))</f>
        <v>63</v>
      </c>
      <c r="L83" s="360">
        <v>28732.26</v>
      </c>
      <c r="M83" s="296">
        <f>BD.PD[[#This Row],[Cant.]]*BD.PD[[#This Row],[ Tasa ]]*BD.PD[[#This Row],[ Precio Und.]]</f>
        <v>1810132.38</v>
      </c>
      <c r="N83" s="361">
        <v>0</v>
      </c>
      <c r="O83" s="296">
        <f>IF(BD.PD[[#This Row],[Liquid. '[%']]]&lt;&gt;0,(BD.PD[[#This Row],[Valor Neto '[DOP']]]*BD.PD[[#This Row],[Liquid. '[%']]])+BD.PD[[#This Row],[Valor Neto '[DOP']]],BD.PD[[#This Row],[Valor Neto '[DOP']]])</f>
        <v>1810132.38</v>
      </c>
      <c r="P83" s="306">
        <f>BD.PD[[#This Row],[Ppto. Orden Interna '[DOP']]]/HLOOKUP("USD",$J$1:$K$2,2,FALSE)</f>
        <v>28732.26</v>
      </c>
      <c r="Q83" s="299" t="s">
        <v>616</v>
      </c>
      <c r="R83" s="307" t="s">
        <v>617</v>
      </c>
      <c r="S83" s="300">
        <v>20</v>
      </c>
      <c r="T83" s="301">
        <v>0.3</v>
      </c>
      <c r="U83" s="308">
        <f>BD.PD[[#This Row],[Av.P1 '[%']]]*BD.PD[[#This Row],[Ppto. Orden Interna '[DOP']]]</f>
        <v>543039.71399999992</v>
      </c>
      <c r="V83" s="303">
        <v>24</v>
      </c>
      <c r="W83" s="304">
        <v>0.7</v>
      </c>
      <c r="X83" s="308">
        <f>BD.PD[[#This Row],[Av.P2 '[%']]]*BD.PD[[#This Row],[Ppto. Orden Interna '[DOP']]]</f>
        <v>1267092.6659999997</v>
      </c>
      <c r="Y83" s="303"/>
      <c r="Z83" s="304"/>
      <c r="AA83" s="308">
        <f>BD.PD[[#This Row],[Av.P3 '[%']]]*BD.PD[[#This Row],[Ppto. Orden Interna '[DOP']]]</f>
        <v>0</v>
      </c>
      <c r="AB83" s="303"/>
      <c r="AC83" s="304"/>
      <c r="AD83" s="308">
        <f>BD.PD[[#This Row],[Av.P4 '[%']]]*BD.PD[[#This Row],[Ppto. Orden Interna '[DOP']]]</f>
        <v>0</v>
      </c>
      <c r="AE83" s="303"/>
      <c r="AF83" s="304"/>
      <c r="AG83" s="308">
        <f>BD.PD[[#This Row],[Av.P5 '[%']]]*BD.PD[[#This Row],[Ppto. Orden Interna '[DOP']]]</f>
        <v>0</v>
      </c>
      <c r="AH83" s="305">
        <f>BD.PD[[#This Row],[Pago 5]]+BD.PD[[#This Row],[Pago 4]]+BD.PD[[#This Row],[Pago 3]]+BD.PD[[#This Row],[Pago 2]]+BD.PD[[#This Row],[Pago 1]]</f>
        <v>1810132.3799999997</v>
      </c>
      <c r="AI83" s="404"/>
      <c r="IB83" s="275"/>
    </row>
    <row r="84" spans="1:236" ht="15" customHeight="1" x14ac:dyDescent="0.3">
      <c r="A84" s="231">
        <v>5.03</v>
      </c>
      <c r="B84" s="288" t="s">
        <v>574</v>
      </c>
      <c r="C84" s="289" t="str">
        <f>VLOOKUP(BD.PD[[#This Row],[Pos]],PPto[],3,FALSE)</f>
        <v>5.03 Neveras, Centrales y Evaporadores</v>
      </c>
      <c r="D84" s="290" t="s">
        <v>574</v>
      </c>
      <c r="E84" s="291">
        <f>IF(BD.PD[[#This Row],[.]]="*",VLOOKUP(BD.PD[[#This Row],[Pos]],Presupuesto!A:H,7,FALSE),"")</f>
        <v>545308.28391773161</v>
      </c>
      <c r="F84" s="292"/>
      <c r="G84" s="292" t="s">
        <v>575</v>
      </c>
      <c r="H84" s="292"/>
      <c r="I84" s="293">
        <v>1</v>
      </c>
      <c r="J84" s="290" t="s">
        <v>456</v>
      </c>
      <c r="K84" s="294">
        <f>IF(BD.PD[[#This Row],[Mon]]="DOP",1,HLOOKUP(BD.PD[[#This Row],[Mon]],$J$1:$K$2,2,FALSE))</f>
        <v>63</v>
      </c>
      <c r="L84" s="295">
        <v>0</v>
      </c>
      <c r="M84" s="296">
        <f>BD.PD[[#This Row],[Cant.]]*BD.PD[[#This Row],[ Tasa ]]*BD.PD[[#This Row],[ Precio Und.]]</f>
        <v>0</v>
      </c>
      <c r="N84" s="297">
        <v>0</v>
      </c>
      <c r="O84" s="296">
        <f>IF(BD.PD[[#This Row],[Liquid. '[%']]]&lt;&gt;0,(BD.PD[[#This Row],[Valor Neto '[DOP']]]*BD.PD[[#This Row],[Liquid. '[%']]])+BD.PD[[#This Row],[Valor Neto '[DOP']]],BD.PD[[#This Row],[Valor Neto '[DOP']]])</f>
        <v>0</v>
      </c>
      <c r="P84" s="306">
        <f>BD.PD[[#This Row],[Ppto. Orden Interna '[DOP']]]/HLOOKUP("USD",$J$1:$K$2,2,FALSE)</f>
        <v>0</v>
      </c>
      <c r="Q84" s="299"/>
      <c r="R84" s="307"/>
      <c r="S84" s="300"/>
      <c r="T84" s="301"/>
      <c r="U84" s="308">
        <f>BD.PD[[#This Row],[Av.P1 '[%']]]*BD.PD[[#This Row],[Ppto. Orden Interna '[DOP']]]</f>
        <v>0</v>
      </c>
      <c r="V84" s="303"/>
      <c r="W84" s="304"/>
      <c r="X84" s="308">
        <f>BD.PD[[#This Row],[Av.P2 '[%']]]*BD.PD[[#This Row],[Ppto. Orden Interna '[DOP']]]</f>
        <v>0</v>
      </c>
      <c r="Y84" s="303"/>
      <c r="Z84" s="304"/>
      <c r="AA84" s="308">
        <f>BD.PD[[#This Row],[Av.P3 '[%']]]*BD.PD[[#This Row],[Ppto. Orden Interna '[DOP']]]</f>
        <v>0</v>
      </c>
      <c r="AB84" s="303"/>
      <c r="AC84" s="304"/>
      <c r="AD84" s="308">
        <f>BD.PD[[#This Row],[Av.P4 '[%']]]*BD.PD[[#This Row],[Ppto. Orden Interna '[DOP']]]</f>
        <v>0</v>
      </c>
      <c r="AE84" s="303"/>
      <c r="AF84" s="304"/>
      <c r="AG84" s="308">
        <f>BD.PD[[#This Row],[Av.P5 '[%']]]*BD.PD[[#This Row],[Ppto. Orden Interna '[DOP']]]</f>
        <v>0</v>
      </c>
      <c r="AH84" s="305">
        <f>BD.PD[[#This Row],[Pago 5]]+BD.PD[[#This Row],[Pago 4]]+BD.PD[[#This Row],[Pago 3]]+BD.PD[[#This Row],[Pago 2]]+BD.PD[[#This Row],[Pago 1]]</f>
        <v>0</v>
      </c>
      <c r="AI84" s="404"/>
      <c r="IB84" s="275"/>
    </row>
    <row r="85" spans="1:236" ht="15" customHeight="1" x14ac:dyDescent="0.3">
      <c r="A85" s="231">
        <v>5.03</v>
      </c>
      <c r="B85" s="288"/>
      <c r="C85" s="289" t="str">
        <f>VLOOKUP(BD.PD[[#This Row],[Pos]],PPto[],3,FALSE)</f>
        <v>5.03 Neveras, Centrales y Evaporadores</v>
      </c>
      <c r="D85" s="231" t="s">
        <v>22</v>
      </c>
      <c r="E85" s="291" t="str">
        <f>IF(BD.PD[[#This Row],[.]]="*",VLOOKUP(BD.PD[[#This Row],[Pos]],Presupuesto!A:H,7,FALSE),"")</f>
        <v/>
      </c>
      <c r="F85" s="292" t="s">
        <v>165</v>
      </c>
      <c r="G85" s="292">
        <v>4600073154</v>
      </c>
      <c r="H85" s="358">
        <v>45743</v>
      </c>
      <c r="I85" s="359">
        <v>1</v>
      </c>
      <c r="J85" s="231" t="s">
        <v>526</v>
      </c>
      <c r="K85" s="294">
        <f>IF(BD.PD[[#This Row],[Mon]]="DOP",1,HLOOKUP(BD.PD[[#This Row],[Mon]],$J$1:$K$2,2,FALSE))</f>
        <v>76</v>
      </c>
      <c r="L85" s="392">
        <v>166429.89000000001</v>
      </c>
      <c r="M85" s="296">
        <f>BD.PD[[#This Row],[Cant.]]*BD.PD[[#This Row],[ Tasa ]]*BD.PD[[#This Row],[ Precio Und.]]</f>
        <v>12648671.640000001</v>
      </c>
      <c r="N85" s="361">
        <v>0.28000000000000003</v>
      </c>
      <c r="O85" s="296">
        <f>IF(BD.PD[[#This Row],[Liquid. '[%']]]&lt;&gt;0,(BD.PD[[#This Row],[Valor Neto '[DOP']]]*BD.PD[[#This Row],[Liquid. '[%']]])+BD.PD[[#This Row],[Valor Neto '[DOP']]],BD.PD[[#This Row],[Valor Neto '[DOP']]])</f>
        <v>16190299.699200001</v>
      </c>
      <c r="P85" s="306">
        <f>BD.PD[[#This Row],[Ppto. Orden Interna '[DOP']]]/HLOOKUP("USD",$J$1:$K$2,2,FALSE)</f>
        <v>256988.88411428573</v>
      </c>
      <c r="Q85" s="299" t="s">
        <v>618</v>
      </c>
      <c r="R85" s="307" t="s">
        <v>619</v>
      </c>
      <c r="S85" s="300">
        <v>3</v>
      </c>
      <c r="T85" s="301">
        <v>0.5</v>
      </c>
      <c r="U85" s="308">
        <f>BD.PD[[#This Row],[Av.P1 '[%']]]*BD.PD[[#This Row],[Ppto. Orden Interna '[DOP']]]</f>
        <v>8095149.8496000003</v>
      </c>
      <c r="V85" s="303">
        <v>8</v>
      </c>
      <c r="W85" s="304">
        <v>0.5</v>
      </c>
      <c r="X85" s="308">
        <f>BD.PD[[#This Row],[Av.P2 '[%']]]*BD.PD[[#This Row],[Ppto. Orden Interna '[DOP']]]</f>
        <v>8095149.8496000003</v>
      </c>
      <c r="Y85" s="303"/>
      <c r="Z85" s="304"/>
      <c r="AA85" s="308">
        <f>BD.PD[[#This Row],[Av.P3 '[%']]]*BD.PD[[#This Row],[Ppto. Orden Interna '[DOP']]]</f>
        <v>0</v>
      </c>
      <c r="AB85" s="303"/>
      <c r="AC85" s="304"/>
      <c r="AD85" s="308">
        <f>BD.PD[[#This Row],[Av.P4 '[%']]]*BD.PD[[#This Row],[Ppto. Orden Interna '[DOP']]]</f>
        <v>0</v>
      </c>
      <c r="AE85" s="303"/>
      <c r="AF85" s="304"/>
      <c r="AG85" s="308">
        <f>BD.PD[[#This Row],[Av.P5 '[%']]]*BD.PD[[#This Row],[Ppto. Orden Interna '[DOP']]]</f>
        <v>0</v>
      </c>
      <c r="AH85" s="305">
        <f>BD.PD[[#This Row],[Pago 5]]+BD.PD[[#This Row],[Pago 4]]+BD.PD[[#This Row],[Pago 3]]+BD.PD[[#This Row],[Pago 2]]+BD.PD[[#This Row],[Pago 1]]</f>
        <v>16190299.699200001</v>
      </c>
      <c r="AI85" s="404"/>
      <c r="IB85" s="275"/>
    </row>
    <row r="86" spans="1:236" ht="15" customHeight="1" x14ac:dyDescent="0.3">
      <c r="A86" s="389">
        <v>5.03</v>
      </c>
      <c r="B86" s="288"/>
      <c r="C86" s="289" t="str">
        <f>VLOOKUP(BD.PD[[#This Row],[Pos]],PPto[],3,FALSE)</f>
        <v>5.03 Neveras, Centrales y Evaporadores</v>
      </c>
      <c r="D86" s="389" t="s">
        <v>22</v>
      </c>
      <c r="E86" s="291" t="str">
        <f>IF(BD.PD[[#This Row],[.]]="*",VLOOKUP(BD.PD[[#This Row],[Pos]],Presupuesto!A:H,7,FALSE),"")</f>
        <v/>
      </c>
      <c r="F86" s="292" t="s">
        <v>156</v>
      </c>
      <c r="G86" s="292">
        <v>4600078962</v>
      </c>
      <c r="H86" s="358">
        <v>45758</v>
      </c>
      <c r="I86" s="391">
        <v>1</v>
      </c>
      <c r="J86" s="389" t="s">
        <v>526</v>
      </c>
      <c r="K86" s="294">
        <f>IF(BD.PD[[#This Row],[Mon]]="DOP",1,HLOOKUP(BD.PD[[#This Row],[Mon]],$J$1:$K$2,2,FALSE))</f>
        <v>76</v>
      </c>
      <c r="L86" s="392">
        <v>240310</v>
      </c>
      <c r="M86" s="296">
        <f>BD.PD[[#This Row],[Cant.]]*BD.PD[[#This Row],[ Tasa ]]*BD.PD[[#This Row],[ Precio Und.]]</f>
        <v>18263560</v>
      </c>
      <c r="N86" s="393">
        <v>0.15</v>
      </c>
      <c r="O86" s="296">
        <f>IF(BD.PD[[#This Row],[Liquid. '[%']]]&lt;&gt;0,(BD.PD[[#This Row],[Valor Neto '[DOP']]]*BD.PD[[#This Row],[Liquid. '[%']]])+BD.PD[[#This Row],[Valor Neto '[DOP']]],BD.PD[[#This Row],[Valor Neto '[DOP']]])</f>
        <v>21003094</v>
      </c>
      <c r="P86" s="306">
        <f>BD.PD[[#This Row],[Ppto. Orden Interna '[DOP']]]/HLOOKUP("USD",$J$1:$K$2,2,FALSE)</f>
        <v>333382.44444444444</v>
      </c>
      <c r="Q86" s="299" t="s">
        <v>620</v>
      </c>
      <c r="R86" s="395" t="s">
        <v>621</v>
      </c>
      <c r="S86" s="396">
        <v>4</v>
      </c>
      <c r="T86" s="397">
        <v>0.5</v>
      </c>
      <c r="U86" s="308">
        <f>BD.PD[[#This Row],[Av.P1 '[%']]]*BD.PD[[#This Row],[Ppto. Orden Interna '[DOP']]]</f>
        <v>10501547</v>
      </c>
      <c r="V86" s="398">
        <v>10</v>
      </c>
      <c r="W86" s="399">
        <v>0.5</v>
      </c>
      <c r="X86" s="308">
        <f>BD.PD[[#This Row],[Av.P2 '[%']]]*BD.PD[[#This Row],[Ppto. Orden Interna '[DOP']]]</f>
        <v>10501547</v>
      </c>
      <c r="Y86" s="398"/>
      <c r="Z86" s="399"/>
      <c r="AA86" s="308">
        <f>BD.PD[[#This Row],[Av.P3 '[%']]]*BD.PD[[#This Row],[Ppto. Orden Interna '[DOP']]]</f>
        <v>0</v>
      </c>
      <c r="AB86" s="398"/>
      <c r="AC86" s="399"/>
      <c r="AD86" s="308">
        <f>BD.PD[[#This Row],[Av.P4 '[%']]]*BD.PD[[#This Row],[Ppto. Orden Interna '[DOP']]]</f>
        <v>0</v>
      </c>
      <c r="AE86" s="398"/>
      <c r="AF86" s="399"/>
      <c r="AG86" s="308">
        <f>BD.PD[[#This Row],[Av.P5 '[%']]]*BD.PD[[#This Row],[Ppto. Orden Interna '[DOP']]]</f>
        <v>0</v>
      </c>
      <c r="AH86" s="305">
        <f>BD.PD[[#This Row],[Pago 5]]+BD.PD[[#This Row],[Pago 4]]+BD.PD[[#This Row],[Pago 3]]+BD.PD[[#This Row],[Pago 2]]+BD.PD[[#This Row],[Pago 1]]</f>
        <v>21003094</v>
      </c>
      <c r="AI86" s="404" t="s">
        <v>622</v>
      </c>
      <c r="IB86" s="275"/>
    </row>
    <row r="87" spans="1:236" ht="15" customHeight="1" x14ac:dyDescent="0.3">
      <c r="A87" s="389">
        <v>5.03</v>
      </c>
      <c r="B87" s="288"/>
      <c r="C87" s="289" t="str">
        <f>VLOOKUP(BD.PD[[#This Row],[Pos]],PPto[],3,FALSE)</f>
        <v>5.03 Neveras, Centrales y Evaporadores</v>
      </c>
      <c r="D87" s="389" t="s">
        <v>22</v>
      </c>
      <c r="E87" s="291" t="str">
        <f>IF(BD.PD[[#This Row],[.]]="*",VLOOKUP(BD.PD[[#This Row],[Pos]],Presupuesto!A:H,7,FALSE),"")</f>
        <v/>
      </c>
      <c r="F87" s="390" t="s">
        <v>160</v>
      </c>
      <c r="G87" s="390">
        <v>4600073602</v>
      </c>
      <c r="H87" s="358">
        <v>45779</v>
      </c>
      <c r="I87" s="359">
        <v>1</v>
      </c>
      <c r="J87" s="389" t="s">
        <v>456</v>
      </c>
      <c r="K87" s="294">
        <f>IF(BD.PD[[#This Row],[Mon]]="DOP",1,HLOOKUP(BD.PD[[#This Row],[Mon]],$J$1:$K$2,2,FALSE))</f>
        <v>63</v>
      </c>
      <c r="L87" s="392">
        <v>547</v>
      </c>
      <c r="M87" s="296">
        <f>BD.PD[[#This Row],[Cant.]]*BD.PD[[#This Row],[ Tasa ]]*BD.PD[[#This Row],[ Precio Und.]]</f>
        <v>34461</v>
      </c>
      <c r="N87" s="361">
        <v>0.45</v>
      </c>
      <c r="O87" s="296">
        <f>IF(BD.PD[[#This Row],[Liquid. '[%']]]&lt;&gt;0,(BD.PD[[#This Row],[Valor Neto '[DOP']]]*BD.PD[[#This Row],[Liquid. '[%']]])+BD.PD[[#This Row],[Valor Neto '[DOP']]],BD.PD[[#This Row],[Valor Neto '[DOP']]])</f>
        <v>49968.45</v>
      </c>
      <c r="P87" s="306">
        <f>BD.PD[[#This Row],[Ppto. Orden Interna '[DOP']]]/HLOOKUP("USD",$J$1:$K$2,2,FALSE)</f>
        <v>793.15</v>
      </c>
      <c r="Q87" s="299" t="s">
        <v>623</v>
      </c>
      <c r="R87" s="307" t="s">
        <v>624</v>
      </c>
      <c r="S87" s="300">
        <v>5</v>
      </c>
      <c r="T87" s="301">
        <v>0.5</v>
      </c>
      <c r="U87" s="308">
        <f>BD.PD[[#This Row],[Av.P1 '[%']]]*BD.PD[[#This Row],[Ppto. Orden Interna '[DOP']]]</f>
        <v>24984.224999999999</v>
      </c>
      <c r="V87" s="303">
        <v>16</v>
      </c>
      <c r="W87" s="399">
        <v>0.5</v>
      </c>
      <c r="X87" s="308">
        <f>BD.PD[[#This Row],[Av.P2 '[%']]]*BD.PD[[#This Row],[Ppto. Orden Interna '[DOP']]]</f>
        <v>24984.224999999999</v>
      </c>
      <c r="Y87" s="398"/>
      <c r="Z87" s="399"/>
      <c r="AA87" s="308">
        <f>BD.PD[[#This Row],[Av.P3 '[%']]]*BD.PD[[#This Row],[Ppto. Orden Interna '[DOP']]]</f>
        <v>0</v>
      </c>
      <c r="AB87" s="398"/>
      <c r="AC87" s="399"/>
      <c r="AD87" s="308">
        <f>BD.PD[[#This Row],[Av.P4 '[%']]]*BD.PD[[#This Row],[Ppto. Orden Interna '[DOP']]]</f>
        <v>0</v>
      </c>
      <c r="AE87" s="398"/>
      <c r="AF87" s="399"/>
      <c r="AG87" s="308">
        <f>BD.PD[[#This Row],[Av.P5 '[%']]]*BD.PD[[#This Row],[Ppto. Orden Interna '[DOP']]]</f>
        <v>0</v>
      </c>
      <c r="AH87" s="400">
        <f>BD.PD[[#This Row],[Pago 5]]+BD.PD[[#This Row],[Pago 4]]+BD.PD[[#This Row],[Pago 3]]+BD.PD[[#This Row],[Pago 2]]+BD.PD[[#This Row],[Pago 1]]</f>
        <v>49968.45</v>
      </c>
      <c r="AI87" s="404"/>
      <c r="IB87" s="275"/>
    </row>
    <row r="88" spans="1:236" ht="15" customHeight="1" x14ac:dyDescent="0.3">
      <c r="A88" s="389">
        <v>5.03</v>
      </c>
      <c r="B88" s="288"/>
      <c r="C88" s="289" t="str">
        <f>VLOOKUP(BD.PD[[#This Row],[Pos]],PPto[],3,FALSE)</f>
        <v>5.03 Neveras, Centrales y Evaporadores</v>
      </c>
      <c r="D88" s="389" t="s">
        <v>22</v>
      </c>
      <c r="E88" s="291" t="str">
        <f>IF(BD.PD[[#This Row],[.]]="*",VLOOKUP(BD.PD[[#This Row],[Pos]],Presupuesto!A:H,7,FALSE),"")</f>
        <v/>
      </c>
      <c r="F88" s="390" t="s">
        <v>161</v>
      </c>
      <c r="G88" s="390">
        <v>4600073602</v>
      </c>
      <c r="H88" s="358">
        <v>45779</v>
      </c>
      <c r="I88" s="391">
        <v>1</v>
      </c>
      <c r="J88" s="389" t="s">
        <v>456</v>
      </c>
      <c r="K88" s="294">
        <f>IF(BD.PD[[#This Row],[Mon]]="DOP",1,HLOOKUP(BD.PD[[#This Row],[Mon]],$J$1:$K$2,2,FALSE))</f>
        <v>63</v>
      </c>
      <c r="L88" s="415">
        <v>9030</v>
      </c>
      <c r="M88" s="296">
        <f>BD.PD[[#This Row],[Cant.]]*BD.PD[[#This Row],[ Tasa ]]*BD.PD[[#This Row],[ Precio Und.]]</f>
        <v>568890</v>
      </c>
      <c r="N88" s="361">
        <v>0.45</v>
      </c>
      <c r="O88" s="296">
        <f>IF(BD.PD[[#This Row],[Liquid. '[%']]]&lt;&gt;0,(BD.PD[[#This Row],[Valor Neto '[DOP']]]*BD.PD[[#This Row],[Liquid. '[%']]])+BD.PD[[#This Row],[Valor Neto '[DOP']]],BD.PD[[#This Row],[Valor Neto '[DOP']]])</f>
        <v>824890.5</v>
      </c>
      <c r="P88" s="306">
        <f>BD.PD[[#This Row],[Ppto. Orden Interna '[DOP']]]/HLOOKUP("USD",$J$1:$K$2,2,FALSE)</f>
        <v>13093.5</v>
      </c>
      <c r="Q88" s="385" t="s">
        <v>625</v>
      </c>
      <c r="R88" s="307" t="s">
        <v>624</v>
      </c>
      <c r="S88" s="300">
        <v>5</v>
      </c>
      <c r="T88" s="301">
        <v>0.5</v>
      </c>
      <c r="U88" s="308">
        <f>BD.PD[[#This Row],[Av.P1 '[%']]]*BD.PD[[#This Row],[Ppto. Orden Interna '[DOP']]]</f>
        <v>412445.25</v>
      </c>
      <c r="V88" s="303">
        <v>16</v>
      </c>
      <c r="W88" s="399">
        <v>0.5</v>
      </c>
      <c r="X88" s="308">
        <f>BD.PD[[#This Row],[Av.P2 '[%']]]*BD.PD[[#This Row],[Ppto. Orden Interna '[DOP']]]</f>
        <v>412445.25</v>
      </c>
      <c r="Y88" s="398"/>
      <c r="Z88" s="399"/>
      <c r="AA88" s="308">
        <f>BD.PD[[#This Row],[Av.P3 '[%']]]*BD.PD[[#This Row],[Ppto. Orden Interna '[DOP']]]</f>
        <v>0</v>
      </c>
      <c r="AB88" s="398"/>
      <c r="AC88" s="399"/>
      <c r="AD88" s="308">
        <f>BD.PD[[#This Row],[Av.P4 '[%']]]*BD.PD[[#This Row],[Ppto. Orden Interna '[DOP']]]</f>
        <v>0</v>
      </c>
      <c r="AE88" s="398"/>
      <c r="AF88" s="399"/>
      <c r="AG88" s="308">
        <f>BD.PD[[#This Row],[Av.P5 '[%']]]*BD.PD[[#This Row],[Ppto. Orden Interna '[DOP']]]</f>
        <v>0</v>
      </c>
      <c r="AH88" s="305">
        <f>BD.PD[[#This Row],[Pago 5]]+BD.PD[[#This Row],[Pago 4]]+BD.PD[[#This Row],[Pago 3]]+BD.PD[[#This Row],[Pago 2]]+BD.PD[[#This Row],[Pago 1]]</f>
        <v>824890.5</v>
      </c>
      <c r="AI88" s="404"/>
      <c r="IB88" s="275"/>
    </row>
    <row r="89" spans="1:236" ht="15" customHeight="1" x14ac:dyDescent="0.3">
      <c r="A89" s="231">
        <v>5.03</v>
      </c>
      <c r="B89" s="288"/>
      <c r="C89" s="289" t="str">
        <f>VLOOKUP(BD.PD[[#This Row],[Pos]],PPto[],3,FALSE)</f>
        <v>5.03 Neveras, Centrales y Evaporadores</v>
      </c>
      <c r="D89" s="231" t="s">
        <v>22</v>
      </c>
      <c r="E89" s="291" t="str">
        <f>IF(BD.PD[[#This Row],[.]]="*",VLOOKUP(BD.PD[[#This Row],[Pos]],Presupuesto!A:H,7,FALSE),"")</f>
        <v/>
      </c>
      <c r="F89" s="292" t="s">
        <v>164</v>
      </c>
      <c r="G89" s="292">
        <v>4600073639</v>
      </c>
      <c r="H89" s="358">
        <v>45785</v>
      </c>
      <c r="I89" s="359">
        <v>0</v>
      </c>
      <c r="J89" s="231" t="s">
        <v>526</v>
      </c>
      <c r="K89" s="294">
        <f>IF(BD.PD[[#This Row],[Mon]]="DOP",1,HLOOKUP(BD.PD[[#This Row],[Mon]],$J$1:$K$2,2,FALSE))</f>
        <v>76</v>
      </c>
      <c r="L89" s="360">
        <v>12438</v>
      </c>
      <c r="M89" s="296">
        <f>BD.PD[[#This Row],[Cant.]]*BD.PD[[#This Row],[ Tasa ]]*BD.PD[[#This Row],[ Precio Und.]]</f>
        <v>0</v>
      </c>
      <c r="N89" s="361">
        <v>0.15</v>
      </c>
      <c r="O89" s="296">
        <f>IF(BD.PD[[#This Row],[Liquid. '[%']]]&lt;&gt;0,(BD.PD[[#This Row],[Valor Neto '[DOP']]]*BD.PD[[#This Row],[Liquid. '[%']]])+BD.PD[[#This Row],[Valor Neto '[DOP']]],BD.PD[[#This Row],[Valor Neto '[DOP']]])</f>
        <v>0</v>
      </c>
      <c r="P89" s="306">
        <f>BD.PD[[#This Row],[Ppto. Orden Interna '[DOP']]]/HLOOKUP("USD",$J$1:$K$2,2,FALSE)</f>
        <v>0</v>
      </c>
      <c r="Q89" s="299" t="s">
        <v>618</v>
      </c>
      <c r="R89" s="307" t="s">
        <v>619</v>
      </c>
      <c r="S89" s="300">
        <v>5</v>
      </c>
      <c r="T89" s="301">
        <v>0.5</v>
      </c>
      <c r="U89" s="308">
        <f>BD.PD[[#This Row],[Av.P1 '[%']]]*BD.PD[[#This Row],[Ppto. Orden Interna '[DOP']]]</f>
        <v>0</v>
      </c>
      <c r="V89" s="303">
        <v>8</v>
      </c>
      <c r="W89" s="304">
        <v>0.5</v>
      </c>
      <c r="X89" s="308">
        <f>BD.PD[[#This Row],[Av.P2 '[%']]]*BD.PD[[#This Row],[Ppto. Orden Interna '[DOP']]]</f>
        <v>0</v>
      </c>
      <c r="Y89" s="303"/>
      <c r="Z89" s="304"/>
      <c r="AA89" s="308">
        <f>BD.PD[[#This Row],[Av.P3 '[%']]]*BD.PD[[#This Row],[Ppto. Orden Interna '[DOP']]]</f>
        <v>0</v>
      </c>
      <c r="AB89" s="303"/>
      <c r="AC89" s="304"/>
      <c r="AD89" s="308">
        <f>BD.PD[[#This Row],[Av.P4 '[%']]]*BD.PD[[#This Row],[Ppto. Orden Interna '[DOP']]]</f>
        <v>0</v>
      </c>
      <c r="AE89" s="303"/>
      <c r="AF89" s="304"/>
      <c r="AG89" s="308">
        <f>BD.PD[[#This Row],[Av.P5 '[%']]]*BD.PD[[#This Row],[Ppto. Orden Interna '[DOP']]]</f>
        <v>0</v>
      </c>
      <c r="AH89" s="305">
        <f>BD.PD[[#This Row],[Pago 5]]+BD.PD[[#This Row],[Pago 4]]+BD.PD[[#This Row],[Pago 3]]+BD.PD[[#This Row],[Pago 2]]+BD.PD[[#This Row],[Pago 1]]</f>
        <v>0</v>
      </c>
      <c r="AI89" s="404"/>
      <c r="IB89" s="275"/>
    </row>
    <row r="90" spans="1:236" ht="15" customHeight="1" x14ac:dyDescent="0.3">
      <c r="A90" s="231">
        <v>5.03</v>
      </c>
      <c r="B90" s="288"/>
      <c r="C90" s="289" t="str">
        <f>VLOOKUP(BD.PD[[#This Row],[Pos]],PPto[],3,FALSE)</f>
        <v>5.03 Neveras, Centrales y Evaporadores</v>
      </c>
      <c r="D90" s="231" t="s">
        <v>22</v>
      </c>
      <c r="E90" s="291" t="str">
        <f>IF(BD.PD[[#This Row],[.]]="*",VLOOKUP(BD.PD[[#This Row],[Pos]],Presupuesto!A:H,7,FALSE),"")</f>
        <v/>
      </c>
      <c r="F90" s="292" t="s">
        <v>626</v>
      </c>
      <c r="G90" s="292">
        <v>4600079233</v>
      </c>
      <c r="H90" s="358">
        <v>45822</v>
      </c>
      <c r="I90" s="359">
        <v>1</v>
      </c>
      <c r="J90" s="231" t="s">
        <v>526</v>
      </c>
      <c r="K90" s="294">
        <f>IF(BD.PD[[#This Row],[Mon]]="DOP",1,HLOOKUP(BD.PD[[#This Row],[Mon]],$J$1:$K$2,2,FALSE))</f>
        <v>76</v>
      </c>
      <c r="L90" s="360">
        <v>16316.95</v>
      </c>
      <c r="M90" s="296">
        <f>BD.PD[[#This Row],[Cant.]]*BD.PD[[#This Row],[ Tasa ]]*BD.PD[[#This Row],[ Precio Und.]]</f>
        <v>1240088.2</v>
      </c>
      <c r="N90" s="361">
        <v>0</v>
      </c>
      <c r="O90" s="296">
        <f>IF(BD.PD[[#This Row],[Liquid. '[%']]]&lt;&gt;0,(BD.PD[[#This Row],[Valor Neto '[DOP']]]*BD.PD[[#This Row],[Liquid. '[%']]])+BD.PD[[#This Row],[Valor Neto '[DOP']]],BD.PD[[#This Row],[Valor Neto '[DOP']]])</f>
        <v>1240088.2</v>
      </c>
      <c r="P90" s="306">
        <f>BD.PD[[#This Row],[Ppto. Orden Interna '[DOP']]]/HLOOKUP("USD",$J$1:$K$2,2,FALSE)</f>
        <v>19683.939682539683</v>
      </c>
      <c r="Q90" s="299" t="s">
        <v>627</v>
      </c>
      <c r="R90" s="307" t="s">
        <v>621</v>
      </c>
      <c r="S90" s="300">
        <v>6</v>
      </c>
      <c r="T90" s="301">
        <v>0.5</v>
      </c>
      <c r="U90" s="308">
        <f>BD.PD[[#This Row],[Av.P1 '[%']]]*BD.PD[[#This Row],[Ppto. Orden Interna '[DOP']]]</f>
        <v>620044.1</v>
      </c>
      <c r="V90" s="303">
        <v>7</v>
      </c>
      <c r="W90" s="304">
        <v>0.5</v>
      </c>
      <c r="X90" s="308">
        <f>BD.PD[[#This Row],[Av.P2 '[%']]]*BD.PD[[#This Row],[Ppto. Orden Interna '[DOP']]]</f>
        <v>620044.1</v>
      </c>
      <c r="Y90" s="303"/>
      <c r="Z90" s="304"/>
      <c r="AA90" s="308">
        <f>BD.PD[[#This Row],[Av.P3 '[%']]]*BD.PD[[#This Row],[Ppto. Orden Interna '[DOP']]]</f>
        <v>0</v>
      </c>
      <c r="AB90" s="303"/>
      <c r="AC90" s="304"/>
      <c r="AD90" s="308">
        <f>BD.PD[[#This Row],[Av.P4 '[%']]]*BD.PD[[#This Row],[Ppto. Orden Interna '[DOP']]]</f>
        <v>0</v>
      </c>
      <c r="AE90" s="303"/>
      <c r="AF90" s="304"/>
      <c r="AG90" s="308">
        <f>BD.PD[[#This Row],[Av.P5 '[%']]]*BD.PD[[#This Row],[Ppto. Orden Interna '[DOP']]]</f>
        <v>0</v>
      </c>
      <c r="AH90" s="305">
        <f>BD.PD[[#This Row],[Pago 5]]+BD.PD[[#This Row],[Pago 4]]+BD.PD[[#This Row],[Pago 3]]+BD.PD[[#This Row],[Pago 2]]+BD.PD[[#This Row],[Pago 1]]</f>
        <v>1240088.2</v>
      </c>
      <c r="AI90" s="404"/>
      <c r="IB90" s="275"/>
    </row>
    <row r="91" spans="1:236" ht="15" customHeight="1" x14ac:dyDescent="0.3">
      <c r="A91" s="231">
        <v>5.03</v>
      </c>
      <c r="B91" s="288"/>
      <c r="C91" s="289" t="str">
        <f>VLOOKUP(BD.PD[[#This Row],[Pos]],PPto[],3,FALSE)</f>
        <v>5.03 Neveras, Centrales y Evaporadores</v>
      </c>
      <c r="D91" s="231" t="s">
        <v>22</v>
      </c>
      <c r="E91" s="291" t="str">
        <f>IF(BD.PD[[#This Row],[.]]="*",VLOOKUP(BD.PD[[#This Row],[Pos]],Presupuesto!A:H,7,FALSE),"")</f>
        <v/>
      </c>
      <c r="F91" s="430" t="s">
        <v>163</v>
      </c>
      <c r="G91" s="292">
        <v>4600074921</v>
      </c>
      <c r="H91" s="358">
        <v>45853</v>
      </c>
      <c r="I91" s="359">
        <v>0</v>
      </c>
      <c r="J91" s="231" t="s">
        <v>526</v>
      </c>
      <c r="K91" s="294">
        <f>IF(BD.PD[[#This Row],[Mon]]="DOP",1,HLOOKUP(BD.PD[[#This Row],[Mon]],$J$1:$K$2,2,FALSE))</f>
        <v>76</v>
      </c>
      <c r="L91" s="360">
        <v>9981.7199999999993</v>
      </c>
      <c r="M91" s="296">
        <f>BD.PD[[#This Row],[Cant.]]*BD.PD[[#This Row],[ Tasa ]]*BD.PD[[#This Row],[ Precio Und.]]</f>
        <v>0</v>
      </c>
      <c r="N91" s="361">
        <v>0.15</v>
      </c>
      <c r="O91" s="296">
        <f>IF(BD.PD[[#This Row],[Liquid. '[%']]]&lt;&gt;0,(BD.PD[[#This Row],[Valor Neto '[DOP']]]*BD.PD[[#This Row],[Liquid. '[%']]])+BD.PD[[#This Row],[Valor Neto '[DOP']]],BD.PD[[#This Row],[Valor Neto '[DOP']]])</f>
        <v>0</v>
      </c>
      <c r="P91" s="306">
        <f>BD.PD[[#This Row],[Ppto. Orden Interna '[DOP']]]/HLOOKUP("USD",$J$1:$K$2,2,FALSE)</f>
        <v>0</v>
      </c>
      <c r="Q91" s="299" t="s">
        <v>628</v>
      </c>
      <c r="R91" s="408" t="s">
        <v>629</v>
      </c>
      <c r="S91" s="300">
        <v>7</v>
      </c>
      <c r="T91" s="301">
        <v>0.5</v>
      </c>
      <c r="U91" s="308">
        <f>BD.PD[[#This Row],[Av.P1 '[%']]]*BD.PD[[#This Row],[Ppto. Orden Interna '[DOP']]]</f>
        <v>0</v>
      </c>
      <c r="V91" s="303">
        <v>16</v>
      </c>
      <c r="W91" s="304">
        <v>0.5</v>
      </c>
      <c r="X91" s="308">
        <f>BD.PD[[#This Row],[Av.P2 '[%']]]*BD.PD[[#This Row],[Ppto. Orden Interna '[DOP']]]</f>
        <v>0</v>
      </c>
      <c r="Y91" s="303"/>
      <c r="Z91" s="304"/>
      <c r="AA91" s="308">
        <f>BD.PD[[#This Row],[Av.P3 '[%']]]*BD.PD[[#This Row],[Ppto. Orden Interna '[DOP']]]</f>
        <v>0</v>
      </c>
      <c r="AB91" s="303"/>
      <c r="AC91" s="304"/>
      <c r="AD91" s="308">
        <f>BD.PD[[#This Row],[Av.P4 '[%']]]*BD.PD[[#This Row],[Ppto. Orden Interna '[DOP']]]</f>
        <v>0</v>
      </c>
      <c r="AE91" s="303"/>
      <c r="AF91" s="304"/>
      <c r="AG91" s="308">
        <f>BD.PD[[#This Row],[Av.P5 '[%']]]*BD.PD[[#This Row],[Ppto. Orden Interna '[DOP']]]</f>
        <v>0</v>
      </c>
      <c r="AH91" s="305">
        <f>BD.PD[[#This Row],[Pago 5]]+BD.PD[[#This Row],[Pago 4]]+BD.PD[[#This Row],[Pago 3]]+BD.PD[[#This Row],[Pago 2]]+BD.PD[[#This Row],[Pago 1]]</f>
        <v>0</v>
      </c>
      <c r="AI91" s="404"/>
      <c r="IB91" s="275"/>
    </row>
    <row r="92" spans="1:236" ht="15" customHeight="1" x14ac:dyDescent="0.3">
      <c r="A92" s="231">
        <v>5.03</v>
      </c>
      <c r="B92" s="288"/>
      <c r="C92" s="289" t="str">
        <f>VLOOKUP(BD.PD[[#This Row],[Pos]],PPto[],3,FALSE)</f>
        <v>5.03 Neveras, Centrales y Evaporadores</v>
      </c>
      <c r="D92" s="231" t="s">
        <v>22</v>
      </c>
      <c r="E92" s="291" t="str">
        <f>IF(BD.PD[[#This Row],[.]]="*",VLOOKUP(BD.PD[[#This Row],[Pos]],Presupuesto!A:H,7,FALSE),"")</f>
        <v/>
      </c>
      <c r="F92" s="292" t="s">
        <v>162</v>
      </c>
      <c r="G92" s="292">
        <v>4600076036</v>
      </c>
      <c r="H92" s="358">
        <v>45921</v>
      </c>
      <c r="I92" s="359">
        <v>0</v>
      </c>
      <c r="J92" s="231" t="s">
        <v>526</v>
      </c>
      <c r="K92" s="294">
        <f>IF(BD.PD[[#This Row],[Mon]]="DOP",1,HLOOKUP(BD.PD[[#This Row],[Mon]],$J$1:$K$2,2,FALSE))</f>
        <v>76</v>
      </c>
      <c r="L92" s="360">
        <v>3674</v>
      </c>
      <c r="M92" s="296">
        <f>BD.PD[[#This Row],[Cant.]]*BD.PD[[#This Row],[ Tasa ]]*BD.PD[[#This Row],[ Precio Und.]]</f>
        <v>0</v>
      </c>
      <c r="N92" s="361">
        <v>0.15</v>
      </c>
      <c r="O92" s="296">
        <f>IF(BD.PD[[#This Row],[Liquid. '[%']]]&lt;&gt;0,(BD.PD[[#This Row],[Valor Neto '[DOP']]]*BD.PD[[#This Row],[Liquid. '[%']]])+BD.PD[[#This Row],[Valor Neto '[DOP']]],BD.PD[[#This Row],[Valor Neto '[DOP']]])</f>
        <v>0</v>
      </c>
      <c r="P92" s="306">
        <f>BD.PD[[#This Row],[Ppto. Orden Interna '[DOP']]]/HLOOKUP("USD",$J$1:$K$2,2,FALSE)</f>
        <v>0</v>
      </c>
      <c r="Q92" s="299" t="s">
        <v>618</v>
      </c>
      <c r="R92" s="498">
        <v>45929</v>
      </c>
      <c r="S92" s="300">
        <v>10</v>
      </c>
      <c r="T92" s="301">
        <v>0.5</v>
      </c>
      <c r="U92" s="308">
        <f>BD.PD[[#This Row],[Av.P1 '[%']]]*BD.PD[[#This Row],[Ppto. Orden Interna '[DOP']]]</f>
        <v>0</v>
      </c>
      <c r="V92" s="303">
        <v>16</v>
      </c>
      <c r="W92" s="304">
        <v>0.5</v>
      </c>
      <c r="X92" s="308">
        <f>BD.PD[[#This Row],[Av.P2 '[%']]]*BD.PD[[#This Row],[Ppto. Orden Interna '[DOP']]]</f>
        <v>0</v>
      </c>
      <c r="Y92" s="303"/>
      <c r="Z92" s="304"/>
      <c r="AA92" s="308">
        <f>BD.PD[[#This Row],[Av.P3 '[%']]]*BD.PD[[#This Row],[Ppto. Orden Interna '[DOP']]]</f>
        <v>0</v>
      </c>
      <c r="AB92" s="303"/>
      <c r="AC92" s="304"/>
      <c r="AD92" s="308">
        <f>BD.PD[[#This Row],[Av.P4 '[%']]]*BD.PD[[#This Row],[Ppto. Orden Interna '[DOP']]]</f>
        <v>0</v>
      </c>
      <c r="AE92" s="303"/>
      <c r="AF92" s="304"/>
      <c r="AG92" s="308">
        <f>BD.PD[[#This Row],[Av.P5 '[%']]]*BD.PD[[#This Row],[Ppto. Orden Interna '[DOP']]]</f>
        <v>0</v>
      </c>
      <c r="AH92" s="305">
        <f>BD.PD[[#This Row],[Pago 5]]+BD.PD[[#This Row],[Pago 4]]+BD.PD[[#This Row],[Pago 3]]+BD.PD[[#This Row],[Pago 2]]+BD.PD[[#This Row],[Pago 1]]</f>
        <v>0</v>
      </c>
      <c r="AI92" s="404"/>
      <c r="IB92" s="275"/>
    </row>
    <row r="93" spans="1:236" ht="15" customHeight="1" x14ac:dyDescent="0.3">
      <c r="A93" s="231">
        <v>5.03</v>
      </c>
      <c r="B93" s="288"/>
      <c r="C93" s="289" t="str">
        <f>VLOOKUP(BD.PD[[#This Row],[Pos]],PPto[],3,FALSE)</f>
        <v>5.03 Neveras, Centrales y Evaporadores</v>
      </c>
      <c r="D93" s="231" t="s">
        <v>22</v>
      </c>
      <c r="E93" s="291" t="str">
        <f>IF(BD.PD[[#This Row],[.]]="*",VLOOKUP(BD.PD[[#This Row],[Pos]],Presupuesto!A:H,7,FALSE),"")</f>
        <v/>
      </c>
      <c r="F93" s="292" t="s">
        <v>158</v>
      </c>
      <c r="G93" s="292" t="s">
        <v>578</v>
      </c>
      <c r="H93" s="358">
        <v>45921</v>
      </c>
      <c r="I93" s="359">
        <v>5</v>
      </c>
      <c r="J93" s="231" t="s">
        <v>456</v>
      </c>
      <c r="K93" s="294">
        <f>IF(BD.PD[[#This Row],[Mon]]="DOP",1,HLOOKUP(BD.PD[[#This Row],[Mon]],$J$1:$K$2,2,FALSE))</f>
        <v>63</v>
      </c>
      <c r="L93" s="360">
        <v>2500</v>
      </c>
      <c r="M93" s="296">
        <f>BD.PD[[#This Row],[Cant.]]*BD.PD[[#This Row],[ Tasa ]]*BD.PD[[#This Row],[ Precio Und.]]</f>
        <v>787500</v>
      </c>
      <c r="N93" s="361">
        <v>0</v>
      </c>
      <c r="O93" s="296">
        <f>IF(BD.PD[[#This Row],[Liquid. '[%']]]&lt;&gt;0,(BD.PD[[#This Row],[Valor Neto '[DOP']]]*BD.PD[[#This Row],[Liquid. '[%']]])+BD.PD[[#This Row],[Valor Neto '[DOP']]],BD.PD[[#This Row],[Valor Neto '[DOP']]])</f>
        <v>787500</v>
      </c>
      <c r="P93" s="306">
        <f>BD.PD[[#This Row],[Ppto. Orden Interna '[DOP']]]/HLOOKUP("USD",$J$1:$K$2,2,FALSE)</f>
        <v>12500</v>
      </c>
      <c r="Q93" s="299" t="s">
        <v>630</v>
      </c>
      <c r="R93" s="307" t="s">
        <v>631</v>
      </c>
      <c r="S93" s="300">
        <v>21</v>
      </c>
      <c r="T93" s="301">
        <v>1</v>
      </c>
      <c r="U93" s="308">
        <f>BD.PD[[#This Row],[Av.P1 '[%']]]*BD.PD[[#This Row],[Ppto. Orden Interna '[DOP']]]</f>
        <v>787500</v>
      </c>
      <c r="V93" s="303"/>
      <c r="W93" s="304"/>
      <c r="X93" s="308">
        <f>BD.PD[[#This Row],[Av.P2 '[%']]]*BD.PD[[#This Row],[Ppto. Orden Interna '[DOP']]]</f>
        <v>0</v>
      </c>
      <c r="Y93" s="303"/>
      <c r="Z93" s="304"/>
      <c r="AA93" s="308">
        <f>BD.PD[[#This Row],[Av.P3 '[%']]]*BD.PD[[#This Row],[Ppto. Orden Interna '[DOP']]]</f>
        <v>0</v>
      </c>
      <c r="AB93" s="303"/>
      <c r="AC93" s="304"/>
      <c r="AD93" s="308">
        <f>BD.PD[[#This Row],[Av.P4 '[%']]]*BD.PD[[#This Row],[Ppto. Orden Interna '[DOP']]]</f>
        <v>0</v>
      </c>
      <c r="AE93" s="303"/>
      <c r="AF93" s="304"/>
      <c r="AG93" s="308">
        <f>BD.PD[[#This Row],[Av.P5 '[%']]]*BD.PD[[#This Row],[Ppto. Orden Interna '[DOP']]]</f>
        <v>0</v>
      </c>
      <c r="AH93" s="305">
        <f>BD.PD[[#This Row],[Pago 5]]+BD.PD[[#This Row],[Pago 4]]+BD.PD[[#This Row],[Pago 3]]+BD.PD[[#This Row],[Pago 2]]+BD.PD[[#This Row],[Pago 1]]</f>
        <v>787500</v>
      </c>
      <c r="AI93" s="404"/>
      <c r="IB93" s="275"/>
    </row>
    <row r="94" spans="1:236" ht="15" customHeight="1" x14ac:dyDescent="0.3">
      <c r="A94" s="231">
        <v>5.03</v>
      </c>
      <c r="B94" s="288"/>
      <c r="C94" s="289" t="str">
        <f>VLOOKUP(BD.PD[[#This Row],[Pos]],PPto[],3,FALSE)</f>
        <v>5.03 Neveras, Centrales y Evaporadores</v>
      </c>
      <c r="D94" s="389" t="s">
        <v>22</v>
      </c>
      <c r="E94" s="291" t="str">
        <f>IF(BD.PD[[#This Row],[.]]="*",VLOOKUP(BD.PD[[#This Row],[Pos]],Presupuesto!A:H,7,FALSE),"")</f>
        <v/>
      </c>
      <c r="F94" s="402" t="s">
        <v>159</v>
      </c>
      <c r="G94" s="292">
        <v>4513087405</v>
      </c>
      <c r="H94" s="358">
        <v>45921</v>
      </c>
      <c r="I94" s="391">
        <v>1</v>
      </c>
      <c r="J94" s="389" t="s">
        <v>456</v>
      </c>
      <c r="K94" s="294">
        <f>IF(BD.PD[[#This Row],[Mon]]="DOP",1,HLOOKUP(BD.PD[[#This Row],[Mon]],$J$1:$K$2,2,FALSE))</f>
        <v>63</v>
      </c>
      <c r="L94" s="360">
        <v>2093</v>
      </c>
      <c r="M94" s="296">
        <f>BD.PD[[#This Row],[Cant.]]*BD.PD[[#This Row],[ Tasa ]]*BD.PD[[#This Row],[ Precio Und.]]</f>
        <v>131859</v>
      </c>
      <c r="N94" s="361">
        <v>0</v>
      </c>
      <c r="O94" s="296">
        <f>IF(BD.PD[[#This Row],[Liquid. '[%']]]&lt;&gt;0,(BD.PD[[#This Row],[Valor Neto '[DOP']]]*BD.PD[[#This Row],[Liquid. '[%']]])+BD.PD[[#This Row],[Valor Neto '[DOP']]],BD.PD[[#This Row],[Valor Neto '[DOP']]])</f>
        <v>131859</v>
      </c>
      <c r="P94" s="306">
        <f>BD.PD[[#This Row],[Ppto. Orden Interna '[DOP']]]/HLOOKUP("USD",$J$1:$K$2,2,FALSE)</f>
        <v>2093</v>
      </c>
      <c r="Q94" s="299" t="s">
        <v>632</v>
      </c>
      <c r="R94" s="307" t="s">
        <v>631</v>
      </c>
      <c r="S94" s="300">
        <v>21</v>
      </c>
      <c r="T94" s="301">
        <v>1</v>
      </c>
      <c r="U94" s="308">
        <f>BD.PD[[#This Row],[Av.P1 '[%']]]*BD.PD[[#This Row],[Ppto. Orden Interna '[DOP']]]</f>
        <v>131859</v>
      </c>
      <c r="V94" s="303"/>
      <c r="W94" s="304"/>
      <c r="X94" s="308">
        <f>BD.PD[[#This Row],[Av.P2 '[%']]]*BD.PD[[#This Row],[Ppto. Orden Interna '[DOP']]]</f>
        <v>0</v>
      </c>
      <c r="Y94" s="303"/>
      <c r="Z94" s="304"/>
      <c r="AA94" s="308">
        <f>BD.PD[[#This Row],[Av.P3 '[%']]]*BD.PD[[#This Row],[Ppto. Orden Interna '[DOP']]]</f>
        <v>0</v>
      </c>
      <c r="AB94" s="303"/>
      <c r="AC94" s="304"/>
      <c r="AD94" s="308">
        <f>BD.PD[[#This Row],[Av.P4 '[%']]]*BD.PD[[#This Row],[Ppto. Orden Interna '[DOP']]]</f>
        <v>0</v>
      </c>
      <c r="AE94" s="303"/>
      <c r="AF94" s="304"/>
      <c r="AG94" s="308">
        <f>BD.PD[[#This Row],[Av.P5 '[%']]]*BD.PD[[#This Row],[Ppto. Orden Interna '[DOP']]]</f>
        <v>0</v>
      </c>
      <c r="AH94" s="305">
        <f>BD.PD[[#This Row],[Pago 5]]+BD.PD[[#This Row],[Pago 4]]+BD.PD[[#This Row],[Pago 3]]+BD.PD[[#This Row],[Pago 2]]+BD.PD[[#This Row],[Pago 1]]</f>
        <v>131859</v>
      </c>
      <c r="AI94" s="404"/>
      <c r="IB94" s="275"/>
    </row>
    <row r="95" spans="1:236" ht="15" customHeight="1" x14ac:dyDescent="0.3">
      <c r="A95" s="231">
        <v>5.03</v>
      </c>
      <c r="B95" s="288"/>
      <c r="C95" s="289" t="str">
        <f>VLOOKUP(BD.PD[[#This Row],[Pos]],PPto[],3,FALSE)</f>
        <v>5.03 Neveras, Centrales y Evaporadores</v>
      </c>
      <c r="D95" s="389" t="s">
        <v>22</v>
      </c>
      <c r="E95" s="291" t="str">
        <f>IF(BD.PD[[#This Row],[.]]="*",VLOOKUP(BD.PD[[#This Row],[Pos]],Presupuesto!A:H,7,FALSE),"")</f>
        <v/>
      </c>
      <c r="F95" s="390" t="s">
        <v>157</v>
      </c>
      <c r="G95" s="292">
        <v>4513087405</v>
      </c>
      <c r="H95" s="358">
        <v>45921</v>
      </c>
      <c r="I95" s="391">
        <v>1</v>
      </c>
      <c r="J95" s="389" t="s">
        <v>456</v>
      </c>
      <c r="K95" s="294">
        <f>IF(BD.PD[[#This Row],[Mon]]="DOP",1,HLOOKUP(BD.PD[[#This Row],[Mon]],$J$1:$K$2,2,FALSE))</f>
        <v>63</v>
      </c>
      <c r="L95" s="392">
        <v>1923.75</v>
      </c>
      <c r="M95" s="296">
        <f>BD.PD[[#This Row],[Cant.]]*BD.PD[[#This Row],[ Tasa ]]*BD.PD[[#This Row],[ Precio Und.]]</f>
        <v>121196.25</v>
      </c>
      <c r="N95" s="361">
        <v>0</v>
      </c>
      <c r="O95" s="296">
        <f>IF(BD.PD[[#This Row],[Liquid. '[%']]]&lt;&gt;0,(BD.PD[[#This Row],[Valor Neto '[DOP']]]*BD.PD[[#This Row],[Liquid. '[%']]])+BD.PD[[#This Row],[Valor Neto '[DOP']]],BD.PD[[#This Row],[Valor Neto '[DOP']]])</f>
        <v>121196.25</v>
      </c>
      <c r="P95" s="306">
        <f>BD.PD[[#This Row],[Ppto. Orden Interna '[DOP']]]/HLOOKUP("USD",$J$1:$K$2,2,FALSE)</f>
        <v>1923.75</v>
      </c>
      <c r="Q95" s="299" t="s">
        <v>633</v>
      </c>
      <c r="R95" s="307" t="s">
        <v>631</v>
      </c>
      <c r="S95" s="300">
        <v>21</v>
      </c>
      <c r="T95" s="301">
        <v>1</v>
      </c>
      <c r="U95" s="308">
        <f>BD.PD[[#This Row],[Av.P1 '[%']]]*BD.PD[[#This Row],[Ppto. Orden Interna '[DOP']]]</f>
        <v>121196.25</v>
      </c>
      <c r="V95" s="303"/>
      <c r="W95" s="399"/>
      <c r="X95" s="308">
        <f>BD.PD[[#This Row],[Av.P2 '[%']]]*BD.PD[[#This Row],[Ppto. Orden Interna '[DOP']]]</f>
        <v>0</v>
      </c>
      <c r="Y95" s="398"/>
      <c r="Z95" s="399"/>
      <c r="AA95" s="308">
        <f>BD.PD[[#This Row],[Av.P3 '[%']]]*BD.PD[[#This Row],[Ppto. Orden Interna '[DOP']]]</f>
        <v>0</v>
      </c>
      <c r="AB95" s="398"/>
      <c r="AC95" s="399"/>
      <c r="AD95" s="308">
        <f>BD.PD[[#This Row],[Av.P4 '[%']]]*BD.PD[[#This Row],[Ppto. Orden Interna '[DOP']]]</f>
        <v>0</v>
      </c>
      <c r="AE95" s="398"/>
      <c r="AF95" s="399"/>
      <c r="AG95" s="308">
        <f>BD.PD[[#This Row],[Av.P5 '[%']]]*BD.PD[[#This Row],[Ppto. Orden Interna '[DOP']]]</f>
        <v>0</v>
      </c>
      <c r="AH95" s="305">
        <f>BD.PD[[#This Row],[Pago 5]]+BD.PD[[#This Row],[Pago 4]]+BD.PD[[#This Row],[Pago 3]]+BD.PD[[#This Row],[Pago 2]]+BD.PD[[#This Row],[Pago 1]]</f>
        <v>121196.25</v>
      </c>
      <c r="AI95" s="404"/>
      <c r="IB95" s="275"/>
    </row>
    <row r="96" spans="1:236" ht="15" customHeight="1" x14ac:dyDescent="0.3">
      <c r="A96" s="231">
        <v>5.04</v>
      </c>
      <c r="B96" s="288" t="s">
        <v>574</v>
      </c>
      <c r="C96" s="289" t="str">
        <f>VLOOKUP(BD.PD[[#This Row],[Pos]],PPto[],3,FALSE)</f>
        <v>5.04 Bumpers Mcue/ Rack</v>
      </c>
      <c r="D96" s="290" t="s">
        <v>574</v>
      </c>
      <c r="E96" s="291">
        <f>IF(BD.PD[[#This Row],[.]]="*",VLOOKUP(BD.PD[[#This Row],[Pos]],Presupuesto!A:H,7,FALSE),"")</f>
        <v>28768.600000000006</v>
      </c>
      <c r="F96" s="292"/>
      <c r="G96" s="292" t="s">
        <v>575</v>
      </c>
      <c r="H96" s="292"/>
      <c r="I96" s="293">
        <v>1</v>
      </c>
      <c r="J96" s="290" t="s">
        <v>456</v>
      </c>
      <c r="K96" s="294">
        <f>IF(BD.PD[[#This Row],[Mon]]="DOP",1,HLOOKUP(BD.PD[[#This Row],[Mon]],$J$1:$K$2,2,FALSE))</f>
        <v>63</v>
      </c>
      <c r="L96" s="295">
        <v>0</v>
      </c>
      <c r="M96" s="296">
        <f>BD.PD[[#This Row],[Cant.]]*BD.PD[[#This Row],[ Tasa ]]*BD.PD[[#This Row],[ Precio Und.]]</f>
        <v>0</v>
      </c>
      <c r="N96" s="297">
        <v>0</v>
      </c>
      <c r="O96" s="296">
        <f>IF(BD.PD[[#This Row],[Liquid. '[%']]]&lt;&gt;0,(BD.PD[[#This Row],[Valor Neto '[DOP']]]*BD.PD[[#This Row],[Liquid. '[%']]])+BD.PD[[#This Row],[Valor Neto '[DOP']]],BD.PD[[#This Row],[Valor Neto '[DOP']]])</f>
        <v>0</v>
      </c>
      <c r="P96" s="306">
        <f>BD.PD[[#This Row],[Ppto. Orden Interna '[DOP']]]/HLOOKUP("USD",$J$1:$K$2,2,FALSE)</f>
        <v>0</v>
      </c>
      <c r="Q96" s="299"/>
      <c r="R96" s="307"/>
      <c r="S96" s="300"/>
      <c r="T96" s="301"/>
      <c r="U96" s="308">
        <f>BD.PD[[#This Row],[Av.P1 '[%']]]*BD.PD[[#This Row],[Ppto. Orden Interna '[DOP']]]</f>
        <v>0</v>
      </c>
      <c r="V96" s="303"/>
      <c r="W96" s="304"/>
      <c r="X96" s="308">
        <f>BD.PD[[#This Row],[Av.P2 '[%']]]*BD.PD[[#This Row],[Ppto. Orden Interna '[DOP']]]</f>
        <v>0</v>
      </c>
      <c r="Y96" s="303"/>
      <c r="Z96" s="304"/>
      <c r="AA96" s="308">
        <f>BD.PD[[#This Row],[Av.P3 '[%']]]*BD.PD[[#This Row],[Ppto. Orden Interna '[DOP']]]</f>
        <v>0</v>
      </c>
      <c r="AB96" s="303"/>
      <c r="AC96" s="304"/>
      <c r="AD96" s="308">
        <f>BD.PD[[#This Row],[Av.P4 '[%']]]*BD.PD[[#This Row],[Ppto. Orden Interna '[DOP']]]</f>
        <v>0</v>
      </c>
      <c r="AE96" s="303"/>
      <c r="AF96" s="304"/>
      <c r="AG96" s="308">
        <f>BD.PD[[#This Row],[Av.P5 '[%']]]*BD.PD[[#This Row],[Ppto. Orden Interna '[DOP']]]</f>
        <v>0</v>
      </c>
      <c r="AH96" s="305">
        <f>BD.PD[[#This Row],[Pago 5]]+BD.PD[[#This Row],[Pago 4]]+BD.PD[[#This Row],[Pago 3]]+BD.PD[[#This Row],[Pago 2]]+BD.PD[[#This Row],[Pago 1]]</f>
        <v>0</v>
      </c>
      <c r="AI96" s="404"/>
      <c r="IB96" s="275"/>
    </row>
    <row r="97" spans="1:236" ht="15" customHeight="1" x14ac:dyDescent="0.3">
      <c r="A97" s="231">
        <v>5.04</v>
      </c>
      <c r="B97" s="288"/>
      <c r="C97" s="289" t="str">
        <f>VLOOKUP(BD.PD[[#This Row],[Pos]],PPto[],3,FALSE)</f>
        <v>5.04 Bumpers Mcue/ Rack</v>
      </c>
      <c r="D97" s="231" t="s">
        <v>22</v>
      </c>
      <c r="E97" s="291" t="str">
        <f>IF(BD.PD[[#This Row],[.]]="*",VLOOKUP(BD.PD[[#This Row],[Pos]],Presupuesto!A:H,7,FALSE),"")</f>
        <v/>
      </c>
      <c r="F97" s="501" t="s">
        <v>1317</v>
      </c>
      <c r="G97" s="292">
        <v>4513071719</v>
      </c>
      <c r="H97" s="358">
        <v>46255</v>
      </c>
      <c r="I97" s="359">
        <v>88.52</v>
      </c>
      <c r="J97" s="231" t="s">
        <v>581</v>
      </c>
      <c r="K97" s="294">
        <f>IF(BD.PD[[#This Row],[Mon]]="DOP",1,HLOOKUP(BD.PD[[#This Row],[Mon]],$J$1:$K$2,2,FALSE))</f>
        <v>1</v>
      </c>
      <c r="L97" s="392">
        <v>6602.5</v>
      </c>
      <c r="M97" s="296">
        <f>BD.PD[[#This Row],[Cant.]]*BD.PD[[#This Row],[ Tasa ]]*BD.PD[[#This Row],[ Precio Und.]]</f>
        <v>584453.29999999993</v>
      </c>
      <c r="N97" s="361">
        <v>0</v>
      </c>
      <c r="O97" s="296">
        <f>IF(BD.PD[[#This Row],[Liquid. '[%']]]&lt;&gt;0,(BD.PD[[#This Row],[Valor Neto '[DOP']]]*BD.PD[[#This Row],[Liquid. '[%']]])+BD.PD[[#This Row],[Valor Neto '[DOP']]],BD.PD[[#This Row],[Valor Neto '[DOP']]])</f>
        <v>584453.29999999993</v>
      </c>
      <c r="P97" s="306">
        <f>BD.PD[[#This Row],[Ppto. Orden Interna '[DOP']]]/HLOOKUP("USD",$J$1:$K$2,2,FALSE)</f>
        <v>9277.0365079365074</v>
      </c>
      <c r="Q97" s="299" t="s">
        <v>634</v>
      </c>
      <c r="R97" s="307" t="s">
        <v>635</v>
      </c>
      <c r="S97" s="300">
        <v>21</v>
      </c>
      <c r="T97" s="301">
        <v>0.5</v>
      </c>
      <c r="U97" s="308">
        <f>BD.PD[[#This Row],[Av.P1 '[%']]]*BD.PD[[#This Row],[Ppto. Orden Interna '[DOP']]]</f>
        <v>292226.64999999997</v>
      </c>
      <c r="V97" s="303">
        <v>23</v>
      </c>
      <c r="W97" s="304">
        <v>0.5</v>
      </c>
      <c r="X97" s="308">
        <f>BD.PD[[#This Row],[Av.P2 '[%']]]*BD.PD[[#This Row],[Ppto. Orden Interna '[DOP']]]</f>
        <v>292226.64999999997</v>
      </c>
      <c r="Y97" s="303"/>
      <c r="Z97" s="304"/>
      <c r="AA97" s="308">
        <f>BD.PD[[#This Row],[Av.P3 '[%']]]*BD.PD[[#This Row],[Ppto. Orden Interna '[DOP']]]</f>
        <v>0</v>
      </c>
      <c r="AB97" s="303"/>
      <c r="AC97" s="304"/>
      <c r="AD97" s="308">
        <f>BD.PD[[#This Row],[Av.P4 '[%']]]*BD.PD[[#This Row],[Ppto. Orden Interna '[DOP']]]</f>
        <v>0</v>
      </c>
      <c r="AE97" s="303"/>
      <c r="AF97" s="304"/>
      <c r="AG97" s="308">
        <f>BD.PD[[#This Row],[Av.P5 '[%']]]*BD.PD[[#This Row],[Ppto. Orden Interna '[DOP']]]</f>
        <v>0</v>
      </c>
      <c r="AH97" s="305">
        <f>BD.PD[[#This Row],[Pago 5]]+BD.PD[[#This Row],[Pago 4]]+BD.PD[[#This Row],[Pago 3]]+BD.PD[[#This Row],[Pago 2]]+BD.PD[[#This Row],[Pago 1]]</f>
        <v>584453.29999999993</v>
      </c>
      <c r="AI97" s="404"/>
      <c r="IB97" s="275"/>
    </row>
    <row r="98" spans="1:236" ht="15" customHeight="1" x14ac:dyDescent="0.3">
      <c r="A98" s="231">
        <v>5.04</v>
      </c>
      <c r="B98" s="288"/>
      <c r="C98" s="289" t="str">
        <f>VLOOKUP(BD.PD[[#This Row],[Pos]],PPto[],3,FALSE)</f>
        <v>5.04 Bumpers Mcue/ Rack</v>
      </c>
      <c r="D98" s="231" t="s">
        <v>22</v>
      </c>
      <c r="E98" s="291" t="str">
        <f>IF(BD.PD[[#This Row],[.]]="*",VLOOKUP(BD.PD[[#This Row],[Pos]],Presupuesto!A:H,7,FALSE),"")</f>
        <v/>
      </c>
      <c r="F98" s="501" t="s">
        <v>1318</v>
      </c>
      <c r="G98" s="292">
        <v>4513071719</v>
      </c>
      <c r="H98" s="358">
        <v>46255</v>
      </c>
      <c r="I98" s="359">
        <v>21.84</v>
      </c>
      <c r="J98" s="231" t="s">
        <v>581</v>
      </c>
      <c r="K98" s="294">
        <f>IF(BD.PD[[#This Row],[Mon]]="DOP",1,HLOOKUP(BD.PD[[#This Row],[Mon]],$J$1:$K$2,2,FALSE))</f>
        <v>1</v>
      </c>
      <c r="L98" s="392">
        <v>6640.5</v>
      </c>
      <c r="M98" s="296">
        <f>BD.PD[[#This Row],[Cant.]]*BD.PD[[#This Row],[ Tasa ]]*BD.PD[[#This Row],[ Precio Und.]]</f>
        <v>145028.51999999999</v>
      </c>
      <c r="N98" s="361">
        <v>0</v>
      </c>
      <c r="O98" s="296">
        <f>IF(BD.PD[[#This Row],[Liquid. '[%']]]&lt;&gt;0,(BD.PD[[#This Row],[Valor Neto '[DOP']]]*BD.PD[[#This Row],[Liquid. '[%']]])+BD.PD[[#This Row],[Valor Neto '[DOP']]],BD.PD[[#This Row],[Valor Neto '[DOP']]])</f>
        <v>145028.51999999999</v>
      </c>
      <c r="P98" s="306">
        <f>BD.PD[[#This Row],[Ppto. Orden Interna '[DOP']]]/HLOOKUP("USD",$J$1:$K$2,2,FALSE)</f>
        <v>2302.04</v>
      </c>
      <c r="Q98" s="299" t="s">
        <v>634</v>
      </c>
      <c r="R98" s="307" t="s">
        <v>636</v>
      </c>
      <c r="S98" s="300">
        <v>21</v>
      </c>
      <c r="T98" s="301">
        <v>0.5</v>
      </c>
      <c r="U98" s="308">
        <f>BD.PD[[#This Row],[Av.P1 '[%']]]*BD.PD[[#This Row],[Ppto. Orden Interna '[DOP']]]</f>
        <v>72514.259999999995</v>
      </c>
      <c r="V98" s="303">
        <v>23</v>
      </c>
      <c r="W98" s="304">
        <v>0.5</v>
      </c>
      <c r="X98" s="308">
        <f>BD.PD[[#This Row],[Av.P2 '[%']]]*BD.PD[[#This Row],[Ppto. Orden Interna '[DOP']]]</f>
        <v>72514.259999999995</v>
      </c>
      <c r="Y98" s="303"/>
      <c r="Z98" s="304"/>
      <c r="AA98" s="308">
        <f>BD.PD[[#This Row],[Av.P3 '[%']]]*BD.PD[[#This Row],[Ppto. Orden Interna '[DOP']]]</f>
        <v>0</v>
      </c>
      <c r="AB98" s="303"/>
      <c r="AC98" s="304"/>
      <c r="AD98" s="308">
        <f>BD.PD[[#This Row],[Av.P4 '[%']]]*BD.PD[[#This Row],[Ppto. Orden Interna '[DOP']]]</f>
        <v>0</v>
      </c>
      <c r="AE98" s="303"/>
      <c r="AF98" s="304"/>
      <c r="AG98" s="308">
        <f>BD.PD[[#This Row],[Av.P5 '[%']]]*BD.PD[[#This Row],[Ppto. Orden Interna '[DOP']]]</f>
        <v>0</v>
      </c>
      <c r="AH98" s="305">
        <f>BD.PD[[#This Row],[Pago 5]]+BD.PD[[#This Row],[Pago 4]]+BD.PD[[#This Row],[Pago 3]]+BD.PD[[#This Row],[Pago 2]]+BD.PD[[#This Row],[Pago 1]]</f>
        <v>145028.51999999999</v>
      </c>
      <c r="AI98" s="404"/>
      <c r="IB98" s="275"/>
    </row>
    <row r="99" spans="1:236" ht="15" customHeight="1" x14ac:dyDescent="0.3">
      <c r="A99" s="231">
        <v>5.04</v>
      </c>
      <c r="B99" s="288"/>
      <c r="C99" s="289" t="str">
        <f>VLOOKUP(BD.PD[[#This Row],[Pos]],PPto[],3,FALSE)</f>
        <v>5.04 Bumpers Mcue/ Rack</v>
      </c>
      <c r="D99" s="231" t="s">
        <v>22</v>
      </c>
      <c r="E99" s="291" t="str">
        <f>IF(BD.PD[[#This Row],[.]]="*",VLOOKUP(BD.PD[[#This Row],[Pos]],Presupuesto!A:H,7,FALSE),"")</f>
        <v/>
      </c>
      <c r="F99" s="501" t="s">
        <v>1319</v>
      </c>
      <c r="G99" s="292">
        <v>4513071719</v>
      </c>
      <c r="H99" s="358">
        <v>46255</v>
      </c>
      <c r="I99" s="359">
        <v>15.42</v>
      </c>
      <c r="J99" s="231" t="s">
        <v>581</v>
      </c>
      <c r="K99" s="294">
        <f>IF(BD.PD[[#This Row],[Mon]]="DOP",1,HLOOKUP(BD.PD[[#This Row],[Mon]],$J$1:$K$2,2,FALSE))</f>
        <v>1</v>
      </c>
      <c r="L99" s="392">
        <v>6650</v>
      </c>
      <c r="M99" s="296">
        <f>BD.PD[[#This Row],[Cant.]]*BD.PD[[#This Row],[ Tasa ]]*BD.PD[[#This Row],[ Precio Und.]]</f>
        <v>102543</v>
      </c>
      <c r="N99" s="361">
        <v>0</v>
      </c>
      <c r="O99" s="296">
        <f>IF(BD.PD[[#This Row],[Liquid. '[%']]]&lt;&gt;0,(BD.PD[[#This Row],[Valor Neto '[DOP']]]*BD.PD[[#This Row],[Liquid. '[%']]])+BD.PD[[#This Row],[Valor Neto '[DOP']]],BD.PD[[#This Row],[Valor Neto '[DOP']]])</f>
        <v>102543</v>
      </c>
      <c r="P99" s="306">
        <f>BD.PD[[#This Row],[Ppto. Orden Interna '[DOP']]]/HLOOKUP("USD",$J$1:$K$2,2,FALSE)</f>
        <v>1627.6666666666667</v>
      </c>
      <c r="Q99" s="299" t="s">
        <v>634</v>
      </c>
      <c r="R99" s="307" t="s">
        <v>637</v>
      </c>
      <c r="S99" s="300">
        <v>21</v>
      </c>
      <c r="T99" s="301">
        <v>0.5</v>
      </c>
      <c r="U99" s="308">
        <f>BD.PD[[#This Row],[Av.P1 '[%']]]*BD.PD[[#This Row],[Ppto. Orden Interna '[DOP']]]</f>
        <v>51271.5</v>
      </c>
      <c r="V99" s="303">
        <v>23</v>
      </c>
      <c r="W99" s="304">
        <v>0.5</v>
      </c>
      <c r="X99" s="308">
        <f>BD.PD[[#This Row],[Av.P2 '[%']]]*BD.PD[[#This Row],[Ppto. Orden Interna '[DOP']]]</f>
        <v>51271.5</v>
      </c>
      <c r="Y99" s="303"/>
      <c r="Z99" s="304"/>
      <c r="AA99" s="308">
        <f>BD.PD[[#This Row],[Av.P3 '[%']]]*BD.PD[[#This Row],[Ppto. Orden Interna '[DOP']]]</f>
        <v>0</v>
      </c>
      <c r="AB99" s="303"/>
      <c r="AC99" s="304"/>
      <c r="AD99" s="308">
        <f>BD.PD[[#This Row],[Av.P4 '[%']]]*BD.PD[[#This Row],[Ppto. Orden Interna '[DOP']]]</f>
        <v>0</v>
      </c>
      <c r="AE99" s="303"/>
      <c r="AF99" s="304"/>
      <c r="AG99" s="308">
        <f>BD.PD[[#This Row],[Av.P5 '[%']]]*BD.PD[[#This Row],[Ppto. Orden Interna '[DOP']]]</f>
        <v>0</v>
      </c>
      <c r="AH99" s="305">
        <f>BD.PD[[#This Row],[Pago 5]]+BD.PD[[#This Row],[Pago 4]]+BD.PD[[#This Row],[Pago 3]]+BD.PD[[#This Row],[Pago 2]]+BD.PD[[#This Row],[Pago 1]]</f>
        <v>102543</v>
      </c>
      <c r="AI99" s="404"/>
      <c r="IB99" s="275"/>
    </row>
    <row r="100" spans="1:236" ht="15" customHeight="1" x14ac:dyDescent="0.3">
      <c r="A100" s="231">
        <v>5.04</v>
      </c>
      <c r="B100" s="288"/>
      <c r="C100" s="289" t="str">
        <f>VLOOKUP(BD.PD[[#This Row],[Pos]],PPto[],3,FALSE)</f>
        <v>5.04 Bumpers Mcue/ Rack</v>
      </c>
      <c r="D100" s="231" t="s">
        <v>22</v>
      </c>
      <c r="E100" s="291" t="str">
        <f>IF(BD.PD[[#This Row],[.]]="*",VLOOKUP(BD.PD[[#This Row],[Pos]],Presupuesto!A:H,7,FALSE),"")</f>
        <v/>
      </c>
      <c r="F100" s="501" t="s">
        <v>1320</v>
      </c>
      <c r="G100" s="292">
        <v>4513071719</v>
      </c>
      <c r="H100" s="358">
        <v>46255</v>
      </c>
      <c r="I100" s="359">
        <v>127.87</v>
      </c>
      <c r="J100" s="231" t="s">
        <v>581</v>
      </c>
      <c r="K100" s="294">
        <f>IF(BD.PD[[#This Row],[Mon]]="DOP",1,HLOOKUP(BD.PD[[#This Row],[Mon]],$J$1:$K$2,2,FALSE))</f>
        <v>1</v>
      </c>
      <c r="L100" s="392">
        <v>6460</v>
      </c>
      <c r="M100" s="296">
        <f>BD.PD[[#This Row],[Cant.]]*BD.PD[[#This Row],[ Tasa ]]*BD.PD[[#This Row],[ Precio Und.]]</f>
        <v>826040.20000000007</v>
      </c>
      <c r="N100" s="361">
        <v>0</v>
      </c>
      <c r="O100" s="296">
        <f>IF(BD.PD[[#This Row],[Liquid. '[%']]]&lt;&gt;0,(BD.PD[[#This Row],[Valor Neto '[DOP']]]*BD.PD[[#This Row],[Liquid. '[%']]])+BD.PD[[#This Row],[Valor Neto '[DOP']]],BD.PD[[#This Row],[Valor Neto '[DOP']]])</f>
        <v>826040.20000000007</v>
      </c>
      <c r="P100" s="306">
        <f>BD.PD[[#This Row],[Ppto. Orden Interna '[DOP']]]/HLOOKUP("USD",$J$1:$K$2,2,FALSE)</f>
        <v>13111.749206349208</v>
      </c>
      <c r="Q100" s="299" t="s">
        <v>634</v>
      </c>
      <c r="R100" s="307" t="s">
        <v>638</v>
      </c>
      <c r="S100" s="300">
        <v>21</v>
      </c>
      <c r="T100" s="301">
        <v>0.5</v>
      </c>
      <c r="U100" s="308">
        <f>BD.PD[[#This Row],[Av.P1 '[%']]]*BD.PD[[#This Row],[Ppto. Orden Interna '[DOP']]]</f>
        <v>413020.10000000003</v>
      </c>
      <c r="V100" s="303">
        <v>23</v>
      </c>
      <c r="W100" s="304">
        <v>0.5</v>
      </c>
      <c r="X100" s="308">
        <f>BD.PD[[#This Row],[Av.P2 '[%']]]*BD.PD[[#This Row],[Ppto. Orden Interna '[DOP']]]</f>
        <v>413020.10000000003</v>
      </c>
      <c r="Y100" s="303"/>
      <c r="Z100" s="304"/>
      <c r="AA100" s="308">
        <f>BD.PD[[#This Row],[Av.P3 '[%']]]*BD.PD[[#This Row],[Ppto. Orden Interna '[DOP']]]</f>
        <v>0</v>
      </c>
      <c r="AB100" s="303"/>
      <c r="AC100" s="304"/>
      <c r="AD100" s="308">
        <f>BD.PD[[#This Row],[Av.P4 '[%']]]*BD.PD[[#This Row],[Ppto. Orden Interna '[DOP']]]</f>
        <v>0</v>
      </c>
      <c r="AE100" s="303"/>
      <c r="AF100" s="304"/>
      <c r="AG100" s="308">
        <f>BD.PD[[#This Row],[Av.P5 '[%']]]*BD.PD[[#This Row],[Ppto. Orden Interna '[DOP']]]</f>
        <v>0</v>
      </c>
      <c r="AH100" s="305">
        <f>BD.PD[[#This Row],[Pago 5]]+BD.PD[[#This Row],[Pago 4]]+BD.PD[[#This Row],[Pago 3]]+BD.PD[[#This Row],[Pago 2]]+BD.PD[[#This Row],[Pago 1]]</f>
        <v>826040.20000000007</v>
      </c>
      <c r="AI100" s="404"/>
      <c r="IB100" s="275"/>
    </row>
    <row r="101" spans="1:236" ht="15" customHeight="1" x14ac:dyDescent="0.3">
      <c r="A101" s="231">
        <v>5.05</v>
      </c>
      <c r="B101" s="288" t="s">
        <v>574</v>
      </c>
      <c r="C101" s="289" t="str">
        <f>VLOOKUP(BD.PD[[#This Row],[Pos]],PPto[],3,FALSE)</f>
        <v xml:space="preserve">5.05 Trameria Cuarto Frio </v>
      </c>
      <c r="D101" s="290" t="s">
        <v>574</v>
      </c>
      <c r="E101" s="291">
        <f>IF(BD.PD[[#This Row],[.]]="*",VLOOKUP(BD.PD[[#This Row],[Pos]],Presupuesto!A:H,7,FALSE),"")</f>
        <v>37028.753993610226</v>
      </c>
      <c r="F101" s="292"/>
      <c r="G101" s="292" t="s">
        <v>575</v>
      </c>
      <c r="H101" s="292"/>
      <c r="I101" s="293">
        <v>1</v>
      </c>
      <c r="J101" s="290" t="s">
        <v>456</v>
      </c>
      <c r="K101" s="294">
        <f>IF(BD.PD[[#This Row],[Mon]]="DOP",1,HLOOKUP(BD.PD[[#This Row],[Mon]],$J$1:$K$2,2,FALSE))</f>
        <v>63</v>
      </c>
      <c r="L101" s="295">
        <v>0</v>
      </c>
      <c r="M101" s="296">
        <f>BD.PD[[#This Row],[Cant.]]*BD.PD[[#This Row],[ Tasa ]]*BD.PD[[#This Row],[ Precio Und.]]</f>
        <v>0</v>
      </c>
      <c r="N101" s="297">
        <v>0</v>
      </c>
      <c r="O101" s="296">
        <f>IF(BD.PD[[#This Row],[Liquid. '[%']]]&lt;&gt;0,(BD.PD[[#This Row],[Valor Neto '[DOP']]]*BD.PD[[#This Row],[Liquid. '[%']]])+BD.PD[[#This Row],[Valor Neto '[DOP']]],BD.PD[[#This Row],[Valor Neto '[DOP']]])</f>
        <v>0</v>
      </c>
      <c r="P101" s="306">
        <f>BD.PD[[#This Row],[Ppto. Orden Interna '[DOP']]]/HLOOKUP("USD",$J$1:$K$2,2,FALSE)</f>
        <v>0</v>
      </c>
      <c r="Q101" s="299"/>
      <c r="R101" s="307"/>
      <c r="S101" s="300"/>
      <c r="T101" s="301"/>
      <c r="U101" s="308">
        <f>BD.PD[[#This Row],[Av.P1 '[%']]]*BD.PD[[#This Row],[Ppto. Orden Interna '[DOP']]]</f>
        <v>0</v>
      </c>
      <c r="V101" s="303"/>
      <c r="W101" s="304"/>
      <c r="X101" s="308">
        <f>BD.PD[[#This Row],[Av.P2 '[%']]]*BD.PD[[#This Row],[Ppto. Orden Interna '[DOP']]]</f>
        <v>0</v>
      </c>
      <c r="Y101" s="303"/>
      <c r="Z101" s="304"/>
      <c r="AA101" s="308">
        <f>BD.PD[[#This Row],[Av.P3 '[%']]]*BD.PD[[#This Row],[Ppto. Orden Interna '[DOP']]]</f>
        <v>0</v>
      </c>
      <c r="AB101" s="303"/>
      <c r="AC101" s="304"/>
      <c r="AD101" s="308">
        <f>BD.PD[[#This Row],[Av.P4 '[%']]]*BD.PD[[#This Row],[Ppto. Orden Interna '[DOP']]]</f>
        <v>0</v>
      </c>
      <c r="AE101" s="303"/>
      <c r="AF101" s="304"/>
      <c r="AG101" s="308">
        <f>BD.PD[[#This Row],[Av.P5 '[%']]]*BD.PD[[#This Row],[Ppto. Orden Interna '[DOP']]]</f>
        <v>0</v>
      </c>
      <c r="AH101" s="305">
        <f>BD.PD[[#This Row],[Pago 5]]+BD.PD[[#This Row],[Pago 4]]+BD.PD[[#This Row],[Pago 3]]+BD.PD[[#This Row],[Pago 2]]+BD.PD[[#This Row],[Pago 1]]</f>
        <v>0</v>
      </c>
      <c r="AI101" s="404"/>
      <c r="IB101" s="275"/>
    </row>
    <row r="102" spans="1:236" ht="15" customHeight="1" x14ac:dyDescent="0.3">
      <c r="A102" s="231">
        <v>5.05</v>
      </c>
      <c r="B102" s="288"/>
      <c r="C102" s="289" t="str">
        <f>VLOOKUP(BD.PD[[#This Row],[Pos]],PPto[],3,FALSE)</f>
        <v xml:space="preserve">5.05 Trameria Cuarto Frio </v>
      </c>
      <c r="D102" s="231" t="s">
        <v>22</v>
      </c>
      <c r="E102" s="291" t="str">
        <f>IF(BD.PD[[#This Row],[.]]="*",VLOOKUP(BD.PD[[#This Row],[Pos]],Presupuesto!A:H,7,FALSE),"")</f>
        <v/>
      </c>
      <c r="F102" s="502" t="s">
        <v>177</v>
      </c>
      <c r="G102" s="292" t="s">
        <v>1345</v>
      </c>
      <c r="H102" s="358">
        <v>45921</v>
      </c>
      <c r="I102" s="391">
        <v>4</v>
      </c>
      <c r="J102" s="231" t="s">
        <v>581</v>
      </c>
      <c r="K102" s="294">
        <f>IF(BD.PD[[#This Row],[Mon]]="DOP",1,HLOOKUP(BD.PD[[#This Row],[Mon]],$J$1:$K$2,2,FALSE))</f>
        <v>1</v>
      </c>
      <c r="L102" s="360">
        <v>12000</v>
      </c>
      <c r="M102" s="296">
        <f>BD.PD[[#This Row],[Cant.]]*BD.PD[[#This Row],[ Tasa ]]*BD.PD[[#This Row],[ Precio Und.]]</f>
        <v>48000</v>
      </c>
      <c r="N102" s="361">
        <v>0</v>
      </c>
      <c r="O102" s="296">
        <f>IF(BD.PD[[#This Row],[Liquid. '[%']]]&lt;&gt;0,(BD.PD[[#This Row],[Valor Neto '[DOP']]]*BD.PD[[#This Row],[Liquid. '[%']]])+BD.PD[[#This Row],[Valor Neto '[DOP']]],BD.PD[[#This Row],[Valor Neto '[DOP']]])</f>
        <v>48000</v>
      </c>
      <c r="P102" s="306">
        <f>BD.PD[[#This Row],[Ppto. Orden Interna '[DOP']]]/HLOOKUP("USD",$J$1:$K$2,2,FALSE)</f>
        <v>761.90476190476193</v>
      </c>
      <c r="Q102" s="292" t="s">
        <v>639</v>
      </c>
      <c r="R102" s="307" t="s">
        <v>640</v>
      </c>
      <c r="S102" s="300">
        <v>20</v>
      </c>
      <c r="T102" s="301">
        <v>1</v>
      </c>
      <c r="U102" s="308">
        <f>BD.PD[[#This Row],[Av.P1 '[%']]]*BD.PD[[#This Row],[Ppto. Orden Interna '[DOP']]]</f>
        <v>48000</v>
      </c>
      <c r="V102" s="303"/>
      <c r="W102" s="304"/>
      <c r="X102" s="308">
        <f>BD.PD[[#This Row],[Av.P2 '[%']]]*BD.PD[[#This Row],[Ppto. Orden Interna '[DOP']]]</f>
        <v>0</v>
      </c>
      <c r="Y102" s="303"/>
      <c r="Z102" s="304"/>
      <c r="AA102" s="308">
        <f>BD.PD[[#This Row],[Av.P3 '[%']]]*BD.PD[[#This Row],[Ppto. Orden Interna '[DOP']]]</f>
        <v>0</v>
      </c>
      <c r="AB102" s="303"/>
      <c r="AC102" s="304"/>
      <c r="AD102" s="308">
        <f>BD.PD[[#This Row],[Av.P4 '[%']]]*BD.PD[[#This Row],[Ppto. Orden Interna '[DOP']]]</f>
        <v>0</v>
      </c>
      <c r="AE102" s="303"/>
      <c r="AF102" s="304"/>
      <c r="AG102" s="308">
        <f>BD.PD[[#This Row],[Av.P5 '[%']]]*BD.PD[[#This Row],[Ppto. Orden Interna '[DOP']]]</f>
        <v>0</v>
      </c>
      <c r="AH102" s="305">
        <f>BD.PD[[#This Row],[Pago 5]]+BD.PD[[#This Row],[Pago 4]]+BD.PD[[#This Row],[Pago 3]]+BD.PD[[#This Row],[Pago 2]]+BD.PD[[#This Row],[Pago 1]]</f>
        <v>48000</v>
      </c>
      <c r="AI102" s="404"/>
      <c r="IB102" s="275"/>
    </row>
    <row r="103" spans="1:236" ht="15" customHeight="1" x14ac:dyDescent="0.3">
      <c r="A103" s="231">
        <v>5.05</v>
      </c>
      <c r="B103" s="288"/>
      <c r="C103" s="289" t="str">
        <f>VLOOKUP(BD.PD[[#This Row],[Pos]],PPto[],3,FALSE)</f>
        <v xml:space="preserve">5.05 Trameria Cuarto Frio </v>
      </c>
      <c r="D103" s="231" t="s">
        <v>22</v>
      </c>
      <c r="E103" s="291" t="str">
        <f>IF(BD.PD[[#This Row],[.]]="*",VLOOKUP(BD.PD[[#This Row],[Pos]],Presupuesto!A:H,7,FALSE),"")</f>
        <v/>
      </c>
      <c r="F103" s="502" t="s">
        <v>178</v>
      </c>
      <c r="G103" s="292" t="s">
        <v>1345</v>
      </c>
      <c r="H103" s="358">
        <v>45921</v>
      </c>
      <c r="I103" s="391">
        <v>22</v>
      </c>
      <c r="J103" s="231" t="s">
        <v>581</v>
      </c>
      <c r="K103" s="294">
        <f>IF(BD.PD[[#This Row],[Mon]]="DOP",1,HLOOKUP(BD.PD[[#This Row],[Mon]],$J$1:$K$2,2,FALSE))</f>
        <v>1</v>
      </c>
      <c r="L103" s="360">
        <v>32000</v>
      </c>
      <c r="M103" s="296">
        <f>BD.PD[[#This Row],[Cant.]]*BD.PD[[#This Row],[ Tasa ]]*BD.PD[[#This Row],[ Precio Und.]]</f>
        <v>704000</v>
      </c>
      <c r="N103" s="361">
        <v>0</v>
      </c>
      <c r="O103" s="296">
        <f>IF(BD.PD[[#This Row],[Liquid. '[%']]]&lt;&gt;0,(BD.PD[[#This Row],[Valor Neto '[DOP']]]*BD.PD[[#This Row],[Liquid. '[%']]])+BD.PD[[#This Row],[Valor Neto '[DOP']]],BD.PD[[#This Row],[Valor Neto '[DOP']]])</f>
        <v>704000</v>
      </c>
      <c r="P103" s="306">
        <f>BD.PD[[#This Row],[Ppto. Orden Interna '[DOP']]]/HLOOKUP("USD",$J$1:$K$2,2,FALSE)</f>
        <v>11174.603174603175</v>
      </c>
      <c r="Q103" s="292" t="s">
        <v>641</v>
      </c>
      <c r="R103" s="307" t="s">
        <v>642</v>
      </c>
      <c r="S103" s="300">
        <v>20</v>
      </c>
      <c r="T103" s="301">
        <v>1</v>
      </c>
      <c r="U103" s="308">
        <f>BD.PD[[#This Row],[Av.P1 '[%']]]*BD.PD[[#This Row],[Ppto. Orden Interna '[DOP']]]</f>
        <v>704000</v>
      </c>
      <c r="V103" s="303"/>
      <c r="W103" s="304"/>
      <c r="X103" s="308">
        <f>BD.PD[[#This Row],[Av.P2 '[%']]]*BD.PD[[#This Row],[Ppto. Orden Interna '[DOP']]]</f>
        <v>0</v>
      </c>
      <c r="Y103" s="303"/>
      <c r="Z103" s="304"/>
      <c r="AA103" s="308">
        <f>BD.PD[[#This Row],[Av.P3 '[%']]]*BD.PD[[#This Row],[Ppto. Orden Interna '[DOP']]]</f>
        <v>0</v>
      </c>
      <c r="AB103" s="303"/>
      <c r="AC103" s="304"/>
      <c r="AD103" s="308">
        <f>BD.PD[[#This Row],[Av.P4 '[%']]]*BD.PD[[#This Row],[Ppto. Orden Interna '[DOP']]]</f>
        <v>0</v>
      </c>
      <c r="AE103" s="303"/>
      <c r="AF103" s="304"/>
      <c r="AG103" s="308">
        <f>BD.PD[[#This Row],[Av.P5 '[%']]]*BD.PD[[#This Row],[Ppto. Orden Interna '[DOP']]]</f>
        <v>0</v>
      </c>
      <c r="AH103" s="305">
        <f>BD.PD[[#This Row],[Pago 5]]+BD.PD[[#This Row],[Pago 4]]+BD.PD[[#This Row],[Pago 3]]+BD.PD[[#This Row],[Pago 2]]+BD.PD[[#This Row],[Pago 1]]</f>
        <v>704000</v>
      </c>
      <c r="AI103" s="404"/>
      <c r="IB103" s="275"/>
    </row>
    <row r="104" spans="1:236" ht="15" customHeight="1" x14ac:dyDescent="0.3">
      <c r="A104" s="231">
        <v>5.05</v>
      </c>
      <c r="B104" s="288"/>
      <c r="C104" s="289" t="str">
        <f>VLOOKUP(BD.PD[[#This Row],[Pos]],PPto[],3,FALSE)</f>
        <v xml:space="preserve">5.05 Trameria Cuarto Frio </v>
      </c>
      <c r="D104" s="231" t="s">
        <v>22</v>
      </c>
      <c r="E104" s="291" t="str">
        <f>IF(BD.PD[[#This Row],[.]]="*",VLOOKUP(BD.PD[[#This Row],[Pos]],Presupuesto!A:H,7,FALSE),"")</f>
        <v/>
      </c>
      <c r="F104" s="502" t="s">
        <v>643</v>
      </c>
      <c r="G104" s="292" t="s">
        <v>578</v>
      </c>
      <c r="H104" s="358">
        <v>45921</v>
      </c>
      <c r="I104" s="391">
        <v>1</v>
      </c>
      <c r="J104" s="231" t="s">
        <v>581</v>
      </c>
      <c r="K104" s="294">
        <f>IF(BD.PD[[#This Row],[Mon]]="DOP",1,HLOOKUP(BD.PD[[#This Row],[Mon]],$J$1:$K$2,2,FALSE))</f>
        <v>1</v>
      </c>
      <c r="L104" s="360">
        <v>879050.32</v>
      </c>
      <c r="M104" s="296">
        <f>BD.PD[[#This Row],[Cant.]]*BD.PD[[#This Row],[ Tasa ]]*BD.PD[[#This Row],[ Precio Und.]]</f>
        <v>879050.32</v>
      </c>
      <c r="N104" s="361">
        <v>0</v>
      </c>
      <c r="O104" s="296">
        <f>IF(BD.PD[[#This Row],[Liquid. '[%']]]&lt;&gt;0,(BD.PD[[#This Row],[Valor Neto '[DOP']]]*BD.PD[[#This Row],[Liquid. '[%']]])+BD.PD[[#This Row],[Valor Neto '[DOP']]],BD.PD[[#This Row],[Valor Neto '[DOP']]])</f>
        <v>879050.32</v>
      </c>
      <c r="P104" s="306">
        <f>BD.PD[[#This Row],[Ppto. Orden Interna '[DOP']]]/HLOOKUP("USD",$J$1:$K$2,2,FALSE)</f>
        <v>13953.179682539681</v>
      </c>
      <c r="Q104" s="292" t="s">
        <v>641</v>
      </c>
      <c r="R104" s="307" t="s">
        <v>642</v>
      </c>
      <c r="S104" s="300">
        <v>21</v>
      </c>
      <c r="T104" s="301">
        <v>0.5</v>
      </c>
      <c r="U104" s="308">
        <f>BD.PD[[#This Row],[Av.P1 '[%']]]*BD.PD[[#This Row],[Ppto. Orden Interna '[DOP']]]</f>
        <v>439525.16</v>
      </c>
      <c r="V104" s="303">
        <v>23</v>
      </c>
      <c r="W104" s="304">
        <v>0.5</v>
      </c>
      <c r="X104" s="308">
        <f>BD.PD[[#This Row],[Av.P2 '[%']]]*BD.PD[[#This Row],[Ppto. Orden Interna '[DOP']]]</f>
        <v>439525.16</v>
      </c>
      <c r="Y104" s="303"/>
      <c r="Z104" s="304"/>
      <c r="AA104" s="308">
        <f>BD.PD[[#This Row],[Av.P3 '[%']]]*BD.PD[[#This Row],[Ppto. Orden Interna '[DOP']]]</f>
        <v>0</v>
      </c>
      <c r="AB104" s="303"/>
      <c r="AC104" s="304"/>
      <c r="AD104" s="308">
        <f>BD.PD[[#This Row],[Av.P4 '[%']]]*BD.PD[[#This Row],[Ppto. Orden Interna '[DOP']]]</f>
        <v>0</v>
      </c>
      <c r="AE104" s="303"/>
      <c r="AF104" s="304"/>
      <c r="AG104" s="308">
        <f>BD.PD[[#This Row],[Av.P5 '[%']]]*BD.PD[[#This Row],[Ppto. Orden Interna '[DOP']]]</f>
        <v>0</v>
      </c>
      <c r="AH104" s="305">
        <f>BD.PD[[#This Row],[Pago 5]]+BD.PD[[#This Row],[Pago 4]]+BD.PD[[#This Row],[Pago 3]]+BD.PD[[#This Row],[Pago 2]]+BD.PD[[#This Row],[Pago 1]]</f>
        <v>879050.32</v>
      </c>
      <c r="AI104" s="404"/>
      <c r="IB104" s="275"/>
    </row>
    <row r="105" spans="1:236" ht="15" customHeight="1" x14ac:dyDescent="0.3">
      <c r="A105" s="231">
        <v>5.05</v>
      </c>
      <c r="B105" s="288"/>
      <c r="C105" s="289" t="str">
        <f>VLOOKUP(BD.PD[[#This Row],[Pos]],PPto[],3,FALSE)</f>
        <v xml:space="preserve">5.05 Trameria Cuarto Frio </v>
      </c>
      <c r="D105" s="231" t="s">
        <v>22</v>
      </c>
      <c r="E105" s="291" t="str">
        <f>IF(BD.PD[[#This Row],[.]]="*",VLOOKUP(BD.PD[[#This Row],[Pos]],Presupuesto!A:H,7,FALSE),"")</f>
        <v/>
      </c>
      <c r="F105" s="503" t="s">
        <v>179</v>
      </c>
      <c r="G105" s="292" t="s">
        <v>578</v>
      </c>
      <c r="H105" s="358">
        <v>45921</v>
      </c>
      <c r="I105" s="391">
        <v>6</v>
      </c>
      <c r="J105" s="231" t="s">
        <v>581</v>
      </c>
      <c r="K105" s="294">
        <f>IF(BD.PD[[#This Row],[Mon]]="DOP",1,HLOOKUP(BD.PD[[#This Row],[Mon]],$J$1:$K$2,2,FALSE))</f>
        <v>1</v>
      </c>
      <c r="L105" s="360">
        <v>54940.65</v>
      </c>
      <c r="M105" s="296">
        <f>BD.PD[[#This Row],[Cant.]]*BD.PD[[#This Row],[ Tasa ]]*BD.PD[[#This Row],[ Precio Und.]]</f>
        <v>329643.90000000002</v>
      </c>
      <c r="N105" s="361">
        <v>0</v>
      </c>
      <c r="O105" s="296">
        <f>IF(BD.PD[[#This Row],[Liquid. '[%']]]&lt;&gt;0,(BD.PD[[#This Row],[Valor Neto '[DOP']]]*BD.PD[[#This Row],[Liquid. '[%']]])+BD.PD[[#This Row],[Valor Neto '[DOP']]],BD.PD[[#This Row],[Valor Neto '[DOP']]])</f>
        <v>329643.90000000002</v>
      </c>
      <c r="P105" s="306">
        <f>BD.PD[[#This Row],[Ppto. Orden Interna '[DOP']]]/HLOOKUP("USD",$J$1:$K$2,2,FALSE)</f>
        <v>5232.4428571428571</v>
      </c>
      <c r="Q105" s="292" t="s">
        <v>644</v>
      </c>
      <c r="R105" s="307" t="s">
        <v>640</v>
      </c>
      <c r="S105" s="300">
        <v>21</v>
      </c>
      <c r="T105" s="301">
        <v>0.5</v>
      </c>
      <c r="U105" s="308">
        <f>BD.PD[[#This Row],[Av.P1 '[%']]]*BD.PD[[#This Row],[Ppto. Orden Interna '[DOP']]]</f>
        <v>164821.95000000001</v>
      </c>
      <c r="V105" s="303">
        <v>23</v>
      </c>
      <c r="W105" s="304">
        <v>0.5</v>
      </c>
      <c r="X105" s="308">
        <f>BD.PD[[#This Row],[Av.P2 '[%']]]*BD.PD[[#This Row],[Ppto. Orden Interna '[DOP']]]</f>
        <v>164821.95000000001</v>
      </c>
      <c r="Y105" s="303"/>
      <c r="Z105" s="304"/>
      <c r="AA105" s="308">
        <f>BD.PD[[#This Row],[Av.P3 '[%']]]*BD.PD[[#This Row],[Ppto. Orden Interna '[DOP']]]</f>
        <v>0</v>
      </c>
      <c r="AB105" s="303"/>
      <c r="AC105" s="304"/>
      <c r="AD105" s="308">
        <f>BD.PD[[#This Row],[Av.P4 '[%']]]*BD.PD[[#This Row],[Ppto. Orden Interna '[DOP']]]</f>
        <v>0</v>
      </c>
      <c r="AE105" s="303"/>
      <c r="AF105" s="304"/>
      <c r="AG105" s="308">
        <f>BD.PD[[#This Row],[Av.P5 '[%']]]*BD.PD[[#This Row],[Ppto. Orden Interna '[DOP']]]</f>
        <v>0</v>
      </c>
      <c r="AH105" s="305">
        <f>BD.PD[[#This Row],[Pago 5]]+BD.PD[[#This Row],[Pago 4]]+BD.PD[[#This Row],[Pago 3]]+BD.PD[[#This Row],[Pago 2]]+BD.PD[[#This Row],[Pago 1]]</f>
        <v>329643.90000000002</v>
      </c>
      <c r="AI105" s="404"/>
      <c r="IB105" s="275"/>
    </row>
    <row r="106" spans="1:236" ht="15" customHeight="1" x14ac:dyDescent="0.3">
      <c r="A106" s="231">
        <v>5.0599999999999996</v>
      </c>
      <c r="B106" s="288" t="s">
        <v>574</v>
      </c>
      <c r="C106" s="289" t="str">
        <f>VLOOKUP(BD.PD[[#This Row],[Pos]],PPto[],3,FALSE)</f>
        <v xml:space="preserve">5.06 Instalacion Frio Alimentario </v>
      </c>
      <c r="D106" s="290" t="s">
        <v>574</v>
      </c>
      <c r="E106" s="291">
        <f>IF(BD.PD[[#This Row],[.]]="*",VLOOKUP(BD.PD[[#This Row],[Pos]],Presupuesto!A:H,7,FALSE),"")</f>
        <v>168492.01277955272</v>
      </c>
      <c r="F106" s="292"/>
      <c r="G106" s="292" t="s">
        <v>575</v>
      </c>
      <c r="H106" s="292"/>
      <c r="I106" s="293">
        <v>1</v>
      </c>
      <c r="J106" s="290" t="s">
        <v>456</v>
      </c>
      <c r="K106" s="294">
        <f>IF(BD.PD[[#This Row],[Mon]]="DOP",1,HLOOKUP(BD.PD[[#This Row],[Mon]],$J$1:$K$2,2,FALSE))</f>
        <v>63</v>
      </c>
      <c r="L106" s="295">
        <v>0</v>
      </c>
      <c r="M106" s="296">
        <f>BD.PD[[#This Row],[Cant.]]*BD.PD[[#This Row],[ Tasa ]]*BD.PD[[#This Row],[ Precio Und.]]</f>
        <v>0</v>
      </c>
      <c r="N106" s="297">
        <v>0</v>
      </c>
      <c r="O106" s="296">
        <f>IF(BD.PD[[#This Row],[Liquid. '[%']]]&lt;&gt;0,(BD.PD[[#This Row],[Valor Neto '[DOP']]]*BD.PD[[#This Row],[Liquid. '[%']]])+BD.PD[[#This Row],[Valor Neto '[DOP']]],BD.PD[[#This Row],[Valor Neto '[DOP']]])</f>
        <v>0</v>
      </c>
      <c r="P106" s="306">
        <f>BD.PD[[#This Row],[Ppto. Orden Interna '[DOP']]]/HLOOKUP("USD",$J$1:$K$2,2,FALSE)</f>
        <v>0</v>
      </c>
      <c r="Q106" s="299"/>
      <c r="R106" s="307"/>
      <c r="S106" s="300"/>
      <c r="T106" s="301"/>
      <c r="U106" s="308">
        <f>BD.PD[[#This Row],[Av.P1 '[%']]]*BD.PD[[#This Row],[Ppto. Orden Interna '[DOP']]]</f>
        <v>0</v>
      </c>
      <c r="V106" s="303"/>
      <c r="W106" s="304"/>
      <c r="X106" s="308">
        <f>BD.PD[[#This Row],[Av.P2 '[%']]]*BD.PD[[#This Row],[Ppto. Orden Interna '[DOP']]]</f>
        <v>0</v>
      </c>
      <c r="Y106" s="303"/>
      <c r="Z106" s="304"/>
      <c r="AA106" s="308">
        <f>BD.PD[[#This Row],[Av.P3 '[%']]]*BD.PD[[#This Row],[Ppto. Orden Interna '[DOP']]]</f>
        <v>0</v>
      </c>
      <c r="AB106" s="303"/>
      <c r="AC106" s="304"/>
      <c r="AD106" s="308">
        <f>BD.PD[[#This Row],[Av.P4 '[%']]]*BD.PD[[#This Row],[Ppto. Orden Interna '[DOP']]]</f>
        <v>0</v>
      </c>
      <c r="AE106" s="303"/>
      <c r="AF106" s="304"/>
      <c r="AG106" s="308">
        <f>BD.PD[[#This Row],[Av.P5 '[%']]]*BD.PD[[#This Row],[Ppto. Orden Interna '[DOP']]]</f>
        <v>0</v>
      </c>
      <c r="AH106" s="305">
        <f>BD.PD[[#This Row],[Pago 5]]+BD.PD[[#This Row],[Pago 4]]+BD.PD[[#This Row],[Pago 3]]+BD.PD[[#This Row],[Pago 2]]+BD.PD[[#This Row],[Pago 1]]</f>
        <v>0</v>
      </c>
      <c r="AI106" s="404"/>
      <c r="IB106" s="275"/>
    </row>
    <row r="107" spans="1:236" ht="15" customHeight="1" x14ac:dyDescent="0.3">
      <c r="A107" s="231">
        <v>5.0599999999999996</v>
      </c>
      <c r="B107" s="288"/>
      <c r="C107" s="289" t="str">
        <f>VLOOKUP(BD.PD[[#This Row],[Pos]],PPto[],3,FALSE)</f>
        <v xml:space="preserve">5.06 Instalacion Frio Alimentario </v>
      </c>
      <c r="D107" s="231" t="s">
        <v>22</v>
      </c>
      <c r="E107" s="291" t="str">
        <f>IF(BD.PD[[#This Row],[.]]="*",VLOOKUP(BD.PD[[#This Row],[Pos]],Presupuesto!A:H,7,FALSE),"")</f>
        <v/>
      </c>
      <c r="F107" s="357" t="s">
        <v>182</v>
      </c>
      <c r="G107" s="357">
        <v>4512392669</v>
      </c>
      <c r="H107" s="358">
        <v>45672</v>
      </c>
      <c r="I107" s="359">
        <v>3</v>
      </c>
      <c r="J107" s="231" t="s">
        <v>581</v>
      </c>
      <c r="K107" s="294">
        <f>IF(BD.PD[[#This Row],[Mon]]="DOP",1,HLOOKUP(BD.PD[[#This Row],[Mon]],$J$1:$K$2,2,FALSE))</f>
        <v>1</v>
      </c>
      <c r="L107" s="360">
        <v>220000</v>
      </c>
      <c r="M107" s="296">
        <f>BD.PD[[#This Row],[Cant.]]*BD.PD[[#This Row],[ Tasa ]]*BD.PD[[#This Row],[ Precio Und.]]</f>
        <v>660000</v>
      </c>
      <c r="N107" s="361">
        <v>0</v>
      </c>
      <c r="O107" s="296">
        <f>IF(BD.PD[[#This Row],[Liquid. '[%']]]&lt;&gt;0,(BD.PD[[#This Row],[Valor Neto '[DOP']]]*BD.PD[[#This Row],[Liquid. '[%']]])+BD.PD[[#This Row],[Valor Neto '[DOP']]],BD.PD[[#This Row],[Valor Neto '[DOP']]])</f>
        <v>660000</v>
      </c>
      <c r="P107" s="306">
        <f>BD.PD[[#This Row],[Ppto. Orden Interna '[DOP']]]/HLOOKUP("USD",$J$1:$K$2,2,FALSE)</f>
        <v>10476.190476190477</v>
      </c>
      <c r="Q107" s="299" t="s">
        <v>645</v>
      </c>
      <c r="R107" s="487" t="s">
        <v>646</v>
      </c>
      <c r="S107" s="300">
        <v>1</v>
      </c>
      <c r="T107" s="301">
        <v>0.6</v>
      </c>
      <c r="U107" s="308">
        <f>BD.PD[[#This Row],[Av.P1 '[%']]]*BD.PD[[#This Row],[Ppto. Orden Interna '[DOP']]]</f>
        <v>396000</v>
      </c>
      <c r="V107" s="303">
        <v>21</v>
      </c>
      <c r="W107" s="304">
        <v>0.4</v>
      </c>
      <c r="X107" s="308">
        <f>BD.PD[[#This Row],[Av.P2 '[%']]]*BD.PD[[#This Row],[Ppto. Orden Interna '[DOP']]]</f>
        <v>264000</v>
      </c>
      <c r="Y107" s="303"/>
      <c r="Z107" s="304"/>
      <c r="AA107" s="308">
        <f>BD.PD[[#This Row],[Av.P3 '[%']]]*BD.PD[[#This Row],[Ppto. Orden Interna '[DOP']]]</f>
        <v>0</v>
      </c>
      <c r="AB107" s="303"/>
      <c r="AC107" s="304"/>
      <c r="AD107" s="308">
        <f>BD.PD[[#This Row],[Av.P4 '[%']]]*BD.PD[[#This Row],[Ppto. Orden Interna '[DOP']]]</f>
        <v>0</v>
      </c>
      <c r="AE107" s="303"/>
      <c r="AF107" s="304"/>
      <c r="AG107" s="308">
        <f>BD.PD[[#This Row],[Av.P5 '[%']]]*BD.PD[[#This Row],[Ppto. Orden Interna '[DOP']]]</f>
        <v>0</v>
      </c>
      <c r="AH107" s="305">
        <f>BD.PD[[#This Row],[Pago 5]]+BD.PD[[#This Row],[Pago 4]]+BD.PD[[#This Row],[Pago 3]]+BD.PD[[#This Row],[Pago 2]]+BD.PD[[#This Row],[Pago 1]]</f>
        <v>660000</v>
      </c>
      <c r="AI107" s="404"/>
      <c r="IB107" s="275"/>
    </row>
    <row r="108" spans="1:236" ht="15" customHeight="1" x14ac:dyDescent="0.3">
      <c r="A108" s="231">
        <v>5.0599999999999996</v>
      </c>
      <c r="B108" s="288"/>
      <c r="C108" s="289" t="str">
        <f>VLOOKUP(BD.PD[[#This Row],[Pos]],PPto[],3,FALSE)</f>
        <v xml:space="preserve">5.06 Instalacion Frio Alimentario </v>
      </c>
      <c r="D108" s="231" t="s">
        <v>22</v>
      </c>
      <c r="E108" s="291" t="str">
        <f>IF(BD.PD[[#This Row],[.]]="*",VLOOKUP(BD.PD[[#This Row],[Pos]],Presupuesto!A:H,7,FALSE),"")</f>
        <v/>
      </c>
      <c r="F108" s="357" t="s">
        <v>180</v>
      </c>
      <c r="G108" s="357">
        <v>4512392671</v>
      </c>
      <c r="H108" s="358">
        <v>45672</v>
      </c>
      <c r="I108" s="359">
        <v>1</v>
      </c>
      <c r="J108" s="231" t="s">
        <v>581</v>
      </c>
      <c r="K108" s="294">
        <f>IF(BD.PD[[#This Row],[Mon]]="DOP",1,HLOOKUP(BD.PD[[#This Row],[Mon]],$J$1:$K$2,2,FALSE))</f>
        <v>1</v>
      </c>
      <c r="L108" s="360">
        <v>387600</v>
      </c>
      <c r="M108" s="296">
        <f>BD.PD[[#This Row],[Cant.]]*BD.PD[[#This Row],[ Tasa ]]*BD.PD[[#This Row],[ Precio Und.]]</f>
        <v>387600</v>
      </c>
      <c r="N108" s="361">
        <v>0</v>
      </c>
      <c r="O108" s="296">
        <f>IF(BD.PD[[#This Row],[Liquid. '[%']]]&lt;&gt;0,(BD.PD[[#This Row],[Valor Neto '[DOP']]]*BD.PD[[#This Row],[Liquid. '[%']]])+BD.PD[[#This Row],[Valor Neto '[DOP']]],BD.PD[[#This Row],[Valor Neto '[DOP']]])</f>
        <v>387600</v>
      </c>
      <c r="P108" s="306">
        <f>BD.PD[[#This Row],[Ppto. Orden Interna '[DOP']]]/HLOOKUP("USD",$J$1:$K$2,2,FALSE)</f>
        <v>6152.3809523809523</v>
      </c>
      <c r="Q108" s="299" t="s">
        <v>645</v>
      </c>
      <c r="R108" s="487" t="s">
        <v>646</v>
      </c>
      <c r="S108" s="300">
        <v>1</v>
      </c>
      <c r="T108" s="301">
        <v>0.6</v>
      </c>
      <c r="U108" s="308">
        <f>BD.PD[[#This Row],[Av.P1 '[%']]]*BD.PD[[#This Row],[Ppto. Orden Interna '[DOP']]]</f>
        <v>232560</v>
      </c>
      <c r="V108" s="303">
        <v>21</v>
      </c>
      <c r="W108" s="304">
        <v>0.4</v>
      </c>
      <c r="X108" s="308">
        <f>BD.PD[[#This Row],[Av.P2 '[%']]]*BD.PD[[#This Row],[Ppto. Orden Interna '[DOP']]]</f>
        <v>155040</v>
      </c>
      <c r="Y108" s="303"/>
      <c r="Z108" s="304"/>
      <c r="AA108" s="308">
        <f>BD.PD[[#This Row],[Av.P3 '[%']]]*BD.PD[[#This Row],[Ppto. Orden Interna '[DOP']]]</f>
        <v>0</v>
      </c>
      <c r="AB108" s="303"/>
      <c r="AC108" s="304"/>
      <c r="AD108" s="308">
        <f>BD.PD[[#This Row],[Av.P4 '[%']]]*BD.PD[[#This Row],[Ppto. Orden Interna '[DOP']]]</f>
        <v>0</v>
      </c>
      <c r="AE108" s="303"/>
      <c r="AF108" s="304"/>
      <c r="AG108" s="308">
        <f>BD.PD[[#This Row],[Av.P5 '[%']]]*BD.PD[[#This Row],[Ppto. Orden Interna '[DOP']]]</f>
        <v>0</v>
      </c>
      <c r="AH108" s="305">
        <f>BD.PD[[#This Row],[Pago 5]]+BD.PD[[#This Row],[Pago 4]]+BD.PD[[#This Row],[Pago 3]]+BD.PD[[#This Row],[Pago 2]]+BD.PD[[#This Row],[Pago 1]]</f>
        <v>387600</v>
      </c>
      <c r="AI108" s="404"/>
      <c r="IB108" s="275"/>
    </row>
    <row r="109" spans="1:236" ht="15" customHeight="1" x14ac:dyDescent="0.3">
      <c r="A109" s="231">
        <v>5.0599999999999996</v>
      </c>
      <c r="B109" s="288"/>
      <c r="C109" s="289" t="str">
        <f>VLOOKUP(BD.PD[[#This Row],[Pos]],PPto[],3,FALSE)</f>
        <v xml:space="preserve">5.06 Instalacion Frio Alimentario </v>
      </c>
      <c r="D109" s="290" t="s">
        <v>22</v>
      </c>
      <c r="E109" s="291" t="str">
        <f>IF(BD.PD[[#This Row],[.]]="*",VLOOKUP(BD.PD[[#This Row],[Pos]],Presupuesto!A:H,7,FALSE),"")</f>
        <v/>
      </c>
      <c r="F109" s="390" t="s">
        <v>181</v>
      </c>
      <c r="G109" s="292">
        <v>4513051710</v>
      </c>
      <c r="H109" s="358">
        <v>46239</v>
      </c>
      <c r="I109" s="359">
        <v>1</v>
      </c>
      <c r="J109" s="231" t="s">
        <v>581</v>
      </c>
      <c r="K109" s="294">
        <f>IF(BD.PD[[#This Row],[Mon]]="DOP",1,HLOOKUP(BD.PD[[#This Row],[Mon]],$J$1:$K$2,2,FALSE))</f>
        <v>1</v>
      </c>
      <c r="L109" s="360">
        <v>7206759.2300000004</v>
      </c>
      <c r="M109" s="296">
        <f>BD.PD[[#This Row],[Cant.]]*BD.PD[[#This Row],[ Tasa ]]*BD.PD[[#This Row],[ Precio Und.]]</f>
        <v>7206759.2300000004</v>
      </c>
      <c r="N109" s="361">
        <v>0</v>
      </c>
      <c r="O109" s="296">
        <f>IF(BD.PD[[#This Row],[Liquid. '[%']]]&lt;&gt;0,(BD.PD[[#This Row],[Valor Neto '[DOP']]]*BD.PD[[#This Row],[Liquid. '[%']]])+BD.PD[[#This Row],[Valor Neto '[DOP']]],BD.PD[[#This Row],[Valor Neto '[DOP']]])</f>
        <v>7206759.2300000004</v>
      </c>
      <c r="P109" s="306">
        <f>BD.PD[[#This Row],[Ppto. Orden Interna '[DOP']]]/HLOOKUP("USD",$J$1:$K$2,2,FALSE)</f>
        <v>114393.00365079366</v>
      </c>
      <c r="Q109" s="299"/>
      <c r="R109" s="307" t="s">
        <v>647</v>
      </c>
      <c r="S109" s="300">
        <v>20</v>
      </c>
      <c r="T109" s="301">
        <v>0.7</v>
      </c>
      <c r="U109" s="308">
        <f>BD.PD[[#This Row],[Av.P1 '[%']]]*BD.PD[[#This Row],[Ppto. Orden Interna '[DOP']]]</f>
        <v>5044731.4610000001</v>
      </c>
      <c r="V109" s="303">
        <v>24</v>
      </c>
      <c r="W109" s="304">
        <v>0.3</v>
      </c>
      <c r="X109" s="308">
        <f>BD.PD[[#This Row],[Av.P2 '[%']]]*BD.PD[[#This Row],[Ppto. Orden Interna '[DOP']]]</f>
        <v>2162027.7689999999</v>
      </c>
      <c r="Y109" s="303"/>
      <c r="Z109" s="304"/>
      <c r="AA109" s="308">
        <f>BD.PD[[#This Row],[Av.P3 '[%']]]*BD.PD[[#This Row],[Ppto. Orden Interna '[DOP']]]</f>
        <v>0</v>
      </c>
      <c r="AB109" s="303"/>
      <c r="AC109" s="304"/>
      <c r="AD109" s="308">
        <f>BD.PD[[#This Row],[Av.P4 '[%']]]*BD.PD[[#This Row],[Ppto. Orden Interna '[DOP']]]</f>
        <v>0</v>
      </c>
      <c r="AE109" s="303"/>
      <c r="AF109" s="304"/>
      <c r="AG109" s="308">
        <f>BD.PD[[#This Row],[Av.P5 '[%']]]*BD.PD[[#This Row],[Ppto. Orden Interna '[DOP']]]</f>
        <v>0</v>
      </c>
      <c r="AH109" s="305">
        <f>BD.PD[[#This Row],[Pago 5]]+BD.PD[[#This Row],[Pago 4]]+BD.PD[[#This Row],[Pago 3]]+BD.PD[[#This Row],[Pago 2]]+BD.PD[[#This Row],[Pago 1]]</f>
        <v>7206759.2300000004</v>
      </c>
      <c r="AI109" s="404"/>
      <c r="IB109" s="275"/>
    </row>
    <row r="110" spans="1:236" ht="15.6" customHeight="1" x14ac:dyDescent="0.3">
      <c r="A110" s="231">
        <v>5.07</v>
      </c>
      <c r="B110" s="288" t="s">
        <v>574</v>
      </c>
      <c r="C110" s="289" t="str">
        <f>VLOOKUP(BD.PD[[#This Row],[Pos]],PPto[],3,FALSE)</f>
        <v>5.07 Chase Doors</v>
      </c>
      <c r="D110" s="290" t="s">
        <v>574</v>
      </c>
      <c r="E110" s="291">
        <f>IF(BD.PD[[#This Row],[.]]="*",VLOOKUP(BD.PD[[#This Row],[Pos]],Presupuesto!A:H,7,FALSE),"")</f>
        <v>73693.434500000003</v>
      </c>
      <c r="F110" s="292"/>
      <c r="G110" s="292" t="s">
        <v>575</v>
      </c>
      <c r="H110" s="292"/>
      <c r="I110" s="293">
        <v>1</v>
      </c>
      <c r="J110" s="290" t="s">
        <v>456</v>
      </c>
      <c r="K110" s="294">
        <f>IF(BD.PD[[#This Row],[Mon]]="DOP",1,HLOOKUP(BD.PD[[#This Row],[Mon]],$J$1:$K$2,2,FALSE))</f>
        <v>63</v>
      </c>
      <c r="L110" s="295">
        <v>0</v>
      </c>
      <c r="M110" s="296">
        <f>BD.PD[[#This Row],[Cant.]]*BD.PD[[#This Row],[ Tasa ]]*BD.PD[[#This Row],[ Precio Und.]]</f>
        <v>0</v>
      </c>
      <c r="N110" s="297">
        <v>0</v>
      </c>
      <c r="O110" s="296">
        <f>IF(BD.PD[[#This Row],[Liquid. '[%']]]&lt;&gt;0,(BD.PD[[#This Row],[Valor Neto '[DOP']]]*BD.PD[[#This Row],[Liquid. '[%']]])+BD.PD[[#This Row],[Valor Neto '[DOP']]],BD.PD[[#This Row],[Valor Neto '[DOP']]])</f>
        <v>0</v>
      </c>
      <c r="P110" s="306">
        <f>BD.PD[[#This Row],[Ppto. Orden Interna '[DOP']]]/HLOOKUP("USD",$J$1:$K$2,2,FALSE)</f>
        <v>0</v>
      </c>
      <c r="Q110" s="299"/>
      <c r="R110" s="307"/>
      <c r="S110" s="300"/>
      <c r="T110" s="301"/>
      <c r="U110" s="308">
        <f>BD.PD[[#This Row],[Av.P1 '[%']]]*BD.PD[[#This Row],[Ppto. Orden Interna '[DOP']]]</f>
        <v>0</v>
      </c>
      <c r="V110" s="303"/>
      <c r="W110" s="304"/>
      <c r="X110" s="308">
        <f>BD.PD[[#This Row],[Av.P2 '[%']]]*BD.PD[[#This Row],[Ppto. Orden Interna '[DOP']]]</f>
        <v>0</v>
      </c>
      <c r="Y110" s="303"/>
      <c r="Z110" s="304"/>
      <c r="AA110" s="308">
        <f>BD.PD[[#This Row],[Av.P3 '[%']]]*BD.PD[[#This Row],[Ppto. Orden Interna '[DOP']]]</f>
        <v>0</v>
      </c>
      <c r="AB110" s="303"/>
      <c r="AC110" s="304"/>
      <c r="AD110" s="308">
        <f>BD.PD[[#This Row],[Av.P4 '[%']]]*BD.PD[[#This Row],[Ppto. Orden Interna '[DOP']]]</f>
        <v>0</v>
      </c>
      <c r="AE110" s="303"/>
      <c r="AF110" s="304"/>
      <c r="AG110" s="308">
        <f>BD.PD[[#This Row],[Av.P5 '[%']]]*BD.PD[[#This Row],[Ppto. Orden Interna '[DOP']]]</f>
        <v>0</v>
      </c>
      <c r="AH110" s="305">
        <f>BD.PD[[#This Row],[Pago 5]]+BD.PD[[#This Row],[Pago 4]]+BD.PD[[#This Row],[Pago 3]]+BD.PD[[#This Row],[Pago 2]]+BD.PD[[#This Row],[Pago 1]]</f>
        <v>0</v>
      </c>
      <c r="AI110" s="404"/>
      <c r="IB110" s="275"/>
    </row>
    <row r="111" spans="1:236" ht="15" customHeight="1" x14ac:dyDescent="0.3">
      <c r="A111" s="231">
        <v>5.07</v>
      </c>
      <c r="B111" s="288"/>
      <c r="C111" s="289" t="str">
        <f>VLOOKUP(BD.PD[[#This Row],[Pos]],PPto[],3,FALSE)</f>
        <v>5.07 Chase Doors</v>
      </c>
      <c r="D111" s="231" t="s">
        <v>22</v>
      </c>
      <c r="E111" s="291" t="str">
        <f>IF(BD.PD[[#This Row],[.]]="*",VLOOKUP(BD.PD[[#This Row],[Pos]],Presupuesto!A:H,7,FALSE),"")</f>
        <v/>
      </c>
      <c r="F111" s="292" t="s">
        <v>648</v>
      </c>
      <c r="G111" s="292">
        <v>4513049036</v>
      </c>
      <c r="H111" s="358">
        <v>46239</v>
      </c>
      <c r="I111" s="359">
        <v>1</v>
      </c>
      <c r="J111" s="389" t="s">
        <v>456</v>
      </c>
      <c r="K111" s="294">
        <f>IF(BD.PD[[#This Row],[Mon]]="DOP",1,HLOOKUP(BD.PD[[#This Row],[Mon]],$J$1:$K$2,2,FALSE))</f>
        <v>63</v>
      </c>
      <c r="L111" s="360">
        <v>50508.7</v>
      </c>
      <c r="M111" s="296">
        <f>BD.PD[[#This Row],[Cant.]]*BD.PD[[#This Row],[ Tasa ]]*BD.PD[[#This Row],[ Precio Und.]]</f>
        <v>3182048.0999999996</v>
      </c>
      <c r="N111" s="361">
        <v>0</v>
      </c>
      <c r="O111" s="296">
        <f>IF(BD.PD[[#This Row],[Liquid. '[%']]]&lt;&gt;0,(BD.PD[[#This Row],[Valor Neto '[DOP']]]*BD.PD[[#This Row],[Liquid. '[%']]])+BD.PD[[#This Row],[Valor Neto '[DOP']]],BD.PD[[#This Row],[Valor Neto '[DOP']]])</f>
        <v>3182048.0999999996</v>
      </c>
      <c r="P111" s="306">
        <f>BD.PD[[#This Row],[Ppto. Orden Interna '[DOP']]]/HLOOKUP("USD",$J$1:$K$2,2,FALSE)</f>
        <v>50508.7</v>
      </c>
      <c r="Q111" s="299" t="s">
        <v>616</v>
      </c>
      <c r="R111" s="307" t="s">
        <v>617</v>
      </c>
      <c r="S111" s="300">
        <v>20</v>
      </c>
      <c r="T111" s="301">
        <v>0.3</v>
      </c>
      <c r="U111" s="308">
        <f>BD.PD[[#This Row],[Av.P1 '[%']]]*BD.PD[[#This Row],[Ppto. Orden Interna '[DOP']]]</f>
        <v>954614.42999999982</v>
      </c>
      <c r="V111" s="303">
        <v>24</v>
      </c>
      <c r="W111" s="304">
        <v>0.7</v>
      </c>
      <c r="X111" s="308">
        <f>BD.PD[[#This Row],[Av.P2 '[%']]]*BD.PD[[#This Row],[Ppto. Orden Interna '[DOP']]]</f>
        <v>2227433.6699999995</v>
      </c>
      <c r="Y111" s="303"/>
      <c r="Z111" s="304"/>
      <c r="AA111" s="308">
        <f>BD.PD[[#This Row],[Av.P3 '[%']]]*BD.PD[[#This Row],[Ppto. Orden Interna '[DOP']]]</f>
        <v>0</v>
      </c>
      <c r="AB111" s="303"/>
      <c r="AC111" s="304"/>
      <c r="AD111" s="308">
        <f>BD.PD[[#This Row],[Av.P4 '[%']]]*BD.PD[[#This Row],[Ppto. Orden Interna '[DOP']]]</f>
        <v>0</v>
      </c>
      <c r="AE111" s="303"/>
      <c r="AF111" s="304"/>
      <c r="AG111" s="308">
        <f>BD.PD[[#This Row],[Av.P5 '[%']]]*BD.PD[[#This Row],[Ppto. Orden Interna '[DOP']]]</f>
        <v>0</v>
      </c>
      <c r="AH111" s="305">
        <f>BD.PD[[#This Row],[Pago 5]]+BD.PD[[#This Row],[Pago 4]]+BD.PD[[#This Row],[Pago 3]]+BD.PD[[#This Row],[Pago 2]]+BD.PD[[#This Row],[Pago 1]]</f>
        <v>3182048.0999999992</v>
      </c>
      <c r="AI111" s="404"/>
      <c r="IB111" s="275"/>
    </row>
    <row r="112" spans="1:236" ht="15" customHeight="1" x14ac:dyDescent="0.3">
      <c r="A112" s="231">
        <v>5.07</v>
      </c>
      <c r="B112" s="288"/>
      <c r="C112" s="289" t="str">
        <f>VLOOKUP(BD.PD[[#This Row],[Pos]],PPto[],3,FALSE)</f>
        <v>5.07 Chase Doors</v>
      </c>
      <c r="D112" s="231" t="s">
        <v>22</v>
      </c>
      <c r="E112" s="291" t="str">
        <f>IF(BD.PD[[#This Row],[.]]="*",VLOOKUP(BD.PD[[#This Row],[Pos]],Presupuesto!A:H,7,FALSE),"")</f>
        <v/>
      </c>
      <c r="F112" s="292" t="s">
        <v>183</v>
      </c>
      <c r="G112" s="292">
        <v>4513049036</v>
      </c>
      <c r="H112" s="358">
        <v>46239</v>
      </c>
      <c r="I112" s="359">
        <v>1</v>
      </c>
      <c r="J112" s="389" t="s">
        <v>456</v>
      </c>
      <c r="K112" s="294">
        <f>IF(BD.PD[[#This Row],[Mon]]="DOP",1,HLOOKUP(BD.PD[[#This Row],[Mon]],$J$1:$K$2,2,FALSE))</f>
        <v>63</v>
      </c>
      <c r="L112" s="360">
        <v>3908.25</v>
      </c>
      <c r="M112" s="296">
        <f>BD.PD[[#This Row],[Cant.]]*BD.PD[[#This Row],[ Tasa ]]*BD.PD[[#This Row],[ Precio Und.]]</f>
        <v>246219.75</v>
      </c>
      <c r="N112" s="361">
        <v>0</v>
      </c>
      <c r="O112" s="296">
        <f>IF(BD.PD[[#This Row],[Liquid. '[%']]]&lt;&gt;0,(BD.PD[[#This Row],[Valor Neto '[DOP']]]*BD.PD[[#This Row],[Liquid. '[%']]])+BD.PD[[#This Row],[Valor Neto '[DOP']]],BD.PD[[#This Row],[Valor Neto '[DOP']]])</f>
        <v>246219.75</v>
      </c>
      <c r="P112" s="306">
        <f>BD.PD[[#This Row],[Ppto. Orden Interna '[DOP']]]/HLOOKUP("USD",$J$1:$K$2,2,FALSE)</f>
        <v>3908.25</v>
      </c>
      <c r="Q112" s="299" t="s">
        <v>616</v>
      </c>
      <c r="R112" s="307" t="s">
        <v>617</v>
      </c>
      <c r="S112" s="300">
        <v>20</v>
      </c>
      <c r="T112" s="301">
        <v>0.3</v>
      </c>
      <c r="U112" s="308">
        <f>BD.PD[[#This Row],[Av.P1 '[%']]]*BD.PD[[#This Row],[Ppto. Orden Interna '[DOP']]]</f>
        <v>73865.925000000003</v>
      </c>
      <c r="V112" s="303">
        <v>24</v>
      </c>
      <c r="W112" s="304">
        <v>0.7</v>
      </c>
      <c r="X112" s="308">
        <f>BD.PD[[#This Row],[Av.P2 '[%']]]*BD.PD[[#This Row],[Ppto. Orden Interna '[DOP']]]</f>
        <v>172353.82499999998</v>
      </c>
      <c r="Y112" s="303"/>
      <c r="Z112" s="304"/>
      <c r="AA112" s="308">
        <f>BD.PD[[#This Row],[Av.P3 '[%']]]*BD.PD[[#This Row],[Ppto. Orden Interna '[DOP']]]</f>
        <v>0</v>
      </c>
      <c r="AB112" s="303"/>
      <c r="AC112" s="304"/>
      <c r="AD112" s="308">
        <f>BD.PD[[#This Row],[Av.P4 '[%']]]*BD.PD[[#This Row],[Ppto. Orden Interna '[DOP']]]</f>
        <v>0</v>
      </c>
      <c r="AE112" s="303"/>
      <c r="AF112" s="304"/>
      <c r="AG112" s="308">
        <f>BD.PD[[#This Row],[Av.P5 '[%']]]*BD.PD[[#This Row],[Ppto. Orden Interna '[DOP']]]</f>
        <v>0</v>
      </c>
      <c r="AH112" s="305">
        <f>BD.PD[[#This Row],[Pago 5]]+BD.PD[[#This Row],[Pago 4]]+BD.PD[[#This Row],[Pago 3]]+BD.PD[[#This Row],[Pago 2]]+BD.PD[[#This Row],[Pago 1]]</f>
        <v>246219.75</v>
      </c>
      <c r="AI112" s="404"/>
      <c r="IB112" s="275"/>
    </row>
    <row r="113" spans="1:236" ht="15" customHeight="1" x14ac:dyDescent="0.3">
      <c r="A113" s="231">
        <v>6.01</v>
      </c>
      <c r="B113" s="288" t="s">
        <v>574</v>
      </c>
      <c r="C113" s="289" t="str">
        <f>VLOOKUP(BD.PD[[#This Row],[Pos]],PPto[],3,FALSE)</f>
        <v>6.01 Sistema de cámaras CCTV</v>
      </c>
      <c r="D113" s="290" t="s">
        <v>574</v>
      </c>
      <c r="E113" s="291">
        <f>IF(BD.PD[[#This Row],[.]]="*",VLOOKUP(BD.PD[[#This Row],[Pos]],Presupuesto!A:H,7,FALSE),"")</f>
        <v>0</v>
      </c>
      <c r="F113" s="292"/>
      <c r="G113" s="292" t="s">
        <v>575</v>
      </c>
      <c r="H113" s="292"/>
      <c r="I113" s="293">
        <v>1</v>
      </c>
      <c r="J113" s="290" t="s">
        <v>456</v>
      </c>
      <c r="K113" s="294">
        <f>IF(BD.PD[[#This Row],[Mon]]="DOP",1,HLOOKUP(BD.PD[[#This Row],[Mon]],$J$1:$K$2,2,FALSE))</f>
        <v>63</v>
      </c>
      <c r="L113" s="295">
        <v>0</v>
      </c>
      <c r="M113" s="296">
        <f>BD.PD[[#This Row],[Cant.]]*BD.PD[[#This Row],[ Tasa ]]*BD.PD[[#This Row],[ Precio Und.]]</f>
        <v>0</v>
      </c>
      <c r="N113" s="297">
        <v>0</v>
      </c>
      <c r="O113" s="296">
        <f>IF(BD.PD[[#This Row],[Liquid. '[%']]]&lt;&gt;0,(BD.PD[[#This Row],[Valor Neto '[DOP']]]*BD.PD[[#This Row],[Liquid. '[%']]])+BD.PD[[#This Row],[Valor Neto '[DOP']]],BD.PD[[#This Row],[Valor Neto '[DOP']]])</f>
        <v>0</v>
      </c>
      <c r="P113" s="306">
        <f>BD.PD[[#This Row],[Ppto. Orden Interna '[DOP']]]/HLOOKUP("USD",$J$1:$K$2,2,FALSE)</f>
        <v>0</v>
      </c>
      <c r="Q113" s="299"/>
      <c r="R113" s="307"/>
      <c r="S113" s="300"/>
      <c r="T113" s="301"/>
      <c r="U113" s="308">
        <f>BD.PD[[#This Row],[Av.P1 '[%']]]*BD.PD[[#This Row],[Ppto. Orden Interna '[DOP']]]</f>
        <v>0</v>
      </c>
      <c r="V113" s="303"/>
      <c r="W113" s="304"/>
      <c r="X113" s="308">
        <f>BD.PD[[#This Row],[Av.P2 '[%']]]*BD.PD[[#This Row],[Ppto. Orden Interna '[DOP']]]</f>
        <v>0</v>
      </c>
      <c r="Y113" s="303"/>
      <c r="Z113" s="304"/>
      <c r="AA113" s="308">
        <f>BD.PD[[#This Row],[Av.P3 '[%']]]*BD.PD[[#This Row],[Ppto. Orden Interna '[DOP']]]</f>
        <v>0</v>
      </c>
      <c r="AB113" s="303"/>
      <c r="AC113" s="304"/>
      <c r="AD113" s="308">
        <f>BD.PD[[#This Row],[Av.P4 '[%']]]*BD.PD[[#This Row],[Ppto. Orden Interna '[DOP']]]</f>
        <v>0</v>
      </c>
      <c r="AE113" s="303"/>
      <c r="AF113" s="304"/>
      <c r="AG113" s="308">
        <f>BD.PD[[#This Row],[Av.P5 '[%']]]*BD.PD[[#This Row],[Ppto. Orden Interna '[DOP']]]</f>
        <v>0</v>
      </c>
      <c r="AH113" s="305">
        <f>BD.PD[[#This Row],[Pago 5]]+BD.PD[[#This Row],[Pago 4]]+BD.PD[[#This Row],[Pago 3]]+BD.PD[[#This Row],[Pago 2]]+BD.PD[[#This Row],[Pago 1]]</f>
        <v>0</v>
      </c>
      <c r="AI113" s="404"/>
      <c r="IB113" s="275"/>
    </row>
    <row r="114" spans="1:236" ht="15" customHeight="1" x14ac:dyDescent="0.3">
      <c r="A114" s="231">
        <v>6.02</v>
      </c>
      <c r="B114" s="288" t="s">
        <v>574</v>
      </c>
      <c r="C114" s="289" t="str">
        <f>VLOOKUP(BD.PD[[#This Row],[Pos]],PPto[],3,FALSE)</f>
        <v>6.02 Antenas detección de robo</v>
      </c>
      <c r="D114" s="290" t="s">
        <v>574</v>
      </c>
      <c r="E114" s="291">
        <f>IF(BD.PD[[#This Row],[.]]="*",VLOOKUP(BD.PD[[#This Row],[Pos]],Presupuesto!A:H,7,FALSE),"")</f>
        <v>0</v>
      </c>
      <c r="F114" s="292"/>
      <c r="G114" s="292" t="s">
        <v>575</v>
      </c>
      <c r="H114" s="292"/>
      <c r="I114" s="293">
        <v>1</v>
      </c>
      <c r="J114" s="290" t="s">
        <v>456</v>
      </c>
      <c r="K114" s="294">
        <f>IF(BD.PD[[#This Row],[Mon]]="DOP",1,HLOOKUP(BD.PD[[#This Row],[Mon]],$J$1:$K$2,2,FALSE))</f>
        <v>63</v>
      </c>
      <c r="L114" s="295">
        <v>0</v>
      </c>
      <c r="M114" s="296">
        <f>BD.PD[[#This Row],[Cant.]]*BD.PD[[#This Row],[ Tasa ]]*BD.PD[[#This Row],[ Precio Und.]]</f>
        <v>0</v>
      </c>
      <c r="N114" s="297">
        <v>0</v>
      </c>
      <c r="O114" s="296">
        <f>IF(BD.PD[[#This Row],[Liquid. '[%']]]&lt;&gt;0,(BD.PD[[#This Row],[Valor Neto '[DOP']]]*BD.PD[[#This Row],[Liquid. '[%']]])+BD.PD[[#This Row],[Valor Neto '[DOP']]],BD.PD[[#This Row],[Valor Neto '[DOP']]])</f>
        <v>0</v>
      </c>
      <c r="P114" s="306">
        <f>BD.PD[[#This Row],[Ppto. Orden Interna '[DOP']]]/HLOOKUP("USD",$J$1:$K$2,2,FALSE)</f>
        <v>0</v>
      </c>
      <c r="Q114" s="299"/>
      <c r="R114" s="307"/>
      <c r="S114" s="300"/>
      <c r="T114" s="301"/>
      <c r="U114" s="308">
        <f>BD.PD[[#This Row],[Av.P1 '[%']]]*BD.PD[[#This Row],[Ppto. Orden Interna '[DOP']]]</f>
        <v>0</v>
      </c>
      <c r="V114" s="303"/>
      <c r="W114" s="304"/>
      <c r="X114" s="308">
        <f>BD.PD[[#This Row],[Av.P2 '[%']]]*BD.PD[[#This Row],[Ppto. Orden Interna '[DOP']]]</f>
        <v>0</v>
      </c>
      <c r="Y114" s="303"/>
      <c r="Z114" s="304"/>
      <c r="AA114" s="308">
        <f>BD.PD[[#This Row],[Av.P3 '[%']]]*BD.PD[[#This Row],[Ppto. Orden Interna '[DOP']]]</f>
        <v>0</v>
      </c>
      <c r="AB114" s="303"/>
      <c r="AC114" s="304"/>
      <c r="AD114" s="308">
        <f>BD.PD[[#This Row],[Av.P4 '[%']]]*BD.PD[[#This Row],[Ppto. Orden Interna '[DOP']]]</f>
        <v>0</v>
      </c>
      <c r="AE114" s="303"/>
      <c r="AF114" s="304"/>
      <c r="AG114" s="308">
        <f>BD.PD[[#This Row],[Av.P5 '[%']]]*BD.PD[[#This Row],[Ppto. Orden Interna '[DOP']]]</f>
        <v>0</v>
      </c>
      <c r="AH114" s="305">
        <f>BD.PD[[#This Row],[Pago 5]]+BD.PD[[#This Row],[Pago 4]]+BD.PD[[#This Row],[Pago 3]]+BD.PD[[#This Row],[Pago 2]]+BD.PD[[#This Row],[Pago 1]]</f>
        <v>0</v>
      </c>
      <c r="AI114" s="404"/>
      <c r="IB114" s="275"/>
    </row>
    <row r="115" spans="1:236" ht="15" customHeight="1" x14ac:dyDescent="0.3">
      <c r="A115" s="231">
        <v>6.03</v>
      </c>
      <c r="B115" s="288" t="s">
        <v>574</v>
      </c>
      <c r="C115" s="289" t="str">
        <f>VLOOKUP(BD.PD[[#This Row],[Pos]],PPto[],3,FALSE)</f>
        <v>6.03 Puntos de Venta</v>
      </c>
      <c r="D115" s="290" t="s">
        <v>574</v>
      </c>
      <c r="E115" s="291">
        <f>IF(BD.PD[[#This Row],[.]]="*",VLOOKUP(BD.PD[[#This Row],[Pos]],Presupuesto!A:H,7,FALSE),"")</f>
        <v>0</v>
      </c>
      <c r="F115" s="292"/>
      <c r="G115" s="292" t="s">
        <v>575</v>
      </c>
      <c r="H115" s="292"/>
      <c r="I115" s="293">
        <v>1</v>
      </c>
      <c r="J115" s="290" t="s">
        <v>456</v>
      </c>
      <c r="K115" s="294">
        <f>IF(BD.PD[[#This Row],[Mon]]="DOP",1,HLOOKUP(BD.PD[[#This Row],[Mon]],$J$1:$K$2,2,FALSE))</f>
        <v>63</v>
      </c>
      <c r="L115" s="295">
        <v>0</v>
      </c>
      <c r="M115" s="296">
        <f>BD.PD[[#This Row],[Cant.]]*BD.PD[[#This Row],[ Tasa ]]*BD.PD[[#This Row],[ Precio Und.]]</f>
        <v>0</v>
      </c>
      <c r="N115" s="297">
        <v>0</v>
      </c>
      <c r="O115" s="296">
        <f>IF(BD.PD[[#This Row],[Liquid. '[%']]]&lt;&gt;0,(BD.PD[[#This Row],[Valor Neto '[DOP']]]*BD.PD[[#This Row],[Liquid. '[%']]])+BD.PD[[#This Row],[Valor Neto '[DOP']]],BD.PD[[#This Row],[Valor Neto '[DOP']]])</f>
        <v>0</v>
      </c>
      <c r="P115" s="306">
        <f>BD.PD[[#This Row],[Ppto. Orden Interna '[DOP']]]/HLOOKUP("USD",$J$1:$K$2,2,FALSE)</f>
        <v>0</v>
      </c>
      <c r="Q115" s="299"/>
      <c r="R115" s="307"/>
      <c r="S115" s="300"/>
      <c r="T115" s="301"/>
      <c r="U115" s="308">
        <f>BD.PD[[#This Row],[Av.P1 '[%']]]*BD.PD[[#This Row],[Ppto. Orden Interna '[DOP']]]</f>
        <v>0</v>
      </c>
      <c r="V115" s="303"/>
      <c r="W115" s="304"/>
      <c r="X115" s="308">
        <f>BD.PD[[#This Row],[Av.P2 '[%']]]*BD.PD[[#This Row],[Ppto. Orden Interna '[DOP']]]</f>
        <v>0</v>
      </c>
      <c r="Y115" s="303"/>
      <c r="Z115" s="304"/>
      <c r="AA115" s="308">
        <f>BD.PD[[#This Row],[Av.P3 '[%']]]*BD.PD[[#This Row],[Ppto. Orden Interna '[DOP']]]</f>
        <v>0</v>
      </c>
      <c r="AB115" s="303"/>
      <c r="AC115" s="304"/>
      <c r="AD115" s="308">
        <f>BD.PD[[#This Row],[Av.P4 '[%']]]*BD.PD[[#This Row],[Ppto. Orden Interna '[DOP']]]</f>
        <v>0</v>
      </c>
      <c r="AE115" s="303"/>
      <c r="AF115" s="304"/>
      <c r="AG115" s="308">
        <f>BD.PD[[#This Row],[Av.P5 '[%']]]*BD.PD[[#This Row],[Ppto. Orden Interna '[DOP']]]</f>
        <v>0</v>
      </c>
      <c r="AH115" s="305">
        <f>BD.PD[[#This Row],[Pago 5]]+BD.PD[[#This Row],[Pago 4]]+BD.PD[[#This Row],[Pago 3]]+BD.PD[[#This Row],[Pago 2]]+BD.PD[[#This Row],[Pago 1]]</f>
        <v>0</v>
      </c>
      <c r="AI115" s="404"/>
      <c r="IB115" s="275"/>
    </row>
    <row r="116" spans="1:236" ht="15" customHeight="1" x14ac:dyDescent="0.3">
      <c r="A116" s="231">
        <v>6.04</v>
      </c>
      <c r="B116" s="288" t="s">
        <v>574</v>
      </c>
      <c r="C116" s="289" t="str">
        <f>VLOOKUP(BD.PD[[#This Row],[Pos]],PPto[],3,FALSE)</f>
        <v>6.04 Instalación de data y voz / Antenas de techo</v>
      </c>
      <c r="D116" s="290" t="s">
        <v>574</v>
      </c>
      <c r="E116" s="291">
        <f>IF(BD.PD[[#This Row],[.]]="*",VLOOKUP(BD.PD[[#This Row],[Pos]],Presupuesto!A:H,7,FALSE),"")</f>
        <v>0</v>
      </c>
      <c r="F116" s="292"/>
      <c r="G116" s="292" t="s">
        <v>575</v>
      </c>
      <c r="H116" s="292"/>
      <c r="I116" s="293">
        <v>1</v>
      </c>
      <c r="J116" s="290" t="s">
        <v>456</v>
      </c>
      <c r="K116" s="294">
        <f>IF(BD.PD[[#This Row],[Mon]]="DOP",1,HLOOKUP(BD.PD[[#This Row],[Mon]],$J$1:$K$2,2,FALSE))</f>
        <v>63</v>
      </c>
      <c r="L116" s="295">
        <v>0</v>
      </c>
      <c r="M116" s="296">
        <f>BD.PD[[#This Row],[Cant.]]*BD.PD[[#This Row],[ Tasa ]]*BD.PD[[#This Row],[ Precio Und.]]</f>
        <v>0</v>
      </c>
      <c r="N116" s="297">
        <v>0</v>
      </c>
      <c r="O116" s="296">
        <f>IF(BD.PD[[#This Row],[Liquid. '[%']]]&lt;&gt;0,(BD.PD[[#This Row],[Valor Neto '[DOP']]]*BD.PD[[#This Row],[Liquid. '[%']]])+BD.PD[[#This Row],[Valor Neto '[DOP']]],BD.PD[[#This Row],[Valor Neto '[DOP']]])</f>
        <v>0</v>
      </c>
      <c r="P116" s="306">
        <f>BD.PD[[#This Row],[Ppto. Orden Interna '[DOP']]]/HLOOKUP("USD",$J$1:$K$2,2,FALSE)</f>
        <v>0</v>
      </c>
      <c r="Q116" s="299"/>
      <c r="R116" s="307"/>
      <c r="S116" s="300"/>
      <c r="T116" s="301"/>
      <c r="U116" s="308">
        <f>BD.PD[[#This Row],[Av.P1 '[%']]]*BD.PD[[#This Row],[Ppto. Orden Interna '[DOP']]]</f>
        <v>0</v>
      </c>
      <c r="V116" s="303"/>
      <c r="W116" s="304"/>
      <c r="X116" s="308">
        <f>BD.PD[[#This Row],[Av.P2 '[%']]]*BD.PD[[#This Row],[Ppto. Orden Interna '[DOP']]]</f>
        <v>0</v>
      </c>
      <c r="Y116" s="303"/>
      <c r="Z116" s="304"/>
      <c r="AA116" s="308">
        <f>BD.PD[[#This Row],[Av.P3 '[%']]]*BD.PD[[#This Row],[Ppto. Orden Interna '[DOP']]]</f>
        <v>0</v>
      </c>
      <c r="AB116" s="303"/>
      <c r="AC116" s="304"/>
      <c r="AD116" s="308">
        <f>BD.PD[[#This Row],[Av.P4 '[%']]]*BD.PD[[#This Row],[Ppto. Orden Interna '[DOP']]]</f>
        <v>0</v>
      </c>
      <c r="AE116" s="303"/>
      <c r="AF116" s="304"/>
      <c r="AG116" s="308">
        <f>BD.PD[[#This Row],[Av.P5 '[%']]]*BD.PD[[#This Row],[Ppto. Orden Interna '[DOP']]]</f>
        <v>0</v>
      </c>
      <c r="AH116" s="305">
        <f>BD.PD[[#This Row],[Pago 5]]+BD.PD[[#This Row],[Pago 4]]+BD.PD[[#This Row],[Pago 3]]+BD.PD[[#This Row],[Pago 2]]+BD.PD[[#This Row],[Pago 1]]</f>
        <v>0</v>
      </c>
      <c r="AI116" s="404"/>
      <c r="IB116" s="275"/>
    </row>
    <row r="117" spans="1:236" ht="15" customHeight="1" x14ac:dyDescent="0.3">
      <c r="A117" s="231">
        <v>6.05</v>
      </c>
      <c r="B117" s="288" t="s">
        <v>574</v>
      </c>
      <c r="C117" s="289" t="str">
        <f>VLOOKUP(BD.PD[[#This Row],[Pos]],PPto[],3,FALSE)</f>
        <v>6.05 Otros sum e inst Tecnología y Seguridad Y Tesoreria</v>
      </c>
      <c r="D117" s="290" t="s">
        <v>574</v>
      </c>
      <c r="E117" s="291">
        <f>IF(BD.PD[[#This Row],[.]]="*",VLOOKUP(BD.PD[[#This Row],[Pos]],Presupuesto!A:H,7,FALSE),"")</f>
        <v>38430.064728434503</v>
      </c>
      <c r="F117" s="292"/>
      <c r="G117" s="292" t="s">
        <v>575</v>
      </c>
      <c r="H117" s="292"/>
      <c r="I117" s="293">
        <v>1</v>
      </c>
      <c r="J117" s="290" t="s">
        <v>456</v>
      </c>
      <c r="K117" s="294">
        <f>IF(BD.PD[[#This Row],[Mon]]="DOP",1,HLOOKUP(BD.PD[[#This Row],[Mon]],$J$1:$K$2,2,FALSE))</f>
        <v>63</v>
      </c>
      <c r="L117" s="295">
        <v>0</v>
      </c>
      <c r="M117" s="296">
        <f>BD.PD[[#This Row],[Cant.]]*BD.PD[[#This Row],[ Tasa ]]*BD.PD[[#This Row],[ Precio Und.]]</f>
        <v>0</v>
      </c>
      <c r="N117" s="297">
        <v>0</v>
      </c>
      <c r="O117" s="296">
        <f>IF(BD.PD[[#This Row],[Liquid. '[%']]]&lt;&gt;0,(BD.PD[[#This Row],[Valor Neto '[DOP']]]*BD.PD[[#This Row],[Liquid. '[%']]])+BD.PD[[#This Row],[Valor Neto '[DOP']]],BD.PD[[#This Row],[Valor Neto '[DOP']]])</f>
        <v>0</v>
      </c>
      <c r="P117" s="306">
        <f>BD.PD[[#This Row],[Ppto. Orden Interna '[DOP']]]/HLOOKUP("USD",$J$1:$K$2,2,FALSE)</f>
        <v>0</v>
      </c>
      <c r="Q117" s="299"/>
      <c r="R117" s="307"/>
      <c r="S117" s="300"/>
      <c r="T117" s="301"/>
      <c r="U117" s="308">
        <f>BD.PD[[#This Row],[Av.P1 '[%']]]*BD.PD[[#This Row],[Ppto. Orden Interna '[DOP']]]</f>
        <v>0</v>
      </c>
      <c r="V117" s="303"/>
      <c r="W117" s="304"/>
      <c r="X117" s="308">
        <f>BD.PD[[#This Row],[Av.P2 '[%']]]*BD.PD[[#This Row],[Ppto. Orden Interna '[DOP']]]</f>
        <v>0</v>
      </c>
      <c r="Y117" s="303"/>
      <c r="Z117" s="304"/>
      <c r="AA117" s="308">
        <f>BD.PD[[#This Row],[Av.P3 '[%']]]*BD.PD[[#This Row],[Ppto. Orden Interna '[DOP']]]</f>
        <v>0</v>
      </c>
      <c r="AB117" s="303"/>
      <c r="AC117" s="304"/>
      <c r="AD117" s="308">
        <f>BD.PD[[#This Row],[Av.P4 '[%']]]*BD.PD[[#This Row],[Ppto. Orden Interna '[DOP']]]</f>
        <v>0</v>
      </c>
      <c r="AE117" s="303"/>
      <c r="AF117" s="304"/>
      <c r="AG117" s="308">
        <f>BD.PD[[#This Row],[Av.P5 '[%']]]*BD.PD[[#This Row],[Ppto. Orden Interna '[DOP']]]</f>
        <v>0</v>
      </c>
      <c r="AH117" s="305">
        <f>BD.PD[[#This Row],[Pago 5]]+BD.PD[[#This Row],[Pago 4]]+BD.PD[[#This Row],[Pago 3]]+BD.PD[[#This Row],[Pago 2]]+BD.PD[[#This Row],[Pago 1]]</f>
        <v>0</v>
      </c>
      <c r="AI117" s="404"/>
      <c r="IB117" s="275"/>
    </row>
    <row r="118" spans="1:236" ht="15" customHeight="1" x14ac:dyDescent="0.3">
      <c r="A118" s="231">
        <v>6.05</v>
      </c>
      <c r="B118" s="288"/>
      <c r="C118" s="289" t="str">
        <f>VLOOKUP(BD.PD[[#This Row],[Pos]],PPto[],3,FALSE)</f>
        <v>6.05 Otros sum e inst Tecnología y Seguridad Y Tesoreria</v>
      </c>
      <c r="D118" s="231" t="s">
        <v>22</v>
      </c>
      <c r="E118" s="291" t="str">
        <f>IF(BD.PD[[#This Row],[.]]="*",VLOOKUP(BD.PD[[#This Row],[Pos]],Presupuesto!A:H,7,FALSE),"")</f>
        <v/>
      </c>
      <c r="F118" s="385" t="s">
        <v>191</v>
      </c>
      <c r="G118" s="292">
        <v>4512435538</v>
      </c>
      <c r="H118" s="358">
        <v>45727</v>
      </c>
      <c r="I118" s="359">
        <v>13</v>
      </c>
      <c r="J118" s="231" t="s">
        <v>581</v>
      </c>
      <c r="K118" s="294">
        <f>IF(BD.PD[[#This Row],[Mon]]="DOP",1,HLOOKUP(BD.PD[[#This Row],[Mon]],$J$1:$K$2,2,FALSE))</f>
        <v>1</v>
      </c>
      <c r="L118" s="360">
        <v>850</v>
      </c>
      <c r="M118" s="296">
        <f>BD.PD[[#This Row],[Cant.]]*BD.PD[[#This Row],[ Tasa ]]*BD.PD[[#This Row],[ Precio Und.]]</f>
        <v>11050</v>
      </c>
      <c r="N118" s="361">
        <v>0</v>
      </c>
      <c r="O118" s="296">
        <f>IF(BD.PD[[#This Row],[Liquid. '[%']]]&lt;&gt;0,(BD.PD[[#This Row],[Valor Neto '[DOP']]]*BD.PD[[#This Row],[Liquid. '[%']]])+BD.PD[[#This Row],[Valor Neto '[DOP']]],BD.PD[[#This Row],[Valor Neto '[DOP']]])</f>
        <v>11050</v>
      </c>
      <c r="P118" s="306">
        <f>BD.PD[[#This Row],[Ppto. Orden Interna '[DOP']]]/HLOOKUP("USD",$J$1:$K$2,2,FALSE)</f>
        <v>175.39682539682539</v>
      </c>
      <c r="Q118" s="299" t="s">
        <v>649</v>
      </c>
      <c r="R118" s="307" t="s">
        <v>650</v>
      </c>
      <c r="S118" s="300">
        <v>4</v>
      </c>
      <c r="T118" s="301">
        <v>1</v>
      </c>
      <c r="U118" s="308">
        <f>BD.PD[[#This Row],[Av.P1 '[%']]]*BD.PD[[#This Row],[Ppto. Orden Interna '[DOP']]]</f>
        <v>11050</v>
      </c>
      <c r="V118" s="303"/>
      <c r="W118" s="304"/>
      <c r="X118" s="308">
        <f>BD.PD[[#This Row],[Av.P2 '[%']]]*BD.PD[[#This Row],[Ppto. Orden Interna '[DOP']]]</f>
        <v>0</v>
      </c>
      <c r="Y118" s="303"/>
      <c r="Z118" s="304"/>
      <c r="AA118" s="308">
        <f>BD.PD[[#This Row],[Av.P3 '[%']]]*BD.PD[[#This Row],[Ppto. Orden Interna '[DOP']]]</f>
        <v>0</v>
      </c>
      <c r="AB118" s="303"/>
      <c r="AC118" s="304"/>
      <c r="AD118" s="308">
        <f>BD.PD[[#This Row],[Av.P4 '[%']]]*BD.PD[[#This Row],[Ppto. Orden Interna '[DOP']]]</f>
        <v>0</v>
      </c>
      <c r="AE118" s="303"/>
      <c r="AF118" s="304"/>
      <c r="AG118" s="308">
        <f>BD.PD[[#This Row],[Av.P5 '[%']]]*BD.PD[[#This Row],[Ppto. Orden Interna '[DOP']]]</f>
        <v>0</v>
      </c>
      <c r="AH118" s="305">
        <f>BD.PD[[#This Row],[Pago 5]]+BD.PD[[#This Row],[Pago 4]]+BD.PD[[#This Row],[Pago 3]]+BD.PD[[#This Row],[Pago 2]]+BD.PD[[#This Row],[Pago 1]]</f>
        <v>11050</v>
      </c>
      <c r="AI118" s="404"/>
      <c r="IB118" s="275"/>
    </row>
    <row r="119" spans="1:236" ht="15" customHeight="1" x14ac:dyDescent="0.3">
      <c r="A119" s="231">
        <v>6.05</v>
      </c>
      <c r="B119" s="288"/>
      <c r="C119" s="289" t="str">
        <f>VLOOKUP(BD.PD[[#This Row],[Pos]],PPto[],3,FALSE)</f>
        <v>6.05 Otros sum e inst Tecnología y Seguridad Y Tesoreria</v>
      </c>
      <c r="D119" s="231" t="s">
        <v>22</v>
      </c>
      <c r="E119" s="291" t="str">
        <f>IF(BD.PD[[#This Row],[.]]="*",VLOOKUP(BD.PD[[#This Row],[Pos]],Presupuesto!A:H,7,FALSE),"")</f>
        <v/>
      </c>
      <c r="F119" s="385" t="s">
        <v>190</v>
      </c>
      <c r="G119" s="292">
        <v>4512435538</v>
      </c>
      <c r="H119" s="358">
        <v>45727</v>
      </c>
      <c r="I119" s="359">
        <v>1</v>
      </c>
      <c r="J119" s="231" t="s">
        <v>581</v>
      </c>
      <c r="K119" s="294">
        <f>IF(BD.PD[[#This Row],[Mon]]="DOP",1,HLOOKUP(BD.PD[[#This Row],[Mon]],$J$1:$K$2,2,FALSE))</f>
        <v>1</v>
      </c>
      <c r="L119" s="360">
        <v>24950</v>
      </c>
      <c r="M119" s="296">
        <f>BD.PD[[#This Row],[Cant.]]*BD.PD[[#This Row],[ Tasa ]]*BD.PD[[#This Row],[ Precio Und.]]</f>
        <v>24950</v>
      </c>
      <c r="N119" s="361">
        <v>0</v>
      </c>
      <c r="O119" s="296">
        <f>IF(BD.PD[[#This Row],[Liquid. '[%']]]&lt;&gt;0,(BD.PD[[#This Row],[Valor Neto '[DOP']]]*BD.PD[[#This Row],[Liquid. '[%']]])+BD.PD[[#This Row],[Valor Neto '[DOP']]],BD.PD[[#This Row],[Valor Neto '[DOP']]])</f>
        <v>24950</v>
      </c>
      <c r="P119" s="306">
        <f>BD.PD[[#This Row],[Ppto. Orden Interna '[DOP']]]/HLOOKUP("USD",$J$1:$K$2,2,FALSE)</f>
        <v>396.03174603174602</v>
      </c>
      <c r="Q119" s="299" t="s">
        <v>649</v>
      </c>
      <c r="R119" s="307" t="s">
        <v>650</v>
      </c>
      <c r="S119" s="300">
        <v>4</v>
      </c>
      <c r="T119" s="301">
        <v>1</v>
      </c>
      <c r="U119" s="308">
        <f>BD.PD[[#This Row],[Av.P1 '[%']]]*BD.PD[[#This Row],[Ppto. Orden Interna '[DOP']]]</f>
        <v>24950</v>
      </c>
      <c r="V119" s="303"/>
      <c r="W119" s="304"/>
      <c r="X119" s="308">
        <f>BD.PD[[#This Row],[Av.P2 '[%']]]*BD.PD[[#This Row],[Ppto. Orden Interna '[DOP']]]</f>
        <v>0</v>
      </c>
      <c r="Y119" s="303"/>
      <c r="Z119" s="304"/>
      <c r="AA119" s="308">
        <f>BD.PD[[#This Row],[Av.P3 '[%']]]*BD.PD[[#This Row],[Ppto. Orden Interna '[DOP']]]</f>
        <v>0</v>
      </c>
      <c r="AB119" s="303"/>
      <c r="AC119" s="304"/>
      <c r="AD119" s="308">
        <f>BD.PD[[#This Row],[Av.P4 '[%']]]*BD.PD[[#This Row],[Ppto. Orden Interna '[DOP']]]</f>
        <v>0</v>
      </c>
      <c r="AE119" s="303"/>
      <c r="AF119" s="304"/>
      <c r="AG119" s="308">
        <f>BD.PD[[#This Row],[Av.P5 '[%']]]*BD.PD[[#This Row],[Ppto. Orden Interna '[DOP']]]</f>
        <v>0</v>
      </c>
      <c r="AH119" s="305">
        <f>BD.PD[[#This Row],[Pago 5]]+BD.PD[[#This Row],[Pago 4]]+BD.PD[[#This Row],[Pago 3]]+BD.PD[[#This Row],[Pago 2]]+BD.PD[[#This Row],[Pago 1]]</f>
        <v>24950</v>
      </c>
      <c r="AI119" s="404"/>
      <c r="IB119" s="275"/>
    </row>
    <row r="120" spans="1:236" ht="15" customHeight="1" x14ac:dyDescent="0.3">
      <c r="A120" s="231">
        <v>6.05</v>
      </c>
      <c r="B120" s="288"/>
      <c r="C120" s="289" t="str">
        <f>VLOOKUP(BD.PD[[#This Row],[Pos]],PPto[],3,FALSE)</f>
        <v>6.05 Otros sum e inst Tecnología y Seguridad Y Tesoreria</v>
      </c>
      <c r="D120" s="231" t="s">
        <v>22</v>
      </c>
      <c r="E120" s="291" t="str">
        <f>IF(BD.PD[[#This Row],[.]]="*",VLOOKUP(BD.PD[[#This Row],[Pos]],Presupuesto!A:H,7,FALSE),"")</f>
        <v/>
      </c>
      <c r="F120" s="394" t="s">
        <v>192</v>
      </c>
      <c r="G120" s="292">
        <v>4512435538</v>
      </c>
      <c r="H120" s="358">
        <v>45727</v>
      </c>
      <c r="I120" s="359">
        <v>1</v>
      </c>
      <c r="J120" s="231" t="s">
        <v>581</v>
      </c>
      <c r="K120" s="294">
        <f>IF(BD.PD[[#This Row],[Mon]]="DOP",1,HLOOKUP(BD.PD[[#This Row],[Mon]],$J$1:$K$2,2,FALSE))</f>
        <v>1</v>
      </c>
      <c r="L120" s="360">
        <v>32500</v>
      </c>
      <c r="M120" s="296">
        <f>BD.PD[[#This Row],[Cant.]]*BD.PD[[#This Row],[ Tasa ]]*BD.PD[[#This Row],[ Precio Und.]]</f>
        <v>32500</v>
      </c>
      <c r="N120" s="361">
        <v>0</v>
      </c>
      <c r="O120" s="296">
        <f>IF(BD.PD[[#This Row],[Liquid. '[%']]]&lt;&gt;0,(BD.PD[[#This Row],[Valor Neto '[DOP']]]*BD.PD[[#This Row],[Liquid. '[%']]])+BD.PD[[#This Row],[Valor Neto '[DOP']]],BD.PD[[#This Row],[Valor Neto '[DOP']]])</f>
        <v>32500</v>
      </c>
      <c r="P120" s="306">
        <f>BD.PD[[#This Row],[Ppto. Orden Interna '[DOP']]]/HLOOKUP("USD",$J$1:$K$2,2,FALSE)</f>
        <v>515.8730158730159</v>
      </c>
      <c r="Q120" s="299" t="s">
        <v>649</v>
      </c>
      <c r="R120" s="307" t="s">
        <v>650</v>
      </c>
      <c r="S120" s="300">
        <v>4</v>
      </c>
      <c r="T120" s="301">
        <v>1</v>
      </c>
      <c r="U120" s="308">
        <f>BD.PD[[#This Row],[Av.P1 '[%']]]*BD.PD[[#This Row],[Ppto. Orden Interna '[DOP']]]</f>
        <v>32500</v>
      </c>
      <c r="V120" s="303"/>
      <c r="W120" s="304"/>
      <c r="X120" s="308">
        <f>BD.PD[[#This Row],[Av.P2 '[%']]]*BD.PD[[#This Row],[Ppto. Orden Interna '[DOP']]]</f>
        <v>0</v>
      </c>
      <c r="Y120" s="303"/>
      <c r="Z120" s="304"/>
      <c r="AA120" s="308">
        <f>BD.PD[[#This Row],[Av.P3 '[%']]]*BD.PD[[#This Row],[Ppto. Orden Interna '[DOP']]]</f>
        <v>0</v>
      </c>
      <c r="AB120" s="303"/>
      <c r="AC120" s="304"/>
      <c r="AD120" s="308">
        <f>BD.PD[[#This Row],[Av.P4 '[%']]]*BD.PD[[#This Row],[Ppto. Orden Interna '[DOP']]]</f>
        <v>0</v>
      </c>
      <c r="AE120" s="303"/>
      <c r="AF120" s="304"/>
      <c r="AG120" s="308">
        <f>BD.PD[[#This Row],[Av.P5 '[%']]]*BD.PD[[#This Row],[Ppto. Orden Interna '[DOP']]]</f>
        <v>0</v>
      </c>
      <c r="AH120" s="305">
        <f>BD.PD[[#This Row],[Pago 5]]+BD.PD[[#This Row],[Pago 4]]+BD.PD[[#This Row],[Pago 3]]+BD.PD[[#This Row],[Pago 2]]+BD.PD[[#This Row],[Pago 1]]</f>
        <v>32500</v>
      </c>
      <c r="AI120" s="404"/>
      <c r="IB120" s="275"/>
    </row>
    <row r="121" spans="1:236" ht="15" customHeight="1" x14ac:dyDescent="0.3">
      <c r="A121" s="231">
        <v>6.05</v>
      </c>
      <c r="B121" s="288"/>
      <c r="C121" s="289" t="str">
        <f>VLOOKUP(BD.PD[[#This Row],[Pos]],PPto[],3,FALSE)</f>
        <v>6.05 Otros sum e inst Tecnología y Seguridad Y Tesoreria</v>
      </c>
      <c r="D121" s="231" t="s">
        <v>22</v>
      </c>
      <c r="E121" s="291" t="str">
        <f>IF(BD.PD[[#This Row],[.]]="*",VLOOKUP(BD.PD[[#This Row],[Pos]],Presupuesto!A:H,7,FALSE),"")</f>
        <v/>
      </c>
      <c r="F121" s="406" t="s">
        <v>187</v>
      </c>
      <c r="G121" s="292">
        <v>4512504508</v>
      </c>
      <c r="H121" s="358">
        <v>45790</v>
      </c>
      <c r="I121" s="359">
        <v>1</v>
      </c>
      <c r="J121" s="231" t="s">
        <v>456</v>
      </c>
      <c r="K121" s="294">
        <f>IF(BD.PD[[#This Row],[Mon]]="DOP",1,HLOOKUP(BD.PD[[#This Row],[Mon]],$J$1:$K$2,2,FALSE))</f>
        <v>63</v>
      </c>
      <c r="L121" s="360">
        <v>20881.12</v>
      </c>
      <c r="M121" s="296">
        <f>BD.PD[[#This Row],[Cant.]]*BD.PD[[#This Row],[ Tasa ]]*BD.PD[[#This Row],[ Precio Und.]]</f>
        <v>1315510.5599999998</v>
      </c>
      <c r="N121" s="361">
        <v>0</v>
      </c>
      <c r="O121" s="296">
        <f>IF(BD.PD[[#This Row],[Liquid. '[%']]]&lt;&gt;0,(BD.PD[[#This Row],[Valor Neto '[DOP']]]*BD.PD[[#This Row],[Liquid. '[%']]])+BD.PD[[#This Row],[Valor Neto '[DOP']]],BD.PD[[#This Row],[Valor Neto '[DOP']]])</f>
        <v>1315510.5599999998</v>
      </c>
      <c r="P121" s="306">
        <f>BD.PD[[#This Row],[Ppto. Orden Interna '[DOP']]]/HLOOKUP("USD",$J$1:$K$2,2,FALSE)</f>
        <v>20881.12</v>
      </c>
      <c r="Q121" s="299" t="s">
        <v>649</v>
      </c>
      <c r="R121" s="307" t="s">
        <v>650</v>
      </c>
      <c r="S121" s="300">
        <v>5</v>
      </c>
      <c r="T121" s="301">
        <v>0.5</v>
      </c>
      <c r="U121" s="308">
        <f>BD.PD[[#This Row],[Av.P1 '[%']]]*BD.PD[[#This Row],[Ppto. Orden Interna '[DOP']]]</f>
        <v>657755.27999999991</v>
      </c>
      <c r="V121" s="303">
        <v>21</v>
      </c>
      <c r="W121" s="304">
        <v>0.5</v>
      </c>
      <c r="X121" s="308">
        <f>BD.PD[[#This Row],[Av.P2 '[%']]]*BD.PD[[#This Row],[Ppto. Orden Interna '[DOP']]]</f>
        <v>657755.27999999991</v>
      </c>
      <c r="Y121" s="303"/>
      <c r="Z121" s="304"/>
      <c r="AA121" s="308">
        <f>BD.PD[[#This Row],[Av.P3 '[%']]]*BD.PD[[#This Row],[Ppto. Orden Interna '[DOP']]]</f>
        <v>0</v>
      </c>
      <c r="AB121" s="303"/>
      <c r="AC121" s="304"/>
      <c r="AD121" s="308">
        <f>BD.PD[[#This Row],[Av.P4 '[%']]]*BD.PD[[#This Row],[Ppto. Orden Interna '[DOP']]]</f>
        <v>0</v>
      </c>
      <c r="AE121" s="303"/>
      <c r="AF121" s="304"/>
      <c r="AG121" s="308">
        <f>BD.PD[[#This Row],[Av.P5 '[%']]]*BD.PD[[#This Row],[Ppto. Orden Interna '[DOP']]]</f>
        <v>0</v>
      </c>
      <c r="AH121" s="305">
        <f>BD.PD[[#This Row],[Pago 5]]+BD.PD[[#This Row],[Pago 4]]+BD.PD[[#This Row],[Pago 3]]+BD.PD[[#This Row],[Pago 2]]+BD.PD[[#This Row],[Pago 1]]</f>
        <v>1315510.5599999998</v>
      </c>
      <c r="AI121" s="404"/>
      <c r="IB121" s="275"/>
    </row>
    <row r="122" spans="1:236" ht="15" customHeight="1" x14ac:dyDescent="0.3">
      <c r="A122" s="231">
        <v>6.05</v>
      </c>
      <c r="B122" s="288"/>
      <c r="C122" s="289" t="str">
        <f>VLOOKUP(BD.PD[[#This Row],[Pos]],PPto[],3,FALSE)</f>
        <v>6.05 Otros sum e inst Tecnología y Seguridad Y Tesoreria</v>
      </c>
      <c r="D122" s="231" t="s">
        <v>22</v>
      </c>
      <c r="E122" s="291" t="str">
        <f>IF(BD.PD[[#This Row],[.]]="*",VLOOKUP(BD.PD[[#This Row],[Pos]],Presupuesto!A:H,7,FALSE),"")</f>
        <v/>
      </c>
      <c r="F122" s="406" t="s">
        <v>195</v>
      </c>
      <c r="G122" s="292" t="s">
        <v>1345</v>
      </c>
      <c r="H122" s="358">
        <v>45921</v>
      </c>
      <c r="I122" s="359">
        <v>22</v>
      </c>
      <c r="J122" s="231" t="s">
        <v>581</v>
      </c>
      <c r="K122" s="294">
        <f>IF(BD.PD[[#This Row],[Mon]]="DOP",1,HLOOKUP(BD.PD[[#This Row],[Mon]],$J$1:$K$2,2,FALSE))</f>
        <v>1</v>
      </c>
      <c r="L122" s="360">
        <v>33000</v>
      </c>
      <c r="M122" s="296">
        <f>BD.PD[[#This Row],[Cant.]]*BD.PD[[#This Row],[ Tasa ]]*BD.PD[[#This Row],[ Precio Und.]]</f>
        <v>726000</v>
      </c>
      <c r="N122" s="361">
        <v>0</v>
      </c>
      <c r="O122" s="296">
        <f>IF(BD.PD[[#This Row],[Liquid. '[%']]]&lt;&gt;0,(BD.PD[[#This Row],[Valor Neto '[DOP']]]*BD.PD[[#This Row],[Liquid. '[%']]])+BD.PD[[#This Row],[Valor Neto '[DOP']]],BD.PD[[#This Row],[Valor Neto '[DOP']]])</f>
        <v>726000</v>
      </c>
      <c r="P122" s="306">
        <f>BD.PD[[#This Row],[Ppto. Orden Interna '[DOP']]]/HLOOKUP("USD",$J$1:$K$2,2,FALSE)</f>
        <v>11523.809523809523</v>
      </c>
      <c r="Q122" s="299" t="s">
        <v>651</v>
      </c>
      <c r="R122" s="307" t="s">
        <v>652</v>
      </c>
      <c r="S122" s="300">
        <v>21</v>
      </c>
      <c r="T122" s="301">
        <v>1</v>
      </c>
      <c r="U122" s="308">
        <f>BD.PD[[#This Row],[Av.P1 '[%']]]*BD.PD[[#This Row],[Ppto. Orden Interna '[DOP']]]</f>
        <v>726000</v>
      </c>
      <c r="V122" s="303"/>
      <c r="W122" s="304"/>
      <c r="X122" s="308">
        <f>BD.PD[[#This Row],[Av.P2 '[%']]]*BD.PD[[#This Row],[Ppto. Orden Interna '[DOP']]]</f>
        <v>0</v>
      </c>
      <c r="Y122" s="303"/>
      <c r="Z122" s="304"/>
      <c r="AA122" s="308">
        <f>BD.PD[[#This Row],[Av.P3 '[%']]]*BD.PD[[#This Row],[Ppto. Orden Interna '[DOP']]]</f>
        <v>0</v>
      </c>
      <c r="AB122" s="303"/>
      <c r="AC122" s="304"/>
      <c r="AD122" s="308">
        <f>BD.PD[[#This Row],[Av.P4 '[%']]]*BD.PD[[#This Row],[Ppto. Orden Interna '[DOP']]]</f>
        <v>0</v>
      </c>
      <c r="AE122" s="303"/>
      <c r="AF122" s="304"/>
      <c r="AG122" s="308">
        <f>BD.PD[[#This Row],[Av.P5 '[%']]]*BD.PD[[#This Row],[Ppto. Orden Interna '[DOP']]]</f>
        <v>0</v>
      </c>
      <c r="AH122" s="305">
        <f>BD.PD[[#This Row],[Pago 5]]+BD.PD[[#This Row],[Pago 4]]+BD.PD[[#This Row],[Pago 3]]+BD.PD[[#This Row],[Pago 2]]+BD.PD[[#This Row],[Pago 1]]</f>
        <v>726000</v>
      </c>
      <c r="AI122" s="404"/>
      <c r="IB122" s="275"/>
    </row>
    <row r="123" spans="1:236" ht="15" customHeight="1" x14ac:dyDescent="0.3">
      <c r="A123" s="231">
        <v>6.05</v>
      </c>
      <c r="B123" s="288"/>
      <c r="C123" s="289" t="str">
        <f>VLOOKUP(BD.PD[[#This Row],[Pos]],PPto[],3,FALSE)</f>
        <v>6.05 Otros sum e inst Tecnología y Seguridad Y Tesoreria</v>
      </c>
      <c r="D123" s="231" t="s">
        <v>22</v>
      </c>
      <c r="E123" s="291" t="str">
        <f>IF(BD.PD[[#This Row],[.]]="*",VLOOKUP(BD.PD[[#This Row],[Pos]],Presupuesto!A:H,7,FALSE),"")</f>
        <v/>
      </c>
      <c r="F123" s="406" t="s">
        <v>193</v>
      </c>
      <c r="G123" s="292" t="s">
        <v>578</v>
      </c>
      <c r="H123" s="358">
        <v>45921</v>
      </c>
      <c r="I123" s="359">
        <v>1</v>
      </c>
      <c r="J123" s="231" t="s">
        <v>581</v>
      </c>
      <c r="K123" s="294">
        <f>IF(BD.PD[[#This Row],[Mon]]="DOP",1,HLOOKUP(BD.PD[[#This Row],[Mon]],$J$1:$K$2,2,FALSE))</f>
        <v>1</v>
      </c>
      <c r="L123" s="360">
        <v>4418</v>
      </c>
      <c r="M123" s="296">
        <f>BD.PD[[#This Row],[Cant.]]*BD.PD[[#This Row],[ Tasa ]]*BD.PD[[#This Row],[ Precio Und.]]</f>
        <v>4418</v>
      </c>
      <c r="N123" s="361">
        <v>0</v>
      </c>
      <c r="O123" s="296">
        <f>IF(BD.PD[[#This Row],[Liquid. '[%']]]&lt;&gt;0,(BD.PD[[#This Row],[Valor Neto '[DOP']]]*BD.PD[[#This Row],[Liquid. '[%']]])+BD.PD[[#This Row],[Valor Neto '[DOP']]],BD.PD[[#This Row],[Valor Neto '[DOP']]])</f>
        <v>4418</v>
      </c>
      <c r="P123" s="306">
        <f>BD.PD[[#This Row],[Ppto. Orden Interna '[DOP']]]/HLOOKUP("USD",$J$1:$K$2,2,FALSE)</f>
        <v>70.126984126984127</v>
      </c>
      <c r="Q123" s="299" t="s">
        <v>653</v>
      </c>
      <c r="R123" s="307" t="s">
        <v>654</v>
      </c>
      <c r="S123" s="300">
        <v>21</v>
      </c>
      <c r="T123" s="301">
        <v>1</v>
      </c>
      <c r="U123" s="308">
        <f>BD.PD[[#This Row],[Av.P1 '[%']]]*BD.PD[[#This Row],[Ppto. Orden Interna '[DOP']]]</f>
        <v>4418</v>
      </c>
      <c r="V123" s="303"/>
      <c r="W123" s="304"/>
      <c r="X123" s="308">
        <f>BD.PD[[#This Row],[Av.P2 '[%']]]*BD.PD[[#This Row],[Ppto. Orden Interna '[DOP']]]</f>
        <v>0</v>
      </c>
      <c r="Y123" s="303"/>
      <c r="Z123" s="304"/>
      <c r="AA123" s="308">
        <f>BD.PD[[#This Row],[Av.P3 '[%']]]*BD.PD[[#This Row],[Ppto. Orden Interna '[DOP']]]</f>
        <v>0</v>
      </c>
      <c r="AB123" s="303"/>
      <c r="AC123" s="304"/>
      <c r="AD123" s="308">
        <f>BD.PD[[#This Row],[Av.P4 '[%']]]*BD.PD[[#This Row],[Ppto. Orden Interna '[DOP']]]</f>
        <v>0</v>
      </c>
      <c r="AE123" s="303"/>
      <c r="AF123" s="304"/>
      <c r="AG123" s="308">
        <f>BD.PD[[#This Row],[Av.P5 '[%']]]*BD.PD[[#This Row],[Ppto. Orden Interna '[DOP']]]</f>
        <v>0</v>
      </c>
      <c r="AH123" s="305">
        <f>BD.PD[[#This Row],[Pago 5]]+BD.PD[[#This Row],[Pago 4]]+BD.PD[[#This Row],[Pago 3]]+BD.PD[[#This Row],[Pago 2]]+BD.PD[[#This Row],[Pago 1]]</f>
        <v>4418</v>
      </c>
      <c r="AI123" s="404"/>
      <c r="IB123" s="275"/>
    </row>
    <row r="124" spans="1:236" ht="15" customHeight="1" x14ac:dyDescent="0.3">
      <c r="A124" s="231">
        <v>6.05</v>
      </c>
      <c r="B124" s="288"/>
      <c r="C124" s="289" t="str">
        <f>VLOOKUP(BD.PD[[#This Row],[Pos]],PPto[],3,FALSE)</f>
        <v>6.05 Otros sum e inst Tecnología y Seguridad Y Tesoreria</v>
      </c>
      <c r="D124" s="231" t="s">
        <v>22</v>
      </c>
      <c r="E124" s="291" t="str">
        <f>IF(BD.PD[[#This Row],[.]]="*",VLOOKUP(BD.PD[[#This Row],[Pos]],Presupuesto!A:H,7,FALSE),"")</f>
        <v/>
      </c>
      <c r="F124" s="406" t="s">
        <v>189</v>
      </c>
      <c r="G124" s="292" t="s">
        <v>578</v>
      </c>
      <c r="H124" s="358">
        <v>45921</v>
      </c>
      <c r="I124" s="359">
        <v>1</v>
      </c>
      <c r="J124" s="231" t="s">
        <v>581</v>
      </c>
      <c r="K124" s="294">
        <f>IF(BD.PD[[#This Row],[Mon]]="DOP",1,HLOOKUP(BD.PD[[#This Row],[Mon]],$J$1:$K$2,2,FALSE))</f>
        <v>1</v>
      </c>
      <c r="L124" s="360">
        <v>11550</v>
      </c>
      <c r="M124" s="296">
        <f>BD.PD[[#This Row],[Cant.]]*BD.PD[[#This Row],[ Tasa ]]*BD.PD[[#This Row],[ Precio Und.]]</f>
        <v>11550</v>
      </c>
      <c r="N124" s="361">
        <v>0</v>
      </c>
      <c r="O124" s="296">
        <f>IF(BD.PD[[#This Row],[Liquid. '[%']]]&lt;&gt;0,(BD.PD[[#This Row],[Valor Neto '[DOP']]]*BD.PD[[#This Row],[Liquid. '[%']]])+BD.PD[[#This Row],[Valor Neto '[DOP']]],BD.PD[[#This Row],[Valor Neto '[DOP']]])</f>
        <v>11550</v>
      </c>
      <c r="P124" s="306">
        <f>BD.PD[[#This Row],[Ppto. Orden Interna '[DOP']]]/HLOOKUP("USD",$J$1:$K$2,2,FALSE)</f>
        <v>183.33333333333334</v>
      </c>
      <c r="Q124" s="299" t="s">
        <v>653</v>
      </c>
      <c r="R124" s="307" t="s">
        <v>654</v>
      </c>
      <c r="S124" s="300">
        <v>21</v>
      </c>
      <c r="T124" s="301">
        <v>1</v>
      </c>
      <c r="U124" s="308">
        <f>BD.PD[[#This Row],[Av.P1 '[%']]]*BD.PD[[#This Row],[Ppto. Orden Interna '[DOP']]]</f>
        <v>11550</v>
      </c>
      <c r="V124" s="303"/>
      <c r="W124" s="304"/>
      <c r="X124" s="308">
        <f>BD.PD[[#This Row],[Av.P2 '[%']]]*BD.PD[[#This Row],[Ppto. Orden Interna '[DOP']]]</f>
        <v>0</v>
      </c>
      <c r="Y124" s="303"/>
      <c r="Z124" s="304"/>
      <c r="AA124" s="308">
        <f>BD.PD[[#This Row],[Av.P3 '[%']]]*BD.PD[[#This Row],[Ppto. Orden Interna '[DOP']]]</f>
        <v>0</v>
      </c>
      <c r="AB124" s="303"/>
      <c r="AC124" s="304"/>
      <c r="AD124" s="308">
        <f>BD.PD[[#This Row],[Av.P4 '[%']]]*BD.PD[[#This Row],[Ppto. Orden Interna '[DOP']]]</f>
        <v>0</v>
      </c>
      <c r="AE124" s="303"/>
      <c r="AF124" s="304"/>
      <c r="AG124" s="308">
        <f>BD.PD[[#This Row],[Av.P5 '[%']]]*BD.PD[[#This Row],[Ppto. Orden Interna '[DOP']]]</f>
        <v>0</v>
      </c>
      <c r="AH124" s="305">
        <f>BD.PD[[#This Row],[Pago 5]]+BD.PD[[#This Row],[Pago 4]]+BD.PD[[#This Row],[Pago 3]]+BD.PD[[#This Row],[Pago 2]]+BD.PD[[#This Row],[Pago 1]]</f>
        <v>11550</v>
      </c>
      <c r="AI124" s="404"/>
      <c r="IB124" s="275"/>
    </row>
    <row r="125" spans="1:236" ht="15" customHeight="1" x14ac:dyDescent="0.3">
      <c r="A125" s="231">
        <v>6.05</v>
      </c>
      <c r="B125" s="288"/>
      <c r="C125" s="289" t="str">
        <f>VLOOKUP(BD.PD[[#This Row],[Pos]],PPto[],3,FALSE)</f>
        <v>6.05 Otros sum e inst Tecnología y Seguridad Y Tesoreria</v>
      </c>
      <c r="D125" s="231" t="s">
        <v>22</v>
      </c>
      <c r="E125" s="291" t="str">
        <f>IF(BD.PD[[#This Row],[.]]="*",VLOOKUP(BD.PD[[#This Row],[Pos]],Presupuesto!A:H,7,FALSE),"")</f>
        <v/>
      </c>
      <c r="F125" s="406" t="s">
        <v>185</v>
      </c>
      <c r="G125" s="292" t="s">
        <v>578</v>
      </c>
      <c r="H125" s="358">
        <v>45921</v>
      </c>
      <c r="I125" s="359">
        <v>1</v>
      </c>
      <c r="J125" s="231" t="s">
        <v>581</v>
      </c>
      <c r="K125" s="294">
        <f>IF(BD.PD[[#This Row],[Mon]]="DOP",1,HLOOKUP(BD.PD[[#This Row],[Mon]],$J$1:$K$2,2,FALSE))</f>
        <v>1</v>
      </c>
      <c r="L125" s="360">
        <v>4399</v>
      </c>
      <c r="M125" s="296">
        <f>BD.PD[[#This Row],[Cant.]]*BD.PD[[#This Row],[ Tasa ]]*BD.PD[[#This Row],[ Precio Und.]]</f>
        <v>4399</v>
      </c>
      <c r="N125" s="361">
        <v>0</v>
      </c>
      <c r="O125" s="296">
        <f>IF(BD.PD[[#This Row],[Liquid. '[%']]]&lt;&gt;0,(BD.PD[[#This Row],[Valor Neto '[DOP']]]*BD.PD[[#This Row],[Liquid. '[%']]])+BD.PD[[#This Row],[Valor Neto '[DOP']]],BD.PD[[#This Row],[Valor Neto '[DOP']]])</f>
        <v>4399</v>
      </c>
      <c r="P125" s="306">
        <f>BD.PD[[#This Row],[Ppto. Orden Interna '[DOP']]]/HLOOKUP("USD",$J$1:$K$2,2,FALSE)</f>
        <v>69.825396825396822</v>
      </c>
      <c r="Q125" s="299" t="s">
        <v>653</v>
      </c>
      <c r="R125" s="307" t="s">
        <v>654</v>
      </c>
      <c r="S125" s="300">
        <v>21</v>
      </c>
      <c r="T125" s="301">
        <v>1</v>
      </c>
      <c r="U125" s="308">
        <f>BD.PD[[#This Row],[Av.P1 '[%']]]*BD.PD[[#This Row],[Ppto. Orden Interna '[DOP']]]</f>
        <v>4399</v>
      </c>
      <c r="V125" s="303"/>
      <c r="W125" s="304"/>
      <c r="X125" s="308">
        <f>BD.PD[[#This Row],[Av.P2 '[%']]]*BD.PD[[#This Row],[Ppto. Orden Interna '[DOP']]]</f>
        <v>0</v>
      </c>
      <c r="Y125" s="303"/>
      <c r="Z125" s="304"/>
      <c r="AA125" s="308">
        <f>BD.PD[[#This Row],[Av.P3 '[%']]]*BD.PD[[#This Row],[Ppto. Orden Interna '[DOP']]]</f>
        <v>0</v>
      </c>
      <c r="AB125" s="303"/>
      <c r="AC125" s="304"/>
      <c r="AD125" s="308">
        <f>BD.PD[[#This Row],[Av.P4 '[%']]]*BD.PD[[#This Row],[Ppto. Orden Interna '[DOP']]]</f>
        <v>0</v>
      </c>
      <c r="AE125" s="303"/>
      <c r="AF125" s="304"/>
      <c r="AG125" s="308">
        <f>BD.PD[[#This Row],[Av.P5 '[%']]]*BD.PD[[#This Row],[Ppto. Orden Interna '[DOP']]]</f>
        <v>0</v>
      </c>
      <c r="AH125" s="305">
        <f>BD.PD[[#This Row],[Pago 5]]+BD.PD[[#This Row],[Pago 4]]+BD.PD[[#This Row],[Pago 3]]+BD.PD[[#This Row],[Pago 2]]+BD.PD[[#This Row],[Pago 1]]</f>
        <v>4399</v>
      </c>
      <c r="AI125" s="404"/>
      <c r="IB125" s="275"/>
    </row>
    <row r="126" spans="1:236" ht="15" customHeight="1" x14ac:dyDescent="0.3">
      <c r="A126" s="231">
        <v>6.05</v>
      </c>
      <c r="B126" s="288"/>
      <c r="C126" s="289" t="str">
        <f>VLOOKUP(BD.PD[[#This Row],[Pos]],PPto[],3,FALSE)</f>
        <v>6.05 Otros sum e inst Tecnología y Seguridad Y Tesoreria</v>
      </c>
      <c r="D126" s="231" t="s">
        <v>22</v>
      </c>
      <c r="E126" s="291" t="str">
        <f>IF(BD.PD[[#This Row],[.]]="*",VLOOKUP(BD.PD[[#This Row],[Pos]],Presupuesto!A:H,7,FALSE),"")</f>
        <v/>
      </c>
      <c r="F126" s="387" t="s">
        <v>186</v>
      </c>
      <c r="G126" s="292">
        <v>4512940932</v>
      </c>
      <c r="H126" s="358">
        <v>46155</v>
      </c>
      <c r="I126" s="359">
        <v>1</v>
      </c>
      <c r="J126" s="231" t="s">
        <v>581</v>
      </c>
      <c r="K126" s="294">
        <f>IF(BD.PD[[#This Row],[Mon]]="DOP",1,HLOOKUP(BD.PD[[#This Row],[Mon]],$J$1:$K$2,2,FALSE))</f>
        <v>1</v>
      </c>
      <c r="L126" s="360">
        <v>64500</v>
      </c>
      <c r="M126" s="296">
        <f>BD.PD[[#This Row],[Cant.]]*BD.PD[[#This Row],[ Tasa ]]*BD.PD[[#This Row],[ Precio Und.]]</f>
        <v>64500</v>
      </c>
      <c r="N126" s="361">
        <v>0</v>
      </c>
      <c r="O126" s="296">
        <f>IF(BD.PD[[#This Row],[Liquid. '[%']]]&lt;&gt;0,(BD.PD[[#This Row],[Valor Neto '[DOP']]]*BD.PD[[#This Row],[Liquid. '[%']]])+BD.PD[[#This Row],[Valor Neto '[DOP']]],BD.PD[[#This Row],[Valor Neto '[DOP']]])</f>
        <v>64500</v>
      </c>
      <c r="P126" s="306">
        <f>BD.PD[[#This Row],[Ppto. Orden Interna '[DOP']]]/HLOOKUP("USD",$J$1:$K$2,2,FALSE)</f>
        <v>1023.8095238095239</v>
      </c>
      <c r="Q126" s="299" t="s">
        <v>649</v>
      </c>
      <c r="R126" s="307" t="s">
        <v>650</v>
      </c>
      <c r="S126" s="300">
        <v>21</v>
      </c>
      <c r="T126" s="301">
        <v>1</v>
      </c>
      <c r="U126" s="308">
        <f>BD.PD[[#This Row],[Av.P1 '[%']]]*BD.PD[[#This Row],[Ppto. Orden Interna '[DOP']]]</f>
        <v>64500</v>
      </c>
      <c r="V126" s="303"/>
      <c r="W126" s="304"/>
      <c r="X126" s="308">
        <f>BD.PD[[#This Row],[Av.P2 '[%']]]*BD.PD[[#This Row],[Ppto. Orden Interna '[DOP']]]</f>
        <v>0</v>
      </c>
      <c r="Y126" s="303"/>
      <c r="Z126" s="304"/>
      <c r="AA126" s="308">
        <f>BD.PD[[#This Row],[Av.P3 '[%']]]*BD.PD[[#This Row],[Ppto. Orden Interna '[DOP']]]</f>
        <v>0</v>
      </c>
      <c r="AB126" s="303"/>
      <c r="AC126" s="304"/>
      <c r="AD126" s="308">
        <f>BD.PD[[#This Row],[Av.P4 '[%']]]*BD.PD[[#This Row],[Ppto. Orden Interna '[DOP']]]</f>
        <v>0</v>
      </c>
      <c r="AE126" s="303"/>
      <c r="AF126" s="304"/>
      <c r="AG126" s="308">
        <f>BD.PD[[#This Row],[Av.P5 '[%']]]*BD.PD[[#This Row],[Ppto. Orden Interna '[DOP']]]</f>
        <v>0</v>
      </c>
      <c r="AH126" s="305">
        <f>BD.PD[[#This Row],[Pago 5]]+BD.PD[[#This Row],[Pago 4]]+BD.PD[[#This Row],[Pago 3]]+BD.PD[[#This Row],[Pago 2]]+BD.PD[[#This Row],[Pago 1]]</f>
        <v>64500</v>
      </c>
      <c r="AI126" s="404"/>
      <c r="IB126" s="275"/>
    </row>
    <row r="127" spans="1:236" ht="15" customHeight="1" x14ac:dyDescent="0.3">
      <c r="A127" s="231">
        <v>6.05</v>
      </c>
      <c r="B127" s="288"/>
      <c r="C127" s="289" t="str">
        <f>VLOOKUP(BD.PD[[#This Row],[Pos]],PPto[],3,FALSE)</f>
        <v>6.05 Otros sum e inst Tecnología y Seguridad Y Tesoreria</v>
      </c>
      <c r="D127" s="231" t="s">
        <v>22</v>
      </c>
      <c r="E127" s="291" t="str">
        <f>IF(BD.PD[[#This Row],[.]]="*",VLOOKUP(BD.PD[[#This Row],[Pos]],Presupuesto!A:H,7,FALSE),"")</f>
        <v/>
      </c>
      <c r="F127" s="387" t="s">
        <v>188</v>
      </c>
      <c r="G127" s="292" t="s">
        <v>578</v>
      </c>
      <c r="H127" s="358">
        <v>45921</v>
      </c>
      <c r="I127" s="359">
        <v>1</v>
      </c>
      <c r="J127" s="231" t="s">
        <v>581</v>
      </c>
      <c r="K127" s="294">
        <f>IF(BD.PD[[#This Row],[Mon]]="DOP",1,HLOOKUP(BD.PD[[#This Row],[Mon]],$J$1:$K$2,2,FALSE))</f>
        <v>1</v>
      </c>
      <c r="L127" s="360">
        <v>27923.73</v>
      </c>
      <c r="M127" s="296">
        <f>BD.PD[[#This Row],[Cant.]]*BD.PD[[#This Row],[ Tasa ]]*BD.PD[[#This Row],[ Precio Und.]]</f>
        <v>27923.73</v>
      </c>
      <c r="N127" s="361">
        <v>0</v>
      </c>
      <c r="O127" s="296">
        <f>IF(BD.PD[[#This Row],[Liquid. '[%']]]&lt;&gt;0,(BD.PD[[#This Row],[Valor Neto '[DOP']]]*BD.PD[[#This Row],[Liquid. '[%']]])+BD.PD[[#This Row],[Valor Neto '[DOP']]],BD.PD[[#This Row],[Valor Neto '[DOP']]])</f>
        <v>27923.73</v>
      </c>
      <c r="P127" s="306">
        <f>BD.PD[[#This Row],[Ppto. Orden Interna '[DOP']]]/HLOOKUP("USD",$J$1:$K$2,2,FALSE)</f>
        <v>443.2338095238095</v>
      </c>
      <c r="Q127" s="299" t="s">
        <v>649</v>
      </c>
      <c r="R127" s="307" t="s">
        <v>650</v>
      </c>
      <c r="S127" s="300">
        <v>21</v>
      </c>
      <c r="T127" s="301">
        <v>1</v>
      </c>
      <c r="U127" s="308">
        <f>BD.PD[[#This Row],[Av.P1 '[%']]]*BD.PD[[#This Row],[Ppto. Orden Interna '[DOP']]]</f>
        <v>27923.73</v>
      </c>
      <c r="V127" s="303"/>
      <c r="W127" s="304"/>
      <c r="X127" s="308">
        <f>BD.PD[[#This Row],[Av.P2 '[%']]]*BD.PD[[#This Row],[Ppto. Orden Interna '[DOP']]]</f>
        <v>0</v>
      </c>
      <c r="Y127" s="303"/>
      <c r="Z127" s="304"/>
      <c r="AA127" s="308">
        <f>BD.PD[[#This Row],[Av.P3 '[%']]]*BD.PD[[#This Row],[Ppto. Orden Interna '[DOP']]]</f>
        <v>0</v>
      </c>
      <c r="AB127" s="303"/>
      <c r="AC127" s="304"/>
      <c r="AD127" s="308">
        <f>BD.PD[[#This Row],[Av.P4 '[%']]]*BD.PD[[#This Row],[Ppto. Orden Interna '[DOP']]]</f>
        <v>0</v>
      </c>
      <c r="AE127" s="303"/>
      <c r="AF127" s="304"/>
      <c r="AG127" s="308">
        <f>BD.PD[[#This Row],[Av.P5 '[%']]]*BD.PD[[#This Row],[Ppto. Orden Interna '[DOP']]]</f>
        <v>0</v>
      </c>
      <c r="AH127" s="305">
        <f>BD.PD[[#This Row],[Pago 5]]+BD.PD[[#This Row],[Pago 4]]+BD.PD[[#This Row],[Pago 3]]+BD.PD[[#This Row],[Pago 2]]+BD.PD[[#This Row],[Pago 1]]</f>
        <v>27923.73</v>
      </c>
      <c r="AI127" s="404"/>
      <c r="IB127" s="275"/>
    </row>
    <row r="128" spans="1:236" ht="15" customHeight="1" x14ac:dyDescent="0.3">
      <c r="A128" s="231">
        <v>6.05</v>
      </c>
      <c r="B128" s="288"/>
      <c r="C128" s="289" t="str">
        <f>VLOOKUP(BD.PD[[#This Row],[Pos]],PPto[],3,FALSE)</f>
        <v>6.05 Otros sum e inst Tecnología y Seguridad Y Tesoreria</v>
      </c>
      <c r="D128" s="231" t="s">
        <v>22</v>
      </c>
      <c r="E128" s="291" t="str">
        <f>IF(BD.PD[[#This Row],[.]]="*",VLOOKUP(BD.PD[[#This Row],[Pos]],Presupuesto!A:H,7,FALSE),"")</f>
        <v/>
      </c>
      <c r="F128" s="387" t="s">
        <v>194</v>
      </c>
      <c r="G128" s="292">
        <v>4513044086</v>
      </c>
      <c r="H128" s="358">
        <v>45921</v>
      </c>
      <c r="I128" s="359">
        <v>1</v>
      </c>
      <c r="J128" s="231" t="s">
        <v>581</v>
      </c>
      <c r="K128" s="294">
        <f>IF(BD.PD[[#This Row],[Mon]]="DOP",1,HLOOKUP(BD.PD[[#This Row],[Mon]],$J$1:$K$2,2,FALSE))</f>
        <v>1</v>
      </c>
      <c r="L128" s="360">
        <v>23500</v>
      </c>
      <c r="M128" s="296">
        <f>BD.PD[[#This Row],[Cant.]]*BD.PD[[#This Row],[ Tasa ]]*BD.PD[[#This Row],[ Precio Und.]]</f>
        <v>23500</v>
      </c>
      <c r="N128" s="361">
        <v>0</v>
      </c>
      <c r="O128" s="296">
        <f>IF(BD.PD[[#This Row],[Liquid. '[%']]]&lt;&gt;0,(BD.PD[[#This Row],[Valor Neto '[DOP']]]*BD.PD[[#This Row],[Liquid. '[%']]])+BD.PD[[#This Row],[Valor Neto '[DOP']]],BD.PD[[#This Row],[Valor Neto '[DOP']]])</f>
        <v>23500</v>
      </c>
      <c r="P128" s="306">
        <f>BD.PD[[#This Row],[Ppto. Orden Interna '[DOP']]]/HLOOKUP("USD",$J$1:$K$2,2,FALSE)</f>
        <v>373.01587301587301</v>
      </c>
      <c r="Q128" s="299" t="s">
        <v>649</v>
      </c>
      <c r="R128" s="307" t="s">
        <v>650</v>
      </c>
      <c r="S128" s="300">
        <v>21</v>
      </c>
      <c r="T128" s="301">
        <v>1</v>
      </c>
      <c r="U128" s="308">
        <f>BD.PD[[#This Row],[Av.P1 '[%']]]*BD.PD[[#This Row],[Ppto. Orden Interna '[DOP']]]</f>
        <v>23500</v>
      </c>
      <c r="V128" s="303"/>
      <c r="W128" s="304"/>
      <c r="X128" s="308">
        <f>BD.PD[[#This Row],[Av.P2 '[%']]]*BD.PD[[#This Row],[Ppto. Orden Interna '[DOP']]]</f>
        <v>0</v>
      </c>
      <c r="Y128" s="303"/>
      <c r="Z128" s="304"/>
      <c r="AA128" s="308">
        <f>BD.PD[[#This Row],[Av.P3 '[%']]]*BD.PD[[#This Row],[Ppto. Orden Interna '[DOP']]]</f>
        <v>0</v>
      </c>
      <c r="AB128" s="303"/>
      <c r="AC128" s="304"/>
      <c r="AD128" s="308">
        <f>BD.PD[[#This Row],[Av.P4 '[%']]]*BD.PD[[#This Row],[Ppto. Orden Interna '[DOP']]]</f>
        <v>0</v>
      </c>
      <c r="AE128" s="303"/>
      <c r="AF128" s="304"/>
      <c r="AG128" s="308">
        <f>BD.PD[[#This Row],[Av.P5 '[%']]]*BD.PD[[#This Row],[Ppto. Orden Interna '[DOP']]]</f>
        <v>0</v>
      </c>
      <c r="AH128" s="305">
        <f>BD.PD[[#This Row],[Pago 5]]+BD.PD[[#This Row],[Pago 4]]+BD.PD[[#This Row],[Pago 3]]+BD.PD[[#This Row],[Pago 2]]+BD.PD[[#This Row],[Pago 1]]</f>
        <v>23500</v>
      </c>
      <c r="AI128" s="404"/>
      <c r="IB128" s="275"/>
    </row>
    <row r="129" spans="1:236" ht="15" customHeight="1" x14ac:dyDescent="0.3">
      <c r="A129" s="231">
        <v>6.05</v>
      </c>
      <c r="B129" s="288"/>
      <c r="C129" s="289" t="str">
        <f>VLOOKUP(BD.PD[[#This Row],[Pos]],PPto[],3,FALSE)</f>
        <v>6.05 Otros sum e inst Tecnología y Seguridad Y Tesoreria</v>
      </c>
      <c r="D129" s="231" t="s">
        <v>22</v>
      </c>
      <c r="E129" s="291" t="str">
        <f>IF(BD.PD[[#This Row],[.]]="*",VLOOKUP(BD.PD[[#This Row],[Pos]],Presupuesto!A:H,7,FALSE),"")</f>
        <v/>
      </c>
      <c r="F129" s="504" t="s">
        <v>655</v>
      </c>
      <c r="G129" s="292">
        <v>4512922514</v>
      </c>
      <c r="H129" s="358">
        <v>46140</v>
      </c>
      <c r="I129" s="359">
        <v>12</v>
      </c>
      <c r="J129" s="231" t="s">
        <v>456</v>
      </c>
      <c r="K129" s="294">
        <f>IF(BD.PD[[#This Row],[Mon]]="DOP",1,HLOOKUP(BD.PD[[#This Row],[Mon]],$J$1:$K$2,2,FALSE))</f>
        <v>63</v>
      </c>
      <c r="L129" s="360">
        <v>141.24</v>
      </c>
      <c r="M129" s="296">
        <f>BD.PD[[#This Row],[Cant.]]*BD.PD[[#This Row],[ Tasa ]]*BD.PD[[#This Row],[ Precio Und.]]</f>
        <v>106777.44</v>
      </c>
      <c r="N129" s="361">
        <v>0</v>
      </c>
      <c r="O129" s="296">
        <f>IF(BD.PD[[#This Row],[Liquid. '[%']]]&lt;&gt;0,(BD.PD[[#This Row],[Valor Neto '[DOP']]]*BD.PD[[#This Row],[Liquid. '[%']]])+BD.PD[[#This Row],[Valor Neto '[DOP']]],BD.PD[[#This Row],[Valor Neto '[DOP']]])</f>
        <v>106777.44</v>
      </c>
      <c r="P129" s="306">
        <f>BD.PD[[#This Row],[Ppto. Orden Interna '[DOP']]]/HLOOKUP("USD",$J$1:$K$2,2,FALSE)</f>
        <v>1694.88</v>
      </c>
      <c r="Q129" s="299" t="s">
        <v>656</v>
      </c>
      <c r="R129" s="307" t="s">
        <v>657</v>
      </c>
      <c r="S129" s="300">
        <v>17</v>
      </c>
      <c r="T129" s="301">
        <v>0.5</v>
      </c>
      <c r="U129" s="308">
        <f>BD.PD[[#This Row],[Av.P1 '[%']]]*BD.PD[[#This Row],[Ppto. Orden Interna '[DOP']]]</f>
        <v>53388.72</v>
      </c>
      <c r="V129" s="303">
        <v>19</v>
      </c>
      <c r="W129" s="304">
        <v>0.5</v>
      </c>
      <c r="X129" s="308">
        <f>BD.PD[[#This Row],[Av.P2 '[%']]]*BD.PD[[#This Row],[Ppto. Orden Interna '[DOP']]]</f>
        <v>53388.72</v>
      </c>
      <c r="Y129" s="303"/>
      <c r="Z129" s="304"/>
      <c r="AA129" s="308">
        <f>BD.PD[[#This Row],[Av.P3 '[%']]]*BD.PD[[#This Row],[Ppto. Orden Interna '[DOP']]]</f>
        <v>0</v>
      </c>
      <c r="AB129" s="303"/>
      <c r="AC129" s="304"/>
      <c r="AD129" s="308">
        <f>BD.PD[[#This Row],[Av.P4 '[%']]]*BD.PD[[#This Row],[Ppto. Orden Interna '[DOP']]]</f>
        <v>0</v>
      </c>
      <c r="AE129" s="303"/>
      <c r="AF129" s="304"/>
      <c r="AG129" s="308">
        <f>BD.PD[[#This Row],[Av.P5 '[%']]]*BD.PD[[#This Row],[Ppto. Orden Interna '[DOP']]]</f>
        <v>0</v>
      </c>
      <c r="AH129" s="305">
        <f>BD.PD[[#This Row],[Pago 5]]+BD.PD[[#This Row],[Pago 4]]+BD.PD[[#This Row],[Pago 3]]+BD.PD[[#This Row],[Pago 2]]+BD.PD[[#This Row],[Pago 1]]</f>
        <v>106777.44</v>
      </c>
      <c r="AI129" s="404"/>
      <c r="IB129" s="275"/>
    </row>
    <row r="130" spans="1:236" ht="15" customHeight="1" x14ac:dyDescent="0.3">
      <c r="A130" s="231">
        <v>6.05</v>
      </c>
      <c r="B130" s="288"/>
      <c r="C130" s="289" t="str">
        <f>VLOOKUP(BD.PD[[#This Row],[Pos]],PPto[],3,FALSE)</f>
        <v>6.05 Otros sum e inst Tecnología y Seguridad Y Tesoreria</v>
      </c>
      <c r="D130" s="231" t="s">
        <v>22</v>
      </c>
      <c r="E130" s="291" t="str">
        <f>IF(BD.PD[[#This Row],[.]]="*",VLOOKUP(BD.PD[[#This Row],[Pos]],Presupuesto!A:H,7,FALSE),"")</f>
        <v/>
      </c>
      <c r="F130" s="504" t="s">
        <v>658</v>
      </c>
      <c r="G130" s="292">
        <v>4512922514</v>
      </c>
      <c r="H130" s="358">
        <v>46140</v>
      </c>
      <c r="I130" s="359">
        <v>5</v>
      </c>
      <c r="J130" s="231" t="s">
        <v>456</v>
      </c>
      <c r="K130" s="294">
        <f>IF(BD.PD[[#This Row],[Mon]]="DOP",1,HLOOKUP(BD.PD[[#This Row],[Mon]],$J$1:$K$2,2,FALSE))</f>
        <v>63</v>
      </c>
      <c r="L130" s="360">
        <v>11.77</v>
      </c>
      <c r="M130" s="296">
        <f>BD.PD[[#This Row],[Cant.]]*BD.PD[[#This Row],[ Tasa ]]*BD.PD[[#This Row],[ Precio Und.]]</f>
        <v>3707.5499999999997</v>
      </c>
      <c r="N130" s="361">
        <v>0</v>
      </c>
      <c r="O130" s="296">
        <f>IF(BD.PD[[#This Row],[Liquid. '[%']]]&lt;&gt;0,(BD.PD[[#This Row],[Valor Neto '[DOP']]]*BD.PD[[#This Row],[Liquid. '[%']]])+BD.PD[[#This Row],[Valor Neto '[DOP']]],BD.PD[[#This Row],[Valor Neto '[DOP']]])</f>
        <v>3707.5499999999997</v>
      </c>
      <c r="P130" s="306">
        <f>BD.PD[[#This Row],[Ppto. Orden Interna '[DOP']]]/HLOOKUP("USD",$J$1:$K$2,2,FALSE)</f>
        <v>58.849999999999994</v>
      </c>
      <c r="Q130" s="299" t="s">
        <v>656</v>
      </c>
      <c r="R130" s="307" t="s">
        <v>657</v>
      </c>
      <c r="S130" s="300">
        <v>17</v>
      </c>
      <c r="T130" s="301">
        <v>0.5</v>
      </c>
      <c r="U130" s="308">
        <f>BD.PD[[#This Row],[Av.P1 '[%']]]*BD.PD[[#This Row],[Ppto. Orden Interna '[DOP']]]</f>
        <v>1853.7749999999999</v>
      </c>
      <c r="V130" s="303">
        <v>19</v>
      </c>
      <c r="W130" s="304">
        <v>0.5</v>
      </c>
      <c r="X130" s="308">
        <f>BD.PD[[#This Row],[Av.P2 '[%']]]*BD.PD[[#This Row],[Ppto. Orden Interna '[DOP']]]</f>
        <v>1853.7749999999999</v>
      </c>
      <c r="Y130" s="303"/>
      <c r="Z130" s="304"/>
      <c r="AA130" s="308">
        <f>BD.PD[[#This Row],[Av.P3 '[%']]]*BD.PD[[#This Row],[Ppto. Orden Interna '[DOP']]]</f>
        <v>0</v>
      </c>
      <c r="AB130" s="303"/>
      <c r="AC130" s="304"/>
      <c r="AD130" s="308">
        <f>BD.PD[[#This Row],[Av.P4 '[%']]]*BD.PD[[#This Row],[Ppto. Orden Interna '[DOP']]]</f>
        <v>0</v>
      </c>
      <c r="AE130" s="303"/>
      <c r="AF130" s="304"/>
      <c r="AG130" s="308">
        <f>BD.PD[[#This Row],[Av.P5 '[%']]]*BD.PD[[#This Row],[Ppto. Orden Interna '[DOP']]]</f>
        <v>0</v>
      </c>
      <c r="AH130" s="305">
        <f>BD.PD[[#This Row],[Pago 5]]+BD.PD[[#This Row],[Pago 4]]+BD.PD[[#This Row],[Pago 3]]+BD.PD[[#This Row],[Pago 2]]+BD.PD[[#This Row],[Pago 1]]</f>
        <v>3707.5499999999997</v>
      </c>
      <c r="AI130" s="404"/>
      <c r="IB130" s="275"/>
    </row>
    <row r="131" spans="1:236" ht="15" customHeight="1" x14ac:dyDescent="0.3">
      <c r="A131" s="231">
        <v>6.05</v>
      </c>
      <c r="B131" s="288"/>
      <c r="C131" s="289" t="str">
        <f>VLOOKUP(BD.PD[[#This Row],[Pos]],PPto[],3,FALSE)</f>
        <v>6.05 Otros sum e inst Tecnología y Seguridad Y Tesoreria</v>
      </c>
      <c r="D131" s="231" t="s">
        <v>22</v>
      </c>
      <c r="E131" s="291" t="str">
        <f>IF(BD.PD[[#This Row],[.]]="*",VLOOKUP(BD.PD[[#This Row],[Pos]],Presupuesto!A:H,7,FALSE),"")</f>
        <v/>
      </c>
      <c r="F131" s="504" t="s">
        <v>659</v>
      </c>
      <c r="G131" s="292">
        <v>4512922514</v>
      </c>
      <c r="H131" s="358">
        <v>46140</v>
      </c>
      <c r="I131" s="359">
        <v>1</v>
      </c>
      <c r="J131" s="231" t="s">
        <v>456</v>
      </c>
      <c r="K131" s="294">
        <f>IF(BD.PD[[#This Row],[Mon]]="DOP",1,HLOOKUP(BD.PD[[#This Row],[Mon]],$J$1:$K$2,2,FALSE))</f>
        <v>63</v>
      </c>
      <c r="L131" s="360">
        <v>274.99</v>
      </c>
      <c r="M131" s="296">
        <f>BD.PD[[#This Row],[Cant.]]*BD.PD[[#This Row],[ Tasa ]]*BD.PD[[#This Row],[ Precio Und.]]</f>
        <v>17324.37</v>
      </c>
      <c r="N131" s="361">
        <v>0</v>
      </c>
      <c r="O131" s="296">
        <f>IF(BD.PD[[#This Row],[Liquid. '[%']]]&lt;&gt;0,(BD.PD[[#This Row],[Valor Neto '[DOP']]]*BD.PD[[#This Row],[Liquid. '[%']]])+BD.PD[[#This Row],[Valor Neto '[DOP']]],BD.PD[[#This Row],[Valor Neto '[DOP']]])</f>
        <v>17324.37</v>
      </c>
      <c r="P131" s="306">
        <f>BD.PD[[#This Row],[Ppto. Orden Interna '[DOP']]]/HLOOKUP("USD",$J$1:$K$2,2,FALSE)</f>
        <v>274.99</v>
      </c>
      <c r="Q131" s="299" t="s">
        <v>656</v>
      </c>
      <c r="R131" s="307" t="s">
        <v>657</v>
      </c>
      <c r="S131" s="300">
        <v>17</v>
      </c>
      <c r="T131" s="301">
        <v>0.5</v>
      </c>
      <c r="U131" s="308">
        <f>BD.PD[[#This Row],[Av.P1 '[%']]]*BD.PD[[#This Row],[Ppto. Orden Interna '[DOP']]]</f>
        <v>8662.1849999999995</v>
      </c>
      <c r="V131" s="303">
        <v>19</v>
      </c>
      <c r="W131" s="304">
        <v>0.5</v>
      </c>
      <c r="X131" s="308">
        <f>BD.PD[[#This Row],[Av.P2 '[%']]]*BD.PD[[#This Row],[Ppto. Orden Interna '[DOP']]]</f>
        <v>8662.1849999999995</v>
      </c>
      <c r="Y131" s="303"/>
      <c r="Z131" s="304"/>
      <c r="AA131" s="308">
        <f>BD.PD[[#This Row],[Av.P3 '[%']]]*BD.PD[[#This Row],[Ppto. Orden Interna '[DOP']]]</f>
        <v>0</v>
      </c>
      <c r="AB131" s="303"/>
      <c r="AC131" s="304"/>
      <c r="AD131" s="308">
        <f>BD.PD[[#This Row],[Av.P4 '[%']]]*BD.PD[[#This Row],[Ppto. Orden Interna '[DOP']]]</f>
        <v>0</v>
      </c>
      <c r="AE131" s="303"/>
      <c r="AF131" s="304"/>
      <c r="AG131" s="308">
        <f>BD.PD[[#This Row],[Av.P5 '[%']]]*BD.PD[[#This Row],[Ppto. Orden Interna '[DOP']]]</f>
        <v>0</v>
      </c>
      <c r="AH131" s="305">
        <f>BD.PD[[#This Row],[Pago 5]]+BD.PD[[#This Row],[Pago 4]]+BD.PD[[#This Row],[Pago 3]]+BD.PD[[#This Row],[Pago 2]]+BD.PD[[#This Row],[Pago 1]]</f>
        <v>17324.37</v>
      </c>
      <c r="AI131" s="404"/>
      <c r="IB131" s="275"/>
    </row>
    <row r="132" spans="1:236" ht="15" customHeight="1" x14ac:dyDescent="0.3">
      <c r="A132" s="231">
        <v>6.05</v>
      </c>
      <c r="B132" s="288"/>
      <c r="C132" s="289" t="str">
        <f>VLOOKUP(BD.PD[[#This Row],[Pos]],PPto[],3,FALSE)</f>
        <v>6.05 Otros sum e inst Tecnología y Seguridad Y Tesoreria</v>
      </c>
      <c r="D132" s="231" t="s">
        <v>22</v>
      </c>
      <c r="E132" s="291" t="str">
        <f>IF(BD.PD[[#This Row],[.]]="*",VLOOKUP(BD.PD[[#This Row],[Pos]],Presupuesto!A:H,7,FALSE),"")</f>
        <v/>
      </c>
      <c r="F132" s="504" t="s">
        <v>660</v>
      </c>
      <c r="G132" s="292">
        <v>4512922514</v>
      </c>
      <c r="H132" s="358">
        <v>46140</v>
      </c>
      <c r="I132" s="359">
        <v>10</v>
      </c>
      <c r="J132" s="231" t="s">
        <v>456</v>
      </c>
      <c r="K132" s="294">
        <f>IF(BD.PD[[#This Row],[Mon]]="DOP",1,HLOOKUP(BD.PD[[#This Row],[Mon]],$J$1:$K$2,2,FALSE))</f>
        <v>63</v>
      </c>
      <c r="L132" s="360">
        <v>11.77</v>
      </c>
      <c r="M132" s="296">
        <f>BD.PD[[#This Row],[Cant.]]*BD.PD[[#This Row],[ Tasa ]]*BD.PD[[#This Row],[ Precio Und.]]</f>
        <v>7415.0999999999995</v>
      </c>
      <c r="N132" s="361">
        <v>0</v>
      </c>
      <c r="O132" s="296">
        <f>IF(BD.PD[[#This Row],[Liquid. '[%']]]&lt;&gt;0,(BD.PD[[#This Row],[Valor Neto '[DOP']]]*BD.PD[[#This Row],[Liquid. '[%']]])+BD.PD[[#This Row],[Valor Neto '[DOP']]],BD.PD[[#This Row],[Valor Neto '[DOP']]])</f>
        <v>7415.0999999999995</v>
      </c>
      <c r="P132" s="306">
        <f>BD.PD[[#This Row],[Ppto. Orden Interna '[DOP']]]/HLOOKUP("USD",$J$1:$K$2,2,FALSE)</f>
        <v>117.69999999999999</v>
      </c>
      <c r="Q132" s="299" t="s">
        <v>656</v>
      </c>
      <c r="R132" s="307" t="s">
        <v>657</v>
      </c>
      <c r="S132" s="300">
        <v>17</v>
      </c>
      <c r="T132" s="301">
        <v>0.5</v>
      </c>
      <c r="U132" s="308">
        <f>BD.PD[[#This Row],[Av.P1 '[%']]]*BD.PD[[#This Row],[Ppto. Orden Interna '[DOP']]]</f>
        <v>3707.5499999999997</v>
      </c>
      <c r="V132" s="303">
        <v>19</v>
      </c>
      <c r="W132" s="304">
        <v>0.5</v>
      </c>
      <c r="X132" s="308">
        <f>BD.PD[[#This Row],[Av.P2 '[%']]]*BD.PD[[#This Row],[Ppto. Orden Interna '[DOP']]]</f>
        <v>3707.5499999999997</v>
      </c>
      <c r="Y132" s="303"/>
      <c r="Z132" s="304"/>
      <c r="AA132" s="308">
        <f>BD.PD[[#This Row],[Av.P3 '[%']]]*BD.PD[[#This Row],[Ppto. Orden Interna '[DOP']]]</f>
        <v>0</v>
      </c>
      <c r="AB132" s="303"/>
      <c r="AC132" s="304"/>
      <c r="AD132" s="308">
        <f>BD.PD[[#This Row],[Av.P4 '[%']]]*BD.PD[[#This Row],[Ppto. Orden Interna '[DOP']]]</f>
        <v>0</v>
      </c>
      <c r="AE132" s="303"/>
      <c r="AF132" s="304"/>
      <c r="AG132" s="308">
        <f>BD.PD[[#This Row],[Av.P5 '[%']]]*BD.PD[[#This Row],[Ppto. Orden Interna '[DOP']]]</f>
        <v>0</v>
      </c>
      <c r="AH132" s="305">
        <f>BD.PD[[#This Row],[Pago 5]]+BD.PD[[#This Row],[Pago 4]]+BD.PD[[#This Row],[Pago 3]]+BD.PD[[#This Row],[Pago 2]]+BD.PD[[#This Row],[Pago 1]]</f>
        <v>7415.0999999999995</v>
      </c>
      <c r="AI132" s="404"/>
      <c r="IB132" s="275"/>
    </row>
    <row r="133" spans="1:236" ht="15" customHeight="1" x14ac:dyDescent="0.3">
      <c r="A133" s="231">
        <v>7.01</v>
      </c>
      <c r="B133" s="288" t="s">
        <v>574</v>
      </c>
      <c r="C133" s="289" t="str">
        <f>VLOOKUP(BD.PD[[#This Row],[Pos]],PPto[],3,FALSE)</f>
        <v xml:space="preserve">7.01 Equipamiento de Acero Inoxidable </v>
      </c>
      <c r="D133" s="290" t="s">
        <v>574</v>
      </c>
      <c r="E133" s="291">
        <f>IF(BD.PD[[#This Row],[.]]="*",VLOOKUP(BD.PD[[#This Row],[Pos]],Presupuesto!A:H,7,FALSE),"")</f>
        <v>30264.520766773167</v>
      </c>
      <c r="F133" s="292"/>
      <c r="G133" s="292" t="s">
        <v>575</v>
      </c>
      <c r="H133" s="292"/>
      <c r="I133" s="293">
        <v>1</v>
      </c>
      <c r="J133" s="290" t="s">
        <v>456</v>
      </c>
      <c r="K133" s="294">
        <f>IF(BD.PD[[#This Row],[Mon]]="DOP",1,HLOOKUP(BD.PD[[#This Row],[Mon]],$J$1:$K$2,2,FALSE))</f>
        <v>63</v>
      </c>
      <c r="L133" s="295">
        <v>0</v>
      </c>
      <c r="M133" s="296">
        <f>BD.PD[[#This Row],[Cant.]]*BD.PD[[#This Row],[ Tasa ]]*BD.PD[[#This Row],[ Precio Und.]]</f>
        <v>0</v>
      </c>
      <c r="N133" s="297">
        <v>0</v>
      </c>
      <c r="O133" s="296">
        <f>IF(BD.PD[[#This Row],[Liquid. '[%']]]&lt;&gt;0,(BD.PD[[#This Row],[Valor Neto '[DOP']]]*BD.PD[[#This Row],[Liquid. '[%']]])+BD.PD[[#This Row],[Valor Neto '[DOP']]],BD.PD[[#This Row],[Valor Neto '[DOP']]])</f>
        <v>0</v>
      </c>
      <c r="P133" s="306">
        <f>BD.PD[[#This Row],[Ppto. Orden Interna '[DOP']]]/HLOOKUP("USD",$J$1:$K$2,2,FALSE)</f>
        <v>0</v>
      </c>
      <c r="Q133" s="299"/>
      <c r="R133" s="307"/>
      <c r="S133" s="300"/>
      <c r="T133" s="301"/>
      <c r="U133" s="308">
        <f>BD.PD[[#This Row],[Av.P1 '[%']]]*BD.PD[[#This Row],[Ppto. Orden Interna '[DOP']]]</f>
        <v>0</v>
      </c>
      <c r="V133" s="303"/>
      <c r="W133" s="304"/>
      <c r="X133" s="308">
        <f>BD.PD[[#This Row],[Av.P2 '[%']]]*BD.PD[[#This Row],[Ppto. Orden Interna '[DOP']]]</f>
        <v>0</v>
      </c>
      <c r="Y133" s="303"/>
      <c r="Z133" s="304"/>
      <c r="AA133" s="308">
        <f>BD.PD[[#This Row],[Av.P3 '[%']]]*BD.PD[[#This Row],[Ppto. Orden Interna '[DOP']]]</f>
        <v>0</v>
      </c>
      <c r="AB133" s="303"/>
      <c r="AC133" s="304"/>
      <c r="AD133" s="308">
        <f>BD.PD[[#This Row],[Av.P4 '[%']]]*BD.PD[[#This Row],[Ppto. Orden Interna '[DOP']]]</f>
        <v>0</v>
      </c>
      <c r="AE133" s="303"/>
      <c r="AF133" s="304"/>
      <c r="AG133" s="308">
        <f>BD.PD[[#This Row],[Av.P5 '[%']]]*BD.PD[[#This Row],[Ppto. Orden Interna '[DOP']]]</f>
        <v>0</v>
      </c>
      <c r="AH133" s="305">
        <f>BD.PD[[#This Row],[Pago 5]]+BD.PD[[#This Row],[Pago 4]]+BD.PD[[#This Row],[Pago 3]]+BD.PD[[#This Row],[Pago 2]]+BD.PD[[#This Row],[Pago 1]]</f>
        <v>0</v>
      </c>
      <c r="AI133" s="404"/>
      <c r="IB133" s="275"/>
    </row>
    <row r="134" spans="1:236" ht="15" customHeight="1" x14ac:dyDescent="0.3">
      <c r="A134" s="231">
        <v>7.01</v>
      </c>
      <c r="B134" s="288"/>
      <c r="C134" s="289" t="str">
        <f>VLOOKUP(BD.PD[[#This Row],[Pos]],PPto[],3,FALSE)</f>
        <v xml:space="preserve">7.01 Equipamiento de Acero Inoxidable </v>
      </c>
      <c r="D134" s="231" t="s">
        <v>22</v>
      </c>
      <c r="E134" s="291" t="str">
        <f>IF(BD.PD[[#This Row],[.]]="*",VLOOKUP(BD.PD[[#This Row],[Pos]],Presupuesto!A:H,7,FALSE),"")</f>
        <v/>
      </c>
      <c r="F134" s="504" t="s">
        <v>661</v>
      </c>
      <c r="G134" s="292">
        <v>4512960817</v>
      </c>
      <c r="H134" s="358">
        <v>45921</v>
      </c>
      <c r="I134" s="359">
        <v>4</v>
      </c>
      <c r="J134" s="231" t="s">
        <v>581</v>
      </c>
      <c r="K134" s="294">
        <f>IF(BD.PD[[#This Row],[Mon]]="DOP",1,HLOOKUP(BD.PD[[#This Row],[Mon]],$J$1:$K$2,2,FALSE))</f>
        <v>1</v>
      </c>
      <c r="L134" s="360">
        <v>21622.25</v>
      </c>
      <c r="M134" s="296">
        <f>BD.PD[[#This Row],[Cant.]]*BD.PD[[#This Row],[ Tasa ]]*BD.PD[[#This Row],[ Precio Und.]]</f>
        <v>86489</v>
      </c>
      <c r="N134" s="361">
        <v>0</v>
      </c>
      <c r="O134" s="296">
        <f>IF(BD.PD[[#This Row],[Liquid. '[%']]]&lt;&gt;0,(BD.PD[[#This Row],[Valor Neto '[DOP']]]*BD.PD[[#This Row],[Liquid. '[%']]])+BD.PD[[#This Row],[Valor Neto '[DOP']]],BD.PD[[#This Row],[Valor Neto '[DOP']]])</f>
        <v>86489</v>
      </c>
      <c r="P134" s="306">
        <f>BD.PD[[#This Row],[Ppto. Orden Interna '[DOP']]]/HLOOKUP("USD",$J$1:$K$2,2,FALSE)</f>
        <v>1372.8412698412699</v>
      </c>
      <c r="Q134" s="299" t="s">
        <v>662</v>
      </c>
      <c r="R134" s="307" t="s">
        <v>640</v>
      </c>
      <c r="S134" s="300">
        <v>19</v>
      </c>
      <c r="T134" s="301">
        <v>0.5</v>
      </c>
      <c r="U134" s="308">
        <f>BD.PD[[#This Row],[Av.P1 '[%']]]*BD.PD[[#This Row],[Ppto. Orden Interna '[DOP']]]</f>
        <v>43244.5</v>
      </c>
      <c r="V134" s="303">
        <v>22</v>
      </c>
      <c r="W134" s="304">
        <v>0.5</v>
      </c>
      <c r="X134" s="308">
        <f>BD.PD[[#This Row],[Av.P2 '[%']]]*BD.PD[[#This Row],[Ppto. Orden Interna '[DOP']]]</f>
        <v>43244.5</v>
      </c>
      <c r="Y134" s="303"/>
      <c r="Z134" s="304"/>
      <c r="AA134" s="308">
        <f>BD.PD[[#This Row],[Av.P3 '[%']]]*BD.PD[[#This Row],[Ppto. Orden Interna '[DOP']]]</f>
        <v>0</v>
      </c>
      <c r="AB134" s="303"/>
      <c r="AC134" s="304"/>
      <c r="AD134" s="308">
        <f>BD.PD[[#This Row],[Av.P4 '[%']]]*BD.PD[[#This Row],[Ppto. Orden Interna '[DOP']]]</f>
        <v>0</v>
      </c>
      <c r="AE134" s="303"/>
      <c r="AF134" s="304"/>
      <c r="AG134" s="308">
        <f>BD.PD[[#This Row],[Av.P5 '[%']]]*BD.PD[[#This Row],[Ppto. Orden Interna '[DOP']]]</f>
        <v>0</v>
      </c>
      <c r="AH134" s="305">
        <f>BD.PD[[#This Row],[Pago 5]]+BD.PD[[#This Row],[Pago 4]]+BD.PD[[#This Row],[Pago 3]]+BD.PD[[#This Row],[Pago 2]]+BD.PD[[#This Row],[Pago 1]]</f>
        <v>86489</v>
      </c>
      <c r="AI134" s="404"/>
      <c r="IB134" s="275"/>
    </row>
    <row r="135" spans="1:236" ht="15" customHeight="1" x14ac:dyDescent="0.3">
      <c r="A135" s="231">
        <v>7.01</v>
      </c>
      <c r="B135" s="288"/>
      <c r="C135" s="289" t="str">
        <f>VLOOKUP(BD.PD[[#This Row],[Pos]],PPto[],3,FALSE)</f>
        <v xml:space="preserve">7.01 Equipamiento de Acero Inoxidable </v>
      </c>
      <c r="D135" s="231" t="s">
        <v>22</v>
      </c>
      <c r="E135" s="291" t="str">
        <f>IF(BD.PD[[#This Row],[.]]="*",VLOOKUP(BD.PD[[#This Row],[Pos]],Presupuesto!A:H,7,FALSE),"")</f>
        <v/>
      </c>
      <c r="F135" s="504" t="s">
        <v>663</v>
      </c>
      <c r="G135" s="292">
        <v>4512960817</v>
      </c>
      <c r="H135" s="358">
        <v>45921</v>
      </c>
      <c r="I135" s="359">
        <v>1</v>
      </c>
      <c r="J135" s="231" t="s">
        <v>581</v>
      </c>
      <c r="K135" s="294">
        <f>IF(BD.PD[[#This Row],[Mon]]="DOP",1,HLOOKUP(BD.PD[[#This Row],[Mon]],$J$1:$K$2,2,FALSE))</f>
        <v>1</v>
      </c>
      <c r="L135" s="360">
        <v>37116.949999999997</v>
      </c>
      <c r="M135" s="296">
        <f>BD.PD[[#This Row],[Cant.]]*BD.PD[[#This Row],[ Tasa ]]*BD.PD[[#This Row],[ Precio Und.]]</f>
        <v>37116.949999999997</v>
      </c>
      <c r="N135" s="361">
        <v>0</v>
      </c>
      <c r="O135" s="296">
        <f>IF(BD.PD[[#This Row],[Liquid. '[%']]]&lt;&gt;0,(BD.PD[[#This Row],[Valor Neto '[DOP']]]*BD.PD[[#This Row],[Liquid. '[%']]])+BD.PD[[#This Row],[Valor Neto '[DOP']]],BD.PD[[#This Row],[Valor Neto '[DOP']]])</f>
        <v>37116.949999999997</v>
      </c>
      <c r="P135" s="306">
        <f>BD.PD[[#This Row],[Ppto. Orden Interna '[DOP']]]/HLOOKUP("USD",$J$1:$K$2,2,FALSE)</f>
        <v>589.15793650793648</v>
      </c>
      <c r="Q135" s="299" t="s">
        <v>662</v>
      </c>
      <c r="R135" s="307" t="s">
        <v>640</v>
      </c>
      <c r="S135" s="300">
        <v>19</v>
      </c>
      <c r="T135" s="301">
        <v>0.5</v>
      </c>
      <c r="U135" s="308">
        <f>BD.PD[[#This Row],[Av.P1 '[%']]]*BD.PD[[#This Row],[Ppto. Orden Interna '[DOP']]]</f>
        <v>18558.474999999999</v>
      </c>
      <c r="V135" s="303">
        <v>22</v>
      </c>
      <c r="W135" s="304">
        <v>0.5</v>
      </c>
      <c r="X135" s="308">
        <f>BD.PD[[#This Row],[Av.P2 '[%']]]*BD.PD[[#This Row],[Ppto. Orden Interna '[DOP']]]</f>
        <v>18558.474999999999</v>
      </c>
      <c r="Y135" s="303"/>
      <c r="Z135" s="304"/>
      <c r="AA135" s="308">
        <f>BD.PD[[#This Row],[Av.P3 '[%']]]*BD.PD[[#This Row],[Ppto. Orden Interna '[DOP']]]</f>
        <v>0</v>
      </c>
      <c r="AB135" s="303"/>
      <c r="AC135" s="304"/>
      <c r="AD135" s="308">
        <f>BD.PD[[#This Row],[Av.P4 '[%']]]*BD.PD[[#This Row],[Ppto. Orden Interna '[DOP']]]</f>
        <v>0</v>
      </c>
      <c r="AE135" s="303"/>
      <c r="AF135" s="304"/>
      <c r="AG135" s="308">
        <f>BD.PD[[#This Row],[Av.P5 '[%']]]*BD.PD[[#This Row],[Ppto. Orden Interna '[DOP']]]</f>
        <v>0</v>
      </c>
      <c r="AH135" s="305">
        <f>BD.PD[[#This Row],[Pago 5]]+BD.PD[[#This Row],[Pago 4]]+BD.PD[[#This Row],[Pago 3]]+BD.PD[[#This Row],[Pago 2]]+BD.PD[[#This Row],[Pago 1]]</f>
        <v>37116.949999999997</v>
      </c>
      <c r="AI135" s="404"/>
      <c r="IB135" s="275"/>
    </row>
    <row r="136" spans="1:236" ht="15" customHeight="1" x14ac:dyDescent="0.3">
      <c r="A136" s="231">
        <v>7.01</v>
      </c>
      <c r="B136" s="288"/>
      <c r="C136" s="289" t="str">
        <f>VLOOKUP(BD.PD[[#This Row],[Pos]],PPto[],3,FALSE)</f>
        <v xml:space="preserve">7.01 Equipamiento de Acero Inoxidable </v>
      </c>
      <c r="D136" s="231" t="s">
        <v>22</v>
      </c>
      <c r="E136" s="291" t="str">
        <f>IF(BD.PD[[#This Row],[.]]="*",VLOOKUP(BD.PD[[#This Row],[Pos]],Presupuesto!A:H,7,FALSE),"")</f>
        <v/>
      </c>
      <c r="F136" s="504" t="s">
        <v>664</v>
      </c>
      <c r="G136" s="292">
        <v>4512960817</v>
      </c>
      <c r="H136" s="358">
        <v>45921</v>
      </c>
      <c r="I136" s="359">
        <v>6</v>
      </c>
      <c r="J136" s="231" t="s">
        <v>581</v>
      </c>
      <c r="K136" s="294">
        <f>IF(BD.PD[[#This Row],[Mon]]="DOP",1,HLOOKUP(BD.PD[[#This Row],[Mon]],$J$1:$K$2,2,FALSE))</f>
        <v>1</v>
      </c>
      <c r="L136" s="360">
        <v>20546.5</v>
      </c>
      <c r="M136" s="296">
        <f>BD.PD[[#This Row],[Cant.]]*BD.PD[[#This Row],[ Tasa ]]*BD.PD[[#This Row],[ Precio Und.]]</f>
        <v>123279</v>
      </c>
      <c r="N136" s="361">
        <v>0</v>
      </c>
      <c r="O136" s="296">
        <f>IF(BD.PD[[#This Row],[Liquid. '[%']]]&lt;&gt;0,(BD.PD[[#This Row],[Valor Neto '[DOP']]]*BD.PD[[#This Row],[Liquid. '[%']]])+BD.PD[[#This Row],[Valor Neto '[DOP']]],BD.PD[[#This Row],[Valor Neto '[DOP']]])</f>
        <v>123279</v>
      </c>
      <c r="P136" s="306">
        <f>BD.PD[[#This Row],[Ppto. Orden Interna '[DOP']]]/HLOOKUP("USD",$J$1:$K$2,2,FALSE)</f>
        <v>1956.8095238095239</v>
      </c>
      <c r="Q136" s="299" t="s">
        <v>662</v>
      </c>
      <c r="R136" s="307" t="s">
        <v>640</v>
      </c>
      <c r="S136" s="300">
        <v>19</v>
      </c>
      <c r="T136" s="301">
        <v>0.5</v>
      </c>
      <c r="U136" s="308">
        <f>BD.PD[[#This Row],[Av.P1 '[%']]]*BD.PD[[#This Row],[Ppto. Orden Interna '[DOP']]]</f>
        <v>61639.5</v>
      </c>
      <c r="V136" s="303">
        <v>22</v>
      </c>
      <c r="W136" s="304">
        <v>0.5</v>
      </c>
      <c r="X136" s="308">
        <f>BD.PD[[#This Row],[Av.P2 '[%']]]*BD.PD[[#This Row],[Ppto. Orden Interna '[DOP']]]</f>
        <v>61639.5</v>
      </c>
      <c r="Y136" s="303"/>
      <c r="Z136" s="304"/>
      <c r="AA136" s="308">
        <f>BD.PD[[#This Row],[Av.P3 '[%']]]*BD.PD[[#This Row],[Ppto. Orden Interna '[DOP']]]</f>
        <v>0</v>
      </c>
      <c r="AB136" s="303"/>
      <c r="AC136" s="304"/>
      <c r="AD136" s="308">
        <f>BD.PD[[#This Row],[Av.P4 '[%']]]*BD.PD[[#This Row],[Ppto. Orden Interna '[DOP']]]</f>
        <v>0</v>
      </c>
      <c r="AE136" s="303"/>
      <c r="AF136" s="304"/>
      <c r="AG136" s="308">
        <f>BD.PD[[#This Row],[Av.P5 '[%']]]*BD.PD[[#This Row],[Ppto. Orden Interna '[DOP']]]</f>
        <v>0</v>
      </c>
      <c r="AH136" s="305">
        <f>BD.PD[[#This Row],[Pago 5]]+BD.PD[[#This Row],[Pago 4]]+BD.PD[[#This Row],[Pago 3]]+BD.PD[[#This Row],[Pago 2]]+BD.PD[[#This Row],[Pago 1]]</f>
        <v>123279</v>
      </c>
      <c r="AI136" s="404"/>
      <c r="IB136" s="275"/>
    </row>
    <row r="137" spans="1:236" ht="15" customHeight="1" x14ac:dyDescent="0.3">
      <c r="A137" s="231">
        <v>7.01</v>
      </c>
      <c r="B137" s="288"/>
      <c r="C137" s="289" t="str">
        <f>VLOOKUP(BD.PD[[#This Row],[Pos]],PPto[],3,FALSE)</f>
        <v xml:space="preserve">7.01 Equipamiento de Acero Inoxidable </v>
      </c>
      <c r="D137" s="231" t="s">
        <v>22</v>
      </c>
      <c r="E137" s="291" t="str">
        <f>IF(BD.PD[[#This Row],[.]]="*",VLOOKUP(BD.PD[[#This Row],[Pos]],Presupuesto!A:H,7,FALSE),"")</f>
        <v/>
      </c>
      <c r="F137" s="504" t="s">
        <v>196</v>
      </c>
      <c r="G137" s="292">
        <v>4512960817</v>
      </c>
      <c r="H137" s="358">
        <v>45921</v>
      </c>
      <c r="I137" s="359">
        <v>3</v>
      </c>
      <c r="J137" s="231" t="s">
        <v>581</v>
      </c>
      <c r="K137" s="294">
        <f>IF(BD.PD[[#This Row],[Mon]]="DOP",1,HLOOKUP(BD.PD[[#This Row],[Mon]],$J$1:$K$2,2,FALSE))</f>
        <v>1</v>
      </c>
      <c r="L137" s="360">
        <v>54752.75</v>
      </c>
      <c r="M137" s="296">
        <f>BD.PD[[#This Row],[Cant.]]*BD.PD[[#This Row],[ Tasa ]]*BD.PD[[#This Row],[ Precio Und.]]</f>
        <v>164258.25</v>
      </c>
      <c r="N137" s="361">
        <v>0</v>
      </c>
      <c r="O137" s="296">
        <f>IF(BD.PD[[#This Row],[Liquid. '[%']]]&lt;&gt;0,(BD.PD[[#This Row],[Valor Neto '[DOP']]]*BD.PD[[#This Row],[Liquid. '[%']]])+BD.PD[[#This Row],[Valor Neto '[DOP']]],BD.PD[[#This Row],[Valor Neto '[DOP']]])</f>
        <v>164258.25</v>
      </c>
      <c r="P137" s="306">
        <f>BD.PD[[#This Row],[Ppto. Orden Interna '[DOP']]]/HLOOKUP("USD",$J$1:$K$2,2,FALSE)</f>
        <v>2607.2738095238096</v>
      </c>
      <c r="Q137" s="299" t="s">
        <v>662</v>
      </c>
      <c r="R137" s="307" t="s">
        <v>640</v>
      </c>
      <c r="S137" s="300">
        <v>19</v>
      </c>
      <c r="T137" s="301">
        <v>0.5</v>
      </c>
      <c r="U137" s="308">
        <f>BD.PD[[#This Row],[Av.P1 '[%']]]*BD.PD[[#This Row],[Ppto. Orden Interna '[DOP']]]</f>
        <v>82129.125</v>
      </c>
      <c r="V137" s="303">
        <v>22</v>
      </c>
      <c r="W137" s="304">
        <v>0.5</v>
      </c>
      <c r="X137" s="308">
        <f>BD.PD[[#This Row],[Av.P2 '[%']]]*BD.PD[[#This Row],[Ppto. Orden Interna '[DOP']]]</f>
        <v>82129.125</v>
      </c>
      <c r="Y137" s="303"/>
      <c r="Z137" s="304"/>
      <c r="AA137" s="308">
        <f>BD.PD[[#This Row],[Av.P3 '[%']]]*BD.PD[[#This Row],[Ppto. Orden Interna '[DOP']]]</f>
        <v>0</v>
      </c>
      <c r="AB137" s="303"/>
      <c r="AC137" s="304"/>
      <c r="AD137" s="308">
        <f>BD.PD[[#This Row],[Av.P4 '[%']]]*BD.PD[[#This Row],[Ppto. Orden Interna '[DOP']]]</f>
        <v>0</v>
      </c>
      <c r="AE137" s="303"/>
      <c r="AF137" s="304"/>
      <c r="AG137" s="308">
        <f>BD.PD[[#This Row],[Av.P5 '[%']]]*BD.PD[[#This Row],[Ppto. Orden Interna '[DOP']]]</f>
        <v>0</v>
      </c>
      <c r="AH137" s="305">
        <f>BD.PD[[#This Row],[Pago 5]]+BD.PD[[#This Row],[Pago 4]]+BD.PD[[#This Row],[Pago 3]]+BD.PD[[#This Row],[Pago 2]]+BD.PD[[#This Row],[Pago 1]]</f>
        <v>164258.25</v>
      </c>
      <c r="AI137" s="404"/>
      <c r="IB137" s="275"/>
    </row>
    <row r="138" spans="1:236" ht="15" customHeight="1" x14ac:dyDescent="0.3">
      <c r="A138" s="231">
        <v>7.01</v>
      </c>
      <c r="B138" s="288"/>
      <c r="C138" s="289" t="str">
        <f>VLOOKUP(BD.PD[[#This Row],[Pos]],PPto[],3,FALSE)</f>
        <v xml:space="preserve">7.01 Equipamiento de Acero Inoxidable </v>
      </c>
      <c r="D138" s="231" t="s">
        <v>22</v>
      </c>
      <c r="E138" s="291" t="str">
        <f>IF(BD.PD[[#This Row],[.]]="*",VLOOKUP(BD.PD[[#This Row],[Pos]],Presupuesto!A:H,7,FALSE),"")</f>
        <v/>
      </c>
      <c r="F138" s="504" t="s">
        <v>665</v>
      </c>
      <c r="G138" s="292">
        <v>4512960817</v>
      </c>
      <c r="H138" s="358">
        <v>45921</v>
      </c>
      <c r="I138" s="359">
        <v>5</v>
      </c>
      <c r="J138" s="231" t="s">
        <v>581</v>
      </c>
      <c r="K138" s="294">
        <f>IF(BD.PD[[#This Row],[Mon]]="DOP",1,HLOOKUP(BD.PD[[#This Row],[Mon]],$J$1:$K$2,2,FALSE))</f>
        <v>1</v>
      </c>
      <c r="L138" s="360">
        <v>50157.25</v>
      </c>
      <c r="M138" s="296">
        <f>BD.PD[[#This Row],[Cant.]]*BD.PD[[#This Row],[ Tasa ]]*BD.PD[[#This Row],[ Precio Und.]]</f>
        <v>250786.25</v>
      </c>
      <c r="N138" s="361">
        <v>0</v>
      </c>
      <c r="O138" s="296">
        <f>IF(BD.PD[[#This Row],[Liquid. '[%']]]&lt;&gt;0,(BD.PD[[#This Row],[Valor Neto '[DOP']]]*BD.PD[[#This Row],[Liquid. '[%']]])+BD.PD[[#This Row],[Valor Neto '[DOP']]],BD.PD[[#This Row],[Valor Neto '[DOP']]])</f>
        <v>250786.25</v>
      </c>
      <c r="P138" s="306">
        <f>BD.PD[[#This Row],[Ppto. Orden Interna '[DOP']]]/HLOOKUP("USD",$J$1:$K$2,2,FALSE)</f>
        <v>3980.7341269841268</v>
      </c>
      <c r="Q138" s="299" t="s">
        <v>662</v>
      </c>
      <c r="R138" s="307" t="s">
        <v>640</v>
      </c>
      <c r="S138" s="300">
        <v>19</v>
      </c>
      <c r="T138" s="301">
        <v>0.5</v>
      </c>
      <c r="U138" s="308">
        <f>BD.PD[[#This Row],[Av.P1 '[%']]]*BD.PD[[#This Row],[Ppto. Orden Interna '[DOP']]]</f>
        <v>125393.125</v>
      </c>
      <c r="V138" s="303">
        <v>22</v>
      </c>
      <c r="W138" s="304">
        <v>0.5</v>
      </c>
      <c r="X138" s="308">
        <f>BD.PD[[#This Row],[Av.P2 '[%']]]*BD.PD[[#This Row],[Ppto. Orden Interna '[DOP']]]</f>
        <v>125393.125</v>
      </c>
      <c r="Y138" s="303"/>
      <c r="Z138" s="304"/>
      <c r="AA138" s="308">
        <f>BD.PD[[#This Row],[Av.P3 '[%']]]*BD.PD[[#This Row],[Ppto. Orden Interna '[DOP']]]</f>
        <v>0</v>
      </c>
      <c r="AB138" s="303"/>
      <c r="AC138" s="304"/>
      <c r="AD138" s="308">
        <f>BD.PD[[#This Row],[Av.P4 '[%']]]*BD.PD[[#This Row],[Ppto. Orden Interna '[DOP']]]</f>
        <v>0</v>
      </c>
      <c r="AE138" s="303"/>
      <c r="AF138" s="304"/>
      <c r="AG138" s="308">
        <f>BD.PD[[#This Row],[Av.P5 '[%']]]*BD.PD[[#This Row],[Ppto. Orden Interna '[DOP']]]</f>
        <v>0</v>
      </c>
      <c r="AH138" s="305">
        <f>BD.PD[[#This Row],[Pago 5]]+BD.PD[[#This Row],[Pago 4]]+BD.PD[[#This Row],[Pago 3]]+BD.PD[[#This Row],[Pago 2]]+BD.PD[[#This Row],[Pago 1]]</f>
        <v>250786.25</v>
      </c>
      <c r="AI138" s="404"/>
      <c r="IB138" s="275"/>
    </row>
    <row r="139" spans="1:236" ht="15" customHeight="1" x14ac:dyDescent="0.3">
      <c r="A139" s="231">
        <v>7.01</v>
      </c>
      <c r="B139" s="288"/>
      <c r="C139" s="289" t="str">
        <f>VLOOKUP(BD.PD[[#This Row],[Pos]],PPto[],3,FALSE)</f>
        <v xml:space="preserve">7.01 Equipamiento de Acero Inoxidable </v>
      </c>
      <c r="D139" s="231" t="s">
        <v>22</v>
      </c>
      <c r="E139" s="291" t="str">
        <f>IF(BD.PD[[#This Row],[.]]="*",VLOOKUP(BD.PD[[#This Row],[Pos]],Presupuesto!A:H,7,FALSE),"")</f>
        <v/>
      </c>
      <c r="F139" s="504" t="s">
        <v>666</v>
      </c>
      <c r="G139" s="292">
        <v>4512960817</v>
      </c>
      <c r="H139" s="358">
        <v>45921</v>
      </c>
      <c r="I139" s="359">
        <v>2</v>
      </c>
      <c r="J139" s="231" t="s">
        <v>581</v>
      </c>
      <c r="K139" s="294">
        <f>IF(BD.PD[[#This Row],[Mon]]="DOP",1,HLOOKUP(BD.PD[[#This Row],[Mon]],$J$1:$K$2,2,FALSE))</f>
        <v>1</v>
      </c>
      <c r="L139" s="360">
        <v>37696.75</v>
      </c>
      <c r="M139" s="296">
        <f>BD.PD[[#This Row],[Cant.]]*BD.PD[[#This Row],[ Tasa ]]*BD.PD[[#This Row],[ Precio Und.]]</f>
        <v>75393.5</v>
      </c>
      <c r="N139" s="361">
        <v>0</v>
      </c>
      <c r="O139" s="296">
        <f>IF(BD.PD[[#This Row],[Liquid. '[%']]]&lt;&gt;0,(BD.PD[[#This Row],[Valor Neto '[DOP']]]*BD.PD[[#This Row],[Liquid. '[%']]])+BD.PD[[#This Row],[Valor Neto '[DOP']]],BD.PD[[#This Row],[Valor Neto '[DOP']]])</f>
        <v>75393.5</v>
      </c>
      <c r="P139" s="306">
        <f>BD.PD[[#This Row],[Ppto. Orden Interna '[DOP']]]/HLOOKUP("USD",$J$1:$K$2,2,FALSE)</f>
        <v>1196.7222222222222</v>
      </c>
      <c r="Q139" s="299" t="s">
        <v>662</v>
      </c>
      <c r="R139" s="307" t="s">
        <v>640</v>
      </c>
      <c r="S139" s="300">
        <v>19</v>
      </c>
      <c r="T139" s="301">
        <v>0.5</v>
      </c>
      <c r="U139" s="308">
        <f>BD.PD[[#This Row],[Av.P1 '[%']]]*BD.PD[[#This Row],[Ppto. Orden Interna '[DOP']]]</f>
        <v>37696.75</v>
      </c>
      <c r="V139" s="303">
        <v>22</v>
      </c>
      <c r="W139" s="304">
        <v>0.5</v>
      </c>
      <c r="X139" s="308">
        <f>BD.PD[[#This Row],[Av.P2 '[%']]]*BD.PD[[#This Row],[Ppto. Orden Interna '[DOP']]]</f>
        <v>37696.75</v>
      </c>
      <c r="Y139" s="303"/>
      <c r="Z139" s="304"/>
      <c r="AA139" s="308">
        <f>BD.PD[[#This Row],[Av.P3 '[%']]]*BD.PD[[#This Row],[Ppto. Orden Interna '[DOP']]]</f>
        <v>0</v>
      </c>
      <c r="AB139" s="303"/>
      <c r="AC139" s="304"/>
      <c r="AD139" s="308">
        <f>BD.PD[[#This Row],[Av.P4 '[%']]]*BD.PD[[#This Row],[Ppto. Orden Interna '[DOP']]]</f>
        <v>0</v>
      </c>
      <c r="AE139" s="303"/>
      <c r="AF139" s="304"/>
      <c r="AG139" s="308">
        <f>BD.PD[[#This Row],[Av.P5 '[%']]]*BD.PD[[#This Row],[Ppto. Orden Interna '[DOP']]]</f>
        <v>0</v>
      </c>
      <c r="AH139" s="305">
        <f>BD.PD[[#This Row],[Pago 5]]+BD.PD[[#This Row],[Pago 4]]+BD.PD[[#This Row],[Pago 3]]+BD.PD[[#This Row],[Pago 2]]+BD.PD[[#This Row],[Pago 1]]</f>
        <v>75393.5</v>
      </c>
      <c r="AI139" s="404"/>
      <c r="IB139" s="275"/>
    </row>
    <row r="140" spans="1:236" ht="15" customHeight="1" x14ac:dyDescent="0.3">
      <c r="A140" s="231">
        <v>7.01</v>
      </c>
      <c r="B140" s="288"/>
      <c r="C140" s="289" t="str">
        <f>VLOOKUP(BD.PD[[#This Row],[Pos]],PPto[],3,FALSE)</f>
        <v xml:space="preserve">7.01 Equipamiento de Acero Inoxidable </v>
      </c>
      <c r="D140" s="231" t="s">
        <v>22</v>
      </c>
      <c r="E140" s="291" t="str">
        <f>IF(BD.PD[[#This Row],[.]]="*",VLOOKUP(BD.PD[[#This Row],[Pos]],Presupuesto!A:H,7,FALSE),"")</f>
        <v/>
      </c>
      <c r="F140" s="504" t="s">
        <v>197</v>
      </c>
      <c r="G140" s="292">
        <v>4512960817</v>
      </c>
      <c r="H140" s="358">
        <v>45921</v>
      </c>
      <c r="I140" s="359">
        <v>7</v>
      </c>
      <c r="J140" s="231" t="s">
        <v>581</v>
      </c>
      <c r="K140" s="294">
        <f>IF(BD.PD[[#This Row],[Mon]]="DOP",1,HLOOKUP(BD.PD[[#This Row],[Mon]],$J$1:$K$2,2,FALSE))</f>
        <v>1</v>
      </c>
      <c r="L140" s="360">
        <v>37306.75</v>
      </c>
      <c r="M140" s="296">
        <f>BD.PD[[#This Row],[Cant.]]*BD.PD[[#This Row],[ Tasa ]]*BD.PD[[#This Row],[ Precio Und.]]</f>
        <v>261147.25</v>
      </c>
      <c r="N140" s="361">
        <v>0</v>
      </c>
      <c r="O140" s="296">
        <f>IF(BD.PD[[#This Row],[Liquid. '[%']]]&lt;&gt;0,(BD.PD[[#This Row],[Valor Neto '[DOP']]]*BD.PD[[#This Row],[Liquid. '[%']]])+BD.PD[[#This Row],[Valor Neto '[DOP']]],BD.PD[[#This Row],[Valor Neto '[DOP']]])</f>
        <v>261147.25</v>
      </c>
      <c r="P140" s="306">
        <f>BD.PD[[#This Row],[Ppto. Orden Interna '[DOP']]]/HLOOKUP("USD",$J$1:$K$2,2,FALSE)</f>
        <v>4145.1944444444443</v>
      </c>
      <c r="Q140" s="299" t="s">
        <v>662</v>
      </c>
      <c r="R140" s="307" t="s">
        <v>640</v>
      </c>
      <c r="S140" s="300">
        <v>19</v>
      </c>
      <c r="T140" s="301">
        <v>0.5</v>
      </c>
      <c r="U140" s="308">
        <f>BD.PD[[#This Row],[Av.P1 '[%']]]*BD.PD[[#This Row],[Ppto. Orden Interna '[DOP']]]</f>
        <v>130573.625</v>
      </c>
      <c r="V140" s="303">
        <v>22</v>
      </c>
      <c r="W140" s="304">
        <v>0.5</v>
      </c>
      <c r="X140" s="308">
        <f>BD.PD[[#This Row],[Av.P2 '[%']]]*BD.PD[[#This Row],[Ppto. Orden Interna '[DOP']]]</f>
        <v>130573.625</v>
      </c>
      <c r="Y140" s="303"/>
      <c r="Z140" s="304"/>
      <c r="AA140" s="308">
        <f>BD.PD[[#This Row],[Av.P3 '[%']]]*BD.PD[[#This Row],[Ppto. Orden Interna '[DOP']]]</f>
        <v>0</v>
      </c>
      <c r="AB140" s="303"/>
      <c r="AC140" s="304"/>
      <c r="AD140" s="308">
        <f>BD.PD[[#This Row],[Av.P4 '[%']]]*BD.PD[[#This Row],[Ppto. Orden Interna '[DOP']]]</f>
        <v>0</v>
      </c>
      <c r="AE140" s="303"/>
      <c r="AF140" s="304"/>
      <c r="AG140" s="308">
        <f>BD.PD[[#This Row],[Av.P5 '[%']]]*BD.PD[[#This Row],[Ppto. Orden Interna '[DOP']]]</f>
        <v>0</v>
      </c>
      <c r="AH140" s="305">
        <f>BD.PD[[#This Row],[Pago 5]]+BD.PD[[#This Row],[Pago 4]]+BD.PD[[#This Row],[Pago 3]]+BD.PD[[#This Row],[Pago 2]]+BD.PD[[#This Row],[Pago 1]]</f>
        <v>261147.25</v>
      </c>
      <c r="AI140" s="404"/>
      <c r="IB140" s="275"/>
    </row>
    <row r="141" spans="1:236" ht="15" customHeight="1" x14ac:dyDescent="0.3">
      <c r="A141" s="231">
        <v>7.01</v>
      </c>
      <c r="B141" s="288"/>
      <c r="C141" s="289" t="str">
        <f>VLOOKUP(BD.PD[[#This Row],[Pos]],PPto[],3,FALSE)</f>
        <v xml:space="preserve">7.01 Equipamiento de Acero Inoxidable </v>
      </c>
      <c r="D141" s="231" t="s">
        <v>22</v>
      </c>
      <c r="E141" s="291" t="str">
        <f>IF(BD.PD[[#This Row],[.]]="*",VLOOKUP(BD.PD[[#This Row],[Pos]],Presupuesto!A:H,7,FALSE),"")</f>
        <v/>
      </c>
      <c r="F141" s="504" t="s">
        <v>667</v>
      </c>
      <c r="G141" s="292">
        <v>4512960817</v>
      </c>
      <c r="H141" s="358">
        <v>45921</v>
      </c>
      <c r="I141" s="359">
        <v>2</v>
      </c>
      <c r="J141" s="231" t="s">
        <v>581</v>
      </c>
      <c r="K141" s="294">
        <f>IF(BD.PD[[#This Row],[Mon]]="DOP",1,HLOOKUP(BD.PD[[#This Row],[Mon]],$J$1:$K$2,2,FALSE))</f>
        <v>1</v>
      </c>
      <c r="L141" s="360">
        <v>28187.9</v>
      </c>
      <c r="M141" s="296">
        <f>BD.PD[[#This Row],[Cant.]]*BD.PD[[#This Row],[ Tasa ]]*BD.PD[[#This Row],[ Precio Und.]]</f>
        <v>56375.8</v>
      </c>
      <c r="N141" s="361">
        <v>0</v>
      </c>
      <c r="O141" s="296">
        <f>IF(BD.PD[[#This Row],[Liquid. '[%']]]&lt;&gt;0,(BD.PD[[#This Row],[Valor Neto '[DOP']]]*BD.PD[[#This Row],[Liquid. '[%']]])+BD.PD[[#This Row],[Valor Neto '[DOP']]],BD.PD[[#This Row],[Valor Neto '[DOP']]])</f>
        <v>56375.8</v>
      </c>
      <c r="P141" s="306">
        <f>BD.PD[[#This Row],[Ppto. Orden Interna '[DOP']]]/HLOOKUP("USD",$J$1:$K$2,2,FALSE)</f>
        <v>894.85396825396833</v>
      </c>
      <c r="Q141" s="299" t="s">
        <v>662</v>
      </c>
      <c r="R141" s="307" t="s">
        <v>640</v>
      </c>
      <c r="S141" s="300">
        <v>19</v>
      </c>
      <c r="T141" s="301">
        <v>0.5</v>
      </c>
      <c r="U141" s="308">
        <f>BD.PD[[#This Row],[Av.P1 '[%']]]*BD.PD[[#This Row],[Ppto. Orden Interna '[DOP']]]</f>
        <v>28187.9</v>
      </c>
      <c r="V141" s="303">
        <v>22</v>
      </c>
      <c r="W141" s="304">
        <v>0.5</v>
      </c>
      <c r="X141" s="308">
        <f>BD.PD[[#This Row],[Av.P2 '[%']]]*BD.PD[[#This Row],[Ppto. Orden Interna '[DOP']]]</f>
        <v>28187.9</v>
      </c>
      <c r="Y141" s="303"/>
      <c r="Z141" s="304"/>
      <c r="AA141" s="308">
        <f>BD.PD[[#This Row],[Av.P3 '[%']]]*BD.PD[[#This Row],[Ppto. Orden Interna '[DOP']]]</f>
        <v>0</v>
      </c>
      <c r="AB141" s="303"/>
      <c r="AC141" s="304"/>
      <c r="AD141" s="308">
        <f>BD.PD[[#This Row],[Av.P4 '[%']]]*BD.PD[[#This Row],[Ppto. Orden Interna '[DOP']]]</f>
        <v>0</v>
      </c>
      <c r="AE141" s="303"/>
      <c r="AF141" s="304"/>
      <c r="AG141" s="308">
        <f>BD.PD[[#This Row],[Av.P5 '[%']]]*BD.PD[[#This Row],[Ppto. Orden Interna '[DOP']]]</f>
        <v>0</v>
      </c>
      <c r="AH141" s="305">
        <f>BD.PD[[#This Row],[Pago 5]]+BD.PD[[#This Row],[Pago 4]]+BD.PD[[#This Row],[Pago 3]]+BD.PD[[#This Row],[Pago 2]]+BD.PD[[#This Row],[Pago 1]]</f>
        <v>56375.8</v>
      </c>
      <c r="AI141" s="404"/>
      <c r="IB141" s="275"/>
    </row>
    <row r="142" spans="1:236" ht="15" customHeight="1" x14ac:dyDescent="0.3">
      <c r="A142" s="231">
        <v>7.01</v>
      </c>
      <c r="B142" s="288"/>
      <c r="C142" s="289" t="str">
        <f>VLOOKUP(BD.PD[[#This Row],[Pos]],PPto[],3,FALSE)</f>
        <v xml:space="preserve">7.01 Equipamiento de Acero Inoxidable </v>
      </c>
      <c r="D142" s="231" t="s">
        <v>22</v>
      </c>
      <c r="E142" s="291" t="str">
        <f>IF(BD.PD[[#This Row],[.]]="*",VLOOKUP(BD.PD[[#This Row],[Pos]],Presupuesto!A:H,7,FALSE),"")</f>
        <v/>
      </c>
      <c r="F142" s="504" t="s">
        <v>668</v>
      </c>
      <c r="G142" s="292">
        <v>4512960817</v>
      </c>
      <c r="H142" s="358">
        <v>45921</v>
      </c>
      <c r="I142" s="359">
        <v>3</v>
      </c>
      <c r="J142" s="231" t="s">
        <v>581</v>
      </c>
      <c r="K142" s="294">
        <f>IF(BD.PD[[#This Row],[Mon]]="DOP",1,HLOOKUP(BD.PD[[#This Row],[Mon]],$J$1:$K$2,2,FALSE))</f>
        <v>1</v>
      </c>
      <c r="L142" s="360">
        <v>36845.9</v>
      </c>
      <c r="M142" s="296">
        <f>BD.PD[[#This Row],[Cant.]]*BD.PD[[#This Row],[ Tasa ]]*BD.PD[[#This Row],[ Precio Und.]]</f>
        <v>110537.70000000001</v>
      </c>
      <c r="N142" s="361">
        <v>0</v>
      </c>
      <c r="O142" s="296">
        <f>IF(BD.PD[[#This Row],[Liquid. '[%']]]&lt;&gt;0,(BD.PD[[#This Row],[Valor Neto '[DOP']]]*BD.PD[[#This Row],[Liquid. '[%']]])+BD.PD[[#This Row],[Valor Neto '[DOP']]],BD.PD[[#This Row],[Valor Neto '[DOP']]])</f>
        <v>110537.70000000001</v>
      </c>
      <c r="P142" s="306">
        <f>BD.PD[[#This Row],[Ppto. Orden Interna '[DOP']]]/HLOOKUP("USD",$J$1:$K$2,2,FALSE)</f>
        <v>1754.5666666666668</v>
      </c>
      <c r="Q142" s="299" t="s">
        <v>662</v>
      </c>
      <c r="R142" s="307" t="s">
        <v>640</v>
      </c>
      <c r="S142" s="300">
        <v>19</v>
      </c>
      <c r="T142" s="301">
        <v>0.5</v>
      </c>
      <c r="U142" s="308">
        <f>BD.PD[[#This Row],[Av.P1 '[%']]]*BD.PD[[#This Row],[Ppto. Orden Interna '[DOP']]]</f>
        <v>55268.850000000006</v>
      </c>
      <c r="V142" s="303">
        <v>22</v>
      </c>
      <c r="W142" s="304">
        <v>0.5</v>
      </c>
      <c r="X142" s="308">
        <f>BD.PD[[#This Row],[Av.P2 '[%']]]*BD.PD[[#This Row],[Ppto. Orden Interna '[DOP']]]</f>
        <v>55268.850000000006</v>
      </c>
      <c r="Y142" s="303"/>
      <c r="Z142" s="304"/>
      <c r="AA142" s="308">
        <f>BD.PD[[#This Row],[Av.P3 '[%']]]*BD.PD[[#This Row],[Ppto. Orden Interna '[DOP']]]</f>
        <v>0</v>
      </c>
      <c r="AB142" s="303"/>
      <c r="AC142" s="304"/>
      <c r="AD142" s="308">
        <f>BD.PD[[#This Row],[Av.P4 '[%']]]*BD.PD[[#This Row],[Ppto. Orden Interna '[DOP']]]</f>
        <v>0</v>
      </c>
      <c r="AE142" s="303"/>
      <c r="AF142" s="304"/>
      <c r="AG142" s="308">
        <f>BD.PD[[#This Row],[Av.P5 '[%']]]*BD.PD[[#This Row],[Ppto. Orden Interna '[DOP']]]</f>
        <v>0</v>
      </c>
      <c r="AH142" s="305">
        <f>BD.PD[[#This Row],[Pago 5]]+BD.PD[[#This Row],[Pago 4]]+BD.PD[[#This Row],[Pago 3]]+BD.PD[[#This Row],[Pago 2]]+BD.PD[[#This Row],[Pago 1]]</f>
        <v>110537.70000000001</v>
      </c>
      <c r="AI142" s="404"/>
      <c r="IB142" s="275"/>
    </row>
    <row r="143" spans="1:236" ht="15" customHeight="1" x14ac:dyDescent="0.3">
      <c r="A143" s="231">
        <v>7.01</v>
      </c>
      <c r="B143" s="288"/>
      <c r="C143" s="289" t="str">
        <f>VLOOKUP(BD.PD[[#This Row],[Pos]],PPto[],3,FALSE)</f>
        <v xml:space="preserve">7.01 Equipamiento de Acero Inoxidable </v>
      </c>
      <c r="D143" s="231" t="s">
        <v>22</v>
      </c>
      <c r="E143" s="291" t="str">
        <f>IF(BD.PD[[#This Row],[.]]="*",VLOOKUP(BD.PD[[#This Row],[Pos]],Presupuesto!A:H,7,FALSE),"")</f>
        <v/>
      </c>
      <c r="F143" s="504" t="s">
        <v>669</v>
      </c>
      <c r="G143" s="292">
        <v>4512960817</v>
      </c>
      <c r="H143" s="358">
        <v>45921</v>
      </c>
      <c r="I143" s="359">
        <v>2</v>
      </c>
      <c r="J143" s="231" t="s">
        <v>581</v>
      </c>
      <c r="K143" s="294">
        <f>IF(BD.PD[[#This Row],[Mon]]="DOP",1,HLOOKUP(BD.PD[[#This Row],[Mon]],$J$1:$K$2,2,FALSE))</f>
        <v>1</v>
      </c>
      <c r="L143" s="360">
        <v>27966.25</v>
      </c>
      <c r="M143" s="296">
        <f>BD.PD[[#This Row],[Cant.]]*BD.PD[[#This Row],[ Tasa ]]*BD.PD[[#This Row],[ Precio Und.]]</f>
        <v>55932.5</v>
      </c>
      <c r="N143" s="361">
        <v>0</v>
      </c>
      <c r="O143" s="296">
        <f>IF(BD.PD[[#This Row],[Liquid. '[%']]]&lt;&gt;0,(BD.PD[[#This Row],[Valor Neto '[DOP']]]*BD.PD[[#This Row],[Liquid. '[%']]])+BD.PD[[#This Row],[Valor Neto '[DOP']]],BD.PD[[#This Row],[Valor Neto '[DOP']]])</f>
        <v>55932.5</v>
      </c>
      <c r="P143" s="306">
        <f>BD.PD[[#This Row],[Ppto. Orden Interna '[DOP']]]/HLOOKUP("USD",$J$1:$K$2,2,FALSE)</f>
        <v>887.81746031746036</v>
      </c>
      <c r="Q143" s="299" t="s">
        <v>662</v>
      </c>
      <c r="R143" s="307" t="s">
        <v>640</v>
      </c>
      <c r="S143" s="300">
        <v>19</v>
      </c>
      <c r="T143" s="301">
        <v>0.5</v>
      </c>
      <c r="U143" s="308">
        <f>BD.PD[[#This Row],[Av.P1 '[%']]]*BD.PD[[#This Row],[Ppto. Orden Interna '[DOP']]]</f>
        <v>27966.25</v>
      </c>
      <c r="V143" s="303">
        <v>22</v>
      </c>
      <c r="W143" s="304">
        <v>0.5</v>
      </c>
      <c r="X143" s="308">
        <f>BD.PD[[#This Row],[Av.P2 '[%']]]*BD.PD[[#This Row],[Ppto. Orden Interna '[DOP']]]</f>
        <v>27966.25</v>
      </c>
      <c r="Y143" s="303"/>
      <c r="Z143" s="304"/>
      <c r="AA143" s="308">
        <f>BD.PD[[#This Row],[Av.P3 '[%']]]*BD.PD[[#This Row],[Ppto. Orden Interna '[DOP']]]</f>
        <v>0</v>
      </c>
      <c r="AB143" s="303"/>
      <c r="AC143" s="304"/>
      <c r="AD143" s="308">
        <f>BD.PD[[#This Row],[Av.P4 '[%']]]*BD.PD[[#This Row],[Ppto. Orden Interna '[DOP']]]</f>
        <v>0</v>
      </c>
      <c r="AE143" s="303"/>
      <c r="AF143" s="304"/>
      <c r="AG143" s="308">
        <f>BD.PD[[#This Row],[Av.P5 '[%']]]*BD.PD[[#This Row],[Ppto. Orden Interna '[DOP']]]</f>
        <v>0</v>
      </c>
      <c r="AH143" s="305">
        <f>BD.PD[[#This Row],[Pago 5]]+BD.PD[[#This Row],[Pago 4]]+BD.PD[[#This Row],[Pago 3]]+BD.PD[[#This Row],[Pago 2]]+BD.PD[[#This Row],[Pago 1]]</f>
        <v>55932.5</v>
      </c>
      <c r="AI143" s="404"/>
      <c r="IB143" s="275"/>
    </row>
    <row r="144" spans="1:236" ht="15" customHeight="1" x14ac:dyDescent="0.3">
      <c r="A144" s="231">
        <v>7.01</v>
      </c>
      <c r="B144" s="288"/>
      <c r="C144" s="289" t="str">
        <f>VLOOKUP(BD.PD[[#This Row],[Pos]],PPto[],3,FALSE)</f>
        <v xml:space="preserve">7.01 Equipamiento de Acero Inoxidable </v>
      </c>
      <c r="D144" s="231" t="s">
        <v>22</v>
      </c>
      <c r="E144" s="291" t="str">
        <f>IF(BD.PD[[#This Row],[.]]="*",VLOOKUP(BD.PD[[#This Row],[Pos]],Presupuesto!A:H,7,FALSE),"")</f>
        <v/>
      </c>
      <c r="F144" s="504" t="s">
        <v>670</v>
      </c>
      <c r="G144" s="292">
        <v>4512960817</v>
      </c>
      <c r="H144" s="358">
        <v>45921</v>
      </c>
      <c r="I144" s="359">
        <v>3</v>
      </c>
      <c r="J144" s="231" t="s">
        <v>581</v>
      </c>
      <c r="K144" s="294">
        <f>IF(BD.PD[[#This Row],[Mon]]="DOP",1,HLOOKUP(BD.PD[[#This Row],[Mon]],$J$1:$K$2,2,FALSE))</f>
        <v>1</v>
      </c>
      <c r="L144" s="360">
        <v>19272.5</v>
      </c>
      <c r="M144" s="296">
        <f>BD.PD[[#This Row],[Cant.]]*BD.PD[[#This Row],[ Tasa ]]*BD.PD[[#This Row],[ Precio Und.]]</f>
        <v>57817.5</v>
      </c>
      <c r="N144" s="361">
        <v>0</v>
      </c>
      <c r="O144" s="296">
        <f>IF(BD.PD[[#This Row],[Liquid. '[%']]]&lt;&gt;0,(BD.PD[[#This Row],[Valor Neto '[DOP']]]*BD.PD[[#This Row],[Liquid. '[%']]])+BD.PD[[#This Row],[Valor Neto '[DOP']]],BD.PD[[#This Row],[Valor Neto '[DOP']]])</f>
        <v>57817.5</v>
      </c>
      <c r="P144" s="306">
        <f>BD.PD[[#This Row],[Ppto. Orden Interna '[DOP']]]/HLOOKUP("USD",$J$1:$K$2,2,FALSE)</f>
        <v>917.73809523809518</v>
      </c>
      <c r="Q144" s="299" t="s">
        <v>662</v>
      </c>
      <c r="R144" s="307" t="s">
        <v>640</v>
      </c>
      <c r="S144" s="300">
        <v>19</v>
      </c>
      <c r="T144" s="301">
        <v>0.5</v>
      </c>
      <c r="U144" s="308">
        <f>BD.PD[[#This Row],[Av.P1 '[%']]]*BD.PD[[#This Row],[Ppto. Orden Interna '[DOP']]]</f>
        <v>28908.75</v>
      </c>
      <c r="V144" s="303">
        <v>22</v>
      </c>
      <c r="W144" s="304">
        <v>0.5</v>
      </c>
      <c r="X144" s="308">
        <f>BD.PD[[#This Row],[Av.P2 '[%']]]*BD.PD[[#This Row],[Ppto. Orden Interna '[DOP']]]</f>
        <v>28908.75</v>
      </c>
      <c r="Y144" s="303"/>
      <c r="Z144" s="304"/>
      <c r="AA144" s="308">
        <f>BD.PD[[#This Row],[Av.P3 '[%']]]*BD.PD[[#This Row],[Ppto. Orden Interna '[DOP']]]</f>
        <v>0</v>
      </c>
      <c r="AB144" s="303"/>
      <c r="AC144" s="304"/>
      <c r="AD144" s="308">
        <f>BD.PD[[#This Row],[Av.P4 '[%']]]*BD.PD[[#This Row],[Ppto. Orden Interna '[DOP']]]</f>
        <v>0</v>
      </c>
      <c r="AE144" s="303"/>
      <c r="AF144" s="304"/>
      <c r="AG144" s="308">
        <f>BD.PD[[#This Row],[Av.P5 '[%']]]*BD.PD[[#This Row],[Ppto. Orden Interna '[DOP']]]</f>
        <v>0</v>
      </c>
      <c r="AH144" s="305">
        <f>BD.PD[[#This Row],[Pago 5]]+BD.PD[[#This Row],[Pago 4]]+BD.PD[[#This Row],[Pago 3]]+BD.PD[[#This Row],[Pago 2]]+BD.PD[[#This Row],[Pago 1]]</f>
        <v>57817.5</v>
      </c>
      <c r="AI144" s="404"/>
      <c r="IB144" s="275"/>
    </row>
    <row r="145" spans="1:236" ht="15" customHeight="1" x14ac:dyDescent="0.3">
      <c r="A145" s="231">
        <v>7.02</v>
      </c>
      <c r="B145" s="288" t="s">
        <v>574</v>
      </c>
      <c r="C145" s="289" t="str">
        <f>VLOOKUP(BD.PD[[#This Row],[Pos]],PPto[],3,FALSE)</f>
        <v>7.02 Cocina, Patio Comidas y Rostizería</v>
      </c>
      <c r="D145" s="290" t="s">
        <v>574</v>
      </c>
      <c r="E145" s="291">
        <f>IF(BD.PD[[#This Row],[.]]="*",VLOOKUP(BD.PD[[#This Row],[Pos]],Presupuesto!A:H,7,FALSE),"")</f>
        <v>65026.094984025556</v>
      </c>
      <c r="F145" s="292"/>
      <c r="G145" s="292" t="s">
        <v>575</v>
      </c>
      <c r="H145" s="292"/>
      <c r="I145" s="293">
        <v>1</v>
      </c>
      <c r="J145" s="290" t="s">
        <v>456</v>
      </c>
      <c r="K145" s="294">
        <f>IF(BD.PD[[#This Row],[Mon]]="DOP",1,HLOOKUP(BD.PD[[#This Row],[Mon]],$J$1:$K$2,2,FALSE))</f>
        <v>63</v>
      </c>
      <c r="L145" s="295">
        <v>0</v>
      </c>
      <c r="M145" s="296">
        <f>BD.PD[[#This Row],[Cant.]]*BD.PD[[#This Row],[ Tasa ]]*BD.PD[[#This Row],[ Precio Und.]]</f>
        <v>0</v>
      </c>
      <c r="N145" s="297">
        <v>0</v>
      </c>
      <c r="O145" s="296">
        <f>IF(BD.PD[[#This Row],[Liquid. '[%']]]&lt;&gt;0,(BD.PD[[#This Row],[Valor Neto '[DOP']]]*BD.PD[[#This Row],[Liquid. '[%']]])+BD.PD[[#This Row],[Valor Neto '[DOP']]],BD.PD[[#This Row],[Valor Neto '[DOP']]])</f>
        <v>0</v>
      </c>
      <c r="P145" s="306">
        <f>BD.PD[[#This Row],[Ppto. Orden Interna '[DOP']]]/HLOOKUP("USD",$J$1:$K$2,2,FALSE)</f>
        <v>0</v>
      </c>
      <c r="Q145" s="299"/>
      <c r="R145" s="307"/>
      <c r="S145" s="300"/>
      <c r="T145" s="301"/>
      <c r="U145" s="308">
        <f>BD.PD[[#This Row],[Av.P1 '[%']]]*BD.PD[[#This Row],[Ppto. Orden Interna '[DOP']]]</f>
        <v>0</v>
      </c>
      <c r="V145" s="303"/>
      <c r="W145" s="304"/>
      <c r="X145" s="308">
        <f>BD.PD[[#This Row],[Av.P2 '[%']]]*BD.PD[[#This Row],[Ppto. Orden Interna '[DOP']]]</f>
        <v>0</v>
      </c>
      <c r="Y145" s="303"/>
      <c r="Z145" s="304"/>
      <c r="AA145" s="308">
        <f>BD.PD[[#This Row],[Av.P3 '[%']]]*BD.PD[[#This Row],[Ppto. Orden Interna '[DOP']]]</f>
        <v>0</v>
      </c>
      <c r="AB145" s="303"/>
      <c r="AC145" s="304"/>
      <c r="AD145" s="308">
        <f>BD.PD[[#This Row],[Av.P4 '[%']]]*BD.PD[[#This Row],[Ppto. Orden Interna '[DOP']]]</f>
        <v>0</v>
      </c>
      <c r="AE145" s="303"/>
      <c r="AF145" s="304"/>
      <c r="AG145" s="308">
        <f>BD.PD[[#This Row],[Av.P5 '[%']]]*BD.PD[[#This Row],[Ppto. Orden Interna '[DOP']]]</f>
        <v>0</v>
      </c>
      <c r="AH145" s="305">
        <f>BD.PD[[#This Row],[Pago 5]]+BD.PD[[#This Row],[Pago 4]]+BD.PD[[#This Row],[Pago 3]]+BD.PD[[#This Row],[Pago 2]]+BD.PD[[#This Row],[Pago 1]]</f>
        <v>0</v>
      </c>
      <c r="AI145" s="404"/>
      <c r="IB145" s="275"/>
    </row>
    <row r="146" spans="1:236" s="388" customFormat="1" ht="15" customHeight="1" x14ac:dyDescent="0.3">
      <c r="A146" s="231">
        <v>7.02</v>
      </c>
      <c r="B146" s="288"/>
      <c r="C146" s="289" t="str">
        <f>VLOOKUP(BD.PD[[#This Row],[Pos]],PPto[],3,FALSE)</f>
        <v>7.02 Cocina, Patio Comidas y Rostizería</v>
      </c>
      <c r="D146" s="231" t="s">
        <v>22</v>
      </c>
      <c r="E146" s="291" t="str">
        <f>IF(BD.PD[[#This Row],[.]]="*",VLOOKUP(BD.PD[[#This Row],[Pos]],Presupuesto!A:H,7,FALSE),"")</f>
        <v/>
      </c>
      <c r="F146" s="387" t="s">
        <v>244</v>
      </c>
      <c r="G146" s="292">
        <v>4512411708</v>
      </c>
      <c r="H146" s="358">
        <v>45705</v>
      </c>
      <c r="I146" s="359">
        <v>1</v>
      </c>
      <c r="J146" s="231" t="s">
        <v>581</v>
      </c>
      <c r="K146" s="294">
        <f>IF(BD.PD[[#This Row],[Mon]]="DOP",1,HLOOKUP(BD.PD[[#This Row],[Mon]],$J$1:$K$2,2,FALSE))</f>
        <v>1</v>
      </c>
      <c r="L146" s="360">
        <v>64770.41</v>
      </c>
      <c r="M146" s="296">
        <f>BD.PD[[#This Row],[Cant.]]*BD.PD[[#This Row],[ Tasa ]]*BD.PD[[#This Row],[ Precio Und.]]</f>
        <v>64770.41</v>
      </c>
      <c r="N146" s="361">
        <v>0</v>
      </c>
      <c r="O146" s="296">
        <f>IF(BD.PD[[#This Row],[Liquid. '[%']]]&lt;&gt;0,(BD.PD[[#This Row],[Valor Neto '[DOP']]]*BD.PD[[#This Row],[Liquid. '[%']]])+BD.PD[[#This Row],[Valor Neto '[DOP']]],BD.PD[[#This Row],[Valor Neto '[DOP']]])</f>
        <v>64770.41</v>
      </c>
      <c r="P146" s="306">
        <f>BD.PD[[#This Row],[Ppto. Orden Interna '[DOP']]]/HLOOKUP("USD",$J$1:$K$2,2,FALSE)</f>
        <v>1028.1017460317462</v>
      </c>
      <c r="Q146" s="299" t="s">
        <v>671</v>
      </c>
      <c r="R146" s="307" t="s">
        <v>672</v>
      </c>
      <c r="S146" s="300">
        <v>10</v>
      </c>
      <c r="T146" s="301">
        <v>0.5</v>
      </c>
      <c r="U146" s="308">
        <f>BD.PD[[#This Row],[Av.P1 '[%']]]*BD.PD[[#This Row],[Ppto. Orden Interna '[DOP']]]</f>
        <v>32385.205000000002</v>
      </c>
      <c r="V146" s="303">
        <v>21</v>
      </c>
      <c r="W146" s="304">
        <v>0.5</v>
      </c>
      <c r="X146" s="308">
        <f>BD.PD[[#This Row],[Av.P2 '[%']]]*BD.PD[[#This Row],[Ppto. Orden Interna '[DOP']]]</f>
        <v>32385.205000000002</v>
      </c>
      <c r="Y146" s="303"/>
      <c r="Z146" s="304"/>
      <c r="AA146" s="308">
        <f>BD.PD[[#This Row],[Av.P3 '[%']]]*BD.PD[[#This Row],[Ppto. Orden Interna '[DOP']]]</f>
        <v>0</v>
      </c>
      <c r="AB146" s="303"/>
      <c r="AC146" s="304"/>
      <c r="AD146" s="308">
        <f>BD.PD[[#This Row],[Av.P4 '[%']]]*BD.PD[[#This Row],[Ppto. Orden Interna '[DOP']]]</f>
        <v>0</v>
      </c>
      <c r="AE146" s="303"/>
      <c r="AF146" s="304"/>
      <c r="AG146" s="308">
        <f>BD.PD[[#This Row],[Av.P5 '[%']]]*BD.PD[[#This Row],[Ppto. Orden Interna '[DOP']]]</f>
        <v>0</v>
      </c>
      <c r="AH146" s="305">
        <f>BD.PD[[#This Row],[Pago 5]]+BD.PD[[#This Row],[Pago 4]]+BD.PD[[#This Row],[Pago 3]]+BD.PD[[#This Row],[Pago 2]]+BD.PD[[#This Row],[Pago 1]]</f>
        <v>64770.41</v>
      </c>
      <c r="AI146" s="404"/>
      <c r="AJ146" s="401"/>
      <c r="AK146" s="401"/>
      <c r="AL146" s="401"/>
      <c r="AM146" s="401"/>
      <c r="AN146" s="401"/>
      <c r="AO146" s="401"/>
      <c r="AP146" s="401"/>
      <c r="AQ146" s="401"/>
      <c r="AR146" s="401"/>
      <c r="AS146" s="401"/>
      <c r="AT146" s="401"/>
      <c r="AU146" s="401"/>
      <c r="AV146" s="401"/>
      <c r="AW146" s="401"/>
      <c r="AX146" s="401"/>
      <c r="AY146" s="401"/>
      <c r="AZ146" s="401"/>
      <c r="BA146" s="401"/>
      <c r="BB146" s="401"/>
      <c r="BC146" s="401"/>
      <c r="BD146" s="401"/>
      <c r="BE146" s="401"/>
      <c r="BF146" s="401"/>
      <c r="BG146" s="401"/>
      <c r="BH146" s="401"/>
      <c r="BI146" s="401"/>
      <c r="BJ146" s="401"/>
      <c r="BK146" s="401"/>
      <c r="BL146" s="401"/>
      <c r="BM146" s="401"/>
      <c r="BN146" s="401"/>
      <c r="BO146" s="401"/>
      <c r="BP146" s="401"/>
      <c r="BQ146" s="401"/>
      <c r="BR146" s="401"/>
      <c r="BS146" s="401"/>
      <c r="BT146" s="401"/>
      <c r="BU146" s="401"/>
      <c r="BV146" s="401"/>
      <c r="BW146" s="401"/>
      <c r="BX146" s="401"/>
      <c r="BY146" s="401"/>
      <c r="BZ146" s="401"/>
      <c r="CA146" s="401"/>
      <c r="CB146" s="401"/>
      <c r="CC146" s="401"/>
      <c r="CD146" s="401"/>
      <c r="CE146" s="401"/>
      <c r="CF146" s="401"/>
      <c r="CG146" s="401"/>
      <c r="CH146" s="401"/>
      <c r="CI146" s="401"/>
      <c r="CJ146" s="401"/>
      <c r="CK146" s="401"/>
      <c r="CL146" s="401"/>
      <c r="CM146" s="401"/>
      <c r="CN146" s="401"/>
      <c r="CO146" s="401"/>
      <c r="CP146" s="401"/>
      <c r="CQ146" s="401"/>
      <c r="CR146" s="401"/>
      <c r="CS146" s="401"/>
      <c r="CT146" s="401"/>
      <c r="CU146" s="401"/>
      <c r="CV146" s="401"/>
      <c r="CW146" s="401"/>
      <c r="CX146" s="401"/>
      <c r="CY146" s="401"/>
      <c r="CZ146" s="401"/>
      <c r="DA146" s="401"/>
      <c r="DB146" s="401"/>
      <c r="DC146" s="401"/>
      <c r="DD146" s="401"/>
      <c r="DE146" s="401"/>
      <c r="DF146" s="401"/>
      <c r="DG146" s="401"/>
      <c r="DH146" s="401"/>
      <c r="DI146" s="401"/>
      <c r="DJ146" s="401"/>
      <c r="DK146" s="401"/>
      <c r="DL146" s="401"/>
      <c r="DM146" s="401"/>
      <c r="DN146" s="401"/>
      <c r="DO146" s="401"/>
      <c r="DP146" s="401"/>
      <c r="DQ146" s="401"/>
      <c r="DR146" s="401"/>
      <c r="DS146" s="401"/>
      <c r="DT146" s="401"/>
      <c r="DU146" s="401"/>
      <c r="DV146" s="401"/>
      <c r="DW146" s="401"/>
      <c r="DX146" s="401"/>
      <c r="DY146" s="401"/>
      <c r="DZ146" s="401"/>
      <c r="EA146" s="401"/>
      <c r="EB146" s="401"/>
      <c r="EC146" s="401"/>
      <c r="ED146" s="401"/>
      <c r="EE146" s="401"/>
      <c r="EF146" s="401"/>
      <c r="EG146" s="401"/>
      <c r="EH146" s="401"/>
      <c r="EI146" s="401"/>
      <c r="EJ146" s="401"/>
      <c r="EK146" s="401"/>
      <c r="EL146" s="401"/>
      <c r="EM146" s="401"/>
      <c r="EN146" s="401"/>
      <c r="EO146" s="401"/>
      <c r="EP146" s="401"/>
      <c r="EQ146" s="401"/>
      <c r="ER146" s="401"/>
      <c r="ES146" s="401"/>
      <c r="ET146" s="401"/>
      <c r="EU146" s="401"/>
      <c r="EV146" s="401"/>
      <c r="EW146" s="401"/>
      <c r="EX146" s="401"/>
      <c r="EY146" s="401"/>
      <c r="EZ146" s="401"/>
      <c r="FA146" s="401"/>
      <c r="FB146" s="401"/>
      <c r="FC146" s="401"/>
      <c r="FD146" s="401"/>
      <c r="FE146" s="401"/>
      <c r="FF146" s="401"/>
      <c r="FG146" s="401"/>
      <c r="FH146" s="401"/>
      <c r="FI146" s="401"/>
      <c r="FJ146" s="401"/>
      <c r="FK146" s="401"/>
      <c r="FL146" s="401"/>
      <c r="FM146" s="401"/>
      <c r="FN146" s="401"/>
      <c r="FO146" s="401"/>
      <c r="FP146" s="401"/>
      <c r="FQ146" s="401"/>
      <c r="FR146" s="401"/>
      <c r="FS146" s="401"/>
      <c r="FT146" s="401"/>
      <c r="FU146" s="401"/>
      <c r="FV146" s="401"/>
      <c r="FW146" s="401"/>
      <c r="FX146" s="401"/>
      <c r="FY146" s="401"/>
      <c r="FZ146" s="401"/>
      <c r="GA146" s="401"/>
      <c r="GB146" s="401"/>
      <c r="GC146" s="401"/>
      <c r="GD146" s="401"/>
      <c r="GE146" s="401"/>
      <c r="GF146" s="401"/>
      <c r="GG146" s="401"/>
      <c r="GH146" s="401"/>
      <c r="GI146" s="401"/>
      <c r="GJ146" s="401"/>
      <c r="GK146" s="401"/>
      <c r="GL146" s="401"/>
      <c r="GM146" s="401"/>
      <c r="GN146" s="401"/>
      <c r="GO146" s="401"/>
      <c r="GP146" s="401"/>
      <c r="GQ146" s="401"/>
      <c r="GR146" s="401"/>
      <c r="GS146" s="401"/>
      <c r="GT146" s="401"/>
      <c r="GU146" s="401"/>
      <c r="GV146" s="401"/>
      <c r="GW146" s="401"/>
      <c r="GX146" s="401"/>
      <c r="GY146" s="401"/>
      <c r="GZ146" s="401"/>
      <c r="HA146" s="401"/>
      <c r="HB146" s="401"/>
      <c r="HC146" s="401"/>
      <c r="HD146" s="401"/>
      <c r="HE146" s="401"/>
      <c r="HF146" s="401"/>
      <c r="HG146" s="401"/>
      <c r="HH146" s="401"/>
      <c r="HI146" s="401"/>
      <c r="HJ146" s="401"/>
      <c r="HK146" s="401"/>
      <c r="HL146" s="401"/>
      <c r="HM146" s="401"/>
      <c r="HN146" s="401"/>
      <c r="HO146" s="401"/>
      <c r="HP146" s="401"/>
      <c r="HQ146" s="401"/>
      <c r="HR146" s="401"/>
      <c r="HS146" s="401"/>
      <c r="HT146" s="401"/>
      <c r="HU146" s="401"/>
      <c r="HV146" s="401"/>
      <c r="HW146" s="401"/>
      <c r="HX146" s="401"/>
      <c r="HY146" s="401"/>
      <c r="HZ146" s="401"/>
      <c r="IA146" s="401"/>
    </row>
    <row r="147" spans="1:236" ht="15" customHeight="1" x14ac:dyDescent="0.3">
      <c r="A147" s="231">
        <v>7.02</v>
      </c>
      <c r="B147" s="288"/>
      <c r="C147" s="289" t="str">
        <f>VLOOKUP(BD.PD[[#This Row],[Pos]],PPto[],3,FALSE)</f>
        <v>7.02 Cocina, Patio Comidas y Rostizería</v>
      </c>
      <c r="D147" s="231" t="s">
        <v>22</v>
      </c>
      <c r="E147" s="291" t="str">
        <f>IF(BD.PD[[#This Row],[.]]="*",VLOOKUP(BD.PD[[#This Row],[Pos]],Presupuesto!A:H,7,FALSE),"")</f>
        <v/>
      </c>
      <c r="F147" s="387" t="s">
        <v>228</v>
      </c>
      <c r="G147" s="292">
        <v>4512411708</v>
      </c>
      <c r="H147" s="358">
        <v>45705</v>
      </c>
      <c r="I147" s="359">
        <v>1</v>
      </c>
      <c r="J147" s="231" t="s">
        <v>581</v>
      </c>
      <c r="K147" s="294">
        <f>IF(BD.PD[[#This Row],[Mon]]="DOP",1,HLOOKUP(BD.PD[[#This Row],[Mon]],$J$1:$K$2,2,FALSE))</f>
        <v>1</v>
      </c>
      <c r="L147" s="360">
        <v>307391.34000000003</v>
      </c>
      <c r="M147" s="296">
        <f>BD.PD[[#This Row],[Cant.]]*BD.PD[[#This Row],[ Tasa ]]*BD.PD[[#This Row],[ Precio Und.]]</f>
        <v>307391.34000000003</v>
      </c>
      <c r="N147" s="361">
        <v>0</v>
      </c>
      <c r="O147" s="296">
        <f>IF(BD.PD[[#This Row],[Liquid. '[%']]]&lt;&gt;0,(BD.PD[[#This Row],[Valor Neto '[DOP']]]*BD.PD[[#This Row],[Liquid. '[%']]])+BD.PD[[#This Row],[Valor Neto '[DOP']]],BD.PD[[#This Row],[Valor Neto '[DOP']]])</f>
        <v>307391.34000000003</v>
      </c>
      <c r="P147" s="306">
        <f>BD.PD[[#This Row],[Ppto. Orden Interna '[DOP']]]/HLOOKUP("USD",$J$1:$K$2,2,FALSE)</f>
        <v>4879.2276190476196</v>
      </c>
      <c r="Q147" s="299" t="s">
        <v>671</v>
      </c>
      <c r="R147" s="307" t="s">
        <v>672</v>
      </c>
      <c r="S147" s="300">
        <v>10</v>
      </c>
      <c r="T147" s="301">
        <v>0.5</v>
      </c>
      <c r="U147" s="308">
        <f>BD.PD[[#This Row],[Av.P1 '[%']]]*BD.PD[[#This Row],[Ppto. Orden Interna '[DOP']]]</f>
        <v>153695.67000000001</v>
      </c>
      <c r="V147" s="303">
        <v>21</v>
      </c>
      <c r="W147" s="304">
        <v>0.5</v>
      </c>
      <c r="X147" s="308">
        <f>BD.PD[[#This Row],[Av.P2 '[%']]]*BD.PD[[#This Row],[Ppto. Orden Interna '[DOP']]]</f>
        <v>153695.67000000001</v>
      </c>
      <c r="Y147" s="303"/>
      <c r="Z147" s="304"/>
      <c r="AA147" s="308">
        <f>BD.PD[[#This Row],[Av.P3 '[%']]]*BD.PD[[#This Row],[Ppto. Orden Interna '[DOP']]]</f>
        <v>0</v>
      </c>
      <c r="AB147" s="303"/>
      <c r="AC147" s="304"/>
      <c r="AD147" s="308">
        <f>BD.PD[[#This Row],[Av.P4 '[%']]]*BD.PD[[#This Row],[Ppto. Orden Interna '[DOP']]]</f>
        <v>0</v>
      </c>
      <c r="AE147" s="303"/>
      <c r="AF147" s="304"/>
      <c r="AG147" s="308">
        <f>BD.PD[[#This Row],[Av.P5 '[%']]]*BD.PD[[#This Row],[Ppto. Orden Interna '[DOP']]]</f>
        <v>0</v>
      </c>
      <c r="AH147" s="305">
        <f>BD.PD[[#This Row],[Pago 5]]+BD.PD[[#This Row],[Pago 4]]+BD.PD[[#This Row],[Pago 3]]+BD.PD[[#This Row],[Pago 2]]+BD.PD[[#This Row],[Pago 1]]</f>
        <v>307391.34000000003</v>
      </c>
      <c r="AI147" s="404"/>
      <c r="IB147" s="275"/>
    </row>
    <row r="148" spans="1:236" ht="15" customHeight="1" x14ac:dyDescent="0.3">
      <c r="A148" s="231">
        <v>7.02</v>
      </c>
      <c r="B148" s="288"/>
      <c r="C148" s="289" t="str">
        <f>VLOOKUP(BD.PD[[#This Row],[Pos]],PPto[],3,FALSE)</f>
        <v>7.02 Cocina, Patio Comidas y Rostizería</v>
      </c>
      <c r="D148" s="231" t="s">
        <v>22</v>
      </c>
      <c r="E148" s="291" t="str">
        <f>IF(BD.PD[[#This Row],[.]]="*",VLOOKUP(BD.PD[[#This Row],[Pos]],Presupuesto!A:H,7,FALSE),"")</f>
        <v/>
      </c>
      <c r="F148" s="387" t="s">
        <v>243</v>
      </c>
      <c r="G148" s="292">
        <v>4512411708</v>
      </c>
      <c r="H148" s="358">
        <v>45705</v>
      </c>
      <c r="I148" s="359">
        <v>1</v>
      </c>
      <c r="J148" s="231" t="s">
        <v>581</v>
      </c>
      <c r="K148" s="294">
        <f>IF(BD.PD[[#This Row],[Mon]]="DOP",1,HLOOKUP(BD.PD[[#This Row],[Mon]],$J$1:$K$2,2,FALSE))</f>
        <v>1</v>
      </c>
      <c r="L148" s="360">
        <v>3650.85</v>
      </c>
      <c r="M148" s="296">
        <f>BD.PD[[#This Row],[Cant.]]*BD.PD[[#This Row],[ Tasa ]]*BD.PD[[#This Row],[ Precio Und.]]</f>
        <v>3650.85</v>
      </c>
      <c r="N148" s="361">
        <v>0</v>
      </c>
      <c r="O148" s="296">
        <f>IF(BD.PD[[#This Row],[Liquid. '[%']]]&lt;&gt;0,(BD.PD[[#This Row],[Valor Neto '[DOP']]]*BD.PD[[#This Row],[Liquid. '[%']]])+BD.PD[[#This Row],[Valor Neto '[DOP']]],BD.PD[[#This Row],[Valor Neto '[DOP']]])</f>
        <v>3650.85</v>
      </c>
      <c r="P148" s="306">
        <f>BD.PD[[#This Row],[Ppto. Orden Interna '[DOP']]]/HLOOKUP("USD",$J$1:$K$2,2,FALSE)</f>
        <v>57.949999999999996</v>
      </c>
      <c r="Q148" s="299" t="s">
        <v>671</v>
      </c>
      <c r="R148" s="307" t="s">
        <v>672</v>
      </c>
      <c r="S148" s="300">
        <v>10</v>
      </c>
      <c r="T148" s="301">
        <v>0.5</v>
      </c>
      <c r="U148" s="308">
        <f>BD.PD[[#This Row],[Av.P1 '[%']]]*BD.PD[[#This Row],[Ppto. Orden Interna '[DOP']]]</f>
        <v>1825.425</v>
      </c>
      <c r="V148" s="303">
        <v>21</v>
      </c>
      <c r="W148" s="304">
        <v>0.5</v>
      </c>
      <c r="X148" s="308">
        <f>BD.PD[[#This Row],[Av.P2 '[%']]]*BD.PD[[#This Row],[Ppto. Orden Interna '[DOP']]]</f>
        <v>1825.425</v>
      </c>
      <c r="Y148" s="303"/>
      <c r="Z148" s="304"/>
      <c r="AA148" s="308">
        <f>BD.PD[[#This Row],[Av.P3 '[%']]]*BD.PD[[#This Row],[Ppto. Orden Interna '[DOP']]]</f>
        <v>0</v>
      </c>
      <c r="AB148" s="303"/>
      <c r="AC148" s="304"/>
      <c r="AD148" s="308">
        <f>BD.PD[[#This Row],[Av.P4 '[%']]]*BD.PD[[#This Row],[Ppto. Orden Interna '[DOP']]]</f>
        <v>0</v>
      </c>
      <c r="AE148" s="303"/>
      <c r="AF148" s="304"/>
      <c r="AG148" s="308">
        <f>BD.PD[[#This Row],[Av.P5 '[%']]]*BD.PD[[#This Row],[Ppto. Orden Interna '[DOP']]]</f>
        <v>0</v>
      </c>
      <c r="AH148" s="305">
        <f>BD.PD[[#This Row],[Pago 5]]+BD.PD[[#This Row],[Pago 4]]+BD.PD[[#This Row],[Pago 3]]+BD.PD[[#This Row],[Pago 2]]+BD.PD[[#This Row],[Pago 1]]</f>
        <v>3650.85</v>
      </c>
      <c r="AI148" s="404"/>
      <c r="IB148" s="275"/>
    </row>
    <row r="149" spans="1:236" ht="15" customHeight="1" x14ac:dyDescent="0.3">
      <c r="A149" s="231">
        <v>7.02</v>
      </c>
      <c r="B149" s="288"/>
      <c r="C149" s="289" t="str">
        <f>VLOOKUP(BD.PD[[#This Row],[Pos]],PPto[],3,FALSE)</f>
        <v>7.02 Cocina, Patio Comidas y Rostizería</v>
      </c>
      <c r="D149" s="231" t="s">
        <v>22</v>
      </c>
      <c r="E149" s="291" t="str">
        <f>IF(BD.PD[[#This Row],[.]]="*",VLOOKUP(BD.PD[[#This Row],[Pos]],Presupuesto!A:H,7,FALSE),"")</f>
        <v/>
      </c>
      <c r="F149" s="387" t="s">
        <v>243</v>
      </c>
      <c r="G149" s="292">
        <v>4512411708</v>
      </c>
      <c r="H149" s="358">
        <v>45705</v>
      </c>
      <c r="I149" s="359">
        <v>1</v>
      </c>
      <c r="J149" s="231" t="s">
        <v>581</v>
      </c>
      <c r="K149" s="294">
        <f>IF(BD.PD[[#This Row],[Mon]]="DOP",1,HLOOKUP(BD.PD[[#This Row],[Mon]],$J$1:$K$2,2,FALSE))</f>
        <v>1</v>
      </c>
      <c r="L149" s="360">
        <v>4242.25</v>
      </c>
      <c r="M149" s="296">
        <f>BD.PD[[#This Row],[Cant.]]*BD.PD[[#This Row],[ Tasa ]]*BD.PD[[#This Row],[ Precio Und.]]</f>
        <v>4242.25</v>
      </c>
      <c r="N149" s="361">
        <v>0</v>
      </c>
      <c r="O149" s="296">
        <f>IF(BD.PD[[#This Row],[Liquid. '[%']]]&lt;&gt;0,(BD.PD[[#This Row],[Valor Neto '[DOP']]]*BD.PD[[#This Row],[Liquid. '[%']]])+BD.PD[[#This Row],[Valor Neto '[DOP']]],BD.PD[[#This Row],[Valor Neto '[DOP']]])</f>
        <v>4242.25</v>
      </c>
      <c r="P149" s="306">
        <f>BD.PD[[#This Row],[Ppto. Orden Interna '[DOP']]]/HLOOKUP("USD",$J$1:$K$2,2,FALSE)</f>
        <v>67.337301587301582</v>
      </c>
      <c r="Q149" s="299" t="s">
        <v>671</v>
      </c>
      <c r="R149" s="307" t="s">
        <v>672</v>
      </c>
      <c r="S149" s="300">
        <v>10</v>
      </c>
      <c r="T149" s="301">
        <v>0.5</v>
      </c>
      <c r="U149" s="308">
        <f>BD.PD[[#This Row],[Av.P1 '[%']]]*BD.PD[[#This Row],[Ppto. Orden Interna '[DOP']]]</f>
        <v>2121.125</v>
      </c>
      <c r="V149" s="303">
        <v>21</v>
      </c>
      <c r="W149" s="304">
        <v>0.5</v>
      </c>
      <c r="X149" s="308">
        <f>BD.PD[[#This Row],[Av.P2 '[%']]]*BD.PD[[#This Row],[Ppto. Orden Interna '[DOP']]]</f>
        <v>2121.125</v>
      </c>
      <c r="Y149" s="303"/>
      <c r="Z149" s="304"/>
      <c r="AA149" s="308">
        <f>BD.PD[[#This Row],[Av.P3 '[%']]]*BD.PD[[#This Row],[Ppto. Orden Interna '[DOP']]]</f>
        <v>0</v>
      </c>
      <c r="AB149" s="303"/>
      <c r="AC149" s="304"/>
      <c r="AD149" s="308">
        <f>BD.PD[[#This Row],[Av.P4 '[%']]]*BD.PD[[#This Row],[Ppto. Orden Interna '[DOP']]]</f>
        <v>0</v>
      </c>
      <c r="AE149" s="303"/>
      <c r="AF149" s="304"/>
      <c r="AG149" s="308">
        <f>BD.PD[[#This Row],[Av.P5 '[%']]]*BD.PD[[#This Row],[Ppto. Orden Interna '[DOP']]]</f>
        <v>0</v>
      </c>
      <c r="AH149" s="305">
        <f>BD.PD[[#This Row],[Pago 5]]+BD.PD[[#This Row],[Pago 4]]+BD.PD[[#This Row],[Pago 3]]+BD.PD[[#This Row],[Pago 2]]+BD.PD[[#This Row],[Pago 1]]</f>
        <v>4242.25</v>
      </c>
      <c r="AI149" s="404"/>
      <c r="IB149" s="275"/>
    </row>
    <row r="150" spans="1:236" ht="15" customHeight="1" x14ac:dyDescent="0.3">
      <c r="A150" s="231">
        <v>7.02</v>
      </c>
      <c r="B150" s="288"/>
      <c r="C150" s="289" t="str">
        <f>VLOOKUP(BD.PD[[#This Row],[Pos]],PPto[],3,FALSE)</f>
        <v>7.02 Cocina, Patio Comidas y Rostizería</v>
      </c>
      <c r="D150" s="231" t="s">
        <v>22</v>
      </c>
      <c r="E150" s="291" t="str">
        <f>IF(BD.PD[[#This Row],[.]]="*",VLOOKUP(BD.PD[[#This Row],[Pos]],Presupuesto!A:H,7,FALSE),"")</f>
        <v/>
      </c>
      <c r="F150" s="387" t="s">
        <v>242</v>
      </c>
      <c r="G150" s="292">
        <v>4512411708</v>
      </c>
      <c r="H150" s="358">
        <v>45705</v>
      </c>
      <c r="I150" s="359">
        <v>1</v>
      </c>
      <c r="J150" s="231" t="s">
        <v>581</v>
      </c>
      <c r="K150" s="294">
        <f>IF(BD.PD[[#This Row],[Mon]]="DOP",1,HLOOKUP(BD.PD[[#This Row],[Mon]],$J$1:$K$2,2,FALSE))</f>
        <v>1</v>
      </c>
      <c r="L150" s="360">
        <v>4853</v>
      </c>
      <c r="M150" s="296">
        <f>BD.PD[[#This Row],[Cant.]]*BD.PD[[#This Row],[ Tasa ]]*BD.PD[[#This Row],[ Precio Und.]]</f>
        <v>4853</v>
      </c>
      <c r="N150" s="361">
        <v>0</v>
      </c>
      <c r="O150" s="296">
        <f>IF(BD.PD[[#This Row],[Liquid. '[%']]]&lt;&gt;0,(BD.PD[[#This Row],[Valor Neto '[DOP']]]*BD.PD[[#This Row],[Liquid. '[%']]])+BD.PD[[#This Row],[Valor Neto '[DOP']]],BD.PD[[#This Row],[Valor Neto '[DOP']]])</f>
        <v>4853</v>
      </c>
      <c r="P150" s="306">
        <f>BD.PD[[#This Row],[Ppto. Orden Interna '[DOP']]]/HLOOKUP("USD",$J$1:$K$2,2,FALSE)</f>
        <v>77.031746031746039</v>
      </c>
      <c r="Q150" s="299" t="s">
        <v>671</v>
      </c>
      <c r="R150" s="307" t="s">
        <v>672</v>
      </c>
      <c r="S150" s="300">
        <v>10</v>
      </c>
      <c r="T150" s="301">
        <v>0.5</v>
      </c>
      <c r="U150" s="308">
        <f>BD.PD[[#This Row],[Av.P1 '[%']]]*BD.PD[[#This Row],[Ppto. Orden Interna '[DOP']]]</f>
        <v>2426.5</v>
      </c>
      <c r="V150" s="303">
        <v>21</v>
      </c>
      <c r="W150" s="304">
        <v>0.5</v>
      </c>
      <c r="X150" s="308">
        <f>BD.PD[[#This Row],[Av.P2 '[%']]]*BD.PD[[#This Row],[Ppto. Orden Interna '[DOP']]]</f>
        <v>2426.5</v>
      </c>
      <c r="Y150" s="303"/>
      <c r="Z150" s="304"/>
      <c r="AA150" s="308">
        <f>BD.PD[[#This Row],[Av.P3 '[%']]]*BD.PD[[#This Row],[Ppto. Orden Interna '[DOP']]]</f>
        <v>0</v>
      </c>
      <c r="AB150" s="303"/>
      <c r="AC150" s="304"/>
      <c r="AD150" s="308">
        <f>BD.PD[[#This Row],[Av.P4 '[%']]]*BD.PD[[#This Row],[Ppto. Orden Interna '[DOP']]]</f>
        <v>0</v>
      </c>
      <c r="AE150" s="303"/>
      <c r="AF150" s="304"/>
      <c r="AG150" s="308">
        <f>BD.PD[[#This Row],[Av.P5 '[%']]]*BD.PD[[#This Row],[Ppto. Orden Interna '[DOP']]]</f>
        <v>0</v>
      </c>
      <c r="AH150" s="305">
        <f>BD.PD[[#This Row],[Pago 5]]+BD.PD[[#This Row],[Pago 4]]+BD.PD[[#This Row],[Pago 3]]+BD.PD[[#This Row],[Pago 2]]+BD.PD[[#This Row],[Pago 1]]</f>
        <v>4853</v>
      </c>
      <c r="AI150" s="404"/>
      <c r="IB150" s="275"/>
    </row>
    <row r="151" spans="1:236" ht="15" customHeight="1" x14ac:dyDescent="0.3">
      <c r="A151" s="231">
        <v>7.02</v>
      </c>
      <c r="B151" s="288"/>
      <c r="C151" s="289" t="str">
        <f>VLOOKUP(BD.PD[[#This Row],[Pos]],PPto[],3,FALSE)</f>
        <v>7.02 Cocina, Patio Comidas y Rostizería</v>
      </c>
      <c r="D151" s="231" t="s">
        <v>22</v>
      </c>
      <c r="E151" s="291" t="str">
        <f>IF(BD.PD[[#This Row],[.]]="*",VLOOKUP(BD.PD[[#This Row],[Pos]],Presupuesto!A:H,7,FALSE),"")</f>
        <v/>
      </c>
      <c r="F151" s="387" t="s">
        <v>241</v>
      </c>
      <c r="G151" s="292">
        <v>4512411708</v>
      </c>
      <c r="H151" s="358">
        <v>45705</v>
      </c>
      <c r="I151" s="359">
        <v>1</v>
      </c>
      <c r="J151" s="231" t="s">
        <v>581</v>
      </c>
      <c r="K151" s="294">
        <f>IF(BD.PD[[#This Row],[Mon]]="DOP",1,HLOOKUP(BD.PD[[#This Row],[Mon]],$J$1:$K$2,2,FALSE))</f>
        <v>1</v>
      </c>
      <c r="L151" s="360">
        <v>5821.21</v>
      </c>
      <c r="M151" s="296">
        <f>BD.PD[[#This Row],[Cant.]]*BD.PD[[#This Row],[ Tasa ]]*BD.PD[[#This Row],[ Precio Und.]]</f>
        <v>5821.21</v>
      </c>
      <c r="N151" s="361">
        <v>0</v>
      </c>
      <c r="O151" s="296">
        <f>IF(BD.PD[[#This Row],[Liquid. '[%']]]&lt;&gt;0,(BD.PD[[#This Row],[Valor Neto '[DOP']]]*BD.PD[[#This Row],[Liquid. '[%']]])+BD.PD[[#This Row],[Valor Neto '[DOP']]],BD.PD[[#This Row],[Valor Neto '[DOP']]])</f>
        <v>5821.21</v>
      </c>
      <c r="P151" s="306">
        <f>BD.PD[[#This Row],[Ppto. Orden Interna '[DOP']]]/HLOOKUP("USD",$J$1:$K$2,2,FALSE)</f>
        <v>92.400158730158736</v>
      </c>
      <c r="Q151" s="299" t="s">
        <v>671</v>
      </c>
      <c r="R151" s="307" t="s">
        <v>672</v>
      </c>
      <c r="S151" s="300">
        <v>10</v>
      </c>
      <c r="T151" s="301">
        <v>0.5</v>
      </c>
      <c r="U151" s="308">
        <f>BD.PD[[#This Row],[Av.P1 '[%']]]*BD.PD[[#This Row],[Ppto. Orden Interna '[DOP']]]</f>
        <v>2910.605</v>
      </c>
      <c r="V151" s="303">
        <v>21</v>
      </c>
      <c r="W151" s="304">
        <v>0.5</v>
      </c>
      <c r="X151" s="308">
        <f>BD.PD[[#This Row],[Av.P2 '[%']]]*BD.PD[[#This Row],[Ppto. Orden Interna '[DOP']]]</f>
        <v>2910.605</v>
      </c>
      <c r="Y151" s="303"/>
      <c r="Z151" s="304"/>
      <c r="AA151" s="308">
        <f>BD.PD[[#This Row],[Av.P3 '[%']]]*BD.PD[[#This Row],[Ppto. Orden Interna '[DOP']]]</f>
        <v>0</v>
      </c>
      <c r="AB151" s="303"/>
      <c r="AC151" s="304"/>
      <c r="AD151" s="308">
        <f>BD.PD[[#This Row],[Av.P4 '[%']]]*BD.PD[[#This Row],[Ppto. Orden Interna '[DOP']]]</f>
        <v>0</v>
      </c>
      <c r="AE151" s="303"/>
      <c r="AF151" s="304"/>
      <c r="AG151" s="308">
        <f>BD.PD[[#This Row],[Av.P5 '[%']]]*BD.PD[[#This Row],[Ppto. Orden Interna '[DOP']]]</f>
        <v>0</v>
      </c>
      <c r="AH151" s="305">
        <f>BD.PD[[#This Row],[Pago 5]]+BD.PD[[#This Row],[Pago 4]]+BD.PD[[#This Row],[Pago 3]]+BD.PD[[#This Row],[Pago 2]]+BD.PD[[#This Row],[Pago 1]]</f>
        <v>5821.21</v>
      </c>
      <c r="AI151" s="404"/>
      <c r="IB151" s="275"/>
    </row>
    <row r="152" spans="1:236" ht="15" customHeight="1" x14ac:dyDescent="0.3">
      <c r="A152" s="231">
        <v>7.02</v>
      </c>
      <c r="B152" s="288"/>
      <c r="C152" s="289" t="str">
        <f>VLOOKUP(BD.PD[[#This Row],[Pos]],PPto[],3,FALSE)</f>
        <v>7.02 Cocina, Patio Comidas y Rostizería</v>
      </c>
      <c r="D152" s="231" t="s">
        <v>22</v>
      </c>
      <c r="E152" s="291" t="str">
        <f>IF(BD.PD[[#This Row],[.]]="*",VLOOKUP(BD.PD[[#This Row],[Pos]],Presupuesto!A:H,7,FALSE),"")</f>
        <v/>
      </c>
      <c r="F152" s="387" t="s">
        <v>240</v>
      </c>
      <c r="G152" s="292">
        <v>4512411708</v>
      </c>
      <c r="H152" s="358">
        <v>45705</v>
      </c>
      <c r="I152" s="359">
        <v>1</v>
      </c>
      <c r="J152" s="231" t="s">
        <v>581</v>
      </c>
      <c r="K152" s="294">
        <f>IF(BD.PD[[#This Row],[Mon]]="DOP",1,HLOOKUP(BD.PD[[#This Row],[Mon]],$J$1:$K$2,2,FALSE))</f>
        <v>1</v>
      </c>
      <c r="L152" s="360">
        <v>6438.22</v>
      </c>
      <c r="M152" s="296">
        <f>BD.PD[[#This Row],[Cant.]]*BD.PD[[#This Row],[ Tasa ]]*BD.PD[[#This Row],[ Precio Und.]]</f>
        <v>6438.22</v>
      </c>
      <c r="N152" s="361">
        <v>0</v>
      </c>
      <c r="O152" s="296">
        <f>IF(BD.PD[[#This Row],[Liquid. '[%']]]&lt;&gt;0,(BD.PD[[#This Row],[Valor Neto '[DOP']]]*BD.PD[[#This Row],[Liquid. '[%']]])+BD.PD[[#This Row],[Valor Neto '[DOP']]],BD.PD[[#This Row],[Valor Neto '[DOP']]])</f>
        <v>6438.22</v>
      </c>
      <c r="P152" s="306">
        <f>BD.PD[[#This Row],[Ppto. Orden Interna '[DOP']]]/HLOOKUP("USD",$J$1:$K$2,2,FALSE)</f>
        <v>102.19396825396827</v>
      </c>
      <c r="Q152" s="299" t="s">
        <v>671</v>
      </c>
      <c r="R152" s="307" t="s">
        <v>672</v>
      </c>
      <c r="S152" s="300">
        <v>10</v>
      </c>
      <c r="T152" s="301">
        <v>0.5</v>
      </c>
      <c r="U152" s="308">
        <f>BD.PD[[#This Row],[Av.P1 '[%']]]*BD.PD[[#This Row],[Ppto. Orden Interna '[DOP']]]</f>
        <v>3219.11</v>
      </c>
      <c r="V152" s="303">
        <v>21</v>
      </c>
      <c r="W152" s="304">
        <v>0.5</v>
      </c>
      <c r="X152" s="308">
        <f>BD.PD[[#This Row],[Av.P2 '[%']]]*BD.PD[[#This Row],[Ppto. Orden Interna '[DOP']]]</f>
        <v>3219.11</v>
      </c>
      <c r="Y152" s="303"/>
      <c r="Z152" s="304"/>
      <c r="AA152" s="308">
        <f>BD.PD[[#This Row],[Av.P3 '[%']]]*BD.PD[[#This Row],[Ppto. Orden Interna '[DOP']]]</f>
        <v>0</v>
      </c>
      <c r="AB152" s="303"/>
      <c r="AC152" s="304"/>
      <c r="AD152" s="308">
        <f>BD.PD[[#This Row],[Av.P4 '[%']]]*BD.PD[[#This Row],[Ppto. Orden Interna '[DOP']]]</f>
        <v>0</v>
      </c>
      <c r="AE152" s="303"/>
      <c r="AF152" s="304"/>
      <c r="AG152" s="308">
        <f>BD.PD[[#This Row],[Av.P5 '[%']]]*BD.PD[[#This Row],[Ppto. Orden Interna '[DOP']]]</f>
        <v>0</v>
      </c>
      <c r="AH152" s="305">
        <f>BD.PD[[#This Row],[Pago 5]]+BD.PD[[#This Row],[Pago 4]]+BD.PD[[#This Row],[Pago 3]]+BD.PD[[#This Row],[Pago 2]]+BD.PD[[#This Row],[Pago 1]]</f>
        <v>6438.22</v>
      </c>
      <c r="AI152" s="404"/>
      <c r="IB152" s="275"/>
    </row>
    <row r="153" spans="1:236" ht="15" customHeight="1" x14ac:dyDescent="0.3">
      <c r="A153" s="231">
        <v>7.02</v>
      </c>
      <c r="B153" s="288"/>
      <c r="C153" s="289" t="str">
        <f>VLOOKUP(BD.PD[[#This Row],[Pos]],PPto[],3,FALSE)</f>
        <v>7.02 Cocina, Patio Comidas y Rostizería</v>
      </c>
      <c r="D153" s="231" t="s">
        <v>22</v>
      </c>
      <c r="E153" s="291" t="str">
        <f>IF(BD.PD[[#This Row],[.]]="*",VLOOKUP(BD.PD[[#This Row],[Pos]],Presupuesto!A:H,7,FALSE),"")</f>
        <v/>
      </c>
      <c r="F153" s="387" t="s">
        <v>217</v>
      </c>
      <c r="G153" s="292">
        <v>4512411708</v>
      </c>
      <c r="H153" s="358">
        <v>45705</v>
      </c>
      <c r="I153" s="359">
        <v>1</v>
      </c>
      <c r="J153" s="231" t="s">
        <v>581</v>
      </c>
      <c r="K153" s="294">
        <f>IF(BD.PD[[#This Row],[Mon]]="DOP",1,HLOOKUP(BD.PD[[#This Row],[Mon]],$J$1:$K$2,2,FALSE))</f>
        <v>1</v>
      </c>
      <c r="L153" s="360">
        <v>2433.33</v>
      </c>
      <c r="M153" s="296">
        <f>BD.PD[[#This Row],[Cant.]]*BD.PD[[#This Row],[ Tasa ]]*BD.PD[[#This Row],[ Precio Und.]]</f>
        <v>2433.33</v>
      </c>
      <c r="N153" s="361">
        <v>0</v>
      </c>
      <c r="O153" s="296">
        <f>IF(BD.PD[[#This Row],[Liquid. '[%']]]&lt;&gt;0,(BD.PD[[#This Row],[Valor Neto '[DOP']]]*BD.PD[[#This Row],[Liquid. '[%']]])+BD.PD[[#This Row],[Valor Neto '[DOP']]],BD.PD[[#This Row],[Valor Neto '[DOP']]])</f>
        <v>2433.33</v>
      </c>
      <c r="P153" s="306">
        <f>BD.PD[[#This Row],[Ppto. Orden Interna '[DOP']]]/HLOOKUP("USD",$J$1:$K$2,2,FALSE)</f>
        <v>38.624285714285712</v>
      </c>
      <c r="Q153" s="299" t="s">
        <v>671</v>
      </c>
      <c r="R153" s="307" t="s">
        <v>672</v>
      </c>
      <c r="S153" s="300">
        <v>10</v>
      </c>
      <c r="T153" s="301">
        <v>0.5</v>
      </c>
      <c r="U153" s="308">
        <f>BD.PD[[#This Row],[Av.P1 '[%']]]*BD.PD[[#This Row],[Ppto. Orden Interna '[DOP']]]</f>
        <v>1216.665</v>
      </c>
      <c r="V153" s="303">
        <v>21</v>
      </c>
      <c r="W153" s="304">
        <v>0.5</v>
      </c>
      <c r="X153" s="308">
        <f>BD.PD[[#This Row],[Av.P2 '[%']]]*BD.PD[[#This Row],[Ppto. Orden Interna '[DOP']]]</f>
        <v>1216.665</v>
      </c>
      <c r="Y153" s="303"/>
      <c r="Z153" s="304"/>
      <c r="AA153" s="308">
        <f>BD.PD[[#This Row],[Av.P3 '[%']]]*BD.PD[[#This Row],[Ppto. Orden Interna '[DOP']]]</f>
        <v>0</v>
      </c>
      <c r="AB153" s="303"/>
      <c r="AC153" s="304"/>
      <c r="AD153" s="308">
        <f>BD.PD[[#This Row],[Av.P4 '[%']]]*BD.PD[[#This Row],[Ppto. Orden Interna '[DOP']]]</f>
        <v>0</v>
      </c>
      <c r="AE153" s="303"/>
      <c r="AF153" s="304"/>
      <c r="AG153" s="308">
        <f>BD.PD[[#This Row],[Av.P5 '[%']]]*BD.PD[[#This Row],[Ppto. Orden Interna '[DOP']]]</f>
        <v>0</v>
      </c>
      <c r="AH153" s="305">
        <f>BD.PD[[#This Row],[Pago 5]]+BD.PD[[#This Row],[Pago 4]]+BD.PD[[#This Row],[Pago 3]]+BD.PD[[#This Row],[Pago 2]]+BD.PD[[#This Row],[Pago 1]]</f>
        <v>2433.33</v>
      </c>
      <c r="AI153" s="404"/>
      <c r="IB153" s="275"/>
    </row>
    <row r="154" spans="1:236" ht="15" customHeight="1" x14ac:dyDescent="0.3">
      <c r="A154" s="231">
        <v>7.02</v>
      </c>
      <c r="B154" s="288"/>
      <c r="C154" s="289" t="str">
        <f>VLOOKUP(BD.PD[[#This Row],[Pos]],PPto[],3,FALSE)</f>
        <v>7.02 Cocina, Patio Comidas y Rostizería</v>
      </c>
      <c r="D154" s="231" t="s">
        <v>22</v>
      </c>
      <c r="E154" s="291" t="str">
        <f>IF(BD.PD[[#This Row],[.]]="*",VLOOKUP(BD.PD[[#This Row],[Pos]],Presupuesto!A:H,7,FALSE),"")</f>
        <v/>
      </c>
      <c r="F154" s="384" t="s">
        <v>202</v>
      </c>
      <c r="G154" s="292">
        <v>4512501398</v>
      </c>
      <c r="H154" s="358">
        <v>45921</v>
      </c>
      <c r="I154" s="359">
        <v>15</v>
      </c>
      <c r="J154" s="231" t="s">
        <v>581</v>
      </c>
      <c r="K154" s="294">
        <f>IF(BD.PD[[#This Row],[Mon]]="DOP",1,HLOOKUP(BD.PD[[#This Row],[Mon]],$J$1:$K$2,2,FALSE))</f>
        <v>1</v>
      </c>
      <c r="L154" s="360">
        <v>1200</v>
      </c>
      <c r="M154" s="296">
        <f>BD.PD[[#This Row],[Cant.]]*BD.PD[[#This Row],[ Tasa ]]*BD.PD[[#This Row],[ Precio Und.]]</f>
        <v>18000</v>
      </c>
      <c r="N154" s="361">
        <v>0</v>
      </c>
      <c r="O154" s="296">
        <f>IF(BD.PD[[#This Row],[Liquid. '[%']]]&lt;&gt;0,(BD.PD[[#This Row],[Valor Neto '[DOP']]]*BD.PD[[#This Row],[Liquid. '[%']]])+BD.PD[[#This Row],[Valor Neto '[DOP']]],BD.PD[[#This Row],[Valor Neto '[DOP']]])</f>
        <v>18000</v>
      </c>
      <c r="P154" s="306">
        <f>BD.PD[[#This Row],[Ppto. Orden Interna '[DOP']]]/HLOOKUP("USD",$J$1:$K$2,2,FALSE)</f>
        <v>285.71428571428572</v>
      </c>
      <c r="Q154" s="299" t="s">
        <v>673</v>
      </c>
      <c r="R154" s="307" t="s">
        <v>674</v>
      </c>
      <c r="S154" s="300">
        <v>5</v>
      </c>
      <c r="T154" s="301">
        <v>0.6</v>
      </c>
      <c r="U154" s="308">
        <f>BD.PD[[#This Row],[Av.P1 '[%']]]*BD.PD[[#This Row],[Ppto. Orden Interna '[DOP']]]</f>
        <v>10800</v>
      </c>
      <c r="V154" s="303">
        <v>16</v>
      </c>
      <c r="W154" s="304">
        <v>0.4</v>
      </c>
      <c r="X154" s="308">
        <f>BD.PD[[#This Row],[Av.P2 '[%']]]*BD.PD[[#This Row],[Ppto. Orden Interna '[DOP']]]</f>
        <v>7200</v>
      </c>
      <c r="Y154" s="303"/>
      <c r="Z154" s="304"/>
      <c r="AA154" s="308">
        <f>BD.PD[[#This Row],[Av.P3 '[%']]]*BD.PD[[#This Row],[Ppto. Orden Interna '[DOP']]]</f>
        <v>0</v>
      </c>
      <c r="AB154" s="303"/>
      <c r="AC154" s="304"/>
      <c r="AD154" s="308">
        <f>BD.PD[[#This Row],[Av.P4 '[%']]]*BD.PD[[#This Row],[Ppto. Orden Interna '[DOP']]]</f>
        <v>0</v>
      </c>
      <c r="AE154" s="303"/>
      <c r="AF154" s="304"/>
      <c r="AG154" s="308">
        <f>BD.PD[[#This Row],[Av.P5 '[%']]]*BD.PD[[#This Row],[Ppto. Orden Interna '[DOP']]]</f>
        <v>0</v>
      </c>
      <c r="AH154" s="305">
        <f>BD.PD[[#This Row],[Pago 5]]+BD.PD[[#This Row],[Pago 4]]+BD.PD[[#This Row],[Pago 3]]+BD.PD[[#This Row],[Pago 2]]+BD.PD[[#This Row],[Pago 1]]</f>
        <v>18000</v>
      </c>
      <c r="AI154" s="404"/>
      <c r="IB154" s="275"/>
    </row>
    <row r="155" spans="1:236" ht="15" customHeight="1" x14ac:dyDescent="0.3">
      <c r="A155" s="231">
        <v>7.02</v>
      </c>
      <c r="B155" s="288"/>
      <c r="C155" s="289" t="str">
        <f>VLOOKUP(BD.PD[[#This Row],[Pos]],PPto[],3,FALSE)</f>
        <v>7.02 Cocina, Patio Comidas y Rostizería</v>
      </c>
      <c r="D155" s="231" t="s">
        <v>22</v>
      </c>
      <c r="E155" s="291" t="str">
        <f>IF(BD.PD[[#This Row],[.]]="*",VLOOKUP(BD.PD[[#This Row],[Pos]],Presupuesto!A:H,7,FALSE),"")</f>
        <v/>
      </c>
      <c r="F155" s="292" t="s">
        <v>224</v>
      </c>
      <c r="G155" s="292">
        <v>4512501398</v>
      </c>
      <c r="H155" s="358">
        <v>45786</v>
      </c>
      <c r="I155" s="359">
        <v>2</v>
      </c>
      <c r="J155" s="231" t="s">
        <v>456</v>
      </c>
      <c r="K155" s="294">
        <f>IF(BD.PD[[#This Row],[Mon]]="DOP",1,HLOOKUP(BD.PD[[#This Row],[Mon]],$J$1:$K$2,2,FALSE))</f>
        <v>63</v>
      </c>
      <c r="L155" s="360">
        <v>17341.264999999999</v>
      </c>
      <c r="M155" s="296">
        <f>BD.PD[[#This Row],[Cant.]]*BD.PD[[#This Row],[ Tasa ]]*BD.PD[[#This Row],[ Precio Und.]]</f>
        <v>2184999.39</v>
      </c>
      <c r="N155" s="361">
        <v>0</v>
      </c>
      <c r="O155" s="296">
        <f>IF(BD.PD[[#This Row],[Liquid. '[%']]]&lt;&gt;0,(BD.PD[[#This Row],[Valor Neto '[DOP']]]*BD.PD[[#This Row],[Liquid. '[%']]])+BD.PD[[#This Row],[Valor Neto '[DOP']]],BD.PD[[#This Row],[Valor Neto '[DOP']]])</f>
        <v>2184999.39</v>
      </c>
      <c r="P155" s="306">
        <f>BD.PD[[#This Row],[Ppto. Orden Interna '[DOP']]]/HLOOKUP("USD",$J$1:$K$2,2,FALSE)</f>
        <v>34682.53</v>
      </c>
      <c r="Q155" s="299" t="s">
        <v>675</v>
      </c>
      <c r="R155" s="307" t="s">
        <v>674</v>
      </c>
      <c r="S155" s="300">
        <v>5</v>
      </c>
      <c r="T155" s="301">
        <v>0.6</v>
      </c>
      <c r="U155" s="308">
        <f>BD.PD[[#This Row],[Av.P1 '[%']]]*BD.PD[[#This Row],[Ppto. Orden Interna '[DOP']]]</f>
        <v>1310999.6340000001</v>
      </c>
      <c r="V155" s="303">
        <v>21</v>
      </c>
      <c r="W155" s="304">
        <v>0.4</v>
      </c>
      <c r="X155" s="308">
        <f>BD.PD[[#This Row],[Av.P2 '[%']]]*BD.PD[[#This Row],[Ppto. Orden Interna '[DOP']]]</f>
        <v>873999.75600000005</v>
      </c>
      <c r="Y155" s="303"/>
      <c r="Z155" s="304"/>
      <c r="AA155" s="308">
        <f>BD.PD[[#This Row],[Av.P3 '[%']]]*BD.PD[[#This Row],[Ppto. Orden Interna '[DOP']]]</f>
        <v>0</v>
      </c>
      <c r="AB155" s="303"/>
      <c r="AC155" s="304"/>
      <c r="AD155" s="308">
        <f>BD.PD[[#This Row],[Av.P4 '[%']]]*BD.PD[[#This Row],[Ppto. Orden Interna '[DOP']]]</f>
        <v>0</v>
      </c>
      <c r="AE155" s="303"/>
      <c r="AF155" s="304"/>
      <c r="AG155" s="308">
        <f>BD.PD[[#This Row],[Av.P5 '[%']]]*BD.PD[[#This Row],[Ppto. Orden Interna '[DOP']]]</f>
        <v>0</v>
      </c>
      <c r="AH155" s="305">
        <f>BD.PD[[#This Row],[Pago 5]]+BD.PD[[#This Row],[Pago 4]]+BD.PD[[#This Row],[Pago 3]]+BD.PD[[#This Row],[Pago 2]]+BD.PD[[#This Row],[Pago 1]]</f>
        <v>2184999.39</v>
      </c>
      <c r="AI155" s="404"/>
      <c r="IB155" s="275"/>
    </row>
    <row r="156" spans="1:236" ht="15" customHeight="1" x14ac:dyDescent="0.3">
      <c r="A156" s="231">
        <v>7.02</v>
      </c>
      <c r="B156" s="288"/>
      <c r="C156" s="289" t="str">
        <f>VLOOKUP(BD.PD[[#This Row],[Pos]],PPto[],3,FALSE)</f>
        <v>7.02 Cocina, Patio Comidas y Rostizería</v>
      </c>
      <c r="D156" s="231" t="s">
        <v>22</v>
      </c>
      <c r="E156" s="291" t="str">
        <f>IF(BD.PD[[#This Row],[.]]="*",VLOOKUP(BD.PD[[#This Row],[Pos]],Presupuesto!A:H,7,FALSE),"")</f>
        <v/>
      </c>
      <c r="F156" s="292" t="s">
        <v>226</v>
      </c>
      <c r="G156" s="292">
        <v>4512501398</v>
      </c>
      <c r="H156" s="358">
        <v>45786</v>
      </c>
      <c r="I156" s="359">
        <v>2</v>
      </c>
      <c r="J156" s="231" t="s">
        <v>456</v>
      </c>
      <c r="K156" s="294">
        <f>IF(BD.PD[[#This Row],[Mon]]="DOP",1,HLOOKUP(BD.PD[[#This Row],[Mon]],$J$1:$K$2,2,FALSE))</f>
        <v>63</v>
      </c>
      <c r="L156" s="360">
        <v>3380</v>
      </c>
      <c r="M156" s="296">
        <f>BD.PD[[#This Row],[Cant.]]*BD.PD[[#This Row],[ Tasa ]]*BD.PD[[#This Row],[ Precio Und.]]</f>
        <v>425880</v>
      </c>
      <c r="N156" s="361">
        <v>0</v>
      </c>
      <c r="O156" s="296">
        <f>IF(BD.PD[[#This Row],[Liquid. '[%']]]&lt;&gt;0,(BD.PD[[#This Row],[Valor Neto '[DOP']]]*BD.PD[[#This Row],[Liquid. '[%']]])+BD.PD[[#This Row],[Valor Neto '[DOP']]],BD.PD[[#This Row],[Valor Neto '[DOP']]])</f>
        <v>425880</v>
      </c>
      <c r="P156" s="306">
        <f>BD.PD[[#This Row],[Ppto. Orden Interna '[DOP']]]/HLOOKUP("USD",$J$1:$K$2,2,FALSE)</f>
        <v>6760</v>
      </c>
      <c r="Q156" s="299" t="s">
        <v>676</v>
      </c>
      <c r="R156" s="307" t="s">
        <v>674</v>
      </c>
      <c r="S156" s="300">
        <v>5</v>
      </c>
      <c r="T156" s="301">
        <v>0.6</v>
      </c>
      <c r="U156" s="308">
        <f>BD.PD[[#This Row],[Av.P1 '[%']]]*BD.PD[[#This Row],[Ppto. Orden Interna '[DOP']]]</f>
        <v>255528</v>
      </c>
      <c r="V156" s="303">
        <v>16</v>
      </c>
      <c r="W156" s="304">
        <v>0.4</v>
      </c>
      <c r="X156" s="308">
        <f>BD.PD[[#This Row],[Av.P2 '[%']]]*BD.PD[[#This Row],[Ppto. Orden Interna '[DOP']]]</f>
        <v>170352</v>
      </c>
      <c r="Y156" s="303"/>
      <c r="Z156" s="304"/>
      <c r="AA156" s="308">
        <f>BD.PD[[#This Row],[Av.P3 '[%']]]*BD.PD[[#This Row],[Ppto. Orden Interna '[DOP']]]</f>
        <v>0</v>
      </c>
      <c r="AB156" s="303"/>
      <c r="AC156" s="304"/>
      <c r="AD156" s="308">
        <f>BD.PD[[#This Row],[Av.P4 '[%']]]*BD.PD[[#This Row],[Ppto. Orden Interna '[DOP']]]</f>
        <v>0</v>
      </c>
      <c r="AE156" s="303"/>
      <c r="AF156" s="304"/>
      <c r="AG156" s="308">
        <f>BD.PD[[#This Row],[Av.P5 '[%']]]*BD.PD[[#This Row],[Ppto. Orden Interna '[DOP']]]</f>
        <v>0</v>
      </c>
      <c r="AH156" s="305">
        <f>BD.PD[[#This Row],[Pago 5]]+BD.PD[[#This Row],[Pago 4]]+BD.PD[[#This Row],[Pago 3]]+BD.PD[[#This Row],[Pago 2]]+BD.PD[[#This Row],[Pago 1]]</f>
        <v>425880</v>
      </c>
      <c r="AI156" s="404"/>
      <c r="IB156" s="275"/>
    </row>
    <row r="157" spans="1:236" s="388" customFormat="1" ht="15" customHeight="1" x14ac:dyDescent="0.3">
      <c r="A157" s="231">
        <v>7.02</v>
      </c>
      <c r="B157" s="288"/>
      <c r="C157" s="289" t="str">
        <f>VLOOKUP(BD.PD[[#This Row],[Pos]],PPto[],3,FALSE)</f>
        <v>7.02 Cocina, Patio Comidas y Rostizería</v>
      </c>
      <c r="D157" s="231" t="s">
        <v>22</v>
      </c>
      <c r="E157" s="291" t="str">
        <f>IF(BD.PD[[#This Row],[.]]="*",VLOOKUP(BD.PD[[#This Row],[Pos]],Presupuesto!A:H,7,FALSE),"")</f>
        <v/>
      </c>
      <c r="F157" s="292" t="s">
        <v>225</v>
      </c>
      <c r="G157" s="292">
        <v>4512501398</v>
      </c>
      <c r="H157" s="358">
        <v>45786</v>
      </c>
      <c r="I157" s="359">
        <v>1</v>
      </c>
      <c r="J157" s="231" t="s">
        <v>456</v>
      </c>
      <c r="K157" s="294">
        <f>IF(BD.PD[[#This Row],[Mon]]="DOP",1,HLOOKUP(BD.PD[[#This Row],[Mon]],$J$1:$K$2,2,FALSE))</f>
        <v>63</v>
      </c>
      <c r="L157" s="360">
        <v>300</v>
      </c>
      <c r="M157" s="296">
        <f>BD.PD[[#This Row],[Cant.]]*BD.PD[[#This Row],[ Tasa ]]*BD.PD[[#This Row],[ Precio Und.]]</f>
        <v>18900</v>
      </c>
      <c r="N157" s="361">
        <v>0</v>
      </c>
      <c r="O157" s="296">
        <f>IF(BD.PD[[#This Row],[Liquid. '[%']]]&lt;&gt;0,(BD.PD[[#This Row],[Valor Neto '[DOP']]]*BD.PD[[#This Row],[Liquid. '[%']]])+BD.PD[[#This Row],[Valor Neto '[DOP']]],BD.PD[[#This Row],[Valor Neto '[DOP']]])</f>
        <v>18900</v>
      </c>
      <c r="P157" s="306">
        <f>BD.PD[[#This Row],[Ppto. Orden Interna '[DOP']]]/HLOOKUP("USD",$J$1:$K$2,2,FALSE)</f>
        <v>300</v>
      </c>
      <c r="Q157" s="299" t="s">
        <v>675</v>
      </c>
      <c r="R157" s="307" t="s">
        <v>674</v>
      </c>
      <c r="S157" s="300">
        <v>5</v>
      </c>
      <c r="T157" s="301">
        <v>0.6</v>
      </c>
      <c r="U157" s="308">
        <f>BD.PD[[#This Row],[Av.P1 '[%']]]*BD.PD[[#This Row],[Ppto. Orden Interna '[DOP']]]</f>
        <v>11340</v>
      </c>
      <c r="V157" s="303">
        <v>21</v>
      </c>
      <c r="W157" s="304">
        <v>0.4</v>
      </c>
      <c r="X157" s="308">
        <f>BD.PD[[#This Row],[Av.P2 '[%']]]*BD.PD[[#This Row],[Ppto. Orden Interna '[DOP']]]</f>
        <v>7560</v>
      </c>
      <c r="Y157" s="303"/>
      <c r="Z157" s="304"/>
      <c r="AA157" s="308">
        <f>BD.PD[[#This Row],[Av.P3 '[%']]]*BD.PD[[#This Row],[Ppto. Orden Interna '[DOP']]]</f>
        <v>0</v>
      </c>
      <c r="AB157" s="303"/>
      <c r="AC157" s="304"/>
      <c r="AD157" s="308">
        <f>BD.PD[[#This Row],[Av.P4 '[%']]]*BD.PD[[#This Row],[Ppto. Orden Interna '[DOP']]]</f>
        <v>0</v>
      </c>
      <c r="AE157" s="303"/>
      <c r="AF157" s="304"/>
      <c r="AG157" s="308">
        <f>BD.PD[[#This Row],[Av.P5 '[%']]]*BD.PD[[#This Row],[Ppto. Orden Interna '[DOP']]]</f>
        <v>0</v>
      </c>
      <c r="AH157" s="305">
        <f>BD.PD[[#This Row],[Pago 5]]+BD.PD[[#This Row],[Pago 4]]+BD.PD[[#This Row],[Pago 3]]+BD.PD[[#This Row],[Pago 2]]+BD.PD[[#This Row],[Pago 1]]</f>
        <v>18900</v>
      </c>
      <c r="AI157" s="404"/>
      <c r="AJ157" s="401"/>
      <c r="AK157" s="401"/>
      <c r="AL157" s="401"/>
      <c r="AM157" s="401"/>
      <c r="AN157" s="401"/>
      <c r="AO157" s="401"/>
      <c r="AP157" s="401"/>
      <c r="AQ157" s="401"/>
      <c r="AR157" s="401"/>
      <c r="AS157" s="401"/>
      <c r="AT157" s="401"/>
      <c r="AU157" s="401"/>
      <c r="AV157" s="401"/>
      <c r="AW157" s="401"/>
      <c r="AX157" s="401"/>
      <c r="AY157" s="401"/>
      <c r="AZ157" s="401"/>
      <c r="BA157" s="401"/>
      <c r="BB157" s="401"/>
      <c r="BC157" s="401"/>
      <c r="BD157" s="401"/>
      <c r="BE157" s="401"/>
      <c r="BF157" s="401"/>
      <c r="BG157" s="401"/>
      <c r="BH157" s="401"/>
      <c r="BI157" s="401"/>
      <c r="BJ157" s="401"/>
      <c r="BK157" s="401"/>
      <c r="BL157" s="401"/>
      <c r="BM157" s="401"/>
      <c r="BN157" s="401"/>
      <c r="BO157" s="401"/>
      <c r="BP157" s="401"/>
      <c r="BQ157" s="401"/>
      <c r="BR157" s="401"/>
      <c r="BS157" s="401"/>
      <c r="BT157" s="401"/>
      <c r="BU157" s="401"/>
      <c r="BV157" s="401"/>
      <c r="BW157" s="401"/>
      <c r="BX157" s="401"/>
      <c r="BY157" s="401"/>
      <c r="BZ157" s="401"/>
      <c r="CA157" s="401"/>
      <c r="CB157" s="401"/>
      <c r="CC157" s="401"/>
      <c r="CD157" s="401"/>
      <c r="CE157" s="401"/>
      <c r="CF157" s="401"/>
      <c r="CG157" s="401"/>
      <c r="CH157" s="401"/>
      <c r="CI157" s="401"/>
      <c r="CJ157" s="401"/>
      <c r="CK157" s="401"/>
      <c r="CL157" s="401"/>
      <c r="CM157" s="401"/>
      <c r="CN157" s="401"/>
      <c r="CO157" s="401"/>
      <c r="CP157" s="401"/>
      <c r="CQ157" s="401"/>
      <c r="CR157" s="401"/>
      <c r="CS157" s="401"/>
      <c r="CT157" s="401"/>
      <c r="CU157" s="401"/>
      <c r="CV157" s="401"/>
      <c r="CW157" s="401"/>
      <c r="CX157" s="401"/>
      <c r="CY157" s="401"/>
      <c r="CZ157" s="401"/>
      <c r="DA157" s="401"/>
      <c r="DB157" s="401"/>
      <c r="DC157" s="401"/>
      <c r="DD157" s="401"/>
      <c r="DE157" s="401"/>
      <c r="DF157" s="401"/>
      <c r="DG157" s="401"/>
      <c r="DH157" s="401"/>
      <c r="DI157" s="401"/>
      <c r="DJ157" s="401"/>
      <c r="DK157" s="401"/>
      <c r="DL157" s="401"/>
      <c r="DM157" s="401"/>
      <c r="DN157" s="401"/>
      <c r="DO157" s="401"/>
      <c r="DP157" s="401"/>
      <c r="DQ157" s="401"/>
      <c r="DR157" s="401"/>
      <c r="DS157" s="401"/>
      <c r="DT157" s="401"/>
      <c r="DU157" s="401"/>
      <c r="DV157" s="401"/>
      <c r="DW157" s="401"/>
      <c r="DX157" s="401"/>
      <c r="DY157" s="401"/>
      <c r="DZ157" s="401"/>
      <c r="EA157" s="401"/>
      <c r="EB157" s="401"/>
      <c r="EC157" s="401"/>
      <c r="ED157" s="401"/>
      <c r="EE157" s="401"/>
      <c r="EF157" s="401"/>
      <c r="EG157" s="401"/>
      <c r="EH157" s="401"/>
      <c r="EI157" s="401"/>
      <c r="EJ157" s="401"/>
      <c r="EK157" s="401"/>
      <c r="EL157" s="401"/>
      <c r="EM157" s="401"/>
      <c r="EN157" s="401"/>
      <c r="EO157" s="401"/>
      <c r="EP157" s="401"/>
      <c r="EQ157" s="401"/>
      <c r="ER157" s="401"/>
      <c r="ES157" s="401"/>
      <c r="ET157" s="401"/>
      <c r="EU157" s="401"/>
      <c r="EV157" s="401"/>
      <c r="EW157" s="401"/>
      <c r="EX157" s="401"/>
      <c r="EY157" s="401"/>
      <c r="EZ157" s="401"/>
      <c r="FA157" s="401"/>
      <c r="FB157" s="401"/>
      <c r="FC157" s="401"/>
      <c r="FD157" s="401"/>
      <c r="FE157" s="401"/>
      <c r="FF157" s="401"/>
      <c r="FG157" s="401"/>
      <c r="FH157" s="401"/>
      <c r="FI157" s="401"/>
      <c r="FJ157" s="401"/>
      <c r="FK157" s="401"/>
      <c r="FL157" s="401"/>
      <c r="FM157" s="401"/>
      <c r="FN157" s="401"/>
      <c r="FO157" s="401"/>
      <c r="FP157" s="401"/>
      <c r="FQ157" s="401"/>
      <c r="FR157" s="401"/>
      <c r="FS157" s="401"/>
      <c r="FT157" s="401"/>
      <c r="FU157" s="401"/>
      <c r="FV157" s="401"/>
      <c r="FW157" s="401"/>
      <c r="FX157" s="401"/>
      <c r="FY157" s="401"/>
      <c r="FZ157" s="401"/>
      <c r="GA157" s="401"/>
      <c r="GB157" s="401"/>
      <c r="GC157" s="401"/>
      <c r="GD157" s="401"/>
      <c r="GE157" s="401"/>
      <c r="GF157" s="401"/>
      <c r="GG157" s="401"/>
      <c r="GH157" s="401"/>
      <c r="GI157" s="401"/>
      <c r="GJ157" s="401"/>
      <c r="GK157" s="401"/>
      <c r="GL157" s="401"/>
      <c r="GM157" s="401"/>
      <c r="GN157" s="401"/>
      <c r="GO157" s="401"/>
      <c r="GP157" s="401"/>
      <c r="GQ157" s="401"/>
      <c r="GR157" s="401"/>
      <c r="GS157" s="401"/>
      <c r="GT157" s="401"/>
      <c r="GU157" s="401"/>
      <c r="GV157" s="401"/>
      <c r="GW157" s="401"/>
      <c r="GX157" s="401"/>
      <c r="GY157" s="401"/>
      <c r="GZ157" s="401"/>
      <c r="HA157" s="401"/>
      <c r="HB157" s="401"/>
      <c r="HC157" s="401"/>
      <c r="HD157" s="401"/>
      <c r="HE157" s="401"/>
      <c r="HF157" s="401"/>
      <c r="HG157" s="401"/>
      <c r="HH157" s="401"/>
      <c r="HI157" s="401"/>
      <c r="HJ157" s="401"/>
      <c r="HK157" s="401"/>
      <c r="HL157" s="401"/>
      <c r="HM157" s="401"/>
      <c r="HN157" s="401"/>
      <c r="HO157" s="401"/>
      <c r="HP157" s="401"/>
      <c r="HQ157" s="401"/>
      <c r="HR157" s="401"/>
      <c r="HS157" s="401"/>
      <c r="HT157" s="401"/>
      <c r="HU157" s="401"/>
      <c r="HV157" s="401"/>
      <c r="HW157" s="401"/>
      <c r="HX157" s="401"/>
      <c r="HY157" s="401"/>
      <c r="HZ157" s="401"/>
      <c r="IA157" s="401"/>
    </row>
    <row r="158" spans="1:236" s="388" customFormat="1" ht="15" customHeight="1" x14ac:dyDescent="0.3">
      <c r="A158" s="231">
        <v>7.02</v>
      </c>
      <c r="B158" s="288"/>
      <c r="C158" s="289" t="str">
        <f>VLOOKUP(BD.PD[[#This Row],[Pos]],PPto[],3,FALSE)</f>
        <v>7.02 Cocina, Patio Comidas y Rostizería</v>
      </c>
      <c r="D158" s="231" t="s">
        <v>22</v>
      </c>
      <c r="E158" s="291" t="str">
        <f>IF(BD.PD[[#This Row],[.]]="*",VLOOKUP(BD.PD[[#This Row],[Pos]],Presupuesto!A:H,7,FALSE),"")</f>
        <v/>
      </c>
      <c r="F158" s="292" t="s">
        <v>203</v>
      </c>
      <c r="G158" s="292">
        <v>4512501398</v>
      </c>
      <c r="H158" s="358">
        <v>45786</v>
      </c>
      <c r="I158" s="359">
        <v>1</v>
      </c>
      <c r="J158" s="231" t="s">
        <v>456</v>
      </c>
      <c r="K158" s="294">
        <f>IF(BD.PD[[#This Row],[Mon]]="DOP",1,HLOOKUP(BD.PD[[#This Row],[Mon]],$J$1:$K$2,2,FALSE))</f>
        <v>63</v>
      </c>
      <c r="L158" s="360">
        <v>187.38</v>
      </c>
      <c r="M158" s="296">
        <f>BD.PD[[#This Row],[Cant.]]*BD.PD[[#This Row],[ Tasa ]]*BD.PD[[#This Row],[ Precio Und.]]</f>
        <v>11804.94</v>
      </c>
      <c r="N158" s="361">
        <v>0</v>
      </c>
      <c r="O158" s="296">
        <f>IF(BD.PD[[#This Row],[Liquid. '[%']]]&lt;&gt;0,(BD.PD[[#This Row],[Valor Neto '[DOP']]]*BD.PD[[#This Row],[Liquid. '[%']]])+BD.PD[[#This Row],[Valor Neto '[DOP']]],BD.PD[[#This Row],[Valor Neto '[DOP']]])</f>
        <v>11804.94</v>
      </c>
      <c r="P158" s="306">
        <f>BD.PD[[#This Row],[Ppto. Orden Interna '[DOP']]]/HLOOKUP("USD",$J$1:$K$2,2,FALSE)</f>
        <v>187.38</v>
      </c>
      <c r="Q158" s="299" t="s">
        <v>675</v>
      </c>
      <c r="R158" s="307" t="s">
        <v>674</v>
      </c>
      <c r="S158" s="300">
        <v>5</v>
      </c>
      <c r="T158" s="301">
        <v>0.6</v>
      </c>
      <c r="U158" s="308">
        <f>BD.PD[[#This Row],[Av.P1 '[%']]]*BD.PD[[#This Row],[Ppto. Orden Interna '[DOP']]]</f>
        <v>7082.9639999999999</v>
      </c>
      <c r="V158" s="303">
        <v>21</v>
      </c>
      <c r="W158" s="304">
        <v>0.4</v>
      </c>
      <c r="X158" s="308">
        <f>BD.PD[[#This Row],[Av.P2 '[%']]]*BD.PD[[#This Row],[Ppto. Orden Interna '[DOP']]]</f>
        <v>4721.9760000000006</v>
      </c>
      <c r="Y158" s="303"/>
      <c r="Z158" s="304"/>
      <c r="AA158" s="308">
        <f>BD.PD[[#This Row],[Av.P3 '[%']]]*BD.PD[[#This Row],[Ppto. Orden Interna '[DOP']]]</f>
        <v>0</v>
      </c>
      <c r="AB158" s="303"/>
      <c r="AC158" s="304"/>
      <c r="AD158" s="308">
        <f>BD.PD[[#This Row],[Av.P4 '[%']]]*BD.PD[[#This Row],[Ppto. Orden Interna '[DOP']]]</f>
        <v>0</v>
      </c>
      <c r="AE158" s="303"/>
      <c r="AF158" s="304"/>
      <c r="AG158" s="308">
        <f>BD.PD[[#This Row],[Av.P5 '[%']]]*BD.PD[[#This Row],[Ppto. Orden Interna '[DOP']]]</f>
        <v>0</v>
      </c>
      <c r="AH158" s="305">
        <f>BD.PD[[#This Row],[Pago 5]]+BD.PD[[#This Row],[Pago 4]]+BD.PD[[#This Row],[Pago 3]]+BD.PD[[#This Row],[Pago 2]]+BD.PD[[#This Row],[Pago 1]]</f>
        <v>11804.94</v>
      </c>
      <c r="AI158" s="404"/>
      <c r="AJ158" s="401"/>
      <c r="AK158" s="401"/>
      <c r="AL158" s="401"/>
      <c r="AM158" s="401"/>
      <c r="AN158" s="401"/>
      <c r="AO158" s="401"/>
      <c r="AP158" s="401"/>
      <c r="AQ158" s="401"/>
      <c r="AR158" s="401"/>
      <c r="AS158" s="401"/>
      <c r="AT158" s="401"/>
      <c r="AU158" s="401"/>
      <c r="AV158" s="401"/>
      <c r="AW158" s="401"/>
      <c r="AX158" s="401"/>
      <c r="AY158" s="401"/>
      <c r="AZ158" s="401"/>
      <c r="BA158" s="401"/>
      <c r="BB158" s="401"/>
      <c r="BC158" s="401"/>
      <c r="BD158" s="401"/>
      <c r="BE158" s="401"/>
      <c r="BF158" s="401"/>
      <c r="BG158" s="401"/>
      <c r="BH158" s="401"/>
      <c r="BI158" s="401"/>
      <c r="BJ158" s="401"/>
      <c r="BK158" s="401"/>
      <c r="BL158" s="401"/>
      <c r="BM158" s="401"/>
      <c r="BN158" s="401"/>
      <c r="BO158" s="401"/>
      <c r="BP158" s="401"/>
      <c r="BQ158" s="401"/>
      <c r="BR158" s="401"/>
      <c r="BS158" s="401"/>
      <c r="BT158" s="401"/>
      <c r="BU158" s="401"/>
      <c r="BV158" s="401"/>
      <c r="BW158" s="401"/>
      <c r="BX158" s="401"/>
      <c r="BY158" s="401"/>
      <c r="BZ158" s="401"/>
      <c r="CA158" s="401"/>
      <c r="CB158" s="401"/>
      <c r="CC158" s="401"/>
      <c r="CD158" s="401"/>
      <c r="CE158" s="401"/>
      <c r="CF158" s="401"/>
      <c r="CG158" s="401"/>
      <c r="CH158" s="401"/>
      <c r="CI158" s="401"/>
      <c r="CJ158" s="401"/>
      <c r="CK158" s="401"/>
      <c r="CL158" s="401"/>
      <c r="CM158" s="401"/>
      <c r="CN158" s="401"/>
      <c r="CO158" s="401"/>
      <c r="CP158" s="401"/>
      <c r="CQ158" s="401"/>
      <c r="CR158" s="401"/>
      <c r="CS158" s="401"/>
      <c r="CT158" s="401"/>
      <c r="CU158" s="401"/>
      <c r="CV158" s="401"/>
      <c r="CW158" s="401"/>
      <c r="CX158" s="401"/>
      <c r="CY158" s="401"/>
      <c r="CZ158" s="401"/>
      <c r="DA158" s="401"/>
      <c r="DB158" s="401"/>
      <c r="DC158" s="401"/>
      <c r="DD158" s="401"/>
      <c r="DE158" s="401"/>
      <c r="DF158" s="401"/>
      <c r="DG158" s="401"/>
      <c r="DH158" s="401"/>
      <c r="DI158" s="401"/>
      <c r="DJ158" s="401"/>
      <c r="DK158" s="401"/>
      <c r="DL158" s="401"/>
      <c r="DM158" s="401"/>
      <c r="DN158" s="401"/>
      <c r="DO158" s="401"/>
      <c r="DP158" s="401"/>
      <c r="DQ158" s="401"/>
      <c r="DR158" s="401"/>
      <c r="DS158" s="401"/>
      <c r="DT158" s="401"/>
      <c r="DU158" s="401"/>
      <c r="DV158" s="401"/>
      <c r="DW158" s="401"/>
      <c r="DX158" s="401"/>
      <c r="DY158" s="401"/>
      <c r="DZ158" s="401"/>
      <c r="EA158" s="401"/>
      <c r="EB158" s="401"/>
      <c r="EC158" s="401"/>
      <c r="ED158" s="401"/>
      <c r="EE158" s="401"/>
      <c r="EF158" s="401"/>
      <c r="EG158" s="401"/>
      <c r="EH158" s="401"/>
      <c r="EI158" s="401"/>
      <c r="EJ158" s="401"/>
      <c r="EK158" s="401"/>
      <c r="EL158" s="401"/>
      <c r="EM158" s="401"/>
      <c r="EN158" s="401"/>
      <c r="EO158" s="401"/>
      <c r="EP158" s="401"/>
      <c r="EQ158" s="401"/>
      <c r="ER158" s="401"/>
      <c r="ES158" s="401"/>
      <c r="ET158" s="401"/>
      <c r="EU158" s="401"/>
      <c r="EV158" s="401"/>
      <c r="EW158" s="401"/>
      <c r="EX158" s="401"/>
      <c r="EY158" s="401"/>
      <c r="EZ158" s="401"/>
      <c r="FA158" s="401"/>
      <c r="FB158" s="401"/>
      <c r="FC158" s="401"/>
      <c r="FD158" s="401"/>
      <c r="FE158" s="401"/>
      <c r="FF158" s="401"/>
      <c r="FG158" s="401"/>
      <c r="FH158" s="401"/>
      <c r="FI158" s="401"/>
      <c r="FJ158" s="401"/>
      <c r="FK158" s="401"/>
      <c r="FL158" s="401"/>
      <c r="FM158" s="401"/>
      <c r="FN158" s="401"/>
      <c r="FO158" s="401"/>
      <c r="FP158" s="401"/>
      <c r="FQ158" s="401"/>
      <c r="FR158" s="401"/>
      <c r="FS158" s="401"/>
      <c r="FT158" s="401"/>
      <c r="FU158" s="401"/>
      <c r="FV158" s="401"/>
      <c r="FW158" s="401"/>
      <c r="FX158" s="401"/>
      <c r="FY158" s="401"/>
      <c r="FZ158" s="401"/>
      <c r="GA158" s="401"/>
      <c r="GB158" s="401"/>
      <c r="GC158" s="401"/>
      <c r="GD158" s="401"/>
      <c r="GE158" s="401"/>
      <c r="GF158" s="401"/>
      <c r="GG158" s="401"/>
      <c r="GH158" s="401"/>
      <c r="GI158" s="401"/>
      <c r="GJ158" s="401"/>
      <c r="GK158" s="401"/>
      <c r="GL158" s="401"/>
      <c r="GM158" s="401"/>
      <c r="GN158" s="401"/>
      <c r="GO158" s="401"/>
      <c r="GP158" s="401"/>
      <c r="GQ158" s="401"/>
      <c r="GR158" s="401"/>
      <c r="GS158" s="401"/>
      <c r="GT158" s="401"/>
      <c r="GU158" s="401"/>
      <c r="GV158" s="401"/>
      <c r="GW158" s="401"/>
      <c r="GX158" s="401"/>
      <c r="GY158" s="401"/>
      <c r="GZ158" s="401"/>
      <c r="HA158" s="401"/>
      <c r="HB158" s="401"/>
      <c r="HC158" s="401"/>
      <c r="HD158" s="401"/>
      <c r="HE158" s="401"/>
      <c r="HF158" s="401"/>
      <c r="HG158" s="401"/>
      <c r="HH158" s="401"/>
      <c r="HI158" s="401"/>
      <c r="HJ158" s="401"/>
      <c r="HK158" s="401"/>
      <c r="HL158" s="401"/>
      <c r="HM158" s="401"/>
      <c r="HN158" s="401"/>
      <c r="HO158" s="401"/>
      <c r="HP158" s="401"/>
      <c r="HQ158" s="401"/>
      <c r="HR158" s="401"/>
      <c r="HS158" s="401"/>
      <c r="HT158" s="401"/>
      <c r="HU158" s="401"/>
      <c r="HV158" s="401"/>
      <c r="HW158" s="401"/>
      <c r="HX158" s="401"/>
      <c r="HY158" s="401"/>
      <c r="HZ158" s="401"/>
      <c r="IA158" s="401"/>
    </row>
    <row r="159" spans="1:236" ht="15" customHeight="1" x14ac:dyDescent="0.3">
      <c r="A159" s="231">
        <v>7.02</v>
      </c>
      <c r="B159" s="288"/>
      <c r="C159" s="289" t="str">
        <f>VLOOKUP(BD.PD[[#This Row],[Pos]],PPto[],3,FALSE)</f>
        <v>7.02 Cocina, Patio Comidas y Rostizería</v>
      </c>
      <c r="D159" s="231" t="s">
        <v>22</v>
      </c>
      <c r="E159" s="291" t="str">
        <f>IF(BD.PD[[#This Row],[.]]="*",VLOOKUP(BD.PD[[#This Row],[Pos]],Presupuesto!A:H,7,FALSE),"")</f>
        <v/>
      </c>
      <c r="F159" s="292" t="s">
        <v>245</v>
      </c>
      <c r="G159" s="292">
        <v>4512501398</v>
      </c>
      <c r="H159" s="358">
        <v>45786</v>
      </c>
      <c r="I159" s="359">
        <v>9</v>
      </c>
      <c r="J159" s="231" t="s">
        <v>456</v>
      </c>
      <c r="K159" s="294">
        <f>IF(BD.PD[[#This Row],[Mon]]="DOP",1,HLOOKUP(BD.PD[[#This Row],[Mon]],$J$1:$K$2,2,FALSE))</f>
        <v>63</v>
      </c>
      <c r="L159" s="360">
        <v>100.51</v>
      </c>
      <c r="M159" s="296">
        <f>BD.PD[[#This Row],[Cant.]]*BD.PD[[#This Row],[ Tasa ]]*BD.PD[[#This Row],[ Precio Und.]]</f>
        <v>56989.170000000006</v>
      </c>
      <c r="N159" s="361">
        <v>0</v>
      </c>
      <c r="O159" s="296">
        <f>IF(BD.PD[[#This Row],[Liquid. '[%']]]&lt;&gt;0,(BD.PD[[#This Row],[Valor Neto '[DOP']]]*BD.PD[[#This Row],[Liquid. '[%']]])+BD.PD[[#This Row],[Valor Neto '[DOP']]],BD.PD[[#This Row],[Valor Neto '[DOP']]])</f>
        <v>56989.170000000006</v>
      </c>
      <c r="P159" s="306">
        <f>BD.PD[[#This Row],[Ppto. Orden Interna '[DOP']]]/HLOOKUP("USD",$J$1:$K$2,2,FALSE)</f>
        <v>904.59</v>
      </c>
      <c r="Q159" s="299" t="s">
        <v>675</v>
      </c>
      <c r="R159" s="307" t="s">
        <v>674</v>
      </c>
      <c r="S159" s="300">
        <v>5</v>
      </c>
      <c r="T159" s="301">
        <v>0.6</v>
      </c>
      <c r="U159" s="308">
        <f>BD.PD[[#This Row],[Av.P1 '[%']]]*BD.PD[[#This Row],[Ppto. Orden Interna '[DOP']]]</f>
        <v>34193.502</v>
      </c>
      <c r="V159" s="303">
        <v>21</v>
      </c>
      <c r="W159" s="304">
        <v>0.4</v>
      </c>
      <c r="X159" s="308">
        <f>BD.PD[[#This Row],[Av.P2 '[%']]]*BD.PD[[#This Row],[Ppto. Orden Interna '[DOP']]]</f>
        <v>22795.668000000005</v>
      </c>
      <c r="Y159" s="303"/>
      <c r="Z159" s="304"/>
      <c r="AA159" s="308">
        <f>BD.PD[[#This Row],[Av.P3 '[%']]]*BD.PD[[#This Row],[Ppto. Orden Interna '[DOP']]]</f>
        <v>0</v>
      </c>
      <c r="AB159" s="303"/>
      <c r="AC159" s="304"/>
      <c r="AD159" s="308">
        <f>BD.PD[[#This Row],[Av.P4 '[%']]]*BD.PD[[#This Row],[Ppto. Orden Interna '[DOP']]]</f>
        <v>0</v>
      </c>
      <c r="AE159" s="303"/>
      <c r="AF159" s="304"/>
      <c r="AG159" s="308">
        <f>BD.PD[[#This Row],[Av.P5 '[%']]]*BD.PD[[#This Row],[Ppto. Orden Interna '[DOP']]]</f>
        <v>0</v>
      </c>
      <c r="AH159" s="305">
        <f>BD.PD[[#This Row],[Pago 5]]+BD.PD[[#This Row],[Pago 4]]+BD.PD[[#This Row],[Pago 3]]+BD.PD[[#This Row],[Pago 2]]+BD.PD[[#This Row],[Pago 1]]</f>
        <v>56989.170000000006</v>
      </c>
      <c r="AI159" s="404"/>
      <c r="IB159" s="275"/>
    </row>
    <row r="160" spans="1:236" ht="15" customHeight="1" x14ac:dyDescent="0.3">
      <c r="A160" s="231">
        <v>7.02</v>
      </c>
      <c r="B160" s="288"/>
      <c r="C160" s="289" t="str">
        <f>VLOOKUP(BD.PD[[#This Row],[Pos]],PPto[],3,FALSE)</f>
        <v>7.02 Cocina, Patio Comidas y Rostizería</v>
      </c>
      <c r="D160" s="231" t="s">
        <v>22</v>
      </c>
      <c r="E160" s="291" t="str">
        <f>IF(BD.PD[[#This Row],[.]]="*",VLOOKUP(BD.PD[[#This Row],[Pos]],Presupuesto!A:H,7,FALSE),"")</f>
        <v/>
      </c>
      <c r="F160" s="292" t="s">
        <v>204</v>
      </c>
      <c r="G160" s="292">
        <v>4512501398</v>
      </c>
      <c r="H160" s="358">
        <v>45786</v>
      </c>
      <c r="I160" s="359">
        <v>4</v>
      </c>
      <c r="J160" s="231" t="s">
        <v>456</v>
      </c>
      <c r="K160" s="294">
        <f>IF(BD.PD[[#This Row],[Mon]]="DOP",1,HLOOKUP(BD.PD[[#This Row],[Mon]],$J$1:$K$2,2,FALSE))</f>
        <v>63</v>
      </c>
      <c r="L160" s="360">
        <v>106.59</v>
      </c>
      <c r="M160" s="296">
        <f>BD.PD[[#This Row],[Cant.]]*BD.PD[[#This Row],[ Tasa ]]*BD.PD[[#This Row],[ Precio Und.]]</f>
        <v>26860.68</v>
      </c>
      <c r="N160" s="361">
        <v>0</v>
      </c>
      <c r="O160" s="296">
        <f>IF(BD.PD[[#This Row],[Liquid. '[%']]]&lt;&gt;0,(BD.PD[[#This Row],[Valor Neto '[DOP']]]*BD.PD[[#This Row],[Liquid. '[%']]])+BD.PD[[#This Row],[Valor Neto '[DOP']]],BD.PD[[#This Row],[Valor Neto '[DOP']]])</f>
        <v>26860.68</v>
      </c>
      <c r="P160" s="306">
        <f>BD.PD[[#This Row],[Ppto. Orden Interna '[DOP']]]/HLOOKUP("USD",$J$1:$K$2,2,FALSE)</f>
        <v>426.36</v>
      </c>
      <c r="Q160" s="299" t="s">
        <v>675</v>
      </c>
      <c r="R160" s="307" t="s">
        <v>674</v>
      </c>
      <c r="S160" s="300">
        <v>5</v>
      </c>
      <c r="T160" s="301">
        <v>0.6</v>
      </c>
      <c r="U160" s="308">
        <f>BD.PD[[#This Row],[Av.P1 '[%']]]*BD.PD[[#This Row],[Ppto. Orden Interna '[DOP']]]</f>
        <v>16116.407999999999</v>
      </c>
      <c r="V160" s="303">
        <v>21</v>
      </c>
      <c r="W160" s="304">
        <v>0.4</v>
      </c>
      <c r="X160" s="308">
        <f>BD.PD[[#This Row],[Av.P2 '[%']]]*BD.PD[[#This Row],[Ppto. Orden Interna '[DOP']]]</f>
        <v>10744.272000000001</v>
      </c>
      <c r="Y160" s="303"/>
      <c r="Z160" s="304"/>
      <c r="AA160" s="308">
        <f>BD.PD[[#This Row],[Av.P3 '[%']]]*BD.PD[[#This Row],[Ppto. Orden Interna '[DOP']]]</f>
        <v>0</v>
      </c>
      <c r="AB160" s="303"/>
      <c r="AC160" s="304"/>
      <c r="AD160" s="308">
        <f>BD.PD[[#This Row],[Av.P4 '[%']]]*BD.PD[[#This Row],[Ppto. Orden Interna '[DOP']]]</f>
        <v>0</v>
      </c>
      <c r="AE160" s="303"/>
      <c r="AF160" s="304"/>
      <c r="AG160" s="308">
        <f>BD.PD[[#This Row],[Av.P5 '[%']]]*BD.PD[[#This Row],[Ppto. Orden Interna '[DOP']]]</f>
        <v>0</v>
      </c>
      <c r="AH160" s="305">
        <f>BD.PD[[#This Row],[Pago 5]]+BD.PD[[#This Row],[Pago 4]]+BD.PD[[#This Row],[Pago 3]]+BD.PD[[#This Row],[Pago 2]]+BD.PD[[#This Row],[Pago 1]]</f>
        <v>26860.68</v>
      </c>
      <c r="AI160" s="404"/>
      <c r="IB160" s="275"/>
    </row>
    <row r="161" spans="1:236" ht="15" customHeight="1" x14ac:dyDescent="0.3">
      <c r="A161" s="231">
        <v>7.02</v>
      </c>
      <c r="B161" s="288"/>
      <c r="C161" s="289" t="str">
        <f>VLOOKUP(BD.PD[[#This Row],[Pos]],PPto[],3,FALSE)</f>
        <v>7.02 Cocina, Patio Comidas y Rostizería</v>
      </c>
      <c r="D161" s="231" t="s">
        <v>22</v>
      </c>
      <c r="E161" s="291" t="str">
        <f>IF(BD.PD[[#This Row],[.]]="*",VLOOKUP(BD.PD[[#This Row],[Pos]],Presupuesto!A:H,7,FALSE),"")</f>
        <v/>
      </c>
      <c r="F161" s="387" t="s">
        <v>251</v>
      </c>
      <c r="G161" s="292">
        <v>4600072453</v>
      </c>
      <c r="H161" s="358">
        <v>45699</v>
      </c>
      <c r="I161" s="359">
        <v>3</v>
      </c>
      <c r="J161" s="231" t="s">
        <v>581</v>
      </c>
      <c r="K161" s="294">
        <f>IF(BD.PD[[#This Row],[Mon]]="DOP",1,HLOOKUP(BD.PD[[#This Row],[Mon]],$J$1:$K$2,2,FALSE))</f>
        <v>1</v>
      </c>
      <c r="L161" s="360">
        <v>34</v>
      </c>
      <c r="M161" s="296">
        <f>BD.PD[[#This Row],[Cant.]]*BD.PD[[#This Row],[ Tasa ]]*BD.PD[[#This Row],[ Precio Und.]]</f>
        <v>102</v>
      </c>
      <c r="N161" s="361">
        <v>0</v>
      </c>
      <c r="O161" s="296">
        <f>IF(BD.PD[[#This Row],[Liquid. '[%']]]&lt;&gt;0,(BD.PD[[#This Row],[Valor Neto '[DOP']]]*BD.PD[[#This Row],[Liquid. '[%']]])+BD.PD[[#This Row],[Valor Neto '[DOP']]],BD.PD[[#This Row],[Valor Neto '[DOP']]])</f>
        <v>102</v>
      </c>
      <c r="P161" s="306">
        <f>BD.PD[[#This Row],[Ppto. Orden Interna '[DOP']]]/HLOOKUP("USD",$J$1:$K$2,2,FALSE)</f>
        <v>1.6190476190476191</v>
      </c>
      <c r="Q161" s="299" t="s">
        <v>677</v>
      </c>
      <c r="R161" s="307" t="s">
        <v>678</v>
      </c>
      <c r="S161" s="300">
        <v>4</v>
      </c>
      <c r="T161" s="301">
        <v>1</v>
      </c>
      <c r="U161" s="308">
        <f>BD.PD[[#This Row],[Av.P1 '[%']]]*BD.PD[[#This Row],[Ppto. Orden Interna '[DOP']]]</f>
        <v>102</v>
      </c>
      <c r="V161" s="303"/>
      <c r="W161" s="304"/>
      <c r="X161" s="308">
        <f>BD.PD[[#This Row],[Av.P2 '[%']]]*BD.PD[[#This Row],[Ppto. Orden Interna '[DOP']]]</f>
        <v>0</v>
      </c>
      <c r="Y161" s="303"/>
      <c r="Z161" s="304"/>
      <c r="AA161" s="308">
        <f>BD.PD[[#This Row],[Av.P3 '[%']]]*BD.PD[[#This Row],[Ppto. Orden Interna '[DOP']]]</f>
        <v>0</v>
      </c>
      <c r="AB161" s="303"/>
      <c r="AC161" s="304"/>
      <c r="AD161" s="308">
        <f>BD.PD[[#This Row],[Av.P4 '[%']]]*BD.PD[[#This Row],[Ppto. Orden Interna '[DOP']]]</f>
        <v>0</v>
      </c>
      <c r="AE161" s="303"/>
      <c r="AF161" s="304"/>
      <c r="AG161" s="308">
        <f>BD.PD[[#This Row],[Av.P5 '[%']]]*BD.PD[[#This Row],[Ppto. Orden Interna '[DOP']]]</f>
        <v>0</v>
      </c>
      <c r="AH161" s="305">
        <f>BD.PD[[#This Row],[Pago 5]]+BD.PD[[#This Row],[Pago 4]]+BD.PD[[#This Row],[Pago 3]]+BD.PD[[#This Row],[Pago 2]]+BD.PD[[#This Row],[Pago 1]]</f>
        <v>102</v>
      </c>
      <c r="AI161" s="404"/>
      <c r="IB161" s="275"/>
    </row>
    <row r="162" spans="1:236" ht="15" customHeight="1" x14ac:dyDescent="0.3">
      <c r="A162" s="231">
        <v>7.02</v>
      </c>
      <c r="B162" s="288"/>
      <c r="C162" s="289" t="str">
        <f>VLOOKUP(BD.PD[[#This Row],[Pos]],PPto[],3,FALSE)</f>
        <v>7.02 Cocina, Patio Comidas y Rostizería</v>
      </c>
      <c r="D162" s="231" t="s">
        <v>22</v>
      </c>
      <c r="E162" s="291" t="str">
        <f>IF(BD.PD[[#This Row],[.]]="*",VLOOKUP(BD.PD[[#This Row],[Pos]],Presupuesto!A:H,7,FALSE),"")</f>
        <v/>
      </c>
      <c r="F162" s="387" t="s">
        <v>205</v>
      </c>
      <c r="G162" s="292">
        <v>4600072453</v>
      </c>
      <c r="H162" s="358">
        <v>45699</v>
      </c>
      <c r="I162" s="359">
        <v>3</v>
      </c>
      <c r="J162" s="231" t="s">
        <v>581</v>
      </c>
      <c r="K162" s="294">
        <f>IF(BD.PD[[#This Row],[Mon]]="DOP",1,HLOOKUP(BD.PD[[#This Row],[Mon]],$J$1:$K$2,2,FALSE))</f>
        <v>1</v>
      </c>
      <c r="L162" s="360">
        <v>19.399999999999999</v>
      </c>
      <c r="M162" s="296">
        <f>BD.PD[[#This Row],[Cant.]]*BD.PD[[#This Row],[ Tasa ]]*BD.PD[[#This Row],[ Precio Und.]]</f>
        <v>58.199999999999996</v>
      </c>
      <c r="N162" s="361">
        <v>0</v>
      </c>
      <c r="O162" s="296">
        <f>IF(BD.PD[[#This Row],[Liquid. '[%']]]&lt;&gt;0,(BD.PD[[#This Row],[Valor Neto '[DOP']]]*BD.PD[[#This Row],[Liquid. '[%']]])+BD.PD[[#This Row],[Valor Neto '[DOP']]],BD.PD[[#This Row],[Valor Neto '[DOP']]])</f>
        <v>58.199999999999996</v>
      </c>
      <c r="P162" s="306">
        <f>BD.PD[[#This Row],[Ppto. Orden Interna '[DOP']]]/HLOOKUP("USD",$J$1:$K$2,2,FALSE)</f>
        <v>0.92380952380952375</v>
      </c>
      <c r="Q162" s="299" t="s">
        <v>677</v>
      </c>
      <c r="R162" s="307" t="s">
        <v>678</v>
      </c>
      <c r="S162" s="300">
        <v>4</v>
      </c>
      <c r="T162" s="301">
        <v>1</v>
      </c>
      <c r="U162" s="308">
        <f>BD.PD[[#This Row],[Av.P1 '[%']]]*BD.PD[[#This Row],[Ppto. Orden Interna '[DOP']]]</f>
        <v>58.199999999999996</v>
      </c>
      <c r="V162" s="303"/>
      <c r="W162" s="304"/>
      <c r="X162" s="308">
        <f>BD.PD[[#This Row],[Av.P2 '[%']]]*BD.PD[[#This Row],[Ppto. Orden Interna '[DOP']]]</f>
        <v>0</v>
      </c>
      <c r="Y162" s="303"/>
      <c r="Z162" s="304"/>
      <c r="AA162" s="308">
        <f>BD.PD[[#This Row],[Av.P3 '[%']]]*BD.PD[[#This Row],[Ppto. Orden Interna '[DOP']]]</f>
        <v>0</v>
      </c>
      <c r="AB162" s="303"/>
      <c r="AC162" s="304"/>
      <c r="AD162" s="308">
        <f>BD.PD[[#This Row],[Av.P4 '[%']]]*BD.PD[[#This Row],[Ppto. Orden Interna '[DOP']]]</f>
        <v>0</v>
      </c>
      <c r="AE162" s="303"/>
      <c r="AF162" s="304"/>
      <c r="AG162" s="308">
        <f>BD.PD[[#This Row],[Av.P5 '[%']]]*BD.PD[[#This Row],[Ppto. Orden Interna '[DOP']]]</f>
        <v>0</v>
      </c>
      <c r="AH162" s="305">
        <f>BD.PD[[#This Row],[Pago 5]]+BD.PD[[#This Row],[Pago 4]]+BD.PD[[#This Row],[Pago 3]]+BD.PD[[#This Row],[Pago 2]]+BD.PD[[#This Row],[Pago 1]]</f>
        <v>58.199999999999996</v>
      </c>
      <c r="AI162" s="404"/>
      <c r="IB162" s="275"/>
    </row>
    <row r="163" spans="1:236" ht="15" customHeight="1" x14ac:dyDescent="0.3">
      <c r="A163" s="231">
        <v>7.02</v>
      </c>
      <c r="B163" s="288"/>
      <c r="C163" s="289" t="str">
        <f>VLOOKUP(BD.PD[[#This Row],[Pos]],PPto[],3,FALSE)</f>
        <v>7.02 Cocina, Patio Comidas y Rostizería</v>
      </c>
      <c r="D163" s="231" t="s">
        <v>22</v>
      </c>
      <c r="E163" s="291" t="str">
        <f>IF(BD.PD[[#This Row],[.]]="*",VLOOKUP(BD.PD[[#This Row],[Pos]],Presupuesto!A:H,7,FALSE),"")</f>
        <v/>
      </c>
      <c r="F163" s="292" t="s">
        <v>219</v>
      </c>
      <c r="G163" s="292" t="s">
        <v>1345</v>
      </c>
      <c r="H163" s="358">
        <v>45921</v>
      </c>
      <c r="I163" s="359">
        <v>2</v>
      </c>
      <c r="J163" s="231" t="s">
        <v>581</v>
      </c>
      <c r="K163" s="294">
        <f>IF(BD.PD[[#This Row],[Mon]]="DOP",1,HLOOKUP(BD.PD[[#This Row],[Mon]],$J$1:$K$2,2,FALSE))</f>
        <v>1</v>
      </c>
      <c r="L163" s="360">
        <v>8715.76</v>
      </c>
      <c r="M163" s="296">
        <f>BD.PD[[#This Row],[Cant.]]*BD.PD[[#This Row],[ Tasa ]]*BD.PD[[#This Row],[ Precio Und.]]</f>
        <v>17431.52</v>
      </c>
      <c r="N163" s="361">
        <v>0</v>
      </c>
      <c r="O163" s="296">
        <f>IF(BD.PD[[#This Row],[Liquid. '[%']]]&lt;&gt;0,(BD.PD[[#This Row],[Valor Neto '[DOP']]]*BD.PD[[#This Row],[Liquid. '[%']]])+BD.PD[[#This Row],[Valor Neto '[DOP']]],BD.PD[[#This Row],[Valor Neto '[DOP']]])</f>
        <v>17431.52</v>
      </c>
      <c r="P163" s="306">
        <f>BD.PD[[#This Row],[Ppto. Orden Interna '[DOP']]]/HLOOKUP("USD",$J$1:$K$2,2,FALSE)</f>
        <v>276.69079365079364</v>
      </c>
      <c r="Q163" s="299" t="s">
        <v>679</v>
      </c>
      <c r="R163" s="307" t="s">
        <v>680</v>
      </c>
      <c r="S163" s="300">
        <v>21</v>
      </c>
      <c r="T163" s="301">
        <v>1</v>
      </c>
      <c r="U163" s="308">
        <f>BD.PD[[#This Row],[Av.P1 '[%']]]*BD.PD[[#This Row],[Ppto. Orden Interna '[DOP']]]</f>
        <v>17431.52</v>
      </c>
      <c r="V163" s="303"/>
      <c r="W163" s="304"/>
      <c r="X163" s="308">
        <f>BD.PD[[#This Row],[Av.P2 '[%']]]*BD.PD[[#This Row],[Ppto. Orden Interna '[DOP']]]</f>
        <v>0</v>
      </c>
      <c r="Y163" s="303"/>
      <c r="Z163" s="304"/>
      <c r="AA163" s="308">
        <f>BD.PD[[#This Row],[Av.P3 '[%']]]*BD.PD[[#This Row],[Ppto. Orden Interna '[DOP']]]</f>
        <v>0</v>
      </c>
      <c r="AB163" s="303"/>
      <c r="AC163" s="304"/>
      <c r="AD163" s="308">
        <f>BD.PD[[#This Row],[Av.P4 '[%']]]*BD.PD[[#This Row],[Ppto. Orden Interna '[DOP']]]</f>
        <v>0</v>
      </c>
      <c r="AE163" s="303"/>
      <c r="AF163" s="304"/>
      <c r="AG163" s="308">
        <f>BD.PD[[#This Row],[Av.P5 '[%']]]*BD.PD[[#This Row],[Ppto. Orden Interna '[DOP']]]</f>
        <v>0</v>
      </c>
      <c r="AH163" s="305">
        <f>BD.PD[[#This Row],[Pago 5]]+BD.PD[[#This Row],[Pago 4]]+BD.PD[[#This Row],[Pago 3]]+BD.PD[[#This Row],[Pago 2]]+BD.PD[[#This Row],[Pago 1]]</f>
        <v>17431.52</v>
      </c>
      <c r="AI163" s="404"/>
      <c r="IB163" s="275"/>
    </row>
    <row r="164" spans="1:236" ht="15" customHeight="1" x14ac:dyDescent="0.3">
      <c r="A164" s="231">
        <v>7.02</v>
      </c>
      <c r="B164" s="288"/>
      <c r="C164" s="289" t="str">
        <f>VLOOKUP(BD.PD[[#This Row],[Pos]],PPto[],3,FALSE)</f>
        <v>7.02 Cocina, Patio Comidas y Rostizería</v>
      </c>
      <c r="D164" s="231" t="s">
        <v>22</v>
      </c>
      <c r="E164" s="291" t="str">
        <f>IF(BD.PD[[#This Row],[.]]="*",VLOOKUP(BD.PD[[#This Row],[Pos]],Presupuesto!A:H,7,FALSE),"")</f>
        <v/>
      </c>
      <c r="F164" s="292" t="s">
        <v>252</v>
      </c>
      <c r="G164" s="292" t="s">
        <v>578</v>
      </c>
      <c r="H164" s="358">
        <v>45921</v>
      </c>
      <c r="I164" s="359">
        <v>1</v>
      </c>
      <c r="J164" s="231" t="s">
        <v>581</v>
      </c>
      <c r="K164" s="294">
        <f>IF(BD.PD[[#This Row],[Mon]]="DOP",1,HLOOKUP(BD.PD[[#This Row],[Mon]],$J$1:$K$2,2,FALSE))</f>
        <v>1</v>
      </c>
      <c r="L164" s="360">
        <v>122664.36</v>
      </c>
      <c r="M164" s="296">
        <f>BD.PD[[#This Row],[Cant.]]*BD.PD[[#This Row],[ Tasa ]]*BD.PD[[#This Row],[ Precio Und.]]</f>
        <v>122664.36</v>
      </c>
      <c r="N164" s="361">
        <v>0</v>
      </c>
      <c r="O164" s="296">
        <f>IF(BD.PD[[#This Row],[Liquid. '[%']]]&lt;&gt;0,(BD.PD[[#This Row],[Valor Neto '[DOP']]]*BD.PD[[#This Row],[Liquid. '[%']]])+BD.PD[[#This Row],[Valor Neto '[DOP']]],BD.PD[[#This Row],[Valor Neto '[DOP']]])</f>
        <v>122664.36</v>
      </c>
      <c r="P164" s="306">
        <f>BD.PD[[#This Row],[Ppto. Orden Interna '[DOP']]]/HLOOKUP("USD",$J$1:$K$2,2,FALSE)</f>
        <v>1947.0533333333333</v>
      </c>
      <c r="Q164" s="299" t="s">
        <v>681</v>
      </c>
      <c r="R164" s="307" t="s">
        <v>680</v>
      </c>
      <c r="S164" s="300">
        <v>21</v>
      </c>
      <c r="T164" s="301">
        <v>1</v>
      </c>
      <c r="U164" s="308">
        <f>BD.PD[[#This Row],[Av.P1 '[%']]]*BD.PD[[#This Row],[Ppto. Orden Interna '[DOP']]]</f>
        <v>122664.36</v>
      </c>
      <c r="V164" s="303"/>
      <c r="W164" s="304"/>
      <c r="X164" s="308">
        <f>BD.PD[[#This Row],[Av.P2 '[%']]]*BD.PD[[#This Row],[Ppto. Orden Interna '[DOP']]]</f>
        <v>0</v>
      </c>
      <c r="Y164" s="303"/>
      <c r="Z164" s="304"/>
      <c r="AA164" s="308">
        <f>BD.PD[[#This Row],[Av.P3 '[%']]]*BD.PD[[#This Row],[Ppto. Orden Interna '[DOP']]]</f>
        <v>0</v>
      </c>
      <c r="AB164" s="303"/>
      <c r="AC164" s="304"/>
      <c r="AD164" s="308">
        <f>BD.PD[[#This Row],[Av.P4 '[%']]]*BD.PD[[#This Row],[Ppto. Orden Interna '[DOP']]]</f>
        <v>0</v>
      </c>
      <c r="AE164" s="303"/>
      <c r="AF164" s="304"/>
      <c r="AG164" s="308">
        <f>BD.PD[[#This Row],[Av.P5 '[%']]]*BD.PD[[#This Row],[Ppto. Orden Interna '[DOP']]]</f>
        <v>0</v>
      </c>
      <c r="AH164" s="305">
        <f>BD.PD[[#This Row],[Pago 5]]+BD.PD[[#This Row],[Pago 4]]+BD.PD[[#This Row],[Pago 3]]+BD.PD[[#This Row],[Pago 2]]+BD.PD[[#This Row],[Pago 1]]</f>
        <v>122664.36</v>
      </c>
      <c r="AI164" s="404"/>
      <c r="IB164" s="275"/>
    </row>
    <row r="165" spans="1:236" ht="15" customHeight="1" x14ac:dyDescent="0.3">
      <c r="A165" s="231">
        <v>7.02</v>
      </c>
      <c r="B165" s="288"/>
      <c r="C165" s="289" t="str">
        <f>VLOOKUP(BD.PD[[#This Row],[Pos]],PPto[],3,FALSE)</f>
        <v>7.02 Cocina, Patio Comidas y Rostizería</v>
      </c>
      <c r="D165" s="231" t="s">
        <v>22</v>
      </c>
      <c r="E165" s="291" t="str">
        <f>IF(BD.PD[[#This Row],[.]]="*",VLOOKUP(BD.PD[[#This Row],[Pos]],Presupuesto!A:H,7,FALSE),"")</f>
        <v/>
      </c>
      <c r="F165" s="292" t="s">
        <v>257</v>
      </c>
      <c r="G165" s="292" t="s">
        <v>1345</v>
      </c>
      <c r="H165" s="358">
        <v>45921</v>
      </c>
      <c r="I165" s="359">
        <v>4</v>
      </c>
      <c r="J165" s="231" t="s">
        <v>581</v>
      </c>
      <c r="K165" s="294">
        <f>IF(BD.PD[[#This Row],[Mon]]="DOP",1,HLOOKUP(BD.PD[[#This Row],[Mon]],$J$1:$K$2,2,FALSE))</f>
        <v>1</v>
      </c>
      <c r="L165" s="360">
        <v>25900</v>
      </c>
      <c r="M165" s="296">
        <f>BD.PD[[#This Row],[Cant.]]*BD.PD[[#This Row],[ Tasa ]]*BD.PD[[#This Row],[ Precio Und.]]</f>
        <v>103600</v>
      </c>
      <c r="N165" s="361">
        <v>0</v>
      </c>
      <c r="O165" s="296">
        <f>IF(BD.PD[[#This Row],[Liquid. '[%']]]&lt;&gt;0,(BD.PD[[#This Row],[Valor Neto '[DOP']]]*BD.PD[[#This Row],[Liquid. '[%']]])+BD.PD[[#This Row],[Valor Neto '[DOP']]],BD.PD[[#This Row],[Valor Neto '[DOP']]])</f>
        <v>103600</v>
      </c>
      <c r="P165" s="306">
        <f>BD.PD[[#This Row],[Ppto. Orden Interna '[DOP']]]/HLOOKUP("USD",$J$1:$K$2,2,FALSE)</f>
        <v>1644.4444444444443</v>
      </c>
      <c r="Q165" s="299" t="s">
        <v>677</v>
      </c>
      <c r="R165" s="307"/>
      <c r="S165" s="300">
        <v>21</v>
      </c>
      <c r="T165" s="301">
        <v>1</v>
      </c>
      <c r="U165" s="308">
        <f>BD.PD[[#This Row],[Av.P1 '[%']]]*BD.PD[[#This Row],[Ppto. Orden Interna '[DOP']]]</f>
        <v>103600</v>
      </c>
      <c r="V165" s="303"/>
      <c r="W165" s="304"/>
      <c r="X165" s="308">
        <f>BD.PD[[#This Row],[Av.P2 '[%']]]*BD.PD[[#This Row],[Ppto. Orden Interna '[DOP']]]</f>
        <v>0</v>
      </c>
      <c r="Y165" s="303"/>
      <c r="Z165" s="304"/>
      <c r="AA165" s="308">
        <f>BD.PD[[#This Row],[Av.P3 '[%']]]*BD.PD[[#This Row],[Ppto. Orden Interna '[DOP']]]</f>
        <v>0</v>
      </c>
      <c r="AB165" s="303"/>
      <c r="AC165" s="304"/>
      <c r="AD165" s="308">
        <f>BD.PD[[#This Row],[Av.P4 '[%']]]*BD.PD[[#This Row],[Ppto. Orden Interna '[DOP']]]</f>
        <v>0</v>
      </c>
      <c r="AE165" s="303"/>
      <c r="AF165" s="304"/>
      <c r="AG165" s="308">
        <f>BD.PD[[#This Row],[Av.P5 '[%']]]*BD.PD[[#This Row],[Ppto. Orden Interna '[DOP']]]</f>
        <v>0</v>
      </c>
      <c r="AH165" s="305">
        <f>BD.PD[[#This Row],[Pago 5]]+BD.PD[[#This Row],[Pago 4]]+BD.PD[[#This Row],[Pago 3]]+BD.PD[[#This Row],[Pago 2]]+BD.PD[[#This Row],[Pago 1]]</f>
        <v>103600</v>
      </c>
      <c r="AI165" s="404"/>
      <c r="IB165" s="275"/>
    </row>
    <row r="166" spans="1:236" ht="15" customHeight="1" x14ac:dyDescent="0.3">
      <c r="A166" s="231">
        <v>7.02</v>
      </c>
      <c r="B166" s="288"/>
      <c r="C166" s="289" t="str">
        <f>VLOOKUP(BD.PD[[#This Row],[Pos]],PPto[],3,FALSE)</f>
        <v>7.02 Cocina, Patio Comidas y Rostizería</v>
      </c>
      <c r="D166" s="231" t="s">
        <v>22</v>
      </c>
      <c r="E166" s="291" t="str">
        <f>IF(BD.PD[[#This Row],[.]]="*",VLOOKUP(BD.PD[[#This Row],[Pos]],Presupuesto!A:H,7,FALSE),"")</f>
        <v/>
      </c>
      <c r="F166" s="292" t="s">
        <v>235</v>
      </c>
      <c r="G166" s="292" t="s">
        <v>578</v>
      </c>
      <c r="H166" s="358">
        <v>45921</v>
      </c>
      <c r="I166" s="359">
        <v>4</v>
      </c>
      <c r="J166" s="231" t="s">
        <v>581</v>
      </c>
      <c r="K166" s="294">
        <f>IF(BD.PD[[#This Row],[Mon]]="DOP",1,HLOOKUP(BD.PD[[#This Row],[Mon]],$J$1:$K$2,2,FALSE))</f>
        <v>1</v>
      </c>
      <c r="L166" s="360">
        <v>635.59</v>
      </c>
      <c r="M166" s="296">
        <f>BD.PD[[#This Row],[Cant.]]*BD.PD[[#This Row],[ Tasa ]]*BD.PD[[#This Row],[ Precio Und.]]</f>
        <v>2542.36</v>
      </c>
      <c r="N166" s="361">
        <v>0</v>
      </c>
      <c r="O166" s="296">
        <f>IF(BD.PD[[#This Row],[Liquid. '[%']]]&lt;&gt;0,(BD.PD[[#This Row],[Valor Neto '[DOP']]]*BD.PD[[#This Row],[Liquid. '[%']]])+BD.PD[[#This Row],[Valor Neto '[DOP']]],BD.PD[[#This Row],[Valor Neto '[DOP']]])</f>
        <v>2542.36</v>
      </c>
      <c r="P166" s="306">
        <f>BD.PD[[#This Row],[Ppto. Orden Interna '[DOP']]]/HLOOKUP("USD",$J$1:$K$2,2,FALSE)</f>
        <v>40.354920634920639</v>
      </c>
      <c r="Q166" s="299" t="s">
        <v>682</v>
      </c>
      <c r="R166" s="307" t="s">
        <v>642</v>
      </c>
      <c r="S166" s="300">
        <v>21</v>
      </c>
      <c r="T166" s="301">
        <v>1</v>
      </c>
      <c r="U166" s="308">
        <f>BD.PD[[#This Row],[Av.P1 '[%']]]*BD.PD[[#This Row],[Ppto. Orden Interna '[DOP']]]</f>
        <v>2542.36</v>
      </c>
      <c r="V166" s="303"/>
      <c r="W166" s="304"/>
      <c r="X166" s="308">
        <f>BD.PD[[#This Row],[Av.P2 '[%']]]*BD.PD[[#This Row],[Ppto. Orden Interna '[DOP']]]</f>
        <v>0</v>
      </c>
      <c r="Y166" s="303"/>
      <c r="Z166" s="304"/>
      <c r="AA166" s="308">
        <f>BD.PD[[#This Row],[Av.P3 '[%']]]*BD.PD[[#This Row],[Ppto. Orden Interna '[DOP']]]</f>
        <v>0</v>
      </c>
      <c r="AB166" s="303"/>
      <c r="AC166" s="304"/>
      <c r="AD166" s="308">
        <f>BD.PD[[#This Row],[Av.P4 '[%']]]*BD.PD[[#This Row],[Ppto. Orden Interna '[DOP']]]</f>
        <v>0</v>
      </c>
      <c r="AE166" s="303"/>
      <c r="AF166" s="304"/>
      <c r="AG166" s="308">
        <f>BD.PD[[#This Row],[Av.P5 '[%']]]*BD.PD[[#This Row],[Ppto. Orden Interna '[DOP']]]</f>
        <v>0</v>
      </c>
      <c r="AH166" s="305">
        <f>BD.PD[[#This Row],[Pago 5]]+BD.PD[[#This Row],[Pago 4]]+BD.PD[[#This Row],[Pago 3]]+BD.PD[[#This Row],[Pago 2]]+BD.PD[[#This Row],[Pago 1]]</f>
        <v>2542.36</v>
      </c>
      <c r="AI166" s="404"/>
      <c r="IB166" s="275"/>
    </row>
    <row r="167" spans="1:236" ht="15" customHeight="1" x14ac:dyDescent="0.3">
      <c r="A167" s="231">
        <v>7.02</v>
      </c>
      <c r="B167" s="288"/>
      <c r="C167" s="289" t="str">
        <f>VLOOKUP(BD.PD[[#This Row],[Pos]],PPto[],3,FALSE)</f>
        <v>7.02 Cocina, Patio Comidas y Rostizería</v>
      </c>
      <c r="D167" s="231" t="s">
        <v>22</v>
      </c>
      <c r="E167" s="291" t="str">
        <f>IF(BD.PD[[#This Row],[.]]="*",VLOOKUP(BD.PD[[#This Row],[Pos]],Presupuesto!A:H,7,FALSE),"")</f>
        <v/>
      </c>
      <c r="F167" s="292" t="s">
        <v>234</v>
      </c>
      <c r="G167" s="292" t="s">
        <v>578</v>
      </c>
      <c r="H167" s="358">
        <v>45921</v>
      </c>
      <c r="I167" s="359">
        <v>15</v>
      </c>
      <c r="J167" s="231" t="s">
        <v>581</v>
      </c>
      <c r="K167" s="294">
        <f>IF(BD.PD[[#This Row],[Mon]]="DOP",1,HLOOKUP(BD.PD[[#This Row],[Mon]],$J$1:$K$2,2,FALSE))</f>
        <v>1</v>
      </c>
      <c r="L167" s="360">
        <v>550.84</v>
      </c>
      <c r="M167" s="296">
        <f>BD.PD[[#This Row],[Cant.]]*BD.PD[[#This Row],[ Tasa ]]*BD.PD[[#This Row],[ Precio Und.]]</f>
        <v>8262.6</v>
      </c>
      <c r="N167" s="361">
        <v>0</v>
      </c>
      <c r="O167" s="296">
        <f>IF(BD.PD[[#This Row],[Liquid. '[%']]]&lt;&gt;0,(BD.PD[[#This Row],[Valor Neto '[DOP']]]*BD.PD[[#This Row],[Liquid. '[%']]])+BD.PD[[#This Row],[Valor Neto '[DOP']]],BD.PD[[#This Row],[Valor Neto '[DOP']]])</f>
        <v>8262.6</v>
      </c>
      <c r="P167" s="306">
        <f>BD.PD[[#This Row],[Ppto. Orden Interna '[DOP']]]/HLOOKUP("USD",$J$1:$K$2,2,FALSE)</f>
        <v>131.15238095238095</v>
      </c>
      <c r="Q167" s="299" t="s">
        <v>673</v>
      </c>
      <c r="R167" s="307" t="s">
        <v>642</v>
      </c>
      <c r="S167" s="300">
        <v>21</v>
      </c>
      <c r="T167" s="301">
        <v>1</v>
      </c>
      <c r="U167" s="308">
        <f>BD.PD[[#This Row],[Av.P1 '[%']]]*BD.PD[[#This Row],[Ppto. Orden Interna '[DOP']]]</f>
        <v>8262.6</v>
      </c>
      <c r="V167" s="303"/>
      <c r="W167" s="304"/>
      <c r="X167" s="308">
        <f>BD.PD[[#This Row],[Av.P2 '[%']]]*BD.PD[[#This Row],[Ppto. Orden Interna '[DOP']]]</f>
        <v>0</v>
      </c>
      <c r="Y167" s="303"/>
      <c r="Z167" s="304"/>
      <c r="AA167" s="308">
        <f>BD.PD[[#This Row],[Av.P3 '[%']]]*BD.PD[[#This Row],[Ppto. Orden Interna '[DOP']]]</f>
        <v>0</v>
      </c>
      <c r="AB167" s="303"/>
      <c r="AC167" s="304"/>
      <c r="AD167" s="308">
        <f>BD.PD[[#This Row],[Av.P4 '[%']]]*BD.PD[[#This Row],[Ppto. Orden Interna '[DOP']]]</f>
        <v>0</v>
      </c>
      <c r="AE167" s="303"/>
      <c r="AF167" s="304"/>
      <c r="AG167" s="308">
        <f>BD.PD[[#This Row],[Av.P5 '[%']]]*BD.PD[[#This Row],[Ppto. Orden Interna '[DOP']]]</f>
        <v>0</v>
      </c>
      <c r="AH167" s="305">
        <f>BD.PD[[#This Row],[Pago 5]]+BD.PD[[#This Row],[Pago 4]]+BD.PD[[#This Row],[Pago 3]]+BD.PD[[#This Row],[Pago 2]]+BD.PD[[#This Row],[Pago 1]]</f>
        <v>8262.6</v>
      </c>
      <c r="AI167" s="404"/>
      <c r="IB167" s="275"/>
    </row>
    <row r="168" spans="1:236" ht="15" customHeight="1" x14ac:dyDescent="0.3">
      <c r="A168" s="231">
        <v>7.02</v>
      </c>
      <c r="B168" s="288"/>
      <c r="C168" s="289" t="str">
        <f>VLOOKUP(BD.PD[[#This Row],[Pos]],PPto[],3,FALSE)</f>
        <v>7.02 Cocina, Patio Comidas y Rostizería</v>
      </c>
      <c r="D168" s="231" t="s">
        <v>22</v>
      </c>
      <c r="E168" s="291" t="str">
        <f>IF(BD.PD[[#This Row],[.]]="*",VLOOKUP(BD.PD[[#This Row],[Pos]],Presupuesto!A:H,7,FALSE),"")</f>
        <v/>
      </c>
      <c r="F168" s="292" t="s">
        <v>238</v>
      </c>
      <c r="G168" s="292" t="s">
        <v>578</v>
      </c>
      <c r="H168" s="358">
        <v>45921</v>
      </c>
      <c r="I168" s="359">
        <v>4</v>
      </c>
      <c r="J168" s="231" t="s">
        <v>581</v>
      </c>
      <c r="K168" s="294">
        <f>IF(BD.PD[[#This Row],[Mon]]="DOP",1,HLOOKUP(BD.PD[[#This Row],[Mon]],$J$1:$K$2,2,FALSE))</f>
        <v>1</v>
      </c>
      <c r="L168" s="360">
        <v>1990</v>
      </c>
      <c r="M168" s="296">
        <f>BD.PD[[#This Row],[Cant.]]*BD.PD[[#This Row],[ Tasa ]]*BD.PD[[#This Row],[ Precio Und.]]</f>
        <v>7960</v>
      </c>
      <c r="N168" s="361">
        <v>0</v>
      </c>
      <c r="O168" s="296">
        <f>IF(BD.PD[[#This Row],[Liquid. '[%']]]&lt;&gt;0,(BD.PD[[#This Row],[Valor Neto '[DOP']]]*BD.PD[[#This Row],[Liquid. '[%']]])+BD.PD[[#This Row],[Valor Neto '[DOP']]],BD.PD[[#This Row],[Valor Neto '[DOP']]])</f>
        <v>7960</v>
      </c>
      <c r="P168" s="306">
        <f>BD.PD[[#This Row],[Ppto. Orden Interna '[DOP']]]/HLOOKUP("USD",$J$1:$K$2,2,FALSE)</f>
        <v>126.34920634920636</v>
      </c>
      <c r="Q168" s="299" t="s">
        <v>677</v>
      </c>
      <c r="R168" s="307" t="s">
        <v>642</v>
      </c>
      <c r="S168" s="300">
        <v>21</v>
      </c>
      <c r="T168" s="301">
        <v>1</v>
      </c>
      <c r="U168" s="308">
        <f>BD.PD[[#This Row],[Av.P1 '[%']]]*BD.PD[[#This Row],[Ppto. Orden Interna '[DOP']]]</f>
        <v>7960</v>
      </c>
      <c r="V168" s="303"/>
      <c r="W168" s="304"/>
      <c r="X168" s="308">
        <f>BD.PD[[#This Row],[Av.P2 '[%']]]*BD.PD[[#This Row],[Ppto. Orden Interna '[DOP']]]</f>
        <v>0</v>
      </c>
      <c r="Y168" s="303"/>
      <c r="Z168" s="304"/>
      <c r="AA168" s="308">
        <f>BD.PD[[#This Row],[Av.P3 '[%']]]*BD.PD[[#This Row],[Ppto. Orden Interna '[DOP']]]</f>
        <v>0</v>
      </c>
      <c r="AB168" s="303"/>
      <c r="AC168" s="304"/>
      <c r="AD168" s="308">
        <f>BD.PD[[#This Row],[Av.P4 '[%']]]*BD.PD[[#This Row],[Ppto. Orden Interna '[DOP']]]</f>
        <v>0</v>
      </c>
      <c r="AE168" s="303"/>
      <c r="AF168" s="304"/>
      <c r="AG168" s="308">
        <f>BD.PD[[#This Row],[Av.P5 '[%']]]*BD.PD[[#This Row],[Ppto. Orden Interna '[DOP']]]</f>
        <v>0</v>
      </c>
      <c r="AH168" s="305">
        <f>BD.PD[[#This Row],[Pago 5]]+BD.PD[[#This Row],[Pago 4]]+BD.PD[[#This Row],[Pago 3]]+BD.PD[[#This Row],[Pago 2]]+BD.PD[[#This Row],[Pago 1]]</f>
        <v>7960</v>
      </c>
      <c r="AI168" s="404"/>
      <c r="IB168" s="275"/>
    </row>
    <row r="169" spans="1:236" s="309" customFormat="1" ht="15" customHeight="1" x14ac:dyDescent="0.3">
      <c r="A169" s="231">
        <v>7.02</v>
      </c>
      <c r="B169" s="288"/>
      <c r="C169" s="289" t="str">
        <f>VLOOKUP(BD.PD[[#This Row],[Pos]],PPto[],3,FALSE)</f>
        <v>7.02 Cocina, Patio Comidas y Rostizería</v>
      </c>
      <c r="D169" s="231" t="s">
        <v>22</v>
      </c>
      <c r="E169" s="291" t="str">
        <f>IF(BD.PD[[#This Row],[.]]="*",VLOOKUP(BD.PD[[#This Row],[Pos]],Presupuesto!A:H,7,FALSE),"")</f>
        <v/>
      </c>
      <c r="F169" s="292" t="s">
        <v>223</v>
      </c>
      <c r="G169" s="292" t="s">
        <v>578</v>
      </c>
      <c r="H169" s="358">
        <v>45921</v>
      </c>
      <c r="I169" s="359">
        <v>2</v>
      </c>
      <c r="J169" s="231" t="s">
        <v>581</v>
      </c>
      <c r="K169" s="294">
        <f>IF(BD.PD[[#This Row],[Mon]]="DOP",1,HLOOKUP(BD.PD[[#This Row],[Mon]],$J$1:$K$2,2,FALSE))</f>
        <v>1</v>
      </c>
      <c r="L169" s="360">
        <v>2000</v>
      </c>
      <c r="M169" s="296">
        <f>BD.PD[[#This Row],[Cant.]]*BD.PD[[#This Row],[ Tasa ]]*BD.PD[[#This Row],[ Precio Und.]]</f>
        <v>4000</v>
      </c>
      <c r="N169" s="361">
        <v>0</v>
      </c>
      <c r="O169" s="296">
        <f>IF(BD.PD[[#This Row],[Liquid. '[%']]]&lt;&gt;0,(BD.PD[[#This Row],[Valor Neto '[DOP']]]*BD.PD[[#This Row],[Liquid. '[%']]])+BD.PD[[#This Row],[Valor Neto '[DOP']]],BD.PD[[#This Row],[Valor Neto '[DOP']]])</f>
        <v>4000</v>
      </c>
      <c r="P169" s="306">
        <f>BD.PD[[#This Row],[Ppto. Orden Interna '[DOP']]]/HLOOKUP("USD",$J$1:$K$2,2,FALSE)</f>
        <v>63.492063492063494</v>
      </c>
      <c r="Q169" s="299" t="s">
        <v>677</v>
      </c>
      <c r="R169" s="307" t="s">
        <v>642</v>
      </c>
      <c r="S169" s="300">
        <v>21</v>
      </c>
      <c r="T169" s="301">
        <v>1</v>
      </c>
      <c r="U169" s="308">
        <f>BD.PD[[#This Row],[Av.P1 '[%']]]*BD.PD[[#This Row],[Ppto. Orden Interna '[DOP']]]</f>
        <v>4000</v>
      </c>
      <c r="V169" s="303"/>
      <c r="W169" s="304"/>
      <c r="X169" s="308">
        <f>BD.PD[[#This Row],[Av.P2 '[%']]]*BD.PD[[#This Row],[Ppto. Orden Interna '[DOP']]]</f>
        <v>0</v>
      </c>
      <c r="Y169" s="303"/>
      <c r="Z169" s="304"/>
      <c r="AA169" s="308">
        <f>BD.PD[[#This Row],[Av.P3 '[%']]]*BD.PD[[#This Row],[Ppto. Orden Interna '[DOP']]]</f>
        <v>0</v>
      </c>
      <c r="AB169" s="303"/>
      <c r="AC169" s="304"/>
      <c r="AD169" s="308">
        <f>BD.PD[[#This Row],[Av.P4 '[%']]]*BD.PD[[#This Row],[Ppto. Orden Interna '[DOP']]]</f>
        <v>0</v>
      </c>
      <c r="AE169" s="303"/>
      <c r="AF169" s="304"/>
      <c r="AG169" s="308">
        <f>BD.PD[[#This Row],[Av.P5 '[%']]]*BD.PD[[#This Row],[Ppto. Orden Interna '[DOP']]]</f>
        <v>0</v>
      </c>
      <c r="AH169" s="305">
        <f>BD.PD[[#This Row],[Pago 5]]+BD.PD[[#This Row],[Pago 4]]+BD.PD[[#This Row],[Pago 3]]+BD.PD[[#This Row],[Pago 2]]+BD.PD[[#This Row],[Pago 1]]</f>
        <v>4000</v>
      </c>
      <c r="AI169" s="404"/>
      <c r="AJ169" s="404"/>
      <c r="AK169" s="404"/>
      <c r="AL169" s="404"/>
      <c r="AM169" s="404"/>
      <c r="AN169" s="404"/>
      <c r="AO169" s="404"/>
      <c r="AP169" s="404"/>
      <c r="AQ169" s="404"/>
      <c r="AR169" s="404"/>
      <c r="AS169" s="404"/>
      <c r="AT169" s="404"/>
      <c r="AU169" s="404"/>
      <c r="AV169" s="404"/>
      <c r="AW169" s="404"/>
      <c r="AX169" s="404"/>
      <c r="AY169" s="404"/>
      <c r="AZ169" s="404"/>
      <c r="BA169" s="404"/>
      <c r="BB169" s="404"/>
      <c r="BC169" s="404"/>
      <c r="BD169" s="404"/>
      <c r="BE169" s="404"/>
      <c r="BF169" s="404"/>
      <c r="BG169" s="404"/>
      <c r="BH169" s="404"/>
      <c r="BI169" s="404"/>
      <c r="BJ169" s="404"/>
      <c r="BK169" s="404"/>
      <c r="BL169" s="404"/>
      <c r="BM169" s="404"/>
      <c r="BN169" s="404"/>
      <c r="BO169" s="404"/>
      <c r="BP169" s="404"/>
      <c r="BQ169" s="404"/>
      <c r="BR169" s="404"/>
      <c r="BS169" s="404"/>
      <c r="BT169" s="404"/>
      <c r="BU169" s="404"/>
      <c r="BV169" s="404"/>
      <c r="BW169" s="404"/>
      <c r="BX169" s="404"/>
      <c r="BY169" s="404"/>
      <c r="BZ169" s="404"/>
      <c r="CA169" s="404"/>
      <c r="CB169" s="404"/>
      <c r="CC169" s="404"/>
      <c r="CD169" s="404"/>
      <c r="CE169" s="404"/>
      <c r="CF169" s="404"/>
      <c r="CG169" s="404"/>
      <c r="CH169" s="404"/>
      <c r="CI169" s="404"/>
      <c r="CJ169" s="404"/>
      <c r="CK169" s="404"/>
      <c r="CL169" s="404"/>
      <c r="CM169" s="404"/>
      <c r="CN169" s="404"/>
      <c r="CO169" s="404"/>
      <c r="CP169" s="404"/>
      <c r="CQ169" s="404"/>
      <c r="CR169" s="404"/>
      <c r="CS169" s="404"/>
      <c r="CT169" s="404"/>
      <c r="CU169" s="404"/>
      <c r="CV169" s="404"/>
      <c r="CW169" s="404"/>
      <c r="CX169" s="404"/>
      <c r="CY169" s="404"/>
      <c r="CZ169" s="404"/>
      <c r="DA169" s="404"/>
      <c r="DB169" s="404"/>
      <c r="DC169" s="404"/>
      <c r="DD169" s="404"/>
      <c r="DE169" s="404"/>
      <c r="DF169" s="404"/>
      <c r="DG169" s="404"/>
      <c r="DH169" s="404"/>
      <c r="DI169" s="404"/>
      <c r="DJ169" s="404"/>
      <c r="DK169" s="404"/>
      <c r="DL169" s="404"/>
      <c r="DM169" s="404"/>
      <c r="DN169" s="404"/>
      <c r="DO169" s="404"/>
      <c r="DP169" s="404"/>
      <c r="DQ169" s="404"/>
      <c r="DR169" s="404"/>
      <c r="DS169" s="404"/>
      <c r="DT169" s="404"/>
      <c r="DU169" s="404"/>
      <c r="DV169" s="404"/>
      <c r="DW169" s="404"/>
      <c r="DX169" s="404"/>
      <c r="DY169" s="404"/>
      <c r="DZ169" s="404"/>
      <c r="EA169" s="404"/>
      <c r="EB169" s="404"/>
      <c r="EC169" s="404"/>
      <c r="ED169" s="404"/>
      <c r="EE169" s="404"/>
      <c r="EF169" s="404"/>
      <c r="EG169" s="404"/>
      <c r="EH169" s="404"/>
      <c r="EI169" s="404"/>
      <c r="EJ169" s="404"/>
      <c r="EK169" s="404"/>
      <c r="EL169" s="404"/>
      <c r="EM169" s="404"/>
      <c r="EN169" s="404"/>
      <c r="EO169" s="404"/>
      <c r="EP169" s="404"/>
      <c r="EQ169" s="404"/>
      <c r="ER169" s="404"/>
      <c r="ES169" s="404"/>
      <c r="ET169" s="404"/>
      <c r="EU169" s="404"/>
      <c r="EV169" s="404"/>
      <c r="EW169" s="404"/>
      <c r="EX169" s="404"/>
      <c r="EY169" s="404"/>
      <c r="EZ169" s="404"/>
      <c r="FA169" s="404"/>
      <c r="FB169" s="404"/>
      <c r="FC169" s="404"/>
      <c r="FD169" s="404"/>
      <c r="FE169" s="404"/>
      <c r="FF169" s="404"/>
      <c r="FG169" s="404"/>
      <c r="FH169" s="404"/>
      <c r="FI169" s="404"/>
      <c r="FJ169" s="404"/>
      <c r="FK169" s="404"/>
      <c r="FL169" s="404"/>
      <c r="FM169" s="404"/>
      <c r="FN169" s="404"/>
      <c r="FO169" s="404"/>
      <c r="FP169" s="404"/>
      <c r="FQ169" s="404"/>
      <c r="FR169" s="404"/>
      <c r="FS169" s="404"/>
      <c r="FT169" s="404"/>
      <c r="FU169" s="404"/>
      <c r="FV169" s="404"/>
      <c r="FW169" s="404"/>
      <c r="FX169" s="404"/>
      <c r="FY169" s="404"/>
      <c r="FZ169" s="404"/>
      <c r="GA169" s="404"/>
      <c r="GB169" s="404"/>
      <c r="GC169" s="404"/>
      <c r="GD169" s="404"/>
      <c r="GE169" s="404"/>
      <c r="GF169" s="404"/>
      <c r="GG169" s="404"/>
      <c r="GH169" s="404"/>
      <c r="GI169" s="404"/>
      <c r="GJ169" s="404"/>
      <c r="GK169" s="404"/>
      <c r="GL169" s="404"/>
      <c r="GM169" s="404"/>
      <c r="GN169" s="404"/>
      <c r="GO169" s="404"/>
      <c r="GP169" s="404"/>
      <c r="GQ169" s="404"/>
      <c r="GR169" s="404"/>
      <c r="GS169" s="404"/>
      <c r="GT169" s="404"/>
      <c r="GU169" s="404"/>
      <c r="GV169" s="404"/>
      <c r="GW169" s="404"/>
      <c r="GX169" s="404"/>
      <c r="GY169" s="404"/>
      <c r="GZ169" s="404"/>
      <c r="HA169" s="404"/>
      <c r="HB169" s="404"/>
      <c r="HC169" s="404"/>
      <c r="HD169" s="404"/>
      <c r="HE169" s="404"/>
      <c r="HF169" s="404"/>
      <c r="HG169" s="404"/>
      <c r="HH169" s="404"/>
      <c r="HI169" s="404"/>
      <c r="HJ169" s="404"/>
      <c r="HK169" s="404"/>
      <c r="HL169" s="404"/>
      <c r="HM169" s="404"/>
      <c r="HN169" s="404"/>
      <c r="HO169" s="404"/>
      <c r="HP169" s="404"/>
      <c r="HQ169" s="404"/>
      <c r="HR169" s="404"/>
      <c r="HS169" s="404"/>
      <c r="HT169" s="404"/>
      <c r="HU169" s="404"/>
      <c r="HV169" s="404"/>
      <c r="HW169" s="404"/>
      <c r="HX169" s="404"/>
      <c r="HY169" s="404"/>
      <c r="HZ169" s="404"/>
      <c r="IA169" s="404"/>
    </row>
    <row r="170" spans="1:236" s="388" customFormat="1" ht="15" customHeight="1" x14ac:dyDescent="0.3">
      <c r="A170" s="231">
        <v>7.02</v>
      </c>
      <c r="B170" s="288"/>
      <c r="C170" s="289" t="str">
        <f>VLOOKUP(BD.PD[[#This Row],[Pos]],PPto[],3,FALSE)</f>
        <v>7.02 Cocina, Patio Comidas y Rostizería</v>
      </c>
      <c r="D170" s="231" t="s">
        <v>22</v>
      </c>
      <c r="E170" s="291" t="str">
        <f>IF(BD.PD[[#This Row],[.]]="*",VLOOKUP(BD.PD[[#This Row],[Pos]],Presupuesto!A:H,7,FALSE),"")</f>
        <v/>
      </c>
      <c r="F170" s="292" t="s">
        <v>221</v>
      </c>
      <c r="G170" s="292" t="s">
        <v>578</v>
      </c>
      <c r="H170" s="358">
        <v>45921</v>
      </c>
      <c r="I170" s="359">
        <v>2</v>
      </c>
      <c r="J170" s="231" t="s">
        <v>581</v>
      </c>
      <c r="K170" s="294">
        <f>IF(BD.PD[[#This Row],[Mon]]="DOP",1,HLOOKUP(BD.PD[[#This Row],[Mon]],$J$1:$K$2,2,FALSE))</f>
        <v>1</v>
      </c>
      <c r="L170" s="360">
        <v>850</v>
      </c>
      <c r="M170" s="296">
        <f>BD.PD[[#This Row],[Cant.]]*BD.PD[[#This Row],[ Tasa ]]*BD.PD[[#This Row],[ Precio Und.]]</f>
        <v>1700</v>
      </c>
      <c r="N170" s="361">
        <v>0</v>
      </c>
      <c r="O170" s="296">
        <f>IF(BD.PD[[#This Row],[Liquid. '[%']]]&lt;&gt;0,(BD.PD[[#This Row],[Valor Neto '[DOP']]]*BD.PD[[#This Row],[Liquid. '[%']]])+BD.PD[[#This Row],[Valor Neto '[DOP']]],BD.PD[[#This Row],[Valor Neto '[DOP']]])</f>
        <v>1700</v>
      </c>
      <c r="P170" s="306">
        <f>BD.PD[[#This Row],[Ppto. Orden Interna '[DOP']]]/HLOOKUP("USD",$J$1:$K$2,2,FALSE)</f>
        <v>26.984126984126984</v>
      </c>
      <c r="Q170" s="299" t="s">
        <v>677</v>
      </c>
      <c r="R170" s="307" t="s">
        <v>642</v>
      </c>
      <c r="S170" s="300">
        <v>21</v>
      </c>
      <c r="T170" s="301">
        <v>1</v>
      </c>
      <c r="U170" s="308">
        <f>BD.PD[[#This Row],[Av.P1 '[%']]]*BD.PD[[#This Row],[Ppto. Orden Interna '[DOP']]]</f>
        <v>1700</v>
      </c>
      <c r="V170" s="303"/>
      <c r="W170" s="304"/>
      <c r="X170" s="308">
        <f>BD.PD[[#This Row],[Av.P2 '[%']]]*BD.PD[[#This Row],[Ppto. Orden Interna '[DOP']]]</f>
        <v>0</v>
      </c>
      <c r="Y170" s="303"/>
      <c r="Z170" s="304"/>
      <c r="AA170" s="308">
        <f>BD.PD[[#This Row],[Av.P3 '[%']]]*BD.PD[[#This Row],[Ppto. Orden Interna '[DOP']]]</f>
        <v>0</v>
      </c>
      <c r="AB170" s="303"/>
      <c r="AC170" s="304"/>
      <c r="AD170" s="308">
        <f>BD.PD[[#This Row],[Av.P4 '[%']]]*BD.PD[[#This Row],[Ppto. Orden Interna '[DOP']]]</f>
        <v>0</v>
      </c>
      <c r="AE170" s="303"/>
      <c r="AF170" s="304"/>
      <c r="AG170" s="308">
        <f>BD.PD[[#This Row],[Av.P5 '[%']]]*BD.PD[[#This Row],[Ppto. Orden Interna '[DOP']]]</f>
        <v>0</v>
      </c>
      <c r="AH170" s="305">
        <f>BD.PD[[#This Row],[Pago 5]]+BD.PD[[#This Row],[Pago 4]]+BD.PD[[#This Row],[Pago 3]]+BD.PD[[#This Row],[Pago 2]]+BD.PD[[#This Row],[Pago 1]]</f>
        <v>1700</v>
      </c>
      <c r="AI170" s="404"/>
      <c r="AJ170" s="401"/>
      <c r="AK170" s="401"/>
      <c r="AL170" s="401"/>
      <c r="AM170" s="401"/>
      <c r="AN170" s="401"/>
      <c r="AO170" s="401"/>
      <c r="AP170" s="401"/>
      <c r="AQ170" s="401"/>
      <c r="AR170" s="401"/>
      <c r="AS170" s="401"/>
      <c r="AT170" s="401"/>
      <c r="AU170" s="401"/>
      <c r="AV170" s="401"/>
      <c r="AW170" s="401"/>
      <c r="AX170" s="401"/>
      <c r="AY170" s="401"/>
      <c r="AZ170" s="401"/>
      <c r="BA170" s="401"/>
      <c r="BB170" s="401"/>
      <c r="BC170" s="401"/>
      <c r="BD170" s="401"/>
      <c r="BE170" s="401"/>
      <c r="BF170" s="401"/>
      <c r="BG170" s="401"/>
      <c r="BH170" s="401"/>
      <c r="BI170" s="401"/>
      <c r="BJ170" s="401"/>
      <c r="BK170" s="401"/>
      <c r="BL170" s="401"/>
      <c r="BM170" s="401"/>
      <c r="BN170" s="401"/>
      <c r="BO170" s="401"/>
      <c r="BP170" s="401"/>
      <c r="BQ170" s="401"/>
      <c r="BR170" s="401"/>
      <c r="BS170" s="401"/>
      <c r="BT170" s="401"/>
      <c r="BU170" s="401"/>
      <c r="BV170" s="401"/>
      <c r="BW170" s="401"/>
      <c r="BX170" s="401"/>
      <c r="BY170" s="401"/>
      <c r="BZ170" s="401"/>
      <c r="CA170" s="401"/>
      <c r="CB170" s="401"/>
      <c r="CC170" s="401"/>
      <c r="CD170" s="401"/>
      <c r="CE170" s="401"/>
      <c r="CF170" s="401"/>
      <c r="CG170" s="401"/>
      <c r="CH170" s="401"/>
      <c r="CI170" s="401"/>
      <c r="CJ170" s="401"/>
      <c r="CK170" s="401"/>
      <c r="CL170" s="401"/>
      <c r="CM170" s="401"/>
      <c r="CN170" s="401"/>
      <c r="CO170" s="401"/>
      <c r="CP170" s="401"/>
      <c r="CQ170" s="401"/>
      <c r="CR170" s="401"/>
      <c r="CS170" s="401"/>
      <c r="CT170" s="401"/>
      <c r="CU170" s="401"/>
      <c r="CV170" s="401"/>
      <c r="CW170" s="401"/>
      <c r="CX170" s="401"/>
      <c r="CY170" s="401"/>
      <c r="CZ170" s="401"/>
      <c r="DA170" s="401"/>
      <c r="DB170" s="401"/>
      <c r="DC170" s="401"/>
      <c r="DD170" s="401"/>
      <c r="DE170" s="401"/>
      <c r="DF170" s="401"/>
      <c r="DG170" s="401"/>
      <c r="DH170" s="401"/>
      <c r="DI170" s="401"/>
      <c r="DJ170" s="401"/>
      <c r="DK170" s="401"/>
      <c r="DL170" s="401"/>
      <c r="DM170" s="401"/>
      <c r="DN170" s="401"/>
      <c r="DO170" s="401"/>
      <c r="DP170" s="401"/>
      <c r="DQ170" s="401"/>
      <c r="DR170" s="401"/>
      <c r="DS170" s="401"/>
      <c r="DT170" s="401"/>
      <c r="DU170" s="401"/>
      <c r="DV170" s="401"/>
      <c r="DW170" s="401"/>
      <c r="DX170" s="401"/>
      <c r="DY170" s="401"/>
      <c r="DZ170" s="401"/>
      <c r="EA170" s="401"/>
      <c r="EB170" s="401"/>
      <c r="EC170" s="401"/>
      <c r="ED170" s="401"/>
      <c r="EE170" s="401"/>
      <c r="EF170" s="401"/>
      <c r="EG170" s="401"/>
      <c r="EH170" s="401"/>
      <c r="EI170" s="401"/>
      <c r="EJ170" s="401"/>
      <c r="EK170" s="401"/>
      <c r="EL170" s="401"/>
      <c r="EM170" s="401"/>
      <c r="EN170" s="401"/>
      <c r="EO170" s="401"/>
      <c r="EP170" s="401"/>
      <c r="EQ170" s="401"/>
      <c r="ER170" s="401"/>
      <c r="ES170" s="401"/>
      <c r="ET170" s="401"/>
      <c r="EU170" s="401"/>
      <c r="EV170" s="401"/>
      <c r="EW170" s="401"/>
      <c r="EX170" s="401"/>
      <c r="EY170" s="401"/>
      <c r="EZ170" s="401"/>
      <c r="FA170" s="401"/>
      <c r="FB170" s="401"/>
      <c r="FC170" s="401"/>
      <c r="FD170" s="401"/>
      <c r="FE170" s="401"/>
      <c r="FF170" s="401"/>
      <c r="FG170" s="401"/>
      <c r="FH170" s="401"/>
      <c r="FI170" s="401"/>
      <c r="FJ170" s="401"/>
      <c r="FK170" s="401"/>
      <c r="FL170" s="401"/>
      <c r="FM170" s="401"/>
      <c r="FN170" s="401"/>
      <c r="FO170" s="401"/>
      <c r="FP170" s="401"/>
      <c r="FQ170" s="401"/>
      <c r="FR170" s="401"/>
      <c r="FS170" s="401"/>
      <c r="FT170" s="401"/>
      <c r="FU170" s="401"/>
      <c r="FV170" s="401"/>
      <c r="FW170" s="401"/>
      <c r="FX170" s="401"/>
      <c r="FY170" s="401"/>
      <c r="FZ170" s="401"/>
      <c r="GA170" s="401"/>
      <c r="GB170" s="401"/>
      <c r="GC170" s="401"/>
      <c r="GD170" s="401"/>
      <c r="GE170" s="401"/>
      <c r="GF170" s="401"/>
      <c r="GG170" s="401"/>
      <c r="GH170" s="401"/>
      <c r="GI170" s="401"/>
      <c r="GJ170" s="401"/>
      <c r="GK170" s="401"/>
      <c r="GL170" s="401"/>
      <c r="GM170" s="401"/>
      <c r="GN170" s="401"/>
      <c r="GO170" s="401"/>
      <c r="GP170" s="401"/>
      <c r="GQ170" s="401"/>
      <c r="GR170" s="401"/>
      <c r="GS170" s="401"/>
      <c r="GT170" s="401"/>
      <c r="GU170" s="401"/>
      <c r="GV170" s="401"/>
      <c r="GW170" s="401"/>
      <c r="GX170" s="401"/>
      <c r="GY170" s="401"/>
      <c r="GZ170" s="401"/>
      <c r="HA170" s="401"/>
      <c r="HB170" s="401"/>
      <c r="HC170" s="401"/>
      <c r="HD170" s="401"/>
      <c r="HE170" s="401"/>
      <c r="HF170" s="401"/>
      <c r="HG170" s="401"/>
      <c r="HH170" s="401"/>
      <c r="HI170" s="401"/>
      <c r="HJ170" s="401"/>
      <c r="HK170" s="401"/>
      <c r="HL170" s="401"/>
      <c r="HM170" s="401"/>
      <c r="HN170" s="401"/>
      <c r="HO170" s="401"/>
      <c r="HP170" s="401"/>
      <c r="HQ170" s="401"/>
      <c r="HR170" s="401"/>
      <c r="HS170" s="401"/>
      <c r="HT170" s="401"/>
      <c r="HU170" s="401"/>
      <c r="HV170" s="401"/>
      <c r="HW170" s="401"/>
      <c r="HX170" s="401"/>
      <c r="HY170" s="401"/>
      <c r="HZ170" s="401"/>
      <c r="IA170" s="401"/>
    </row>
    <row r="171" spans="1:236" s="388" customFormat="1" ht="15" customHeight="1" x14ac:dyDescent="0.3">
      <c r="A171" s="231">
        <v>7.02</v>
      </c>
      <c r="B171" s="288"/>
      <c r="C171" s="289" t="str">
        <f>VLOOKUP(BD.PD[[#This Row],[Pos]],PPto[],3,FALSE)</f>
        <v>7.02 Cocina, Patio Comidas y Rostizería</v>
      </c>
      <c r="D171" s="231" t="s">
        <v>22</v>
      </c>
      <c r="E171" s="291" t="str">
        <f>IF(BD.PD[[#This Row],[.]]="*",VLOOKUP(BD.PD[[#This Row],[Pos]],Presupuesto!A:H,7,FALSE),"")</f>
        <v/>
      </c>
      <c r="F171" s="292" t="s">
        <v>207</v>
      </c>
      <c r="G171" s="292" t="s">
        <v>578</v>
      </c>
      <c r="H171" s="358">
        <v>45921</v>
      </c>
      <c r="I171" s="359">
        <v>10</v>
      </c>
      <c r="J171" s="231" t="s">
        <v>581</v>
      </c>
      <c r="K171" s="294">
        <f>IF(BD.PD[[#This Row],[Mon]]="DOP",1,HLOOKUP(BD.PD[[#This Row],[Mon]],$J$1:$K$2,2,FALSE))</f>
        <v>1</v>
      </c>
      <c r="L171" s="360">
        <v>450</v>
      </c>
      <c r="M171" s="296">
        <f>BD.PD[[#This Row],[Cant.]]*BD.PD[[#This Row],[ Tasa ]]*BD.PD[[#This Row],[ Precio Und.]]</f>
        <v>4500</v>
      </c>
      <c r="N171" s="361">
        <v>0</v>
      </c>
      <c r="O171" s="296">
        <f>IF(BD.PD[[#This Row],[Liquid. '[%']]]&lt;&gt;0,(BD.PD[[#This Row],[Valor Neto '[DOP']]]*BD.PD[[#This Row],[Liquid. '[%']]])+BD.PD[[#This Row],[Valor Neto '[DOP']]],BD.PD[[#This Row],[Valor Neto '[DOP']]])</f>
        <v>4500</v>
      </c>
      <c r="P171" s="306">
        <f>BD.PD[[#This Row],[Ppto. Orden Interna '[DOP']]]/HLOOKUP("USD",$J$1:$K$2,2,FALSE)</f>
        <v>71.428571428571431</v>
      </c>
      <c r="Q171" s="299" t="s">
        <v>677</v>
      </c>
      <c r="R171" s="307" t="s">
        <v>642</v>
      </c>
      <c r="S171" s="300">
        <v>21</v>
      </c>
      <c r="T171" s="301">
        <v>1</v>
      </c>
      <c r="U171" s="308">
        <f>BD.PD[[#This Row],[Av.P1 '[%']]]*BD.PD[[#This Row],[Ppto. Orden Interna '[DOP']]]</f>
        <v>4500</v>
      </c>
      <c r="V171" s="303"/>
      <c r="W171" s="304"/>
      <c r="X171" s="308">
        <f>BD.PD[[#This Row],[Av.P2 '[%']]]*BD.PD[[#This Row],[Ppto. Orden Interna '[DOP']]]</f>
        <v>0</v>
      </c>
      <c r="Y171" s="303"/>
      <c r="Z171" s="304"/>
      <c r="AA171" s="308">
        <f>BD.PD[[#This Row],[Av.P3 '[%']]]*BD.PD[[#This Row],[Ppto. Orden Interna '[DOP']]]</f>
        <v>0</v>
      </c>
      <c r="AB171" s="303"/>
      <c r="AC171" s="304"/>
      <c r="AD171" s="308">
        <f>BD.PD[[#This Row],[Av.P4 '[%']]]*BD.PD[[#This Row],[Ppto. Orden Interna '[DOP']]]</f>
        <v>0</v>
      </c>
      <c r="AE171" s="303"/>
      <c r="AF171" s="304"/>
      <c r="AG171" s="308">
        <f>BD.PD[[#This Row],[Av.P5 '[%']]]*BD.PD[[#This Row],[Ppto. Orden Interna '[DOP']]]</f>
        <v>0</v>
      </c>
      <c r="AH171" s="305">
        <f>BD.PD[[#This Row],[Pago 5]]+BD.PD[[#This Row],[Pago 4]]+BD.PD[[#This Row],[Pago 3]]+BD.PD[[#This Row],[Pago 2]]+BD.PD[[#This Row],[Pago 1]]</f>
        <v>4500</v>
      </c>
      <c r="AI171" s="404"/>
      <c r="AJ171" s="401"/>
      <c r="AK171" s="401"/>
      <c r="AL171" s="401"/>
      <c r="AM171" s="401"/>
      <c r="AN171" s="401"/>
      <c r="AO171" s="401"/>
      <c r="AP171" s="401"/>
      <c r="AQ171" s="401"/>
      <c r="AR171" s="401"/>
      <c r="AS171" s="401"/>
      <c r="AT171" s="401"/>
      <c r="AU171" s="401"/>
      <c r="AV171" s="401"/>
      <c r="AW171" s="401"/>
      <c r="AX171" s="401"/>
      <c r="AY171" s="401"/>
      <c r="AZ171" s="401"/>
      <c r="BA171" s="401"/>
      <c r="BB171" s="401"/>
      <c r="BC171" s="401"/>
      <c r="BD171" s="401"/>
      <c r="BE171" s="401"/>
      <c r="BF171" s="401"/>
      <c r="BG171" s="401"/>
      <c r="BH171" s="401"/>
      <c r="BI171" s="401"/>
      <c r="BJ171" s="401"/>
      <c r="BK171" s="401"/>
      <c r="BL171" s="401"/>
      <c r="BM171" s="401"/>
      <c r="BN171" s="401"/>
      <c r="BO171" s="401"/>
      <c r="BP171" s="401"/>
      <c r="BQ171" s="401"/>
      <c r="BR171" s="401"/>
      <c r="BS171" s="401"/>
      <c r="BT171" s="401"/>
      <c r="BU171" s="401"/>
      <c r="BV171" s="401"/>
      <c r="BW171" s="401"/>
      <c r="BX171" s="401"/>
      <c r="BY171" s="401"/>
      <c r="BZ171" s="401"/>
      <c r="CA171" s="401"/>
      <c r="CB171" s="401"/>
      <c r="CC171" s="401"/>
      <c r="CD171" s="401"/>
      <c r="CE171" s="401"/>
      <c r="CF171" s="401"/>
      <c r="CG171" s="401"/>
      <c r="CH171" s="401"/>
      <c r="CI171" s="401"/>
      <c r="CJ171" s="401"/>
      <c r="CK171" s="401"/>
      <c r="CL171" s="401"/>
      <c r="CM171" s="401"/>
      <c r="CN171" s="401"/>
      <c r="CO171" s="401"/>
      <c r="CP171" s="401"/>
      <c r="CQ171" s="401"/>
      <c r="CR171" s="401"/>
      <c r="CS171" s="401"/>
      <c r="CT171" s="401"/>
      <c r="CU171" s="401"/>
      <c r="CV171" s="401"/>
      <c r="CW171" s="401"/>
      <c r="CX171" s="401"/>
      <c r="CY171" s="401"/>
      <c r="CZ171" s="401"/>
      <c r="DA171" s="401"/>
      <c r="DB171" s="401"/>
      <c r="DC171" s="401"/>
      <c r="DD171" s="401"/>
      <c r="DE171" s="401"/>
      <c r="DF171" s="401"/>
      <c r="DG171" s="401"/>
      <c r="DH171" s="401"/>
      <c r="DI171" s="401"/>
      <c r="DJ171" s="401"/>
      <c r="DK171" s="401"/>
      <c r="DL171" s="401"/>
      <c r="DM171" s="401"/>
      <c r="DN171" s="401"/>
      <c r="DO171" s="401"/>
      <c r="DP171" s="401"/>
      <c r="DQ171" s="401"/>
      <c r="DR171" s="401"/>
      <c r="DS171" s="401"/>
      <c r="DT171" s="401"/>
      <c r="DU171" s="401"/>
      <c r="DV171" s="401"/>
      <c r="DW171" s="401"/>
      <c r="DX171" s="401"/>
      <c r="DY171" s="401"/>
      <c r="DZ171" s="401"/>
      <c r="EA171" s="401"/>
      <c r="EB171" s="401"/>
      <c r="EC171" s="401"/>
      <c r="ED171" s="401"/>
      <c r="EE171" s="401"/>
      <c r="EF171" s="401"/>
      <c r="EG171" s="401"/>
      <c r="EH171" s="401"/>
      <c r="EI171" s="401"/>
      <c r="EJ171" s="401"/>
      <c r="EK171" s="401"/>
      <c r="EL171" s="401"/>
      <c r="EM171" s="401"/>
      <c r="EN171" s="401"/>
      <c r="EO171" s="401"/>
      <c r="EP171" s="401"/>
      <c r="EQ171" s="401"/>
      <c r="ER171" s="401"/>
      <c r="ES171" s="401"/>
      <c r="ET171" s="401"/>
      <c r="EU171" s="401"/>
      <c r="EV171" s="401"/>
      <c r="EW171" s="401"/>
      <c r="EX171" s="401"/>
      <c r="EY171" s="401"/>
      <c r="EZ171" s="401"/>
      <c r="FA171" s="401"/>
      <c r="FB171" s="401"/>
      <c r="FC171" s="401"/>
      <c r="FD171" s="401"/>
      <c r="FE171" s="401"/>
      <c r="FF171" s="401"/>
      <c r="FG171" s="401"/>
      <c r="FH171" s="401"/>
      <c r="FI171" s="401"/>
      <c r="FJ171" s="401"/>
      <c r="FK171" s="401"/>
      <c r="FL171" s="401"/>
      <c r="FM171" s="401"/>
      <c r="FN171" s="401"/>
      <c r="FO171" s="401"/>
      <c r="FP171" s="401"/>
      <c r="FQ171" s="401"/>
      <c r="FR171" s="401"/>
      <c r="FS171" s="401"/>
      <c r="FT171" s="401"/>
      <c r="FU171" s="401"/>
      <c r="FV171" s="401"/>
      <c r="FW171" s="401"/>
      <c r="FX171" s="401"/>
      <c r="FY171" s="401"/>
      <c r="FZ171" s="401"/>
      <c r="GA171" s="401"/>
      <c r="GB171" s="401"/>
      <c r="GC171" s="401"/>
      <c r="GD171" s="401"/>
      <c r="GE171" s="401"/>
      <c r="GF171" s="401"/>
      <c r="GG171" s="401"/>
      <c r="GH171" s="401"/>
      <c r="GI171" s="401"/>
      <c r="GJ171" s="401"/>
      <c r="GK171" s="401"/>
      <c r="GL171" s="401"/>
      <c r="GM171" s="401"/>
      <c r="GN171" s="401"/>
      <c r="GO171" s="401"/>
      <c r="GP171" s="401"/>
      <c r="GQ171" s="401"/>
      <c r="GR171" s="401"/>
      <c r="GS171" s="401"/>
      <c r="GT171" s="401"/>
      <c r="GU171" s="401"/>
      <c r="GV171" s="401"/>
      <c r="GW171" s="401"/>
      <c r="GX171" s="401"/>
      <c r="GY171" s="401"/>
      <c r="GZ171" s="401"/>
      <c r="HA171" s="401"/>
      <c r="HB171" s="401"/>
      <c r="HC171" s="401"/>
      <c r="HD171" s="401"/>
      <c r="HE171" s="401"/>
      <c r="HF171" s="401"/>
      <c r="HG171" s="401"/>
      <c r="HH171" s="401"/>
      <c r="HI171" s="401"/>
      <c r="HJ171" s="401"/>
      <c r="HK171" s="401"/>
      <c r="HL171" s="401"/>
      <c r="HM171" s="401"/>
      <c r="HN171" s="401"/>
      <c r="HO171" s="401"/>
      <c r="HP171" s="401"/>
      <c r="HQ171" s="401"/>
      <c r="HR171" s="401"/>
      <c r="HS171" s="401"/>
      <c r="HT171" s="401"/>
      <c r="HU171" s="401"/>
      <c r="HV171" s="401"/>
      <c r="HW171" s="401"/>
      <c r="HX171" s="401"/>
      <c r="HY171" s="401"/>
      <c r="HZ171" s="401"/>
      <c r="IA171" s="401"/>
    </row>
    <row r="172" spans="1:236" ht="15" customHeight="1" x14ac:dyDescent="0.3">
      <c r="A172" s="231">
        <v>7.02</v>
      </c>
      <c r="B172" s="288"/>
      <c r="C172" s="289" t="str">
        <f>VLOOKUP(BD.PD[[#This Row],[Pos]],PPto[],3,FALSE)</f>
        <v>7.02 Cocina, Patio Comidas y Rostizería</v>
      </c>
      <c r="D172" s="231" t="s">
        <v>22</v>
      </c>
      <c r="E172" s="291" t="str">
        <f>IF(BD.PD[[#This Row],[.]]="*",VLOOKUP(BD.PD[[#This Row],[Pos]],Presupuesto!A:H,7,FALSE),"")</f>
        <v/>
      </c>
      <c r="F172" s="292" t="s">
        <v>206</v>
      </c>
      <c r="G172" s="292" t="s">
        <v>578</v>
      </c>
      <c r="H172" s="358">
        <v>45921</v>
      </c>
      <c r="I172" s="359">
        <v>10</v>
      </c>
      <c r="J172" s="231" t="s">
        <v>581</v>
      </c>
      <c r="K172" s="294">
        <f>IF(BD.PD[[#This Row],[Mon]]="DOP",1,HLOOKUP(BD.PD[[#This Row],[Mon]],$J$1:$K$2,2,FALSE))</f>
        <v>1</v>
      </c>
      <c r="L172" s="360">
        <v>1650</v>
      </c>
      <c r="M172" s="296">
        <f>BD.PD[[#This Row],[Cant.]]*BD.PD[[#This Row],[ Tasa ]]*BD.PD[[#This Row],[ Precio Und.]]</f>
        <v>16500</v>
      </c>
      <c r="N172" s="361">
        <v>0</v>
      </c>
      <c r="O172" s="296">
        <f>IF(BD.PD[[#This Row],[Liquid. '[%']]]&lt;&gt;0,(BD.PD[[#This Row],[Valor Neto '[DOP']]]*BD.PD[[#This Row],[Liquid. '[%']]])+BD.PD[[#This Row],[Valor Neto '[DOP']]],BD.PD[[#This Row],[Valor Neto '[DOP']]])</f>
        <v>16500</v>
      </c>
      <c r="P172" s="306">
        <f>BD.PD[[#This Row],[Ppto. Orden Interna '[DOP']]]/HLOOKUP("USD",$J$1:$K$2,2,FALSE)</f>
        <v>261.90476190476193</v>
      </c>
      <c r="Q172" s="299" t="s">
        <v>677</v>
      </c>
      <c r="R172" s="307" t="s">
        <v>642</v>
      </c>
      <c r="S172" s="300">
        <v>21</v>
      </c>
      <c r="T172" s="301">
        <v>1</v>
      </c>
      <c r="U172" s="308">
        <f>BD.PD[[#This Row],[Av.P1 '[%']]]*BD.PD[[#This Row],[Ppto. Orden Interna '[DOP']]]</f>
        <v>16500</v>
      </c>
      <c r="V172" s="303"/>
      <c r="W172" s="304"/>
      <c r="X172" s="308">
        <f>BD.PD[[#This Row],[Av.P2 '[%']]]*BD.PD[[#This Row],[Ppto. Orden Interna '[DOP']]]</f>
        <v>0</v>
      </c>
      <c r="Y172" s="303"/>
      <c r="Z172" s="304"/>
      <c r="AA172" s="308">
        <f>BD.PD[[#This Row],[Av.P3 '[%']]]*BD.PD[[#This Row],[Ppto. Orden Interna '[DOP']]]</f>
        <v>0</v>
      </c>
      <c r="AB172" s="303"/>
      <c r="AC172" s="304"/>
      <c r="AD172" s="308">
        <f>BD.PD[[#This Row],[Av.P4 '[%']]]*BD.PD[[#This Row],[Ppto. Orden Interna '[DOP']]]</f>
        <v>0</v>
      </c>
      <c r="AE172" s="303"/>
      <c r="AF172" s="304"/>
      <c r="AG172" s="308">
        <f>BD.PD[[#This Row],[Av.P5 '[%']]]*BD.PD[[#This Row],[Ppto. Orden Interna '[DOP']]]</f>
        <v>0</v>
      </c>
      <c r="AH172" s="305">
        <f>BD.PD[[#This Row],[Pago 5]]+BD.PD[[#This Row],[Pago 4]]+BD.PD[[#This Row],[Pago 3]]+BD.PD[[#This Row],[Pago 2]]+BD.PD[[#This Row],[Pago 1]]</f>
        <v>16500</v>
      </c>
      <c r="AI172" s="404"/>
      <c r="IB172" s="275"/>
    </row>
    <row r="173" spans="1:236" s="388" customFormat="1" ht="15" customHeight="1" x14ac:dyDescent="0.3">
      <c r="A173" s="231">
        <v>7.02</v>
      </c>
      <c r="B173" s="288"/>
      <c r="C173" s="289" t="str">
        <f>VLOOKUP(BD.PD[[#This Row],[Pos]],PPto[],3,FALSE)</f>
        <v>7.02 Cocina, Patio Comidas y Rostizería</v>
      </c>
      <c r="D173" s="231" t="s">
        <v>22</v>
      </c>
      <c r="E173" s="291" t="str">
        <f>IF(BD.PD[[#This Row],[.]]="*",VLOOKUP(BD.PD[[#This Row],[Pos]],Presupuesto!A:H,7,FALSE),"")</f>
        <v/>
      </c>
      <c r="F173" s="292" t="s">
        <v>254</v>
      </c>
      <c r="G173" s="292" t="s">
        <v>578</v>
      </c>
      <c r="H173" s="358">
        <v>45921</v>
      </c>
      <c r="I173" s="359">
        <v>2</v>
      </c>
      <c r="J173" s="231" t="s">
        <v>581</v>
      </c>
      <c r="K173" s="294">
        <f>IF(BD.PD[[#This Row],[Mon]]="DOP",1,HLOOKUP(BD.PD[[#This Row],[Mon]],$J$1:$K$2,2,FALSE))</f>
        <v>1</v>
      </c>
      <c r="L173" s="360">
        <v>500</v>
      </c>
      <c r="M173" s="296">
        <f>BD.PD[[#This Row],[Cant.]]*BD.PD[[#This Row],[ Tasa ]]*BD.PD[[#This Row],[ Precio Und.]]</f>
        <v>1000</v>
      </c>
      <c r="N173" s="361">
        <v>0</v>
      </c>
      <c r="O173" s="296">
        <f>IF(BD.PD[[#This Row],[Liquid. '[%']]]&lt;&gt;0,(BD.PD[[#This Row],[Valor Neto '[DOP']]]*BD.PD[[#This Row],[Liquid. '[%']]])+BD.PD[[#This Row],[Valor Neto '[DOP']]],BD.PD[[#This Row],[Valor Neto '[DOP']]])</f>
        <v>1000</v>
      </c>
      <c r="P173" s="306">
        <f>BD.PD[[#This Row],[Ppto. Orden Interna '[DOP']]]/HLOOKUP("USD",$J$1:$K$2,2,FALSE)</f>
        <v>15.873015873015873</v>
      </c>
      <c r="Q173" s="299" t="s">
        <v>677</v>
      </c>
      <c r="R173" s="307" t="s">
        <v>642</v>
      </c>
      <c r="S173" s="300">
        <v>21</v>
      </c>
      <c r="T173" s="301">
        <v>1</v>
      </c>
      <c r="U173" s="308">
        <f>BD.PD[[#This Row],[Av.P1 '[%']]]*BD.PD[[#This Row],[Ppto. Orden Interna '[DOP']]]</f>
        <v>1000</v>
      </c>
      <c r="V173" s="303"/>
      <c r="W173" s="304"/>
      <c r="X173" s="308">
        <f>BD.PD[[#This Row],[Av.P2 '[%']]]*BD.PD[[#This Row],[Ppto. Orden Interna '[DOP']]]</f>
        <v>0</v>
      </c>
      <c r="Y173" s="303"/>
      <c r="Z173" s="304"/>
      <c r="AA173" s="308">
        <f>BD.PD[[#This Row],[Av.P3 '[%']]]*BD.PD[[#This Row],[Ppto. Orden Interna '[DOP']]]</f>
        <v>0</v>
      </c>
      <c r="AB173" s="303"/>
      <c r="AC173" s="304"/>
      <c r="AD173" s="308">
        <f>BD.PD[[#This Row],[Av.P4 '[%']]]*BD.PD[[#This Row],[Ppto. Orden Interna '[DOP']]]</f>
        <v>0</v>
      </c>
      <c r="AE173" s="303"/>
      <c r="AF173" s="304"/>
      <c r="AG173" s="308">
        <f>BD.PD[[#This Row],[Av.P5 '[%']]]*BD.PD[[#This Row],[Ppto. Orden Interna '[DOP']]]</f>
        <v>0</v>
      </c>
      <c r="AH173" s="305">
        <f>BD.PD[[#This Row],[Pago 5]]+BD.PD[[#This Row],[Pago 4]]+BD.PD[[#This Row],[Pago 3]]+BD.PD[[#This Row],[Pago 2]]+BD.PD[[#This Row],[Pago 1]]</f>
        <v>1000</v>
      </c>
      <c r="AI173" s="404"/>
      <c r="AJ173" s="401"/>
      <c r="AK173" s="401"/>
      <c r="AL173" s="401"/>
      <c r="AM173" s="401"/>
      <c r="AN173" s="401"/>
      <c r="AO173" s="401"/>
      <c r="AP173" s="401"/>
      <c r="AQ173" s="401"/>
      <c r="AR173" s="401"/>
      <c r="AS173" s="401"/>
      <c r="AT173" s="401"/>
      <c r="AU173" s="401"/>
      <c r="AV173" s="401"/>
      <c r="AW173" s="401"/>
      <c r="AX173" s="401"/>
      <c r="AY173" s="401"/>
      <c r="AZ173" s="401"/>
      <c r="BA173" s="401"/>
      <c r="BB173" s="401"/>
      <c r="BC173" s="401"/>
      <c r="BD173" s="401"/>
      <c r="BE173" s="401"/>
      <c r="BF173" s="401"/>
      <c r="BG173" s="401"/>
      <c r="BH173" s="401"/>
      <c r="BI173" s="401"/>
      <c r="BJ173" s="401"/>
      <c r="BK173" s="401"/>
      <c r="BL173" s="401"/>
      <c r="BM173" s="401"/>
      <c r="BN173" s="401"/>
      <c r="BO173" s="401"/>
      <c r="BP173" s="401"/>
      <c r="BQ173" s="401"/>
      <c r="BR173" s="401"/>
      <c r="BS173" s="401"/>
      <c r="BT173" s="401"/>
      <c r="BU173" s="401"/>
      <c r="BV173" s="401"/>
      <c r="BW173" s="401"/>
      <c r="BX173" s="401"/>
      <c r="BY173" s="401"/>
      <c r="BZ173" s="401"/>
      <c r="CA173" s="401"/>
      <c r="CB173" s="401"/>
      <c r="CC173" s="401"/>
      <c r="CD173" s="401"/>
      <c r="CE173" s="401"/>
      <c r="CF173" s="401"/>
      <c r="CG173" s="401"/>
      <c r="CH173" s="401"/>
      <c r="CI173" s="401"/>
      <c r="CJ173" s="401"/>
      <c r="CK173" s="401"/>
      <c r="CL173" s="401"/>
      <c r="CM173" s="401"/>
      <c r="CN173" s="401"/>
      <c r="CO173" s="401"/>
      <c r="CP173" s="401"/>
      <c r="CQ173" s="401"/>
      <c r="CR173" s="401"/>
      <c r="CS173" s="401"/>
      <c r="CT173" s="401"/>
      <c r="CU173" s="401"/>
      <c r="CV173" s="401"/>
      <c r="CW173" s="401"/>
      <c r="CX173" s="401"/>
      <c r="CY173" s="401"/>
      <c r="CZ173" s="401"/>
      <c r="DA173" s="401"/>
      <c r="DB173" s="401"/>
      <c r="DC173" s="401"/>
      <c r="DD173" s="401"/>
      <c r="DE173" s="401"/>
      <c r="DF173" s="401"/>
      <c r="DG173" s="401"/>
      <c r="DH173" s="401"/>
      <c r="DI173" s="401"/>
      <c r="DJ173" s="401"/>
      <c r="DK173" s="401"/>
      <c r="DL173" s="401"/>
      <c r="DM173" s="401"/>
      <c r="DN173" s="401"/>
      <c r="DO173" s="401"/>
      <c r="DP173" s="401"/>
      <c r="DQ173" s="401"/>
      <c r="DR173" s="401"/>
      <c r="DS173" s="401"/>
      <c r="DT173" s="401"/>
      <c r="DU173" s="401"/>
      <c r="DV173" s="401"/>
      <c r="DW173" s="401"/>
      <c r="DX173" s="401"/>
      <c r="DY173" s="401"/>
      <c r="DZ173" s="401"/>
      <c r="EA173" s="401"/>
      <c r="EB173" s="401"/>
      <c r="EC173" s="401"/>
      <c r="ED173" s="401"/>
      <c r="EE173" s="401"/>
      <c r="EF173" s="401"/>
      <c r="EG173" s="401"/>
      <c r="EH173" s="401"/>
      <c r="EI173" s="401"/>
      <c r="EJ173" s="401"/>
      <c r="EK173" s="401"/>
      <c r="EL173" s="401"/>
      <c r="EM173" s="401"/>
      <c r="EN173" s="401"/>
      <c r="EO173" s="401"/>
      <c r="EP173" s="401"/>
      <c r="EQ173" s="401"/>
      <c r="ER173" s="401"/>
      <c r="ES173" s="401"/>
      <c r="ET173" s="401"/>
      <c r="EU173" s="401"/>
      <c r="EV173" s="401"/>
      <c r="EW173" s="401"/>
      <c r="EX173" s="401"/>
      <c r="EY173" s="401"/>
      <c r="EZ173" s="401"/>
      <c r="FA173" s="401"/>
      <c r="FB173" s="401"/>
      <c r="FC173" s="401"/>
      <c r="FD173" s="401"/>
      <c r="FE173" s="401"/>
      <c r="FF173" s="401"/>
      <c r="FG173" s="401"/>
      <c r="FH173" s="401"/>
      <c r="FI173" s="401"/>
      <c r="FJ173" s="401"/>
      <c r="FK173" s="401"/>
      <c r="FL173" s="401"/>
      <c r="FM173" s="401"/>
      <c r="FN173" s="401"/>
      <c r="FO173" s="401"/>
      <c r="FP173" s="401"/>
      <c r="FQ173" s="401"/>
      <c r="FR173" s="401"/>
      <c r="FS173" s="401"/>
      <c r="FT173" s="401"/>
      <c r="FU173" s="401"/>
      <c r="FV173" s="401"/>
      <c r="FW173" s="401"/>
      <c r="FX173" s="401"/>
      <c r="FY173" s="401"/>
      <c r="FZ173" s="401"/>
      <c r="GA173" s="401"/>
      <c r="GB173" s="401"/>
      <c r="GC173" s="401"/>
      <c r="GD173" s="401"/>
      <c r="GE173" s="401"/>
      <c r="GF173" s="401"/>
      <c r="GG173" s="401"/>
      <c r="GH173" s="401"/>
      <c r="GI173" s="401"/>
      <c r="GJ173" s="401"/>
      <c r="GK173" s="401"/>
      <c r="GL173" s="401"/>
      <c r="GM173" s="401"/>
      <c r="GN173" s="401"/>
      <c r="GO173" s="401"/>
      <c r="GP173" s="401"/>
      <c r="GQ173" s="401"/>
      <c r="GR173" s="401"/>
      <c r="GS173" s="401"/>
      <c r="GT173" s="401"/>
      <c r="GU173" s="401"/>
      <c r="GV173" s="401"/>
      <c r="GW173" s="401"/>
      <c r="GX173" s="401"/>
      <c r="GY173" s="401"/>
      <c r="GZ173" s="401"/>
      <c r="HA173" s="401"/>
      <c r="HB173" s="401"/>
      <c r="HC173" s="401"/>
      <c r="HD173" s="401"/>
      <c r="HE173" s="401"/>
      <c r="HF173" s="401"/>
      <c r="HG173" s="401"/>
      <c r="HH173" s="401"/>
      <c r="HI173" s="401"/>
      <c r="HJ173" s="401"/>
      <c r="HK173" s="401"/>
      <c r="HL173" s="401"/>
      <c r="HM173" s="401"/>
      <c r="HN173" s="401"/>
      <c r="HO173" s="401"/>
      <c r="HP173" s="401"/>
      <c r="HQ173" s="401"/>
      <c r="HR173" s="401"/>
      <c r="HS173" s="401"/>
      <c r="HT173" s="401"/>
      <c r="HU173" s="401"/>
      <c r="HV173" s="401"/>
      <c r="HW173" s="401"/>
      <c r="HX173" s="401"/>
      <c r="HY173" s="401"/>
      <c r="HZ173" s="401"/>
      <c r="IA173" s="401"/>
    </row>
    <row r="174" spans="1:236" ht="15" customHeight="1" x14ac:dyDescent="0.3">
      <c r="A174" s="231">
        <v>7.02</v>
      </c>
      <c r="B174" s="288"/>
      <c r="C174" s="289" t="str">
        <f>VLOOKUP(BD.PD[[#This Row],[Pos]],PPto[],3,FALSE)</f>
        <v>7.02 Cocina, Patio Comidas y Rostizería</v>
      </c>
      <c r="D174" s="231" t="s">
        <v>22</v>
      </c>
      <c r="E174" s="291" t="str">
        <f>IF(BD.PD[[#This Row],[.]]="*",VLOOKUP(BD.PD[[#This Row],[Pos]],Presupuesto!A:H,7,FALSE),"")</f>
        <v/>
      </c>
      <c r="F174" s="292" t="s">
        <v>231</v>
      </c>
      <c r="G174" s="292" t="s">
        <v>578</v>
      </c>
      <c r="H174" s="358">
        <v>45921</v>
      </c>
      <c r="I174" s="359">
        <v>2</v>
      </c>
      <c r="J174" s="231" t="s">
        <v>581</v>
      </c>
      <c r="K174" s="294">
        <f>IF(BD.PD[[#This Row],[Mon]]="DOP",1,HLOOKUP(BD.PD[[#This Row],[Mon]],$J$1:$K$2,2,FALSE))</f>
        <v>1</v>
      </c>
      <c r="L174" s="360">
        <v>400</v>
      </c>
      <c r="M174" s="296">
        <f>BD.PD[[#This Row],[Cant.]]*BD.PD[[#This Row],[ Tasa ]]*BD.PD[[#This Row],[ Precio Und.]]</f>
        <v>800</v>
      </c>
      <c r="N174" s="361">
        <v>0</v>
      </c>
      <c r="O174" s="296">
        <f>IF(BD.PD[[#This Row],[Liquid. '[%']]]&lt;&gt;0,(BD.PD[[#This Row],[Valor Neto '[DOP']]]*BD.PD[[#This Row],[Liquid. '[%']]])+BD.PD[[#This Row],[Valor Neto '[DOP']]],BD.PD[[#This Row],[Valor Neto '[DOP']]])</f>
        <v>800</v>
      </c>
      <c r="P174" s="306">
        <f>BD.PD[[#This Row],[Ppto. Orden Interna '[DOP']]]/HLOOKUP("USD",$J$1:$K$2,2,FALSE)</f>
        <v>12.698412698412698</v>
      </c>
      <c r="Q174" s="299" t="s">
        <v>677</v>
      </c>
      <c r="R174" s="307" t="s">
        <v>642</v>
      </c>
      <c r="S174" s="300">
        <v>21</v>
      </c>
      <c r="T174" s="301">
        <v>1</v>
      </c>
      <c r="U174" s="308">
        <f>BD.PD[[#This Row],[Av.P1 '[%']]]*BD.PD[[#This Row],[Ppto. Orden Interna '[DOP']]]</f>
        <v>800</v>
      </c>
      <c r="V174" s="303"/>
      <c r="W174" s="304"/>
      <c r="X174" s="308">
        <f>BD.PD[[#This Row],[Av.P2 '[%']]]*BD.PD[[#This Row],[Ppto. Orden Interna '[DOP']]]</f>
        <v>0</v>
      </c>
      <c r="Y174" s="303"/>
      <c r="Z174" s="304"/>
      <c r="AA174" s="308">
        <f>BD.PD[[#This Row],[Av.P3 '[%']]]*BD.PD[[#This Row],[Ppto. Orden Interna '[DOP']]]</f>
        <v>0</v>
      </c>
      <c r="AB174" s="303"/>
      <c r="AC174" s="304"/>
      <c r="AD174" s="308">
        <f>BD.PD[[#This Row],[Av.P4 '[%']]]*BD.PD[[#This Row],[Ppto. Orden Interna '[DOP']]]</f>
        <v>0</v>
      </c>
      <c r="AE174" s="303"/>
      <c r="AF174" s="304"/>
      <c r="AG174" s="308">
        <f>BD.PD[[#This Row],[Av.P5 '[%']]]*BD.PD[[#This Row],[Ppto. Orden Interna '[DOP']]]</f>
        <v>0</v>
      </c>
      <c r="AH174" s="305">
        <f>BD.PD[[#This Row],[Pago 5]]+BD.PD[[#This Row],[Pago 4]]+BD.PD[[#This Row],[Pago 3]]+BD.PD[[#This Row],[Pago 2]]+BD.PD[[#This Row],[Pago 1]]</f>
        <v>800</v>
      </c>
      <c r="AI174" s="404"/>
      <c r="IB174" s="275"/>
    </row>
    <row r="175" spans="1:236" ht="15" customHeight="1" x14ac:dyDescent="0.3">
      <c r="A175" s="231">
        <v>7.02</v>
      </c>
      <c r="B175" s="288"/>
      <c r="C175" s="289" t="str">
        <f>VLOOKUP(BD.PD[[#This Row],[Pos]],PPto[],3,FALSE)</f>
        <v>7.02 Cocina, Patio Comidas y Rostizería</v>
      </c>
      <c r="D175" s="231" t="s">
        <v>22</v>
      </c>
      <c r="E175" s="291" t="str">
        <f>IF(BD.PD[[#This Row],[.]]="*",VLOOKUP(BD.PD[[#This Row],[Pos]],Presupuesto!A:H,7,FALSE),"")</f>
        <v/>
      </c>
      <c r="F175" s="292" t="s">
        <v>214</v>
      </c>
      <c r="G175" s="292" t="s">
        <v>578</v>
      </c>
      <c r="H175" s="358">
        <v>45921</v>
      </c>
      <c r="I175" s="359">
        <v>2</v>
      </c>
      <c r="J175" s="231" t="s">
        <v>581</v>
      </c>
      <c r="K175" s="294">
        <f>IF(BD.PD[[#This Row],[Mon]]="DOP",1,HLOOKUP(BD.PD[[#This Row],[Mon]],$J$1:$K$2,2,FALSE))</f>
        <v>1</v>
      </c>
      <c r="L175" s="360">
        <v>600</v>
      </c>
      <c r="M175" s="296">
        <f>BD.PD[[#This Row],[Cant.]]*BD.PD[[#This Row],[ Tasa ]]*BD.PD[[#This Row],[ Precio Und.]]</f>
        <v>1200</v>
      </c>
      <c r="N175" s="361">
        <v>0</v>
      </c>
      <c r="O175" s="296">
        <f>IF(BD.PD[[#This Row],[Liquid. '[%']]]&lt;&gt;0,(BD.PD[[#This Row],[Valor Neto '[DOP']]]*BD.PD[[#This Row],[Liquid. '[%']]])+BD.PD[[#This Row],[Valor Neto '[DOP']]],BD.PD[[#This Row],[Valor Neto '[DOP']]])</f>
        <v>1200</v>
      </c>
      <c r="P175" s="306">
        <f>BD.PD[[#This Row],[Ppto. Orden Interna '[DOP']]]/HLOOKUP("USD",$J$1:$K$2,2,FALSE)</f>
        <v>19.047619047619047</v>
      </c>
      <c r="Q175" s="299" t="s">
        <v>677</v>
      </c>
      <c r="R175" s="307" t="s">
        <v>642</v>
      </c>
      <c r="S175" s="300">
        <v>21</v>
      </c>
      <c r="T175" s="301">
        <v>1</v>
      </c>
      <c r="U175" s="308">
        <f>BD.PD[[#This Row],[Av.P1 '[%']]]*BD.PD[[#This Row],[Ppto. Orden Interna '[DOP']]]</f>
        <v>1200</v>
      </c>
      <c r="V175" s="303"/>
      <c r="W175" s="304"/>
      <c r="X175" s="308">
        <f>BD.PD[[#This Row],[Av.P2 '[%']]]*BD.PD[[#This Row],[Ppto. Orden Interna '[DOP']]]</f>
        <v>0</v>
      </c>
      <c r="Y175" s="303"/>
      <c r="Z175" s="304"/>
      <c r="AA175" s="308">
        <f>BD.PD[[#This Row],[Av.P3 '[%']]]*BD.PD[[#This Row],[Ppto. Orden Interna '[DOP']]]</f>
        <v>0</v>
      </c>
      <c r="AB175" s="303"/>
      <c r="AC175" s="304"/>
      <c r="AD175" s="308">
        <f>BD.PD[[#This Row],[Av.P4 '[%']]]*BD.PD[[#This Row],[Ppto. Orden Interna '[DOP']]]</f>
        <v>0</v>
      </c>
      <c r="AE175" s="303"/>
      <c r="AF175" s="304"/>
      <c r="AG175" s="308">
        <f>BD.PD[[#This Row],[Av.P5 '[%']]]*BD.PD[[#This Row],[Ppto. Orden Interna '[DOP']]]</f>
        <v>0</v>
      </c>
      <c r="AH175" s="305">
        <f>BD.PD[[#This Row],[Pago 5]]+BD.PD[[#This Row],[Pago 4]]+BD.PD[[#This Row],[Pago 3]]+BD.PD[[#This Row],[Pago 2]]+BD.PD[[#This Row],[Pago 1]]</f>
        <v>1200</v>
      </c>
      <c r="AI175" s="404"/>
      <c r="IB175" s="275"/>
    </row>
    <row r="176" spans="1:236" ht="15" customHeight="1" x14ac:dyDescent="0.3">
      <c r="A176" s="231">
        <v>7.02</v>
      </c>
      <c r="B176" s="288"/>
      <c r="C176" s="289" t="str">
        <f>VLOOKUP(BD.PD[[#This Row],[Pos]],PPto[],3,FALSE)</f>
        <v>7.02 Cocina, Patio Comidas y Rostizería</v>
      </c>
      <c r="D176" s="231" t="s">
        <v>22</v>
      </c>
      <c r="E176" s="291" t="str">
        <f>IF(BD.PD[[#This Row],[.]]="*",VLOOKUP(BD.PD[[#This Row],[Pos]],Presupuesto!A:H,7,FALSE),"")</f>
        <v/>
      </c>
      <c r="F176" s="292" t="s">
        <v>199</v>
      </c>
      <c r="G176" s="292" t="s">
        <v>578</v>
      </c>
      <c r="H176" s="358">
        <v>45921</v>
      </c>
      <c r="I176" s="359">
        <v>2</v>
      </c>
      <c r="J176" s="231" t="s">
        <v>581</v>
      </c>
      <c r="K176" s="294">
        <f>IF(BD.PD[[#This Row],[Mon]]="DOP",1,HLOOKUP(BD.PD[[#This Row],[Mon]],$J$1:$K$2,2,FALSE))</f>
        <v>1</v>
      </c>
      <c r="L176" s="360">
        <v>250</v>
      </c>
      <c r="M176" s="296">
        <f>BD.PD[[#This Row],[Cant.]]*BD.PD[[#This Row],[ Tasa ]]*BD.PD[[#This Row],[ Precio Und.]]</f>
        <v>500</v>
      </c>
      <c r="N176" s="361">
        <v>0</v>
      </c>
      <c r="O176" s="296">
        <f>IF(BD.PD[[#This Row],[Liquid. '[%']]]&lt;&gt;0,(BD.PD[[#This Row],[Valor Neto '[DOP']]]*BD.PD[[#This Row],[Liquid. '[%']]])+BD.PD[[#This Row],[Valor Neto '[DOP']]],BD.PD[[#This Row],[Valor Neto '[DOP']]])</f>
        <v>500</v>
      </c>
      <c r="P176" s="306">
        <f>BD.PD[[#This Row],[Ppto. Orden Interna '[DOP']]]/HLOOKUP("USD",$J$1:$K$2,2,FALSE)</f>
        <v>7.9365079365079367</v>
      </c>
      <c r="Q176" s="299" t="s">
        <v>677</v>
      </c>
      <c r="R176" s="307" t="s">
        <v>642</v>
      </c>
      <c r="S176" s="300">
        <v>21</v>
      </c>
      <c r="T176" s="301">
        <v>1</v>
      </c>
      <c r="U176" s="308">
        <f>BD.PD[[#This Row],[Av.P1 '[%']]]*BD.PD[[#This Row],[Ppto. Orden Interna '[DOP']]]</f>
        <v>500</v>
      </c>
      <c r="V176" s="303"/>
      <c r="W176" s="304"/>
      <c r="X176" s="308">
        <f>BD.PD[[#This Row],[Av.P2 '[%']]]*BD.PD[[#This Row],[Ppto. Orden Interna '[DOP']]]</f>
        <v>0</v>
      </c>
      <c r="Y176" s="303"/>
      <c r="Z176" s="304"/>
      <c r="AA176" s="308">
        <f>BD.PD[[#This Row],[Av.P3 '[%']]]*BD.PD[[#This Row],[Ppto. Orden Interna '[DOP']]]</f>
        <v>0</v>
      </c>
      <c r="AB176" s="303"/>
      <c r="AC176" s="304"/>
      <c r="AD176" s="308">
        <f>BD.PD[[#This Row],[Av.P4 '[%']]]*BD.PD[[#This Row],[Ppto. Orden Interna '[DOP']]]</f>
        <v>0</v>
      </c>
      <c r="AE176" s="303"/>
      <c r="AF176" s="304"/>
      <c r="AG176" s="308">
        <f>BD.PD[[#This Row],[Av.P5 '[%']]]*BD.PD[[#This Row],[Ppto. Orden Interna '[DOP']]]</f>
        <v>0</v>
      </c>
      <c r="AH176" s="305">
        <f>BD.PD[[#This Row],[Pago 5]]+BD.PD[[#This Row],[Pago 4]]+BD.PD[[#This Row],[Pago 3]]+BD.PD[[#This Row],[Pago 2]]+BD.PD[[#This Row],[Pago 1]]</f>
        <v>500</v>
      </c>
      <c r="AI176" s="404"/>
      <c r="IB176" s="275"/>
    </row>
    <row r="177" spans="1:236" ht="15" customHeight="1" x14ac:dyDescent="0.3">
      <c r="A177" s="231">
        <v>7.02</v>
      </c>
      <c r="B177" s="288"/>
      <c r="C177" s="289" t="str">
        <f>VLOOKUP(BD.PD[[#This Row],[Pos]],PPto[],3,FALSE)</f>
        <v>7.02 Cocina, Patio Comidas y Rostizería</v>
      </c>
      <c r="D177" s="231" t="s">
        <v>22</v>
      </c>
      <c r="E177" s="291" t="str">
        <f>IF(BD.PD[[#This Row],[.]]="*",VLOOKUP(BD.PD[[#This Row],[Pos]],Presupuesto!A:H,7,FALSE),"")</f>
        <v/>
      </c>
      <c r="F177" s="292" t="s">
        <v>247</v>
      </c>
      <c r="G177" s="292" t="s">
        <v>578</v>
      </c>
      <c r="H177" s="358">
        <v>45921</v>
      </c>
      <c r="I177" s="359">
        <v>4</v>
      </c>
      <c r="J177" s="231" t="s">
        <v>581</v>
      </c>
      <c r="K177" s="294">
        <f>IF(BD.PD[[#This Row],[Mon]]="DOP",1,HLOOKUP(BD.PD[[#This Row],[Mon]],$J$1:$K$2,2,FALSE))</f>
        <v>1</v>
      </c>
      <c r="L177" s="360">
        <v>1450</v>
      </c>
      <c r="M177" s="296">
        <f>BD.PD[[#This Row],[Cant.]]*BD.PD[[#This Row],[ Tasa ]]*BD.PD[[#This Row],[ Precio Und.]]</f>
        <v>5800</v>
      </c>
      <c r="N177" s="361">
        <v>0</v>
      </c>
      <c r="O177" s="296">
        <f>IF(BD.PD[[#This Row],[Liquid. '[%']]]&lt;&gt;0,(BD.PD[[#This Row],[Valor Neto '[DOP']]]*BD.PD[[#This Row],[Liquid. '[%']]])+BD.PD[[#This Row],[Valor Neto '[DOP']]],BD.PD[[#This Row],[Valor Neto '[DOP']]])</f>
        <v>5800</v>
      </c>
      <c r="P177" s="306">
        <f>BD.PD[[#This Row],[Ppto. Orden Interna '[DOP']]]/HLOOKUP("USD",$J$1:$K$2,2,FALSE)</f>
        <v>92.063492063492063</v>
      </c>
      <c r="Q177" s="299" t="s">
        <v>677</v>
      </c>
      <c r="R177" s="307" t="s">
        <v>642</v>
      </c>
      <c r="S177" s="300">
        <v>21</v>
      </c>
      <c r="T177" s="301">
        <v>1</v>
      </c>
      <c r="U177" s="308">
        <f>BD.PD[[#This Row],[Av.P1 '[%']]]*BD.PD[[#This Row],[Ppto. Orden Interna '[DOP']]]</f>
        <v>5800</v>
      </c>
      <c r="V177" s="303"/>
      <c r="W177" s="304"/>
      <c r="X177" s="308">
        <f>BD.PD[[#This Row],[Av.P2 '[%']]]*BD.PD[[#This Row],[Ppto. Orden Interna '[DOP']]]</f>
        <v>0</v>
      </c>
      <c r="Y177" s="303"/>
      <c r="Z177" s="304"/>
      <c r="AA177" s="308">
        <f>BD.PD[[#This Row],[Av.P3 '[%']]]*BD.PD[[#This Row],[Ppto. Orden Interna '[DOP']]]</f>
        <v>0</v>
      </c>
      <c r="AB177" s="303"/>
      <c r="AC177" s="304"/>
      <c r="AD177" s="308">
        <f>BD.PD[[#This Row],[Av.P4 '[%']]]*BD.PD[[#This Row],[Ppto. Orden Interna '[DOP']]]</f>
        <v>0</v>
      </c>
      <c r="AE177" s="303"/>
      <c r="AF177" s="304"/>
      <c r="AG177" s="308">
        <f>BD.PD[[#This Row],[Av.P5 '[%']]]*BD.PD[[#This Row],[Ppto. Orden Interna '[DOP']]]</f>
        <v>0</v>
      </c>
      <c r="AH177" s="305">
        <f>BD.PD[[#This Row],[Pago 5]]+BD.PD[[#This Row],[Pago 4]]+BD.PD[[#This Row],[Pago 3]]+BD.PD[[#This Row],[Pago 2]]+BD.PD[[#This Row],[Pago 1]]</f>
        <v>5800</v>
      </c>
      <c r="AI177" s="404"/>
      <c r="IB177" s="275"/>
    </row>
    <row r="178" spans="1:236" ht="15" customHeight="1" x14ac:dyDescent="0.3">
      <c r="A178" s="231">
        <v>7.02</v>
      </c>
      <c r="B178" s="288"/>
      <c r="C178" s="289" t="str">
        <f>VLOOKUP(BD.PD[[#This Row],[Pos]],PPto[],3,FALSE)</f>
        <v>7.02 Cocina, Patio Comidas y Rostizería</v>
      </c>
      <c r="D178" s="231" t="s">
        <v>22</v>
      </c>
      <c r="E178" s="291" t="str">
        <f>IF(BD.PD[[#This Row],[.]]="*",VLOOKUP(BD.PD[[#This Row],[Pos]],Presupuesto!A:H,7,FALSE),"")</f>
        <v/>
      </c>
      <c r="F178" s="292" t="s">
        <v>246</v>
      </c>
      <c r="G178" s="292" t="s">
        <v>578</v>
      </c>
      <c r="H178" s="358">
        <v>45921</v>
      </c>
      <c r="I178" s="359">
        <v>2</v>
      </c>
      <c r="J178" s="231" t="s">
        <v>581</v>
      </c>
      <c r="K178" s="294">
        <f>IF(BD.PD[[#This Row],[Mon]]="DOP",1,HLOOKUP(BD.PD[[#This Row],[Mon]],$J$1:$K$2,2,FALSE))</f>
        <v>1</v>
      </c>
      <c r="L178" s="360">
        <v>1450</v>
      </c>
      <c r="M178" s="296">
        <f>BD.PD[[#This Row],[Cant.]]*BD.PD[[#This Row],[ Tasa ]]*BD.PD[[#This Row],[ Precio Und.]]</f>
        <v>2900</v>
      </c>
      <c r="N178" s="361">
        <v>0</v>
      </c>
      <c r="O178" s="296">
        <f>IF(BD.PD[[#This Row],[Liquid. '[%']]]&lt;&gt;0,(BD.PD[[#This Row],[Valor Neto '[DOP']]]*BD.PD[[#This Row],[Liquid. '[%']]])+BD.PD[[#This Row],[Valor Neto '[DOP']]],BD.PD[[#This Row],[Valor Neto '[DOP']]])</f>
        <v>2900</v>
      </c>
      <c r="P178" s="306">
        <f>BD.PD[[#This Row],[Ppto. Orden Interna '[DOP']]]/HLOOKUP("USD",$J$1:$K$2,2,FALSE)</f>
        <v>46.031746031746032</v>
      </c>
      <c r="Q178" s="299" t="s">
        <v>677</v>
      </c>
      <c r="R178" s="307" t="s">
        <v>642</v>
      </c>
      <c r="S178" s="300">
        <v>21</v>
      </c>
      <c r="T178" s="301">
        <v>1</v>
      </c>
      <c r="U178" s="308">
        <f>BD.PD[[#This Row],[Av.P1 '[%']]]*BD.PD[[#This Row],[Ppto. Orden Interna '[DOP']]]</f>
        <v>2900</v>
      </c>
      <c r="V178" s="303"/>
      <c r="W178" s="304"/>
      <c r="X178" s="308">
        <f>BD.PD[[#This Row],[Av.P2 '[%']]]*BD.PD[[#This Row],[Ppto. Orden Interna '[DOP']]]</f>
        <v>0</v>
      </c>
      <c r="Y178" s="303"/>
      <c r="Z178" s="304"/>
      <c r="AA178" s="308">
        <f>BD.PD[[#This Row],[Av.P3 '[%']]]*BD.PD[[#This Row],[Ppto. Orden Interna '[DOP']]]</f>
        <v>0</v>
      </c>
      <c r="AB178" s="303"/>
      <c r="AC178" s="304"/>
      <c r="AD178" s="308">
        <f>BD.PD[[#This Row],[Av.P4 '[%']]]*BD.PD[[#This Row],[Ppto. Orden Interna '[DOP']]]</f>
        <v>0</v>
      </c>
      <c r="AE178" s="303"/>
      <c r="AF178" s="304"/>
      <c r="AG178" s="308">
        <f>BD.PD[[#This Row],[Av.P5 '[%']]]*BD.PD[[#This Row],[Ppto. Orden Interna '[DOP']]]</f>
        <v>0</v>
      </c>
      <c r="AH178" s="305">
        <f>BD.PD[[#This Row],[Pago 5]]+BD.PD[[#This Row],[Pago 4]]+BD.PD[[#This Row],[Pago 3]]+BD.PD[[#This Row],[Pago 2]]+BD.PD[[#This Row],[Pago 1]]</f>
        <v>2900</v>
      </c>
      <c r="AI178" s="404"/>
      <c r="IB178" s="275"/>
    </row>
    <row r="179" spans="1:236" ht="15" customHeight="1" x14ac:dyDescent="0.3">
      <c r="A179" s="231">
        <v>7.02</v>
      </c>
      <c r="B179" s="288"/>
      <c r="C179" s="289" t="str">
        <f>VLOOKUP(BD.PD[[#This Row],[Pos]],PPto[],3,FALSE)</f>
        <v>7.02 Cocina, Patio Comidas y Rostizería</v>
      </c>
      <c r="D179" s="231" t="s">
        <v>22</v>
      </c>
      <c r="E179" s="291" t="str">
        <f>IF(BD.PD[[#This Row],[.]]="*",VLOOKUP(BD.PD[[#This Row],[Pos]],Presupuesto!A:H,7,FALSE),"")</f>
        <v/>
      </c>
      <c r="F179" s="292" t="s">
        <v>229</v>
      </c>
      <c r="G179" s="292" t="s">
        <v>578</v>
      </c>
      <c r="H179" s="358">
        <v>45921</v>
      </c>
      <c r="I179" s="359">
        <v>1</v>
      </c>
      <c r="J179" s="231" t="s">
        <v>581</v>
      </c>
      <c r="K179" s="294">
        <f>IF(BD.PD[[#This Row],[Mon]]="DOP",1,HLOOKUP(BD.PD[[#This Row],[Mon]],$J$1:$K$2,2,FALSE))</f>
        <v>1</v>
      </c>
      <c r="L179" s="360">
        <v>3050</v>
      </c>
      <c r="M179" s="296">
        <f>BD.PD[[#This Row],[Cant.]]*BD.PD[[#This Row],[ Tasa ]]*BD.PD[[#This Row],[ Precio Und.]]</f>
        <v>3050</v>
      </c>
      <c r="N179" s="361">
        <v>0</v>
      </c>
      <c r="O179" s="296">
        <f>IF(BD.PD[[#This Row],[Liquid. '[%']]]&lt;&gt;0,(BD.PD[[#This Row],[Valor Neto '[DOP']]]*BD.PD[[#This Row],[Liquid. '[%']]])+BD.PD[[#This Row],[Valor Neto '[DOP']]],BD.PD[[#This Row],[Valor Neto '[DOP']]])</f>
        <v>3050</v>
      </c>
      <c r="P179" s="306">
        <f>BD.PD[[#This Row],[Ppto. Orden Interna '[DOP']]]/HLOOKUP("USD",$J$1:$K$2,2,FALSE)</f>
        <v>48.412698412698411</v>
      </c>
      <c r="Q179" s="299" t="s">
        <v>677</v>
      </c>
      <c r="R179" s="307" t="s">
        <v>642</v>
      </c>
      <c r="S179" s="300">
        <v>21</v>
      </c>
      <c r="T179" s="301">
        <v>1</v>
      </c>
      <c r="U179" s="308">
        <f>BD.PD[[#This Row],[Av.P1 '[%']]]*BD.PD[[#This Row],[Ppto. Orden Interna '[DOP']]]</f>
        <v>3050</v>
      </c>
      <c r="V179" s="303"/>
      <c r="W179" s="304"/>
      <c r="X179" s="308">
        <f>BD.PD[[#This Row],[Av.P2 '[%']]]*BD.PD[[#This Row],[Ppto. Orden Interna '[DOP']]]</f>
        <v>0</v>
      </c>
      <c r="Y179" s="303"/>
      <c r="Z179" s="304"/>
      <c r="AA179" s="308">
        <f>BD.PD[[#This Row],[Av.P3 '[%']]]*BD.PD[[#This Row],[Ppto. Orden Interna '[DOP']]]</f>
        <v>0</v>
      </c>
      <c r="AB179" s="303"/>
      <c r="AC179" s="304"/>
      <c r="AD179" s="308">
        <f>BD.PD[[#This Row],[Av.P4 '[%']]]*BD.PD[[#This Row],[Ppto. Orden Interna '[DOP']]]</f>
        <v>0</v>
      </c>
      <c r="AE179" s="303"/>
      <c r="AF179" s="304"/>
      <c r="AG179" s="308">
        <f>BD.PD[[#This Row],[Av.P5 '[%']]]*BD.PD[[#This Row],[Ppto. Orden Interna '[DOP']]]</f>
        <v>0</v>
      </c>
      <c r="AH179" s="305">
        <f>BD.PD[[#This Row],[Pago 5]]+BD.PD[[#This Row],[Pago 4]]+BD.PD[[#This Row],[Pago 3]]+BD.PD[[#This Row],[Pago 2]]+BD.PD[[#This Row],[Pago 1]]</f>
        <v>3050</v>
      </c>
      <c r="AI179" s="404"/>
      <c r="IB179" s="275"/>
    </row>
    <row r="180" spans="1:236" ht="15" customHeight="1" x14ac:dyDescent="0.3">
      <c r="A180" s="231">
        <v>7.02</v>
      </c>
      <c r="B180" s="288"/>
      <c r="C180" s="289" t="str">
        <f>VLOOKUP(BD.PD[[#This Row],[Pos]],PPto[],3,FALSE)</f>
        <v>7.02 Cocina, Patio Comidas y Rostizería</v>
      </c>
      <c r="D180" s="231" t="s">
        <v>22</v>
      </c>
      <c r="E180" s="291" t="str">
        <f>IF(BD.PD[[#This Row],[.]]="*",VLOOKUP(BD.PD[[#This Row],[Pos]],Presupuesto!A:H,7,FALSE),"")</f>
        <v/>
      </c>
      <c r="F180" s="292" t="s">
        <v>222</v>
      </c>
      <c r="G180" s="292" t="s">
        <v>578</v>
      </c>
      <c r="H180" s="358">
        <v>45921</v>
      </c>
      <c r="I180" s="359">
        <v>4</v>
      </c>
      <c r="J180" s="231" t="s">
        <v>581</v>
      </c>
      <c r="K180" s="294">
        <f>IF(BD.PD[[#This Row],[Mon]]="DOP",1,HLOOKUP(BD.PD[[#This Row],[Mon]],$J$1:$K$2,2,FALSE))</f>
        <v>1</v>
      </c>
      <c r="L180" s="360">
        <v>1650</v>
      </c>
      <c r="M180" s="296">
        <f>BD.PD[[#This Row],[Cant.]]*BD.PD[[#This Row],[ Tasa ]]*BD.PD[[#This Row],[ Precio Und.]]</f>
        <v>6600</v>
      </c>
      <c r="N180" s="361">
        <v>0</v>
      </c>
      <c r="O180" s="296">
        <f>IF(BD.PD[[#This Row],[Liquid. '[%']]]&lt;&gt;0,(BD.PD[[#This Row],[Valor Neto '[DOP']]]*BD.PD[[#This Row],[Liquid. '[%']]])+BD.PD[[#This Row],[Valor Neto '[DOP']]],BD.PD[[#This Row],[Valor Neto '[DOP']]])</f>
        <v>6600</v>
      </c>
      <c r="P180" s="306">
        <f>BD.PD[[#This Row],[Ppto. Orden Interna '[DOP']]]/HLOOKUP("USD",$J$1:$K$2,2,FALSE)</f>
        <v>104.76190476190476</v>
      </c>
      <c r="Q180" s="299" t="s">
        <v>677</v>
      </c>
      <c r="R180" s="307" t="s">
        <v>642</v>
      </c>
      <c r="S180" s="300">
        <v>21</v>
      </c>
      <c r="T180" s="301">
        <v>1</v>
      </c>
      <c r="U180" s="308">
        <f>BD.PD[[#This Row],[Av.P1 '[%']]]*BD.PD[[#This Row],[Ppto. Orden Interna '[DOP']]]</f>
        <v>6600</v>
      </c>
      <c r="V180" s="303"/>
      <c r="W180" s="304"/>
      <c r="X180" s="308">
        <f>BD.PD[[#This Row],[Av.P2 '[%']]]*BD.PD[[#This Row],[Ppto. Orden Interna '[DOP']]]</f>
        <v>0</v>
      </c>
      <c r="Y180" s="303"/>
      <c r="Z180" s="304"/>
      <c r="AA180" s="308">
        <f>BD.PD[[#This Row],[Av.P3 '[%']]]*BD.PD[[#This Row],[Ppto. Orden Interna '[DOP']]]</f>
        <v>0</v>
      </c>
      <c r="AB180" s="303"/>
      <c r="AC180" s="304"/>
      <c r="AD180" s="308">
        <f>BD.PD[[#This Row],[Av.P4 '[%']]]*BD.PD[[#This Row],[Ppto. Orden Interna '[DOP']]]</f>
        <v>0</v>
      </c>
      <c r="AE180" s="303"/>
      <c r="AF180" s="304"/>
      <c r="AG180" s="308">
        <f>BD.PD[[#This Row],[Av.P5 '[%']]]*BD.PD[[#This Row],[Ppto. Orden Interna '[DOP']]]</f>
        <v>0</v>
      </c>
      <c r="AH180" s="305">
        <f>BD.PD[[#This Row],[Pago 5]]+BD.PD[[#This Row],[Pago 4]]+BD.PD[[#This Row],[Pago 3]]+BD.PD[[#This Row],[Pago 2]]+BD.PD[[#This Row],[Pago 1]]</f>
        <v>6600</v>
      </c>
      <c r="AI180" s="404"/>
      <c r="IB180" s="275"/>
    </row>
    <row r="181" spans="1:236" ht="15" customHeight="1" x14ac:dyDescent="0.3">
      <c r="A181" s="231">
        <v>7.02</v>
      </c>
      <c r="B181" s="288"/>
      <c r="C181" s="289" t="str">
        <f>VLOOKUP(BD.PD[[#This Row],[Pos]],PPto[],3,FALSE)</f>
        <v>7.02 Cocina, Patio Comidas y Rostizería</v>
      </c>
      <c r="D181" s="231" t="s">
        <v>22</v>
      </c>
      <c r="E181" s="291" t="str">
        <f>IF(BD.PD[[#This Row],[.]]="*",VLOOKUP(BD.PD[[#This Row],[Pos]],Presupuesto!A:H,7,FALSE),"")</f>
        <v/>
      </c>
      <c r="F181" s="292" t="s">
        <v>220</v>
      </c>
      <c r="G181" s="292" t="s">
        <v>578</v>
      </c>
      <c r="H181" s="358">
        <v>45921</v>
      </c>
      <c r="I181" s="359">
        <v>2</v>
      </c>
      <c r="J181" s="231" t="s">
        <v>581</v>
      </c>
      <c r="K181" s="294">
        <f>IF(BD.PD[[#This Row],[Mon]]="DOP",1,HLOOKUP(BD.PD[[#This Row],[Mon]],$J$1:$K$2,2,FALSE))</f>
        <v>1</v>
      </c>
      <c r="L181" s="360">
        <v>3200</v>
      </c>
      <c r="M181" s="296">
        <f>BD.PD[[#This Row],[Cant.]]*BD.PD[[#This Row],[ Tasa ]]*BD.PD[[#This Row],[ Precio Und.]]</f>
        <v>6400</v>
      </c>
      <c r="N181" s="361">
        <v>0</v>
      </c>
      <c r="O181" s="296">
        <f>IF(BD.PD[[#This Row],[Liquid. '[%']]]&lt;&gt;0,(BD.PD[[#This Row],[Valor Neto '[DOP']]]*BD.PD[[#This Row],[Liquid. '[%']]])+BD.PD[[#This Row],[Valor Neto '[DOP']]],BD.PD[[#This Row],[Valor Neto '[DOP']]])</f>
        <v>6400</v>
      </c>
      <c r="P181" s="306">
        <f>BD.PD[[#This Row],[Ppto. Orden Interna '[DOP']]]/HLOOKUP("USD",$J$1:$K$2,2,FALSE)</f>
        <v>101.58730158730158</v>
      </c>
      <c r="Q181" s="299" t="s">
        <v>677</v>
      </c>
      <c r="R181" s="307" t="s">
        <v>642</v>
      </c>
      <c r="S181" s="300">
        <v>21</v>
      </c>
      <c r="T181" s="301">
        <v>1</v>
      </c>
      <c r="U181" s="308">
        <f>BD.PD[[#This Row],[Av.P1 '[%']]]*BD.PD[[#This Row],[Ppto. Orden Interna '[DOP']]]</f>
        <v>6400</v>
      </c>
      <c r="V181" s="303"/>
      <c r="W181" s="304"/>
      <c r="X181" s="308">
        <f>BD.PD[[#This Row],[Av.P2 '[%']]]*BD.PD[[#This Row],[Ppto. Orden Interna '[DOP']]]</f>
        <v>0</v>
      </c>
      <c r="Y181" s="303"/>
      <c r="Z181" s="304"/>
      <c r="AA181" s="308">
        <f>BD.PD[[#This Row],[Av.P3 '[%']]]*BD.PD[[#This Row],[Ppto. Orden Interna '[DOP']]]</f>
        <v>0</v>
      </c>
      <c r="AB181" s="303"/>
      <c r="AC181" s="304"/>
      <c r="AD181" s="308">
        <f>BD.PD[[#This Row],[Av.P4 '[%']]]*BD.PD[[#This Row],[Ppto. Orden Interna '[DOP']]]</f>
        <v>0</v>
      </c>
      <c r="AE181" s="303"/>
      <c r="AF181" s="304"/>
      <c r="AG181" s="308">
        <f>BD.PD[[#This Row],[Av.P5 '[%']]]*BD.PD[[#This Row],[Ppto. Orden Interna '[DOP']]]</f>
        <v>0</v>
      </c>
      <c r="AH181" s="305">
        <f>BD.PD[[#This Row],[Pago 5]]+BD.PD[[#This Row],[Pago 4]]+BD.PD[[#This Row],[Pago 3]]+BD.PD[[#This Row],[Pago 2]]+BD.PD[[#This Row],[Pago 1]]</f>
        <v>6400</v>
      </c>
      <c r="AI181" s="404"/>
      <c r="IB181" s="275"/>
    </row>
    <row r="182" spans="1:236" ht="15" customHeight="1" x14ac:dyDescent="0.3">
      <c r="A182" s="231">
        <v>7.02</v>
      </c>
      <c r="B182" s="288"/>
      <c r="C182" s="289" t="str">
        <f>VLOOKUP(BD.PD[[#This Row],[Pos]],PPto[],3,FALSE)</f>
        <v>7.02 Cocina, Patio Comidas y Rostizería</v>
      </c>
      <c r="D182" s="231" t="s">
        <v>22</v>
      </c>
      <c r="E182" s="291" t="str">
        <f>IF(BD.PD[[#This Row],[.]]="*",VLOOKUP(BD.PD[[#This Row],[Pos]],Presupuesto!A:H,7,FALSE),"")</f>
        <v/>
      </c>
      <c r="F182" s="292" t="s">
        <v>213</v>
      </c>
      <c r="G182" s="292" t="s">
        <v>578</v>
      </c>
      <c r="H182" s="358">
        <v>45921</v>
      </c>
      <c r="I182" s="359">
        <v>3</v>
      </c>
      <c r="J182" s="231" t="s">
        <v>581</v>
      </c>
      <c r="K182" s="294">
        <f>IF(BD.PD[[#This Row],[Mon]]="DOP",1,HLOOKUP(BD.PD[[#This Row],[Mon]],$J$1:$K$2,2,FALSE))</f>
        <v>1</v>
      </c>
      <c r="L182" s="360">
        <v>690</v>
      </c>
      <c r="M182" s="296">
        <f>BD.PD[[#This Row],[Cant.]]*BD.PD[[#This Row],[ Tasa ]]*BD.PD[[#This Row],[ Precio Und.]]</f>
        <v>2070</v>
      </c>
      <c r="N182" s="361">
        <v>0</v>
      </c>
      <c r="O182" s="296">
        <f>IF(BD.PD[[#This Row],[Liquid. '[%']]]&lt;&gt;0,(BD.PD[[#This Row],[Valor Neto '[DOP']]]*BD.PD[[#This Row],[Liquid. '[%']]])+BD.PD[[#This Row],[Valor Neto '[DOP']]],BD.PD[[#This Row],[Valor Neto '[DOP']]])</f>
        <v>2070</v>
      </c>
      <c r="P182" s="306">
        <f>BD.PD[[#This Row],[Ppto. Orden Interna '[DOP']]]/HLOOKUP("USD",$J$1:$K$2,2,FALSE)</f>
        <v>32.857142857142854</v>
      </c>
      <c r="Q182" s="299" t="s">
        <v>677</v>
      </c>
      <c r="R182" s="307" t="s">
        <v>642</v>
      </c>
      <c r="S182" s="300">
        <v>21</v>
      </c>
      <c r="T182" s="301">
        <v>1</v>
      </c>
      <c r="U182" s="308">
        <f>BD.PD[[#This Row],[Av.P1 '[%']]]*BD.PD[[#This Row],[Ppto. Orden Interna '[DOP']]]</f>
        <v>2070</v>
      </c>
      <c r="V182" s="303"/>
      <c r="W182" s="304"/>
      <c r="X182" s="308">
        <f>BD.PD[[#This Row],[Av.P2 '[%']]]*BD.PD[[#This Row],[Ppto. Orden Interna '[DOP']]]</f>
        <v>0</v>
      </c>
      <c r="Y182" s="303"/>
      <c r="Z182" s="304"/>
      <c r="AA182" s="308">
        <f>BD.PD[[#This Row],[Av.P3 '[%']]]*BD.PD[[#This Row],[Ppto. Orden Interna '[DOP']]]</f>
        <v>0</v>
      </c>
      <c r="AB182" s="303"/>
      <c r="AC182" s="304"/>
      <c r="AD182" s="308">
        <f>BD.PD[[#This Row],[Av.P4 '[%']]]*BD.PD[[#This Row],[Ppto. Orden Interna '[DOP']]]</f>
        <v>0</v>
      </c>
      <c r="AE182" s="303"/>
      <c r="AF182" s="304"/>
      <c r="AG182" s="308">
        <f>BD.PD[[#This Row],[Av.P5 '[%']]]*BD.PD[[#This Row],[Ppto. Orden Interna '[DOP']]]</f>
        <v>0</v>
      </c>
      <c r="AH182" s="305">
        <f>BD.PD[[#This Row],[Pago 5]]+BD.PD[[#This Row],[Pago 4]]+BD.PD[[#This Row],[Pago 3]]+BD.PD[[#This Row],[Pago 2]]+BD.PD[[#This Row],[Pago 1]]</f>
        <v>2070</v>
      </c>
      <c r="AI182" s="404"/>
      <c r="IB182" s="275"/>
    </row>
    <row r="183" spans="1:236" ht="15" customHeight="1" x14ac:dyDescent="0.3">
      <c r="A183" s="231">
        <v>7.02</v>
      </c>
      <c r="B183" s="288"/>
      <c r="C183" s="289" t="str">
        <f>VLOOKUP(BD.PD[[#This Row],[Pos]],PPto[],3,FALSE)</f>
        <v>7.02 Cocina, Patio Comidas y Rostizería</v>
      </c>
      <c r="D183" s="231" t="s">
        <v>22</v>
      </c>
      <c r="E183" s="291" t="str">
        <f>IF(BD.PD[[#This Row],[.]]="*",VLOOKUP(BD.PD[[#This Row],[Pos]],Presupuesto!A:H,7,FALSE),"")</f>
        <v/>
      </c>
      <c r="F183" s="292" t="s">
        <v>250</v>
      </c>
      <c r="G183" s="292" t="s">
        <v>578</v>
      </c>
      <c r="H183" s="358">
        <v>45921</v>
      </c>
      <c r="I183" s="359">
        <v>2</v>
      </c>
      <c r="J183" s="231" t="s">
        <v>581</v>
      </c>
      <c r="K183" s="294">
        <f>IF(BD.PD[[#This Row],[Mon]]="DOP",1,HLOOKUP(BD.PD[[#This Row],[Mon]],$J$1:$K$2,2,FALSE))</f>
        <v>1</v>
      </c>
      <c r="L183" s="360">
        <v>500</v>
      </c>
      <c r="M183" s="296">
        <f>BD.PD[[#This Row],[Cant.]]*BD.PD[[#This Row],[ Tasa ]]*BD.PD[[#This Row],[ Precio Und.]]</f>
        <v>1000</v>
      </c>
      <c r="N183" s="361">
        <v>0</v>
      </c>
      <c r="O183" s="296">
        <f>IF(BD.PD[[#This Row],[Liquid. '[%']]]&lt;&gt;0,(BD.PD[[#This Row],[Valor Neto '[DOP']]]*BD.PD[[#This Row],[Liquid. '[%']]])+BD.PD[[#This Row],[Valor Neto '[DOP']]],BD.PD[[#This Row],[Valor Neto '[DOP']]])</f>
        <v>1000</v>
      </c>
      <c r="P183" s="306">
        <f>BD.PD[[#This Row],[Ppto. Orden Interna '[DOP']]]/HLOOKUP("USD",$J$1:$K$2,2,FALSE)</f>
        <v>15.873015873015873</v>
      </c>
      <c r="Q183" s="299" t="s">
        <v>677</v>
      </c>
      <c r="R183" s="307" t="s">
        <v>642</v>
      </c>
      <c r="S183" s="300">
        <v>21</v>
      </c>
      <c r="T183" s="301">
        <v>1</v>
      </c>
      <c r="U183" s="308">
        <f>BD.PD[[#This Row],[Av.P1 '[%']]]*BD.PD[[#This Row],[Ppto. Orden Interna '[DOP']]]</f>
        <v>1000</v>
      </c>
      <c r="V183" s="303"/>
      <c r="W183" s="304"/>
      <c r="X183" s="308">
        <f>BD.PD[[#This Row],[Av.P2 '[%']]]*BD.PD[[#This Row],[Ppto. Orden Interna '[DOP']]]</f>
        <v>0</v>
      </c>
      <c r="Y183" s="303"/>
      <c r="Z183" s="304"/>
      <c r="AA183" s="308">
        <f>BD.PD[[#This Row],[Av.P3 '[%']]]*BD.PD[[#This Row],[Ppto. Orden Interna '[DOP']]]</f>
        <v>0</v>
      </c>
      <c r="AB183" s="303"/>
      <c r="AC183" s="304"/>
      <c r="AD183" s="308">
        <f>BD.PD[[#This Row],[Av.P4 '[%']]]*BD.PD[[#This Row],[Ppto. Orden Interna '[DOP']]]</f>
        <v>0</v>
      </c>
      <c r="AE183" s="303"/>
      <c r="AF183" s="304"/>
      <c r="AG183" s="308">
        <f>BD.PD[[#This Row],[Av.P5 '[%']]]*BD.PD[[#This Row],[Ppto. Orden Interna '[DOP']]]</f>
        <v>0</v>
      </c>
      <c r="AH183" s="305">
        <f>BD.PD[[#This Row],[Pago 5]]+BD.PD[[#This Row],[Pago 4]]+BD.PD[[#This Row],[Pago 3]]+BD.PD[[#This Row],[Pago 2]]+BD.PD[[#This Row],[Pago 1]]</f>
        <v>1000</v>
      </c>
      <c r="AI183" s="404"/>
      <c r="IB183" s="275"/>
    </row>
    <row r="184" spans="1:236" ht="15" customHeight="1" x14ac:dyDescent="0.3">
      <c r="A184" s="231">
        <v>7.02</v>
      </c>
      <c r="B184" s="288"/>
      <c r="C184" s="289" t="str">
        <f>VLOOKUP(BD.PD[[#This Row],[Pos]],PPto[],3,FALSE)</f>
        <v>7.02 Cocina, Patio Comidas y Rostizería</v>
      </c>
      <c r="D184" s="231" t="s">
        <v>22</v>
      </c>
      <c r="E184" s="291" t="str">
        <f>IF(BD.PD[[#This Row],[.]]="*",VLOOKUP(BD.PD[[#This Row],[Pos]],Presupuesto!A:H,7,FALSE),"")</f>
        <v/>
      </c>
      <c r="F184" s="292" t="s">
        <v>239</v>
      </c>
      <c r="G184" s="292" t="s">
        <v>578</v>
      </c>
      <c r="H184" s="358">
        <v>45921</v>
      </c>
      <c r="I184" s="359">
        <v>2</v>
      </c>
      <c r="J184" s="231" t="s">
        <v>581</v>
      </c>
      <c r="K184" s="294">
        <f>IF(BD.PD[[#This Row],[Mon]]="DOP",1,HLOOKUP(BD.PD[[#This Row],[Mon]],$J$1:$K$2,2,FALSE))</f>
        <v>1</v>
      </c>
      <c r="L184" s="360">
        <v>1200</v>
      </c>
      <c r="M184" s="296">
        <f>BD.PD[[#This Row],[Cant.]]*BD.PD[[#This Row],[ Tasa ]]*BD.PD[[#This Row],[ Precio Und.]]</f>
        <v>2400</v>
      </c>
      <c r="N184" s="361">
        <v>0</v>
      </c>
      <c r="O184" s="296">
        <f>IF(BD.PD[[#This Row],[Liquid. '[%']]]&lt;&gt;0,(BD.PD[[#This Row],[Valor Neto '[DOP']]]*BD.PD[[#This Row],[Liquid. '[%']]])+BD.PD[[#This Row],[Valor Neto '[DOP']]],BD.PD[[#This Row],[Valor Neto '[DOP']]])</f>
        <v>2400</v>
      </c>
      <c r="P184" s="306">
        <f>BD.PD[[#This Row],[Ppto. Orden Interna '[DOP']]]/HLOOKUP("USD",$J$1:$K$2,2,FALSE)</f>
        <v>38.095238095238095</v>
      </c>
      <c r="Q184" s="299" t="s">
        <v>677</v>
      </c>
      <c r="R184" s="307" t="s">
        <v>642</v>
      </c>
      <c r="S184" s="300">
        <v>21</v>
      </c>
      <c r="T184" s="301">
        <v>1</v>
      </c>
      <c r="U184" s="308">
        <f>BD.PD[[#This Row],[Av.P1 '[%']]]*BD.PD[[#This Row],[Ppto. Orden Interna '[DOP']]]</f>
        <v>2400</v>
      </c>
      <c r="V184" s="303"/>
      <c r="W184" s="304"/>
      <c r="X184" s="308">
        <f>BD.PD[[#This Row],[Av.P2 '[%']]]*BD.PD[[#This Row],[Ppto. Orden Interna '[DOP']]]</f>
        <v>0</v>
      </c>
      <c r="Y184" s="303"/>
      <c r="Z184" s="304"/>
      <c r="AA184" s="308">
        <f>BD.PD[[#This Row],[Av.P3 '[%']]]*BD.PD[[#This Row],[Ppto. Orden Interna '[DOP']]]</f>
        <v>0</v>
      </c>
      <c r="AB184" s="303"/>
      <c r="AC184" s="304"/>
      <c r="AD184" s="308">
        <f>BD.PD[[#This Row],[Av.P4 '[%']]]*BD.PD[[#This Row],[Ppto. Orden Interna '[DOP']]]</f>
        <v>0</v>
      </c>
      <c r="AE184" s="303"/>
      <c r="AF184" s="304"/>
      <c r="AG184" s="308">
        <f>BD.PD[[#This Row],[Av.P5 '[%']]]*BD.PD[[#This Row],[Ppto. Orden Interna '[DOP']]]</f>
        <v>0</v>
      </c>
      <c r="AH184" s="305">
        <f>BD.PD[[#This Row],[Pago 5]]+BD.PD[[#This Row],[Pago 4]]+BD.PD[[#This Row],[Pago 3]]+BD.PD[[#This Row],[Pago 2]]+BD.PD[[#This Row],[Pago 1]]</f>
        <v>2400</v>
      </c>
      <c r="AI184" s="404"/>
      <c r="IB184" s="275"/>
    </row>
    <row r="185" spans="1:236" ht="15" customHeight="1" x14ac:dyDescent="0.3">
      <c r="A185" s="231">
        <v>7.02</v>
      </c>
      <c r="B185" s="288"/>
      <c r="C185" s="289" t="str">
        <f>VLOOKUP(BD.PD[[#This Row],[Pos]],PPto[],3,FALSE)</f>
        <v>7.02 Cocina, Patio Comidas y Rostizería</v>
      </c>
      <c r="D185" s="231" t="s">
        <v>22</v>
      </c>
      <c r="E185" s="291" t="str">
        <f>IF(BD.PD[[#This Row],[.]]="*",VLOOKUP(BD.PD[[#This Row],[Pos]],Presupuesto!A:H,7,FALSE),"")</f>
        <v/>
      </c>
      <c r="F185" s="292" t="s">
        <v>253</v>
      </c>
      <c r="G185" s="292" t="s">
        <v>578</v>
      </c>
      <c r="H185" s="358">
        <v>45921</v>
      </c>
      <c r="I185" s="359">
        <v>1</v>
      </c>
      <c r="J185" s="231" t="s">
        <v>581</v>
      </c>
      <c r="K185" s="294">
        <f>IF(BD.PD[[#This Row],[Mon]]="DOP",1,HLOOKUP(BD.PD[[#This Row],[Mon]],$J$1:$K$2,2,FALSE))</f>
        <v>1</v>
      </c>
      <c r="L185" s="360">
        <v>68807.789999999994</v>
      </c>
      <c r="M185" s="296">
        <f>BD.PD[[#This Row],[Cant.]]*BD.PD[[#This Row],[ Tasa ]]*BD.PD[[#This Row],[ Precio Und.]]</f>
        <v>68807.789999999994</v>
      </c>
      <c r="N185" s="361">
        <v>0</v>
      </c>
      <c r="O185" s="296">
        <f>IF(BD.PD[[#This Row],[Liquid. '[%']]]&lt;&gt;0,(BD.PD[[#This Row],[Valor Neto '[DOP']]]*BD.PD[[#This Row],[Liquid. '[%']]])+BD.PD[[#This Row],[Valor Neto '[DOP']]],BD.PD[[#This Row],[Valor Neto '[DOP']]])</f>
        <v>68807.789999999994</v>
      </c>
      <c r="P185" s="306">
        <f>BD.PD[[#This Row],[Ppto. Orden Interna '[DOP']]]/HLOOKUP("USD",$J$1:$K$2,2,FALSE)</f>
        <v>1092.1871428571428</v>
      </c>
      <c r="Q185" s="299" t="s">
        <v>677</v>
      </c>
      <c r="R185" s="307" t="s">
        <v>642</v>
      </c>
      <c r="S185" s="300">
        <v>21</v>
      </c>
      <c r="T185" s="301">
        <v>1</v>
      </c>
      <c r="U185" s="308">
        <f>BD.PD[[#This Row],[Av.P1 '[%']]]*BD.PD[[#This Row],[Ppto. Orden Interna '[DOP']]]</f>
        <v>68807.789999999994</v>
      </c>
      <c r="V185" s="303"/>
      <c r="W185" s="304"/>
      <c r="X185" s="308">
        <f>BD.PD[[#This Row],[Av.P2 '[%']]]*BD.PD[[#This Row],[Ppto. Orden Interna '[DOP']]]</f>
        <v>0</v>
      </c>
      <c r="Y185" s="303"/>
      <c r="Z185" s="304"/>
      <c r="AA185" s="308">
        <f>BD.PD[[#This Row],[Av.P3 '[%']]]*BD.PD[[#This Row],[Ppto. Orden Interna '[DOP']]]</f>
        <v>0</v>
      </c>
      <c r="AB185" s="303"/>
      <c r="AC185" s="304"/>
      <c r="AD185" s="308">
        <f>BD.PD[[#This Row],[Av.P4 '[%']]]*BD.PD[[#This Row],[Ppto. Orden Interna '[DOP']]]</f>
        <v>0</v>
      </c>
      <c r="AE185" s="303"/>
      <c r="AF185" s="304"/>
      <c r="AG185" s="308">
        <f>BD.PD[[#This Row],[Av.P5 '[%']]]*BD.PD[[#This Row],[Ppto. Orden Interna '[DOP']]]</f>
        <v>0</v>
      </c>
      <c r="AH185" s="305">
        <f>BD.PD[[#This Row],[Pago 5]]+BD.PD[[#This Row],[Pago 4]]+BD.PD[[#This Row],[Pago 3]]+BD.PD[[#This Row],[Pago 2]]+BD.PD[[#This Row],[Pago 1]]</f>
        <v>68807.789999999994</v>
      </c>
      <c r="AI185" s="404"/>
      <c r="IB185" s="275"/>
    </row>
    <row r="186" spans="1:236" ht="15" customHeight="1" x14ac:dyDescent="0.3">
      <c r="A186" s="231">
        <v>7.02</v>
      </c>
      <c r="B186" s="288"/>
      <c r="C186" s="289" t="str">
        <f>VLOOKUP(BD.PD[[#This Row],[Pos]],PPto[],3,FALSE)</f>
        <v>7.02 Cocina, Patio Comidas y Rostizería</v>
      </c>
      <c r="D186" s="231" t="s">
        <v>22</v>
      </c>
      <c r="E186" s="291" t="str">
        <f>IF(BD.PD[[#This Row],[.]]="*",VLOOKUP(BD.PD[[#This Row],[Pos]],Presupuesto!A:H,7,FALSE),"")</f>
        <v/>
      </c>
      <c r="F186" s="292" t="s">
        <v>233</v>
      </c>
      <c r="G186" s="292" t="s">
        <v>578</v>
      </c>
      <c r="H186" s="358">
        <v>45921</v>
      </c>
      <c r="I186" s="359">
        <v>3</v>
      </c>
      <c r="J186" s="231" t="s">
        <v>581</v>
      </c>
      <c r="K186" s="294">
        <f>IF(BD.PD[[#This Row],[Mon]]="DOP",1,HLOOKUP(BD.PD[[#This Row],[Mon]],$J$1:$K$2,2,FALSE))</f>
        <v>1</v>
      </c>
      <c r="L186" s="360">
        <v>300</v>
      </c>
      <c r="M186" s="296">
        <f>BD.PD[[#This Row],[Cant.]]*BD.PD[[#This Row],[ Tasa ]]*BD.PD[[#This Row],[ Precio Und.]]</f>
        <v>900</v>
      </c>
      <c r="N186" s="361">
        <v>0</v>
      </c>
      <c r="O186" s="296">
        <f>IF(BD.PD[[#This Row],[Liquid. '[%']]]&lt;&gt;0,(BD.PD[[#This Row],[Valor Neto '[DOP']]]*BD.PD[[#This Row],[Liquid. '[%']]])+BD.PD[[#This Row],[Valor Neto '[DOP']]],BD.PD[[#This Row],[Valor Neto '[DOP']]])</f>
        <v>900</v>
      </c>
      <c r="P186" s="306">
        <f>BD.PD[[#This Row],[Ppto. Orden Interna '[DOP']]]/HLOOKUP("USD",$J$1:$K$2,2,FALSE)</f>
        <v>14.285714285714286</v>
      </c>
      <c r="Q186" s="299" t="s">
        <v>677</v>
      </c>
      <c r="R186" s="307" t="s">
        <v>642</v>
      </c>
      <c r="S186" s="300">
        <v>21</v>
      </c>
      <c r="T186" s="301">
        <v>1</v>
      </c>
      <c r="U186" s="308">
        <f>BD.PD[[#This Row],[Av.P1 '[%']]]*BD.PD[[#This Row],[Ppto. Orden Interna '[DOP']]]</f>
        <v>900</v>
      </c>
      <c r="V186" s="303"/>
      <c r="W186" s="304"/>
      <c r="X186" s="308">
        <f>BD.PD[[#This Row],[Av.P2 '[%']]]*BD.PD[[#This Row],[Ppto. Orden Interna '[DOP']]]</f>
        <v>0</v>
      </c>
      <c r="Y186" s="303"/>
      <c r="Z186" s="304"/>
      <c r="AA186" s="308">
        <f>BD.PD[[#This Row],[Av.P3 '[%']]]*BD.PD[[#This Row],[Ppto. Orden Interna '[DOP']]]</f>
        <v>0</v>
      </c>
      <c r="AB186" s="303"/>
      <c r="AC186" s="304"/>
      <c r="AD186" s="308">
        <f>BD.PD[[#This Row],[Av.P4 '[%']]]*BD.PD[[#This Row],[Ppto. Orden Interna '[DOP']]]</f>
        <v>0</v>
      </c>
      <c r="AE186" s="303"/>
      <c r="AF186" s="304"/>
      <c r="AG186" s="308">
        <f>BD.PD[[#This Row],[Av.P5 '[%']]]*BD.PD[[#This Row],[Ppto. Orden Interna '[DOP']]]</f>
        <v>0</v>
      </c>
      <c r="AH186" s="305">
        <f>BD.PD[[#This Row],[Pago 5]]+BD.PD[[#This Row],[Pago 4]]+BD.PD[[#This Row],[Pago 3]]+BD.PD[[#This Row],[Pago 2]]+BD.PD[[#This Row],[Pago 1]]</f>
        <v>900</v>
      </c>
      <c r="AI186" s="404"/>
      <c r="IB186" s="275"/>
    </row>
    <row r="187" spans="1:236" ht="15" customHeight="1" x14ac:dyDescent="0.3">
      <c r="A187" s="231">
        <v>7.02</v>
      </c>
      <c r="B187" s="288"/>
      <c r="C187" s="289" t="str">
        <f>VLOOKUP(BD.PD[[#This Row],[Pos]],PPto[],3,FALSE)</f>
        <v>7.02 Cocina, Patio Comidas y Rostizería</v>
      </c>
      <c r="D187" s="231" t="s">
        <v>22</v>
      </c>
      <c r="E187" s="291" t="str">
        <f>IF(BD.PD[[#This Row],[.]]="*",VLOOKUP(BD.PD[[#This Row],[Pos]],Presupuesto!A:H,7,FALSE),"")</f>
        <v/>
      </c>
      <c r="F187" s="292" t="s">
        <v>232</v>
      </c>
      <c r="G187" s="292" t="s">
        <v>578</v>
      </c>
      <c r="H187" s="358">
        <v>45921</v>
      </c>
      <c r="I187" s="359">
        <v>3</v>
      </c>
      <c r="J187" s="231" t="s">
        <v>581</v>
      </c>
      <c r="K187" s="294">
        <f>IF(BD.PD[[#This Row],[Mon]]="DOP",1,HLOOKUP(BD.PD[[#This Row],[Mon]],$J$1:$K$2,2,FALSE))</f>
        <v>1</v>
      </c>
      <c r="L187" s="360">
        <v>300</v>
      </c>
      <c r="M187" s="296">
        <f>BD.PD[[#This Row],[Cant.]]*BD.PD[[#This Row],[ Tasa ]]*BD.PD[[#This Row],[ Precio Und.]]</f>
        <v>900</v>
      </c>
      <c r="N187" s="361">
        <v>0</v>
      </c>
      <c r="O187" s="296">
        <f>IF(BD.PD[[#This Row],[Liquid. '[%']]]&lt;&gt;0,(BD.PD[[#This Row],[Valor Neto '[DOP']]]*BD.PD[[#This Row],[Liquid. '[%']]])+BD.PD[[#This Row],[Valor Neto '[DOP']]],BD.PD[[#This Row],[Valor Neto '[DOP']]])</f>
        <v>900</v>
      </c>
      <c r="P187" s="306">
        <f>BD.PD[[#This Row],[Ppto. Orden Interna '[DOP']]]/HLOOKUP("USD",$J$1:$K$2,2,FALSE)</f>
        <v>14.285714285714286</v>
      </c>
      <c r="Q187" s="299" t="s">
        <v>677</v>
      </c>
      <c r="R187" s="307" t="s">
        <v>642</v>
      </c>
      <c r="S187" s="300">
        <v>21</v>
      </c>
      <c r="T187" s="301">
        <v>1</v>
      </c>
      <c r="U187" s="308">
        <f>BD.PD[[#This Row],[Av.P1 '[%']]]*BD.PD[[#This Row],[Ppto. Orden Interna '[DOP']]]</f>
        <v>900</v>
      </c>
      <c r="V187" s="303"/>
      <c r="W187" s="304"/>
      <c r="X187" s="308">
        <f>BD.PD[[#This Row],[Av.P2 '[%']]]*BD.PD[[#This Row],[Ppto. Orden Interna '[DOP']]]</f>
        <v>0</v>
      </c>
      <c r="Y187" s="303"/>
      <c r="Z187" s="304"/>
      <c r="AA187" s="308">
        <f>BD.PD[[#This Row],[Av.P3 '[%']]]*BD.PD[[#This Row],[Ppto. Orden Interna '[DOP']]]</f>
        <v>0</v>
      </c>
      <c r="AB187" s="303"/>
      <c r="AC187" s="304"/>
      <c r="AD187" s="308">
        <f>BD.PD[[#This Row],[Av.P4 '[%']]]*BD.PD[[#This Row],[Ppto. Orden Interna '[DOP']]]</f>
        <v>0</v>
      </c>
      <c r="AE187" s="303"/>
      <c r="AF187" s="304"/>
      <c r="AG187" s="308">
        <f>BD.PD[[#This Row],[Av.P5 '[%']]]*BD.PD[[#This Row],[Ppto. Orden Interna '[DOP']]]</f>
        <v>0</v>
      </c>
      <c r="AH187" s="305">
        <f>BD.PD[[#This Row],[Pago 5]]+BD.PD[[#This Row],[Pago 4]]+BD.PD[[#This Row],[Pago 3]]+BD.PD[[#This Row],[Pago 2]]+BD.PD[[#This Row],[Pago 1]]</f>
        <v>900</v>
      </c>
      <c r="AI187" s="404"/>
      <c r="IB187" s="275"/>
    </row>
    <row r="188" spans="1:236" ht="15" customHeight="1" x14ac:dyDescent="0.3">
      <c r="A188" s="231">
        <v>7.02</v>
      </c>
      <c r="B188" s="288"/>
      <c r="C188" s="289" t="str">
        <f>VLOOKUP(BD.PD[[#This Row],[Pos]],PPto[],3,FALSE)</f>
        <v>7.02 Cocina, Patio Comidas y Rostizería</v>
      </c>
      <c r="D188" s="231" t="s">
        <v>22</v>
      </c>
      <c r="E188" s="291" t="str">
        <f>IF(BD.PD[[#This Row],[.]]="*",VLOOKUP(BD.PD[[#This Row],[Pos]],Presupuesto!A:H,7,FALSE),"")</f>
        <v/>
      </c>
      <c r="F188" s="292" t="s">
        <v>230</v>
      </c>
      <c r="G188" s="292" t="s">
        <v>578</v>
      </c>
      <c r="H188" s="358">
        <v>45921</v>
      </c>
      <c r="I188" s="359">
        <v>1</v>
      </c>
      <c r="J188" s="231" t="s">
        <v>581</v>
      </c>
      <c r="K188" s="294">
        <f>IF(BD.PD[[#This Row],[Mon]]="DOP",1,HLOOKUP(BD.PD[[#This Row],[Mon]],$J$1:$K$2,2,FALSE))</f>
        <v>1</v>
      </c>
      <c r="L188" s="360">
        <v>22251.88</v>
      </c>
      <c r="M188" s="296">
        <f>BD.PD[[#This Row],[Cant.]]*BD.PD[[#This Row],[ Tasa ]]*BD.PD[[#This Row],[ Precio Und.]]</f>
        <v>22251.88</v>
      </c>
      <c r="N188" s="361">
        <v>0</v>
      </c>
      <c r="O188" s="296">
        <f>IF(BD.PD[[#This Row],[Liquid. '[%']]]&lt;&gt;0,(BD.PD[[#This Row],[Valor Neto '[DOP']]]*BD.PD[[#This Row],[Liquid. '[%']]])+BD.PD[[#This Row],[Valor Neto '[DOP']]],BD.PD[[#This Row],[Valor Neto '[DOP']]])</f>
        <v>22251.88</v>
      </c>
      <c r="P188" s="306">
        <f>BD.PD[[#This Row],[Ppto. Orden Interna '[DOP']]]/HLOOKUP("USD",$J$1:$K$2,2,FALSE)</f>
        <v>353.20444444444445</v>
      </c>
      <c r="Q188" s="299" t="s">
        <v>683</v>
      </c>
      <c r="R188" s="307" t="s">
        <v>684</v>
      </c>
      <c r="S188" s="300">
        <v>21</v>
      </c>
      <c r="T188" s="301">
        <v>1</v>
      </c>
      <c r="U188" s="308">
        <f>BD.PD[[#This Row],[Av.P1 '[%']]]*BD.PD[[#This Row],[Ppto. Orden Interna '[DOP']]]</f>
        <v>22251.88</v>
      </c>
      <c r="V188" s="303"/>
      <c r="W188" s="304"/>
      <c r="X188" s="308">
        <f>BD.PD[[#This Row],[Av.P2 '[%']]]*BD.PD[[#This Row],[Ppto. Orden Interna '[DOP']]]</f>
        <v>0</v>
      </c>
      <c r="Y188" s="303"/>
      <c r="Z188" s="304"/>
      <c r="AA188" s="308">
        <f>BD.PD[[#This Row],[Av.P3 '[%']]]*BD.PD[[#This Row],[Ppto. Orden Interna '[DOP']]]</f>
        <v>0</v>
      </c>
      <c r="AB188" s="303"/>
      <c r="AC188" s="304"/>
      <c r="AD188" s="308">
        <f>BD.PD[[#This Row],[Av.P4 '[%']]]*BD.PD[[#This Row],[Ppto. Orden Interna '[DOP']]]</f>
        <v>0</v>
      </c>
      <c r="AE188" s="303"/>
      <c r="AF188" s="304"/>
      <c r="AG188" s="308">
        <f>BD.PD[[#This Row],[Av.P5 '[%']]]*BD.PD[[#This Row],[Ppto. Orden Interna '[DOP']]]</f>
        <v>0</v>
      </c>
      <c r="AH188" s="305">
        <f>BD.PD[[#This Row],[Pago 5]]+BD.PD[[#This Row],[Pago 4]]+BD.PD[[#This Row],[Pago 3]]+BD.PD[[#This Row],[Pago 2]]+BD.PD[[#This Row],[Pago 1]]</f>
        <v>22251.88</v>
      </c>
      <c r="AI188" s="404"/>
      <c r="IB188" s="275"/>
    </row>
    <row r="189" spans="1:236" ht="15" customHeight="1" x14ac:dyDescent="0.3">
      <c r="A189" s="231">
        <v>7.02</v>
      </c>
      <c r="B189" s="288"/>
      <c r="C189" s="289" t="str">
        <f>VLOOKUP(BD.PD[[#This Row],[Pos]],PPto[],3,FALSE)</f>
        <v>7.02 Cocina, Patio Comidas y Rostizería</v>
      </c>
      <c r="D189" s="231" t="s">
        <v>22</v>
      </c>
      <c r="E189" s="291" t="str">
        <f>IF(BD.PD[[#This Row],[.]]="*",VLOOKUP(BD.PD[[#This Row],[Pos]],Presupuesto!A:H,7,FALSE),"")</f>
        <v/>
      </c>
      <c r="F189" s="387" t="s">
        <v>256</v>
      </c>
      <c r="G189" s="292" t="s">
        <v>578</v>
      </c>
      <c r="H189" s="358">
        <v>45921</v>
      </c>
      <c r="I189" s="359">
        <v>9</v>
      </c>
      <c r="J189" s="231" t="s">
        <v>581</v>
      </c>
      <c r="K189" s="294">
        <f>IF(BD.PD[[#This Row],[Mon]]="DOP",1,HLOOKUP(BD.PD[[#This Row],[Mon]],$J$1:$K$2,2,FALSE))</f>
        <v>1</v>
      </c>
      <c r="L189" s="360">
        <v>25029.784444444445</v>
      </c>
      <c r="M189" s="296">
        <f>BD.PD[[#This Row],[Cant.]]*BD.PD[[#This Row],[ Tasa ]]*BD.PD[[#This Row],[ Precio Und.]]</f>
        <v>225268.06</v>
      </c>
      <c r="N189" s="361">
        <v>0</v>
      </c>
      <c r="O189" s="296">
        <f>IF(BD.PD[[#This Row],[Liquid. '[%']]]&lt;&gt;0,(BD.PD[[#This Row],[Valor Neto '[DOP']]]*BD.PD[[#This Row],[Liquid. '[%']]])+BD.PD[[#This Row],[Valor Neto '[DOP']]],BD.PD[[#This Row],[Valor Neto '[DOP']]])</f>
        <v>225268.06</v>
      </c>
      <c r="P189" s="306">
        <f>BD.PD[[#This Row],[Ppto. Orden Interna '[DOP']]]/HLOOKUP("USD",$J$1:$K$2,2,FALSE)</f>
        <v>3575.6834920634919</v>
      </c>
      <c r="Q189" s="299" t="s">
        <v>685</v>
      </c>
      <c r="R189" s="307" t="s">
        <v>686</v>
      </c>
      <c r="S189" s="300">
        <v>21</v>
      </c>
      <c r="T189" s="301">
        <v>1</v>
      </c>
      <c r="U189" s="308">
        <f>BD.PD[[#This Row],[Av.P1 '[%']]]*BD.PD[[#This Row],[Ppto. Orden Interna '[DOP']]]</f>
        <v>225268.06</v>
      </c>
      <c r="V189" s="303"/>
      <c r="W189" s="304"/>
      <c r="X189" s="308">
        <f>BD.PD[[#This Row],[Av.P2 '[%']]]*BD.PD[[#This Row],[Ppto. Orden Interna '[DOP']]]</f>
        <v>0</v>
      </c>
      <c r="Y189" s="303"/>
      <c r="Z189" s="304"/>
      <c r="AA189" s="308">
        <f>BD.PD[[#This Row],[Av.P3 '[%']]]*BD.PD[[#This Row],[Ppto. Orden Interna '[DOP']]]</f>
        <v>0</v>
      </c>
      <c r="AB189" s="303"/>
      <c r="AC189" s="304"/>
      <c r="AD189" s="308">
        <f>BD.PD[[#This Row],[Av.P4 '[%']]]*BD.PD[[#This Row],[Ppto. Orden Interna '[DOP']]]</f>
        <v>0</v>
      </c>
      <c r="AE189" s="303"/>
      <c r="AF189" s="304"/>
      <c r="AG189" s="308">
        <f>BD.PD[[#This Row],[Av.P5 '[%']]]*BD.PD[[#This Row],[Ppto. Orden Interna '[DOP']]]</f>
        <v>0</v>
      </c>
      <c r="AH189" s="305">
        <f>BD.PD[[#This Row],[Pago 5]]+BD.PD[[#This Row],[Pago 4]]+BD.PD[[#This Row],[Pago 3]]+BD.PD[[#This Row],[Pago 2]]+BD.PD[[#This Row],[Pago 1]]</f>
        <v>225268.06</v>
      </c>
      <c r="AI189" s="404"/>
      <c r="IB189" s="275"/>
    </row>
    <row r="190" spans="1:236" ht="15" customHeight="1" x14ac:dyDescent="0.3">
      <c r="A190" s="231">
        <v>7.02</v>
      </c>
      <c r="B190" s="288"/>
      <c r="C190" s="289" t="str">
        <f>VLOOKUP(BD.PD[[#This Row],[Pos]],PPto[],3,FALSE)</f>
        <v>7.02 Cocina, Patio Comidas y Rostizería</v>
      </c>
      <c r="D190" s="231" t="s">
        <v>22</v>
      </c>
      <c r="E190" s="291" t="str">
        <f>IF(BD.PD[[#This Row],[.]]="*",VLOOKUP(BD.PD[[#This Row],[Pos]],Presupuesto!A:H,7,FALSE),"")</f>
        <v/>
      </c>
      <c r="F190" s="292" t="s">
        <v>211</v>
      </c>
      <c r="G190" s="292" t="s">
        <v>578</v>
      </c>
      <c r="H190" s="358">
        <v>45921</v>
      </c>
      <c r="I190" s="359">
        <v>60</v>
      </c>
      <c r="J190" s="231" t="s">
        <v>581</v>
      </c>
      <c r="K190" s="294">
        <f>IF(BD.PD[[#This Row],[Mon]]="DOP",1,HLOOKUP(BD.PD[[#This Row],[Mon]],$J$1:$K$2,2,FALSE))</f>
        <v>1</v>
      </c>
      <c r="L190" s="360">
        <v>2389.0038333333337</v>
      </c>
      <c r="M190" s="296">
        <f>BD.PD[[#This Row],[Cant.]]*BD.PD[[#This Row],[ Tasa ]]*BD.PD[[#This Row],[ Precio Und.]]</f>
        <v>143340.23000000001</v>
      </c>
      <c r="N190" s="361">
        <v>0</v>
      </c>
      <c r="O190" s="296">
        <f>IF(BD.PD[[#This Row],[Liquid. '[%']]]&lt;&gt;0,(BD.PD[[#This Row],[Valor Neto '[DOP']]]*BD.PD[[#This Row],[Liquid. '[%']]])+BD.PD[[#This Row],[Valor Neto '[DOP']]],BD.PD[[#This Row],[Valor Neto '[DOP']]])</f>
        <v>143340.23000000001</v>
      </c>
      <c r="P190" s="306">
        <f>BD.PD[[#This Row],[Ppto. Orden Interna '[DOP']]]/HLOOKUP("USD",$J$1:$K$2,2,FALSE)</f>
        <v>2275.2417460317461</v>
      </c>
      <c r="Q190" s="299" t="s">
        <v>673</v>
      </c>
      <c r="R190" s="307" t="s">
        <v>587</v>
      </c>
      <c r="S190" s="300">
        <v>21</v>
      </c>
      <c r="T190" s="301">
        <v>1</v>
      </c>
      <c r="U190" s="308">
        <f>BD.PD[[#This Row],[Av.P1 '[%']]]*BD.PD[[#This Row],[Ppto. Orden Interna '[DOP']]]</f>
        <v>143340.23000000001</v>
      </c>
      <c r="V190" s="303"/>
      <c r="W190" s="304"/>
      <c r="X190" s="308">
        <f>BD.PD[[#This Row],[Av.P2 '[%']]]*BD.PD[[#This Row],[Ppto. Orden Interna '[DOP']]]</f>
        <v>0</v>
      </c>
      <c r="Y190" s="303"/>
      <c r="Z190" s="304"/>
      <c r="AA190" s="308">
        <f>BD.PD[[#This Row],[Av.P3 '[%']]]*BD.PD[[#This Row],[Ppto. Orden Interna '[DOP']]]</f>
        <v>0</v>
      </c>
      <c r="AB190" s="303"/>
      <c r="AC190" s="304"/>
      <c r="AD190" s="308">
        <f>BD.PD[[#This Row],[Av.P4 '[%']]]*BD.PD[[#This Row],[Ppto. Orden Interna '[DOP']]]</f>
        <v>0</v>
      </c>
      <c r="AE190" s="303"/>
      <c r="AF190" s="304"/>
      <c r="AG190" s="308">
        <f>BD.PD[[#This Row],[Av.P5 '[%']]]*BD.PD[[#This Row],[Ppto. Orden Interna '[DOP']]]</f>
        <v>0</v>
      </c>
      <c r="AH190" s="305">
        <f>BD.PD[[#This Row],[Pago 5]]+BD.PD[[#This Row],[Pago 4]]+BD.PD[[#This Row],[Pago 3]]+BD.PD[[#This Row],[Pago 2]]+BD.PD[[#This Row],[Pago 1]]</f>
        <v>143340.23000000001</v>
      </c>
      <c r="AI190" s="404"/>
      <c r="IB190" s="275"/>
    </row>
    <row r="191" spans="1:236" ht="15" customHeight="1" x14ac:dyDescent="0.3">
      <c r="A191" s="231">
        <v>7.02</v>
      </c>
      <c r="B191" s="288"/>
      <c r="C191" s="289" t="str">
        <f>VLOOKUP(BD.PD[[#This Row],[Pos]],PPto[],3,FALSE)</f>
        <v>7.02 Cocina, Patio Comidas y Rostizería</v>
      </c>
      <c r="D191" s="231" t="s">
        <v>22</v>
      </c>
      <c r="E191" s="291" t="str">
        <f>IF(BD.PD[[#This Row],[.]]="*",VLOOKUP(BD.PD[[#This Row],[Pos]],Presupuesto!A:H,7,FALSE),"")</f>
        <v/>
      </c>
      <c r="F191" s="387" t="s">
        <v>227</v>
      </c>
      <c r="G191" s="292" t="s">
        <v>578</v>
      </c>
      <c r="H191" s="358">
        <v>45921</v>
      </c>
      <c r="I191" s="359">
        <v>3</v>
      </c>
      <c r="J191" s="231" t="s">
        <v>581</v>
      </c>
      <c r="K191" s="294">
        <f>IF(BD.PD[[#This Row],[Mon]]="DOP",1,HLOOKUP(BD.PD[[#This Row],[Mon]],$J$1:$K$2,2,FALSE))</f>
        <v>1</v>
      </c>
      <c r="L191" s="360">
        <v>22800</v>
      </c>
      <c r="M191" s="296">
        <f>BD.PD[[#This Row],[Cant.]]*BD.PD[[#This Row],[ Tasa ]]*BD.PD[[#This Row],[ Precio Und.]]</f>
        <v>68400</v>
      </c>
      <c r="N191" s="361">
        <v>0</v>
      </c>
      <c r="O191" s="296">
        <f>IF(BD.PD[[#This Row],[Liquid. '[%']]]&lt;&gt;0,(BD.PD[[#This Row],[Valor Neto '[DOP']]]*BD.PD[[#This Row],[Liquid. '[%']]])+BD.PD[[#This Row],[Valor Neto '[DOP']]],BD.PD[[#This Row],[Valor Neto '[DOP']]])</f>
        <v>68400</v>
      </c>
      <c r="P191" s="306">
        <f>BD.PD[[#This Row],[Ppto. Orden Interna '[DOP']]]/HLOOKUP("USD",$J$1:$K$2,2,FALSE)</f>
        <v>1085.7142857142858</v>
      </c>
      <c r="Q191" s="299" t="s">
        <v>687</v>
      </c>
      <c r="R191" s="307" t="s">
        <v>688</v>
      </c>
      <c r="S191" s="300">
        <v>22</v>
      </c>
      <c r="T191" s="301">
        <v>1</v>
      </c>
      <c r="U191" s="308">
        <f>BD.PD[[#This Row],[Av.P1 '[%']]]*BD.PD[[#This Row],[Ppto. Orden Interna '[DOP']]]</f>
        <v>68400</v>
      </c>
      <c r="V191" s="303">
        <v>24</v>
      </c>
      <c r="W191" s="304"/>
      <c r="X191" s="308">
        <f>BD.PD[[#This Row],[Av.P2 '[%']]]*BD.PD[[#This Row],[Ppto. Orden Interna '[DOP']]]</f>
        <v>0</v>
      </c>
      <c r="Y191" s="303"/>
      <c r="Z191" s="304"/>
      <c r="AA191" s="308">
        <f>BD.PD[[#This Row],[Av.P3 '[%']]]*BD.PD[[#This Row],[Ppto. Orden Interna '[DOP']]]</f>
        <v>0</v>
      </c>
      <c r="AB191" s="303"/>
      <c r="AC191" s="304"/>
      <c r="AD191" s="308">
        <f>BD.PD[[#This Row],[Av.P4 '[%']]]*BD.PD[[#This Row],[Ppto. Orden Interna '[DOP']]]</f>
        <v>0</v>
      </c>
      <c r="AE191" s="303"/>
      <c r="AF191" s="304"/>
      <c r="AG191" s="308">
        <f>BD.PD[[#This Row],[Av.P5 '[%']]]*BD.PD[[#This Row],[Ppto. Orden Interna '[DOP']]]</f>
        <v>0</v>
      </c>
      <c r="AH191" s="305">
        <f>BD.PD[[#This Row],[Pago 5]]+BD.PD[[#This Row],[Pago 4]]+BD.PD[[#This Row],[Pago 3]]+BD.PD[[#This Row],[Pago 2]]+BD.PD[[#This Row],[Pago 1]]</f>
        <v>68400</v>
      </c>
      <c r="AI191" s="404"/>
      <c r="IB191" s="275"/>
    </row>
    <row r="192" spans="1:236" ht="15" customHeight="1" x14ac:dyDescent="0.3">
      <c r="A192" s="231">
        <v>7.02</v>
      </c>
      <c r="B192" s="288"/>
      <c r="C192" s="289" t="str">
        <f>VLOOKUP(BD.PD[[#This Row],[Pos]],PPto[],3,FALSE)</f>
        <v>7.02 Cocina, Patio Comidas y Rostizería</v>
      </c>
      <c r="D192" s="231" t="s">
        <v>22</v>
      </c>
      <c r="E192" s="291" t="str">
        <f>IF(BD.PD[[#This Row],[.]]="*",VLOOKUP(BD.PD[[#This Row],[Pos]],Presupuesto!A:H,7,FALSE),"")</f>
        <v/>
      </c>
      <c r="F192" s="387" t="s">
        <v>212</v>
      </c>
      <c r="G192" s="292" t="s">
        <v>578</v>
      </c>
      <c r="H192" s="358">
        <v>45921</v>
      </c>
      <c r="I192" s="359">
        <v>1</v>
      </c>
      <c r="J192" s="231" t="s">
        <v>581</v>
      </c>
      <c r="K192" s="294">
        <f>IF(BD.PD[[#This Row],[Mon]]="DOP",1,HLOOKUP(BD.PD[[#This Row],[Mon]],$J$1:$K$2,2,FALSE))</f>
        <v>1</v>
      </c>
      <c r="L192" s="360">
        <v>16413.669999999998</v>
      </c>
      <c r="M192" s="296">
        <f>BD.PD[[#This Row],[Cant.]]*BD.PD[[#This Row],[ Tasa ]]*BD.PD[[#This Row],[ Precio Und.]]</f>
        <v>16413.669999999998</v>
      </c>
      <c r="N192" s="361">
        <v>0</v>
      </c>
      <c r="O192" s="296">
        <f>IF(BD.PD[[#This Row],[Liquid. '[%']]]&lt;&gt;0,(BD.PD[[#This Row],[Valor Neto '[DOP']]]*BD.PD[[#This Row],[Liquid. '[%']]])+BD.PD[[#This Row],[Valor Neto '[DOP']]],BD.PD[[#This Row],[Valor Neto '[DOP']]])</f>
        <v>16413.669999999998</v>
      </c>
      <c r="P192" s="306">
        <f>BD.PD[[#This Row],[Ppto. Orden Interna '[DOP']]]/HLOOKUP("USD",$J$1:$K$2,2,FALSE)</f>
        <v>260.53444444444443</v>
      </c>
      <c r="Q192" s="299" t="s">
        <v>677</v>
      </c>
      <c r="R192" s="307" t="s">
        <v>689</v>
      </c>
      <c r="S192" s="300">
        <v>21</v>
      </c>
      <c r="T192" s="301">
        <v>1</v>
      </c>
      <c r="U192" s="308">
        <f>BD.PD[[#This Row],[Av.P1 '[%']]]*BD.PD[[#This Row],[Ppto. Orden Interna '[DOP']]]</f>
        <v>16413.669999999998</v>
      </c>
      <c r="V192" s="303"/>
      <c r="W192" s="304"/>
      <c r="X192" s="308">
        <f>BD.PD[[#This Row],[Av.P2 '[%']]]*BD.PD[[#This Row],[Ppto. Orden Interna '[DOP']]]</f>
        <v>0</v>
      </c>
      <c r="Y192" s="303"/>
      <c r="Z192" s="304"/>
      <c r="AA192" s="308">
        <f>BD.PD[[#This Row],[Av.P3 '[%']]]*BD.PD[[#This Row],[Ppto. Orden Interna '[DOP']]]</f>
        <v>0</v>
      </c>
      <c r="AB192" s="303"/>
      <c r="AC192" s="304"/>
      <c r="AD192" s="308">
        <f>BD.PD[[#This Row],[Av.P4 '[%']]]*BD.PD[[#This Row],[Ppto. Orden Interna '[DOP']]]</f>
        <v>0</v>
      </c>
      <c r="AE192" s="303"/>
      <c r="AF192" s="304"/>
      <c r="AG192" s="308">
        <f>BD.PD[[#This Row],[Av.P5 '[%']]]*BD.PD[[#This Row],[Ppto. Orden Interna '[DOP']]]</f>
        <v>0</v>
      </c>
      <c r="AH192" s="305">
        <f>BD.PD[[#This Row],[Pago 5]]+BD.PD[[#This Row],[Pago 4]]+BD.PD[[#This Row],[Pago 3]]+BD.PD[[#This Row],[Pago 2]]+BD.PD[[#This Row],[Pago 1]]</f>
        <v>16413.669999999998</v>
      </c>
      <c r="AI192" s="404"/>
      <c r="IB192" s="275"/>
    </row>
    <row r="193" spans="1:236" ht="15" customHeight="1" x14ac:dyDescent="0.3">
      <c r="A193" s="231">
        <v>7.02</v>
      </c>
      <c r="B193" s="288"/>
      <c r="C193" s="289" t="str">
        <f>VLOOKUP(BD.PD[[#This Row],[Pos]],PPto[],3,FALSE)</f>
        <v>7.02 Cocina, Patio Comidas y Rostizería</v>
      </c>
      <c r="D193" s="231" t="s">
        <v>22</v>
      </c>
      <c r="E193" s="291" t="str">
        <f>IF(BD.PD[[#This Row],[.]]="*",VLOOKUP(BD.PD[[#This Row],[Pos]],Presupuesto!A:H,7,FALSE),"")</f>
        <v/>
      </c>
      <c r="F193" s="384" t="s">
        <v>255</v>
      </c>
      <c r="G193" s="292" t="s">
        <v>578</v>
      </c>
      <c r="H193" s="358">
        <v>45921</v>
      </c>
      <c r="I193" s="359">
        <v>2</v>
      </c>
      <c r="J193" s="231" t="s">
        <v>581</v>
      </c>
      <c r="K193" s="294">
        <f>IF(BD.PD[[#This Row],[Mon]]="DOP",1,HLOOKUP(BD.PD[[#This Row],[Mon]],$J$1:$K$2,2,FALSE))</f>
        <v>1</v>
      </c>
      <c r="L193" s="360">
        <v>650</v>
      </c>
      <c r="M193" s="296">
        <f>BD.PD[[#This Row],[Cant.]]*BD.PD[[#This Row],[ Tasa ]]*BD.PD[[#This Row],[ Precio Und.]]</f>
        <v>1300</v>
      </c>
      <c r="N193" s="361">
        <v>0</v>
      </c>
      <c r="O193" s="296">
        <f>IF(BD.PD[[#This Row],[Liquid. '[%']]]&lt;&gt;0,(BD.PD[[#This Row],[Valor Neto '[DOP']]]*BD.PD[[#This Row],[Liquid. '[%']]])+BD.PD[[#This Row],[Valor Neto '[DOP']]],BD.PD[[#This Row],[Valor Neto '[DOP']]])</f>
        <v>1300</v>
      </c>
      <c r="P193" s="306">
        <f>BD.PD[[#This Row],[Ppto. Orden Interna '[DOP']]]/HLOOKUP("USD",$J$1:$K$2,2,FALSE)</f>
        <v>20.634920634920636</v>
      </c>
      <c r="Q193" s="299" t="s">
        <v>677</v>
      </c>
      <c r="R193" s="307"/>
      <c r="S193" s="300">
        <v>21</v>
      </c>
      <c r="T193" s="301">
        <v>1</v>
      </c>
      <c r="U193" s="308">
        <f>BD.PD[[#This Row],[Av.P1 '[%']]]*BD.PD[[#This Row],[Ppto. Orden Interna '[DOP']]]</f>
        <v>1300</v>
      </c>
      <c r="V193" s="303"/>
      <c r="W193" s="304"/>
      <c r="X193" s="308">
        <f>BD.PD[[#This Row],[Av.P2 '[%']]]*BD.PD[[#This Row],[Ppto. Orden Interna '[DOP']]]</f>
        <v>0</v>
      </c>
      <c r="Y193" s="303"/>
      <c r="Z193" s="304"/>
      <c r="AA193" s="308">
        <f>BD.PD[[#This Row],[Av.P3 '[%']]]*BD.PD[[#This Row],[Ppto. Orden Interna '[DOP']]]</f>
        <v>0</v>
      </c>
      <c r="AB193" s="303"/>
      <c r="AC193" s="304"/>
      <c r="AD193" s="308">
        <f>BD.PD[[#This Row],[Av.P4 '[%']]]*BD.PD[[#This Row],[Ppto. Orden Interna '[DOP']]]</f>
        <v>0</v>
      </c>
      <c r="AE193" s="303"/>
      <c r="AF193" s="304"/>
      <c r="AG193" s="308">
        <f>BD.PD[[#This Row],[Av.P5 '[%']]]*BD.PD[[#This Row],[Ppto. Orden Interna '[DOP']]]</f>
        <v>0</v>
      </c>
      <c r="AH193" s="305">
        <f>BD.PD[[#This Row],[Pago 5]]+BD.PD[[#This Row],[Pago 4]]+BD.PD[[#This Row],[Pago 3]]+BD.PD[[#This Row],[Pago 2]]+BD.PD[[#This Row],[Pago 1]]</f>
        <v>1300</v>
      </c>
      <c r="AI193" s="404"/>
      <c r="IB193" s="275"/>
    </row>
    <row r="194" spans="1:236" ht="15" customHeight="1" x14ac:dyDescent="0.3">
      <c r="A194" s="231">
        <v>7.02</v>
      </c>
      <c r="B194" s="288"/>
      <c r="C194" s="289" t="str">
        <f>VLOOKUP(BD.PD[[#This Row],[Pos]],PPto[],3,FALSE)</f>
        <v>7.02 Cocina, Patio Comidas y Rostizería</v>
      </c>
      <c r="D194" s="231" t="s">
        <v>22</v>
      </c>
      <c r="E194" s="291" t="str">
        <f>IF(BD.PD[[#This Row],[.]]="*",VLOOKUP(BD.PD[[#This Row],[Pos]],Presupuesto!A:H,7,FALSE),"")</f>
        <v/>
      </c>
      <c r="F194" s="384" t="s">
        <v>249</v>
      </c>
      <c r="G194" s="292" t="s">
        <v>578</v>
      </c>
      <c r="H194" s="358">
        <v>45921</v>
      </c>
      <c r="I194" s="359">
        <v>1</v>
      </c>
      <c r="J194" s="231" t="s">
        <v>581</v>
      </c>
      <c r="K194" s="294">
        <f>IF(BD.PD[[#This Row],[Mon]]="DOP",1,HLOOKUP(BD.PD[[#This Row],[Mon]],$J$1:$K$2,2,FALSE))</f>
        <v>1</v>
      </c>
      <c r="L194" s="360">
        <v>950</v>
      </c>
      <c r="M194" s="296">
        <f>BD.PD[[#This Row],[Cant.]]*BD.PD[[#This Row],[ Tasa ]]*BD.PD[[#This Row],[ Precio Und.]]</f>
        <v>950</v>
      </c>
      <c r="N194" s="361">
        <v>0</v>
      </c>
      <c r="O194" s="296">
        <f>IF(BD.PD[[#This Row],[Liquid. '[%']]]&lt;&gt;0,(BD.PD[[#This Row],[Valor Neto '[DOP']]]*BD.PD[[#This Row],[Liquid. '[%']]])+BD.PD[[#This Row],[Valor Neto '[DOP']]],BD.PD[[#This Row],[Valor Neto '[DOP']]])</f>
        <v>950</v>
      </c>
      <c r="P194" s="306">
        <f>BD.PD[[#This Row],[Ppto. Orden Interna '[DOP']]]/HLOOKUP("USD",$J$1:$K$2,2,FALSE)</f>
        <v>15.079365079365079</v>
      </c>
      <c r="Q194" s="299" t="s">
        <v>677</v>
      </c>
      <c r="R194" s="307"/>
      <c r="S194" s="300">
        <v>21</v>
      </c>
      <c r="T194" s="301">
        <v>1</v>
      </c>
      <c r="U194" s="308">
        <f>BD.PD[[#This Row],[Av.P1 '[%']]]*BD.PD[[#This Row],[Ppto. Orden Interna '[DOP']]]</f>
        <v>950</v>
      </c>
      <c r="V194" s="303"/>
      <c r="W194" s="304"/>
      <c r="X194" s="308">
        <f>BD.PD[[#This Row],[Av.P2 '[%']]]*BD.PD[[#This Row],[Ppto. Orden Interna '[DOP']]]</f>
        <v>0</v>
      </c>
      <c r="Y194" s="303"/>
      <c r="Z194" s="304"/>
      <c r="AA194" s="308">
        <f>BD.PD[[#This Row],[Av.P3 '[%']]]*BD.PD[[#This Row],[Ppto. Orden Interna '[DOP']]]</f>
        <v>0</v>
      </c>
      <c r="AB194" s="303"/>
      <c r="AC194" s="304"/>
      <c r="AD194" s="308">
        <f>BD.PD[[#This Row],[Av.P4 '[%']]]*BD.PD[[#This Row],[Ppto. Orden Interna '[DOP']]]</f>
        <v>0</v>
      </c>
      <c r="AE194" s="303"/>
      <c r="AF194" s="304"/>
      <c r="AG194" s="308">
        <f>BD.PD[[#This Row],[Av.P5 '[%']]]*BD.PD[[#This Row],[Ppto. Orden Interna '[DOP']]]</f>
        <v>0</v>
      </c>
      <c r="AH194" s="305">
        <f>BD.PD[[#This Row],[Pago 5]]+BD.PD[[#This Row],[Pago 4]]+BD.PD[[#This Row],[Pago 3]]+BD.PD[[#This Row],[Pago 2]]+BD.PD[[#This Row],[Pago 1]]</f>
        <v>950</v>
      </c>
      <c r="AI194" s="404"/>
      <c r="IB194" s="275"/>
    </row>
    <row r="195" spans="1:236" ht="15" customHeight="1" x14ac:dyDescent="0.3">
      <c r="A195" s="231">
        <v>7.02</v>
      </c>
      <c r="B195" s="288"/>
      <c r="C195" s="289" t="str">
        <f>VLOOKUP(BD.PD[[#This Row],[Pos]],PPto[],3,FALSE)</f>
        <v>7.02 Cocina, Patio Comidas y Rostizería</v>
      </c>
      <c r="D195" s="231" t="s">
        <v>22</v>
      </c>
      <c r="E195" s="291" t="str">
        <f>IF(BD.PD[[#This Row],[.]]="*",VLOOKUP(BD.PD[[#This Row],[Pos]],Presupuesto!A:H,7,FALSE),"")</f>
        <v/>
      </c>
      <c r="F195" s="384" t="s">
        <v>248</v>
      </c>
      <c r="G195" s="292" t="s">
        <v>578</v>
      </c>
      <c r="H195" s="358">
        <v>45921</v>
      </c>
      <c r="I195" s="359">
        <v>2</v>
      </c>
      <c r="J195" s="231" t="s">
        <v>581</v>
      </c>
      <c r="K195" s="294">
        <f>IF(BD.PD[[#This Row],[Mon]]="DOP",1,HLOOKUP(BD.PD[[#This Row],[Mon]],$J$1:$K$2,2,FALSE))</f>
        <v>1</v>
      </c>
      <c r="L195" s="360">
        <v>950</v>
      </c>
      <c r="M195" s="296">
        <f>BD.PD[[#This Row],[Cant.]]*BD.PD[[#This Row],[ Tasa ]]*BD.PD[[#This Row],[ Precio Und.]]</f>
        <v>1900</v>
      </c>
      <c r="N195" s="361">
        <v>0</v>
      </c>
      <c r="O195" s="296">
        <f>IF(BD.PD[[#This Row],[Liquid. '[%']]]&lt;&gt;0,(BD.PD[[#This Row],[Valor Neto '[DOP']]]*BD.PD[[#This Row],[Liquid. '[%']]])+BD.PD[[#This Row],[Valor Neto '[DOP']]],BD.PD[[#This Row],[Valor Neto '[DOP']]])</f>
        <v>1900</v>
      </c>
      <c r="P195" s="306">
        <f>BD.PD[[#This Row],[Ppto. Orden Interna '[DOP']]]/HLOOKUP("USD",$J$1:$K$2,2,FALSE)</f>
        <v>30.158730158730158</v>
      </c>
      <c r="Q195" s="299" t="s">
        <v>677</v>
      </c>
      <c r="R195" s="307"/>
      <c r="S195" s="300">
        <v>21</v>
      </c>
      <c r="T195" s="301">
        <v>1</v>
      </c>
      <c r="U195" s="308">
        <f>BD.PD[[#This Row],[Av.P1 '[%']]]*BD.PD[[#This Row],[Ppto. Orden Interna '[DOP']]]</f>
        <v>1900</v>
      </c>
      <c r="V195" s="303"/>
      <c r="W195" s="304"/>
      <c r="X195" s="308">
        <f>BD.PD[[#This Row],[Av.P2 '[%']]]*BD.PD[[#This Row],[Ppto. Orden Interna '[DOP']]]</f>
        <v>0</v>
      </c>
      <c r="Y195" s="303"/>
      <c r="Z195" s="304"/>
      <c r="AA195" s="308">
        <f>BD.PD[[#This Row],[Av.P3 '[%']]]*BD.PD[[#This Row],[Ppto. Orden Interna '[DOP']]]</f>
        <v>0</v>
      </c>
      <c r="AB195" s="303"/>
      <c r="AC195" s="304"/>
      <c r="AD195" s="308">
        <f>BD.PD[[#This Row],[Av.P4 '[%']]]*BD.PD[[#This Row],[Ppto. Orden Interna '[DOP']]]</f>
        <v>0</v>
      </c>
      <c r="AE195" s="303"/>
      <c r="AF195" s="304"/>
      <c r="AG195" s="308">
        <f>BD.PD[[#This Row],[Av.P5 '[%']]]*BD.PD[[#This Row],[Ppto. Orden Interna '[DOP']]]</f>
        <v>0</v>
      </c>
      <c r="AH195" s="305">
        <f>BD.PD[[#This Row],[Pago 5]]+BD.PD[[#This Row],[Pago 4]]+BD.PD[[#This Row],[Pago 3]]+BD.PD[[#This Row],[Pago 2]]+BD.PD[[#This Row],[Pago 1]]</f>
        <v>1900</v>
      </c>
      <c r="AI195" s="404"/>
      <c r="IB195" s="275"/>
    </row>
    <row r="196" spans="1:236" ht="15" customHeight="1" x14ac:dyDescent="0.3">
      <c r="A196" s="231">
        <v>7.02</v>
      </c>
      <c r="B196" s="288"/>
      <c r="C196" s="289" t="str">
        <f>VLOOKUP(BD.PD[[#This Row],[Pos]],PPto[],3,FALSE)</f>
        <v>7.02 Cocina, Patio Comidas y Rostizería</v>
      </c>
      <c r="D196" s="231" t="s">
        <v>22</v>
      </c>
      <c r="E196" s="291" t="str">
        <f>IF(BD.PD[[#This Row],[.]]="*",VLOOKUP(BD.PD[[#This Row],[Pos]],Presupuesto!A:H,7,FALSE),"")</f>
        <v/>
      </c>
      <c r="F196" s="384" t="s">
        <v>237</v>
      </c>
      <c r="G196" s="292" t="s">
        <v>578</v>
      </c>
      <c r="H196" s="358">
        <v>45921</v>
      </c>
      <c r="I196" s="359">
        <v>4</v>
      </c>
      <c r="J196" s="231" t="s">
        <v>581</v>
      </c>
      <c r="K196" s="294">
        <f>IF(BD.PD[[#This Row],[Mon]]="DOP",1,HLOOKUP(BD.PD[[#This Row],[Mon]],$J$1:$K$2,2,FALSE))</f>
        <v>1</v>
      </c>
      <c r="L196" s="360">
        <v>1400</v>
      </c>
      <c r="M196" s="296">
        <f>BD.PD[[#This Row],[Cant.]]*BD.PD[[#This Row],[ Tasa ]]*BD.PD[[#This Row],[ Precio Und.]]</f>
        <v>5600</v>
      </c>
      <c r="N196" s="361">
        <v>0</v>
      </c>
      <c r="O196" s="296">
        <f>IF(BD.PD[[#This Row],[Liquid. '[%']]]&lt;&gt;0,(BD.PD[[#This Row],[Valor Neto '[DOP']]]*BD.PD[[#This Row],[Liquid. '[%']]])+BD.PD[[#This Row],[Valor Neto '[DOP']]],BD.PD[[#This Row],[Valor Neto '[DOP']]])</f>
        <v>5600</v>
      </c>
      <c r="P196" s="306">
        <f>BD.PD[[#This Row],[Ppto. Orden Interna '[DOP']]]/HLOOKUP("USD",$J$1:$K$2,2,FALSE)</f>
        <v>88.888888888888886</v>
      </c>
      <c r="Q196" s="299" t="s">
        <v>677</v>
      </c>
      <c r="R196" s="307"/>
      <c r="S196" s="300">
        <v>21</v>
      </c>
      <c r="T196" s="301">
        <v>1</v>
      </c>
      <c r="U196" s="308">
        <f>BD.PD[[#This Row],[Av.P1 '[%']]]*BD.PD[[#This Row],[Ppto. Orden Interna '[DOP']]]</f>
        <v>5600</v>
      </c>
      <c r="V196" s="303"/>
      <c r="W196" s="304"/>
      <c r="X196" s="308">
        <f>BD.PD[[#This Row],[Av.P2 '[%']]]*BD.PD[[#This Row],[Ppto. Orden Interna '[DOP']]]</f>
        <v>0</v>
      </c>
      <c r="Y196" s="303"/>
      <c r="Z196" s="304"/>
      <c r="AA196" s="308">
        <f>BD.PD[[#This Row],[Av.P3 '[%']]]*BD.PD[[#This Row],[Ppto. Orden Interna '[DOP']]]</f>
        <v>0</v>
      </c>
      <c r="AB196" s="303"/>
      <c r="AC196" s="304"/>
      <c r="AD196" s="308">
        <f>BD.PD[[#This Row],[Av.P4 '[%']]]*BD.PD[[#This Row],[Ppto. Orden Interna '[DOP']]]</f>
        <v>0</v>
      </c>
      <c r="AE196" s="303"/>
      <c r="AF196" s="304"/>
      <c r="AG196" s="308">
        <f>BD.PD[[#This Row],[Av.P5 '[%']]]*BD.PD[[#This Row],[Ppto. Orden Interna '[DOP']]]</f>
        <v>0</v>
      </c>
      <c r="AH196" s="305">
        <f>BD.PD[[#This Row],[Pago 5]]+BD.PD[[#This Row],[Pago 4]]+BD.PD[[#This Row],[Pago 3]]+BD.PD[[#This Row],[Pago 2]]+BD.PD[[#This Row],[Pago 1]]</f>
        <v>5600</v>
      </c>
      <c r="AI196" s="404"/>
      <c r="IB196" s="275"/>
    </row>
    <row r="197" spans="1:236" ht="15" customHeight="1" x14ac:dyDescent="0.3">
      <c r="A197" s="231">
        <v>7.02</v>
      </c>
      <c r="B197" s="288"/>
      <c r="C197" s="289" t="str">
        <f>VLOOKUP(BD.PD[[#This Row],[Pos]],PPto[],3,FALSE)</f>
        <v>7.02 Cocina, Patio Comidas y Rostizería</v>
      </c>
      <c r="D197" s="231" t="s">
        <v>22</v>
      </c>
      <c r="E197" s="291" t="str">
        <f>IF(BD.PD[[#This Row],[.]]="*",VLOOKUP(BD.PD[[#This Row],[Pos]],Presupuesto!A:H,7,FALSE),"")</f>
        <v/>
      </c>
      <c r="F197" s="384" t="s">
        <v>236</v>
      </c>
      <c r="G197" s="292" t="s">
        <v>578</v>
      </c>
      <c r="H197" s="358">
        <v>45921</v>
      </c>
      <c r="I197" s="359">
        <v>4</v>
      </c>
      <c r="J197" s="231" t="s">
        <v>581</v>
      </c>
      <c r="K197" s="294">
        <f>IF(BD.PD[[#This Row],[Mon]]="DOP",1,HLOOKUP(BD.PD[[#This Row],[Mon]],$J$1:$K$2,2,FALSE))</f>
        <v>1</v>
      </c>
      <c r="L197" s="360">
        <v>1200</v>
      </c>
      <c r="M197" s="296">
        <f>BD.PD[[#This Row],[Cant.]]*BD.PD[[#This Row],[ Tasa ]]*BD.PD[[#This Row],[ Precio Und.]]</f>
        <v>4800</v>
      </c>
      <c r="N197" s="361">
        <v>0</v>
      </c>
      <c r="O197" s="296">
        <f>IF(BD.PD[[#This Row],[Liquid. '[%']]]&lt;&gt;0,(BD.PD[[#This Row],[Valor Neto '[DOP']]]*BD.PD[[#This Row],[Liquid. '[%']]])+BD.PD[[#This Row],[Valor Neto '[DOP']]],BD.PD[[#This Row],[Valor Neto '[DOP']]])</f>
        <v>4800</v>
      </c>
      <c r="P197" s="306">
        <f>BD.PD[[#This Row],[Ppto. Orden Interna '[DOP']]]/HLOOKUP("USD",$J$1:$K$2,2,FALSE)</f>
        <v>76.19047619047619</v>
      </c>
      <c r="Q197" s="299" t="s">
        <v>677</v>
      </c>
      <c r="R197" s="307"/>
      <c r="S197" s="300">
        <v>21</v>
      </c>
      <c r="T197" s="301">
        <v>1</v>
      </c>
      <c r="U197" s="308">
        <f>BD.PD[[#This Row],[Av.P1 '[%']]]*BD.PD[[#This Row],[Ppto. Orden Interna '[DOP']]]</f>
        <v>4800</v>
      </c>
      <c r="V197" s="303"/>
      <c r="W197" s="304"/>
      <c r="X197" s="308">
        <f>BD.PD[[#This Row],[Av.P2 '[%']]]*BD.PD[[#This Row],[Ppto. Orden Interna '[DOP']]]</f>
        <v>0</v>
      </c>
      <c r="Y197" s="303"/>
      <c r="Z197" s="304"/>
      <c r="AA197" s="308">
        <f>BD.PD[[#This Row],[Av.P3 '[%']]]*BD.PD[[#This Row],[Ppto. Orden Interna '[DOP']]]</f>
        <v>0</v>
      </c>
      <c r="AB197" s="303"/>
      <c r="AC197" s="304"/>
      <c r="AD197" s="308">
        <f>BD.PD[[#This Row],[Av.P4 '[%']]]*BD.PD[[#This Row],[Ppto. Orden Interna '[DOP']]]</f>
        <v>0</v>
      </c>
      <c r="AE197" s="303"/>
      <c r="AF197" s="304"/>
      <c r="AG197" s="308">
        <f>BD.PD[[#This Row],[Av.P5 '[%']]]*BD.PD[[#This Row],[Ppto. Orden Interna '[DOP']]]</f>
        <v>0</v>
      </c>
      <c r="AH197" s="305">
        <f>BD.PD[[#This Row],[Pago 5]]+BD.PD[[#This Row],[Pago 4]]+BD.PD[[#This Row],[Pago 3]]+BD.PD[[#This Row],[Pago 2]]+BD.PD[[#This Row],[Pago 1]]</f>
        <v>4800</v>
      </c>
      <c r="AI197" s="404"/>
      <c r="IB197" s="275"/>
    </row>
    <row r="198" spans="1:236" ht="14.1" customHeight="1" x14ac:dyDescent="0.3">
      <c r="A198" s="231">
        <v>7.02</v>
      </c>
      <c r="B198" s="288"/>
      <c r="C198" s="289" t="str">
        <f>VLOOKUP(BD.PD[[#This Row],[Pos]],PPto[],3,FALSE)</f>
        <v>7.02 Cocina, Patio Comidas y Rostizería</v>
      </c>
      <c r="D198" s="231" t="s">
        <v>22</v>
      </c>
      <c r="E198" s="291" t="str">
        <f>IF(BD.PD[[#This Row],[.]]="*",VLOOKUP(BD.PD[[#This Row],[Pos]],Presupuesto!A:H,7,FALSE),"")</f>
        <v/>
      </c>
      <c r="F198" s="384" t="s">
        <v>218</v>
      </c>
      <c r="G198" s="292" t="s">
        <v>578</v>
      </c>
      <c r="H198" s="358">
        <v>45921</v>
      </c>
      <c r="I198" s="359">
        <v>1</v>
      </c>
      <c r="J198" s="231" t="s">
        <v>581</v>
      </c>
      <c r="K198" s="294">
        <f>IF(BD.PD[[#This Row],[Mon]]="DOP",1,HLOOKUP(BD.PD[[#This Row],[Mon]],$J$1:$K$2,2,FALSE))</f>
        <v>1</v>
      </c>
      <c r="L198" s="360">
        <v>14000</v>
      </c>
      <c r="M198" s="296">
        <f>BD.PD[[#This Row],[Cant.]]*BD.PD[[#This Row],[ Tasa ]]*BD.PD[[#This Row],[ Precio Und.]]</f>
        <v>14000</v>
      </c>
      <c r="N198" s="361">
        <v>0</v>
      </c>
      <c r="O198" s="296">
        <f>IF(BD.PD[[#This Row],[Liquid. '[%']]]&lt;&gt;0,(BD.PD[[#This Row],[Valor Neto '[DOP']]]*BD.PD[[#This Row],[Liquid. '[%']]])+BD.PD[[#This Row],[Valor Neto '[DOP']]],BD.PD[[#This Row],[Valor Neto '[DOP']]])</f>
        <v>14000</v>
      </c>
      <c r="P198" s="306">
        <f>BD.PD[[#This Row],[Ppto. Orden Interna '[DOP']]]/HLOOKUP("USD",$J$1:$K$2,2,FALSE)</f>
        <v>222.22222222222223</v>
      </c>
      <c r="Q198" s="299" t="s">
        <v>677</v>
      </c>
      <c r="R198" s="307"/>
      <c r="S198" s="300">
        <v>21</v>
      </c>
      <c r="T198" s="301">
        <v>1</v>
      </c>
      <c r="U198" s="308">
        <f>BD.PD[[#This Row],[Av.P1 '[%']]]*BD.PD[[#This Row],[Ppto. Orden Interna '[DOP']]]</f>
        <v>14000</v>
      </c>
      <c r="V198" s="303"/>
      <c r="W198" s="304"/>
      <c r="X198" s="308">
        <f>BD.PD[[#This Row],[Av.P2 '[%']]]*BD.PD[[#This Row],[Ppto. Orden Interna '[DOP']]]</f>
        <v>0</v>
      </c>
      <c r="Y198" s="303"/>
      <c r="Z198" s="304"/>
      <c r="AA198" s="308">
        <f>BD.PD[[#This Row],[Av.P3 '[%']]]*BD.PD[[#This Row],[Ppto. Orden Interna '[DOP']]]</f>
        <v>0</v>
      </c>
      <c r="AB198" s="303"/>
      <c r="AC198" s="304"/>
      <c r="AD198" s="308">
        <f>BD.PD[[#This Row],[Av.P4 '[%']]]*BD.PD[[#This Row],[Ppto. Orden Interna '[DOP']]]</f>
        <v>0</v>
      </c>
      <c r="AE198" s="303"/>
      <c r="AF198" s="304"/>
      <c r="AG198" s="308">
        <f>BD.PD[[#This Row],[Av.P5 '[%']]]*BD.PD[[#This Row],[Ppto. Orden Interna '[DOP']]]</f>
        <v>0</v>
      </c>
      <c r="AH198" s="305">
        <f>BD.PD[[#This Row],[Pago 5]]+BD.PD[[#This Row],[Pago 4]]+BD.PD[[#This Row],[Pago 3]]+BD.PD[[#This Row],[Pago 2]]+BD.PD[[#This Row],[Pago 1]]</f>
        <v>14000</v>
      </c>
      <c r="AI198" s="404"/>
      <c r="IB198" s="275"/>
    </row>
    <row r="199" spans="1:236" ht="15" customHeight="1" x14ac:dyDescent="0.3">
      <c r="A199" s="231">
        <v>7.02</v>
      </c>
      <c r="B199" s="288"/>
      <c r="C199" s="289" t="str">
        <f>VLOOKUP(BD.PD[[#This Row],[Pos]],PPto[],3,FALSE)</f>
        <v>7.02 Cocina, Patio Comidas y Rostizería</v>
      </c>
      <c r="D199" s="231" t="s">
        <v>22</v>
      </c>
      <c r="E199" s="291" t="str">
        <f>IF(BD.PD[[#This Row],[.]]="*",VLOOKUP(BD.PD[[#This Row],[Pos]],Presupuesto!A:H,7,FALSE),"")</f>
        <v/>
      </c>
      <c r="F199" s="384" t="s">
        <v>216</v>
      </c>
      <c r="G199" s="292" t="s">
        <v>578</v>
      </c>
      <c r="H199" s="358">
        <v>45921</v>
      </c>
      <c r="I199" s="359">
        <v>1</v>
      </c>
      <c r="J199" s="231" t="s">
        <v>581</v>
      </c>
      <c r="K199" s="294">
        <f>IF(BD.PD[[#This Row],[Mon]]="DOP",1,HLOOKUP(BD.PD[[#This Row],[Mon]],$J$1:$K$2,2,FALSE))</f>
        <v>1</v>
      </c>
      <c r="L199" s="360">
        <v>2400</v>
      </c>
      <c r="M199" s="296">
        <f>BD.PD[[#This Row],[Cant.]]*BD.PD[[#This Row],[ Tasa ]]*BD.PD[[#This Row],[ Precio Und.]]</f>
        <v>2400</v>
      </c>
      <c r="N199" s="361">
        <v>0</v>
      </c>
      <c r="O199" s="296">
        <f>IF(BD.PD[[#This Row],[Liquid. '[%']]]&lt;&gt;0,(BD.PD[[#This Row],[Valor Neto '[DOP']]]*BD.PD[[#This Row],[Liquid. '[%']]])+BD.PD[[#This Row],[Valor Neto '[DOP']]],BD.PD[[#This Row],[Valor Neto '[DOP']]])</f>
        <v>2400</v>
      </c>
      <c r="P199" s="306">
        <f>BD.PD[[#This Row],[Ppto. Orden Interna '[DOP']]]/HLOOKUP("USD",$J$1:$K$2,2,FALSE)</f>
        <v>38.095238095238095</v>
      </c>
      <c r="Q199" s="299" t="s">
        <v>677</v>
      </c>
      <c r="R199" s="307"/>
      <c r="S199" s="300">
        <v>21</v>
      </c>
      <c r="T199" s="301">
        <v>1</v>
      </c>
      <c r="U199" s="308">
        <f>BD.PD[[#This Row],[Av.P1 '[%']]]*BD.PD[[#This Row],[Ppto. Orden Interna '[DOP']]]</f>
        <v>2400</v>
      </c>
      <c r="V199" s="303"/>
      <c r="W199" s="304"/>
      <c r="X199" s="308">
        <f>BD.PD[[#This Row],[Av.P2 '[%']]]*BD.PD[[#This Row],[Ppto. Orden Interna '[DOP']]]</f>
        <v>0</v>
      </c>
      <c r="Y199" s="303"/>
      <c r="Z199" s="304"/>
      <c r="AA199" s="308">
        <f>BD.PD[[#This Row],[Av.P3 '[%']]]*BD.PD[[#This Row],[Ppto. Orden Interna '[DOP']]]</f>
        <v>0</v>
      </c>
      <c r="AB199" s="303"/>
      <c r="AC199" s="304"/>
      <c r="AD199" s="308">
        <f>BD.PD[[#This Row],[Av.P4 '[%']]]*BD.PD[[#This Row],[Ppto. Orden Interna '[DOP']]]</f>
        <v>0</v>
      </c>
      <c r="AE199" s="303"/>
      <c r="AF199" s="304"/>
      <c r="AG199" s="308">
        <f>BD.PD[[#This Row],[Av.P5 '[%']]]*BD.PD[[#This Row],[Ppto. Orden Interna '[DOP']]]</f>
        <v>0</v>
      </c>
      <c r="AH199" s="305">
        <f>BD.PD[[#This Row],[Pago 5]]+BD.PD[[#This Row],[Pago 4]]+BD.PD[[#This Row],[Pago 3]]+BD.PD[[#This Row],[Pago 2]]+BD.PD[[#This Row],[Pago 1]]</f>
        <v>2400</v>
      </c>
      <c r="AI199" s="404"/>
      <c r="IB199" s="275"/>
    </row>
    <row r="200" spans="1:236" ht="15" customHeight="1" x14ac:dyDescent="0.3">
      <c r="A200" s="231">
        <v>7.02</v>
      </c>
      <c r="B200" s="288"/>
      <c r="C200" s="289" t="str">
        <f>VLOOKUP(BD.PD[[#This Row],[Pos]],PPto[],3,FALSE)</f>
        <v>7.02 Cocina, Patio Comidas y Rostizería</v>
      </c>
      <c r="D200" s="231" t="s">
        <v>22</v>
      </c>
      <c r="E200" s="291" t="str">
        <f>IF(BD.PD[[#This Row],[.]]="*",VLOOKUP(BD.PD[[#This Row],[Pos]],Presupuesto!A:H,7,FALSE),"")</f>
        <v/>
      </c>
      <c r="F200" s="384" t="s">
        <v>215</v>
      </c>
      <c r="G200" s="292" t="s">
        <v>578</v>
      </c>
      <c r="H200" s="358">
        <v>45921</v>
      </c>
      <c r="I200" s="359">
        <v>1</v>
      </c>
      <c r="J200" s="231" t="s">
        <v>581</v>
      </c>
      <c r="K200" s="294">
        <f>IF(BD.PD[[#This Row],[Mon]]="DOP",1,HLOOKUP(BD.PD[[#This Row],[Mon]],$J$1:$K$2,2,FALSE))</f>
        <v>1</v>
      </c>
      <c r="L200" s="360">
        <v>2400</v>
      </c>
      <c r="M200" s="296">
        <f>BD.PD[[#This Row],[Cant.]]*BD.PD[[#This Row],[ Tasa ]]*BD.PD[[#This Row],[ Precio Und.]]</f>
        <v>2400</v>
      </c>
      <c r="N200" s="361">
        <v>0</v>
      </c>
      <c r="O200" s="296">
        <f>IF(BD.PD[[#This Row],[Liquid. '[%']]]&lt;&gt;0,(BD.PD[[#This Row],[Valor Neto '[DOP']]]*BD.PD[[#This Row],[Liquid. '[%']]])+BD.PD[[#This Row],[Valor Neto '[DOP']]],BD.PD[[#This Row],[Valor Neto '[DOP']]])</f>
        <v>2400</v>
      </c>
      <c r="P200" s="306">
        <f>BD.PD[[#This Row],[Ppto. Orden Interna '[DOP']]]/HLOOKUP("USD",$J$1:$K$2,2,FALSE)</f>
        <v>38.095238095238095</v>
      </c>
      <c r="Q200" s="299" t="s">
        <v>677</v>
      </c>
      <c r="R200" s="307"/>
      <c r="S200" s="300">
        <v>21</v>
      </c>
      <c r="T200" s="301">
        <v>1</v>
      </c>
      <c r="U200" s="308">
        <f>BD.PD[[#This Row],[Av.P1 '[%']]]*BD.PD[[#This Row],[Ppto. Orden Interna '[DOP']]]</f>
        <v>2400</v>
      </c>
      <c r="V200" s="303"/>
      <c r="W200" s="304"/>
      <c r="X200" s="308">
        <f>BD.PD[[#This Row],[Av.P2 '[%']]]*BD.PD[[#This Row],[Ppto. Orden Interna '[DOP']]]</f>
        <v>0</v>
      </c>
      <c r="Y200" s="303"/>
      <c r="Z200" s="304"/>
      <c r="AA200" s="308">
        <f>BD.PD[[#This Row],[Av.P3 '[%']]]*BD.PD[[#This Row],[Ppto. Orden Interna '[DOP']]]</f>
        <v>0</v>
      </c>
      <c r="AB200" s="303"/>
      <c r="AC200" s="304"/>
      <c r="AD200" s="308">
        <f>BD.PD[[#This Row],[Av.P4 '[%']]]*BD.PD[[#This Row],[Ppto. Orden Interna '[DOP']]]</f>
        <v>0</v>
      </c>
      <c r="AE200" s="303"/>
      <c r="AF200" s="304"/>
      <c r="AG200" s="308">
        <f>BD.PD[[#This Row],[Av.P5 '[%']]]*BD.PD[[#This Row],[Ppto. Orden Interna '[DOP']]]</f>
        <v>0</v>
      </c>
      <c r="AH200" s="305">
        <f>BD.PD[[#This Row],[Pago 5]]+BD.PD[[#This Row],[Pago 4]]+BD.PD[[#This Row],[Pago 3]]+BD.PD[[#This Row],[Pago 2]]+BD.PD[[#This Row],[Pago 1]]</f>
        <v>2400</v>
      </c>
      <c r="AI200" s="404"/>
      <c r="IB200" s="275"/>
    </row>
    <row r="201" spans="1:236" ht="15" customHeight="1" x14ac:dyDescent="0.3">
      <c r="A201" s="231">
        <v>7.02</v>
      </c>
      <c r="B201" s="288"/>
      <c r="C201" s="289" t="str">
        <f>VLOOKUP(BD.PD[[#This Row],[Pos]],PPto[],3,FALSE)</f>
        <v>7.02 Cocina, Patio Comidas y Rostizería</v>
      </c>
      <c r="D201" s="231" t="s">
        <v>22</v>
      </c>
      <c r="E201" s="291" t="str">
        <f>IF(BD.PD[[#This Row],[.]]="*",VLOOKUP(BD.PD[[#This Row],[Pos]],Presupuesto!A:H,7,FALSE),"")</f>
        <v/>
      </c>
      <c r="F201" s="384" t="s">
        <v>210</v>
      </c>
      <c r="G201" s="292" t="s">
        <v>578</v>
      </c>
      <c r="H201" s="358">
        <v>45921</v>
      </c>
      <c r="I201" s="359">
        <v>2</v>
      </c>
      <c r="J201" s="231" t="s">
        <v>581</v>
      </c>
      <c r="K201" s="294">
        <f>IF(BD.PD[[#This Row],[Mon]]="DOP",1,HLOOKUP(BD.PD[[#This Row],[Mon]],$J$1:$K$2,2,FALSE))</f>
        <v>1</v>
      </c>
      <c r="L201" s="360">
        <v>4000</v>
      </c>
      <c r="M201" s="296">
        <f>BD.PD[[#This Row],[Cant.]]*BD.PD[[#This Row],[ Tasa ]]*BD.PD[[#This Row],[ Precio Und.]]</f>
        <v>8000</v>
      </c>
      <c r="N201" s="361">
        <v>0</v>
      </c>
      <c r="O201" s="296">
        <f>IF(BD.PD[[#This Row],[Liquid. '[%']]]&lt;&gt;0,(BD.PD[[#This Row],[Valor Neto '[DOP']]]*BD.PD[[#This Row],[Liquid. '[%']]])+BD.PD[[#This Row],[Valor Neto '[DOP']]],BD.PD[[#This Row],[Valor Neto '[DOP']]])</f>
        <v>8000</v>
      </c>
      <c r="P201" s="306">
        <f>BD.PD[[#This Row],[Ppto. Orden Interna '[DOP']]]/HLOOKUP("USD",$J$1:$K$2,2,FALSE)</f>
        <v>126.98412698412699</v>
      </c>
      <c r="Q201" s="299" t="s">
        <v>677</v>
      </c>
      <c r="R201" s="307"/>
      <c r="S201" s="300">
        <v>21</v>
      </c>
      <c r="T201" s="301">
        <v>1</v>
      </c>
      <c r="U201" s="308">
        <f>BD.PD[[#This Row],[Av.P1 '[%']]]*BD.PD[[#This Row],[Ppto. Orden Interna '[DOP']]]</f>
        <v>8000</v>
      </c>
      <c r="V201" s="303"/>
      <c r="W201" s="304"/>
      <c r="X201" s="308">
        <f>BD.PD[[#This Row],[Av.P2 '[%']]]*BD.PD[[#This Row],[Ppto. Orden Interna '[DOP']]]</f>
        <v>0</v>
      </c>
      <c r="Y201" s="303"/>
      <c r="Z201" s="304"/>
      <c r="AA201" s="308">
        <f>BD.PD[[#This Row],[Av.P3 '[%']]]*BD.PD[[#This Row],[Ppto. Orden Interna '[DOP']]]</f>
        <v>0</v>
      </c>
      <c r="AB201" s="303"/>
      <c r="AC201" s="304"/>
      <c r="AD201" s="308">
        <f>BD.PD[[#This Row],[Av.P4 '[%']]]*BD.PD[[#This Row],[Ppto. Orden Interna '[DOP']]]</f>
        <v>0</v>
      </c>
      <c r="AE201" s="303"/>
      <c r="AF201" s="304"/>
      <c r="AG201" s="308">
        <f>BD.PD[[#This Row],[Av.P5 '[%']]]*BD.PD[[#This Row],[Ppto. Orden Interna '[DOP']]]</f>
        <v>0</v>
      </c>
      <c r="AH201" s="305">
        <f>BD.PD[[#This Row],[Pago 5]]+BD.PD[[#This Row],[Pago 4]]+BD.PD[[#This Row],[Pago 3]]+BD.PD[[#This Row],[Pago 2]]+BD.PD[[#This Row],[Pago 1]]</f>
        <v>8000</v>
      </c>
      <c r="AI201" s="404"/>
      <c r="IB201" s="275"/>
    </row>
    <row r="202" spans="1:236" ht="21.6" customHeight="1" x14ac:dyDescent="0.3">
      <c r="A202" s="231">
        <v>7.02</v>
      </c>
      <c r="B202" s="288"/>
      <c r="C202" s="289" t="str">
        <f>VLOOKUP(BD.PD[[#This Row],[Pos]],PPto[],3,FALSE)</f>
        <v>7.02 Cocina, Patio Comidas y Rostizería</v>
      </c>
      <c r="D202" s="231" t="s">
        <v>22</v>
      </c>
      <c r="E202" s="291" t="str">
        <f>IF(BD.PD[[#This Row],[.]]="*",VLOOKUP(BD.PD[[#This Row],[Pos]],Presupuesto!A:H,7,FALSE),"")</f>
        <v/>
      </c>
      <c r="F202" s="384" t="s">
        <v>209</v>
      </c>
      <c r="G202" s="292" t="s">
        <v>578</v>
      </c>
      <c r="H202" s="358">
        <v>45921</v>
      </c>
      <c r="I202" s="359">
        <v>1</v>
      </c>
      <c r="J202" s="231" t="s">
        <v>581</v>
      </c>
      <c r="K202" s="294">
        <f>IF(BD.PD[[#This Row],[Mon]]="DOP",1,HLOOKUP(BD.PD[[#This Row],[Mon]],$J$1:$K$2,2,FALSE))</f>
        <v>1</v>
      </c>
      <c r="L202" s="360">
        <v>6000</v>
      </c>
      <c r="M202" s="296">
        <f>BD.PD[[#This Row],[Cant.]]*BD.PD[[#This Row],[ Tasa ]]*BD.PD[[#This Row],[ Precio Und.]]</f>
        <v>6000</v>
      </c>
      <c r="N202" s="361">
        <v>0.35</v>
      </c>
      <c r="O202" s="296">
        <f>IF(BD.PD[[#This Row],[Liquid. '[%']]]&lt;&gt;0,(BD.PD[[#This Row],[Valor Neto '[DOP']]]*BD.PD[[#This Row],[Liquid. '[%']]])+BD.PD[[#This Row],[Valor Neto '[DOP']]],BD.PD[[#This Row],[Valor Neto '[DOP']]])</f>
        <v>8100</v>
      </c>
      <c r="P202" s="306">
        <f>BD.PD[[#This Row],[Ppto. Orden Interna '[DOP']]]/HLOOKUP("USD",$J$1:$K$2,2,FALSE)</f>
        <v>128.57142857142858</v>
      </c>
      <c r="Q202" s="299" t="s">
        <v>677</v>
      </c>
      <c r="R202" s="307"/>
      <c r="S202" s="300">
        <v>21</v>
      </c>
      <c r="T202" s="301">
        <v>1</v>
      </c>
      <c r="U202" s="308">
        <f>BD.PD[[#This Row],[Av.P1 '[%']]]*BD.PD[[#This Row],[Ppto. Orden Interna '[DOP']]]</f>
        <v>8100</v>
      </c>
      <c r="V202" s="303"/>
      <c r="W202" s="304"/>
      <c r="X202" s="308">
        <f>BD.PD[[#This Row],[Av.P2 '[%']]]*BD.PD[[#This Row],[Ppto. Orden Interna '[DOP']]]</f>
        <v>0</v>
      </c>
      <c r="Y202" s="303"/>
      <c r="Z202" s="304"/>
      <c r="AA202" s="308">
        <f>BD.PD[[#This Row],[Av.P3 '[%']]]*BD.PD[[#This Row],[Ppto. Orden Interna '[DOP']]]</f>
        <v>0</v>
      </c>
      <c r="AB202" s="303"/>
      <c r="AC202" s="304"/>
      <c r="AD202" s="308">
        <f>BD.PD[[#This Row],[Av.P4 '[%']]]*BD.PD[[#This Row],[Ppto. Orden Interna '[DOP']]]</f>
        <v>0</v>
      </c>
      <c r="AE202" s="303"/>
      <c r="AF202" s="304"/>
      <c r="AG202" s="308">
        <f>BD.PD[[#This Row],[Av.P5 '[%']]]*BD.PD[[#This Row],[Ppto. Orden Interna '[DOP']]]</f>
        <v>0</v>
      </c>
      <c r="AH202" s="305">
        <f>BD.PD[[#This Row],[Pago 5]]+BD.PD[[#This Row],[Pago 4]]+BD.PD[[#This Row],[Pago 3]]+BD.PD[[#This Row],[Pago 2]]+BD.PD[[#This Row],[Pago 1]]</f>
        <v>8100</v>
      </c>
      <c r="AI202" s="404"/>
      <c r="IB202" s="275"/>
    </row>
    <row r="203" spans="1:236" ht="15" customHeight="1" x14ac:dyDescent="0.3">
      <c r="A203" s="231">
        <v>7.02</v>
      </c>
      <c r="B203" s="288"/>
      <c r="C203" s="289" t="str">
        <f>VLOOKUP(BD.PD[[#This Row],[Pos]],PPto[],3,FALSE)</f>
        <v>7.02 Cocina, Patio Comidas y Rostizería</v>
      </c>
      <c r="D203" s="231" t="s">
        <v>22</v>
      </c>
      <c r="E203" s="291" t="str">
        <f>IF(BD.PD[[#This Row],[.]]="*",VLOOKUP(BD.PD[[#This Row],[Pos]],Presupuesto!A:H,7,FALSE),"")</f>
        <v/>
      </c>
      <c r="F203" s="384" t="s">
        <v>208</v>
      </c>
      <c r="G203" s="292" t="s">
        <v>578</v>
      </c>
      <c r="H203" s="358">
        <v>45921</v>
      </c>
      <c r="I203" s="359">
        <v>1</v>
      </c>
      <c r="J203" s="231" t="s">
        <v>581</v>
      </c>
      <c r="K203" s="294">
        <f>IF(BD.PD[[#This Row],[Mon]]="DOP",1,HLOOKUP(BD.PD[[#This Row],[Mon]],$J$1:$K$2,2,FALSE))</f>
        <v>1</v>
      </c>
      <c r="L203" s="360">
        <v>600</v>
      </c>
      <c r="M203" s="296">
        <f>BD.PD[[#This Row],[Cant.]]*BD.PD[[#This Row],[ Tasa ]]*BD.PD[[#This Row],[ Precio Und.]]</f>
        <v>600</v>
      </c>
      <c r="N203" s="361">
        <v>0</v>
      </c>
      <c r="O203" s="296">
        <f>IF(BD.PD[[#This Row],[Liquid. '[%']]]&lt;&gt;0,(BD.PD[[#This Row],[Valor Neto '[DOP']]]*BD.PD[[#This Row],[Liquid. '[%']]])+BD.PD[[#This Row],[Valor Neto '[DOP']]],BD.PD[[#This Row],[Valor Neto '[DOP']]])</f>
        <v>600</v>
      </c>
      <c r="P203" s="306">
        <f>BD.PD[[#This Row],[Ppto. Orden Interna '[DOP']]]/HLOOKUP("USD",$J$1:$K$2,2,FALSE)</f>
        <v>9.5238095238095237</v>
      </c>
      <c r="Q203" s="299" t="s">
        <v>677</v>
      </c>
      <c r="R203" s="307"/>
      <c r="S203" s="300">
        <v>21</v>
      </c>
      <c r="T203" s="301">
        <v>1</v>
      </c>
      <c r="U203" s="308">
        <f>BD.PD[[#This Row],[Av.P1 '[%']]]*BD.PD[[#This Row],[Ppto. Orden Interna '[DOP']]]</f>
        <v>600</v>
      </c>
      <c r="V203" s="303"/>
      <c r="W203" s="304"/>
      <c r="X203" s="308">
        <f>BD.PD[[#This Row],[Av.P2 '[%']]]*BD.PD[[#This Row],[Ppto. Orden Interna '[DOP']]]</f>
        <v>0</v>
      </c>
      <c r="Y203" s="303"/>
      <c r="Z203" s="304"/>
      <c r="AA203" s="308">
        <f>BD.PD[[#This Row],[Av.P3 '[%']]]*BD.PD[[#This Row],[Ppto. Orden Interna '[DOP']]]</f>
        <v>0</v>
      </c>
      <c r="AB203" s="303"/>
      <c r="AC203" s="304"/>
      <c r="AD203" s="308">
        <f>BD.PD[[#This Row],[Av.P4 '[%']]]*BD.PD[[#This Row],[Ppto. Orden Interna '[DOP']]]</f>
        <v>0</v>
      </c>
      <c r="AE203" s="303"/>
      <c r="AF203" s="304"/>
      <c r="AG203" s="308">
        <f>BD.PD[[#This Row],[Av.P5 '[%']]]*BD.PD[[#This Row],[Ppto. Orden Interna '[DOP']]]</f>
        <v>0</v>
      </c>
      <c r="AH203" s="305">
        <f>BD.PD[[#This Row],[Pago 5]]+BD.PD[[#This Row],[Pago 4]]+BD.PD[[#This Row],[Pago 3]]+BD.PD[[#This Row],[Pago 2]]+BD.PD[[#This Row],[Pago 1]]</f>
        <v>600</v>
      </c>
      <c r="AI203" s="404"/>
      <c r="IB203" s="275"/>
    </row>
    <row r="204" spans="1:236" ht="15" customHeight="1" x14ac:dyDescent="0.3">
      <c r="A204" s="231">
        <v>7.02</v>
      </c>
      <c r="B204" s="288"/>
      <c r="C204" s="289" t="str">
        <f>VLOOKUP(BD.PD[[#This Row],[Pos]],PPto[],3,FALSE)</f>
        <v>7.02 Cocina, Patio Comidas y Rostizería</v>
      </c>
      <c r="D204" s="231" t="s">
        <v>22</v>
      </c>
      <c r="E204" s="291" t="str">
        <f>IF(BD.PD[[#This Row],[.]]="*",VLOOKUP(BD.PD[[#This Row],[Pos]],Presupuesto!A:H,7,FALSE),"")</f>
        <v/>
      </c>
      <c r="F204" s="384" t="s">
        <v>201</v>
      </c>
      <c r="G204" s="292" t="s">
        <v>578</v>
      </c>
      <c r="H204" s="358">
        <v>45921</v>
      </c>
      <c r="I204" s="359">
        <v>3</v>
      </c>
      <c r="J204" s="231" t="s">
        <v>581</v>
      </c>
      <c r="K204" s="294">
        <f>IF(BD.PD[[#This Row],[Mon]]="DOP",1,HLOOKUP(BD.PD[[#This Row],[Mon]],$J$1:$K$2,2,FALSE))</f>
        <v>1</v>
      </c>
      <c r="L204" s="360">
        <v>230</v>
      </c>
      <c r="M204" s="296">
        <f>BD.PD[[#This Row],[Cant.]]*BD.PD[[#This Row],[ Tasa ]]*BD.PD[[#This Row],[ Precio Und.]]</f>
        <v>690</v>
      </c>
      <c r="N204" s="361">
        <v>0</v>
      </c>
      <c r="O204" s="296">
        <f>IF(BD.PD[[#This Row],[Liquid. '[%']]]&lt;&gt;0,(BD.PD[[#This Row],[Valor Neto '[DOP']]]*BD.PD[[#This Row],[Liquid. '[%']]])+BD.PD[[#This Row],[Valor Neto '[DOP']]],BD.PD[[#This Row],[Valor Neto '[DOP']]])</f>
        <v>690</v>
      </c>
      <c r="P204" s="306">
        <f>BD.PD[[#This Row],[Ppto. Orden Interna '[DOP']]]/HLOOKUP("USD",$J$1:$K$2,2,FALSE)</f>
        <v>10.952380952380953</v>
      </c>
      <c r="Q204" s="299" t="s">
        <v>677</v>
      </c>
      <c r="R204" s="307"/>
      <c r="S204" s="300">
        <v>21</v>
      </c>
      <c r="T204" s="301">
        <v>1</v>
      </c>
      <c r="U204" s="308">
        <f>BD.PD[[#This Row],[Av.P1 '[%']]]*BD.PD[[#This Row],[Ppto. Orden Interna '[DOP']]]</f>
        <v>690</v>
      </c>
      <c r="V204" s="303"/>
      <c r="W204" s="304"/>
      <c r="X204" s="308">
        <f>BD.PD[[#This Row],[Av.P2 '[%']]]*BD.PD[[#This Row],[Ppto. Orden Interna '[DOP']]]</f>
        <v>0</v>
      </c>
      <c r="Y204" s="303"/>
      <c r="Z204" s="304"/>
      <c r="AA204" s="308">
        <f>BD.PD[[#This Row],[Av.P3 '[%']]]*BD.PD[[#This Row],[Ppto. Orden Interna '[DOP']]]</f>
        <v>0</v>
      </c>
      <c r="AB204" s="303"/>
      <c r="AC204" s="304"/>
      <c r="AD204" s="308">
        <f>BD.PD[[#This Row],[Av.P4 '[%']]]*BD.PD[[#This Row],[Ppto. Orden Interna '[DOP']]]</f>
        <v>0</v>
      </c>
      <c r="AE204" s="303"/>
      <c r="AF204" s="304"/>
      <c r="AG204" s="308">
        <f>BD.PD[[#This Row],[Av.P5 '[%']]]*BD.PD[[#This Row],[Ppto. Orden Interna '[DOP']]]</f>
        <v>0</v>
      </c>
      <c r="AH204" s="305">
        <f>BD.PD[[#This Row],[Pago 5]]+BD.PD[[#This Row],[Pago 4]]+BD.PD[[#This Row],[Pago 3]]+BD.PD[[#This Row],[Pago 2]]+BD.PD[[#This Row],[Pago 1]]</f>
        <v>690</v>
      </c>
      <c r="AI204" s="404"/>
      <c r="IB204" s="275"/>
    </row>
    <row r="205" spans="1:236" ht="15" customHeight="1" x14ac:dyDescent="0.3">
      <c r="A205" s="231">
        <v>7.02</v>
      </c>
      <c r="B205" s="288"/>
      <c r="C205" s="289" t="str">
        <f>VLOOKUP(BD.PD[[#This Row],[Pos]],PPto[],3,FALSE)</f>
        <v>7.02 Cocina, Patio Comidas y Rostizería</v>
      </c>
      <c r="D205" s="231" t="s">
        <v>22</v>
      </c>
      <c r="E205" s="291" t="str">
        <f>IF(BD.PD[[#This Row],[.]]="*",VLOOKUP(BD.PD[[#This Row],[Pos]],Presupuesto!A:H,7,FALSE),"")</f>
        <v/>
      </c>
      <c r="F205" s="384" t="s">
        <v>200</v>
      </c>
      <c r="G205" s="292" t="s">
        <v>578</v>
      </c>
      <c r="H205" s="358">
        <v>45921</v>
      </c>
      <c r="I205" s="359">
        <v>2</v>
      </c>
      <c r="J205" s="231" t="s">
        <v>581</v>
      </c>
      <c r="K205" s="294">
        <f>IF(BD.PD[[#This Row],[Mon]]="DOP",1,HLOOKUP(BD.PD[[#This Row],[Mon]],$J$1:$K$2,2,FALSE))</f>
        <v>1</v>
      </c>
      <c r="L205" s="360">
        <v>3000</v>
      </c>
      <c r="M205" s="296">
        <f>BD.PD[[#This Row],[Cant.]]*BD.PD[[#This Row],[ Tasa ]]*BD.PD[[#This Row],[ Precio Und.]]</f>
        <v>6000</v>
      </c>
      <c r="N205" s="361">
        <v>0</v>
      </c>
      <c r="O205" s="296">
        <f>IF(BD.PD[[#This Row],[Liquid. '[%']]]&lt;&gt;0,(BD.PD[[#This Row],[Valor Neto '[DOP']]]*BD.PD[[#This Row],[Liquid. '[%']]])+BD.PD[[#This Row],[Valor Neto '[DOP']]],BD.PD[[#This Row],[Valor Neto '[DOP']]])</f>
        <v>6000</v>
      </c>
      <c r="P205" s="306">
        <f>BD.PD[[#This Row],[Ppto. Orden Interna '[DOP']]]/HLOOKUP("USD",$J$1:$K$2,2,FALSE)</f>
        <v>95.238095238095241</v>
      </c>
      <c r="Q205" s="299" t="s">
        <v>677</v>
      </c>
      <c r="R205" s="307"/>
      <c r="S205" s="300">
        <v>21</v>
      </c>
      <c r="T205" s="301">
        <v>1</v>
      </c>
      <c r="U205" s="308">
        <f>BD.PD[[#This Row],[Av.P1 '[%']]]*BD.PD[[#This Row],[Ppto. Orden Interna '[DOP']]]</f>
        <v>6000</v>
      </c>
      <c r="V205" s="303"/>
      <c r="W205" s="304"/>
      <c r="X205" s="308">
        <f>BD.PD[[#This Row],[Av.P2 '[%']]]*BD.PD[[#This Row],[Ppto. Orden Interna '[DOP']]]</f>
        <v>0</v>
      </c>
      <c r="Y205" s="303"/>
      <c r="Z205" s="304"/>
      <c r="AA205" s="308">
        <f>BD.PD[[#This Row],[Av.P3 '[%']]]*BD.PD[[#This Row],[Ppto. Orden Interna '[DOP']]]</f>
        <v>0</v>
      </c>
      <c r="AB205" s="303"/>
      <c r="AC205" s="304"/>
      <c r="AD205" s="308">
        <f>BD.PD[[#This Row],[Av.P4 '[%']]]*BD.PD[[#This Row],[Ppto. Orden Interna '[DOP']]]</f>
        <v>0</v>
      </c>
      <c r="AE205" s="303"/>
      <c r="AF205" s="304"/>
      <c r="AG205" s="308">
        <f>BD.PD[[#This Row],[Av.P5 '[%']]]*BD.PD[[#This Row],[Ppto. Orden Interna '[DOP']]]</f>
        <v>0</v>
      </c>
      <c r="AH205" s="305">
        <f>BD.PD[[#This Row],[Pago 5]]+BD.PD[[#This Row],[Pago 4]]+BD.PD[[#This Row],[Pago 3]]+BD.PD[[#This Row],[Pago 2]]+BD.PD[[#This Row],[Pago 1]]</f>
        <v>6000</v>
      </c>
      <c r="AI205" s="404"/>
      <c r="IB205" s="275"/>
    </row>
    <row r="206" spans="1:236" ht="15" customHeight="1" x14ac:dyDescent="0.3">
      <c r="A206" s="231">
        <v>7.02</v>
      </c>
      <c r="B206" s="288"/>
      <c r="C206" s="289" t="str">
        <f>VLOOKUP(BD.PD[[#This Row],[Pos]],PPto[],3,FALSE)</f>
        <v>7.02 Cocina, Patio Comidas y Rostizería</v>
      </c>
      <c r="D206" s="231" t="s">
        <v>22</v>
      </c>
      <c r="E206" s="291" t="str">
        <f>IF(BD.PD[[#This Row],[.]]="*",VLOOKUP(BD.PD[[#This Row],[Pos]],Presupuesto!A:H,7,FALSE),"")</f>
        <v/>
      </c>
      <c r="F206" s="384" t="s">
        <v>198</v>
      </c>
      <c r="G206" s="292" t="s">
        <v>578</v>
      </c>
      <c r="H206" s="358">
        <v>45921</v>
      </c>
      <c r="I206" s="359">
        <v>3</v>
      </c>
      <c r="J206" s="231" t="s">
        <v>581</v>
      </c>
      <c r="K206" s="294">
        <f>IF(BD.PD[[#This Row],[Mon]]="DOP",1,HLOOKUP(BD.PD[[#This Row],[Mon]],$J$1:$K$2,2,FALSE))</f>
        <v>1</v>
      </c>
      <c r="L206" s="360">
        <v>150</v>
      </c>
      <c r="M206" s="296">
        <f>BD.PD[[#This Row],[Cant.]]*BD.PD[[#This Row],[ Tasa ]]*BD.PD[[#This Row],[ Precio Und.]]</f>
        <v>450</v>
      </c>
      <c r="N206" s="361">
        <v>0</v>
      </c>
      <c r="O206" s="296">
        <f>IF(BD.PD[[#This Row],[Liquid. '[%']]]&lt;&gt;0,(BD.PD[[#This Row],[Valor Neto '[DOP']]]*BD.PD[[#This Row],[Liquid. '[%']]])+BD.PD[[#This Row],[Valor Neto '[DOP']]],BD.PD[[#This Row],[Valor Neto '[DOP']]])</f>
        <v>450</v>
      </c>
      <c r="P206" s="306">
        <f>BD.PD[[#This Row],[Ppto. Orden Interna '[DOP']]]/HLOOKUP("USD",$J$1:$K$2,2,FALSE)</f>
        <v>7.1428571428571432</v>
      </c>
      <c r="Q206" s="299" t="s">
        <v>677</v>
      </c>
      <c r="R206" s="307"/>
      <c r="S206" s="300">
        <v>21</v>
      </c>
      <c r="T206" s="301">
        <v>1</v>
      </c>
      <c r="U206" s="308">
        <f>BD.PD[[#This Row],[Av.P1 '[%']]]*BD.PD[[#This Row],[Ppto. Orden Interna '[DOP']]]</f>
        <v>450</v>
      </c>
      <c r="V206" s="303"/>
      <c r="W206" s="304"/>
      <c r="X206" s="308">
        <f>BD.PD[[#This Row],[Av.P2 '[%']]]*BD.PD[[#This Row],[Ppto. Orden Interna '[DOP']]]</f>
        <v>0</v>
      </c>
      <c r="Y206" s="303"/>
      <c r="Z206" s="304"/>
      <c r="AA206" s="308">
        <f>BD.PD[[#This Row],[Av.P3 '[%']]]*BD.PD[[#This Row],[Ppto. Orden Interna '[DOP']]]</f>
        <v>0</v>
      </c>
      <c r="AB206" s="303"/>
      <c r="AC206" s="304"/>
      <c r="AD206" s="308">
        <f>BD.PD[[#This Row],[Av.P4 '[%']]]*BD.PD[[#This Row],[Ppto. Orden Interna '[DOP']]]</f>
        <v>0</v>
      </c>
      <c r="AE206" s="303"/>
      <c r="AF206" s="304"/>
      <c r="AG206" s="308">
        <f>BD.PD[[#This Row],[Av.P5 '[%']]]*BD.PD[[#This Row],[Ppto. Orden Interna '[DOP']]]</f>
        <v>0</v>
      </c>
      <c r="AH206" s="305">
        <f>BD.PD[[#This Row],[Pago 5]]+BD.PD[[#This Row],[Pago 4]]+BD.PD[[#This Row],[Pago 3]]+BD.PD[[#This Row],[Pago 2]]+BD.PD[[#This Row],[Pago 1]]</f>
        <v>450</v>
      </c>
      <c r="AI206" s="404"/>
      <c r="IB206" s="275"/>
    </row>
    <row r="207" spans="1:236" ht="15" customHeight="1" x14ac:dyDescent="0.3">
      <c r="A207" s="231">
        <v>7.03</v>
      </c>
      <c r="B207" s="288" t="s">
        <v>574</v>
      </c>
      <c r="C207" s="289" t="str">
        <f>VLOOKUP(BD.PD[[#This Row],[Pos]],PPto[],3,FALSE)</f>
        <v>7.03 Equipamiento Carniceria, Pescadería y Delicatesen</v>
      </c>
      <c r="D207" s="290" t="s">
        <v>574</v>
      </c>
      <c r="E207" s="291">
        <f>IF(BD.PD[[#This Row],[.]]="*",VLOOKUP(BD.PD[[#This Row],[Pos]],Presupuesto!A:H,7,FALSE),"")</f>
        <v>53605.920479233231</v>
      </c>
      <c r="F207" s="292"/>
      <c r="G207" s="292" t="s">
        <v>575</v>
      </c>
      <c r="H207" s="292"/>
      <c r="I207" s="293">
        <v>1</v>
      </c>
      <c r="J207" s="290" t="s">
        <v>456</v>
      </c>
      <c r="K207" s="294">
        <f>IF(BD.PD[[#This Row],[Mon]]="DOP",1,HLOOKUP(BD.PD[[#This Row],[Mon]],$J$1:$K$2,2,FALSE))</f>
        <v>63</v>
      </c>
      <c r="L207" s="295">
        <v>0</v>
      </c>
      <c r="M207" s="296">
        <f>BD.PD[[#This Row],[Cant.]]*BD.PD[[#This Row],[ Tasa ]]*BD.PD[[#This Row],[ Precio Und.]]</f>
        <v>0</v>
      </c>
      <c r="N207" s="297">
        <v>0</v>
      </c>
      <c r="O207" s="296">
        <f>IF(BD.PD[[#This Row],[Liquid. '[%']]]&lt;&gt;0,(BD.PD[[#This Row],[Valor Neto '[DOP']]]*BD.PD[[#This Row],[Liquid. '[%']]])+BD.PD[[#This Row],[Valor Neto '[DOP']]],BD.PD[[#This Row],[Valor Neto '[DOP']]])</f>
        <v>0</v>
      </c>
      <c r="P207" s="306">
        <f>BD.PD[[#This Row],[Ppto. Orden Interna '[DOP']]]/HLOOKUP("USD",$J$1:$K$2,2,FALSE)</f>
        <v>0</v>
      </c>
      <c r="Q207" s="299"/>
      <c r="R207" s="307"/>
      <c r="S207" s="300"/>
      <c r="T207" s="301"/>
      <c r="U207" s="308">
        <f>BD.PD[[#This Row],[Av.P1 '[%']]]*BD.PD[[#This Row],[Ppto. Orden Interna '[DOP']]]</f>
        <v>0</v>
      </c>
      <c r="V207" s="303"/>
      <c r="W207" s="304"/>
      <c r="X207" s="308">
        <f>BD.PD[[#This Row],[Av.P2 '[%']]]*BD.PD[[#This Row],[Ppto. Orden Interna '[DOP']]]</f>
        <v>0</v>
      </c>
      <c r="Y207" s="303"/>
      <c r="Z207" s="304"/>
      <c r="AA207" s="308">
        <f>BD.PD[[#This Row],[Av.P3 '[%']]]*BD.PD[[#This Row],[Ppto. Orden Interna '[DOP']]]</f>
        <v>0</v>
      </c>
      <c r="AB207" s="303"/>
      <c r="AC207" s="304"/>
      <c r="AD207" s="308">
        <f>BD.PD[[#This Row],[Av.P4 '[%']]]*BD.PD[[#This Row],[Ppto. Orden Interna '[DOP']]]</f>
        <v>0</v>
      </c>
      <c r="AE207" s="303"/>
      <c r="AF207" s="304"/>
      <c r="AG207" s="308">
        <f>BD.PD[[#This Row],[Av.P5 '[%']]]*BD.PD[[#This Row],[Ppto. Orden Interna '[DOP']]]</f>
        <v>0</v>
      </c>
      <c r="AH207" s="305">
        <f>BD.PD[[#This Row],[Pago 5]]+BD.PD[[#This Row],[Pago 4]]+BD.PD[[#This Row],[Pago 3]]+BD.PD[[#This Row],[Pago 2]]+BD.PD[[#This Row],[Pago 1]]</f>
        <v>0</v>
      </c>
      <c r="AI207" s="404"/>
      <c r="IB207" s="275"/>
    </row>
    <row r="208" spans="1:236" ht="15" customHeight="1" x14ac:dyDescent="0.3">
      <c r="A208" s="231">
        <v>7.03</v>
      </c>
      <c r="B208" s="288"/>
      <c r="C208" s="289" t="str">
        <f>VLOOKUP(BD.PD[[#This Row],[Pos]],PPto[],3,FALSE)</f>
        <v>7.03 Equipamiento Carniceria, Pescadería y Delicatesen</v>
      </c>
      <c r="D208" s="231" t="s">
        <v>22</v>
      </c>
      <c r="E208" s="291" t="str">
        <f>IF(BD.PD[[#This Row],[.]]="*",VLOOKUP(BD.PD[[#This Row],[Pos]],Presupuesto!A:H,7,FALSE),"")</f>
        <v/>
      </c>
      <c r="F208" s="387" t="s">
        <v>269</v>
      </c>
      <c r="G208" s="292">
        <v>4512411633</v>
      </c>
      <c r="H208" s="358">
        <v>45705</v>
      </c>
      <c r="I208" s="359">
        <v>1</v>
      </c>
      <c r="J208" s="231" t="s">
        <v>581</v>
      </c>
      <c r="K208" s="294">
        <f>IF(BD.PD[[#This Row],[Mon]]="DOP",1,HLOOKUP(BD.PD[[#This Row],[Mon]],$J$1:$K$2,2,FALSE))</f>
        <v>1</v>
      </c>
      <c r="L208" s="360">
        <v>165106.71</v>
      </c>
      <c r="M208" s="296">
        <f>BD.PD[[#This Row],[Cant.]]*BD.PD[[#This Row],[ Tasa ]]*BD.PD[[#This Row],[ Precio Und.]]</f>
        <v>165106.71</v>
      </c>
      <c r="N208" s="361">
        <v>0</v>
      </c>
      <c r="O208" s="296">
        <f>IF(BD.PD[[#This Row],[Liquid. '[%']]]&lt;&gt;0,(BD.PD[[#This Row],[Valor Neto '[DOP']]]*BD.PD[[#This Row],[Liquid. '[%']]])+BD.PD[[#This Row],[Valor Neto '[DOP']]],BD.PD[[#This Row],[Valor Neto '[DOP']]])</f>
        <v>165106.71</v>
      </c>
      <c r="P208" s="306">
        <f>BD.PD[[#This Row],[Ppto. Orden Interna '[DOP']]]/HLOOKUP("USD",$J$1:$K$2,2,FALSE)</f>
        <v>2620.7414285714285</v>
      </c>
      <c r="Q208" s="299" t="s">
        <v>671</v>
      </c>
      <c r="R208" s="307" t="s">
        <v>672</v>
      </c>
      <c r="S208" s="300">
        <v>10</v>
      </c>
      <c r="T208" s="301">
        <v>0.5</v>
      </c>
      <c r="U208" s="308">
        <f>BD.PD[[#This Row],[Av.P1 '[%']]]*BD.PD[[#This Row],[Ppto. Orden Interna '[DOP']]]</f>
        <v>82553.354999999996</v>
      </c>
      <c r="V208" s="303">
        <v>21</v>
      </c>
      <c r="W208" s="304">
        <v>0.5</v>
      </c>
      <c r="X208" s="308">
        <f>BD.PD[[#This Row],[Av.P2 '[%']]]*BD.PD[[#This Row],[Ppto. Orden Interna '[DOP']]]</f>
        <v>82553.354999999996</v>
      </c>
      <c r="Y208" s="303"/>
      <c r="Z208" s="304"/>
      <c r="AA208" s="308">
        <f>BD.PD[[#This Row],[Av.P3 '[%']]]*BD.PD[[#This Row],[Ppto. Orden Interna '[DOP']]]</f>
        <v>0</v>
      </c>
      <c r="AB208" s="303"/>
      <c r="AC208" s="304"/>
      <c r="AD208" s="308">
        <f>BD.PD[[#This Row],[Av.P4 '[%']]]*BD.PD[[#This Row],[Ppto. Orden Interna '[DOP']]]</f>
        <v>0</v>
      </c>
      <c r="AE208" s="303"/>
      <c r="AF208" s="304"/>
      <c r="AG208" s="308">
        <f>BD.PD[[#This Row],[Av.P5 '[%']]]*BD.PD[[#This Row],[Ppto. Orden Interna '[DOP']]]</f>
        <v>0</v>
      </c>
      <c r="AH208" s="305">
        <f>BD.PD[[#This Row],[Pago 5]]+BD.PD[[#This Row],[Pago 4]]+BD.PD[[#This Row],[Pago 3]]+BD.PD[[#This Row],[Pago 2]]+BD.PD[[#This Row],[Pago 1]]</f>
        <v>165106.71</v>
      </c>
      <c r="AI208" s="404"/>
      <c r="IB208" s="275"/>
    </row>
    <row r="209" spans="1:236" ht="15" customHeight="1" x14ac:dyDescent="0.3">
      <c r="A209" s="231">
        <v>7.03</v>
      </c>
      <c r="B209" s="288"/>
      <c r="C209" s="289" t="str">
        <f>VLOOKUP(BD.PD[[#This Row],[Pos]],PPto[],3,FALSE)</f>
        <v>7.03 Equipamiento Carniceria, Pescadería y Delicatesen</v>
      </c>
      <c r="D209" s="231" t="s">
        <v>22</v>
      </c>
      <c r="E209" s="291" t="str">
        <f>IF(BD.PD[[#This Row],[.]]="*",VLOOKUP(BD.PD[[#This Row],[Pos]],Presupuesto!A:H,7,FALSE),"")</f>
        <v/>
      </c>
      <c r="F209" s="387" t="s">
        <v>265</v>
      </c>
      <c r="G209" s="292">
        <v>4512411633</v>
      </c>
      <c r="H209" s="358">
        <v>45705</v>
      </c>
      <c r="I209" s="359">
        <v>2</v>
      </c>
      <c r="J209" s="231" t="s">
        <v>581</v>
      </c>
      <c r="K209" s="294">
        <f>IF(BD.PD[[#This Row],[Mon]]="DOP",1,HLOOKUP(BD.PD[[#This Row],[Mon]],$J$1:$K$2,2,FALSE))</f>
        <v>1</v>
      </c>
      <c r="L209" s="360">
        <v>294000</v>
      </c>
      <c r="M209" s="296">
        <f>BD.PD[[#This Row],[Cant.]]*BD.PD[[#This Row],[ Tasa ]]*BD.PD[[#This Row],[ Precio Und.]]</f>
        <v>588000</v>
      </c>
      <c r="N209" s="361">
        <v>0</v>
      </c>
      <c r="O209" s="296">
        <f>IF(BD.PD[[#This Row],[Liquid. '[%']]]&lt;&gt;0,(BD.PD[[#This Row],[Valor Neto '[DOP']]]*BD.PD[[#This Row],[Liquid. '[%']]])+BD.PD[[#This Row],[Valor Neto '[DOP']]],BD.PD[[#This Row],[Valor Neto '[DOP']]])</f>
        <v>588000</v>
      </c>
      <c r="P209" s="306">
        <f>BD.PD[[#This Row],[Ppto. Orden Interna '[DOP']]]/HLOOKUP("USD",$J$1:$K$2,2,FALSE)</f>
        <v>9333.3333333333339</v>
      </c>
      <c r="Q209" s="299" t="s">
        <v>671</v>
      </c>
      <c r="R209" s="307" t="s">
        <v>672</v>
      </c>
      <c r="S209" s="300">
        <v>10</v>
      </c>
      <c r="T209" s="301">
        <v>0.5</v>
      </c>
      <c r="U209" s="308">
        <f>BD.PD[[#This Row],[Av.P1 '[%']]]*BD.PD[[#This Row],[Ppto. Orden Interna '[DOP']]]</f>
        <v>294000</v>
      </c>
      <c r="V209" s="303">
        <v>21</v>
      </c>
      <c r="W209" s="304">
        <v>0.5</v>
      </c>
      <c r="X209" s="308">
        <f>BD.PD[[#This Row],[Av.P2 '[%']]]*BD.PD[[#This Row],[Ppto. Orden Interna '[DOP']]]</f>
        <v>294000</v>
      </c>
      <c r="Y209" s="303"/>
      <c r="Z209" s="304"/>
      <c r="AA209" s="308">
        <f>BD.PD[[#This Row],[Av.P3 '[%']]]*BD.PD[[#This Row],[Ppto. Orden Interna '[DOP']]]</f>
        <v>0</v>
      </c>
      <c r="AB209" s="303"/>
      <c r="AC209" s="304"/>
      <c r="AD209" s="308">
        <f>BD.PD[[#This Row],[Av.P4 '[%']]]*BD.PD[[#This Row],[Ppto. Orden Interna '[DOP']]]</f>
        <v>0</v>
      </c>
      <c r="AE209" s="303"/>
      <c r="AF209" s="304"/>
      <c r="AG209" s="308">
        <f>BD.PD[[#This Row],[Av.P5 '[%']]]*BD.PD[[#This Row],[Ppto. Orden Interna '[DOP']]]</f>
        <v>0</v>
      </c>
      <c r="AH209" s="305">
        <f>BD.PD[[#This Row],[Pago 5]]+BD.PD[[#This Row],[Pago 4]]+BD.PD[[#This Row],[Pago 3]]+BD.PD[[#This Row],[Pago 2]]+BD.PD[[#This Row],[Pago 1]]</f>
        <v>588000</v>
      </c>
      <c r="AI209" s="404"/>
      <c r="IB209" s="275"/>
    </row>
    <row r="210" spans="1:236" ht="15" customHeight="1" x14ac:dyDescent="0.3">
      <c r="A210" s="231">
        <v>7.03</v>
      </c>
      <c r="B210" s="288"/>
      <c r="C210" s="289" t="str">
        <f>VLOOKUP(BD.PD[[#This Row],[Pos]],PPto[],3,FALSE)</f>
        <v>7.03 Equipamiento Carniceria, Pescadería y Delicatesen</v>
      </c>
      <c r="D210" s="231" t="s">
        <v>22</v>
      </c>
      <c r="E210" s="291" t="str">
        <f>IF(BD.PD[[#This Row],[.]]="*",VLOOKUP(BD.PD[[#This Row],[Pos]],Presupuesto!A:H,7,FALSE),"")</f>
        <v/>
      </c>
      <c r="F210" s="387" t="s">
        <v>267</v>
      </c>
      <c r="G210" s="292">
        <v>4512411633</v>
      </c>
      <c r="H210" s="358">
        <v>45705</v>
      </c>
      <c r="I210" s="359">
        <v>2</v>
      </c>
      <c r="J210" s="231" t="s">
        <v>581</v>
      </c>
      <c r="K210" s="294">
        <f>IF(BD.PD[[#This Row],[Mon]]="DOP",1,HLOOKUP(BD.PD[[#This Row],[Mon]],$J$1:$K$2,2,FALSE))</f>
        <v>1</v>
      </c>
      <c r="L210" s="360">
        <v>151549.5</v>
      </c>
      <c r="M210" s="296">
        <f>BD.PD[[#This Row],[Cant.]]*BD.PD[[#This Row],[ Tasa ]]*BD.PD[[#This Row],[ Precio Und.]]</f>
        <v>303099</v>
      </c>
      <c r="N210" s="361">
        <v>0</v>
      </c>
      <c r="O210" s="296">
        <f>IF(BD.PD[[#This Row],[Liquid. '[%']]]&lt;&gt;0,(BD.PD[[#This Row],[Valor Neto '[DOP']]]*BD.PD[[#This Row],[Liquid. '[%']]])+BD.PD[[#This Row],[Valor Neto '[DOP']]],BD.PD[[#This Row],[Valor Neto '[DOP']]])</f>
        <v>303099</v>
      </c>
      <c r="P210" s="306">
        <f>BD.PD[[#This Row],[Ppto. Orden Interna '[DOP']]]/HLOOKUP("USD",$J$1:$K$2,2,FALSE)</f>
        <v>4811.0952380952385</v>
      </c>
      <c r="Q210" s="299" t="s">
        <v>671</v>
      </c>
      <c r="R210" s="307" t="s">
        <v>672</v>
      </c>
      <c r="S210" s="300">
        <v>10</v>
      </c>
      <c r="T210" s="301">
        <v>0.5</v>
      </c>
      <c r="U210" s="308">
        <f>BD.PD[[#This Row],[Av.P1 '[%']]]*BD.PD[[#This Row],[Ppto. Orden Interna '[DOP']]]</f>
        <v>151549.5</v>
      </c>
      <c r="V210" s="303">
        <v>21</v>
      </c>
      <c r="W210" s="304">
        <v>0.5</v>
      </c>
      <c r="X210" s="308">
        <f>BD.PD[[#This Row],[Av.P2 '[%']]]*BD.PD[[#This Row],[Ppto. Orden Interna '[DOP']]]</f>
        <v>151549.5</v>
      </c>
      <c r="Y210" s="303"/>
      <c r="Z210" s="304"/>
      <c r="AA210" s="308">
        <f>BD.PD[[#This Row],[Av.P3 '[%']]]*BD.PD[[#This Row],[Ppto. Orden Interna '[DOP']]]</f>
        <v>0</v>
      </c>
      <c r="AB210" s="303"/>
      <c r="AC210" s="304"/>
      <c r="AD210" s="308">
        <f>BD.PD[[#This Row],[Av.P4 '[%']]]*BD.PD[[#This Row],[Ppto. Orden Interna '[DOP']]]</f>
        <v>0</v>
      </c>
      <c r="AE210" s="303"/>
      <c r="AF210" s="304"/>
      <c r="AG210" s="308">
        <f>BD.PD[[#This Row],[Av.P5 '[%']]]*BD.PD[[#This Row],[Ppto. Orden Interna '[DOP']]]</f>
        <v>0</v>
      </c>
      <c r="AH210" s="305">
        <f>BD.PD[[#This Row],[Pago 5]]+BD.PD[[#This Row],[Pago 4]]+BD.PD[[#This Row],[Pago 3]]+BD.PD[[#This Row],[Pago 2]]+BD.PD[[#This Row],[Pago 1]]</f>
        <v>303099</v>
      </c>
      <c r="AI210" s="404"/>
      <c r="IB210" s="275"/>
    </row>
    <row r="211" spans="1:236" ht="15" customHeight="1" x14ac:dyDescent="0.3">
      <c r="A211" s="231">
        <v>7.03</v>
      </c>
      <c r="B211" s="288"/>
      <c r="C211" s="289" t="str">
        <f>VLOOKUP(BD.PD[[#This Row],[Pos]],PPto[],3,FALSE)</f>
        <v>7.03 Equipamiento Carniceria, Pescadería y Delicatesen</v>
      </c>
      <c r="D211" s="231" t="s">
        <v>22</v>
      </c>
      <c r="E211" s="291" t="str">
        <f>IF(BD.PD[[#This Row],[.]]="*",VLOOKUP(BD.PD[[#This Row],[Pos]],Presupuesto!A:H,7,FALSE),"")</f>
        <v/>
      </c>
      <c r="F211" s="387" t="s">
        <v>268</v>
      </c>
      <c r="G211" s="292">
        <v>4512411633</v>
      </c>
      <c r="H211" s="358">
        <v>45705</v>
      </c>
      <c r="I211" s="359">
        <v>1</v>
      </c>
      <c r="J211" s="231" t="s">
        <v>581</v>
      </c>
      <c r="K211" s="294">
        <f>IF(BD.PD[[#This Row],[Mon]]="DOP",1,HLOOKUP(BD.PD[[#This Row],[Mon]],$J$1:$K$2,2,FALSE))</f>
        <v>1</v>
      </c>
      <c r="L211" s="360">
        <v>397260.62</v>
      </c>
      <c r="M211" s="296">
        <f>BD.PD[[#This Row],[Cant.]]*BD.PD[[#This Row],[ Tasa ]]*BD.PD[[#This Row],[ Precio Und.]]</f>
        <v>397260.62</v>
      </c>
      <c r="N211" s="361">
        <v>0</v>
      </c>
      <c r="O211" s="296">
        <f>IF(BD.PD[[#This Row],[Liquid. '[%']]]&lt;&gt;0,(BD.PD[[#This Row],[Valor Neto '[DOP']]]*BD.PD[[#This Row],[Liquid. '[%']]])+BD.PD[[#This Row],[Valor Neto '[DOP']]],BD.PD[[#This Row],[Valor Neto '[DOP']]])</f>
        <v>397260.62</v>
      </c>
      <c r="P211" s="306">
        <f>BD.PD[[#This Row],[Ppto. Orden Interna '[DOP']]]/HLOOKUP("USD",$J$1:$K$2,2,FALSE)</f>
        <v>6305.724126984127</v>
      </c>
      <c r="Q211" s="299" t="s">
        <v>671</v>
      </c>
      <c r="R211" s="307" t="s">
        <v>672</v>
      </c>
      <c r="S211" s="300">
        <v>10</v>
      </c>
      <c r="T211" s="301">
        <v>0.5</v>
      </c>
      <c r="U211" s="308">
        <f>BD.PD[[#This Row],[Av.P1 '[%']]]*BD.PD[[#This Row],[Ppto. Orden Interna '[DOP']]]</f>
        <v>198630.31</v>
      </c>
      <c r="V211" s="303">
        <v>21</v>
      </c>
      <c r="W211" s="304">
        <v>0.5</v>
      </c>
      <c r="X211" s="308">
        <f>BD.PD[[#This Row],[Av.P2 '[%']]]*BD.PD[[#This Row],[Ppto. Orden Interna '[DOP']]]</f>
        <v>198630.31</v>
      </c>
      <c r="Y211" s="303"/>
      <c r="Z211" s="304"/>
      <c r="AA211" s="308">
        <f>BD.PD[[#This Row],[Av.P3 '[%']]]*BD.PD[[#This Row],[Ppto. Orden Interna '[DOP']]]</f>
        <v>0</v>
      </c>
      <c r="AB211" s="303"/>
      <c r="AC211" s="304"/>
      <c r="AD211" s="308">
        <f>BD.PD[[#This Row],[Av.P4 '[%']]]*BD.PD[[#This Row],[Ppto. Orden Interna '[DOP']]]</f>
        <v>0</v>
      </c>
      <c r="AE211" s="303"/>
      <c r="AF211" s="304"/>
      <c r="AG211" s="308">
        <f>BD.PD[[#This Row],[Av.P5 '[%']]]*BD.PD[[#This Row],[Ppto. Orden Interna '[DOP']]]</f>
        <v>0</v>
      </c>
      <c r="AH211" s="305">
        <f>BD.PD[[#This Row],[Pago 5]]+BD.PD[[#This Row],[Pago 4]]+BD.PD[[#This Row],[Pago 3]]+BD.PD[[#This Row],[Pago 2]]+BD.PD[[#This Row],[Pago 1]]</f>
        <v>397260.62</v>
      </c>
      <c r="AI211" s="404"/>
      <c r="IB211" s="275"/>
    </row>
    <row r="212" spans="1:236" ht="15" customHeight="1" x14ac:dyDescent="0.3">
      <c r="A212" s="231">
        <v>7.03</v>
      </c>
      <c r="B212" s="288"/>
      <c r="C212" s="289" t="str">
        <f>VLOOKUP(BD.PD[[#This Row],[Pos]],PPto[],3,FALSE)</f>
        <v>7.03 Equipamiento Carniceria, Pescadería y Delicatesen</v>
      </c>
      <c r="D212" s="231" t="s">
        <v>22</v>
      </c>
      <c r="E212" s="291" t="str">
        <f>IF(BD.PD[[#This Row],[.]]="*",VLOOKUP(BD.PD[[#This Row],[Pos]],Presupuesto!A:H,7,FALSE),"")</f>
        <v/>
      </c>
      <c r="F212" s="387" t="s">
        <v>260</v>
      </c>
      <c r="G212" s="292">
        <v>4512411633</v>
      </c>
      <c r="H212" s="358">
        <v>45705</v>
      </c>
      <c r="I212" s="359">
        <v>1</v>
      </c>
      <c r="J212" s="231" t="s">
        <v>581</v>
      </c>
      <c r="K212" s="294">
        <f>IF(BD.PD[[#This Row],[Mon]]="DOP",1,HLOOKUP(BD.PD[[#This Row],[Mon]],$J$1:$K$2,2,FALSE))</f>
        <v>1</v>
      </c>
      <c r="L212" s="360">
        <v>181574.8</v>
      </c>
      <c r="M212" s="296">
        <f>BD.PD[[#This Row],[Cant.]]*BD.PD[[#This Row],[ Tasa ]]*BD.PD[[#This Row],[ Precio Und.]]</f>
        <v>181574.8</v>
      </c>
      <c r="N212" s="361">
        <v>0</v>
      </c>
      <c r="O212" s="296">
        <f>IF(BD.PD[[#This Row],[Liquid. '[%']]]&lt;&gt;0,(BD.PD[[#This Row],[Valor Neto '[DOP']]]*BD.PD[[#This Row],[Liquid. '[%']]])+BD.PD[[#This Row],[Valor Neto '[DOP']]],BD.PD[[#This Row],[Valor Neto '[DOP']]])</f>
        <v>181574.8</v>
      </c>
      <c r="P212" s="306">
        <f>BD.PD[[#This Row],[Ppto. Orden Interna '[DOP']]]/HLOOKUP("USD",$J$1:$K$2,2,FALSE)</f>
        <v>2882.1396825396823</v>
      </c>
      <c r="Q212" s="299" t="s">
        <v>671</v>
      </c>
      <c r="R212" s="307" t="s">
        <v>672</v>
      </c>
      <c r="S212" s="300">
        <v>10</v>
      </c>
      <c r="T212" s="301">
        <v>0.5</v>
      </c>
      <c r="U212" s="308">
        <f>BD.PD[[#This Row],[Av.P1 '[%']]]*BD.PD[[#This Row],[Ppto. Orden Interna '[DOP']]]</f>
        <v>90787.4</v>
      </c>
      <c r="V212" s="303">
        <v>21</v>
      </c>
      <c r="W212" s="304">
        <v>0.5</v>
      </c>
      <c r="X212" s="308">
        <f>BD.PD[[#This Row],[Av.P2 '[%']]]*BD.PD[[#This Row],[Ppto. Orden Interna '[DOP']]]</f>
        <v>90787.4</v>
      </c>
      <c r="Y212" s="303"/>
      <c r="Z212" s="304"/>
      <c r="AA212" s="308">
        <f>BD.PD[[#This Row],[Av.P3 '[%']]]*BD.PD[[#This Row],[Ppto. Orden Interna '[DOP']]]</f>
        <v>0</v>
      </c>
      <c r="AB212" s="303"/>
      <c r="AC212" s="304"/>
      <c r="AD212" s="308">
        <f>BD.PD[[#This Row],[Av.P4 '[%']]]*BD.PD[[#This Row],[Ppto. Orden Interna '[DOP']]]</f>
        <v>0</v>
      </c>
      <c r="AE212" s="303"/>
      <c r="AF212" s="304"/>
      <c r="AG212" s="308">
        <f>BD.PD[[#This Row],[Av.P5 '[%']]]*BD.PD[[#This Row],[Ppto. Orden Interna '[DOP']]]</f>
        <v>0</v>
      </c>
      <c r="AH212" s="305">
        <f>BD.PD[[#This Row],[Pago 5]]+BD.PD[[#This Row],[Pago 4]]+BD.PD[[#This Row],[Pago 3]]+BD.PD[[#This Row],[Pago 2]]+BD.PD[[#This Row],[Pago 1]]</f>
        <v>181574.8</v>
      </c>
      <c r="AI212" s="404"/>
      <c r="IB212" s="275"/>
    </row>
    <row r="213" spans="1:236" ht="15" customHeight="1" x14ac:dyDescent="0.3">
      <c r="A213" s="231">
        <v>7.03</v>
      </c>
      <c r="B213" s="288"/>
      <c r="C213" s="289" t="str">
        <f>VLOOKUP(BD.PD[[#This Row],[Pos]],PPto[],3,FALSE)</f>
        <v>7.03 Equipamiento Carniceria, Pescadería y Delicatesen</v>
      </c>
      <c r="D213" s="231" t="s">
        <v>22</v>
      </c>
      <c r="E213" s="291" t="str">
        <f>IF(BD.PD[[#This Row],[.]]="*",VLOOKUP(BD.PD[[#This Row],[Pos]],Presupuesto!A:H,7,FALSE),"")</f>
        <v/>
      </c>
      <c r="F213" s="387" t="s">
        <v>259</v>
      </c>
      <c r="G213" s="292">
        <v>4512411633</v>
      </c>
      <c r="H213" s="358">
        <v>45705</v>
      </c>
      <c r="I213" s="359">
        <v>1</v>
      </c>
      <c r="J213" s="231" t="s">
        <v>581</v>
      </c>
      <c r="K213" s="294">
        <f>IF(BD.PD[[#This Row],[Mon]]="DOP",1,HLOOKUP(BD.PD[[#This Row],[Mon]],$J$1:$K$2,2,FALSE))</f>
        <v>1</v>
      </c>
      <c r="L213" s="360">
        <v>546727.98</v>
      </c>
      <c r="M213" s="296">
        <f>BD.PD[[#This Row],[Cant.]]*BD.PD[[#This Row],[ Tasa ]]*BD.PD[[#This Row],[ Precio Und.]]</f>
        <v>546727.98</v>
      </c>
      <c r="N213" s="361">
        <v>0</v>
      </c>
      <c r="O213" s="296">
        <f>IF(BD.PD[[#This Row],[Liquid. '[%']]]&lt;&gt;0,(BD.PD[[#This Row],[Valor Neto '[DOP']]]*BD.PD[[#This Row],[Liquid. '[%']]])+BD.PD[[#This Row],[Valor Neto '[DOP']]],BD.PD[[#This Row],[Valor Neto '[DOP']]])</f>
        <v>546727.98</v>
      </c>
      <c r="P213" s="306">
        <f>BD.PD[[#This Row],[Ppto. Orden Interna '[DOP']]]/HLOOKUP("USD",$J$1:$K$2,2,FALSE)</f>
        <v>8678.2219047619037</v>
      </c>
      <c r="Q213" s="299" t="s">
        <v>671</v>
      </c>
      <c r="R213" s="307" t="s">
        <v>672</v>
      </c>
      <c r="S213" s="300">
        <v>10</v>
      </c>
      <c r="T213" s="301">
        <v>0.5</v>
      </c>
      <c r="U213" s="308">
        <f>BD.PD[[#This Row],[Av.P1 '[%']]]*BD.PD[[#This Row],[Ppto. Orden Interna '[DOP']]]</f>
        <v>273363.99</v>
      </c>
      <c r="V213" s="303">
        <v>21</v>
      </c>
      <c r="W213" s="304">
        <v>0.5</v>
      </c>
      <c r="X213" s="308">
        <f>BD.PD[[#This Row],[Av.P2 '[%']]]*BD.PD[[#This Row],[Ppto. Orden Interna '[DOP']]]</f>
        <v>273363.99</v>
      </c>
      <c r="Y213" s="303"/>
      <c r="Z213" s="304"/>
      <c r="AA213" s="308">
        <f>BD.PD[[#This Row],[Av.P3 '[%']]]*BD.PD[[#This Row],[Ppto. Orden Interna '[DOP']]]</f>
        <v>0</v>
      </c>
      <c r="AB213" s="303"/>
      <c r="AC213" s="304"/>
      <c r="AD213" s="308">
        <f>BD.PD[[#This Row],[Av.P4 '[%']]]*BD.PD[[#This Row],[Ppto. Orden Interna '[DOP']]]</f>
        <v>0</v>
      </c>
      <c r="AE213" s="303"/>
      <c r="AF213" s="304"/>
      <c r="AG213" s="308">
        <f>BD.PD[[#This Row],[Av.P5 '[%']]]*BD.PD[[#This Row],[Ppto. Orden Interna '[DOP']]]</f>
        <v>0</v>
      </c>
      <c r="AH213" s="305">
        <f>BD.PD[[#This Row],[Pago 5]]+BD.PD[[#This Row],[Pago 4]]+BD.PD[[#This Row],[Pago 3]]+BD.PD[[#This Row],[Pago 2]]+BD.PD[[#This Row],[Pago 1]]</f>
        <v>546727.98</v>
      </c>
      <c r="AI213" s="404"/>
      <c r="IB213" s="275"/>
    </row>
    <row r="214" spans="1:236" ht="15" customHeight="1" x14ac:dyDescent="0.3">
      <c r="A214" s="231">
        <v>7.03</v>
      </c>
      <c r="B214" s="288"/>
      <c r="C214" s="289" t="str">
        <f>VLOOKUP(BD.PD[[#This Row],[Pos]],PPto[],3,FALSE)</f>
        <v>7.03 Equipamiento Carniceria, Pescadería y Delicatesen</v>
      </c>
      <c r="D214" s="231" t="s">
        <v>22</v>
      </c>
      <c r="E214" s="291" t="str">
        <f>IF(BD.PD[[#This Row],[.]]="*",VLOOKUP(BD.PD[[#This Row],[Pos]],Presupuesto!A:H,7,FALSE),"")</f>
        <v/>
      </c>
      <c r="F214" s="387" t="s">
        <v>258</v>
      </c>
      <c r="G214" s="292">
        <v>4512411633</v>
      </c>
      <c r="H214" s="358">
        <v>45705</v>
      </c>
      <c r="I214" s="359">
        <v>1</v>
      </c>
      <c r="J214" s="231" t="s">
        <v>581</v>
      </c>
      <c r="K214" s="294">
        <f>IF(BD.PD[[#This Row],[Mon]]="DOP",1,HLOOKUP(BD.PD[[#This Row],[Mon]],$J$1:$K$2,2,FALSE))</f>
        <v>1</v>
      </c>
      <c r="L214" s="360">
        <v>937877.67</v>
      </c>
      <c r="M214" s="296">
        <f>BD.PD[[#This Row],[Cant.]]*BD.PD[[#This Row],[ Tasa ]]*BD.PD[[#This Row],[ Precio Und.]]</f>
        <v>937877.67</v>
      </c>
      <c r="N214" s="361">
        <v>0</v>
      </c>
      <c r="O214" s="296">
        <f>IF(BD.PD[[#This Row],[Liquid. '[%']]]&lt;&gt;0,(BD.PD[[#This Row],[Valor Neto '[DOP']]]*BD.PD[[#This Row],[Liquid. '[%']]])+BD.PD[[#This Row],[Valor Neto '[DOP']]],BD.PD[[#This Row],[Valor Neto '[DOP']]])</f>
        <v>937877.67</v>
      </c>
      <c r="P214" s="306">
        <f>BD.PD[[#This Row],[Ppto. Orden Interna '[DOP']]]/HLOOKUP("USD",$J$1:$K$2,2,FALSE)</f>
        <v>14886.947142857143</v>
      </c>
      <c r="Q214" s="299" t="s">
        <v>671</v>
      </c>
      <c r="R214" s="307" t="s">
        <v>672</v>
      </c>
      <c r="S214" s="300">
        <v>10</v>
      </c>
      <c r="T214" s="301">
        <v>0.5</v>
      </c>
      <c r="U214" s="308">
        <f>BD.PD[[#This Row],[Av.P1 '[%']]]*BD.PD[[#This Row],[Ppto. Orden Interna '[DOP']]]</f>
        <v>468938.83500000002</v>
      </c>
      <c r="V214" s="303">
        <v>21</v>
      </c>
      <c r="W214" s="304">
        <v>0.5</v>
      </c>
      <c r="X214" s="308">
        <f>BD.PD[[#This Row],[Av.P2 '[%']]]*BD.PD[[#This Row],[Ppto. Orden Interna '[DOP']]]</f>
        <v>468938.83500000002</v>
      </c>
      <c r="Y214" s="303"/>
      <c r="Z214" s="304"/>
      <c r="AA214" s="308">
        <f>BD.PD[[#This Row],[Av.P3 '[%']]]*BD.PD[[#This Row],[Ppto. Orden Interna '[DOP']]]</f>
        <v>0</v>
      </c>
      <c r="AB214" s="303"/>
      <c r="AC214" s="304"/>
      <c r="AD214" s="308">
        <f>BD.PD[[#This Row],[Av.P4 '[%']]]*BD.PD[[#This Row],[Ppto. Orden Interna '[DOP']]]</f>
        <v>0</v>
      </c>
      <c r="AE214" s="303"/>
      <c r="AF214" s="304"/>
      <c r="AG214" s="308">
        <f>BD.PD[[#This Row],[Av.P5 '[%']]]*BD.PD[[#This Row],[Ppto. Orden Interna '[DOP']]]</f>
        <v>0</v>
      </c>
      <c r="AH214" s="305">
        <f>BD.PD[[#This Row],[Pago 5]]+BD.PD[[#This Row],[Pago 4]]+BD.PD[[#This Row],[Pago 3]]+BD.PD[[#This Row],[Pago 2]]+BD.PD[[#This Row],[Pago 1]]</f>
        <v>937877.67</v>
      </c>
      <c r="AI214" s="404"/>
      <c r="IB214" s="275"/>
    </row>
    <row r="215" spans="1:236" ht="15" customHeight="1" x14ac:dyDescent="0.3">
      <c r="A215" s="231">
        <v>7.03</v>
      </c>
      <c r="B215" s="288"/>
      <c r="C215" s="289" t="str">
        <f>VLOOKUP(BD.PD[[#This Row],[Pos]],PPto[],3,FALSE)</f>
        <v>7.03 Equipamiento Carniceria, Pescadería y Delicatesen</v>
      </c>
      <c r="D215" s="231" t="s">
        <v>22</v>
      </c>
      <c r="E215" s="291" t="str">
        <f>IF(BD.PD[[#This Row],[.]]="*",VLOOKUP(BD.PD[[#This Row],[Pos]],Presupuesto!A:H,7,FALSE),"")</f>
        <v/>
      </c>
      <c r="F215" s="387" t="s">
        <v>266</v>
      </c>
      <c r="G215" s="292">
        <v>4512411633</v>
      </c>
      <c r="H215" s="358">
        <v>45705</v>
      </c>
      <c r="I215" s="359">
        <v>1</v>
      </c>
      <c r="J215" s="231" t="s">
        <v>581</v>
      </c>
      <c r="K215" s="294">
        <f>IF(BD.PD[[#This Row],[Mon]]="DOP",1,HLOOKUP(BD.PD[[#This Row],[Mon]],$J$1:$K$2,2,FALSE))</f>
        <v>1</v>
      </c>
      <c r="L215" s="360">
        <v>140501.32999999999</v>
      </c>
      <c r="M215" s="296">
        <f>BD.PD[[#This Row],[Cant.]]*BD.PD[[#This Row],[ Tasa ]]*BD.PD[[#This Row],[ Precio Und.]]</f>
        <v>140501.32999999999</v>
      </c>
      <c r="N215" s="361">
        <v>0</v>
      </c>
      <c r="O215" s="296">
        <f>IF(BD.PD[[#This Row],[Liquid. '[%']]]&lt;&gt;0,(BD.PD[[#This Row],[Valor Neto '[DOP']]]*BD.PD[[#This Row],[Liquid. '[%']]])+BD.PD[[#This Row],[Valor Neto '[DOP']]],BD.PD[[#This Row],[Valor Neto '[DOP']]])</f>
        <v>140501.32999999999</v>
      </c>
      <c r="P215" s="306">
        <f>BD.PD[[#This Row],[Ppto. Orden Interna '[DOP']]]/HLOOKUP("USD",$J$1:$K$2,2,FALSE)</f>
        <v>2230.1798412698413</v>
      </c>
      <c r="Q215" s="299" t="s">
        <v>671</v>
      </c>
      <c r="R215" s="307" t="s">
        <v>672</v>
      </c>
      <c r="S215" s="300">
        <v>10</v>
      </c>
      <c r="T215" s="301">
        <v>0.5</v>
      </c>
      <c r="U215" s="308">
        <f>BD.PD[[#This Row],[Av.P1 '[%']]]*BD.PD[[#This Row],[Ppto. Orden Interna '[DOP']]]</f>
        <v>70250.664999999994</v>
      </c>
      <c r="V215" s="303">
        <v>21</v>
      </c>
      <c r="W215" s="304">
        <v>0.5</v>
      </c>
      <c r="X215" s="308">
        <f>BD.PD[[#This Row],[Av.P2 '[%']]]*BD.PD[[#This Row],[Ppto. Orden Interna '[DOP']]]</f>
        <v>70250.664999999994</v>
      </c>
      <c r="Y215" s="303"/>
      <c r="Z215" s="304"/>
      <c r="AA215" s="308">
        <f>BD.PD[[#This Row],[Av.P3 '[%']]]*BD.PD[[#This Row],[Ppto. Orden Interna '[DOP']]]</f>
        <v>0</v>
      </c>
      <c r="AB215" s="303"/>
      <c r="AC215" s="304"/>
      <c r="AD215" s="308">
        <f>BD.PD[[#This Row],[Av.P4 '[%']]]*BD.PD[[#This Row],[Ppto. Orden Interna '[DOP']]]</f>
        <v>0</v>
      </c>
      <c r="AE215" s="303"/>
      <c r="AF215" s="304"/>
      <c r="AG215" s="308">
        <f>BD.PD[[#This Row],[Av.P5 '[%']]]*BD.PD[[#This Row],[Ppto. Orden Interna '[DOP']]]</f>
        <v>0</v>
      </c>
      <c r="AH215" s="305">
        <f>BD.PD[[#This Row],[Pago 5]]+BD.PD[[#This Row],[Pago 4]]+BD.PD[[#This Row],[Pago 3]]+BD.PD[[#This Row],[Pago 2]]+BD.PD[[#This Row],[Pago 1]]</f>
        <v>140501.32999999999</v>
      </c>
      <c r="AI215" s="404"/>
      <c r="IB215" s="275"/>
    </row>
    <row r="216" spans="1:236" ht="15" customHeight="1" x14ac:dyDescent="0.3">
      <c r="A216" s="231">
        <v>7.03</v>
      </c>
      <c r="B216" s="288"/>
      <c r="C216" s="289" t="str">
        <f>VLOOKUP(BD.PD[[#This Row],[Pos]],PPto[],3,FALSE)</f>
        <v>7.03 Equipamiento Carniceria, Pescadería y Delicatesen</v>
      </c>
      <c r="D216" s="231" t="s">
        <v>22</v>
      </c>
      <c r="E216" s="291" t="str">
        <f>IF(BD.PD[[#This Row],[.]]="*",VLOOKUP(BD.PD[[#This Row],[Pos]],Presupuesto!A:H,7,FALSE),"")</f>
        <v/>
      </c>
      <c r="F216" s="390" t="s">
        <v>261</v>
      </c>
      <c r="G216" s="292">
        <v>4600072453</v>
      </c>
      <c r="H216" s="358">
        <v>45699</v>
      </c>
      <c r="I216" s="359">
        <v>18</v>
      </c>
      <c r="J216" s="231" t="s">
        <v>581</v>
      </c>
      <c r="K216" s="294">
        <f>IF(BD.PD[[#This Row],[Mon]]="DOP",1,HLOOKUP(BD.PD[[#This Row],[Mon]],$J$1:$K$2,2,FALSE))</f>
        <v>1</v>
      </c>
      <c r="L216" s="360">
        <v>475.52000000000004</v>
      </c>
      <c r="M216" s="296">
        <f>BD.PD[[#This Row],[Cant.]]*BD.PD[[#This Row],[ Tasa ]]*BD.PD[[#This Row],[ Precio Und.]]</f>
        <v>8559.36</v>
      </c>
      <c r="N216" s="361">
        <v>0</v>
      </c>
      <c r="O216" s="296">
        <f>IF(BD.PD[[#This Row],[Liquid. '[%']]]&lt;&gt;0,(BD.PD[[#This Row],[Valor Neto '[DOP']]]*BD.PD[[#This Row],[Liquid. '[%']]])+BD.PD[[#This Row],[Valor Neto '[DOP']]],BD.PD[[#This Row],[Valor Neto '[DOP']]])</f>
        <v>8559.36</v>
      </c>
      <c r="P216" s="306">
        <f>BD.PD[[#This Row],[Ppto. Orden Interna '[DOP']]]/HLOOKUP("USD",$J$1:$K$2,2,FALSE)</f>
        <v>135.86285714285717</v>
      </c>
      <c r="Q216" s="299" t="s">
        <v>690</v>
      </c>
      <c r="R216" s="292" t="s">
        <v>678</v>
      </c>
      <c r="S216" s="300">
        <v>4</v>
      </c>
      <c r="T216" s="301">
        <v>1</v>
      </c>
      <c r="U216" s="308">
        <f>BD.PD[[#This Row],[Av.P1 '[%']]]*BD.PD[[#This Row],[Ppto. Orden Interna '[DOP']]]</f>
        <v>8559.36</v>
      </c>
      <c r="V216" s="303"/>
      <c r="W216" s="304"/>
      <c r="X216" s="308">
        <f>BD.PD[[#This Row],[Av.P2 '[%']]]*BD.PD[[#This Row],[Ppto. Orden Interna '[DOP']]]</f>
        <v>0</v>
      </c>
      <c r="Y216" s="303"/>
      <c r="Z216" s="304"/>
      <c r="AA216" s="308">
        <f>BD.PD[[#This Row],[Av.P3 '[%']]]*BD.PD[[#This Row],[Ppto. Orden Interna '[DOP']]]</f>
        <v>0</v>
      </c>
      <c r="AB216" s="303"/>
      <c r="AC216" s="304"/>
      <c r="AD216" s="308">
        <f>BD.PD[[#This Row],[Av.P4 '[%']]]*BD.PD[[#This Row],[Ppto. Orden Interna '[DOP']]]</f>
        <v>0</v>
      </c>
      <c r="AE216" s="303"/>
      <c r="AF216" s="304"/>
      <c r="AG216" s="308">
        <f>BD.PD[[#This Row],[Av.P5 '[%']]]*BD.PD[[#This Row],[Ppto. Orden Interna '[DOP']]]</f>
        <v>0</v>
      </c>
      <c r="AH216" s="305">
        <f>BD.PD[[#This Row],[Pago 5]]+BD.PD[[#This Row],[Pago 4]]+BD.PD[[#This Row],[Pago 3]]+BD.PD[[#This Row],[Pago 2]]+BD.PD[[#This Row],[Pago 1]]</f>
        <v>8559.36</v>
      </c>
      <c r="AI216" s="404"/>
      <c r="IB216" s="275"/>
    </row>
    <row r="217" spans="1:236" ht="15" customHeight="1" x14ac:dyDescent="0.3">
      <c r="A217" s="231">
        <v>7.03</v>
      </c>
      <c r="B217" s="288"/>
      <c r="C217" s="289" t="str">
        <f>VLOOKUP(BD.PD[[#This Row],[Pos]],PPto[],3,FALSE)</f>
        <v>7.03 Equipamiento Carniceria, Pescadería y Delicatesen</v>
      </c>
      <c r="D217" s="231" t="s">
        <v>22</v>
      </c>
      <c r="E217" s="291" t="str">
        <f>IF(BD.PD[[#This Row],[.]]="*",VLOOKUP(BD.PD[[#This Row],[Pos]],Presupuesto!A:H,7,FALSE),"")</f>
        <v/>
      </c>
      <c r="F217" s="292" t="s">
        <v>270</v>
      </c>
      <c r="G217" s="292" t="s">
        <v>578</v>
      </c>
      <c r="H217" s="358">
        <v>45921</v>
      </c>
      <c r="I217" s="359">
        <v>2</v>
      </c>
      <c r="J217" s="231" t="s">
        <v>581</v>
      </c>
      <c r="K217" s="294">
        <f>IF(BD.PD[[#This Row],[Mon]]="DOP",1,HLOOKUP(BD.PD[[#This Row],[Mon]],$J$1:$K$2,2,FALSE))</f>
        <v>1</v>
      </c>
      <c r="L217" s="360">
        <v>8808.0550000000003</v>
      </c>
      <c r="M217" s="296">
        <f>BD.PD[[#This Row],[Cant.]]*BD.PD[[#This Row],[ Tasa ]]*BD.PD[[#This Row],[ Precio Und.]]</f>
        <v>17616.11</v>
      </c>
      <c r="N217" s="361">
        <v>0</v>
      </c>
      <c r="O217" s="296">
        <f>IF(BD.PD[[#This Row],[Liquid. '[%']]]&lt;&gt;0,(BD.PD[[#This Row],[Valor Neto '[DOP']]]*BD.PD[[#This Row],[Liquid. '[%']]])+BD.PD[[#This Row],[Valor Neto '[DOP']]],BD.PD[[#This Row],[Valor Neto '[DOP']]])</f>
        <v>17616.11</v>
      </c>
      <c r="P217" s="306">
        <f>BD.PD[[#This Row],[Ppto. Orden Interna '[DOP']]]/HLOOKUP("USD",$J$1:$K$2,2,FALSE)</f>
        <v>279.62079365079364</v>
      </c>
      <c r="Q217" s="299" t="s">
        <v>691</v>
      </c>
      <c r="R217" s="292"/>
      <c r="S217" s="300">
        <v>21</v>
      </c>
      <c r="T217" s="301">
        <v>1</v>
      </c>
      <c r="U217" s="308">
        <f>BD.PD[[#This Row],[Av.P1 '[%']]]*BD.PD[[#This Row],[Ppto. Orden Interna '[DOP']]]</f>
        <v>17616.11</v>
      </c>
      <c r="V217" s="303"/>
      <c r="W217" s="304"/>
      <c r="X217" s="308">
        <f>BD.PD[[#This Row],[Av.P2 '[%']]]*BD.PD[[#This Row],[Ppto. Orden Interna '[DOP']]]</f>
        <v>0</v>
      </c>
      <c r="Y217" s="303"/>
      <c r="Z217" s="304"/>
      <c r="AA217" s="308">
        <f>BD.PD[[#This Row],[Av.P3 '[%']]]*BD.PD[[#This Row],[Ppto. Orden Interna '[DOP']]]</f>
        <v>0</v>
      </c>
      <c r="AB217" s="303"/>
      <c r="AC217" s="304"/>
      <c r="AD217" s="308">
        <f>BD.PD[[#This Row],[Av.P4 '[%']]]*BD.PD[[#This Row],[Ppto. Orden Interna '[DOP']]]</f>
        <v>0</v>
      </c>
      <c r="AE217" s="303"/>
      <c r="AF217" s="304"/>
      <c r="AG217" s="308">
        <f>BD.PD[[#This Row],[Av.P5 '[%']]]*BD.PD[[#This Row],[Ppto. Orden Interna '[DOP']]]</f>
        <v>0</v>
      </c>
      <c r="AH217" s="305">
        <f>BD.PD[[#This Row],[Pago 5]]+BD.PD[[#This Row],[Pago 4]]+BD.PD[[#This Row],[Pago 3]]+BD.PD[[#This Row],[Pago 2]]+BD.PD[[#This Row],[Pago 1]]</f>
        <v>17616.11</v>
      </c>
      <c r="AI217" s="404"/>
      <c r="IB217" s="275"/>
    </row>
    <row r="218" spans="1:236" ht="15" customHeight="1" x14ac:dyDescent="0.3">
      <c r="A218" s="231">
        <v>7.03</v>
      </c>
      <c r="B218" s="288"/>
      <c r="C218" s="289" t="str">
        <f>VLOOKUP(BD.PD[[#This Row],[Pos]],PPto[],3,FALSE)</f>
        <v>7.03 Equipamiento Carniceria, Pescadería y Delicatesen</v>
      </c>
      <c r="D218" s="231" t="s">
        <v>22</v>
      </c>
      <c r="E218" s="291" t="str">
        <f>IF(BD.PD[[#This Row],[.]]="*",VLOOKUP(BD.PD[[#This Row],[Pos]],Presupuesto!A:H,7,FALSE),"")</f>
        <v/>
      </c>
      <c r="F218" s="292" t="s">
        <v>264</v>
      </c>
      <c r="G218" s="292" t="s">
        <v>578</v>
      </c>
      <c r="H218" s="358">
        <v>45921</v>
      </c>
      <c r="I218" s="359">
        <v>6</v>
      </c>
      <c r="J218" s="231" t="s">
        <v>581</v>
      </c>
      <c r="K218" s="294">
        <f>IF(BD.PD[[#This Row],[Mon]]="DOP",1,HLOOKUP(BD.PD[[#This Row],[Mon]],$J$1:$K$2,2,FALSE))</f>
        <v>1</v>
      </c>
      <c r="L218" s="360">
        <v>1337.0183333333332</v>
      </c>
      <c r="M218" s="296">
        <f>BD.PD[[#This Row],[Cant.]]*BD.PD[[#This Row],[ Tasa ]]*BD.PD[[#This Row],[ Precio Und.]]</f>
        <v>8022.1099999999988</v>
      </c>
      <c r="N218" s="361">
        <v>0</v>
      </c>
      <c r="O218" s="296">
        <f>IF(BD.PD[[#This Row],[Liquid. '[%']]]&lt;&gt;0,(BD.PD[[#This Row],[Valor Neto '[DOP']]]*BD.PD[[#This Row],[Liquid. '[%']]])+BD.PD[[#This Row],[Valor Neto '[DOP']]],BD.PD[[#This Row],[Valor Neto '[DOP']]])</f>
        <v>8022.1099999999988</v>
      </c>
      <c r="P218" s="306">
        <f>BD.PD[[#This Row],[Ppto. Orden Interna '[DOP']]]/HLOOKUP("USD",$J$1:$K$2,2,FALSE)</f>
        <v>127.33507936507935</v>
      </c>
      <c r="Q218" s="299" t="s">
        <v>691</v>
      </c>
      <c r="R218" s="292"/>
      <c r="S218" s="300">
        <v>21</v>
      </c>
      <c r="T218" s="301">
        <v>1</v>
      </c>
      <c r="U218" s="308">
        <f>BD.PD[[#This Row],[Av.P1 '[%']]]*BD.PD[[#This Row],[Ppto. Orden Interna '[DOP']]]</f>
        <v>8022.1099999999988</v>
      </c>
      <c r="V218" s="303"/>
      <c r="W218" s="304"/>
      <c r="X218" s="308">
        <f>BD.PD[[#This Row],[Av.P2 '[%']]]*BD.PD[[#This Row],[Ppto. Orden Interna '[DOP']]]</f>
        <v>0</v>
      </c>
      <c r="Y218" s="303"/>
      <c r="Z218" s="304"/>
      <c r="AA218" s="308">
        <f>BD.PD[[#This Row],[Av.P3 '[%']]]*BD.PD[[#This Row],[Ppto. Orden Interna '[DOP']]]</f>
        <v>0</v>
      </c>
      <c r="AB218" s="303"/>
      <c r="AC218" s="304"/>
      <c r="AD218" s="308">
        <f>BD.PD[[#This Row],[Av.P4 '[%']]]*BD.PD[[#This Row],[Ppto. Orden Interna '[DOP']]]</f>
        <v>0</v>
      </c>
      <c r="AE218" s="303"/>
      <c r="AF218" s="304"/>
      <c r="AG218" s="308">
        <f>BD.PD[[#This Row],[Av.P5 '[%']]]*BD.PD[[#This Row],[Ppto. Orden Interna '[DOP']]]</f>
        <v>0</v>
      </c>
      <c r="AH218" s="305">
        <f>BD.PD[[#This Row],[Pago 5]]+BD.PD[[#This Row],[Pago 4]]+BD.PD[[#This Row],[Pago 3]]+BD.PD[[#This Row],[Pago 2]]+BD.PD[[#This Row],[Pago 1]]</f>
        <v>8022.1099999999988</v>
      </c>
      <c r="AI218" s="404"/>
      <c r="IB218" s="275"/>
    </row>
    <row r="219" spans="1:236" ht="15" customHeight="1" x14ac:dyDescent="0.3">
      <c r="A219" s="231">
        <v>7.03</v>
      </c>
      <c r="B219" s="288"/>
      <c r="C219" s="289" t="str">
        <f>VLOOKUP(BD.PD[[#This Row],[Pos]],PPto[],3,FALSE)</f>
        <v>7.03 Equipamiento Carniceria, Pescadería y Delicatesen</v>
      </c>
      <c r="D219" s="231" t="s">
        <v>22</v>
      </c>
      <c r="E219" s="291" t="str">
        <f>IF(BD.PD[[#This Row],[.]]="*",VLOOKUP(BD.PD[[#This Row],[Pos]],Presupuesto!A:H,7,FALSE),"")</f>
        <v/>
      </c>
      <c r="F219" s="292" t="s">
        <v>262</v>
      </c>
      <c r="G219" s="292" t="s">
        <v>578</v>
      </c>
      <c r="H219" s="358">
        <v>45921</v>
      </c>
      <c r="I219" s="359">
        <v>3</v>
      </c>
      <c r="J219" s="231" t="s">
        <v>581</v>
      </c>
      <c r="K219" s="294">
        <f>IF(BD.PD[[#This Row],[Mon]]="DOP",1,HLOOKUP(BD.PD[[#This Row],[Mon]],$J$1:$K$2,2,FALSE))</f>
        <v>1</v>
      </c>
      <c r="L219" s="360">
        <v>2626.0833333333335</v>
      </c>
      <c r="M219" s="296">
        <f>BD.PD[[#This Row],[Cant.]]*BD.PD[[#This Row],[ Tasa ]]*BD.PD[[#This Row],[ Precio Und.]]</f>
        <v>7878.25</v>
      </c>
      <c r="N219" s="361">
        <v>0</v>
      </c>
      <c r="O219" s="296">
        <f>IF(BD.PD[[#This Row],[Liquid. '[%']]]&lt;&gt;0,(BD.PD[[#This Row],[Valor Neto '[DOP']]]*BD.PD[[#This Row],[Liquid. '[%']]])+BD.PD[[#This Row],[Valor Neto '[DOP']]],BD.PD[[#This Row],[Valor Neto '[DOP']]])</f>
        <v>7878.25</v>
      </c>
      <c r="P219" s="306">
        <f>BD.PD[[#This Row],[Ppto. Orden Interna '[DOP']]]/HLOOKUP("USD",$J$1:$K$2,2,FALSE)</f>
        <v>125.0515873015873</v>
      </c>
      <c r="Q219" s="299" t="s">
        <v>691</v>
      </c>
      <c r="R219" s="292"/>
      <c r="S219" s="300">
        <v>21</v>
      </c>
      <c r="T219" s="301">
        <v>1</v>
      </c>
      <c r="U219" s="308">
        <f>BD.PD[[#This Row],[Av.P1 '[%']]]*BD.PD[[#This Row],[Ppto. Orden Interna '[DOP']]]</f>
        <v>7878.25</v>
      </c>
      <c r="V219" s="303"/>
      <c r="W219" s="304"/>
      <c r="X219" s="308">
        <f>BD.PD[[#This Row],[Av.P2 '[%']]]*BD.PD[[#This Row],[Ppto. Orden Interna '[DOP']]]</f>
        <v>0</v>
      </c>
      <c r="Y219" s="303"/>
      <c r="Z219" s="304"/>
      <c r="AA219" s="308">
        <f>BD.PD[[#This Row],[Av.P3 '[%']]]*BD.PD[[#This Row],[Ppto. Orden Interna '[DOP']]]</f>
        <v>0</v>
      </c>
      <c r="AB219" s="303"/>
      <c r="AC219" s="304"/>
      <c r="AD219" s="308">
        <f>BD.PD[[#This Row],[Av.P4 '[%']]]*BD.PD[[#This Row],[Ppto. Orden Interna '[DOP']]]</f>
        <v>0</v>
      </c>
      <c r="AE219" s="303"/>
      <c r="AF219" s="304"/>
      <c r="AG219" s="308">
        <f>BD.PD[[#This Row],[Av.P5 '[%']]]*BD.PD[[#This Row],[Ppto. Orden Interna '[DOP']]]</f>
        <v>0</v>
      </c>
      <c r="AH219" s="305">
        <f>BD.PD[[#This Row],[Pago 5]]+BD.PD[[#This Row],[Pago 4]]+BD.PD[[#This Row],[Pago 3]]+BD.PD[[#This Row],[Pago 2]]+BD.PD[[#This Row],[Pago 1]]</f>
        <v>7878.25</v>
      </c>
      <c r="AI219" s="404"/>
      <c r="IB219" s="275"/>
    </row>
    <row r="220" spans="1:236" ht="15" customHeight="1" x14ac:dyDescent="0.3">
      <c r="A220" s="231">
        <v>7.03</v>
      </c>
      <c r="B220" s="288"/>
      <c r="C220" s="289" t="str">
        <f>VLOOKUP(BD.PD[[#This Row],[Pos]],PPto[],3,FALSE)</f>
        <v>7.03 Equipamiento Carniceria, Pescadería y Delicatesen</v>
      </c>
      <c r="D220" s="231" t="s">
        <v>22</v>
      </c>
      <c r="E220" s="291" t="str">
        <f>IF(BD.PD[[#This Row],[.]]="*",VLOOKUP(BD.PD[[#This Row],[Pos]],Presupuesto!A:H,7,FALSE),"")</f>
        <v/>
      </c>
      <c r="F220" s="292" t="s">
        <v>263</v>
      </c>
      <c r="G220" s="292" t="s">
        <v>578</v>
      </c>
      <c r="H220" s="358">
        <v>45921</v>
      </c>
      <c r="I220" s="359">
        <v>5</v>
      </c>
      <c r="J220" s="231" t="s">
        <v>581</v>
      </c>
      <c r="K220" s="294">
        <f>IF(BD.PD[[#This Row],[Mon]]="DOP",1,HLOOKUP(BD.PD[[#This Row],[Mon]],$J$1:$K$2,2,FALSE))</f>
        <v>1</v>
      </c>
      <c r="L220" s="360">
        <v>3567.6959999999999</v>
      </c>
      <c r="M220" s="296">
        <f>BD.PD[[#This Row],[Cant.]]*BD.PD[[#This Row],[ Tasa ]]*BD.PD[[#This Row],[ Precio Und.]]</f>
        <v>17838.48</v>
      </c>
      <c r="N220" s="361">
        <v>0</v>
      </c>
      <c r="O220" s="296">
        <f>IF(BD.PD[[#This Row],[Liquid. '[%']]]&lt;&gt;0,(BD.PD[[#This Row],[Valor Neto '[DOP']]]*BD.PD[[#This Row],[Liquid. '[%']]])+BD.PD[[#This Row],[Valor Neto '[DOP']]],BD.PD[[#This Row],[Valor Neto '[DOP']]])</f>
        <v>17838.48</v>
      </c>
      <c r="P220" s="306">
        <f>BD.PD[[#This Row],[Ppto. Orden Interna '[DOP']]]/HLOOKUP("USD",$J$1:$K$2,2,FALSE)</f>
        <v>283.15047619047618</v>
      </c>
      <c r="Q220" s="299" t="s">
        <v>691</v>
      </c>
      <c r="R220" s="292"/>
      <c r="S220" s="300">
        <v>21</v>
      </c>
      <c r="T220" s="301">
        <v>1</v>
      </c>
      <c r="U220" s="308">
        <f>BD.PD[[#This Row],[Av.P1 '[%']]]*BD.PD[[#This Row],[Ppto. Orden Interna '[DOP']]]</f>
        <v>17838.48</v>
      </c>
      <c r="V220" s="303"/>
      <c r="W220" s="304"/>
      <c r="X220" s="308">
        <f>BD.PD[[#This Row],[Av.P2 '[%']]]*BD.PD[[#This Row],[Ppto. Orden Interna '[DOP']]]</f>
        <v>0</v>
      </c>
      <c r="Y220" s="303"/>
      <c r="Z220" s="304"/>
      <c r="AA220" s="308">
        <f>BD.PD[[#This Row],[Av.P3 '[%']]]*BD.PD[[#This Row],[Ppto. Orden Interna '[DOP']]]</f>
        <v>0</v>
      </c>
      <c r="AB220" s="303"/>
      <c r="AC220" s="304"/>
      <c r="AD220" s="308">
        <f>BD.PD[[#This Row],[Av.P4 '[%']]]*BD.PD[[#This Row],[Ppto. Orden Interna '[DOP']]]</f>
        <v>0</v>
      </c>
      <c r="AE220" s="303"/>
      <c r="AF220" s="304"/>
      <c r="AG220" s="308">
        <f>BD.PD[[#This Row],[Av.P5 '[%']]]*BD.PD[[#This Row],[Ppto. Orden Interna '[DOP']]]</f>
        <v>0</v>
      </c>
      <c r="AH220" s="305">
        <f>BD.PD[[#This Row],[Pago 5]]+BD.PD[[#This Row],[Pago 4]]+BD.PD[[#This Row],[Pago 3]]+BD.PD[[#This Row],[Pago 2]]+BD.PD[[#This Row],[Pago 1]]</f>
        <v>17838.48</v>
      </c>
      <c r="AI220" s="404"/>
      <c r="IB220" s="275"/>
    </row>
    <row r="221" spans="1:236" ht="15" customHeight="1" x14ac:dyDescent="0.3">
      <c r="A221" s="231">
        <v>7.03</v>
      </c>
      <c r="B221" s="288"/>
      <c r="C221" s="289" t="str">
        <f>VLOOKUP(BD.PD[[#This Row],[Pos]],PPto[],3,FALSE)</f>
        <v>7.03 Equipamiento Carniceria, Pescadería y Delicatesen</v>
      </c>
      <c r="D221" s="231" t="s">
        <v>22</v>
      </c>
      <c r="E221" s="291" t="str">
        <f>IF(BD.PD[[#This Row],[.]]="*",VLOOKUP(BD.PD[[#This Row],[Pos]],Presupuesto!A:H,7,FALSE),"")</f>
        <v/>
      </c>
      <c r="F221" s="384" t="s">
        <v>272</v>
      </c>
      <c r="G221" s="292" t="s">
        <v>578</v>
      </c>
      <c r="H221" s="358">
        <v>45921</v>
      </c>
      <c r="I221" s="359">
        <v>1</v>
      </c>
      <c r="J221" s="231" t="s">
        <v>581</v>
      </c>
      <c r="K221" s="294">
        <f>IF(BD.PD[[#This Row],[Mon]]="DOP",1,HLOOKUP(BD.PD[[#This Row],[Mon]],$J$1:$K$2,2,FALSE))</f>
        <v>1</v>
      </c>
      <c r="L221" s="360">
        <v>8316.0499999999993</v>
      </c>
      <c r="M221" s="296">
        <f>BD.PD[[#This Row],[Cant.]]*BD.PD[[#This Row],[ Tasa ]]*BD.PD[[#This Row],[ Precio Und.]]</f>
        <v>8316.0499999999993</v>
      </c>
      <c r="N221" s="361">
        <v>0</v>
      </c>
      <c r="O221" s="296">
        <f>IF(BD.PD[[#This Row],[Liquid. '[%']]]&lt;&gt;0,(BD.PD[[#This Row],[Valor Neto '[DOP']]]*BD.PD[[#This Row],[Liquid. '[%']]])+BD.PD[[#This Row],[Valor Neto '[DOP']]],BD.PD[[#This Row],[Valor Neto '[DOP']]])</f>
        <v>8316.0499999999993</v>
      </c>
      <c r="P221" s="306">
        <f>BD.PD[[#This Row],[Ppto. Orden Interna '[DOP']]]/HLOOKUP("USD",$J$1:$K$2,2,FALSE)</f>
        <v>132.00079365079364</v>
      </c>
      <c r="Q221" s="299" t="s">
        <v>691</v>
      </c>
      <c r="R221" s="292"/>
      <c r="S221" s="300">
        <v>21</v>
      </c>
      <c r="T221" s="301">
        <v>1</v>
      </c>
      <c r="U221" s="308">
        <f>BD.PD[[#This Row],[Av.P1 '[%']]]*BD.PD[[#This Row],[Ppto. Orden Interna '[DOP']]]</f>
        <v>8316.0499999999993</v>
      </c>
      <c r="V221" s="303"/>
      <c r="W221" s="304"/>
      <c r="X221" s="308">
        <f>BD.PD[[#This Row],[Av.P2 '[%']]]*BD.PD[[#This Row],[Ppto. Orden Interna '[DOP']]]</f>
        <v>0</v>
      </c>
      <c r="Y221" s="303"/>
      <c r="Z221" s="304"/>
      <c r="AA221" s="308">
        <f>BD.PD[[#This Row],[Av.P3 '[%']]]*BD.PD[[#This Row],[Ppto. Orden Interna '[DOP']]]</f>
        <v>0</v>
      </c>
      <c r="AB221" s="303"/>
      <c r="AC221" s="304"/>
      <c r="AD221" s="308">
        <f>BD.PD[[#This Row],[Av.P4 '[%']]]*BD.PD[[#This Row],[Ppto. Orden Interna '[DOP']]]</f>
        <v>0</v>
      </c>
      <c r="AE221" s="303"/>
      <c r="AF221" s="304"/>
      <c r="AG221" s="308">
        <f>BD.PD[[#This Row],[Av.P5 '[%']]]*BD.PD[[#This Row],[Ppto. Orden Interna '[DOP']]]</f>
        <v>0</v>
      </c>
      <c r="AH221" s="305">
        <f>BD.PD[[#This Row],[Pago 5]]+BD.PD[[#This Row],[Pago 4]]+BD.PD[[#This Row],[Pago 3]]+BD.PD[[#This Row],[Pago 2]]+BD.PD[[#This Row],[Pago 1]]</f>
        <v>8316.0499999999993</v>
      </c>
      <c r="AI221" s="404"/>
      <c r="IB221" s="275"/>
    </row>
    <row r="222" spans="1:236" ht="15" customHeight="1" x14ac:dyDescent="0.3">
      <c r="A222" s="231">
        <v>7.03</v>
      </c>
      <c r="B222" s="288"/>
      <c r="C222" s="289" t="str">
        <f>VLOOKUP(BD.PD[[#This Row],[Pos]],PPto[],3,FALSE)</f>
        <v>7.03 Equipamiento Carniceria, Pescadería y Delicatesen</v>
      </c>
      <c r="D222" s="231" t="s">
        <v>22</v>
      </c>
      <c r="E222" s="291" t="str">
        <f>IF(BD.PD[[#This Row],[.]]="*",VLOOKUP(BD.PD[[#This Row],[Pos]],Presupuesto!A:H,7,FALSE),"")</f>
        <v/>
      </c>
      <c r="F222" s="384" t="s">
        <v>271</v>
      </c>
      <c r="G222" s="292" t="s">
        <v>578</v>
      </c>
      <c r="H222" s="358">
        <v>45921</v>
      </c>
      <c r="I222" s="359">
        <v>3</v>
      </c>
      <c r="J222" s="231" t="s">
        <v>581</v>
      </c>
      <c r="K222" s="294">
        <f>IF(BD.PD[[#This Row],[Mon]]="DOP",1,HLOOKUP(BD.PD[[#This Row],[Mon]],$J$1:$K$2,2,FALSE))</f>
        <v>1</v>
      </c>
      <c r="L222" s="360">
        <v>8546.76</v>
      </c>
      <c r="M222" s="296">
        <f>BD.PD[[#This Row],[Cant.]]*BD.PD[[#This Row],[ Tasa ]]*BD.PD[[#This Row],[ Precio Und.]]</f>
        <v>25640.28</v>
      </c>
      <c r="N222" s="361">
        <v>0</v>
      </c>
      <c r="O222" s="296">
        <f>IF(BD.PD[[#This Row],[Liquid. '[%']]]&lt;&gt;0,(BD.PD[[#This Row],[Valor Neto '[DOP']]]*BD.PD[[#This Row],[Liquid. '[%']]])+BD.PD[[#This Row],[Valor Neto '[DOP']]],BD.PD[[#This Row],[Valor Neto '[DOP']]])</f>
        <v>25640.28</v>
      </c>
      <c r="P222" s="306">
        <f>BD.PD[[#This Row],[Ppto. Orden Interna '[DOP']]]/HLOOKUP("USD",$J$1:$K$2,2,FALSE)</f>
        <v>406.98857142857139</v>
      </c>
      <c r="Q222" s="299" t="s">
        <v>677</v>
      </c>
      <c r="R222" s="292"/>
      <c r="S222" s="300">
        <v>21</v>
      </c>
      <c r="T222" s="301">
        <v>1</v>
      </c>
      <c r="U222" s="308">
        <f>BD.PD[[#This Row],[Av.P1 '[%']]]*BD.PD[[#This Row],[Ppto. Orden Interna '[DOP']]]</f>
        <v>25640.28</v>
      </c>
      <c r="V222" s="303"/>
      <c r="W222" s="304"/>
      <c r="X222" s="308">
        <f>BD.PD[[#This Row],[Av.P2 '[%']]]*BD.PD[[#This Row],[Ppto. Orden Interna '[DOP']]]</f>
        <v>0</v>
      </c>
      <c r="Y222" s="303"/>
      <c r="Z222" s="304"/>
      <c r="AA222" s="308">
        <f>BD.PD[[#This Row],[Av.P3 '[%']]]*BD.PD[[#This Row],[Ppto. Orden Interna '[DOP']]]</f>
        <v>0</v>
      </c>
      <c r="AB222" s="303"/>
      <c r="AC222" s="304"/>
      <c r="AD222" s="308">
        <f>BD.PD[[#This Row],[Av.P4 '[%']]]*BD.PD[[#This Row],[Ppto. Orden Interna '[DOP']]]</f>
        <v>0</v>
      </c>
      <c r="AE222" s="303"/>
      <c r="AF222" s="304"/>
      <c r="AG222" s="308">
        <f>BD.PD[[#This Row],[Av.P5 '[%']]]*BD.PD[[#This Row],[Ppto. Orden Interna '[DOP']]]</f>
        <v>0</v>
      </c>
      <c r="AH222" s="305">
        <f>BD.PD[[#This Row],[Pago 5]]+BD.PD[[#This Row],[Pago 4]]+BD.PD[[#This Row],[Pago 3]]+BD.PD[[#This Row],[Pago 2]]+BD.PD[[#This Row],[Pago 1]]</f>
        <v>25640.28</v>
      </c>
      <c r="AI222" s="404"/>
      <c r="IB222" s="275"/>
    </row>
    <row r="223" spans="1:236" ht="15" customHeight="1" x14ac:dyDescent="0.3">
      <c r="A223" s="231">
        <v>7.04</v>
      </c>
      <c r="B223" s="288" t="s">
        <v>574</v>
      </c>
      <c r="C223" s="289" t="str">
        <f>VLOOKUP(BD.PD[[#This Row],[Pos]],PPto[],3,FALSE)</f>
        <v>7.04 Equipamiento de Panaderia, Reposteria y Rosticería</v>
      </c>
      <c r="D223" s="290" t="s">
        <v>574</v>
      </c>
      <c r="E223" s="291">
        <f>IF(BD.PD[[#This Row],[.]]="*",VLOOKUP(BD.PD[[#This Row],[Pos]],Presupuesto!A:H,7,FALSE),"")</f>
        <v>170136.8638977636</v>
      </c>
      <c r="F223" s="292"/>
      <c r="G223" s="292" t="s">
        <v>575</v>
      </c>
      <c r="H223" s="292"/>
      <c r="I223" s="293">
        <v>1</v>
      </c>
      <c r="J223" s="290" t="s">
        <v>456</v>
      </c>
      <c r="K223" s="294">
        <f>IF(BD.PD[[#This Row],[Mon]]="DOP",1,HLOOKUP(BD.PD[[#This Row],[Mon]],$J$1:$K$2,2,FALSE))</f>
        <v>63</v>
      </c>
      <c r="L223" s="295">
        <v>0</v>
      </c>
      <c r="M223" s="296">
        <f>BD.PD[[#This Row],[Cant.]]*BD.PD[[#This Row],[ Tasa ]]*BD.PD[[#This Row],[ Precio Und.]]</f>
        <v>0</v>
      </c>
      <c r="N223" s="297">
        <v>0</v>
      </c>
      <c r="O223" s="296">
        <f>IF(BD.PD[[#This Row],[Liquid. '[%']]]&lt;&gt;0,(BD.PD[[#This Row],[Valor Neto '[DOP']]]*BD.PD[[#This Row],[Liquid. '[%']]])+BD.PD[[#This Row],[Valor Neto '[DOP']]],BD.PD[[#This Row],[Valor Neto '[DOP']]])</f>
        <v>0</v>
      </c>
      <c r="P223" s="306">
        <f>BD.PD[[#This Row],[Ppto. Orden Interna '[DOP']]]/HLOOKUP("USD",$J$1:$K$2,2,FALSE)</f>
        <v>0</v>
      </c>
      <c r="Q223" s="299"/>
      <c r="R223" s="292"/>
      <c r="S223" s="300"/>
      <c r="T223" s="301"/>
      <c r="U223" s="308">
        <f>BD.PD[[#This Row],[Av.P1 '[%']]]*BD.PD[[#This Row],[Ppto. Orden Interna '[DOP']]]</f>
        <v>0</v>
      </c>
      <c r="V223" s="303"/>
      <c r="W223" s="304"/>
      <c r="X223" s="308">
        <f>BD.PD[[#This Row],[Av.P2 '[%']]]*BD.PD[[#This Row],[Ppto. Orden Interna '[DOP']]]</f>
        <v>0</v>
      </c>
      <c r="Y223" s="303"/>
      <c r="Z223" s="304"/>
      <c r="AA223" s="308">
        <f>BD.PD[[#This Row],[Av.P3 '[%']]]*BD.PD[[#This Row],[Ppto. Orden Interna '[DOP']]]</f>
        <v>0</v>
      </c>
      <c r="AB223" s="303"/>
      <c r="AC223" s="304"/>
      <c r="AD223" s="308">
        <f>BD.PD[[#This Row],[Av.P4 '[%']]]*BD.PD[[#This Row],[Ppto. Orden Interna '[DOP']]]</f>
        <v>0</v>
      </c>
      <c r="AE223" s="303"/>
      <c r="AF223" s="304"/>
      <c r="AG223" s="308">
        <f>BD.PD[[#This Row],[Av.P5 '[%']]]*BD.PD[[#This Row],[Ppto. Orden Interna '[DOP']]]</f>
        <v>0</v>
      </c>
      <c r="AH223" s="305">
        <f>BD.PD[[#This Row],[Pago 5]]+BD.PD[[#This Row],[Pago 4]]+BD.PD[[#This Row],[Pago 3]]+BD.PD[[#This Row],[Pago 2]]+BD.PD[[#This Row],[Pago 1]]</f>
        <v>0</v>
      </c>
      <c r="AI223" s="404"/>
      <c r="IB223" s="275"/>
    </row>
    <row r="224" spans="1:236" ht="15" customHeight="1" x14ac:dyDescent="0.3">
      <c r="A224" s="231">
        <v>7.04</v>
      </c>
      <c r="B224" s="288"/>
      <c r="C224" s="289" t="str">
        <f>VLOOKUP(BD.PD[[#This Row],[Pos]],PPto[],3,FALSE)</f>
        <v>7.04 Equipamiento de Panaderia, Reposteria y Rosticería</v>
      </c>
      <c r="D224" s="231" t="s">
        <v>22</v>
      </c>
      <c r="E224" s="291" t="str">
        <f>IF(BD.PD[[#This Row],[.]]="*",VLOOKUP(BD.PD[[#This Row],[Pos]],Presupuesto!A:H,7,FALSE),"")</f>
        <v/>
      </c>
      <c r="F224" s="387" t="s">
        <v>283</v>
      </c>
      <c r="G224" s="292">
        <v>4512411633</v>
      </c>
      <c r="H224" s="358">
        <v>45705</v>
      </c>
      <c r="I224" s="359">
        <v>1</v>
      </c>
      <c r="J224" s="231" t="s">
        <v>581</v>
      </c>
      <c r="K224" s="294">
        <f>IF(BD.PD[[#This Row],[Mon]]="DOP",1,HLOOKUP(BD.PD[[#This Row],[Mon]],$J$1:$K$2,2,FALSE))</f>
        <v>1</v>
      </c>
      <c r="L224" s="360">
        <v>109750</v>
      </c>
      <c r="M224" s="296">
        <f>BD.PD[[#This Row],[Cant.]]*BD.PD[[#This Row],[ Tasa ]]*BD.PD[[#This Row],[ Precio Und.]]</f>
        <v>109750</v>
      </c>
      <c r="N224" s="361">
        <v>0</v>
      </c>
      <c r="O224" s="296">
        <f>IF(BD.PD[[#This Row],[Liquid. '[%']]]&lt;&gt;0,(BD.PD[[#This Row],[Valor Neto '[DOP']]]*BD.PD[[#This Row],[Liquid. '[%']]])+BD.PD[[#This Row],[Valor Neto '[DOP']]],BD.PD[[#This Row],[Valor Neto '[DOP']]])</f>
        <v>109750</v>
      </c>
      <c r="P224" s="306">
        <f>BD.PD[[#This Row],[Ppto. Orden Interna '[DOP']]]/HLOOKUP("USD",$J$1:$K$2,2,FALSE)</f>
        <v>1742.063492063492</v>
      </c>
      <c r="Q224" s="299" t="s">
        <v>692</v>
      </c>
      <c r="R224" s="292" t="s">
        <v>672</v>
      </c>
      <c r="S224" s="300">
        <v>21</v>
      </c>
      <c r="T224" s="301">
        <v>1</v>
      </c>
      <c r="U224" s="308">
        <f>BD.PD[[#This Row],[Av.P1 '[%']]]*BD.PD[[#This Row],[Ppto. Orden Interna '[DOP']]]</f>
        <v>109750</v>
      </c>
      <c r="V224" s="303"/>
      <c r="W224" s="304"/>
      <c r="X224" s="308">
        <f>BD.PD[[#This Row],[Av.P2 '[%']]]*BD.PD[[#This Row],[Ppto. Orden Interna '[DOP']]]</f>
        <v>0</v>
      </c>
      <c r="Y224" s="303"/>
      <c r="Z224" s="304"/>
      <c r="AA224" s="308">
        <f>BD.PD[[#This Row],[Av.P3 '[%']]]*BD.PD[[#This Row],[Ppto. Orden Interna '[DOP']]]</f>
        <v>0</v>
      </c>
      <c r="AB224" s="303"/>
      <c r="AC224" s="304"/>
      <c r="AD224" s="308">
        <f>BD.PD[[#This Row],[Av.P4 '[%']]]*BD.PD[[#This Row],[Ppto. Orden Interna '[DOP']]]</f>
        <v>0</v>
      </c>
      <c r="AE224" s="303"/>
      <c r="AF224" s="304"/>
      <c r="AG224" s="308">
        <f>BD.PD[[#This Row],[Av.P5 '[%']]]*BD.PD[[#This Row],[Ppto. Orden Interna '[DOP']]]</f>
        <v>0</v>
      </c>
      <c r="AH224" s="305">
        <f>BD.PD[[#This Row],[Pago 5]]+BD.PD[[#This Row],[Pago 4]]+BD.PD[[#This Row],[Pago 3]]+BD.PD[[#This Row],[Pago 2]]+BD.PD[[#This Row],[Pago 1]]</f>
        <v>109750</v>
      </c>
      <c r="AI224" s="404"/>
      <c r="IB224" s="275"/>
    </row>
    <row r="225" spans="1:236" ht="15" customHeight="1" x14ac:dyDescent="0.3">
      <c r="A225" s="231">
        <v>7.04</v>
      </c>
      <c r="B225" s="288"/>
      <c r="C225" s="289" t="str">
        <f>VLOOKUP(BD.PD[[#This Row],[Pos]],PPto[],3,FALSE)</f>
        <v>7.04 Equipamiento de Panaderia, Reposteria y Rosticería</v>
      </c>
      <c r="D225" s="231" t="s">
        <v>22</v>
      </c>
      <c r="E225" s="291" t="str">
        <f>IF(BD.PD[[#This Row],[.]]="*",VLOOKUP(BD.PD[[#This Row],[Pos]],Presupuesto!A:H,7,FALSE),"")</f>
        <v/>
      </c>
      <c r="F225" s="387" t="s">
        <v>273</v>
      </c>
      <c r="G225" s="292">
        <v>4512510967</v>
      </c>
      <c r="H225" s="358">
        <v>45797</v>
      </c>
      <c r="I225" s="359">
        <v>1</v>
      </c>
      <c r="J225" s="231" t="s">
        <v>456</v>
      </c>
      <c r="K225" s="294">
        <f>IF(BD.PD[[#This Row],[Mon]]="DOP",1,HLOOKUP(BD.PD[[#This Row],[Mon]],$J$1:$K$2,2,FALSE))</f>
        <v>63</v>
      </c>
      <c r="L225" s="360">
        <v>25116</v>
      </c>
      <c r="M225" s="296">
        <f>BD.PD[[#This Row],[Cant.]]*BD.PD[[#This Row],[ Tasa ]]*BD.PD[[#This Row],[ Precio Und.]]</f>
        <v>1582308</v>
      </c>
      <c r="N225" s="361">
        <v>0</v>
      </c>
      <c r="O225" s="296">
        <f>IF(BD.PD[[#This Row],[Liquid. '[%']]]&lt;&gt;0,(BD.PD[[#This Row],[Valor Neto '[DOP']]]*BD.PD[[#This Row],[Liquid. '[%']]])+BD.PD[[#This Row],[Valor Neto '[DOP']]],BD.PD[[#This Row],[Valor Neto '[DOP']]])</f>
        <v>1582308</v>
      </c>
      <c r="P225" s="306">
        <f>BD.PD[[#This Row],[Ppto. Orden Interna '[DOP']]]/HLOOKUP("USD",$J$1:$K$2,2,FALSE)</f>
        <v>25116</v>
      </c>
      <c r="Q225" s="299" t="s">
        <v>693</v>
      </c>
      <c r="R225" s="307" t="s">
        <v>694</v>
      </c>
      <c r="S225" s="300">
        <v>5</v>
      </c>
      <c r="T225" s="301">
        <v>0.6</v>
      </c>
      <c r="U225" s="308">
        <f>BD.PD[[#This Row],[Av.P1 '[%']]]*BD.PD[[#This Row],[Ppto. Orden Interna '[DOP']]]</f>
        <v>949384.79999999993</v>
      </c>
      <c r="V225" s="303">
        <v>22</v>
      </c>
      <c r="W225" s="304">
        <v>0.4</v>
      </c>
      <c r="X225" s="308">
        <f>BD.PD[[#This Row],[Av.P2 '[%']]]*BD.PD[[#This Row],[Ppto. Orden Interna '[DOP']]]</f>
        <v>632923.20000000007</v>
      </c>
      <c r="Y225" s="303"/>
      <c r="Z225" s="304"/>
      <c r="AA225" s="308">
        <f>BD.PD[[#This Row],[Av.P3 '[%']]]*BD.PD[[#This Row],[Ppto. Orden Interna '[DOP']]]</f>
        <v>0</v>
      </c>
      <c r="AB225" s="303"/>
      <c r="AC225" s="304"/>
      <c r="AD225" s="308">
        <f>BD.PD[[#This Row],[Av.P4 '[%']]]*BD.PD[[#This Row],[Ppto. Orden Interna '[DOP']]]</f>
        <v>0</v>
      </c>
      <c r="AE225" s="303"/>
      <c r="AF225" s="304"/>
      <c r="AG225" s="308">
        <f>BD.PD[[#This Row],[Av.P5 '[%']]]*BD.PD[[#This Row],[Ppto. Orden Interna '[DOP']]]</f>
        <v>0</v>
      </c>
      <c r="AH225" s="305">
        <f>BD.PD[[#This Row],[Pago 5]]+BD.PD[[#This Row],[Pago 4]]+BD.PD[[#This Row],[Pago 3]]+BD.PD[[#This Row],[Pago 2]]+BD.PD[[#This Row],[Pago 1]]</f>
        <v>1582308</v>
      </c>
      <c r="AI225" s="404"/>
      <c r="IB225" s="275"/>
    </row>
    <row r="226" spans="1:236" ht="15" customHeight="1" x14ac:dyDescent="0.3">
      <c r="A226" s="389">
        <v>7.04</v>
      </c>
      <c r="B226" s="288"/>
      <c r="C226" s="289" t="str">
        <f>VLOOKUP(BD.PD[[#This Row],[Pos]],PPto[],3,FALSE)</f>
        <v>7.04 Equipamiento de Panaderia, Reposteria y Rosticería</v>
      </c>
      <c r="D226" s="389" t="s">
        <v>22</v>
      </c>
      <c r="E226" s="291" t="str">
        <f>IF(BD.PD[[#This Row],[.]]="*",VLOOKUP(BD.PD[[#This Row],[Pos]],Presupuesto!A:H,7,FALSE),"")</f>
        <v/>
      </c>
      <c r="F226" s="390" t="s">
        <v>281</v>
      </c>
      <c r="G226" s="390">
        <v>4600073130</v>
      </c>
      <c r="H226" s="358">
        <v>45742</v>
      </c>
      <c r="I226" s="391">
        <v>1</v>
      </c>
      <c r="J226" s="389" t="s">
        <v>456</v>
      </c>
      <c r="K226" s="294">
        <f>IF(BD.PD[[#This Row],[Mon]]="DOP",1,HLOOKUP(BD.PD[[#This Row],[Mon]],$J$1:$K$2,2,FALSE))</f>
        <v>63</v>
      </c>
      <c r="L226" s="392">
        <v>2733</v>
      </c>
      <c r="M226" s="296">
        <f>BD.PD[[#This Row],[Cant.]]*BD.PD[[#This Row],[ Tasa ]]*BD.PD[[#This Row],[ Precio Und.]]</f>
        <v>172179</v>
      </c>
      <c r="N226" s="361">
        <v>0.45</v>
      </c>
      <c r="O226" s="296">
        <f>IF(BD.PD[[#This Row],[Liquid. '[%']]]&lt;&gt;0,(BD.PD[[#This Row],[Valor Neto '[DOP']]]*BD.PD[[#This Row],[Liquid. '[%']]])+BD.PD[[#This Row],[Valor Neto '[DOP']]],BD.PD[[#This Row],[Valor Neto '[DOP']]])</f>
        <v>249659.55</v>
      </c>
      <c r="P226" s="306">
        <f>BD.PD[[#This Row],[Ppto. Orden Interna '[DOP']]]/HLOOKUP("USD",$J$1:$K$2,2,FALSE)</f>
        <v>3962.85</v>
      </c>
      <c r="Q226" s="299" t="s">
        <v>623</v>
      </c>
      <c r="R226" s="307" t="s">
        <v>624</v>
      </c>
      <c r="S226" s="300">
        <v>3</v>
      </c>
      <c r="T226" s="301">
        <v>0.5</v>
      </c>
      <c r="U226" s="308">
        <f>BD.PD[[#This Row],[Av.P1 '[%']]]*BD.PD[[#This Row],[Ppto. Orden Interna '[DOP']]]</f>
        <v>124829.77499999999</v>
      </c>
      <c r="V226" s="303">
        <v>16</v>
      </c>
      <c r="W226" s="399">
        <v>0.5</v>
      </c>
      <c r="X226" s="308">
        <f>BD.PD[[#This Row],[Av.P2 '[%']]]*BD.PD[[#This Row],[Ppto. Orden Interna '[DOP']]]</f>
        <v>124829.77499999999</v>
      </c>
      <c r="Y226" s="398"/>
      <c r="Z226" s="399"/>
      <c r="AA226" s="308">
        <f>BD.PD[[#This Row],[Av.P3 '[%']]]*BD.PD[[#This Row],[Ppto. Orden Interna '[DOP']]]</f>
        <v>0</v>
      </c>
      <c r="AB226" s="398"/>
      <c r="AC226" s="399"/>
      <c r="AD226" s="308">
        <f>BD.PD[[#This Row],[Av.P4 '[%']]]*BD.PD[[#This Row],[Ppto. Orden Interna '[DOP']]]</f>
        <v>0</v>
      </c>
      <c r="AE226" s="398"/>
      <c r="AF226" s="399"/>
      <c r="AG226" s="308">
        <f>BD.PD[[#This Row],[Av.P5 '[%']]]*BD.PD[[#This Row],[Ppto. Orden Interna '[DOP']]]</f>
        <v>0</v>
      </c>
      <c r="AH226" s="400">
        <f>BD.PD[[#This Row],[Pago 5]]+BD.PD[[#This Row],[Pago 4]]+BD.PD[[#This Row],[Pago 3]]+BD.PD[[#This Row],[Pago 2]]+BD.PD[[#This Row],[Pago 1]]</f>
        <v>249659.55</v>
      </c>
      <c r="AI226" s="404"/>
      <c r="IB226" s="275"/>
    </row>
    <row r="227" spans="1:236" ht="15" customHeight="1" x14ac:dyDescent="0.3">
      <c r="A227" s="389">
        <v>7.04</v>
      </c>
      <c r="B227" s="288"/>
      <c r="C227" s="289" t="str">
        <f>VLOOKUP(BD.PD[[#This Row],[Pos]],PPto[],3,FALSE)</f>
        <v>7.04 Equipamiento de Panaderia, Reposteria y Rosticería</v>
      </c>
      <c r="D227" s="389" t="s">
        <v>22</v>
      </c>
      <c r="E227" s="291" t="str">
        <f>IF(BD.PD[[#This Row],[.]]="*",VLOOKUP(BD.PD[[#This Row],[Pos]],Presupuesto!A:H,7,FALSE),"")</f>
        <v/>
      </c>
      <c r="F227" s="390" t="s">
        <v>282</v>
      </c>
      <c r="G227" s="390">
        <v>4600073130</v>
      </c>
      <c r="H227" s="358">
        <v>45742</v>
      </c>
      <c r="I227" s="391">
        <v>3</v>
      </c>
      <c r="J227" s="389" t="s">
        <v>456</v>
      </c>
      <c r="K227" s="294">
        <f>IF(BD.PD[[#This Row],[Mon]]="DOP",1,HLOOKUP(BD.PD[[#This Row],[Mon]],$J$1:$K$2,2,FALSE))</f>
        <v>63</v>
      </c>
      <c r="L227" s="392">
        <v>2733</v>
      </c>
      <c r="M227" s="296">
        <f>BD.PD[[#This Row],[Cant.]]*BD.PD[[#This Row],[ Tasa ]]*BD.PD[[#This Row],[ Precio Und.]]</f>
        <v>516537</v>
      </c>
      <c r="N227" s="361">
        <v>0.45</v>
      </c>
      <c r="O227" s="296">
        <f>IF(BD.PD[[#This Row],[Liquid. '[%']]]&lt;&gt;0,(BD.PD[[#This Row],[Valor Neto '[DOP']]]*BD.PD[[#This Row],[Liquid. '[%']]])+BD.PD[[#This Row],[Valor Neto '[DOP']]],BD.PD[[#This Row],[Valor Neto '[DOP']]])</f>
        <v>748978.65</v>
      </c>
      <c r="P227" s="306">
        <f>BD.PD[[#This Row],[Ppto. Orden Interna '[DOP']]]/HLOOKUP("USD",$J$1:$K$2,2,FALSE)</f>
        <v>11888.550000000001</v>
      </c>
      <c r="Q227" s="299" t="s">
        <v>623</v>
      </c>
      <c r="R227" s="307" t="s">
        <v>624</v>
      </c>
      <c r="S227" s="300">
        <v>3</v>
      </c>
      <c r="T227" s="301">
        <v>0.5</v>
      </c>
      <c r="U227" s="308">
        <f>BD.PD[[#This Row],[Av.P1 '[%']]]*BD.PD[[#This Row],[Ppto. Orden Interna '[DOP']]]</f>
        <v>374489.32500000001</v>
      </c>
      <c r="V227" s="303">
        <v>16</v>
      </c>
      <c r="W227" s="399">
        <v>0.5</v>
      </c>
      <c r="X227" s="308">
        <f>BD.PD[[#This Row],[Av.P2 '[%']]]*BD.PD[[#This Row],[Ppto. Orden Interna '[DOP']]]</f>
        <v>374489.32500000001</v>
      </c>
      <c r="Y227" s="398"/>
      <c r="Z227" s="399"/>
      <c r="AA227" s="308">
        <f>BD.PD[[#This Row],[Av.P3 '[%']]]*BD.PD[[#This Row],[Ppto. Orden Interna '[DOP']]]</f>
        <v>0</v>
      </c>
      <c r="AB227" s="398"/>
      <c r="AC227" s="399"/>
      <c r="AD227" s="308">
        <f>BD.PD[[#This Row],[Av.P4 '[%']]]*BD.PD[[#This Row],[Ppto. Orden Interna '[DOP']]]</f>
        <v>0</v>
      </c>
      <c r="AE227" s="398"/>
      <c r="AF227" s="399"/>
      <c r="AG227" s="308">
        <f>BD.PD[[#This Row],[Av.P5 '[%']]]*BD.PD[[#This Row],[Ppto. Orden Interna '[DOP']]]</f>
        <v>0</v>
      </c>
      <c r="AH227" s="400">
        <f>BD.PD[[#This Row],[Pago 5]]+BD.PD[[#This Row],[Pago 4]]+BD.PD[[#This Row],[Pago 3]]+BD.PD[[#This Row],[Pago 2]]+BD.PD[[#This Row],[Pago 1]]</f>
        <v>748978.65</v>
      </c>
      <c r="AI227" s="404"/>
      <c r="IB227" s="275"/>
    </row>
    <row r="228" spans="1:236" ht="15" customHeight="1" x14ac:dyDescent="0.3">
      <c r="A228" s="389">
        <v>7.04</v>
      </c>
      <c r="B228" s="288"/>
      <c r="C228" s="289" t="str">
        <f>VLOOKUP(BD.PD[[#This Row],[Pos]],PPto[],3,FALSE)</f>
        <v>7.04 Equipamiento de Panaderia, Reposteria y Rosticería</v>
      </c>
      <c r="D228" s="389" t="s">
        <v>22</v>
      </c>
      <c r="E228" s="291" t="str">
        <f>IF(BD.PD[[#This Row],[.]]="*",VLOOKUP(BD.PD[[#This Row],[Pos]],Presupuesto!A:H,7,FALSE),"")</f>
        <v/>
      </c>
      <c r="F228" s="390" t="s">
        <v>284</v>
      </c>
      <c r="G228" s="390">
        <v>4600073130</v>
      </c>
      <c r="H228" s="358">
        <v>45742</v>
      </c>
      <c r="I228" s="391">
        <v>2</v>
      </c>
      <c r="J228" s="389" t="s">
        <v>456</v>
      </c>
      <c r="K228" s="294">
        <f>IF(BD.PD[[#This Row],[Mon]]="DOP",1,HLOOKUP(BD.PD[[#This Row],[Mon]],$J$1:$K$2,2,FALSE))</f>
        <v>63</v>
      </c>
      <c r="L228" s="392">
        <v>3560</v>
      </c>
      <c r="M228" s="296">
        <f>BD.PD[[#This Row],[Cant.]]*BD.PD[[#This Row],[ Tasa ]]*BD.PD[[#This Row],[ Precio Und.]]</f>
        <v>448560</v>
      </c>
      <c r="N228" s="361">
        <v>0.45</v>
      </c>
      <c r="O228" s="296">
        <f>IF(BD.PD[[#This Row],[Liquid. '[%']]]&lt;&gt;0,(BD.PD[[#This Row],[Valor Neto '[DOP']]]*BD.PD[[#This Row],[Liquid. '[%']]])+BD.PD[[#This Row],[Valor Neto '[DOP']]],BD.PD[[#This Row],[Valor Neto '[DOP']]])</f>
        <v>650412</v>
      </c>
      <c r="P228" s="306">
        <f>BD.PD[[#This Row],[Ppto. Orden Interna '[DOP']]]/HLOOKUP("USD",$J$1:$K$2,2,FALSE)</f>
        <v>10324</v>
      </c>
      <c r="Q228" s="299" t="s">
        <v>623</v>
      </c>
      <c r="R228" s="307" t="s">
        <v>624</v>
      </c>
      <c r="S228" s="300">
        <v>3</v>
      </c>
      <c r="T228" s="301">
        <v>0.5</v>
      </c>
      <c r="U228" s="308">
        <f>BD.PD[[#This Row],[Av.P1 '[%']]]*BD.PD[[#This Row],[Ppto. Orden Interna '[DOP']]]</f>
        <v>325206</v>
      </c>
      <c r="V228" s="303">
        <v>16</v>
      </c>
      <c r="W228" s="399">
        <v>0.5</v>
      </c>
      <c r="X228" s="308">
        <f>BD.PD[[#This Row],[Av.P2 '[%']]]*BD.PD[[#This Row],[Ppto. Orden Interna '[DOP']]]</f>
        <v>325206</v>
      </c>
      <c r="Y228" s="398"/>
      <c r="Z228" s="399"/>
      <c r="AA228" s="308">
        <f>BD.PD[[#This Row],[Av.P3 '[%']]]*BD.PD[[#This Row],[Ppto. Orden Interna '[DOP']]]</f>
        <v>0</v>
      </c>
      <c r="AB228" s="398"/>
      <c r="AC228" s="399"/>
      <c r="AD228" s="308">
        <f>BD.PD[[#This Row],[Av.P4 '[%']]]*BD.PD[[#This Row],[Ppto. Orden Interna '[DOP']]]</f>
        <v>0</v>
      </c>
      <c r="AE228" s="398"/>
      <c r="AF228" s="399"/>
      <c r="AG228" s="308">
        <f>BD.PD[[#This Row],[Av.P5 '[%']]]*BD.PD[[#This Row],[Ppto. Orden Interna '[DOP']]]</f>
        <v>0</v>
      </c>
      <c r="AH228" s="400">
        <f>BD.PD[[#This Row],[Pago 5]]+BD.PD[[#This Row],[Pago 4]]+BD.PD[[#This Row],[Pago 3]]+BD.PD[[#This Row],[Pago 2]]+BD.PD[[#This Row],[Pago 1]]</f>
        <v>650412</v>
      </c>
      <c r="AI228" s="404"/>
      <c r="IB228" s="275"/>
    </row>
    <row r="229" spans="1:236" ht="15" customHeight="1" x14ac:dyDescent="0.3">
      <c r="A229" s="231">
        <v>7.04</v>
      </c>
      <c r="B229" s="288"/>
      <c r="C229" s="289" t="str">
        <f>VLOOKUP(BD.PD[[#This Row],[Pos]],PPto[],3,FALSE)</f>
        <v>7.04 Equipamiento de Panaderia, Reposteria y Rosticería</v>
      </c>
      <c r="D229" s="389" t="s">
        <v>22</v>
      </c>
      <c r="E229" s="291" t="str">
        <f>IF(BD.PD[[#This Row],[.]]="*",VLOOKUP(BD.PD[[#This Row],[Pos]],Presupuesto!A:H,7,FALSE),"")</f>
        <v/>
      </c>
      <c r="F229" s="390" t="s">
        <v>285</v>
      </c>
      <c r="G229" s="390">
        <v>4600073130</v>
      </c>
      <c r="H229" s="358">
        <v>45742</v>
      </c>
      <c r="I229" s="359">
        <v>7</v>
      </c>
      <c r="J229" s="389" t="s">
        <v>456</v>
      </c>
      <c r="K229" s="294">
        <f>IF(BD.PD[[#This Row],[Mon]]="DOP",1,HLOOKUP(BD.PD[[#This Row],[Mon]],$J$1:$K$2,2,FALSE))</f>
        <v>63</v>
      </c>
      <c r="L229" s="360">
        <v>2535</v>
      </c>
      <c r="M229" s="296">
        <f>BD.PD[[#This Row],[Cant.]]*BD.PD[[#This Row],[ Tasa ]]*BD.PD[[#This Row],[ Precio Und.]]</f>
        <v>1117935</v>
      </c>
      <c r="N229" s="361">
        <v>0.45</v>
      </c>
      <c r="O229" s="296">
        <f>IF(BD.PD[[#This Row],[Liquid. '[%']]]&lt;&gt;0,(BD.PD[[#This Row],[Valor Neto '[DOP']]]*BD.PD[[#This Row],[Liquid. '[%']]])+BD.PD[[#This Row],[Valor Neto '[DOP']]],BD.PD[[#This Row],[Valor Neto '[DOP']]])</f>
        <v>1621005.75</v>
      </c>
      <c r="P229" s="306">
        <f>BD.PD[[#This Row],[Ppto. Orden Interna '[DOP']]]/HLOOKUP("USD",$J$1:$K$2,2,FALSE)</f>
        <v>25730.25</v>
      </c>
      <c r="Q229" s="299" t="s">
        <v>623</v>
      </c>
      <c r="R229" s="307" t="s">
        <v>624</v>
      </c>
      <c r="S229" s="300">
        <v>3</v>
      </c>
      <c r="T229" s="301">
        <v>0.5</v>
      </c>
      <c r="U229" s="308">
        <f>BD.PD[[#This Row],[Av.P1 '[%']]]*BD.PD[[#This Row],[Ppto. Orden Interna '[DOP']]]</f>
        <v>810502.875</v>
      </c>
      <c r="V229" s="303">
        <v>16</v>
      </c>
      <c r="W229" s="399">
        <v>0.5</v>
      </c>
      <c r="X229" s="308">
        <f>BD.PD[[#This Row],[Av.P2 '[%']]]*BD.PD[[#This Row],[Ppto. Orden Interna '[DOP']]]</f>
        <v>810502.875</v>
      </c>
      <c r="Y229" s="398"/>
      <c r="Z229" s="399"/>
      <c r="AA229" s="308">
        <f>BD.PD[[#This Row],[Av.P3 '[%']]]*BD.PD[[#This Row],[Ppto. Orden Interna '[DOP']]]</f>
        <v>0</v>
      </c>
      <c r="AB229" s="398"/>
      <c r="AC229" s="399"/>
      <c r="AD229" s="308">
        <f>BD.PD[[#This Row],[Av.P4 '[%']]]*BD.PD[[#This Row],[Ppto. Orden Interna '[DOP']]]</f>
        <v>0</v>
      </c>
      <c r="AE229" s="398"/>
      <c r="AF229" s="399"/>
      <c r="AG229" s="308">
        <f>BD.PD[[#This Row],[Av.P5 '[%']]]*BD.PD[[#This Row],[Ppto. Orden Interna '[DOP']]]</f>
        <v>0</v>
      </c>
      <c r="AH229" s="400">
        <f>BD.PD[[#This Row],[Pago 5]]+BD.PD[[#This Row],[Pago 4]]+BD.PD[[#This Row],[Pago 3]]+BD.PD[[#This Row],[Pago 2]]+BD.PD[[#This Row],[Pago 1]]</f>
        <v>1621005.75</v>
      </c>
      <c r="AI229" s="404"/>
      <c r="IB229" s="275"/>
    </row>
    <row r="230" spans="1:236" ht="15" customHeight="1" x14ac:dyDescent="0.3">
      <c r="A230" s="231">
        <v>7.04</v>
      </c>
      <c r="B230" s="288"/>
      <c r="C230" s="289" t="str">
        <f>VLOOKUP(BD.PD[[#This Row],[Pos]],PPto[],3,FALSE)</f>
        <v>7.04 Equipamiento de Panaderia, Reposteria y Rosticería</v>
      </c>
      <c r="D230" s="389" t="s">
        <v>22</v>
      </c>
      <c r="E230" s="291" t="str">
        <f>IF(BD.PD[[#This Row],[.]]="*",VLOOKUP(BD.PD[[#This Row],[Pos]],Presupuesto!A:H,7,FALSE),"")</f>
        <v/>
      </c>
      <c r="F230" s="390" t="s">
        <v>286</v>
      </c>
      <c r="G230" s="390">
        <v>4600073130</v>
      </c>
      <c r="H230" s="358">
        <v>45742</v>
      </c>
      <c r="I230" s="359">
        <v>1</v>
      </c>
      <c r="J230" s="389" t="s">
        <v>456</v>
      </c>
      <c r="K230" s="294">
        <f>IF(BD.PD[[#This Row],[Mon]]="DOP",1,HLOOKUP(BD.PD[[#This Row],[Mon]],$J$1:$K$2,2,FALSE))</f>
        <v>63</v>
      </c>
      <c r="L230" s="360">
        <v>3560</v>
      </c>
      <c r="M230" s="296">
        <f>BD.PD[[#This Row],[Cant.]]*BD.PD[[#This Row],[ Tasa ]]*BD.PD[[#This Row],[ Precio Und.]]</f>
        <v>224280</v>
      </c>
      <c r="N230" s="361">
        <v>0.45</v>
      </c>
      <c r="O230" s="296">
        <f>IF(BD.PD[[#This Row],[Liquid. '[%']]]&lt;&gt;0,(BD.PD[[#This Row],[Valor Neto '[DOP']]]*BD.PD[[#This Row],[Liquid. '[%']]])+BD.PD[[#This Row],[Valor Neto '[DOP']]],BD.PD[[#This Row],[Valor Neto '[DOP']]])</f>
        <v>325206</v>
      </c>
      <c r="P230" s="306">
        <f>BD.PD[[#This Row],[Ppto. Orden Interna '[DOP']]]/HLOOKUP("USD",$J$1:$K$2,2,FALSE)</f>
        <v>5162</v>
      </c>
      <c r="Q230" s="299" t="s">
        <v>623</v>
      </c>
      <c r="R230" s="307" t="s">
        <v>624</v>
      </c>
      <c r="S230" s="300">
        <v>3</v>
      </c>
      <c r="T230" s="301">
        <v>0.5</v>
      </c>
      <c r="U230" s="308">
        <f>BD.PD[[#This Row],[Av.P1 '[%']]]*BD.PD[[#This Row],[Ppto. Orden Interna '[DOP']]]</f>
        <v>162603</v>
      </c>
      <c r="V230" s="303">
        <v>16</v>
      </c>
      <c r="W230" s="399">
        <v>0.5</v>
      </c>
      <c r="X230" s="308">
        <f>BD.PD[[#This Row],[Av.P2 '[%']]]*BD.PD[[#This Row],[Ppto. Orden Interna '[DOP']]]</f>
        <v>162603</v>
      </c>
      <c r="Y230" s="398"/>
      <c r="Z230" s="399"/>
      <c r="AA230" s="308">
        <f>BD.PD[[#This Row],[Av.P3 '[%']]]*BD.PD[[#This Row],[Ppto. Orden Interna '[DOP']]]</f>
        <v>0</v>
      </c>
      <c r="AB230" s="398"/>
      <c r="AC230" s="399"/>
      <c r="AD230" s="308">
        <f>BD.PD[[#This Row],[Av.P4 '[%']]]*BD.PD[[#This Row],[Ppto. Orden Interna '[DOP']]]</f>
        <v>0</v>
      </c>
      <c r="AE230" s="398"/>
      <c r="AF230" s="399"/>
      <c r="AG230" s="308">
        <f>BD.PD[[#This Row],[Av.P5 '[%']]]*BD.PD[[#This Row],[Ppto. Orden Interna '[DOP']]]</f>
        <v>0</v>
      </c>
      <c r="AH230" s="305">
        <f>BD.PD[[#This Row],[Pago 5]]+BD.PD[[#This Row],[Pago 4]]+BD.PD[[#This Row],[Pago 3]]+BD.PD[[#This Row],[Pago 2]]+BD.PD[[#This Row],[Pago 1]]</f>
        <v>325206</v>
      </c>
      <c r="AI230" s="404"/>
      <c r="IB230" s="275"/>
    </row>
    <row r="231" spans="1:236" ht="15" customHeight="1" x14ac:dyDescent="0.3">
      <c r="A231" s="389">
        <v>7.04</v>
      </c>
      <c r="B231" s="288"/>
      <c r="C231" s="289" t="str">
        <f>VLOOKUP(BD.PD[[#This Row],[Pos]],PPto[],3,FALSE)</f>
        <v>7.04 Equipamiento de Panaderia, Reposteria y Rosticería</v>
      </c>
      <c r="D231" s="389" t="s">
        <v>22</v>
      </c>
      <c r="E231" s="291" t="str">
        <f>IF(BD.PD[[#This Row],[.]]="*",VLOOKUP(BD.PD[[#This Row],[Pos]],Presupuesto!A:H,7,FALSE),"")</f>
        <v/>
      </c>
      <c r="F231" s="390" t="s">
        <v>287</v>
      </c>
      <c r="G231" s="390">
        <v>4600073130</v>
      </c>
      <c r="H231" s="358">
        <v>45742</v>
      </c>
      <c r="I231" s="391">
        <v>1</v>
      </c>
      <c r="J231" s="389" t="s">
        <v>456</v>
      </c>
      <c r="K231" s="294">
        <f>IF(BD.PD[[#This Row],[Mon]]="DOP",1,HLOOKUP(BD.PD[[#This Row],[Mon]],$J$1:$K$2,2,FALSE))</f>
        <v>63</v>
      </c>
      <c r="L231" s="392">
        <v>7086</v>
      </c>
      <c r="M231" s="296">
        <f>BD.PD[[#This Row],[Cant.]]*BD.PD[[#This Row],[ Tasa ]]*BD.PD[[#This Row],[ Precio Und.]]</f>
        <v>446418</v>
      </c>
      <c r="N231" s="361">
        <v>0.45</v>
      </c>
      <c r="O231" s="296">
        <f>IF(BD.PD[[#This Row],[Liquid. '[%']]]&lt;&gt;0,(BD.PD[[#This Row],[Valor Neto '[DOP']]]*BD.PD[[#This Row],[Liquid. '[%']]])+BD.PD[[#This Row],[Valor Neto '[DOP']]],BD.PD[[#This Row],[Valor Neto '[DOP']]])</f>
        <v>647306.1</v>
      </c>
      <c r="P231" s="306">
        <f>BD.PD[[#This Row],[Ppto. Orden Interna '[DOP']]]/HLOOKUP("USD",$J$1:$K$2,2,FALSE)</f>
        <v>10274.699999999999</v>
      </c>
      <c r="Q231" s="299" t="s">
        <v>623</v>
      </c>
      <c r="R231" s="307" t="s">
        <v>624</v>
      </c>
      <c r="S231" s="300">
        <v>3</v>
      </c>
      <c r="T231" s="301">
        <v>0.5</v>
      </c>
      <c r="U231" s="308">
        <f>BD.PD[[#This Row],[Av.P1 '[%']]]*BD.PD[[#This Row],[Ppto. Orden Interna '[DOP']]]</f>
        <v>323653.05</v>
      </c>
      <c r="V231" s="303">
        <v>16</v>
      </c>
      <c r="W231" s="399">
        <v>0.5</v>
      </c>
      <c r="X231" s="308">
        <f>BD.PD[[#This Row],[Av.P2 '[%']]]*BD.PD[[#This Row],[Ppto. Orden Interna '[DOP']]]</f>
        <v>323653.05</v>
      </c>
      <c r="Y231" s="398"/>
      <c r="Z231" s="399"/>
      <c r="AA231" s="308">
        <f>BD.PD[[#This Row],[Av.P3 '[%']]]*BD.PD[[#This Row],[Ppto. Orden Interna '[DOP']]]</f>
        <v>0</v>
      </c>
      <c r="AB231" s="398"/>
      <c r="AC231" s="399"/>
      <c r="AD231" s="308">
        <f>BD.PD[[#This Row],[Av.P4 '[%']]]*BD.PD[[#This Row],[Ppto. Orden Interna '[DOP']]]</f>
        <v>0</v>
      </c>
      <c r="AE231" s="398"/>
      <c r="AF231" s="399"/>
      <c r="AG231" s="308">
        <f>BD.PD[[#This Row],[Av.P5 '[%']]]*BD.PD[[#This Row],[Ppto. Orden Interna '[DOP']]]</f>
        <v>0</v>
      </c>
      <c r="AH231" s="305">
        <f>BD.PD[[#This Row],[Pago 5]]+BD.PD[[#This Row],[Pago 4]]+BD.PD[[#This Row],[Pago 3]]+BD.PD[[#This Row],[Pago 2]]+BD.PD[[#This Row],[Pago 1]]</f>
        <v>647306.1</v>
      </c>
      <c r="AI231" s="404"/>
      <c r="IB231" s="275"/>
    </row>
    <row r="232" spans="1:236" ht="15" customHeight="1" x14ac:dyDescent="0.3">
      <c r="A232" s="231">
        <v>7.04</v>
      </c>
      <c r="B232" s="288"/>
      <c r="C232" s="289" t="str">
        <f>VLOOKUP(BD.PD[[#This Row],[Pos]],PPto[],3,FALSE)</f>
        <v>7.04 Equipamiento de Panaderia, Reposteria y Rosticería</v>
      </c>
      <c r="D232" s="231" t="s">
        <v>22</v>
      </c>
      <c r="E232" s="291" t="str">
        <f>IF(BD.PD[[#This Row],[.]]="*",VLOOKUP(BD.PD[[#This Row],[Pos]],Presupuesto!A:H,7,FALSE),"")</f>
        <v/>
      </c>
      <c r="F232" s="387" t="s">
        <v>278</v>
      </c>
      <c r="G232" s="292">
        <v>4600073981</v>
      </c>
      <c r="H232" s="358">
        <v>45823</v>
      </c>
      <c r="I232" s="359">
        <v>510</v>
      </c>
      <c r="J232" s="231" t="s">
        <v>456</v>
      </c>
      <c r="K232" s="294">
        <f>IF(BD.PD[[#This Row],[Mon]]="DOP",1,HLOOKUP(BD.PD[[#This Row],[Mon]],$J$1:$K$2,2,FALSE))</f>
        <v>63</v>
      </c>
      <c r="L232" s="360">
        <v>23.05</v>
      </c>
      <c r="M232" s="296">
        <f>BD.PD[[#This Row],[Cant.]]*BD.PD[[#This Row],[ Tasa ]]*BD.PD[[#This Row],[ Precio Und.]]</f>
        <v>740596.5</v>
      </c>
      <c r="N232" s="361">
        <v>0</v>
      </c>
      <c r="O232" s="296">
        <f>IF(BD.PD[[#This Row],[Liquid. '[%']]]&lt;&gt;0,(BD.PD[[#This Row],[Valor Neto '[DOP']]]*BD.PD[[#This Row],[Liquid. '[%']]])+BD.PD[[#This Row],[Valor Neto '[DOP']]],BD.PD[[#This Row],[Valor Neto '[DOP']]])</f>
        <v>740596.5</v>
      </c>
      <c r="P232" s="306">
        <f>BD.PD[[#This Row],[Ppto. Orden Interna '[DOP']]]/HLOOKUP("USD",$J$1:$K$2,2,FALSE)</f>
        <v>11755.5</v>
      </c>
      <c r="Q232" s="299" t="s">
        <v>673</v>
      </c>
      <c r="R232" s="307" t="s">
        <v>587</v>
      </c>
      <c r="S232" s="300">
        <v>6</v>
      </c>
      <c r="T232" s="301">
        <v>0.5</v>
      </c>
      <c r="U232" s="308">
        <f>BD.PD[[#This Row],[Av.P1 '[%']]]*BD.PD[[#This Row],[Ppto. Orden Interna '[DOP']]]</f>
        <v>370298.25</v>
      </c>
      <c r="V232" s="303">
        <v>8</v>
      </c>
      <c r="W232" s="304">
        <v>0.5</v>
      </c>
      <c r="X232" s="308">
        <f>BD.PD[[#This Row],[Av.P2 '[%']]]*BD.PD[[#This Row],[Ppto. Orden Interna '[DOP']]]</f>
        <v>370298.25</v>
      </c>
      <c r="Y232" s="303"/>
      <c r="Z232" s="304"/>
      <c r="AA232" s="308">
        <f>BD.PD[[#This Row],[Av.P3 '[%']]]*BD.PD[[#This Row],[Ppto. Orden Interna '[DOP']]]</f>
        <v>0</v>
      </c>
      <c r="AB232" s="303"/>
      <c r="AC232" s="304"/>
      <c r="AD232" s="308">
        <f>BD.PD[[#This Row],[Av.P4 '[%']]]*BD.PD[[#This Row],[Ppto. Orden Interna '[DOP']]]</f>
        <v>0</v>
      </c>
      <c r="AE232" s="303"/>
      <c r="AF232" s="304"/>
      <c r="AG232" s="308">
        <f>BD.PD[[#This Row],[Av.P5 '[%']]]*BD.PD[[#This Row],[Ppto. Orden Interna '[DOP']]]</f>
        <v>0</v>
      </c>
      <c r="AH232" s="305">
        <f>BD.PD[[#This Row],[Pago 5]]+BD.PD[[#This Row],[Pago 4]]+BD.PD[[#This Row],[Pago 3]]+BD.PD[[#This Row],[Pago 2]]+BD.PD[[#This Row],[Pago 1]]</f>
        <v>740596.5</v>
      </c>
      <c r="AI232" s="404"/>
      <c r="IB232" s="275"/>
    </row>
    <row r="233" spans="1:236" ht="15" customHeight="1" x14ac:dyDescent="0.3">
      <c r="A233" s="231">
        <v>7.04</v>
      </c>
      <c r="B233" s="288"/>
      <c r="C233" s="289" t="str">
        <f>VLOOKUP(BD.PD[[#This Row],[Pos]],PPto[],3,FALSE)</f>
        <v>7.04 Equipamiento de Panaderia, Reposteria y Rosticería</v>
      </c>
      <c r="D233" s="231" t="s">
        <v>22</v>
      </c>
      <c r="E233" s="291" t="str">
        <f>IF(BD.PD[[#This Row],[.]]="*",VLOOKUP(BD.PD[[#This Row],[Pos]],Presupuesto!A:H,7,FALSE),"")</f>
        <v/>
      </c>
      <c r="F233" s="387" t="s">
        <v>276</v>
      </c>
      <c r="G233" s="292">
        <v>4600073981</v>
      </c>
      <c r="H233" s="358">
        <v>45823</v>
      </c>
      <c r="I233" s="359">
        <v>120</v>
      </c>
      <c r="J233" s="231" t="s">
        <v>456</v>
      </c>
      <c r="K233" s="294">
        <f>IF(BD.PD[[#This Row],[Mon]]="DOP",1,HLOOKUP(BD.PD[[#This Row],[Mon]],$J$1:$K$2,2,FALSE))</f>
        <v>63</v>
      </c>
      <c r="L233" s="360">
        <v>46.17</v>
      </c>
      <c r="M233" s="296">
        <f>BD.PD[[#This Row],[Cant.]]*BD.PD[[#This Row],[ Tasa ]]*BD.PD[[#This Row],[ Precio Und.]]</f>
        <v>349045.2</v>
      </c>
      <c r="N233" s="361">
        <v>0</v>
      </c>
      <c r="O233" s="296">
        <f>IF(BD.PD[[#This Row],[Liquid. '[%']]]&lt;&gt;0,(BD.PD[[#This Row],[Valor Neto '[DOP']]]*BD.PD[[#This Row],[Liquid. '[%']]])+BD.PD[[#This Row],[Valor Neto '[DOP']]],BD.PD[[#This Row],[Valor Neto '[DOP']]])</f>
        <v>349045.2</v>
      </c>
      <c r="P233" s="306">
        <f>BD.PD[[#This Row],[Ppto. Orden Interna '[DOP']]]/HLOOKUP("USD",$J$1:$K$2,2,FALSE)</f>
        <v>5540.4000000000005</v>
      </c>
      <c r="Q233" s="299" t="s">
        <v>673</v>
      </c>
      <c r="R233" s="307" t="s">
        <v>587</v>
      </c>
      <c r="S233" s="300">
        <v>6</v>
      </c>
      <c r="T233" s="301">
        <v>0.5</v>
      </c>
      <c r="U233" s="308">
        <f>BD.PD[[#This Row],[Av.P1 '[%']]]*BD.PD[[#This Row],[Ppto. Orden Interna '[DOP']]]</f>
        <v>174522.6</v>
      </c>
      <c r="V233" s="303">
        <v>8</v>
      </c>
      <c r="W233" s="304">
        <v>0.5</v>
      </c>
      <c r="X233" s="308">
        <f>BD.PD[[#This Row],[Av.P2 '[%']]]*BD.PD[[#This Row],[Ppto. Orden Interna '[DOP']]]</f>
        <v>174522.6</v>
      </c>
      <c r="Y233" s="303"/>
      <c r="Z233" s="304"/>
      <c r="AA233" s="308">
        <f>BD.PD[[#This Row],[Av.P3 '[%']]]*BD.PD[[#This Row],[Ppto. Orden Interna '[DOP']]]</f>
        <v>0</v>
      </c>
      <c r="AB233" s="303"/>
      <c r="AC233" s="304"/>
      <c r="AD233" s="308">
        <f>BD.PD[[#This Row],[Av.P4 '[%']]]*BD.PD[[#This Row],[Ppto. Orden Interna '[DOP']]]</f>
        <v>0</v>
      </c>
      <c r="AE233" s="303"/>
      <c r="AF233" s="304"/>
      <c r="AG233" s="308">
        <f>BD.PD[[#This Row],[Av.P5 '[%']]]*BD.PD[[#This Row],[Ppto. Orden Interna '[DOP']]]</f>
        <v>0</v>
      </c>
      <c r="AH233" s="305">
        <f>BD.PD[[#This Row],[Pago 5]]+BD.PD[[#This Row],[Pago 4]]+BD.PD[[#This Row],[Pago 3]]+BD.PD[[#This Row],[Pago 2]]+BD.PD[[#This Row],[Pago 1]]</f>
        <v>349045.2</v>
      </c>
      <c r="AI233" s="404"/>
      <c r="IB233" s="275"/>
    </row>
    <row r="234" spans="1:236" ht="15" customHeight="1" x14ac:dyDescent="0.3">
      <c r="A234" s="231">
        <v>7.04</v>
      </c>
      <c r="B234" s="288"/>
      <c r="C234" s="289" t="str">
        <f>VLOOKUP(BD.PD[[#This Row],[Pos]],PPto[],3,FALSE)</f>
        <v>7.04 Equipamiento de Panaderia, Reposteria y Rosticería</v>
      </c>
      <c r="D234" s="231" t="s">
        <v>22</v>
      </c>
      <c r="E234" s="291" t="str">
        <f>IF(BD.PD[[#This Row],[.]]="*",VLOOKUP(BD.PD[[#This Row],[Pos]],Presupuesto!A:H,7,FALSE),"")</f>
        <v/>
      </c>
      <c r="F234" s="387" t="s">
        <v>277</v>
      </c>
      <c r="G234" s="292">
        <v>4600073981</v>
      </c>
      <c r="H234" s="358">
        <v>45823</v>
      </c>
      <c r="I234" s="359">
        <v>17</v>
      </c>
      <c r="J234" s="231" t="s">
        <v>456</v>
      </c>
      <c r="K234" s="294">
        <f>IF(BD.PD[[#This Row],[Mon]]="DOP",1,HLOOKUP(BD.PD[[#This Row],[Mon]],$J$1:$K$2,2,FALSE))</f>
        <v>63</v>
      </c>
      <c r="L234" s="360">
        <v>21.15</v>
      </c>
      <c r="M234" s="296">
        <f>BD.PD[[#This Row],[Cant.]]*BD.PD[[#This Row],[ Tasa ]]*BD.PD[[#This Row],[ Precio Und.]]</f>
        <v>22651.649999999998</v>
      </c>
      <c r="N234" s="361">
        <v>0</v>
      </c>
      <c r="O234" s="296">
        <f>IF(BD.PD[[#This Row],[Liquid. '[%']]]&lt;&gt;0,(BD.PD[[#This Row],[Valor Neto '[DOP']]]*BD.PD[[#This Row],[Liquid. '[%']]])+BD.PD[[#This Row],[Valor Neto '[DOP']]],BD.PD[[#This Row],[Valor Neto '[DOP']]])</f>
        <v>22651.649999999998</v>
      </c>
      <c r="P234" s="306">
        <f>BD.PD[[#This Row],[Ppto. Orden Interna '[DOP']]]/HLOOKUP("USD",$J$1:$K$2,2,FALSE)</f>
        <v>359.54999999999995</v>
      </c>
      <c r="Q234" s="299" t="s">
        <v>673</v>
      </c>
      <c r="R234" s="307" t="s">
        <v>587</v>
      </c>
      <c r="S234" s="300">
        <v>6</v>
      </c>
      <c r="T234" s="301">
        <v>0.5</v>
      </c>
      <c r="U234" s="308">
        <f>BD.PD[[#This Row],[Av.P1 '[%']]]*BD.PD[[#This Row],[Ppto. Orden Interna '[DOP']]]</f>
        <v>11325.824999999999</v>
      </c>
      <c r="V234" s="303">
        <v>8</v>
      </c>
      <c r="W234" s="304">
        <v>0.5</v>
      </c>
      <c r="X234" s="308">
        <f>BD.PD[[#This Row],[Av.P2 '[%']]]*BD.PD[[#This Row],[Ppto. Orden Interna '[DOP']]]</f>
        <v>11325.824999999999</v>
      </c>
      <c r="Y234" s="303"/>
      <c r="Z234" s="304"/>
      <c r="AA234" s="308">
        <f>BD.PD[[#This Row],[Av.P3 '[%']]]*BD.PD[[#This Row],[Ppto. Orden Interna '[DOP']]]</f>
        <v>0</v>
      </c>
      <c r="AB234" s="303"/>
      <c r="AC234" s="304"/>
      <c r="AD234" s="308">
        <f>BD.PD[[#This Row],[Av.P4 '[%']]]*BD.PD[[#This Row],[Ppto. Orden Interna '[DOP']]]</f>
        <v>0</v>
      </c>
      <c r="AE234" s="303"/>
      <c r="AF234" s="304"/>
      <c r="AG234" s="308">
        <f>BD.PD[[#This Row],[Av.P5 '[%']]]*BD.PD[[#This Row],[Ppto. Orden Interna '[DOP']]]</f>
        <v>0</v>
      </c>
      <c r="AH234" s="305">
        <f>BD.PD[[#This Row],[Pago 5]]+BD.PD[[#This Row],[Pago 4]]+BD.PD[[#This Row],[Pago 3]]+BD.PD[[#This Row],[Pago 2]]+BD.PD[[#This Row],[Pago 1]]</f>
        <v>22651.649999999998</v>
      </c>
      <c r="AI234" s="404"/>
      <c r="IB234" s="275"/>
    </row>
    <row r="235" spans="1:236" ht="15" customHeight="1" x14ac:dyDescent="0.3">
      <c r="A235" s="231">
        <v>7.04</v>
      </c>
      <c r="B235" s="288"/>
      <c r="C235" s="289" t="str">
        <f>VLOOKUP(BD.PD[[#This Row],[Pos]],PPto[],3,FALSE)</f>
        <v>7.04 Equipamiento de Panaderia, Reposteria y Rosticería</v>
      </c>
      <c r="D235" s="231" t="s">
        <v>22</v>
      </c>
      <c r="E235" s="291" t="str">
        <f>IF(BD.PD[[#This Row],[.]]="*",VLOOKUP(BD.PD[[#This Row],[Pos]],Presupuesto!A:H,7,FALSE),"")</f>
        <v/>
      </c>
      <c r="F235" s="292" t="s">
        <v>275</v>
      </c>
      <c r="G235" s="292">
        <v>4600073981</v>
      </c>
      <c r="H235" s="358">
        <v>45823</v>
      </c>
      <c r="I235" s="359">
        <v>50</v>
      </c>
      <c r="J235" s="231" t="s">
        <v>456</v>
      </c>
      <c r="K235" s="294">
        <f>IF(BD.PD[[#This Row],[Mon]]="DOP",1,HLOOKUP(BD.PD[[#This Row],[Mon]],$J$1:$K$2,2,FALSE))</f>
        <v>63</v>
      </c>
      <c r="L235" s="360">
        <v>43.5</v>
      </c>
      <c r="M235" s="296">
        <f>BD.PD[[#This Row],[Cant.]]*BD.PD[[#This Row],[ Tasa ]]*BD.PD[[#This Row],[ Precio Und.]]</f>
        <v>137025</v>
      </c>
      <c r="N235" s="361">
        <v>0</v>
      </c>
      <c r="O235" s="296">
        <f>IF(BD.PD[[#This Row],[Liquid. '[%']]]&lt;&gt;0,(BD.PD[[#This Row],[Valor Neto '[DOP']]]*BD.PD[[#This Row],[Liquid. '[%']]])+BD.PD[[#This Row],[Valor Neto '[DOP']]],BD.PD[[#This Row],[Valor Neto '[DOP']]])</f>
        <v>137025</v>
      </c>
      <c r="P235" s="306">
        <f>BD.PD[[#This Row],[Ppto. Orden Interna '[DOP']]]/HLOOKUP("USD",$J$1:$K$2,2,FALSE)</f>
        <v>2175</v>
      </c>
      <c r="Q235" s="299" t="s">
        <v>673</v>
      </c>
      <c r="R235" s="307" t="s">
        <v>587</v>
      </c>
      <c r="S235" s="300">
        <v>6</v>
      </c>
      <c r="T235" s="301">
        <v>0.5</v>
      </c>
      <c r="U235" s="308">
        <f>BD.PD[[#This Row],[Av.P1 '[%']]]*BD.PD[[#This Row],[Ppto. Orden Interna '[DOP']]]</f>
        <v>68512.5</v>
      </c>
      <c r="V235" s="303">
        <v>8</v>
      </c>
      <c r="W235" s="304">
        <v>0.5</v>
      </c>
      <c r="X235" s="308">
        <f>BD.PD[[#This Row],[Av.P2 '[%']]]*BD.PD[[#This Row],[Ppto. Orden Interna '[DOP']]]</f>
        <v>68512.5</v>
      </c>
      <c r="Y235" s="303"/>
      <c r="Z235" s="304"/>
      <c r="AA235" s="308">
        <f>BD.PD[[#This Row],[Av.P3 '[%']]]*BD.PD[[#This Row],[Ppto. Orden Interna '[DOP']]]</f>
        <v>0</v>
      </c>
      <c r="AB235" s="303"/>
      <c r="AC235" s="304"/>
      <c r="AD235" s="308">
        <f>BD.PD[[#This Row],[Av.P4 '[%']]]*BD.PD[[#This Row],[Ppto. Orden Interna '[DOP']]]</f>
        <v>0</v>
      </c>
      <c r="AE235" s="303"/>
      <c r="AF235" s="304"/>
      <c r="AG235" s="308">
        <f>BD.PD[[#This Row],[Av.P5 '[%']]]*BD.PD[[#This Row],[Ppto. Orden Interna '[DOP']]]</f>
        <v>0</v>
      </c>
      <c r="AH235" s="305">
        <f>BD.PD[[#This Row],[Pago 5]]+BD.PD[[#This Row],[Pago 4]]+BD.PD[[#This Row],[Pago 3]]+BD.PD[[#This Row],[Pago 2]]+BD.PD[[#This Row],[Pago 1]]</f>
        <v>137025</v>
      </c>
      <c r="AI235" s="404"/>
      <c r="IB235" s="275"/>
    </row>
    <row r="236" spans="1:236" ht="15" customHeight="1" x14ac:dyDescent="0.3">
      <c r="A236" s="231">
        <v>7.04</v>
      </c>
      <c r="B236" s="288"/>
      <c r="C236" s="289" t="str">
        <f>VLOOKUP(BD.PD[[#This Row],[Pos]],PPto[],3,FALSE)</f>
        <v>7.04 Equipamiento de Panaderia, Reposteria y Rosticería</v>
      </c>
      <c r="D236" s="231" t="s">
        <v>22</v>
      </c>
      <c r="E236" s="291" t="str">
        <f>IF(BD.PD[[#This Row],[.]]="*",VLOOKUP(BD.PD[[#This Row],[Pos]],Presupuesto!A:H,7,FALSE),"")</f>
        <v/>
      </c>
      <c r="F236" s="292" t="s">
        <v>279</v>
      </c>
      <c r="G236" s="292">
        <v>4600074116</v>
      </c>
      <c r="H236" s="358">
        <v>45813</v>
      </c>
      <c r="I236" s="359">
        <v>2</v>
      </c>
      <c r="J236" s="231" t="s">
        <v>526</v>
      </c>
      <c r="K236" s="294">
        <f>IF(BD.PD[[#This Row],[Mon]]="DOP",1,HLOOKUP(BD.PD[[#This Row],[Mon]],$J$1:$K$2,2,FALSE))</f>
        <v>76</v>
      </c>
      <c r="L236" s="412">
        <v>18207.82</v>
      </c>
      <c r="M236" s="296">
        <f>BD.PD[[#This Row],[Cant.]]*BD.PD[[#This Row],[ Tasa ]]*BD.PD[[#This Row],[ Precio Und.]]</f>
        <v>2767588.64</v>
      </c>
      <c r="N236" s="361">
        <v>0</v>
      </c>
      <c r="O236" s="296">
        <f>IF(BD.PD[[#This Row],[Liquid. '[%']]]&lt;&gt;0,(BD.PD[[#This Row],[Valor Neto '[DOP']]]*BD.PD[[#This Row],[Liquid. '[%']]])+BD.PD[[#This Row],[Valor Neto '[DOP']]],BD.PD[[#This Row],[Valor Neto '[DOP']]])</f>
        <v>2767588.64</v>
      </c>
      <c r="P236" s="306">
        <f>BD.PD[[#This Row],[Ppto. Orden Interna '[DOP']]]/HLOOKUP("USD",$J$1:$K$2,2,FALSE)</f>
        <v>43929.978412698416</v>
      </c>
      <c r="Q236" s="299" t="s">
        <v>695</v>
      </c>
      <c r="R236" s="307" t="s">
        <v>696</v>
      </c>
      <c r="S236" s="300">
        <v>6</v>
      </c>
      <c r="T236" s="301">
        <v>0.6</v>
      </c>
      <c r="U236" s="308">
        <f>BD.PD[[#This Row],[Av.P1 '[%']]]*BD.PD[[#This Row],[Ppto. Orden Interna '[DOP']]]</f>
        <v>1660553.1840000001</v>
      </c>
      <c r="V236" s="303">
        <v>11</v>
      </c>
      <c r="W236" s="304">
        <v>0.4</v>
      </c>
      <c r="X236" s="308">
        <f>BD.PD[[#This Row],[Av.P2 '[%']]]*BD.PD[[#This Row],[Ppto. Orden Interna '[DOP']]]</f>
        <v>1107035.456</v>
      </c>
      <c r="Y236" s="303"/>
      <c r="Z236" s="304"/>
      <c r="AA236" s="308">
        <f>BD.PD[[#This Row],[Av.P3 '[%']]]*BD.PD[[#This Row],[Ppto. Orden Interna '[DOP']]]</f>
        <v>0</v>
      </c>
      <c r="AB236" s="303"/>
      <c r="AC236" s="304"/>
      <c r="AD236" s="308">
        <f>BD.PD[[#This Row],[Av.P4 '[%']]]*BD.PD[[#This Row],[Ppto. Orden Interna '[DOP']]]</f>
        <v>0</v>
      </c>
      <c r="AE236" s="303"/>
      <c r="AF236" s="304"/>
      <c r="AG236" s="308">
        <f>BD.PD[[#This Row],[Av.P5 '[%']]]*BD.PD[[#This Row],[Ppto. Orden Interna '[DOP']]]</f>
        <v>0</v>
      </c>
      <c r="AH236" s="305">
        <f>BD.PD[[#This Row],[Pago 5]]+BD.PD[[#This Row],[Pago 4]]+BD.PD[[#This Row],[Pago 3]]+BD.PD[[#This Row],[Pago 2]]+BD.PD[[#This Row],[Pago 1]]</f>
        <v>2767588.64</v>
      </c>
      <c r="AI236" s="404"/>
      <c r="IB236" s="275"/>
    </row>
    <row r="237" spans="1:236" ht="15" customHeight="1" x14ac:dyDescent="0.3">
      <c r="A237" s="231">
        <v>7.04</v>
      </c>
      <c r="B237" s="288"/>
      <c r="C237" s="289" t="str">
        <f>VLOOKUP(BD.PD[[#This Row],[Pos]],PPto[],3,FALSE)</f>
        <v>7.04 Equipamiento de Panaderia, Reposteria y Rosticería</v>
      </c>
      <c r="D237" s="231" t="s">
        <v>22</v>
      </c>
      <c r="E237" s="291" t="str">
        <f>IF(BD.PD[[#This Row],[.]]="*",VLOOKUP(BD.PD[[#This Row],[Pos]],Presupuesto!A:H,7,FALSE),"")</f>
        <v/>
      </c>
      <c r="F237" s="292" t="s">
        <v>274</v>
      </c>
      <c r="G237" s="292">
        <v>4600074513</v>
      </c>
      <c r="H237" s="358">
        <v>45838</v>
      </c>
      <c r="I237" s="359">
        <v>18</v>
      </c>
      <c r="J237" s="231" t="s">
        <v>526</v>
      </c>
      <c r="K237" s="294">
        <f>IF(BD.PD[[#This Row],[Mon]]="DOP",1,HLOOKUP(BD.PD[[#This Row],[Mon]],$J$1:$K$2,2,FALSE))</f>
        <v>76</v>
      </c>
      <c r="L237" s="360">
        <v>397</v>
      </c>
      <c r="M237" s="296">
        <f>BD.PD[[#This Row],[Cant.]]*BD.PD[[#This Row],[ Tasa ]]*BD.PD[[#This Row],[ Precio Und.]]</f>
        <v>543096</v>
      </c>
      <c r="N237" s="361">
        <v>0</v>
      </c>
      <c r="O237" s="296">
        <f>IF(BD.PD[[#This Row],[Liquid. '[%']]]&lt;&gt;0,(BD.PD[[#This Row],[Valor Neto '[DOP']]]*BD.PD[[#This Row],[Liquid. '[%']]])+BD.PD[[#This Row],[Valor Neto '[DOP']]],BD.PD[[#This Row],[Valor Neto '[DOP']]])</f>
        <v>543096</v>
      </c>
      <c r="P237" s="306">
        <f>BD.PD[[#This Row],[Ppto. Orden Interna '[DOP']]]/HLOOKUP("USD",$J$1:$K$2,2,FALSE)</f>
        <v>8620.5714285714294</v>
      </c>
      <c r="Q237" s="299" t="s">
        <v>697</v>
      </c>
      <c r="R237" s="307" t="s">
        <v>696</v>
      </c>
      <c r="S237" s="300">
        <v>6</v>
      </c>
      <c r="T237" s="301">
        <v>0.5</v>
      </c>
      <c r="U237" s="308">
        <f>BD.PD[[#This Row],[Av.P1 '[%']]]*BD.PD[[#This Row],[Ppto. Orden Interna '[DOP']]]</f>
        <v>271548</v>
      </c>
      <c r="V237" s="303">
        <v>16</v>
      </c>
      <c r="W237" s="304">
        <v>0.5</v>
      </c>
      <c r="X237" s="308">
        <f>BD.PD[[#This Row],[Av.P2 '[%']]]*BD.PD[[#This Row],[Ppto. Orden Interna '[DOP']]]</f>
        <v>271548</v>
      </c>
      <c r="Y237" s="303"/>
      <c r="Z237" s="304"/>
      <c r="AA237" s="308">
        <f>BD.PD[[#This Row],[Av.P3 '[%']]]*BD.PD[[#This Row],[Ppto. Orden Interna '[DOP']]]</f>
        <v>0</v>
      </c>
      <c r="AB237" s="303"/>
      <c r="AC237" s="304"/>
      <c r="AD237" s="308">
        <f>BD.PD[[#This Row],[Av.P4 '[%']]]*BD.PD[[#This Row],[Ppto. Orden Interna '[DOP']]]</f>
        <v>0</v>
      </c>
      <c r="AE237" s="303"/>
      <c r="AF237" s="304"/>
      <c r="AG237" s="308">
        <f>BD.PD[[#This Row],[Av.P5 '[%']]]*BD.PD[[#This Row],[Ppto. Orden Interna '[DOP']]]</f>
        <v>0</v>
      </c>
      <c r="AH237" s="305">
        <f>BD.PD[[#This Row],[Pago 5]]+BD.PD[[#This Row],[Pago 4]]+BD.PD[[#This Row],[Pago 3]]+BD.PD[[#This Row],[Pago 2]]+BD.PD[[#This Row],[Pago 1]]</f>
        <v>543096</v>
      </c>
      <c r="AI237" s="404"/>
      <c r="IB237" s="275"/>
    </row>
    <row r="238" spans="1:236" ht="15" customHeight="1" x14ac:dyDescent="0.3">
      <c r="A238" s="231">
        <v>7.04</v>
      </c>
      <c r="B238" s="288"/>
      <c r="C238" s="289" t="str">
        <f>VLOOKUP(BD.PD[[#This Row],[Pos]],PPto[],3,FALSE)</f>
        <v>7.04 Equipamiento de Panaderia, Reposteria y Rosticería</v>
      </c>
      <c r="D238" s="231" t="s">
        <v>22</v>
      </c>
      <c r="E238" s="291" t="str">
        <f>IF(BD.PD[[#This Row],[.]]="*",VLOOKUP(BD.PD[[#This Row],[Pos]],Presupuesto!A:H,7,FALSE),"")</f>
        <v/>
      </c>
      <c r="F238" s="292" t="s">
        <v>280</v>
      </c>
      <c r="G238" s="292" t="s">
        <v>578</v>
      </c>
      <c r="H238" s="358">
        <v>45921</v>
      </c>
      <c r="I238" s="359">
        <v>2</v>
      </c>
      <c r="J238" s="231" t="s">
        <v>581</v>
      </c>
      <c r="K238" s="294">
        <f>IF(BD.PD[[#This Row],[Mon]]="DOP",1,HLOOKUP(BD.PD[[#This Row],[Mon]],$J$1:$K$2,2,FALSE))</f>
        <v>1</v>
      </c>
      <c r="L238" s="360">
        <v>15394.4</v>
      </c>
      <c r="M238" s="296">
        <f>BD.PD[[#This Row],[Cant.]]*BD.PD[[#This Row],[ Tasa ]]*BD.PD[[#This Row],[ Precio Und.]]</f>
        <v>30788.799999999999</v>
      </c>
      <c r="N238" s="361">
        <v>0</v>
      </c>
      <c r="O238" s="296">
        <f>IF(BD.PD[[#This Row],[Liquid. '[%']]]&lt;&gt;0,(BD.PD[[#This Row],[Valor Neto '[DOP']]]*BD.PD[[#This Row],[Liquid. '[%']]])+BD.PD[[#This Row],[Valor Neto '[DOP']]],BD.PD[[#This Row],[Valor Neto '[DOP']]])</f>
        <v>30788.799999999999</v>
      </c>
      <c r="P238" s="306">
        <f>BD.PD[[#This Row],[Ppto. Orden Interna '[DOP']]]/HLOOKUP("USD",$J$1:$K$2,2,FALSE)</f>
        <v>488.71111111111111</v>
      </c>
      <c r="Q238" s="299" t="s">
        <v>695</v>
      </c>
      <c r="R238" s="307" t="s">
        <v>696</v>
      </c>
      <c r="S238" s="300">
        <v>21</v>
      </c>
      <c r="T238" s="301">
        <v>1</v>
      </c>
      <c r="U238" s="308">
        <f>BD.PD[[#This Row],[Av.P1 '[%']]]*BD.PD[[#This Row],[Ppto. Orden Interna '[DOP']]]</f>
        <v>30788.799999999999</v>
      </c>
      <c r="V238" s="303"/>
      <c r="W238" s="304"/>
      <c r="X238" s="308">
        <f>BD.PD[[#This Row],[Av.P2 '[%']]]*BD.PD[[#This Row],[Ppto. Orden Interna '[DOP']]]</f>
        <v>0</v>
      </c>
      <c r="Y238" s="303"/>
      <c r="Z238" s="304"/>
      <c r="AA238" s="308">
        <f>BD.PD[[#This Row],[Av.P3 '[%']]]*BD.PD[[#This Row],[Ppto. Orden Interna '[DOP']]]</f>
        <v>0</v>
      </c>
      <c r="AB238" s="303"/>
      <c r="AC238" s="304"/>
      <c r="AD238" s="308">
        <f>BD.PD[[#This Row],[Av.P4 '[%']]]*BD.PD[[#This Row],[Ppto. Orden Interna '[DOP']]]</f>
        <v>0</v>
      </c>
      <c r="AE238" s="303"/>
      <c r="AF238" s="304"/>
      <c r="AG238" s="308">
        <f>BD.PD[[#This Row],[Av.P5 '[%']]]*BD.PD[[#This Row],[Ppto. Orden Interna '[DOP']]]</f>
        <v>0</v>
      </c>
      <c r="AH238" s="305">
        <f>BD.PD[[#This Row],[Pago 5]]+BD.PD[[#This Row],[Pago 4]]+BD.PD[[#This Row],[Pago 3]]+BD.PD[[#This Row],[Pago 2]]+BD.PD[[#This Row],[Pago 1]]</f>
        <v>30788.799999999999</v>
      </c>
      <c r="AI238" s="404"/>
      <c r="IB238" s="275"/>
    </row>
    <row r="239" spans="1:236" ht="15" customHeight="1" x14ac:dyDescent="0.3">
      <c r="A239" s="231">
        <v>7.05</v>
      </c>
      <c r="B239" s="288" t="s">
        <v>574</v>
      </c>
      <c r="C239" s="289" t="str">
        <f>VLOOKUP(BD.PD[[#This Row],[Pos]],PPto[],3,FALSE)</f>
        <v>7.05 Equipamiento de Frutas y Vegetales</v>
      </c>
      <c r="D239" s="290" t="s">
        <v>574</v>
      </c>
      <c r="E239" s="291">
        <f>IF(BD.PD[[#This Row],[.]]="*",VLOOKUP(BD.PD[[#This Row],[Pos]],Presupuesto!A:H,7,FALSE),"")</f>
        <v>62951.349201277946</v>
      </c>
      <c r="F239" s="292"/>
      <c r="G239" s="292" t="s">
        <v>575</v>
      </c>
      <c r="H239" s="292"/>
      <c r="I239" s="293">
        <v>1</v>
      </c>
      <c r="J239" s="290" t="s">
        <v>456</v>
      </c>
      <c r="K239" s="294">
        <f>IF(BD.PD[[#This Row],[Mon]]="DOP",1,HLOOKUP(BD.PD[[#This Row],[Mon]],$J$1:$K$2,2,FALSE))</f>
        <v>63</v>
      </c>
      <c r="L239" s="295">
        <v>0</v>
      </c>
      <c r="M239" s="296">
        <f>BD.PD[[#This Row],[Cant.]]*BD.PD[[#This Row],[ Tasa ]]*BD.PD[[#This Row],[ Precio Und.]]</f>
        <v>0</v>
      </c>
      <c r="N239" s="297">
        <v>0</v>
      </c>
      <c r="O239" s="296">
        <f>IF(BD.PD[[#This Row],[Liquid. '[%']]]&lt;&gt;0,(BD.PD[[#This Row],[Valor Neto '[DOP']]]*BD.PD[[#This Row],[Liquid. '[%']]])+BD.PD[[#This Row],[Valor Neto '[DOP']]],BD.PD[[#This Row],[Valor Neto '[DOP']]])</f>
        <v>0</v>
      </c>
      <c r="P239" s="306">
        <f>BD.PD[[#This Row],[Ppto. Orden Interna '[DOP']]]/HLOOKUP("USD",$J$1:$K$2,2,FALSE)</f>
        <v>0</v>
      </c>
      <c r="Q239" s="299"/>
      <c r="R239" s="307"/>
      <c r="S239" s="300"/>
      <c r="T239" s="301"/>
      <c r="U239" s="308">
        <f>BD.PD[[#This Row],[Av.P1 '[%']]]*BD.PD[[#This Row],[Ppto. Orden Interna '[DOP']]]</f>
        <v>0</v>
      </c>
      <c r="V239" s="303"/>
      <c r="W239" s="304"/>
      <c r="X239" s="308">
        <f>BD.PD[[#This Row],[Av.P2 '[%']]]*BD.PD[[#This Row],[Ppto. Orden Interna '[DOP']]]</f>
        <v>0</v>
      </c>
      <c r="Y239" s="303"/>
      <c r="Z239" s="304"/>
      <c r="AA239" s="308">
        <f>BD.PD[[#This Row],[Av.P3 '[%']]]*BD.PD[[#This Row],[Ppto. Orden Interna '[DOP']]]</f>
        <v>0</v>
      </c>
      <c r="AB239" s="303"/>
      <c r="AC239" s="304"/>
      <c r="AD239" s="308">
        <f>BD.PD[[#This Row],[Av.P4 '[%']]]*BD.PD[[#This Row],[Ppto. Orden Interna '[DOP']]]</f>
        <v>0</v>
      </c>
      <c r="AE239" s="303"/>
      <c r="AF239" s="304"/>
      <c r="AG239" s="308">
        <f>BD.PD[[#This Row],[Av.P5 '[%']]]*BD.PD[[#This Row],[Ppto. Orden Interna '[DOP']]]</f>
        <v>0</v>
      </c>
      <c r="AH239" s="305">
        <f>BD.PD[[#This Row],[Pago 5]]+BD.PD[[#This Row],[Pago 4]]+BD.PD[[#This Row],[Pago 3]]+BD.PD[[#This Row],[Pago 2]]+BD.PD[[#This Row],[Pago 1]]</f>
        <v>0</v>
      </c>
      <c r="AI239" s="404"/>
      <c r="IB239" s="275"/>
    </row>
    <row r="240" spans="1:236" ht="15" customHeight="1" x14ac:dyDescent="0.3">
      <c r="A240" s="231">
        <v>7.05</v>
      </c>
      <c r="B240" s="288"/>
      <c r="C240" s="289" t="str">
        <f>VLOOKUP(BD.PD[[#This Row],[Pos]],PPto[],3,FALSE)</f>
        <v>7.05 Equipamiento de Frutas y Vegetales</v>
      </c>
      <c r="D240" s="231" t="s">
        <v>22</v>
      </c>
      <c r="E240" s="291" t="str">
        <f>IF(BD.PD[[#This Row],[.]]="*",VLOOKUP(BD.PD[[#This Row],[Pos]],Presupuesto!A:H,7,FALSE),"")</f>
        <v/>
      </c>
      <c r="F240" s="410" t="s">
        <v>294</v>
      </c>
      <c r="G240" s="292">
        <v>4600074370</v>
      </c>
      <c r="H240" s="358">
        <v>45853</v>
      </c>
      <c r="I240" s="359">
        <v>2</v>
      </c>
      <c r="J240" s="231" t="s">
        <v>456</v>
      </c>
      <c r="K240" s="294">
        <f>IF(BD.PD[[#This Row],[Mon]]="DOP",1,HLOOKUP(BD.PD[[#This Row],[Mon]],$J$1:$K$2,2,FALSE))</f>
        <v>63</v>
      </c>
      <c r="L240" s="360">
        <v>1811.06</v>
      </c>
      <c r="M240" s="296">
        <f>BD.PD[[#This Row],[Cant.]]*BD.PD[[#This Row],[ Tasa ]]*BD.PD[[#This Row],[ Precio Und.]]</f>
        <v>228193.56</v>
      </c>
      <c r="N240" s="361">
        <v>0.45</v>
      </c>
      <c r="O240" s="296">
        <f>IF(BD.PD[[#This Row],[Liquid. '[%']]]&lt;&gt;0,(BD.PD[[#This Row],[Valor Neto '[DOP']]]*BD.PD[[#This Row],[Liquid. '[%']]])+BD.PD[[#This Row],[Valor Neto '[DOP']]],BD.PD[[#This Row],[Valor Neto '[DOP']]])</f>
        <v>330880.66200000001</v>
      </c>
      <c r="P240" s="306">
        <f>BD.PD[[#This Row],[Ppto. Orden Interna '[DOP']]]/HLOOKUP("USD",$J$1:$K$2,2,FALSE)</f>
        <v>5252.0740000000005</v>
      </c>
      <c r="Q240" s="299" t="s">
        <v>698</v>
      </c>
      <c r="R240" s="307" t="s">
        <v>699</v>
      </c>
      <c r="S240" s="300">
        <v>4</v>
      </c>
      <c r="T240" s="301">
        <v>1</v>
      </c>
      <c r="U240" s="308">
        <f>BD.PD[[#This Row],[Av.P1 '[%']]]*BD.PD[[#This Row],[Ppto. Orden Interna '[DOP']]]</f>
        <v>330880.66200000001</v>
      </c>
      <c r="V240" s="303"/>
      <c r="W240" s="304"/>
      <c r="X240" s="308">
        <f>BD.PD[[#This Row],[Av.P2 '[%']]]*BD.PD[[#This Row],[Ppto. Orden Interna '[DOP']]]</f>
        <v>0</v>
      </c>
      <c r="Y240" s="303"/>
      <c r="Z240" s="304"/>
      <c r="AA240" s="308">
        <f>BD.PD[[#This Row],[Av.P3 '[%']]]*BD.PD[[#This Row],[Ppto. Orden Interna '[DOP']]]</f>
        <v>0</v>
      </c>
      <c r="AB240" s="303"/>
      <c r="AC240" s="304"/>
      <c r="AD240" s="308">
        <f>BD.PD[[#This Row],[Av.P4 '[%']]]*BD.PD[[#This Row],[Ppto. Orden Interna '[DOP']]]</f>
        <v>0</v>
      </c>
      <c r="AE240" s="303"/>
      <c r="AF240" s="304"/>
      <c r="AG240" s="308">
        <f>BD.PD[[#This Row],[Av.P5 '[%']]]*BD.PD[[#This Row],[Ppto. Orden Interna '[DOP']]]</f>
        <v>0</v>
      </c>
      <c r="AH240" s="305">
        <f>BD.PD[[#This Row],[Pago 5]]+BD.PD[[#This Row],[Pago 4]]+BD.PD[[#This Row],[Pago 3]]+BD.PD[[#This Row],[Pago 2]]+BD.PD[[#This Row],[Pago 1]]</f>
        <v>330880.66200000001</v>
      </c>
      <c r="AI240" s="404"/>
      <c r="IB240" s="275"/>
    </row>
    <row r="241" spans="1:236" ht="15" customHeight="1" x14ac:dyDescent="0.3">
      <c r="A241" s="231">
        <v>7.05</v>
      </c>
      <c r="B241" s="288"/>
      <c r="C241" s="289" t="str">
        <f>VLOOKUP(BD.PD[[#This Row],[Pos]],PPto[],3,FALSE)</f>
        <v>7.05 Equipamiento de Frutas y Vegetales</v>
      </c>
      <c r="D241" s="231" t="s">
        <v>22</v>
      </c>
      <c r="E241" s="291" t="str">
        <f>IF(BD.PD[[#This Row],[.]]="*",VLOOKUP(BD.PD[[#This Row],[Pos]],Presupuesto!A:H,7,FALSE),"")</f>
        <v/>
      </c>
      <c r="F241" s="387" t="s">
        <v>290</v>
      </c>
      <c r="G241" s="292">
        <v>4600072453</v>
      </c>
      <c r="H241" s="358">
        <v>45699</v>
      </c>
      <c r="I241" s="359">
        <v>170</v>
      </c>
      <c r="J241" s="231" t="s">
        <v>581</v>
      </c>
      <c r="K241" s="294">
        <f>IF(BD.PD[[#This Row],[Mon]]="DOP",1,HLOOKUP(BD.PD[[#This Row],[Mon]],$J$1:$K$2,2,FALSE))</f>
        <v>1</v>
      </c>
      <c r="L241" s="360">
        <v>475.52023529411764</v>
      </c>
      <c r="M241" s="296">
        <f>BD.PD[[#This Row],[Cant.]]*BD.PD[[#This Row],[ Tasa ]]*BD.PD[[#This Row],[ Precio Und.]]</f>
        <v>80838.44</v>
      </c>
      <c r="N241" s="361">
        <v>0</v>
      </c>
      <c r="O241" s="296">
        <f>IF(BD.PD[[#This Row],[Liquid. '[%']]]&lt;&gt;0,(BD.PD[[#This Row],[Valor Neto '[DOP']]]*BD.PD[[#This Row],[Liquid. '[%']]])+BD.PD[[#This Row],[Valor Neto '[DOP']]],BD.PD[[#This Row],[Valor Neto '[DOP']]])</f>
        <v>80838.44</v>
      </c>
      <c r="P241" s="306">
        <f>BD.PD[[#This Row],[Ppto. Orden Interna '[DOP']]]/HLOOKUP("USD",$J$1:$K$2,2,FALSE)</f>
        <v>1283.1498412698413</v>
      </c>
      <c r="Q241" s="299" t="s">
        <v>690</v>
      </c>
      <c r="R241" s="307" t="s">
        <v>678</v>
      </c>
      <c r="S241" s="300">
        <v>4</v>
      </c>
      <c r="T241" s="301">
        <v>1</v>
      </c>
      <c r="U241" s="308">
        <f>BD.PD[[#This Row],[Av.P1 '[%']]]*BD.PD[[#This Row],[Ppto. Orden Interna '[DOP']]]</f>
        <v>80838.44</v>
      </c>
      <c r="V241" s="303"/>
      <c r="W241" s="304"/>
      <c r="X241" s="308">
        <f>BD.PD[[#This Row],[Av.P2 '[%']]]*BD.PD[[#This Row],[Ppto. Orden Interna '[DOP']]]</f>
        <v>0</v>
      </c>
      <c r="Y241" s="303"/>
      <c r="Z241" s="304"/>
      <c r="AA241" s="308">
        <f>BD.PD[[#This Row],[Av.P3 '[%']]]*BD.PD[[#This Row],[Ppto. Orden Interna '[DOP']]]</f>
        <v>0</v>
      </c>
      <c r="AB241" s="303"/>
      <c r="AC241" s="304"/>
      <c r="AD241" s="308">
        <f>BD.PD[[#This Row],[Av.P4 '[%']]]*BD.PD[[#This Row],[Ppto. Orden Interna '[DOP']]]</f>
        <v>0</v>
      </c>
      <c r="AE241" s="303"/>
      <c r="AF241" s="304"/>
      <c r="AG241" s="308">
        <f>BD.PD[[#This Row],[Av.P5 '[%']]]*BD.PD[[#This Row],[Ppto. Orden Interna '[DOP']]]</f>
        <v>0</v>
      </c>
      <c r="AH241" s="305">
        <f>BD.PD[[#This Row],[Pago 5]]+BD.PD[[#This Row],[Pago 4]]+BD.PD[[#This Row],[Pago 3]]+BD.PD[[#This Row],[Pago 2]]+BD.PD[[#This Row],[Pago 1]]</f>
        <v>80838.44</v>
      </c>
      <c r="AI241" s="404"/>
      <c r="IB241" s="275"/>
    </row>
    <row r="242" spans="1:236" ht="15" customHeight="1" x14ac:dyDescent="0.3">
      <c r="A242" s="231">
        <v>7.05</v>
      </c>
      <c r="B242" s="288"/>
      <c r="C242" s="289" t="str">
        <f>VLOOKUP(BD.PD[[#This Row],[Pos]],PPto[],3,FALSE)</f>
        <v>7.05 Equipamiento de Frutas y Vegetales</v>
      </c>
      <c r="D242" s="231" t="s">
        <v>22</v>
      </c>
      <c r="E242" s="291" t="str">
        <f>IF(BD.PD[[#This Row],[.]]="*",VLOOKUP(BD.PD[[#This Row],[Pos]],Presupuesto!A:H,7,FALSE),"")</f>
        <v/>
      </c>
      <c r="F242" s="387" t="s">
        <v>289</v>
      </c>
      <c r="G242" s="292">
        <v>4600072453</v>
      </c>
      <c r="H242" s="358">
        <v>45699</v>
      </c>
      <c r="I242" s="359">
        <v>20</v>
      </c>
      <c r="J242" s="231" t="s">
        <v>581</v>
      </c>
      <c r="K242" s="294">
        <f>IF(BD.PD[[#This Row],[Mon]]="DOP",1,HLOOKUP(BD.PD[[#This Row],[Mon]],$J$1:$K$2,2,FALSE))</f>
        <v>1</v>
      </c>
      <c r="L242" s="360">
        <v>356.72899999999998</v>
      </c>
      <c r="M242" s="296">
        <f>BD.PD[[#This Row],[Cant.]]*BD.PD[[#This Row],[ Tasa ]]*BD.PD[[#This Row],[ Precio Und.]]</f>
        <v>7134.58</v>
      </c>
      <c r="N242" s="361">
        <v>0</v>
      </c>
      <c r="O242" s="296">
        <f>IF(BD.PD[[#This Row],[Liquid. '[%']]]&lt;&gt;0,(BD.PD[[#This Row],[Valor Neto '[DOP']]]*BD.PD[[#This Row],[Liquid. '[%']]])+BD.PD[[#This Row],[Valor Neto '[DOP']]],BD.PD[[#This Row],[Valor Neto '[DOP']]])</f>
        <v>7134.58</v>
      </c>
      <c r="P242" s="306">
        <f>BD.PD[[#This Row],[Ppto. Orden Interna '[DOP']]]/HLOOKUP("USD",$J$1:$K$2,2,FALSE)</f>
        <v>113.24730158730159</v>
      </c>
      <c r="Q242" s="299" t="s">
        <v>690</v>
      </c>
      <c r="R242" s="307" t="s">
        <v>678</v>
      </c>
      <c r="S242" s="300">
        <v>4</v>
      </c>
      <c r="T242" s="301">
        <v>1</v>
      </c>
      <c r="U242" s="308">
        <f>BD.PD[[#This Row],[Av.P1 '[%']]]*BD.PD[[#This Row],[Ppto. Orden Interna '[DOP']]]</f>
        <v>7134.58</v>
      </c>
      <c r="V242" s="303"/>
      <c r="W242" s="304"/>
      <c r="X242" s="308">
        <f>BD.PD[[#This Row],[Av.P2 '[%']]]*BD.PD[[#This Row],[Ppto. Orden Interna '[DOP']]]</f>
        <v>0</v>
      </c>
      <c r="Y242" s="303"/>
      <c r="Z242" s="304"/>
      <c r="AA242" s="308">
        <f>BD.PD[[#This Row],[Av.P3 '[%']]]*BD.PD[[#This Row],[Ppto. Orden Interna '[DOP']]]</f>
        <v>0</v>
      </c>
      <c r="AB242" s="303"/>
      <c r="AC242" s="304"/>
      <c r="AD242" s="308">
        <f>BD.PD[[#This Row],[Av.P4 '[%']]]*BD.PD[[#This Row],[Ppto. Orden Interna '[DOP']]]</f>
        <v>0</v>
      </c>
      <c r="AE242" s="303"/>
      <c r="AF242" s="304"/>
      <c r="AG242" s="308">
        <f>BD.PD[[#This Row],[Av.P5 '[%']]]*BD.PD[[#This Row],[Ppto. Orden Interna '[DOP']]]</f>
        <v>0</v>
      </c>
      <c r="AH242" s="305">
        <f>BD.PD[[#This Row],[Pago 5]]+BD.PD[[#This Row],[Pago 4]]+BD.PD[[#This Row],[Pago 3]]+BD.PD[[#This Row],[Pago 2]]+BD.PD[[#This Row],[Pago 1]]</f>
        <v>7134.58</v>
      </c>
      <c r="AI242" s="404"/>
      <c r="IB242" s="275"/>
    </row>
    <row r="243" spans="1:236" ht="15" customHeight="1" x14ac:dyDescent="0.3">
      <c r="A243" s="231">
        <v>7.05</v>
      </c>
      <c r="B243" s="288"/>
      <c r="C243" s="289" t="str">
        <f>VLOOKUP(BD.PD[[#This Row],[Pos]],PPto[],3,FALSE)</f>
        <v>7.05 Equipamiento de Frutas y Vegetales</v>
      </c>
      <c r="D243" s="389" t="s">
        <v>22</v>
      </c>
      <c r="E243" s="291" t="str">
        <f>IF(BD.PD[[#This Row],[.]]="*",VLOOKUP(BD.PD[[#This Row],[Pos]],Presupuesto!A:H,7,FALSE),"")</f>
        <v/>
      </c>
      <c r="F243" s="390" t="s">
        <v>291</v>
      </c>
      <c r="G243" s="390">
        <v>4600073130</v>
      </c>
      <c r="H243" s="358">
        <v>45742</v>
      </c>
      <c r="I243" s="359">
        <v>12</v>
      </c>
      <c r="J243" s="389" t="s">
        <v>456</v>
      </c>
      <c r="K243" s="294">
        <f>IF(BD.PD[[#This Row],[Mon]]="DOP",1,HLOOKUP(BD.PD[[#This Row],[Mon]],$J$1:$K$2,2,FALSE))</f>
        <v>63</v>
      </c>
      <c r="L243" s="360">
        <v>130</v>
      </c>
      <c r="M243" s="296">
        <f>BD.PD[[#This Row],[Cant.]]*BD.PD[[#This Row],[ Tasa ]]*BD.PD[[#This Row],[ Precio Und.]]</f>
        <v>98280</v>
      </c>
      <c r="N243" s="361">
        <v>0.45</v>
      </c>
      <c r="O243" s="296">
        <f>IF(BD.PD[[#This Row],[Liquid. '[%']]]&lt;&gt;0,(BD.PD[[#This Row],[Valor Neto '[DOP']]]*BD.PD[[#This Row],[Liquid. '[%']]])+BD.PD[[#This Row],[Valor Neto '[DOP']]],BD.PD[[#This Row],[Valor Neto '[DOP']]])</f>
        <v>142506</v>
      </c>
      <c r="P243" s="306">
        <f>BD.PD[[#This Row],[Ppto. Orden Interna '[DOP']]]/HLOOKUP("USD",$J$1:$K$2,2,FALSE)</f>
        <v>2262</v>
      </c>
      <c r="Q243" s="299" t="s">
        <v>623</v>
      </c>
      <c r="R243" s="307" t="s">
        <v>624</v>
      </c>
      <c r="S243" s="300">
        <v>3</v>
      </c>
      <c r="T243" s="301">
        <v>0.5</v>
      </c>
      <c r="U243" s="308">
        <f>BD.PD[[#This Row],[Av.P1 '[%']]]*BD.PD[[#This Row],[Ppto. Orden Interna '[DOP']]]</f>
        <v>71253</v>
      </c>
      <c r="V243" s="303">
        <v>16</v>
      </c>
      <c r="W243" s="399">
        <v>0.5</v>
      </c>
      <c r="X243" s="308">
        <f>BD.PD[[#This Row],[Av.P2 '[%']]]*BD.PD[[#This Row],[Ppto. Orden Interna '[DOP']]]</f>
        <v>71253</v>
      </c>
      <c r="Y243" s="398"/>
      <c r="Z243" s="399"/>
      <c r="AA243" s="308">
        <f>BD.PD[[#This Row],[Av.P3 '[%']]]*BD.PD[[#This Row],[Ppto. Orden Interna '[DOP']]]</f>
        <v>0</v>
      </c>
      <c r="AB243" s="398"/>
      <c r="AC243" s="399"/>
      <c r="AD243" s="308">
        <f>BD.PD[[#This Row],[Av.P4 '[%']]]*BD.PD[[#This Row],[Ppto. Orden Interna '[DOP']]]</f>
        <v>0</v>
      </c>
      <c r="AE243" s="398"/>
      <c r="AF243" s="399"/>
      <c r="AG243" s="308">
        <f>BD.PD[[#This Row],[Av.P5 '[%']]]*BD.PD[[#This Row],[Ppto. Orden Interna '[DOP']]]</f>
        <v>0</v>
      </c>
      <c r="AH243" s="305">
        <f>BD.PD[[#This Row],[Pago 5]]+BD.PD[[#This Row],[Pago 4]]+BD.PD[[#This Row],[Pago 3]]+BD.PD[[#This Row],[Pago 2]]+BD.PD[[#This Row],[Pago 1]]</f>
        <v>142506</v>
      </c>
      <c r="AI243" s="404"/>
      <c r="IB243" s="275"/>
    </row>
    <row r="244" spans="1:236" ht="15" customHeight="1" x14ac:dyDescent="0.3">
      <c r="A244" s="389">
        <v>7.05</v>
      </c>
      <c r="B244" s="288"/>
      <c r="C244" s="289" t="str">
        <f>VLOOKUP(BD.PD[[#This Row],[Pos]],PPto[],3,FALSE)</f>
        <v>7.05 Equipamiento de Frutas y Vegetales</v>
      </c>
      <c r="D244" s="389" t="s">
        <v>22</v>
      </c>
      <c r="E244" s="291" t="str">
        <f>IF(BD.PD[[#This Row],[.]]="*",VLOOKUP(BD.PD[[#This Row],[Pos]],Presupuesto!A:H,7,FALSE),"")</f>
        <v/>
      </c>
      <c r="F244" s="390" t="s">
        <v>292</v>
      </c>
      <c r="G244" s="390">
        <v>4600073130</v>
      </c>
      <c r="H244" s="358">
        <v>45742</v>
      </c>
      <c r="I244" s="391">
        <v>6</v>
      </c>
      <c r="J244" s="389" t="s">
        <v>456</v>
      </c>
      <c r="K244" s="294">
        <f>IF(BD.PD[[#This Row],[Mon]]="DOP",1,HLOOKUP(BD.PD[[#This Row],[Mon]],$J$1:$K$2,2,FALSE))</f>
        <v>63</v>
      </c>
      <c r="L244" s="392">
        <v>1228</v>
      </c>
      <c r="M244" s="296">
        <f>BD.PD[[#This Row],[Cant.]]*BD.PD[[#This Row],[ Tasa ]]*BD.PD[[#This Row],[ Precio Und.]]</f>
        <v>464184</v>
      </c>
      <c r="N244" s="361">
        <v>0.45</v>
      </c>
      <c r="O244" s="296">
        <f>IF(BD.PD[[#This Row],[Liquid. '[%']]]&lt;&gt;0,(BD.PD[[#This Row],[Valor Neto '[DOP']]]*BD.PD[[#This Row],[Liquid. '[%']]])+BD.PD[[#This Row],[Valor Neto '[DOP']]],BD.PD[[#This Row],[Valor Neto '[DOP']]])</f>
        <v>673066.8</v>
      </c>
      <c r="P244" s="306">
        <f>BD.PD[[#This Row],[Ppto. Orden Interna '[DOP']]]/HLOOKUP("USD",$J$1:$K$2,2,FALSE)</f>
        <v>10683.6</v>
      </c>
      <c r="Q244" s="299" t="s">
        <v>623</v>
      </c>
      <c r="R244" s="307" t="s">
        <v>624</v>
      </c>
      <c r="S244" s="300">
        <v>3</v>
      </c>
      <c r="T244" s="301">
        <v>0.5</v>
      </c>
      <c r="U244" s="308">
        <f>BD.PD[[#This Row],[Av.P1 '[%']]]*BD.PD[[#This Row],[Ppto. Orden Interna '[DOP']]]</f>
        <v>336533.4</v>
      </c>
      <c r="V244" s="303">
        <v>16</v>
      </c>
      <c r="W244" s="399">
        <v>0.5</v>
      </c>
      <c r="X244" s="308">
        <f>BD.PD[[#This Row],[Av.P2 '[%']]]*BD.PD[[#This Row],[Ppto. Orden Interna '[DOP']]]</f>
        <v>336533.4</v>
      </c>
      <c r="Y244" s="398"/>
      <c r="Z244" s="399"/>
      <c r="AA244" s="308">
        <f>BD.PD[[#This Row],[Av.P3 '[%']]]*BD.PD[[#This Row],[Ppto. Orden Interna '[DOP']]]</f>
        <v>0</v>
      </c>
      <c r="AB244" s="398"/>
      <c r="AC244" s="399"/>
      <c r="AD244" s="308">
        <f>BD.PD[[#This Row],[Av.P4 '[%']]]*BD.PD[[#This Row],[Ppto. Orden Interna '[DOP']]]</f>
        <v>0</v>
      </c>
      <c r="AE244" s="398"/>
      <c r="AF244" s="399"/>
      <c r="AG244" s="308">
        <f>BD.PD[[#This Row],[Av.P5 '[%']]]*BD.PD[[#This Row],[Ppto. Orden Interna '[DOP']]]</f>
        <v>0</v>
      </c>
      <c r="AH244" s="305">
        <f>BD.PD[[#This Row],[Pago 5]]+BD.PD[[#This Row],[Pago 4]]+BD.PD[[#This Row],[Pago 3]]+BD.PD[[#This Row],[Pago 2]]+BD.PD[[#This Row],[Pago 1]]</f>
        <v>673066.8</v>
      </c>
      <c r="AI244" s="404"/>
      <c r="IB244" s="275"/>
    </row>
    <row r="245" spans="1:236" ht="15" customHeight="1" x14ac:dyDescent="0.3">
      <c r="A245" s="389">
        <v>7.05</v>
      </c>
      <c r="B245" s="288"/>
      <c r="C245" s="289" t="str">
        <f>VLOOKUP(BD.PD[[#This Row],[Pos]],PPto[],3,FALSE)</f>
        <v>7.05 Equipamiento de Frutas y Vegetales</v>
      </c>
      <c r="D245" s="389" t="s">
        <v>22</v>
      </c>
      <c r="E245" s="291" t="str">
        <f>IF(BD.PD[[#This Row],[.]]="*",VLOOKUP(BD.PD[[#This Row],[Pos]],Presupuesto!A:H,7,FALSE),"")</f>
        <v/>
      </c>
      <c r="F245" s="390" t="s">
        <v>293</v>
      </c>
      <c r="G245" s="390">
        <v>4600073130</v>
      </c>
      <c r="H245" s="358">
        <v>45742</v>
      </c>
      <c r="I245" s="391">
        <v>18</v>
      </c>
      <c r="J245" s="389" t="s">
        <v>456</v>
      </c>
      <c r="K245" s="294">
        <f>IF(BD.PD[[#This Row],[Mon]]="DOP",1,HLOOKUP(BD.PD[[#This Row],[Mon]],$J$1:$K$2,2,FALSE))</f>
        <v>63</v>
      </c>
      <c r="L245" s="392">
        <v>1531</v>
      </c>
      <c r="M245" s="296">
        <f>BD.PD[[#This Row],[Cant.]]*BD.PD[[#This Row],[ Tasa ]]*BD.PD[[#This Row],[ Precio Und.]]</f>
        <v>1736154</v>
      </c>
      <c r="N245" s="361">
        <v>0.45</v>
      </c>
      <c r="O245" s="296">
        <f>IF(BD.PD[[#This Row],[Liquid. '[%']]]&lt;&gt;0,(BD.PD[[#This Row],[Valor Neto '[DOP']]]*BD.PD[[#This Row],[Liquid. '[%']]])+BD.PD[[#This Row],[Valor Neto '[DOP']]],BD.PD[[#This Row],[Valor Neto '[DOP']]])</f>
        <v>2517423.2999999998</v>
      </c>
      <c r="P245" s="306">
        <f>BD.PD[[#This Row],[Ppto. Orden Interna '[DOP']]]/HLOOKUP("USD",$J$1:$K$2,2,FALSE)</f>
        <v>39959.1</v>
      </c>
      <c r="Q245" s="299" t="s">
        <v>623</v>
      </c>
      <c r="R245" s="307" t="s">
        <v>624</v>
      </c>
      <c r="S245" s="300">
        <v>3</v>
      </c>
      <c r="T245" s="301">
        <v>0.5</v>
      </c>
      <c r="U245" s="308">
        <f>BD.PD[[#This Row],[Av.P1 '[%']]]*BD.PD[[#This Row],[Ppto. Orden Interna '[DOP']]]</f>
        <v>1258711.6499999999</v>
      </c>
      <c r="V245" s="303">
        <v>16</v>
      </c>
      <c r="W245" s="399">
        <v>0.5</v>
      </c>
      <c r="X245" s="308">
        <f>BD.PD[[#This Row],[Av.P2 '[%']]]*BD.PD[[#This Row],[Ppto. Orden Interna '[DOP']]]</f>
        <v>1258711.6499999999</v>
      </c>
      <c r="Y245" s="398"/>
      <c r="Z245" s="399"/>
      <c r="AA245" s="308">
        <f>BD.PD[[#This Row],[Av.P3 '[%']]]*BD.PD[[#This Row],[Ppto. Orden Interna '[DOP']]]</f>
        <v>0</v>
      </c>
      <c r="AB245" s="398"/>
      <c r="AC245" s="399"/>
      <c r="AD245" s="308">
        <f>BD.PD[[#This Row],[Av.P4 '[%']]]*BD.PD[[#This Row],[Ppto. Orden Interna '[DOP']]]</f>
        <v>0</v>
      </c>
      <c r="AE245" s="398"/>
      <c r="AF245" s="399"/>
      <c r="AG245" s="308">
        <f>BD.PD[[#This Row],[Av.P5 '[%']]]*BD.PD[[#This Row],[Ppto. Orden Interna '[DOP']]]</f>
        <v>0</v>
      </c>
      <c r="AH245" s="305">
        <f>BD.PD[[#This Row],[Pago 5]]+BD.PD[[#This Row],[Pago 4]]+BD.PD[[#This Row],[Pago 3]]+BD.PD[[#This Row],[Pago 2]]+BD.PD[[#This Row],[Pago 1]]</f>
        <v>2517423.2999999998</v>
      </c>
      <c r="AI245" s="404"/>
      <c r="IB245" s="275"/>
    </row>
    <row r="246" spans="1:236" ht="15" customHeight="1" x14ac:dyDescent="0.3">
      <c r="A246" s="231">
        <v>7.05</v>
      </c>
      <c r="B246" s="288"/>
      <c r="C246" s="289" t="str">
        <f>VLOOKUP(BD.PD[[#This Row],[Pos]],PPto[],3,FALSE)</f>
        <v>7.05 Equipamiento de Frutas y Vegetales</v>
      </c>
      <c r="D246" s="231" t="s">
        <v>22</v>
      </c>
      <c r="E246" s="291" t="str">
        <f>IF(BD.PD[[#This Row],[.]]="*",VLOOKUP(BD.PD[[#This Row],[Pos]],Presupuesto!A:H,7,FALSE),"")</f>
        <v/>
      </c>
      <c r="F246" s="402" t="s">
        <v>288</v>
      </c>
      <c r="G246" s="292" t="s">
        <v>578</v>
      </c>
      <c r="H246" s="358">
        <v>45921</v>
      </c>
      <c r="I246" s="359">
        <v>1</v>
      </c>
      <c r="J246" s="231" t="s">
        <v>581</v>
      </c>
      <c r="K246" s="294">
        <f>IF(BD.PD[[#This Row],[Mon]]="DOP",1,HLOOKUP(BD.PD[[#This Row],[Mon]],$J$1:$K$2,2,FALSE))</f>
        <v>1</v>
      </c>
      <c r="L246" s="360">
        <v>900</v>
      </c>
      <c r="M246" s="296">
        <f>BD.PD[[#This Row],[Cant.]]*BD.PD[[#This Row],[ Tasa ]]*BD.PD[[#This Row],[ Precio Und.]]</f>
        <v>900</v>
      </c>
      <c r="N246" s="361">
        <v>0</v>
      </c>
      <c r="O246" s="296">
        <f>IF(BD.PD[[#This Row],[Liquid. '[%']]]&lt;&gt;0,(BD.PD[[#This Row],[Valor Neto '[DOP']]]*BD.PD[[#This Row],[Liquid. '[%']]])+BD.PD[[#This Row],[Valor Neto '[DOP']]],BD.PD[[#This Row],[Valor Neto '[DOP']]])</f>
        <v>900</v>
      </c>
      <c r="P246" s="306">
        <f>BD.PD[[#This Row],[Ppto. Orden Interna '[DOP']]]/HLOOKUP("USD",$J$1:$K$2,2,FALSE)</f>
        <v>14.285714285714286</v>
      </c>
      <c r="Q246" s="299" t="s">
        <v>700</v>
      </c>
      <c r="R246" s="307" t="s">
        <v>701</v>
      </c>
      <c r="S246" s="300">
        <v>21</v>
      </c>
      <c r="T246" s="301">
        <v>1</v>
      </c>
      <c r="U246" s="308">
        <f>BD.PD[[#This Row],[Av.P1 '[%']]]*BD.PD[[#This Row],[Ppto. Orden Interna '[DOP']]]</f>
        <v>900</v>
      </c>
      <c r="V246" s="303"/>
      <c r="W246" s="304"/>
      <c r="X246" s="308">
        <f>BD.PD[[#This Row],[Av.P2 '[%']]]*BD.PD[[#This Row],[Ppto. Orden Interna '[DOP']]]</f>
        <v>0</v>
      </c>
      <c r="Y246" s="303"/>
      <c r="Z246" s="304"/>
      <c r="AA246" s="308">
        <f>BD.PD[[#This Row],[Av.P3 '[%']]]*BD.PD[[#This Row],[Ppto. Orden Interna '[DOP']]]</f>
        <v>0</v>
      </c>
      <c r="AB246" s="303"/>
      <c r="AC246" s="304"/>
      <c r="AD246" s="308">
        <f>BD.PD[[#This Row],[Av.P4 '[%']]]*BD.PD[[#This Row],[Ppto. Orden Interna '[DOP']]]</f>
        <v>0</v>
      </c>
      <c r="AE246" s="303"/>
      <c r="AF246" s="304"/>
      <c r="AG246" s="308">
        <f>BD.PD[[#This Row],[Av.P5 '[%']]]*BD.PD[[#This Row],[Ppto. Orden Interna '[DOP']]]</f>
        <v>0</v>
      </c>
      <c r="AH246" s="305">
        <f>BD.PD[[#This Row],[Pago 5]]+BD.PD[[#This Row],[Pago 4]]+BD.PD[[#This Row],[Pago 3]]+BD.PD[[#This Row],[Pago 2]]+BD.PD[[#This Row],[Pago 1]]</f>
        <v>900</v>
      </c>
      <c r="AI246" s="404"/>
      <c r="IB246" s="275"/>
    </row>
    <row r="247" spans="1:236" ht="15" customHeight="1" x14ac:dyDescent="0.3">
      <c r="A247" s="231">
        <v>7.06</v>
      </c>
      <c r="B247" s="288" t="s">
        <v>574</v>
      </c>
      <c r="C247" s="289" t="str">
        <f>VLOOKUP(BD.PD[[#This Row],[Pos]],PPto[],3,FALSE)</f>
        <v>7.06 Balanzas</v>
      </c>
      <c r="D247" s="290" t="s">
        <v>574</v>
      </c>
      <c r="E247" s="291">
        <f>IF(BD.PD[[#This Row],[.]]="*",VLOOKUP(BD.PD[[#This Row],[Pos]],Presupuesto!A:H,7,FALSE),"")</f>
        <v>0</v>
      </c>
      <c r="F247" s="292"/>
      <c r="G247" s="292" t="s">
        <v>575</v>
      </c>
      <c r="H247" s="292"/>
      <c r="I247" s="293">
        <v>1</v>
      </c>
      <c r="J247" s="290" t="s">
        <v>456</v>
      </c>
      <c r="K247" s="294">
        <f>IF(BD.PD[[#This Row],[Mon]]="DOP",1,HLOOKUP(BD.PD[[#This Row],[Mon]],$J$1:$K$2,2,FALSE))</f>
        <v>63</v>
      </c>
      <c r="L247" s="295">
        <v>0</v>
      </c>
      <c r="M247" s="296">
        <f>BD.PD[[#This Row],[Cant.]]*BD.PD[[#This Row],[ Tasa ]]*BD.PD[[#This Row],[ Precio Und.]]</f>
        <v>0</v>
      </c>
      <c r="N247" s="297">
        <v>0</v>
      </c>
      <c r="O247" s="296">
        <f>IF(BD.PD[[#This Row],[Liquid. '[%']]]&lt;&gt;0,(BD.PD[[#This Row],[Valor Neto '[DOP']]]*BD.PD[[#This Row],[Liquid. '[%']]])+BD.PD[[#This Row],[Valor Neto '[DOP']]],BD.PD[[#This Row],[Valor Neto '[DOP']]])</f>
        <v>0</v>
      </c>
      <c r="P247" s="306">
        <f>BD.PD[[#This Row],[Ppto. Orden Interna '[DOP']]]/HLOOKUP("USD",$J$1:$K$2,2,FALSE)</f>
        <v>0</v>
      </c>
      <c r="Q247" s="299"/>
      <c r="R247" s="307"/>
      <c r="S247" s="300"/>
      <c r="T247" s="301"/>
      <c r="U247" s="308">
        <f>BD.PD[[#This Row],[Av.P1 '[%']]]*BD.PD[[#This Row],[Ppto. Orden Interna '[DOP']]]</f>
        <v>0</v>
      </c>
      <c r="V247" s="303"/>
      <c r="W247" s="304"/>
      <c r="X247" s="308">
        <f>BD.PD[[#This Row],[Av.P2 '[%']]]*BD.PD[[#This Row],[Ppto. Orden Interna '[DOP']]]</f>
        <v>0</v>
      </c>
      <c r="Y247" s="303"/>
      <c r="Z247" s="304"/>
      <c r="AA247" s="308">
        <f>BD.PD[[#This Row],[Av.P3 '[%']]]*BD.PD[[#This Row],[Ppto. Orden Interna '[DOP']]]</f>
        <v>0</v>
      </c>
      <c r="AB247" s="303"/>
      <c r="AC247" s="304"/>
      <c r="AD247" s="308">
        <f>BD.PD[[#This Row],[Av.P4 '[%']]]*BD.PD[[#This Row],[Ppto. Orden Interna '[DOP']]]</f>
        <v>0</v>
      </c>
      <c r="AE247" s="303"/>
      <c r="AF247" s="304"/>
      <c r="AG247" s="308">
        <f>BD.PD[[#This Row],[Av.P5 '[%']]]*BD.PD[[#This Row],[Ppto. Orden Interna '[DOP']]]</f>
        <v>0</v>
      </c>
      <c r="AH247" s="305">
        <f>BD.PD[[#This Row],[Pago 5]]+BD.PD[[#This Row],[Pago 4]]+BD.PD[[#This Row],[Pago 3]]+BD.PD[[#This Row],[Pago 2]]+BD.PD[[#This Row],[Pago 1]]</f>
        <v>0</v>
      </c>
      <c r="AI247" s="404"/>
      <c r="IB247" s="275"/>
    </row>
    <row r="248" spans="1:236" ht="15" customHeight="1" x14ac:dyDescent="0.3">
      <c r="A248" s="231">
        <v>7.07</v>
      </c>
      <c r="B248" s="288" t="s">
        <v>574</v>
      </c>
      <c r="C248" s="289" t="str">
        <f>VLOOKUP(BD.PD[[#This Row],[Pos]],PPto[],3,FALSE)</f>
        <v>7.07 Otros Equipamientos de Producción</v>
      </c>
      <c r="D248" s="290" t="s">
        <v>574</v>
      </c>
      <c r="E248" s="291">
        <f>IF(BD.PD[[#This Row],[.]]="*",VLOOKUP(BD.PD[[#This Row],[Pos]],Presupuesto!A:H,7,FALSE),"")</f>
        <v>0</v>
      </c>
      <c r="F248" s="292"/>
      <c r="G248" s="292" t="s">
        <v>575</v>
      </c>
      <c r="H248" s="292"/>
      <c r="I248" s="293">
        <v>1</v>
      </c>
      <c r="J248" s="290" t="s">
        <v>456</v>
      </c>
      <c r="K248" s="294">
        <f>IF(BD.PD[[#This Row],[Mon]]="DOP",1,HLOOKUP(BD.PD[[#This Row],[Mon]],$J$1:$K$2,2,FALSE))</f>
        <v>63</v>
      </c>
      <c r="L248" s="295">
        <v>0</v>
      </c>
      <c r="M248" s="296">
        <f>BD.PD[[#This Row],[Cant.]]*BD.PD[[#This Row],[ Tasa ]]*BD.PD[[#This Row],[ Precio Und.]]</f>
        <v>0</v>
      </c>
      <c r="N248" s="297">
        <v>0</v>
      </c>
      <c r="O248" s="296">
        <f>IF(BD.PD[[#This Row],[Liquid. '[%']]]&lt;&gt;0,(BD.PD[[#This Row],[Valor Neto '[DOP']]]*BD.PD[[#This Row],[Liquid. '[%']]])+BD.PD[[#This Row],[Valor Neto '[DOP']]],BD.PD[[#This Row],[Valor Neto '[DOP']]])</f>
        <v>0</v>
      </c>
      <c r="P248" s="306">
        <f>BD.PD[[#This Row],[Ppto. Orden Interna '[DOP']]]/HLOOKUP("USD",$J$1:$K$2,2,FALSE)</f>
        <v>0</v>
      </c>
      <c r="Q248" s="299"/>
      <c r="R248" s="307"/>
      <c r="S248" s="300"/>
      <c r="T248" s="301"/>
      <c r="U248" s="308">
        <f>BD.PD[[#This Row],[Av.P1 '[%']]]*BD.PD[[#This Row],[Ppto. Orden Interna '[DOP']]]</f>
        <v>0</v>
      </c>
      <c r="V248" s="303"/>
      <c r="W248" s="304"/>
      <c r="X248" s="308">
        <f>BD.PD[[#This Row],[Av.P2 '[%']]]*BD.PD[[#This Row],[Ppto. Orden Interna '[DOP']]]</f>
        <v>0</v>
      </c>
      <c r="Y248" s="303"/>
      <c r="Z248" s="304"/>
      <c r="AA248" s="308">
        <f>BD.PD[[#This Row],[Av.P3 '[%']]]*BD.PD[[#This Row],[Ppto. Orden Interna '[DOP']]]</f>
        <v>0</v>
      </c>
      <c r="AB248" s="303"/>
      <c r="AC248" s="304"/>
      <c r="AD248" s="308">
        <f>BD.PD[[#This Row],[Av.P4 '[%']]]*BD.PD[[#This Row],[Ppto. Orden Interna '[DOP']]]</f>
        <v>0</v>
      </c>
      <c r="AE248" s="303"/>
      <c r="AF248" s="304"/>
      <c r="AG248" s="308">
        <f>BD.PD[[#This Row],[Av.P5 '[%']]]*BD.PD[[#This Row],[Ppto. Orden Interna '[DOP']]]</f>
        <v>0</v>
      </c>
      <c r="AH248" s="305">
        <f>BD.PD[[#This Row],[Pago 5]]+BD.PD[[#This Row],[Pago 4]]+BD.PD[[#This Row],[Pago 3]]+BD.PD[[#This Row],[Pago 2]]+BD.PD[[#This Row],[Pago 1]]</f>
        <v>0</v>
      </c>
      <c r="AI248" s="404"/>
      <c r="IB248" s="275"/>
    </row>
    <row r="249" spans="1:236" ht="15" customHeight="1" x14ac:dyDescent="0.3">
      <c r="A249" s="231">
        <v>8.01</v>
      </c>
      <c r="B249" s="288" t="s">
        <v>574</v>
      </c>
      <c r="C249" s="289" t="str">
        <f>VLOOKUP(BD.PD[[#This Row],[Pos]],PPto[],3,FALSE)</f>
        <v>8.01 Gondolas</v>
      </c>
      <c r="D249" s="290" t="s">
        <v>574</v>
      </c>
      <c r="E249" s="291">
        <f>IF(BD.PD[[#This Row],[.]]="*",VLOOKUP(BD.PD[[#This Row],[Pos]],Presupuesto!A:H,7,FALSE),"")</f>
        <v>355288.99980431306</v>
      </c>
      <c r="F249" s="292"/>
      <c r="G249" s="292" t="s">
        <v>575</v>
      </c>
      <c r="H249" s="292"/>
      <c r="I249" s="293">
        <v>1</v>
      </c>
      <c r="J249" s="290" t="s">
        <v>456</v>
      </c>
      <c r="K249" s="294">
        <f>IF(BD.PD[[#This Row],[Mon]]="DOP",1,HLOOKUP(BD.PD[[#This Row],[Mon]],$J$1:$K$2,2,FALSE))</f>
        <v>63</v>
      </c>
      <c r="L249" s="295">
        <v>0</v>
      </c>
      <c r="M249" s="296">
        <f>BD.PD[[#This Row],[Cant.]]*BD.PD[[#This Row],[ Tasa ]]*BD.PD[[#This Row],[ Precio Und.]]</f>
        <v>0</v>
      </c>
      <c r="N249" s="297">
        <v>0</v>
      </c>
      <c r="O249" s="296">
        <f>IF(BD.PD[[#This Row],[Liquid. '[%']]]&lt;&gt;0,(BD.PD[[#This Row],[Valor Neto '[DOP']]]*BD.PD[[#This Row],[Liquid. '[%']]])+BD.PD[[#This Row],[Valor Neto '[DOP']]],BD.PD[[#This Row],[Valor Neto '[DOP']]])</f>
        <v>0</v>
      </c>
      <c r="P249" s="306">
        <f>BD.PD[[#This Row],[Ppto. Orden Interna '[DOP']]]/HLOOKUP("USD",$J$1:$K$2,2,FALSE)</f>
        <v>0</v>
      </c>
      <c r="Q249" s="299"/>
      <c r="R249" s="307"/>
      <c r="S249" s="300"/>
      <c r="T249" s="301"/>
      <c r="U249" s="308">
        <f>BD.PD[[#This Row],[Av.P1 '[%']]]*BD.PD[[#This Row],[Ppto. Orden Interna '[DOP']]]</f>
        <v>0</v>
      </c>
      <c r="V249" s="303"/>
      <c r="W249" s="304"/>
      <c r="X249" s="308">
        <f>BD.PD[[#This Row],[Av.P2 '[%']]]*BD.PD[[#This Row],[Ppto. Orden Interna '[DOP']]]</f>
        <v>0</v>
      </c>
      <c r="Y249" s="303"/>
      <c r="Z249" s="304"/>
      <c r="AA249" s="308">
        <f>BD.PD[[#This Row],[Av.P3 '[%']]]*BD.PD[[#This Row],[Ppto. Orden Interna '[DOP']]]</f>
        <v>0</v>
      </c>
      <c r="AB249" s="303"/>
      <c r="AC249" s="304"/>
      <c r="AD249" s="308">
        <f>BD.PD[[#This Row],[Av.P4 '[%']]]*BD.PD[[#This Row],[Ppto. Orden Interna '[DOP']]]</f>
        <v>0</v>
      </c>
      <c r="AE249" s="303"/>
      <c r="AF249" s="304"/>
      <c r="AG249" s="308">
        <f>BD.PD[[#This Row],[Av.P5 '[%']]]*BD.PD[[#This Row],[Ppto. Orden Interna '[DOP']]]</f>
        <v>0</v>
      </c>
      <c r="AH249" s="305">
        <f>BD.PD[[#This Row],[Pago 5]]+BD.PD[[#This Row],[Pago 4]]+BD.PD[[#This Row],[Pago 3]]+BD.PD[[#This Row],[Pago 2]]+BD.PD[[#This Row],[Pago 1]]</f>
        <v>0</v>
      </c>
      <c r="AI249" s="404"/>
      <c r="IB249" s="275"/>
    </row>
    <row r="250" spans="1:236" ht="15" customHeight="1" x14ac:dyDescent="0.3">
      <c r="A250" s="231">
        <v>8.01</v>
      </c>
      <c r="B250" s="288"/>
      <c r="C250" s="289" t="str">
        <f>VLOOKUP(BD.PD[[#This Row],[Pos]],PPto[],3,FALSE)</f>
        <v>8.01 Gondolas</v>
      </c>
      <c r="D250" s="231" t="s">
        <v>22</v>
      </c>
      <c r="E250" s="291" t="str">
        <f>IF(BD.PD[[#This Row],[.]]="*",VLOOKUP(BD.PD[[#This Row],[Pos]],Presupuesto!A:H,7,FALSE),"")</f>
        <v/>
      </c>
      <c r="F250" s="383" t="s">
        <v>296</v>
      </c>
      <c r="G250" s="292">
        <v>4512813288</v>
      </c>
      <c r="H250" s="358">
        <v>45807</v>
      </c>
      <c r="I250" s="359">
        <v>1</v>
      </c>
      <c r="J250" s="231" t="s">
        <v>456</v>
      </c>
      <c r="K250" s="294">
        <f>IF(BD.PD[[#This Row],[Mon]]="DOP",1,HLOOKUP(BD.PD[[#This Row],[Mon]],$J$1:$K$2,2,FALSE))</f>
        <v>63</v>
      </c>
      <c r="L250" s="392">
        <v>155178.12</v>
      </c>
      <c r="M250" s="296">
        <f>BD.PD[[#This Row],[Cant.]]*BD.PD[[#This Row],[ Tasa ]]*BD.PD[[#This Row],[ Precio Und.]]</f>
        <v>9776221.5600000005</v>
      </c>
      <c r="N250" s="361">
        <v>0.35</v>
      </c>
      <c r="O250" s="296">
        <f>IF(BD.PD[[#This Row],[Liquid. '[%']]]&lt;&gt;0,(BD.PD[[#This Row],[Valor Neto '[DOP']]]*BD.PD[[#This Row],[Liquid. '[%']]])+BD.PD[[#This Row],[Valor Neto '[DOP']]],BD.PD[[#This Row],[Valor Neto '[DOP']]])</f>
        <v>13197899.106000001</v>
      </c>
      <c r="P250" s="306">
        <f>BD.PD[[#This Row],[Ppto. Orden Interna '[DOP']]]/HLOOKUP("USD",$J$1:$K$2,2,FALSE)</f>
        <v>209490.462</v>
      </c>
      <c r="Q250" s="299" t="s">
        <v>510</v>
      </c>
      <c r="R250" s="307" t="s">
        <v>702</v>
      </c>
      <c r="S250" s="300">
        <v>9</v>
      </c>
      <c r="T250" s="301">
        <v>0.5</v>
      </c>
      <c r="U250" s="308">
        <f>BD.PD[[#This Row],[Av.P1 '[%']]]*BD.PD[[#This Row],[Ppto. Orden Interna '[DOP']]]</f>
        <v>6598949.5530000003</v>
      </c>
      <c r="V250" s="303">
        <v>16</v>
      </c>
      <c r="W250" s="304">
        <v>0.5</v>
      </c>
      <c r="X250" s="308">
        <f>BD.PD[[#This Row],[Av.P2 '[%']]]*BD.PD[[#This Row],[Ppto. Orden Interna '[DOP']]]</f>
        <v>6598949.5530000003</v>
      </c>
      <c r="Y250" s="303"/>
      <c r="Z250" s="304"/>
      <c r="AA250" s="308">
        <f>BD.PD[[#This Row],[Av.P3 '[%']]]*BD.PD[[#This Row],[Ppto. Orden Interna '[DOP']]]</f>
        <v>0</v>
      </c>
      <c r="AB250" s="303"/>
      <c r="AC250" s="304"/>
      <c r="AD250" s="308">
        <f>BD.PD[[#This Row],[Av.P4 '[%']]]*BD.PD[[#This Row],[Ppto. Orden Interna '[DOP']]]</f>
        <v>0</v>
      </c>
      <c r="AE250" s="303"/>
      <c r="AF250" s="304"/>
      <c r="AG250" s="308">
        <f>BD.PD[[#This Row],[Av.P5 '[%']]]*BD.PD[[#This Row],[Ppto. Orden Interna '[DOP']]]</f>
        <v>0</v>
      </c>
      <c r="AH250" s="305">
        <f>BD.PD[[#This Row],[Pago 5]]+BD.PD[[#This Row],[Pago 4]]+BD.PD[[#This Row],[Pago 3]]+BD.PD[[#This Row],[Pago 2]]+BD.PD[[#This Row],[Pago 1]]</f>
        <v>13197899.106000001</v>
      </c>
      <c r="AI250" s="404"/>
      <c r="IB250" s="275"/>
    </row>
    <row r="251" spans="1:236" ht="15" customHeight="1" x14ac:dyDescent="0.3">
      <c r="A251" s="231">
        <v>8.01</v>
      </c>
      <c r="B251" s="288"/>
      <c r="C251" s="289" t="str">
        <f>VLOOKUP(BD.PD[[#This Row],[Pos]],PPto[],3,FALSE)</f>
        <v>8.01 Gondolas</v>
      </c>
      <c r="D251" s="231" t="s">
        <v>22</v>
      </c>
      <c r="E251" s="291" t="str">
        <f>IF(BD.PD[[#This Row],[.]]="*",VLOOKUP(BD.PD[[#This Row],[Pos]],Presupuesto!A:H,7,FALSE),"")</f>
        <v/>
      </c>
      <c r="F251" s="292" t="s">
        <v>295</v>
      </c>
      <c r="G251" s="292">
        <v>4600074011</v>
      </c>
      <c r="H251" s="358">
        <v>45807</v>
      </c>
      <c r="I251" s="359">
        <v>1</v>
      </c>
      <c r="J251" s="231" t="s">
        <v>456</v>
      </c>
      <c r="K251" s="294">
        <f>IF(BD.PD[[#This Row],[Mon]]="DOP",1,HLOOKUP(BD.PD[[#This Row],[Mon]],$J$1:$K$2,2,FALSE))</f>
        <v>63</v>
      </c>
      <c r="L251" s="360">
        <v>4534.7299999999996</v>
      </c>
      <c r="M251" s="296">
        <f>BD.PD[[#This Row],[Cant.]]*BD.PD[[#This Row],[ Tasa ]]*BD.PD[[#This Row],[ Precio Und.]]</f>
        <v>285687.99</v>
      </c>
      <c r="N251" s="361">
        <v>0.35</v>
      </c>
      <c r="O251" s="296">
        <f>IF(BD.PD[[#This Row],[Liquid. '[%']]]&lt;&gt;0,(BD.PD[[#This Row],[Valor Neto '[DOP']]]*BD.PD[[#This Row],[Liquid. '[%']]])+BD.PD[[#This Row],[Valor Neto '[DOP']]],BD.PD[[#This Row],[Valor Neto '[DOP']]])</f>
        <v>385678.78649999999</v>
      </c>
      <c r="P251" s="306">
        <f>BD.PD[[#This Row],[Ppto. Orden Interna '[DOP']]]/HLOOKUP("USD",$J$1:$K$2,2,FALSE)</f>
        <v>6121.8854999999994</v>
      </c>
      <c r="Q251" s="299" t="s">
        <v>703</v>
      </c>
      <c r="R251" s="307" t="s">
        <v>702</v>
      </c>
      <c r="S251" s="300">
        <v>9</v>
      </c>
      <c r="T251" s="301">
        <v>0.5</v>
      </c>
      <c r="U251" s="308">
        <f>BD.PD[[#This Row],[Av.P1 '[%']]]*BD.PD[[#This Row],[Ppto. Orden Interna '[DOP']]]</f>
        <v>192839.39324999999</v>
      </c>
      <c r="V251" s="303">
        <v>16</v>
      </c>
      <c r="W251" s="304">
        <v>0.5</v>
      </c>
      <c r="X251" s="308">
        <f>BD.PD[[#This Row],[Av.P2 '[%']]]*BD.PD[[#This Row],[Ppto. Orden Interna '[DOP']]]</f>
        <v>192839.39324999999</v>
      </c>
      <c r="Y251" s="303"/>
      <c r="Z251" s="304"/>
      <c r="AA251" s="308">
        <f>BD.PD[[#This Row],[Av.P3 '[%']]]*BD.PD[[#This Row],[Ppto. Orden Interna '[DOP']]]</f>
        <v>0</v>
      </c>
      <c r="AB251" s="303"/>
      <c r="AC251" s="304"/>
      <c r="AD251" s="308">
        <f>BD.PD[[#This Row],[Av.P4 '[%']]]*BD.PD[[#This Row],[Ppto. Orden Interna '[DOP']]]</f>
        <v>0</v>
      </c>
      <c r="AE251" s="303"/>
      <c r="AF251" s="304"/>
      <c r="AG251" s="308">
        <f>BD.PD[[#This Row],[Av.P5 '[%']]]*BD.PD[[#This Row],[Ppto. Orden Interna '[DOP']]]</f>
        <v>0</v>
      </c>
      <c r="AH251" s="305">
        <f>BD.PD[[#This Row],[Pago 5]]+BD.PD[[#This Row],[Pago 4]]+BD.PD[[#This Row],[Pago 3]]+BD.PD[[#This Row],[Pago 2]]+BD.PD[[#This Row],[Pago 1]]</f>
        <v>385678.78649999999</v>
      </c>
      <c r="AI251" s="404"/>
      <c r="IB251" s="275"/>
    </row>
    <row r="252" spans="1:236" ht="15" customHeight="1" x14ac:dyDescent="0.3">
      <c r="A252" s="231">
        <v>8.02</v>
      </c>
      <c r="B252" s="288" t="s">
        <v>574</v>
      </c>
      <c r="C252" s="289" t="str">
        <f>VLOOKUP(BD.PD[[#This Row],[Pos]],PPto[],3,FALSE)</f>
        <v>8.02 Checkout</v>
      </c>
      <c r="D252" s="290" t="s">
        <v>574</v>
      </c>
      <c r="E252" s="291">
        <f>IF(BD.PD[[#This Row],[.]]="*",VLOOKUP(BD.PD[[#This Row],[Pos]],Presupuesto!A:H,7,FALSE),"")</f>
        <v>48231.140750798724</v>
      </c>
      <c r="F252" s="292"/>
      <c r="G252" s="292" t="s">
        <v>575</v>
      </c>
      <c r="H252" s="292"/>
      <c r="I252" s="293">
        <v>1</v>
      </c>
      <c r="J252" s="290" t="s">
        <v>456</v>
      </c>
      <c r="K252" s="294">
        <f>IF(BD.PD[[#This Row],[Mon]]="DOP",1,HLOOKUP(BD.PD[[#This Row],[Mon]],$J$1:$K$2,2,FALSE))</f>
        <v>63</v>
      </c>
      <c r="L252" s="295">
        <v>0</v>
      </c>
      <c r="M252" s="296">
        <f>BD.PD[[#This Row],[Cant.]]*BD.PD[[#This Row],[ Tasa ]]*BD.PD[[#This Row],[ Precio Und.]]</f>
        <v>0</v>
      </c>
      <c r="N252" s="297">
        <v>0</v>
      </c>
      <c r="O252" s="296">
        <f>IF(BD.PD[[#This Row],[Liquid. '[%']]]&lt;&gt;0,(BD.PD[[#This Row],[Valor Neto '[DOP']]]*BD.PD[[#This Row],[Liquid. '[%']]])+BD.PD[[#This Row],[Valor Neto '[DOP']]],BD.PD[[#This Row],[Valor Neto '[DOP']]])</f>
        <v>0</v>
      </c>
      <c r="P252" s="306">
        <f>BD.PD[[#This Row],[Ppto. Orden Interna '[DOP']]]/HLOOKUP("USD",$J$1:$K$2,2,FALSE)</f>
        <v>0</v>
      </c>
      <c r="Q252" s="299"/>
      <c r="R252" s="307"/>
      <c r="S252" s="300"/>
      <c r="T252" s="301"/>
      <c r="U252" s="308">
        <f>BD.PD[[#This Row],[Av.P1 '[%']]]*BD.PD[[#This Row],[Ppto. Orden Interna '[DOP']]]</f>
        <v>0</v>
      </c>
      <c r="V252" s="303"/>
      <c r="W252" s="304"/>
      <c r="X252" s="308">
        <f>BD.PD[[#This Row],[Av.P2 '[%']]]*BD.PD[[#This Row],[Ppto. Orden Interna '[DOP']]]</f>
        <v>0</v>
      </c>
      <c r="Y252" s="303"/>
      <c r="Z252" s="304"/>
      <c r="AA252" s="308">
        <f>BD.PD[[#This Row],[Av.P3 '[%']]]*BD.PD[[#This Row],[Ppto. Orden Interna '[DOP']]]</f>
        <v>0</v>
      </c>
      <c r="AB252" s="303"/>
      <c r="AC252" s="304"/>
      <c r="AD252" s="308">
        <f>BD.PD[[#This Row],[Av.P4 '[%']]]*BD.PD[[#This Row],[Ppto. Orden Interna '[DOP']]]</f>
        <v>0</v>
      </c>
      <c r="AE252" s="303"/>
      <c r="AF252" s="304"/>
      <c r="AG252" s="308">
        <f>BD.PD[[#This Row],[Av.P5 '[%']]]*BD.PD[[#This Row],[Ppto. Orden Interna '[DOP']]]</f>
        <v>0</v>
      </c>
      <c r="AH252" s="305">
        <f>BD.PD[[#This Row],[Pago 5]]+BD.PD[[#This Row],[Pago 4]]+BD.PD[[#This Row],[Pago 3]]+BD.PD[[#This Row],[Pago 2]]+BD.PD[[#This Row],[Pago 1]]</f>
        <v>0</v>
      </c>
      <c r="AI252" s="404"/>
      <c r="IB252" s="275"/>
    </row>
    <row r="253" spans="1:236" ht="15" customHeight="1" x14ac:dyDescent="0.3">
      <c r="A253" s="231">
        <v>8.02</v>
      </c>
      <c r="B253" s="288"/>
      <c r="C253" s="289" t="str">
        <f>VLOOKUP(BD.PD[[#This Row],[Pos]],PPto[],3,FALSE)</f>
        <v>8.02 Checkout</v>
      </c>
      <c r="D253" s="231" t="s">
        <v>22</v>
      </c>
      <c r="E253" s="291" t="str">
        <f>IF(BD.PD[[#This Row],[.]]="*",VLOOKUP(BD.PD[[#This Row],[Pos]],Presupuesto!A:H,7,FALSE),"")</f>
        <v/>
      </c>
      <c r="F253" s="383" t="s">
        <v>704</v>
      </c>
      <c r="G253" s="292">
        <v>4600074011</v>
      </c>
      <c r="H253" s="358">
        <v>45807</v>
      </c>
      <c r="I253" s="359">
        <v>1</v>
      </c>
      <c r="J253" s="231" t="s">
        <v>456</v>
      </c>
      <c r="K253" s="294">
        <f>IF(BD.PD[[#This Row],[Mon]]="DOP",1,HLOOKUP(BD.PD[[#This Row],[Mon]],$J$1:$K$2,2,FALSE))</f>
        <v>63</v>
      </c>
      <c r="L253" s="360">
        <v>28092.62</v>
      </c>
      <c r="M253" s="296">
        <f>BD.PD[[#This Row],[Cant.]]*BD.PD[[#This Row],[ Tasa ]]*BD.PD[[#This Row],[ Precio Und.]]</f>
        <v>1769835.0599999998</v>
      </c>
      <c r="N253" s="361">
        <v>0.35</v>
      </c>
      <c r="O253" s="296">
        <f>IF(BD.PD[[#This Row],[Liquid. '[%']]]&lt;&gt;0,(BD.PD[[#This Row],[Valor Neto '[DOP']]]*BD.PD[[#This Row],[Liquid. '[%']]])+BD.PD[[#This Row],[Valor Neto '[DOP']]],BD.PD[[#This Row],[Valor Neto '[DOP']]])</f>
        <v>2389277.3309999998</v>
      </c>
      <c r="P253" s="306">
        <f>BD.PD[[#This Row],[Ppto. Orden Interna '[DOP']]]/HLOOKUP("USD",$J$1:$K$2,2,FALSE)</f>
        <v>37925.036999999997</v>
      </c>
      <c r="Q253" s="299" t="s">
        <v>705</v>
      </c>
      <c r="R253" s="307" t="s">
        <v>702</v>
      </c>
      <c r="S253" s="300">
        <v>10</v>
      </c>
      <c r="T253" s="301">
        <v>0.5</v>
      </c>
      <c r="U253" s="308">
        <f>BD.PD[[#This Row],[Av.P1 '[%']]]*BD.PD[[#This Row],[Ppto. Orden Interna '[DOP']]]</f>
        <v>1194638.6654999999</v>
      </c>
      <c r="V253" s="303">
        <v>16</v>
      </c>
      <c r="W253" s="304">
        <v>0.5</v>
      </c>
      <c r="X253" s="308">
        <f>BD.PD[[#This Row],[Av.P2 '[%']]]*BD.PD[[#This Row],[Ppto. Orden Interna '[DOP']]]</f>
        <v>1194638.6654999999</v>
      </c>
      <c r="Y253" s="303"/>
      <c r="Z253" s="304"/>
      <c r="AA253" s="308">
        <f>BD.PD[[#This Row],[Av.P3 '[%']]]*BD.PD[[#This Row],[Ppto. Orden Interna '[DOP']]]</f>
        <v>0</v>
      </c>
      <c r="AB253" s="303"/>
      <c r="AC253" s="304"/>
      <c r="AD253" s="308">
        <f>BD.PD[[#This Row],[Av.P4 '[%']]]*BD.PD[[#This Row],[Ppto. Orden Interna '[DOP']]]</f>
        <v>0</v>
      </c>
      <c r="AE253" s="303"/>
      <c r="AF253" s="304"/>
      <c r="AG253" s="308">
        <f>BD.PD[[#This Row],[Av.P5 '[%']]]*BD.PD[[#This Row],[Ppto. Orden Interna '[DOP']]]</f>
        <v>0</v>
      </c>
      <c r="AH253" s="305">
        <f>BD.PD[[#This Row],[Pago 5]]+BD.PD[[#This Row],[Pago 4]]+BD.PD[[#This Row],[Pago 3]]+BD.PD[[#This Row],[Pago 2]]+BD.PD[[#This Row],[Pago 1]]</f>
        <v>2389277.3309999998</v>
      </c>
      <c r="AI253" s="404"/>
      <c r="IB253" s="275"/>
    </row>
    <row r="254" spans="1:236" ht="15" customHeight="1" x14ac:dyDescent="0.3">
      <c r="A254" s="231">
        <v>8.0299999999999994</v>
      </c>
      <c r="B254" s="288" t="s">
        <v>574</v>
      </c>
      <c r="C254" s="289" t="str">
        <f>VLOOKUP(BD.PD[[#This Row],[Pos]],PPto[],3,FALSE)</f>
        <v>8.03 Carritos, Canastas y Accesorios</v>
      </c>
      <c r="D254" s="290" t="s">
        <v>574</v>
      </c>
      <c r="E254" s="291">
        <f>IF(BD.PD[[#This Row],[.]]="*",VLOOKUP(BD.PD[[#This Row],[Pos]],Presupuesto!A:H,7,FALSE),"")</f>
        <v>46512.175439940249</v>
      </c>
      <c r="F254" s="292"/>
      <c r="G254" s="292" t="s">
        <v>575</v>
      </c>
      <c r="H254" s="292"/>
      <c r="I254" s="293">
        <v>1</v>
      </c>
      <c r="J254" s="290" t="s">
        <v>456</v>
      </c>
      <c r="K254" s="294">
        <f>IF(BD.PD[[#This Row],[Mon]]="DOP",1,HLOOKUP(BD.PD[[#This Row],[Mon]],$J$1:$K$2,2,FALSE))</f>
        <v>63</v>
      </c>
      <c r="L254" s="295">
        <v>0</v>
      </c>
      <c r="M254" s="296">
        <f>BD.PD[[#This Row],[Cant.]]*BD.PD[[#This Row],[ Tasa ]]*BD.PD[[#This Row],[ Precio Und.]]</f>
        <v>0</v>
      </c>
      <c r="N254" s="297">
        <v>0</v>
      </c>
      <c r="O254" s="296">
        <f>IF(BD.PD[[#This Row],[Liquid. '[%']]]&lt;&gt;0,(BD.PD[[#This Row],[Valor Neto '[DOP']]]*BD.PD[[#This Row],[Liquid. '[%']]])+BD.PD[[#This Row],[Valor Neto '[DOP']]],BD.PD[[#This Row],[Valor Neto '[DOP']]])</f>
        <v>0</v>
      </c>
      <c r="P254" s="306">
        <f>BD.PD[[#This Row],[Ppto. Orden Interna '[DOP']]]/HLOOKUP("USD",$J$1:$K$2,2,FALSE)</f>
        <v>0</v>
      </c>
      <c r="Q254" s="299"/>
      <c r="R254" s="307"/>
      <c r="S254" s="300"/>
      <c r="T254" s="301"/>
      <c r="U254" s="308">
        <f>BD.PD[[#This Row],[Av.P1 '[%']]]*BD.PD[[#This Row],[Ppto. Orden Interna '[DOP']]]</f>
        <v>0</v>
      </c>
      <c r="V254" s="303"/>
      <c r="W254" s="304"/>
      <c r="X254" s="308">
        <f>BD.PD[[#This Row],[Av.P2 '[%']]]*BD.PD[[#This Row],[Ppto. Orden Interna '[DOP']]]</f>
        <v>0</v>
      </c>
      <c r="Y254" s="303"/>
      <c r="Z254" s="304"/>
      <c r="AA254" s="308">
        <f>BD.PD[[#This Row],[Av.P3 '[%']]]*BD.PD[[#This Row],[Ppto. Orden Interna '[DOP']]]</f>
        <v>0</v>
      </c>
      <c r="AB254" s="303"/>
      <c r="AC254" s="304"/>
      <c r="AD254" s="308">
        <f>BD.PD[[#This Row],[Av.P4 '[%']]]*BD.PD[[#This Row],[Ppto. Orden Interna '[DOP']]]</f>
        <v>0</v>
      </c>
      <c r="AE254" s="303"/>
      <c r="AF254" s="304"/>
      <c r="AG254" s="308">
        <f>BD.PD[[#This Row],[Av.P5 '[%']]]*BD.PD[[#This Row],[Ppto. Orden Interna '[DOP']]]</f>
        <v>0</v>
      </c>
      <c r="AH254" s="305">
        <f>BD.PD[[#This Row],[Pago 5]]+BD.PD[[#This Row],[Pago 4]]+BD.PD[[#This Row],[Pago 3]]+BD.PD[[#This Row],[Pago 2]]+BD.PD[[#This Row],[Pago 1]]</f>
        <v>0</v>
      </c>
      <c r="AI254" s="404"/>
      <c r="IB254" s="275"/>
    </row>
    <row r="255" spans="1:236" ht="15" customHeight="1" x14ac:dyDescent="0.3">
      <c r="A255" s="231">
        <v>8.0299999999999994</v>
      </c>
      <c r="B255" s="288"/>
      <c r="C255" s="289" t="str">
        <f>VLOOKUP(BD.PD[[#This Row],[Pos]],PPto[],3,FALSE)</f>
        <v>8.03 Carritos, Canastas y Accesorios</v>
      </c>
      <c r="D255" s="231" t="s">
        <v>22</v>
      </c>
      <c r="E255" s="291" t="str">
        <f>IF(BD.PD[[#This Row],[.]]="*",VLOOKUP(BD.PD[[#This Row],[Pos]],Presupuesto!A:H,7,FALSE),"")</f>
        <v/>
      </c>
      <c r="F255" s="390" t="s">
        <v>300</v>
      </c>
      <c r="G255" s="292">
        <v>4600074838</v>
      </c>
      <c r="H255" s="358">
        <v>45853</v>
      </c>
      <c r="I255" s="359">
        <v>2</v>
      </c>
      <c r="J255" s="231" t="s">
        <v>581</v>
      </c>
      <c r="K255" s="294">
        <f>IF(BD.PD[[#This Row],[Mon]]="DOP",1,HLOOKUP(BD.PD[[#This Row],[Mon]],$J$1:$K$2,2,FALSE))</f>
        <v>1</v>
      </c>
      <c r="L255" s="360">
        <v>76528.710000000006</v>
      </c>
      <c r="M255" s="296">
        <f>BD.PD[[#This Row],[Cant.]]*BD.PD[[#This Row],[ Tasa ]]*BD.PD[[#This Row],[ Precio Und.]]</f>
        <v>153057.42000000001</v>
      </c>
      <c r="N255" s="361">
        <v>0.3</v>
      </c>
      <c r="O255" s="296">
        <f>IF(BD.PD[[#This Row],[Liquid. '[%']]]&lt;&gt;0,(BD.PD[[#This Row],[Valor Neto '[DOP']]]*BD.PD[[#This Row],[Liquid. '[%']]])+BD.PD[[#This Row],[Valor Neto '[DOP']]],BD.PD[[#This Row],[Valor Neto '[DOP']]])</f>
        <v>198974.64600000001</v>
      </c>
      <c r="P255" s="306">
        <f>BD.PD[[#This Row],[Ppto. Orden Interna '[DOP']]]/HLOOKUP("USD",$J$1:$K$2,2,FALSE)</f>
        <v>3158.3277142857146</v>
      </c>
      <c r="Q255" s="299" t="s">
        <v>706</v>
      </c>
      <c r="R255" s="307" t="s">
        <v>707</v>
      </c>
      <c r="S255" s="300">
        <v>19</v>
      </c>
      <c r="T255" s="301">
        <v>0.5</v>
      </c>
      <c r="U255" s="308">
        <f>BD.PD[[#This Row],[Av.P1 '[%']]]*BD.PD[[#This Row],[Ppto. Orden Interna '[DOP']]]</f>
        <v>99487.323000000004</v>
      </c>
      <c r="V255" s="303">
        <v>22</v>
      </c>
      <c r="W255" s="304">
        <v>0.5</v>
      </c>
      <c r="X255" s="308">
        <f>BD.PD[[#This Row],[Av.P2 '[%']]]*BD.PD[[#This Row],[Ppto. Orden Interna '[DOP']]]</f>
        <v>99487.323000000004</v>
      </c>
      <c r="Y255" s="303"/>
      <c r="Z255" s="304"/>
      <c r="AA255" s="308">
        <f>BD.PD[[#This Row],[Av.P3 '[%']]]*BD.PD[[#This Row],[Ppto. Orden Interna '[DOP']]]</f>
        <v>0</v>
      </c>
      <c r="AB255" s="303"/>
      <c r="AC255" s="304"/>
      <c r="AD255" s="308">
        <f>BD.PD[[#This Row],[Av.P4 '[%']]]*BD.PD[[#This Row],[Ppto. Orden Interna '[DOP']]]</f>
        <v>0</v>
      </c>
      <c r="AE255" s="303"/>
      <c r="AF255" s="304"/>
      <c r="AG255" s="308">
        <f>BD.PD[[#This Row],[Av.P5 '[%']]]*BD.PD[[#This Row],[Ppto. Orden Interna '[DOP']]]</f>
        <v>0</v>
      </c>
      <c r="AH255" s="305">
        <f>BD.PD[[#This Row],[Pago 5]]+BD.PD[[#This Row],[Pago 4]]+BD.PD[[#This Row],[Pago 3]]+BD.PD[[#This Row],[Pago 2]]+BD.PD[[#This Row],[Pago 1]]</f>
        <v>198974.64600000001</v>
      </c>
      <c r="AI255" s="404"/>
      <c r="IB255" s="275"/>
    </row>
    <row r="256" spans="1:236" ht="15" customHeight="1" x14ac:dyDescent="0.3">
      <c r="A256" s="231">
        <v>8.0299999999999994</v>
      </c>
      <c r="B256" s="288"/>
      <c r="C256" s="289" t="str">
        <f>VLOOKUP(BD.PD[[#This Row],[Pos]],PPto[],3,FALSE)</f>
        <v>8.03 Carritos, Canastas y Accesorios</v>
      </c>
      <c r="D256" s="231" t="s">
        <v>22</v>
      </c>
      <c r="E256" s="291" t="str">
        <f>IF(BD.PD[[#This Row],[.]]="*",VLOOKUP(BD.PD[[#This Row],[Pos]],Presupuesto!A:H,7,FALSE),"")</f>
        <v/>
      </c>
      <c r="F256" s="390" t="s">
        <v>304</v>
      </c>
      <c r="G256" s="292">
        <v>4600074838</v>
      </c>
      <c r="H256" s="358">
        <v>45853</v>
      </c>
      <c r="I256" s="359">
        <v>1</v>
      </c>
      <c r="J256" s="231" t="s">
        <v>581</v>
      </c>
      <c r="K256" s="294">
        <f>IF(BD.PD[[#This Row],[Mon]]="DOP",1,HLOOKUP(BD.PD[[#This Row],[Mon]],$J$1:$K$2,2,FALSE))</f>
        <v>1</v>
      </c>
      <c r="L256" s="360">
        <v>95330.28</v>
      </c>
      <c r="M256" s="296">
        <f>BD.PD[[#This Row],[Cant.]]*BD.PD[[#This Row],[ Tasa ]]*BD.PD[[#This Row],[ Precio Und.]]</f>
        <v>95330.28</v>
      </c>
      <c r="N256" s="361">
        <v>0.3</v>
      </c>
      <c r="O256" s="296">
        <f>IF(BD.PD[[#This Row],[Liquid. '[%']]]&lt;&gt;0,(BD.PD[[#This Row],[Valor Neto '[DOP']]]*BD.PD[[#This Row],[Liquid. '[%']]])+BD.PD[[#This Row],[Valor Neto '[DOP']]],BD.PD[[#This Row],[Valor Neto '[DOP']]])</f>
        <v>123929.364</v>
      </c>
      <c r="P256" s="306">
        <f>BD.PD[[#This Row],[Ppto. Orden Interna '[DOP']]]/HLOOKUP("USD",$J$1:$K$2,2,FALSE)</f>
        <v>1967.132761904762</v>
      </c>
      <c r="Q256" s="299" t="s">
        <v>708</v>
      </c>
      <c r="R256" s="307" t="s">
        <v>707</v>
      </c>
      <c r="S256" s="300">
        <v>19</v>
      </c>
      <c r="T256" s="301">
        <v>0.5</v>
      </c>
      <c r="U256" s="308">
        <f>BD.PD[[#This Row],[Av.P1 '[%']]]*BD.PD[[#This Row],[Ppto. Orden Interna '[DOP']]]</f>
        <v>61964.682000000001</v>
      </c>
      <c r="V256" s="303">
        <v>22</v>
      </c>
      <c r="W256" s="304">
        <v>0.5</v>
      </c>
      <c r="X256" s="308">
        <f>BD.PD[[#This Row],[Av.P2 '[%']]]*BD.PD[[#This Row],[Ppto. Orden Interna '[DOP']]]</f>
        <v>61964.682000000001</v>
      </c>
      <c r="Y256" s="303"/>
      <c r="Z256" s="304"/>
      <c r="AA256" s="308">
        <f>BD.PD[[#This Row],[Av.P3 '[%']]]*BD.PD[[#This Row],[Ppto. Orden Interna '[DOP']]]</f>
        <v>0</v>
      </c>
      <c r="AB256" s="303"/>
      <c r="AC256" s="304"/>
      <c r="AD256" s="308">
        <f>BD.PD[[#This Row],[Av.P4 '[%']]]*BD.PD[[#This Row],[Ppto. Orden Interna '[DOP']]]</f>
        <v>0</v>
      </c>
      <c r="AE256" s="303"/>
      <c r="AF256" s="304"/>
      <c r="AG256" s="308">
        <f>BD.PD[[#This Row],[Av.P5 '[%']]]*BD.PD[[#This Row],[Ppto. Orden Interna '[DOP']]]</f>
        <v>0</v>
      </c>
      <c r="AH256" s="305">
        <f>BD.PD[[#This Row],[Pago 5]]+BD.PD[[#This Row],[Pago 4]]+BD.PD[[#This Row],[Pago 3]]+BD.PD[[#This Row],[Pago 2]]+BD.PD[[#This Row],[Pago 1]]</f>
        <v>123929.364</v>
      </c>
      <c r="AI256" s="404"/>
      <c r="IB256" s="275"/>
    </row>
    <row r="257" spans="1:236" ht="15" customHeight="1" x14ac:dyDescent="0.3">
      <c r="A257" s="231">
        <v>8.0299999999999994</v>
      </c>
      <c r="B257" s="288"/>
      <c r="C257" s="289" t="str">
        <f>VLOOKUP(BD.PD[[#This Row],[Pos]],PPto[],3,FALSE)</f>
        <v>8.03 Carritos, Canastas y Accesorios</v>
      </c>
      <c r="D257" s="231" t="s">
        <v>22</v>
      </c>
      <c r="E257" s="291" t="str">
        <f>IF(BD.PD[[#This Row],[.]]="*",VLOOKUP(BD.PD[[#This Row],[Pos]],Presupuesto!A:H,7,FALSE),"")</f>
        <v/>
      </c>
      <c r="F257" s="390" t="s">
        <v>299</v>
      </c>
      <c r="G257" s="292">
        <v>4600074838</v>
      </c>
      <c r="H257" s="358">
        <v>45853</v>
      </c>
      <c r="I257" s="359">
        <v>60</v>
      </c>
      <c r="J257" s="231" t="s">
        <v>581</v>
      </c>
      <c r="K257" s="294">
        <f>IF(BD.PD[[#This Row],[Mon]]="DOP",1,HLOOKUP(BD.PD[[#This Row],[Mon]],$J$1:$K$2,2,FALSE))</f>
        <v>1</v>
      </c>
      <c r="L257" s="360">
        <v>1438.7834523809524</v>
      </c>
      <c r="M257" s="296">
        <f>BD.PD[[#This Row],[Cant.]]*BD.PD[[#This Row],[ Tasa ]]*BD.PD[[#This Row],[ Precio Und.]]</f>
        <v>86327.007142857154</v>
      </c>
      <c r="N257" s="361">
        <v>0.3</v>
      </c>
      <c r="O257" s="296">
        <f>IF(BD.PD[[#This Row],[Liquid. '[%']]]&lt;&gt;0,(BD.PD[[#This Row],[Valor Neto '[DOP']]]*BD.PD[[#This Row],[Liquid. '[%']]])+BD.PD[[#This Row],[Valor Neto '[DOP']]],BD.PD[[#This Row],[Valor Neto '[DOP']]])</f>
        <v>112225.10928571429</v>
      </c>
      <c r="P257" s="306">
        <f>BD.PD[[#This Row],[Ppto. Orden Interna '[DOP']]]/HLOOKUP("USD",$J$1:$K$2,2,FALSE)</f>
        <v>1781.350941043084</v>
      </c>
      <c r="Q257" s="299" t="s">
        <v>706</v>
      </c>
      <c r="R257" s="307" t="s">
        <v>707</v>
      </c>
      <c r="S257" s="300">
        <v>19</v>
      </c>
      <c r="T257" s="301">
        <v>0.5</v>
      </c>
      <c r="U257" s="308">
        <f>BD.PD[[#This Row],[Av.P1 '[%']]]*BD.PD[[#This Row],[Ppto. Orden Interna '[DOP']]]</f>
        <v>56112.554642857147</v>
      </c>
      <c r="V257" s="303">
        <v>22</v>
      </c>
      <c r="W257" s="304">
        <v>0.5</v>
      </c>
      <c r="X257" s="308">
        <f>BD.PD[[#This Row],[Av.P2 '[%']]]*BD.PD[[#This Row],[Ppto. Orden Interna '[DOP']]]</f>
        <v>56112.554642857147</v>
      </c>
      <c r="Y257" s="303"/>
      <c r="Z257" s="304"/>
      <c r="AA257" s="308">
        <f>BD.PD[[#This Row],[Av.P3 '[%']]]*BD.PD[[#This Row],[Ppto. Orden Interna '[DOP']]]</f>
        <v>0</v>
      </c>
      <c r="AB257" s="303"/>
      <c r="AC257" s="304"/>
      <c r="AD257" s="308">
        <f>BD.PD[[#This Row],[Av.P4 '[%']]]*BD.PD[[#This Row],[Ppto. Orden Interna '[DOP']]]</f>
        <v>0</v>
      </c>
      <c r="AE257" s="303"/>
      <c r="AF257" s="304"/>
      <c r="AG257" s="308">
        <f>BD.PD[[#This Row],[Av.P5 '[%']]]*BD.PD[[#This Row],[Ppto. Orden Interna '[DOP']]]</f>
        <v>0</v>
      </c>
      <c r="AH257" s="305">
        <f>BD.PD[[#This Row],[Pago 5]]+BD.PD[[#This Row],[Pago 4]]+BD.PD[[#This Row],[Pago 3]]+BD.PD[[#This Row],[Pago 2]]+BD.PD[[#This Row],[Pago 1]]</f>
        <v>112225.10928571429</v>
      </c>
      <c r="AI257" s="404"/>
      <c r="IB257" s="275"/>
    </row>
    <row r="258" spans="1:236" ht="15" customHeight="1" x14ac:dyDescent="0.3">
      <c r="A258" s="231">
        <v>8.0299999999999994</v>
      </c>
      <c r="B258" s="288"/>
      <c r="C258" s="289" t="str">
        <f>VLOOKUP(BD.PD[[#This Row],[Pos]],PPto[],3,FALSE)</f>
        <v>8.03 Carritos, Canastas y Accesorios</v>
      </c>
      <c r="D258" s="231" t="s">
        <v>22</v>
      </c>
      <c r="E258" s="291" t="str">
        <f>IF(BD.PD[[#This Row],[.]]="*",VLOOKUP(BD.PD[[#This Row],[Pos]],Presupuesto!A:H,7,FALSE),"")</f>
        <v/>
      </c>
      <c r="F258" s="390" t="s">
        <v>303</v>
      </c>
      <c r="G258" s="292">
        <v>4600074838</v>
      </c>
      <c r="H258" s="358">
        <v>45853</v>
      </c>
      <c r="I258" s="359">
        <v>3</v>
      </c>
      <c r="J258" s="231" t="s">
        <v>581</v>
      </c>
      <c r="K258" s="294">
        <f>IF(BD.PD[[#This Row],[Mon]]="DOP",1,HLOOKUP(BD.PD[[#This Row],[Mon]],$J$1:$K$2,2,FALSE))</f>
        <v>1</v>
      </c>
      <c r="L258" s="360">
        <v>5806.3549999999996</v>
      </c>
      <c r="M258" s="296">
        <f>BD.PD[[#This Row],[Cant.]]*BD.PD[[#This Row],[ Tasa ]]*BD.PD[[#This Row],[ Precio Und.]]</f>
        <v>17419.064999999999</v>
      </c>
      <c r="N258" s="361">
        <v>0.3</v>
      </c>
      <c r="O258" s="296">
        <f>IF(BD.PD[[#This Row],[Liquid. '[%']]]&lt;&gt;0,(BD.PD[[#This Row],[Valor Neto '[DOP']]]*BD.PD[[#This Row],[Liquid. '[%']]])+BD.PD[[#This Row],[Valor Neto '[DOP']]],BD.PD[[#This Row],[Valor Neto '[DOP']]])</f>
        <v>22644.784499999998</v>
      </c>
      <c r="P258" s="306">
        <f>BD.PD[[#This Row],[Ppto. Orden Interna '[DOP']]]/HLOOKUP("USD",$J$1:$K$2,2,FALSE)</f>
        <v>359.44102380952376</v>
      </c>
      <c r="Q258" s="299" t="s">
        <v>706</v>
      </c>
      <c r="R258" s="307" t="s">
        <v>707</v>
      </c>
      <c r="S258" s="300">
        <v>19</v>
      </c>
      <c r="T258" s="301">
        <v>0.5</v>
      </c>
      <c r="U258" s="308">
        <f>BD.PD[[#This Row],[Av.P1 '[%']]]*BD.PD[[#This Row],[Ppto. Orden Interna '[DOP']]]</f>
        <v>11322.392249999999</v>
      </c>
      <c r="V258" s="303">
        <v>22</v>
      </c>
      <c r="W258" s="304">
        <v>0.5</v>
      </c>
      <c r="X258" s="308">
        <f>BD.PD[[#This Row],[Av.P2 '[%']]]*BD.PD[[#This Row],[Ppto. Orden Interna '[DOP']]]</f>
        <v>11322.392249999999</v>
      </c>
      <c r="Y258" s="303"/>
      <c r="Z258" s="304"/>
      <c r="AA258" s="308">
        <f>BD.PD[[#This Row],[Av.P3 '[%']]]*BD.PD[[#This Row],[Ppto. Orden Interna '[DOP']]]</f>
        <v>0</v>
      </c>
      <c r="AB258" s="303"/>
      <c r="AC258" s="304"/>
      <c r="AD258" s="308">
        <f>BD.PD[[#This Row],[Av.P4 '[%']]]*BD.PD[[#This Row],[Ppto. Orden Interna '[DOP']]]</f>
        <v>0</v>
      </c>
      <c r="AE258" s="303"/>
      <c r="AF258" s="304"/>
      <c r="AG258" s="308">
        <f>BD.PD[[#This Row],[Av.P5 '[%']]]*BD.PD[[#This Row],[Ppto. Orden Interna '[DOP']]]</f>
        <v>0</v>
      </c>
      <c r="AH258" s="305">
        <f>BD.PD[[#This Row],[Pago 5]]+BD.PD[[#This Row],[Pago 4]]+BD.PD[[#This Row],[Pago 3]]+BD.PD[[#This Row],[Pago 2]]+BD.PD[[#This Row],[Pago 1]]</f>
        <v>22644.784499999998</v>
      </c>
      <c r="AI258" s="404"/>
      <c r="IB258" s="275"/>
    </row>
    <row r="259" spans="1:236" ht="15" customHeight="1" x14ac:dyDescent="0.3">
      <c r="A259" s="231">
        <v>8.0299999999999994</v>
      </c>
      <c r="B259" s="288"/>
      <c r="C259" s="289" t="str">
        <f>VLOOKUP(BD.PD[[#This Row],[Pos]],PPto[],3,FALSE)</f>
        <v>8.03 Carritos, Canastas y Accesorios</v>
      </c>
      <c r="D259" s="231" t="s">
        <v>22</v>
      </c>
      <c r="E259" s="291" t="str">
        <f>IF(BD.PD[[#This Row],[.]]="*",VLOOKUP(BD.PD[[#This Row],[Pos]],Presupuesto!A:H,7,FALSE),"")</f>
        <v/>
      </c>
      <c r="F259" s="390" t="s">
        <v>305</v>
      </c>
      <c r="G259" s="292">
        <v>4600074838</v>
      </c>
      <c r="H259" s="358">
        <v>45853</v>
      </c>
      <c r="I259" s="359">
        <v>2</v>
      </c>
      <c r="J259" s="231" t="s">
        <v>581</v>
      </c>
      <c r="K259" s="294">
        <f>IF(BD.PD[[#This Row],[Mon]]="DOP",1,HLOOKUP(BD.PD[[#This Row],[Mon]],$J$1:$K$2,2,FALSE))</f>
        <v>1</v>
      </c>
      <c r="L259" s="360">
        <v>6189.2379999999994</v>
      </c>
      <c r="M259" s="296">
        <f>BD.PD[[#This Row],[Cant.]]*BD.PD[[#This Row],[ Tasa ]]*BD.PD[[#This Row],[ Precio Und.]]</f>
        <v>12378.475999999999</v>
      </c>
      <c r="N259" s="361">
        <v>0.3</v>
      </c>
      <c r="O259" s="296">
        <f>IF(BD.PD[[#This Row],[Liquid. '[%']]]&lt;&gt;0,(BD.PD[[#This Row],[Valor Neto '[DOP']]]*BD.PD[[#This Row],[Liquid. '[%']]])+BD.PD[[#This Row],[Valor Neto '[DOP']]],BD.PD[[#This Row],[Valor Neto '[DOP']]])</f>
        <v>16092.018799999998</v>
      </c>
      <c r="P259" s="306">
        <f>BD.PD[[#This Row],[Ppto. Orden Interna '[DOP']]]/HLOOKUP("USD",$J$1:$K$2,2,FALSE)</f>
        <v>255.4288698412698</v>
      </c>
      <c r="Q259" s="299" t="s">
        <v>709</v>
      </c>
      <c r="R259" s="307" t="s">
        <v>707</v>
      </c>
      <c r="S259" s="300">
        <v>19</v>
      </c>
      <c r="T259" s="301">
        <v>0.5</v>
      </c>
      <c r="U259" s="308">
        <f>BD.PD[[#This Row],[Av.P1 '[%']]]*BD.PD[[#This Row],[Ppto. Orden Interna '[DOP']]]</f>
        <v>8046.009399999999</v>
      </c>
      <c r="V259" s="303">
        <v>22</v>
      </c>
      <c r="W259" s="304">
        <v>0.5</v>
      </c>
      <c r="X259" s="308">
        <f>BD.PD[[#This Row],[Av.P2 '[%']]]*BD.PD[[#This Row],[Ppto. Orden Interna '[DOP']]]</f>
        <v>8046.009399999999</v>
      </c>
      <c r="Y259" s="303"/>
      <c r="Z259" s="304"/>
      <c r="AA259" s="308">
        <f>BD.PD[[#This Row],[Av.P3 '[%']]]*BD.PD[[#This Row],[Ppto. Orden Interna '[DOP']]]</f>
        <v>0</v>
      </c>
      <c r="AB259" s="303"/>
      <c r="AC259" s="304"/>
      <c r="AD259" s="308">
        <f>BD.PD[[#This Row],[Av.P4 '[%']]]*BD.PD[[#This Row],[Ppto. Orden Interna '[DOP']]]</f>
        <v>0</v>
      </c>
      <c r="AE259" s="303"/>
      <c r="AF259" s="304"/>
      <c r="AG259" s="308">
        <f>BD.PD[[#This Row],[Av.P5 '[%']]]*BD.PD[[#This Row],[Ppto. Orden Interna '[DOP']]]</f>
        <v>0</v>
      </c>
      <c r="AH259" s="305">
        <f>BD.PD[[#This Row],[Pago 5]]+BD.PD[[#This Row],[Pago 4]]+BD.PD[[#This Row],[Pago 3]]+BD.PD[[#This Row],[Pago 2]]+BD.PD[[#This Row],[Pago 1]]</f>
        <v>16092.018799999998</v>
      </c>
      <c r="AI259" s="404"/>
      <c r="IB259" s="275"/>
    </row>
    <row r="260" spans="1:236" ht="15.6" customHeight="1" x14ac:dyDescent="0.3">
      <c r="A260" s="231">
        <v>8.0299999999999994</v>
      </c>
      <c r="B260" s="288"/>
      <c r="C260" s="289" t="str">
        <f>VLOOKUP(BD.PD[[#This Row],[Pos]],PPto[],3,FALSE)</f>
        <v>8.03 Carritos, Canastas y Accesorios</v>
      </c>
      <c r="D260" s="231" t="s">
        <v>22</v>
      </c>
      <c r="E260" s="291" t="str">
        <f>IF(BD.PD[[#This Row],[.]]="*",VLOOKUP(BD.PD[[#This Row],[Pos]],Presupuesto!A:H,7,FALSE),"")</f>
        <v/>
      </c>
      <c r="F260" s="390" t="s">
        <v>301</v>
      </c>
      <c r="G260" s="292">
        <v>4600074838</v>
      </c>
      <c r="H260" s="358">
        <v>45853</v>
      </c>
      <c r="I260" s="359">
        <v>150</v>
      </c>
      <c r="J260" s="231" t="s">
        <v>581</v>
      </c>
      <c r="K260" s="294">
        <f>IF(BD.PD[[#This Row],[Mon]]="DOP",1,HLOOKUP(BD.PD[[#This Row],[Mon]],$J$1:$K$2,2,FALSE))</f>
        <v>1</v>
      </c>
      <c r="L260" s="360">
        <v>9341.7875999999997</v>
      </c>
      <c r="M260" s="296">
        <f>BD.PD[[#This Row],[Cant.]]*BD.PD[[#This Row],[ Tasa ]]*BD.PD[[#This Row],[ Precio Und.]]</f>
        <v>1401268.14</v>
      </c>
      <c r="N260" s="361">
        <v>0.3</v>
      </c>
      <c r="O260" s="296">
        <f>IF(BD.PD[[#This Row],[Liquid. '[%']]]&lt;&gt;0,(BD.PD[[#This Row],[Valor Neto '[DOP']]]*BD.PD[[#This Row],[Liquid. '[%']]])+BD.PD[[#This Row],[Valor Neto '[DOP']]],BD.PD[[#This Row],[Valor Neto '[DOP']]])</f>
        <v>1821648.5819999999</v>
      </c>
      <c r="P260" s="306">
        <f>BD.PD[[#This Row],[Ppto. Orden Interna '[DOP']]]/HLOOKUP("USD",$J$1:$K$2,2,FALSE)</f>
        <v>28915.056857142856</v>
      </c>
      <c r="Q260" s="299" t="s">
        <v>706</v>
      </c>
      <c r="R260" s="307" t="s">
        <v>707</v>
      </c>
      <c r="S260" s="300">
        <v>19</v>
      </c>
      <c r="T260" s="301">
        <v>0.5</v>
      </c>
      <c r="U260" s="308">
        <f>BD.PD[[#This Row],[Av.P1 '[%']]]*BD.PD[[#This Row],[Ppto. Orden Interna '[DOP']]]</f>
        <v>910824.29099999997</v>
      </c>
      <c r="V260" s="303">
        <v>22</v>
      </c>
      <c r="W260" s="304">
        <v>0.5</v>
      </c>
      <c r="X260" s="308">
        <f>BD.PD[[#This Row],[Av.P2 '[%']]]*BD.PD[[#This Row],[Ppto. Orden Interna '[DOP']]]</f>
        <v>910824.29099999997</v>
      </c>
      <c r="Y260" s="303"/>
      <c r="Z260" s="304"/>
      <c r="AA260" s="308">
        <f>BD.PD[[#This Row],[Av.P3 '[%']]]*BD.PD[[#This Row],[Ppto. Orden Interna '[DOP']]]</f>
        <v>0</v>
      </c>
      <c r="AB260" s="303"/>
      <c r="AC260" s="304"/>
      <c r="AD260" s="308">
        <f>BD.PD[[#This Row],[Av.P4 '[%']]]*BD.PD[[#This Row],[Ppto. Orden Interna '[DOP']]]</f>
        <v>0</v>
      </c>
      <c r="AE260" s="303"/>
      <c r="AF260" s="304"/>
      <c r="AG260" s="308">
        <f>BD.PD[[#This Row],[Av.P5 '[%']]]*BD.PD[[#This Row],[Ppto. Orden Interna '[DOP']]]</f>
        <v>0</v>
      </c>
      <c r="AH260" s="305">
        <f>BD.PD[[#This Row],[Pago 5]]+BD.PD[[#This Row],[Pago 4]]+BD.PD[[#This Row],[Pago 3]]+BD.PD[[#This Row],[Pago 2]]+BD.PD[[#This Row],[Pago 1]]</f>
        <v>1821648.5819999999</v>
      </c>
      <c r="AI260" s="404"/>
      <c r="IB260" s="275"/>
    </row>
    <row r="261" spans="1:236" ht="15" customHeight="1" x14ac:dyDescent="0.3">
      <c r="A261" s="231">
        <v>8.0299999999999994</v>
      </c>
      <c r="B261" s="288"/>
      <c r="C261" s="289" t="str">
        <f>VLOOKUP(BD.PD[[#This Row],[Pos]],PPto[],3,FALSE)</f>
        <v>8.03 Carritos, Canastas y Accesorios</v>
      </c>
      <c r="D261" s="231" t="s">
        <v>22</v>
      </c>
      <c r="E261" s="291" t="str">
        <f>IF(BD.PD[[#This Row],[.]]="*",VLOOKUP(BD.PD[[#This Row],[Pos]],Presupuesto!A:H,7,FALSE),"")</f>
        <v/>
      </c>
      <c r="F261" s="390" t="s">
        <v>302</v>
      </c>
      <c r="G261" s="292">
        <v>4600074838</v>
      </c>
      <c r="H261" s="358">
        <v>45853</v>
      </c>
      <c r="I261" s="359">
        <v>75</v>
      </c>
      <c r="J261" s="231" t="s">
        <v>581</v>
      </c>
      <c r="K261" s="294">
        <f>IF(BD.PD[[#This Row],[Mon]]="DOP",1,HLOOKUP(BD.PD[[#This Row],[Mon]],$J$1:$K$2,2,FALSE))</f>
        <v>1</v>
      </c>
      <c r="L261" s="360">
        <v>6319.4633636363633</v>
      </c>
      <c r="M261" s="296">
        <f>BD.PD[[#This Row],[Cant.]]*BD.PD[[#This Row],[ Tasa ]]*BD.PD[[#This Row],[ Precio Und.]]</f>
        <v>473959.75227272726</v>
      </c>
      <c r="N261" s="361">
        <v>0.3</v>
      </c>
      <c r="O261" s="296">
        <f>IF(BD.PD[[#This Row],[Liquid. '[%']]]&lt;&gt;0,(BD.PD[[#This Row],[Valor Neto '[DOP']]]*BD.PD[[#This Row],[Liquid. '[%']]])+BD.PD[[#This Row],[Valor Neto '[DOP']]],BD.PD[[#This Row],[Valor Neto '[DOP']]])</f>
        <v>616147.67795454548</v>
      </c>
      <c r="P261" s="306">
        <f>BD.PD[[#This Row],[Ppto. Orden Interna '[DOP']]]/HLOOKUP("USD",$J$1:$K$2,2,FALSE)</f>
        <v>9780.1218722943722</v>
      </c>
      <c r="Q261" s="299" t="s">
        <v>706</v>
      </c>
      <c r="R261" s="307" t="s">
        <v>707</v>
      </c>
      <c r="S261" s="300">
        <v>19</v>
      </c>
      <c r="T261" s="301">
        <v>0.5</v>
      </c>
      <c r="U261" s="308">
        <f>BD.PD[[#This Row],[Av.P1 '[%']]]*BD.PD[[#This Row],[Ppto. Orden Interna '[DOP']]]</f>
        <v>308073.83897727274</v>
      </c>
      <c r="V261" s="303">
        <v>22</v>
      </c>
      <c r="W261" s="304">
        <v>0.5</v>
      </c>
      <c r="X261" s="308">
        <f>BD.PD[[#This Row],[Av.P2 '[%']]]*BD.PD[[#This Row],[Ppto. Orden Interna '[DOP']]]</f>
        <v>308073.83897727274</v>
      </c>
      <c r="Y261" s="303"/>
      <c r="Z261" s="304"/>
      <c r="AA261" s="308">
        <f>BD.PD[[#This Row],[Av.P3 '[%']]]*BD.PD[[#This Row],[Ppto. Orden Interna '[DOP']]]</f>
        <v>0</v>
      </c>
      <c r="AB261" s="303"/>
      <c r="AC261" s="304"/>
      <c r="AD261" s="308">
        <f>BD.PD[[#This Row],[Av.P4 '[%']]]*BD.PD[[#This Row],[Ppto. Orden Interna '[DOP']]]</f>
        <v>0</v>
      </c>
      <c r="AE261" s="303"/>
      <c r="AF261" s="304"/>
      <c r="AG261" s="308">
        <f>BD.PD[[#This Row],[Av.P5 '[%']]]*BD.PD[[#This Row],[Ppto. Orden Interna '[DOP']]]</f>
        <v>0</v>
      </c>
      <c r="AH261" s="305">
        <f>BD.PD[[#This Row],[Pago 5]]+BD.PD[[#This Row],[Pago 4]]+BD.PD[[#This Row],[Pago 3]]+BD.PD[[#This Row],[Pago 2]]+BD.PD[[#This Row],[Pago 1]]</f>
        <v>616147.67795454548</v>
      </c>
      <c r="AI261" s="404"/>
      <c r="IB261" s="275"/>
    </row>
    <row r="262" spans="1:236" ht="15" customHeight="1" x14ac:dyDescent="0.3">
      <c r="A262" s="231">
        <v>8.0399999999999991</v>
      </c>
      <c r="B262" s="288" t="s">
        <v>574</v>
      </c>
      <c r="C262" s="289" t="str">
        <f>VLOOKUP(BD.PD[[#This Row],[Pos]],PPto[],3,FALSE)</f>
        <v>8.04 Trameria Almacen</v>
      </c>
      <c r="D262" s="290" t="s">
        <v>574</v>
      </c>
      <c r="E262" s="291">
        <f>IF(BD.PD[[#This Row],[.]]="*",VLOOKUP(BD.PD[[#This Row],[Pos]],Presupuesto!A:H,7,FALSE),"")</f>
        <v>23083.509503194888</v>
      </c>
      <c r="F262" s="292"/>
      <c r="G262" s="292" t="s">
        <v>575</v>
      </c>
      <c r="H262" s="292"/>
      <c r="I262" s="293">
        <v>1</v>
      </c>
      <c r="J262" s="290" t="s">
        <v>456</v>
      </c>
      <c r="K262" s="294">
        <f>IF(BD.PD[[#This Row],[Mon]]="DOP",1,HLOOKUP(BD.PD[[#This Row],[Mon]],$J$1:$K$2,2,FALSE))</f>
        <v>63</v>
      </c>
      <c r="L262" s="295">
        <v>0</v>
      </c>
      <c r="M262" s="296">
        <f>BD.PD[[#This Row],[Cant.]]*BD.PD[[#This Row],[ Tasa ]]*BD.PD[[#This Row],[ Precio Und.]]</f>
        <v>0</v>
      </c>
      <c r="N262" s="297">
        <v>0</v>
      </c>
      <c r="O262" s="296">
        <f>IF(BD.PD[[#This Row],[Liquid. '[%']]]&lt;&gt;0,(BD.PD[[#This Row],[Valor Neto '[DOP']]]*BD.PD[[#This Row],[Liquid. '[%']]])+BD.PD[[#This Row],[Valor Neto '[DOP']]],BD.PD[[#This Row],[Valor Neto '[DOP']]])</f>
        <v>0</v>
      </c>
      <c r="P262" s="306">
        <f>BD.PD[[#This Row],[Ppto. Orden Interna '[DOP']]]/HLOOKUP("USD",$J$1:$K$2,2,FALSE)</f>
        <v>0</v>
      </c>
      <c r="Q262" s="299"/>
      <c r="R262" s="307"/>
      <c r="S262" s="300"/>
      <c r="T262" s="301"/>
      <c r="U262" s="308">
        <f>BD.PD[[#This Row],[Av.P1 '[%']]]*BD.PD[[#This Row],[Ppto. Orden Interna '[DOP']]]</f>
        <v>0</v>
      </c>
      <c r="V262" s="303"/>
      <c r="W262" s="304"/>
      <c r="X262" s="308">
        <f>BD.PD[[#This Row],[Av.P2 '[%']]]*BD.PD[[#This Row],[Ppto. Orden Interna '[DOP']]]</f>
        <v>0</v>
      </c>
      <c r="Y262" s="303"/>
      <c r="Z262" s="304"/>
      <c r="AA262" s="308">
        <f>BD.PD[[#This Row],[Av.P3 '[%']]]*BD.PD[[#This Row],[Ppto. Orden Interna '[DOP']]]</f>
        <v>0</v>
      </c>
      <c r="AB262" s="303"/>
      <c r="AC262" s="304"/>
      <c r="AD262" s="308">
        <f>BD.PD[[#This Row],[Av.P4 '[%']]]*BD.PD[[#This Row],[Ppto. Orden Interna '[DOP']]]</f>
        <v>0</v>
      </c>
      <c r="AE262" s="303"/>
      <c r="AF262" s="304"/>
      <c r="AG262" s="308">
        <f>BD.PD[[#This Row],[Av.P5 '[%']]]*BD.PD[[#This Row],[Ppto. Orden Interna '[DOP']]]</f>
        <v>0</v>
      </c>
      <c r="AH262" s="305">
        <f>BD.PD[[#This Row],[Pago 5]]+BD.PD[[#This Row],[Pago 4]]+BD.PD[[#This Row],[Pago 3]]+BD.PD[[#This Row],[Pago 2]]+BD.PD[[#This Row],[Pago 1]]</f>
        <v>0</v>
      </c>
      <c r="AI262" s="404"/>
      <c r="IB262" s="275"/>
    </row>
    <row r="263" spans="1:236" ht="15" customHeight="1" x14ac:dyDescent="0.3">
      <c r="A263" s="231">
        <v>8.0399999999999991</v>
      </c>
      <c r="B263" s="288"/>
      <c r="C263" s="289" t="str">
        <f>VLOOKUP(BD.PD[[#This Row],[Pos]],PPto[],3,FALSE)</f>
        <v>8.04 Trameria Almacen</v>
      </c>
      <c r="D263" s="231" t="s">
        <v>22</v>
      </c>
      <c r="E263" s="291" t="str">
        <f>IF(BD.PD[[#This Row],[.]]="*",VLOOKUP(BD.PD[[#This Row],[Pos]],Presupuesto!A:H,7,FALSE),"")</f>
        <v/>
      </c>
      <c r="F263" s="292" t="s">
        <v>306</v>
      </c>
      <c r="G263" s="292" t="s">
        <v>578</v>
      </c>
      <c r="H263" s="358">
        <v>45921</v>
      </c>
      <c r="I263" s="359">
        <v>1</v>
      </c>
      <c r="J263" s="231" t="s">
        <v>581</v>
      </c>
      <c r="K263" s="294">
        <f>IF(BD.PD[[#This Row],[Mon]]="DOP",1,HLOOKUP(BD.PD[[#This Row],[Mon]],$J$1:$K$2,2,FALSE))</f>
        <v>1</v>
      </c>
      <c r="L263" s="360">
        <v>960176.56</v>
      </c>
      <c r="M263" s="296">
        <f>BD.PD[[#This Row],[Cant.]]*BD.PD[[#This Row],[ Tasa ]]*BD.PD[[#This Row],[ Precio Und.]]</f>
        <v>960176.56</v>
      </c>
      <c r="N263" s="361">
        <v>0.01</v>
      </c>
      <c r="O263" s="296">
        <f>IF(BD.PD[[#This Row],[Liquid. '[%']]]&lt;&gt;0,(BD.PD[[#This Row],[Valor Neto '[DOP']]]*BD.PD[[#This Row],[Liquid. '[%']]])+BD.PD[[#This Row],[Valor Neto '[DOP']]],BD.PD[[#This Row],[Valor Neto '[DOP']]])</f>
        <v>969778.3256000001</v>
      </c>
      <c r="P263" s="306">
        <f>BD.PD[[#This Row],[Ppto. Orden Interna '[DOP']]]/HLOOKUP("USD",$J$1:$K$2,2,FALSE)</f>
        <v>15393.306755555557</v>
      </c>
      <c r="Q263" s="299" t="s">
        <v>710</v>
      </c>
      <c r="R263" s="307">
        <v>0</v>
      </c>
      <c r="S263" s="300">
        <v>22</v>
      </c>
      <c r="T263" s="301">
        <v>0.6</v>
      </c>
      <c r="U263" s="308">
        <f>BD.PD[[#This Row],[Av.P1 '[%']]]*BD.PD[[#This Row],[Ppto. Orden Interna '[DOP']]]</f>
        <v>581866.99536000006</v>
      </c>
      <c r="V263" s="303">
        <v>24</v>
      </c>
      <c r="W263" s="304">
        <v>0.4</v>
      </c>
      <c r="X263" s="308">
        <f>BD.PD[[#This Row],[Av.P2 '[%']]]*BD.PD[[#This Row],[Ppto. Orden Interna '[DOP']]]</f>
        <v>387911.33024000004</v>
      </c>
      <c r="Y263" s="303"/>
      <c r="Z263" s="304"/>
      <c r="AA263" s="308">
        <f>BD.PD[[#This Row],[Av.P3 '[%']]]*BD.PD[[#This Row],[Ppto. Orden Interna '[DOP']]]</f>
        <v>0</v>
      </c>
      <c r="AB263" s="303"/>
      <c r="AC263" s="304"/>
      <c r="AD263" s="308">
        <f>BD.PD[[#This Row],[Av.P4 '[%']]]*BD.PD[[#This Row],[Ppto. Orden Interna '[DOP']]]</f>
        <v>0</v>
      </c>
      <c r="AE263" s="303"/>
      <c r="AF263" s="304"/>
      <c r="AG263" s="308">
        <f>BD.PD[[#This Row],[Av.P5 '[%']]]*BD.PD[[#This Row],[Ppto. Orden Interna '[DOP']]]</f>
        <v>0</v>
      </c>
      <c r="AH263" s="305">
        <f>BD.PD[[#This Row],[Pago 5]]+BD.PD[[#This Row],[Pago 4]]+BD.PD[[#This Row],[Pago 3]]+BD.PD[[#This Row],[Pago 2]]+BD.PD[[#This Row],[Pago 1]]</f>
        <v>969778.3256000001</v>
      </c>
      <c r="AI263" s="404"/>
      <c r="IB263" s="275"/>
    </row>
    <row r="264" spans="1:236" ht="15" customHeight="1" x14ac:dyDescent="0.3">
      <c r="A264" s="231">
        <v>8.0399999999999991</v>
      </c>
      <c r="B264" s="288"/>
      <c r="C264" s="289" t="str">
        <f>VLOOKUP(BD.PD[[#This Row],[Pos]],PPto[],3,FALSE)</f>
        <v>8.04 Trameria Almacen</v>
      </c>
      <c r="D264" s="231" t="s">
        <v>22</v>
      </c>
      <c r="E264" s="291" t="str">
        <f>IF(BD.PD[[#This Row],[.]]="*",VLOOKUP(BD.PD[[#This Row],[Pos]],Presupuesto!A:H,7,FALSE),"")</f>
        <v/>
      </c>
      <c r="F264" s="292" t="s">
        <v>711</v>
      </c>
      <c r="G264" s="292" t="s">
        <v>578</v>
      </c>
      <c r="H264" s="358">
        <v>45921</v>
      </c>
      <c r="I264" s="359">
        <v>1</v>
      </c>
      <c r="J264" s="231" t="s">
        <v>581</v>
      </c>
      <c r="K264" s="294">
        <f>IF(BD.PD[[#This Row],[Mon]]="DOP",1,HLOOKUP(BD.PD[[#This Row],[Mon]],$J$1:$K$2,2,FALSE))</f>
        <v>1</v>
      </c>
      <c r="L264" s="360">
        <v>0</v>
      </c>
      <c r="M264" s="296">
        <f>BD.PD[[#This Row],[Cant.]]*BD.PD[[#This Row],[ Tasa ]]*BD.PD[[#This Row],[ Precio Und.]]</f>
        <v>0</v>
      </c>
      <c r="N264" s="361">
        <v>0.01</v>
      </c>
      <c r="O264" s="296">
        <f>IF(BD.PD[[#This Row],[Liquid. '[%']]]&lt;&gt;0,(BD.PD[[#This Row],[Valor Neto '[DOP']]]*BD.PD[[#This Row],[Liquid. '[%']]])+BD.PD[[#This Row],[Valor Neto '[DOP']]],BD.PD[[#This Row],[Valor Neto '[DOP']]])</f>
        <v>0</v>
      </c>
      <c r="P264" s="306">
        <f>BD.PD[[#This Row],[Ppto. Orden Interna '[DOP']]]/HLOOKUP("USD",$J$1:$K$2,2,FALSE)</f>
        <v>0</v>
      </c>
      <c r="Q264" s="299" t="s">
        <v>710</v>
      </c>
      <c r="R264" s="307">
        <v>0</v>
      </c>
      <c r="S264" s="300">
        <v>22</v>
      </c>
      <c r="T264" s="301">
        <v>0.6</v>
      </c>
      <c r="U264" s="308">
        <f>BD.PD[[#This Row],[Av.P1 '[%']]]*BD.PD[[#This Row],[Ppto. Orden Interna '[DOP']]]</f>
        <v>0</v>
      </c>
      <c r="V264" s="303">
        <v>24</v>
      </c>
      <c r="W264" s="304">
        <v>0.4</v>
      </c>
      <c r="X264" s="308">
        <f>BD.PD[[#This Row],[Av.P2 '[%']]]*BD.PD[[#This Row],[Ppto. Orden Interna '[DOP']]]</f>
        <v>0</v>
      </c>
      <c r="Y264" s="303"/>
      <c r="Z264" s="304"/>
      <c r="AA264" s="308">
        <f>BD.PD[[#This Row],[Av.P3 '[%']]]*BD.PD[[#This Row],[Ppto. Orden Interna '[DOP']]]</f>
        <v>0</v>
      </c>
      <c r="AB264" s="303"/>
      <c r="AC264" s="304"/>
      <c r="AD264" s="308">
        <f>BD.PD[[#This Row],[Av.P4 '[%']]]*BD.PD[[#This Row],[Ppto. Orden Interna '[DOP']]]</f>
        <v>0</v>
      </c>
      <c r="AE264" s="303"/>
      <c r="AF264" s="304"/>
      <c r="AG264" s="308">
        <f>BD.PD[[#This Row],[Av.P5 '[%']]]*BD.PD[[#This Row],[Ppto. Orden Interna '[DOP']]]</f>
        <v>0</v>
      </c>
      <c r="AH264" s="305">
        <f>BD.PD[[#This Row],[Pago 5]]+BD.PD[[#This Row],[Pago 4]]+BD.PD[[#This Row],[Pago 3]]+BD.PD[[#This Row],[Pago 2]]+BD.PD[[#This Row],[Pago 1]]</f>
        <v>0</v>
      </c>
      <c r="AI264" s="404"/>
      <c r="IB264" s="275"/>
    </row>
    <row r="265" spans="1:236" ht="15" customHeight="1" x14ac:dyDescent="0.3">
      <c r="A265" s="231">
        <v>8.0500000000000007</v>
      </c>
      <c r="B265" s="288" t="s">
        <v>574</v>
      </c>
      <c r="C265" s="289" t="str">
        <f>VLOOKUP(BD.PD[[#This Row],[Pos]],PPto[],3,FALSE)</f>
        <v>8.05 Mobiliario no operacional para Tiendas</v>
      </c>
      <c r="D265" s="290" t="s">
        <v>574</v>
      </c>
      <c r="E265" s="291">
        <f>IF(BD.PD[[#This Row],[.]]="*",VLOOKUP(BD.PD[[#This Row],[Pos]],Presupuesto!A:H,7,FALSE),"")</f>
        <v>106439.12076677317</v>
      </c>
      <c r="F265" s="292"/>
      <c r="G265" s="292" t="s">
        <v>575</v>
      </c>
      <c r="H265" s="292"/>
      <c r="I265" s="293">
        <v>1</v>
      </c>
      <c r="J265" s="290" t="s">
        <v>456</v>
      </c>
      <c r="K265" s="294">
        <f>IF(BD.PD[[#This Row],[Mon]]="DOP",1,HLOOKUP(BD.PD[[#This Row],[Mon]],$J$1:$K$2,2,FALSE))</f>
        <v>63</v>
      </c>
      <c r="L265" s="295">
        <v>0</v>
      </c>
      <c r="M265" s="296">
        <f>BD.PD[[#This Row],[Cant.]]*BD.PD[[#This Row],[ Tasa ]]*BD.PD[[#This Row],[ Precio Und.]]</f>
        <v>0</v>
      </c>
      <c r="N265" s="297">
        <v>0</v>
      </c>
      <c r="O265" s="296">
        <f>IF(BD.PD[[#This Row],[Liquid. '[%']]]&lt;&gt;0,(BD.PD[[#This Row],[Valor Neto '[DOP']]]*BD.PD[[#This Row],[Liquid. '[%']]])+BD.PD[[#This Row],[Valor Neto '[DOP']]],BD.PD[[#This Row],[Valor Neto '[DOP']]])</f>
        <v>0</v>
      </c>
      <c r="P265" s="306">
        <f>BD.PD[[#This Row],[Ppto. Orden Interna '[DOP']]]/HLOOKUP("USD",$J$1:$K$2,2,FALSE)</f>
        <v>0</v>
      </c>
      <c r="Q265" s="299"/>
      <c r="R265" s="307"/>
      <c r="S265" s="300"/>
      <c r="T265" s="301"/>
      <c r="U265" s="308">
        <f>BD.PD[[#This Row],[Av.P1 '[%']]]*BD.PD[[#This Row],[Ppto. Orden Interna '[DOP']]]</f>
        <v>0</v>
      </c>
      <c r="V265" s="303"/>
      <c r="W265" s="304"/>
      <c r="X265" s="308">
        <f>BD.PD[[#This Row],[Av.P2 '[%']]]*BD.PD[[#This Row],[Ppto. Orden Interna '[DOP']]]</f>
        <v>0</v>
      </c>
      <c r="Y265" s="303"/>
      <c r="Z265" s="304"/>
      <c r="AA265" s="308">
        <f>BD.PD[[#This Row],[Av.P3 '[%']]]*BD.PD[[#This Row],[Ppto. Orden Interna '[DOP']]]</f>
        <v>0</v>
      </c>
      <c r="AB265" s="303"/>
      <c r="AC265" s="304"/>
      <c r="AD265" s="308">
        <f>BD.PD[[#This Row],[Av.P4 '[%']]]*BD.PD[[#This Row],[Ppto. Orden Interna '[DOP']]]</f>
        <v>0</v>
      </c>
      <c r="AE265" s="303"/>
      <c r="AF265" s="304"/>
      <c r="AG265" s="308">
        <f>BD.PD[[#This Row],[Av.P5 '[%']]]*BD.PD[[#This Row],[Ppto. Orden Interna '[DOP']]]</f>
        <v>0</v>
      </c>
      <c r="AH265" s="305">
        <f>BD.PD[[#This Row],[Pago 5]]+BD.PD[[#This Row],[Pago 4]]+BD.PD[[#This Row],[Pago 3]]+BD.PD[[#This Row],[Pago 2]]+BD.PD[[#This Row],[Pago 1]]</f>
        <v>0</v>
      </c>
      <c r="AI265" s="404"/>
      <c r="IB265" s="275"/>
    </row>
    <row r="266" spans="1:236" ht="15" customHeight="1" x14ac:dyDescent="0.3">
      <c r="A266" s="231">
        <v>8.0500000000000007</v>
      </c>
      <c r="B266" s="288"/>
      <c r="C266" s="289" t="str">
        <f>VLOOKUP(BD.PD[[#This Row],[Pos]],PPto[],3,FALSE)</f>
        <v>8.05 Mobiliario no operacional para Tiendas</v>
      </c>
      <c r="D266" s="231" t="s">
        <v>22</v>
      </c>
      <c r="E266" s="291" t="str">
        <f>IF(BD.PD[[#This Row],[.]]="*",VLOOKUP(BD.PD[[#This Row],[Pos]],Presupuesto!A:H,7,FALSE),"")</f>
        <v/>
      </c>
      <c r="F266" s="503" t="s">
        <v>712</v>
      </c>
      <c r="G266" s="292" t="s">
        <v>578</v>
      </c>
      <c r="H266" s="358">
        <v>45921</v>
      </c>
      <c r="I266" s="359">
        <v>22</v>
      </c>
      <c r="J266" s="231" t="s">
        <v>581</v>
      </c>
      <c r="K266" s="294">
        <f>IF(BD.PD[[#This Row],[Mon]]="DOP",1,HLOOKUP(BD.PD[[#This Row],[Mon]],$J$1:$K$2,2,FALSE))</f>
        <v>1</v>
      </c>
      <c r="L266" s="360">
        <v>11304</v>
      </c>
      <c r="M266" s="296">
        <f>BD.PD[[#This Row],[Cant.]]*BD.PD[[#This Row],[ Tasa ]]*BD.PD[[#This Row],[ Precio Und.]]</f>
        <v>248688</v>
      </c>
      <c r="N266" s="361">
        <v>0</v>
      </c>
      <c r="O266" s="296">
        <f>IF(BD.PD[[#This Row],[Liquid. '[%']]]&lt;&gt;0,(BD.PD[[#This Row],[Valor Neto '[DOP']]]*BD.PD[[#This Row],[Liquid. '[%']]])+BD.PD[[#This Row],[Valor Neto '[DOP']]],BD.PD[[#This Row],[Valor Neto '[DOP']]])</f>
        <v>248688</v>
      </c>
      <c r="P266" s="306">
        <f>BD.PD[[#This Row],[Ppto. Orden Interna '[DOP']]]/HLOOKUP("USD",$J$1:$K$2,2,FALSE)</f>
        <v>3947.4285714285716</v>
      </c>
      <c r="Q266" s="299" t="s">
        <v>713</v>
      </c>
      <c r="R266" s="307"/>
      <c r="S266" s="300">
        <v>22</v>
      </c>
      <c r="T266" s="301">
        <v>0.5</v>
      </c>
      <c r="U266" s="308">
        <f>BD.PD[[#This Row],[Av.P1 '[%']]]*BD.PD[[#This Row],[Ppto. Orden Interna '[DOP']]]</f>
        <v>124344</v>
      </c>
      <c r="V266" s="303">
        <v>24</v>
      </c>
      <c r="W266" s="304">
        <v>0.5</v>
      </c>
      <c r="X266" s="308">
        <f>BD.PD[[#This Row],[Av.P2 '[%']]]*BD.PD[[#This Row],[Ppto. Orden Interna '[DOP']]]</f>
        <v>124344</v>
      </c>
      <c r="Y266" s="303"/>
      <c r="Z266" s="304"/>
      <c r="AA266" s="308">
        <f>BD.PD[[#This Row],[Av.P3 '[%']]]*BD.PD[[#This Row],[Ppto. Orden Interna '[DOP']]]</f>
        <v>0</v>
      </c>
      <c r="AB266" s="303"/>
      <c r="AC266" s="304"/>
      <c r="AD266" s="308">
        <f>BD.PD[[#This Row],[Av.P4 '[%']]]*BD.PD[[#This Row],[Ppto. Orden Interna '[DOP']]]</f>
        <v>0</v>
      </c>
      <c r="AE266" s="303"/>
      <c r="AF266" s="304"/>
      <c r="AG266" s="308">
        <f>BD.PD[[#This Row],[Av.P5 '[%']]]*BD.PD[[#This Row],[Ppto. Orden Interna '[DOP']]]</f>
        <v>0</v>
      </c>
      <c r="AH266" s="305">
        <f>BD.PD[[#This Row],[Pago 5]]+BD.PD[[#This Row],[Pago 4]]+BD.PD[[#This Row],[Pago 3]]+BD.PD[[#This Row],[Pago 2]]+BD.PD[[#This Row],[Pago 1]]</f>
        <v>248688</v>
      </c>
      <c r="AI266" s="404"/>
      <c r="IB266" s="275"/>
    </row>
    <row r="267" spans="1:236" ht="15" customHeight="1" x14ac:dyDescent="0.3">
      <c r="A267" s="231">
        <v>8.0500000000000007</v>
      </c>
      <c r="B267" s="288"/>
      <c r="C267" s="289" t="str">
        <f>VLOOKUP(BD.PD[[#This Row],[Pos]],PPto[],3,FALSE)</f>
        <v>8.05 Mobiliario no operacional para Tiendas</v>
      </c>
      <c r="D267" s="231" t="s">
        <v>22</v>
      </c>
      <c r="E267" s="291" t="str">
        <f>IF(BD.PD[[#This Row],[.]]="*",VLOOKUP(BD.PD[[#This Row],[Pos]],Presupuesto!A:H,7,FALSE),"")</f>
        <v/>
      </c>
      <c r="F267" s="503" t="s">
        <v>714</v>
      </c>
      <c r="G267" s="292" t="s">
        <v>578</v>
      </c>
      <c r="H267" s="358">
        <v>45921</v>
      </c>
      <c r="I267" s="359">
        <v>88</v>
      </c>
      <c r="J267" s="231" t="s">
        <v>581</v>
      </c>
      <c r="K267" s="294">
        <f>IF(BD.PD[[#This Row],[Mon]]="DOP",1,HLOOKUP(BD.PD[[#This Row],[Mon]],$J$1:$K$2,2,FALSE))</f>
        <v>1</v>
      </c>
      <c r="L267" s="360">
        <v>6543</v>
      </c>
      <c r="M267" s="296">
        <f>BD.PD[[#This Row],[Cant.]]*BD.PD[[#This Row],[ Tasa ]]*BD.PD[[#This Row],[ Precio Und.]]</f>
        <v>575784</v>
      </c>
      <c r="N267" s="361">
        <v>0</v>
      </c>
      <c r="O267" s="296">
        <f>IF(BD.PD[[#This Row],[Liquid. '[%']]]&lt;&gt;0,(BD.PD[[#This Row],[Valor Neto '[DOP']]]*BD.PD[[#This Row],[Liquid. '[%']]])+BD.PD[[#This Row],[Valor Neto '[DOP']]],BD.PD[[#This Row],[Valor Neto '[DOP']]])</f>
        <v>575784</v>
      </c>
      <c r="P267" s="306">
        <f>BD.PD[[#This Row],[Ppto. Orden Interna '[DOP']]]/HLOOKUP("USD",$J$1:$K$2,2,FALSE)</f>
        <v>9139.4285714285706</v>
      </c>
      <c r="Q267" s="299" t="s">
        <v>713</v>
      </c>
      <c r="R267" s="307"/>
      <c r="S267" s="300">
        <v>22</v>
      </c>
      <c r="T267" s="301">
        <v>0.5</v>
      </c>
      <c r="U267" s="308">
        <f>BD.PD[[#This Row],[Av.P1 '[%']]]*BD.PD[[#This Row],[Ppto. Orden Interna '[DOP']]]</f>
        <v>287892</v>
      </c>
      <c r="V267" s="303">
        <v>24</v>
      </c>
      <c r="W267" s="304">
        <v>0.5</v>
      </c>
      <c r="X267" s="308">
        <f>BD.PD[[#This Row],[Av.P2 '[%']]]*BD.PD[[#This Row],[Ppto. Orden Interna '[DOP']]]</f>
        <v>287892</v>
      </c>
      <c r="Y267" s="303"/>
      <c r="Z267" s="304"/>
      <c r="AA267" s="308">
        <f>BD.PD[[#This Row],[Av.P3 '[%']]]*BD.PD[[#This Row],[Ppto. Orden Interna '[DOP']]]</f>
        <v>0</v>
      </c>
      <c r="AB267" s="303"/>
      <c r="AC267" s="304"/>
      <c r="AD267" s="308">
        <f>BD.PD[[#This Row],[Av.P4 '[%']]]*BD.PD[[#This Row],[Ppto. Orden Interna '[DOP']]]</f>
        <v>0</v>
      </c>
      <c r="AE267" s="303"/>
      <c r="AF267" s="304"/>
      <c r="AG267" s="308">
        <f>BD.PD[[#This Row],[Av.P5 '[%']]]*BD.PD[[#This Row],[Ppto. Orden Interna '[DOP']]]</f>
        <v>0</v>
      </c>
      <c r="AH267" s="305">
        <f>BD.PD[[#This Row],[Pago 5]]+BD.PD[[#This Row],[Pago 4]]+BD.PD[[#This Row],[Pago 3]]+BD.PD[[#This Row],[Pago 2]]+BD.PD[[#This Row],[Pago 1]]</f>
        <v>575784</v>
      </c>
      <c r="AI267" s="404"/>
      <c r="IB267" s="275"/>
    </row>
    <row r="268" spans="1:236" ht="15" customHeight="1" x14ac:dyDescent="0.3">
      <c r="A268" s="231">
        <v>8.0500000000000007</v>
      </c>
      <c r="B268" s="288"/>
      <c r="C268" s="289" t="str">
        <f>VLOOKUP(BD.PD[[#This Row],[Pos]],PPto[],3,FALSE)</f>
        <v>8.05 Mobiliario no operacional para Tiendas</v>
      </c>
      <c r="D268" s="231" t="s">
        <v>22</v>
      </c>
      <c r="E268" s="291" t="str">
        <f>IF(BD.PD[[#This Row],[.]]="*",VLOOKUP(BD.PD[[#This Row],[Pos]],Presupuesto!A:H,7,FALSE),"")</f>
        <v/>
      </c>
      <c r="F268" s="292" t="s">
        <v>309</v>
      </c>
      <c r="G268" s="292" t="s">
        <v>578</v>
      </c>
      <c r="H268" s="358">
        <v>45921</v>
      </c>
      <c r="I268" s="359">
        <v>1</v>
      </c>
      <c r="J268" s="231" t="s">
        <v>581</v>
      </c>
      <c r="K268" s="294">
        <f>IF(BD.PD[[#This Row],[Mon]]="DOP",1,HLOOKUP(BD.PD[[#This Row],[Mon]],$J$1:$K$2,2,FALSE))</f>
        <v>1</v>
      </c>
      <c r="L268" s="360">
        <v>12000</v>
      </c>
      <c r="M268" s="296">
        <f>BD.PD[[#This Row],[Cant.]]*BD.PD[[#This Row],[ Tasa ]]*BD.PD[[#This Row],[ Precio Und.]]</f>
        <v>12000</v>
      </c>
      <c r="N268" s="361">
        <v>0</v>
      </c>
      <c r="O268" s="296">
        <f>IF(BD.PD[[#This Row],[Liquid. '[%']]]&lt;&gt;0,(BD.PD[[#This Row],[Valor Neto '[DOP']]]*BD.PD[[#This Row],[Liquid. '[%']]])+BD.PD[[#This Row],[Valor Neto '[DOP']]],BD.PD[[#This Row],[Valor Neto '[DOP']]])</f>
        <v>12000</v>
      </c>
      <c r="P268" s="306">
        <f>BD.PD[[#This Row],[Ppto. Orden Interna '[DOP']]]/HLOOKUP("USD",$J$1:$K$2,2,FALSE)</f>
        <v>190.47619047619048</v>
      </c>
      <c r="Q268" s="299" t="s">
        <v>715</v>
      </c>
      <c r="R268" s="307" t="s">
        <v>642</v>
      </c>
      <c r="S268" s="300">
        <v>21</v>
      </c>
      <c r="T268" s="301">
        <v>1</v>
      </c>
      <c r="U268" s="308">
        <f>BD.PD[[#This Row],[Av.P1 '[%']]]*BD.PD[[#This Row],[Ppto. Orden Interna '[DOP']]]</f>
        <v>12000</v>
      </c>
      <c r="V268" s="303"/>
      <c r="W268" s="304"/>
      <c r="X268" s="308">
        <f>BD.PD[[#This Row],[Av.P2 '[%']]]*BD.PD[[#This Row],[Ppto. Orden Interna '[DOP']]]</f>
        <v>0</v>
      </c>
      <c r="Y268" s="303"/>
      <c r="Z268" s="304"/>
      <c r="AA268" s="308">
        <f>BD.PD[[#This Row],[Av.P3 '[%']]]*BD.PD[[#This Row],[Ppto. Orden Interna '[DOP']]]</f>
        <v>0</v>
      </c>
      <c r="AB268" s="303"/>
      <c r="AC268" s="304"/>
      <c r="AD268" s="308">
        <f>BD.PD[[#This Row],[Av.P4 '[%']]]*BD.PD[[#This Row],[Ppto. Orden Interna '[DOP']]]</f>
        <v>0</v>
      </c>
      <c r="AE268" s="303"/>
      <c r="AF268" s="304"/>
      <c r="AG268" s="308">
        <f>BD.PD[[#This Row],[Av.P5 '[%']]]*BD.PD[[#This Row],[Ppto. Orden Interna '[DOP']]]</f>
        <v>0</v>
      </c>
      <c r="AH268" s="305">
        <f>BD.PD[[#This Row],[Pago 5]]+BD.PD[[#This Row],[Pago 4]]+BD.PD[[#This Row],[Pago 3]]+BD.PD[[#This Row],[Pago 2]]+BD.PD[[#This Row],[Pago 1]]</f>
        <v>12000</v>
      </c>
      <c r="AI268" s="404"/>
      <c r="IB268" s="275"/>
    </row>
    <row r="269" spans="1:236" ht="15" customHeight="1" x14ac:dyDescent="0.3">
      <c r="A269" s="231">
        <v>8.0500000000000007</v>
      </c>
      <c r="B269" s="288"/>
      <c r="C269" s="289" t="str">
        <f>VLOOKUP(BD.PD[[#This Row],[Pos]],PPto[],3,FALSE)</f>
        <v>8.05 Mobiliario no operacional para Tiendas</v>
      </c>
      <c r="D269" s="231" t="s">
        <v>22</v>
      </c>
      <c r="E269" s="291" t="str">
        <f>IF(BD.PD[[#This Row],[.]]="*",VLOOKUP(BD.PD[[#This Row],[Pos]],Presupuesto!A:H,7,FALSE),"")</f>
        <v/>
      </c>
      <c r="F269" s="383" t="s">
        <v>330</v>
      </c>
      <c r="G269" s="292" t="s">
        <v>578</v>
      </c>
      <c r="H269" s="358">
        <v>45921</v>
      </c>
      <c r="I269" s="359">
        <v>6</v>
      </c>
      <c r="J269" s="231" t="s">
        <v>581</v>
      </c>
      <c r="K269" s="294">
        <f>IF(BD.PD[[#This Row],[Mon]]="DOP",1,HLOOKUP(BD.PD[[#This Row],[Mon]],$J$1:$K$2,2,FALSE))</f>
        <v>1</v>
      </c>
      <c r="L269" s="360">
        <v>39220.06</v>
      </c>
      <c r="M269" s="296">
        <f>BD.PD[[#This Row],[Cant.]]*BD.PD[[#This Row],[ Tasa ]]*BD.PD[[#This Row],[ Precio Und.]]</f>
        <v>235320.36</v>
      </c>
      <c r="N269" s="361">
        <v>0</v>
      </c>
      <c r="O269" s="296">
        <f>IF(BD.PD[[#This Row],[Liquid. '[%']]]&lt;&gt;0,(BD.PD[[#This Row],[Valor Neto '[DOP']]]*BD.PD[[#This Row],[Liquid. '[%']]])+BD.PD[[#This Row],[Valor Neto '[DOP']]],BD.PD[[#This Row],[Valor Neto '[DOP']]])</f>
        <v>235320.36</v>
      </c>
      <c r="P269" s="306">
        <f>BD.PD[[#This Row],[Ppto. Orden Interna '[DOP']]]/HLOOKUP("USD",$J$1:$K$2,2,FALSE)</f>
        <v>3735.2438095238094</v>
      </c>
      <c r="Q269" s="299" t="s">
        <v>716</v>
      </c>
      <c r="R269" s="307" t="s">
        <v>717</v>
      </c>
      <c r="S269" s="300">
        <v>21</v>
      </c>
      <c r="T269" s="301">
        <v>1</v>
      </c>
      <c r="U269" s="308">
        <f>BD.PD[[#This Row],[Av.P1 '[%']]]*BD.PD[[#This Row],[Ppto. Orden Interna '[DOP']]]</f>
        <v>235320.36</v>
      </c>
      <c r="V269" s="303"/>
      <c r="W269" s="304"/>
      <c r="X269" s="308">
        <f>BD.PD[[#This Row],[Av.P2 '[%']]]*BD.PD[[#This Row],[Ppto. Orden Interna '[DOP']]]</f>
        <v>0</v>
      </c>
      <c r="Y269" s="303"/>
      <c r="Z269" s="304"/>
      <c r="AA269" s="308">
        <f>BD.PD[[#This Row],[Av.P3 '[%']]]*BD.PD[[#This Row],[Ppto. Orden Interna '[DOP']]]</f>
        <v>0</v>
      </c>
      <c r="AB269" s="303"/>
      <c r="AC269" s="304"/>
      <c r="AD269" s="308">
        <f>BD.PD[[#This Row],[Av.P4 '[%']]]*BD.PD[[#This Row],[Ppto. Orden Interna '[DOP']]]</f>
        <v>0</v>
      </c>
      <c r="AE269" s="303"/>
      <c r="AF269" s="304"/>
      <c r="AG269" s="308">
        <f>BD.PD[[#This Row],[Av.P5 '[%']]]*BD.PD[[#This Row],[Ppto. Orden Interna '[DOP']]]</f>
        <v>0</v>
      </c>
      <c r="AH269" s="305">
        <f>BD.PD[[#This Row],[Pago 5]]+BD.PD[[#This Row],[Pago 4]]+BD.PD[[#This Row],[Pago 3]]+BD.PD[[#This Row],[Pago 2]]+BD.PD[[#This Row],[Pago 1]]</f>
        <v>235320.36</v>
      </c>
      <c r="AI269" s="404"/>
      <c r="IB269" s="275"/>
    </row>
    <row r="270" spans="1:236" ht="15" customHeight="1" x14ac:dyDescent="0.3">
      <c r="A270" s="231">
        <v>8.0500000000000007</v>
      </c>
      <c r="B270" s="288"/>
      <c r="C270" s="289" t="str">
        <f>VLOOKUP(BD.PD[[#This Row],[Pos]],PPto[],3,FALSE)</f>
        <v>8.05 Mobiliario no operacional para Tiendas</v>
      </c>
      <c r="D270" s="231" t="s">
        <v>22</v>
      </c>
      <c r="E270" s="291" t="str">
        <f>IF(BD.PD[[#This Row],[.]]="*",VLOOKUP(BD.PD[[#This Row],[Pos]],Presupuesto!A:H,7,FALSE),"")</f>
        <v/>
      </c>
      <c r="F270" s="383" t="s">
        <v>312</v>
      </c>
      <c r="G270" s="292" t="s">
        <v>578</v>
      </c>
      <c r="H270" s="358">
        <v>45921</v>
      </c>
      <c r="I270" s="359">
        <v>1</v>
      </c>
      <c r="J270" s="231" t="s">
        <v>581</v>
      </c>
      <c r="K270" s="294">
        <f>IF(BD.PD[[#This Row],[Mon]]="DOP",1,HLOOKUP(BD.PD[[#This Row],[Mon]],$J$1:$K$2,2,FALSE))</f>
        <v>1</v>
      </c>
      <c r="L270" s="360">
        <v>41428.57</v>
      </c>
      <c r="M270" s="296">
        <f>BD.PD[[#This Row],[Cant.]]*BD.PD[[#This Row],[ Tasa ]]*BD.PD[[#This Row],[ Precio Und.]]</f>
        <v>41428.57</v>
      </c>
      <c r="N270" s="361">
        <v>0</v>
      </c>
      <c r="O270" s="296">
        <f>IF(BD.PD[[#This Row],[Liquid. '[%']]]&lt;&gt;0,(BD.PD[[#This Row],[Valor Neto '[DOP']]]*BD.PD[[#This Row],[Liquid. '[%']]])+BD.PD[[#This Row],[Valor Neto '[DOP']]],BD.PD[[#This Row],[Valor Neto '[DOP']]])</f>
        <v>41428.57</v>
      </c>
      <c r="P270" s="306">
        <f>BD.PD[[#This Row],[Ppto. Orden Interna '[DOP']]]/HLOOKUP("USD",$J$1:$K$2,2,FALSE)</f>
        <v>657.59634920634915</v>
      </c>
      <c r="Q270" s="299" t="s">
        <v>716</v>
      </c>
      <c r="R270" s="307" t="s">
        <v>717</v>
      </c>
      <c r="S270" s="300">
        <v>21</v>
      </c>
      <c r="T270" s="301">
        <v>1</v>
      </c>
      <c r="U270" s="308">
        <f>BD.PD[[#This Row],[Av.P1 '[%']]]*BD.PD[[#This Row],[Ppto. Orden Interna '[DOP']]]</f>
        <v>41428.57</v>
      </c>
      <c r="V270" s="303"/>
      <c r="W270" s="304"/>
      <c r="X270" s="308">
        <f>BD.PD[[#This Row],[Av.P2 '[%']]]*BD.PD[[#This Row],[Ppto. Orden Interna '[DOP']]]</f>
        <v>0</v>
      </c>
      <c r="Y270" s="303"/>
      <c r="Z270" s="304"/>
      <c r="AA270" s="308">
        <f>BD.PD[[#This Row],[Av.P3 '[%']]]*BD.PD[[#This Row],[Ppto. Orden Interna '[DOP']]]</f>
        <v>0</v>
      </c>
      <c r="AB270" s="303"/>
      <c r="AC270" s="304"/>
      <c r="AD270" s="308">
        <f>BD.PD[[#This Row],[Av.P4 '[%']]]*BD.PD[[#This Row],[Ppto. Orden Interna '[DOP']]]</f>
        <v>0</v>
      </c>
      <c r="AE270" s="303"/>
      <c r="AF270" s="304"/>
      <c r="AG270" s="308">
        <f>BD.PD[[#This Row],[Av.P5 '[%']]]*BD.PD[[#This Row],[Ppto. Orden Interna '[DOP']]]</f>
        <v>0</v>
      </c>
      <c r="AH270" s="305">
        <f>BD.PD[[#This Row],[Pago 5]]+BD.PD[[#This Row],[Pago 4]]+BD.PD[[#This Row],[Pago 3]]+BD.PD[[#This Row],[Pago 2]]+BD.PD[[#This Row],[Pago 1]]</f>
        <v>41428.57</v>
      </c>
      <c r="AI270" s="404"/>
      <c r="IB270" s="275"/>
    </row>
    <row r="271" spans="1:236" ht="15" customHeight="1" x14ac:dyDescent="0.3">
      <c r="A271" s="231">
        <v>8.0500000000000007</v>
      </c>
      <c r="B271" s="288"/>
      <c r="C271" s="289" t="str">
        <f>VLOOKUP(BD.PD[[#This Row],[Pos]],PPto[],3,FALSE)</f>
        <v>8.05 Mobiliario no operacional para Tiendas</v>
      </c>
      <c r="D271" s="231" t="s">
        <v>22</v>
      </c>
      <c r="E271" s="291" t="str">
        <f>IF(BD.PD[[#This Row],[.]]="*",VLOOKUP(BD.PD[[#This Row],[Pos]],Presupuesto!A:H,7,FALSE),"")</f>
        <v/>
      </c>
      <c r="F271" s="390" t="s">
        <v>342</v>
      </c>
      <c r="G271" s="292" t="s">
        <v>578</v>
      </c>
      <c r="H271" s="358">
        <v>45921</v>
      </c>
      <c r="I271" s="359">
        <v>72</v>
      </c>
      <c r="J271" s="231" t="s">
        <v>581</v>
      </c>
      <c r="K271" s="294">
        <f>IF(BD.PD[[#This Row],[Mon]]="DOP",1,HLOOKUP(BD.PD[[#This Row],[Mon]],$J$1:$K$2,2,FALSE))</f>
        <v>1</v>
      </c>
      <c r="L271" s="360">
        <v>233.05</v>
      </c>
      <c r="M271" s="296">
        <f>BD.PD[[#This Row],[Cant.]]*BD.PD[[#This Row],[ Tasa ]]*BD.PD[[#This Row],[ Precio Und.]]</f>
        <v>16779.600000000002</v>
      </c>
      <c r="N271" s="361">
        <v>0</v>
      </c>
      <c r="O271" s="296">
        <f>IF(BD.PD[[#This Row],[Liquid. '[%']]]&lt;&gt;0,(BD.PD[[#This Row],[Valor Neto '[DOP']]]*BD.PD[[#This Row],[Liquid. '[%']]])+BD.PD[[#This Row],[Valor Neto '[DOP']]],BD.PD[[#This Row],[Valor Neto '[DOP']]])</f>
        <v>16779.600000000002</v>
      </c>
      <c r="P271" s="306">
        <f>BD.PD[[#This Row],[Ppto. Orden Interna '[DOP']]]/HLOOKUP("USD",$J$1:$K$2,2,FALSE)</f>
        <v>266.34285714285716</v>
      </c>
      <c r="Q271" s="299" t="s">
        <v>718</v>
      </c>
      <c r="R271" s="307" t="s">
        <v>719</v>
      </c>
      <c r="S271" s="300">
        <v>21</v>
      </c>
      <c r="T271" s="301">
        <v>1</v>
      </c>
      <c r="U271" s="308">
        <f>BD.PD[[#This Row],[Av.P1 '[%']]]*BD.PD[[#This Row],[Ppto. Orden Interna '[DOP']]]</f>
        <v>16779.600000000002</v>
      </c>
      <c r="V271" s="303"/>
      <c r="W271" s="304"/>
      <c r="X271" s="308">
        <f>BD.PD[[#This Row],[Av.P2 '[%']]]*BD.PD[[#This Row],[Ppto. Orden Interna '[DOP']]]</f>
        <v>0</v>
      </c>
      <c r="Y271" s="303"/>
      <c r="Z271" s="304"/>
      <c r="AA271" s="308">
        <f>BD.PD[[#This Row],[Av.P3 '[%']]]*BD.PD[[#This Row],[Ppto. Orden Interna '[DOP']]]</f>
        <v>0</v>
      </c>
      <c r="AB271" s="303"/>
      <c r="AC271" s="304"/>
      <c r="AD271" s="308">
        <f>BD.PD[[#This Row],[Av.P4 '[%']]]*BD.PD[[#This Row],[Ppto. Orden Interna '[DOP']]]</f>
        <v>0</v>
      </c>
      <c r="AE271" s="303"/>
      <c r="AF271" s="304"/>
      <c r="AG271" s="308">
        <f>BD.PD[[#This Row],[Av.P5 '[%']]]*BD.PD[[#This Row],[Ppto. Orden Interna '[DOP']]]</f>
        <v>0</v>
      </c>
      <c r="AH271" s="305">
        <f>BD.PD[[#This Row],[Pago 5]]+BD.PD[[#This Row],[Pago 4]]+BD.PD[[#This Row],[Pago 3]]+BD.PD[[#This Row],[Pago 2]]+BD.PD[[#This Row],[Pago 1]]</f>
        <v>16779.600000000002</v>
      </c>
      <c r="AI271" s="404"/>
      <c r="IB271" s="275"/>
    </row>
    <row r="272" spans="1:236" ht="15" customHeight="1" x14ac:dyDescent="0.3">
      <c r="A272" s="231">
        <v>8.0500000000000007</v>
      </c>
      <c r="B272" s="288"/>
      <c r="C272" s="289" t="str">
        <f>VLOOKUP(BD.PD[[#This Row],[Pos]],PPto[],3,FALSE)</f>
        <v>8.05 Mobiliario no operacional para Tiendas</v>
      </c>
      <c r="D272" s="231" t="s">
        <v>22</v>
      </c>
      <c r="E272" s="291" t="str">
        <f>IF(BD.PD[[#This Row],[.]]="*",VLOOKUP(BD.PD[[#This Row],[Pos]],Presupuesto!A:H,7,FALSE),"")</f>
        <v/>
      </c>
      <c r="F272" s="383" t="s">
        <v>337</v>
      </c>
      <c r="G272" s="292" t="s">
        <v>578</v>
      </c>
      <c r="H272" s="358">
        <v>45921</v>
      </c>
      <c r="I272" s="359">
        <v>1</v>
      </c>
      <c r="J272" s="231" t="s">
        <v>581</v>
      </c>
      <c r="K272" s="294">
        <f>IF(BD.PD[[#This Row],[Mon]]="DOP",1,HLOOKUP(BD.PD[[#This Row],[Mon]],$J$1:$K$2,2,FALSE))</f>
        <v>1</v>
      </c>
      <c r="L272" s="360">
        <v>14067.79</v>
      </c>
      <c r="M272" s="296">
        <f>BD.PD[[#This Row],[Cant.]]*BD.PD[[#This Row],[ Tasa ]]*BD.PD[[#This Row],[ Precio Und.]]</f>
        <v>14067.79</v>
      </c>
      <c r="N272" s="361">
        <v>0</v>
      </c>
      <c r="O272" s="296">
        <f>IF(BD.PD[[#This Row],[Liquid. '[%']]]&lt;&gt;0,(BD.PD[[#This Row],[Valor Neto '[DOP']]]*BD.PD[[#This Row],[Liquid. '[%']]])+BD.PD[[#This Row],[Valor Neto '[DOP']]],BD.PD[[#This Row],[Valor Neto '[DOP']]])</f>
        <v>14067.79</v>
      </c>
      <c r="P272" s="306">
        <f>BD.PD[[#This Row],[Ppto. Orden Interna '[DOP']]]/HLOOKUP("USD",$J$1:$K$2,2,FALSE)</f>
        <v>223.29825396825399</v>
      </c>
      <c r="Q272" s="299" t="s">
        <v>720</v>
      </c>
      <c r="R272" s="307" t="s">
        <v>721</v>
      </c>
      <c r="S272" s="300">
        <v>21</v>
      </c>
      <c r="T272" s="301">
        <v>1</v>
      </c>
      <c r="U272" s="308">
        <f>BD.PD[[#This Row],[Av.P1 '[%']]]*BD.PD[[#This Row],[Ppto. Orden Interna '[DOP']]]</f>
        <v>14067.79</v>
      </c>
      <c r="V272" s="303"/>
      <c r="W272" s="304"/>
      <c r="X272" s="308">
        <f>BD.PD[[#This Row],[Av.P2 '[%']]]*BD.PD[[#This Row],[Ppto. Orden Interna '[DOP']]]</f>
        <v>0</v>
      </c>
      <c r="Y272" s="303"/>
      <c r="Z272" s="304"/>
      <c r="AA272" s="308">
        <f>BD.PD[[#This Row],[Av.P3 '[%']]]*BD.PD[[#This Row],[Ppto. Orden Interna '[DOP']]]</f>
        <v>0</v>
      </c>
      <c r="AB272" s="303"/>
      <c r="AC272" s="304"/>
      <c r="AD272" s="308">
        <f>BD.PD[[#This Row],[Av.P4 '[%']]]*BD.PD[[#This Row],[Ppto. Orden Interna '[DOP']]]</f>
        <v>0</v>
      </c>
      <c r="AE272" s="303"/>
      <c r="AF272" s="304"/>
      <c r="AG272" s="308">
        <f>BD.PD[[#This Row],[Av.P5 '[%']]]*BD.PD[[#This Row],[Ppto. Orden Interna '[DOP']]]</f>
        <v>0</v>
      </c>
      <c r="AH272" s="305">
        <f>BD.PD[[#This Row],[Pago 5]]+BD.PD[[#This Row],[Pago 4]]+BD.PD[[#This Row],[Pago 3]]+BD.PD[[#This Row],[Pago 2]]+BD.PD[[#This Row],[Pago 1]]</f>
        <v>14067.79</v>
      </c>
      <c r="AI272" s="404"/>
      <c r="IB272" s="275"/>
    </row>
    <row r="273" spans="1:236" ht="15" customHeight="1" x14ac:dyDescent="0.3">
      <c r="A273" s="231">
        <v>8.0500000000000007</v>
      </c>
      <c r="B273" s="288"/>
      <c r="C273" s="289" t="str">
        <f>VLOOKUP(BD.PD[[#This Row],[Pos]],PPto[],3,FALSE)</f>
        <v>8.05 Mobiliario no operacional para Tiendas</v>
      </c>
      <c r="D273" s="231" t="s">
        <v>22</v>
      </c>
      <c r="E273" s="291" t="str">
        <f>IF(BD.PD[[#This Row],[.]]="*",VLOOKUP(BD.PD[[#This Row],[Pos]],Presupuesto!A:H,7,FALSE),"")</f>
        <v/>
      </c>
      <c r="F273" s="383" t="s">
        <v>331</v>
      </c>
      <c r="G273" s="292" t="s">
        <v>578</v>
      </c>
      <c r="H273" s="358">
        <v>45921</v>
      </c>
      <c r="I273" s="359">
        <v>1</v>
      </c>
      <c r="J273" s="231" t="s">
        <v>581</v>
      </c>
      <c r="K273" s="294">
        <f>IF(BD.PD[[#This Row],[Mon]]="DOP",1,HLOOKUP(BD.PD[[#This Row],[Mon]],$J$1:$K$2,2,FALSE))</f>
        <v>1</v>
      </c>
      <c r="L273" s="360">
        <v>6779.66</v>
      </c>
      <c r="M273" s="296">
        <f>BD.PD[[#This Row],[Cant.]]*BD.PD[[#This Row],[ Tasa ]]*BD.PD[[#This Row],[ Precio Und.]]</f>
        <v>6779.66</v>
      </c>
      <c r="N273" s="361">
        <v>0</v>
      </c>
      <c r="O273" s="296">
        <f>IF(BD.PD[[#This Row],[Liquid. '[%']]]&lt;&gt;0,(BD.PD[[#This Row],[Valor Neto '[DOP']]]*BD.PD[[#This Row],[Liquid. '[%']]])+BD.PD[[#This Row],[Valor Neto '[DOP']]],BD.PD[[#This Row],[Valor Neto '[DOP']]])</f>
        <v>6779.66</v>
      </c>
      <c r="P273" s="306">
        <f>BD.PD[[#This Row],[Ppto. Orden Interna '[DOP']]]/HLOOKUP("USD",$J$1:$K$2,2,FALSE)</f>
        <v>107.61365079365079</v>
      </c>
      <c r="Q273" s="299" t="s">
        <v>720</v>
      </c>
      <c r="R273" s="307" t="s">
        <v>721</v>
      </c>
      <c r="S273" s="300">
        <v>21</v>
      </c>
      <c r="T273" s="301">
        <v>1</v>
      </c>
      <c r="U273" s="308">
        <f>BD.PD[[#This Row],[Av.P1 '[%']]]*BD.PD[[#This Row],[Ppto. Orden Interna '[DOP']]]</f>
        <v>6779.66</v>
      </c>
      <c r="V273" s="303"/>
      <c r="W273" s="304"/>
      <c r="X273" s="308">
        <f>BD.PD[[#This Row],[Av.P2 '[%']]]*BD.PD[[#This Row],[Ppto. Orden Interna '[DOP']]]</f>
        <v>0</v>
      </c>
      <c r="Y273" s="303"/>
      <c r="Z273" s="304"/>
      <c r="AA273" s="308">
        <f>BD.PD[[#This Row],[Av.P3 '[%']]]*BD.PD[[#This Row],[Ppto. Orden Interna '[DOP']]]</f>
        <v>0</v>
      </c>
      <c r="AB273" s="303"/>
      <c r="AC273" s="304"/>
      <c r="AD273" s="308">
        <f>BD.PD[[#This Row],[Av.P4 '[%']]]*BD.PD[[#This Row],[Ppto. Orden Interna '[DOP']]]</f>
        <v>0</v>
      </c>
      <c r="AE273" s="303"/>
      <c r="AF273" s="304"/>
      <c r="AG273" s="308">
        <f>BD.PD[[#This Row],[Av.P5 '[%']]]*BD.PD[[#This Row],[Ppto. Orden Interna '[DOP']]]</f>
        <v>0</v>
      </c>
      <c r="AH273" s="305">
        <f>BD.PD[[#This Row],[Pago 5]]+BD.PD[[#This Row],[Pago 4]]+BD.PD[[#This Row],[Pago 3]]+BD.PD[[#This Row],[Pago 2]]+BD.PD[[#This Row],[Pago 1]]</f>
        <v>6779.66</v>
      </c>
      <c r="AI273" s="404"/>
      <c r="IB273" s="275"/>
    </row>
    <row r="274" spans="1:236" ht="15" customHeight="1" x14ac:dyDescent="0.3">
      <c r="A274" s="231">
        <v>8.0500000000000007</v>
      </c>
      <c r="B274" s="288"/>
      <c r="C274" s="289" t="str">
        <f>VLOOKUP(BD.PD[[#This Row],[Pos]],PPto[],3,FALSE)</f>
        <v>8.05 Mobiliario no operacional para Tiendas</v>
      </c>
      <c r="D274" s="231" t="s">
        <v>22</v>
      </c>
      <c r="E274" s="291" t="str">
        <f>IF(BD.PD[[#This Row],[.]]="*",VLOOKUP(BD.PD[[#This Row],[Pos]],Presupuesto!A:H,7,FALSE),"")</f>
        <v/>
      </c>
      <c r="F274" s="292" t="s">
        <v>332</v>
      </c>
      <c r="G274" s="292" t="s">
        <v>578</v>
      </c>
      <c r="H274" s="358">
        <v>45921</v>
      </c>
      <c r="I274" s="359">
        <v>1</v>
      </c>
      <c r="J274" s="231" t="s">
        <v>581</v>
      </c>
      <c r="K274" s="294">
        <f>IF(BD.PD[[#This Row],[Mon]]="DOP",1,HLOOKUP(BD.PD[[#This Row],[Mon]],$J$1:$K$2,2,FALSE))</f>
        <v>1</v>
      </c>
      <c r="L274" s="360">
        <v>878493.7</v>
      </c>
      <c r="M274" s="296">
        <f>BD.PD[[#This Row],[Cant.]]*BD.PD[[#This Row],[ Tasa ]]*BD.PD[[#This Row],[ Precio Und.]]</f>
        <v>878493.7</v>
      </c>
      <c r="N274" s="361">
        <v>0</v>
      </c>
      <c r="O274" s="296">
        <f>IF(BD.PD[[#This Row],[Liquid. '[%']]]&lt;&gt;0,(BD.PD[[#This Row],[Valor Neto '[DOP']]]*BD.PD[[#This Row],[Liquid. '[%']]])+BD.PD[[#This Row],[Valor Neto '[DOP']]],BD.PD[[#This Row],[Valor Neto '[DOP']]])</f>
        <v>878493.7</v>
      </c>
      <c r="P274" s="306">
        <f>BD.PD[[#This Row],[Ppto. Orden Interna '[DOP']]]/HLOOKUP("USD",$J$1:$K$2,2,FALSE)</f>
        <v>13944.344444444443</v>
      </c>
      <c r="Q274" s="299" t="s">
        <v>722</v>
      </c>
      <c r="R274" s="307" t="s">
        <v>721</v>
      </c>
      <c r="S274" s="300">
        <v>21</v>
      </c>
      <c r="T274" s="301">
        <v>1</v>
      </c>
      <c r="U274" s="308">
        <f>BD.PD[[#This Row],[Av.P1 '[%']]]*BD.PD[[#This Row],[Ppto. Orden Interna '[DOP']]]</f>
        <v>878493.7</v>
      </c>
      <c r="V274" s="303"/>
      <c r="W274" s="304"/>
      <c r="X274" s="308">
        <f>BD.PD[[#This Row],[Av.P2 '[%']]]*BD.PD[[#This Row],[Ppto. Orden Interna '[DOP']]]</f>
        <v>0</v>
      </c>
      <c r="Y274" s="303"/>
      <c r="Z274" s="304"/>
      <c r="AA274" s="308">
        <f>BD.PD[[#This Row],[Av.P3 '[%']]]*BD.PD[[#This Row],[Ppto. Orden Interna '[DOP']]]</f>
        <v>0</v>
      </c>
      <c r="AB274" s="303"/>
      <c r="AC274" s="304"/>
      <c r="AD274" s="308">
        <f>BD.PD[[#This Row],[Av.P4 '[%']]]*BD.PD[[#This Row],[Ppto. Orden Interna '[DOP']]]</f>
        <v>0</v>
      </c>
      <c r="AE274" s="303"/>
      <c r="AF274" s="304"/>
      <c r="AG274" s="308">
        <f>BD.PD[[#This Row],[Av.P5 '[%']]]*BD.PD[[#This Row],[Ppto. Orden Interna '[DOP']]]</f>
        <v>0</v>
      </c>
      <c r="AH274" s="305">
        <f>BD.PD[[#This Row],[Pago 5]]+BD.PD[[#This Row],[Pago 4]]+BD.PD[[#This Row],[Pago 3]]+BD.PD[[#This Row],[Pago 2]]+BD.PD[[#This Row],[Pago 1]]</f>
        <v>878493.7</v>
      </c>
      <c r="AI274" s="404"/>
      <c r="IB274" s="275"/>
    </row>
    <row r="275" spans="1:236" ht="15" customHeight="1" x14ac:dyDescent="0.3">
      <c r="A275" s="231">
        <v>8.0500000000000007</v>
      </c>
      <c r="B275" s="288"/>
      <c r="C275" s="289" t="str">
        <f>VLOOKUP(BD.PD[[#This Row],[Pos]],PPto[],3,FALSE)</f>
        <v>8.05 Mobiliario no operacional para Tiendas</v>
      </c>
      <c r="D275" s="231" t="s">
        <v>22</v>
      </c>
      <c r="E275" s="291" t="str">
        <f>IF(BD.PD[[#This Row],[.]]="*",VLOOKUP(BD.PD[[#This Row],[Pos]],Presupuesto!A:H,7,FALSE),"")</f>
        <v/>
      </c>
      <c r="F275" s="383" t="s">
        <v>307</v>
      </c>
      <c r="G275" s="292" t="s">
        <v>578</v>
      </c>
      <c r="H275" s="358">
        <v>45921</v>
      </c>
      <c r="I275" s="359">
        <v>1</v>
      </c>
      <c r="J275" s="231" t="s">
        <v>581</v>
      </c>
      <c r="K275" s="294">
        <f>IF(BD.PD[[#This Row],[Mon]]="DOP",1,HLOOKUP(BD.PD[[#This Row],[Mon]],$J$1:$K$2,2,FALSE))</f>
        <v>1</v>
      </c>
      <c r="L275" s="360">
        <v>16288</v>
      </c>
      <c r="M275" s="296">
        <f>BD.PD[[#This Row],[Cant.]]*BD.PD[[#This Row],[ Tasa ]]*BD.PD[[#This Row],[ Precio Und.]]</f>
        <v>16288</v>
      </c>
      <c r="N275" s="361">
        <v>0</v>
      </c>
      <c r="O275" s="296">
        <f>IF(BD.PD[[#This Row],[Liquid. '[%']]]&lt;&gt;0,(BD.PD[[#This Row],[Valor Neto '[DOP']]]*BD.PD[[#This Row],[Liquid. '[%']]])+BD.PD[[#This Row],[Valor Neto '[DOP']]],BD.PD[[#This Row],[Valor Neto '[DOP']]])</f>
        <v>16288</v>
      </c>
      <c r="P275" s="306">
        <f>BD.PD[[#This Row],[Ppto. Orden Interna '[DOP']]]/HLOOKUP("USD",$J$1:$K$2,2,FALSE)</f>
        <v>258.53968253968253</v>
      </c>
      <c r="Q275" s="299" t="s">
        <v>723</v>
      </c>
      <c r="R275" s="307" t="s">
        <v>724</v>
      </c>
      <c r="S275" s="300">
        <v>21</v>
      </c>
      <c r="T275" s="301">
        <v>1</v>
      </c>
      <c r="U275" s="308">
        <f>BD.PD[[#This Row],[Av.P1 '[%']]]*BD.PD[[#This Row],[Ppto. Orden Interna '[DOP']]]</f>
        <v>16288</v>
      </c>
      <c r="V275" s="303"/>
      <c r="W275" s="304"/>
      <c r="X275" s="308">
        <f>BD.PD[[#This Row],[Av.P2 '[%']]]*BD.PD[[#This Row],[Ppto. Orden Interna '[DOP']]]</f>
        <v>0</v>
      </c>
      <c r="Y275" s="303"/>
      <c r="Z275" s="304"/>
      <c r="AA275" s="308">
        <f>BD.PD[[#This Row],[Av.P3 '[%']]]*BD.PD[[#This Row],[Ppto. Orden Interna '[DOP']]]</f>
        <v>0</v>
      </c>
      <c r="AB275" s="303"/>
      <c r="AC275" s="304"/>
      <c r="AD275" s="308">
        <f>BD.PD[[#This Row],[Av.P4 '[%']]]*BD.PD[[#This Row],[Ppto. Orden Interna '[DOP']]]</f>
        <v>0</v>
      </c>
      <c r="AE275" s="303"/>
      <c r="AF275" s="304"/>
      <c r="AG275" s="308">
        <f>BD.PD[[#This Row],[Av.P5 '[%']]]*BD.PD[[#This Row],[Ppto. Orden Interna '[DOP']]]</f>
        <v>0</v>
      </c>
      <c r="AH275" s="305">
        <f>BD.PD[[#This Row],[Pago 5]]+BD.PD[[#This Row],[Pago 4]]+BD.PD[[#This Row],[Pago 3]]+BD.PD[[#This Row],[Pago 2]]+BD.PD[[#This Row],[Pago 1]]</f>
        <v>16288</v>
      </c>
      <c r="AI275" s="404"/>
      <c r="IB275" s="275"/>
    </row>
    <row r="276" spans="1:236" ht="15" customHeight="1" x14ac:dyDescent="0.3">
      <c r="A276" s="231">
        <v>8.0500000000000007</v>
      </c>
      <c r="B276" s="288"/>
      <c r="C276" s="289" t="str">
        <f>VLOOKUP(BD.PD[[#This Row],[Pos]],PPto[],3,FALSE)</f>
        <v>8.05 Mobiliario no operacional para Tiendas</v>
      </c>
      <c r="D276" s="231" t="s">
        <v>22</v>
      </c>
      <c r="E276" s="291" t="str">
        <f>IF(BD.PD[[#This Row],[.]]="*",VLOOKUP(BD.PD[[#This Row],[Pos]],Presupuesto!A:H,7,FALSE),"")</f>
        <v/>
      </c>
      <c r="F276" s="383" t="s">
        <v>327</v>
      </c>
      <c r="G276" s="292" t="s">
        <v>578</v>
      </c>
      <c r="H276" s="358">
        <v>45921</v>
      </c>
      <c r="I276" s="359">
        <v>1</v>
      </c>
      <c r="J276" s="231" t="s">
        <v>581</v>
      </c>
      <c r="K276" s="294">
        <f>IF(BD.PD[[#This Row],[Mon]]="DOP",1,HLOOKUP(BD.PD[[#This Row],[Mon]],$J$1:$K$2,2,FALSE))</f>
        <v>1</v>
      </c>
      <c r="L276" s="360">
        <v>16000</v>
      </c>
      <c r="M276" s="296">
        <f>BD.PD[[#This Row],[Cant.]]*BD.PD[[#This Row],[ Tasa ]]*BD.PD[[#This Row],[ Precio Und.]]</f>
        <v>16000</v>
      </c>
      <c r="N276" s="361">
        <v>0</v>
      </c>
      <c r="O276" s="296">
        <f>IF(BD.PD[[#This Row],[Liquid. '[%']]]&lt;&gt;0,(BD.PD[[#This Row],[Valor Neto '[DOP']]]*BD.PD[[#This Row],[Liquid. '[%']]])+BD.PD[[#This Row],[Valor Neto '[DOP']]],BD.PD[[#This Row],[Valor Neto '[DOP']]])</f>
        <v>16000</v>
      </c>
      <c r="P276" s="306">
        <f>BD.PD[[#This Row],[Ppto. Orden Interna '[DOP']]]/HLOOKUP("USD",$J$1:$K$2,2,FALSE)</f>
        <v>253.96825396825398</v>
      </c>
      <c r="Q276" s="299" t="s">
        <v>723</v>
      </c>
      <c r="R276" s="307" t="s">
        <v>724</v>
      </c>
      <c r="S276" s="300">
        <v>21</v>
      </c>
      <c r="T276" s="301">
        <v>1</v>
      </c>
      <c r="U276" s="308">
        <f>BD.PD[[#This Row],[Av.P1 '[%']]]*BD.PD[[#This Row],[Ppto. Orden Interna '[DOP']]]</f>
        <v>16000</v>
      </c>
      <c r="V276" s="303"/>
      <c r="W276" s="304"/>
      <c r="X276" s="308">
        <f>BD.PD[[#This Row],[Av.P2 '[%']]]*BD.PD[[#This Row],[Ppto. Orden Interna '[DOP']]]</f>
        <v>0</v>
      </c>
      <c r="Y276" s="303"/>
      <c r="Z276" s="304"/>
      <c r="AA276" s="308">
        <f>BD.PD[[#This Row],[Av.P3 '[%']]]*BD.PD[[#This Row],[Ppto. Orden Interna '[DOP']]]</f>
        <v>0</v>
      </c>
      <c r="AB276" s="303"/>
      <c r="AC276" s="304"/>
      <c r="AD276" s="308">
        <f>BD.PD[[#This Row],[Av.P4 '[%']]]*BD.PD[[#This Row],[Ppto. Orden Interna '[DOP']]]</f>
        <v>0</v>
      </c>
      <c r="AE276" s="303"/>
      <c r="AF276" s="304"/>
      <c r="AG276" s="308">
        <f>BD.PD[[#This Row],[Av.P5 '[%']]]*BD.PD[[#This Row],[Ppto. Orden Interna '[DOP']]]</f>
        <v>0</v>
      </c>
      <c r="AH276" s="305">
        <f>BD.PD[[#This Row],[Pago 5]]+BD.PD[[#This Row],[Pago 4]]+BD.PD[[#This Row],[Pago 3]]+BD.PD[[#This Row],[Pago 2]]+BD.PD[[#This Row],[Pago 1]]</f>
        <v>16000</v>
      </c>
      <c r="AI276" s="404"/>
      <c r="IB276" s="275"/>
    </row>
    <row r="277" spans="1:236" ht="15" customHeight="1" x14ac:dyDescent="0.3">
      <c r="A277" s="231">
        <v>8.0500000000000007</v>
      </c>
      <c r="B277" s="288"/>
      <c r="C277" s="289" t="str">
        <f>VLOOKUP(BD.PD[[#This Row],[Pos]],PPto[],3,FALSE)</f>
        <v>8.05 Mobiliario no operacional para Tiendas</v>
      </c>
      <c r="D277" s="231" t="s">
        <v>22</v>
      </c>
      <c r="E277" s="291" t="str">
        <f>IF(BD.PD[[#This Row],[.]]="*",VLOOKUP(BD.PD[[#This Row],[Pos]],Presupuesto!A:H,7,FALSE),"")</f>
        <v/>
      </c>
      <c r="F277" s="383" t="s">
        <v>326</v>
      </c>
      <c r="G277" s="292" t="s">
        <v>578</v>
      </c>
      <c r="H277" s="358">
        <v>45921</v>
      </c>
      <c r="I277" s="359">
        <v>14</v>
      </c>
      <c r="J277" s="231" t="s">
        <v>581</v>
      </c>
      <c r="K277" s="294">
        <f>IF(BD.PD[[#This Row],[Mon]]="DOP",1,HLOOKUP(BD.PD[[#This Row],[Mon]],$J$1:$K$2,2,FALSE))</f>
        <v>1</v>
      </c>
      <c r="L277" s="360">
        <v>13500</v>
      </c>
      <c r="M277" s="296">
        <f>BD.PD[[#This Row],[Cant.]]*BD.PD[[#This Row],[ Tasa ]]*BD.PD[[#This Row],[ Precio Und.]]</f>
        <v>189000</v>
      </c>
      <c r="N277" s="361">
        <v>0</v>
      </c>
      <c r="O277" s="296">
        <f>IF(BD.PD[[#This Row],[Liquid. '[%']]]&lt;&gt;0,(BD.PD[[#This Row],[Valor Neto '[DOP']]]*BD.PD[[#This Row],[Liquid. '[%']]])+BD.PD[[#This Row],[Valor Neto '[DOP']]],BD.PD[[#This Row],[Valor Neto '[DOP']]])</f>
        <v>189000</v>
      </c>
      <c r="P277" s="306">
        <f>BD.PD[[#This Row],[Ppto. Orden Interna '[DOP']]]/HLOOKUP("USD",$J$1:$K$2,2,FALSE)</f>
        <v>3000</v>
      </c>
      <c r="Q277" s="299" t="s">
        <v>723</v>
      </c>
      <c r="R277" s="307" t="s">
        <v>724</v>
      </c>
      <c r="S277" s="300">
        <v>21</v>
      </c>
      <c r="T277" s="301">
        <v>1</v>
      </c>
      <c r="U277" s="308">
        <f>BD.PD[[#This Row],[Av.P1 '[%']]]*BD.PD[[#This Row],[Ppto. Orden Interna '[DOP']]]</f>
        <v>189000</v>
      </c>
      <c r="V277" s="303"/>
      <c r="W277" s="304"/>
      <c r="X277" s="308">
        <f>BD.PD[[#This Row],[Av.P2 '[%']]]*BD.PD[[#This Row],[Ppto. Orden Interna '[DOP']]]</f>
        <v>0</v>
      </c>
      <c r="Y277" s="303"/>
      <c r="Z277" s="304"/>
      <c r="AA277" s="308">
        <f>BD.PD[[#This Row],[Av.P3 '[%']]]*BD.PD[[#This Row],[Ppto. Orden Interna '[DOP']]]</f>
        <v>0</v>
      </c>
      <c r="AB277" s="303"/>
      <c r="AC277" s="304"/>
      <c r="AD277" s="308">
        <f>BD.PD[[#This Row],[Av.P4 '[%']]]*BD.PD[[#This Row],[Ppto. Orden Interna '[DOP']]]</f>
        <v>0</v>
      </c>
      <c r="AE277" s="303"/>
      <c r="AF277" s="304"/>
      <c r="AG277" s="308">
        <f>BD.PD[[#This Row],[Av.P5 '[%']]]*BD.PD[[#This Row],[Ppto. Orden Interna '[DOP']]]</f>
        <v>0</v>
      </c>
      <c r="AH277" s="305">
        <f>BD.PD[[#This Row],[Pago 5]]+BD.PD[[#This Row],[Pago 4]]+BD.PD[[#This Row],[Pago 3]]+BD.PD[[#This Row],[Pago 2]]+BD.PD[[#This Row],[Pago 1]]</f>
        <v>189000</v>
      </c>
      <c r="AI277" s="404"/>
      <c r="IB277" s="275"/>
    </row>
    <row r="278" spans="1:236" ht="15" customHeight="1" x14ac:dyDescent="0.3">
      <c r="A278" s="231">
        <v>8.0500000000000007</v>
      </c>
      <c r="B278" s="288"/>
      <c r="C278" s="289" t="str">
        <f>VLOOKUP(BD.PD[[#This Row],[Pos]],PPto[],3,FALSE)</f>
        <v>8.05 Mobiliario no operacional para Tiendas</v>
      </c>
      <c r="D278" s="231" t="s">
        <v>22</v>
      </c>
      <c r="E278" s="291" t="str">
        <f>IF(BD.PD[[#This Row],[.]]="*",VLOOKUP(BD.PD[[#This Row],[Pos]],Presupuesto!A:H,7,FALSE),"")</f>
        <v/>
      </c>
      <c r="F278" s="383" t="s">
        <v>336</v>
      </c>
      <c r="G278" s="292" t="s">
        <v>578</v>
      </c>
      <c r="H278" s="358">
        <v>45921</v>
      </c>
      <c r="I278" s="359">
        <v>1</v>
      </c>
      <c r="J278" s="231" t="s">
        <v>581</v>
      </c>
      <c r="K278" s="294">
        <f>IF(BD.PD[[#This Row],[Mon]]="DOP",1,HLOOKUP(BD.PD[[#This Row],[Mon]],$J$1:$K$2,2,FALSE))</f>
        <v>1</v>
      </c>
      <c r="L278" s="360">
        <v>19049.52</v>
      </c>
      <c r="M278" s="296">
        <f>BD.PD[[#This Row],[Cant.]]*BD.PD[[#This Row],[ Tasa ]]*BD.PD[[#This Row],[ Precio Und.]]</f>
        <v>19049.52</v>
      </c>
      <c r="N278" s="361">
        <v>0</v>
      </c>
      <c r="O278" s="296">
        <f>IF(BD.PD[[#This Row],[Liquid. '[%']]]&lt;&gt;0,(BD.PD[[#This Row],[Valor Neto '[DOP']]]*BD.PD[[#This Row],[Liquid. '[%']]])+BD.PD[[#This Row],[Valor Neto '[DOP']]],BD.PD[[#This Row],[Valor Neto '[DOP']]])</f>
        <v>19049.52</v>
      </c>
      <c r="P278" s="306">
        <f>BD.PD[[#This Row],[Ppto. Orden Interna '[DOP']]]/HLOOKUP("USD",$J$1:$K$2,2,FALSE)</f>
        <v>302.37333333333333</v>
      </c>
      <c r="Q278" s="299" t="s">
        <v>725</v>
      </c>
      <c r="R278" s="307" t="s">
        <v>726</v>
      </c>
      <c r="S278" s="300">
        <v>21</v>
      </c>
      <c r="T278" s="301">
        <v>1</v>
      </c>
      <c r="U278" s="308">
        <f>BD.PD[[#This Row],[Av.P1 '[%']]]*BD.PD[[#This Row],[Ppto. Orden Interna '[DOP']]]</f>
        <v>19049.52</v>
      </c>
      <c r="V278" s="303"/>
      <c r="W278" s="304"/>
      <c r="X278" s="308">
        <f>BD.PD[[#This Row],[Av.P2 '[%']]]*BD.PD[[#This Row],[Ppto. Orden Interna '[DOP']]]</f>
        <v>0</v>
      </c>
      <c r="Y278" s="303"/>
      <c r="Z278" s="304"/>
      <c r="AA278" s="308">
        <f>BD.PD[[#This Row],[Av.P3 '[%']]]*BD.PD[[#This Row],[Ppto. Orden Interna '[DOP']]]</f>
        <v>0</v>
      </c>
      <c r="AB278" s="303"/>
      <c r="AC278" s="304"/>
      <c r="AD278" s="308">
        <f>BD.PD[[#This Row],[Av.P4 '[%']]]*BD.PD[[#This Row],[Ppto. Orden Interna '[DOP']]]</f>
        <v>0</v>
      </c>
      <c r="AE278" s="303"/>
      <c r="AF278" s="304"/>
      <c r="AG278" s="308">
        <f>BD.PD[[#This Row],[Av.P5 '[%']]]*BD.PD[[#This Row],[Ppto. Orden Interna '[DOP']]]</f>
        <v>0</v>
      </c>
      <c r="AH278" s="305">
        <f>BD.PD[[#This Row],[Pago 5]]+BD.PD[[#This Row],[Pago 4]]+BD.PD[[#This Row],[Pago 3]]+BD.PD[[#This Row],[Pago 2]]+BD.PD[[#This Row],[Pago 1]]</f>
        <v>19049.52</v>
      </c>
      <c r="AI278" s="404"/>
      <c r="IB278" s="275"/>
    </row>
    <row r="279" spans="1:236" ht="15" customHeight="1" x14ac:dyDescent="0.3">
      <c r="A279" s="231">
        <v>8.0500000000000007</v>
      </c>
      <c r="B279" s="288"/>
      <c r="C279" s="289" t="str">
        <f>VLOOKUP(BD.PD[[#This Row],[Pos]],PPto[],3,FALSE)</f>
        <v>8.05 Mobiliario no operacional para Tiendas</v>
      </c>
      <c r="D279" s="231" t="s">
        <v>22</v>
      </c>
      <c r="E279" s="291" t="str">
        <f>IF(BD.PD[[#This Row],[.]]="*",VLOOKUP(BD.PD[[#This Row],[Pos]],Presupuesto!A:H,7,FALSE),"")</f>
        <v/>
      </c>
      <c r="F279" s="383" t="s">
        <v>333</v>
      </c>
      <c r="G279" s="292">
        <v>4512922387</v>
      </c>
      <c r="H279" s="358">
        <v>46140</v>
      </c>
      <c r="I279" s="359">
        <v>1</v>
      </c>
      <c r="J279" s="231" t="s">
        <v>581</v>
      </c>
      <c r="K279" s="294">
        <f>IF(BD.PD[[#This Row],[Mon]]="DOP",1,HLOOKUP(BD.PD[[#This Row],[Mon]],$J$1:$K$2,2,FALSE))</f>
        <v>1</v>
      </c>
      <c r="L279" s="360">
        <v>1138500</v>
      </c>
      <c r="M279" s="296">
        <f>BD.PD[[#This Row],[Cant.]]*BD.PD[[#This Row],[ Tasa ]]*BD.PD[[#This Row],[ Precio Und.]]</f>
        <v>1138500</v>
      </c>
      <c r="N279" s="361">
        <v>0</v>
      </c>
      <c r="O279" s="296">
        <f>IF(BD.PD[[#This Row],[Liquid. '[%']]]&lt;&gt;0,(BD.PD[[#This Row],[Valor Neto '[DOP']]]*BD.PD[[#This Row],[Liquid. '[%']]])+BD.PD[[#This Row],[Valor Neto '[DOP']]],BD.PD[[#This Row],[Valor Neto '[DOP']]])</f>
        <v>1138500</v>
      </c>
      <c r="P279" s="306">
        <f>BD.PD[[#This Row],[Ppto. Orden Interna '[DOP']]]/HLOOKUP("USD",$J$1:$K$2,2,FALSE)</f>
        <v>18071.428571428572</v>
      </c>
      <c r="Q279" s="299" t="s">
        <v>727</v>
      </c>
      <c r="R279" s="307" t="s">
        <v>728</v>
      </c>
      <c r="S279" s="300">
        <v>19</v>
      </c>
      <c r="T279" s="301">
        <v>0.5</v>
      </c>
      <c r="U279" s="308">
        <f>BD.PD[[#This Row],[Av.P1 '[%']]]*BD.PD[[#This Row],[Ppto. Orden Interna '[DOP']]]</f>
        <v>569250</v>
      </c>
      <c r="V279" s="303">
        <v>22</v>
      </c>
      <c r="W279" s="304">
        <v>0.5</v>
      </c>
      <c r="X279" s="308">
        <f>BD.PD[[#This Row],[Av.P2 '[%']]]*BD.PD[[#This Row],[Ppto. Orden Interna '[DOP']]]</f>
        <v>569250</v>
      </c>
      <c r="Y279" s="303"/>
      <c r="Z279" s="304"/>
      <c r="AA279" s="308">
        <f>BD.PD[[#This Row],[Av.P3 '[%']]]*BD.PD[[#This Row],[Ppto. Orden Interna '[DOP']]]</f>
        <v>0</v>
      </c>
      <c r="AB279" s="303"/>
      <c r="AC279" s="304"/>
      <c r="AD279" s="308">
        <f>BD.PD[[#This Row],[Av.P4 '[%']]]*BD.PD[[#This Row],[Ppto. Orden Interna '[DOP']]]</f>
        <v>0</v>
      </c>
      <c r="AE279" s="303"/>
      <c r="AF279" s="304"/>
      <c r="AG279" s="308">
        <f>BD.PD[[#This Row],[Av.P5 '[%']]]*BD.PD[[#This Row],[Ppto. Orden Interna '[DOP']]]</f>
        <v>0</v>
      </c>
      <c r="AH279" s="305">
        <f>BD.PD[[#This Row],[Pago 5]]+BD.PD[[#This Row],[Pago 4]]+BD.PD[[#This Row],[Pago 3]]+BD.PD[[#This Row],[Pago 2]]+BD.PD[[#This Row],[Pago 1]]</f>
        <v>1138500</v>
      </c>
      <c r="AI279" s="404"/>
      <c r="IB279" s="275"/>
    </row>
    <row r="280" spans="1:236" ht="15" customHeight="1" x14ac:dyDescent="0.3">
      <c r="A280" s="231">
        <v>8.0500000000000007</v>
      </c>
      <c r="B280" s="288"/>
      <c r="C280" s="289" t="str">
        <f>VLOOKUP(BD.PD[[#This Row],[Pos]],PPto[],3,FALSE)</f>
        <v>8.05 Mobiliario no operacional para Tiendas</v>
      </c>
      <c r="D280" s="231" t="s">
        <v>22</v>
      </c>
      <c r="E280" s="291" t="str">
        <f>IF(BD.PD[[#This Row],[.]]="*",VLOOKUP(BD.PD[[#This Row],[Pos]],Presupuesto!A:H,7,FALSE),"")</f>
        <v/>
      </c>
      <c r="F280" s="383" t="s">
        <v>313</v>
      </c>
      <c r="G280" s="292">
        <v>4512925858</v>
      </c>
      <c r="H280" s="358">
        <v>45921</v>
      </c>
      <c r="I280" s="359">
        <v>1</v>
      </c>
      <c r="J280" s="231" t="s">
        <v>581</v>
      </c>
      <c r="K280" s="294">
        <f>IF(BD.PD[[#This Row],[Mon]]="DOP",1,HLOOKUP(BD.PD[[#This Row],[Mon]],$J$1:$K$2,2,FALSE))</f>
        <v>1</v>
      </c>
      <c r="L280" s="360">
        <v>37718.239999999998</v>
      </c>
      <c r="M280" s="296">
        <f>BD.PD[[#This Row],[Cant.]]*BD.PD[[#This Row],[ Tasa ]]*BD.PD[[#This Row],[ Precio Und.]]</f>
        <v>37718.239999999998</v>
      </c>
      <c r="N280" s="361">
        <v>0</v>
      </c>
      <c r="O280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0" s="306">
        <f>BD.PD[[#This Row],[Ppto. Orden Interna '[DOP']]]/HLOOKUP("USD",$J$1:$K$2,2,FALSE)</f>
        <v>598.70222222222219</v>
      </c>
      <c r="Q280" s="299" t="s">
        <v>729</v>
      </c>
      <c r="R280" s="307" t="s">
        <v>728</v>
      </c>
      <c r="S280" s="300">
        <v>19</v>
      </c>
      <c r="T280" s="301">
        <v>0.5</v>
      </c>
      <c r="U280" s="308">
        <f>BD.PD[[#This Row],[Av.P1 '[%']]]*BD.PD[[#This Row],[Ppto. Orden Interna '[DOP']]]</f>
        <v>18859.12</v>
      </c>
      <c r="V280" s="303">
        <v>22</v>
      </c>
      <c r="W280" s="304">
        <v>0.5</v>
      </c>
      <c r="X280" s="308">
        <f>BD.PD[[#This Row],[Av.P2 '[%']]]*BD.PD[[#This Row],[Ppto. Orden Interna '[DOP']]]</f>
        <v>18859.12</v>
      </c>
      <c r="Y280" s="303"/>
      <c r="Z280" s="304"/>
      <c r="AA280" s="308">
        <f>BD.PD[[#This Row],[Av.P3 '[%']]]*BD.PD[[#This Row],[Ppto. Orden Interna '[DOP']]]</f>
        <v>0</v>
      </c>
      <c r="AB280" s="303"/>
      <c r="AC280" s="304"/>
      <c r="AD280" s="308">
        <f>BD.PD[[#This Row],[Av.P4 '[%']]]*BD.PD[[#This Row],[Ppto. Orden Interna '[DOP']]]</f>
        <v>0</v>
      </c>
      <c r="AE280" s="303"/>
      <c r="AF280" s="304"/>
      <c r="AG280" s="308">
        <f>BD.PD[[#This Row],[Av.P5 '[%']]]*BD.PD[[#This Row],[Ppto. Orden Interna '[DOP']]]</f>
        <v>0</v>
      </c>
      <c r="AH280" s="305">
        <f>BD.PD[[#This Row],[Pago 5]]+BD.PD[[#This Row],[Pago 4]]+BD.PD[[#This Row],[Pago 3]]+BD.PD[[#This Row],[Pago 2]]+BD.PD[[#This Row],[Pago 1]]</f>
        <v>37718.239999999998</v>
      </c>
      <c r="AI280" s="404"/>
      <c r="IB280" s="275"/>
    </row>
    <row r="281" spans="1:236" ht="15" customHeight="1" x14ac:dyDescent="0.3">
      <c r="A281" s="231">
        <v>8.0500000000000007</v>
      </c>
      <c r="B281" s="288"/>
      <c r="C281" s="289" t="str">
        <f>VLOOKUP(BD.PD[[#This Row],[Pos]],PPto[],3,FALSE)</f>
        <v>8.05 Mobiliario no operacional para Tiendas</v>
      </c>
      <c r="D281" s="231" t="s">
        <v>22</v>
      </c>
      <c r="E281" s="291" t="str">
        <f>IF(BD.PD[[#This Row],[.]]="*",VLOOKUP(BD.PD[[#This Row],[Pos]],Presupuesto!A:H,7,FALSE),"")</f>
        <v/>
      </c>
      <c r="F281" s="383" t="s">
        <v>320</v>
      </c>
      <c r="G281" s="292">
        <v>4512925858</v>
      </c>
      <c r="H281" s="358">
        <v>45921</v>
      </c>
      <c r="I281" s="359">
        <v>1</v>
      </c>
      <c r="J281" s="231" t="s">
        <v>581</v>
      </c>
      <c r="K281" s="294">
        <f>IF(BD.PD[[#This Row],[Mon]]="DOP",1,HLOOKUP(BD.PD[[#This Row],[Mon]],$J$1:$K$2,2,FALSE))</f>
        <v>1</v>
      </c>
      <c r="L281" s="360">
        <v>58496.2</v>
      </c>
      <c r="M281" s="296">
        <f>BD.PD[[#This Row],[Cant.]]*BD.PD[[#This Row],[ Tasa ]]*BD.PD[[#This Row],[ Precio Und.]]</f>
        <v>58496.2</v>
      </c>
      <c r="N281" s="361">
        <v>0</v>
      </c>
      <c r="O281" s="296">
        <f>IF(BD.PD[[#This Row],[Liquid. '[%']]]&lt;&gt;0,(BD.PD[[#This Row],[Valor Neto '[DOP']]]*BD.PD[[#This Row],[Liquid. '[%']]])+BD.PD[[#This Row],[Valor Neto '[DOP']]],BD.PD[[#This Row],[Valor Neto '[DOP']]])</f>
        <v>58496.2</v>
      </c>
      <c r="P281" s="306">
        <f>BD.PD[[#This Row],[Ppto. Orden Interna '[DOP']]]/HLOOKUP("USD",$J$1:$K$2,2,FALSE)</f>
        <v>928.51111111111106</v>
      </c>
      <c r="Q281" s="299" t="s">
        <v>729</v>
      </c>
      <c r="R281" s="307" t="s">
        <v>728</v>
      </c>
      <c r="S281" s="300">
        <v>19</v>
      </c>
      <c r="T281" s="301">
        <v>0.5</v>
      </c>
      <c r="U281" s="308">
        <f>BD.PD[[#This Row],[Av.P1 '[%']]]*BD.PD[[#This Row],[Ppto. Orden Interna '[DOP']]]</f>
        <v>29248.1</v>
      </c>
      <c r="V281" s="303">
        <v>22</v>
      </c>
      <c r="W281" s="304">
        <v>0.5</v>
      </c>
      <c r="X281" s="308">
        <f>BD.PD[[#This Row],[Av.P2 '[%']]]*BD.PD[[#This Row],[Ppto. Orden Interna '[DOP']]]</f>
        <v>29248.1</v>
      </c>
      <c r="Y281" s="303"/>
      <c r="Z281" s="304"/>
      <c r="AA281" s="308">
        <f>BD.PD[[#This Row],[Av.P3 '[%']]]*BD.PD[[#This Row],[Ppto. Orden Interna '[DOP']]]</f>
        <v>0</v>
      </c>
      <c r="AB281" s="303"/>
      <c r="AC281" s="304"/>
      <c r="AD281" s="308">
        <f>BD.PD[[#This Row],[Av.P4 '[%']]]*BD.PD[[#This Row],[Ppto. Orden Interna '[DOP']]]</f>
        <v>0</v>
      </c>
      <c r="AE281" s="303"/>
      <c r="AF281" s="304"/>
      <c r="AG281" s="308">
        <f>BD.PD[[#This Row],[Av.P5 '[%']]]*BD.PD[[#This Row],[Ppto. Orden Interna '[DOP']]]</f>
        <v>0</v>
      </c>
      <c r="AH281" s="305">
        <f>BD.PD[[#This Row],[Pago 5]]+BD.PD[[#This Row],[Pago 4]]+BD.PD[[#This Row],[Pago 3]]+BD.PD[[#This Row],[Pago 2]]+BD.PD[[#This Row],[Pago 1]]</f>
        <v>58496.2</v>
      </c>
      <c r="AI281" s="404"/>
      <c r="IB281" s="275"/>
    </row>
    <row r="282" spans="1:236" ht="15" customHeight="1" x14ac:dyDescent="0.3">
      <c r="A282" s="231">
        <v>8.0500000000000007</v>
      </c>
      <c r="B282" s="288"/>
      <c r="C282" s="289" t="str">
        <f>VLOOKUP(BD.PD[[#This Row],[Pos]],PPto[],3,FALSE)</f>
        <v>8.05 Mobiliario no operacional para Tiendas</v>
      </c>
      <c r="D282" s="231" t="s">
        <v>22</v>
      </c>
      <c r="E282" s="291" t="str">
        <f>IF(BD.PD[[#This Row],[.]]="*",VLOOKUP(BD.PD[[#This Row],[Pos]],Presupuesto!A:H,7,FALSE),"")</f>
        <v/>
      </c>
      <c r="F282" s="383" t="s">
        <v>322</v>
      </c>
      <c r="G282" s="292">
        <v>4512925858</v>
      </c>
      <c r="H282" s="358">
        <v>45921</v>
      </c>
      <c r="I282" s="359">
        <v>1</v>
      </c>
      <c r="J282" s="231" t="s">
        <v>581</v>
      </c>
      <c r="K282" s="294">
        <f>IF(BD.PD[[#This Row],[Mon]]="DOP",1,HLOOKUP(BD.PD[[#This Row],[Mon]],$J$1:$K$2,2,FALSE))</f>
        <v>1</v>
      </c>
      <c r="L282" s="360">
        <v>74970</v>
      </c>
      <c r="M282" s="296">
        <f>BD.PD[[#This Row],[Cant.]]*BD.PD[[#This Row],[ Tasa ]]*BD.PD[[#This Row],[ Precio Und.]]</f>
        <v>74970</v>
      </c>
      <c r="N282" s="361">
        <v>0</v>
      </c>
      <c r="O282" s="296">
        <f>IF(BD.PD[[#This Row],[Liquid. '[%']]]&lt;&gt;0,(BD.PD[[#This Row],[Valor Neto '[DOP']]]*BD.PD[[#This Row],[Liquid. '[%']]])+BD.PD[[#This Row],[Valor Neto '[DOP']]],BD.PD[[#This Row],[Valor Neto '[DOP']]])</f>
        <v>74970</v>
      </c>
      <c r="P282" s="306">
        <f>BD.PD[[#This Row],[Ppto. Orden Interna '[DOP']]]/HLOOKUP("USD",$J$1:$K$2,2,FALSE)</f>
        <v>1190</v>
      </c>
      <c r="Q282" s="299" t="s">
        <v>729</v>
      </c>
      <c r="R282" s="307" t="s">
        <v>728</v>
      </c>
      <c r="S282" s="300">
        <v>19</v>
      </c>
      <c r="T282" s="301">
        <v>0.5</v>
      </c>
      <c r="U282" s="308">
        <f>BD.PD[[#This Row],[Av.P1 '[%']]]*BD.PD[[#This Row],[Ppto. Orden Interna '[DOP']]]</f>
        <v>37485</v>
      </c>
      <c r="V282" s="303">
        <v>22</v>
      </c>
      <c r="W282" s="304">
        <v>0.5</v>
      </c>
      <c r="X282" s="308">
        <f>BD.PD[[#This Row],[Av.P2 '[%']]]*BD.PD[[#This Row],[Ppto. Orden Interna '[DOP']]]</f>
        <v>37485</v>
      </c>
      <c r="Y282" s="303"/>
      <c r="Z282" s="304"/>
      <c r="AA282" s="308">
        <f>BD.PD[[#This Row],[Av.P3 '[%']]]*BD.PD[[#This Row],[Ppto. Orden Interna '[DOP']]]</f>
        <v>0</v>
      </c>
      <c r="AB282" s="303"/>
      <c r="AC282" s="304"/>
      <c r="AD282" s="308">
        <f>BD.PD[[#This Row],[Av.P4 '[%']]]*BD.PD[[#This Row],[Ppto. Orden Interna '[DOP']]]</f>
        <v>0</v>
      </c>
      <c r="AE282" s="303"/>
      <c r="AF282" s="304"/>
      <c r="AG282" s="308">
        <f>BD.PD[[#This Row],[Av.P5 '[%']]]*BD.PD[[#This Row],[Ppto. Orden Interna '[DOP']]]</f>
        <v>0</v>
      </c>
      <c r="AH282" s="305">
        <f>BD.PD[[#This Row],[Pago 5]]+BD.PD[[#This Row],[Pago 4]]+BD.PD[[#This Row],[Pago 3]]+BD.PD[[#This Row],[Pago 2]]+BD.PD[[#This Row],[Pago 1]]</f>
        <v>74970</v>
      </c>
      <c r="AI282" s="404"/>
      <c r="IB282" s="275"/>
    </row>
    <row r="283" spans="1:236" ht="15" customHeight="1" x14ac:dyDescent="0.3">
      <c r="A283" s="231">
        <v>8.0500000000000007</v>
      </c>
      <c r="B283" s="288"/>
      <c r="C283" s="289" t="str">
        <f>VLOOKUP(BD.PD[[#This Row],[Pos]],PPto[],3,FALSE)</f>
        <v>8.05 Mobiliario no operacional para Tiendas</v>
      </c>
      <c r="D283" s="231" t="s">
        <v>22</v>
      </c>
      <c r="E283" s="291" t="str">
        <f>IF(BD.PD[[#This Row],[.]]="*",VLOOKUP(BD.PD[[#This Row],[Pos]],Presupuesto!A:H,7,FALSE),"")</f>
        <v/>
      </c>
      <c r="F283" s="383" t="s">
        <v>324</v>
      </c>
      <c r="G283" s="292">
        <v>4512925858</v>
      </c>
      <c r="H283" s="358">
        <v>45921</v>
      </c>
      <c r="I283" s="359">
        <v>1</v>
      </c>
      <c r="J283" s="231" t="s">
        <v>581</v>
      </c>
      <c r="K283" s="294">
        <f>IF(BD.PD[[#This Row],[Mon]]="DOP",1,HLOOKUP(BD.PD[[#This Row],[Mon]],$J$1:$K$2,2,FALSE))</f>
        <v>1</v>
      </c>
      <c r="L283" s="360">
        <v>37718.239999999998</v>
      </c>
      <c r="M283" s="296">
        <f>BD.PD[[#This Row],[Cant.]]*BD.PD[[#This Row],[ Tasa ]]*BD.PD[[#This Row],[ Precio Und.]]</f>
        <v>37718.239999999998</v>
      </c>
      <c r="N283" s="361">
        <v>0</v>
      </c>
      <c r="O283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3" s="306">
        <f>BD.PD[[#This Row],[Ppto. Orden Interna '[DOP']]]/HLOOKUP("USD",$J$1:$K$2,2,FALSE)</f>
        <v>598.70222222222219</v>
      </c>
      <c r="Q283" s="299" t="s">
        <v>729</v>
      </c>
      <c r="R283" s="307" t="s">
        <v>728</v>
      </c>
      <c r="S283" s="300">
        <v>19</v>
      </c>
      <c r="T283" s="301">
        <v>0.5</v>
      </c>
      <c r="U283" s="308">
        <f>BD.PD[[#This Row],[Av.P1 '[%']]]*BD.PD[[#This Row],[Ppto. Orden Interna '[DOP']]]</f>
        <v>18859.12</v>
      </c>
      <c r="V283" s="303">
        <v>22</v>
      </c>
      <c r="W283" s="304">
        <v>0.5</v>
      </c>
      <c r="X283" s="308">
        <f>BD.PD[[#This Row],[Av.P2 '[%']]]*BD.PD[[#This Row],[Ppto. Orden Interna '[DOP']]]</f>
        <v>18859.12</v>
      </c>
      <c r="Y283" s="303"/>
      <c r="Z283" s="304"/>
      <c r="AA283" s="308">
        <f>BD.PD[[#This Row],[Av.P3 '[%']]]*BD.PD[[#This Row],[Ppto. Orden Interna '[DOP']]]</f>
        <v>0</v>
      </c>
      <c r="AB283" s="303"/>
      <c r="AC283" s="304"/>
      <c r="AD283" s="308">
        <f>BD.PD[[#This Row],[Av.P4 '[%']]]*BD.PD[[#This Row],[Ppto. Orden Interna '[DOP']]]</f>
        <v>0</v>
      </c>
      <c r="AE283" s="303"/>
      <c r="AF283" s="304"/>
      <c r="AG283" s="308">
        <f>BD.PD[[#This Row],[Av.P5 '[%']]]*BD.PD[[#This Row],[Ppto. Orden Interna '[DOP']]]</f>
        <v>0</v>
      </c>
      <c r="AH283" s="305">
        <f>BD.PD[[#This Row],[Pago 5]]+BD.PD[[#This Row],[Pago 4]]+BD.PD[[#This Row],[Pago 3]]+BD.PD[[#This Row],[Pago 2]]+BD.PD[[#This Row],[Pago 1]]</f>
        <v>37718.239999999998</v>
      </c>
      <c r="AI283" s="404"/>
      <c r="IB283" s="275"/>
    </row>
    <row r="284" spans="1:236" ht="15" customHeight="1" x14ac:dyDescent="0.3">
      <c r="A284" s="231">
        <v>8.0500000000000007</v>
      </c>
      <c r="B284" s="288"/>
      <c r="C284" s="289" t="str">
        <f>VLOOKUP(BD.PD[[#This Row],[Pos]],PPto[],3,FALSE)</f>
        <v>8.05 Mobiliario no operacional para Tiendas</v>
      </c>
      <c r="D284" s="231" t="s">
        <v>22</v>
      </c>
      <c r="E284" s="291" t="str">
        <f>IF(BD.PD[[#This Row],[.]]="*",VLOOKUP(BD.PD[[#This Row],[Pos]],Presupuesto!A:H,7,FALSE),"")</f>
        <v/>
      </c>
      <c r="F284" s="383" t="s">
        <v>325</v>
      </c>
      <c r="G284" s="292">
        <v>4512925858</v>
      </c>
      <c r="H284" s="358">
        <v>45921</v>
      </c>
      <c r="I284" s="359">
        <v>1</v>
      </c>
      <c r="J284" s="231" t="s">
        <v>581</v>
      </c>
      <c r="K284" s="294">
        <f>IF(BD.PD[[#This Row],[Mon]]="DOP",1,HLOOKUP(BD.PD[[#This Row],[Mon]],$J$1:$K$2,2,FALSE))</f>
        <v>1</v>
      </c>
      <c r="L284" s="360">
        <v>37718.239999999998</v>
      </c>
      <c r="M284" s="296">
        <f>BD.PD[[#This Row],[Cant.]]*BD.PD[[#This Row],[ Tasa ]]*BD.PD[[#This Row],[ Precio Und.]]</f>
        <v>37718.239999999998</v>
      </c>
      <c r="N284" s="361">
        <v>0</v>
      </c>
      <c r="O284" s="296">
        <f>IF(BD.PD[[#This Row],[Liquid. '[%']]]&lt;&gt;0,(BD.PD[[#This Row],[Valor Neto '[DOP']]]*BD.PD[[#This Row],[Liquid. '[%']]])+BD.PD[[#This Row],[Valor Neto '[DOP']]],BD.PD[[#This Row],[Valor Neto '[DOP']]])</f>
        <v>37718.239999999998</v>
      </c>
      <c r="P284" s="306">
        <f>BD.PD[[#This Row],[Ppto. Orden Interna '[DOP']]]/HLOOKUP("USD",$J$1:$K$2,2,FALSE)</f>
        <v>598.70222222222219</v>
      </c>
      <c r="Q284" s="299" t="s">
        <v>729</v>
      </c>
      <c r="R284" s="307" t="s">
        <v>728</v>
      </c>
      <c r="S284" s="300">
        <v>19</v>
      </c>
      <c r="T284" s="301">
        <v>0.5</v>
      </c>
      <c r="U284" s="308">
        <f>BD.PD[[#This Row],[Av.P1 '[%']]]*BD.PD[[#This Row],[Ppto. Orden Interna '[DOP']]]</f>
        <v>18859.12</v>
      </c>
      <c r="V284" s="303">
        <v>22</v>
      </c>
      <c r="W284" s="304">
        <v>0.5</v>
      </c>
      <c r="X284" s="308">
        <f>BD.PD[[#This Row],[Av.P2 '[%']]]*BD.PD[[#This Row],[Ppto. Orden Interna '[DOP']]]</f>
        <v>18859.12</v>
      </c>
      <c r="Y284" s="303"/>
      <c r="Z284" s="304"/>
      <c r="AA284" s="308">
        <f>BD.PD[[#This Row],[Av.P3 '[%']]]*BD.PD[[#This Row],[Ppto. Orden Interna '[DOP']]]</f>
        <v>0</v>
      </c>
      <c r="AB284" s="303"/>
      <c r="AC284" s="304"/>
      <c r="AD284" s="308">
        <f>BD.PD[[#This Row],[Av.P4 '[%']]]*BD.PD[[#This Row],[Ppto. Orden Interna '[DOP']]]</f>
        <v>0</v>
      </c>
      <c r="AE284" s="303"/>
      <c r="AF284" s="304"/>
      <c r="AG284" s="308">
        <f>BD.PD[[#This Row],[Av.P5 '[%']]]*BD.PD[[#This Row],[Ppto. Orden Interna '[DOP']]]</f>
        <v>0</v>
      </c>
      <c r="AH284" s="305">
        <f>BD.PD[[#This Row],[Pago 5]]+BD.PD[[#This Row],[Pago 4]]+BD.PD[[#This Row],[Pago 3]]+BD.PD[[#This Row],[Pago 2]]+BD.PD[[#This Row],[Pago 1]]</f>
        <v>37718.239999999998</v>
      </c>
      <c r="AI284" s="404"/>
      <c r="IB284" s="275"/>
    </row>
    <row r="285" spans="1:236" ht="15" customHeight="1" x14ac:dyDescent="0.3">
      <c r="A285" s="231">
        <v>8.0500000000000007</v>
      </c>
      <c r="B285" s="288"/>
      <c r="C285" s="289" t="str">
        <f>VLOOKUP(BD.PD[[#This Row],[Pos]],PPto[],3,FALSE)</f>
        <v>8.05 Mobiliario no operacional para Tiendas</v>
      </c>
      <c r="D285" s="231" t="s">
        <v>22</v>
      </c>
      <c r="E285" s="291" t="str">
        <f>IF(BD.PD[[#This Row],[.]]="*",VLOOKUP(BD.PD[[#This Row],[Pos]],Presupuesto!A:H,7,FALSE),"")</f>
        <v/>
      </c>
      <c r="F285" s="383" t="s">
        <v>321</v>
      </c>
      <c r="G285" s="292">
        <v>4512925858</v>
      </c>
      <c r="H285" s="358">
        <v>45921</v>
      </c>
      <c r="I285" s="359">
        <v>1</v>
      </c>
      <c r="J285" s="231" t="s">
        <v>581</v>
      </c>
      <c r="K285" s="294">
        <f>IF(BD.PD[[#This Row],[Mon]]="DOP",1,HLOOKUP(BD.PD[[#This Row],[Mon]],$J$1:$K$2,2,FALSE))</f>
        <v>1</v>
      </c>
      <c r="L285" s="360">
        <v>33891.339999999997</v>
      </c>
      <c r="M285" s="296">
        <f>BD.PD[[#This Row],[Cant.]]*BD.PD[[#This Row],[ Tasa ]]*BD.PD[[#This Row],[ Precio Und.]]</f>
        <v>33891.339999999997</v>
      </c>
      <c r="N285" s="361">
        <v>0</v>
      </c>
      <c r="O285" s="296">
        <f>IF(BD.PD[[#This Row],[Liquid. '[%']]]&lt;&gt;0,(BD.PD[[#This Row],[Valor Neto '[DOP']]]*BD.PD[[#This Row],[Liquid. '[%']]])+BD.PD[[#This Row],[Valor Neto '[DOP']]],BD.PD[[#This Row],[Valor Neto '[DOP']]])</f>
        <v>33891.339999999997</v>
      </c>
      <c r="P285" s="306">
        <f>BD.PD[[#This Row],[Ppto. Orden Interna '[DOP']]]/HLOOKUP("USD",$J$1:$K$2,2,FALSE)</f>
        <v>537.95777777777778</v>
      </c>
      <c r="Q285" s="299" t="s">
        <v>729</v>
      </c>
      <c r="R285" s="307" t="s">
        <v>728</v>
      </c>
      <c r="S285" s="300">
        <v>19</v>
      </c>
      <c r="T285" s="301">
        <v>0.5</v>
      </c>
      <c r="U285" s="308">
        <f>BD.PD[[#This Row],[Av.P1 '[%']]]*BD.PD[[#This Row],[Ppto. Orden Interna '[DOP']]]</f>
        <v>16945.669999999998</v>
      </c>
      <c r="V285" s="303">
        <v>22</v>
      </c>
      <c r="W285" s="304">
        <v>0.5</v>
      </c>
      <c r="X285" s="308">
        <f>BD.PD[[#This Row],[Av.P2 '[%']]]*BD.PD[[#This Row],[Ppto. Orden Interna '[DOP']]]</f>
        <v>16945.669999999998</v>
      </c>
      <c r="Y285" s="303"/>
      <c r="Z285" s="304"/>
      <c r="AA285" s="308">
        <f>BD.PD[[#This Row],[Av.P3 '[%']]]*BD.PD[[#This Row],[Ppto. Orden Interna '[DOP']]]</f>
        <v>0</v>
      </c>
      <c r="AB285" s="303"/>
      <c r="AC285" s="304"/>
      <c r="AD285" s="308">
        <f>BD.PD[[#This Row],[Av.P4 '[%']]]*BD.PD[[#This Row],[Ppto. Orden Interna '[DOP']]]</f>
        <v>0</v>
      </c>
      <c r="AE285" s="303"/>
      <c r="AF285" s="304"/>
      <c r="AG285" s="308">
        <f>BD.PD[[#This Row],[Av.P5 '[%']]]*BD.PD[[#This Row],[Ppto. Orden Interna '[DOP']]]</f>
        <v>0</v>
      </c>
      <c r="AH285" s="305">
        <f>BD.PD[[#This Row],[Pago 5]]+BD.PD[[#This Row],[Pago 4]]+BD.PD[[#This Row],[Pago 3]]+BD.PD[[#This Row],[Pago 2]]+BD.PD[[#This Row],[Pago 1]]</f>
        <v>33891.339999999997</v>
      </c>
      <c r="AI285" s="404"/>
      <c r="IB285" s="275"/>
    </row>
    <row r="286" spans="1:236" ht="15" customHeight="1" x14ac:dyDescent="0.3">
      <c r="A286" s="231">
        <v>8.0500000000000007</v>
      </c>
      <c r="B286" s="288"/>
      <c r="C286" s="289" t="str">
        <f>VLOOKUP(BD.PD[[#This Row],[Pos]],PPto[],3,FALSE)</f>
        <v>8.05 Mobiliario no operacional para Tiendas</v>
      </c>
      <c r="D286" s="231" t="s">
        <v>22</v>
      </c>
      <c r="E286" s="291" t="str">
        <f>IF(BD.PD[[#This Row],[.]]="*",VLOOKUP(BD.PD[[#This Row],[Pos]],Presupuesto!A:H,7,FALSE),"")</f>
        <v/>
      </c>
      <c r="F286" s="383" t="s">
        <v>316</v>
      </c>
      <c r="G286" s="292">
        <v>4512925858</v>
      </c>
      <c r="H286" s="358">
        <v>45921</v>
      </c>
      <c r="I286" s="359">
        <v>1</v>
      </c>
      <c r="J286" s="231" t="s">
        <v>581</v>
      </c>
      <c r="K286" s="294">
        <f>IF(BD.PD[[#This Row],[Mon]]="DOP",1,HLOOKUP(BD.PD[[#This Row],[Mon]],$J$1:$K$2,2,FALSE))</f>
        <v>1</v>
      </c>
      <c r="L286" s="360">
        <v>44345</v>
      </c>
      <c r="M286" s="296">
        <f>BD.PD[[#This Row],[Cant.]]*BD.PD[[#This Row],[ Tasa ]]*BD.PD[[#This Row],[ Precio Und.]]</f>
        <v>44345</v>
      </c>
      <c r="N286" s="361">
        <v>0</v>
      </c>
      <c r="O286" s="296">
        <f>IF(BD.PD[[#This Row],[Liquid. '[%']]]&lt;&gt;0,(BD.PD[[#This Row],[Valor Neto '[DOP']]]*BD.PD[[#This Row],[Liquid. '[%']]])+BD.PD[[#This Row],[Valor Neto '[DOP']]],BD.PD[[#This Row],[Valor Neto '[DOP']]])</f>
        <v>44345</v>
      </c>
      <c r="P286" s="306">
        <f>BD.PD[[#This Row],[Ppto. Orden Interna '[DOP']]]/HLOOKUP("USD",$J$1:$K$2,2,FALSE)</f>
        <v>703.88888888888891</v>
      </c>
      <c r="Q286" s="299" t="s">
        <v>729</v>
      </c>
      <c r="R286" s="307" t="s">
        <v>728</v>
      </c>
      <c r="S286" s="300">
        <v>19</v>
      </c>
      <c r="T286" s="301">
        <v>0.5</v>
      </c>
      <c r="U286" s="308">
        <f>BD.PD[[#This Row],[Av.P1 '[%']]]*BD.PD[[#This Row],[Ppto. Orden Interna '[DOP']]]</f>
        <v>22172.5</v>
      </c>
      <c r="V286" s="303">
        <v>22</v>
      </c>
      <c r="W286" s="304">
        <v>0.5</v>
      </c>
      <c r="X286" s="308">
        <f>BD.PD[[#This Row],[Av.P2 '[%']]]*BD.PD[[#This Row],[Ppto. Orden Interna '[DOP']]]</f>
        <v>22172.5</v>
      </c>
      <c r="Y286" s="303"/>
      <c r="Z286" s="304"/>
      <c r="AA286" s="308">
        <f>BD.PD[[#This Row],[Av.P3 '[%']]]*BD.PD[[#This Row],[Ppto. Orden Interna '[DOP']]]</f>
        <v>0</v>
      </c>
      <c r="AB286" s="303"/>
      <c r="AC286" s="304"/>
      <c r="AD286" s="308">
        <f>BD.PD[[#This Row],[Av.P4 '[%']]]*BD.PD[[#This Row],[Ppto. Orden Interna '[DOP']]]</f>
        <v>0</v>
      </c>
      <c r="AE286" s="303"/>
      <c r="AF286" s="304"/>
      <c r="AG286" s="308">
        <f>BD.PD[[#This Row],[Av.P5 '[%']]]*BD.PD[[#This Row],[Ppto. Orden Interna '[DOP']]]</f>
        <v>0</v>
      </c>
      <c r="AH286" s="305">
        <f>BD.PD[[#This Row],[Pago 5]]+BD.PD[[#This Row],[Pago 4]]+BD.PD[[#This Row],[Pago 3]]+BD.PD[[#This Row],[Pago 2]]+BD.PD[[#This Row],[Pago 1]]</f>
        <v>44345</v>
      </c>
      <c r="AI286" s="404"/>
      <c r="IB286" s="275"/>
    </row>
    <row r="287" spans="1:236" ht="15" customHeight="1" x14ac:dyDescent="0.3">
      <c r="A287" s="231">
        <v>8.0500000000000007</v>
      </c>
      <c r="B287" s="288"/>
      <c r="C287" s="289" t="str">
        <f>VLOOKUP(BD.PD[[#This Row],[Pos]],PPto[],3,FALSE)</f>
        <v>8.05 Mobiliario no operacional para Tiendas</v>
      </c>
      <c r="D287" s="231" t="s">
        <v>22</v>
      </c>
      <c r="E287" s="291" t="str">
        <f>IF(BD.PD[[#This Row],[.]]="*",VLOOKUP(BD.PD[[#This Row],[Pos]],Presupuesto!A:H,7,FALSE),"")</f>
        <v/>
      </c>
      <c r="F287" s="383" t="s">
        <v>315</v>
      </c>
      <c r="G287" s="292">
        <v>4512925858</v>
      </c>
      <c r="H287" s="358">
        <v>45921</v>
      </c>
      <c r="I287" s="359">
        <v>1</v>
      </c>
      <c r="J287" s="231" t="s">
        <v>581</v>
      </c>
      <c r="K287" s="294">
        <f>IF(BD.PD[[#This Row],[Mon]]="DOP",1,HLOOKUP(BD.PD[[#This Row],[Mon]],$J$1:$K$2,2,FALSE))</f>
        <v>1</v>
      </c>
      <c r="L287" s="360">
        <v>42630</v>
      </c>
      <c r="M287" s="296">
        <f>BD.PD[[#This Row],[Cant.]]*BD.PD[[#This Row],[ Tasa ]]*BD.PD[[#This Row],[ Precio Und.]]</f>
        <v>42630</v>
      </c>
      <c r="N287" s="361">
        <v>0</v>
      </c>
      <c r="O287" s="296">
        <f>IF(BD.PD[[#This Row],[Liquid. '[%']]]&lt;&gt;0,(BD.PD[[#This Row],[Valor Neto '[DOP']]]*BD.PD[[#This Row],[Liquid. '[%']]])+BD.PD[[#This Row],[Valor Neto '[DOP']]],BD.PD[[#This Row],[Valor Neto '[DOP']]])</f>
        <v>42630</v>
      </c>
      <c r="P287" s="306">
        <f>BD.PD[[#This Row],[Ppto. Orden Interna '[DOP']]]/HLOOKUP("USD",$J$1:$K$2,2,FALSE)</f>
        <v>676.66666666666663</v>
      </c>
      <c r="Q287" s="299" t="s">
        <v>729</v>
      </c>
      <c r="R287" s="307" t="s">
        <v>728</v>
      </c>
      <c r="S287" s="300">
        <v>19</v>
      </c>
      <c r="T287" s="301">
        <v>0.5</v>
      </c>
      <c r="U287" s="308">
        <f>BD.PD[[#This Row],[Av.P1 '[%']]]*BD.PD[[#This Row],[Ppto. Orden Interna '[DOP']]]</f>
        <v>21315</v>
      </c>
      <c r="V287" s="303">
        <v>22</v>
      </c>
      <c r="W287" s="304">
        <v>0.5</v>
      </c>
      <c r="X287" s="308">
        <f>BD.PD[[#This Row],[Av.P2 '[%']]]*BD.PD[[#This Row],[Ppto. Orden Interna '[DOP']]]</f>
        <v>21315</v>
      </c>
      <c r="Y287" s="303"/>
      <c r="Z287" s="304"/>
      <c r="AA287" s="308">
        <f>BD.PD[[#This Row],[Av.P3 '[%']]]*BD.PD[[#This Row],[Ppto. Orden Interna '[DOP']]]</f>
        <v>0</v>
      </c>
      <c r="AB287" s="303"/>
      <c r="AC287" s="304"/>
      <c r="AD287" s="308">
        <f>BD.PD[[#This Row],[Av.P4 '[%']]]*BD.PD[[#This Row],[Ppto. Orden Interna '[DOP']]]</f>
        <v>0</v>
      </c>
      <c r="AE287" s="303"/>
      <c r="AF287" s="304"/>
      <c r="AG287" s="308">
        <f>BD.PD[[#This Row],[Av.P5 '[%']]]*BD.PD[[#This Row],[Ppto. Orden Interna '[DOP']]]</f>
        <v>0</v>
      </c>
      <c r="AH287" s="305">
        <f>BD.PD[[#This Row],[Pago 5]]+BD.PD[[#This Row],[Pago 4]]+BD.PD[[#This Row],[Pago 3]]+BD.PD[[#This Row],[Pago 2]]+BD.PD[[#This Row],[Pago 1]]</f>
        <v>42630</v>
      </c>
      <c r="AI287" s="404"/>
      <c r="IB287" s="275"/>
    </row>
    <row r="288" spans="1:236" ht="15" customHeight="1" x14ac:dyDescent="0.3">
      <c r="A288" s="231">
        <v>8.0500000000000007</v>
      </c>
      <c r="B288" s="288"/>
      <c r="C288" s="289" t="str">
        <f>VLOOKUP(BD.PD[[#This Row],[Pos]],PPto[],3,FALSE)</f>
        <v>8.05 Mobiliario no operacional para Tiendas</v>
      </c>
      <c r="D288" s="231" t="s">
        <v>22</v>
      </c>
      <c r="E288" s="291" t="str">
        <f>IF(BD.PD[[#This Row],[.]]="*",VLOOKUP(BD.PD[[#This Row],[Pos]],Presupuesto!A:H,7,FALSE),"")</f>
        <v/>
      </c>
      <c r="F288" s="414" t="s">
        <v>339</v>
      </c>
      <c r="G288" s="292" t="s">
        <v>578</v>
      </c>
      <c r="H288" s="358">
        <v>45921</v>
      </c>
      <c r="I288" s="359">
        <v>11</v>
      </c>
      <c r="J288" s="231" t="s">
        <v>581</v>
      </c>
      <c r="K288" s="294">
        <f>IF(BD.PD[[#This Row],[Mon]]="DOP",1,HLOOKUP(BD.PD[[#This Row],[Mon]],$J$1:$K$2,2,FALSE))</f>
        <v>1</v>
      </c>
      <c r="L288" s="360">
        <v>8785.6</v>
      </c>
      <c r="M288" s="296">
        <f>BD.PD[[#This Row],[Cant.]]*BD.PD[[#This Row],[ Tasa ]]*BD.PD[[#This Row],[ Precio Und.]]</f>
        <v>96641.600000000006</v>
      </c>
      <c r="N288" s="361">
        <v>0</v>
      </c>
      <c r="O288" s="296">
        <f>IF(BD.PD[[#This Row],[Liquid. '[%']]]&lt;&gt;0,(BD.PD[[#This Row],[Valor Neto '[DOP']]]*BD.PD[[#This Row],[Liquid. '[%']]])+BD.PD[[#This Row],[Valor Neto '[DOP']]],BD.PD[[#This Row],[Valor Neto '[DOP']]])</f>
        <v>96641.600000000006</v>
      </c>
      <c r="P288" s="306">
        <f>BD.PD[[#This Row],[Ppto. Orden Interna '[DOP']]]/HLOOKUP("USD",$J$1:$K$2,2,FALSE)</f>
        <v>1533.9936507936509</v>
      </c>
      <c r="Q288" s="299" t="s">
        <v>727</v>
      </c>
      <c r="R288" s="307"/>
      <c r="S288" s="300">
        <v>22</v>
      </c>
      <c r="T288" s="301">
        <v>0.5</v>
      </c>
      <c r="U288" s="308">
        <f>BD.PD[[#This Row],[Av.P1 '[%']]]*BD.PD[[#This Row],[Ppto. Orden Interna '[DOP']]]</f>
        <v>48320.800000000003</v>
      </c>
      <c r="V288" s="303">
        <v>24</v>
      </c>
      <c r="W288" s="304">
        <v>0.5</v>
      </c>
      <c r="X288" s="308">
        <f>BD.PD[[#This Row],[Av.P2 '[%']]]*BD.PD[[#This Row],[Ppto. Orden Interna '[DOP']]]</f>
        <v>48320.800000000003</v>
      </c>
      <c r="Y288" s="303"/>
      <c r="Z288" s="304"/>
      <c r="AA288" s="308">
        <f>BD.PD[[#This Row],[Av.P3 '[%']]]*BD.PD[[#This Row],[Ppto. Orden Interna '[DOP']]]</f>
        <v>0</v>
      </c>
      <c r="AB288" s="303"/>
      <c r="AC288" s="304"/>
      <c r="AD288" s="308">
        <f>BD.PD[[#This Row],[Av.P4 '[%']]]*BD.PD[[#This Row],[Ppto. Orden Interna '[DOP']]]</f>
        <v>0</v>
      </c>
      <c r="AE288" s="303"/>
      <c r="AF288" s="304"/>
      <c r="AG288" s="308">
        <f>BD.PD[[#This Row],[Av.P5 '[%']]]*BD.PD[[#This Row],[Ppto. Orden Interna '[DOP']]]</f>
        <v>0</v>
      </c>
      <c r="AH288" s="305">
        <f>BD.PD[[#This Row],[Pago 5]]+BD.PD[[#This Row],[Pago 4]]+BD.PD[[#This Row],[Pago 3]]+BD.PD[[#This Row],[Pago 2]]+BD.PD[[#This Row],[Pago 1]]</f>
        <v>96641.600000000006</v>
      </c>
      <c r="AI288" s="404"/>
      <c r="IB288" s="275"/>
    </row>
    <row r="289" spans="1:236" ht="15" customHeight="1" x14ac:dyDescent="0.3">
      <c r="A289" s="231">
        <v>8.0500000000000007</v>
      </c>
      <c r="B289" s="288"/>
      <c r="C289" s="289" t="str">
        <f>VLOOKUP(BD.PD[[#This Row],[Pos]],PPto[],3,FALSE)</f>
        <v>8.05 Mobiliario no operacional para Tiendas</v>
      </c>
      <c r="D289" s="231" t="s">
        <v>22</v>
      </c>
      <c r="E289" s="291" t="str">
        <f>IF(BD.PD[[#This Row],[.]]="*",VLOOKUP(BD.PD[[#This Row],[Pos]],Presupuesto!A:H,7,FALSE),"")</f>
        <v/>
      </c>
      <c r="F289" s="383" t="s">
        <v>308</v>
      </c>
      <c r="G289" s="292" t="s">
        <v>578</v>
      </c>
      <c r="H289" s="358">
        <v>45921</v>
      </c>
      <c r="I289" s="359">
        <v>1</v>
      </c>
      <c r="J289" s="231" t="s">
        <v>581</v>
      </c>
      <c r="K289" s="294">
        <f>IF(BD.PD[[#This Row],[Mon]]="DOP",1,HLOOKUP(BD.PD[[#This Row],[Mon]],$J$1:$K$2,2,FALSE))</f>
        <v>1</v>
      </c>
      <c r="L289" s="360">
        <v>9893.11</v>
      </c>
      <c r="M289" s="296">
        <f>BD.PD[[#This Row],[Cant.]]*BD.PD[[#This Row],[ Tasa ]]*BD.PD[[#This Row],[ Precio Und.]]</f>
        <v>9893.11</v>
      </c>
      <c r="N289" s="361">
        <v>0</v>
      </c>
      <c r="O289" s="296">
        <f>IF(BD.PD[[#This Row],[Liquid. '[%']]]&lt;&gt;0,(BD.PD[[#This Row],[Valor Neto '[DOP']]]*BD.PD[[#This Row],[Liquid. '[%']]])+BD.PD[[#This Row],[Valor Neto '[DOP']]],BD.PD[[#This Row],[Valor Neto '[DOP']]])</f>
        <v>9893.11</v>
      </c>
      <c r="P289" s="306">
        <f>BD.PD[[#This Row],[Ppto. Orden Interna '[DOP']]]/HLOOKUP("USD",$J$1:$K$2,2,FALSE)</f>
        <v>157.03349206349208</v>
      </c>
      <c r="Q289" s="299" t="s">
        <v>729</v>
      </c>
      <c r="R289" s="307" t="s">
        <v>728</v>
      </c>
      <c r="S289" s="300">
        <v>22</v>
      </c>
      <c r="T289" s="301">
        <v>0.5</v>
      </c>
      <c r="U289" s="308">
        <f>BD.PD[[#This Row],[Av.P1 '[%']]]*BD.PD[[#This Row],[Ppto. Orden Interna '[DOP']]]</f>
        <v>4946.5550000000003</v>
      </c>
      <c r="V289" s="303">
        <v>24</v>
      </c>
      <c r="W289" s="304">
        <v>0.5</v>
      </c>
      <c r="X289" s="308">
        <f>BD.PD[[#This Row],[Av.P2 '[%']]]*BD.PD[[#This Row],[Ppto. Orden Interna '[DOP']]]</f>
        <v>4946.5550000000003</v>
      </c>
      <c r="Y289" s="303"/>
      <c r="Z289" s="304"/>
      <c r="AA289" s="308">
        <f>BD.PD[[#This Row],[Av.P3 '[%']]]*BD.PD[[#This Row],[Ppto. Orden Interna '[DOP']]]</f>
        <v>0</v>
      </c>
      <c r="AB289" s="303"/>
      <c r="AC289" s="304"/>
      <c r="AD289" s="308">
        <f>BD.PD[[#This Row],[Av.P4 '[%']]]*BD.PD[[#This Row],[Ppto. Orden Interna '[DOP']]]</f>
        <v>0</v>
      </c>
      <c r="AE289" s="303"/>
      <c r="AF289" s="304"/>
      <c r="AG289" s="308">
        <f>BD.PD[[#This Row],[Av.P5 '[%']]]*BD.PD[[#This Row],[Ppto. Orden Interna '[DOP']]]</f>
        <v>0</v>
      </c>
      <c r="AH289" s="305">
        <f>BD.PD[[#This Row],[Pago 5]]+BD.PD[[#This Row],[Pago 4]]+BD.PD[[#This Row],[Pago 3]]+BD.PD[[#This Row],[Pago 2]]+BD.PD[[#This Row],[Pago 1]]</f>
        <v>9893.11</v>
      </c>
      <c r="AI289" s="404"/>
      <c r="IB289" s="275"/>
    </row>
    <row r="290" spans="1:236" ht="15" customHeight="1" x14ac:dyDescent="0.3">
      <c r="A290" s="231">
        <v>8.0500000000000007</v>
      </c>
      <c r="B290" s="288"/>
      <c r="C290" s="289" t="str">
        <f>VLOOKUP(BD.PD[[#This Row],[Pos]],PPto[],3,FALSE)</f>
        <v>8.05 Mobiliario no operacional para Tiendas</v>
      </c>
      <c r="D290" s="231" t="s">
        <v>22</v>
      </c>
      <c r="E290" s="291" t="str">
        <f>IF(BD.PD[[#This Row],[.]]="*",VLOOKUP(BD.PD[[#This Row],[Pos]],Presupuesto!A:H,7,FALSE),"")</f>
        <v/>
      </c>
      <c r="F290" s="383" t="s">
        <v>319</v>
      </c>
      <c r="G290" s="292">
        <v>4512925858</v>
      </c>
      <c r="H290" s="358">
        <v>45921</v>
      </c>
      <c r="I290" s="359">
        <v>1</v>
      </c>
      <c r="J290" s="231" t="s">
        <v>581</v>
      </c>
      <c r="K290" s="294">
        <f>IF(BD.PD[[#This Row],[Mon]]="DOP",1,HLOOKUP(BD.PD[[#This Row],[Mon]],$J$1:$K$2,2,FALSE))</f>
        <v>1</v>
      </c>
      <c r="L290" s="360">
        <v>41538.28</v>
      </c>
      <c r="M290" s="296">
        <f>BD.PD[[#This Row],[Cant.]]*BD.PD[[#This Row],[ Tasa ]]*BD.PD[[#This Row],[ Precio Und.]]</f>
        <v>41538.28</v>
      </c>
      <c r="N290" s="361">
        <v>0</v>
      </c>
      <c r="O290" s="296">
        <f>IF(BD.PD[[#This Row],[Liquid. '[%']]]&lt;&gt;0,(BD.PD[[#This Row],[Valor Neto '[DOP']]]*BD.PD[[#This Row],[Liquid. '[%']]])+BD.PD[[#This Row],[Valor Neto '[DOP']]],BD.PD[[#This Row],[Valor Neto '[DOP']]])</f>
        <v>41538.28</v>
      </c>
      <c r="P290" s="306">
        <f>BD.PD[[#This Row],[Ppto. Orden Interna '[DOP']]]/HLOOKUP("USD",$J$1:$K$2,2,FALSE)</f>
        <v>659.33777777777777</v>
      </c>
      <c r="Q290" s="299" t="s">
        <v>729</v>
      </c>
      <c r="R290" s="307" t="s">
        <v>728</v>
      </c>
      <c r="S290" s="300">
        <v>19</v>
      </c>
      <c r="T290" s="301">
        <v>0.5</v>
      </c>
      <c r="U290" s="308">
        <f>BD.PD[[#This Row],[Av.P1 '[%']]]*BD.PD[[#This Row],[Ppto. Orden Interna '[DOP']]]</f>
        <v>20769.14</v>
      </c>
      <c r="V290" s="303">
        <v>22</v>
      </c>
      <c r="W290" s="304">
        <v>0.5</v>
      </c>
      <c r="X290" s="308">
        <f>BD.PD[[#This Row],[Av.P2 '[%']]]*BD.PD[[#This Row],[Ppto. Orden Interna '[DOP']]]</f>
        <v>20769.14</v>
      </c>
      <c r="Y290" s="303"/>
      <c r="Z290" s="304"/>
      <c r="AA290" s="308">
        <f>BD.PD[[#This Row],[Av.P3 '[%']]]*BD.PD[[#This Row],[Ppto. Orden Interna '[DOP']]]</f>
        <v>0</v>
      </c>
      <c r="AB290" s="303"/>
      <c r="AC290" s="304"/>
      <c r="AD290" s="308">
        <f>BD.PD[[#This Row],[Av.P4 '[%']]]*BD.PD[[#This Row],[Ppto. Orden Interna '[DOP']]]</f>
        <v>0</v>
      </c>
      <c r="AE290" s="303"/>
      <c r="AF290" s="304"/>
      <c r="AG290" s="308">
        <f>BD.PD[[#This Row],[Av.P5 '[%']]]*BD.PD[[#This Row],[Ppto. Orden Interna '[DOP']]]</f>
        <v>0</v>
      </c>
      <c r="AH290" s="305">
        <f>BD.PD[[#This Row],[Pago 5]]+BD.PD[[#This Row],[Pago 4]]+BD.PD[[#This Row],[Pago 3]]+BD.PD[[#This Row],[Pago 2]]+BD.PD[[#This Row],[Pago 1]]</f>
        <v>41538.28</v>
      </c>
      <c r="AI290" s="404"/>
      <c r="IB290" s="275"/>
    </row>
    <row r="291" spans="1:236" ht="15" customHeight="1" x14ac:dyDescent="0.3">
      <c r="A291" s="231">
        <v>8.0500000000000007</v>
      </c>
      <c r="B291" s="288"/>
      <c r="C291" s="289" t="str">
        <f>VLOOKUP(BD.PD[[#This Row],[Pos]],PPto[],3,FALSE)</f>
        <v>8.05 Mobiliario no operacional para Tiendas</v>
      </c>
      <c r="D291" s="231" t="s">
        <v>22</v>
      </c>
      <c r="E291" s="291" t="str">
        <f>IF(BD.PD[[#This Row],[.]]="*",VLOOKUP(BD.PD[[#This Row],[Pos]],Presupuesto!A:H,7,FALSE),"")</f>
        <v/>
      </c>
      <c r="F291" s="383" t="s">
        <v>317</v>
      </c>
      <c r="G291" s="292">
        <v>4512925858</v>
      </c>
      <c r="H291" s="358">
        <v>45921</v>
      </c>
      <c r="I291" s="359">
        <v>1</v>
      </c>
      <c r="J291" s="231" t="s">
        <v>581</v>
      </c>
      <c r="K291" s="294">
        <f>IF(BD.PD[[#This Row],[Mon]]="DOP",1,HLOOKUP(BD.PD[[#This Row],[Mon]],$J$1:$K$2,2,FALSE))</f>
        <v>1</v>
      </c>
      <c r="L291" s="360">
        <v>71010.8</v>
      </c>
      <c r="M291" s="296">
        <f>BD.PD[[#This Row],[Cant.]]*BD.PD[[#This Row],[ Tasa ]]*BD.PD[[#This Row],[ Precio Und.]]</f>
        <v>71010.8</v>
      </c>
      <c r="N291" s="361">
        <v>0</v>
      </c>
      <c r="O291" s="296">
        <f>IF(BD.PD[[#This Row],[Liquid. '[%']]]&lt;&gt;0,(BD.PD[[#This Row],[Valor Neto '[DOP']]]*BD.PD[[#This Row],[Liquid. '[%']]])+BD.PD[[#This Row],[Valor Neto '[DOP']]],BD.PD[[#This Row],[Valor Neto '[DOP']]])</f>
        <v>71010.8</v>
      </c>
      <c r="P291" s="306">
        <f>BD.PD[[#This Row],[Ppto. Orden Interna '[DOP']]]/HLOOKUP("USD",$J$1:$K$2,2,FALSE)</f>
        <v>1127.1555555555556</v>
      </c>
      <c r="Q291" s="299" t="s">
        <v>729</v>
      </c>
      <c r="R291" s="307" t="s">
        <v>728</v>
      </c>
      <c r="S291" s="300">
        <v>19</v>
      </c>
      <c r="T291" s="301">
        <v>0.5</v>
      </c>
      <c r="U291" s="308">
        <f>BD.PD[[#This Row],[Av.P1 '[%']]]*BD.PD[[#This Row],[Ppto. Orden Interna '[DOP']]]</f>
        <v>35505.4</v>
      </c>
      <c r="V291" s="303">
        <v>22</v>
      </c>
      <c r="W291" s="304">
        <v>0.5</v>
      </c>
      <c r="X291" s="308">
        <f>BD.PD[[#This Row],[Av.P2 '[%']]]*BD.PD[[#This Row],[Ppto. Orden Interna '[DOP']]]</f>
        <v>35505.4</v>
      </c>
      <c r="Y291" s="303"/>
      <c r="Z291" s="304"/>
      <c r="AA291" s="308">
        <f>BD.PD[[#This Row],[Av.P3 '[%']]]*BD.PD[[#This Row],[Ppto. Orden Interna '[DOP']]]</f>
        <v>0</v>
      </c>
      <c r="AB291" s="303"/>
      <c r="AC291" s="304"/>
      <c r="AD291" s="308">
        <f>BD.PD[[#This Row],[Av.P4 '[%']]]*BD.PD[[#This Row],[Ppto. Orden Interna '[DOP']]]</f>
        <v>0</v>
      </c>
      <c r="AE291" s="303"/>
      <c r="AF291" s="304"/>
      <c r="AG291" s="308">
        <f>BD.PD[[#This Row],[Av.P5 '[%']]]*BD.PD[[#This Row],[Ppto. Orden Interna '[DOP']]]</f>
        <v>0</v>
      </c>
      <c r="AH291" s="305">
        <f>BD.PD[[#This Row],[Pago 5]]+BD.PD[[#This Row],[Pago 4]]+BD.PD[[#This Row],[Pago 3]]+BD.PD[[#This Row],[Pago 2]]+BD.PD[[#This Row],[Pago 1]]</f>
        <v>71010.8</v>
      </c>
      <c r="AI291" s="404"/>
      <c r="IB291" s="275"/>
    </row>
    <row r="292" spans="1:236" ht="15" customHeight="1" x14ac:dyDescent="0.3">
      <c r="A292" s="231">
        <v>8.0500000000000007</v>
      </c>
      <c r="B292" s="288"/>
      <c r="C292" s="289" t="str">
        <f>VLOOKUP(BD.PD[[#This Row],[Pos]],PPto[],3,FALSE)</f>
        <v>8.05 Mobiliario no operacional para Tiendas</v>
      </c>
      <c r="D292" s="231" t="s">
        <v>22</v>
      </c>
      <c r="E292" s="291" t="str">
        <f>IF(BD.PD[[#This Row],[.]]="*",VLOOKUP(BD.PD[[#This Row],[Pos]],Presupuesto!A:H,7,FALSE),"")</f>
        <v/>
      </c>
      <c r="F292" s="383" t="s">
        <v>327</v>
      </c>
      <c r="G292" s="292" t="s">
        <v>578</v>
      </c>
      <c r="H292" s="358">
        <v>45921</v>
      </c>
      <c r="I292" s="359">
        <v>1</v>
      </c>
      <c r="J292" s="231" t="s">
        <v>581</v>
      </c>
      <c r="K292" s="294">
        <f>IF(BD.PD[[#This Row],[Mon]]="DOP",1,HLOOKUP(BD.PD[[#This Row],[Mon]],$J$1:$K$2,2,FALSE))</f>
        <v>1</v>
      </c>
      <c r="L292" s="360">
        <v>32800</v>
      </c>
      <c r="M292" s="296">
        <f>BD.PD[[#This Row],[Cant.]]*BD.PD[[#This Row],[ Tasa ]]*BD.PD[[#This Row],[ Precio Und.]]</f>
        <v>32800</v>
      </c>
      <c r="N292" s="361">
        <v>0</v>
      </c>
      <c r="O292" s="296">
        <f>IF(BD.PD[[#This Row],[Liquid. '[%']]]&lt;&gt;0,(BD.PD[[#This Row],[Valor Neto '[DOP']]]*BD.PD[[#This Row],[Liquid. '[%']]])+BD.PD[[#This Row],[Valor Neto '[DOP']]],BD.PD[[#This Row],[Valor Neto '[DOP']]])</f>
        <v>32800</v>
      </c>
      <c r="P292" s="306">
        <f>BD.PD[[#This Row],[Ppto. Orden Interna '[DOP']]]/HLOOKUP("USD",$J$1:$K$2,2,FALSE)</f>
        <v>520.6349206349206</v>
      </c>
      <c r="Q292" s="299"/>
      <c r="R292" s="307" t="s">
        <v>728</v>
      </c>
      <c r="S292" s="300">
        <v>22</v>
      </c>
      <c r="T292" s="301">
        <v>0.5</v>
      </c>
      <c r="U292" s="308">
        <f>BD.PD[[#This Row],[Av.P1 '[%']]]*BD.PD[[#This Row],[Ppto. Orden Interna '[DOP']]]</f>
        <v>16400</v>
      </c>
      <c r="V292" s="303">
        <v>24</v>
      </c>
      <c r="W292" s="304">
        <v>0.5</v>
      </c>
      <c r="X292" s="308">
        <f>BD.PD[[#This Row],[Av.P2 '[%']]]*BD.PD[[#This Row],[Ppto. Orden Interna '[DOP']]]</f>
        <v>16400</v>
      </c>
      <c r="Y292" s="303"/>
      <c r="Z292" s="304"/>
      <c r="AA292" s="308">
        <f>BD.PD[[#This Row],[Av.P3 '[%']]]*BD.PD[[#This Row],[Ppto. Orden Interna '[DOP']]]</f>
        <v>0</v>
      </c>
      <c r="AB292" s="303"/>
      <c r="AC292" s="304"/>
      <c r="AD292" s="308">
        <f>BD.PD[[#This Row],[Av.P4 '[%']]]*BD.PD[[#This Row],[Ppto. Orden Interna '[DOP']]]</f>
        <v>0</v>
      </c>
      <c r="AE292" s="303"/>
      <c r="AF292" s="304"/>
      <c r="AG292" s="308">
        <f>BD.PD[[#This Row],[Av.P5 '[%']]]*BD.PD[[#This Row],[Ppto. Orden Interna '[DOP']]]</f>
        <v>0</v>
      </c>
      <c r="AH292" s="305">
        <f>BD.PD[[#This Row],[Pago 5]]+BD.PD[[#This Row],[Pago 4]]+BD.PD[[#This Row],[Pago 3]]+BD.PD[[#This Row],[Pago 2]]+BD.PD[[#This Row],[Pago 1]]</f>
        <v>32800</v>
      </c>
      <c r="AI292" s="404"/>
      <c r="IB292" s="275"/>
    </row>
    <row r="293" spans="1:236" ht="15" customHeight="1" x14ac:dyDescent="0.3">
      <c r="A293" s="231">
        <v>8.0500000000000007</v>
      </c>
      <c r="B293" s="288"/>
      <c r="C293" s="289" t="str">
        <f>VLOOKUP(BD.PD[[#This Row],[Pos]],PPto[],3,FALSE)</f>
        <v>8.05 Mobiliario no operacional para Tiendas</v>
      </c>
      <c r="D293" s="231" t="s">
        <v>22</v>
      </c>
      <c r="E293" s="291" t="str">
        <f>IF(BD.PD[[#This Row],[.]]="*",VLOOKUP(BD.PD[[#This Row],[Pos]],Presupuesto!A:H,7,FALSE),"")</f>
        <v/>
      </c>
      <c r="F293" s="383" t="s">
        <v>335</v>
      </c>
      <c r="G293" s="292">
        <v>4512925858</v>
      </c>
      <c r="H293" s="358">
        <v>46148</v>
      </c>
      <c r="I293" s="359">
        <v>2</v>
      </c>
      <c r="J293" s="231" t="s">
        <v>581</v>
      </c>
      <c r="K293" s="294">
        <f>IF(BD.PD[[#This Row],[Mon]]="DOP",1,HLOOKUP(BD.PD[[#This Row],[Mon]],$J$1:$K$2,2,FALSE))</f>
        <v>1</v>
      </c>
      <c r="L293" s="360">
        <v>16356.2</v>
      </c>
      <c r="M293" s="296">
        <f>BD.PD[[#This Row],[Cant.]]*BD.PD[[#This Row],[ Tasa ]]*BD.PD[[#This Row],[ Precio Und.]]</f>
        <v>32712.400000000001</v>
      </c>
      <c r="N293" s="361">
        <v>0</v>
      </c>
      <c r="O293" s="296">
        <f>IF(BD.PD[[#This Row],[Liquid. '[%']]]&lt;&gt;0,(BD.PD[[#This Row],[Valor Neto '[DOP']]]*BD.PD[[#This Row],[Liquid. '[%']]])+BD.PD[[#This Row],[Valor Neto '[DOP']]],BD.PD[[#This Row],[Valor Neto '[DOP']]])</f>
        <v>32712.400000000001</v>
      </c>
      <c r="P293" s="306">
        <f>BD.PD[[#This Row],[Ppto. Orden Interna '[DOP']]]/HLOOKUP("USD",$J$1:$K$2,2,FALSE)</f>
        <v>519.24444444444441</v>
      </c>
      <c r="Q293" s="299" t="s">
        <v>730</v>
      </c>
      <c r="R293" s="307" t="s">
        <v>728</v>
      </c>
      <c r="S293" s="300">
        <v>17</v>
      </c>
      <c r="T293" s="301">
        <v>0.5</v>
      </c>
      <c r="U293" s="308">
        <f>BD.PD[[#This Row],[Av.P1 '[%']]]*BD.PD[[#This Row],[Ppto. Orden Interna '[DOP']]]</f>
        <v>16356.2</v>
      </c>
      <c r="V293" s="303">
        <v>24</v>
      </c>
      <c r="W293" s="304">
        <v>0.5</v>
      </c>
      <c r="X293" s="308">
        <f>BD.PD[[#This Row],[Av.P2 '[%']]]*BD.PD[[#This Row],[Ppto. Orden Interna '[DOP']]]</f>
        <v>16356.2</v>
      </c>
      <c r="Y293" s="303"/>
      <c r="Z293" s="304"/>
      <c r="AA293" s="308">
        <f>BD.PD[[#This Row],[Av.P3 '[%']]]*BD.PD[[#This Row],[Ppto. Orden Interna '[DOP']]]</f>
        <v>0</v>
      </c>
      <c r="AB293" s="303"/>
      <c r="AC293" s="304"/>
      <c r="AD293" s="308">
        <f>BD.PD[[#This Row],[Av.P4 '[%']]]*BD.PD[[#This Row],[Ppto. Orden Interna '[DOP']]]</f>
        <v>0</v>
      </c>
      <c r="AE293" s="303"/>
      <c r="AF293" s="304"/>
      <c r="AG293" s="308">
        <f>BD.PD[[#This Row],[Av.P5 '[%']]]*BD.PD[[#This Row],[Ppto. Orden Interna '[DOP']]]</f>
        <v>0</v>
      </c>
      <c r="AH293" s="305">
        <f>BD.PD[[#This Row],[Pago 5]]+BD.PD[[#This Row],[Pago 4]]+BD.PD[[#This Row],[Pago 3]]+BD.PD[[#This Row],[Pago 2]]+BD.PD[[#This Row],[Pago 1]]</f>
        <v>32712.400000000001</v>
      </c>
      <c r="AI293" s="404"/>
      <c r="IB293" s="275"/>
    </row>
    <row r="294" spans="1:236" ht="15" customHeight="1" x14ac:dyDescent="0.3">
      <c r="A294" s="231">
        <v>8.0500000000000007</v>
      </c>
      <c r="B294" s="288"/>
      <c r="C294" s="289" t="str">
        <f>VLOOKUP(BD.PD[[#This Row],[Pos]],PPto[],3,FALSE)</f>
        <v>8.05 Mobiliario no operacional para Tiendas</v>
      </c>
      <c r="D294" s="231" t="s">
        <v>22</v>
      </c>
      <c r="E294" s="291" t="str">
        <f>IF(BD.PD[[#This Row],[.]]="*",VLOOKUP(BD.PD[[#This Row],[Pos]],Presupuesto!A:H,7,FALSE),"")</f>
        <v/>
      </c>
      <c r="F294" s="383" t="s">
        <v>311</v>
      </c>
      <c r="G294" s="292" t="s">
        <v>578</v>
      </c>
      <c r="H294" s="358">
        <v>45921</v>
      </c>
      <c r="I294" s="359">
        <v>3</v>
      </c>
      <c r="J294" s="231" t="s">
        <v>581</v>
      </c>
      <c r="K294" s="294">
        <f>IF(BD.PD[[#This Row],[Mon]]="DOP",1,HLOOKUP(BD.PD[[#This Row],[Mon]],$J$1:$K$2,2,FALSE))</f>
        <v>1</v>
      </c>
      <c r="L294" s="360">
        <v>69597.457999999999</v>
      </c>
      <c r="M294" s="296">
        <f>BD.PD[[#This Row],[Cant.]]*BD.PD[[#This Row],[ Tasa ]]*BD.PD[[#This Row],[ Precio Und.]]</f>
        <v>208792.37400000001</v>
      </c>
      <c r="N294" s="361">
        <v>0</v>
      </c>
      <c r="O294" s="296">
        <f>IF(BD.PD[[#This Row],[Liquid. '[%']]]&lt;&gt;0,(BD.PD[[#This Row],[Valor Neto '[DOP']]]*BD.PD[[#This Row],[Liquid. '[%']]])+BD.PD[[#This Row],[Valor Neto '[DOP']]],BD.PD[[#This Row],[Valor Neto '[DOP']]])</f>
        <v>208792.37400000001</v>
      </c>
      <c r="P294" s="306">
        <f>BD.PD[[#This Row],[Ppto. Orden Interna '[DOP']]]/HLOOKUP("USD",$J$1:$K$2,2,FALSE)</f>
        <v>3314.164666666667</v>
      </c>
      <c r="Q294" s="299" t="s">
        <v>579</v>
      </c>
      <c r="R294" s="307" t="s">
        <v>731</v>
      </c>
      <c r="S294" s="300">
        <v>21</v>
      </c>
      <c r="T294" s="301">
        <v>1</v>
      </c>
      <c r="U294" s="308">
        <f>BD.PD[[#This Row],[Av.P1 '[%']]]*BD.PD[[#This Row],[Ppto. Orden Interna '[DOP']]]</f>
        <v>208792.37400000001</v>
      </c>
      <c r="V294" s="303"/>
      <c r="W294" s="304"/>
      <c r="X294" s="308">
        <f>BD.PD[[#This Row],[Av.P2 '[%']]]*BD.PD[[#This Row],[Ppto. Orden Interna '[DOP']]]</f>
        <v>0</v>
      </c>
      <c r="Y294" s="303"/>
      <c r="Z294" s="304"/>
      <c r="AA294" s="308">
        <f>BD.PD[[#This Row],[Av.P3 '[%']]]*BD.PD[[#This Row],[Ppto. Orden Interna '[DOP']]]</f>
        <v>0</v>
      </c>
      <c r="AB294" s="303"/>
      <c r="AC294" s="304"/>
      <c r="AD294" s="308">
        <f>BD.PD[[#This Row],[Av.P4 '[%']]]*BD.PD[[#This Row],[Ppto. Orden Interna '[DOP']]]</f>
        <v>0</v>
      </c>
      <c r="AE294" s="303"/>
      <c r="AF294" s="304"/>
      <c r="AG294" s="308">
        <f>BD.PD[[#This Row],[Av.P5 '[%']]]*BD.PD[[#This Row],[Ppto. Orden Interna '[DOP']]]</f>
        <v>0</v>
      </c>
      <c r="AH294" s="305">
        <f>BD.PD[[#This Row],[Pago 5]]+BD.PD[[#This Row],[Pago 4]]+BD.PD[[#This Row],[Pago 3]]+BD.PD[[#This Row],[Pago 2]]+BD.PD[[#This Row],[Pago 1]]</f>
        <v>208792.37400000001</v>
      </c>
      <c r="AI294" s="404"/>
      <c r="IB294" s="275"/>
    </row>
    <row r="295" spans="1:236" ht="15" customHeight="1" x14ac:dyDescent="0.3">
      <c r="A295" s="231">
        <v>8.0500000000000007</v>
      </c>
      <c r="B295" s="288"/>
      <c r="C295" s="289" t="str">
        <f>VLOOKUP(BD.PD[[#This Row],[Pos]],PPto[],3,FALSE)</f>
        <v>8.05 Mobiliario no operacional para Tiendas</v>
      </c>
      <c r="D295" s="231" t="s">
        <v>22</v>
      </c>
      <c r="E295" s="291" t="str">
        <f>IF(BD.PD[[#This Row],[.]]="*",VLOOKUP(BD.PD[[#This Row],[Pos]],Presupuesto!A:H,7,FALSE),"")</f>
        <v/>
      </c>
      <c r="F295" s="383" t="s">
        <v>310</v>
      </c>
      <c r="G295" s="292" t="s">
        <v>578</v>
      </c>
      <c r="H295" s="358">
        <v>45921</v>
      </c>
      <c r="I295" s="359">
        <v>12</v>
      </c>
      <c r="J295" s="231" t="s">
        <v>581</v>
      </c>
      <c r="K295" s="294">
        <f>IF(BD.PD[[#This Row],[Mon]]="DOP",1,HLOOKUP(BD.PD[[#This Row],[Mon]],$J$1:$K$2,2,FALSE))</f>
        <v>1</v>
      </c>
      <c r="L295" s="360">
        <v>1517.7958333333333</v>
      </c>
      <c r="M295" s="296">
        <f>BD.PD[[#This Row],[Cant.]]*BD.PD[[#This Row],[ Tasa ]]*BD.PD[[#This Row],[ Precio Und.]]</f>
        <v>18213.55</v>
      </c>
      <c r="N295" s="361">
        <v>0</v>
      </c>
      <c r="O295" s="296">
        <f>IF(BD.PD[[#This Row],[Liquid. '[%']]]&lt;&gt;0,(BD.PD[[#This Row],[Valor Neto '[DOP']]]*BD.PD[[#This Row],[Liquid. '[%']]])+BD.PD[[#This Row],[Valor Neto '[DOP']]],BD.PD[[#This Row],[Valor Neto '[DOP']]])</f>
        <v>18213.55</v>
      </c>
      <c r="P295" s="306">
        <f>BD.PD[[#This Row],[Ppto. Orden Interna '[DOP']]]/HLOOKUP("USD",$J$1:$K$2,2,FALSE)</f>
        <v>289.10396825396822</v>
      </c>
      <c r="Q295" s="299" t="s">
        <v>579</v>
      </c>
      <c r="R295" s="307" t="s">
        <v>731</v>
      </c>
      <c r="S295" s="300">
        <v>21</v>
      </c>
      <c r="T295" s="301">
        <v>1</v>
      </c>
      <c r="U295" s="308">
        <f>BD.PD[[#This Row],[Av.P1 '[%']]]*BD.PD[[#This Row],[Ppto. Orden Interna '[DOP']]]</f>
        <v>18213.55</v>
      </c>
      <c r="V295" s="303"/>
      <c r="W295" s="304"/>
      <c r="X295" s="308">
        <f>BD.PD[[#This Row],[Av.P2 '[%']]]*BD.PD[[#This Row],[Ppto. Orden Interna '[DOP']]]</f>
        <v>0</v>
      </c>
      <c r="Y295" s="303"/>
      <c r="Z295" s="304"/>
      <c r="AA295" s="308">
        <f>BD.PD[[#This Row],[Av.P3 '[%']]]*BD.PD[[#This Row],[Ppto. Orden Interna '[DOP']]]</f>
        <v>0</v>
      </c>
      <c r="AB295" s="303"/>
      <c r="AC295" s="304"/>
      <c r="AD295" s="308">
        <f>BD.PD[[#This Row],[Av.P4 '[%']]]*BD.PD[[#This Row],[Ppto. Orden Interna '[DOP']]]</f>
        <v>0</v>
      </c>
      <c r="AE295" s="303"/>
      <c r="AF295" s="304"/>
      <c r="AG295" s="308">
        <f>BD.PD[[#This Row],[Av.P5 '[%']]]*BD.PD[[#This Row],[Ppto. Orden Interna '[DOP']]]</f>
        <v>0</v>
      </c>
      <c r="AH295" s="305">
        <f>BD.PD[[#This Row],[Pago 5]]+BD.PD[[#This Row],[Pago 4]]+BD.PD[[#This Row],[Pago 3]]+BD.PD[[#This Row],[Pago 2]]+BD.PD[[#This Row],[Pago 1]]</f>
        <v>18213.55</v>
      </c>
      <c r="AI295" s="404"/>
      <c r="IB295" s="275"/>
    </row>
    <row r="296" spans="1:236" ht="15" customHeight="1" x14ac:dyDescent="0.3">
      <c r="A296" s="231">
        <v>8.0500000000000007</v>
      </c>
      <c r="B296" s="288"/>
      <c r="C296" s="289" t="str">
        <f>VLOOKUP(BD.PD[[#This Row],[Pos]],PPto[],3,FALSE)</f>
        <v>8.05 Mobiliario no operacional para Tiendas</v>
      </c>
      <c r="D296" s="231" t="s">
        <v>22</v>
      </c>
      <c r="E296" s="291" t="str">
        <f>IF(BD.PD[[#This Row],[.]]="*",VLOOKUP(BD.PD[[#This Row],[Pos]],Presupuesto!A:H,7,FALSE),"")</f>
        <v/>
      </c>
      <c r="F296" s="383" t="s">
        <v>334</v>
      </c>
      <c r="G296" s="292" t="s">
        <v>578</v>
      </c>
      <c r="H296" s="358">
        <v>45921</v>
      </c>
      <c r="I296" s="359">
        <v>4</v>
      </c>
      <c r="J296" s="231" t="s">
        <v>581</v>
      </c>
      <c r="K296" s="294">
        <f>IF(BD.PD[[#This Row],[Mon]]="DOP",1,HLOOKUP(BD.PD[[#This Row],[Mon]],$J$1:$K$2,2,FALSE))</f>
        <v>1</v>
      </c>
      <c r="L296" s="360">
        <v>135500</v>
      </c>
      <c r="M296" s="296">
        <f>BD.PD[[#This Row],[Cant.]]*BD.PD[[#This Row],[ Tasa ]]*BD.PD[[#This Row],[ Precio Und.]]</f>
        <v>542000</v>
      </c>
      <c r="N296" s="361">
        <v>0</v>
      </c>
      <c r="O296" s="296">
        <f>IF(BD.PD[[#This Row],[Liquid. '[%']]]&lt;&gt;0,(BD.PD[[#This Row],[Valor Neto '[DOP']]]*BD.PD[[#This Row],[Liquid. '[%']]])+BD.PD[[#This Row],[Valor Neto '[DOP']]],BD.PD[[#This Row],[Valor Neto '[DOP']]])</f>
        <v>542000</v>
      </c>
      <c r="P296" s="306">
        <f>BD.PD[[#This Row],[Ppto. Orden Interna '[DOP']]]/HLOOKUP("USD",$J$1:$K$2,2,FALSE)</f>
        <v>8603.1746031746025</v>
      </c>
      <c r="Q296" s="299" t="s">
        <v>732</v>
      </c>
      <c r="R296" s="307"/>
      <c r="S296" s="300">
        <v>22</v>
      </c>
      <c r="T296" s="301">
        <v>0.5</v>
      </c>
      <c r="U296" s="308">
        <f>BD.PD[[#This Row],[Av.P1 '[%']]]*BD.PD[[#This Row],[Ppto. Orden Interna '[DOP']]]</f>
        <v>271000</v>
      </c>
      <c r="V296" s="303">
        <v>24</v>
      </c>
      <c r="W296" s="304">
        <v>0.5</v>
      </c>
      <c r="X296" s="308">
        <f>BD.PD[[#This Row],[Av.P2 '[%']]]*BD.PD[[#This Row],[Ppto. Orden Interna '[DOP']]]</f>
        <v>271000</v>
      </c>
      <c r="Y296" s="303"/>
      <c r="Z296" s="304"/>
      <c r="AA296" s="308">
        <f>BD.PD[[#This Row],[Av.P3 '[%']]]*BD.PD[[#This Row],[Ppto. Orden Interna '[DOP']]]</f>
        <v>0</v>
      </c>
      <c r="AB296" s="303"/>
      <c r="AC296" s="304"/>
      <c r="AD296" s="308">
        <f>BD.PD[[#This Row],[Av.P4 '[%']]]*BD.PD[[#This Row],[Ppto. Orden Interna '[DOP']]]</f>
        <v>0</v>
      </c>
      <c r="AE296" s="303"/>
      <c r="AF296" s="304"/>
      <c r="AG296" s="308">
        <f>BD.PD[[#This Row],[Av.P5 '[%']]]*BD.PD[[#This Row],[Ppto. Orden Interna '[DOP']]]</f>
        <v>0</v>
      </c>
      <c r="AH296" s="305">
        <f>BD.PD[[#This Row],[Pago 5]]+BD.PD[[#This Row],[Pago 4]]+BD.PD[[#This Row],[Pago 3]]+BD.PD[[#This Row],[Pago 2]]+BD.PD[[#This Row],[Pago 1]]</f>
        <v>542000</v>
      </c>
      <c r="AI296" s="404"/>
      <c r="IB296" s="275"/>
    </row>
    <row r="297" spans="1:236" ht="15" customHeight="1" x14ac:dyDescent="0.3">
      <c r="A297" s="231">
        <v>8.0500000000000007</v>
      </c>
      <c r="B297" s="288"/>
      <c r="C297" s="289" t="str">
        <f>VLOOKUP(BD.PD[[#This Row],[Pos]],PPto[],3,FALSE)</f>
        <v>8.05 Mobiliario no operacional para Tiendas</v>
      </c>
      <c r="D297" s="231" t="s">
        <v>22</v>
      </c>
      <c r="E297" s="291" t="str">
        <f>IF(BD.PD[[#This Row],[.]]="*",VLOOKUP(BD.PD[[#This Row],[Pos]],Presupuesto!A:H,7,FALSE),"")</f>
        <v/>
      </c>
      <c r="F297" s="292" t="s">
        <v>338</v>
      </c>
      <c r="G297" s="292" t="s">
        <v>578</v>
      </c>
      <c r="H297" s="358">
        <v>45921</v>
      </c>
      <c r="I297" s="359">
        <v>2</v>
      </c>
      <c r="J297" s="231" t="s">
        <v>581</v>
      </c>
      <c r="K297" s="294">
        <f>IF(BD.PD[[#This Row],[Mon]]="DOP",1,HLOOKUP(BD.PD[[#This Row],[Mon]],$J$1:$K$2,2,FALSE))</f>
        <v>1</v>
      </c>
      <c r="L297" s="360">
        <v>121011.5</v>
      </c>
      <c r="M297" s="296">
        <f>BD.PD[[#This Row],[Cant.]]*BD.PD[[#This Row],[ Tasa ]]*BD.PD[[#This Row],[ Precio Und.]]</f>
        <v>242023</v>
      </c>
      <c r="N297" s="361">
        <v>0</v>
      </c>
      <c r="O297" s="296">
        <f>IF(BD.PD[[#This Row],[Liquid. '[%']]]&lt;&gt;0,(BD.PD[[#This Row],[Valor Neto '[DOP']]]*BD.PD[[#This Row],[Liquid. '[%']]])+BD.PD[[#This Row],[Valor Neto '[DOP']]],BD.PD[[#This Row],[Valor Neto '[DOP']]])</f>
        <v>242023</v>
      </c>
      <c r="P297" s="306">
        <f>BD.PD[[#This Row],[Ppto. Orden Interna '[DOP']]]/HLOOKUP("USD",$J$1:$K$2,2,FALSE)</f>
        <v>3841.6349206349205</v>
      </c>
      <c r="Q297" s="299" t="s">
        <v>733</v>
      </c>
      <c r="R297" s="307"/>
      <c r="S297" s="300">
        <v>21</v>
      </c>
      <c r="T297" s="301">
        <v>1</v>
      </c>
      <c r="U297" s="308">
        <f>BD.PD[[#This Row],[Av.P1 '[%']]]*BD.PD[[#This Row],[Ppto. Orden Interna '[DOP']]]</f>
        <v>242023</v>
      </c>
      <c r="V297" s="303"/>
      <c r="W297" s="304"/>
      <c r="X297" s="308">
        <f>BD.PD[[#This Row],[Av.P2 '[%']]]*BD.PD[[#This Row],[Ppto. Orden Interna '[DOP']]]</f>
        <v>0</v>
      </c>
      <c r="Y297" s="303"/>
      <c r="Z297" s="304"/>
      <c r="AA297" s="308">
        <f>BD.PD[[#This Row],[Av.P3 '[%']]]*BD.PD[[#This Row],[Ppto. Orden Interna '[DOP']]]</f>
        <v>0</v>
      </c>
      <c r="AB297" s="303"/>
      <c r="AC297" s="304"/>
      <c r="AD297" s="308">
        <f>BD.PD[[#This Row],[Av.P4 '[%']]]*BD.PD[[#This Row],[Ppto. Orden Interna '[DOP']]]</f>
        <v>0</v>
      </c>
      <c r="AE297" s="303"/>
      <c r="AF297" s="304"/>
      <c r="AG297" s="308">
        <f>BD.PD[[#This Row],[Av.P5 '[%']]]*BD.PD[[#This Row],[Ppto. Orden Interna '[DOP']]]</f>
        <v>0</v>
      </c>
      <c r="AH297" s="305">
        <f>BD.PD[[#This Row],[Pago 5]]+BD.PD[[#This Row],[Pago 4]]+BD.PD[[#This Row],[Pago 3]]+BD.PD[[#This Row],[Pago 2]]+BD.PD[[#This Row],[Pago 1]]</f>
        <v>242023</v>
      </c>
      <c r="AI297" s="404"/>
      <c r="IB297" s="275"/>
    </row>
    <row r="298" spans="1:236" ht="15" customHeight="1" x14ac:dyDescent="0.3">
      <c r="A298" s="231">
        <v>8.0500000000000007</v>
      </c>
      <c r="B298" s="288"/>
      <c r="C298" s="289" t="str">
        <f>VLOOKUP(BD.PD[[#This Row],[Pos]],PPto[],3,FALSE)</f>
        <v>8.05 Mobiliario no operacional para Tiendas</v>
      </c>
      <c r="D298" s="231" t="s">
        <v>22</v>
      </c>
      <c r="E298" s="291" t="str">
        <f>IF(BD.PD[[#This Row],[.]]="*",VLOOKUP(BD.PD[[#This Row],[Pos]],Presupuesto!A:H,7,FALSE),"")</f>
        <v/>
      </c>
      <c r="F298" s="292" t="s">
        <v>329</v>
      </c>
      <c r="G298" s="292" t="s">
        <v>578</v>
      </c>
      <c r="H298" s="358">
        <v>45921</v>
      </c>
      <c r="I298" s="359">
        <v>2</v>
      </c>
      <c r="J298" s="231" t="s">
        <v>581</v>
      </c>
      <c r="K298" s="294">
        <f>IF(BD.PD[[#This Row],[Mon]]="DOP",1,HLOOKUP(BD.PD[[#This Row],[Mon]],$J$1:$K$2,2,FALSE))</f>
        <v>1</v>
      </c>
      <c r="L298" s="360">
        <v>3069.56</v>
      </c>
      <c r="M298" s="296">
        <f>BD.PD[[#This Row],[Cant.]]*BD.PD[[#This Row],[ Tasa ]]*BD.PD[[#This Row],[ Precio Und.]]</f>
        <v>6139.12</v>
      </c>
      <c r="N298" s="361">
        <v>0</v>
      </c>
      <c r="O298" s="296">
        <f>IF(BD.PD[[#This Row],[Liquid. '[%']]]&lt;&gt;0,(BD.PD[[#This Row],[Valor Neto '[DOP']]]*BD.PD[[#This Row],[Liquid. '[%']]])+BD.PD[[#This Row],[Valor Neto '[DOP']]],BD.PD[[#This Row],[Valor Neto '[DOP']]])</f>
        <v>6139.12</v>
      </c>
      <c r="P298" s="306">
        <f>BD.PD[[#This Row],[Ppto. Orden Interna '[DOP']]]/HLOOKUP("USD",$J$1:$K$2,2,FALSE)</f>
        <v>97.446349206349211</v>
      </c>
      <c r="Q298" s="299" t="s">
        <v>733</v>
      </c>
      <c r="R298" s="307"/>
      <c r="S298" s="300">
        <v>21</v>
      </c>
      <c r="T298" s="301">
        <v>1</v>
      </c>
      <c r="U298" s="308">
        <f>BD.PD[[#This Row],[Av.P1 '[%']]]*BD.PD[[#This Row],[Ppto. Orden Interna '[DOP']]]</f>
        <v>6139.12</v>
      </c>
      <c r="V298" s="303"/>
      <c r="W298" s="304"/>
      <c r="X298" s="308">
        <f>BD.PD[[#This Row],[Av.P2 '[%']]]*BD.PD[[#This Row],[Ppto. Orden Interna '[DOP']]]</f>
        <v>0</v>
      </c>
      <c r="Y298" s="303"/>
      <c r="Z298" s="304"/>
      <c r="AA298" s="308">
        <f>BD.PD[[#This Row],[Av.P3 '[%']]]*BD.PD[[#This Row],[Ppto. Orden Interna '[DOP']]]</f>
        <v>0</v>
      </c>
      <c r="AB298" s="303"/>
      <c r="AC298" s="304"/>
      <c r="AD298" s="308">
        <f>BD.PD[[#This Row],[Av.P4 '[%']]]*BD.PD[[#This Row],[Ppto. Orden Interna '[DOP']]]</f>
        <v>0</v>
      </c>
      <c r="AE298" s="303"/>
      <c r="AF298" s="304"/>
      <c r="AG298" s="308">
        <f>BD.PD[[#This Row],[Av.P5 '[%']]]*BD.PD[[#This Row],[Ppto. Orden Interna '[DOP']]]</f>
        <v>0</v>
      </c>
      <c r="AH298" s="305">
        <f>BD.PD[[#This Row],[Pago 5]]+BD.PD[[#This Row],[Pago 4]]+BD.PD[[#This Row],[Pago 3]]+BD.PD[[#This Row],[Pago 2]]+BD.PD[[#This Row],[Pago 1]]</f>
        <v>6139.12</v>
      </c>
      <c r="AI298" s="404"/>
      <c r="IB298" s="275"/>
    </row>
    <row r="299" spans="1:236" ht="15" customHeight="1" x14ac:dyDescent="0.3">
      <c r="A299" s="231">
        <v>8.06</v>
      </c>
      <c r="B299" s="288" t="s">
        <v>574</v>
      </c>
      <c r="C299" s="289" t="str">
        <f>VLOOKUP(BD.PD[[#This Row],[Pos]],PPto[],3,FALSE)</f>
        <v>8.06 Otros Equipamientos de Tienda</v>
      </c>
      <c r="D299" s="290" t="s">
        <v>574</v>
      </c>
      <c r="E299" s="291">
        <f>IF(BD.PD[[#This Row],[.]]="*",VLOOKUP(BD.PD[[#This Row],[Pos]],Presupuesto!A:H,7,FALSE),"")</f>
        <v>44550.663258785949</v>
      </c>
      <c r="F299" s="292"/>
      <c r="G299" s="292" t="s">
        <v>575</v>
      </c>
      <c r="H299" s="292"/>
      <c r="I299" s="293">
        <v>1</v>
      </c>
      <c r="J299" s="290" t="s">
        <v>456</v>
      </c>
      <c r="K299" s="294">
        <f>IF(BD.PD[[#This Row],[Mon]]="DOP",1,HLOOKUP(BD.PD[[#This Row],[Mon]],$J$1:$K$2,2,FALSE))</f>
        <v>63</v>
      </c>
      <c r="L299" s="295">
        <v>0</v>
      </c>
      <c r="M299" s="296">
        <f>BD.PD[[#This Row],[Cant.]]*BD.PD[[#This Row],[ Tasa ]]*BD.PD[[#This Row],[ Precio Und.]]</f>
        <v>0</v>
      </c>
      <c r="N299" s="297">
        <v>0</v>
      </c>
      <c r="O299" s="296">
        <f>IF(BD.PD[[#This Row],[Liquid. '[%']]]&lt;&gt;0,(BD.PD[[#This Row],[Valor Neto '[DOP']]]*BD.PD[[#This Row],[Liquid. '[%']]])+BD.PD[[#This Row],[Valor Neto '[DOP']]],BD.PD[[#This Row],[Valor Neto '[DOP']]])</f>
        <v>0</v>
      </c>
      <c r="P299" s="306">
        <f>BD.PD[[#This Row],[Ppto. Orden Interna '[DOP']]]/HLOOKUP("USD",$J$1:$K$2,2,FALSE)</f>
        <v>0</v>
      </c>
      <c r="Q299" s="299"/>
      <c r="R299" s="307"/>
      <c r="S299" s="300"/>
      <c r="T299" s="301"/>
      <c r="U299" s="308">
        <f>BD.PD[[#This Row],[Av.P1 '[%']]]*BD.PD[[#This Row],[Ppto. Orden Interna '[DOP']]]</f>
        <v>0</v>
      </c>
      <c r="V299" s="303"/>
      <c r="W299" s="304"/>
      <c r="X299" s="308">
        <f>BD.PD[[#This Row],[Av.P2 '[%']]]*BD.PD[[#This Row],[Ppto. Orden Interna '[DOP']]]</f>
        <v>0</v>
      </c>
      <c r="Y299" s="303"/>
      <c r="Z299" s="304"/>
      <c r="AA299" s="308">
        <f>BD.PD[[#This Row],[Av.P3 '[%']]]*BD.PD[[#This Row],[Ppto. Orden Interna '[DOP']]]</f>
        <v>0</v>
      </c>
      <c r="AB299" s="303"/>
      <c r="AC299" s="304"/>
      <c r="AD299" s="308">
        <f>BD.PD[[#This Row],[Av.P4 '[%']]]*BD.PD[[#This Row],[Ppto. Orden Interna '[DOP']]]</f>
        <v>0</v>
      </c>
      <c r="AE299" s="303"/>
      <c r="AF299" s="304"/>
      <c r="AG299" s="308">
        <f>BD.PD[[#This Row],[Av.P5 '[%']]]*BD.PD[[#This Row],[Ppto. Orden Interna '[DOP']]]</f>
        <v>0</v>
      </c>
      <c r="AH299" s="305">
        <f>BD.PD[[#This Row],[Pago 5]]+BD.PD[[#This Row],[Pago 4]]+BD.PD[[#This Row],[Pago 3]]+BD.PD[[#This Row],[Pago 2]]+BD.PD[[#This Row],[Pago 1]]</f>
        <v>0</v>
      </c>
      <c r="AI299" s="404"/>
      <c r="IB299" s="275"/>
    </row>
    <row r="300" spans="1:236" ht="15" customHeight="1" x14ac:dyDescent="0.3">
      <c r="A300" s="231">
        <v>8.06</v>
      </c>
      <c r="B300" s="288"/>
      <c r="C300" s="289" t="str">
        <f>VLOOKUP(BD.PD[[#This Row],[Pos]],PPto[],3,FALSE)</f>
        <v>8.06 Otros Equipamientos de Tienda</v>
      </c>
      <c r="D300" s="231" t="s">
        <v>22</v>
      </c>
      <c r="E300" s="291" t="str">
        <f>IF(BD.PD[[#This Row],[.]]="*",VLOOKUP(BD.PD[[#This Row],[Pos]],Presupuesto!A:H,7,FALSE),"")</f>
        <v/>
      </c>
      <c r="F300" s="384" t="s">
        <v>371</v>
      </c>
      <c r="G300" s="292" t="s">
        <v>578</v>
      </c>
      <c r="H300" s="358">
        <v>45921</v>
      </c>
      <c r="I300" s="359">
        <v>5</v>
      </c>
      <c r="J300" s="231" t="s">
        <v>581</v>
      </c>
      <c r="K300" s="294">
        <f>IF(BD.PD[[#This Row],[Mon]]="DOP",1,HLOOKUP(BD.PD[[#This Row],[Mon]],$J$1:$K$2,2,FALSE))</f>
        <v>1</v>
      </c>
      <c r="L300" s="360">
        <v>21271.19</v>
      </c>
      <c r="M300" s="296">
        <f>BD.PD[[#This Row],[Cant.]]*BD.PD[[#This Row],[ Tasa ]]*BD.PD[[#This Row],[ Precio Und.]]</f>
        <v>106355.95</v>
      </c>
      <c r="N300" s="361">
        <v>0</v>
      </c>
      <c r="O300" s="296">
        <f>IF(BD.PD[[#This Row],[Liquid. '[%']]]&lt;&gt;0,(BD.PD[[#This Row],[Valor Neto '[DOP']]]*BD.PD[[#This Row],[Liquid. '[%']]])+BD.PD[[#This Row],[Valor Neto '[DOP']]],BD.PD[[#This Row],[Valor Neto '[DOP']]])</f>
        <v>106355.95</v>
      </c>
      <c r="P300" s="306">
        <f>BD.PD[[#This Row],[Ppto. Orden Interna '[DOP']]]/HLOOKUP("USD",$J$1:$K$2,2,FALSE)</f>
        <v>1688.1896825396825</v>
      </c>
      <c r="Q300" s="299" t="s">
        <v>734</v>
      </c>
      <c r="R300" s="307"/>
      <c r="S300" s="300">
        <v>22</v>
      </c>
      <c r="T300" s="301">
        <v>0.6</v>
      </c>
      <c r="U300" s="308">
        <f>BD.PD[[#This Row],[Av.P1 '[%']]]*BD.PD[[#This Row],[Ppto. Orden Interna '[DOP']]]</f>
        <v>63813.569999999992</v>
      </c>
      <c r="V300" s="303">
        <v>24</v>
      </c>
      <c r="W300" s="304">
        <v>0.4</v>
      </c>
      <c r="X300" s="308">
        <f>BD.PD[[#This Row],[Av.P2 '[%']]]*BD.PD[[#This Row],[Ppto. Orden Interna '[DOP']]]</f>
        <v>42542.380000000005</v>
      </c>
      <c r="Y300" s="303"/>
      <c r="Z300" s="304"/>
      <c r="AA300" s="308">
        <f>BD.PD[[#This Row],[Av.P3 '[%']]]*BD.PD[[#This Row],[Ppto. Orden Interna '[DOP']]]</f>
        <v>0</v>
      </c>
      <c r="AB300" s="303"/>
      <c r="AC300" s="304"/>
      <c r="AD300" s="308">
        <f>BD.PD[[#This Row],[Av.P4 '[%']]]*BD.PD[[#This Row],[Ppto. Orden Interna '[DOP']]]</f>
        <v>0</v>
      </c>
      <c r="AE300" s="303"/>
      <c r="AF300" s="304"/>
      <c r="AG300" s="308">
        <f>BD.PD[[#This Row],[Av.P5 '[%']]]*BD.PD[[#This Row],[Ppto. Orden Interna '[DOP']]]</f>
        <v>0</v>
      </c>
      <c r="AH300" s="305">
        <f>BD.PD[[#This Row],[Pago 5]]+BD.PD[[#This Row],[Pago 4]]+BD.PD[[#This Row],[Pago 3]]+BD.PD[[#This Row],[Pago 2]]+BD.PD[[#This Row],[Pago 1]]</f>
        <v>106355.95</v>
      </c>
      <c r="AI300" s="404"/>
      <c r="IB300" s="275"/>
    </row>
    <row r="301" spans="1:236" ht="15" customHeight="1" x14ac:dyDescent="0.3">
      <c r="A301" s="231">
        <v>8.06</v>
      </c>
      <c r="B301" s="288"/>
      <c r="C301" s="289" t="str">
        <f>VLOOKUP(BD.PD[[#This Row],[Pos]],PPto[],3,FALSE)</f>
        <v>8.06 Otros Equipamientos de Tienda</v>
      </c>
      <c r="D301" s="231" t="s">
        <v>22</v>
      </c>
      <c r="E301" s="291" t="str">
        <f>IF(BD.PD[[#This Row],[.]]="*",VLOOKUP(BD.PD[[#This Row],[Pos]],Presupuesto!A:H,7,FALSE),"")</f>
        <v/>
      </c>
      <c r="F301" s="384" t="s">
        <v>343</v>
      </c>
      <c r="G301" s="292">
        <v>4512716532</v>
      </c>
      <c r="H301" s="358">
        <v>45968</v>
      </c>
      <c r="I301" s="359">
        <v>4</v>
      </c>
      <c r="J301" s="231" t="s">
        <v>581</v>
      </c>
      <c r="K301" s="294">
        <f>IF(BD.PD[[#This Row],[Mon]]="DOP",1,HLOOKUP(BD.PD[[#This Row],[Mon]],$J$1:$K$2,2,FALSE))</f>
        <v>1</v>
      </c>
      <c r="L301" s="360">
        <v>4237.29</v>
      </c>
      <c r="M301" s="296">
        <f>BD.PD[[#This Row],[Cant.]]*BD.PD[[#This Row],[ Tasa ]]*BD.PD[[#This Row],[ Precio Und.]]</f>
        <v>16949.16</v>
      </c>
      <c r="N301" s="361">
        <v>0</v>
      </c>
      <c r="O301" s="296">
        <f>IF(BD.PD[[#This Row],[Liquid. '[%']]]&lt;&gt;0,(BD.PD[[#This Row],[Valor Neto '[DOP']]]*BD.PD[[#This Row],[Liquid. '[%']]])+BD.PD[[#This Row],[Valor Neto '[DOP']]],BD.PD[[#This Row],[Valor Neto '[DOP']]])</f>
        <v>16949.16</v>
      </c>
      <c r="P301" s="306">
        <f>BD.PD[[#This Row],[Ppto. Orden Interna '[DOP']]]/HLOOKUP("USD",$J$1:$K$2,2,FALSE)</f>
        <v>269.03428571428572</v>
      </c>
      <c r="Q301" s="299" t="s">
        <v>735</v>
      </c>
      <c r="R301" s="307" t="s">
        <v>736</v>
      </c>
      <c r="S301" s="300">
        <v>12</v>
      </c>
      <c r="T301" s="301">
        <v>0.5</v>
      </c>
      <c r="U301" s="308">
        <f>BD.PD[[#This Row],[Av.P1 '[%']]]*BD.PD[[#This Row],[Ppto. Orden Interna '[DOP']]]</f>
        <v>8474.58</v>
      </c>
      <c r="V301" s="303">
        <v>22</v>
      </c>
      <c r="W301" s="304">
        <v>0.5</v>
      </c>
      <c r="X301" s="308">
        <f>BD.PD[[#This Row],[Av.P2 '[%']]]*BD.PD[[#This Row],[Ppto. Orden Interna '[DOP']]]</f>
        <v>8474.58</v>
      </c>
      <c r="Y301" s="303"/>
      <c r="Z301" s="304"/>
      <c r="AA301" s="308">
        <f>BD.PD[[#This Row],[Av.P3 '[%']]]*BD.PD[[#This Row],[Ppto. Orden Interna '[DOP']]]</f>
        <v>0</v>
      </c>
      <c r="AB301" s="303"/>
      <c r="AC301" s="304"/>
      <c r="AD301" s="308">
        <f>BD.PD[[#This Row],[Av.P4 '[%']]]*BD.PD[[#This Row],[Ppto. Orden Interna '[DOP']]]</f>
        <v>0</v>
      </c>
      <c r="AE301" s="303"/>
      <c r="AF301" s="304"/>
      <c r="AG301" s="308">
        <f>BD.PD[[#This Row],[Av.P5 '[%']]]*BD.PD[[#This Row],[Ppto. Orden Interna '[DOP']]]</f>
        <v>0</v>
      </c>
      <c r="AH301" s="305">
        <f>BD.PD[[#This Row],[Pago 5]]+BD.PD[[#This Row],[Pago 4]]+BD.PD[[#This Row],[Pago 3]]+BD.PD[[#This Row],[Pago 2]]+BD.PD[[#This Row],[Pago 1]]</f>
        <v>16949.16</v>
      </c>
      <c r="AI301" s="404"/>
      <c r="IB301" s="275"/>
    </row>
    <row r="302" spans="1:236" ht="15" customHeight="1" x14ac:dyDescent="0.3">
      <c r="A302" s="231">
        <v>8.06</v>
      </c>
      <c r="B302" s="288"/>
      <c r="C302" s="289" t="str">
        <f>VLOOKUP(BD.PD[[#This Row],[Pos]],PPto[],3,FALSE)</f>
        <v>8.06 Otros Equipamientos de Tienda</v>
      </c>
      <c r="D302" s="231" t="s">
        <v>22</v>
      </c>
      <c r="E302" s="291" t="str">
        <f>IF(BD.PD[[#This Row],[.]]="*",VLOOKUP(BD.PD[[#This Row],[Pos]],Presupuesto!A:H,7,FALSE),"")</f>
        <v/>
      </c>
      <c r="F302" s="383" t="s">
        <v>366</v>
      </c>
      <c r="G302" s="292">
        <v>4512716532</v>
      </c>
      <c r="H302" s="358">
        <v>45968</v>
      </c>
      <c r="I302" s="359">
        <v>2</v>
      </c>
      <c r="J302" s="231" t="s">
        <v>581</v>
      </c>
      <c r="K302" s="294">
        <f>IF(BD.PD[[#This Row],[Mon]]="DOP",1,HLOOKUP(BD.PD[[#This Row],[Mon]],$J$1:$K$2,2,FALSE))</f>
        <v>1</v>
      </c>
      <c r="L302" s="360">
        <v>11822.03</v>
      </c>
      <c r="M302" s="296">
        <f>BD.PD[[#This Row],[Cant.]]*BD.PD[[#This Row],[ Tasa ]]*BD.PD[[#This Row],[ Precio Und.]]</f>
        <v>23644.06</v>
      </c>
      <c r="N302" s="361">
        <v>0</v>
      </c>
      <c r="O302" s="296">
        <f>IF(BD.PD[[#This Row],[Liquid. '[%']]]&lt;&gt;0,(BD.PD[[#This Row],[Valor Neto '[DOP']]]*BD.PD[[#This Row],[Liquid. '[%']]])+BD.PD[[#This Row],[Valor Neto '[DOP']]],BD.PD[[#This Row],[Valor Neto '[DOP']]])</f>
        <v>23644.06</v>
      </c>
      <c r="P302" s="306">
        <f>BD.PD[[#This Row],[Ppto. Orden Interna '[DOP']]]/HLOOKUP("USD",$J$1:$K$2,2,FALSE)</f>
        <v>375.3025396825397</v>
      </c>
      <c r="Q302" s="299" t="s">
        <v>735</v>
      </c>
      <c r="R302" s="307" t="s">
        <v>736</v>
      </c>
      <c r="S302" s="300">
        <v>12</v>
      </c>
      <c r="T302" s="301">
        <v>0.5</v>
      </c>
      <c r="U302" s="308">
        <f>BD.PD[[#This Row],[Av.P1 '[%']]]*BD.PD[[#This Row],[Ppto. Orden Interna '[DOP']]]</f>
        <v>11822.03</v>
      </c>
      <c r="V302" s="303">
        <v>22</v>
      </c>
      <c r="W302" s="304">
        <v>0.5</v>
      </c>
      <c r="X302" s="308">
        <f>BD.PD[[#This Row],[Av.P2 '[%']]]*BD.PD[[#This Row],[Ppto. Orden Interna '[DOP']]]</f>
        <v>11822.03</v>
      </c>
      <c r="Y302" s="303"/>
      <c r="Z302" s="304"/>
      <c r="AA302" s="308">
        <f>BD.PD[[#This Row],[Av.P3 '[%']]]*BD.PD[[#This Row],[Ppto. Orden Interna '[DOP']]]</f>
        <v>0</v>
      </c>
      <c r="AB302" s="303"/>
      <c r="AC302" s="304"/>
      <c r="AD302" s="308">
        <f>BD.PD[[#This Row],[Av.P4 '[%']]]*BD.PD[[#This Row],[Ppto. Orden Interna '[DOP']]]</f>
        <v>0</v>
      </c>
      <c r="AE302" s="303"/>
      <c r="AF302" s="304"/>
      <c r="AG302" s="308">
        <f>BD.PD[[#This Row],[Av.P5 '[%']]]*BD.PD[[#This Row],[Ppto. Orden Interna '[DOP']]]</f>
        <v>0</v>
      </c>
      <c r="AH302" s="305">
        <f>BD.PD[[#This Row],[Pago 5]]+BD.PD[[#This Row],[Pago 4]]+BD.PD[[#This Row],[Pago 3]]+BD.PD[[#This Row],[Pago 2]]+BD.PD[[#This Row],[Pago 1]]</f>
        <v>23644.06</v>
      </c>
      <c r="AI302" s="404"/>
      <c r="IB302" s="275"/>
    </row>
    <row r="303" spans="1:236" ht="15" customHeight="1" x14ac:dyDescent="0.3">
      <c r="A303" s="231">
        <v>8.06</v>
      </c>
      <c r="B303" s="288"/>
      <c r="C303" s="289" t="str">
        <f>VLOOKUP(BD.PD[[#This Row],[Pos]],PPto[],3,FALSE)</f>
        <v>8.06 Otros Equipamientos de Tienda</v>
      </c>
      <c r="D303" s="231" t="s">
        <v>22</v>
      </c>
      <c r="E303" s="291" t="str">
        <f>IF(BD.PD[[#This Row],[.]]="*",VLOOKUP(BD.PD[[#This Row],[Pos]],Presupuesto!A:H,7,FALSE),"")</f>
        <v/>
      </c>
      <c r="F303" s="383" t="s">
        <v>365</v>
      </c>
      <c r="G303" s="292">
        <v>4512716532</v>
      </c>
      <c r="H303" s="358">
        <v>45968</v>
      </c>
      <c r="I303" s="359">
        <v>1</v>
      </c>
      <c r="J303" s="231" t="s">
        <v>581</v>
      </c>
      <c r="K303" s="294">
        <f>IF(BD.PD[[#This Row],[Mon]]="DOP",1,HLOOKUP(BD.PD[[#This Row],[Mon]],$J$1:$K$2,2,FALSE))</f>
        <v>1</v>
      </c>
      <c r="L303" s="360">
        <v>16398.310000000001</v>
      </c>
      <c r="M303" s="296">
        <f>BD.PD[[#This Row],[Cant.]]*BD.PD[[#This Row],[ Tasa ]]*BD.PD[[#This Row],[ Precio Und.]]</f>
        <v>16398.310000000001</v>
      </c>
      <c r="N303" s="361">
        <v>0</v>
      </c>
      <c r="O303" s="296">
        <f>IF(BD.PD[[#This Row],[Liquid. '[%']]]&lt;&gt;0,(BD.PD[[#This Row],[Valor Neto '[DOP']]]*BD.PD[[#This Row],[Liquid. '[%']]])+BD.PD[[#This Row],[Valor Neto '[DOP']]],BD.PD[[#This Row],[Valor Neto '[DOP']]])</f>
        <v>16398.310000000001</v>
      </c>
      <c r="P303" s="306">
        <f>BD.PD[[#This Row],[Ppto. Orden Interna '[DOP']]]/HLOOKUP("USD",$J$1:$K$2,2,FALSE)</f>
        <v>260.29063492063494</v>
      </c>
      <c r="Q303" s="299" t="s">
        <v>735</v>
      </c>
      <c r="R303" s="307" t="s">
        <v>736</v>
      </c>
      <c r="S303" s="300">
        <v>12</v>
      </c>
      <c r="T303" s="301">
        <v>0.5</v>
      </c>
      <c r="U303" s="308">
        <f>BD.PD[[#This Row],[Av.P1 '[%']]]*BD.PD[[#This Row],[Ppto. Orden Interna '[DOP']]]</f>
        <v>8199.1550000000007</v>
      </c>
      <c r="V303" s="303">
        <v>22</v>
      </c>
      <c r="W303" s="304">
        <v>0.5</v>
      </c>
      <c r="X303" s="308">
        <f>BD.PD[[#This Row],[Av.P2 '[%']]]*BD.PD[[#This Row],[Ppto. Orden Interna '[DOP']]]</f>
        <v>8199.1550000000007</v>
      </c>
      <c r="Y303" s="303"/>
      <c r="Z303" s="304"/>
      <c r="AA303" s="308">
        <f>BD.PD[[#This Row],[Av.P3 '[%']]]*BD.PD[[#This Row],[Ppto. Orden Interna '[DOP']]]</f>
        <v>0</v>
      </c>
      <c r="AB303" s="303"/>
      <c r="AC303" s="304"/>
      <c r="AD303" s="308">
        <f>BD.PD[[#This Row],[Av.P4 '[%']]]*BD.PD[[#This Row],[Ppto. Orden Interna '[DOP']]]</f>
        <v>0</v>
      </c>
      <c r="AE303" s="303"/>
      <c r="AF303" s="304"/>
      <c r="AG303" s="308">
        <f>BD.PD[[#This Row],[Av.P5 '[%']]]*BD.PD[[#This Row],[Ppto. Orden Interna '[DOP']]]</f>
        <v>0</v>
      </c>
      <c r="AH303" s="305">
        <f>BD.PD[[#This Row],[Pago 5]]+BD.PD[[#This Row],[Pago 4]]+BD.PD[[#This Row],[Pago 3]]+BD.PD[[#This Row],[Pago 2]]+BD.PD[[#This Row],[Pago 1]]</f>
        <v>16398.310000000001</v>
      </c>
      <c r="AI303" s="404"/>
      <c r="IB303" s="275"/>
    </row>
    <row r="304" spans="1:236" ht="15" customHeight="1" x14ac:dyDescent="0.3">
      <c r="A304" s="231">
        <v>8.06</v>
      </c>
      <c r="B304" s="288"/>
      <c r="C304" s="289" t="str">
        <f>VLOOKUP(BD.PD[[#This Row],[Pos]],PPto[],3,FALSE)</f>
        <v>8.06 Otros Equipamientos de Tienda</v>
      </c>
      <c r="D304" s="231" t="s">
        <v>22</v>
      </c>
      <c r="E304" s="291" t="str">
        <f>IF(BD.PD[[#This Row],[.]]="*",VLOOKUP(BD.PD[[#This Row],[Pos]],Presupuesto!A:H,7,FALSE),"")</f>
        <v/>
      </c>
      <c r="F304" s="383" t="s">
        <v>364</v>
      </c>
      <c r="G304" s="292">
        <v>4512716532</v>
      </c>
      <c r="H304" s="358">
        <v>45968</v>
      </c>
      <c r="I304" s="359">
        <v>2</v>
      </c>
      <c r="J304" s="231" t="s">
        <v>581</v>
      </c>
      <c r="K304" s="294">
        <f>IF(BD.PD[[#This Row],[Mon]]="DOP",1,HLOOKUP(BD.PD[[#This Row],[Mon]],$J$1:$K$2,2,FALSE))</f>
        <v>1</v>
      </c>
      <c r="L304" s="360">
        <v>4728.8149999999996</v>
      </c>
      <c r="M304" s="296">
        <f>BD.PD[[#This Row],[Cant.]]*BD.PD[[#This Row],[ Tasa ]]*BD.PD[[#This Row],[ Precio Und.]]</f>
        <v>9457.6299999999992</v>
      </c>
      <c r="N304" s="361">
        <v>0</v>
      </c>
      <c r="O304" s="296">
        <f>IF(BD.PD[[#This Row],[Liquid. '[%']]]&lt;&gt;0,(BD.PD[[#This Row],[Valor Neto '[DOP']]]*BD.PD[[#This Row],[Liquid. '[%']]])+BD.PD[[#This Row],[Valor Neto '[DOP']]],BD.PD[[#This Row],[Valor Neto '[DOP']]])</f>
        <v>9457.6299999999992</v>
      </c>
      <c r="P304" s="306">
        <f>BD.PD[[#This Row],[Ppto. Orden Interna '[DOP']]]/HLOOKUP("USD",$J$1:$K$2,2,FALSE)</f>
        <v>150.12111111111111</v>
      </c>
      <c r="Q304" s="299" t="s">
        <v>735</v>
      </c>
      <c r="R304" s="307" t="s">
        <v>736</v>
      </c>
      <c r="S304" s="300">
        <v>12</v>
      </c>
      <c r="T304" s="301">
        <v>0.5</v>
      </c>
      <c r="U304" s="308">
        <f>BD.PD[[#This Row],[Av.P1 '[%']]]*BD.PD[[#This Row],[Ppto. Orden Interna '[DOP']]]</f>
        <v>4728.8149999999996</v>
      </c>
      <c r="V304" s="303">
        <v>22</v>
      </c>
      <c r="W304" s="304">
        <v>0.5</v>
      </c>
      <c r="X304" s="308">
        <f>BD.PD[[#This Row],[Av.P2 '[%']]]*BD.PD[[#This Row],[Ppto. Orden Interna '[DOP']]]</f>
        <v>4728.8149999999996</v>
      </c>
      <c r="Y304" s="303"/>
      <c r="Z304" s="304"/>
      <c r="AA304" s="308">
        <f>BD.PD[[#This Row],[Av.P3 '[%']]]*BD.PD[[#This Row],[Ppto. Orden Interna '[DOP']]]</f>
        <v>0</v>
      </c>
      <c r="AB304" s="303"/>
      <c r="AC304" s="304"/>
      <c r="AD304" s="308">
        <f>BD.PD[[#This Row],[Av.P4 '[%']]]*BD.PD[[#This Row],[Ppto. Orden Interna '[DOP']]]</f>
        <v>0</v>
      </c>
      <c r="AE304" s="303"/>
      <c r="AF304" s="304"/>
      <c r="AG304" s="308">
        <f>BD.PD[[#This Row],[Av.P5 '[%']]]*BD.PD[[#This Row],[Ppto. Orden Interna '[DOP']]]</f>
        <v>0</v>
      </c>
      <c r="AH304" s="305">
        <f>BD.PD[[#This Row],[Pago 5]]+BD.PD[[#This Row],[Pago 4]]+BD.PD[[#This Row],[Pago 3]]+BD.PD[[#This Row],[Pago 2]]+BD.PD[[#This Row],[Pago 1]]</f>
        <v>9457.6299999999992</v>
      </c>
      <c r="AI304" s="404"/>
      <c r="IB304" s="275"/>
    </row>
    <row r="305" spans="1:236" ht="15" customHeight="1" x14ac:dyDescent="0.3">
      <c r="A305" s="231">
        <v>8.06</v>
      </c>
      <c r="B305" s="288"/>
      <c r="C305" s="289" t="str">
        <f>VLOOKUP(BD.PD[[#This Row],[Pos]],PPto[],3,FALSE)</f>
        <v>8.06 Otros Equipamientos de Tienda</v>
      </c>
      <c r="D305" s="231" t="s">
        <v>22</v>
      </c>
      <c r="E305" s="291" t="str">
        <f>IF(BD.PD[[#This Row],[.]]="*",VLOOKUP(BD.PD[[#This Row],[Pos]],Presupuesto!A:H,7,FALSE),"")</f>
        <v/>
      </c>
      <c r="F305" s="383" t="s">
        <v>363</v>
      </c>
      <c r="G305" s="292">
        <v>4512716532</v>
      </c>
      <c r="H305" s="358">
        <v>45968</v>
      </c>
      <c r="I305" s="359">
        <v>3</v>
      </c>
      <c r="J305" s="231" t="s">
        <v>581</v>
      </c>
      <c r="K305" s="294">
        <f>IF(BD.PD[[#This Row],[Mon]]="DOP",1,HLOOKUP(BD.PD[[#This Row],[Mon]],$J$1:$K$2,2,FALSE))</f>
        <v>1</v>
      </c>
      <c r="L305" s="360">
        <v>11822.029999999999</v>
      </c>
      <c r="M305" s="296">
        <f>BD.PD[[#This Row],[Cant.]]*BD.PD[[#This Row],[ Tasa ]]*BD.PD[[#This Row],[ Precio Und.]]</f>
        <v>35466.089999999997</v>
      </c>
      <c r="N305" s="361">
        <v>0</v>
      </c>
      <c r="O305" s="296">
        <f>IF(BD.PD[[#This Row],[Liquid. '[%']]]&lt;&gt;0,(BD.PD[[#This Row],[Valor Neto '[DOP']]]*BD.PD[[#This Row],[Liquid. '[%']]])+BD.PD[[#This Row],[Valor Neto '[DOP']]],BD.PD[[#This Row],[Valor Neto '[DOP']]])</f>
        <v>35466.089999999997</v>
      </c>
      <c r="P305" s="306">
        <f>BD.PD[[#This Row],[Ppto. Orden Interna '[DOP']]]/HLOOKUP("USD",$J$1:$K$2,2,FALSE)</f>
        <v>562.95380952380947</v>
      </c>
      <c r="Q305" s="299" t="s">
        <v>735</v>
      </c>
      <c r="R305" s="307" t="s">
        <v>736</v>
      </c>
      <c r="S305" s="300">
        <v>12</v>
      </c>
      <c r="T305" s="301">
        <v>0.5</v>
      </c>
      <c r="U305" s="308">
        <f>BD.PD[[#This Row],[Av.P1 '[%']]]*BD.PD[[#This Row],[Ppto. Orden Interna '[DOP']]]</f>
        <v>17733.044999999998</v>
      </c>
      <c r="V305" s="303">
        <v>22</v>
      </c>
      <c r="W305" s="304">
        <v>0.5</v>
      </c>
      <c r="X305" s="308">
        <f>BD.PD[[#This Row],[Av.P2 '[%']]]*BD.PD[[#This Row],[Ppto. Orden Interna '[DOP']]]</f>
        <v>17733.044999999998</v>
      </c>
      <c r="Y305" s="303"/>
      <c r="Z305" s="304"/>
      <c r="AA305" s="308">
        <f>BD.PD[[#This Row],[Av.P3 '[%']]]*BD.PD[[#This Row],[Ppto. Orden Interna '[DOP']]]</f>
        <v>0</v>
      </c>
      <c r="AB305" s="303"/>
      <c r="AC305" s="304"/>
      <c r="AD305" s="308">
        <f>BD.PD[[#This Row],[Av.P4 '[%']]]*BD.PD[[#This Row],[Ppto. Orden Interna '[DOP']]]</f>
        <v>0</v>
      </c>
      <c r="AE305" s="303"/>
      <c r="AF305" s="304"/>
      <c r="AG305" s="308">
        <f>BD.PD[[#This Row],[Av.P5 '[%']]]*BD.PD[[#This Row],[Ppto. Orden Interna '[DOP']]]</f>
        <v>0</v>
      </c>
      <c r="AH305" s="305">
        <f>BD.PD[[#This Row],[Pago 5]]+BD.PD[[#This Row],[Pago 4]]+BD.PD[[#This Row],[Pago 3]]+BD.PD[[#This Row],[Pago 2]]+BD.PD[[#This Row],[Pago 1]]</f>
        <v>35466.089999999997</v>
      </c>
      <c r="AI305" s="404"/>
      <c r="IB305" s="275"/>
    </row>
    <row r="306" spans="1:236" ht="15" customHeight="1" x14ac:dyDescent="0.3">
      <c r="A306" s="231">
        <v>8.06</v>
      </c>
      <c r="B306" s="288"/>
      <c r="C306" s="289" t="str">
        <f>VLOOKUP(BD.PD[[#This Row],[Pos]],PPto[],3,FALSE)</f>
        <v>8.06 Otros Equipamientos de Tienda</v>
      </c>
      <c r="D306" s="231" t="s">
        <v>22</v>
      </c>
      <c r="E306" s="291" t="str">
        <f>IF(BD.PD[[#This Row],[.]]="*",VLOOKUP(BD.PD[[#This Row],[Pos]],Presupuesto!A:H,7,FALSE),"")</f>
        <v/>
      </c>
      <c r="F306" s="383" t="s">
        <v>362</v>
      </c>
      <c r="G306" s="292">
        <v>4512716532</v>
      </c>
      <c r="H306" s="358">
        <v>45968</v>
      </c>
      <c r="I306" s="359">
        <v>2</v>
      </c>
      <c r="J306" s="231" t="s">
        <v>581</v>
      </c>
      <c r="K306" s="294">
        <f>IF(BD.PD[[#This Row],[Mon]]="DOP",1,HLOOKUP(BD.PD[[#This Row],[Mon]],$J$1:$K$2,2,FALSE))</f>
        <v>1</v>
      </c>
      <c r="L306" s="360">
        <v>4728.8149999999996</v>
      </c>
      <c r="M306" s="296">
        <f>BD.PD[[#This Row],[Cant.]]*BD.PD[[#This Row],[ Tasa ]]*BD.PD[[#This Row],[ Precio Und.]]</f>
        <v>9457.6299999999992</v>
      </c>
      <c r="N306" s="361">
        <v>0</v>
      </c>
      <c r="O306" s="296">
        <f>IF(BD.PD[[#This Row],[Liquid. '[%']]]&lt;&gt;0,(BD.PD[[#This Row],[Valor Neto '[DOP']]]*BD.PD[[#This Row],[Liquid. '[%']]])+BD.PD[[#This Row],[Valor Neto '[DOP']]],BD.PD[[#This Row],[Valor Neto '[DOP']]])</f>
        <v>9457.6299999999992</v>
      </c>
      <c r="P306" s="306">
        <f>BD.PD[[#This Row],[Ppto. Orden Interna '[DOP']]]/HLOOKUP("USD",$J$1:$K$2,2,FALSE)</f>
        <v>150.12111111111111</v>
      </c>
      <c r="Q306" s="299" t="s">
        <v>735</v>
      </c>
      <c r="R306" s="307" t="s">
        <v>736</v>
      </c>
      <c r="S306" s="300">
        <v>12</v>
      </c>
      <c r="T306" s="301">
        <v>0.5</v>
      </c>
      <c r="U306" s="308">
        <f>BD.PD[[#This Row],[Av.P1 '[%']]]*BD.PD[[#This Row],[Ppto. Orden Interna '[DOP']]]</f>
        <v>4728.8149999999996</v>
      </c>
      <c r="V306" s="303">
        <v>22</v>
      </c>
      <c r="W306" s="304">
        <v>0.5</v>
      </c>
      <c r="X306" s="308">
        <f>BD.PD[[#This Row],[Av.P2 '[%']]]*BD.PD[[#This Row],[Ppto. Orden Interna '[DOP']]]</f>
        <v>4728.8149999999996</v>
      </c>
      <c r="Y306" s="303"/>
      <c r="Z306" s="304"/>
      <c r="AA306" s="308">
        <f>BD.PD[[#This Row],[Av.P3 '[%']]]*BD.PD[[#This Row],[Ppto. Orden Interna '[DOP']]]</f>
        <v>0</v>
      </c>
      <c r="AB306" s="303"/>
      <c r="AC306" s="304"/>
      <c r="AD306" s="308">
        <f>BD.PD[[#This Row],[Av.P4 '[%']]]*BD.PD[[#This Row],[Ppto. Orden Interna '[DOP']]]</f>
        <v>0</v>
      </c>
      <c r="AE306" s="303"/>
      <c r="AF306" s="304"/>
      <c r="AG306" s="308">
        <f>BD.PD[[#This Row],[Av.P5 '[%']]]*BD.PD[[#This Row],[Ppto. Orden Interna '[DOP']]]</f>
        <v>0</v>
      </c>
      <c r="AH306" s="305">
        <f>BD.PD[[#This Row],[Pago 5]]+BD.PD[[#This Row],[Pago 4]]+BD.PD[[#This Row],[Pago 3]]+BD.PD[[#This Row],[Pago 2]]+BD.PD[[#This Row],[Pago 1]]</f>
        <v>9457.6299999999992</v>
      </c>
      <c r="AI306" s="404"/>
      <c r="IB306" s="275"/>
    </row>
    <row r="307" spans="1:236" ht="15" customHeight="1" x14ac:dyDescent="0.3">
      <c r="A307" s="231">
        <v>8.06</v>
      </c>
      <c r="B307" s="288"/>
      <c r="C307" s="289" t="str">
        <f>VLOOKUP(BD.PD[[#This Row],[Pos]],PPto[],3,FALSE)</f>
        <v>8.06 Otros Equipamientos de Tienda</v>
      </c>
      <c r="D307" s="231" t="s">
        <v>22</v>
      </c>
      <c r="E307" s="291" t="str">
        <f>IF(BD.PD[[#This Row],[.]]="*",VLOOKUP(BD.PD[[#This Row],[Pos]],Presupuesto!A:H,7,FALSE),"")</f>
        <v/>
      </c>
      <c r="F307" s="383" t="s">
        <v>367</v>
      </c>
      <c r="G307" s="292">
        <v>4512716532</v>
      </c>
      <c r="H307" s="358">
        <v>45968</v>
      </c>
      <c r="I307" s="359">
        <v>1</v>
      </c>
      <c r="J307" s="231" t="s">
        <v>581</v>
      </c>
      <c r="K307" s="294">
        <f>IF(BD.PD[[#This Row],[Mon]]="DOP",1,HLOOKUP(BD.PD[[#This Row],[Mon]],$J$1:$K$2,2,FALSE))</f>
        <v>1</v>
      </c>
      <c r="L307" s="360">
        <v>9279.66</v>
      </c>
      <c r="M307" s="296">
        <f>BD.PD[[#This Row],[Cant.]]*BD.PD[[#This Row],[ Tasa ]]*BD.PD[[#This Row],[ Precio Und.]]</f>
        <v>9279.66</v>
      </c>
      <c r="N307" s="361">
        <v>0</v>
      </c>
      <c r="O307" s="296">
        <f>IF(BD.PD[[#This Row],[Liquid. '[%']]]&lt;&gt;0,(BD.PD[[#This Row],[Valor Neto '[DOP']]]*BD.PD[[#This Row],[Liquid. '[%']]])+BD.PD[[#This Row],[Valor Neto '[DOP']]],BD.PD[[#This Row],[Valor Neto '[DOP']]])</f>
        <v>9279.66</v>
      </c>
      <c r="P307" s="306">
        <f>BD.PD[[#This Row],[Ppto. Orden Interna '[DOP']]]/HLOOKUP("USD",$J$1:$K$2,2,FALSE)</f>
        <v>147.29619047619047</v>
      </c>
      <c r="Q307" s="299" t="s">
        <v>735</v>
      </c>
      <c r="R307" s="307" t="s">
        <v>736</v>
      </c>
      <c r="S307" s="300">
        <v>12</v>
      </c>
      <c r="T307" s="301">
        <v>0.5</v>
      </c>
      <c r="U307" s="308">
        <f>BD.PD[[#This Row],[Av.P1 '[%']]]*BD.PD[[#This Row],[Ppto. Orden Interna '[DOP']]]</f>
        <v>4639.83</v>
      </c>
      <c r="V307" s="303">
        <v>22</v>
      </c>
      <c r="W307" s="304">
        <v>0.5</v>
      </c>
      <c r="X307" s="308">
        <f>BD.PD[[#This Row],[Av.P2 '[%']]]*BD.PD[[#This Row],[Ppto. Orden Interna '[DOP']]]</f>
        <v>4639.83</v>
      </c>
      <c r="Y307" s="303"/>
      <c r="Z307" s="304"/>
      <c r="AA307" s="308">
        <f>BD.PD[[#This Row],[Av.P3 '[%']]]*BD.PD[[#This Row],[Ppto. Orden Interna '[DOP']]]</f>
        <v>0</v>
      </c>
      <c r="AB307" s="303"/>
      <c r="AC307" s="304"/>
      <c r="AD307" s="308">
        <f>BD.PD[[#This Row],[Av.P4 '[%']]]*BD.PD[[#This Row],[Ppto. Orden Interna '[DOP']]]</f>
        <v>0</v>
      </c>
      <c r="AE307" s="303"/>
      <c r="AF307" s="304"/>
      <c r="AG307" s="308">
        <f>BD.PD[[#This Row],[Av.P5 '[%']]]*BD.PD[[#This Row],[Ppto. Orden Interna '[DOP']]]</f>
        <v>0</v>
      </c>
      <c r="AH307" s="305">
        <f>BD.PD[[#This Row],[Pago 5]]+BD.PD[[#This Row],[Pago 4]]+BD.PD[[#This Row],[Pago 3]]+BD.PD[[#This Row],[Pago 2]]+BD.PD[[#This Row],[Pago 1]]</f>
        <v>9279.66</v>
      </c>
      <c r="AI307" s="404"/>
      <c r="IB307" s="275"/>
    </row>
    <row r="308" spans="1:236" ht="15" customHeight="1" x14ac:dyDescent="0.3">
      <c r="A308" s="231">
        <v>8.06</v>
      </c>
      <c r="B308" s="288"/>
      <c r="C308" s="289" t="str">
        <f>VLOOKUP(BD.PD[[#This Row],[Pos]],PPto[],3,FALSE)</f>
        <v>8.06 Otros Equipamientos de Tienda</v>
      </c>
      <c r="D308" s="231" t="s">
        <v>22</v>
      </c>
      <c r="E308" s="291" t="str">
        <f>IF(BD.PD[[#This Row],[.]]="*",VLOOKUP(BD.PD[[#This Row],[Pos]],Presupuesto!A:H,7,FALSE),"")</f>
        <v/>
      </c>
      <c r="F308" s="383" t="s">
        <v>361</v>
      </c>
      <c r="G308" s="292">
        <v>4512716532</v>
      </c>
      <c r="H308" s="358">
        <v>45968</v>
      </c>
      <c r="I308" s="359">
        <v>1</v>
      </c>
      <c r="J308" s="231" t="s">
        <v>581</v>
      </c>
      <c r="K308" s="294">
        <f>IF(BD.PD[[#This Row],[Mon]]="DOP",1,HLOOKUP(BD.PD[[#This Row],[Mon]],$J$1:$K$2,2,FALSE))</f>
        <v>1</v>
      </c>
      <c r="L308" s="360">
        <v>8940.68</v>
      </c>
      <c r="M308" s="296">
        <f>BD.PD[[#This Row],[Cant.]]*BD.PD[[#This Row],[ Tasa ]]*BD.PD[[#This Row],[ Precio Und.]]</f>
        <v>8940.68</v>
      </c>
      <c r="N308" s="361">
        <v>0</v>
      </c>
      <c r="O308" s="296">
        <f>IF(BD.PD[[#This Row],[Liquid. '[%']]]&lt;&gt;0,(BD.PD[[#This Row],[Valor Neto '[DOP']]]*BD.PD[[#This Row],[Liquid. '[%']]])+BD.PD[[#This Row],[Valor Neto '[DOP']]],BD.PD[[#This Row],[Valor Neto '[DOP']]])</f>
        <v>8940.68</v>
      </c>
      <c r="P308" s="306">
        <f>BD.PD[[#This Row],[Ppto. Orden Interna '[DOP']]]/HLOOKUP("USD",$J$1:$K$2,2,FALSE)</f>
        <v>141.91555555555556</v>
      </c>
      <c r="Q308" s="299" t="s">
        <v>735</v>
      </c>
      <c r="R308" s="307" t="s">
        <v>736</v>
      </c>
      <c r="S308" s="300">
        <v>12</v>
      </c>
      <c r="T308" s="301">
        <v>0.5</v>
      </c>
      <c r="U308" s="308">
        <f>BD.PD[[#This Row],[Av.P1 '[%']]]*BD.PD[[#This Row],[Ppto. Orden Interna '[DOP']]]</f>
        <v>4470.34</v>
      </c>
      <c r="V308" s="303">
        <v>22</v>
      </c>
      <c r="W308" s="304">
        <v>0.5</v>
      </c>
      <c r="X308" s="308">
        <f>BD.PD[[#This Row],[Av.P2 '[%']]]*BD.PD[[#This Row],[Ppto. Orden Interna '[DOP']]]</f>
        <v>4470.34</v>
      </c>
      <c r="Y308" s="303"/>
      <c r="Z308" s="304"/>
      <c r="AA308" s="308">
        <f>BD.PD[[#This Row],[Av.P3 '[%']]]*BD.PD[[#This Row],[Ppto. Orden Interna '[DOP']]]</f>
        <v>0</v>
      </c>
      <c r="AB308" s="303"/>
      <c r="AC308" s="304"/>
      <c r="AD308" s="308">
        <f>BD.PD[[#This Row],[Av.P4 '[%']]]*BD.PD[[#This Row],[Ppto. Orden Interna '[DOP']]]</f>
        <v>0</v>
      </c>
      <c r="AE308" s="303"/>
      <c r="AF308" s="304"/>
      <c r="AG308" s="308">
        <f>BD.PD[[#This Row],[Av.P5 '[%']]]*BD.PD[[#This Row],[Ppto. Orden Interna '[DOP']]]</f>
        <v>0</v>
      </c>
      <c r="AH308" s="305">
        <f>BD.PD[[#This Row],[Pago 5]]+BD.PD[[#This Row],[Pago 4]]+BD.PD[[#This Row],[Pago 3]]+BD.PD[[#This Row],[Pago 2]]+BD.PD[[#This Row],[Pago 1]]</f>
        <v>8940.68</v>
      </c>
      <c r="AI308" s="404"/>
      <c r="IB308" s="275"/>
    </row>
    <row r="309" spans="1:236" ht="15" customHeight="1" x14ac:dyDescent="0.3">
      <c r="A309" s="231">
        <v>8.06</v>
      </c>
      <c r="B309" s="288"/>
      <c r="C309" s="289" t="str">
        <f>VLOOKUP(BD.PD[[#This Row],[Pos]],PPto[],3,FALSE)</f>
        <v>8.06 Otros Equipamientos de Tienda</v>
      </c>
      <c r="D309" s="231" t="s">
        <v>22</v>
      </c>
      <c r="E309" s="291" t="str">
        <f>IF(BD.PD[[#This Row],[.]]="*",VLOOKUP(BD.PD[[#This Row],[Pos]],Presupuesto!A:H,7,FALSE),"")</f>
        <v/>
      </c>
      <c r="F309" s="384" t="s">
        <v>343</v>
      </c>
      <c r="G309" s="292">
        <v>4512716532</v>
      </c>
      <c r="H309" s="358">
        <v>45968</v>
      </c>
      <c r="I309" s="359">
        <v>6</v>
      </c>
      <c r="J309" s="231" t="s">
        <v>581</v>
      </c>
      <c r="K309" s="294">
        <f>IF(BD.PD[[#This Row],[Mon]]="DOP",1,HLOOKUP(BD.PD[[#This Row],[Mon]],$J$1:$K$2,2,FALSE))</f>
        <v>1</v>
      </c>
      <c r="L309" s="360">
        <v>4237.29</v>
      </c>
      <c r="M309" s="296">
        <f>BD.PD[[#This Row],[Cant.]]*BD.PD[[#This Row],[ Tasa ]]*BD.PD[[#This Row],[ Precio Und.]]</f>
        <v>25423.739999999998</v>
      </c>
      <c r="N309" s="361">
        <v>0</v>
      </c>
      <c r="O309" s="296">
        <f>IF(BD.PD[[#This Row],[Liquid. '[%']]]&lt;&gt;0,(BD.PD[[#This Row],[Valor Neto '[DOP']]]*BD.PD[[#This Row],[Liquid. '[%']]])+BD.PD[[#This Row],[Valor Neto '[DOP']]],BD.PD[[#This Row],[Valor Neto '[DOP']]])</f>
        <v>25423.739999999998</v>
      </c>
      <c r="P309" s="306">
        <f>BD.PD[[#This Row],[Ppto. Orden Interna '[DOP']]]/HLOOKUP("USD",$J$1:$K$2,2,FALSE)</f>
        <v>403.55142857142852</v>
      </c>
      <c r="Q309" s="299" t="s">
        <v>735</v>
      </c>
      <c r="R309" s="307" t="s">
        <v>736</v>
      </c>
      <c r="S309" s="300">
        <v>12</v>
      </c>
      <c r="T309" s="301">
        <v>0.5</v>
      </c>
      <c r="U309" s="308">
        <f>BD.PD[[#This Row],[Av.P1 '[%']]]*BD.PD[[#This Row],[Ppto. Orden Interna '[DOP']]]</f>
        <v>12711.869999999999</v>
      </c>
      <c r="V309" s="303">
        <v>22</v>
      </c>
      <c r="W309" s="304">
        <v>0.5</v>
      </c>
      <c r="X309" s="308">
        <f>BD.PD[[#This Row],[Av.P2 '[%']]]*BD.PD[[#This Row],[Ppto. Orden Interna '[DOP']]]</f>
        <v>12711.869999999999</v>
      </c>
      <c r="Y309" s="303"/>
      <c r="Z309" s="304"/>
      <c r="AA309" s="308">
        <f>BD.PD[[#This Row],[Av.P3 '[%']]]*BD.PD[[#This Row],[Ppto. Orden Interna '[DOP']]]</f>
        <v>0</v>
      </c>
      <c r="AB309" s="303"/>
      <c r="AC309" s="304"/>
      <c r="AD309" s="308">
        <f>BD.PD[[#This Row],[Av.P4 '[%']]]*BD.PD[[#This Row],[Ppto. Orden Interna '[DOP']]]</f>
        <v>0</v>
      </c>
      <c r="AE309" s="303"/>
      <c r="AF309" s="304"/>
      <c r="AG309" s="308">
        <f>BD.PD[[#This Row],[Av.P5 '[%']]]*BD.PD[[#This Row],[Ppto. Orden Interna '[DOP']]]</f>
        <v>0</v>
      </c>
      <c r="AH309" s="305">
        <f>BD.PD[[#This Row],[Pago 5]]+BD.PD[[#This Row],[Pago 4]]+BD.PD[[#This Row],[Pago 3]]+BD.PD[[#This Row],[Pago 2]]+BD.PD[[#This Row],[Pago 1]]</f>
        <v>25423.739999999998</v>
      </c>
      <c r="AI309" s="404"/>
      <c r="IB309" s="275"/>
    </row>
    <row r="310" spans="1:236" ht="15" customHeight="1" x14ac:dyDescent="0.3">
      <c r="A310" s="231">
        <v>8.06</v>
      </c>
      <c r="B310" s="288"/>
      <c r="C310" s="289" t="str">
        <f>VLOOKUP(BD.PD[[#This Row],[Pos]],PPto[],3,FALSE)</f>
        <v>8.06 Otros Equipamientos de Tienda</v>
      </c>
      <c r="D310" s="231" t="s">
        <v>22</v>
      </c>
      <c r="E310" s="291" t="str">
        <f>IF(BD.PD[[#This Row],[.]]="*",VLOOKUP(BD.PD[[#This Row],[Pos]],Presupuesto!A:H,7,FALSE),"")</f>
        <v/>
      </c>
      <c r="F310" s="383" t="s">
        <v>179</v>
      </c>
      <c r="G310" s="292" t="s">
        <v>578</v>
      </c>
      <c r="H310" s="358">
        <v>45921</v>
      </c>
      <c r="I310" s="359">
        <v>6</v>
      </c>
      <c r="J310" s="231" t="s">
        <v>581</v>
      </c>
      <c r="K310" s="294">
        <f>IF(BD.PD[[#This Row],[Mon]]="DOP",1,HLOOKUP(BD.PD[[#This Row],[Mon]],$J$1:$K$2,2,FALSE))</f>
        <v>1</v>
      </c>
      <c r="L310" s="360">
        <v>12000</v>
      </c>
      <c r="M310" s="296">
        <f>BD.PD[[#This Row],[Cant.]]*BD.PD[[#This Row],[ Tasa ]]*BD.PD[[#This Row],[ Precio Und.]]</f>
        <v>72000</v>
      </c>
      <c r="N310" s="361">
        <v>0</v>
      </c>
      <c r="O310" s="296">
        <f>IF(BD.PD[[#This Row],[Liquid. '[%']]]&lt;&gt;0,(BD.PD[[#This Row],[Valor Neto '[DOP']]]*BD.PD[[#This Row],[Liquid. '[%']]])+BD.PD[[#This Row],[Valor Neto '[DOP']]],BD.PD[[#This Row],[Valor Neto '[DOP']]])</f>
        <v>72000</v>
      </c>
      <c r="P310" s="306">
        <f>BD.PD[[#This Row],[Ppto. Orden Interna '[DOP']]]/HLOOKUP("USD",$J$1:$K$2,2,FALSE)</f>
        <v>1142.8571428571429</v>
      </c>
      <c r="Q310" s="299" t="s">
        <v>737</v>
      </c>
      <c r="R310" s="307" t="s">
        <v>642</v>
      </c>
      <c r="S310" s="300">
        <v>21</v>
      </c>
      <c r="T310" s="301">
        <v>1</v>
      </c>
      <c r="U310" s="308">
        <f>BD.PD[[#This Row],[Av.P1 '[%']]]*BD.PD[[#This Row],[Ppto. Orden Interna '[DOP']]]</f>
        <v>72000</v>
      </c>
      <c r="V310" s="303"/>
      <c r="W310" s="304"/>
      <c r="X310" s="308">
        <f>BD.PD[[#This Row],[Av.P2 '[%']]]*BD.PD[[#This Row],[Ppto. Orden Interna '[DOP']]]</f>
        <v>0</v>
      </c>
      <c r="Y310" s="303"/>
      <c r="Z310" s="304"/>
      <c r="AA310" s="308">
        <f>BD.PD[[#This Row],[Av.P3 '[%']]]*BD.PD[[#This Row],[Ppto. Orden Interna '[DOP']]]</f>
        <v>0</v>
      </c>
      <c r="AB310" s="303"/>
      <c r="AC310" s="304"/>
      <c r="AD310" s="308">
        <f>BD.PD[[#This Row],[Av.P4 '[%']]]*BD.PD[[#This Row],[Ppto. Orden Interna '[DOP']]]</f>
        <v>0</v>
      </c>
      <c r="AE310" s="303"/>
      <c r="AF310" s="304"/>
      <c r="AG310" s="308">
        <f>BD.PD[[#This Row],[Av.P5 '[%']]]*BD.PD[[#This Row],[Ppto. Orden Interna '[DOP']]]</f>
        <v>0</v>
      </c>
      <c r="AH310" s="305">
        <f>BD.PD[[#This Row],[Pago 5]]+BD.PD[[#This Row],[Pago 4]]+BD.PD[[#This Row],[Pago 3]]+BD.PD[[#This Row],[Pago 2]]+BD.PD[[#This Row],[Pago 1]]</f>
        <v>72000</v>
      </c>
      <c r="AI310" s="404"/>
      <c r="IB310" s="275"/>
    </row>
    <row r="311" spans="1:236" ht="15" customHeight="1" x14ac:dyDescent="0.3">
      <c r="A311" s="231">
        <v>8.06</v>
      </c>
      <c r="B311" s="288"/>
      <c r="C311" s="289" t="str">
        <f>VLOOKUP(BD.PD[[#This Row],[Pos]],PPto[],3,FALSE)</f>
        <v>8.06 Otros Equipamientos de Tienda</v>
      </c>
      <c r="D311" s="231" t="s">
        <v>22</v>
      </c>
      <c r="E311" s="291" t="str">
        <f>IF(BD.PD[[#This Row],[.]]="*",VLOOKUP(BD.PD[[#This Row],[Pos]],Presupuesto!A:H,7,FALSE),"")</f>
        <v/>
      </c>
      <c r="F311" s="383" t="s">
        <v>356</v>
      </c>
      <c r="G311" s="292">
        <v>4512927103</v>
      </c>
      <c r="H311" s="358">
        <v>46143</v>
      </c>
      <c r="I311" s="359">
        <v>1</v>
      </c>
      <c r="J311" s="231" t="s">
        <v>581</v>
      </c>
      <c r="K311" s="294">
        <f>IF(BD.PD[[#This Row],[Mon]]="DOP",1,HLOOKUP(BD.PD[[#This Row],[Mon]],$J$1:$K$2,2,FALSE))</f>
        <v>1</v>
      </c>
      <c r="L311" s="360">
        <v>347900</v>
      </c>
      <c r="M311" s="296">
        <f>BD.PD[[#This Row],[Cant.]]*BD.PD[[#This Row],[ Tasa ]]*BD.PD[[#This Row],[ Precio Und.]]</f>
        <v>347900</v>
      </c>
      <c r="N311" s="361">
        <v>0</v>
      </c>
      <c r="O311" s="296">
        <f>IF(BD.PD[[#This Row],[Liquid. '[%']]]&lt;&gt;0,(BD.PD[[#This Row],[Valor Neto '[DOP']]]*BD.PD[[#This Row],[Liquid. '[%']]])+BD.PD[[#This Row],[Valor Neto '[DOP']]],BD.PD[[#This Row],[Valor Neto '[DOP']]])</f>
        <v>347900</v>
      </c>
      <c r="P311" s="306">
        <f>BD.PD[[#This Row],[Ppto. Orden Interna '[DOP']]]/HLOOKUP("USD",$J$1:$K$2,2,FALSE)</f>
        <v>5522.2222222222226</v>
      </c>
      <c r="Q311" s="299" t="s">
        <v>738</v>
      </c>
      <c r="R311" s="307" t="s">
        <v>728</v>
      </c>
      <c r="S311" s="300">
        <v>17</v>
      </c>
      <c r="T311" s="301">
        <v>0.5</v>
      </c>
      <c r="U311" s="308">
        <f>BD.PD[[#This Row],[Av.P1 '[%']]]*BD.PD[[#This Row],[Ppto. Orden Interna '[DOP']]]</f>
        <v>173950</v>
      </c>
      <c r="V311" s="303">
        <v>24</v>
      </c>
      <c r="W311" s="304">
        <v>0.5</v>
      </c>
      <c r="X311" s="308">
        <f>BD.PD[[#This Row],[Av.P2 '[%']]]*BD.PD[[#This Row],[Ppto. Orden Interna '[DOP']]]</f>
        <v>173950</v>
      </c>
      <c r="Y311" s="303"/>
      <c r="Z311" s="304"/>
      <c r="AA311" s="308">
        <f>BD.PD[[#This Row],[Av.P3 '[%']]]*BD.PD[[#This Row],[Ppto. Orden Interna '[DOP']]]</f>
        <v>0</v>
      </c>
      <c r="AB311" s="303"/>
      <c r="AC311" s="304"/>
      <c r="AD311" s="308">
        <f>BD.PD[[#This Row],[Av.P4 '[%']]]*BD.PD[[#This Row],[Ppto. Orden Interna '[DOP']]]</f>
        <v>0</v>
      </c>
      <c r="AE311" s="303"/>
      <c r="AF311" s="304"/>
      <c r="AG311" s="308">
        <f>BD.PD[[#This Row],[Av.P5 '[%']]]*BD.PD[[#This Row],[Ppto. Orden Interna '[DOP']]]</f>
        <v>0</v>
      </c>
      <c r="AH311" s="305">
        <f>BD.PD[[#This Row],[Pago 5]]+BD.PD[[#This Row],[Pago 4]]+BD.PD[[#This Row],[Pago 3]]+BD.PD[[#This Row],[Pago 2]]+BD.PD[[#This Row],[Pago 1]]</f>
        <v>347900</v>
      </c>
      <c r="AI311" s="404"/>
      <c r="IB311" s="275"/>
    </row>
    <row r="312" spans="1:236" ht="17.100000000000001" customHeight="1" x14ac:dyDescent="0.3">
      <c r="A312" s="231">
        <v>8.06</v>
      </c>
      <c r="B312" s="288"/>
      <c r="C312" s="289" t="str">
        <f>VLOOKUP(BD.PD[[#This Row],[Pos]],PPto[],3,FALSE)</f>
        <v>8.06 Otros Equipamientos de Tienda</v>
      </c>
      <c r="D312" s="231" t="s">
        <v>22</v>
      </c>
      <c r="E312" s="291" t="str">
        <f>IF(BD.PD[[#This Row],[.]]="*",VLOOKUP(BD.PD[[#This Row],[Pos]],Presupuesto!A:H,7,FALSE),"")</f>
        <v/>
      </c>
      <c r="F312" s="292" t="s">
        <v>380</v>
      </c>
      <c r="G312" s="292" t="s">
        <v>578</v>
      </c>
      <c r="H312" s="358">
        <v>45921</v>
      </c>
      <c r="I312" s="359">
        <v>1</v>
      </c>
      <c r="J312" s="231" t="s">
        <v>581</v>
      </c>
      <c r="K312" s="294">
        <f>IF(BD.PD[[#This Row],[Mon]]="DOP",1,HLOOKUP(BD.PD[[#This Row],[Mon]],$J$1:$K$2,2,FALSE))</f>
        <v>1</v>
      </c>
      <c r="L312" s="360">
        <v>47871</v>
      </c>
      <c r="M312" s="296">
        <f>BD.PD[[#This Row],[Cant.]]*BD.PD[[#This Row],[ Tasa ]]*BD.PD[[#This Row],[ Precio Und.]]</f>
        <v>47871</v>
      </c>
      <c r="N312" s="361">
        <v>0</v>
      </c>
      <c r="O312" s="296">
        <f>IF(BD.PD[[#This Row],[Liquid. '[%']]]&lt;&gt;0,(BD.PD[[#This Row],[Valor Neto '[DOP']]]*BD.PD[[#This Row],[Liquid. '[%']]])+BD.PD[[#This Row],[Valor Neto '[DOP']]],BD.PD[[#This Row],[Valor Neto '[DOP']]])</f>
        <v>47871</v>
      </c>
      <c r="P312" s="306">
        <f>BD.PD[[#This Row],[Ppto. Orden Interna '[DOP']]]/HLOOKUP("USD",$J$1:$K$2,2,FALSE)</f>
        <v>759.85714285714289</v>
      </c>
      <c r="Q312" s="299" t="s">
        <v>739</v>
      </c>
      <c r="R312" s="307"/>
      <c r="S312" s="300">
        <v>21</v>
      </c>
      <c r="T312" s="301">
        <v>1</v>
      </c>
      <c r="U312" s="308">
        <f>BD.PD[[#This Row],[Av.P1 '[%']]]*BD.PD[[#This Row],[Ppto. Orden Interna '[DOP']]]</f>
        <v>47871</v>
      </c>
      <c r="V312" s="303"/>
      <c r="W312" s="304"/>
      <c r="X312" s="308">
        <f>BD.PD[[#This Row],[Av.P2 '[%']]]*BD.PD[[#This Row],[Ppto. Orden Interna '[DOP']]]</f>
        <v>0</v>
      </c>
      <c r="Y312" s="303"/>
      <c r="Z312" s="304"/>
      <c r="AA312" s="308">
        <f>BD.PD[[#This Row],[Av.P3 '[%']]]*BD.PD[[#This Row],[Ppto. Orden Interna '[DOP']]]</f>
        <v>0</v>
      </c>
      <c r="AB312" s="303"/>
      <c r="AC312" s="304"/>
      <c r="AD312" s="308">
        <f>BD.PD[[#This Row],[Av.P4 '[%']]]*BD.PD[[#This Row],[Ppto. Orden Interna '[DOP']]]</f>
        <v>0</v>
      </c>
      <c r="AE312" s="303"/>
      <c r="AF312" s="304"/>
      <c r="AG312" s="308">
        <f>BD.PD[[#This Row],[Av.P5 '[%']]]*BD.PD[[#This Row],[Ppto. Orden Interna '[DOP']]]</f>
        <v>0</v>
      </c>
      <c r="AH312" s="305">
        <f>BD.PD[[#This Row],[Pago 5]]+BD.PD[[#This Row],[Pago 4]]+BD.PD[[#This Row],[Pago 3]]+BD.PD[[#This Row],[Pago 2]]+BD.PD[[#This Row],[Pago 1]]</f>
        <v>47871</v>
      </c>
      <c r="AI312" s="404"/>
      <c r="IB312" s="275"/>
    </row>
    <row r="313" spans="1:236" ht="15" customHeight="1" x14ac:dyDescent="0.3">
      <c r="A313" s="231">
        <v>8.06</v>
      </c>
      <c r="B313" s="288"/>
      <c r="C313" s="289" t="str">
        <f>VLOOKUP(BD.PD[[#This Row],[Pos]],PPto[],3,FALSE)</f>
        <v>8.06 Otros Equipamientos de Tienda</v>
      </c>
      <c r="D313" s="231" t="s">
        <v>22</v>
      </c>
      <c r="E313" s="291" t="str">
        <f>IF(BD.PD[[#This Row],[.]]="*",VLOOKUP(BD.PD[[#This Row],[Pos]],Presupuesto!A:H,7,FALSE),"")</f>
        <v/>
      </c>
      <c r="F313" s="493" t="s">
        <v>740</v>
      </c>
      <c r="G313" s="292">
        <v>4512927103</v>
      </c>
      <c r="H313" s="358">
        <v>46143</v>
      </c>
      <c r="I313" s="359">
        <v>1</v>
      </c>
      <c r="J313" s="231" t="s">
        <v>581</v>
      </c>
      <c r="K313" s="294">
        <f>IF(BD.PD[[#This Row],[Mon]]="DOP",1,HLOOKUP(BD.PD[[#This Row],[Mon]],$J$1:$K$2,2,FALSE))</f>
        <v>1</v>
      </c>
      <c r="L313" s="494">
        <v>347900</v>
      </c>
      <c r="M313" s="296">
        <f>BD.PD[[#This Row],[Cant.]]*BD.PD[[#This Row],[ Tasa ]]*BD.PD[[#This Row],[ Precio Und.]]</f>
        <v>347900</v>
      </c>
      <c r="N313" s="361">
        <v>0</v>
      </c>
      <c r="O313" s="296">
        <f>IF(BD.PD[[#This Row],[Liquid. '[%']]]&lt;&gt;0,(BD.PD[[#This Row],[Valor Neto '[DOP']]]*BD.PD[[#This Row],[Liquid. '[%']]])+BD.PD[[#This Row],[Valor Neto '[DOP']]],BD.PD[[#This Row],[Valor Neto '[DOP']]])</f>
        <v>347900</v>
      </c>
      <c r="P313" s="306">
        <f>BD.PD[[#This Row],[Ppto. Orden Interna '[DOP']]]/HLOOKUP("USD",$J$1:$K$2,2,FALSE)</f>
        <v>5522.2222222222226</v>
      </c>
      <c r="Q313" s="299" t="s">
        <v>741</v>
      </c>
      <c r="R313" s="307" t="s">
        <v>742</v>
      </c>
      <c r="S313" s="300">
        <v>19</v>
      </c>
      <c r="T313" s="301">
        <v>0.5</v>
      </c>
      <c r="U313" s="308">
        <f>BD.PD[[#This Row],[Av.P1 '[%']]]*BD.PD[[#This Row],[Ppto. Orden Interna '[DOP']]]</f>
        <v>173950</v>
      </c>
      <c r="V313" s="303">
        <v>22</v>
      </c>
      <c r="W313" s="304">
        <v>0.5</v>
      </c>
      <c r="X313" s="308">
        <f>BD.PD[[#This Row],[Av.P2 '[%']]]*BD.PD[[#This Row],[Ppto. Orden Interna '[DOP']]]</f>
        <v>173950</v>
      </c>
      <c r="Y313" s="303"/>
      <c r="Z313" s="304"/>
      <c r="AA313" s="308">
        <f>BD.PD[[#This Row],[Av.P3 '[%']]]*BD.PD[[#This Row],[Ppto. Orden Interna '[DOP']]]</f>
        <v>0</v>
      </c>
      <c r="AB313" s="303"/>
      <c r="AC313" s="304"/>
      <c r="AD313" s="308">
        <f>BD.PD[[#This Row],[Av.P4 '[%']]]*BD.PD[[#This Row],[Ppto. Orden Interna '[DOP']]]</f>
        <v>0</v>
      </c>
      <c r="AE313" s="303"/>
      <c r="AF313" s="304"/>
      <c r="AG313" s="308">
        <f>BD.PD[[#This Row],[Av.P5 '[%']]]*BD.PD[[#This Row],[Ppto. Orden Interna '[DOP']]]</f>
        <v>0</v>
      </c>
      <c r="AH313" s="305">
        <f>BD.PD[[#This Row],[Pago 5]]+BD.PD[[#This Row],[Pago 4]]+BD.PD[[#This Row],[Pago 3]]+BD.PD[[#This Row],[Pago 2]]+BD.PD[[#This Row],[Pago 1]]</f>
        <v>347900</v>
      </c>
      <c r="AI313" s="404"/>
      <c r="IB313" s="275"/>
    </row>
    <row r="314" spans="1:236" ht="15" customHeight="1" x14ac:dyDescent="0.3">
      <c r="A314" s="231">
        <v>8.06</v>
      </c>
      <c r="B314" s="288"/>
      <c r="C314" s="289" t="str">
        <f>VLOOKUP(BD.PD[[#This Row],[Pos]],PPto[],3,FALSE)</f>
        <v>8.06 Otros Equipamientos de Tienda</v>
      </c>
      <c r="D314" s="231" t="s">
        <v>22</v>
      </c>
      <c r="E314" s="291" t="str">
        <f>IF(BD.PD[[#This Row],[.]]="*",VLOOKUP(BD.PD[[#This Row],[Pos]],Presupuesto!A:H,7,FALSE),"")</f>
        <v/>
      </c>
      <c r="F314" s="493" t="s">
        <v>743</v>
      </c>
      <c r="G314" s="292" t="s">
        <v>578</v>
      </c>
      <c r="H314" s="358">
        <v>45921</v>
      </c>
      <c r="I314" s="359">
        <v>1</v>
      </c>
      <c r="J314" s="231" t="s">
        <v>581</v>
      </c>
      <c r="K314" s="294">
        <f>IF(BD.PD[[#This Row],[Mon]]="DOP",1,HLOOKUP(BD.PD[[#This Row],[Mon]],$J$1:$K$2,2,FALSE))</f>
        <v>1</v>
      </c>
      <c r="L314" s="494">
        <v>125000</v>
      </c>
      <c r="M314" s="296">
        <f>BD.PD[[#This Row],[Cant.]]*BD.PD[[#This Row],[ Tasa ]]*BD.PD[[#This Row],[ Precio Und.]]</f>
        <v>125000</v>
      </c>
      <c r="N314" s="361">
        <v>0</v>
      </c>
      <c r="O314" s="296">
        <f>IF(BD.PD[[#This Row],[Liquid. '[%']]]&lt;&gt;0,(BD.PD[[#This Row],[Valor Neto '[DOP']]]*BD.PD[[#This Row],[Liquid. '[%']]])+BD.PD[[#This Row],[Valor Neto '[DOP']]],BD.PD[[#This Row],[Valor Neto '[DOP']]])</f>
        <v>125000</v>
      </c>
      <c r="P314" s="306">
        <f>BD.PD[[#This Row],[Ppto. Orden Interna '[DOP']]]/HLOOKUP("USD",$J$1:$K$2,2,FALSE)</f>
        <v>1984.1269841269841</v>
      </c>
      <c r="Q314" s="299" t="s">
        <v>741</v>
      </c>
      <c r="R314" s="307" t="s">
        <v>742</v>
      </c>
      <c r="S314" s="300">
        <v>22</v>
      </c>
      <c r="T314" s="301">
        <v>0.5</v>
      </c>
      <c r="U314" s="308">
        <f>BD.PD[[#This Row],[Av.P1 '[%']]]*BD.PD[[#This Row],[Ppto. Orden Interna '[DOP']]]</f>
        <v>62500</v>
      </c>
      <c r="V314" s="303">
        <v>24</v>
      </c>
      <c r="W314" s="304">
        <v>0.5</v>
      </c>
      <c r="X314" s="308">
        <f>BD.PD[[#This Row],[Av.P2 '[%']]]*BD.PD[[#This Row],[Ppto. Orden Interna '[DOP']]]</f>
        <v>62500</v>
      </c>
      <c r="Y314" s="303"/>
      <c r="Z314" s="304"/>
      <c r="AA314" s="308">
        <f>BD.PD[[#This Row],[Av.P3 '[%']]]*BD.PD[[#This Row],[Ppto. Orden Interna '[DOP']]]</f>
        <v>0</v>
      </c>
      <c r="AB314" s="303"/>
      <c r="AC314" s="304"/>
      <c r="AD314" s="308">
        <f>BD.PD[[#This Row],[Av.P4 '[%']]]*BD.PD[[#This Row],[Ppto. Orden Interna '[DOP']]]</f>
        <v>0</v>
      </c>
      <c r="AE314" s="303"/>
      <c r="AF314" s="304"/>
      <c r="AG314" s="308">
        <f>BD.PD[[#This Row],[Av.P5 '[%']]]*BD.PD[[#This Row],[Ppto. Orden Interna '[DOP']]]</f>
        <v>0</v>
      </c>
      <c r="AH314" s="305">
        <f>BD.PD[[#This Row],[Pago 5]]+BD.PD[[#This Row],[Pago 4]]+BD.PD[[#This Row],[Pago 3]]+BD.PD[[#This Row],[Pago 2]]+BD.PD[[#This Row],[Pago 1]]</f>
        <v>125000</v>
      </c>
      <c r="AI314" s="404"/>
      <c r="IB314" s="275"/>
    </row>
    <row r="315" spans="1:236" ht="15" customHeight="1" x14ac:dyDescent="0.3">
      <c r="A315" s="231">
        <v>8.06</v>
      </c>
      <c r="B315" s="288"/>
      <c r="C315" s="289" t="str">
        <f>VLOOKUP(BD.PD[[#This Row],[Pos]],PPto[],3,FALSE)</f>
        <v>8.06 Otros Equipamientos de Tienda</v>
      </c>
      <c r="D315" s="231" t="s">
        <v>22</v>
      </c>
      <c r="E315" s="291" t="str">
        <f>IF(BD.PD[[#This Row],[.]]="*",VLOOKUP(BD.PD[[#This Row],[Pos]],Presupuesto!A:H,7,FALSE),"")</f>
        <v/>
      </c>
      <c r="F315" s="383" t="s">
        <v>344</v>
      </c>
      <c r="G315" s="292" t="s">
        <v>1345</v>
      </c>
      <c r="H315" s="358">
        <v>45921</v>
      </c>
      <c r="I315" s="359">
        <v>10</v>
      </c>
      <c r="J315" s="231" t="s">
        <v>581</v>
      </c>
      <c r="K315" s="294">
        <f>IF(BD.PD[[#This Row],[Mon]]="DOP",1,HLOOKUP(BD.PD[[#This Row],[Mon]],$J$1:$K$2,2,FALSE))</f>
        <v>1</v>
      </c>
      <c r="L315" s="360">
        <v>28950</v>
      </c>
      <c r="M315" s="296">
        <f>BD.PD[[#This Row],[Cant.]]*BD.PD[[#This Row],[ Tasa ]]*BD.PD[[#This Row],[ Precio Und.]]</f>
        <v>289500</v>
      </c>
      <c r="N315" s="361">
        <v>0</v>
      </c>
      <c r="O315" s="296">
        <f>IF(BD.PD[[#This Row],[Liquid. '[%']]]&lt;&gt;0,(BD.PD[[#This Row],[Valor Neto '[DOP']]]*BD.PD[[#This Row],[Liquid. '[%']]])+BD.PD[[#This Row],[Valor Neto '[DOP']]],BD.PD[[#This Row],[Valor Neto '[DOP']]])</f>
        <v>289500</v>
      </c>
      <c r="P315" s="306">
        <f>BD.PD[[#This Row],[Ppto. Orden Interna '[DOP']]]/HLOOKUP("USD",$J$1:$K$2,2,FALSE)</f>
        <v>4595.2380952380954</v>
      </c>
      <c r="Q315" s="299" t="s">
        <v>744</v>
      </c>
      <c r="R315" s="307" t="s">
        <v>745</v>
      </c>
      <c r="S315" s="300">
        <v>21</v>
      </c>
      <c r="T315" s="301">
        <v>1</v>
      </c>
      <c r="U315" s="308">
        <f>BD.PD[[#This Row],[Av.P1 '[%']]]*BD.PD[[#This Row],[Ppto. Orden Interna '[DOP']]]</f>
        <v>289500</v>
      </c>
      <c r="V315" s="303"/>
      <c r="W315" s="304"/>
      <c r="X315" s="308">
        <f>BD.PD[[#This Row],[Av.P2 '[%']]]*BD.PD[[#This Row],[Ppto. Orden Interna '[DOP']]]</f>
        <v>0</v>
      </c>
      <c r="Y315" s="303"/>
      <c r="Z315" s="304"/>
      <c r="AA315" s="308">
        <f>BD.PD[[#This Row],[Av.P3 '[%']]]*BD.PD[[#This Row],[Ppto. Orden Interna '[DOP']]]</f>
        <v>0</v>
      </c>
      <c r="AB315" s="303"/>
      <c r="AC315" s="304"/>
      <c r="AD315" s="308">
        <f>BD.PD[[#This Row],[Av.P4 '[%']]]*BD.PD[[#This Row],[Ppto. Orden Interna '[DOP']]]</f>
        <v>0</v>
      </c>
      <c r="AE315" s="303"/>
      <c r="AF315" s="304"/>
      <c r="AG315" s="308">
        <f>BD.PD[[#This Row],[Av.P5 '[%']]]*BD.PD[[#This Row],[Ppto. Orden Interna '[DOP']]]</f>
        <v>0</v>
      </c>
      <c r="AH315" s="305">
        <f>BD.PD[[#This Row],[Pago 5]]+BD.PD[[#This Row],[Pago 4]]+BD.PD[[#This Row],[Pago 3]]+BD.PD[[#This Row],[Pago 2]]+BD.PD[[#This Row],[Pago 1]]</f>
        <v>289500</v>
      </c>
      <c r="AI315" s="404"/>
      <c r="IB315" s="275"/>
    </row>
    <row r="316" spans="1:236" ht="15" customHeight="1" x14ac:dyDescent="0.3">
      <c r="A316" s="231">
        <v>8.06</v>
      </c>
      <c r="B316" s="288"/>
      <c r="C316" s="289" t="str">
        <f>VLOOKUP(BD.PD[[#This Row],[Pos]],PPto[],3,FALSE)</f>
        <v>8.06 Otros Equipamientos de Tienda</v>
      </c>
      <c r="D316" s="231" t="s">
        <v>22</v>
      </c>
      <c r="E316" s="291" t="str">
        <f>IF(BD.PD[[#This Row],[.]]="*",VLOOKUP(BD.PD[[#This Row],[Pos]],Presupuesto!A:H,7,FALSE),"")</f>
        <v/>
      </c>
      <c r="F316" s="384" t="s">
        <v>375</v>
      </c>
      <c r="G316" s="292" t="s">
        <v>578</v>
      </c>
      <c r="H316" s="358">
        <v>45921</v>
      </c>
      <c r="I316" s="359">
        <v>1</v>
      </c>
      <c r="J316" s="231" t="s">
        <v>581</v>
      </c>
      <c r="K316" s="294">
        <f>IF(BD.PD[[#This Row],[Mon]]="DOP",1,HLOOKUP(BD.PD[[#This Row],[Mon]],$J$1:$K$2,2,FALSE))</f>
        <v>1</v>
      </c>
      <c r="L316" s="360">
        <v>22000</v>
      </c>
      <c r="M316" s="296">
        <f>BD.PD[[#This Row],[Cant.]]*BD.PD[[#This Row],[ Tasa ]]*BD.PD[[#This Row],[ Precio Und.]]</f>
        <v>22000</v>
      </c>
      <c r="N316" s="361">
        <v>0</v>
      </c>
      <c r="O316" s="296">
        <f>IF(BD.PD[[#This Row],[Liquid. '[%']]]&lt;&gt;0,(BD.PD[[#This Row],[Valor Neto '[DOP']]]*BD.PD[[#This Row],[Liquid. '[%']]])+BD.PD[[#This Row],[Valor Neto '[DOP']]],BD.PD[[#This Row],[Valor Neto '[DOP']]])</f>
        <v>22000</v>
      </c>
      <c r="P316" s="306">
        <f>BD.PD[[#This Row],[Ppto. Orden Interna '[DOP']]]/HLOOKUP("USD",$J$1:$K$2,2,FALSE)</f>
        <v>349.20634920634922</v>
      </c>
      <c r="Q316" s="299" t="s">
        <v>746</v>
      </c>
      <c r="R316" s="307" t="s">
        <v>642</v>
      </c>
      <c r="S316" s="300">
        <v>21</v>
      </c>
      <c r="T316" s="301">
        <v>1</v>
      </c>
      <c r="U316" s="308">
        <f>BD.PD[[#This Row],[Av.P1 '[%']]]*BD.PD[[#This Row],[Ppto. Orden Interna '[DOP']]]</f>
        <v>22000</v>
      </c>
      <c r="V316" s="303"/>
      <c r="W316" s="304"/>
      <c r="X316" s="308">
        <f>BD.PD[[#This Row],[Av.P2 '[%']]]*BD.PD[[#This Row],[Ppto. Orden Interna '[DOP']]]</f>
        <v>0</v>
      </c>
      <c r="Y316" s="303"/>
      <c r="Z316" s="304"/>
      <c r="AA316" s="308">
        <f>BD.PD[[#This Row],[Av.P3 '[%']]]*BD.PD[[#This Row],[Ppto. Orden Interna '[DOP']]]</f>
        <v>0</v>
      </c>
      <c r="AB316" s="303"/>
      <c r="AC316" s="304"/>
      <c r="AD316" s="308">
        <f>BD.PD[[#This Row],[Av.P4 '[%']]]*BD.PD[[#This Row],[Ppto. Orden Interna '[DOP']]]</f>
        <v>0</v>
      </c>
      <c r="AE316" s="303"/>
      <c r="AF316" s="304"/>
      <c r="AG316" s="308">
        <f>BD.PD[[#This Row],[Av.P5 '[%']]]*BD.PD[[#This Row],[Ppto. Orden Interna '[DOP']]]</f>
        <v>0</v>
      </c>
      <c r="AH316" s="305">
        <f>BD.PD[[#This Row],[Pago 5]]+BD.PD[[#This Row],[Pago 4]]+BD.PD[[#This Row],[Pago 3]]+BD.PD[[#This Row],[Pago 2]]+BD.PD[[#This Row],[Pago 1]]</f>
        <v>22000</v>
      </c>
      <c r="AI316" s="404"/>
      <c r="IB316" s="275"/>
    </row>
    <row r="317" spans="1:236" ht="15" customHeight="1" x14ac:dyDescent="0.3">
      <c r="A317" s="231">
        <v>8.06</v>
      </c>
      <c r="B317" s="288"/>
      <c r="C317" s="289" t="str">
        <f>VLOOKUP(BD.PD[[#This Row],[Pos]],PPto[],3,FALSE)</f>
        <v>8.06 Otros Equipamientos de Tienda</v>
      </c>
      <c r="D317" s="231" t="s">
        <v>22</v>
      </c>
      <c r="E317" s="291" t="str">
        <f>IF(BD.PD[[#This Row],[.]]="*",VLOOKUP(BD.PD[[#This Row],[Pos]],Presupuesto!A:H,7,FALSE),"")</f>
        <v/>
      </c>
      <c r="F317" s="292" t="s">
        <v>1330</v>
      </c>
      <c r="G317" s="292">
        <v>4512941532</v>
      </c>
      <c r="H317" s="358" t="s">
        <v>1331</v>
      </c>
      <c r="I317" s="359">
        <v>2</v>
      </c>
      <c r="J317" s="231" t="s">
        <v>581</v>
      </c>
      <c r="K317" s="294">
        <f>IF(BD.PD[[#This Row],[Mon]]="DOP",1,HLOOKUP(BD.PD[[#This Row],[Mon]],$J$1:$K$2,2,FALSE))</f>
        <v>1</v>
      </c>
      <c r="L317" s="360">
        <v>8819.76</v>
      </c>
      <c r="M317" s="296">
        <f>BD.PD[[#This Row],[Cant.]]*BD.PD[[#This Row],[ Tasa ]]*BD.PD[[#This Row],[ Precio Und.]]</f>
        <v>17639.52</v>
      </c>
      <c r="N317" s="361">
        <v>0</v>
      </c>
      <c r="O317" s="296">
        <f>IF(BD.PD[[#This Row],[Liquid. '[%']]]&lt;&gt;0,(BD.PD[[#This Row],[Valor Neto '[DOP']]]*BD.PD[[#This Row],[Liquid. '[%']]])+BD.PD[[#This Row],[Valor Neto '[DOP']]],BD.PD[[#This Row],[Valor Neto '[DOP']]])</f>
        <v>17639.52</v>
      </c>
      <c r="P317" s="306">
        <f>BD.PD[[#This Row],[Ppto. Orden Interna '[DOP']]]/HLOOKUP("USD",$J$1:$K$2,2,FALSE)</f>
        <v>279.99238095238098</v>
      </c>
      <c r="Q317" s="299" t="s">
        <v>747</v>
      </c>
      <c r="R317" s="307" t="s">
        <v>748</v>
      </c>
      <c r="S317" s="300">
        <v>19</v>
      </c>
      <c r="T317" s="301">
        <v>1</v>
      </c>
      <c r="U317" s="308">
        <f>BD.PD[[#This Row],[Av.P1 '[%']]]*BD.PD[[#This Row],[Ppto. Orden Interna '[DOP']]]</f>
        <v>17639.52</v>
      </c>
      <c r="V317" s="303"/>
      <c r="W317" s="304"/>
      <c r="X317" s="308">
        <f>BD.PD[[#This Row],[Av.P2 '[%']]]*BD.PD[[#This Row],[Ppto. Orden Interna '[DOP']]]</f>
        <v>0</v>
      </c>
      <c r="Y317" s="303"/>
      <c r="Z317" s="304"/>
      <c r="AA317" s="308">
        <f>BD.PD[[#This Row],[Av.P3 '[%']]]*BD.PD[[#This Row],[Ppto. Orden Interna '[DOP']]]</f>
        <v>0</v>
      </c>
      <c r="AB317" s="303"/>
      <c r="AC317" s="304"/>
      <c r="AD317" s="308">
        <f>BD.PD[[#This Row],[Av.P4 '[%']]]*BD.PD[[#This Row],[Ppto. Orden Interna '[DOP']]]</f>
        <v>0</v>
      </c>
      <c r="AE317" s="303"/>
      <c r="AF317" s="304"/>
      <c r="AG317" s="308">
        <f>BD.PD[[#This Row],[Av.P5 '[%']]]*BD.PD[[#This Row],[Ppto. Orden Interna '[DOP']]]</f>
        <v>0</v>
      </c>
      <c r="AH317" s="305">
        <f>BD.PD[[#This Row],[Pago 5]]+BD.PD[[#This Row],[Pago 4]]+BD.PD[[#This Row],[Pago 3]]+BD.PD[[#This Row],[Pago 2]]+BD.PD[[#This Row],[Pago 1]]</f>
        <v>17639.52</v>
      </c>
      <c r="AI317" s="404"/>
      <c r="IB317" s="275"/>
    </row>
    <row r="318" spans="1:236" ht="15" customHeight="1" x14ac:dyDescent="0.3">
      <c r="A318" s="231">
        <v>8.06</v>
      </c>
      <c r="B318" s="288"/>
      <c r="C318" s="289" t="str">
        <f>VLOOKUP(BD.PD[[#This Row],[Pos]],PPto[],3,FALSE)</f>
        <v>8.06 Otros Equipamientos de Tienda</v>
      </c>
      <c r="D318" s="231" t="s">
        <v>22</v>
      </c>
      <c r="E318" s="291" t="str">
        <f>IF(BD.PD[[#This Row],[.]]="*",VLOOKUP(BD.PD[[#This Row],[Pos]],Presupuesto!A:H,7,FALSE),"")</f>
        <v/>
      </c>
      <c r="F318" s="292" t="s">
        <v>1327</v>
      </c>
      <c r="G318" s="292">
        <v>4512941532</v>
      </c>
      <c r="H318" s="358" t="s">
        <v>1331</v>
      </c>
      <c r="I318" s="359">
        <v>2</v>
      </c>
      <c r="J318" s="231" t="s">
        <v>581</v>
      </c>
      <c r="K318" s="294">
        <f>IF(BD.PD[[#This Row],[Mon]]="DOP",1,HLOOKUP(BD.PD[[#This Row],[Mon]],$J$1:$K$2,2,FALSE))</f>
        <v>1</v>
      </c>
      <c r="L318" s="360">
        <v>11389.79</v>
      </c>
      <c r="M318" s="296">
        <f>BD.PD[[#This Row],[Cant.]]*BD.PD[[#This Row],[ Tasa ]]*BD.PD[[#This Row],[ Precio Und.]]</f>
        <v>22779.58</v>
      </c>
      <c r="N318" s="361">
        <v>0</v>
      </c>
      <c r="O318" s="296">
        <f>IF(BD.PD[[#This Row],[Liquid. '[%']]]&lt;&gt;0,(BD.PD[[#This Row],[Valor Neto '[DOP']]]*BD.PD[[#This Row],[Liquid. '[%']]])+BD.PD[[#This Row],[Valor Neto '[DOP']]],BD.PD[[#This Row],[Valor Neto '[DOP']]])</f>
        <v>22779.58</v>
      </c>
      <c r="P318" s="306">
        <f>BD.PD[[#This Row],[Ppto. Orden Interna '[DOP']]]/HLOOKUP("USD",$J$1:$K$2,2,FALSE)</f>
        <v>361.58063492063496</v>
      </c>
      <c r="Q318" s="299" t="s">
        <v>749</v>
      </c>
      <c r="R318" s="307" t="s">
        <v>748</v>
      </c>
      <c r="S318" s="300">
        <v>19</v>
      </c>
      <c r="T318" s="301">
        <v>1</v>
      </c>
      <c r="U318" s="308">
        <f>BD.PD[[#This Row],[Av.P1 '[%']]]*BD.PD[[#This Row],[Ppto. Orden Interna '[DOP']]]</f>
        <v>22779.58</v>
      </c>
      <c r="V318" s="303"/>
      <c r="W318" s="304"/>
      <c r="X318" s="308">
        <f>BD.PD[[#This Row],[Av.P2 '[%']]]*BD.PD[[#This Row],[Ppto. Orden Interna '[DOP']]]</f>
        <v>0</v>
      </c>
      <c r="Y318" s="303"/>
      <c r="Z318" s="304"/>
      <c r="AA318" s="308">
        <f>BD.PD[[#This Row],[Av.P3 '[%']]]*BD.PD[[#This Row],[Ppto. Orden Interna '[DOP']]]</f>
        <v>0</v>
      </c>
      <c r="AB318" s="303"/>
      <c r="AC318" s="304"/>
      <c r="AD318" s="308">
        <f>BD.PD[[#This Row],[Av.P4 '[%']]]*BD.PD[[#This Row],[Ppto. Orden Interna '[DOP']]]</f>
        <v>0</v>
      </c>
      <c r="AE318" s="303"/>
      <c r="AF318" s="304"/>
      <c r="AG318" s="308">
        <f>BD.PD[[#This Row],[Av.P5 '[%']]]*BD.PD[[#This Row],[Ppto. Orden Interna '[DOP']]]</f>
        <v>0</v>
      </c>
      <c r="AH318" s="305">
        <f>BD.PD[[#This Row],[Pago 5]]+BD.PD[[#This Row],[Pago 4]]+BD.PD[[#This Row],[Pago 3]]+BD.PD[[#This Row],[Pago 2]]+BD.PD[[#This Row],[Pago 1]]</f>
        <v>22779.58</v>
      </c>
      <c r="AI318" s="404"/>
      <c r="IB318" s="275"/>
    </row>
    <row r="319" spans="1:236" ht="15" customHeight="1" x14ac:dyDescent="0.3">
      <c r="A319" s="231">
        <v>8.06</v>
      </c>
      <c r="B319" s="288"/>
      <c r="C319" s="289" t="str">
        <f>VLOOKUP(BD.PD[[#This Row],[Pos]],PPto[],3,FALSE)</f>
        <v>8.06 Otros Equipamientos de Tienda</v>
      </c>
      <c r="D319" s="231" t="s">
        <v>22</v>
      </c>
      <c r="E319" s="291" t="str">
        <f>IF(BD.PD[[#This Row],[.]]="*",VLOOKUP(BD.PD[[#This Row],[Pos]],Presupuesto!A:H,7,FALSE),"")</f>
        <v/>
      </c>
      <c r="F319" s="292" t="s">
        <v>1328</v>
      </c>
      <c r="G319" s="292">
        <v>4512941532</v>
      </c>
      <c r="H319" s="358" t="s">
        <v>1331</v>
      </c>
      <c r="I319" s="359">
        <v>2</v>
      </c>
      <c r="J319" s="231" t="s">
        <v>581</v>
      </c>
      <c r="K319" s="294">
        <f>IF(BD.PD[[#This Row],[Mon]]="DOP",1,HLOOKUP(BD.PD[[#This Row],[Mon]],$J$1:$K$2,2,FALSE))</f>
        <v>1</v>
      </c>
      <c r="L319" s="360">
        <v>5011.34</v>
      </c>
      <c r="M319" s="296">
        <f>BD.PD[[#This Row],[Cant.]]*BD.PD[[#This Row],[ Tasa ]]*BD.PD[[#This Row],[ Precio Und.]]</f>
        <v>10022.68</v>
      </c>
      <c r="N319" s="361">
        <v>0</v>
      </c>
      <c r="O319" s="296">
        <f>IF(BD.PD[[#This Row],[Liquid. '[%']]]&lt;&gt;0,(BD.PD[[#This Row],[Valor Neto '[DOP']]]*BD.PD[[#This Row],[Liquid. '[%']]])+BD.PD[[#This Row],[Valor Neto '[DOP']]],BD.PD[[#This Row],[Valor Neto '[DOP']]])</f>
        <v>10022.68</v>
      </c>
      <c r="P319" s="306">
        <f>BD.PD[[#This Row],[Ppto. Orden Interna '[DOP']]]/HLOOKUP("USD",$J$1:$K$2,2,FALSE)</f>
        <v>159.09015873015875</v>
      </c>
      <c r="Q319" s="299" t="s">
        <v>749</v>
      </c>
      <c r="R319" s="307" t="s">
        <v>748</v>
      </c>
      <c r="S319" s="300">
        <v>19</v>
      </c>
      <c r="T319" s="301">
        <v>1</v>
      </c>
      <c r="U319" s="308">
        <f>BD.PD[[#This Row],[Av.P1 '[%']]]*BD.PD[[#This Row],[Ppto. Orden Interna '[DOP']]]</f>
        <v>10022.68</v>
      </c>
      <c r="V319" s="303"/>
      <c r="W319" s="304"/>
      <c r="X319" s="308">
        <f>BD.PD[[#This Row],[Av.P2 '[%']]]*BD.PD[[#This Row],[Ppto. Orden Interna '[DOP']]]</f>
        <v>0</v>
      </c>
      <c r="Y319" s="303"/>
      <c r="Z319" s="304"/>
      <c r="AA319" s="308">
        <f>BD.PD[[#This Row],[Av.P3 '[%']]]*BD.PD[[#This Row],[Ppto. Orden Interna '[DOP']]]</f>
        <v>0</v>
      </c>
      <c r="AB319" s="303"/>
      <c r="AC319" s="304"/>
      <c r="AD319" s="308">
        <f>BD.PD[[#This Row],[Av.P4 '[%']]]*BD.PD[[#This Row],[Ppto. Orden Interna '[DOP']]]</f>
        <v>0</v>
      </c>
      <c r="AE319" s="303"/>
      <c r="AF319" s="304"/>
      <c r="AG319" s="308">
        <f>BD.PD[[#This Row],[Av.P5 '[%']]]*BD.PD[[#This Row],[Ppto. Orden Interna '[DOP']]]</f>
        <v>0</v>
      </c>
      <c r="AH319" s="305">
        <f>BD.PD[[#This Row],[Pago 5]]+BD.PD[[#This Row],[Pago 4]]+BD.PD[[#This Row],[Pago 3]]+BD.PD[[#This Row],[Pago 2]]+BD.PD[[#This Row],[Pago 1]]</f>
        <v>10022.68</v>
      </c>
      <c r="AI319" s="404"/>
      <c r="IB319" s="275"/>
    </row>
    <row r="320" spans="1:236" ht="15" customHeight="1" x14ac:dyDescent="0.3">
      <c r="A320" s="231">
        <v>8.06</v>
      </c>
      <c r="B320" s="288"/>
      <c r="C320" s="289" t="str">
        <f>VLOOKUP(BD.PD[[#This Row],[Pos]],PPto[],3,FALSE)</f>
        <v>8.06 Otros Equipamientos de Tienda</v>
      </c>
      <c r="D320" s="231" t="s">
        <v>22</v>
      </c>
      <c r="E320" s="291" t="str">
        <f>IF(BD.PD[[#This Row],[.]]="*",VLOOKUP(BD.PD[[#This Row],[Pos]],Presupuesto!A:H,7,FALSE),"")</f>
        <v/>
      </c>
      <c r="F320" s="292" t="s">
        <v>1329</v>
      </c>
      <c r="G320" s="292">
        <v>4512941532</v>
      </c>
      <c r="H320" s="358" t="s">
        <v>1331</v>
      </c>
      <c r="I320" s="359">
        <v>5</v>
      </c>
      <c r="J320" s="231" t="s">
        <v>581</v>
      </c>
      <c r="K320" s="294">
        <f>IF(BD.PD[[#This Row],[Mon]]="DOP",1,HLOOKUP(BD.PD[[#This Row],[Mon]],$J$1:$K$2,2,FALSE))</f>
        <v>1</v>
      </c>
      <c r="L320" s="360">
        <v>1992.46</v>
      </c>
      <c r="M320" s="296">
        <f>BD.PD[[#This Row],[Cant.]]*BD.PD[[#This Row],[ Tasa ]]*BD.PD[[#This Row],[ Precio Und.]]</f>
        <v>9962.2999999999993</v>
      </c>
      <c r="N320" s="361">
        <v>0</v>
      </c>
      <c r="O320" s="296">
        <f>IF(BD.PD[[#This Row],[Liquid. '[%']]]&lt;&gt;0,(BD.PD[[#This Row],[Valor Neto '[DOP']]]*BD.PD[[#This Row],[Liquid. '[%']]])+BD.PD[[#This Row],[Valor Neto '[DOP']]],BD.PD[[#This Row],[Valor Neto '[DOP']]])</f>
        <v>9962.2999999999993</v>
      </c>
      <c r="P320" s="306">
        <f>BD.PD[[#This Row],[Ppto. Orden Interna '[DOP']]]/HLOOKUP("USD",$J$1:$K$2,2,FALSE)</f>
        <v>158.13174603174602</v>
      </c>
      <c r="Q320" s="299" t="s">
        <v>749</v>
      </c>
      <c r="R320" s="307" t="s">
        <v>748</v>
      </c>
      <c r="S320" s="300">
        <v>19</v>
      </c>
      <c r="T320" s="301">
        <v>1</v>
      </c>
      <c r="U320" s="308">
        <f>BD.PD[[#This Row],[Av.P1 '[%']]]*BD.PD[[#This Row],[Ppto. Orden Interna '[DOP']]]</f>
        <v>9962.2999999999993</v>
      </c>
      <c r="V320" s="303"/>
      <c r="W320" s="304"/>
      <c r="X320" s="308">
        <f>BD.PD[[#This Row],[Av.P2 '[%']]]*BD.PD[[#This Row],[Ppto. Orden Interna '[DOP']]]</f>
        <v>0</v>
      </c>
      <c r="Y320" s="303"/>
      <c r="Z320" s="304"/>
      <c r="AA320" s="308">
        <f>BD.PD[[#This Row],[Av.P3 '[%']]]*BD.PD[[#This Row],[Ppto. Orden Interna '[DOP']]]</f>
        <v>0</v>
      </c>
      <c r="AB320" s="303"/>
      <c r="AC320" s="304"/>
      <c r="AD320" s="308">
        <f>BD.PD[[#This Row],[Av.P4 '[%']]]*BD.PD[[#This Row],[Ppto. Orden Interna '[DOP']]]</f>
        <v>0</v>
      </c>
      <c r="AE320" s="303"/>
      <c r="AF320" s="304"/>
      <c r="AG320" s="308">
        <f>BD.PD[[#This Row],[Av.P5 '[%']]]*BD.PD[[#This Row],[Ppto. Orden Interna '[DOP']]]</f>
        <v>0</v>
      </c>
      <c r="AH320" s="305">
        <f>BD.PD[[#This Row],[Pago 5]]+BD.PD[[#This Row],[Pago 4]]+BD.PD[[#This Row],[Pago 3]]+BD.PD[[#This Row],[Pago 2]]+BD.PD[[#This Row],[Pago 1]]</f>
        <v>9962.2999999999993</v>
      </c>
      <c r="AI320" s="404"/>
      <c r="IB320" s="275"/>
    </row>
    <row r="321" spans="1:236" ht="15" customHeight="1" x14ac:dyDescent="0.3">
      <c r="A321" s="231">
        <v>8.06</v>
      </c>
      <c r="B321" s="288"/>
      <c r="C321" s="289" t="str">
        <f>VLOOKUP(BD.PD[[#This Row],[Pos]],PPto[],3,FALSE)</f>
        <v>8.06 Otros Equipamientos de Tienda</v>
      </c>
      <c r="D321" s="231" t="s">
        <v>22</v>
      </c>
      <c r="E321" s="291" t="str">
        <f>IF(BD.PD[[#This Row],[.]]="*",VLOOKUP(BD.PD[[#This Row],[Pos]],Presupuesto!A:H,7,FALSE),"")</f>
        <v/>
      </c>
      <c r="F321" s="292" t="s">
        <v>381</v>
      </c>
      <c r="G321" s="292">
        <v>4512941532</v>
      </c>
      <c r="H321" s="358">
        <v>45921</v>
      </c>
      <c r="I321" s="359">
        <v>3</v>
      </c>
      <c r="J321" s="231" t="s">
        <v>581</v>
      </c>
      <c r="K321" s="294">
        <f>IF(BD.PD[[#This Row],[Mon]]="DOP",1,HLOOKUP(BD.PD[[#This Row],[Mon]],$J$1:$K$2,2,FALSE))</f>
        <v>1</v>
      </c>
      <c r="L321" s="360">
        <v>1658.02</v>
      </c>
      <c r="M321" s="296">
        <f>BD.PD[[#This Row],[Cant.]]*BD.PD[[#This Row],[ Tasa ]]*BD.PD[[#This Row],[ Precio Und.]]</f>
        <v>4974.0599999999995</v>
      </c>
      <c r="N321" s="361">
        <v>0</v>
      </c>
      <c r="O321" s="296">
        <f>IF(BD.PD[[#This Row],[Liquid. '[%']]]&lt;&gt;0,(BD.PD[[#This Row],[Valor Neto '[DOP']]]*BD.PD[[#This Row],[Liquid. '[%']]])+BD.PD[[#This Row],[Valor Neto '[DOP']]],BD.PD[[#This Row],[Valor Neto '[DOP']]])</f>
        <v>4974.0599999999995</v>
      </c>
      <c r="P321" s="306">
        <f>BD.PD[[#This Row],[Ppto. Orden Interna '[DOP']]]/HLOOKUP("USD",$J$1:$K$2,2,FALSE)</f>
        <v>78.953333333333319</v>
      </c>
      <c r="Q321" s="299" t="s">
        <v>750</v>
      </c>
      <c r="R321" s="307" t="s">
        <v>719</v>
      </c>
      <c r="S321" s="300">
        <v>21</v>
      </c>
      <c r="T321" s="301">
        <v>1</v>
      </c>
      <c r="U321" s="308">
        <f>BD.PD[[#This Row],[Av.P1 '[%']]]*BD.PD[[#This Row],[Ppto. Orden Interna '[DOP']]]</f>
        <v>4974.0599999999995</v>
      </c>
      <c r="V321" s="303"/>
      <c r="W321" s="304"/>
      <c r="X321" s="308">
        <f>BD.PD[[#This Row],[Av.P2 '[%']]]*BD.PD[[#This Row],[Ppto. Orden Interna '[DOP']]]</f>
        <v>0</v>
      </c>
      <c r="Y321" s="303"/>
      <c r="Z321" s="304"/>
      <c r="AA321" s="308">
        <f>BD.PD[[#This Row],[Av.P3 '[%']]]*BD.PD[[#This Row],[Ppto. Orden Interna '[DOP']]]</f>
        <v>0</v>
      </c>
      <c r="AB321" s="303"/>
      <c r="AC321" s="304"/>
      <c r="AD321" s="308">
        <f>BD.PD[[#This Row],[Av.P4 '[%']]]*BD.PD[[#This Row],[Ppto. Orden Interna '[DOP']]]</f>
        <v>0</v>
      </c>
      <c r="AE321" s="303"/>
      <c r="AF321" s="304"/>
      <c r="AG321" s="308">
        <f>BD.PD[[#This Row],[Av.P5 '[%']]]*BD.PD[[#This Row],[Ppto. Orden Interna '[DOP']]]</f>
        <v>0</v>
      </c>
      <c r="AH321" s="305">
        <f>BD.PD[[#This Row],[Pago 5]]+BD.PD[[#This Row],[Pago 4]]+BD.PD[[#This Row],[Pago 3]]+BD.PD[[#This Row],[Pago 2]]+BD.PD[[#This Row],[Pago 1]]</f>
        <v>4974.0599999999995</v>
      </c>
      <c r="AI321" s="404"/>
      <c r="IB321" s="275"/>
    </row>
    <row r="322" spans="1:236" ht="15" customHeight="1" x14ac:dyDescent="0.3">
      <c r="A322" s="231">
        <v>8.06</v>
      </c>
      <c r="B322" s="288"/>
      <c r="C322" s="289" t="str">
        <f>VLOOKUP(BD.PD[[#This Row],[Pos]],PPto[],3,FALSE)</f>
        <v>8.06 Otros Equipamientos de Tienda</v>
      </c>
      <c r="D322" s="231" t="s">
        <v>22</v>
      </c>
      <c r="E322" s="291" t="str">
        <f>IF(BD.PD[[#This Row],[.]]="*",VLOOKUP(BD.PD[[#This Row],[Pos]],Presupuesto!A:H,7,FALSE),"")</f>
        <v/>
      </c>
      <c r="F322" s="292" t="s">
        <v>1332</v>
      </c>
      <c r="G322" s="292">
        <v>4512941532</v>
      </c>
      <c r="H322" s="358">
        <v>45921</v>
      </c>
      <c r="I322" s="359">
        <v>3</v>
      </c>
      <c r="J322" s="231" t="s">
        <v>581</v>
      </c>
      <c r="K322" s="294">
        <f>IF(BD.PD[[#This Row],[Mon]]="DOP",1,HLOOKUP(BD.PD[[#This Row],[Mon]],$J$1:$K$2,2,FALSE))</f>
        <v>1</v>
      </c>
      <c r="L322" s="360">
        <v>200.09</v>
      </c>
      <c r="M322" s="296">
        <f>BD.PD[[#This Row],[Cant.]]*BD.PD[[#This Row],[ Tasa ]]*BD.PD[[#This Row],[ Precio Und.]]</f>
        <v>600.27</v>
      </c>
      <c r="N322" s="361">
        <v>0</v>
      </c>
      <c r="O322" s="296">
        <f>IF(BD.PD[[#This Row],[Liquid. '[%']]]&lt;&gt;0,(BD.PD[[#This Row],[Valor Neto '[DOP']]]*BD.PD[[#This Row],[Liquid. '[%']]])+BD.PD[[#This Row],[Valor Neto '[DOP']]],BD.PD[[#This Row],[Valor Neto '[DOP']]])</f>
        <v>600.27</v>
      </c>
      <c r="P322" s="306">
        <f>BD.PD[[#This Row],[Ppto. Orden Interna '[DOP']]]/HLOOKUP("USD",$J$1:$K$2,2,FALSE)</f>
        <v>9.5280952380952382</v>
      </c>
      <c r="Q322" s="299" t="s">
        <v>750</v>
      </c>
      <c r="R322" s="307" t="s">
        <v>719</v>
      </c>
      <c r="S322" s="300">
        <v>21</v>
      </c>
      <c r="T322" s="301">
        <v>1</v>
      </c>
      <c r="U322" s="308">
        <f>BD.PD[[#This Row],[Av.P1 '[%']]]*BD.PD[[#This Row],[Ppto. Orden Interna '[DOP']]]</f>
        <v>600.27</v>
      </c>
      <c r="V322" s="303"/>
      <c r="W322" s="304"/>
      <c r="X322" s="308">
        <f>BD.PD[[#This Row],[Av.P2 '[%']]]*BD.PD[[#This Row],[Ppto. Orden Interna '[DOP']]]</f>
        <v>0</v>
      </c>
      <c r="Y322" s="303"/>
      <c r="Z322" s="304"/>
      <c r="AA322" s="308">
        <f>BD.PD[[#This Row],[Av.P3 '[%']]]*BD.PD[[#This Row],[Ppto. Orden Interna '[DOP']]]</f>
        <v>0</v>
      </c>
      <c r="AB322" s="303"/>
      <c r="AC322" s="304"/>
      <c r="AD322" s="308">
        <f>BD.PD[[#This Row],[Av.P4 '[%']]]*BD.PD[[#This Row],[Ppto. Orden Interna '[DOP']]]</f>
        <v>0</v>
      </c>
      <c r="AE322" s="303"/>
      <c r="AF322" s="304"/>
      <c r="AG322" s="308">
        <f>BD.PD[[#This Row],[Av.P5 '[%']]]*BD.PD[[#This Row],[Ppto. Orden Interna '[DOP']]]</f>
        <v>0</v>
      </c>
      <c r="AH322" s="305">
        <f>BD.PD[[#This Row],[Pago 5]]+BD.PD[[#This Row],[Pago 4]]+BD.PD[[#This Row],[Pago 3]]+BD.PD[[#This Row],[Pago 2]]+BD.PD[[#This Row],[Pago 1]]</f>
        <v>600.27</v>
      </c>
      <c r="AI322" s="404"/>
      <c r="IB322" s="275"/>
    </row>
    <row r="323" spans="1:236" ht="15" customHeight="1" x14ac:dyDescent="0.3">
      <c r="A323" s="231">
        <v>8.06</v>
      </c>
      <c r="B323" s="288"/>
      <c r="C323" s="289" t="str">
        <f>VLOOKUP(BD.PD[[#This Row],[Pos]],PPto[],3,FALSE)</f>
        <v>8.06 Otros Equipamientos de Tienda</v>
      </c>
      <c r="D323" s="231" t="s">
        <v>22</v>
      </c>
      <c r="E323" s="291" t="str">
        <f>IF(BD.PD[[#This Row],[.]]="*",VLOOKUP(BD.PD[[#This Row],[Pos]],Presupuesto!A:H,7,FALSE),"")</f>
        <v/>
      </c>
      <c r="F323" s="292" t="s">
        <v>1333</v>
      </c>
      <c r="G323" s="292">
        <v>4512941532</v>
      </c>
      <c r="H323" s="358">
        <v>45921</v>
      </c>
      <c r="I323" s="359">
        <v>3</v>
      </c>
      <c r="J323" s="231" t="s">
        <v>581</v>
      </c>
      <c r="K323" s="294">
        <f>IF(BD.PD[[#This Row],[Mon]]="DOP",1,HLOOKUP(BD.PD[[#This Row],[Mon]],$J$1:$K$2,2,FALSE))</f>
        <v>1</v>
      </c>
      <c r="L323" s="360">
        <v>4893.1099999999997</v>
      </c>
      <c r="M323" s="296">
        <f>BD.PD[[#This Row],[Cant.]]*BD.PD[[#This Row],[ Tasa ]]*BD.PD[[#This Row],[ Precio Und.]]</f>
        <v>14679.329999999998</v>
      </c>
      <c r="N323" s="361">
        <v>0</v>
      </c>
      <c r="O323" s="296">
        <f>IF(BD.PD[[#This Row],[Liquid. '[%']]]&lt;&gt;0,(BD.PD[[#This Row],[Valor Neto '[DOP']]]*BD.PD[[#This Row],[Liquid. '[%']]])+BD.PD[[#This Row],[Valor Neto '[DOP']]],BD.PD[[#This Row],[Valor Neto '[DOP']]])</f>
        <v>14679.329999999998</v>
      </c>
      <c r="P323" s="306">
        <f>BD.PD[[#This Row],[Ppto. Orden Interna '[DOP']]]/HLOOKUP("USD",$J$1:$K$2,2,FALSE)</f>
        <v>233.00523809523807</v>
      </c>
      <c r="Q323" s="299" t="s">
        <v>750</v>
      </c>
      <c r="R323" s="307" t="s">
        <v>719</v>
      </c>
      <c r="S323" s="300">
        <v>21</v>
      </c>
      <c r="T323" s="301">
        <v>1</v>
      </c>
      <c r="U323" s="308">
        <f>BD.PD[[#This Row],[Av.P1 '[%']]]*BD.PD[[#This Row],[Ppto. Orden Interna '[DOP']]]</f>
        <v>14679.329999999998</v>
      </c>
      <c r="V323" s="303"/>
      <c r="W323" s="304"/>
      <c r="X323" s="308">
        <f>BD.PD[[#This Row],[Av.P2 '[%']]]*BD.PD[[#This Row],[Ppto. Orden Interna '[DOP']]]</f>
        <v>0</v>
      </c>
      <c r="Y323" s="303"/>
      <c r="Z323" s="304"/>
      <c r="AA323" s="308">
        <f>BD.PD[[#This Row],[Av.P3 '[%']]]*BD.PD[[#This Row],[Ppto. Orden Interna '[DOP']]]</f>
        <v>0</v>
      </c>
      <c r="AB323" s="303"/>
      <c r="AC323" s="304"/>
      <c r="AD323" s="308">
        <f>BD.PD[[#This Row],[Av.P4 '[%']]]*BD.PD[[#This Row],[Ppto. Orden Interna '[DOP']]]</f>
        <v>0</v>
      </c>
      <c r="AE323" s="303"/>
      <c r="AF323" s="304"/>
      <c r="AG323" s="308">
        <f>BD.PD[[#This Row],[Av.P5 '[%']]]*BD.PD[[#This Row],[Ppto. Orden Interna '[DOP']]]</f>
        <v>0</v>
      </c>
      <c r="AH323" s="305">
        <f>BD.PD[[#This Row],[Pago 5]]+BD.PD[[#This Row],[Pago 4]]+BD.PD[[#This Row],[Pago 3]]+BD.PD[[#This Row],[Pago 2]]+BD.PD[[#This Row],[Pago 1]]</f>
        <v>14679.329999999998</v>
      </c>
      <c r="AI323" s="404"/>
      <c r="IB323" s="275"/>
    </row>
    <row r="324" spans="1:236" ht="15" customHeight="1" x14ac:dyDescent="0.3">
      <c r="A324" s="231">
        <v>8.06</v>
      </c>
      <c r="B324" s="288"/>
      <c r="C324" s="289" t="str">
        <f>VLOOKUP(BD.PD[[#This Row],[Pos]],PPto[],3,FALSE)</f>
        <v>8.06 Otros Equipamientos de Tienda</v>
      </c>
      <c r="D324" s="231" t="s">
        <v>22</v>
      </c>
      <c r="E324" s="291" t="str">
        <f>IF(BD.PD[[#This Row],[.]]="*",VLOOKUP(BD.PD[[#This Row],[Pos]],Presupuesto!A:H,7,FALSE),"")</f>
        <v/>
      </c>
      <c r="F324" s="292" t="s">
        <v>377</v>
      </c>
      <c r="G324" s="292" t="s">
        <v>578</v>
      </c>
      <c r="H324" s="358">
        <v>45921</v>
      </c>
      <c r="I324" s="359">
        <v>6</v>
      </c>
      <c r="J324" s="231" t="s">
        <v>581</v>
      </c>
      <c r="K324" s="294">
        <f>IF(BD.PD[[#This Row],[Mon]]="DOP",1,HLOOKUP(BD.PD[[#This Row],[Mon]],$J$1:$K$2,2,FALSE))</f>
        <v>1</v>
      </c>
      <c r="L324" s="360">
        <v>550</v>
      </c>
      <c r="M324" s="296">
        <f>BD.PD[[#This Row],[Cant.]]*BD.PD[[#This Row],[ Tasa ]]*BD.PD[[#This Row],[ Precio Und.]]</f>
        <v>3300</v>
      </c>
      <c r="N324" s="361">
        <v>0</v>
      </c>
      <c r="O324" s="296">
        <f>IF(BD.PD[[#This Row],[Liquid. '[%']]]&lt;&gt;0,(BD.PD[[#This Row],[Valor Neto '[DOP']]]*BD.PD[[#This Row],[Liquid. '[%']]])+BD.PD[[#This Row],[Valor Neto '[DOP']]],BD.PD[[#This Row],[Valor Neto '[DOP']]])</f>
        <v>3300</v>
      </c>
      <c r="P324" s="306">
        <f>BD.PD[[#This Row],[Ppto. Orden Interna '[DOP']]]/HLOOKUP("USD",$J$1:$K$2,2,FALSE)</f>
        <v>52.38095238095238</v>
      </c>
      <c r="Q324" s="299" t="s">
        <v>751</v>
      </c>
      <c r="R324" s="307" t="s">
        <v>719</v>
      </c>
      <c r="S324" s="300">
        <v>21</v>
      </c>
      <c r="T324" s="301">
        <v>1</v>
      </c>
      <c r="U324" s="308">
        <f>BD.PD[[#This Row],[Av.P1 '[%']]]*BD.PD[[#This Row],[Ppto. Orden Interna '[DOP']]]</f>
        <v>3300</v>
      </c>
      <c r="V324" s="303"/>
      <c r="W324" s="304"/>
      <c r="X324" s="308">
        <f>BD.PD[[#This Row],[Av.P2 '[%']]]*BD.PD[[#This Row],[Ppto. Orden Interna '[DOP']]]</f>
        <v>0</v>
      </c>
      <c r="Y324" s="303"/>
      <c r="Z324" s="304"/>
      <c r="AA324" s="308">
        <f>BD.PD[[#This Row],[Av.P3 '[%']]]*BD.PD[[#This Row],[Ppto. Orden Interna '[DOP']]]</f>
        <v>0</v>
      </c>
      <c r="AB324" s="303"/>
      <c r="AC324" s="304"/>
      <c r="AD324" s="308">
        <f>BD.PD[[#This Row],[Av.P4 '[%']]]*BD.PD[[#This Row],[Ppto. Orden Interna '[DOP']]]</f>
        <v>0</v>
      </c>
      <c r="AE324" s="303"/>
      <c r="AF324" s="304"/>
      <c r="AG324" s="308">
        <f>BD.PD[[#This Row],[Av.P5 '[%']]]*BD.PD[[#This Row],[Ppto. Orden Interna '[DOP']]]</f>
        <v>0</v>
      </c>
      <c r="AH324" s="305">
        <f>BD.PD[[#This Row],[Pago 5]]+BD.PD[[#This Row],[Pago 4]]+BD.PD[[#This Row],[Pago 3]]+BD.PD[[#This Row],[Pago 2]]+BD.PD[[#This Row],[Pago 1]]</f>
        <v>3300</v>
      </c>
      <c r="AI324" s="404"/>
      <c r="IB324" s="275"/>
    </row>
    <row r="325" spans="1:236" ht="15" customHeight="1" x14ac:dyDescent="0.3">
      <c r="A325" s="231">
        <v>8.06</v>
      </c>
      <c r="B325" s="288"/>
      <c r="C325" s="289" t="str">
        <f>VLOOKUP(BD.PD[[#This Row],[Pos]],PPto[],3,FALSE)</f>
        <v>8.06 Otros Equipamientos de Tienda</v>
      </c>
      <c r="D325" s="231" t="s">
        <v>22</v>
      </c>
      <c r="E325" s="291" t="str">
        <f>IF(BD.PD[[#This Row],[.]]="*",VLOOKUP(BD.PD[[#This Row],[Pos]],Presupuesto!A:H,7,FALSE),"")</f>
        <v/>
      </c>
      <c r="F325" s="292" t="s">
        <v>376</v>
      </c>
      <c r="G325" s="292" t="s">
        <v>578</v>
      </c>
      <c r="H325" s="358">
        <v>45921</v>
      </c>
      <c r="I325" s="359">
        <v>6</v>
      </c>
      <c r="J325" s="231" t="s">
        <v>581</v>
      </c>
      <c r="K325" s="294">
        <f>IF(BD.PD[[#This Row],[Mon]]="DOP",1,HLOOKUP(BD.PD[[#This Row],[Mon]],$J$1:$K$2,2,FALSE))</f>
        <v>1</v>
      </c>
      <c r="L325" s="360">
        <v>1400</v>
      </c>
      <c r="M325" s="296">
        <f>BD.PD[[#This Row],[Cant.]]*BD.PD[[#This Row],[ Tasa ]]*BD.PD[[#This Row],[ Precio Und.]]</f>
        <v>8400</v>
      </c>
      <c r="N325" s="361">
        <v>0</v>
      </c>
      <c r="O325" s="296">
        <f>IF(BD.PD[[#This Row],[Liquid. '[%']]]&lt;&gt;0,(BD.PD[[#This Row],[Valor Neto '[DOP']]]*BD.PD[[#This Row],[Liquid. '[%']]])+BD.PD[[#This Row],[Valor Neto '[DOP']]],BD.PD[[#This Row],[Valor Neto '[DOP']]])</f>
        <v>8400</v>
      </c>
      <c r="P325" s="306">
        <f>BD.PD[[#This Row],[Ppto. Orden Interna '[DOP']]]/HLOOKUP("USD",$J$1:$K$2,2,FALSE)</f>
        <v>133.33333333333334</v>
      </c>
      <c r="Q325" s="299" t="s">
        <v>751</v>
      </c>
      <c r="R325" s="307" t="s">
        <v>719</v>
      </c>
      <c r="S325" s="300">
        <v>21</v>
      </c>
      <c r="T325" s="301">
        <v>1</v>
      </c>
      <c r="U325" s="308">
        <f>BD.PD[[#This Row],[Av.P1 '[%']]]*BD.PD[[#This Row],[Ppto. Orden Interna '[DOP']]]</f>
        <v>8400</v>
      </c>
      <c r="V325" s="303"/>
      <c r="W325" s="304"/>
      <c r="X325" s="308">
        <f>BD.PD[[#This Row],[Av.P2 '[%']]]*BD.PD[[#This Row],[Ppto. Orden Interna '[DOP']]]</f>
        <v>0</v>
      </c>
      <c r="Y325" s="303"/>
      <c r="Z325" s="304"/>
      <c r="AA325" s="308">
        <f>BD.PD[[#This Row],[Av.P3 '[%']]]*BD.PD[[#This Row],[Ppto. Orden Interna '[DOP']]]</f>
        <v>0</v>
      </c>
      <c r="AB325" s="303"/>
      <c r="AC325" s="304"/>
      <c r="AD325" s="308">
        <f>BD.PD[[#This Row],[Av.P4 '[%']]]*BD.PD[[#This Row],[Ppto. Orden Interna '[DOP']]]</f>
        <v>0</v>
      </c>
      <c r="AE325" s="303"/>
      <c r="AF325" s="304"/>
      <c r="AG325" s="308">
        <f>BD.PD[[#This Row],[Av.P5 '[%']]]*BD.PD[[#This Row],[Ppto. Orden Interna '[DOP']]]</f>
        <v>0</v>
      </c>
      <c r="AH325" s="305">
        <f>BD.PD[[#This Row],[Pago 5]]+BD.PD[[#This Row],[Pago 4]]+BD.PD[[#This Row],[Pago 3]]+BD.PD[[#This Row],[Pago 2]]+BD.PD[[#This Row],[Pago 1]]</f>
        <v>8400</v>
      </c>
      <c r="AI325" s="404"/>
      <c r="IB325" s="275"/>
    </row>
    <row r="326" spans="1:236" ht="15" customHeight="1" x14ac:dyDescent="0.3">
      <c r="A326" s="231">
        <v>8.06</v>
      </c>
      <c r="B326" s="288"/>
      <c r="C326" s="289" t="str">
        <f>VLOOKUP(BD.PD[[#This Row],[Pos]],PPto[],3,FALSE)</f>
        <v>8.06 Otros Equipamientos de Tienda</v>
      </c>
      <c r="D326" s="231" t="s">
        <v>22</v>
      </c>
      <c r="E326" s="291" t="str">
        <f>IF(BD.PD[[#This Row],[.]]="*",VLOOKUP(BD.PD[[#This Row],[Pos]],Presupuesto!A:H,7,FALSE),"")</f>
        <v/>
      </c>
      <c r="F326" s="292" t="s">
        <v>384</v>
      </c>
      <c r="G326" s="292" t="s">
        <v>578</v>
      </c>
      <c r="H326" s="358">
        <v>45921</v>
      </c>
      <c r="I326" s="359">
        <v>4</v>
      </c>
      <c r="J326" s="231" t="s">
        <v>581</v>
      </c>
      <c r="K326" s="294">
        <f>IF(BD.PD[[#This Row],[Mon]]="DOP",1,HLOOKUP(BD.PD[[#This Row],[Mon]],$J$1:$K$2,2,FALSE))</f>
        <v>1</v>
      </c>
      <c r="L326" s="360">
        <v>18000</v>
      </c>
      <c r="M326" s="296">
        <f>BD.PD[[#This Row],[Cant.]]*BD.PD[[#This Row],[ Tasa ]]*BD.PD[[#This Row],[ Precio Und.]]</f>
        <v>72000</v>
      </c>
      <c r="N326" s="361">
        <v>0</v>
      </c>
      <c r="O326" s="296">
        <f>IF(BD.PD[[#This Row],[Liquid. '[%']]]&lt;&gt;0,(BD.PD[[#This Row],[Valor Neto '[DOP']]]*BD.PD[[#This Row],[Liquid. '[%']]])+BD.PD[[#This Row],[Valor Neto '[DOP']]],BD.PD[[#This Row],[Valor Neto '[DOP']]])</f>
        <v>72000</v>
      </c>
      <c r="P326" s="306">
        <f>BD.PD[[#This Row],[Ppto. Orden Interna '[DOP']]]/HLOOKUP("USD",$J$1:$K$2,2,FALSE)</f>
        <v>1142.8571428571429</v>
      </c>
      <c r="Q326" s="299" t="s">
        <v>751</v>
      </c>
      <c r="R326" s="307" t="s">
        <v>719</v>
      </c>
      <c r="S326" s="300">
        <v>21</v>
      </c>
      <c r="T326" s="301">
        <v>1</v>
      </c>
      <c r="U326" s="308">
        <f>BD.PD[[#This Row],[Av.P1 '[%']]]*BD.PD[[#This Row],[Ppto. Orden Interna '[DOP']]]</f>
        <v>72000</v>
      </c>
      <c r="V326" s="303"/>
      <c r="W326" s="304"/>
      <c r="X326" s="308">
        <f>BD.PD[[#This Row],[Av.P2 '[%']]]*BD.PD[[#This Row],[Ppto. Orden Interna '[DOP']]]</f>
        <v>0</v>
      </c>
      <c r="Y326" s="303"/>
      <c r="Z326" s="304"/>
      <c r="AA326" s="308">
        <f>BD.PD[[#This Row],[Av.P3 '[%']]]*BD.PD[[#This Row],[Ppto. Orden Interna '[DOP']]]</f>
        <v>0</v>
      </c>
      <c r="AB326" s="303"/>
      <c r="AC326" s="304"/>
      <c r="AD326" s="308">
        <f>BD.PD[[#This Row],[Av.P4 '[%']]]*BD.PD[[#This Row],[Ppto. Orden Interna '[DOP']]]</f>
        <v>0</v>
      </c>
      <c r="AE326" s="303"/>
      <c r="AF326" s="304"/>
      <c r="AG326" s="308">
        <f>BD.PD[[#This Row],[Av.P5 '[%']]]*BD.PD[[#This Row],[Ppto. Orden Interna '[DOP']]]</f>
        <v>0</v>
      </c>
      <c r="AH326" s="305">
        <f>BD.PD[[#This Row],[Pago 5]]+BD.PD[[#This Row],[Pago 4]]+BD.PD[[#This Row],[Pago 3]]+BD.PD[[#This Row],[Pago 2]]+BD.PD[[#This Row],[Pago 1]]</f>
        <v>72000</v>
      </c>
      <c r="AI326" s="404"/>
      <c r="IB326" s="275"/>
    </row>
    <row r="327" spans="1:236" ht="15" customHeight="1" x14ac:dyDescent="0.3">
      <c r="A327" s="231">
        <v>8.06</v>
      </c>
      <c r="B327" s="288"/>
      <c r="C327" s="289" t="str">
        <f>VLOOKUP(BD.PD[[#This Row],[Pos]],PPto[],3,FALSE)</f>
        <v>8.06 Otros Equipamientos de Tienda</v>
      </c>
      <c r="D327" s="231" t="s">
        <v>22</v>
      </c>
      <c r="E327" s="291" t="str">
        <f>IF(BD.PD[[#This Row],[.]]="*",VLOOKUP(BD.PD[[#This Row],[Pos]],Presupuesto!A:H,7,FALSE),"")</f>
        <v/>
      </c>
      <c r="F327" s="292" t="s">
        <v>378</v>
      </c>
      <c r="G327" s="292" t="s">
        <v>578</v>
      </c>
      <c r="H327" s="358">
        <v>45921</v>
      </c>
      <c r="I327" s="359">
        <v>1</v>
      </c>
      <c r="J327" s="231" t="s">
        <v>581</v>
      </c>
      <c r="K327" s="294">
        <f>IF(BD.PD[[#This Row],[Mon]]="DOP",1,HLOOKUP(BD.PD[[#This Row],[Mon]],$J$1:$K$2,2,FALSE))</f>
        <v>1</v>
      </c>
      <c r="L327" s="360">
        <v>5843.88</v>
      </c>
      <c r="M327" s="296">
        <f>BD.PD[[#This Row],[Cant.]]*BD.PD[[#This Row],[ Tasa ]]*BD.PD[[#This Row],[ Precio Und.]]</f>
        <v>5843.88</v>
      </c>
      <c r="N327" s="361">
        <v>0</v>
      </c>
      <c r="O327" s="296">
        <f>IF(BD.PD[[#This Row],[Liquid. '[%']]]&lt;&gt;0,(BD.PD[[#This Row],[Valor Neto '[DOP']]]*BD.PD[[#This Row],[Liquid. '[%']]])+BD.PD[[#This Row],[Valor Neto '[DOP']]],BD.PD[[#This Row],[Valor Neto '[DOP']]])</f>
        <v>5843.88</v>
      </c>
      <c r="P327" s="306">
        <f>BD.PD[[#This Row],[Ppto. Orden Interna '[DOP']]]/HLOOKUP("USD",$J$1:$K$2,2,FALSE)</f>
        <v>92.76</v>
      </c>
      <c r="Q327" s="299" t="s">
        <v>752</v>
      </c>
      <c r="R327" s="307" t="s">
        <v>719</v>
      </c>
      <c r="S327" s="300">
        <v>21</v>
      </c>
      <c r="T327" s="301">
        <v>1</v>
      </c>
      <c r="U327" s="308">
        <f>BD.PD[[#This Row],[Av.P1 '[%']]]*BD.PD[[#This Row],[Ppto. Orden Interna '[DOP']]]</f>
        <v>5843.88</v>
      </c>
      <c r="V327" s="303"/>
      <c r="W327" s="304"/>
      <c r="X327" s="308">
        <f>BD.PD[[#This Row],[Av.P2 '[%']]]*BD.PD[[#This Row],[Ppto. Orden Interna '[DOP']]]</f>
        <v>0</v>
      </c>
      <c r="Y327" s="303"/>
      <c r="Z327" s="304"/>
      <c r="AA327" s="308">
        <f>BD.PD[[#This Row],[Av.P3 '[%']]]*BD.PD[[#This Row],[Ppto. Orden Interna '[DOP']]]</f>
        <v>0</v>
      </c>
      <c r="AB327" s="303"/>
      <c r="AC327" s="304"/>
      <c r="AD327" s="308">
        <f>BD.PD[[#This Row],[Av.P4 '[%']]]*BD.PD[[#This Row],[Ppto. Orden Interna '[DOP']]]</f>
        <v>0</v>
      </c>
      <c r="AE327" s="303"/>
      <c r="AF327" s="304"/>
      <c r="AG327" s="308">
        <f>BD.PD[[#This Row],[Av.P5 '[%']]]*BD.PD[[#This Row],[Ppto. Orden Interna '[DOP']]]</f>
        <v>0</v>
      </c>
      <c r="AH327" s="305">
        <f>BD.PD[[#This Row],[Pago 5]]+BD.PD[[#This Row],[Pago 4]]+BD.PD[[#This Row],[Pago 3]]+BD.PD[[#This Row],[Pago 2]]+BD.PD[[#This Row],[Pago 1]]</f>
        <v>5843.88</v>
      </c>
      <c r="AI327" s="404"/>
      <c r="IB327" s="275"/>
    </row>
    <row r="328" spans="1:236" ht="15" customHeight="1" x14ac:dyDescent="0.3">
      <c r="A328" s="231">
        <v>8.06</v>
      </c>
      <c r="B328" s="288"/>
      <c r="C328" s="289" t="str">
        <f>VLOOKUP(BD.PD[[#This Row],[Pos]],PPto[],3,FALSE)</f>
        <v>8.06 Otros Equipamientos de Tienda</v>
      </c>
      <c r="D328" s="231" t="s">
        <v>22</v>
      </c>
      <c r="E328" s="291" t="str">
        <f>IF(BD.PD[[#This Row],[.]]="*",VLOOKUP(BD.PD[[#This Row],[Pos]],Presupuesto!A:H,7,FALSE),"")</f>
        <v/>
      </c>
      <c r="F328" s="390" t="s">
        <v>358</v>
      </c>
      <c r="G328" s="292" t="s">
        <v>578</v>
      </c>
      <c r="H328" s="358">
        <v>45921</v>
      </c>
      <c r="I328" s="359">
        <v>1</v>
      </c>
      <c r="J328" s="231" t="s">
        <v>581</v>
      </c>
      <c r="K328" s="294">
        <f>IF(BD.PD[[#This Row],[Mon]]="DOP",1,HLOOKUP(BD.PD[[#This Row],[Mon]],$J$1:$K$2,2,FALSE))</f>
        <v>1</v>
      </c>
      <c r="L328" s="360">
        <v>10000</v>
      </c>
      <c r="M328" s="296">
        <f>BD.PD[[#This Row],[Cant.]]*BD.PD[[#This Row],[ Tasa ]]*BD.PD[[#This Row],[ Precio Und.]]</f>
        <v>10000</v>
      </c>
      <c r="N328" s="361">
        <v>0</v>
      </c>
      <c r="O328" s="296">
        <f>IF(BD.PD[[#This Row],[Liquid. '[%']]]&lt;&gt;0,(BD.PD[[#This Row],[Valor Neto '[DOP']]]*BD.PD[[#This Row],[Liquid. '[%']]])+BD.PD[[#This Row],[Valor Neto '[DOP']]],BD.PD[[#This Row],[Valor Neto '[DOP']]])</f>
        <v>10000</v>
      </c>
      <c r="P328" s="306">
        <f>BD.PD[[#This Row],[Ppto. Orden Interna '[DOP']]]/HLOOKUP("USD",$J$1:$K$2,2,FALSE)</f>
        <v>158.73015873015873</v>
      </c>
      <c r="Q328" s="299" t="s">
        <v>753</v>
      </c>
      <c r="R328" s="307" t="s">
        <v>719</v>
      </c>
      <c r="S328" s="300">
        <v>21</v>
      </c>
      <c r="T328" s="301">
        <v>1</v>
      </c>
      <c r="U328" s="308">
        <f>BD.PD[[#This Row],[Av.P1 '[%']]]*BD.PD[[#This Row],[Ppto. Orden Interna '[DOP']]]</f>
        <v>10000</v>
      </c>
      <c r="V328" s="303"/>
      <c r="W328" s="304"/>
      <c r="X328" s="308">
        <f>BD.PD[[#This Row],[Av.P2 '[%']]]*BD.PD[[#This Row],[Ppto. Orden Interna '[DOP']]]</f>
        <v>0</v>
      </c>
      <c r="Y328" s="303"/>
      <c r="Z328" s="304"/>
      <c r="AA328" s="308">
        <f>BD.PD[[#This Row],[Av.P3 '[%']]]*BD.PD[[#This Row],[Ppto. Orden Interna '[DOP']]]</f>
        <v>0</v>
      </c>
      <c r="AB328" s="303"/>
      <c r="AC328" s="304"/>
      <c r="AD328" s="308">
        <f>BD.PD[[#This Row],[Av.P4 '[%']]]*BD.PD[[#This Row],[Ppto. Orden Interna '[DOP']]]</f>
        <v>0</v>
      </c>
      <c r="AE328" s="303"/>
      <c r="AF328" s="304"/>
      <c r="AG328" s="308">
        <f>BD.PD[[#This Row],[Av.P5 '[%']]]*BD.PD[[#This Row],[Ppto. Orden Interna '[DOP']]]</f>
        <v>0</v>
      </c>
      <c r="AH328" s="305">
        <f>BD.PD[[#This Row],[Pago 5]]+BD.PD[[#This Row],[Pago 4]]+BD.PD[[#This Row],[Pago 3]]+BD.PD[[#This Row],[Pago 2]]+BD.PD[[#This Row],[Pago 1]]</f>
        <v>10000</v>
      </c>
      <c r="AI328" s="404"/>
      <c r="IB328" s="275"/>
    </row>
    <row r="329" spans="1:236" ht="15" customHeight="1" x14ac:dyDescent="0.3">
      <c r="A329" s="231">
        <v>8.06</v>
      </c>
      <c r="B329" s="288"/>
      <c r="C329" s="289" t="str">
        <f>VLOOKUP(BD.PD[[#This Row],[Pos]],PPto[],3,FALSE)</f>
        <v>8.06 Otros Equipamientos de Tienda</v>
      </c>
      <c r="D329" s="231" t="s">
        <v>22</v>
      </c>
      <c r="E329" s="291" t="str">
        <f>IF(BD.PD[[#This Row],[.]]="*",VLOOKUP(BD.PD[[#This Row],[Pos]],Presupuesto!A:H,7,FALSE),"")</f>
        <v/>
      </c>
      <c r="F329" s="292" t="s">
        <v>346</v>
      </c>
      <c r="G329" s="292" t="s">
        <v>578</v>
      </c>
      <c r="H329" s="358">
        <v>45921</v>
      </c>
      <c r="I329" s="359">
        <v>4</v>
      </c>
      <c r="J329" s="231" t="s">
        <v>581</v>
      </c>
      <c r="K329" s="294">
        <f>IF(BD.PD[[#This Row],[Mon]]="DOP",1,HLOOKUP(BD.PD[[#This Row],[Mon]],$J$1:$K$2,2,FALSE))</f>
        <v>1</v>
      </c>
      <c r="L329" s="360">
        <v>317.8</v>
      </c>
      <c r="M329" s="296">
        <f>BD.PD[[#This Row],[Cant.]]*BD.PD[[#This Row],[ Tasa ]]*BD.PD[[#This Row],[ Precio Und.]]</f>
        <v>1271.2</v>
      </c>
      <c r="N329" s="361">
        <v>0</v>
      </c>
      <c r="O329" s="296">
        <f>IF(BD.PD[[#This Row],[Liquid. '[%']]]&lt;&gt;0,(BD.PD[[#This Row],[Valor Neto '[DOP']]]*BD.PD[[#This Row],[Liquid. '[%']]])+BD.PD[[#This Row],[Valor Neto '[DOP']]],BD.PD[[#This Row],[Valor Neto '[DOP']]])</f>
        <v>1271.2</v>
      </c>
      <c r="P329" s="306">
        <f>BD.PD[[#This Row],[Ppto. Orden Interna '[DOP']]]/HLOOKUP("USD",$J$1:$K$2,2,FALSE)</f>
        <v>20.177777777777777</v>
      </c>
      <c r="Q329" s="299" t="s">
        <v>754</v>
      </c>
      <c r="R329" s="307" t="s">
        <v>719</v>
      </c>
      <c r="S329" s="300">
        <v>21</v>
      </c>
      <c r="T329" s="301">
        <v>1</v>
      </c>
      <c r="U329" s="308">
        <f>BD.PD[[#This Row],[Av.P1 '[%']]]*BD.PD[[#This Row],[Ppto. Orden Interna '[DOP']]]</f>
        <v>1271.2</v>
      </c>
      <c r="V329" s="303"/>
      <c r="W329" s="304"/>
      <c r="X329" s="308">
        <f>BD.PD[[#This Row],[Av.P2 '[%']]]*BD.PD[[#This Row],[Ppto. Orden Interna '[DOP']]]</f>
        <v>0</v>
      </c>
      <c r="Y329" s="303"/>
      <c r="Z329" s="304"/>
      <c r="AA329" s="308">
        <f>BD.PD[[#This Row],[Av.P3 '[%']]]*BD.PD[[#This Row],[Ppto. Orden Interna '[DOP']]]</f>
        <v>0</v>
      </c>
      <c r="AB329" s="303"/>
      <c r="AC329" s="304"/>
      <c r="AD329" s="308">
        <f>BD.PD[[#This Row],[Av.P4 '[%']]]*BD.PD[[#This Row],[Ppto. Orden Interna '[DOP']]]</f>
        <v>0</v>
      </c>
      <c r="AE329" s="303"/>
      <c r="AF329" s="304"/>
      <c r="AG329" s="308">
        <f>BD.PD[[#This Row],[Av.P5 '[%']]]*BD.PD[[#This Row],[Ppto. Orden Interna '[DOP']]]</f>
        <v>0</v>
      </c>
      <c r="AH329" s="305">
        <f>BD.PD[[#This Row],[Pago 5]]+BD.PD[[#This Row],[Pago 4]]+BD.PD[[#This Row],[Pago 3]]+BD.PD[[#This Row],[Pago 2]]+BD.PD[[#This Row],[Pago 1]]</f>
        <v>1271.2</v>
      </c>
      <c r="AI329" s="404"/>
      <c r="IB329" s="275"/>
    </row>
    <row r="330" spans="1:236" ht="15" customHeight="1" x14ac:dyDescent="0.3">
      <c r="A330" s="231">
        <v>8.06</v>
      </c>
      <c r="B330" s="288"/>
      <c r="C330" s="289" t="str">
        <f>VLOOKUP(BD.PD[[#This Row],[Pos]],PPto[],3,FALSE)</f>
        <v>8.06 Otros Equipamientos de Tienda</v>
      </c>
      <c r="D330" s="231" t="s">
        <v>22</v>
      </c>
      <c r="E330" s="291" t="str">
        <f>IF(BD.PD[[#This Row],[.]]="*",VLOOKUP(BD.PD[[#This Row],[Pos]],Presupuesto!A:H,7,FALSE),"")</f>
        <v/>
      </c>
      <c r="F330" s="390" t="s">
        <v>1334</v>
      </c>
      <c r="G330" s="292">
        <v>4512941532</v>
      </c>
      <c r="H330" s="358">
        <v>46155</v>
      </c>
      <c r="I330" s="359">
        <v>1</v>
      </c>
      <c r="J330" s="231" t="s">
        <v>581</v>
      </c>
      <c r="K330" s="294">
        <f>IF(BD.PD[[#This Row],[Mon]]="DOP",1,HLOOKUP(BD.PD[[#This Row],[Mon]],$J$1:$K$2,2,FALSE))</f>
        <v>1</v>
      </c>
      <c r="L330" s="360">
        <v>4738.83</v>
      </c>
      <c r="M330" s="296">
        <f>BD.PD[[#This Row],[Cant.]]*BD.PD[[#This Row],[ Tasa ]]*BD.PD[[#This Row],[ Precio Und.]]</f>
        <v>4738.83</v>
      </c>
      <c r="N330" s="361">
        <v>0</v>
      </c>
      <c r="O330" s="296">
        <f>IF(BD.PD[[#This Row],[Liquid. '[%']]]&lt;&gt;0,(BD.PD[[#This Row],[Valor Neto '[DOP']]]*BD.PD[[#This Row],[Liquid. '[%']]])+BD.PD[[#This Row],[Valor Neto '[DOP']]],BD.PD[[#This Row],[Valor Neto '[DOP']]])</f>
        <v>4738.83</v>
      </c>
      <c r="P330" s="306">
        <f>BD.PD[[#This Row],[Ppto. Orden Interna '[DOP']]]/HLOOKUP("USD",$J$1:$K$2,2,FALSE)</f>
        <v>75.219523809523807</v>
      </c>
      <c r="Q330" s="299" t="s">
        <v>755</v>
      </c>
      <c r="R330" s="307" t="s">
        <v>756</v>
      </c>
      <c r="S330" s="300">
        <v>21</v>
      </c>
      <c r="T330" s="301">
        <v>1</v>
      </c>
      <c r="U330" s="308">
        <f>BD.PD[[#This Row],[Av.P1 '[%']]]*BD.PD[[#This Row],[Ppto. Orden Interna '[DOP']]]</f>
        <v>4738.83</v>
      </c>
      <c r="V330" s="303"/>
      <c r="W330" s="304"/>
      <c r="X330" s="308">
        <f>BD.PD[[#This Row],[Av.P2 '[%']]]*BD.PD[[#This Row],[Ppto. Orden Interna '[DOP']]]</f>
        <v>0</v>
      </c>
      <c r="Y330" s="303"/>
      <c r="Z330" s="304"/>
      <c r="AA330" s="308">
        <f>BD.PD[[#This Row],[Av.P3 '[%']]]*BD.PD[[#This Row],[Ppto. Orden Interna '[DOP']]]</f>
        <v>0</v>
      </c>
      <c r="AB330" s="303"/>
      <c r="AC330" s="304"/>
      <c r="AD330" s="308">
        <f>BD.PD[[#This Row],[Av.P4 '[%']]]*BD.PD[[#This Row],[Ppto. Orden Interna '[DOP']]]</f>
        <v>0</v>
      </c>
      <c r="AE330" s="303"/>
      <c r="AF330" s="304"/>
      <c r="AG330" s="308">
        <f>BD.PD[[#This Row],[Av.P5 '[%']]]*BD.PD[[#This Row],[Ppto. Orden Interna '[DOP']]]</f>
        <v>0</v>
      </c>
      <c r="AH330" s="305">
        <f>BD.PD[[#This Row],[Pago 5]]+BD.PD[[#This Row],[Pago 4]]+BD.PD[[#This Row],[Pago 3]]+BD.PD[[#This Row],[Pago 2]]+BD.PD[[#This Row],[Pago 1]]</f>
        <v>4738.83</v>
      </c>
      <c r="AI330" s="404"/>
      <c r="IB330" s="275"/>
    </row>
    <row r="331" spans="1:236" ht="15" customHeight="1" x14ac:dyDescent="0.3">
      <c r="A331" s="231">
        <v>8.06</v>
      </c>
      <c r="B331" s="288"/>
      <c r="C331" s="289" t="str">
        <f>VLOOKUP(BD.PD[[#This Row],[Pos]],PPto[],3,FALSE)</f>
        <v>8.06 Otros Equipamientos de Tienda</v>
      </c>
      <c r="D331" s="231" t="s">
        <v>22</v>
      </c>
      <c r="E331" s="291" t="str">
        <f>IF(BD.PD[[#This Row],[.]]="*",VLOOKUP(BD.PD[[#This Row],[Pos]],Presupuesto!A:H,7,FALSE),"")</f>
        <v/>
      </c>
      <c r="F331" s="292" t="s">
        <v>350</v>
      </c>
      <c r="G331" s="292" t="s">
        <v>578</v>
      </c>
      <c r="H331" s="358">
        <v>45921</v>
      </c>
      <c r="I331" s="359">
        <v>25</v>
      </c>
      <c r="J331" s="231" t="s">
        <v>581</v>
      </c>
      <c r="K331" s="294">
        <f>IF(BD.PD[[#This Row],[Mon]]="DOP",1,HLOOKUP(BD.PD[[#This Row],[Mon]],$J$1:$K$2,2,FALSE))</f>
        <v>1</v>
      </c>
      <c r="L331" s="360">
        <v>612.78839999999991</v>
      </c>
      <c r="M331" s="296">
        <f>BD.PD[[#This Row],[Cant.]]*BD.PD[[#This Row],[ Tasa ]]*BD.PD[[#This Row],[ Precio Und.]]</f>
        <v>15319.709999999997</v>
      </c>
      <c r="N331" s="361">
        <v>0</v>
      </c>
      <c r="O331" s="296">
        <f>IF(BD.PD[[#This Row],[Liquid. '[%']]]&lt;&gt;0,(BD.PD[[#This Row],[Valor Neto '[DOP']]]*BD.PD[[#This Row],[Liquid. '[%']]])+BD.PD[[#This Row],[Valor Neto '[DOP']]],BD.PD[[#This Row],[Valor Neto '[DOP']]])</f>
        <v>15319.709999999997</v>
      </c>
      <c r="P331" s="306">
        <f>BD.PD[[#This Row],[Ppto. Orden Interna '[DOP']]]/HLOOKUP("USD",$J$1:$K$2,2,FALSE)</f>
        <v>243.16999999999996</v>
      </c>
      <c r="Q331" s="299" t="s">
        <v>757</v>
      </c>
      <c r="R331" s="307" t="s">
        <v>587</v>
      </c>
      <c r="S331" s="300">
        <v>21</v>
      </c>
      <c r="T331" s="301">
        <v>1</v>
      </c>
      <c r="U331" s="308">
        <f>BD.PD[[#This Row],[Av.P1 '[%']]]*BD.PD[[#This Row],[Ppto. Orden Interna '[DOP']]]</f>
        <v>15319.709999999997</v>
      </c>
      <c r="V331" s="303"/>
      <c r="W331" s="304"/>
      <c r="X331" s="308">
        <f>BD.PD[[#This Row],[Av.P2 '[%']]]*BD.PD[[#This Row],[Ppto. Orden Interna '[DOP']]]</f>
        <v>0</v>
      </c>
      <c r="Y331" s="303"/>
      <c r="Z331" s="304"/>
      <c r="AA331" s="308">
        <f>BD.PD[[#This Row],[Av.P3 '[%']]]*BD.PD[[#This Row],[Ppto. Orden Interna '[DOP']]]</f>
        <v>0</v>
      </c>
      <c r="AB331" s="303"/>
      <c r="AC331" s="304"/>
      <c r="AD331" s="308">
        <f>BD.PD[[#This Row],[Av.P4 '[%']]]*BD.PD[[#This Row],[Ppto. Orden Interna '[DOP']]]</f>
        <v>0</v>
      </c>
      <c r="AE331" s="303"/>
      <c r="AF331" s="304"/>
      <c r="AG331" s="308">
        <f>BD.PD[[#This Row],[Av.P5 '[%']]]*BD.PD[[#This Row],[Ppto. Orden Interna '[DOP']]]</f>
        <v>0</v>
      </c>
      <c r="AH331" s="305">
        <f>BD.PD[[#This Row],[Pago 5]]+BD.PD[[#This Row],[Pago 4]]+BD.PD[[#This Row],[Pago 3]]+BD.PD[[#This Row],[Pago 2]]+BD.PD[[#This Row],[Pago 1]]</f>
        <v>15319.709999999997</v>
      </c>
      <c r="AI331" s="404"/>
      <c r="IB331" s="275"/>
    </row>
    <row r="332" spans="1:236" ht="15" customHeight="1" x14ac:dyDescent="0.3">
      <c r="A332" s="231">
        <v>8.06</v>
      </c>
      <c r="B332" s="288"/>
      <c r="C332" s="289" t="str">
        <f>VLOOKUP(BD.PD[[#This Row],[Pos]],PPto[],3,FALSE)</f>
        <v>8.06 Otros Equipamientos de Tienda</v>
      </c>
      <c r="D332" s="231" t="s">
        <v>22</v>
      </c>
      <c r="E332" s="291" t="str">
        <f>IF(BD.PD[[#This Row],[.]]="*",VLOOKUP(BD.PD[[#This Row],[Pos]],Presupuesto!A:H,7,FALSE),"")</f>
        <v/>
      </c>
      <c r="F332" s="292" t="s">
        <v>345</v>
      </c>
      <c r="G332" s="292" t="s">
        <v>578</v>
      </c>
      <c r="H332" s="358">
        <v>45921</v>
      </c>
      <c r="I332" s="359">
        <v>4</v>
      </c>
      <c r="J332" s="231" t="s">
        <v>581</v>
      </c>
      <c r="K332" s="294">
        <f>IF(BD.PD[[#This Row],[Mon]]="DOP",1,HLOOKUP(BD.PD[[#This Row],[Mon]],$J$1:$K$2,2,FALSE))</f>
        <v>1</v>
      </c>
      <c r="L332" s="360">
        <v>40470.647499999999</v>
      </c>
      <c r="M332" s="296">
        <f>BD.PD[[#This Row],[Cant.]]*BD.PD[[#This Row],[ Tasa ]]*BD.PD[[#This Row],[ Precio Und.]]</f>
        <v>161882.59</v>
      </c>
      <c r="N332" s="361">
        <v>0</v>
      </c>
      <c r="O332" s="296">
        <f>IF(BD.PD[[#This Row],[Liquid. '[%']]]&lt;&gt;0,(BD.PD[[#This Row],[Valor Neto '[DOP']]]*BD.PD[[#This Row],[Liquid. '[%']]])+BD.PD[[#This Row],[Valor Neto '[DOP']]],BD.PD[[#This Row],[Valor Neto '[DOP']]])</f>
        <v>161882.59</v>
      </c>
      <c r="P332" s="306">
        <f>BD.PD[[#This Row],[Ppto. Orden Interna '[DOP']]]/HLOOKUP("USD",$J$1:$K$2,2,FALSE)</f>
        <v>2569.5649206349208</v>
      </c>
      <c r="Q332" s="299" t="s">
        <v>758</v>
      </c>
      <c r="R332" s="409" t="s">
        <v>759</v>
      </c>
      <c r="S332" s="300">
        <v>21</v>
      </c>
      <c r="T332" s="301">
        <v>1</v>
      </c>
      <c r="U332" s="308">
        <f>BD.PD[[#This Row],[Av.P1 '[%']]]*BD.PD[[#This Row],[Ppto. Orden Interna '[DOP']]]</f>
        <v>161882.59</v>
      </c>
      <c r="V332" s="303"/>
      <c r="W332" s="304"/>
      <c r="X332" s="308">
        <f>BD.PD[[#This Row],[Av.P2 '[%']]]*BD.PD[[#This Row],[Ppto. Orden Interna '[DOP']]]</f>
        <v>0</v>
      </c>
      <c r="Y332" s="303"/>
      <c r="Z332" s="304"/>
      <c r="AA332" s="308">
        <f>BD.PD[[#This Row],[Av.P3 '[%']]]*BD.PD[[#This Row],[Ppto. Orden Interna '[DOP']]]</f>
        <v>0</v>
      </c>
      <c r="AB332" s="303"/>
      <c r="AC332" s="304"/>
      <c r="AD332" s="308">
        <f>BD.PD[[#This Row],[Av.P4 '[%']]]*BD.PD[[#This Row],[Ppto. Orden Interna '[DOP']]]</f>
        <v>0</v>
      </c>
      <c r="AE332" s="303"/>
      <c r="AF332" s="304"/>
      <c r="AG332" s="308">
        <f>BD.PD[[#This Row],[Av.P5 '[%']]]*BD.PD[[#This Row],[Ppto. Orden Interna '[DOP']]]</f>
        <v>0</v>
      </c>
      <c r="AH332" s="305">
        <f>BD.PD[[#This Row],[Pago 5]]+BD.PD[[#This Row],[Pago 4]]+BD.PD[[#This Row],[Pago 3]]+BD.PD[[#This Row],[Pago 2]]+BD.PD[[#This Row],[Pago 1]]</f>
        <v>161882.59</v>
      </c>
      <c r="AI332" s="404"/>
      <c r="IB332" s="275"/>
    </row>
    <row r="333" spans="1:236" ht="15" customHeight="1" x14ac:dyDescent="0.3">
      <c r="A333" s="231">
        <v>8.06</v>
      </c>
      <c r="B333" s="288"/>
      <c r="C333" s="289" t="str">
        <f>VLOOKUP(BD.PD[[#This Row],[Pos]],PPto[],3,FALSE)</f>
        <v>8.06 Otros Equipamientos de Tienda</v>
      </c>
      <c r="D333" s="231" t="s">
        <v>22</v>
      </c>
      <c r="E333" s="291" t="str">
        <f>IF(BD.PD[[#This Row],[.]]="*",VLOOKUP(BD.PD[[#This Row],[Pos]],Presupuesto!A:H,7,FALSE),"")</f>
        <v/>
      </c>
      <c r="F333" s="292" t="s">
        <v>383</v>
      </c>
      <c r="G333" s="292" t="s">
        <v>578</v>
      </c>
      <c r="H333" s="358">
        <v>45921</v>
      </c>
      <c r="I333" s="359">
        <v>11</v>
      </c>
      <c r="J333" s="231" t="s">
        <v>581</v>
      </c>
      <c r="K333" s="294">
        <f>IF(BD.PD[[#This Row],[Mon]]="DOP",1,HLOOKUP(BD.PD[[#This Row],[Mon]],$J$1:$K$2,2,FALSE))</f>
        <v>1</v>
      </c>
      <c r="L333" s="360">
        <v>446.23636363636365</v>
      </c>
      <c r="M333" s="296">
        <f>BD.PD[[#This Row],[Cant.]]*BD.PD[[#This Row],[ Tasa ]]*BD.PD[[#This Row],[ Precio Und.]]</f>
        <v>4908.6000000000004</v>
      </c>
      <c r="N333" s="361">
        <v>0</v>
      </c>
      <c r="O333" s="296">
        <f>IF(BD.PD[[#This Row],[Liquid. '[%']]]&lt;&gt;0,(BD.PD[[#This Row],[Valor Neto '[DOP']]]*BD.PD[[#This Row],[Liquid. '[%']]])+BD.PD[[#This Row],[Valor Neto '[DOP']]],BD.PD[[#This Row],[Valor Neto '[DOP']]])</f>
        <v>4908.6000000000004</v>
      </c>
      <c r="P333" s="306">
        <f>BD.PD[[#This Row],[Ppto. Orden Interna '[DOP']]]/HLOOKUP("USD",$J$1:$K$2,2,FALSE)</f>
        <v>77.914285714285725</v>
      </c>
      <c r="Q333" s="299" t="s">
        <v>760</v>
      </c>
      <c r="R333" s="307" t="s">
        <v>761</v>
      </c>
      <c r="S333" s="300">
        <v>21</v>
      </c>
      <c r="T333" s="301">
        <v>1</v>
      </c>
      <c r="U333" s="308">
        <f>BD.PD[[#This Row],[Av.P1 '[%']]]*BD.PD[[#This Row],[Ppto. Orden Interna '[DOP']]]</f>
        <v>4908.6000000000004</v>
      </c>
      <c r="V333" s="303"/>
      <c r="W333" s="304"/>
      <c r="X333" s="308">
        <f>BD.PD[[#This Row],[Av.P2 '[%']]]*BD.PD[[#This Row],[Ppto. Orden Interna '[DOP']]]</f>
        <v>0</v>
      </c>
      <c r="Y333" s="303"/>
      <c r="Z333" s="304"/>
      <c r="AA333" s="308">
        <f>BD.PD[[#This Row],[Av.P3 '[%']]]*BD.PD[[#This Row],[Ppto. Orden Interna '[DOP']]]</f>
        <v>0</v>
      </c>
      <c r="AB333" s="303"/>
      <c r="AC333" s="304"/>
      <c r="AD333" s="308">
        <f>BD.PD[[#This Row],[Av.P4 '[%']]]*BD.PD[[#This Row],[Ppto. Orden Interna '[DOP']]]</f>
        <v>0</v>
      </c>
      <c r="AE333" s="303"/>
      <c r="AF333" s="304"/>
      <c r="AG333" s="308">
        <f>BD.PD[[#This Row],[Av.P5 '[%']]]*BD.PD[[#This Row],[Ppto. Orden Interna '[DOP']]]</f>
        <v>0</v>
      </c>
      <c r="AH333" s="305">
        <f>BD.PD[[#This Row],[Pago 5]]+BD.PD[[#This Row],[Pago 4]]+BD.PD[[#This Row],[Pago 3]]+BD.PD[[#This Row],[Pago 2]]+BD.PD[[#This Row],[Pago 1]]</f>
        <v>4908.6000000000004</v>
      </c>
      <c r="AI333" s="404"/>
      <c r="IB333" s="275"/>
    </row>
    <row r="334" spans="1:236" ht="15" customHeight="1" x14ac:dyDescent="0.3">
      <c r="A334" s="231">
        <v>8.06</v>
      </c>
      <c r="B334" s="288"/>
      <c r="C334" s="289" t="str">
        <f>VLOOKUP(BD.PD[[#This Row],[Pos]],PPto[],3,FALSE)</f>
        <v>8.06 Otros Equipamientos de Tienda</v>
      </c>
      <c r="D334" s="231" t="s">
        <v>22</v>
      </c>
      <c r="E334" s="291" t="str">
        <f>IF(BD.PD[[#This Row],[.]]="*",VLOOKUP(BD.PD[[#This Row],[Pos]],Presupuesto!A:H,7,FALSE),"")</f>
        <v/>
      </c>
      <c r="F334" s="292" t="s">
        <v>373</v>
      </c>
      <c r="G334" s="292" t="s">
        <v>578</v>
      </c>
      <c r="H334" s="358">
        <v>45921</v>
      </c>
      <c r="I334" s="359">
        <v>12</v>
      </c>
      <c r="J334" s="231" t="s">
        <v>581</v>
      </c>
      <c r="K334" s="294">
        <f>IF(BD.PD[[#This Row],[Mon]]="DOP",1,HLOOKUP(BD.PD[[#This Row],[Mon]],$J$1:$K$2,2,FALSE))</f>
        <v>1</v>
      </c>
      <c r="L334" s="360">
        <v>1772.9475</v>
      </c>
      <c r="M334" s="296">
        <f>BD.PD[[#This Row],[Cant.]]*BD.PD[[#This Row],[ Tasa ]]*BD.PD[[#This Row],[ Precio Und.]]</f>
        <v>21275.37</v>
      </c>
      <c r="N334" s="361">
        <v>0</v>
      </c>
      <c r="O334" s="296">
        <f>IF(BD.PD[[#This Row],[Liquid. '[%']]]&lt;&gt;0,(BD.PD[[#This Row],[Valor Neto '[DOP']]]*BD.PD[[#This Row],[Liquid. '[%']]])+BD.PD[[#This Row],[Valor Neto '[DOP']]],BD.PD[[#This Row],[Valor Neto '[DOP']]])</f>
        <v>21275.37</v>
      </c>
      <c r="P334" s="306">
        <f>BD.PD[[#This Row],[Ppto. Orden Interna '[DOP']]]/HLOOKUP("USD",$J$1:$K$2,2,FALSE)</f>
        <v>337.70428571428567</v>
      </c>
      <c r="Q334" s="299" t="s">
        <v>762</v>
      </c>
      <c r="R334" s="307" t="s">
        <v>763</v>
      </c>
      <c r="S334" s="300">
        <v>21</v>
      </c>
      <c r="T334" s="301">
        <v>1</v>
      </c>
      <c r="U334" s="308">
        <f>BD.PD[[#This Row],[Av.P1 '[%']]]*BD.PD[[#This Row],[Ppto. Orden Interna '[DOP']]]</f>
        <v>21275.37</v>
      </c>
      <c r="V334" s="303"/>
      <c r="W334" s="304"/>
      <c r="X334" s="308">
        <f>BD.PD[[#This Row],[Av.P2 '[%']]]*BD.PD[[#This Row],[Ppto. Orden Interna '[DOP']]]</f>
        <v>0</v>
      </c>
      <c r="Y334" s="303"/>
      <c r="Z334" s="304"/>
      <c r="AA334" s="308">
        <f>BD.PD[[#This Row],[Av.P3 '[%']]]*BD.PD[[#This Row],[Ppto. Orden Interna '[DOP']]]</f>
        <v>0</v>
      </c>
      <c r="AB334" s="303"/>
      <c r="AC334" s="304"/>
      <c r="AD334" s="308">
        <f>BD.PD[[#This Row],[Av.P4 '[%']]]*BD.PD[[#This Row],[Ppto. Orden Interna '[DOP']]]</f>
        <v>0</v>
      </c>
      <c r="AE334" s="303"/>
      <c r="AF334" s="304"/>
      <c r="AG334" s="308">
        <f>BD.PD[[#This Row],[Av.P5 '[%']]]*BD.PD[[#This Row],[Ppto. Orden Interna '[DOP']]]</f>
        <v>0</v>
      </c>
      <c r="AH334" s="305">
        <f>BD.PD[[#This Row],[Pago 5]]+BD.PD[[#This Row],[Pago 4]]+BD.PD[[#This Row],[Pago 3]]+BD.PD[[#This Row],[Pago 2]]+BD.PD[[#This Row],[Pago 1]]</f>
        <v>21275.37</v>
      </c>
      <c r="AI334" s="404"/>
      <c r="IB334" s="275"/>
    </row>
    <row r="335" spans="1:236" ht="15" customHeight="1" x14ac:dyDescent="0.3">
      <c r="A335" s="231">
        <v>8.06</v>
      </c>
      <c r="B335" s="288"/>
      <c r="C335" s="289" t="str">
        <f>VLOOKUP(BD.PD[[#This Row],[Pos]],PPto[],3,FALSE)</f>
        <v>8.06 Otros Equipamientos de Tienda</v>
      </c>
      <c r="D335" s="231" t="s">
        <v>22</v>
      </c>
      <c r="E335" s="291" t="str">
        <f>IF(BD.PD[[#This Row],[.]]="*",VLOOKUP(BD.PD[[#This Row],[Pos]],Presupuesto!A:H,7,FALSE),"")</f>
        <v/>
      </c>
      <c r="F335" s="292" t="s">
        <v>370</v>
      </c>
      <c r="G335" s="292" t="s">
        <v>1345</v>
      </c>
      <c r="H335" s="358">
        <v>45921</v>
      </c>
      <c r="I335" s="359">
        <v>1</v>
      </c>
      <c r="J335" s="231" t="s">
        <v>581</v>
      </c>
      <c r="K335" s="294">
        <f>IF(BD.PD[[#This Row],[Mon]]="DOP",1,HLOOKUP(BD.PD[[#This Row],[Mon]],$J$1:$K$2,2,FALSE))</f>
        <v>1</v>
      </c>
      <c r="L335" s="360">
        <v>17773.189999999999</v>
      </c>
      <c r="M335" s="296">
        <f>BD.PD[[#This Row],[Cant.]]*BD.PD[[#This Row],[ Tasa ]]*BD.PD[[#This Row],[ Precio Und.]]</f>
        <v>17773.189999999999</v>
      </c>
      <c r="N335" s="361">
        <v>0</v>
      </c>
      <c r="O335" s="296">
        <f>IF(BD.PD[[#This Row],[Liquid. '[%']]]&lt;&gt;0,(BD.PD[[#This Row],[Valor Neto '[DOP']]]*BD.PD[[#This Row],[Liquid. '[%']]])+BD.PD[[#This Row],[Valor Neto '[DOP']]],BD.PD[[#This Row],[Valor Neto '[DOP']]])</f>
        <v>17773.189999999999</v>
      </c>
      <c r="P335" s="306">
        <f>BD.PD[[#This Row],[Ppto. Orden Interna '[DOP']]]/HLOOKUP("USD",$J$1:$K$2,2,FALSE)</f>
        <v>282.11412698412698</v>
      </c>
      <c r="Q335" s="299" t="s">
        <v>764</v>
      </c>
      <c r="R335" s="307" t="s">
        <v>689</v>
      </c>
      <c r="S335" s="300">
        <v>21</v>
      </c>
      <c r="T335" s="301">
        <v>1</v>
      </c>
      <c r="U335" s="308">
        <f>BD.PD[[#This Row],[Av.P1 '[%']]]*BD.PD[[#This Row],[Ppto. Orden Interna '[DOP']]]</f>
        <v>17773.189999999999</v>
      </c>
      <c r="V335" s="303"/>
      <c r="W335" s="304"/>
      <c r="X335" s="308">
        <f>BD.PD[[#This Row],[Av.P2 '[%']]]*BD.PD[[#This Row],[Ppto. Orden Interna '[DOP']]]</f>
        <v>0</v>
      </c>
      <c r="Y335" s="303"/>
      <c r="Z335" s="304"/>
      <c r="AA335" s="308">
        <f>BD.PD[[#This Row],[Av.P3 '[%']]]*BD.PD[[#This Row],[Ppto. Orden Interna '[DOP']]]</f>
        <v>0</v>
      </c>
      <c r="AB335" s="303"/>
      <c r="AC335" s="304"/>
      <c r="AD335" s="308">
        <f>BD.PD[[#This Row],[Av.P4 '[%']]]*BD.PD[[#This Row],[Ppto. Orden Interna '[DOP']]]</f>
        <v>0</v>
      </c>
      <c r="AE335" s="303"/>
      <c r="AF335" s="304"/>
      <c r="AG335" s="308">
        <f>BD.PD[[#This Row],[Av.P5 '[%']]]*BD.PD[[#This Row],[Ppto. Orden Interna '[DOP']]]</f>
        <v>0</v>
      </c>
      <c r="AH335" s="305">
        <f>BD.PD[[#This Row],[Pago 5]]+BD.PD[[#This Row],[Pago 4]]+BD.PD[[#This Row],[Pago 3]]+BD.PD[[#This Row],[Pago 2]]+BD.PD[[#This Row],[Pago 1]]</f>
        <v>17773.189999999999</v>
      </c>
      <c r="AI335" s="404"/>
      <c r="IB335" s="275"/>
    </row>
    <row r="336" spans="1:236" ht="15" customHeight="1" x14ac:dyDescent="0.3">
      <c r="A336" s="231">
        <v>8.06</v>
      </c>
      <c r="B336" s="288"/>
      <c r="C336" s="289" t="str">
        <f>VLOOKUP(BD.PD[[#This Row],[Pos]],PPto[],3,FALSE)</f>
        <v>8.06 Otros Equipamientos de Tienda</v>
      </c>
      <c r="D336" s="231" t="s">
        <v>22</v>
      </c>
      <c r="E336" s="291" t="str">
        <f>IF(BD.PD[[#This Row],[.]]="*",VLOOKUP(BD.PD[[#This Row],[Pos]],Presupuesto!A:H,7,FALSE),"")</f>
        <v/>
      </c>
      <c r="F336" s="292" t="s">
        <v>374</v>
      </c>
      <c r="G336" s="292" t="s">
        <v>1345</v>
      </c>
      <c r="H336" s="358">
        <v>45921</v>
      </c>
      <c r="I336" s="359">
        <v>1</v>
      </c>
      <c r="J336" s="231" t="s">
        <v>581</v>
      </c>
      <c r="K336" s="294">
        <f>IF(BD.PD[[#This Row],[Mon]]="DOP",1,HLOOKUP(BD.PD[[#This Row],[Mon]],$J$1:$K$2,2,FALSE))</f>
        <v>1</v>
      </c>
      <c r="L336" s="360">
        <v>2210.6999999999998</v>
      </c>
      <c r="M336" s="296">
        <f>BD.PD[[#This Row],[Cant.]]*BD.PD[[#This Row],[ Tasa ]]*BD.PD[[#This Row],[ Precio Und.]]</f>
        <v>2210.6999999999998</v>
      </c>
      <c r="N336" s="361">
        <v>0</v>
      </c>
      <c r="O336" s="296">
        <f>IF(BD.PD[[#This Row],[Liquid. '[%']]]&lt;&gt;0,(BD.PD[[#This Row],[Valor Neto '[DOP']]]*BD.PD[[#This Row],[Liquid. '[%']]])+BD.PD[[#This Row],[Valor Neto '[DOP']]],BD.PD[[#This Row],[Valor Neto '[DOP']]])</f>
        <v>2210.6999999999998</v>
      </c>
      <c r="P336" s="306">
        <f>BD.PD[[#This Row],[Ppto. Orden Interna '[DOP']]]/HLOOKUP("USD",$J$1:$K$2,2,FALSE)</f>
        <v>35.090476190476188</v>
      </c>
      <c r="Q336" s="299" t="s">
        <v>765</v>
      </c>
      <c r="R336" s="307" t="s">
        <v>689</v>
      </c>
      <c r="S336" s="300">
        <v>21</v>
      </c>
      <c r="T336" s="301">
        <v>1</v>
      </c>
      <c r="U336" s="308">
        <f>BD.PD[[#This Row],[Av.P1 '[%']]]*BD.PD[[#This Row],[Ppto. Orden Interna '[DOP']]]</f>
        <v>2210.6999999999998</v>
      </c>
      <c r="V336" s="303"/>
      <c r="W336" s="304"/>
      <c r="X336" s="308">
        <f>BD.PD[[#This Row],[Av.P2 '[%']]]*BD.PD[[#This Row],[Ppto. Orden Interna '[DOP']]]</f>
        <v>0</v>
      </c>
      <c r="Y336" s="303"/>
      <c r="Z336" s="304"/>
      <c r="AA336" s="308">
        <f>BD.PD[[#This Row],[Av.P3 '[%']]]*BD.PD[[#This Row],[Ppto. Orden Interna '[DOP']]]</f>
        <v>0</v>
      </c>
      <c r="AB336" s="303"/>
      <c r="AC336" s="304"/>
      <c r="AD336" s="308">
        <f>BD.PD[[#This Row],[Av.P4 '[%']]]*BD.PD[[#This Row],[Ppto. Orden Interna '[DOP']]]</f>
        <v>0</v>
      </c>
      <c r="AE336" s="303"/>
      <c r="AF336" s="304"/>
      <c r="AG336" s="308">
        <f>BD.PD[[#This Row],[Av.P5 '[%']]]*BD.PD[[#This Row],[Ppto. Orden Interna '[DOP']]]</f>
        <v>0</v>
      </c>
      <c r="AH336" s="305">
        <f>BD.PD[[#This Row],[Pago 5]]+BD.PD[[#This Row],[Pago 4]]+BD.PD[[#This Row],[Pago 3]]+BD.PD[[#This Row],[Pago 2]]+BD.PD[[#This Row],[Pago 1]]</f>
        <v>2210.6999999999998</v>
      </c>
      <c r="AI336" s="404"/>
      <c r="IB336" s="275"/>
    </row>
    <row r="337" spans="1:236" ht="15" customHeight="1" x14ac:dyDescent="0.3">
      <c r="A337" s="231">
        <v>8.06</v>
      </c>
      <c r="B337" s="288"/>
      <c r="C337" s="289" t="str">
        <f>VLOOKUP(BD.PD[[#This Row],[Pos]],PPto[],3,FALSE)</f>
        <v>8.06 Otros Equipamientos de Tienda</v>
      </c>
      <c r="D337" s="290" t="s">
        <v>22</v>
      </c>
      <c r="E337" s="291" t="str">
        <f>IF(BD.PD[[#This Row],[.]]="*",VLOOKUP(BD.PD[[#This Row],[Pos]],Presupuesto!A:H,7,FALSE),"")</f>
        <v/>
      </c>
      <c r="F337" s="390" t="s">
        <v>379</v>
      </c>
      <c r="G337" s="292" t="s">
        <v>578</v>
      </c>
      <c r="H337" s="358">
        <v>45921</v>
      </c>
      <c r="I337" s="359">
        <v>1</v>
      </c>
      <c r="J337" s="231" t="s">
        <v>456</v>
      </c>
      <c r="K337" s="294">
        <f>IF(BD.PD[[#This Row],[Mon]]="DOP",1,HLOOKUP(BD.PD[[#This Row],[Mon]],$J$1:$K$2,2,FALSE))</f>
        <v>63</v>
      </c>
      <c r="L337" s="392">
        <v>6100</v>
      </c>
      <c r="M337" s="296">
        <f>BD.PD[[#This Row],[Cant.]]*BD.PD[[#This Row],[ Tasa ]]*BD.PD[[#This Row],[ Precio Und.]]</f>
        <v>384300</v>
      </c>
      <c r="N337" s="361">
        <v>0</v>
      </c>
      <c r="O337" s="296">
        <f>IF(BD.PD[[#This Row],[Liquid. '[%']]]&lt;&gt;0,(BD.PD[[#This Row],[Valor Neto '[DOP']]]*BD.PD[[#This Row],[Liquid. '[%']]])+BD.PD[[#This Row],[Valor Neto '[DOP']]],BD.PD[[#This Row],[Valor Neto '[DOP']]])</f>
        <v>384300</v>
      </c>
      <c r="P337" s="306">
        <f>BD.PD[[#This Row],[Ppto. Orden Interna '[DOP']]]/HLOOKUP("USD",$J$1:$K$2,2,FALSE)</f>
        <v>6100</v>
      </c>
      <c r="Q337" s="299" t="s">
        <v>766</v>
      </c>
      <c r="R337" s="307"/>
      <c r="S337" s="300">
        <v>21</v>
      </c>
      <c r="T337" s="301">
        <v>1</v>
      </c>
      <c r="U337" s="308">
        <f>BD.PD[[#This Row],[Av.P1 '[%']]]*BD.PD[[#This Row],[Ppto. Orden Interna '[DOP']]]</f>
        <v>384300</v>
      </c>
      <c r="V337" s="303"/>
      <c r="W337" s="304"/>
      <c r="X337" s="308">
        <f>BD.PD[[#This Row],[Av.P2 '[%']]]*BD.PD[[#This Row],[Ppto. Orden Interna '[DOP']]]</f>
        <v>0</v>
      </c>
      <c r="Y337" s="303"/>
      <c r="Z337" s="304"/>
      <c r="AA337" s="308">
        <f>BD.PD[[#This Row],[Av.P3 '[%']]]*BD.PD[[#This Row],[Ppto. Orden Interna '[DOP']]]</f>
        <v>0</v>
      </c>
      <c r="AB337" s="303"/>
      <c r="AC337" s="304"/>
      <c r="AD337" s="308">
        <f>BD.PD[[#This Row],[Av.P4 '[%']]]*BD.PD[[#This Row],[Ppto. Orden Interna '[DOP']]]</f>
        <v>0</v>
      </c>
      <c r="AE337" s="303"/>
      <c r="AF337" s="304"/>
      <c r="AG337" s="308">
        <f>BD.PD[[#This Row],[Av.P5 '[%']]]*BD.PD[[#This Row],[Ppto. Orden Interna '[DOP']]]</f>
        <v>0</v>
      </c>
      <c r="AH337" s="305">
        <f>BD.PD[[#This Row],[Pago 5]]+BD.PD[[#This Row],[Pago 4]]+BD.PD[[#This Row],[Pago 3]]+BD.PD[[#This Row],[Pago 2]]+BD.PD[[#This Row],[Pago 1]]</f>
        <v>384300</v>
      </c>
      <c r="AI337" s="404"/>
      <c r="IB337" s="275"/>
    </row>
    <row r="338" spans="1:236" ht="15" customHeight="1" x14ac:dyDescent="0.3">
      <c r="A338" s="231">
        <v>8.06</v>
      </c>
      <c r="B338" s="288"/>
      <c r="C338" s="289" t="str">
        <f>VLOOKUP(BD.PD[[#This Row],[Pos]],PPto[],3,FALSE)</f>
        <v>8.06 Otros Equipamientos de Tienda</v>
      </c>
      <c r="D338" s="231" t="s">
        <v>22</v>
      </c>
      <c r="E338" s="291" t="str">
        <f>IF(BD.PD[[#This Row],[.]]="*",VLOOKUP(BD.PD[[#This Row],[Pos]],Presupuesto!A:H,7,FALSE),"")</f>
        <v/>
      </c>
      <c r="F338" s="383" t="s">
        <v>349</v>
      </c>
      <c r="G338" s="292" t="s">
        <v>578</v>
      </c>
      <c r="H338" s="358">
        <v>45921</v>
      </c>
      <c r="I338" s="359">
        <v>4</v>
      </c>
      <c r="J338" s="231" t="s">
        <v>581</v>
      </c>
      <c r="K338" s="294">
        <f>IF(BD.PD[[#This Row],[Mon]]="DOP",1,HLOOKUP(BD.PD[[#This Row],[Mon]],$J$1:$K$2,2,FALSE))</f>
        <v>1</v>
      </c>
      <c r="L338" s="360">
        <v>34403.894999999997</v>
      </c>
      <c r="M338" s="296">
        <f>BD.PD[[#This Row],[Cant.]]*BD.PD[[#This Row],[ Tasa ]]*BD.PD[[#This Row],[ Precio Und.]]</f>
        <v>137615.57999999999</v>
      </c>
      <c r="N338" s="361">
        <v>0</v>
      </c>
      <c r="O338" s="296">
        <f>IF(BD.PD[[#This Row],[Liquid. '[%']]]&lt;&gt;0,(BD.PD[[#This Row],[Valor Neto '[DOP']]]*BD.PD[[#This Row],[Liquid. '[%']]])+BD.PD[[#This Row],[Valor Neto '[DOP']]],BD.PD[[#This Row],[Valor Neto '[DOP']]])</f>
        <v>137615.57999999999</v>
      </c>
      <c r="P338" s="306">
        <f>BD.PD[[#This Row],[Ppto. Orden Interna '[DOP']]]/HLOOKUP("USD",$J$1:$K$2,2,FALSE)</f>
        <v>2184.3742857142856</v>
      </c>
      <c r="Q338" s="299" t="s">
        <v>767</v>
      </c>
      <c r="R338" s="307"/>
      <c r="S338" s="300">
        <v>21</v>
      </c>
      <c r="T338" s="301">
        <v>1</v>
      </c>
      <c r="U338" s="308">
        <f>BD.PD[[#This Row],[Av.P1 '[%']]]*BD.PD[[#This Row],[Ppto. Orden Interna '[DOP']]]</f>
        <v>137615.57999999999</v>
      </c>
      <c r="V338" s="303"/>
      <c r="W338" s="304"/>
      <c r="X338" s="308">
        <f>BD.PD[[#This Row],[Av.P2 '[%']]]*BD.PD[[#This Row],[Ppto. Orden Interna '[DOP']]]</f>
        <v>0</v>
      </c>
      <c r="Y338" s="303"/>
      <c r="Z338" s="304"/>
      <c r="AA338" s="308">
        <f>BD.PD[[#This Row],[Av.P3 '[%']]]*BD.PD[[#This Row],[Ppto. Orden Interna '[DOP']]]</f>
        <v>0</v>
      </c>
      <c r="AB338" s="303"/>
      <c r="AC338" s="304"/>
      <c r="AD338" s="308">
        <f>BD.PD[[#This Row],[Av.P4 '[%']]]*BD.PD[[#This Row],[Ppto. Orden Interna '[DOP']]]</f>
        <v>0</v>
      </c>
      <c r="AE338" s="303"/>
      <c r="AF338" s="304"/>
      <c r="AG338" s="308">
        <f>BD.PD[[#This Row],[Av.P5 '[%']]]*BD.PD[[#This Row],[Ppto. Orden Interna '[DOP']]]</f>
        <v>0</v>
      </c>
      <c r="AH338" s="305">
        <f>BD.PD[[#This Row],[Pago 5]]+BD.PD[[#This Row],[Pago 4]]+BD.PD[[#This Row],[Pago 3]]+BD.PD[[#This Row],[Pago 2]]+BD.PD[[#This Row],[Pago 1]]</f>
        <v>137615.57999999999</v>
      </c>
      <c r="AI338" s="404"/>
      <c r="IB338" s="275"/>
    </row>
    <row r="339" spans="1:236" ht="15" customHeight="1" x14ac:dyDescent="0.3">
      <c r="A339" s="231">
        <v>8.07</v>
      </c>
      <c r="B339" s="288" t="s">
        <v>574</v>
      </c>
      <c r="C339" s="289" t="str">
        <f>VLOOKUP(BD.PD[[#This Row],[Pos]],PPto[],3,FALSE)</f>
        <v>8.07 Señalizacion interiores</v>
      </c>
      <c r="D339" s="290" t="s">
        <v>574</v>
      </c>
      <c r="E339" s="291">
        <f>IF(BD.PD[[#This Row],[.]]="*",VLOOKUP(BD.PD[[#This Row],[Pos]],Presupuesto!A:H,7,FALSE),"")</f>
        <v>123730.70926517571</v>
      </c>
      <c r="F339" s="292"/>
      <c r="G339" s="292" t="s">
        <v>575</v>
      </c>
      <c r="H339" s="292"/>
      <c r="I339" s="293">
        <v>1</v>
      </c>
      <c r="J339" s="290" t="s">
        <v>456</v>
      </c>
      <c r="K339" s="294">
        <f>IF(BD.PD[[#This Row],[Mon]]="DOP",1,HLOOKUP(BD.PD[[#This Row],[Mon]],$J$1:$K$2,2,FALSE))</f>
        <v>63</v>
      </c>
      <c r="L339" s="295">
        <v>0</v>
      </c>
      <c r="M339" s="296">
        <f>BD.PD[[#This Row],[Cant.]]*BD.PD[[#This Row],[ Tasa ]]*BD.PD[[#This Row],[ Precio Und.]]</f>
        <v>0</v>
      </c>
      <c r="N339" s="297">
        <v>0</v>
      </c>
      <c r="O339" s="296">
        <f>IF(BD.PD[[#This Row],[Liquid. '[%']]]&lt;&gt;0,(BD.PD[[#This Row],[Valor Neto '[DOP']]]*BD.PD[[#This Row],[Liquid. '[%']]])+BD.PD[[#This Row],[Valor Neto '[DOP']]],BD.PD[[#This Row],[Valor Neto '[DOP']]])</f>
        <v>0</v>
      </c>
      <c r="P339" s="306">
        <f>BD.PD[[#This Row],[Ppto. Orden Interna '[DOP']]]/HLOOKUP("USD",$J$1:$K$2,2,FALSE)</f>
        <v>0</v>
      </c>
      <c r="Q339" s="299"/>
      <c r="R339" s="307"/>
      <c r="S339" s="300"/>
      <c r="T339" s="301"/>
      <c r="U339" s="308">
        <f>BD.PD[[#This Row],[Av.P1 '[%']]]*BD.PD[[#This Row],[Ppto. Orden Interna '[DOP']]]</f>
        <v>0</v>
      </c>
      <c r="V339" s="303"/>
      <c r="W339" s="304"/>
      <c r="X339" s="308">
        <f>BD.PD[[#This Row],[Av.P2 '[%']]]*BD.PD[[#This Row],[Ppto. Orden Interna '[DOP']]]</f>
        <v>0</v>
      </c>
      <c r="Y339" s="303"/>
      <c r="Z339" s="304"/>
      <c r="AA339" s="308">
        <f>BD.PD[[#This Row],[Av.P3 '[%']]]*BD.PD[[#This Row],[Ppto. Orden Interna '[DOP']]]</f>
        <v>0</v>
      </c>
      <c r="AB339" s="303"/>
      <c r="AC339" s="304"/>
      <c r="AD339" s="308">
        <f>BD.PD[[#This Row],[Av.P4 '[%']]]*BD.PD[[#This Row],[Ppto. Orden Interna '[DOP']]]</f>
        <v>0</v>
      </c>
      <c r="AE339" s="303"/>
      <c r="AF339" s="304"/>
      <c r="AG339" s="308">
        <f>BD.PD[[#This Row],[Av.P5 '[%']]]*BD.PD[[#This Row],[Ppto. Orden Interna '[DOP']]]</f>
        <v>0</v>
      </c>
      <c r="AH339" s="305">
        <f>BD.PD[[#This Row],[Pago 5]]+BD.PD[[#This Row],[Pago 4]]+BD.PD[[#This Row],[Pago 3]]+BD.PD[[#This Row],[Pago 2]]+BD.PD[[#This Row],[Pago 1]]</f>
        <v>0</v>
      </c>
      <c r="AI339" s="404"/>
      <c r="IB339" s="275"/>
    </row>
    <row r="340" spans="1:236" ht="15" customHeight="1" x14ac:dyDescent="0.3">
      <c r="A340" s="231">
        <v>8.07</v>
      </c>
      <c r="B340" s="288"/>
      <c r="C340" s="289" t="str">
        <f>VLOOKUP(BD.PD[[#This Row],[Pos]],PPto[],3,FALSE)</f>
        <v>8.07 Señalizacion interiores</v>
      </c>
      <c r="D340" s="231" t="s">
        <v>22</v>
      </c>
      <c r="E340" s="291" t="str">
        <f>IF(BD.PD[[#This Row],[.]]="*",VLOOKUP(BD.PD[[#This Row],[Pos]],Presupuesto!A:H,7,FALSE),"")</f>
        <v/>
      </c>
      <c r="F340" s="292" t="s">
        <v>386</v>
      </c>
      <c r="G340" s="292" t="s">
        <v>578</v>
      </c>
      <c r="H340" s="358">
        <v>45921</v>
      </c>
      <c r="I340" s="359">
        <v>1</v>
      </c>
      <c r="J340" s="231" t="s">
        <v>581</v>
      </c>
      <c r="K340" s="294">
        <f>IF(BD.PD[[#This Row],[Mon]]="DOP",1,HLOOKUP(BD.PD[[#This Row],[Mon]],$J$1:$K$2,2,FALSE))</f>
        <v>1</v>
      </c>
      <c r="L340" s="360">
        <v>7200000</v>
      </c>
      <c r="M340" s="296">
        <f>BD.PD[[#This Row],[Cant.]]*BD.PD[[#This Row],[ Tasa ]]*BD.PD[[#This Row],[ Precio Und.]]</f>
        <v>7200000</v>
      </c>
      <c r="N340" s="361">
        <v>0</v>
      </c>
      <c r="O340" s="296">
        <f>IF(BD.PD[[#This Row],[Liquid. '[%']]]&lt;&gt;0,(BD.PD[[#This Row],[Valor Neto '[DOP']]]*BD.PD[[#This Row],[Liquid. '[%']]])+BD.PD[[#This Row],[Valor Neto '[DOP']]],BD.PD[[#This Row],[Valor Neto '[DOP']]])</f>
        <v>7200000</v>
      </c>
      <c r="P340" s="306">
        <f>BD.PD[[#This Row],[Ppto. Orden Interna '[DOP']]]/HLOOKUP("USD",$J$1:$K$2,2,FALSE)</f>
        <v>114285.71428571429</v>
      </c>
      <c r="Q340" s="299" t="s">
        <v>768</v>
      </c>
      <c r="R340" s="307"/>
      <c r="S340" s="300">
        <v>22</v>
      </c>
      <c r="T340" s="301">
        <v>0.5</v>
      </c>
      <c r="U340" s="308">
        <f>BD.PD[[#This Row],[Av.P1 '[%']]]*BD.PD[[#This Row],[Ppto. Orden Interna '[DOP']]]</f>
        <v>3600000</v>
      </c>
      <c r="V340" s="303">
        <v>24</v>
      </c>
      <c r="W340" s="304">
        <v>0.5</v>
      </c>
      <c r="X340" s="308">
        <f>BD.PD[[#This Row],[Av.P2 '[%']]]*BD.PD[[#This Row],[Ppto. Orden Interna '[DOP']]]</f>
        <v>3600000</v>
      </c>
      <c r="Y340" s="303"/>
      <c r="Z340" s="304"/>
      <c r="AA340" s="308">
        <f>BD.PD[[#This Row],[Av.P3 '[%']]]*BD.PD[[#This Row],[Ppto. Orden Interna '[DOP']]]</f>
        <v>0</v>
      </c>
      <c r="AB340" s="303"/>
      <c r="AC340" s="304"/>
      <c r="AD340" s="308">
        <f>BD.PD[[#This Row],[Av.P4 '[%']]]*BD.PD[[#This Row],[Ppto. Orden Interna '[DOP']]]</f>
        <v>0</v>
      </c>
      <c r="AE340" s="303"/>
      <c r="AF340" s="304"/>
      <c r="AG340" s="308">
        <f>BD.PD[[#This Row],[Av.P5 '[%']]]*BD.PD[[#This Row],[Ppto. Orden Interna '[DOP']]]</f>
        <v>0</v>
      </c>
      <c r="AH340" s="305">
        <f>BD.PD[[#This Row],[Pago 5]]+BD.PD[[#This Row],[Pago 4]]+BD.PD[[#This Row],[Pago 3]]+BD.PD[[#This Row],[Pago 2]]+BD.PD[[#This Row],[Pago 1]]</f>
        <v>7200000</v>
      </c>
      <c r="AI340" s="404"/>
      <c r="IB340" s="275"/>
    </row>
    <row r="341" spans="1:236" ht="15" customHeight="1" x14ac:dyDescent="0.3">
      <c r="A341" s="231">
        <v>8.07</v>
      </c>
      <c r="B341" s="288"/>
      <c r="C341" s="289" t="str">
        <f>VLOOKUP(BD.PD[[#This Row],[Pos]],PPto[],3,FALSE)</f>
        <v>8.07 Señalizacion interiores</v>
      </c>
      <c r="D341" s="231" t="s">
        <v>22</v>
      </c>
      <c r="E341" s="291" t="str">
        <f>IF(BD.PD[[#This Row],[.]]="*",VLOOKUP(BD.PD[[#This Row],[Pos]],Presupuesto!A:H,7,FALSE),"")</f>
        <v/>
      </c>
      <c r="F341" s="292" t="s">
        <v>388</v>
      </c>
      <c r="G341" s="292" t="s">
        <v>578</v>
      </c>
      <c r="H341" s="358">
        <v>45921</v>
      </c>
      <c r="I341" s="359">
        <v>1</v>
      </c>
      <c r="J341" s="231" t="s">
        <v>581</v>
      </c>
      <c r="K341" s="294">
        <f>IF(BD.PD[[#This Row],[Mon]]="DOP",1,HLOOKUP(BD.PD[[#This Row],[Mon]],$J$1:$K$2,2,FALSE))</f>
        <v>1</v>
      </c>
      <c r="L341" s="360">
        <v>333955</v>
      </c>
      <c r="M341" s="296">
        <f>BD.PD[[#This Row],[Cant.]]*BD.PD[[#This Row],[ Tasa ]]*BD.PD[[#This Row],[ Precio Und.]]</f>
        <v>333955</v>
      </c>
      <c r="N341" s="361">
        <v>0.05</v>
      </c>
      <c r="O341" s="296">
        <f>IF(BD.PD[[#This Row],[Liquid. '[%']]]&lt;&gt;0,(BD.PD[[#This Row],[Valor Neto '[DOP']]]*BD.PD[[#This Row],[Liquid. '[%']]])+BD.PD[[#This Row],[Valor Neto '[DOP']]],BD.PD[[#This Row],[Valor Neto '[DOP']]])</f>
        <v>350652.75</v>
      </c>
      <c r="P341" s="306">
        <f>BD.PD[[#This Row],[Ppto. Orden Interna '[DOP']]]/HLOOKUP("USD",$J$1:$K$2,2,FALSE)</f>
        <v>5565.916666666667</v>
      </c>
      <c r="Q341" s="299" t="s">
        <v>769</v>
      </c>
      <c r="R341" s="307"/>
      <c r="S341" s="300">
        <v>21</v>
      </c>
      <c r="T341" s="301">
        <v>1</v>
      </c>
      <c r="U341" s="308">
        <f>BD.PD[[#This Row],[Av.P1 '[%']]]*BD.PD[[#This Row],[Ppto. Orden Interna '[DOP']]]</f>
        <v>350652.75</v>
      </c>
      <c r="V341" s="303"/>
      <c r="W341" s="304"/>
      <c r="X341" s="308">
        <f>BD.PD[[#This Row],[Av.P2 '[%']]]*BD.PD[[#This Row],[Ppto. Orden Interna '[DOP']]]</f>
        <v>0</v>
      </c>
      <c r="Y341" s="303"/>
      <c r="Z341" s="304"/>
      <c r="AA341" s="308">
        <f>BD.PD[[#This Row],[Av.P3 '[%']]]*BD.PD[[#This Row],[Ppto. Orden Interna '[DOP']]]</f>
        <v>0</v>
      </c>
      <c r="AB341" s="303"/>
      <c r="AC341" s="304"/>
      <c r="AD341" s="308">
        <f>BD.PD[[#This Row],[Av.P4 '[%']]]*BD.PD[[#This Row],[Ppto. Orden Interna '[DOP']]]</f>
        <v>0</v>
      </c>
      <c r="AE341" s="303"/>
      <c r="AF341" s="304"/>
      <c r="AG341" s="308">
        <f>BD.PD[[#This Row],[Av.P5 '[%']]]*BD.PD[[#This Row],[Ppto. Orden Interna '[DOP']]]</f>
        <v>0</v>
      </c>
      <c r="AH341" s="305">
        <f>BD.PD[[#This Row],[Pago 5]]+BD.PD[[#This Row],[Pago 4]]+BD.PD[[#This Row],[Pago 3]]+BD.PD[[#This Row],[Pago 2]]+BD.PD[[#This Row],[Pago 1]]</f>
        <v>350652.75</v>
      </c>
      <c r="AI341" s="404"/>
      <c r="IB341" s="275"/>
    </row>
    <row r="342" spans="1:236" ht="15" customHeight="1" x14ac:dyDescent="0.3">
      <c r="A342" s="231">
        <v>8.07</v>
      </c>
      <c r="B342" s="288"/>
      <c r="C342" s="289" t="str">
        <f>VLOOKUP(BD.PD[[#This Row],[Pos]],PPto[],3,FALSE)</f>
        <v>8.07 Señalizacion interiores</v>
      </c>
      <c r="D342" s="231" t="s">
        <v>22</v>
      </c>
      <c r="E342" s="291" t="str">
        <f>IF(BD.PD[[#This Row],[.]]="*",VLOOKUP(BD.PD[[#This Row],[Pos]],Presupuesto!A:H,7,FALSE),"")</f>
        <v/>
      </c>
      <c r="F342" s="292" t="s">
        <v>387</v>
      </c>
      <c r="G342" s="292" t="s">
        <v>578</v>
      </c>
      <c r="H342" s="358">
        <v>45921</v>
      </c>
      <c r="I342" s="359">
        <v>1</v>
      </c>
      <c r="J342" s="231" t="s">
        <v>581</v>
      </c>
      <c r="K342" s="294">
        <f>IF(BD.PD[[#This Row],[Mon]]="DOP",1,HLOOKUP(BD.PD[[#This Row],[Mon]],$J$1:$K$2,2,FALSE))</f>
        <v>1</v>
      </c>
      <c r="L342" s="360">
        <v>129986.4</v>
      </c>
      <c r="M342" s="296">
        <f>BD.PD[[#This Row],[Cant.]]*BD.PD[[#This Row],[ Tasa ]]*BD.PD[[#This Row],[ Precio Und.]]</f>
        <v>129986.4</v>
      </c>
      <c r="N342" s="361">
        <v>0</v>
      </c>
      <c r="O342" s="296">
        <f>IF(BD.PD[[#This Row],[Liquid. '[%']]]&lt;&gt;0,(BD.PD[[#This Row],[Valor Neto '[DOP']]]*BD.PD[[#This Row],[Liquid. '[%']]])+BD.PD[[#This Row],[Valor Neto '[DOP']]],BD.PD[[#This Row],[Valor Neto '[DOP']]])</f>
        <v>129986.4</v>
      </c>
      <c r="P342" s="306">
        <f>BD.PD[[#This Row],[Ppto. Orden Interna '[DOP']]]/HLOOKUP("USD",$J$1:$K$2,2,FALSE)</f>
        <v>2063.2761904761905</v>
      </c>
      <c r="Q342" s="299" t="s">
        <v>769</v>
      </c>
      <c r="R342" s="307"/>
      <c r="S342" s="300">
        <v>21</v>
      </c>
      <c r="T342" s="301">
        <v>1</v>
      </c>
      <c r="U342" s="308">
        <f>BD.PD[[#This Row],[Av.P1 '[%']]]*BD.PD[[#This Row],[Ppto. Orden Interna '[DOP']]]</f>
        <v>129986.4</v>
      </c>
      <c r="V342" s="303"/>
      <c r="W342" s="304"/>
      <c r="X342" s="308">
        <f>BD.PD[[#This Row],[Av.P2 '[%']]]*BD.PD[[#This Row],[Ppto. Orden Interna '[DOP']]]</f>
        <v>0</v>
      </c>
      <c r="Y342" s="303"/>
      <c r="Z342" s="304"/>
      <c r="AA342" s="308">
        <f>BD.PD[[#This Row],[Av.P3 '[%']]]*BD.PD[[#This Row],[Ppto. Orden Interna '[DOP']]]</f>
        <v>0</v>
      </c>
      <c r="AB342" s="303"/>
      <c r="AC342" s="304"/>
      <c r="AD342" s="308">
        <f>BD.PD[[#This Row],[Av.P4 '[%']]]*BD.PD[[#This Row],[Ppto. Orden Interna '[DOP']]]</f>
        <v>0</v>
      </c>
      <c r="AE342" s="303"/>
      <c r="AF342" s="304"/>
      <c r="AG342" s="308">
        <f>BD.PD[[#This Row],[Av.P5 '[%']]]*BD.PD[[#This Row],[Ppto. Orden Interna '[DOP']]]</f>
        <v>0</v>
      </c>
      <c r="AH342" s="305">
        <f>BD.PD[[#This Row],[Pago 5]]+BD.PD[[#This Row],[Pago 4]]+BD.PD[[#This Row],[Pago 3]]+BD.PD[[#This Row],[Pago 2]]+BD.PD[[#This Row],[Pago 1]]</f>
        <v>129986.4</v>
      </c>
      <c r="AI342" s="404"/>
      <c r="IB342" s="275"/>
    </row>
    <row r="343" spans="1:236" ht="15" customHeight="1" x14ac:dyDescent="0.3">
      <c r="A343" s="231">
        <v>8.07</v>
      </c>
      <c r="B343" s="288"/>
      <c r="C343" s="289" t="str">
        <f>VLOOKUP(BD.PD[[#This Row],[Pos]],PPto[],3,FALSE)</f>
        <v>8.07 Señalizacion interiores</v>
      </c>
      <c r="D343" s="231" t="s">
        <v>22</v>
      </c>
      <c r="E343" s="291" t="str">
        <f>IF(BD.PD[[#This Row],[.]]="*",VLOOKUP(BD.PD[[#This Row],[Pos]],Presupuesto!A:H,7,FALSE),"")</f>
        <v/>
      </c>
      <c r="F343" s="292" t="s">
        <v>385</v>
      </c>
      <c r="G343" s="292" t="s">
        <v>578</v>
      </c>
      <c r="H343" s="358">
        <v>45921</v>
      </c>
      <c r="I343" s="359">
        <v>1</v>
      </c>
      <c r="J343" s="231" t="s">
        <v>581</v>
      </c>
      <c r="K343" s="294">
        <f>IF(BD.PD[[#This Row],[Mon]]="DOP",1,HLOOKUP(BD.PD[[#This Row],[Mon]],$J$1:$K$2,2,FALSE))</f>
        <v>1</v>
      </c>
      <c r="L343" s="360">
        <v>37556</v>
      </c>
      <c r="M343" s="296">
        <f>BD.PD[[#This Row],[Cant.]]*BD.PD[[#This Row],[ Tasa ]]*BD.PD[[#This Row],[ Precio Und.]]</f>
        <v>37556</v>
      </c>
      <c r="N343" s="361">
        <v>0</v>
      </c>
      <c r="O343" s="296">
        <f>IF(BD.PD[[#This Row],[Liquid. '[%']]]&lt;&gt;0,(BD.PD[[#This Row],[Valor Neto '[DOP']]]*BD.PD[[#This Row],[Liquid. '[%']]])+BD.PD[[#This Row],[Valor Neto '[DOP']]],BD.PD[[#This Row],[Valor Neto '[DOP']]])</f>
        <v>37556</v>
      </c>
      <c r="P343" s="306">
        <f>BD.PD[[#This Row],[Ppto. Orden Interna '[DOP']]]/HLOOKUP("USD",$J$1:$K$2,2,FALSE)</f>
        <v>596.1269841269841</v>
      </c>
      <c r="Q343" s="299" t="s">
        <v>769</v>
      </c>
      <c r="R343" s="307"/>
      <c r="S343" s="300">
        <v>21</v>
      </c>
      <c r="T343" s="301">
        <v>1</v>
      </c>
      <c r="U343" s="308">
        <f>BD.PD[[#This Row],[Av.P1 '[%']]]*BD.PD[[#This Row],[Ppto. Orden Interna '[DOP']]]</f>
        <v>37556</v>
      </c>
      <c r="V343" s="303"/>
      <c r="W343" s="304"/>
      <c r="X343" s="308">
        <f>BD.PD[[#This Row],[Av.P2 '[%']]]*BD.PD[[#This Row],[Ppto. Orden Interna '[DOP']]]</f>
        <v>0</v>
      </c>
      <c r="Y343" s="303"/>
      <c r="Z343" s="304"/>
      <c r="AA343" s="308">
        <f>BD.PD[[#This Row],[Av.P3 '[%']]]*BD.PD[[#This Row],[Ppto. Orden Interna '[DOP']]]</f>
        <v>0</v>
      </c>
      <c r="AB343" s="303"/>
      <c r="AC343" s="304"/>
      <c r="AD343" s="308">
        <f>BD.PD[[#This Row],[Av.P4 '[%']]]*BD.PD[[#This Row],[Ppto. Orden Interna '[DOP']]]</f>
        <v>0</v>
      </c>
      <c r="AE343" s="303"/>
      <c r="AF343" s="304"/>
      <c r="AG343" s="308">
        <f>BD.PD[[#This Row],[Av.P5 '[%']]]*BD.PD[[#This Row],[Ppto. Orden Interna '[DOP']]]</f>
        <v>0</v>
      </c>
      <c r="AH343" s="305">
        <f>BD.PD[[#This Row],[Pago 5]]+BD.PD[[#This Row],[Pago 4]]+BD.PD[[#This Row],[Pago 3]]+BD.PD[[#This Row],[Pago 2]]+BD.PD[[#This Row],[Pago 1]]</f>
        <v>37556</v>
      </c>
      <c r="AI343" s="404"/>
      <c r="IB343" s="275"/>
    </row>
    <row r="344" spans="1:236" ht="15" customHeight="1" x14ac:dyDescent="0.3">
      <c r="A344" s="231">
        <v>8.08</v>
      </c>
      <c r="B344" s="288" t="s">
        <v>574</v>
      </c>
      <c r="C344" s="289" t="str">
        <f>VLOOKUP(BD.PD[[#This Row],[Pos]],PPto[],3,FALSE)</f>
        <v>8.08 Señalizacion exteriores</v>
      </c>
      <c r="D344" s="290" t="s">
        <v>574</v>
      </c>
      <c r="E344" s="291">
        <f>IF(BD.PD[[#This Row],[.]]="*",VLOOKUP(BD.PD[[#This Row],[Pos]],Presupuesto!A:H,7,FALSE),"")</f>
        <v>61875.39936102237</v>
      </c>
      <c r="F344" s="292"/>
      <c r="G344" s="292" t="s">
        <v>575</v>
      </c>
      <c r="H344" s="292"/>
      <c r="I344" s="293">
        <v>1</v>
      </c>
      <c r="J344" s="290" t="s">
        <v>456</v>
      </c>
      <c r="K344" s="294">
        <f>IF(BD.PD[[#This Row],[Mon]]="DOP",1,HLOOKUP(BD.PD[[#This Row],[Mon]],$J$1:$K$2,2,FALSE))</f>
        <v>63</v>
      </c>
      <c r="L344" s="295">
        <v>0</v>
      </c>
      <c r="M344" s="296">
        <f>BD.PD[[#This Row],[Cant.]]*BD.PD[[#This Row],[ Tasa ]]*BD.PD[[#This Row],[ Precio Und.]]</f>
        <v>0</v>
      </c>
      <c r="N344" s="297">
        <v>0</v>
      </c>
      <c r="O344" s="296">
        <f>IF(BD.PD[[#This Row],[Liquid. '[%']]]&lt;&gt;0,(BD.PD[[#This Row],[Valor Neto '[DOP']]]*BD.PD[[#This Row],[Liquid. '[%']]])+BD.PD[[#This Row],[Valor Neto '[DOP']]],BD.PD[[#This Row],[Valor Neto '[DOP']]])</f>
        <v>0</v>
      </c>
      <c r="P344" s="306">
        <f>BD.PD[[#This Row],[Ppto. Orden Interna '[DOP']]]/HLOOKUP("USD",$J$1:$K$2,2,FALSE)</f>
        <v>0</v>
      </c>
      <c r="Q344" s="299"/>
      <c r="R344" s="307"/>
      <c r="S344" s="300"/>
      <c r="T344" s="301"/>
      <c r="U344" s="308">
        <f>BD.PD[[#This Row],[Av.P1 '[%']]]*BD.PD[[#This Row],[Ppto. Orden Interna '[DOP']]]</f>
        <v>0</v>
      </c>
      <c r="V344" s="303"/>
      <c r="W344" s="304"/>
      <c r="X344" s="308">
        <f>BD.PD[[#This Row],[Av.P2 '[%']]]*BD.PD[[#This Row],[Ppto. Orden Interna '[DOP']]]</f>
        <v>0</v>
      </c>
      <c r="Y344" s="303"/>
      <c r="Z344" s="304"/>
      <c r="AA344" s="308">
        <f>BD.PD[[#This Row],[Av.P3 '[%']]]*BD.PD[[#This Row],[Ppto. Orden Interna '[DOP']]]</f>
        <v>0</v>
      </c>
      <c r="AB344" s="303"/>
      <c r="AC344" s="304"/>
      <c r="AD344" s="308">
        <f>BD.PD[[#This Row],[Av.P4 '[%']]]*BD.PD[[#This Row],[Ppto. Orden Interna '[DOP']]]</f>
        <v>0</v>
      </c>
      <c r="AE344" s="303"/>
      <c r="AF344" s="304"/>
      <c r="AG344" s="308">
        <f>BD.PD[[#This Row],[Av.P5 '[%']]]*BD.PD[[#This Row],[Ppto. Orden Interna '[DOP']]]</f>
        <v>0</v>
      </c>
      <c r="AH344" s="305">
        <f>BD.PD[[#This Row],[Pago 5]]+BD.PD[[#This Row],[Pago 4]]+BD.PD[[#This Row],[Pago 3]]+BD.PD[[#This Row],[Pago 2]]+BD.PD[[#This Row],[Pago 1]]</f>
        <v>0</v>
      </c>
      <c r="AI344" s="404"/>
      <c r="IB344" s="275"/>
    </row>
    <row r="345" spans="1:236" ht="15" customHeight="1" x14ac:dyDescent="0.3">
      <c r="A345" s="231">
        <v>8.08</v>
      </c>
      <c r="B345" s="288"/>
      <c r="C345" s="289" t="str">
        <f>VLOOKUP(BD.PD[[#This Row],[Pos]],PPto[],3,FALSE)</f>
        <v>8.08 Señalizacion exteriores</v>
      </c>
      <c r="D345" s="231" t="s">
        <v>22</v>
      </c>
      <c r="E345" s="291" t="str">
        <f>IF(BD.PD[[#This Row],[.]]="*",VLOOKUP(BD.PD[[#This Row],[Pos]],Presupuesto!A:H,7,FALSE),"")</f>
        <v/>
      </c>
      <c r="F345" s="292" t="s">
        <v>391</v>
      </c>
      <c r="G345" s="292" t="s">
        <v>578</v>
      </c>
      <c r="H345" s="358">
        <v>45921</v>
      </c>
      <c r="I345" s="359">
        <v>1</v>
      </c>
      <c r="J345" s="231" t="s">
        <v>581</v>
      </c>
      <c r="K345" s="294">
        <f>IF(BD.PD[[#This Row],[Mon]]="DOP",1,HLOOKUP(BD.PD[[#This Row],[Mon]],$J$1:$K$2,2,FALSE))</f>
        <v>1</v>
      </c>
      <c r="L345" s="360">
        <v>540000</v>
      </c>
      <c r="M345" s="296">
        <f>BD.PD[[#This Row],[Cant.]]*BD.PD[[#This Row],[ Tasa ]]*BD.PD[[#This Row],[ Precio Und.]]</f>
        <v>540000</v>
      </c>
      <c r="N345" s="361">
        <v>0</v>
      </c>
      <c r="O345" s="296">
        <f>IF(BD.PD[[#This Row],[Liquid. '[%']]]&lt;&gt;0,(BD.PD[[#This Row],[Valor Neto '[DOP']]]*BD.PD[[#This Row],[Liquid. '[%']]])+BD.PD[[#This Row],[Valor Neto '[DOP']]],BD.PD[[#This Row],[Valor Neto '[DOP']]])</f>
        <v>540000</v>
      </c>
      <c r="P345" s="306">
        <f>BD.PD[[#This Row],[Ppto. Orden Interna '[DOP']]]/HLOOKUP("USD",$J$1:$K$2,2,FALSE)</f>
        <v>8571.4285714285706</v>
      </c>
      <c r="Q345" s="299" t="s">
        <v>770</v>
      </c>
      <c r="R345" s="307"/>
      <c r="S345" s="300">
        <v>22</v>
      </c>
      <c r="T345" s="301">
        <v>0.5</v>
      </c>
      <c r="U345" s="308">
        <f>BD.PD[[#This Row],[Av.P1 '[%']]]*BD.PD[[#This Row],[Ppto. Orden Interna '[DOP']]]</f>
        <v>270000</v>
      </c>
      <c r="V345" s="303">
        <v>24</v>
      </c>
      <c r="W345" s="304">
        <v>0.5</v>
      </c>
      <c r="X345" s="308">
        <f>BD.PD[[#This Row],[Av.P2 '[%']]]*BD.PD[[#This Row],[Ppto. Orden Interna '[DOP']]]</f>
        <v>270000</v>
      </c>
      <c r="Y345" s="303"/>
      <c r="Z345" s="304"/>
      <c r="AA345" s="308">
        <f>BD.PD[[#This Row],[Av.P3 '[%']]]*BD.PD[[#This Row],[Ppto. Orden Interna '[DOP']]]</f>
        <v>0</v>
      </c>
      <c r="AB345" s="303"/>
      <c r="AC345" s="304"/>
      <c r="AD345" s="308">
        <f>BD.PD[[#This Row],[Av.P4 '[%']]]*BD.PD[[#This Row],[Ppto. Orden Interna '[DOP']]]</f>
        <v>0</v>
      </c>
      <c r="AE345" s="303"/>
      <c r="AF345" s="304"/>
      <c r="AG345" s="308">
        <f>BD.PD[[#This Row],[Av.P5 '[%']]]*BD.PD[[#This Row],[Ppto. Orden Interna '[DOP']]]</f>
        <v>0</v>
      </c>
      <c r="AH345" s="305">
        <f>BD.PD[[#This Row],[Pago 5]]+BD.PD[[#This Row],[Pago 4]]+BD.PD[[#This Row],[Pago 3]]+BD.PD[[#This Row],[Pago 2]]+BD.PD[[#This Row],[Pago 1]]</f>
        <v>540000</v>
      </c>
      <c r="AI345" s="404"/>
      <c r="IB345" s="275"/>
    </row>
    <row r="346" spans="1:236" ht="15" customHeight="1" x14ac:dyDescent="0.3">
      <c r="A346" s="231">
        <v>8.08</v>
      </c>
      <c r="B346" s="288"/>
      <c r="C346" s="289" t="str">
        <f>VLOOKUP(BD.PD[[#This Row],[Pos]],PPto[],3,FALSE)</f>
        <v>8.08 Señalizacion exteriores</v>
      </c>
      <c r="D346" s="231" t="s">
        <v>22</v>
      </c>
      <c r="E346" s="291" t="str">
        <f>IF(BD.PD[[#This Row],[.]]="*",VLOOKUP(BD.PD[[#This Row],[Pos]],Presupuesto!A:H,7,FALSE),"")</f>
        <v/>
      </c>
      <c r="F346" s="292" t="s">
        <v>771</v>
      </c>
      <c r="G346" s="292" t="s">
        <v>578</v>
      </c>
      <c r="H346" s="358">
        <v>45921</v>
      </c>
      <c r="I346" s="359">
        <v>1</v>
      </c>
      <c r="J346" s="231" t="s">
        <v>581</v>
      </c>
      <c r="K346" s="294">
        <f>IF(BD.PD[[#This Row],[Mon]]="DOP",1,HLOOKUP(BD.PD[[#This Row],[Mon]],$J$1:$K$2,2,FALSE))</f>
        <v>1</v>
      </c>
      <c r="L346" s="360">
        <v>548000</v>
      </c>
      <c r="M346" s="296">
        <f>BD.PD[[#This Row],[Cant.]]*BD.PD[[#This Row],[ Tasa ]]*BD.PD[[#This Row],[ Precio Und.]]</f>
        <v>548000</v>
      </c>
      <c r="N346" s="361">
        <v>0</v>
      </c>
      <c r="O346" s="296">
        <f>IF(BD.PD[[#This Row],[Liquid. '[%']]]&lt;&gt;0,(BD.PD[[#This Row],[Valor Neto '[DOP']]]*BD.PD[[#This Row],[Liquid. '[%']]])+BD.PD[[#This Row],[Valor Neto '[DOP']]],BD.PD[[#This Row],[Valor Neto '[DOP']]])</f>
        <v>548000</v>
      </c>
      <c r="P346" s="306">
        <f>BD.PD[[#This Row],[Ppto. Orden Interna '[DOP']]]/HLOOKUP("USD",$J$1:$K$2,2,FALSE)</f>
        <v>8698.4126984126979</v>
      </c>
      <c r="Q346" s="299" t="s">
        <v>770</v>
      </c>
      <c r="R346" s="307"/>
      <c r="S346" s="300">
        <v>22</v>
      </c>
      <c r="T346" s="301">
        <v>0.5</v>
      </c>
      <c r="U346" s="308">
        <f>BD.PD[[#This Row],[Av.P1 '[%']]]*BD.PD[[#This Row],[Ppto. Orden Interna '[DOP']]]</f>
        <v>274000</v>
      </c>
      <c r="V346" s="303">
        <v>24</v>
      </c>
      <c r="W346" s="304">
        <v>0.5</v>
      </c>
      <c r="X346" s="308">
        <f>BD.PD[[#This Row],[Av.P2 '[%']]]*BD.PD[[#This Row],[Ppto. Orden Interna '[DOP']]]</f>
        <v>274000</v>
      </c>
      <c r="Y346" s="303"/>
      <c r="Z346" s="304"/>
      <c r="AA346" s="308">
        <f>BD.PD[[#This Row],[Av.P3 '[%']]]*BD.PD[[#This Row],[Ppto. Orden Interna '[DOP']]]</f>
        <v>0</v>
      </c>
      <c r="AB346" s="303"/>
      <c r="AC346" s="304"/>
      <c r="AD346" s="308">
        <f>BD.PD[[#This Row],[Av.P4 '[%']]]*BD.PD[[#This Row],[Ppto. Orden Interna '[DOP']]]</f>
        <v>0</v>
      </c>
      <c r="AE346" s="303"/>
      <c r="AF346" s="304"/>
      <c r="AG346" s="308">
        <f>BD.PD[[#This Row],[Av.P5 '[%']]]*BD.PD[[#This Row],[Ppto. Orden Interna '[DOP']]]</f>
        <v>0</v>
      </c>
      <c r="AH346" s="305">
        <f>BD.PD[[#This Row],[Pago 5]]+BD.PD[[#This Row],[Pago 4]]+BD.PD[[#This Row],[Pago 3]]+BD.PD[[#This Row],[Pago 2]]+BD.PD[[#This Row],[Pago 1]]</f>
        <v>548000</v>
      </c>
      <c r="AI346" s="404"/>
      <c r="IB346" s="275"/>
    </row>
    <row r="347" spans="1:236" ht="15" customHeight="1" x14ac:dyDescent="0.3">
      <c r="A347" s="231">
        <v>8.08</v>
      </c>
      <c r="B347" s="288"/>
      <c r="C347" s="289" t="str">
        <f>VLOOKUP(BD.PD[[#This Row],[Pos]],PPto[],3,FALSE)</f>
        <v>8.08 Señalizacion exteriores</v>
      </c>
      <c r="D347" s="231" t="s">
        <v>22</v>
      </c>
      <c r="E347" s="291" t="str">
        <f>IF(BD.PD[[#This Row],[.]]="*",VLOOKUP(BD.PD[[#This Row],[Pos]],Presupuesto!A:H,7,FALSE),"")</f>
        <v/>
      </c>
      <c r="F347" s="292" t="s">
        <v>392</v>
      </c>
      <c r="G347" s="292" t="s">
        <v>578</v>
      </c>
      <c r="H347" s="358">
        <v>45921</v>
      </c>
      <c r="I347" s="359">
        <v>1</v>
      </c>
      <c r="J347" s="231" t="s">
        <v>581</v>
      </c>
      <c r="K347" s="294">
        <f>IF(BD.PD[[#This Row],[Mon]]="DOP",1,HLOOKUP(BD.PD[[#This Row],[Mon]],$J$1:$K$2,2,FALSE))</f>
        <v>1</v>
      </c>
      <c r="L347" s="360">
        <v>390000</v>
      </c>
      <c r="M347" s="296">
        <f>BD.PD[[#This Row],[Cant.]]*BD.PD[[#This Row],[ Tasa ]]*BD.PD[[#This Row],[ Precio Und.]]</f>
        <v>390000</v>
      </c>
      <c r="N347" s="361">
        <v>0</v>
      </c>
      <c r="O347" s="296">
        <f>IF(BD.PD[[#This Row],[Liquid. '[%']]]&lt;&gt;0,(BD.PD[[#This Row],[Valor Neto '[DOP']]]*BD.PD[[#This Row],[Liquid. '[%']]])+BD.PD[[#This Row],[Valor Neto '[DOP']]],BD.PD[[#This Row],[Valor Neto '[DOP']]])</f>
        <v>390000</v>
      </c>
      <c r="P347" s="306">
        <f>BD.PD[[#This Row],[Ppto. Orden Interna '[DOP']]]/HLOOKUP("USD",$J$1:$K$2,2,FALSE)</f>
        <v>6190.4761904761908</v>
      </c>
      <c r="Q347" s="299" t="s">
        <v>770</v>
      </c>
      <c r="R347" s="307"/>
      <c r="S347" s="300">
        <v>22</v>
      </c>
      <c r="T347" s="301">
        <v>0.5</v>
      </c>
      <c r="U347" s="308">
        <f>BD.PD[[#This Row],[Av.P1 '[%']]]*BD.PD[[#This Row],[Ppto. Orden Interna '[DOP']]]</f>
        <v>195000</v>
      </c>
      <c r="V347" s="303">
        <v>24</v>
      </c>
      <c r="W347" s="304">
        <v>0.5</v>
      </c>
      <c r="X347" s="308">
        <f>BD.PD[[#This Row],[Av.P2 '[%']]]*BD.PD[[#This Row],[Ppto. Orden Interna '[DOP']]]</f>
        <v>195000</v>
      </c>
      <c r="Y347" s="303"/>
      <c r="Z347" s="304"/>
      <c r="AA347" s="308">
        <f>BD.PD[[#This Row],[Av.P3 '[%']]]*BD.PD[[#This Row],[Ppto. Orden Interna '[DOP']]]</f>
        <v>0</v>
      </c>
      <c r="AB347" s="303"/>
      <c r="AC347" s="304"/>
      <c r="AD347" s="308">
        <f>BD.PD[[#This Row],[Av.P4 '[%']]]*BD.PD[[#This Row],[Ppto. Orden Interna '[DOP']]]</f>
        <v>0</v>
      </c>
      <c r="AE347" s="303"/>
      <c r="AF347" s="304"/>
      <c r="AG347" s="308">
        <f>BD.PD[[#This Row],[Av.P5 '[%']]]*BD.PD[[#This Row],[Ppto. Orden Interna '[DOP']]]</f>
        <v>0</v>
      </c>
      <c r="AH347" s="305">
        <f>BD.PD[[#This Row],[Pago 5]]+BD.PD[[#This Row],[Pago 4]]+BD.PD[[#This Row],[Pago 3]]+BD.PD[[#This Row],[Pago 2]]+BD.PD[[#This Row],[Pago 1]]</f>
        <v>390000</v>
      </c>
      <c r="AI347" s="404"/>
      <c r="IB347" s="275"/>
    </row>
    <row r="348" spans="1:236" ht="15" customHeight="1" x14ac:dyDescent="0.3">
      <c r="A348" s="231">
        <v>8.08</v>
      </c>
      <c r="B348" s="288"/>
      <c r="C348" s="289" t="str">
        <f>VLOOKUP(BD.PD[[#This Row],[Pos]],PPto[],3,FALSE)</f>
        <v>8.08 Señalizacion exteriores</v>
      </c>
      <c r="D348" s="231" t="s">
        <v>22</v>
      </c>
      <c r="E348" s="291" t="str">
        <f>IF(BD.PD[[#This Row],[.]]="*",VLOOKUP(BD.PD[[#This Row],[Pos]],Presupuesto!A:H,7,FALSE),"")</f>
        <v/>
      </c>
      <c r="F348" s="292" t="s">
        <v>390</v>
      </c>
      <c r="G348" s="292" t="s">
        <v>578</v>
      </c>
      <c r="H348" s="358">
        <v>45921</v>
      </c>
      <c r="I348" s="359">
        <v>1</v>
      </c>
      <c r="J348" s="231" t="s">
        <v>581</v>
      </c>
      <c r="K348" s="294">
        <f>IF(BD.PD[[#This Row],[Mon]]="DOP",1,HLOOKUP(BD.PD[[#This Row],[Mon]],$J$1:$K$2,2,FALSE))</f>
        <v>1</v>
      </c>
      <c r="L348" s="360">
        <v>255000</v>
      </c>
      <c r="M348" s="296">
        <f>BD.PD[[#This Row],[Cant.]]*BD.PD[[#This Row],[ Tasa ]]*BD.PD[[#This Row],[ Precio Und.]]</f>
        <v>255000</v>
      </c>
      <c r="N348" s="361">
        <v>0</v>
      </c>
      <c r="O348" s="296">
        <f>IF(BD.PD[[#This Row],[Liquid. '[%']]]&lt;&gt;0,(BD.PD[[#This Row],[Valor Neto '[DOP']]]*BD.PD[[#This Row],[Liquid. '[%']]])+BD.PD[[#This Row],[Valor Neto '[DOP']]],BD.PD[[#This Row],[Valor Neto '[DOP']]])</f>
        <v>255000</v>
      </c>
      <c r="P348" s="306">
        <f>BD.PD[[#This Row],[Ppto. Orden Interna '[DOP']]]/HLOOKUP("USD",$J$1:$K$2,2,FALSE)</f>
        <v>4047.6190476190477</v>
      </c>
      <c r="Q348" s="299" t="s">
        <v>770</v>
      </c>
      <c r="R348" s="307"/>
      <c r="S348" s="300">
        <v>22</v>
      </c>
      <c r="T348" s="301">
        <v>0.5</v>
      </c>
      <c r="U348" s="308">
        <f>BD.PD[[#This Row],[Av.P1 '[%']]]*BD.PD[[#This Row],[Ppto. Orden Interna '[DOP']]]</f>
        <v>127500</v>
      </c>
      <c r="V348" s="303">
        <v>24</v>
      </c>
      <c r="W348" s="304">
        <v>0.5</v>
      </c>
      <c r="X348" s="308">
        <f>BD.PD[[#This Row],[Av.P2 '[%']]]*BD.PD[[#This Row],[Ppto. Orden Interna '[DOP']]]</f>
        <v>127500</v>
      </c>
      <c r="Y348" s="303"/>
      <c r="Z348" s="304"/>
      <c r="AA348" s="308">
        <f>BD.PD[[#This Row],[Av.P3 '[%']]]*BD.PD[[#This Row],[Ppto. Orden Interna '[DOP']]]</f>
        <v>0</v>
      </c>
      <c r="AB348" s="303"/>
      <c r="AC348" s="304"/>
      <c r="AD348" s="308">
        <f>BD.PD[[#This Row],[Av.P4 '[%']]]*BD.PD[[#This Row],[Ppto. Orden Interna '[DOP']]]</f>
        <v>0</v>
      </c>
      <c r="AE348" s="303"/>
      <c r="AF348" s="304"/>
      <c r="AG348" s="308">
        <f>BD.PD[[#This Row],[Av.P5 '[%']]]*BD.PD[[#This Row],[Ppto. Orden Interna '[DOP']]]</f>
        <v>0</v>
      </c>
      <c r="AH348" s="305">
        <f>BD.PD[[#This Row],[Pago 5]]+BD.PD[[#This Row],[Pago 4]]+BD.PD[[#This Row],[Pago 3]]+BD.PD[[#This Row],[Pago 2]]+BD.PD[[#This Row],[Pago 1]]</f>
        <v>255000</v>
      </c>
      <c r="AI348" s="404"/>
      <c r="IB348" s="275"/>
    </row>
    <row r="349" spans="1:236" ht="15" customHeight="1" x14ac:dyDescent="0.3">
      <c r="A349" s="231">
        <v>8.08</v>
      </c>
      <c r="B349" s="288"/>
      <c r="C349" s="289" t="str">
        <f>VLOOKUP(BD.PD[[#This Row],[Pos]],PPto[],3,FALSE)</f>
        <v>8.08 Señalizacion exteriores</v>
      </c>
      <c r="D349" s="231" t="s">
        <v>22</v>
      </c>
      <c r="E349" s="291" t="str">
        <f>IF(BD.PD[[#This Row],[.]]="*",VLOOKUP(BD.PD[[#This Row],[Pos]],Presupuesto!A:H,7,FALSE),"")</f>
        <v/>
      </c>
      <c r="F349" s="292" t="s">
        <v>772</v>
      </c>
      <c r="G349" s="292" t="s">
        <v>578</v>
      </c>
      <c r="H349" s="358">
        <v>45921</v>
      </c>
      <c r="I349" s="359">
        <v>1</v>
      </c>
      <c r="J349" s="231" t="s">
        <v>581</v>
      </c>
      <c r="K349" s="294">
        <f>IF(BD.PD[[#This Row],[Mon]]="DOP",1,HLOOKUP(BD.PD[[#This Row],[Mon]],$J$1:$K$2,2,FALSE))</f>
        <v>1</v>
      </c>
      <c r="L349" s="360">
        <v>297722</v>
      </c>
      <c r="M349" s="296">
        <f>BD.PD[[#This Row],[Cant.]]*BD.PD[[#This Row],[ Tasa ]]*BD.PD[[#This Row],[ Precio Und.]]</f>
        <v>297722</v>
      </c>
      <c r="N349" s="361">
        <v>0</v>
      </c>
      <c r="O349" s="296">
        <f>IF(BD.PD[[#This Row],[Liquid. '[%']]]&lt;&gt;0,(BD.PD[[#This Row],[Valor Neto '[DOP']]]*BD.PD[[#This Row],[Liquid. '[%']]])+BD.PD[[#This Row],[Valor Neto '[DOP']]],BD.PD[[#This Row],[Valor Neto '[DOP']]])</f>
        <v>297722</v>
      </c>
      <c r="P349" s="306">
        <f>BD.PD[[#This Row],[Ppto. Orden Interna '[DOP']]]/HLOOKUP("USD",$J$1:$K$2,2,FALSE)</f>
        <v>4725.7460317460318</v>
      </c>
      <c r="Q349" s="299" t="s">
        <v>770</v>
      </c>
      <c r="R349" s="307"/>
      <c r="S349" s="300">
        <v>22</v>
      </c>
      <c r="T349" s="301">
        <v>0.5</v>
      </c>
      <c r="U349" s="308">
        <f>BD.PD[[#This Row],[Av.P1 '[%']]]*BD.PD[[#This Row],[Ppto. Orden Interna '[DOP']]]</f>
        <v>148861</v>
      </c>
      <c r="V349" s="303">
        <v>24</v>
      </c>
      <c r="W349" s="304">
        <v>0.5</v>
      </c>
      <c r="X349" s="308">
        <f>BD.PD[[#This Row],[Av.P2 '[%']]]*BD.PD[[#This Row],[Ppto. Orden Interna '[DOP']]]</f>
        <v>148861</v>
      </c>
      <c r="Y349" s="303"/>
      <c r="Z349" s="304"/>
      <c r="AA349" s="308">
        <f>BD.PD[[#This Row],[Av.P3 '[%']]]*BD.PD[[#This Row],[Ppto. Orden Interna '[DOP']]]</f>
        <v>0</v>
      </c>
      <c r="AB349" s="303"/>
      <c r="AC349" s="304"/>
      <c r="AD349" s="308">
        <f>BD.PD[[#This Row],[Av.P4 '[%']]]*BD.PD[[#This Row],[Ppto. Orden Interna '[DOP']]]</f>
        <v>0</v>
      </c>
      <c r="AE349" s="303"/>
      <c r="AF349" s="304"/>
      <c r="AG349" s="308">
        <f>BD.PD[[#This Row],[Av.P5 '[%']]]*BD.PD[[#This Row],[Ppto. Orden Interna '[DOP']]]</f>
        <v>0</v>
      </c>
      <c r="AH349" s="305">
        <f>BD.PD[[#This Row],[Pago 5]]+BD.PD[[#This Row],[Pago 4]]+BD.PD[[#This Row],[Pago 3]]+BD.PD[[#This Row],[Pago 2]]+BD.PD[[#This Row],[Pago 1]]</f>
        <v>297722</v>
      </c>
      <c r="AI349" s="404"/>
      <c r="IB349" s="275"/>
    </row>
    <row r="350" spans="1:236" ht="15" customHeight="1" x14ac:dyDescent="0.3">
      <c r="A350" s="231">
        <v>8.08</v>
      </c>
      <c r="B350" s="288"/>
      <c r="C350" s="289" t="str">
        <f>VLOOKUP(BD.PD[[#This Row],[Pos]],PPto[],3,FALSE)</f>
        <v>8.08 Señalizacion exteriores</v>
      </c>
      <c r="D350" s="231" t="s">
        <v>22</v>
      </c>
      <c r="E350" s="291" t="str">
        <f>IF(BD.PD[[#This Row],[.]]="*",VLOOKUP(BD.PD[[#This Row],[Pos]],Presupuesto!A:H,7,FALSE),"")</f>
        <v/>
      </c>
      <c r="F350" s="292" t="s">
        <v>389</v>
      </c>
      <c r="G350" s="292" t="s">
        <v>578</v>
      </c>
      <c r="H350" s="358">
        <v>45921</v>
      </c>
      <c r="I350" s="359">
        <v>1</v>
      </c>
      <c r="J350" s="231" t="s">
        <v>581</v>
      </c>
      <c r="K350" s="294">
        <f>IF(BD.PD[[#This Row],[Mon]]="DOP",1,HLOOKUP(BD.PD[[#This Row],[Mon]],$J$1:$K$2,2,FALSE))</f>
        <v>1</v>
      </c>
      <c r="L350" s="360">
        <f>60000+85000</f>
        <v>145000</v>
      </c>
      <c r="M350" s="296">
        <f>BD.PD[[#This Row],[Cant.]]*BD.PD[[#This Row],[ Tasa ]]*BD.PD[[#This Row],[ Precio Und.]]</f>
        <v>145000</v>
      </c>
      <c r="N350" s="361">
        <v>0</v>
      </c>
      <c r="O350" s="296">
        <f>IF(BD.PD[[#This Row],[Liquid. '[%']]]&lt;&gt;0,(BD.PD[[#This Row],[Valor Neto '[DOP']]]*BD.PD[[#This Row],[Liquid. '[%']]])+BD.PD[[#This Row],[Valor Neto '[DOP']]],BD.PD[[#This Row],[Valor Neto '[DOP']]])</f>
        <v>145000</v>
      </c>
      <c r="P350" s="306">
        <f>BD.PD[[#This Row],[Ppto. Orden Interna '[DOP']]]/HLOOKUP("USD",$J$1:$K$2,2,FALSE)</f>
        <v>2301.5873015873017</v>
      </c>
      <c r="Q350" s="299" t="s">
        <v>770</v>
      </c>
      <c r="R350" s="307"/>
      <c r="S350" s="300">
        <v>22</v>
      </c>
      <c r="T350" s="301">
        <v>0.5</v>
      </c>
      <c r="U350" s="308">
        <f>BD.PD[[#This Row],[Av.P1 '[%']]]*BD.PD[[#This Row],[Ppto. Orden Interna '[DOP']]]</f>
        <v>72500</v>
      </c>
      <c r="V350" s="303">
        <v>24</v>
      </c>
      <c r="W350" s="304">
        <v>0.5</v>
      </c>
      <c r="X350" s="308">
        <f>BD.PD[[#This Row],[Av.P2 '[%']]]*BD.PD[[#This Row],[Ppto. Orden Interna '[DOP']]]</f>
        <v>72500</v>
      </c>
      <c r="Y350" s="303"/>
      <c r="Z350" s="304"/>
      <c r="AA350" s="308">
        <f>BD.PD[[#This Row],[Av.P3 '[%']]]*BD.PD[[#This Row],[Ppto. Orden Interna '[DOP']]]</f>
        <v>0</v>
      </c>
      <c r="AB350" s="303"/>
      <c r="AC350" s="304"/>
      <c r="AD350" s="308">
        <f>BD.PD[[#This Row],[Av.P4 '[%']]]*BD.PD[[#This Row],[Ppto. Orden Interna '[DOP']]]</f>
        <v>0</v>
      </c>
      <c r="AE350" s="303"/>
      <c r="AF350" s="304"/>
      <c r="AG350" s="308">
        <f>BD.PD[[#This Row],[Av.P5 '[%']]]*BD.PD[[#This Row],[Ppto. Orden Interna '[DOP']]]</f>
        <v>0</v>
      </c>
      <c r="AH350" s="305">
        <f>BD.PD[[#This Row],[Pago 5]]+BD.PD[[#This Row],[Pago 4]]+BD.PD[[#This Row],[Pago 3]]+BD.PD[[#This Row],[Pago 2]]+BD.PD[[#This Row],[Pago 1]]</f>
        <v>145000</v>
      </c>
      <c r="AI350" s="404"/>
      <c r="IB350" s="275"/>
    </row>
    <row r="351" spans="1:236" ht="15" customHeight="1" x14ac:dyDescent="0.3">
      <c r="A351" s="231">
        <v>8.08</v>
      </c>
      <c r="B351" s="288"/>
      <c r="C351" s="289" t="str">
        <f>VLOOKUP(BD.PD[[#This Row],[Pos]],PPto[],3,FALSE)</f>
        <v>8.08 Señalizacion exteriores</v>
      </c>
      <c r="D351" s="231" t="s">
        <v>22</v>
      </c>
      <c r="E351" s="291" t="str">
        <f>IF(BD.PD[[#This Row],[.]]="*",VLOOKUP(BD.PD[[#This Row],[Pos]],Presupuesto!A:H,7,FALSE),"")</f>
        <v/>
      </c>
      <c r="F351" s="292" t="s">
        <v>394</v>
      </c>
      <c r="G351" s="292" t="s">
        <v>578</v>
      </c>
      <c r="H351" s="358">
        <v>45921</v>
      </c>
      <c r="I351" s="428">
        <v>5</v>
      </c>
      <c r="J351" s="231" t="s">
        <v>581</v>
      </c>
      <c r="K351" s="294">
        <f>IF(BD.PD[[#This Row],[Mon]]="DOP",1,HLOOKUP(BD.PD[[#This Row],[Mon]],$J$1:$K$2,2,FALSE))</f>
        <v>1</v>
      </c>
      <c r="L351" s="429">
        <v>95000</v>
      </c>
      <c r="M351" s="296">
        <f>BD.PD[[#This Row],[Cant.]]*BD.PD[[#This Row],[ Tasa ]]*BD.PD[[#This Row],[ Precio Und.]]</f>
        <v>475000</v>
      </c>
      <c r="N351" s="361">
        <v>0</v>
      </c>
      <c r="O351" s="296">
        <f>IF(BD.PD[[#This Row],[Liquid. '[%']]]&lt;&gt;0,(BD.PD[[#This Row],[Valor Neto '[DOP']]]*BD.PD[[#This Row],[Liquid. '[%']]])+BD.PD[[#This Row],[Valor Neto '[DOP']]],BD.PD[[#This Row],[Valor Neto '[DOP']]])</f>
        <v>475000</v>
      </c>
      <c r="P351" s="306">
        <f>BD.PD[[#This Row],[Ppto. Orden Interna '[DOP']]]/HLOOKUP("USD",$J$1:$K$2,2,FALSE)</f>
        <v>7539.6825396825398</v>
      </c>
      <c r="Q351" s="299" t="s">
        <v>770</v>
      </c>
      <c r="R351" s="307"/>
      <c r="S351" s="300">
        <v>22</v>
      </c>
      <c r="T351" s="301">
        <v>0.5</v>
      </c>
      <c r="U351" s="308">
        <f>BD.PD[[#This Row],[Av.P1 '[%']]]*BD.PD[[#This Row],[Ppto. Orden Interna '[DOP']]]</f>
        <v>237500</v>
      </c>
      <c r="V351" s="303">
        <v>24</v>
      </c>
      <c r="W351" s="304">
        <v>0.5</v>
      </c>
      <c r="X351" s="308">
        <f>BD.PD[[#This Row],[Av.P2 '[%']]]*BD.PD[[#This Row],[Ppto. Orden Interna '[DOP']]]</f>
        <v>237500</v>
      </c>
      <c r="Y351" s="303"/>
      <c r="Z351" s="304"/>
      <c r="AA351" s="308">
        <f>BD.PD[[#This Row],[Av.P3 '[%']]]*BD.PD[[#This Row],[Ppto. Orden Interna '[DOP']]]</f>
        <v>0</v>
      </c>
      <c r="AB351" s="303"/>
      <c r="AC351" s="304"/>
      <c r="AD351" s="308">
        <f>BD.PD[[#This Row],[Av.P4 '[%']]]*BD.PD[[#This Row],[Ppto. Orden Interna '[DOP']]]</f>
        <v>0</v>
      </c>
      <c r="AE351" s="303"/>
      <c r="AF351" s="304"/>
      <c r="AG351" s="308">
        <f>BD.PD[[#This Row],[Av.P5 '[%']]]*BD.PD[[#This Row],[Ppto. Orden Interna '[DOP']]]</f>
        <v>0</v>
      </c>
      <c r="AH351" s="305">
        <f>BD.PD[[#This Row],[Pago 5]]+BD.PD[[#This Row],[Pago 4]]+BD.PD[[#This Row],[Pago 3]]+BD.PD[[#This Row],[Pago 2]]+BD.PD[[#This Row],[Pago 1]]</f>
        <v>475000</v>
      </c>
      <c r="AI351" s="404"/>
      <c r="IB351" s="275"/>
    </row>
    <row r="352" spans="1:236" ht="15" customHeight="1" x14ac:dyDescent="0.3">
      <c r="A352" s="231">
        <v>8.08</v>
      </c>
      <c r="B352" s="288"/>
      <c r="C352" s="289" t="str">
        <f>VLOOKUP(BD.PD[[#This Row],[Pos]],PPto[],3,FALSE)</f>
        <v>8.08 Señalizacion exteriores</v>
      </c>
      <c r="D352" s="231" t="s">
        <v>22</v>
      </c>
      <c r="E352" s="291" t="str">
        <f>IF(BD.PD[[#This Row],[.]]="*",VLOOKUP(BD.PD[[#This Row],[Pos]],Presupuesto!A:H,7,FALSE),"")</f>
        <v/>
      </c>
      <c r="F352" s="292" t="s">
        <v>327</v>
      </c>
      <c r="G352" s="292" t="s">
        <v>578</v>
      </c>
      <c r="H352" s="358">
        <v>45921</v>
      </c>
      <c r="I352" s="359">
        <v>1</v>
      </c>
      <c r="J352" s="231" t="s">
        <v>581</v>
      </c>
      <c r="K352" s="294">
        <f>IF(BD.PD[[#This Row],[Mon]]="DOP",1,HLOOKUP(BD.PD[[#This Row],[Mon]],$J$1:$K$2,2,FALSE))</f>
        <v>1</v>
      </c>
      <c r="L352" s="360">
        <v>68400</v>
      </c>
      <c r="M352" s="296">
        <f>BD.PD[[#This Row],[Cant.]]*BD.PD[[#This Row],[ Tasa ]]*BD.PD[[#This Row],[ Precio Und.]]</f>
        <v>68400</v>
      </c>
      <c r="N352" s="361">
        <v>0</v>
      </c>
      <c r="O352" s="296">
        <f>IF(BD.PD[[#This Row],[Liquid. '[%']]]&lt;&gt;0,(BD.PD[[#This Row],[Valor Neto '[DOP']]]*BD.PD[[#This Row],[Liquid. '[%']]])+BD.PD[[#This Row],[Valor Neto '[DOP']]],BD.PD[[#This Row],[Valor Neto '[DOP']]])</f>
        <v>68400</v>
      </c>
      <c r="P352" s="306">
        <f>BD.PD[[#This Row],[Ppto. Orden Interna '[DOP']]]/HLOOKUP("USD",$J$1:$K$2,2,FALSE)</f>
        <v>1085.7142857142858</v>
      </c>
      <c r="Q352" s="299" t="s">
        <v>770</v>
      </c>
      <c r="R352" s="307"/>
      <c r="S352" s="300">
        <v>22</v>
      </c>
      <c r="T352" s="301">
        <v>0.5</v>
      </c>
      <c r="U352" s="308">
        <f>BD.PD[[#This Row],[Av.P1 '[%']]]*BD.PD[[#This Row],[Ppto. Orden Interna '[DOP']]]</f>
        <v>34200</v>
      </c>
      <c r="V352" s="303">
        <v>24</v>
      </c>
      <c r="W352" s="304">
        <v>0.5</v>
      </c>
      <c r="X352" s="308">
        <f>BD.PD[[#This Row],[Av.P2 '[%']]]*BD.PD[[#This Row],[Ppto. Orden Interna '[DOP']]]</f>
        <v>34200</v>
      </c>
      <c r="Y352" s="303"/>
      <c r="Z352" s="304"/>
      <c r="AA352" s="308">
        <f>BD.PD[[#This Row],[Av.P3 '[%']]]*BD.PD[[#This Row],[Ppto. Orden Interna '[DOP']]]</f>
        <v>0</v>
      </c>
      <c r="AB352" s="303"/>
      <c r="AC352" s="304"/>
      <c r="AD352" s="308">
        <f>BD.PD[[#This Row],[Av.P4 '[%']]]*BD.PD[[#This Row],[Ppto. Orden Interna '[DOP']]]</f>
        <v>0</v>
      </c>
      <c r="AE352" s="303"/>
      <c r="AF352" s="304"/>
      <c r="AG352" s="308">
        <f>BD.PD[[#This Row],[Av.P5 '[%']]]*BD.PD[[#This Row],[Ppto. Orden Interna '[DOP']]]</f>
        <v>0</v>
      </c>
      <c r="AH352" s="305">
        <f>BD.PD[[#This Row],[Pago 5]]+BD.PD[[#This Row],[Pago 4]]+BD.PD[[#This Row],[Pago 3]]+BD.PD[[#This Row],[Pago 2]]+BD.PD[[#This Row],[Pago 1]]</f>
        <v>68400</v>
      </c>
      <c r="AI352" s="404"/>
      <c r="IB352" s="275"/>
    </row>
    <row r="353" spans="1:236" ht="15" customHeight="1" x14ac:dyDescent="0.3">
      <c r="A353" s="231">
        <v>8.08</v>
      </c>
      <c r="B353" s="288"/>
      <c r="C353" s="289" t="str">
        <f>VLOOKUP(BD.PD[[#This Row],[Pos]],PPto[],3,FALSE)</f>
        <v>8.08 Señalizacion exteriores</v>
      </c>
      <c r="D353" s="231" t="s">
        <v>22</v>
      </c>
      <c r="E353" s="291" t="str">
        <f>IF(BD.PD[[#This Row],[.]]="*",VLOOKUP(BD.PD[[#This Row],[Pos]],Presupuesto!A:H,7,FALSE),"")</f>
        <v/>
      </c>
      <c r="F353" s="292" t="s">
        <v>773</v>
      </c>
      <c r="G353" s="292" t="s">
        <v>578</v>
      </c>
      <c r="H353" s="358">
        <v>45921</v>
      </c>
      <c r="I353" s="359">
        <v>1</v>
      </c>
      <c r="J353" s="231" t="s">
        <v>581</v>
      </c>
      <c r="K353" s="294">
        <f>IF(BD.PD[[#This Row],[Mon]]="DOP",1,HLOOKUP(BD.PD[[#This Row],[Mon]],$J$1:$K$2,2,FALSE))</f>
        <v>1</v>
      </c>
      <c r="L353" s="360">
        <v>1750000</v>
      </c>
      <c r="M353" s="296">
        <f>BD.PD[[#This Row],[Cant.]]*BD.PD[[#This Row],[ Tasa ]]*BD.PD[[#This Row],[ Precio Und.]]</f>
        <v>1750000</v>
      </c>
      <c r="N353" s="361">
        <v>0</v>
      </c>
      <c r="O353" s="296">
        <f>IF(BD.PD[[#This Row],[Liquid. '[%']]]&lt;&gt;0,(BD.PD[[#This Row],[Valor Neto '[DOP']]]*BD.PD[[#This Row],[Liquid. '[%']]])+BD.PD[[#This Row],[Valor Neto '[DOP']]],BD.PD[[#This Row],[Valor Neto '[DOP']]])</f>
        <v>1750000</v>
      </c>
      <c r="P353" s="306">
        <f>BD.PD[[#This Row],[Ppto. Orden Interna '[DOP']]]/HLOOKUP("USD",$J$1:$K$2,2,FALSE)</f>
        <v>27777.777777777777</v>
      </c>
      <c r="Q353" s="299" t="s">
        <v>770</v>
      </c>
      <c r="R353" s="307"/>
      <c r="S353" s="300">
        <v>22</v>
      </c>
      <c r="T353" s="301">
        <v>0.5</v>
      </c>
      <c r="U353" s="308">
        <f>BD.PD[[#This Row],[Av.P1 '[%']]]*BD.PD[[#This Row],[Ppto. Orden Interna '[DOP']]]</f>
        <v>875000</v>
      </c>
      <c r="V353" s="303">
        <v>24</v>
      </c>
      <c r="W353" s="304">
        <v>0.5</v>
      </c>
      <c r="X353" s="308">
        <f>BD.PD[[#This Row],[Av.P2 '[%']]]*BD.PD[[#This Row],[Ppto. Orden Interna '[DOP']]]</f>
        <v>875000</v>
      </c>
      <c r="Y353" s="303"/>
      <c r="Z353" s="304"/>
      <c r="AA353" s="308">
        <f>BD.PD[[#This Row],[Av.P3 '[%']]]*BD.PD[[#This Row],[Ppto. Orden Interna '[DOP']]]</f>
        <v>0</v>
      </c>
      <c r="AB353" s="303"/>
      <c r="AC353" s="304"/>
      <c r="AD353" s="308">
        <f>BD.PD[[#This Row],[Av.P4 '[%']]]*BD.PD[[#This Row],[Ppto. Orden Interna '[DOP']]]</f>
        <v>0</v>
      </c>
      <c r="AE353" s="303"/>
      <c r="AF353" s="304"/>
      <c r="AG353" s="308">
        <f>BD.PD[[#This Row],[Av.P5 '[%']]]*BD.PD[[#This Row],[Ppto. Orden Interna '[DOP']]]</f>
        <v>0</v>
      </c>
      <c r="AH353" s="305">
        <f>BD.PD[[#This Row],[Pago 5]]+BD.PD[[#This Row],[Pago 4]]+BD.PD[[#This Row],[Pago 3]]+BD.PD[[#This Row],[Pago 2]]+BD.PD[[#This Row],[Pago 1]]</f>
        <v>1750000</v>
      </c>
      <c r="AI353" s="404"/>
      <c r="IB353" s="275"/>
    </row>
    <row r="354" spans="1:236" ht="15.6" customHeight="1" x14ac:dyDescent="0.3">
      <c r="A354" s="231">
        <v>8.08</v>
      </c>
      <c r="B354" s="288"/>
      <c r="C354" s="289" t="str">
        <f>VLOOKUP(BD.PD[[#This Row],[Pos]],PPto[],3,FALSE)</f>
        <v>8.08 Señalizacion exteriores</v>
      </c>
      <c r="D354" s="231" t="s">
        <v>22</v>
      </c>
      <c r="E354" s="291" t="str">
        <f>IF(BD.PD[[#This Row],[.]]="*",VLOOKUP(BD.PD[[#This Row],[Pos]],Presupuesto!A:H,7,FALSE),"")</f>
        <v/>
      </c>
      <c r="F354" s="292" t="s">
        <v>393</v>
      </c>
      <c r="G354" s="292" t="s">
        <v>578</v>
      </c>
      <c r="H354" s="358">
        <v>45921</v>
      </c>
      <c r="I354" s="359">
        <v>1</v>
      </c>
      <c r="J354" s="231" t="s">
        <v>581</v>
      </c>
      <c r="K354" s="294">
        <f>IF(BD.PD[[#This Row],[Mon]]="DOP",1,HLOOKUP(BD.PD[[#This Row],[Mon]],$J$1:$K$2,2,FALSE))</f>
        <v>1</v>
      </c>
      <c r="L354" s="360">
        <v>350000</v>
      </c>
      <c r="M354" s="296">
        <f>BD.PD[[#This Row],[Cant.]]*BD.PD[[#This Row],[ Tasa ]]*BD.PD[[#This Row],[ Precio Und.]]</f>
        <v>350000</v>
      </c>
      <c r="N354" s="361">
        <v>0</v>
      </c>
      <c r="O354" s="296">
        <f>IF(BD.PD[[#This Row],[Liquid. '[%']]]&lt;&gt;0,(BD.PD[[#This Row],[Valor Neto '[DOP']]]*BD.PD[[#This Row],[Liquid. '[%']]])+BD.PD[[#This Row],[Valor Neto '[DOP']]],BD.PD[[#This Row],[Valor Neto '[DOP']]])</f>
        <v>350000</v>
      </c>
      <c r="P354" s="306">
        <f>BD.PD[[#This Row],[Ppto. Orden Interna '[DOP']]]/HLOOKUP("USD",$J$1:$K$2,2,FALSE)</f>
        <v>5555.5555555555557</v>
      </c>
      <c r="Q354" s="299" t="s">
        <v>770</v>
      </c>
      <c r="R354" s="307"/>
      <c r="S354" s="300">
        <v>22</v>
      </c>
      <c r="T354" s="301">
        <v>0.5</v>
      </c>
      <c r="U354" s="308">
        <f>BD.PD[[#This Row],[Av.P1 '[%']]]*BD.PD[[#This Row],[Ppto. Orden Interna '[DOP']]]</f>
        <v>175000</v>
      </c>
      <c r="V354" s="303">
        <v>24</v>
      </c>
      <c r="W354" s="304">
        <v>0.5</v>
      </c>
      <c r="X354" s="308">
        <f>BD.PD[[#This Row],[Av.P2 '[%']]]*BD.PD[[#This Row],[Ppto. Orden Interna '[DOP']]]</f>
        <v>175000</v>
      </c>
      <c r="Y354" s="303"/>
      <c r="Z354" s="304"/>
      <c r="AA354" s="308">
        <f>BD.PD[[#This Row],[Av.P3 '[%']]]*BD.PD[[#This Row],[Ppto. Orden Interna '[DOP']]]</f>
        <v>0</v>
      </c>
      <c r="AB354" s="303"/>
      <c r="AC354" s="304"/>
      <c r="AD354" s="308">
        <f>BD.PD[[#This Row],[Av.P4 '[%']]]*BD.PD[[#This Row],[Ppto. Orden Interna '[DOP']]]</f>
        <v>0</v>
      </c>
      <c r="AE354" s="303"/>
      <c r="AF354" s="304"/>
      <c r="AG354" s="308">
        <f>BD.PD[[#This Row],[Av.P5 '[%']]]*BD.PD[[#This Row],[Ppto. Orden Interna '[DOP']]]</f>
        <v>0</v>
      </c>
      <c r="AH354" s="305">
        <f>BD.PD[[#This Row],[Pago 5]]+BD.PD[[#This Row],[Pago 4]]+BD.PD[[#This Row],[Pago 3]]+BD.PD[[#This Row],[Pago 2]]+BD.PD[[#This Row],[Pago 1]]</f>
        <v>350000</v>
      </c>
      <c r="AI354" s="404"/>
      <c r="IB354" s="275"/>
    </row>
    <row r="355" spans="1:236" ht="15" customHeight="1" x14ac:dyDescent="0.3">
      <c r="A355" s="231">
        <v>9.01</v>
      </c>
      <c r="B355" s="288" t="s">
        <v>574</v>
      </c>
      <c r="C355" s="289" t="str">
        <f>VLOOKUP(BD.PD[[#This Row],[Pos]],PPto[],3,FALSE)</f>
        <v>9.01 COMERCIALIZACION</v>
      </c>
      <c r="D355" s="290" t="s">
        <v>574</v>
      </c>
      <c r="E355" s="291">
        <f>IF(BD.PD[[#This Row],[.]]="*",VLOOKUP(BD.PD[[#This Row],[Pos]],Presupuesto!A:H,7,FALSE),"")</f>
        <v>0</v>
      </c>
      <c r="F355" s="292"/>
      <c r="G355" s="292" t="s">
        <v>575</v>
      </c>
      <c r="H355" s="292"/>
      <c r="I355" s="293">
        <v>1</v>
      </c>
      <c r="J355" s="290" t="s">
        <v>456</v>
      </c>
      <c r="K355" s="294">
        <f>IF(BD.PD[[#This Row],[Mon]]="DOP",1,HLOOKUP(BD.PD[[#This Row],[Mon]],$J$1:$K$2,2,FALSE))</f>
        <v>63</v>
      </c>
      <c r="L355" s="295">
        <v>0</v>
      </c>
      <c r="M355" s="296">
        <f>BD.PD[[#This Row],[Cant.]]*BD.PD[[#This Row],[ Tasa ]]*BD.PD[[#This Row],[ Precio Und.]]</f>
        <v>0</v>
      </c>
      <c r="N355" s="297">
        <v>0</v>
      </c>
      <c r="O355" s="296">
        <f>IF(BD.PD[[#This Row],[Liquid. '[%']]]&lt;&gt;0,(BD.PD[[#This Row],[Valor Neto '[DOP']]]*BD.PD[[#This Row],[Liquid. '[%']]])+BD.PD[[#This Row],[Valor Neto '[DOP']]],BD.PD[[#This Row],[Valor Neto '[DOP']]])</f>
        <v>0</v>
      </c>
      <c r="P355" s="306">
        <f>BD.PD[[#This Row],[Ppto. Orden Interna '[DOP']]]/HLOOKUP("USD",$J$1:$K$2,2,FALSE)</f>
        <v>0</v>
      </c>
      <c r="Q355" s="299"/>
      <c r="R355" s="307"/>
      <c r="S355" s="300"/>
      <c r="T355" s="301"/>
      <c r="U355" s="308">
        <f>BD.PD[[#This Row],[Av.P1 '[%']]]*BD.PD[[#This Row],[Ppto. Orden Interna '[DOP']]]</f>
        <v>0</v>
      </c>
      <c r="V355" s="303"/>
      <c r="W355" s="304"/>
      <c r="X355" s="308">
        <f>BD.PD[[#This Row],[Av.P2 '[%']]]*BD.PD[[#This Row],[Ppto. Orden Interna '[DOP']]]</f>
        <v>0</v>
      </c>
      <c r="Y355" s="303"/>
      <c r="Z355" s="304"/>
      <c r="AA355" s="308">
        <f>BD.PD[[#This Row],[Av.P3 '[%']]]*BD.PD[[#This Row],[Ppto. Orden Interna '[DOP']]]</f>
        <v>0</v>
      </c>
      <c r="AB355" s="303"/>
      <c r="AC355" s="304"/>
      <c r="AD355" s="308">
        <f>BD.PD[[#This Row],[Av.P4 '[%']]]*BD.PD[[#This Row],[Ppto. Orden Interna '[DOP']]]</f>
        <v>0</v>
      </c>
      <c r="AE355" s="303"/>
      <c r="AF355" s="304"/>
      <c r="AG355" s="308">
        <f>BD.PD[[#This Row],[Av.P5 '[%']]]*BD.PD[[#This Row],[Ppto. Orden Interna '[DOP']]]</f>
        <v>0</v>
      </c>
      <c r="AH355" s="305">
        <f>BD.PD[[#This Row],[Pago 5]]+BD.PD[[#This Row],[Pago 4]]+BD.PD[[#This Row],[Pago 3]]+BD.PD[[#This Row],[Pago 2]]+BD.PD[[#This Row],[Pago 1]]</f>
        <v>0</v>
      </c>
      <c r="AI355" s="404"/>
      <c r="IB355" s="275"/>
    </row>
    <row r="356" spans="1:236" ht="15" customHeight="1" x14ac:dyDescent="0.3">
      <c r="A356" s="231">
        <v>9.02</v>
      </c>
      <c r="B356" s="288" t="s">
        <v>574</v>
      </c>
      <c r="C356" s="289" t="str">
        <f>VLOOKUP(BD.PD[[#This Row],[Pos]],PPto[],3,FALSE)</f>
        <v>9.02 INSUMOS</v>
      </c>
      <c r="D356" s="290" t="s">
        <v>574</v>
      </c>
      <c r="E356" s="291">
        <f>IF(BD.PD[[#This Row],[.]]="*",VLOOKUP(BD.PD[[#This Row],[Pos]],Presupuesto!A:H,7,FALSE),"")</f>
        <v>0</v>
      </c>
      <c r="F356" s="292"/>
      <c r="G356" s="292" t="s">
        <v>575</v>
      </c>
      <c r="H356" s="292"/>
      <c r="I356" s="293">
        <v>1</v>
      </c>
      <c r="J356" s="290" t="s">
        <v>456</v>
      </c>
      <c r="K356" s="294">
        <f>IF(BD.PD[[#This Row],[Mon]]="DOP",1,HLOOKUP(BD.PD[[#This Row],[Mon]],$J$1:$K$2,2,FALSE))</f>
        <v>63</v>
      </c>
      <c r="L356" s="295">
        <v>0</v>
      </c>
      <c r="M356" s="296">
        <f>BD.PD[[#This Row],[Cant.]]*BD.PD[[#This Row],[ Tasa ]]*BD.PD[[#This Row],[ Precio Und.]]</f>
        <v>0</v>
      </c>
      <c r="N356" s="297">
        <v>0</v>
      </c>
      <c r="O356" s="296">
        <f>IF(BD.PD[[#This Row],[Liquid. '[%']]]&lt;&gt;0,(BD.PD[[#This Row],[Valor Neto '[DOP']]]*BD.PD[[#This Row],[Liquid. '[%']]])+BD.PD[[#This Row],[Valor Neto '[DOP']]],BD.PD[[#This Row],[Valor Neto '[DOP']]])</f>
        <v>0</v>
      </c>
      <c r="P356" s="306">
        <f>BD.PD[[#This Row],[Ppto. Orden Interna '[DOP']]]/HLOOKUP("USD",$J$1:$K$2,2,FALSE)</f>
        <v>0</v>
      </c>
      <c r="Q356" s="299"/>
      <c r="R356" s="307"/>
      <c r="S356" s="300"/>
      <c r="T356" s="301"/>
      <c r="U356" s="308">
        <f>BD.PD[[#This Row],[Av.P1 '[%']]]*BD.PD[[#This Row],[Ppto. Orden Interna '[DOP']]]</f>
        <v>0</v>
      </c>
      <c r="V356" s="303"/>
      <c r="W356" s="304"/>
      <c r="X356" s="308">
        <f>BD.PD[[#This Row],[Av.P2 '[%']]]*BD.PD[[#This Row],[Ppto. Orden Interna '[DOP']]]</f>
        <v>0</v>
      </c>
      <c r="Y356" s="303"/>
      <c r="Z356" s="304"/>
      <c r="AA356" s="308">
        <f>BD.PD[[#This Row],[Av.P3 '[%']]]*BD.PD[[#This Row],[Ppto. Orden Interna '[DOP']]]</f>
        <v>0</v>
      </c>
      <c r="AB356" s="303"/>
      <c r="AC356" s="304"/>
      <c r="AD356" s="308">
        <f>BD.PD[[#This Row],[Av.P4 '[%']]]*BD.PD[[#This Row],[Ppto. Orden Interna '[DOP']]]</f>
        <v>0</v>
      </c>
      <c r="AE356" s="303"/>
      <c r="AF356" s="304"/>
      <c r="AG356" s="308">
        <f>BD.PD[[#This Row],[Av.P5 '[%']]]*BD.PD[[#This Row],[Ppto. Orden Interna '[DOP']]]</f>
        <v>0</v>
      </c>
      <c r="AH356" s="305">
        <f>BD.PD[[#This Row],[Pago 5]]+BD.PD[[#This Row],[Pago 4]]+BD.PD[[#This Row],[Pago 3]]+BD.PD[[#This Row],[Pago 2]]+BD.PD[[#This Row],[Pago 1]]</f>
        <v>0</v>
      </c>
      <c r="AI356" s="404"/>
      <c r="IB356" s="275"/>
    </row>
    <row r="357" spans="1:236" ht="15" customHeight="1" x14ac:dyDescent="0.3">
      <c r="A357" s="231">
        <v>9.0299999999999994</v>
      </c>
      <c r="B357" s="288" t="s">
        <v>574</v>
      </c>
      <c r="C357" s="289" t="str">
        <f>VLOOKUP(BD.PD[[#This Row],[Pos]],PPto[],3,FALSE)</f>
        <v>9.03 PUBLICIDAD Y MERCADEO</v>
      </c>
      <c r="D357" s="290" t="s">
        <v>574</v>
      </c>
      <c r="E357" s="291">
        <f>IF(BD.PD[[#This Row],[.]]="*",VLOOKUP(BD.PD[[#This Row],[Pos]],Presupuesto!A:H,7,FALSE),"")</f>
        <v>0</v>
      </c>
      <c r="F357" s="292"/>
      <c r="G357" s="292" t="s">
        <v>575</v>
      </c>
      <c r="H357" s="292"/>
      <c r="I357" s="293">
        <v>1</v>
      </c>
      <c r="J357" s="290" t="s">
        <v>456</v>
      </c>
      <c r="K357" s="294">
        <f>IF(BD.PD[[#This Row],[Mon]]="DOP",1,HLOOKUP(BD.PD[[#This Row],[Mon]],$J$1:$K$2,2,FALSE))</f>
        <v>63</v>
      </c>
      <c r="L357" s="295">
        <v>0</v>
      </c>
      <c r="M357" s="296">
        <f>BD.PD[[#This Row],[Cant.]]*BD.PD[[#This Row],[ Tasa ]]*BD.PD[[#This Row],[ Precio Und.]]</f>
        <v>0</v>
      </c>
      <c r="N357" s="297">
        <v>0</v>
      </c>
      <c r="O357" s="296">
        <f>IF(BD.PD[[#This Row],[Liquid. '[%']]]&lt;&gt;0,(BD.PD[[#This Row],[Valor Neto '[DOP']]]*BD.PD[[#This Row],[Liquid. '[%']]])+BD.PD[[#This Row],[Valor Neto '[DOP']]],BD.PD[[#This Row],[Valor Neto '[DOP']]])</f>
        <v>0</v>
      </c>
      <c r="P357" s="306">
        <f>BD.PD[[#This Row],[Ppto. Orden Interna '[DOP']]]/HLOOKUP("USD",$J$1:$K$2,2,FALSE)</f>
        <v>0</v>
      </c>
      <c r="Q357" s="299"/>
      <c r="R357" s="307"/>
      <c r="S357" s="300"/>
      <c r="T357" s="301"/>
      <c r="U357" s="308">
        <f>BD.PD[[#This Row],[Av.P1 '[%']]]*BD.PD[[#This Row],[Ppto. Orden Interna '[DOP']]]</f>
        <v>0</v>
      </c>
      <c r="V357" s="303"/>
      <c r="W357" s="304"/>
      <c r="X357" s="308">
        <f>BD.PD[[#This Row],[Av.P2 '[%']]]*BD.PD[[#This Row],[Ppto. Orden Interna '[DOP']]]</f>
        <v>0</v>
      </c>
      <c r="Y357" s="303"/>
      <c r="Z357" s="304"/>
      <c r="AA357" s="308">
        <f>BD.PD[[#This Row],[Av.P3 '[%']]]*BD.PD[[#This Row],[Ppto. Orden Interna '[DOP']]]</f>
        <v>0</v>
      </c>
      <c r="AB357" s="303"/>
      <c r="AC357" s="304"/>
      <c r="AD357" s="308">
        <f>BD.PD[[#This Row],[Av.P4 '[%']]]*BD.PD[[#This Row],[Ppto. Orden Interna '[DOP']]]</f>
        <v>0</v>
      </c>
      <c r="AE357" s="303"/>
      <c r="AF357" s="304"/>
      <c r="AG357" s="308">
        <f>BD.PD[[#This Row],[Av.P5 '[%']]]*BD.PD[[#This Row],[Ppto. Orden Interna '[DOP']]]</f>
        <v>0</v>
      </c>
      <c r="AH357" s="305">
        <f>BD.PD[[#This Row],[Pago 5]]+BD.PD[[#This Row],[Pago 4]]+BD.PD[[#This Row],[Pago 3]]+BD.PD[[#This Row],[Pago 2]]+BD.PD[[#This Row],[Pago 1]]</f>
        <v>0</v>
      </c>
      <c r="AI357" s="404"/>
      <c r="IB357" s="275"/>
    </row>
    <row r="358" spans="1:236" ht="15" customHeight="1" x14ac:dyDescent="0.3">
      <c r="A358" s="231">
        <v>9.0399999999999991</v>
      </c>
      <c r="B358" s="288" t="s">
        <v>574</v>
      </c>
      <c r="C358" s="289" t="str">
        <f>VLOOKUP(BD.PD[[#This Row],[Pos]],PPto[],3,FALSE)</f>
        <v>9.04 MONTAJE</v>
      </c>
      <c r="D358" s="290" t="s">
        <v>574</v>
      </c>
      <c r="E358" s="291">
        <f>IF(BD.PD[[#This Row],[.]]="*",VLOOKUP(BD.PD[[#This Row],[Pos]],Presupuesto!A:H,7,FALSE),"")</f>
        <v>0</v>
      </c>
      <c r="F358" s="292"/>
      <c r="G358" s="292" t="s">
        <v>575</v>
      </c>
      <c r="H358" s="292"/>
      <c r="I358" s="293">
        <v>1</v>
      </c>
      <c r="J358" s="290" t="s">
        <v>456</v>
      </c>
      <c r="K358" s="294">
        <f>IF(BD.PD[[#This Row],[Mon]]="DOP",1,HLOOKUP(BD.PD[[#This Row],[Mon]],$J$1:$K$2,2,FALSE))</f>
        <v>63</v>
      </c>
      <c r="L358" s="295">
        <v>0</v>
      </c>
      <c r="M358" s="296">
        <f>BD.PD[[#This Row],[Cant.]]*BD.PD[[#This Row],[ Tasa ]]*BD.PD[[#This Row],[ Precio Und.]]</f>
        <v>0</v>
      </c>
      <c r="N358" s="297">
        <v>0</v>
      </c>
      <c r="O358" s="296">
        <f>IF(BD.PD[[#This Row],[Liquid. '[%']]]&lt;&gt;0,(BD.PD[[#This Row],[Valor Neto '[DOP']]]*BD.PD[[#This Row],[Liquid. '[%']]])+BD.PD[[#This Row],[Valor Neto '[DOP']]],BD.PD[[#This Row],[Valor Neto '[DOP']]])</f>
        <v>0</v>
      </c>
      <c r="P358" s="306">
        <f>BD.PD[[#This Row],[Ppto. Orden Interna '[DOP']]]/HLOOKUP("USD",$J$1:$K$2,2,FALSE)</f>
        <v>0</v>
      </c>
      <c r="Q358" s="299"/>
      <c r="R358" s="307"/>
      <c r="S358" s="300"/>
      <c r="T358" s="301"/>
      <c r="U358" s="308">
        <f>BD.PD[[#This Row],[Av.P1 '[%']]]*BD.PD[[#This Row],[Ppto. Orden Interna '[DOP']]]</f>
        <v>0</v>
      </c>
      <c r="V358" s="303"/>
      <c r="W358" s="304"/>
      <c r="X358" s="308">
        <f>BD.PD[[#This Row],[Av.P2 '[%']]]*BD.PD[[#This Row],[Ppto. Orden Interna '[DOP']]]</f>
        <v>0</v>
      </c>
      <c r="Y358" s="303"/>
      <c r="Z358" s="304"/>
      <c r="AA358" s="308">
        <f>BD.PD[[#This Row],[Av.P3 '[%']]]*BD.PD[[#This Row],[Ppto. Orden Interna '[DOP']]]</f>
        <v>0</v>
      </c>
      <c r="AB358" s="303"/>
      <c r="AC358" s="304"/>
      <c r="AD358" s="308">
        <f>BD.PD[[#This Row],[Av.P4 '[%']]]*BD.PD[[#This Row],[Ppto. Orden Interna '[DOP']]]</f>
        <v>0</v>
      </c>
      <c r="AE358" s="303"/>
      <c r="AF358" s="304"/>
      <c r="AG358" s="308">
        <f>BD.PD[[#This Row],[Av.P5 '[%']]]*BD.PD[[#This Row],[Ppto. Orden Interna '[DOP']]]</f>
        <v>0</v>
      </c>
      <c r="AH358" s="305">
        <f>BD.PD[[#This Row],[Pago 5]]+BD.PD[[#This Row],[Pago 4]]+BD.PD[[#This Row],[Pago 3]]+BD.PD[[#This Row],[Pago 2]]+BD.PD[[#This Row],[Pago 1]]</f>
        <v>0</v>
      </c>
      <c r="AI358" s="404"/>
      <c r="IB358" s="275"/>
    </row>
    <row r="359" spans="1:236" ht="15" customHeight="1" x14ac:dyDescent="0.3">
      <c r="A359" s="231">
        <v>9.0499999999999989</v>
      </c>
      <c r="B359" s="288" t="s">
        <v>574</v>
      </c>
      <c r="C359" s="289" t="str">
        <f>VLOOKUP(BD.PD[[#This Row],[Pos]],PPto[],3,FALSE)</f>
        <v>9.05 DECORACIÓN TEMPORADAS</v>
      </c>
      <c r="D359" s="290" t="s">
        <v>574</v>
      </c>
      <c r="E359" s="291">
        <f>IF(BD.PD[[#This Row],[.]]="*",VLOOKUP(BD.PD[[#This Row],[Pos]],Presupuesto!A:H,7,FALSE),"")</f>
        <v>0</v>
      </c>
      <c r="F359" s="292"/>
      <c r="G359" s="292" t="s">
        <v>575</v>
      </c>
      <c r="H359" s="292"/>
      <c r="I359" s="293">
        <v>1</v>
      </c>
      <c r="J359" s="290" t="s">
        <v>456</v>
      </c>
      <c r="K359" s="294">
        <f>IF(BD.PD[[#This Row],[Mon]]="DOP",1,HLOOKUP(BD.PD[[#This Row],[Mon]],$J$1:$K$2,2,FALSE))</f>
        <v>63</v>
      </c>
      <c r="L359" s="295">
        <v>0</v>
      </c>
      <c r="M359" s="296">
        <f>BD.PD[[#This Row],[Cant.]]*BD.PD[[#This Row],[ Tasa ]]*BD.PD[[#This Row],[ Precio Und.]]</f>
        <v>0</v>
      </c>
      <c r="N359" s="297">
        <v>0</v>
      </c>
      <c r="O359" s="296">
        <f>IF(BD.PD[[#This Row],[Liquid. '[%']]]&lt;&gt;0,(BD.PD[[#This Row],[Valor Neto '[DOP']]]*BD.PD[[#This Row],[Liquid. '[%']]])+BD.PD[[#This Row],[Valor Neto '[DOP']]],BD.PD[[#This Row],[Valor Neto '[DOP']]])</f>
        <v>0</v>
      </c>
      <c r="P359" s="306">
        <f>BD.PD[[#This Row],[Ppto. Orden Interna '[DOP']]]/HLOOKUP("USD",$J$1:$K$2,2,FALSE)</f>
        <v>0</v>
      </c>
      <c r="Q359" s="299"/>
      <c r="R359" s="307"/>
      <c r="S359" s="300"/>
      <c r="T359" s="301"/>
      <c r="U359" s="308">
        <f>BD.PD[[#This Row],[Av.P1 '[%']]]*BD.PD[[#This Row],[Ppto. Orden Interna '[DOP']]]</f>
        <v>0</v>
      </c>
      <c r="V359" s="303"/>
      <c r="W359" s="304"/>
      <c r="X359" s="308">
        <f>BD.PD[[#This Row],[Av.P2 '[%']]]*BD.PD[[#This Row],[Ppto. Orden Interna '[DOP']]]</f>
        <v>0</v>
      </c>
      <c r="Y359" s="303"/>
      <c r="Z359" s="304"/>
      <c r="AA359" s="308">
        <f>BD.PD[[#This Row],[Av.P3 '[%']]]*BD.PD[[#This Row],[Ppto. Orden Interna '[DOP']]]</f>
        <v>0</v>
      </c>
      <c r="AB359" s="303"/>
      <c r="AC359" s="304"/>
      <c r="AD359" s="308">
        <f>BD.PD[[#This Row],[Av.P4 '[%']]]*BD.PD[[#This Row],[Ppto. Orden Interna '[DOP']]]</f>
        <v>0</v>
      </c>
      <c r="AE359" s="303"/>
      <c r="AF359" s="304"/>
      <c r="AG359" s="308">
        <f>BD.PD[[#This Row],[Av.P5 '[%']]]*BD.PD[[#This Row],[Ppto. Orden Interna '[DOP']]]</f>
        <v>0</v>
      </c>
      <c r="AH359" s="305">
        <f>BD.PD[[#This Row],[Pago 5]]+BD.PD[[#This Row],[Pago 4]]+BD.PD[[#This Row],[Pago 3]]+BD.PD[[#This Row],[Pago 2]]+BD.PD[[#This Row],[Pago 1]]</f>
        <v>0</v>
      </c>
      <c r="AI359" s="404"/>
      <c r="IB359" s="275"/>
    </row>
    <row r="360" spans="1:236" ht="15" customHeight="1" x14ac:dyDescent="0.3">
      <c r="A360" s="231">
        <v>9.06</v>
      </c>
      <c r="B360" s="288" t="s">
        <v>574</v>
      </c>
      <c r="C360" s="289" t="str">
        <f>VLOOKUP(BD.PD[[#This Row],[Pos]],PPto[],3,FALSE)</f>
        <v>9.06 -</v>
      </c>
      <c r="D360" s="290" t="s">
        <v>574</v>
      </c>
      <c r="E360" s="291">
        <f>IF(BD.PD[[#This Row],[.]]="*",VLOOKUP(BD.PD[[#This Row],[Pos]],Presupuesto!A:H,7,FALSE),"")</f>
        <v>0</v>
      </c>
      <c r="F360" s="292"/>
      <c r="G360" s="292" t="s">
        <v>575</v>
      </c>
      <c r="H360" s="292"/>
      <c r="I360" s="293">
        <v>1</v>
      </c>
      <c r="J360" s="290" t="s">
        <v>456</v>
      </c>
      <c r="K360" s="294">
        <f>IF(BD.PD[[#This Row],[Mon]]="DOP",1,HLOOKUP(BD.PD[[#This Row],[Mon]],$J$1:$K$2,2,FALSE))</f>
        <v>63</v>
      </c>
      <c r="L360" s="295">
        <v>0</v>
      </c>
      <c r="M360" s="296">
        <f>BD.PD[[#This Row],[Cant.]]*BD.PD[[#This Row],[ Tasa ]]*BD.PD[[#This Row],[ Precio Und.]]</f>
        <v>0</v>
      </c>
      <c r="N360" s="297">
        <v>0</v>
      </c>
      <c r="O360" s="296">
        <f>IF(BD.PD[[#This Row],[Liquid. '[%']]]&lt;&gt;0,(BD.PD[[#This Row],[Valor Neto '[DOP']]]*BD.PD[[#This Row],[Liquid. '[%']]])+BD.PD[[#This Row],[Valor Neto '[DOP']]],BD.PD[[#This Row],[Valor Neto '[DOP']]])</f>
        <v>0</v>
      </c>
      <c r="P360" s="306">
        <f>BD.PD[[#This Row],[Ppto. Orden Interna '[DOP']]]/HLOOKUP("USD",$J$1:$K$2,2,FALSE)</f>
        <v>0</v>
      </c>
      <c r="Q360" s="299"/>
      <c r="R360" s="307"/>
      <c r="S360" s="300"/>
      <c r="T360" s="301"/>
      <c r="U360" s="308">
        <f>BD.PD[[#This Row],[Av.P1 '[%']]]*BD.PD[[#This Row],[Ppto. Orden Interna '[DOP']]]</f>
        <v>0</v>
      </c>
      <c r="V360" s="303"/>
      <c r="W360" s="304"/>
      <c r="X360" s="308">
        <f>BD.PD[[#This Row],[Av.P2 '[%']]]*BD.PD[[#This Row],[Ppto. Orden Interna '[DOP']]]</f>
        <v>0</v>
      </c>
      <c r="Y360" s="303"/>
      <c r="Z360" s="304"/>
      <c r="AA360" s="308">
        <f>BD.PD[[#This Row],[Av.P3 '[%']]]*BD.PD[[#This Row],[Ppto. Orden Interna '[DOP']]]</f>
        <v>0</v>
      </c>
      <c r="AB360" s="303"/>
      <c r="AC360" s="304"/>
      <c r="AD360" s="308">
        <f>BD.PD[[#This Row],[Av.P4 '[%']]]*BD.PD[[#This Row],[Ppto. Orden Interna '[DOP']]]</f>
        <v>0</v>
      </c>
      <c r="AE360" s="303"/>
      <c r="AF360" s="304"/>
      <c r="AG360" s="308">
        <f>BD.PD[[#This Row],[Av.P5 '[%']]]*BD.PD[[#This Row],[Ppto. Orden Interna '[DOP']]]</f>
        <v>0</v>
      </c>
      <c r="AH360" s="305">
        <f>BD.PD[[#This Row],[Pago 5]]+BD.PD[[#This Row],[Pago 4]]+BD.PD[[#This Row],[Pago 3]]+BD.PD[[#This Row],[Pago 2]]+BD.PD[[#This Row],[Pago 1]]</f>
        <v>0</v>
      </c>
      <c r="AI360" s="404"/>
      <c r="IB360" s="275"/>
    </row>
    <row r="361" spans="1:236" ht="15" customHeight="1" x14ac:dyDescent="0.3">
      <c r="A361" s="310" t="s">
        <v>442</v>
      </c>
      <c r="B361" s="311"/>
      <c r="C361" s="311"/>
      <c r="D361" s="312"/>
      <c r="E361" s="313">
        <f>SUBTOTAL(109,BD.PD[Plan])</f>
        <v>2950565.9282458508</v>
      </c>
      <c r="F361" s="310"/>
      <c r="G361" s="310"/>
      <c r="H361" s="310"/>
      <c r="I361" s="310"/>
      <c r="J361" s="310"/>
      <c r="K361" s="311"/>
      <c r="L361" s="309"/>
      <c r="M361" s="314">
        <f>SUBTOTAL(109,BD.PD[Valor Neto '[DOP']])</f>
        <v>160890820.34441572</v>
      </c>
      <c r="N361" s="315"/>
      <c r="O361" s="314">
        <f>SUBTOTAL(109,BD.PD[Ppto. Orden Interna '[DOP']])</f>
        <v>180212125.20684043</v>
      </c>
      <c r="P361" s="316">
        <f>SUBTOTAL(109,BD.PD[Ppto. Orden Interna '[USD']])</f>
        <v>2860509.9239180954</v>
      </c>
      <c r="Q361" s="310"/>
      <c r="R361" s="315"/>
      <c r="S361" s="317"/>
      <c r="T361" s="318"/>
      <c r="U361" s="310"/>
      <c r="V361" s="317"/>
      <c r="W361" s="310"/>
      <c r="X361" s="310"/>
      <c r="Y361" s="317"/>
      <c r="Z361" s="310"/>
      <c r="AA361" s="310"/>
      <c r="AB361" s="317"/>
      <c r="AC361" s="310"/>
      <c r="AD361" s="310"/>
      <c r="AE361" s="317"/>
      <c r="AF361" s="310"/>
      <c r="AG361" s="310"/>
      <c r="AH361" s="319">
        <f>SUBTOTAL(109,BD.PD[Total Flujo Caja])</f>
        <v>180212125.20684043</v>
      </c>
      <c r="AI361" s="310"/>
      <c r="IB361" s="275"/>
    </row>
    <row r="364" spans="1:236" ht="15" customHeight="1" x14ac:dyDescent="0.3">
      <c r="L364" s="419"/>
    </row>
    <row r="365" spans="1:236" ht="15" customHeight="1" x14ac:dyDescent="0.3">
      <c r="J365" s="419"/>
    </row>
    <row r="366" spans="1:236" ht="15" customHeight="1" x14ac:dyDescent="0.3">
      <c r="L366" s="411"/>
      <c r="M366" s="412"/>
    </row>
    <row r="367" spans="1:236" ht="15" customHeight="1" x14ac:dyDescent="0.3">
      <c r="L367" s="412"/>
      <c r="M367" s="412"/>
      <c r="N367" s="412"/>
    </row>
    <row r="368" spans="1:236" ht="15" customHeight="1" x14ac:dyDescent="0.3">
      <c r="L368" s="412"/>
      <c r="M368" s="412"/>
      <c r="N368" s="412"/>
    </row>
    <row r="369" spans="11:14" ht="15" customHeight="1" x14ac:dyDescent="0.3">
      <c r="L369" s="412"/>
      <c r="M369" s="412"/>
      <c r="N369" s="412"/>
    </row>
    <row r="370" spans="11:14" ht="15" customHeight="1" x14ac:dyDescent="0.3">
      <c r="L370" s="412"/>
      <c r="M370" s="412"/>
      <c r="N370" s="412"/>
    </row>
    <row r="371" spans="11:14" ht="15" customHeight="1" x14ac:dyDescent="0.3">
      <c r="K371" s="413"/>
      <c r="L371" s="412"/>
      <c r="M371" s="412"/>
      <c r="N371" s="412"/>
    </row>
    <row r="372" spans="11:14" ht="15" customHeight="1" x14ac:dyDescent="0.3">
      <c r="L372" s="412"/>
      <c r="M372" s="412"/>
      <c r="N372" s="412"/>
    </row>
    <row r="377" spans="11:14" ht="15" customHeight="1" x14ac:dyDescent="0.3">
      <c r="M377" s="511"/>
    </row>
    <row r="378" spans="11:14" ht="15" customHeight="1" x14ac:dyDescent="0.3">
      <c r="L378" s="511"/>
    </row>
  </sheetData>
  <dataConsolidate/>
  <mergeCells count="9">
    <mergeCell ref="AI1:AI3"/>
    <mergeCell ref="AF3:AH3"/>
    <mergeCell ref="A1:F1"/>
    <mergeCell ref="A2:F2"/>
    <mergeCell ref="S3:V3"/>
    <mergeCell ref="W3:Y3"/>
    <mergeCell ref="Z3:AB3"/>
    <mergeCell ref="AC3:AE3"/>
    <mergeCell ref="S2:AH2"/>
  </mergeCells>
  <phoneticPr fontId="5" type="noConversion"/>
  <conditionalFormatting sqref="AH5:AH360">
    <cfRule type="expression" dxfId="158" priority="173">
      <formula>$AH5&lt;&gt;$O5</formula>
    </cfRule>
  </conditionalFormatting>
  <dataValidations count="2">
    <dataValidation operator="equal" allowBlank="1" showInputMessage="1" showErrorMessage="1" sqref="R15:R17 R40 Q1:Q2 R36 Q44:Q51 O5:Q43 Q53:Q55 O44:P360 M5:M360 K5:K360 C5:E360" xr:uid="{4BA023C2-8680-4AD2-A3CF-3A4B435DE2C5}"/>
    <dataValidation type="whole" operator="greaterThanOrEqual" allowBlank="1" showInputMessage="1" showErrorMessage="1" sqref="S5:S360 Y5:Y360 AE5:AE360 AB5:AB360 V5:V360" xr:uid="{A03CE7B6-5E7D-43CF-B55A-EF2F8BB8EEE1}">
      <formula1>0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A485-0456-406E-A608-CDE9DA9A1FA0}">
  <sheetPr codeName="Hoja8">
    <tabColor rgb="FF0070C0"/>
    <pageSetUpPr autoPageBreaks="0" fitToPage="1"/>
  </sheetPr>
  <dimension ref="B1:H17"/>
  <sheetViews>
    <sheetView showGridLines="0" zoomScale="90" zoomScaleNormal="90" zoomScaleSheetLayoutView="8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F9" sqref="F9"/>
    </sheetView>
  </sheetViews>
  <sheetFormatPr baseColWidth="10" defaultColWidth="10" defaultRowHeight="30" customHeight="1" x14ac:dyDescent="0.3"/>
  <cols>
    <col min="1" max="1" width="3.44140625" style="351" customWidth="1"/>
    <col min="2" max="2" width="17.44140625" style="346" customWidth="1"/>
    <col min="3" max="3" width="71.5546875" style="347" customWidth="1"/>
    <col min="4" max="4" width="15" style="348" customWidth="1"/>
    <col min="5" max="5" width="13.5546875" style="349" customWidth="1"/>
    <col min="6" max="6" width="13.44140625" style="349" customWidth="1"/>
    <col min="7" max="7" width="37.44140625" style="330" customWidth="1"/>
    <col min="8" max="8" width="26" style="350" customWidth="1"/>
    <col min="9" max="16384" width="10" style="351"/>
  </cols>
  <sheetData>
    <row r="1" spans="2:8" s="325" customFormat="1" ht="26.25" customHeight="1" x14ac:dyDescent="0.3">
      <c r="B1" s="320" t="s">
        <v>774</v>
      </c>
      <c r="C1" s="321"/>
      <c r="D1" s="322"/>
      <c r="E1" s="323"/>
      <c r="F1" s="323"/>
      <c r="G1" s="528" t="s">
        <v>775</v>
      </c>
      <c r="H1" s="324"/>
    </row>
    <row r="2" spans="2:8" s="325" customFormat="1" ht="20.25" customHeight="1" x14ac:dyDescent="0.3">
      <c r="B2" s="325" t="s">
        <v>776</v>
      </c>
      <c r="C2" s="326"/>
      <c r="D2" s="327"/>
      <c r="E2" s="328"/>
      <c r="F2" s="328"/>
      <c r="G2" s="528"/>
      <c r="H2" s="324"/>
    </row>
    <row r="3" spans="2:8" s="325" customFormat="1" ht="15.6" customHeight="1" x14ac:dyDescent="0.3">
      <c r="B3" s="329">
        <v>45512</v>
      </c>
      <c r="C3" s="326"/>
      <c r="D3" s="327"/>
      <c r="E3" s="328"/>
      <c r="F3" s="328"/>
      <c r="G3" s="330"/>
      <c r="H3" s="324"/>
    </row>
    <row r="4" spans="2:8" s="338" customFormat="1" ht="31.5" customHeight="1" x14ac:dyDescent="0.3">
      <c r="B4" s="331" t="s">
        <v>777</v>
      </c>
      <c r="C4" s="332" t="s">
        <v>778</v>
      </c>
      <c r="D4" s="333" t="s">
        <v>779</v>
      </c>
      <c r="E4" s="334" t="s">
        <v>780</v>
      </c>
      <c r="F4" s="335" t="s">
        <v>781</v>
      </c>
      <c r="G4" s="336" t="s">
        <v>782</v>
      </c>
      <c r="H4" s="337" t="s">
        <v>783</v>
      </c>
    </row>
    <row r="5" spans="2:8" s="325" customFormat="1" ht="14.4" x14ac:dyDescent="0.3">
      <c r="B5" s="339"/>
      <c r="C5" s="340"/>
      <c r="D5" s="341"/>
      <c r="E5" s="342"/>
      <c r="F5" s="343"/>
      <c r="G5" s="344"/>
      <c r="H5" s="345" t="s">
        <v>784</v>
      </c>
    </row>
    <row r="16" spans="2:8" s="350" customFormat="1" ht="30" customHeight="1" x14ac:dyDescent="0.3">
      <c r="B16" s="346"/>
      <c r="C16" s="347"/>
      <c r="D16" s="348"/>
      <c r="E16" s="349"/>
      <c r="F16" s="352"/>
      <c r="G16" s="330"/>
    </row>
    <row r="17" spans="2:7" s="350" customFormat="1" ht="30" customHeight="1" x14ac:dyDescent="0.3">
      <c r="B17" s="346"/>
      <c r="C17" s="347"/>
      <c r="D17" s="348"/>
      <c r="E17" s="349"/>
      <c r="F17" s="353"/>
      <c r="G17" s="354"/>
    </row>
  </sheetData>
  <autoFilter ref="B4:H5" xr:uid="{EF2A8E8A-DFDF-40C4-998B-CE5B7329B843}"/>
  <mergeCells count="1">
    <mergeCell ref="G1:G2"/>
  </mergeCells>
  <conditionalFormatting sqref="B5">
    <cfRule type="containsText" dxfId="157" priority="74" operator="containsText" text="Pendiente">
      <formula>NOT(ISERROR(SEARCH("Pendiente",B5)))</formula>
    </cfRule>
    <cfRule type="containsText" dxfId="156" priority="75" operator="containsText" text="En proceso">
      <formula>NOT(ISERROR(SEARCH("En proceso",B5)))</formula>
    </cfRule>
    <cfRule type="containsText" dxfId="155" priority="76" operator="containsText" text="Pendiente">
      <formula>NOT(ISERROR(SEARCH("Pendiente",B5)))</formula>
    </cfRule>
    <cfRule type="containsText" dxfId="154" priority="77" operator="containsText" text="Listo">
      <formula>NOT(ISERROR(SEARCH("Listo",B5)))</formula>
    </cfRule>
  </conditionalFormatting>
  <conditionalFormatting sqref="H1:H1048576">
    <cfRule type="containsText" dxfId="153" priority="70" operator="containsText" text="Pendiente">
      <formula>NOT(ISERROR(SEARCH("Pendiente",H1)))</formula>
    </cfRule>
    <cfRule type="containsText" dxfId="152" priority="71" operator="containsText" text="En proceso">
      <formula>NOT(ISERROR(SEARCH("En proceso",H1)))</formula>
    </cfRule>
    <cfRule type="containsText" dxfId="151" priority="72" operator="containsText" text="Listo">
      <formula>NOT(ISERROR(SEARCH("Listo",H1)))</formula>
    </cfRule>
    <cfRule type="containsText" dxfId="150" priority="73" operator="containsText" text="En proceso">
      <formula>NOT(ISERROR(SEARCH("En proceso",H1)))</formula>
    </cfRule>
  </conditionalFormatting>
  <dataValidations count="6">
    <dataValidation allowBlank="1" showInputMessage="1" prompt="Indique los proyectos en la hoja de seguimiento de proyectos. Defina el porcentaje superior/inferior para D2. El trabajo real en horas y la duración real en días resaltarán los valores superior/inferior en negrita roja, y una bandera en K y M." sqref="A1" xr:uid="{1F4ABE58-FE6C-411C-9FFE-A51F5FDA58ED}"/>
    <dataValidation allowBlank="1" showInputMessage="1" showErrorMessage="1" prompt="Escriba en esta columna los nombres de proyecto" sqref="B4:C4" xr:uid="{12BF5D3C-D546-4A6C-9CA6-06BE3EA69B6A}"/>
    <dataValidation allowBlank="1" showInputMessage="1" showErrorMessage="1" prompt="Seleccione el nombre del empleado en la lista desplegable en cada celda de esta columna. Las opciones se definen en la hoja de cálculo de configuración. Presione ALT+FLECHA ABAJO para ir a la lista y, después, presione ENTRAR para realizar una selección." sqref="D4" xr:uid="{55ADCAE0-9A4B-4C38-B2CB-53D498545C40}"/>
    <dataValidation allowBlank="1" showInputMessage="1" showErrorMessage="1" prompt="Especifique en esta columna la fecha de inicio real del proyecto." sqref="E4" xr:uid="{382E1068-E4B8-4D6C-91E3-7AF7BD82EFA0}"/>
    <dataValidation allowBlank="1" showInputMessage="1" showErrorMessage="1" prompt="Especifique en esta columna la fecha de finalización real del proyecto." sqref="F4" xr:uid="{9CDBE99E-D892-4EEF-A7F2-7FF0675DD6B8}"/>
    <dataValidation allowBlank="1" showInputMessage="1" showErrorMessage="1" prompt="Escriba en esta columna las notas para los proyectos." sqref="G4" xr:uid="{97BFD239-6979-46D9-B4B9-D42D6E32CA6A}"/>
  </dataValidations>
  <printOptions horizontalCentered="1"/>
  <pageMargins left="0.25" right="0.25" top="0.5" bottom="0.5" header="0.3" footer="0.3"/>
  <pageSetup paperSize="9" scale="74" fitToHeight="0" orientation="landscape" r:id="rId1"/>
  <headerFooter differentFirst="1">
    <oddFooter>&amp;CPage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7" id="{D847E137-2DE7-4046-B634-31EA32B00E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BAB6-7F13-4882-BA6E-EA0F4F79B7C8}">
  <sheetPr codeName="Hoja10"/>
  <dimension ref="A1"/>
  <sheetViews>
    <sheetView showGridLines="0" topLeftCell="A4" workbookViewId="0">
      <selection activeCell="K49" sqref="K48:K49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274C-2097-41DC-9F30-4586B500BC90}">
  <sheetPr codeName="Hoja11">
    <tabColor theme="7"/>
  </sheetPr>
  <dimension ref="A1:AF261"/>
  <sheetViews>
    <sheetView showGridLines="0" zoomScale="70" zoomScaleNormal="70" workbookViewId="0">
      <pane xSplit="7" ySplit="16" topLeftCell="I20" activePane="bottomRight" state="frozen"/>
      <selection pane="topRight" activeCell="H1" sqref="H1"/>
      <selection pane="bottomLeft" activeCell="A17" sqref="A17"/>
      <selection pane="bottomRight" activeCell="C7" sqref="C7"/>
    </sheetView>
  </sheetViews>
  <sheetFormatPr baseColWidth="10" defaultColWidth="9.44140625" defaultRowHeight="14.4" outlineLevelCol="1" x14ac:dyDescent="0.3"/>
  <cols>
    <col min="1" max="1" width="9.5546875" style="201" customWidth="1"/>
    <col min="2" max="2" width="34.44140625" style="202" customWidth="1"/>
    <col min="3" max="3" width="51" style="202" customWidth="1"/>
    <col min="4" max="4" width="15.5546875" style="200" customWidth="1"/>
    <col min="5" max="5" width="10" style="200" customWidth="1" outlineLevel="1"/>
    <col min="6" max="6" width="17.5546875" style="200" customWidth="1" outlineLevel="1"/>
    <col min="7" max="7" width="10.5546875" style="200" customWidth="1" outlineLevel="1"/>
    <col min="8" max="8" width="15.5546875" style="200" customWidth="1" outlineLevel="1"/>
    <col min="9" max="9" width="9.5546875" style="200" customWidth="1" outlineLevel="1"/>
    <col min="10" max="10" width="15.5546875" style="200" customWidth="1" outlineLevel="1"/>
    <col min="11" max="11" width="12.44140625" style="200" customWidth="1" outlineLevel="1"/>
    <col min="12" max="14" width="15.5546875" style="200" customWidth="1" outlineLevel="1"/>
    <col min="15" max="15" width="10.44140625" style="200" customWidth="1" outlineLevel="1"/>
    <col min="16" max="16" width="15.5546875" style="200" customWidth="1" outlineLevel="1"/>
    <col min="17" max="17" width="11.44140625" style="200" customWidth="1"/>
    <col min="18" max="18" width="15.5546875" style="200" customWidth="1"/>
    <col min="19" max="19" width="26.44140625" style="202" hidden="1" customWidth="1"/>
    <col min="20" max="20" width="15.44140625" style="202" hidden="1" customWidth="1"/>
    <col min="21" max="21" width="17.44140625" style="202" hidden="1" customWidth="1"/>
    <col min="22" max="22" width="19.5546875" style="206" hidden="1" customWidth="1"/>
    <col min="23" max="23" width="12.44140625" style="202" hidden="1" customWidth="1"/>
    <col min="24" max="24" width="11.44140625" style="202" hidden="1" customWidth="1"/>
    <col min="25" max="25" width="17.5546875" style="202" hidden="1" customWidth="1"/>
    <col min="26" max="26" width="16.44140625" style="228" hidden="1" customWidth="1"/>
    <col min="27" max="27" width="22.44140625" style="202" hidden="1" customWidth="1"/>
    <col min="28" max="28" width="14.44140625" style="202" hidden="1" customWidth="1"/>
    <col min="29" max="29" width="25.44140625" style="202" hidden="1" customWidth="1"/>
    <col min="30" max="30" width="15.5546875" style="202" hidden="1" customWidth="1"/>
    <col min="31" max="31" width="16.5546875" style="202" hidden="1" customWidth="1"/>
    <col min="32" max="32" width="15.5546875" style="202" hidden="1" customWidth="1"/>
    <col min="33" max="261" width="9.44140625" style="202"/>
    <col min="262" max="263" width="0" style="202" hidden="1" customWidth="1"/>
    <col min="264" max="264" width="7.5546875" style="202" customWidth="1"/>
    <col min="265" max="265" width="52.44140625" style="202" customWidth="1"/>
    <col min="266" max="266" width="41.44140625" style="202" customWidth="1"/>
    <col min="267" max="267" width="24.5546875" style="202" customWidth="1"/>
    <col min="268" max="268" width="26.5546875" style="202" customWidth="1"/>
    <col min="269" max="269" width="35.44140625" style="202" customWidth="1"/>
    <col min="270" max="270" width="19.5546875" style="202" customWidth="1"/>
    <col min="271" max="271" width="24.44140625" style="202" customWidth="1"/>
    <col min="272" max="272" width="14" style="202" customWidth="1"/>
    <col min="273" max="273" width="69.44140625" style="202" customWidth="1"/>
    <col min="274" max="276" width="16.44140625" style="202" customWidth="1"/>
    <col min="277" max="277" width="6.44140625" style="202" customWidth="1"/>
    <col min="278" max="278" width="10.44140625" style="202" customWidth="1"/>
    <col min="279" max="280" width="0.44140625" style="202" customWidth="1"/>
    <col min="281" max="281" width="5.5546875" style="202" customWidth="1"/>
    <col min="282" max="282" width="20.5546875" style="202" customWidth="1"/>
    <col min="283" max="283" width="15.44140625" style="202" customWidth="1"/>
    <col min="284" max="517" width="9.44140625" style="202"/>
    <col min="518" max="519" width="0" style="202" hidden="1" customWidth="1"/>
    <col min="520" max="520" width="7.5546875" style="202" customWidth="1"/>
    <col min="521" max="521" width="52.44140625" style="202" customWidth="1"/>
    <col min="522" max="522" width="41.44140625" style="202" customWidth="1"/>
    <col min="523" max="523" width="24.5546875" style="202" customWidth="1"/>
    <col min="524" max="524" width="26.5546875" style="202" customWidth="1"/>
    <col min="525" max="525" width="35.44140625" style="202" customWidth="1"/>
    <col min="526" max="526" width="19.5546875" style="202" customWidth="1"/>
    <col min="527" max="527" width="24.44140625" style="202" customWidth="1"/>
    <col min="528" max="528" width="14" style="202" customWidth="1"/>
    <col min="529" max="529" width="69.44140625" style="202" customWidth="1"/>
    <col min="530" max="532" width="16.44140625" style="202" customWidth="1"/>
    <col min="533" max="533" width="6.44140625" style="202" customWidth="1"/>
    <col min="534" max="534" width="10.44140625" style="202" customWidth="1"/>
    <col min="535" max="536" width="0.44140625" style="202" customWidth="1"/>
    <col min="537" max="537" width="5.5546875" style="202" customWidth="1"/>
    <col min="538" max="538" width="20.5546875" style="202" customWidth="1"/>
    <col min="539" max="539" width="15.44140625" style="202" customWidth="1"/>
    <col min="540" max="773" width="9.44140625" style="202"/>
    <col min="774" max="775" width="0" style="202" hidden="1" customWidth="1"/>
    <col min="776" max="776" width="7.5546875" style="202" customWidth="1"/>
    <col min="777" max="777" width="52.44140625" style="202" customWidth="1"/>
    <col min="778" max="778" width="41.44140625" style="202" customWidth="1"/>
    <col min="779" max="779" width="24.5546875" style="202" customWidth="1"/>
    <col min="780" max="780" width="26.5546875" style="202" customWidth="1"/>
    <col min="781" max="781" width="35.44140625" style="202" customWidth="1"/>
    <col min="782" max="782" width="19.5546875" style="202" customWidth="1"/>
    <col min="783" max="783" width="24.44140625" style="202" customWidth="1"/>
    <col min="784" max="784" width="14" style="202" customWidth="1"/>
    <col min="785" max="785" width="69.44140625" style="202" customWidth="1"/>
    <col min="786" max="788" width="16.44140625" style="202" customWidth="1"/>
    <col min="789" max="789" width="6.44140625" style="202" customWidth="1"/>
    <col min="790" max="790" width="10.44140625" style="202" customWidth="1"/>
    <col min="791" max="792" width="0.44140625" style="202" customWidth="1"/>
    <col min="793" max="793" width="5.5546875" style="202" customWidth="1"/>
    <col min="794" max="794" width="20.5546875" style="202" customWidth="1"/>
    <col min="795" max="795" width="15.44140625" style="202" customWidth="1"/>
    <col min="796" max="1029" width="9.44140625" style="202"/>
    <col min="1030" max="1031" width="0" style="202" hidden="1" customWidth="1"/>
    <col min="1032" max="1032" width="7.5546875" style="202" customWidth="1"/>
    <col min="1033" max="1033" width="52.44140625" style="202" customWidth="1"/>
    <col min="1034" max="1034" width="41.44140625" style="202" customWidth="1"/>
    <col min="1035" max="1035" width="24.5546875" style="202" customWidth="1"/>
    <col min="1036" max="1036" width="26.5546875" style="202" customWidth="1"/>
    <col min="1037" max="1037" width="35.44140625" style="202" customWidth="1"/>
    <col min="1038" max="1038" width="19.5546875" style="202" customWidth="1"/>
    <col min="1039" max="1039" width="24.44140625" style="202" customWidth="1"/>
    <col min="1040" max="1040" width="14" style="202" customWidth="1"/>
    <col min="1041" max="1041" width="69.44140625" style="202" customWidth="1"/>
    <col min="1042" max="1044" width="16.44140625" style="202" customWidth="1"/>
    <col min="1045" max="1045" width="6.44140625" style="202" customWidth="1"/>
    <col min="1046" max="1046" width="10.44140625" style="202" customWidth="1"/>
    <col min="1047" max="1048" width="0.44140625" style="202" customWidth="1"/>
    <col min="1049" max="1049" width="5.5546875" style="202" customWidth="1"/>
    <col min="1050" max="1050" width="20.5546875" style="202" customWidth="1"/>
    <col min="1051" max="1051" width="15.44140625" style="202" customWidth="1"/>
    <col min="1052" max="1285" width="9.44140625" style="202"/>
    <col min="1286" max="1287" width="0" style="202" hidden="1" customWidth="1"/>
    <col min="1288" max="1288" width="7.5546875" style="202" customWidth="1"/>
    <col min="1289" max="1289" width="52.44140625" style="202" customWidth="1"/>
    <col min="1290" max="1290" width="41.44140625" style="202" customWidth="1"/>
    <col min="1291" max="1291" width="24.5546875" style="202" customWidth="1"/>
    <col min="1292" max="1292" width="26.5546875" style="202" customWidth="1"/>
    <col min="1293" max="1293" width="35.44140625" style="202" customWidth="1"/>
    <col min="1294" max="1294" width="19.5546875" style="202" customWidth="1"/>
    <col min="1295" max="1295" width="24.44140625" style="202" customWidth="1"/>
    <col min="1296" max="1296" width="14" style="202" customWidth="1"/>
    <col min="1297" max="1297" width="69.44140625" style="202" customWidth="1"/>
    <col min="1298" max="1300" width="16.44140625" style="202" customWidth="1"/>
    <col min="1301" max="1301" width="6.44140625" style="202" customWidth="1"/>
    <col min="1302" max="1302" width="10.44140625" style="202" customWidth="1"/>
    <col min="1303" max="1304" width="0.44140625" style="202" customWidth="1"/>
    <col min="1305" max="1305" width="5.5546875" style="202" customWidth="1"/>
    <col min="1306" max="1306" width="20.5546875" style="202" customWidth="1"/>
    <col min="1307" max="1307" width="15.44140625" style="202" customWidth="1"/>
    <col min="1308" max="1541" width="9.44140625" style="202"/>
    <col min="1542" max="1543" width="0" style="202" hidden="1" customWidth="1"/>
    <col min="1544" max="1544" width="7.5546875" style="202" customWidth="1"/>
    <col min="1545" max="1545" width="52.44140625" style="202" customWidth="1"/>
    <col min="1546" max="1546" width="41.44140625" style="202" customWidth="1"/>
    <col min="1547" max="1547" width="24.5546875" style="202" customWidth="1"/>
    <col min="1548" max="1548" width="26.5546875" style="202" customWidth="1"/>
    <col min="1549" max="1549" width="35.44140625" style="202" customWidth="1"/>
    <col min="1550" max="1550" width="19.5546875" style="202" customWidth="1"/>
    <col min="1551" max="1551" width="24.44140625" style="202" customWidth="1"/>
    <col min="1552" max="1552" width="14" style="202" customWidth="1"/>
    <col min="1553" max="1553" width="69.44140625" style="202" customWidth="1"/>
    <col min="1554" max="1556" width="16.44140625" style="202" customWidth="1"/>
    <col min="1557" max="1557" width="6.44140625" style="202" customWidth="1"/>
    <col min="1558" max="1558" width="10.44140625" style="202" customWidth="1"/>
    <col min="1559" max="1560" width="0.44140625" style="202" customWidth="1"/>
    <col min="1561" max="1561" width="5.5546875" style="202" customWidth="1"/>
    <col min="1562" max="1562" width="20.5546875" style="202" customWidth="1"/>
    <col min="1563" max="1563" width="15.44140625" style="202" customWidth="1"/>
    <col min="1564" max="1797" width="9.44140625" style="202"/>
    <col min="1798" max="1799" width="0" style="202" hidden="1" customWidth="1"/>
    <col min="1800" max="1800" width="7.5546875" style="202" customWidth="1"/>
    <col min="1801" max="1801" width="52.44140625" style="202" customWidth="1"/>
    <col min="1802" max="1802" width="41.44140625" style="202" customWidth="1"/>
    <col min="1803" max="1803" width="24.5546875" style="202" customWidth="1"/>
    <col min="1804" max="1804" width="26.5546875" style="202" customWidth="1"/>
    <col min="1805" max="1805" width="35.44140625" style="202" customWidth="1"/>
    <col min="1806" max="1806" width="19.5546875" style="202" customWidth="1"/>
    <col min="1807" max="1807" width="24.44140625" style="202" customWidth="1"/>
    <col min="1808" max="1808" width="14" style="202" customWidth="1"/>
    <col min="1809" max="1809" width="69.44140625" style="202" customWidth="1"/>
    <col min="1810" max="1812" width="16.44140625" style="202" customWidth="1"/>
    <col min="1813" max="1813" width="6.44140625" style="202" customWidth="1"/>
    <col min="1814" max="1814" width="10.44140625" style="202" customWidth="1"/>
    <col min="1815" max="1816" width="0.44140625" style="202" customWidth="1"/>
    <col min="1817" max="1817" width="5.5546875" style="202" customWidth="1"/>
    <col min="1818" max="1818" width="20.5546875" style="202" customWidth="1"/>
    <col min="1819" max="1819" width="15.44140625" style="202" customWidth="1"/>
    <col min="1820" max="2053" width="9.44140625" style="202"/>
    <col min="2054" max="2055" width="0" style="202" hidden="1" customWidth="1"/>
    <col min="2056" max="2056" width="7.5546875" style="202" customWidth="1"/>
    <col min="2057" max="2057" width="52.44140625" style="202" customWidth="1"/>
    <col min="2058" max="2058" width="41.44140625" style="202" customWidth="1"/>
    <col min="2059" max="2059" width="24.5546875" style="202" customWidth="1"/>
    <col min="2060" max="2060" width="26.5546875" style="202" customWidth="1"/>
    <col min="2061" max="2061" width="35.44140625" style="202" customWidth="1"/>
    <col min="2062" max="2062" width="19.5546875" style="202" customWidth="1"/>
    <col min="2063" max="2063" width="24.44140625" style="202" customWidth="1"/>
    <col min="2064" max="2064" width="14" style="202" customWidth="1"/>
    <col min="2065" max="2065" width="69.44140625" style="202" customWidth="1"/>
    <col min="2066" max="2068" width="16.44140625" style="202" customWidth="1"/>
    <col min="2069" max="2069" width="6.44140625" style="202" customWidth="1"/>
    <col min="2070" max="2070" width="10.44140625" style="202" customWidth="1"/>
    <col min="2071" max="2072" width="0.44140625" style="202" customWidth="1"/>
    <col min="2073" max="2073" width="5.5546875" style="202" customWidth="1"/>
    <col min="2074" max="2074" width="20.5546875" style="202" customWidth="1"/>
    <col min="2075" max="2075" width="15.44140625" style="202" customWidth="1"/>
    <col min="2076" max="2309" width="9.44140625" style="202"/>
    <col min="2310" max="2311" width="0" style="202" hidden="1" customWidth="1"/>
    <col min="2312" max="2312" width="7.5546875" style="202" customWidth="1"/>
    <col min="2313" max="2313" width="52.44140625" style="202" customWidth="1"/>
    <col min="2314" max="2314" width="41.44140625" style="202" customWidth="1"/>
    <col min="2315" max="2315" width="24.5546875" style="202" customWidth="1"/>
    <col min="2316" max="2316" width="26.5546875" style="202" customWidth="1"/>
    <col min="2317" max="2317" width="35.44140625" style="202" customWidth="1"/>
    <col min="2318" max="2318" width="19.5546875" style="202" customWidth="1"/>
    <col min="2319" max="2319" width="24.44140625" style="202" customWidth="1"/>
    <col min="2320" max="2320" width="14" style="202" customWidth="1"/>
    <col min="2321" max="2321" width="69.44140625" style="202" customWidth="1"/>
    <col min="2322" max="2324" width="16.44140625" style="202" customWidth="1"/>
    <col min="2325" max="2325" width="6.44140625" style="202" customWidth="1"/>
    <col min="2326" max="2326" width="10.44140625" style="202" customWidth="1"/>
    <col min="2327" max="2328" width="0.44140625" style="202" customWidth="1"/>
    <col min="2329" max="2329" width="5.5546875" style="202" customWidth="1"/>
    <col min="2330" max="2330" width="20.5546875" style="202" customWidth="1"/>
    <col min="2331" max="2331" width="15.44140625" style="202" customWidth="1"/>
    <col min="2332" max="2565" width="9.44140625" style="202"/>
    <col min="2566" max="2567" width="0" style="202" hidden="1" customWidth="1"/>
    <col min="2568" max="2568" width="7.5546875" style="202" customWidth="1"/>
    <col min="2569" max="2569" width="52.44140625" style="202" customWidth="1"/>
    <col min="2570" max="2570" width="41.44140625" style="202" customWidth="1"/>
    <col min="2571" max="2571" width="24.5546875" style="202" customWidth="1"/>
    <col min="2572" max="2572" width="26.5546875" style="202" customWidth="1"/>
    <col min="2573" max="2573" width="35.44140625" style="202" customWidth="1"/>
    <col min="2574" max="2574" width="19.5546875" style="202" customWidth="1"/>
    <col min="2575" max="2575" width="24.44140625" style="202" customWidth="1"/>
    <col min="2576" max="2576" width="14" style="202" customWidth="1"/>
    <col min="2577" max="2577" width="69.44140625" style="202" customWidth="1"/>
    <col min="2578" max="2580" width="16.44140625" style="202" customWidth="1"/>
    <col min="2581" max="2581" width="6.44140625" style="202" customWidth="1"/>
    <col min="2582" max="2582" width="10.44140625" style="202" customWidth="1"/>
    <col min="2583" max="2584" width="0.44140625" style="202" customWidth="1"/>
    <col min="2585" max="2585" width="5.5546875" style="202" customWidth="1"/>
    <col min="2586" max="2586" width="20.5546875" style="202" customWidth="1"/>
    <col min="2587" max="2587" width="15.44140625" style="202" customWidth="1"/>
    <col min="2588" max="2821" width="9.44140625" style="202"/>
    <col min="2822" max="2823" width="0" style="202" hidden="1" customWidth="1"/>
    <col min="2824" max="2824" width="7.5546875" style="202" customWidth="1"/>
    <col min="2825" max="2825" width="52.44140625" style="202" customWidth="1"/>
    <col min="2826" max="2826" width="41.44140625" style="202" customWidth="1"/>
    <col min="2827" max="2827" width="24.5546875" style="202" customWidth="1"/>
    <col min="2828" max="2828" width="26.5546875" style="202" customWidth="1"/>
    <col min="2829" max="2829" width="35.44140625" style="202" customWidth="1"/>
    <col min="2830" max="2830" width="19.5546875" style="202" customWidth="1"/>
    <col min="2831" max="2831" width="24.44140625" style="202" customWidth="1"/>
    <col min="2832" max="2832" width="14" style="202" customWidth="1"/>
    <col min="2833" max="2833" width="69.44140625" style="202" customWidth="1"/>
    <col min="2834" max="2836" width="16.44140625" style="202" customWidth="1"/>
    <col min="2837" max="2837" width="6.44140625" style="202" customWidth="1"/>
    <col min="2838" max="2838" width="10.44140625" style="202" customWidth="1"/>
    <col min="2839" max="2840" width="0.44140625" style="202" customWidth="1"/>
    <col min="2841" max="2841" width="5.5546875" style="202" customWidth="1"/>
    <col min="2842" max="2842" width="20.5546875" style="202" customWidth="1"/>
    <col min="2843" max="2843" width="15.44140625" style="202" customWidth="1"/>
    <col min="2844" max="3077" width="9.44140625" style="202"/>
    <col min="3078" max="3079" width="0" style="202" hidden="1" customWidth="1"/>
    <col min="3080" max="3080" width="7.5546875" style="202" customWidth="1"/>
    <col min="3081" max="3081" width="52.44140625" style="202" customWidth="1"/>
    <col min="3082" max="3082" width="41.44140625" style="202" customWidth="1"/>
    <col min="3083" max="3083" width="24.5546875" style="202" customWidth="1"/>
    <col min="3084" max="3084" width="26.5546875" style="202" customWidth="1"/>
    <col min="3085" max="3085" width="35.44140625" style="202" customWidth="1"/>
    <col min="3086" max="3086" width="19.5546875" style="202" customWidth="1"/>
    <col min="3087" max="3087" width="24.44140625" style="202" customWidth="1"/>
    <col min="3088" max="3088" width="14" style="202" customWidth="1"/>
    <col min="3089" max="3089" width="69.44140625" style="202" customWidth="1"/>
    <col min="3090" max="3092" width="16.44140625" style="202" customWidth="1"/>
    <col min="3093" max="3093" width="6.44140625" style="202" customWidth="1"/>
    <col min="3094" max="3094" width="10.44140625" style="202" customWidth="1"/>
    <col min="3095" max="3096" width="0.44140625" style="202" customWidth="1"/>
    <col min="3097" max="3097" width="5.5546875" style="202" customWidth="1"/>
    <col min="3098" max="3098" width="20.5546875" style="202" customWidth="1"/>
    <col min="3099" max="3099" width="15.44140625" style="202" customWidth="1"/>
    <col min="3100" max="3333" width="9.44140625" style="202"/>
    <col min="3334" max="3335" width="0" style="202" hidden="1" customWidth="1"/>
    <col min="3336" max="3336" width="7.5546875" style="202" customWidth="1"/>
    <col min="3337" max="3337" width="52.44140625" style="202" customWidth="1"/>
    <col min="3338" max="3338" width="41.44140625" style="202" customWidth="1"/>
    <col min="3339" max="3339" width="24.5546875" style="202" customWidth="1"/>
    <col min="3340" max="3340" width="26.5546875" style="202" customWidth="1"/>
    <col min="3341" max="3341" width="35.44140625" style="202" customWidth="1"/>
    <col min="3342" max="3342" width="19.5546875" style="202" customWidth="1"/>
    <col min="3343" max="3343" width="24.44140625" style="202" customWidth="1"/>
    <col min="3344" max="3344" width="14" style="202" customWidth="1"/>
    <col min="3345" max="3345" width="69.44140625" style="202" customWidth="1"/>
    <col min="3346" max="3348" width="16.44140625" style="202" customWidth="1"/>
    <col min="3349" max="3349" width="6.44140625" style="202" customWidth="1"/>
    <col min="3350" max="3350" width="10.44140625" style="202" customWidth="1"/>
    <col min="3351" max="3352" width="0.44140625" style="202" customWidth="1"/>
    <col min="3353" max="3353" width="5.5546875" style="202" customWidth="1"/>
    <col min="3354" max="3354" width="20.5546875" style="202" customWidth="1"/>
    <col min="3355" max="3355" width="15.44140625" style="202" customWidth="1"/>
    <col min="3356" max="3589" width="9.44140625" style="202"/>
    <col min="3590" max="3591" width="0" style="202" hidden="1" customWidth="1"/>
    <col min="3592" max="3592" width="7.5546875" style="202" customWidth="1"/>
    <col min="3593" max="3593" width="52.44140625" style="202" customWidth="1"/>
    <col min="3594" max="3594" width="41.44140625" style="202" customWidth="1"/>
    <col min="3595" max="3595" width="24.5546875" style="202" customWidth="1"/>
    <col min="3596" max="3596" width="26.5546875" style="202" customWidth="1"/>
    <col min="3597" max="3597" width="35.44140625" style="202" customWidth="1"/>
    <col min="3598" max="3598" width="19.5546875" style="202" customWidth="1"/>
    <col min="3599" max="3599" width="24.44140625" style="202" customWidth="1"/>
    <col min="3600" max="3600" width="14" style="202" customWidth="1"/>
    <col min="3601" max="3601" width="69.44140625" style="202" customWidth="1"/>
    <col min="3602" max="3604" width="16.44140625" style="202" customWidth="1"/>
    <col min="3605" max="3605" width="6.44140625" style="202" customWidth="1"/>
    <col min="3606" max="3606" width="10.44140625" style="202" customWidth="1"/>
    <col min="3607" max="3608" width="0.44140625" style="202" customWidth="1"/>
    <col min="3609" max="3609" width="5.5546875" style="202" customWidth="1"/>
    <col min="3610" max="3610" width="20.5546875" style="202" customWidth="1"/>
    <col min="3611" max="3611" width="15.44140625" style="202" customWidth="1"/>
    <col min="3612" max="3845" width="9.44140625" style="202"/>
    <col min="3846" max="3847" width="0" style="202" hidden="1" customWidth="1"/>
    <col min="3848" max="3848" width="7.5546875" style="202" customWidth="1"/>
    <col min="3849" max="3849" width="52.44140625" style="202" customWidth="1"/>
    <col min="3850" max="3850" width="41.44140625" style="202" customWidth="1"/>
    <col min="3851" max="3851" width="24.5546875" style="202" customWidth="1"/>
    <col min="3852" max="3852" width="26.5546875" style="202" customWidth="1"/>
    <col min="3853" max="3853" width="35.44140625" style="202" customWidth="1"/>
    <col min="3854" max="3854" width="19.5546875" style="202" customWidth="1"/>
    <col min="3855" max="3855" width="24.44140625" style="202" customWidth="1"/>
    <col min="3856" max="3856" width="14" style="202" customWidth="1"/>
    <col min="3857" max="3857" width="69.44140625" style="202" customWidth="1"/>
    <col min="3858" max="3860" width="16.44140625" style="202" customWidth="1"/>
    <col min="3861" max="3861" width="6.44140625" style="202" customWidth="1"/>
    <col min="3862" max="3862" width="10.44140625" style="202" customWidth="1"/>
    <col min="3863" max="3864" width="0.44140625" style="202" customWidth="1"/>
    <col min="3865" max="3865" width="5.5546875" style="202" customWidth="1"/>
    <col min="3866" max="3866" width="20.5546875" style="202" customWidth="1"/>
    <col min="3867" max="3867" width="15.44140625" style="202" customWidth="1"/>
    <col min="3868" max="4101" width="9.44140625" style="202"/>
    <col min="4102" max="4103" width="0" style="202" hidden="1" customWidth="1"/>
    <col min="4104" max="4104" width="7.5546875" style="202" customWidth="1"/>
    <col min="4105" max="4105" width="52.44140625" style="202" customWidth="1"/>
    <col min="4106" max="4106" width="41.44140625" style="202" customWidth="1"/>
    <col min="4107" max="4107" width="24.5546875" style="202" customWidth="1"/>
    <col min="4108" max="4108" width="26.5546875" style="202" customWidth="1"/>
    <col min="4109" max="4109" width="35.44140625" style="202" customWidth="1"/>
    <col min="4110" max="4110" width="19.5546875" style="202" customWidth="1"/>
    <col min="4111" max="4111" width="24.44140625" style="202" customWidth="1"/>
    <col min="4112" max="4112" width="14" style="202" customWidth="1"/>
    <col min="4113" max="4113" width="69.44140625" style="202" customWidth="1"/>
    <col min="4114" max="4116" width="16.44140625" style="202" customWidth="1"/>
    <col min="4117" max="4117" width="6.44140625" style="202" customWidth="1"/>
    <col min="4118" max="4118" width="10.44140625" style="202" customWidth="1"/>
    <col min="4119" max="4120" width="0.44140625" style="202" customWidth="1"/>
    <col min="4121" max="4121" width="5.5546875" style="202" customWidth="1"/>
    <col min="4122" max="4122" width="20.5546875" style="202" customWidth="1"/>
    <col min="4123" max="4123" width="15.44140625" style="202" customWidth="1"/>
    <col min="4124" max="4357" width="9.44140625" style="202"/>
    <col min="4358" max="4359" width="0" style="202" hidden="1" customWidth="1"/>
    <col min="4360" max="4360" width="7.5546875" style="202" customWidth="1"/>
    <col min="4361" max="4361" width="52.44140625" style="202" customWidth="1"/>
    <col min="4362" max="4362" width="41.44140625" style="202" customWidth="1"/>
    <col min="4363" max="4363" width="24.5546875" style="202" customWidth="1"/>
    <col min="4364" max="4364" width="26.5546875" style="202" customWidth="1"/>
    <col min="4365" max="4365" width="35.44140625" style="202" customWidth="1"/>
    <col min="4366" max="4366" width="19.5546875" style="202" customWidth="1"/>
    <col min="4367" max="4367" width="24.44140625" style="202" customWidth="1"/>
    <col min="4368" max="4368" width="14" style="202" customWidth="1"/>
    <col min="4369" max="4369" width="69.44140625" style="202" customWidth="1"/>
    <col min="4370" max="4372" width="16.44140625" style="202" customWidth="1"/>
    <col min="4373" max="4373" width="6.44140625" style="202" customWidth="1"/>
    <col min="4374" max="4374" width="10.44140625" style="202" customWidth="1"/>
    <col min="4375" max="4376" width="0.44140625" style="202" customWidth="1"/>
    <col min="4377" max="4377" width="5.5546875" style="202" customWidth="1"/>
    <col min="4378" max="4378" width="20.5546875" style="202" customWidth="1"/>
    <col min="4379" max="4379" width="15.44140625" style="202" customWidth="1"/>
    <col min="4380" max="4613" width="9.44140625" style="202"/>
    <col min="4614" max="4615" width="0" style="202" hidden="1" customWidth="1"/>
    <col min="4616" max="4616" width="7.5546875" style="202" customWidth="1"/>
    <col min="4617" max="4617" width="52.44140625" style="202" customWidth="1"/>
    <col min="4618" max="4618" width="41.44140625" style="202" customWidth="1"/>
    <col min="4619" max="4619" width="24.5546875" style="202" customWidth="1"/>
    <col min="4620" max="4620" width="26.5546875" style="202" customWidth="1"/>
    <col min="4621" max="4621" width="35.44140625" style="202" customWidth="1"/>
    <col min="4622" max="4622" width="19.5546875" style="202" customWidth="1"/>
    <col min="4623" max="4623" width="24.44140625" style="202" customWidth="1"/>
    <col min="4624" max="4624" width="14" style="202" customWidth="1"/>
    <col min="4625" max="4625" width="69.44140625" style="202" customWidth="1"/>
    <col min="4626" max="4628" width="16.44140625" style="202" customWidth="1"/>
    <col min="4629" max="4629" width="6.44140625" style="202" customWidth="1"/>
    <col min="4630" max="4630" width="10.44140625" style="202" customWidth="1"/>
    <col min="4631" max="4632" width="0.44140625" style="202" customWidth="1"/>
    <col min="4633" max="4633" width="5.5546875" style="202" customWidth="1"/>
    <col min="4634" max="4634" width="20.5546875" style="202" customWidth="1"/>
    <col min="4635" max="4635" width="15.44140625" style="202" customWidth="1"/>
    <col min="4636" max="4869" width="9.44140625" style="202"/>
    <col min="4870" max="4871" width="0" style="202" hidden="1" customWidth="1"/>
    <col min="4872" max="4872" width="7.5546875" style="202" customWidth="1"/>
    <col min="4873" max="4873" width="52.44140625" style="202" customWidth="1"/>
    <col min="4874" max="4874" width="41.44140625" style="202" customWidth="1"/>
    <col min="4875" max="4875" width="24.5546875" style="202" customWidth="1"/>
    <col min="4876" max="4876" width="26.5546875" style="202" customWidth="1"/>
    <col min="4877" max="4877" width="35.44140625" style="202" customWidth="1"/>
    <col min="4878" max="4878" width="19.5546875" style="202" customWidth="1"/>
    <col min="4879" max="4879" width="24.44140625" style="202" customWidth="1"/>
    <col min="4880" max="4880" width="14" style="202" customWidth="1"/>
    <col min="4881" max="4881" width="69.44140625" style="202" customWidth="1"/>
    <col min="4882" max="4884" width="16.44140625" style="202" customWidth="1"/>
    <col min="4885" max="4885" width="6.44140625" style="202" customWidth="1"/>
    <col min="4886" max="4886" width="10.44140625" style="202" customWidth="1"/>
    <col min="4887" max="4888" width="0.44140625" style="202" customWidth="1"/>
    <col min="4889" max="4889" width="5.5546875" style="202" customWidth="1"/>
    <col min="4890" max="4890" width="20.5546875" style="202" customWidth="1"/>
    <col min="4891" max="4891" width="15.44140625" style="202" customWidth="1"/>
    <col min="4892" max="5125" width="9.44140625" style="202"/>
    <col min="5126" max="5127" width="0" style="202" hidden="1" customWidth="1"/>
    <col min="5128" max="5128" width="7.5546875" style="202" customWidth="1"/>
    <col min="5129" max="5129" width="52.44140625" style="202" customWidth="1"/>
    <col min="5130" max="5130" width="41.44140625" style="202" customWidth="1"/>
    <col min="5131" max="5131" width="24.5546875" style="202" customWidth="1"/>
    <col min="5132" max="5132" width="26.5546875" style="202" customWidth="1"/>
    <col min="5133" max="5133" width="35.44140625" style="202" customWidth="1"/>
    <col min="5134" max="5134" width="19.5546875" style="202" customWidth="1"/>
    <col min="5135" max="5135" width="24.44140625" style="202" customWidth="1"/>
    <col min="5136" max="5136" width="14" style="202" customWidth="1"/>
    <col min="5137" max="5137" width="69.44140625" style="202" customWidth="1"/>
    <col min="5138" max="5140" width="16.44140625" style="202" customWidth="1"/>
    <col min="5141" max="5141" width="6.44140625" style="202" customWidth="1"/>
    <col min="5142" max="5142" width="10.44140625" style="202" customWidth="1"/>
    <col min="5143" max="5144" width="0.44140625" style="202" customWidth="1"/>
    <col min="5145" max="5145" width="5.5546875" style="202" customWidth="1"/>
    <col min="5146" max="5146" width="20.5546875" style="202" customWidth="1"/>
    <col min="5147" max="5147" width="15.44140625" style="202" customWidth="1"/>
    <col min="5148" max="5381" width="9.44140625" style="202"/>
    <col min="5382" max="5383" width="0" style="202" hidden="1" customWidth="1"/>
    <col min="5384" max="5384" width="7.5546875" style="202" customWidth="1"/>
    <col min="5385" max="5385" width="52.44140625" style="202" customWidth="1"/>
    <col min="5386" max="5386" width="41.44140625" style="202" customWidth="1"/>
    <col min="5387" max="5387" width="24.5546875" style="202" customWidth="1"/>
    <col min="5388" max="5388" width="26.5546875" style="202" customWidth="1"/>
    <col min="5389" max="5389" width="35.44140625" style="202" customWidth="1"/>
    <col min="5390" max="5390" width="19.5546875" style="202" customWidth="1"/>
    <col min="5391" max="5391" width="24.44140625" style="202" customWidth="1"/>
    <col min="5392" max="5392" width="14" style="202" customWidth="1"/>
    <col min="5393" max="5393" width="69.44140625" style="202" customWidth="1"/>
    <col min="5394" max="5396" width="16.44140625" style="202" customWidth="1"/>
    <col min="5397" max="5397" width="6.44140625" style="202" customWidth="1"/>
    <col min="5398" max="5398" width="10.44140625" style="202" customWidth="1"/>
    <col min="5399" max="5400" width="0.44140625" style="202" customWidth="1"/>
    <col min="5401" max="5401" width="5.5546875" style="202" customWidth="1"/>
    <col min="5402" max="5402" width="20.5546875" style="202" customWidth="1"/>
    <col min="5403" max="5403" width="15.44140625" style="202" customWidth="1"/>
    <col min="5404" max="5637" width="9.44140625" style="202"/>
    <col min="5638" max="5639" width="0" style="202" hidden="1" customWidth="1"/>
    <col min="5640" max="5640" width="7.5546875" style="202" customWidth="1"/>
    <col min="5641" max="5641" width="52.44140625" style="202" customWidth="1"/>
    <col min="5642" max="5642" width="41.44140625" style="202" customWidth="1"/>
    <col min="5643" max="5643" width="24.5546875" style="202" customWidth="1"/>
    <col min="5644" max="5644" width="26.5546875" style="202" customWidth="1"/>
    <col min="5645" max="5645" width="35.44140625" style="202" customWidth="1"/>
    <col min="5646" max="5646" width="19.5546875" style="202" customWidth="1"/>
    <col min="5647" max="5647" width="24.44140625" style="202" customWidth="1"/>
    <col min="5648" max="5648" width="14" style="202" customWidth="1"/>
    <col min="5649" max="5649" width="69.44140625" style="202" customWidth="1"/>
    <col min="5650" max="5652" width="16.44140625" style="202" customWidth="1"/>
    <col min="5653" max="5653" width="6.44140625" style="202" customWidth="1"/>
    <col min="5654" max="5654" width="10.44140625" style="202" customWidth="1"/>
    <col min="5655" max="5656" width="0.44140625" style="202" customWidth="1"/>
    <col min="5657" max="5657" width="5.5546875" style="202" customWidth="1"/>
    <col min="5658" max="5658" width="20.5546875" style="202" customWidth="1"/>
    <col min="5659" max="5659" width="15.44140625" style="202" customWidth="1"/>
    <col min="5660" max="5893" width="9.44140625" style="202"/>
    <col min="5894" max="5895" width="0" style="202" hidden="1" customWidth="1"/>
    <col min="5896" max="5896" width="7.5546875" style="202" customWidth="1"/>
    <col min="5897" max="5897" width="52.44140625" style="202" customWidth="1"/>
    <col min="5898" max="5898" width="41.44140625" style="202" customWidth="1"/>
    <col min="5899" max="5899" width="24.5546875" style="202" customWidth="1"/>
    <col min="5900" max="5900" width="26.5546875" style="202" customWidth="1"/>
    <col min="5901" max="5901" width="35.44140625" style="202" customWidth="1"/>
    <col min="5902" max="5902" width="19.5546875" style="202" customWidth="1"/>
    <col min="5903" max="5903" width="24.44140625" style="202" customWidth="1"/>
    <col min="5904" max="5904" width="14" style="202" customWidth="1"/>
    <col min="5905" max="5905" width="69.44140625" style="202" customWidth="1"/>
    <col min="5906" max="5908" width="16.44140625" style="202" customWidth="1"/>
    <col min="5909" max="5909" width="6.44140625" style="202" customWidth="1"/>
    <col min="5910" max="5910" width="10.44140625" style="202" customWidth="1"/>
    <col min="5911" max="5912" width="0.44140625" style="202" customWidth="1"/>
    <col min="5913" max="5913" width="5.5546875" style="202" customWidth="1"/>
    <col min="5914" max="5914" width="20.5546875" style="202" customWidth="1"/>
    <col min="5915" max="5915" width="15.44140625" style="202" customWidth="1"/>
    <col min="5916" max="6149" width="9.44140625" style="202"/>
    <col min="6150" max="6151" width="0" style="202" hidden="1" customWidth="1"/>
    <col min="6152" max="6152" width="7.5546875" style="202" customWidth="1"/>
    <col min="6153" max="6153" width="52.44140625" style="202" customWidth="1"/>
    <col min="6154" max="6154" width="41.44140625" style="202" customWidth="1"/>
    <col min="6155" max="6155" width="24.5546875" style="202" customWidth="1"/>
    <col min="6156" max="6156" width="26.5546875" style="202" customWidth="1"/>
    <col min="6157" max="6157" width="35.44140625" style="202" customWidth="1"/>
    <col min="6158" max="6158" width="19.5546875" style="202" customWidth="1"/>
    <col min="6159" max="6159" width="24.44140625" style="202" customWidth="1"/>
    <col min="6160" max="6160" width="14" style="202" customWidth="1"/>
    <col min="6161" max="6161" width="69.44140625" style="202" customWidth="1"/>
    <col min="6162" max="6164" width="16.44140625" style="202" customWidth="1"/>
    <col min="6165" max="6165" width="6.44140625" style="202" customWidth="1"/>
    <col min="6166" max="6166" width="10.44140625" style="202" customWidth="1"/>
    <col min="6167" max="6168" width="0.44140625" style="202" customWidth="1"/>
    <col min="6169" max="6169" width="5.5546875" style="202" customWidth="1"/>
    <col min="6170" max="6170" width="20.5546875" style="202" customWidth="1"/>
    <col min="6171" max="6171" width="15.44140625" style="202" customWidth="1"/>
    <col min="6172" max="6405" width="9.44140625" style="202"/>
    <col min="6406" max="6407" width="0" style="202" hidden="1" customWidth="1"/>
    <col min="6408" max="6408" width="7.5546875" style="202" customWidth="1"/>
    <col min="6409" max="6409" width="52.44140625" style="202" customWidth="1"/>
    <col min="6410" max="6410" width="41.44140625" style="202" customWidth="1"/>
    <col min="6411" max="6411" width="24.5546875" style="202" customWidth="1"/>
    <col min="6412" max="6412" width="26.5546875" style="202" customWidth="1"/>
    <col min="6413" max="6413" width="35.44140625" style="202" customWidth="1"/>
    <col min="6414" max="6414" width="19.5546875" style="202" customWidth="1"/>
    <col min="6415" max="6415" width="24.44140625" style="202" customWidth="1"/>
    <col min="6416" max="6416" width="14" style="202" customWidth="1"/>
    <col min="6417" max="6417" width="69.44140625" style="202" customWidth="1"/>
    <col min="6418" max="6420" width="16.44140625" style="202" customWidth="1"/>
    <col min="6421" max="6421" width="6.44140625" style="202" customWidth="1"/>
    <col min="6422" max="6422" width="10.44140625" style="202" customWidth="1"/>
    <col min="6423" max="6424" width="0.44140625" style="202" customWidth="1"/>
    <col min="6425" max="6425" width="5.5546875" style="202" customWidth="1"/>
    <col min="6426" max="6426" width="20.5546875" style="202" customWidth="1"/>
    <col min="6427" max="6427" width="15.44140625" style="202" customWidth="1"/>
    <col min="6428" max="6661" width="9.44140625" style="202"/>
    <col min="6662" max="6663" width="0" style="202" hidden="1" customWidth="1"/>
    <col min="6664" max="6664" width="7.5546875" style="202" customWidth="1"/>
    <col min="6665" max="6665" width="52.44140625" style="202" customWidth="1"/>
    <col min="6666" max="6666" width="41.44140625" style="202" customWidth="1"/>
    <col min="6667" max="6667" width="24.5546875" style="202" customWidth="1"/>
    <col min="6668" max="6668" width="26.5546875" style="202" customWidth="1"/>
    <col min="6669" max="6669" width="35.44140625" style="202" customWidth="1"/>
    <col min="6670" max="6670" width="19.5546875" style="202" customWidth="1"/>
    <col min="6671" max="6671" width="24.44140625" style="202" customWidth="1"/>
    <col min="6672" max="6672" width="14" style="202" customWidth="1"/>
    <col min="6673" max="6673" width="69.44140625" style="202" customWidth="1"/>
    <col min="6674" max="6676" width="16.44140625" style="202" customWidth="1"/>
    <col min="6677" max="6677" width="6.44140625" style="202" customWidth="1"/>
    <col min="6678" max="6678" width="10.44140625" style="202" customWidth="1"/>
    <col min="6679" max="6680" width="0.44140625" style="202" customWidth="1"/>
    <col min="6681" max="6681" width="5.5546875" style="202" customWidth="1"/>
    <col min="6682" max="6682" width="20.5546875" style="202" customWidth="1"/>
    <col min="6683" max="6683" width="15.44140625" style="202" customWidth="1"/>
    <col min="6684" max="6917" width="9.44140625" style="202"/>
    <col min="6918" max="6919" width="0" style="202" hidden="1" customWidth="1"/>
    <col min="6920" max="6920" width="7.5546875" style="202" customWidth="1"/>
    <col min="6921" max="6921" width="52.44140625" style="202" customWidth="1"/>
    <col min="6922" max="6922" width="41.44140625" style="202" customWidth="1"/>
    <col min="6923" max="6923" width="24.5546875" style="202" customWidth="1"/>
    <col min="6924" max="6924" width="26.5546875" style="202" customWidth="1"/>
    <col min="6925" max="6925" width="35.44140625" style="202" customWidth="1"/>
    <col min="6926" max="6926" width="19.5546875" style="202" customWidth="1"/>
    <col min="6927" max="6927" width="24.44140625" style="202" customWidth="1"/>
    <col min="6928" max="6928" width="14" style="202" customWidth="1"/>
    <col min="6929" max="6929" width="69.44140625" style="202" customWidth="1"/>
    <col min="6930" max="6932" width="16.44140625" style="202" customWidth="1"/>
    <col min="6933" max="6933" width="6.44140625" style="202" customWidth="1"/>
    <col min="6934" max="6934" width="10.44140625" style="202" customWidth="1"/>
    <col min="6935" max="6936" width="0.44140625" style="202" customWidth="1"/>
    <col min="6937" max="6937" width="5.5546875" style="202" customWidth="1"/>
    <col min="6938" max="6938" width="20.5546875" style="202" customWidth="1"/>
    <col min="6939" max="6939" width="15.44140625" style="202" customWidth="1"/>
    <col min="6940" max="7173" width="9.44140625" style="202"/>
    <col min="7174" max="7175" width="0" style="202" hidden="1" customWidth="1"/>
    <col min="7176" max="7176" width="7.5546875" style="202" customWidth="1"/>
    <col min="7177" max="7177" width="52.44140625" style="202" customWidth="1"/>
    <col min="7178" max="7178" width="41.44140625" style="202" customWidth="1"/>
    <col min="7179" max="7179" width="24.5546875" style="202" customWidth="1"/>
    <col min="7180" max="7180" width="26.5546875" style="202" customWidth="1"/>
    <col min="7181" max="7181" width="35.44140625" style="202" customWidth="1"/>
    <col min="7182" max="7182" width="19.5546875" style="202" customWidth="1"/>
    <col min="7183" max="7183" width="24.44140625" style="202" customWidth="1"/>
    <col min="7184" max="7184" width="14" style="202" customWidth="1"/>
    <col min="7185" max="7185" width="69.44140625" style="202" customWidth="1"/>
    <col min="7186" max="7188" width="16.44140625" style="202" customWidth="1"/>
    <col min="7189" max="7189" width="6.44140625" style="202" customWidth="1"/>
    <col min="7190" max="7190" width="10.44140625" style="202" customWidth="1"/>
    <col min="7191" max="7192" width="0.44140625" style="202" customWidth="1"/>
    <col min="7193" max="7193" width="5.5546875" style="202" customWidth="1"/>
    <col min="7194" max="7194" width="20.5546875" style="202" customWidth="1"/>
    <col min="7195" max="7195" width="15.44140625" style="202" customWidth="1"/>
    <col min="7196" max="7429" width="9.44140625" style="202"/>
    <col min="7430" max="7431" width="0" style="202" hidden="1" customWidth="1"/>
    <col min="7432" max="7432" width="7.5546875" style="202" customWidth="1"/>
    <col min="7433" max="7433" width="52.44140625" style="202" customWidth="1"/>
    <col min="7434" max="7434" width="41.44140625" style="202" customWidth="1"/>
    <col min="7435" max="7435" width="24.5546875" style="202" customWidth="1"/>
    <col min="7436" max="7436" width="26.5546875" style="202" customWidth="1"/>
    <col min="7437" max="7437" width="35.44140625" style="202" customWidth="1"/>
    <col min="7438" max="7438" width="19.5546875" style="202" customWidth="1"/>
    <col min="7439" max="7439" width="24.44140625" style="202" customWidth="1"/>
    <col min="7440" max="7440" width="14" style="202" customWidth="1"/>
    <col min="7441" max="7441" width="69.44140625" style="202" customWidth="1"/>
    <col min="7442" max="7444" width="16.44140625" style="202" customWidth="1"/>
    <col min="7445" max="7445" width="6.44140625" style="202" customWidth="1"/>
    <col min="7446" max="7446" width="10.44140625" style="202" customWidth="1"/>
    <col min="7447" max="7448" width="0.44140625" style="202" customWidth="1"/>
    <col min="7449" max="7449" width="5.5546875" style="202" customWidth="1"/>
    <col min="7450" max="7450" width="20.5546875" style="202" customWidth="1"/>
    <col min="7451" max="7451" width="15.44140625" style="202" customWidth="1"/>
    <col min="7452" max="7685" width="9.44140625" style="202"/>
    <col min="7686" max="7687" width="0" style="202" hidden="1" customWidth="1"/>
    <col min="7688" max="7688" width="7.5546875" style="202" customWidth="1"/>
    <col min="7689" max="7689" width="52.44140625" style="202" customWidth="1"/>
    <col min="7690" max="7690" width="41.44140625" style="202" customWidth="1"/>
    <col min="7691" max="7691" width="24.5546875" style="202" customWidth="1"/>
    <col min="7692" max="7692" width="26.5546875" style="202" customWidth="1"/>
    <col min="7693" max="7693" width="35.44140625" style="202" customWidth="1"/>
    <col min="7694" max="7694" width="19.5546875" style="202" customWidth="1"/>
    <col min="7695" max="7695" width="24.44140625" style="202" customWidth="1"/>
    <col min="7696" max="7696" width="14" style="202" customWidth="1"/>
    <col min="7697" max="7697" width="69.44140625" style="202" customWidth="1"/>
    <col min="7698" max="7700" width="16.44140625" style="202" customWidth="1"/>
    <col min="7701" max="7701" width="6.44140625" style="202" customWidth="1"/>
    <col min="7702" max="7702" width="10.44140625" style="202" customWidth="1"/>
    <col min="7703" max="7704" width="0.44140625" style="202" customWidth="1"/>
    <col min="7705" max="7705" width="5.5546875" style="202" customWidth="1"/>
    <col min="7706" max="7706" width="20.5546875" style="202" customWidth="1"/>
    <col min="7707" max="7707" width="15.44140625" style="202" customWidth="1"/>
    <col min="7708" max="7941" width="9.44140625" style="202"/>
    <col min="7942" max="7943" width="0" style="202" hidden="1" customWidth="1"/>
    <col min="7944" max="7944" width="7.5546875" style="202" customWidth="1"/>
    <col min="7945" max="7945" width="52.44140625" style="202" customWidth="1"/>
    <col min="7946" max="7946" width="41.44140625" style="202" customWidth="1"/>
    <col min="7947" max="7947" width="24.5546875" style="202" customWidth="1"/>
    <col min="7948" max="7948" width="26.5546875" style="202" customWidth="1"/>
    <col min="7949" max="7949" width="35.44140625" style="202" customWidth="1"/>
    <col min="7950" max="7950" width="19.5546875" style="202" customWidth="1"/>
    <col min="7951" max="7951" width="24.44140625" style="202" customWidth="1"/>
    <col min="7952" max="7952" width="14" style="202" customWidth="1"/>
    <col min="7953" max="7953" width="69.44140625" style="202" customWidth="1"/>
    <col min="7954" max="7956" width="16.44140625" style="202" customWidth="1"/>
    <col min="7957" max="7957" width="6.44140625" style="202" customWidth="1"/>
    <col min="7958" max="7958" width="10.44140625" style="202" customWidth="1"/>
    <col min="7959" max="7960" width="0.44140625" style="202" customWidth="1"/>
    <col min="7961" max="7961" width="5.5546875" style="202" customWidth="1"/>
    <col min="7962" max="7962" width="20.5546875" style="202" customWidth="1"/>
    <col min="7963" max="7963" width="15.44140625" style="202" customWidth="1"/>
    <col min="7964" max="8197" width="9.44140625" style="202"/>
    <col min="8198" max="8199" width="0" style="202" hidden="1" customWidth="1"/>
    <col min="8200" max="8200" width="7.5546875" style="202" customWidth="1"/>
    <col min="8201" max="8201" width="52.44140625" style="202" customWidth="1"/>
    <col min="8202" max="8202" width="41.44140625" style="202" customWidth="1"/>
    <col min="8203" max="8203" width="24.5546875" style="202" customWidth="1"/>
    <col min="8204" max="8204" width="26.5546875" style="202" customWidth="1"/>
    <col min="8205" max="8205" width="35.44140625" style="202" customWidth="1"/>
    <col min="8206" max="8206" width="19.5546875" style="202" customWidth="1"/>
    <col min="8207" max="8207" width="24.44140625" style="202" customWidth="1"/>
    <col min="8208" max="8208" width="14" style="202" customWidth="1"/>
    <col min="8209" max="8209" width="69.44140625" style="202" customWidth="1"/>
    <col min="8210" max="8212" width="16.44140625" style="202" customWidth="1"/>
    <col min="8213" max="8213" width="6.44140625" style="202" customWidth="1"/>
    <col min="8214" max="8214" width="10.44140625" style="202" customWidth="1"/>
    <col min="8215" max="8216" width="0.44140625" style="202" customWidth="1"/>
    <col min="8217" max="8217" width="5.5546875" style="202" customWidth="1"/>
    <col min="8218" max="8218" width="20.5546875" style="202" customWidth="1"/>
    <col min="8219" max="8219" width="15.44140625" style="202" customWidth="1"/>
    <col min="8220" max="8453" width="9.44140625" style="202"/>
    <col min="8454" max="8455" width="0" style="202" hidden="1" customWidth="1"/>
    <col min="8456" max="8456" width="7.5546875" style="202" customWidth="1"/>
    <col min="8457" max="8457" width="52.44140625" style="202" customWidth="1"/>
    <col min="8458" max="8458" width="41.44140625" style="202" customWidth="1"/>
    <col min="8459" max="8459" width="24.5546875" style="202" customWidth="1"/>
    <col min="8460" max="8460" width="26.5546875" style="202" customWidth="1"/>
    <col min="8461" max="8461" width="35.44140625" style="202" customWidth="1"/>
    <col min="8462" max="8462" width="19.5546875" style="202" customWidth="1"/>
    <col min="8463" max="8463" width="24.44140625" style="202" customWidth="1"/>
    <col min="8464" max="8464" width="14" style="202" customWidth="1"/>
    <col min="8465" max="8465" width="69.44140625" style="202" customWidth="1"/>
    <col min="8466" max="8468" width="16.44140625" style="202" customWidth="1"/>
    <col min="8469" max="8469" width="6.44140625" style="202" customWidth="1"/>
    <col min="8470" max="8470" width="10.44140625" style="202" customWidth="1"/>
    <col min="8471" max="8472" width="0.44140625" style="202" customWidth="1"/>
    <col min="8473" max="8473" width="5.5546875" style="202" customWidth="1"/>
    <col min="8474" max="8474" width="20.5546875" style="202" customWidth="1"/>
    <col min="8475" max="8475" width="15.44140625" style="202" customWidth="1"/>
    <col min="8476" max="8709" width="9.44140625" style="202"/>
    <col min="8710" max="8711" width="0" style="202" hidden="1" customWidth="1"/>
    <col min="8712" max="8712" width="7.5546875" style="202" customWidth="1"/>
    <col min="8713" max="8713" width="52.44140625" style="202" customWidth="1"/>
    <col min="8714" max="8714" width="41.44140625" style="202" customWidth="1"/>
    <col min="8715" max="8715" width="24.5546875" style="202" customWidth="1"/>
    <col min="8716" max="8716" width="26.5546875" style="202" customWidth="1"/>
    <col min="8717" max="8717" width="35.44140625" style="202" customWidth="1"/>
    <col min="8718" max="8718" width="19.5546875" style="202" customWidth="1"/>
    <col min="8719" max="8719" width="24.44140625" style="202" customWidth="1"/>
    <col min="8720" max="8720" width="14" style="202" customWidth="1"/>
    <col min="8721" max="8721" width="69.44140625" style="202" customWidth="1"/>
    <col min="8722" max="8724" width="16.44140625" style="202" customWidth="1"/>
    <col min="8725" max="8725" width="6.44140625" style="202" customWidth="1"/>
    <col min="8726" max="8726" width="10.44140625" style="202" customWidth="1"/>
    <col min="8727" max="8728" width="0.44140625" style="202" customWidth="1"/>
    <col min="8729" max="8729" width="5.5546875" style="202" customWidth="1"/>
    <col min="8730" max="8730" width="20.5546875" style="202" customWidth="1"/>
    <col min="8731" max="8731" width="15.44140625" style="202" customWidth="1"/>
    <col min="8732" max="8965" width="9.44140625" style="202"/>
    <col min="8966" max="8967" width="0" style="202" hidden="1" customWidth="1"/>
    <col min="8968" max="8968" width="7.5546875" style="202" customWidth="1"/>
    <col min="8969" max="8969" width="52.44140625" style="202" customWidth="1"/>
    <col min="8970" max="8970" width="41.44140625" style="202" customWidth="1"/>
    <col min="8971" max="8971" width="24.5546875" style="202" customWidth="1"/>
    <col min="8972" max="8972" width="26.5546875" style="202" customWidth="1"/>
    <col min="8973" max="8973" width="35.44140625" style="202" customWidth="1"/>
    <col min="8974" max="8974" width="19.5546875" style="202" customWidth="1"/>
    <col min="8975" max="8975" width="24.44140625" style="202" customWidth="1"/>
    <col min="8976" max="8976" width="14" style="202" customWidth="1"/>
    <col min="8977" max="8977" width="69.44140625" style="202" customWidth="1"/>
    <col min="8978" max="8980" width="16.44140625" style="202" customWidth="1"/>
    <col min="8981" max="8981" width="6.44140625" style="202" customWidth="1"/>
    <col min="8982" max="8982" width="10.44140625" style="202" customWidth="1"/>
    <col min="8983" max="8984" width="0.44140625" style="202" customWidth="1"/>
    <col min="8985" max="8985" width="5.5546875" style="202" customWidth="1"/>
    <col min="8986" max="8986" width="20.5546875" style="202" customWidth="1"/>
    <col min="8987" max="8987" width="15.44140625" style="202" customWidth="1"/>
    <col min="8988" max="9221" width="9.44140625" style="202"/>
    <col min="9222" max="9223" width="0" style="202" hidden="1" customWidth="1"/>
    <col min="9224" max="9224" width="7.5546875" style="202" customWidth="1"/>
    <col min="9225" max="9225" width="52.44140625" style="202" customWidth="1"/>
    <col min="9226" max="9226" width="41.44140625" style="202" customWidth="1"/>
    <col min="9227" max="9227" width="24.5546875" style="202" customWidth="1"/>
    <col min="9228" max="9228" width="26.5546875" style="202" customWidth="1"/>
    <col min="9229" max="9229" width="35.44140625" style="202" customWidth="1"/>
    <col min="9230" max="9230" width="19.5546875" style="202" customWidth="1"/>
    <col min="9231" max="9231" width="24.44140625" style="202" customWidth="1"/>
    <col min="9232" max="9232" width="14" style="202" customWidth="1"/>
    <col min="9233" max="9233" width="69.44140625" style="202" customWidth="1"/>
    <col min="9234" max="9236" width="16.44140625" style="202" customWidth="1"/>
    <col min="9237" max="9237" width="6.44140625" style="202" customWidth="1"/>
    <col min="9238" max="9238" width="10.44140625" style="202" customWidth="1"/>
    <col min="9239" max="9240" width="0.44140625" style="202" customWidth="1"/>
    <col min="9241" max="9241" width="5.5546875" style="202" customWidth="1"/>
    <col min="9242" max="9242" width="20.5546875" style="202" customWidth="1"/>
    <col min="9243" max="9243" width="15.44140625" style="202" customWidth="1"/>
    <col min="9244" max="9477" width="9.44140625" style="202"/>
    <col min="9478" max="9479" width="0" style="202" hidden="1" customWidth="1"/>
    <col min="9480" max="9480" width="7.5546875" style="202" customWidth="1"/>
    <col min="9481" max="9481" width="52.44140625" style="202" customWidth="1"/>
    <col min="9482" max="9482" width="41.44140625" style="202" customWidth="1"/>
    <col min="9483" max="9483" width="24.5546875" style="202" customWidth="1"/>
    <col min="9484" max="9484" width="26.5546875" style="202" customWidth="1"/>
    <col min="9485" max="9485" width="35.44140625" style="202" customWidth="1"/>
    <col min="9486" max="9486" width="19.5546875" style="202" customWidth="1"/>
    <col min="9487" max="9487" width="24.44140625" style="202" customWidth="1"/>
    <col min="9488" max="9488" width="14" style="202" customWidth="1"/>
    <col min="9489" max="9489" width="69.44140625" style="202" customWidth="1"/>
    <col min="9490" max="9492" width="16.44140625" style="202" customWidth="1"/>
    <col min="9493" max="9493" width="6.44140625" style="202" customWidth="1"/>
    <col min="9494" max="9494" width="10.44140625" style="202" customWidth="1"/>
    <col min="9495" max="9496" width="0.44140625" style="202" customWidth="1"/>
    <col min="9497" max="9497" width="5.5546875" style="202" customWidth="1"/>
    <col min="9498" max="9498" width="20.5546875" style="202" customWidth="1"/>
    <col min="9499" max="9499" width="15.44140625" style="202" customWidth="1"/>
    <col min="9500" max="9733" width="9.44140625" style="202"/>
    <col min="9734" max="9735" width="0" style="202" hidden="1" customWidth="1"/>
    <col min="9736" max="9736" width="7.5546875" style="202" customWidth="1"/>
    <col min="9737" max="9737" width="52.44140625" style="202" customWidth="1"/>
    <col min="9738" max="9738" width="41.44140625" style="202" customWidth="1"/>
    <col min="9739" max="9739" width="24.5546875" style="202" customWidth="1"/>
    <col min="9740" max="9740" width="26.5546875" style="202" customWidth="1"/>
    <col min="9741" max="9741" width="35.44140625" style="202" customWidth="1"/>
    <col min="9742" max="9742" width="19.5546875" style="202" customWidth="1"/>
    <col min="9743" max="9743" width="24.44140625" style="202" customWidth="1"/>
    <col min="9744" max="9744" width="14" style="202" customWidth="1"/>
    <col min="9745" max="9745" width="69.44140625" style="202" customWidth="1"/>
    <col min="9746" max="9748" width="16.44140625" style="202" customWidth="1"/>
    <col min="9749" max="9749" width="6.44140625" style="202" customWidth="1"/>
    <col min="9750" max="9750" width="10.44140625" style="202" customWidth="1"/>
    <col min="9751" max="9752" width="0.44140625" style="202" customWidth="1"/>
    <col min="9753" max="9753" width="5.5546875" style="202" customWidth="1"/>
    <col min="9754" max="9754" width="20.5546875" style="202" customWidth="1"/>
    <col min="9755" max="9755" width="15.44140625" style="202" customWidth="1"/>
    <col min="9756" max="9989" width="9.44140625" style="202"/>
    <col min="9990" max="9991" width="0" style="202" hidden="1" customWidth="1"/>
    <col min="9992" max="9992" width="7.5546875" style="202" customWidth="1"/>
    <col min="9993" max="9993" width="52.44140625" style="202" customWidth="1"/>
    <col min="9994" max="9994" width="41.44140625" style="202" customWidth="1"/>
    <col min="9995" max="9995" width="24.5546875" style="202" customWidth="1"/>
    <col min="9996" max="9996" width="26.5546875" style="202" customWidth="1"/>
    <col min="9997" max="9997" width="35.44140625" style="202" customWidth="1"/>
    <col min="9998" max="9998" width="19.5546875" style="202" customWidth="1"/>
    <col min="9999" max="9999" width="24.44140625" style="202" customWidth="1"/>
    <col min="10000" max="10000" width="14" style="202" customWidth="1"/>
    <col min="10001" max="10001" width="69.44140625" style="202" customWidth="1"/>
    <col min="10002" max="10004" width="16.44140625" style="202" customWidth="1"/>
    <col min="10005" max="10005" width="6.44140625" style="202" customWidth="1"/>
    <col min="10006" max="10006" width="10.44140625" style="202" customWidth="1"/>
    <col min="10007" max="10008" width="0.44140625" style="202" customWidth="1"/>
    <col min="10009" max="10009" width="5.5546875" style="202" customWidth="1"/>
    <col min="10010" max="10010" width="20.5546875" style="202" customWidth="1"/>
    <col min="10011" max="10011" width="15.44140625" style="202" customWidth="1"/>
    <col min="10012" max="10245" width="9.44140625" style="202"/>
    <col min="10246" max="10247" width="0" style="202" hidden="1" customWidth="1"/>
    <col min="10248" max="10248" width="7.5546875" style="202" customWidth="1"/>
    <col min="10249" max="10249" width="52.44140625" style="202" customWidth="1"/>
    <col min="10250" max="10250" width="41.44140625" style="202" customWidth="1"/>
    <col min="10251" max="10251" width="24.5546875" style="202" customWidth="1"/>
    <col min="10252" max="10252" width="26.5546875" style="202" customWidth="1"/>
    <col min="10253" max="10253" width="35.44140625" style="202" customWidth="1"/>
    <col min="10254" max="10254" width="19.5546875" style="202" customWidth="1"/>
    <col min="10255" max="10255" width="24.44140625" style="202" customWidth="1"/>
    <col min="10256" max="10256" width="14" style="202" customWidth="1"/>
    <col min="10257" max="10257" width="69.44140625" style="202" customWidth="1"/>
    <col min="10258" max="10260" width="16.44140625" style="202" customWidth="1"/>
    <col min="10261" max="10261" width="6.44140625" style="202" customWidth="1"/>
    <col min="10262" max="10262" width="10.44140625" style="202" customWidth="1"/>
    <col min="10263" max="10264" width="0.44140625" style="202" customWidth="1"/>
    <col min="10265" max="10265" width="5.5546875" style="202" customWidth="1"/>
    <col min="10266" max="10266" width="20.5546875" style="202" customWidth="1"/>
    <col min="10267" max="10267" width="15.44140625" style="202" customWidth="1"/>
    <col min="10268" max="10501" width="9.44140625" style="202"/>
    <col min="10502" max="10503" width="0" style="202" hidden="1" customWidth="1"/>
    <col min="10504" max="10504" width="7.5546875" style="202" customWidth="1"/>
    <col min="10505" max="10505" width="52.44140625" style="202" customWidth="1"/>
    <col min="10506" max="10506" width="41.44140625" style="202" customWidth="1"/>
    <col min="10507" max="10507" width="24.5546875" style="202" customWidth="1"/>
    <col min="10508" max="10508" width="26.5546875" style="202" customWidth="1"/>
    <col min="10509" max="10509" width="35.44140625" style="202" customWidth="1"/>
    <col min="10510" max="10510" width="19.5546875" style="202" customWidth="1"/>
    <col min="10511" max="10511" width="24.44140625" style="202" customWidth="1"/>
    <col min="10512" max="10512" width="14" style="202" customWidth="1"/>
    <col min="10513" max="10513" width="69.44140625" style="202" customWidth="1"/>
    <col min="10514" max="10516" width="16.44140625" style="202" customWidth="1"/>
    <col min="10517" max="10517" width="6.44140625" style="202" customWidth="1"/>
    <col min="10518" max="10518" width="10.44140625" style="202" customWidth="1"/>
    <col min="10519" max="10520" width="0.44140625" style="202" customWidth="1"/>
    <col min="10521" max="10521" width="5.5546875" style="202" customWidth="1"/>
    <col min="10522" max="10522" width="20.5546875" style="202" customWidth="1"/>
    <col min="10523" max="10523" width="15.44140625" style="202" customWidth="1"/>
    <col min="10524" max="10757" width="9.44140625" style="202"/>
    <col min="10758" max="10759" width="0" style="202" hidden="1" customWidth="1"/>
    <col min="10760" max="10760" width="7.5546875" style="202" customWidth="1"/>
    <col min="10761" max="10761" width="52.44140625" style="202" customWidth="1"/>
    <col min="10762" max="10762" width="41.44140625" style="202" customWidth="1"/>
    <col min="10763" max="10763" width="24.5546875" style="202" customWidth="1"/>
    <col min="10764" max="10764" width="26.5546875" style="202" customWidth="1"/>
    <col min="10765" max="10765" width="35.44140625" style="202" customWidth="1"/>
    <col min="10766" max="10766" width="19.5546875" style="202" customWidth="1"/>
    <col min="10767" max="10767" width="24.44140625" style="202" customWidth="1"/>
    <col min="10768" max="10768" width="14" style="202" customWidth="1"/>
    <col min="10769" max="10769" width="69.44140625" style="202" customWidth="1"/>
    <col min="10770" max="10772" width="16.44140625" style="202" customWidth="1"/>
    <col min="10773" max="10773" width="6.44140625" style="202" customWidth="1"/>
    <col min="10774" max="10774" width="10.44140625" style="202" customWidth="1"/>
    <col min="10775" max="10776" width="0.44140625" style="202" customWidth="1"/>
    <col min="10777" max="10777" width="5.5546875" style="202" customWidth="1"/>
    <col min="10778" max="10778" width="20.5546875" style="202" customWidth="1"/>
    <col min="10779" max="10779" width="15.44140625" style="202" customWidth="1"/>
    <col min="10780" max="11013" width="9.44140625" style="202"/>
    <col min="11014" max="11015" width="0" style="202" hidden="1" customWidth="1"/>
    <col min="11016" max="11016" width="7.5546875" style="202" customWidth="1"/>
    <col min="11017" max="11017" width="52.44140625" style="202" customWidth="1"/>
    <col min="11018" max="11018" width="41.44140625" style="202" customWidth="1"/>
    <col min="11019" max="11019" width="24.5546875" style="202" customWidth="1"/>
    <col min="11020" max="11020" width="26.5546875" style="202" customWidth="1"/>
    <col min="11021" max="11021" width="35.44140625" style="202" customWidth="1"/>
    <col min="11022" max="11022" width="19.5546875" style="202" customWidth="1"/>
    <col min="11023" max="11023" width="24.44140625" style="202" customWidth="1"/>
    <col min="11024" max="11024" width="14" style="202" customWidth="1"/>
    <col min="11025" max="11025" width="69.44140625" style="202" customWidth="1"/>
    <col min="11026" max="11028" width="16.44140625" style="202" customWidth="1"/>
    <col min="11029" max="11029" width="6.44140625" style="202" customWidth="1"/>
    <col min="11030" max="11030" width="10.44140625" style="202" customWidth="1"/>
    <col min="11031" max="11032" width="0.44140625" style="202" customWidth="1"/>
    <col min="11033" max="11033" width="5.5546875" style="202" customWidth="1"/>
    <col min="11034" max="11034" width="20.5546875" style="202" customWidth="1"/>
    <col min="11035" max="11035" width="15.44140625" style="202" customWidth="1"/>
    <col min="11036" max="11269" width="9.44140625" style="202"/>
    <col min="11270" max="11271" width="0" style="202" hidden="1" customWidth="1"/>
    <col min="11272" max="11272" width="7.5546875" style="202" customWidth="1"/>
    <col min="11273" max="11273" width="52.44140625" style="202" customWidth="1"/>
    <col min="11274" max="11274" width="41.44140625" style="202" customWidth="1"/>
    <col min="11275" max="11275" width="24.5546875" style="202" customWidth="1"/>
    <col min="11276" max="11276" width="26.5546875" style="202" customWidth="1"/>
    <col min="11277" max="11277" width="35.44140625" style="202" customWidth="1"/>
    <col min="11278" max="11278" width="19.5546875" style="202" customWidth="1"/>
    <col min="11279" max="11279" width="24.44140625" style="202" customWidth="1"/>
    <col min="11280" max="11280" width="14" style="202" customWidth="1"/>
    <col min="11281" max="11281" width="69.44140625" style="202" customWidth="1"/>
    <col min="11282" max="11284" width="16.44140625" style="202" customWidth="1"/>
    <col min="11285" max="11285" width="6.44140625" style="202" customWidth="1"/>
    <col min="11286" max="11286" width="10.44140625" style="202" customWidth="1"/>
    <col min="11287" max="11288" width="0.44140625" style="202" customWidth="1"/>
    <col min="11289" max="11289" width="5.5546875" style="202" customWidth="1"/>
    <col min="11290" max="11290" width="20.5546875" style="202" customWidth="1"/>
    <col min="11291" max="11291" width="15.44140625" style="202" customWidth="1"/>
    <col min="11292" max="11525" width="9.44140625" style="202"/>
    <col min="11526" max="11527" width="0" style="202" hidden="1" customWidth="1"/>
    <col min="11528" max="11528" width="7.5546875" style="202" customWidth="1"/>
    <col min="11529" max="11529" width="52.44140625" style="202" customWidth="1"/>
    <col min="11530" max="11530" width="41.44140625" style="202" customWidth="1"/>
    <col min="11531" max="11531" width="24.5546875" style="202" customWidth="1"/>
    <col min="11532" max="11532" width="26.5546875" style="202" customWidth="1"/>
    <col min="11533" max="11533" width="35.44140625" style="202" customWidth="1"/>
    <col min="11534" max="11534" width="19.5546875" style="202" customWidth="1"/>
    <col min="11535" max="11535" width="24.44140625" style="202" customWidth="1"/>
    <col min="11536" max="11536" width="14" style="202" customWidth="1"/>
    <col min="11537" max="11537" width="69.44140625" style="202" customWidth="1"/>
    <col min="11538" max="11540" width="16.44140625" style="202" customWidth="1"/>
    <col min="11541" max="11541" width="6.44140625" style="202" customWidth="1"/>
    <col min="11542" max="11542" width="10.44140625" style="202" customWidth="1"/>
    <col min="11543" max="11544" width="0.44140625" style="202" customWidth="1"/>
    <col min="11545" max="11545" width="5.5546875" style="202" customWidth="1"/>
    <col min="11546" max="11546" width="20.5546875" style="202" customWidth="1"/>
    <col min="11547" max="11547" width="15.44140625" style="202" customWidth="1"/>
    <col min="11548" max="11781" width="9.44140625" style="202"/>
    <col min="11782" max="11783" width="0" style="202" hidden="1" customWidth="1"/>
    <col min="11784" max="11784" width="7.5546875" style="202" customWidth="1"/>
    <col min="11785" max="11785" width="52.44140625" style="202" customWidth="1"/>
    <col min="11786" max="11786" width="41.44140625" style="202" customWidth="1"/>
    <col min="11787" max="11787" width="24.5546875" style="202" customWidth="1"/>
    <col min="11788" max="11788" width="26.5546875" style="202" customWidth="1"/>
    <col min="11789" max="11789" width="35.44140625" style="202" customWidth="1"/>
    <col min="11790" max="11790" width="19.5546875" style="202" customWidth="1"/>
    <col min="11791" max="11791" width="24.44140625" style="202" customWidth="1"/>
    <col min="11792" max="11792" width="14" style="202" customWidth="1"/>
    <col min="11793" max="11793" width="69.44140625" style="202" customWidth="1"/>
    <col min="11794" max="11796" width="16.44140625" style="202" customWidth="1"/>
    <col min="11797" max="11797" width="6.44140625" style="202" customWidth="1"/>
    <col min="11798" max="11798" width="10.44140625" style="202" customWidth="1"/>
    <col min="11799" max="11800" width="0.44140625" style="202" customWidth="1"/>
    <col min="11801" max="11801" width="5.5546875" style="202" customWidth="1"/>
    <col min="11802" max="11802" width="20.5546875" style="202" customWidth="1"/>
    <col min="11803" max="11803" width="15.44140625" style="202" customWidth="1"/>
    <col min="11804" max="12037" width="9.44140625" style="202"/>
    <col min="12038" max="12039" width="0" style="202" hidden="1" customWidth="1"/>
    <col min="12040" max="12040" width="7.5546875" style="202" customWidth="1"/>
    <col min="12041" max="12041" width="52.44140625" style="202" customWidth="1"/>
    <col min="12042" max="12042" width="41.44140625" style="202" customWidth="1"/>
    <col min="12043" max="12043" width="24.5546875" style="202" customWidth="1"/>
    <col min="12044" max="12044" width="26.5546875" style="202" customWidth="1"/>
    <col min="12045" max="12045" width="35.44140625" style="202" customWidth="1"/>
    <col min="12046" max="12046" width="19.5546875" style="202" customWidth="1"/>
    <col min="12047" max="12047" width="24.44140625" style="202" customWidth="1"/>
    <col min="12048" max="12048" width="14" style="202" customWidth="1"/>
    <col min="12049" max="12049" width="69.44140625" style="202" customWidth="1"/>
    <col min="12050" max="12052" width="16.44140625" style="202" customWidth="1"/>
    <col min="12053" max="12053" width="6.44140625" style="202" customWidth="1"/>
    <col min="12054" max="12054" width="10.44140625" style="202" customWidth="1"/>
    <col min="12055" max="12056" width="0.44140625" style="202" customWidth="1"/>
    <col min="12057" max="12057" width="5.5546875" style="202" customWidth="1"/>
    <col min="12058" max="12058" width="20.5546875" style="202" customWidth="1"/>
    <col min="12059" max="12059" width="15.44140625" style="202" customWidth="1"/>
    <col min="12060" max="12293" width="9.44140625" style="202"/>
    <col min="12294" max="12295" width="0" style="202" hidden="1" customWidth="1"/>
    <col min="12296" max="12296" width="7.5546875" style="202" customWidth="1"/>
    <col min="12297" max="12297" width="52.44140625" style="202" customWidth="1"/>
    <col min="12298" max="12298" width="41.44140625" style="202" customWidth="1"/>
    <col min="12299" max="12299" width="24.5546875" style="202" customWidth="1"/>
    <col min="12300" max="12300" width="26.5546875" style="202" customWidth="1"/>
    <col min="12301" max="12301" width="35.44140625" style="202" customWidth="1"/>
    <col min="12302" max="12302" width="19.5546875" style="202" customWidth="1"/>
    <col min="12303" max="12303" width="24.44140625" style="202" customWidth="1"/>
    <col min="12304" max="12304" width="14" style="202" customWidth="1"/>
    <col min="12305" max="12305" width="69.44140625" style="202" customWidth="1"/>
    <col min="12306" max="12308" width="16.44140625" style="202" customWidth="1"/>
    <col min="12309" max="12309" width="6.44140625" style="202" customWidth="1"/>
    <col min="12310" max="12310" width="10.44140625" style="202" customWidth="1"/>
    <col min="12311" max="12312" width="0.44140625" style="202" customWidth="1"/>
    <col min="12313" max="12313" width="5.5546875" style="202" customWidth="1"/>
    <col min="12314" max="12314" width="20.5546875" style="202" customWidth="1"/>
    <col min="12315" max="12315" width="15.44140625" style="202" customWidth="1"/>
    <col min="12316" max="12549" width="9.44140625" style="202"/>
    <col min="12550" max="12551" width="0" style="202" hidden="1" customWidth="1"/>
    <col min="12552" max="12552" width="7.5546875" style="202" customWidth="1"/>
    <col min="12553" max="12553" width="52.44140625" style="202" customWidth="1"/>
    <col min="12554" max="12554" width="41.44140625" style="202" customWidth="1"/>
    <col min="12555" max="12555" width="24.5546875" style="202" customWidth="1"/>
    <col min="12556" max="12556" width="26.5546875" style="202" customWidth="1"/>
    <col min="12557" max="12557" width="35.44140625" style="202" customWidth="1"/>
    <col min="12558" max="12558" width="19.5546875" style="202" customWidth="1"/>
    <col min="12559" max="12559" width="24.44140625" style="202" customWidth="1"/>
    <col min="12560" max="12560" width="14" style="202" customWidth="1"/>
    <col min="12561" max="12561" width="69.44140625" style="202" customWidth="1"/>
    <col min="12562" max="12564" width="16.44140625" style="202" customWidth="1"/>
    <col min="12565" max="12565" width="6.44140625" style="202" customWidth="1"/>
    <col min="12566" max="12566" width="10.44140625" style="202" customWidth="1"/>
    <col min="12567" max="12568" width="0.44140625" style="202" customWidth="1"/>
    <col min="12569" max="12569" width="5.5546875" style="202" customWidth="1"/>
    <col min="12570" max="12570" width="20.5546875" style="202" customWidth="1"/>
    <col min="12571" max="12571" width="15.44140625" style="202" customWidth="1"/>
    <col min="12572" max="12805" width="9.44140625" style="202"/>
    <col min="12806" max="12807" width="0" style="202" hidden="1" customWidth="1"/>
    <col min="12808" max="12808" width="7.5546875" style="202" customWidth="1"/>
    <col min="12809" max="12809" width="52.44140625" style="202" customWidth="1"/>
    <col min="12810" max="12810" width="41.44140625" style="202" customWidth="1"/>
    <col min="12811" max="12811" width="24.5546875" style="202" customWidth="1"/>
    <col min="12812" max="12812" width="26.5546875" style="202" customWidth="1"/>
    <col min="12813" max="12813" width="35.44140625" style="202" customWidth="1"/>
    <col min="12814" max="12814" width="19.5546875" style="202" customWidth="1"/>
    <col min="12815" max="12815" width="24.44140625" style="202" customWidth="1"/>
    <col min="12816" max="12816" width="14" style="202" customWidth="1"/>
    <col min="12817" max="12817" width="69.44140625" style="202" customWidth="1"/>
    <col min="12818" max="12820" width="16.44140625" style="202" customWidth="1"/>
    <col min="12821" max="12821" width="6.44140625" style="202" customWidth="1"/>
    <col min="12822" max="12822" width="10.44140625" style="202" customWidth="1"/>
    <col min="12823" max="12824" width="0.44140625" style="202" customWidth="1"/>
    <col min="12825" max="12825" width="5.5546875" style="202" customWidth="1"/>
    <col min="12826" max="12826" width="20.5546875" style="202" customWidth="1"/>
    <col min="12827" max="12827" width="15.44140625" style="202" customWidth="1"/>
    <col min="12828" max="13061" width="9.44140625" style="202"/>
    <col min="13062" max="13063" width="0" style="202" hidden="1" customWidth="1"/>
    <col min="13064" max="13064" width="7.5546875" style="202" customWidth="1"/>
    <col min="13065" max="13065" width="52.44140625" style="202" customWidth="1"/>
    <col min="13066" max="13066" width="41.44140625" style="202" customWidth="1"/>
    <col min="13067" max="13067" width="24.5546875" style="202" customWidth="1"/>
    <col min="13068" max="13068" width="26.5546875" style="202" customWidth="1"/>
    <col min="13069" max="13069" width="35.44140625" style="202" customWidth="1"/>
    <col min="13070" max="13070" width="19.5546875" style="202" customWidth="1"/>
    <col min="13071" max="13071" width="24.44140625" style="202" customWidth="1"/>
    <col min="13072" max="13072" width="14" style="202" customWidth="1"/>
    <col min="13073" max="13073" width="69.44140625" style="202" customWidth="1"/>
    <col min="13074" max="13076" width="16.44140625" style="202" customWidth="1"/>
    <col min="13077" max="13077" width="6.44140625" style="202" customWidth="1"/>
    <col min="13078" max="13078" width="10.44140625" style="202" customWidth="1"/>
    <col min="13079" max="13080" width="0.44140625" style="202" customWidth="1"/>
    <col min="13081" max="13081" width="5.5546875" style="202" customWidth="1"/>
    <col min="13082" max="13082" width="20.5546875" style="202" customWidth="1"/>
    <col min="13083" max="13083" width="15.44140625" style="202" customWidth="1"/>
    <col min="13084" max="13317" width="9.44140625" style="202"/>
    <col min="13318" max="13319" width="0" style="202" hidden="1" customWidth="1"/>
    <col min="13320" max="13320" width="7.5546875" style="202" customWidth="1"/>
    <col min="13321" max="13321" width="52.44140625" style="202" customWidth="1"/>
    <col min="13322" max="13322" width="41.44140625" style="202" customWidth="1"/>
    <col min="13323" max="13323" width="24.5546875" style="202" customWidth="1"/>
    <col min="13324" max="13324" width="26.5546875" style="202" customWidth="1"/>
    <col min="13325" max="13325" width="35.44140625" style="202" customWidth="1"/>
    <col min="13326" max="13326" width="19.5546875" style="202" customWidth="1"/>
    <col min="13327" max="13327" width="24.44140625" style="202" customWidth="1"/>
    <col min="13328" max="13328" width="14" style="202" customWidth="1"/>
    <col min="13329" max="13329" width="69.44140625" style="202" customWidth="1"/>
    <col min="13330" max="13332" width="16.44140625" style="202" customWidth="1"/>
    <col min="13333" max="13333" width="6.44140625" style="202" customWidth="1"/>
    <col min="13334" max="13334" width="10.44140625" style="202" customWidth="1"/>
    <col min="13335" max="13336" width="0.44140625" style="202" customWidth="1"/>
    <col min="13337" max="13337" width="5.5546875" style="202" customWidth="1"/>
    <col min="13338" max="13338" width="20.5546875" style="202" customWidth="1"/>
    <col min="13339" max="13339" width="15.44140625" style="202" customWidth="1"/>
    <col min="13340" max="13573" width="9.44140625" style="202"/>
    <col min="13574" max="13575" width="0" style="202" hidden="1" customWidth="1"/>
    <col min="13576" max="13576" width="7.5546875" style="202" customWidth="1"/>
    <col min="13577" max="13577" width="52.44140625" style="202" customWidth="1"/>
    <col min="13578" max="13578" width="41.44140625" style="202" customWidth="1"/>
    <col min="13579" max="13579" width="24.5546875" style="202" customWidth="1"/>
    <col min="13580" max="13580" width="26.5546875" style="202" customWidth="1"/>
    <col min="13581" max="13581" width="35.44140625" style="202" customWidth="1"/>
    <col min="13582" max="13582" width="19.5546875" style="202" customWidth="1"/>
    <col min="13583" max="13583" width="24.44140625" style="202" customWidth="1"/>
    <col min="13584" max="13584" width="14" style="202" customWidth="1"/>
    <col min="13585" max="13585" width="69.44140625" style="202" customWidth="1"/>
    <col min="13586" max="13588" width="16.44140625" style="202" customWidth="1"/>
    <col min="13589" max="13589" width="6.44140625" style="202" customWidth="1"/>
    <col min="13590" max="13590" width="10.44140625" style="202" customWidth="1"/>
    <col min="13591" max="13592" width="0.44140625" style="202" customWidth="1"/>
    <col min="13593" max="13593" width="5.5546875" style="202" customWidth="1"/>
    <col min="13594" max="13594" width="20.5546875" style="202" customWidth="1"/>
    <col min="13595" max="13595" width="15.44140625" style="202" customWidth="1"/>
    <col min="13596" max="13829" width="9.44140625" style="202"/>
    <col min="13830" max="13831" width="0" style="202" hidden="1" customWidth="1"/>
    <col min="13832" max="13832" width="7.5546875" style="202" customWidth="1"/>
    <col min="13833" max="13833" width="52.44140625" style="202" customWidth="1"/>
    <col min="13834" max="13834" width="41.44140625" style="202" customWidth="1"/>
    <col min="13835" max="13835" width="24.5546875" style="202" customWidth="1"/>
    <col min="13836" max="13836" width="26.5546875" style="202" customWidth="1"/>
    <col min="13837" max="13837" width="35.44140625" style="202" customWidth="1"/>
    <col min="13838" max="13838" width="19.5546875" style="202" customWidth="1"/>
    <col min="13839" max="13839" width="24.44140625" style="202" customWidth="1"/>
    <col min="13840" max="13840" width="14" style="202" customWidth="1"/>
    <col min="13841" max="13841" width="69.44140625" style="202" customWidth="1"/>
    <col min="13842" max="13844" width="16.44140625" style="202" customWidth="1"/>
    <col min="13845" max="13845" width="6.44140625" style="202" customWidth="1"/>
    <col min="13846" max="13846" width="10.44140625" style="202" customWidth="1"/>
    <col min="13847" max="13848" width="0.44140625" style="202" customWidth="1"/>
    <col min="13849" max="13849" width="5.5546875" style="202" customWidth="1"/>
    <col min="13850" max="13850" width="20.5546875" style="202" customWidth="1"/>
    <col min="13851" max="13851" width="15.44140625" style="202" customWidth="1"/>
    <col min="13852" max="14085" width="9.44140625" style="202"/>
    <col min="14086" max="14087" width="0" style="202" hidden="1" customWidth="1"/>
    <col min="14088" max="14088" width="7.5546875" style="202" customWidth="1"/>
    <col min="14089" max="14089" width="52.44140625" style="202" customWidth="1"/>
    <col min="14090" max="14090" width="41.44140625" style="202" customWidth="1"/>
    <col min="14091" max="14091" width="24.5546875" style="202" customWidth="1"/>
    <col min="14092" max="14092" width="26.5546875" style="202" customWidth="1"/>
    <col min="14093" max="14093" width="35.44140625" style="202" customWidth="1"/>
    <col min="14094" max="14094" width="19.5546875" style="202" customWidth="1"/>
    <col min="14095" max="14095" width="24.44140625" style="202" customWidth="1"/>
    <col min="14096" max="14096" width="14" style="202" customWidth="1"/>
    <col min="14097" max="14097" width="69.44140625" style="202" customWidth="1"/>
    <col min="14098" max="14100" width="16.44140625" style="202" customWidth="1"/>
    <col min="14101" max="14101" width="6.44140625" style="202" customWidth="1"/>
    <col min="14102" max="14102" width="10.44140625" style="202" customWidth="1"/>
    <col min="14103" max="14104" width="0.44140625" style="202" customWidth="1"/>
    <col min="14105" max="14105" width="5.5546875" style="202" customWidth="1"/>
    <col min="14106" max="14106" width="20.5546875" style="202" customWidth="1"/>
    <col min="14107" max="14107" width="15.44140625" style="202" customWidth="1"/>
    <col min="14108" max="14341" width="9.44140625" style="202"/>
    <col min="14342" max="14343" width="0" style="202" hidden="1" customWidth="1"/>
    <col min="14344" max="14344" width="7.5546875" style="202" customWidth="1"/>
    <col min="14345" max="14345" width="52.44140625" style="202" customWidth="1"/>
    <col min="14346" max="14346" width="41.44140625" style="202" customWidth="1"/>
    <col min="14347" max="14347" width="24.5546875" style="202" customWidth="1"/>
    <col min="14348" max="14348" width="26.5546875" style="202" customWidth="1"/>
    <col min="14349" max="14349" width="35.44140625" style="202" customWidth="1"/>
    <col min="14350" max="14350" width="19.5546875" style="202" customWidth="1"/>
    <col min="14351" max="14351" width="24.44140625" style="202" customWidth="1"/>
    <col min="14352" max="14352" width="14" style="202" customWidth="1"/>
    <col min="14353" max="14353" width="69.44140625" style="202" customWidth="1"/>
    <col min="14354" max="14356" width="16.44140625" style="202" customWidth="1"/>
    <col min="14357" max="14357" width="6.44140625" style="202" customWidth="1"/>
    <col min="14358" max="14358" width="10.44140625" style="202" customWidth="1"/>
    <col min="14359" max="14360" width="0.44140625" style="202" customWidth="1"/>
    <col min="14361" max="14361" width="5.5546875" style="202" customWidth="1"/>
    <col min="14362" max="14362" width="20.5546875" style="202" customWidth="1"/>
    <col min="14363" max="14363" width="15.44140625" style="202" customWidth="1"/>
    <col min="14364" max="14597" width="9.44140625" style="202"/>
    <col min="14598" max="14599" width="0" style="202" hidden="1" customWidth="1"/>
    <col min="14600" max="14600" width="7.5546875" style="202" customWidth="1"/>
    <col min="14601" max="14601" width="52.44140625" style="202" customWidth="1"/>
    <col min="14602" max="14602" width="41.44140625" style="202" customWidth="1"/>
    <col min="14603" max="14603" width="24.5546875" style="202" customWidth="1"/>
    <col min="14604" max="14604" width="26.5546875" style="202" customWidth="1"/>
    <col min="14605" max="14605" width="35.44140625" style="202" customWidth="1"/>
    <col min="14606" max="14606" width="19.5546875" style="202" customWidth="1"/>
    <col min="14607" max="14607" width="24.44140625" style="202" customWidth="1"/>
    <col min="14608" max="14608" width="14" style="202" customWidth="1"/>
    <col min="14609" max="14609" width="69.44140625" style="202" customWidth="1"/>
    <col min="14610" max="14612" width="16.44140625" style="202" customWidth="1"/>
    <col min="14613" max="14613" width="6.44140625" style="202" customWidth="1"/>
    <col min="14614" max="14614" width="10.44140625" style="202" customWidth="1"/>
    <col min="14615" max="14616" width="0.44140625" style="202" customWidth="1"/>
    <col min="14617" max="14617" width="5.5546875" style="202" customWidth="1"/>
    <col min="14618" max="14618" width="20.5546875" style="202" customWidth="1"/>
    <col min="14619" max="14619" width="15.44140625" style="202" customWidth="1"/>
    <col min="14620" max="14853" width="9.44140625" style="202"/>
    <col min="14854" max="14855" width="0" style="202" hidden="1" customWidth="1"/>
    <col min="14856" max="14856" width="7.5546875" style="202" customWidth="1"/>
    <col min="14857" max="14857" width="52.44140625" style="202" customWidth="1"/>
    <col min="14858" max="14858" width="41.44140625" style="202" customWidth="1"/>
    <col min="14859" max="14859" width="24.5546875" style="202" customWidth="1"/>
    <col min="14860" max="14860" width="26.5546875" style="202" customWidth="1"/>
    <col min="14861" max="14861" width="35.44140625" style="202" customWidth="1"/>
    <col min="14862" max="14862" width="19.5546875" style="202" customWidth="1"/>
    <col min="14863" max="14863" width="24.44140625" style="202" customWidth="1"/>
    <col min="14864" max="14864" width="14" style="202" customWidth="1"/>
    <col min="14865" max="14865" width="69.44140625" style="202" customWidth="1"/>
    <col min="14866" max="14868" width="16.44140625" style="202" customWidth="1"/>
    <col min="14869" max="14869" width="6.44140625" style="202" customWidth="1"/>
    <col min="14870" max="14870" width="10.44140625" style="202" customWidth="1"/>
    <col min="14871" max="14872" width="0.44140625" style="202" customWidth="1"/>
    <col min="14873" max="14873" width="5.5546875" style="202" customWidth="1"/>
    <col min="14874" max="14874" width="20.5546875" style="202" customWidth="1"/>
    <col min="14875" max="14875" width="15.44140625" style="202" customWidth="1"/>
    <col min="14876" max="15109" width="9.44140625" style="202"/>
    <col min="15110" max="15111" width="0" style="202" hidden="1" customWidth="1"/>
    <col min="15112" max="15112" width="7.5546875" style="202" customWidth="1"/>
    <col min="15113" max="15113" width="52.44140625" style="202" customWidth="1"/>
    <col min="15114" max="15114" width="41.44140625" style="202" customWidth="1"/>
    <col min="15115" max="15115" width="24.5546875" style="202" customWidth="1"/>
    <col min="15116" max="15116" width="26.5546875" style="202" customWidth="1"/>
    <col min="15117" max="15117" width="35.44140625" style="202" customWidth="1"/>
    <col min="15118" max="15118" width="19.5546875" style="202" customWidth="1"/>
    <col min="15119" max="15119" width="24.44140625" style="202" customWidth="1"/>
    <col min="15120" max="15120" width="14" style="202" customWidth="1"/>
    <col min="15121" max="15121" width="69.44140625" style="202" customWidth="1"/>
    <col min="15122" max="15124" width="16.44140625" style="202" customWidth="1"/>
    <col min="15125" max="15125" width="6.44140625" style="202" customWidth="1"/>
    <col min="15126" max="15126" width="10.44140625" style="202" customWidth="1"/>
    <col min="15127" max="15128" width="0.44140625" style="202" customWidth="1"/>
    <col min="15129" max="15129" width="5.5546875" style="202" customWidth="1"/>
    <col min="15130" max="15130" width="20.5546875" style="202" customWidth="1"/>
    <col min="15131" max="15131" width="15.44140625" style="202" customWidth="1"/>
    <col min="15132" max="15365" width="9.44140625" style="202"/>
    <col min="15366" max="15367" width="0" style="202" hidden="1" customWidth="1"/>
    <col min="15368" max="15368" width="7.5546875" style="202" customWidth="1"/>
    <col min="15369" max="15369" width="52.44140625" style="202" customWidth="1"/>
    <col min="15370" max="15370" width="41.44140625" style="202" customWidth="1"/>
    <col min="15371" max="15371" width="24.5546875" style="202" customWidth="1"/>
    <col min="15372" max="15372" width="26.5546875" style="202" customWidth="1"/>
    <col min="15373" max="15373" width="35.44140625" style="202" customWidth="1"/>
    <col min="15374" max="15374" width="19.5546875" style="202" customWidth="1"/>
    <col min="15375" max="15375" width="24.44140625" style="202" customWidth="1"/>
    <col min="15376" max="15376" width="14" style="202" customWidth="1"/>
    <col min="15377" max="15377" width="69.44140625" style="202" customWidth="1"/>
    <col min="15378" max="15380" width="16.44140625" style="202" customWidth="1"/>
    <col min="15381" max="15381" width="6.44140625" style="202" customWidth="1"/>
    <col min="15382" max="15382" width="10.44140625" style="202" customWidth="1"/>
    <col min="15383" max="15384" width="0.44140625" style="202" customWidth="1"/>
    <col min="15385" max="15385" width="5.5546875" style="202" customWidth="1"/>
    <col min="15386" max="15386" width="20.5546875" style="202" customWidth="1"/>
    <col min="15387" max="15387" width="15.44140625" style="202" customWidth="1"/>
    <col min="15388" max="15621" width="9.44140625" style="202"/>
    <col min="15622" max="15623" width="0" style="202" hidden="1" customWidth="1"/>
    <col min="15624" max="15624" width="7.5546875" style="202" customWidth="1"/>
    <col min="15625" max="15625" width="52.44140625" style="202" customWidth="1"/>
    <col min="15626" max="15626" width="41.44140625" style="202" customWidth="1"/>
    <col min="15627" max="15627" width="24.5546875" style="202" customWidth="1"/>
    <col min="15628" max="15628" width="26.5546875" style="202" customWidth="1"/>
    <col min="15629" max="15629" width="35.44140625" style="202" customWidth="1"/>
    <col min="15630" max="15630" width="19.5546875" style="202" customWidth="1"/>
    <col min="15631" max="15631" width="24.44140625" style="202" customWidth="1"/>
    <col min="15632" max="15632" width="14" style="202" customWidth="1"/>
    <col min="15633" max="15633" width="69.44140625" style="202" customWidth="1"/>
    <col min="15634" max="15636" width="16.44140625" style="202" customWidth="1"/>
    <col min="15637" max="15637" width="6.44140625" style="202" customWidth="1"/>
    <col min="15638" max="15638" width="10.44140625" style="202" customWidth="1"/>
    <col min="15639" max="15640" width="0.44140625" style="202" customWidth="1"/>
    <col min="15641" max="15641" width="5.5546875" style="202" customWidth="1"/>
    <col min="15642" max="15642" width="20.5546875" style="202" customWidth="1"/>
    <col min="15643" max="15643" width="15.44140625" style="202" customWidth="1"/>
    <col min="15644" max="15877" width="9.44140625" style="202"/>
    <col min="15878" max="15879" width="0" style="202" hidden="1" customWidth="1"/>
    <col min="15880" max="15880" width="7.5546875" style="202" customWidth="1"/>
    <col min="15881" max="15881" width="52.44140625" style="202" customWidth="1"/>
    <col min="15882" max="15882" width="41.44140625" style="202" customWidth="1"/>
    <col min="15883" max="15883" width="24.5546875" style="202" customWidth="1"/>
    <col min="15884" max="15884" width="26.5546875" style="202" customWidth="1"/>
    <col min="15885" max="15885" width="35.44140625" style="202" customWidth="1"/>
    <col min="15886" max="15886" width="19.5546875" style="202" customWidth="1"/>
    <col min="15887" max="15887" width="24.44140625" style="202" customWidth="1"/>
    <col min="15888" max="15888" width="14" style="202" customWidth="1"/>
    <col min="15889" max="15889" width="69.44140625" style="202" customWidth="1"/>
    <col min="15890" max="15892" width="16.44140625" style="202" customWidth="1"/>
    <col min="15893" max="15893" width="6.44140625" style="202" customWidth="1"/>
    <col min="15894" max="15894" width="10.44140625" style="202" customWidth="1"/>
    <col min="15895" max="15896" width="0.44140625" style="202" customWidth="1"/>
    <col min="15897" max="15897" width="5.5546875" style="202" customWidth="1"/>
    <col min="15898" max="15898" width="20.5546875" style="202" customWidth="1"/>
    <col min="15899" max="15899" width="15.44140625" style="202" customWidth="1"/>
    <col min="15900" max="16133" width="9.44140625" style="202"/>
    <col min="16134" max="16135" width="0" style="202" hidden="1" customWidth="1"/>
    <col min="16136" max="16136" width="7.5546875" style="202" customWidth="1"/>
    <col min="16137" max="16137" width="52.44140625" style="202" customWidth="1"/>
    <col min="16138" max="16138" width="41.44140625" style="202" customWidth="1"/>
    <col min="16139" max="16139" width="24.5546875" style="202" customWidth="1"/>
    <col min="16140" max="16140" width="26.5546875" style="202" customWidth="1"/>
    <col min="16141" max="16141" width="35.44140625" style="202" customWidth="1"/>
    <col min="16142" max="16142" width="19.5546875" style="202" customWidth="1"/>
    <col min="16143" max="16143" width="24.44140625" style="202" customWidth="1"/>
    <col min="16144" max="16144" width="14" style="202" customWidth="1"/>
    <col min="16145" max="16145" width="69.44140625" style="202" customWidth="1"/>
    <col min="16146" max="16148" width="16.44140625" style="202" customWidth="1"/>
    <col min="16149" max="16149" width="6.44140625" style="202" customWidth="1"/>
    <col min="16150" max="16150" width="10.44140625" style="202" customWidth="1"/>
    <col min="16151" max="16152" width="0.44140625" style="202" customWidth="1"/>
    <col min="16153" max="16153" width="5.5546875" style="202" customWidth="1"/>
    <col min="16154" max="16154" width="20.5546875" style="202" customWidth="1"/>
    <col min="16155" max="16155" width="15.44140625" style="202" customWidth="1"/>
    <col min="16156" max="16384" width="9.44140625" style="202"/>
  </cols>
  <sheetData>
    <row r="1" spans="1:32" s="180" customFormat="1" x14ac:dyDescent="0.3">
      <c r="A1" s="182"/>
      <c r="C1" s="178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V1" s="178"/>
      <c r="Y1" s="181"/>
      <c r="Z1" s="181"/>
    </row>
    <row r="2" spans="1:32" s="180" customFormat="1" ht="28.8" x14ac:dyDescent="0.3">
      <c r="A2" s="182"/>
      <c r="B2" s="187" t="s">
        <v>785</v>
      </c>
      <c r="C2" s="188" t="s">
        <v>786</v>
      </c>
      <c r="D2" s="189"/>
      <c r="E2" s="189"/>
      <c r="F2" s="362" t="s">
        <v>787</v>
      </c>
      <c r="G2" s="189"/>
      <c r="H2" s="363" t="s">
        <v>788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  <c r="U2" s="184"/>
      <c r="V2" s="185"/>
      <c r="Y2" s="181"/>
      <c r="Z2" s="181"/>
    </row>
    <row r="3" spans="1:32" s="180" customFormat="1" ht="28.8" x14ac:dyDescent="0.3">
      <c r="A3" s="182"/>
      <c r="B3" s="190" t="s">
        <v>789</v>
      </c>
      <c r="C3" s="188" t="s">
        <v>790</v>
      </c>
      <c r="D3" s="189"/>
      <c r="E3" s="189"/>
      <c r="F3" s="363" t="s">
        <v>791</v>
      </c>
      <c r="G3" s="189"/>
      <c r="H3" s="363" t="s">
        <v>792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U3" s="191"/>
      <c r="V3" s="178"/>
      <c r="X3" s="192"/>
      <c r="Y3" s="181"/>
      <c r="Z3" s="181"/>
    </row>
    <row r="4" spans="1:32" s="180" customFormat="1" ht="15.6" x14ac:dyDescent="0.3">
      <c r="A4" s="182"/>
      <c r="B4" s="190" t="s">
        <v>793</v>
      </c>
      <c r="C4" s="188" t="s">
        <v>776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U4" s="191"/>
      <c r="V4" s="178"/>
      <c r="X4" s="192"/>
      <c r="Y4" s="181"/>
      <c r="Z4" s="181"/>
    </row>
    <row r="5" spans="1:32" s="180" customFormat="1" ht="15.6" x14ac:dyDescent="0.3">
      <c r="A5" s="182"/>
      <c r="B5" s="187" t="s">
        <v>794</v>
      </c>
      <c r="C5" s="193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U5" s="191"/>
      <c r="V5" s="178"/>
      <c r="X5" s="192"/>
      <c r="Y5" s="181"/>
      <c r="Z5" s="181"/>
    </row>
    <row r="6" spans="1:32" s="180" customFormat="1" ht="15.6" x14ac:dyDescent="0.3">
      <c r="A6" s="182"/>
      <c r="B6" s="187" t="s">
        <v>795</v>
      </c>
      <c r="C6" s="193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89"/>
      <c r="R6" s="194"/>
      <c r="U6" s="191"/>
      <c r="V6" s="178"/>
      <c r="X6" s="192"/>
      <c r="Y6" s="181"/>
      <c r="Z6" s="181"/>
    </row>
    <row r="7" spans="1:32" s="180" customFormat="1" ht="15.6" x14ac:dyDescent="0.3">
      <c r="A7" s="182"/>
      <c r="B7" s="187" t="s">
        <v>796</v>
      </c>
      <c r="C7" s="193"/>
      <c r="D7" s="194"/>
      <c r="E7" s="407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89"/>
      <c r="R7" s="194"/>
      <c r="U7" s="191"/>
      <c r="V7" s="178"/>
      <c r="X7" s="192"/>
      <c r="Y7" s="181"/>
      <c r="Z7" s="181"/>
    </row>
    <row r="8" spans="1:32" s="180" customFormat="1" ht="15.6" x14ac:dyDescent="0.3">
      <c r="A8" s="182"/>
      <c r="B8" s="187" t="s">
        <v>797</v>
      </c>
      <c r="C8" s="193">
        <v>45884</v>
      </c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89"/>
      <c r="R8" s="194"/>
      <c r="T8" s="178"/>
      <c r="U8" s="185"/>
      <c r="V8" s="178"/>
      <c r="X8" s="192"/>
      <c r="Y8" s="178"/>
      <c r="Z8" s="181"/>
    </row>
    <row r="9" spans="1:32" s="180" customFormat="1" ht="15.6" x14ac:dyDescent="0.3">
      <c r="A9" s="182"/>
      <c r="C9" s="195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83"/>
      <c r="R9" s="196"/>
      <c r="V9" s="185"/>
      <c r="W9" s="186"/>
      <c r="X9" s="186"/>
      <c r="Y9" s="197"/>
      <c r="Z9" s="181"/>
    </row>
    <row r="10" spans="1:32" s="180" customFormat="1" ht="15.6" x14ac:dyDescent="0.3">
      <c r="A10" s="182"/>
      <c r="C10" s="19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200"/>
      <c r="R10" s="199"/>
      <c r="V10" s="185"/>
      <c r="W10" s="186"/>
      <c r="X10" s="186"/>
      <c r="Y10" s="197"/>
      <c r="Z10" s="181"/>
    </row>
    <row r="11" spans="1:32" ht="15.6" x14ac:dyDescent="0.3">
      <c r="C11" s="198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R11" s="199"/>
      <c r="S11" s="529"/>
      <c r="T11" s="529"/>
      <c r="U11" s="529"/>
      <c r="V11" s="529"/>
      <c r="W11" s="529"/>
      <c r="X11" s="529"/>
      <c r="Y11" s="529"/>
      <c r="Z11" s="181"/>
    </row>
    <row r="12" spans="1:32" s="365" customFormat="1" ht="15.6" x14ac:dyDescent="0.3">
      <c r="A12" s="364"/>
      <c r="C12" s="366"/>
      <c r="D12" s="530" t="s">
        <v>798</v>
      </c>
      <c r="E12" s="530"/>
      <c r="F12" s="530"/>
      <c r="G12" s="530" t="s">
        <v>799</v>
      </c>
      <c r="H12" s="530"/>
      <c r="I12" s="530" t="s">
        <v>800</v>
      </c>
      <c r="J12" s="530"/>
      <c r="K12" s="530" t="s">
        <v>556</v>
      </c>
      <c r="L12" s="530"/>
      <c r="M12" s="530" t="s">
        <v>801</v>
      </c>
      <c r="N12" s="530"/>
      <c r="O12" s="530" t="s">
        <v>802</v>
      </c>
      <c r="P12" s="530"/>
      <c r="Q12" s="367"/>
      <c r="R12" s="368"/>
      <c r="S12" s="369"/>
      <c r="T12" s="369"/>
      <c r="U12" s="369"/>
      <c r="V12" s="369"/>
      <c r="W12" s="369"/>
      <c r="X12" s="369"/>
      <c r="Y12" s="369"/>
      <c r="Z12" s="370"/>
    </row>
    <row r="13" spans="1:32" ht="15.6" customHeight="1" x14ac:dyDescent="0.3">
      <c r="C13" s="198"/>
      <c r="D13" s="539" t="s">
        <v>803</v>
      </c>
      <c r="E13" s="534" t="s">
        <v>804</v>
      </c>
      <c r="F13" s="535"/>
      <c r="G13" s="534" t="s">
        <v>805</v>
      </c>
      <c r="H13" s="535"/>
      <c r="I13" s="534" t="s">
        <v>806</v>
      </c>
      <c r="J13" s="535"/>
      <c r="K13" s="534" t="s">
        <v>807</v>
      </c>
      <c r="L13" s="535"/>
      <c r="M13" s="534" t="s">
        <v>808</v>
      </c>
      <c r="N13" s="535"/>
      <c r="O13" s="534" t="s">
        <v>809</v>
      </c>
      <c r="P13" s="535"/>
      <c r="R13" s="199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</row>
    <row r="14" spans="1:32" ht="46.8" x14ac:dyDescent="0.3">
      <c r="A14" s="204" t="s">
        <v>536</v>
      </c>
      <c r="B14" s="204" t="s">
        <v>810</v>
      </c>
      <c r="C14" s="420" t="s">
        <v>811</v>
      </c>
      <c r="D14" s="540"/>
      <c r="E14" s="204" t="s">
        <v>812</v>
      </c>
      <c r="F14" s="204" t="s">
        <v>813</v>
      </c>
      <c r="G14" s="204" t="s">
        <v>812</v>
      </c>
      <c r="H14" s="204" t="s">
        <v>813</v>
      </c>
      <c r="I14" s="204" t="s">
        <v>812</v>
      </c>
      <c r="J14" s="204" t="s">
        <v>813</v>
      </c>
      <c r="K14" s="204" t="s">
        <v>812</v>
      </c>
      <c r="L14" s="204" t="s">
        <v>813</v>
      </c>
      <c r="M14" s="204" t="s">
        <v>812</v>
      </c>
      <c r="N14" s="204" t="s">
        <v>813</v>
      </c>
      <c r="O14" s="204" t="s">
        <v>812</v>
      </c>
      <c r="P14" s="204" t="s">
        <v>813</v>
      </c>
      <c r="Q14" s="205" t="s">
        <v>814</v>
      </c>
      <c r="R14" s="205" t="s">
        <v>815</v>
      </c>
      <c r="S14" s="204" t="s">
        <v>803</v>
      </c>
      <c r="T14" s="204" t="s">
        <v>816</v>
      </c>
      <c r="U14" s="204" t="s">
        <v>817</v>
      </c>
      <c r="V14" s="204" t="s">
        <v>815</v>
      </c>
      <c r="W14" s="204" t="s">
        <v>818</v>
      </c>
      <c r="X14" s="204" t="s">
        <v>819</v>
      </c>
      <c r="Y14" s="204" t="s">
        <v>820</v>
      </c>
      <c r="Z14" s="204" t="s">
        <v>821</v>
      </c>
      <c r="AA14" s="204" t="s">
        <v>822</v>
      </c>
      <c r="AB14" s="204" t="s">
        <v>823</v>
      </c>
      <c r="AC14" s="204" t="s">
        <v>824</v>
      </c>
      <c r="AD14" s="204" t="s">
        <v>825</v>
      </c>
      <c r="AE14" s="204" t="s">
        <v>826</v>
      </c>
      <c r="AF14" s="204" t="s">
        <v>827</v>
      </c>
    </row>
    <row r="15" spans="1:32" s="206" customFormat="1" x14ac:dyDescent="0.3">
      <c r="A15" s="536" t="s">
        <v>828</v>
      </c>
      <c r="B15" s="537"/>
      <c r="C15" s="537"/>
      <c r="D15" s="537"/>
      <c r="E15" s="537"/>
      <c r="F15" s="537"/>
      <c r="G15" s="537"/>
      <c r="H15" s="537"/>
      <c r="I15" s="537"/>
      <c r="J15" s="537"/>
      <c r="K15" s="537"/>
      <c r="L15" s="537"/>
      <c r="M15" s="537"/>
      <c r="N15" s="537"/>
      <c r="O15" s="537"/>
      <c r="P15" s="537"/>
      <c r="Q15" s="537"/>
      <c r="R15" s="537"/>
      <c r="S15" s="537"/>
      <c r="T15" s="537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7"/>
      <c r="AF15" s="538"/>
    </row>
    <row r="16" spans="1:32" x14ac:dyDescent="0.3">
      <c r="A16" s="207">
        <v>2.0099999999999998</v>
      </c>
      <c r="B16" s="208" t="s">
        <v>49</v>
      </c>
      <c r="C16" s="209" t="s">
        <v>829</v>
      </c>
      <c r="D16" s="229">
        <f t="shared" ref="D16:D23" si="0">R16-(E16+G16+I16+K16+M16+O16)</f>
        <v>45706</v>
      </c>
      <c r="E16" s="230">
        <v>10</v>
      </c>
      <c r="F16" s="229">
        <f t="shared" ref="F16:F29" si="1">D16+E16</f>
        <v>45716</v>
      </c>
      <c r="G16" s="230">
        <v>21</v>
      </c>
      <c r="H16" s="229">
        <f t="shared" ref="H16:H29" si="2">F16+G16</f>
        <v>45737</v>
      </c>
      <c r="I16" s="230">
        <v>15</v>
      </c>
      <c r="J16" s="229">
        <f t="shared" ref="J16:J29" si="3">H16+I16</f>
        <v>45752</v>
      </c>
      <c r="K16" s="230">
        <v>45</v>
      </c>
      <c r="L16" s="229">
        <f t="shared" ref="L16:L29" si="4">J16+K16</f>
        <v>45797</v>
      </c>
      <c r="M16" s="230">
        <v>31</v>
      </c>
      <c r="N16" s="229">
        <f t="shared" ref="N16:N29" si="5">L16+M16</f>
        <v>45828</v>
      </c>
      <c r="O16" s="230">
        <v>5</v>
      </c>
      <c r="P16" s="229">
        <f t="shared" ref="P16:P29" si="6">N16+O16</f>
        <v>45833</v>
      </c>
      <c r="Q16" s="211">
        <f t="shared" ref="Q16:Q29" si="7">O16+M16+K16+I16+G16+E16</f>
        <v>127</v>
      </c>
      <c r="R16" s="210">
        <v>45833</v>
      </c>
      <c r="S16" s="210">
        <f t="shared" ref="S16:S29" si="8">+T16-23</f>
        <v>45704</v>
      </c>
      <c r="T16" s="210">
        <f t="shared" ref="T16:T29" si="9">+U16-Z16</f>
        <v>45727</v>
      </c>
      <c r="U16" s="210">
        <f t="shared" ref="U16:U29" si="10">+V16-7</f>
        <v>45817</v>
      </c>
      <c r="V16" s="212">
        <f>+$C$8-60</f>
        <v>45824</v>
      </c>
      <c r="W16" s="213"/>
      <c r="X16" s="214"/>
      <c r="Y16" s="215"/>
      <c r="Z16" s="216">
        <v>90</v>
      </c>
      <c r="AA16" s="217"/>
      <c r="AB16" s="218"/>
      <c r="AC16" s="208"/>
      <c r="AD16" s="219"/>
      <c r="AE16" s="208"/>
      <c r="AF16" s="208"/>
    </row>
    <row r="17" spans="1:32" x14ac:dyDescent="0.3">
      <c r="A17" s="207">
        <v>2.0099999999999998</v>
      </c>
      <c r="B17" s="208" t="s">
        <v>49</v>
      </c>
      <c r="C17" s="209" t="s">
        <v>830</v>
      </c>
      <c r="D17" s="229">
        <f t="shared" si="0"/>
        <v>45706</v>
      </c>
      <c r="E17" s="230">
        <v>10</v>
      </c>
      <c r="F17" s="229">
        <f t="shared" si="1"/>
        <v>45716</v>
      </c>
      <c r="G17" s="230">
        <v>21</v>
      </c>
      <c r="H17" s="229">
        <f t="shared" si="2"/>
        <v>45737</v>
      </c>
      <c r="I17" s="230">
        <v>15</v>
      </c>
      <c r="J17" s="229">
        <f t="shared" si="3"/>
        <v>45752</v>
      </c>
      <c r="K17" s="230">
        <v>45</v>
      </c>
      <c r="L17" s="229">
        <f t="shared" si="4"/>
        <v>45797</v>
      </c>
      <c r="M17" s="230">
        <v>31</v>
      </c>
      <c r="N17" s="229">
        <f t="shared" si="5"/>
        <v>45828</v>
      </c>
      <c r="O17" s="230">
        <v>5</v>
      </c>
      <c r="P17" s="229">
        <f t="shared" si="6"/>
        <v>45833</v>
      </c>
      <c r="Q17" s="211">
        <f t="shared" si="7"/>
        <v>127</v>
      </c>
      <c r="R17" s="210">
        <v>45833</v>
      </c>
      <c r="S17" s="210">
        <f t="shared" si="8"/>
        <v>45704</v>
      </c>
      <c r="T17" s="210">
        <f t="shared" si="9"/>
        <v>45727</v>
      </c>
      <c r="U17" s="210">
        <f t="shared" si="10"/>
        <v>45817</v>
      </c>
      <c r="V17" s="212">
        <f>+$C$8-60</f>
        <v>45824</v>
      </c>
      <c r="W17" s="213"/>
      <c r="X17" s="214"/>
      <c r="Y17" s="215"/>
      <c r="Z17" s="216">
        <v>90</v>
      </c>
      <c r="AA17" s="217"/>
      <c r="AB17" s="218"/>
      <c r="AC17" s="208"/>
      <c r="AD17" s="219"/>
      <c r="AE17" s="208"/>
      <c r="AF17" s="208"/>
    </row>
    <row r="18" spans="1:32" x14ac:dyDescent="0.3">
      <c r="A18" s="207">
        <v>2.0099999999999998</v>
      </c>
      <c r="B18" s="208" t="s">
        <v>49</v>
      </c>
      <c r="C18" s="209" t="s">
        <v>831</v>
      </c>
      <c r="D18" s="229">
        <f t="shared" si="0"/>
        <v>45706</v>
      </c>
      <c r="E18" s="230">
        <v>10</v>
      </c>
      <c r="F18" s="229">
        <f t="shared" si="1"/>
        <v>45716</v>
      </c>
      <c r="G18" s="230">
        <v>21</v>
      </c>
      <c r="H18" s="229">
        <f t="shared" si="2"/>
        <v>45737</v>
      </c>
      <c r="I18" s="230">
        <v>15</v>
      </c>
      <c r="J18" s="229">
        <f t="shared" si="3"/>
        <v>45752</v>
      </c>
      <c r="K18" s="230">
        <v>45</v>
      </c>
      <c r="L18" s="229">
        <f t="shared" si="4"/>
        <v>45797</v>
      </c>
      <c r="M18" s="230">
        <v>31</v>
      </c>
      <c r="N18" s="229">
        <f t="shared" si="5"/>
        <v>45828</v>
      </c>
      <c r="O18" s="230">
        <v>5</v>
      </c>
      <c r="P18" s="229">
        <f t="shared" si="6"/>
        <v>45833</v>
      </c>
      <c r="Q18" s="211">
        <f t="shared" si="7"/>
        <v>127</v>
      </c>
      <c r="R18" s="210">
        <v>45833</v>
      </c>
      <c r="S18" s="210">
        <f t="shared" si="8"/>
        <v>45704</v>
      </c>
      <c r="T18" s="210">
        <f t="shared" si="9"/>
        <v>45727</v>
      </c>
      <c r="U18" s="210">
        <f t="shared" si="10"/>
        <v>45817</v>
      </c>
      <c r="V18" s="212">
        <f>+$C$8-60</f>
        <v>45824</v>
      </c>
      <c r="W18" s="213"/>
      <c r="X18" s="214"/>
      <c r="Y18" s="215"/>
      <c r="Z18" s="216">
        <v>90</v>
      </c>
      <c r="AA18" s="217"/>
      <c r="AB18" s="218"/>
      <c r="AC18" s="208"/>
      <c r="AD18" s="219"/>
      <c r="AE18" s="208"/>
      <c r="AF18" s="208"/>
    </row>
    <row r="19" spans="1:32" x14ac:dyDescent="0.3">
      <c r="A19" s="207">
        <v>2.0099999999999998</v>
      </c>
      <c r="B19" s="208" t="s">
        <v>49</v>
      </c>
      <c r="C19" s="209" t="s">
        <v>832</v>
      </c>
      <c r="D19" s="229">
        <f t="shared" si="0"/>
        <v>45706</v>
      </c>
      <c r="E19" s="230">
        <v>10</v>
      </c>
      <c r="F19" s="229">
        <f t="shared" si="1"/>
        <v>45716</v>
      </c>
      <c r="G19" s="230">
        <v>21</v>
      </c>
      <c r="H19" s="229">
        <f t="shared" si="2"/>
        <v>45737</v>
      </c>
      <c r="I19" s="230">
        <v>15</v>
      </c>
      <c r="J19" s="229">
        <f t="shared" si="3"/>
        <v>45752</v>
      </c>
      <c r="K19" s="230">
        <v>45</v>
      </c>
      <c r="L19" s="229">
        <f t="shared" si="4"/>
        <v>45797</v>
      </c>
      <c r="M19" s="230">
        <v>31</v>
      </c>
      <c r="N19" s="229">
        <f t="shared" si="5"/>
        <v>45828</v>
      </c>
      <c r="O19" s="230">
        <v>5</v>
      </c>
      <c r="P19" s="229">
        <f t="shared" si="6"/>
        <v>45833</v>
      </c>
      <c r="Q19" s="211">
        <f t="shared" si="7"/>
        <v>127</v>
      </c>
      <c r="R19" s="210">
        <v>45833</v>
      </c>
      <c r="S19" s="210">
        <f t="shared" si="8"/>
        <v>45704</v>
      </c>
      <c r="T19" s="210">
        <f t="shared" si="9"/>
        <v>45727</v>
      </c>
      <c r="U19" s="210">
        <f t="shared" si="10"/>
        <v>45817</v>
      </c>
      <c r="V19" s="212">
        <f>+$C$8-60</f>
        <v>45824</v>
      </c>
      <c r="W19" s="213"/>
      <c r="X19" s="214"/>
      <c r="Y19" s="215"/>
      <c r="Z19" s="216">
        <v>90</v>
      </c>
      <c r="AA19" s="217"/>
      <c r="AB19" s="218"/>
      <c r="AC19" s="208"/>
      <c r="AD19" s="219"/>
      <c r="AE19" s="208"/>
      <c r="AF19" s="208"/>
    </row>
    <row r="20" spans="1:32" x14ac:dyDescent="0.3">
      <c r="A20" s="207">
        <v>2.0099999999999998</v>
      </c>
      <c r="B20" s="208" t="s">
        <v>49</v>
      </c>
      <c r="C20" s="209" t="s">
        <v>833</v>
      </c>
      <c r="D20" s="229">
        <f t="shared" si="0"/>
        <v>45706</v>
      </c>
      <c r="E20" s="230">
        <v>10</v>
      </c>
      <c r="F20" s="229">
        <f t="shared" si="1"/>
        <v>45716</v>
      </c>
      <c r="G20" s="230">
        <v>21</v>
      </c>
      <c r="H20" s="229">
        <f t="shared" si="2"/>
        <v>45737</v>
      </c>
      <c r="I20" s="230">
        <v>15</v>
      </c>
      <c r="J20" s="229">
        <f t="shared" si="3"/>
        <v>45752</v>
      </c>
      <c r="K20" s="230">
        <v>45</v>
      </c>
      <c r="L20" s="229">
        <f t="shared" si="4"/>
        <v>45797</v>
      </c>
      <c r="M20" s="230">
        <v>31</v>
      </c>
      <c r="N20" s="229">
        <f t="shared" si="5"/>
        <v>45828</v>
      </c>
      <c r="O20" s="230">
        <v>5</v>
      </c>
      <c r="P20" s="229">
        <f t="shared" si="6"/>
        <v>45833</v>
      </c>
      <c r="Q20" s="211">
        <f t="shared" si="7"/>
        <v>127</v>
      </c>
      <c r="R20" s="210">
        <v>45833</v>
      </c>
      <c r="S20" s="210">
        <f t="shared" si="8"/>
        <v>45704</v>
      </c>
      <c r="T20" s="210">
        <f t="shared" si="9"/>
        <v>45727</v>
      </c>
      <c r="U20" s="210">
        <f t="shared" si="10"/>
        <v>45817</v>
      </c>
      <c r="V20" s="212">
        <f>+$C$8-60</f>
        <v>45824</v>
      </c>
      <c r="W20" s="213"/>
      <c r="X20" s="214"/>
      <c r="Y20" s="215"/>
      <c r="Z20" s="216">
        <v>90</v>
      </c>
      <c r="AA20" s="217"/>
      <c r="AB20" s="218"/>
      <c r="AC20" s="208"/>
      <c r="AD20" s="219"/>
      <c r="AE20" s="208"/>
      <c r="AF20" s="208"/>
    </row>
    <row r="21" spans="1:32" x14ac:dyDescent="0.3">
      <c r="A21" s="207">
        <v>2.02</v>
      </c>
      <c r="B21" s="208" t="s">
        <v>834</v>
      </c>
      <c r="C21" s="209" t="s">
        <v>835</v>
      </c>
      <c r="D21" s="229">
        <f t="shared" si="0"/>
        <v>45763</v>
      </c>
      <c r="E21" s="230">
        <v>10</v>
      </c>
      <c r="F21" s="229">
        <f t="shared" si="1"/>
        <v>45773</v>
      </c>
      <c r="G21" s="230">
        <v>0</v>
      </c>
      <c r="H21" s="229">
        <f t="shared" si="2"/>
        <v>45773</v>
      </c>
      <c r="I21" s="230">
        <v>15</v>
      </c>
      <c r="J21" s="229">
        <f t="shared" si="3"/>
        <v>45788</v>
      </c>
      <c r="K21" s="230">
        <v>45</v>
      </c>
      <c r="L21" s="229">
        <f t="shared" si="4"/>
        <v>45833</v>
      </c>
      <c r="M21" s="230">
        <v>0</v>
      </c>
      <c r="N21" s="229">
        <f t="shared" si="5"/>
        <v>45833</v>
      </c>
      <c r="O21" s="230">
        <v>0</v>
      </c>
      <c r="P21" s="229">
        <f t="shared" si="6"/>
        <v>45833</v>
      </c>
      <c r="Q21" s="211">
        <f t="shared" si="7"/>
        <v>70</v>
      </c>
      <c r="R21" s="210">
        <v>45833</v>
      </c>
      <c r="S21" s="210">
        <f t="shared" si="8"/>
        <v>-120</v>
      </c>
      <c r="T21" s="210">
        <f t="shared" si="9"/>
        <v>-97</v>
      </c>
      <c r="U21" s="210">
        <f t="shared" si="10"/>
        <v>-37</v>
      </c>
      <c r="V21" s="220">
        <f>+C7-30</f>
        <v>-30</v>
      </c>
      <c r="W21" s="213"/>
      <c r="X21" s="214"/>
      <c r="Y21" s="215"/>
      <c r="Z21" s="216">
        <v>60</v>
      </c>
      <c r="AB21" s="218"/>
      <c r="AC21" s="208"/>
      <c r="AD21" s="208"/>
      <c r="AE21" s="208"/>
      <c r="AF21" s="208"/>
    </row>
    <row r="22" spans="1:32" x14ac:dyDescent="0.3">
      <c r="A22" s="207">
        <v>2.0299999999999998</v>
      </c>
      <c r="B22" s="208" t="s">
        <v>836</v>
      </c>
      <c r="C22" s="209" t="s">
        <v>837</v>
      </c>
      <c r="D22" s="229">
        <f t="shared" si="0"/>
        <v>45763</v>
      </c>
      <c r="E22" s="230">
        <v>10</v>
      </c>
      <c r="F22" s="229">
        <f t="shared" si="1"/>
        <v>45773</v>
      </c>
      <c r="G22" s="230">
        <v>0</v>
      </c>
      <c r="H22" s="229">
        <f t="shared" si="2"/>
        <v>45773</v>
      </c>
      <c r="I22" s="230">
        <v>15</v>
      </c>
      <c r="J22" s="229">
        <f t="shared" si="3"/>
        <v>45788</v>
      </c>
      <c r="K22" s="230">
        <v>45</v>
      </c>
      <c r="L22" s="229">
        <f t="shared" si="4"/>
        <v>45833</v>
      </c>
      <c r="M22" s="230">
        <v>0</v>
      </c>
      <c r="N22" s="229">
        <f t="shared" si="5"/>
        <v>45833</v>
      </c>
      <c r="O22" s="230">
        <v>0</v>
      </c>
      <c r="P22" s="229">
        <f t="shared" si="6"/>
        <v>45833</v>
      </c>
      <c r="Q22" s="211">
        <f t="shared" si="7"/>
        <v>70</v>
      </c>
      <c r="R22" s="210">
        <v>45833</v>
      </c>
      <c r="S22" s="210">
        <f t="shared" si="8"/>
        <v>-100</v>
      </c>
      <c r="T22" s="210">
        <f t="shared" si="9"/>
        <v>-77</v>
      </c>
      <c r="U22" s="210">
        <f t="shared" si="10"/>
        <v>-17</v>
      </c>
      <c r="V22" s="220">
        <f>+C6-10</f>
        <v>-10</v>
      </c>
      <c r="W22" s="213"/>
      <c r="X22" s="214"/>
      <c r="Y22" s="215"/>
      <c r="Z22" s="216">
        <v>60</v>
      </c>
      <c r="AA22" s="217"/>
      <c r="AB22" s="218"/>
      <c r="AC22" s="208"/>
      <c r="AD22" s="208"/>
      <c r="AE22" s="208"/>
      <c r="AF22" s="208"/>
    </row>
    <row r="23" spans="1:32" x14ac:dyDescent="0.3">
      <c r="A23" s="207">
        <v>2.0299999999999998</v>
      </c>
      <c r="B23" s="208" t="s">
        <v>836</v>
      </c>
      <c r="C23" s="209" t="s">
        <v>838</v>
      </c>
      <c r="D23" s="229">
        <f t="shared" si="0"/>
        <v>45833</v>
      </c>
      <c r="E23" s="230">
        <v>0</v>
      </c>
      <c r="F23" s="229">
        <f t="shared" si="1"/>
        <v>45833</v>
      </c>
      <c r="G23" s="230">
        <v>0</v>
      </c>
      <c r="H23" s="229">
        <f t="shared" si="2"/>
        <v>45833</v>
      </c>
      <c r="I23" s="230">
        <v>0</v>
      </c>
      <c r="J23" s="229">
        <f t="shared" si="3"/>
        <v>45833</v>
      </c>
      <c r="K23" s="230">
        <v>0</v>
      </c>
      <c r="L23" s="229">
        <f t="shared" si="4"/>
        <v>45833</v>
      </c>
      <c r="M23" s="230">
        <v>0</v>
      </c>
      <c r="N23" s="229">
        <f t="shared" si="5"/>
        <v>45833</v>
      </c>
      <c r="O23" s="230">
        <v>0</v>
      </c>
      <c r="P23" s="229">
        <f t="shared" si="6"/>
        <v>45833</v>
      </c>
      <c r="Q23" s="211">
        <f t="shared" si="7"/>
        <v>0</v>
      </c>
      <c r="R23" s="210">
        <v>45833</v>
      </c>
      <c r="S23" s="210">
        <f t="shared" si="8"/>
        <v>45674</v>
      </c>
      <c r="T23" s="210">
        <f t="shared" si="9"/>
        <v>45697</v>
      </c>
      <c r="U23" s="210">
        <f t="shared" si="10"/>
        <v>45757</v>
      </c>
      <c r="V23" s="221">
        <f>+C8-120</f>
        <v>45764</v>
      </c>
      <c r="W23" s="222"/>
      <c r="X23" s="214"/>
      <c r="Y23" s="215"/>
      <c r="Z23" s="216">
        <v>60</v>
      </c>
      <c r="AA23" s="217"/>
      <c r="AB23" s="218"/>
      <c r="AC23" s="208"/>
      <c r="AD23" s="208"/>
      <c r="AE23" s="208"/>
      <c r="AF23" s="208"/>
    </row>
    <row r="24" spans="1:32" x14ac:dyDescent="0.3">
      <c r="A24" s="207">
        <v>2.04</v>
      </c>
      <c r="B24" s="208" t="s">
        <v>839</v>
      </c>
      <c r="C24" s="209" t="s">
        <v>840</v>
      </c>
      <c r="D24" s="229">
        <v>45444</v>
      </c>
      <c r="E24" s="230">
        <v>21</v>
      </c>
      <c r="F24" s="229">
        <f t="shared" si="1"/>
        <v>45465</v>
      </c>
      <c r="G24" s="230">
        <v>21</v>
      </c>
      <c r="H24" s="229">
        <f t="shared" si="2"/>
        <v>45486</v>
      </c>
      <c r="I24" s="230">
        <v>15</v>
      </c>
      <c r="J24" s="229">
        <f t="shared" si="3"/>
        <v>45501</v>
      </c>
      <c r="K24" s="230">
        <v>160</v>
      </c>
      <c r="L24" s="229">
        <f t="shared" si="4"/>
        <v>45661</v>
      </c>
      <c r="M24" s="230">
        <v>60</v>
      </c>
      <c r="N24" s="229">
        <f t="shared" si="5"/>
        <v>45721</v>
      </c>
      <c r="O24" s="230">
        <v>5</v>
      </c>
      <c r="P24" s="229">
        <f t="shared" si="6"/>
        <v>45726</v>
      </c>
      <c r="Q24" s="211">
        <f t="shared" si="7"/>
        <v>282</v>
      </c>
      <c r="R24" s="210">
        <v>45833</v>
      </c>
      <c r="S24" s="210">
        <f t="shared" si="8"/>
        <v>45614</v>
      </c>
      <c r="T24" s="210">
        <f t="shared" si="9"/>
        <v>45637</v>
      </c>
      <c r="U24" s="210">
        <f t="shared" si="10"/>
        <v>45817</v>
      </c>
      <c r="V24" s="220">
        <f>+C8-60</f>
        <v>45824</v>
      </c>
      <c r="W24" s="213"/>
      <c r="X24" s="214"/>
      <c r="Y24" s="215"/>
      <c r="Z24" s="216">
        <v>180</v>
      </c>
      <c r="AA24" s="217"/>
      <c r="AB24" s="218"/>
      <c r="AC24" s="208"/>
      <c r="AD24" s="208"/>
      <c r="AE24" s="208"/>
      <c r="AF24" s="208"/>
    </row>
    <row r="25" spans="1:32" x14ac:dyDescent="0.3">
      <c r="A25" s="207">
        <v>2.04</v>
      </c>
      <c r="B25" s="208" t="s">
        <v>839</v>
      </c>
      <c r="C25" s="209" t="s">
        <v>841</v>
      </c>
      <c r="D25" s="229">
        <v>45444</v>
      </c>
      <c r="E25" s="230">
        <v>21</v>
      </c>
      <c r="F25" s="229">
        <f t="shared" si="1"/>
        <v>45465</v>
      </c>
      <c r="G25" s="230">
        <v>21</v>
      </c>
      <c r="H25" s="229">
        <f t="shared" si="2"/>
        <v>45486</v>
      </c>
      <c r="I25" s="230">
        <v>15</v>
      </c>
      <c r="J25" s="229">
        <f t="shared" si="3"/>
        <v>45501</v>
      </c>
      <c r="K25" s="230">
        <v>160</v>
      </c>
      <c r="L25" s="229">
        <f t="shared" si="4"/>
        <v>45661</v>
      </c>
      <c r="M25" s="230">
        <v>60</v>
      </c>
      <c r="N25" s="229">
        <f t="shared" si="5"/>
        <v>45721</v>
      </c>
      <c r="O25" s="230">
        <v>5</v>
      </c>
      <c r="P25" s="229">
        <f t="shared" si="6"/>
        <v>45726</v>
      </c>
      <c r="Q25" s="211">
        <f t="shared" si="7"/>
        <v>282</v>
      </c>
      <c r="R25" s="210">
        <v>45833</v>
      </c>
      <c r="S25" s="210">
        <f t="shared" si="8"/>
        <v>45614</v>
      </c>
      <c r="T25" s="210">
        <f t="shared" si="9"/>
        <v>45637</v>
      </c>
      <c r="U25" s="210">
        <f t="shared" si="10"/>
        <v>45817</v>
      </c>
      <c r="V25" s="220">
        <f>+C8-60</f>
        <v>45824</v>
      </c>
      <c r="W25" s="213"/>
      <c r="X25" s="214"/>
      <c r="Y25" s="215"/>
      <c r="Z25" s="216">
        <v>180</v>
      </c>
      <c r="AA25" s="217"/>
      <c r="AB25" s="218"/>
      <c r="AC25" s="208"/>
      <c r="AD25" s="208"/>
      <c r="AE25" s="208"/>
      <c r="AF25" s="208"/>
    </row>
    <row r="26" spans="1:32" x14ac:dyDescent="0.3">
      <c r="A26" s="207">
        <v>2.04</v>
      </c>
      <c r="B26" s="208" t="s">
        <v>839</v>
      </c>
      <c r="C26" s="209" t="s">
        <v>842</v>
      </c>
      <c r="D26" s="229">
        <v>45444</v>
      </c>
      <c r="E26" s="230">
        <v>21</v>
      </c>
      <c r="F26" s="229">
        <f t="shared" si="1"/>
        <v>45465</v>
      </c>
      <c r="G26" s="230">
        <v>21</v>
      </c>
      <c r="H26" s="229">
        <f t="shared" si="2"/>
        <v>45486</v>
      </c>
      <c r="I26" s="230">
        <v>15</v>
      </c>
      <c r="J26" s="229">
        <f t="shared" si="3"/>
        <v>45501</v>
      </c>
      <c r="K26" s="230">
        <v>160</v>
      </c>
      <c r="L26" s="229">
        <f t="shared" si="4"/>
        <v>45661</v>
      </c>
      <c r="M26" s="230">
        <v>60</v>
      </c>
      <c r="N26" s="229">
        <f t="shared" si="5"/>
        <v>45721</v>
      </c>
      <c r="O26" s="230">
        <v>5</v>
      </c>
      <c r="P26" s="229">
        <f t="shared" si="6"/>
        <v>45726</v>
      </c>
      <c r="Q26" s="211">
        <f t="shared" si="7"/>
        <v>282</v>
      </c>
      <c r="R26" s="210">
        <v>45833</v>
      </c>
      <c r="S26" s="210">
        <f t="shared" si="8"/>
        <v>45614</v>
      </c>
      <c r="T26" s="210">
        <f t="shared" si="9"/>
        <v>45637</v>
      </c>
      <c r="U26" s="210">
        <f t="shared" si="10"/>
        <v>45817</v>
      </c>
      <c r="V26" s="220">
        <f>+C8-60</f>
        <v>45824</v>
      </c>
      <c r="W26" s="213"/>
      <c r="X26" s="214"/>
      <c r="Y26" s="215"/>
      <c r="Z26" s="216">
        <v>180</v>
      </c>
      <c r="AA26" s="217"/>
      <c r="AB26" s="218"/>
      <c r="AC26" s="208"/>
      <c r="AD26" s="208"/>
      <c r="AE26" s="208"/>
      <c r="AF26" s="208"/>
    </row>
    <row r="27" spans="1:32" x14ac:dyDescent="0.3">
      <c r="A27" s="207">
        <v>2.04</v>
      </c>
      <c r="B27" s="208" t="s">
        <v>839</v>
      </c>
      <c r="C27" s="209" t="s">
        <v>843</v>
      </c>
      <c r="D27" s="229">
        <v>45413</v>
      </c>
      <c r="E27" s="230">
        <v>15</v>
      </c>
      <c r="F27" s="229">
        <f t="shared" si="1"/>
        <v>45428</v>
      </c>
      <c r="G27" s="230">
        <v>0</v>
      </c>
      <c r="H27" s="229">
        <f t="shared" si="2"/>
        <v>45428</v>
      </c>
      <c r="I27" s="230">
        <v>15</v>
      </c>
      <c r="J27" s="229">
        <f t="shared" si="3"/>
        <v>45443</v>
      </c>
      <c r="K27" s="230">
        <f>40*7</f>
        <v>280</v>
      </c>
      <c r="L27" s="229">
        <f t="shared" si="4"/>
        <v>45723</v>
      </c>
      <c r="M27" s="230">
        <v>21</v>
      </c>
      <c r="N27" s="229">
        <f t="shared" si="5"/>
        <v>45744</v>
      </c>
      <c r="O27" s="230">
        <v>5</v>
      </c>
      <c r="P27" s="229">
        <f t="shared" si="6"/>
        <v>45749</v>
      </c>
      <c r="Q27" s="211">
        <f t="shared" si="7"/>
        <v>336</v>
      </c>
      <c r="R27" s="210">
        <v>45833</v>
      </c>
      <c r="S27" s="210">
        <f t="shared" si="8"/>
        <v>45514</v>
      </c>
      <c r="T27" s="210">
        <f t="shared" si="9"/>
        <v>45537</v>
      </c>
      <c r="U27" s="210">
        <f t="shared" si="10"/>
        <v>45817</v>
      </c>
      <c r="V27" s="220">
        <f>+C8-60</f>
        <v>45824</v>
      </c>
      <c r="W27" s="213"/>
      <c r="X27" s="214"/>
      <c r="Y27" s="215"/>
      <c r="Z27" s="216">
        <v>280</v>
      </c>
      <c r="AA27" s="217"/>
      <c r="AB27" s="218"/>
      <c r="AC27" s="208"/>
      <c r="AD27" s="208"/>
      <c r="AE27" s="208"/>
      <c r="AF27" s="208"/>
    </row>
    <row r="28" spans="1:32" x14ac:dyDescent="0.3">
      <c r="A28" s="207">
        <v>2.04</v>
      </c>
      <c r="B28" s="208" t="s">
        <v>839</v>
      </c>
      <c r="C28" s="209" t="s">
        <v>844</v>
      </c>
      <c r="D28" s="229">
        <f>R28-(E28+G28+I28+K28+M28+O28)</f>
        <v>45670</v>
      </c>
      <c r="E28" s="230">
        <v>10</v>
      </c>
      <c r="F28" s="229">
        <f t="shared" si="1"/>
        <v>45680</v>
      </c>
      <c r="G28" s="230">
        <v>0</v>
      </c>
      <c r="H28" s="229">
        <f t="shared" si="2"/>
        <v>45680</v>
      </c>
      <c r="I28" s="230">
        <v>15</v>
      </c>
      <c r="J28" s="229">
        <f t="shared" si="3"/>
        <v>45695</v>
      </c>
      <c r="K28" s="230">
        <f>16*7</f>
        <v>112</v>
      </c>
      <c r="L28" s="229">
        <f t="shared" si="4"/>
        <v>45807</v>
      </c>
      <c r="M28" s="230">
        <v>21</v>
      </c>
      <c r="N28" s="229">
        <f t="shared" si="5"/>
        <v>45828</v>
      </c>
      <c r="O28" s="230">
        <v>5</v>
      </c>
      <c r="P28" s="229">
        <f t="shared" si="6"/>
        <v>45833</v>
      </c>
      <c r="Q28" s="211">
        <f t="shared" si="7"/>
        <v>163</v>
      </c>
      <c r="R28" s="210">
        <v>45833</v>
      </c>
      <c r="S28" s="210">
        <f t="shared" si="8"/>
        <v>-190</v>
      </c>
      <c r="T28" s="210">
        <f t="shared" si="9"/>
        <v>-167</v>
      </c>
      <c r="U28" s="210">
        <f t="shared" si="10"/>
        <v>-37</v>
      </c>
      <c r="V28" s="220">
        <f>+C6-30</f>
        <v>-30</v>
      </c>
      <c r="W28" s="213"/>
      <c r="X28" s="214"/>
      <c r="Y28" s="215"/>
      <c r="Z28" s="216">
        <v>130</v>
      </c>
      <c r="AA28" s="217"/>
      <c r="AB28" s="218"/>
      <c r="AC28" s="208"/>
      <c r="AD28" s="208"/>
      <c r="AE28" s="208"/>
      <c r="AF28" s="208"/>
    </row>
    <row r="29" spans="1:32" x14ac:dyDescent="0.3">
      <c r="A29" s="207">
        <v>2.0499999999999998</v>
      </c>
      <c r="B29" s="208" t="s">
        <v>845</v>
      </c>
      <c r="C29" s="209" t="s">
        <v>475</v>
      </c>
      <c r="D29" s="229">
        <f>R29-(E29+G29+I29+K29+M29+O29)</f>
        <v>45743</v>
      </c>
      <c r="E29" s="230">
        <v>10</v>
      </c>
      <c r="F29" s="229">
        <f t="shared" si="1"/>
        <v>45753</v>
      </c>
      <c r="G29" s="230">
        <v>0</v>
      </c>
      <c r="H29" s="229">
        <f t="shared" si="2"/>
        <v>45753</v>
      </c>
      <c r="I29" s="230">
        <v>15</v>
      </c>
      <c r="J29" s="229">
        <f t="shared" si="3"/>
        <v>45768</v>
      </c>
      <c r="K29" s="230">
        <v>60</v>
      </c>
      <c r="L29" s="229">
        <f t="shared" si="4"/>
        <v>45828</v>
      </c>
      <c r="M29" s="230">
        <v>0</v>
      </c>
      <c r="N29" s="229">
        <f t="shared" si="5"/>
        <v>45828</v>
      </c>
      <c r="O29" s="230">
        <v>5</v>
      </c>
      <c r="P29" s="229">
        <f t="shared" si="6"/>
        <v>45833</v>
      </c>
      <c r="Q29" s="211">
        <f t="shared" si="7"/>
        <v>90</v>
      </c>
      <c r="R29" s="210">
        <v>45833</v>
      </c>
      <c r="S29" s="210">
        <f t="shared" si="8"/>
        <v>45674</v>
      </c>
      <c r="T29" s="210">
        <f t="shared" si="9"/>
        <v>45697</v>
      </c>
      <c r="U29" s="210">
        <f t="shared" si="10"/>
        <v>45757</v>
      </c>
      <c r="V29" s="220">
        <f>+C8-120</f>
        <v>45764</v>
      </c>
      <c r="W29" s="213"/>
      <c r="X29" s="214"/>
      <c r="Y29" s="215"/>
      <c r="Z29" s="216">
        <v>60</v>
      </c>
      <c r="AA29" s="217"/>
      <c r="AB29" s="218"/>
      <c r="AC29" s="208"/>
      <c r="AD29" s="208"/>
      <c r="AE29" s="208"/>
      <c r="AF29" s="208"/>
    </row>
    <row r="30" spans="1:32" x14ac:dyDescent="0.3">
      <c r="A30" s="531" t="s">
        <v>846</v>
      </c>
      <c r="B30" s="532"/>
      <c r="C30" s="532"/>
      <c r="D30" s="532"/>
      <c r="E30" s="532"/>
      <c r="F30" s="532"/>
      <c r="G30" s="532"/>
      <c r="H30" s="532"/>
      <c r="I30" s="532"/>
      <c r="J30" s="532"/>
      <c r="K30" s="532"/>
      <c r="L30" s="532"/>
      <c r="M30" s="532"/>
      <c r="N30" s="532"/>
      <c r="O30" s="532"/>
      <c r="P30" s="532"/>
      <c r="Q30" s="532"/>
      <c r="R30" s="532"/>
      <c r="S30" s="532"/>
      <c r="T30" s="532"/>
      <c r="U30" s="532"/>
      <c r="V30" s="532"/>
      <c r="W30" s="532"/>
      <c r="X30" s="532"/>
      <c r="Y30" s="532"/>
      <c r="Z30" s="532"/>
      <c r="AA30" s="208"/>
      <c r="AB30" s="208"/>
      <c r="AC30" s="208"/>
      <c r="AD30" s="208"/>
      <c r="AE30" s="208"/>
      <c r="AF30" s="208"/>
    </row>
    <row r="31" spans="1:32" x14ac:dyDescent="0.3">
      <c r="A31" s="207">
        <v>3.03</v>
      </c>
      <c r="B31" s="208" t="s">
        <v>65</v>
      </c>
      <c r="C31" s="209" t="s">
        <v>847</v>
      </c>
      <c r="D31" s="229">
        <f>R31-(E31+G31+I31+K31+M31+O31)</f>
        <v>45733</v>
      </c>
      <c r="E31" s="230">
        <v>15</v>
      </c>
      <c r="F31" s="229">
        <f>D31+E31</f>
        <v>45748</v>
      </c>
      <c r="G31" s="230">
        <v>0</v>
      </c>
      <c r="H31" s="229">
        <f>F31+G31</f>
        <v>45748</v>
      </c>
      <c r="I31" s="230">
        <v>15</v>
      </c>
      <c r="J31" s="229">
        <f>H31+I31</f>
        <v>45763</v>
      </c>
      <c r="K31" s="230">
        <v>60</v>
      </c>
      <c r="L31" s="229">
        <f>J31+K31</f>
        <v>45823</v>
      </c>
      <c r="M31" s="230">
        <v>0</v>
      </c>
      <c r="N31" s="229">
        <f>L31+M31</f>
        <v>45823</v>
      </c>
      <c r="O31" s="230">
        <v>10</v>
      </c>
      <c r="P31" s="229">
        <f>N31+O31</f>
        <v>45833</v>
      </c>
      <c r="Q31" s="211">
        <f>O31+M31+K31+I31+G31+E31</f>
        <v>100</v>
      </c>
      <c r="R31" s="210">
        <v>45833</v>
      </c>
      <c r="S31" s="210">
        <f>+T31-23</f>
        <v>-270</v>
      </c>
      <c r="T31" s="210">
        <f>+U31-Z31</f>
        <v>-247</v>
      </c>
      <c r="U31" s="210">
        <f>+V31-7</f>
        <v>-127</v>
      </c>
      <c r="V31" s="220">
        <f>+C10-120</f>
        <v>-120</v>
      </c>
      <c r="W31" s="222"/>
      <c r="X31" s="214"/>
      <c r="Y31" s="215"/>
      <c r="Z31" s="216">
        <v>120</v>
      </c>
      <c r="AA31" s="217"/>
      <c r="AB31" s="208"/>
      <c r="AC31" s="208"/>
      <c r="AD31" s="208"/>
      <c r="AE31" s="208"/>
      <c r="AF31" s="208"/>
    </row>
    <row r="32" spans="1:32" x14ac:dyDescent="0.3">
      <c r="A32" s="207">
        <v>3.04</v>
      </c>
      <c r="B32" s="208" t="s">
        <v>66</v>
      </c>
      <c r="C32" s="209" t="s">
        <v>848</v>
      </c>
      <c r="D32" s="229">
        <f>R32-(E32+G32+I32+K32+M32+O32)</f>
        <v>45773</v>
      </c>
      <c r="E32" s="230">
        <v>7</v>
      </c>
      <c r="F32" s="229">
        <f>D32+E32</f>
        <v>45780</v>
      </c>
      <c r="G32" s="230">
        <v>0</v>
      </c>
      <c r="H32" s="229">
        <f>F32+G32</f>
        <v>45780</v>
      </c>
      <c r="I32" s="230">
        <v>5</v>
      </c>
      <c r="J32" s="229">
        <f>H32+I32</f>
        <v>45785</v>
      </c>
      <c r="K32" s="230">
        <v>45</v>
      </c>
      <c r="L32" s="229">
        <f>J32+K32</f>
        <v>45830</v>
      </c>
      <c r="M32" s="230">
        <v>0</v>
      </c>
      <c r="N32" s="229">
        <f>L32+M32</f>
        <v>45830</v>
      </c>
      <c r="O32" s="230">
        <v>3</v>
      </c>
      <c r="P32" s="229">
        <f>N32+O32</f>
        <v>45833</v>
      </c>
      <c r="Q32" s="211">
        <f>O32+M32+K32+I32+G32+E32</f>
        <v>60</v>
      </c>
      <c r="R32" s="210">
        <v>45833</v>
      </c>
      <c r="S32" s="210">
        <f>+T32-23</f>
        <v>45689</v>
      </c>
      <c r="T32" s="210">
        <f>+U32-Z32</f>
        <v>45712</v>
      </c>
      <c r="U32" s="210">
        <f>+V32-7</f>
        <v>45757</v>
      </c>
      <c r="V32" s="220">
        <f>+C8-120</f>
        <v>45764</v>
      </c>
      <c r="W32" s="213"/>
      <c r="X32" s="214"/>
      <c r="Y32" s="215"/>
      <c r="Z32" s="216">
        <v>45</v>
      </c>
      <c r="AA32" s="217"/>
      <c r="AB32" s="208"/>
      <c r="AC32" s="208"/>
      <c r="AD32" s="208"/>
      <c r="AE32" s="208"/>
      <c r="AF32" s="208"/>
    </row>
    <row r="33" spans="1:32" x14ac:dyDescent="0.3">
      <c r="A33" s="207">
        <v>3.04</v>
      </c>
      <c r="B33" s="208" t="s">
        <v>66</v>
      </c>
      <c r="C33" s="209" t="s">
        <v>849</v>
      </c>
      <c r="D33" s="229">
        <f>R33-(E33+G33+I33+K33+M33+O33)</f>
        <v>45773</v>
      </c>
      <c r="E33" s="230">
        <v>7</v>
      </c>
      <c r="F33" s="229">
        <f>D33+E33</f>
        <v>45780</v>
      </c>
      <c r="G33" s="230">
        <v>0</v>
      </c>
      <c r="H33" s="229">
        <f>F33+G33</f>
        <v>45780</v>
      </c>
      <c r="I33" s="230">
        <v>5</v>
      </c>
      <c r="J33" s="229">
        <f>H33+I33</f>
        <v>45785</v>
      </c>
      <c r="K33" s="230">
        <v>45</v>
      </c>
      <c r="L33" s="229">
        <f>J33+K33</f>
        <v>45830</v>
      </c>
      <c r="M33" s="230">
        <v>0</v>
      </c>
      <c r="N33" s="229">
        <f>L33+M33</f>
        <v>45830</v>
      </c>
      <c r="O33" s="230">
        <v>3</v>
      </c>
      <c r="P33" s="229">
        <f>N33+O33</f>
        <v>45833</v>
      </c>
      <c r="Q33" s="211">
        <f>O33+M33+K33+I33+G33+E33</f>
        <v>60</v>
      </c>
      <c r="R33" s="210">
        <v>45833</v>
      </c>
      <c r="S33" s="210">
        <f>+T33-23</f>
        <v>45689</v>
      </c>
      <c r="T33" s="210">
        <f>+U33-Z33</f>
        <v>45712</v>
      </c>
      <c r="U33" s="210">
        <f>+V33-7</f>
        <v>45757</v>
      </c>
      <c r="V33" s="220">
        <f>+C8-120</f>
        <v>45764</v>
      </c>
      <c r="W33" s="213"/>
      <c r="X33" s="214"/>
      <c r="Y33" s="215"/>
      <c r="Z33" s="216">
        <v>45</v>
      </c>
      <c r="AA33" s="217"/>
      <c r="AB33" s="208"/>
      <c r="AC33" s="208"/>
      <c r="AD33" s="208"/>
      <c r="AE33" s="208"/>
      <c r="AF33" s="208"/>
    </row>
    <row r="34" spans="1:32" x14ac:dyDescent="0.3">
      <c r="A34" s="531" t="s">
        <v>850</v>
      </c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2"/>
      <c r="N34" s="532"/>
      <c r="O34" s="532"/>
      <c r="P34" s="532"/>
      <c r="Q34" s="532"/>
      <c r="R34" s="532"/>
      <c r="S34" s="532"/>
      <c r="T34" s="532"/>
      <c r="U34" s="532"/>
      <c r="V34" s="532"/>
      <c r="W34" s="532"/>
      <c r="X34" s="532"/>
      <c r="Y34" s="532"/>
      <c r="Z34" s="532"/>
      <c r="AA34" s="217"/>
      <c r="AB34" s="208"/>
      <c r="AC34" s="208"/>
      <c r="AD34" s="208"/>
      <c r="AE34" s="208"/>
      <c r="AF34" s="208"/>
    </row>
    <row r="35" spans="1:32" ht="28.8" x14ac:dyDescent="0.3">
      <c r="A35" s="207">
        <v>4.03</v>
      </c>
      <c r="B35" s="223" t="s">
        <v>851</v>
      </c>
      <c r="C35" s="224" t="s">
        <v>852</v>
      </c>
      <c r="D35" s="229">
        <f>R35-(E35+G35+I35+K35+M35+O35)</f>
        <v>45717</v>
      </c>
      <c r="E35" s="230">
        <v>15</v>
      </c>
      <c r="F35" s="229">
        <f>D35+E35</f>
        <v>45732</v>
      </c>
      <c r="G35" s="230">
        <v>21</v>
      </c>
      <c r="H35" s="229">
        <f>F35+G35</f>
        <v>45753</v>
      </c>
      <c r="I35" s="230">
        <v>15</v>
      </c>
      <c r="J35" s="229">
        <f>H35+I35</f>
        <v>45768</v>
      </c>
      <c r="K35" s="230">
        <v>60</v>
      </c>
      <c r="L35" s="229">
        <f>J35+K35</f>
        <v>45828</v>
      </c>
      <c r="M35" s="230">
        <v>0</v>
      </c>
      <c r="N35" s="229">
        <f>L35+M35</f>
        <v>45828</v>
      </c>
      <c r="O35" s="230">
        <v>5</v>
      </c>
      <c r="P35" s="229">
        <f>N35+O35</f>
        <v>45833</v>
      </c>
      <c r="Q35" s="211">
        <f>O35+M35+K35+I35+G35+E35</f>
        <v>116</v>
      </c>
      <c r="R35" s="210">
        <v>45833</v>
      </c>
      <c r="S35" s="210">
        <f>+T35-23</f>
        <v>45644</v>
      </c>
      <c r="T35" s="210">
        <f>+U35-Z35</f>
        <v>45667</v>
      </c>
      <c r="U35" s="210">
        <f>+V35-7</f>
        <v>45757</v>
      </c>
      <c r="V35" s="220">
        <f>+C8-120</f>
        <v>45764</v>
      </c>
      <c r="W35" s="222"/>
      <c r="X35" s="214"/>
      <c r="Y35" s="215"/>
      <c r="Z35" s="216">
        <v>90</v>
      </c>
      <c r="AA35" s="217"/>
      <c r="AB35" s="208"/>
      <c r="AC35" s="208"/>
      <c r="AD35" s="208"/>
      <c r="AE35" s="208"/>
      <c r="AF35" s="208"/>
    </row>
    <row r="36" spans="1:32" ht="28.8" x14ac:dyDescent="0.3">
      <c r="A36" s="207">
        <v>4.03</v>
      </c>
      <c r="B36" s="223" t="s">
        <v>851</v>
      </c>
      <c r="C36" s="224" t="s">
        <v>853</v>
      </c>
      <c r="D36" s="229">
        <f>R36-(E36+G36+I36+K36+M36+O36)</f>
        <v>45722</v>
      </c>
      <c r="E36" s="230">
        <v>10</v>
      </c>
      <c r="F36" s="229">
        <f>D36+E36</f>
        <v>45732</v>
      </c>
      <c r="G36" s="230">
        <v>21</v>
      </c>
      <c r="H36" s="229">
        <f>F36+G36</f>
        <v>45753</v>
      </c>
      <c r="I36" s="230">
        <v>15</v>
      </c>
      <c r="J36" s="229">
        <f>H36+I36</f>
        <v>45768</v>
      </c>
      <c r="K36" s="230">
        <v>60</v>
      </c>
      <c r="L36" s="229">
        <f>J36+K36</f>
        <v>45828</v>
      </c>
      <c r="M36" s="230">
        <v>0</v>
      </c>
      <c r="N36" s="229">
        <f>L36+M36</f>
        <v>45828</v>
      </c>
      <c r="O36" s="230">
        <v>5</v>
      </c>
      <c r="P36" s="229">
        <f>N36+O36</f>
        <v>45833</v>
      </c>
      <c r="Q36" s="211">
        <f>O36+M36+K36+I36+G36+E36</f>
        <v>111</v>
      </c>
      <c r="R36" s="210">
        <v>45833</v>
      </c>
      <c r="S36" s="210">
        <f>+T36-23</f>
        <v>45644</v>
      </c>
      <c r="T36" s="210">
        <f>+U36-Z36</f>
        <v>45667</v>
      </c>
      <c r="U36" s="210">
        <f>+V36-7</f>
        <v>45757</v>
      </c>
      <c r="V36" s="220">
        <f>+C8-120</f>
        <v>45764</v>
      </c>
      <c r="W36" s="222"/>
      <c r="X36" s="214"/>
      <c r="Y36" s="215"/>
      <c r="Z36" s="216">
        <v>90</v>
      </c>
      <c r="AA36" s="217"/>
      <c r="AB36" s="208"/>
      <c r="AC36" s="208"/>
      <c r="AD36" s="208"/>
      <c r="AE36" s="208"/>
      <c r="AF36" s="208"/>
    </row>
    <row r="37" spans="1:32" x14ac:dyDescent="0.3">
      <c r="A37" s="531" t="s">
        <v>854</v>
      </c>
      <c r="B37" s="532"/>
      <c r="C37" s="532"/>
      <c r="D37" s="532"/>
      <c r="E37" s="532"/>
      <c r="F37" s="532"/>
      <c r="G37" s="532"/>
      <c r="H37" s="532"/>
      <c r="I37" s="532"/>
      <c r="J37" s="532"/>
      <c r="K37" s="532"/>
      <c r="L37" s="532"/>
      <c r="M37" s="532"/>
      <c r="N37" s="532"/>
      <c r="O37" s="532"/>
      <c r="P37" s="532"/>
      <c r="Q37" s="532"/>
      <c r="R37" s="532"/>
      <c r="S37" s="532"/>
      <c r="T37" s="532"/>
      <c r="U37" s="532"/>
      <c r="V37" s="532"/>
      <c r="W37" s="532"/>
      <c r="X37" s="532"/>
      <c r="Y37" s="532"/>
      <c r="Z37" s="532"/>
      <c r="AA37" s="217"/>
      <c r="AB37" s="218"/>
      <c r="AC37" s="208"/>
      <c r="AD37" s="208"/>
      <c r="AE37" s="208"/>
      <c r="AF37" s="208"/>
    </row>
    <row r="38" spans="1:32" x14ac:dyDescent="0.3">
      <c r="A38" s="207">
        <v>5.01</v>
      </c>
      <c r="B38" s="208" t="s">
        <v>73</v>
      </c>
      <c r="C38" s="209" t="s">
        <v>855</v>
      </c>
      <c r="D38" s="229">
        <f t="shared" ref="D38:D45" si="11">R38-(E38+G38+I38+K38+M38+O38)</f>
        <v>45678</v>
      </c>
      <c r="E38" s="230">
        <v>60</v>
      </c>
      <c r="F38" s="229">
        <f t="shared" ref="F38:F66" si="12">D38+E38</f>
        <v>45738</v>
      </c>
      <c r="G38" s="230">
        <v>21</v>
      </c>
      <c r="H38" s="229">
        <f t="shared" ref="H38:H66" si="13">F38+G38</f>
        <v>45759</v>
      </c>
      <c r="I38" s="230">
        <v>20</v>
      </c>
      <c r="J38" s="229">
        <f t="shared" ref="J38:J66" si="14">H38+I38</f>
        <v>45779</v>
      </c>
      <c r="K38" s="230">
        <v>20</v>
      </c>
      <c r="L38" s="229">
        <f t="shared" ref="L38:L66" si="15">J38+K38</f>
        <v>45799</v>
      </c>
      <c r="M38" s="230">
        <v>31</v>
      </c>
      <c r="N38" s="229">
        <f t="shared" ref="N38:N66" si="16">L38+M38</f>
        <v>45830</v>
      </c>
      <c r="O38" s="230">
        <v>3</v>
      </c>
      <c r="P38" s="229">
        <f t="shared" ref="P38:P66" si="17">N38+O38</f>
        <v>45833</v>
      </c>
      <c r="Q38" s="211">
        <f t="shared" ref="Q38:Q66" si="18">O38+M38+K38+I38+G38+E38</f>
        <v>155</v>
      </c>
      <c r="R38" s="210">
        <v>45833</v>
      </c>
      <c r="S38" s="210">
        <f t="shared" ref="S38:S66" si="19">+T38-23</f>
        <v>45644</v>
      </c>
      <c r="T38" s="210">
        <f t="shared" ref="T38:T66" si="20">+U38-Z38</f>
        <v>45667</v>
      </c>
      <c r="U38" s="210">
        <f t="shared" ref="U38:U66" si="21">+V38-7</f>
        <v>45757</v>
      </c>
      <c r="V38" s="220">
        <f t="shared" ref="V38:V66" si="22">+$C$8-120</f>
        <v>45764</v>
      </c>
      <c r="W38" s="222"/>
      <c r="X38" s="214"/>
      <c r="Y38" s="215"/>
      <c r="Z38" s="225">
        <v>90</v>
      </c>
      <c r="AA38" s="217"/>
      <c r="AB38" s="218"/>
      <c r="AC38" s="208"/>
      <c r="AD38" s="208"/>
      <c r="AE38" s="208"/>
      <c r="AF38" s="208"/>
    </row>
    <row r="39" spans="1:32" x14ac:dyDescent="0.3">
      <c r="A39" s="207">
        <v>5.01</v>
      </c>
      <c r="B39" s="208" t="s">
        <v>73</v>
      </c>
      <c r="C39" s="209" t="s">
        <v>856</v>
      </c>
      <c r="D39" s="229">
        <f t="shared" si="11"/>
        <v>45653</v>
      </c>
      <c r="E39" s="230">
        <v>60</v>
      </c>
      <c r="F39" s="229">
        <f t="shared" si="12"/>
        <v>45713</v>
      </c>
      <c r="G39" s="230">
        <v>21</v>
      </c>
      <c r="H39" s="229">
        <f t="shared" si="13"/>
        <v>45734</v>
      </c>
      <c r="I39" s="230">
        <v>20</v>
      </c>
      <c r="J39" s="229">
        <f t="shared" si="14"/>
        <v>45754</v>
      </c>
      <c r="K39" s="230">
        <v>45</v>
      </c>
      <c r="L39" s="229">
        <f t="shared" si="15"/>
        <v>45799</v>
      </c>
      <c r="M39" s="230">
        <v>31</v>
      </c>
      <c r="N39" s="229">
        <f t="shared" si="16"/>
        <v>45830</v>
      </c>
      <c r="O39" s="230">
        <v>3</v>
      </c>
      <c r="P39" s="229">
        <f t="shared" si="17"/>
        <v>45833</v>
      </c>
      <c r="Q39" s="211">
        <f t="shared" si="18"/>
        <v>180</v>
      </c>
      <c r="R39" s="210">
        <v>45833</v>
      </c>
      <c r="S39" s="210">
        <f t="shared" si="19"/>
        <v>45644</v>
      </c>
      <c r="T39" s="210">
        <f t="shared" si="20"/>
        <v>45667</v>
      </c>
      <c r="U39" s="210">
        <f t="shared" si="21"/>
        <v>45757</v>
      </c>
      <c r="V39" s="220">
        <f t="shared" si="22"/>
        <v>45764</v>
      </c>
      <c r="W39" s="222"/>
      <c r="X39" s="214"/>
      <c r="Y39" s="215"/>
      <c r="Z39" s="225">
        <v>90</v>
      </c>
      <c r="AA39" s="217"/>
      <c r="AB39" s="218"/>
      <c r="AC39" s="208"/>
      <c r="AD39" s="208"/>
      <c r="AE39" s="208"/>
      <c r="AF39" s="208"/>
    </row>
    <row r="40" spans="1:32" x14ac:dyDescent="0.3">
      <c r="A40" s="207">
        <v>5.01</v>
      </c>
      <c r="B40" s="208" t="s">
        <v>73</v>
      </c>
      <c r="C40" s="209" t="s">
        <v>857</v>
      </c>
      <c r="D40" s="229">
        <f t="shared" si="11"/>
        <v>45678</v>
      </c>
      <c r="E40" s="230">
        <v>60</v>
      </c>
      <c r="F40" s="229">
        <f t="shared" si="12"/>
        <v>45738</v>
      </c>
      <c r="G40" s="230">
        <v>21</v>
      </c>
      <c r="H40" s="229">
        <f t="shared" si="13"/>
        <v>45759</v>
      </c>
      <c r="I40" s="230">
        <v>20</v>
      </c>
      <c r="J40" s="229">
        <f t="shared" si="14"/>
        <v>45779</v>
      </c>
      <c r="K40" s="230">
        <v>20</v>
      </c>
      <c r="L40" s="229">
        <f t="shared" si="15"/>
        <v>45799</v>
      </c>
      <c r="M40" s="230">
        <v>31</v>
      </c>
      <c r="N40" s="229">
        <f t="shared" si="16"/>
        <v>45830</v>
      </c>
      <c r="O40" s="230">
        <v>3</v>
      </c>
      <c r="P40" s="229">
        <f t="shared" si="17"/>
        <v>45833</v>
      </c>
      <c r="Q40" s="211">
        <f t="shared" si="18"/>
        <v>155</v>
      </c>
      <c r="R40" s="210">
        <v>45833</v>
      </c>
      <c r="S40" s="210">
        <f t="shared" si="19"/>
        <v>45644</v>
      </c>
      <c r="T40" s="210">
        <f t="shared" si="20"/>
        <v>45667</v>
      </c>
      <c r="U40" s="210">
        <f t="shared" si="21"/>
        <v>45757</v>
      </c>
      <c r="V40" s="220">
        <f t="shared" si="22"/>
        <v>45764</v>
      </c>
      <c r="W40" s="222"/>
      <c r="X40" s="214"/>
      <c r="Y40" s="215"/>
      <c r="Z40" s="225">
        <v>90</v>
      </c>
      <c r="AA40" s="217"/>
      <c r="AB40" s="218"/>
      <c r="AC40" s="208"/>
      <c r="AD40" s="208"/>
      <c r="AE40" s="208"/>
      <c r="AF40" s="208"/>
    </row>
    <row r="41" spans="1:32" x14ac:dyDescent="0.3">
      <c r="A41" s="207">
        <v>5.01</v>
      </c>
      <c r="B41" s="208" t="s">
        <v>73</v>
      </c>
      <c r="C41" s="209" t="s">
        <v>858</v>
      </c>
      <c r="D41" s="229">
        <f t="shared" si="11"/>
        <v>45678</v>
      </c>
      <c r="E41" s="230">
        <v>60</v>
      </c>
      <c r="F41" s="229">
        <f t="shared" si="12"/>
        <v>45738</v>
      </c>
      <c r="G41" s="230">
        <v>21</v>
      </c>
      <c r="H41" s="229">
        <f t="shared" si="13"/>
        <v>45759</v>
      </c>
      <c r="I41" s="230">
        <v>20</v>
      </c>
      <c r="J41" s="229">
        <f t="shared" si="14"/>
        <v>45779</v>
      </c>
      <c r="K41" s="230">
        <v>20</v>
      </c>
      <c r="L41" s="229">
        <f t="shared" si="15"/>
        <v>45799</v>
      </c>
      <c r="M41" s="230">
        <v>31</v>
      </c>
      <c r="N41" s="229">
        <f t="shared" si="16"/>
        <v>45830</v>
      </c>
      <c r="O41" s="230">
        <v>3</v>
      </c>
      <c r="P41" s="229">
        <f t="shared" si="17"/>
        <v>45833</v>
      </c>
      <c r="Q41" s="211">
        <f t="shared" si="18"/>
        <v>155</v>
      </c>
      <c r="R41" s="210">
        <v>45833</v>
      </c>
      <c r="S41" s="210">
        <f t="shared" si="19"/>
        <v>45644</v>
      </c>
      <c r="T41" s="210">
        <f t="shared" si="20"/>
        <v>45667</v>
      </c>
      <c r="U41" s="210">
        <f t="shared" si="21"/>
        <v>45757</v>
      </c>
      <c r="V41" s="220">
        <f t="shared" si="22"/>
        <v>45764</v>
      </c>
      <c r="W41" s="222"/>
      <c r="X41" s="214"/>
      <c r="Y41" s="215"/>
      <c r="Z41" s="225">
        <v>90</v>
      </c>
      <c r="AA41" s="217"/>
      <c r="AB41" s="218"/>
      <c r="AC41" s="208"/>
      <c r="AD41" s="208"/>
      <c r="AE41" s="208"/>
      <c r="AF41" s="208"/>
    </row>
    <row r="42" spans="1:32" x14ac:dyDescent="0.3">
      <c r="A42" s="207">
        <v>5.01</v>
      </c>
      <c r="B42" s="208" t="s">
        <v>73</v>
      </c>
      <c r="C42" s="209" t="s">
        <v>859</v>
      </c>
      <c r="D42" s="229">
        <f t="shared" si="11"/>
        <v>45678</v>
      </c>
      <c r="E42" s="230">
        <v>60</v>
      </c>
      <c r="F42" s="229">
        <f t="shared" si="12"/>
        <v>45738</v>
      </c>
      <c r="G42" s="230">
        <v>21</v>
      </c>
      <c r="H42" s="229">
        <f t="shared" si="13"/>
        <v>45759</v>
      </c>
      <c r="I42" s="230">
        <v>20</v>
      </c>
      <c r="J42" s="229">
        <f t="shared" si="14"/>
        <v>45779</v>
      </c>
      <c r="K42" s="230">
        <v>20</v>
      </c>
      <c r="L42" s="229">
        <f t="shared" si="15"/>
        <v>45799</v>
      </c>
      <c r="M42" s="230">
        <v>31</v>
      </c>
      <c r="N42" s="229">
        <f t="shared" si="16"/>
        <v>45830</v>
      </c>
      <c r="O42" s="230">
        <v>3</v>
      </c>
      <c r="P42" s="229">
        <f t="shared" si="17"/>
        <v>45833</v>
      </c>
      <c r="Q42" s="211">
        <f t="shared" si="18"/>
        <v>155</v>
      </c>
      <c r="R42" s="210">
        <v>45833</v>
      </c>
      <c r="S42" s="210">
        <f t="shared" si="19"/>
        <v>45644</v>
      </c>
      <c r="T42" s="210">
        <f t="shared" si="20"/>
        <v>45667</v>
      </c>
      <c r="U42" s="210">
        <f t="shared" si="21"/>
        <v>45757</v>
      </c>
      <c r="V42" s="220">
        <f t="shared" si="22"/>
        <v>45764</v>
      </c>
      <c r="W42" s="222"/>
      <c r="X42" s="214"/>
      <c r="Y42" s="215"/>
      <c r="Z42" s="225">
        <v>90</v>
      </c>
      <c r="AA42" s="217"/>
      <c r="AB42" s="218"/>
      <c r="AC42" s="208"/>
      <c r="AD42" s="208"/>
      <c r="AE42" s="208"/>
      <c r="AF42" s="208"/>
    </row>
    <row r="43" spans="1:32" x14ac:dyDescent="0.3">
      <c r="A43" s="207">
        <v>5.0199999999999996</v>
      </c>
      <c r="B43" s="208" t="s">
        <v>74</v>
      </c>
      <c r="C43" s="209" t="s">
        <v>860</v>
      </c>
      <c r="D43" s="229">
        <f t="shared" si="11"/>
        <v>45678</v>
      </c>
      <c r="E43" s="230">
        <v>60</v>
      </c>
      <c r="F43" s="229">
        <f t="shared" si="12"/>
        <v>45738</v>
      </c>
      <c r="G43" s="230">
        <v>21</v>
      </c>
      <c r="H43" s="229">
        <f t="shared" si="13"/>
        <v>45759</v>
      </c>
      <c r="I43" s="230">
        <v>20</v>
      </c>
      <c r="J43" s="229">
        <f t="shared" si="14"/>
        <v>45779</v>
      </c>
      <c r="K43" s="230">
        <v>20</v>
      </c>
      <c r="L43" s="229">
        <f t="shared" si="15"/>
        <v>45799</v>
      </c>
      <c r="M43" s="230">
        <v>31</v>
      </c>
      <c r="N43" s="229">
        <f t="shared" si="16"/>
        <v>45830</v>
      </c>
      <c r="O43" s="230">
        <v>3</v>
      </c>
      <c r="P43" s="229">
        <f t="shared" si="17"/>
        <v>45833</v>
      </c>
      <c r="Q43" s="211">
        <f t="shared" si="18"/>
        <v>155</v>
      </c>
      <c r="R43" s="210">
        <v>45833</v>
      </c>
      <c r="S43" s="210">
        <f t="shared" si="19"/>
        <v>45644</v>
      </c>
      <c r="T43" s="210">
        <f t="shared" si="20"/>
        <v>45667</v>
      </c>
      <c r="U43" s="210">
        <f t="shared" si="21"/>
        <v>45757</v>
      </c>
      <c r="V43" s="220">
        <f t="shared" si="22"/>
        <v>45764</v>
      </c>
      <c r="W43" s="222"/>
      <c r="X43" s="214"/>
      <c r="Y43" s="215"/>
      <c r="Z43" s="225">
        <v>90</v>
      </c>
      <c r="AA43" s="217"/>
      <c r="AB43" s="218"/>
      <c r="AC43" s="208"/>
      <c r="AD43" s="208"/>
      <c r="AE43" s="208"/>
      <c r="AF43" s="208"/>
    </row>
    <row r="44" spans="1:32" x14ac:dyDescent="0.3">
      <c r="A44" s="207">
        <v>5.0199999999999996</v>
      </c>
      <c r="B44" s="208" t="s">
        <v>74</v>
      </c>
      <c r="C44" s="209" t="s">
        <v>861</v>
      </c>
      <c r="D44" s="229">
        <f t="shared" si="11"/>
        <v>45678</v>
      </c>
      <c r="E44" s="230">
        <v>60</v>
      </c>
      <c r="F44" s="229">
        <f t="shared" si="12"/>
        <v>45738</v>
      </c>
      <c r="G44" s="230">
        <v>21</v>
      </c>
      <c r="H44" s="229">
        <f t="shared" si="13"/>
        <v>45759</v>
      </c>
      <c r="I44" s="230">
        <v>20</v>
      </c>
      <c r="J44" s="229">
        <f t="shared" si="14"/>
        <v>45779</v>
      </c>
      <c r="K44" s="230">
        <v>20</v>
      </c>
      <c r="L44" s="229">
        <f t="shared" si="15"/>
        <v>45799</v>
      </c>
      <c r="M44" s="230">
        <v>31</v>
      </c>
      <c r="N44" s="229">
        <f t="shared" si="16"/>
        <v>45830</v>
      </c>
      <c r="O44" s="230">
        <v>3</v>
      </c>
      <c r="P44" s="229">
        <f t="shared" si="17"/>
        <v>45833</v>
      </c>
      <c r="Q44" s="211">
        <f t="shared" si="18"/>
        <v>155</v>
      </c>
      <c r="R44" s="210">
        <v>45833</v>
      </c>
      <c r="S44" s="210">
        <f t="shared" si="19"/>
        <v>45644</v>
      </c>
      <c r="T44" s="210">
        <f t="shared" si="20"/>
        <v>45667</v>
      </c>
      <c r="U44" s="210">
        <f t="shared" si="21"/>
        <v>45757</v>
      </c>
      <c r="V44" s="220">
        <f t="shared" si="22"/>
        <v>45764</v>
      </c>
      <c r="W44" s="222"/>
      <c r="X44" s="214"/>
      <c r="Y44" s="215"/>
      <c r="Z44" s="225">
        <v>90</v>
      </c>
      <c r="AA44" s="217"/>
      <c r="AB44" s="218"/>
      <c r="AC44" s="208"/>
      <c r="AD44" s="208"/>
      <c r="AE44" s="208"/>
      <c r="AF44" s="208"/>
    </row>
    <row r="45" spans="1:32" x14ac:dyDescent="0.3">
      <c r="A45" s="207">
        <v>5.0199999999999996</v>
      </c>
      <c r="B45" s="208" t="s">
        <v>74</v>
      </c>
      <c r="C45" s="209" t="s">
        <v>862</v>
      </c>
      <c r="D45" s="229">
        <f t="shared" si="11"/>
        <v>45678</v>
      </c>
      <c r="E45" s="230">
        <v>60</v>
      </c>
      <c r="F45" s="229">
        <f t="shared" si="12"/>
        <v>45738</v>
      </c>
      <c r="G45" s="230">
        <v>21</v>
      </c>
      <c r="H45" s="229">
        <f t="shared" si="13"/>
        <v>45759</v>
      </c>
      <c r="I45" s="230">
        <v>20</v>
      </c>
      <c r="J45" s="229">
        <f t="shared" si="14"/>
        <v>45779</v>
      </c>
      <c r="K45" s="230">
        <v>20</v>
      </c>
      <c r="L45" s="229">
        <f t="shared" si="15"/>
        <v>45799</v>
      </c>
      <c r="M45" s="230">
        <v>31</v>
      </c>
      <c r="N45" s="229">
        <f t="shared" si="16"/>
        <v>45830</v>
      </c>
      <c r="O45" s="230">
        <v>3</v>
      </c>
      <c r="P45" s="229">
        <f t="shared" si="17"/>
        <v>45833</v>
      </c>
      <c r="Q45" s="211">
        <f t="shared" si="18"/>
        <v>155</v>
      </c>
      <c r="R45" s="210">
        <v>45833</v>
      </c>
      <c r="S45" s="210">
        <f t="shared" si="19"/>
        <v>45644</v>
      </c>
      <c r="T45" s="210">
        <f t="shared" si="20"/>
        <v>45667</v>
      </c>
      <c r="U45" s="210">
        <f t="shared" si="21"/>
        <v>45757</v>
      </c>
      <c r="V45" s="220">
        <f t="shared" si="22"/>
        <v>45764</v>
      </c>
      <c r="W45" s="222"/>
      <c r="X45" s="214"/>
      <c r="Y45" s="215"/>
      <c r="Z45" s="225">
        <v>90</v>
      </c>
      <c r="AA45" s="217"/>
      <c r="AB45" s="218"/>
      <c r="AC45" s="208"/>
      <c r="AD45" s="208"/>
      <c r="AE45" s="208"/>
      <c r="AF45" s="208"/>
    </row>
    <row r="46" spans="1:32" x14ac:dyDescent="0.3">
      <c r="A46" s="207">
        <v>5.0199999999999996</v>
      </c>
      <c r="B46" s="208" t="s">
        <v>74</v>
      </c>
      <c r="C46" s="209" t="s">
        <v>863</v>
      </c>
      <c r="D46" s="229">
        <v>45503</v>
      </c>
      <c r="E46" s="230">
        <v>60</v>
      </c>
      <c r="F46" s="229">
        <f t="shared" si="12"/>
        <v>45563</v>
      </c>
      <c r="G46" s="230">
        <v>21</v>
      </c>
      <c r="H46" s="229">
        <f t="shared" si="13"/>
        <v>45584</v>
      </c>
      <c r="I46" s="230">
        <v>20</v>
      </c>
      <c r="J46" s="229">
        <f t="shared" si="14"/>
        <v>45604</v>
      </c>
      <c r="K46" s="230">
        <v>60</v>
      </c>
      <c r="L46" s="229">
        <f t="shared" si="15"/>
        <v>45664</v>
      </c>
      <c r="M46" s="230">
        <v>31</v>
      </c>
      <c r="N46" s="229">
        <f t="shared" si="16"/>
        <v>45695</v>
      </c>
      <c r="O46" s="230">
        <v>3</v>
      </c>
      <c r="P46" s="229">
        <f t="shared" si="17"/>
        <v>45698</v>
      </c>
      <c r="Q46" s="211">
        <f t="shared" si="18"/>
        <v>195</v>
      </c>
      <c r="R46" s="210">
        <v>45833</v>
      </c>
      <c r="S46" s="210">
        <f t="shared" si="19"/>
        <v>45644</v>
      </c>
      <c r="T46" s="210">
        <f t="shared" si="20"/>
        <v>45667</v>
      </c>
      <c r="U46" s="210">
        <f t="shared" si="21"/>
        <v>45757</v>
      </c>
      <c r="V46" s="220">
        <f t="shared" si="22"/>
        <v>45764</v>
      </c>
      <c r="W46" s="222"/>
      <c r="X46" s="214"/>
      <c r="Y46" s="215"/>
      <c r="Z46" s="225">
        <v>90</v>
      </c>
      <c r="AA46" s="217"/>
      <c r="AB46" s="218"/>
      <c r="AC46" s="208"/>
      <c r="AD46" s="208"/>
      <c r="AE46" s="208"/>
      <c r="AF46" s="208"/>
    </row>
    <row r="47" spans="1:32" x14ac:dyDescent="0.3">
      <c r="A47" s="207">
        <v>5.03</v>
      </c>
      <c r="B47" s="208" t="s">
        <v>75</v>
      </c>
      <c r="C47" s="209" t="s">
        <v>864</v>
      </c>
      <c r="D47" s="229">
        <v>45503</v>
      </c>
      <c r="E47" s="230">
        <v>60</v>
      </c>
      <c r="F47" s="229">
        <f t="shared" si="12"/>
        <v>45563</v>
      </c>
      <c r="G47" s="230">
        <v>21</v>
      </c>
      <c r="H47" s="229">
        <f t="shared" si="13"/>
        <v>45584</v>
      </c>
      <c r="I47" s="230">
        <v>30</v>
      </c>
      <c r="J47" s="229">
        <f t="shared" si="14"/>
        <v>45614</v>
      </c>
      <c r="K47" s="230">
        <v>90</v>
      </c>
      <c r="L47" s="229">
        <f t="shared" si="15"/>
        <v>45704</v>
      </c>
      <c r="M47" s="230">
        <v>31</v>
      </c>
      <c r="N47" s="229">
        <f t="shared" si="16"/>
        <v>45735</v>
      </c>
      <c r="O47" s="230">
        <v>3</v>
      </c>
      <c r="P47" s="229">
        <f t="shared" si="17"/>
        <v>45738</v>
      </c>
      <c r="Q47" s="211">
        <f t="shared" si="18"/>
        <v>235</v>
      </c>
      <c r="R47" s="210">
        <v>45833</v>
      </c>
      <c r="S47" s="210">
        <f t="shared" si="19"/>
        <v>45594</v>
      </c>
      <c r="T47" s="210">
        <f t="shared" si="20"/>
        <v>45617</v>
      </c>
      <c r="U47" s="210">
        <f t="shared" si="21"/>
        <v>45757</v>
      </c>
      <c r="V47" s="220">
        <f t="shared" si="22"/>
        <v>45764</v>
      </c>
      <c r="W47" s="222"/>
      <c r="X47" s="214"/>
      <c r="Y47" s="215"/>
      <c r="Z47" s="216">
        <v>140</v>
      </c>
      <c r="AA47" s="217"/>
      <c r="AB47" s="218"/>
      <c r="AC47" s="208"/>
      <c r="AD47" s="208"/>
      <c r="AE47" s="208"/>
      <c r="AF47" s="208"/>
    </row>
    <row r="48" spans="1:32" x14ac:dyDescent="0.3">
      <c r="A48" s="207">
        <v>5.03</v>
      </c>
      <c r="B48" s="208" t="s">
        <v>75</v>
      </c>
      <c r="C48" s="209" t="s">
        <v>865</v>
      </c>
      <c r="D48" s="229">
        <v>45503</v>
      </c>
      <c r="E48" s="230">
        <v>60</v>
      </c>
      <c r="F48" s="229">
        <f t="shared" si="12"/>
        <v>45563</v>
      </c>
      <c r="G48" s="230">
        <v>21</v>
      </c>
      <c r="H48" s="229">
        <f t="shared" si="13"/>
        <v>45584</v>
      </c>
      <c r="I48" s="230">
        <v>30</v>
      </c>
      <c r="J48" s="229">
        <f t="shared" si="14"/>
        <v>45614</v>
      </c>
      <c r="K48" s="230">
        <v>90</v>
      </c>
      <c r="L48" s="229">
        <f t="shared" si="15"/>
        <v>45704</v>
      </c>
      <c r="M48" s="230">
        <v>31</v>
      </c>
      <c r="N48" s="229">
        <f t="shared" si="16"/>
        <v>45735</v>
      </c>
      <c r="O48" s="230">
        <v>3</v>
      </c>
      <c r="P48" s="229">
        <f t="shared" si="17"/>
        <v>45738</v>
      </c>
      <c r="Q48" s="211">
        <f t="shared" si="18"/>
        <v>235</v>
      </c>
      <c r="R48" s="210">
        <v>45833</v>
      </c>
      <c r="S48" s="210">
        <f t="shared" si="19"/>
        <v>45594</v>
      </c>
      <c r="T48" s="210">
        <f t="shared" si="20"/>
        <v>45617</v>
      </c>
      <c r="U48" s="210">
        <f t="shared" si="21"/>
        <v>45757</v>
      </c>
      <c r="V48" s="220">
        <f t="shared" si="22"/>
        <v>45764</v>
      </c>
      <c r="W48" s="222"/>
      <c r="X48" s="214"/>
      <c r="Y48" s="215"/>
      <c r="Z48" s="216">
        <v>140</v>
      </c>
      <c r="AA48" s="217"/>
      <c r="AB48" s="218"/>
      <c r="AC48" s="208"/>
      <c r="AD48" s="208"/>
      <c r="AE48" s="208"/>
      <c r="AF48" s="208"/>
    </row>
    <row r="49" spans="1:32" x14ac:dyDescent="0.3">
      <c r="A49" s="207">
        <v>5.03</v>
      </c>
      <c r="B49" s="208" t="s">
        <v>75</v>
      </c>
      <c r="C49" s="209" t="s">
        <v>866</v>
      </c>
      <c r="D49" s="229">
        <v>45503</v>
      </c>
      <c r="E49" s="230">
        <v>45</v>
      </c>
      <c r="F49" s="229">
        <f t="shared" si="12"/>
        <v>45548</v>
      </c>
      <c r="G49" s="230">
        <v>21</v>
      </c>
      <c r="H49" s="229">
        <f t="shared" si="13"/>
        <v>45569</v>
      </c>
      <c r="I49" s="230">
        <v>30</v>
      </c>
      <c r="J49" s="229">
        <f t="shared" si="14"/>
        <v>45599</v>
      </c>
      <c r="K49" s="230">
        <v>60</v>
      </c>
      <c r="L49" s="229">
        <f t="shared" si="15"/>
        <v>45659</v>
      </c>
      <c r="M49" s="230">
        <v>31</v>
      </c>
      <c r="N49" s="229">
        <f t="shared" si="16"/>
        <v>45690</v>
      </c>
      <c r="O49" s="230">
        <v>3</v>
      </c>
      <c r="P49" s="229">
        <f t="shared" si="17"/>
        <v>45693</v>
      </c>
      <c r="Q49" s="211">
        <f t="shared" si="18"/>
        <v>190</v>
      </c>
      <c r="R49" s="210">
        <v>45833</v>
      </c>
      <c r="S49" s="210">
        <f t="shared" si="19"/>
        <v>45604</v>
      </c>
      <c r="T49" s="210">
        <f t="shared" si="20"/>
        <v>45627</v>
      </c>
      <c r="U49" s="210">
        <f t="shared" si="21"/>
        <v>45757</v>
      </c>
      <c r="V49" s="220">
        <f t="shared" si="22"/>
        <v>45764</v>
      </c>
      <c r="W49" s="222"/>
      <c r="X49" s="214"/>
      <c r="Y49" s="215"/>
      <c r="Z49" s="216">
        <v>130</v>
      </c>
      <c r="AA49" s="217"/>
      <c r="AB49" s="218"/>
      <c r="AC49" s="208"/>
      <c r="AD49" s="208"/>
      <c r="AE49" s="208"/>
      <c r="AF49" s="208"/>
    </row>
    <row r="50" spans="1:32" x14ac:dyDescent="0.3">
      <c r="A50" s="207">
        <v>5.03</v>
      </c>
      <c r="B50" s="208" t="s">
        <v>75</v>
      </c>
      <c r="C50" s="371" t="s">
        <v>867</v>
      </c>
      <c r="D50" s="229">
        <f t="shared" ref="D50:D65" si="23">R50-(E50+G50+I50+K50+M50+O50)</f>
        <v>45774</v>
      </c>
      <c r="E50" s="230">
        <v>15</v>
      </c>
      <c r="F50" s="229">
        <f t="shared" si="12"/>
        <v>45789</v>
      </c>
      <c r="G50" s="230">
        <v>21</v>
      </c>
      <c r="H50" s="229">
        <f t="shared" si="13"/>
        <v>45810</v>
      </c>
      <c r="I50" s="230">
        <v>20</v>
      </c>
      <c r="J50" s="229">
        <f t="shared" si="14"/>
        <v>45830</v>
      </c>
      <c r="K50" s="230">
        <v>0</v>
      </c>
      <c r="L50" s="229">
        <f t="shared" si="15"/>
        <v>45830</v>
      </c>
      <c r="M50" s="230">
        <v>0</v>
      </c>
      <c r="N50" s="229">
        <f t="shared" si="16"/>
        <v>45830</v>
      </c>
      <c r="O50" s="230">
        <v>3</v>
      </c>
      <c r="P50" s="229">
        <f t="shared" si="17"/>
        <v>45833</v>
      </c>
      <c r="Q50" s="211">
        <f t="shared" si="18"/>
        <v>59</v>
      </c>
      <c r="R50" s="210">
        <v>45833</v>
      </c>
      <c r="S50" s="210">
        <f t="shared" si="19"/>
        <v>45594</v>
      </c>
      <c r="T50" s="210">
        <f t="shared" si="20"/>
        <v>45617</v>
      </c>
      <c r="U50" s="210">
        <f t="shared" si="21"/>
        <v>45757</v>
      </c>
      <c r="V50" s="220">
        <f t="shared" si="22"/>
        <v>45764</v>
      </c>
      <c r="W50" s="222"/>
      <c r="X50" s="214"/>
      <c r="Y50" s="215"/>
      <c r="Z50" s="216">
        <v>140</v>
      </c>
      <c r="AA50" s="217"/>
      <c r="AB50" s="218"/>
      <c r="AC50" s="208"/>
      <c r="AD50" s="208"/>
      <c r="AE50" s="208"/>
      <c r="AF50" s="208"/>
    </row>
    <row r="51" spans="1:32" x14ac:dyDescent="0.3">
      <c r="A51" s="207">
        <v>5.03</v>
      </c>
      <c r="B51" s="208" t="s">
        <v>75</v>
      </c>
      <c r="C51" s="209" t="s">
        <v>868</v>
      </c>
      <c r="D51" s="229">
        <f t="shared" si="23"/>
        <v>45810</v>
      </c>
      <c r="E51" s="230">
        <v>10</v>
      </c>
      <c r="F51" s="229">
        <f t="shared" si="12"/>
        <v>45820</v>
      </c>
      <c r="G51" s="230">
        <v>0</v>
      </c>
      <c r="H51" s="229">
        <f t="shared" si="13"/>
        <v>45820</v>
      </c>
      <c r="I51" s="230">
        <v>10</v>
      </c>
      <c r="J51" s="229">
        <f t="shared" si="14"/>
        <v>45830</v>
      </c>
      <c r="K51" s="230">
        <v>0</v>
      </c>
      <c r="L51" s="229">
        <f t="shared" si="15"/>
        <v>45830</v>
      </c>
      <c r="M51" s="230">
        <v>0</v>
      </c>
      <c r="N51" s="229">
        <f t="shared" si="16"/>
        <v>45830</v>
      </c>
      <c r="O51" s="230">
        <v>3</v>
      </c>
      <c r="P51" s="229">
        <f t="shared" si="17"/>
        <v>45833</v>
      </c>
      <c r="Q51" s="211">
        <f t="shared" si="18"/>
        <v>23</v>
      </c>
      <c r="R51" s="210">
        <v>45833</v>
      </c>
      <c r="S51" s="210">
        <f t="shared" si="19"/>
        <v>45713</v>
      </c>
      <c r="T51" s="210">
        <f t="shared" si="20"/>
        <v>45736</v>
      </c>
      <c r="U51" s="210">
        <f t="shared" si="21"/>
        <v>45757</v>
      </c>
      <c r="V51" s="220">
        <f t="shared" si="22"/>
        <v>45764</v>
      </c>
      <c r="W51" s="222"/>
      <c r="X51" s="214"/>
      <c r="Y51" s="215"/>
      <c r="Z51" s="216">
        <v>21</v>
      </c>
      <c r="AA51" s="217"/>
      <c r="AB51" s="218"/>
      <c r="AC51" s="208"/>
      <c r="AD51" s="208"/>
      <c r="AE51" s="208"/>
      <c r="AF51" s="208"/>
    </row>
    <row r="52" spans="1:32" x14ac:dyDescent="0.3">
      <c r="A52" s="207">
        <v>5.03</v>
      </c>
      <c r="B52" s="208" t="s">
        <v>75</v>
      </c>
      <c r="C52" s="209" t="s">
        <v>869</v>
      </c>
      <c r="D52" s="229">
        <f t="shared" si="23"/>
        <v>45810</v>
      </c>
      <c r="E52" s="230">
        <v>10</v>
      </c>
      <c r="F52" s="229">
        <f t="shared" si="12"/>
        <v>45820</v>
      </c>
      <c r="G52" s="230">
        <v>0</v>
      </c>
      <c r="H52" s="229">
        <f t="shared" si="13"/>
        <v>45820</v>
      </c>
      <c r="I52" s="230">
        <v>10</v>
      </c>
      <c r="J52" s="229">
        <f t="shared" si="14"/>
        <v>45830</v>
      </c>
      <c r="K52" s="230">
        <v>0</v>
      </c>
      <c r="L52" s="229">
        <f t="shared" si="15"/>
        <v>45830</v>
      </c>
      <c r="M52" s="230">
        <v>0</v>
      </c>
      <c r="N52" s="229">
        <f t="shared" si="16"/>
        <v>45830</v>
      </c>
      <c r="O52" s="230">
        <v>3</v>
      </c>
      <c r="P52" s="229">
        <f t="shared" si="17"/>
        <v>45833</v>
      </c>
      <c r="Q52" s="211">
        <f t="shared" si="18"/>
        <v>23</v>
      </c>
      <c r="R52" s="210">
        <v>45833</v>
      </c>
      <c r="S52" s="210">
        <f t="shared" si="19"/>
        <v>45644</v>
      </c>
      <c r="T52" s="210">
        <f t="shared" si="20"/>
        <v>45667</v>
      </c>
      <c r="U52" s="210">
        <f t="shared" si="21"/>
        <v>45757</v>
      </c>
      <c r="V52" s="220">
        <f t="shared" si="22"/>
        <v>45764</v>
      </c>
      <c r="W52" s="222"/>
      <c r="X52" s="214"/>
      <c r="Y52" s="215"/>
      <c r="Z52" s="216">
        <v>90</v>
      </c>
      <c r="AA52" s="217"/>
      <c r="AB52" s="218"/>
      <c r="AC52" s="208"/>
      <c r="AD52" s="208"/>
      <c r="AE52" s="208"/>
      <c r="AF52" s="208"/>
    </row>
    <row r="53" spans="1:32" x14ac:dyDescent="0.3">
      <c r="A53" s="207">
        <v>5.03</v>
      </c>
      <c r="B53" s="208" t="s">
        <v>75</v>
      </c>
      <c r="C53" s="209" t="s">
        <v>870</v>
      </c>
      <c r="D53" s="229">
        <f t="shared" si="23"/>
        <v>45758</v>
      </c>
      <c r="E53" s="230">
        <v>0</v>
      </c>
      <c r="F53" s="229">
        <f t="shared" si="12"/>
        <v>45758</v>
      </c>
      <c r="G53" s="230">
        <v>21</v>
      </c>
      <c r="H53" s="229">
        <f t="shared" si="13"/>
        <v>45779</v>
      </c>
      <c r="I53" s="230">
        <v>20</v>
      </c>
      <c r="J53" s="229">
        <f t="shared" si="14"/>
        <v>45799</v>
      </c>
      <c r="K53" s="230">
        <v>0</v>
      </c>
      <c r="L53" s="229">
        <f t="shared" si="15"/>
        <v>45799</v>
      </c>
      <c r="M53" s="230">
        <v>31</v>
      </c>
      <c r="N53" s="229">
        <f t="shared" si="16"/>
        <v>45830</v>
      </c>
      <c r="O53" s="230">
        <v>3</v>
      </c>
      <c r="P53" s="229">
        <f t="shared" si="17"/>
        <v>45833</v>
      </c>
      <c r="Q53" s="211">
        <f t="shared" si="18"/>
        <v>75</v>
      </c>
      <c r="R53" s="210">
        <v>45833</v>
      </c>
      <c r="S53" s="210">
        <f t="shared" si="19"/>
        <v>45644</v>
      </c>
      <c r="T53" s="210">
        <f t="shared" si="20"/>
        <v>45667</v>
      </c>
      <c r="U53" s="210">
        <f t="shared" si="21"/>
        <v>45757</v>
      </c>
      <c r="V53" s="220">
        <f t="shared" si="22"/>
        <v>45764</v>
      </c>
      <c r="W53" s="222"/>
      <c r="X53" s="214"/>
      <c r="Y53" s="215"/>
      <c r="Z53" s="225">
        <v>90</v>
      </c>
      <c r="AA53" s="217"/>
      <c r="AB53" s="218"/>
      <c r="AC53" s="208"/>
      <c r="AD53" s="208"/>
      <c r="AE53" s="208"/>
      <c r="AF53" s="208"/>
    </row>
    <row r="54" spans="1:32" x14ac:dyDescent="0.3">
      <c r="A54" s="207">
        <v>5.04</v>
      </c>
      <c r="B54" s="208" t="s">
        <v>871</v>
      </c>
      <c r="C54" s="209" t="s">
        <v>872</v>
      </c>
      <c r="D54" s="229">
        <f t="shared" si="23"/>
        <v>45683</v>
      </c>
      <c r="E54" s="230">
        <v>30</v>
      </c>
      <c r="F54" s="229">
        <f t="shared" si="12"/>
        <v>45713</v>
      </c>
      <c r="G54" s="230">
        <v>21</v>
      </c>
      <c r="H54" s="229">
        <f t="shared" si="13"/>
        <v>45734</v>
      </c>
      <c r="I54" s="230">
        <v>20</v>
      </c>
      <c r="J54" s="229">
        <f t="shared" si="14"/>
        <v>45754</v>
      </c>
      <c r="K54" s="230">
        <v>45</v>
      </c>
      <c r="L54" s="229">
        <f t="shared" si="15"/>
        <v>45799</v>
      </c>
      <c r="M54" s="230">
        <v>31</v>
      </c>
      <c r="N54" s="229">
        <f t="shared" si="16"/>
        <v>45830</v>
      </c>
      <c r="O54" s="230">
        <v>3</v>
      </c>
      <c r="P54" s="229">
        <f t="shared" si="17"/>
        <v>45833</v>
      </c>
      <c r="Q54" s="211">
        <f t="shared" si="18"/>
        <v>150</v>
      </c>
      <c r="R54" s="210">
        <v>45833</v>
      </c>
      <c r="S54" s="210">
        <f t="shared" si="19"/>
        <v>45604</v>
      </c>
      <c r="T54" s="210">
        <f t="shared" si="20"/>
        <v>45627</v>
      </c>
      <c r="U54" s="210">
        <f t="shared" si="21"/>
        <v>45757</v>
      </c>
      <c r="V54" s="220">
        <f t="shared" si="22"/>
        <v>45764</v>
      </c>
      <c r="W54" s="222"/>
      <c r="X54" s="214"/>
      <c r="Y54" s="215"/>
      <c r="Z54" s="216">
        <v>130</v>
      </c>
      <c r="AA54" s="217"/>
      <c r="AB54" s="218"/>
      <c r="AC54" s="208"/>
      <c r="AD54" s="208"/>
      <c r="AE54" s="208"/>
      <c r="AF54" s="208"/>
    </row>
    <row r="55" spans="1:32" x14ac:dyDescent="0.3">
      <c r="A55" s="207">
        <v>5.04</v>
      </c>
      <c r="B55" s="208" t="s">
        <v>871</v>
      </c>
      <c r="C55" s="209" t="s">
        <v>873</v>
      </c>
      <c r="D55" s="229">
        <f t="shared" si="23"/>
        <v>45704</v>
      </c>
      <c r="E55" s="230">
        <v>30</v>
      </c>
      <c r="F55" s="229">
        <f t="shared" si="12"/>
        <v>45734</v>
      </c>
      <c r="G55" s="230">
        <v>0</v>
      </c>
      <c r="H55" s="229">
        <f t="shared" si="13"/>
        <v>45734</v>
      </c>
      <c r="I55" s="230">
        <v>20</v>
      </c>
      <c r="J55" s="229">
        <f t="shared" si="14"/>
        <v>45754</v>
      </c>
      <c r="K55" s="230">
        <v>45</v>
      </c>
      <c r="L55" s="229">
        <f t="shared" si="15"/>
        <v>45799</v>
      </c>
      <c r="M55" s="230">
        <v>31</v>
      </c>
      <c r="N55" s="229">
        <f t="shared" si="16"/>
        <v>45830</v>
      </c>
      <c r="O55" s="230">
        <v>3</v>
      </c>
      <c r="P55" s="229">
        <f t="shared" si="17"/>
        <v>45833</v>
      </c>
      <c r="Q55" s="211">
        <f t="shared" si="18"/>
        <v>129</v>
      </c>
      <c r="R55" s="210">
        <v>45833</v>
      </c>
      <c r="S55" s="210">
        <f t="shared" si="19"/>
        <v>45604</v>
      </c>
      <c r="T55" s="210">
        <f t="shared" si="20"/>
        <v>45627</v>
      </c>
      <c r="U55" s="210">
        <f t="shared" si="21"/>
        <v>45757</v>
      </c>
      <c r="V55" s="220">
        <f t="shared" si="22"/>
        <v>45764</v>
      </c>
      <c r="W55" s="222"/>
      <c r="X55" s="214"/>
      <c r="Y55" s="215"/>
      <c r="Z55" s="216">
        <v>130</v>
      </c>
      <c r="AA55" s="217"/>
      <c r="AB55" s="218"/>
      <c r="AC55" s="208"/>
      <c r="AD55" s="208"/>
      <c r="AE55" s="208"/>
      <c r="AF55" s="208"/>
    </row>
    <row r="56" spans="1:32" x14ac:dyDescent="0.3">
      <c r="A56" s="207">
        <v>5.04</v>
      </c>
      <c r="B56" s="208" t="s">
        <v>871</v>
      </c>
      <c r="C56" s="209" t="s">
        <v>874</v>
      </c>
      <c r="D56" s="229">
        <f t="shared" si="23"/>
        <v>45769</v>
      </c>
      <c r="E56" s="230">
        <v>15</v>
      </c>
      <c r="F56" s="229">
        <f t="shared" si="12"/>
        <v>45784</v>
      </c>
      <c r="G56" s="230">
        <v>0</v>
      </c>
      <c r="H56" s="229">
        <f t="shared" si="13"/>
        <v>45784</v>
      </c>
      <c r="I56" s="230">
        <v>15</v>
      </c>
      <c r="J56" s="229">
        <f t="shared" si="14"/>
        <v>45799</v>
      </c>
      <c r="K56" s="230">
        <v>0</v>
      </c>
      <c r="L56" s="229">
        <f t="shared" si="15"/>
        <v>45799</v>
      </c>
      <c r="M56" s="230">
        <v>31</v>
      </c>
      <c r="N56" s="229">
        <f t="shared" si="16"/>
        <v>45830</v>
      </c>
      <c r="O56" s="230">
        <v>3</v>
      </c>
      <c r="P56" s="229">
        <f t="shared" si="17"/>
        <v>45833</v>
      </c>
      <c r="Q56" s="211">
        <f t="shared" si="18"/>
        <v>64</v>
      </c>
      <c r="R56" s="210">
        <v>45833</v>
      </c>
      <c r="S56" s="210">
        <f t="shared" si="19"/>
        <v>45713</v>
      </c>
      <c r="T56" s="210">
        <f t="shared" si="20"/>
        <v>45736</v>
      </c>
      <c r="U56" s="210">
        <f t="shared" si="21"/>
        <v>45757</v>
      </c>
      <c r="V56" s="220">
        <f t="shared" si="22"/>
        <v>45764</v>
      </c>
      <c r="W56" s="222"/>
      <c r="X56" s="214"/>
      <c r="Y56" s="215"/>
      <c r="Z56" s="216">
        <v>21</v>
      </c>
      <c r="AA56" s="217"/>
      <c r="AB56" s="218"/>
      <c r="AC56" s="208"/>
      <c r="AD56" s="208"/>
      <c r="AE56" s="208"/>
      <c r="AF56" s="208"/>
    </row>
    <row r="57" spans="1:32" x14ac:dyDescent="0.3">
      <c r="A57" s="207">
        <v>5.04</v>
      </c>
      <c r="B57" s="208" t="s">
        <v>871</v>
      </c>
      <c r="C57" s="209" t="s">
        <v>875</v>
      </c>
      <c r="D57" s="229">
        <f t="shared" si="23"/>
        <v>45769</v>
      </c>
      <c r="E57" s="230">
        <v>15</v>
      </c>
      <c r="F57" s="229">
        <f t="shared" si="12"/>
        <v>45784</v>
      </c>
      <c r="G57" s="230">
        <v>0</v>
      </c>
      <c r="H57" s="229">
        <f t="shared" si="13"/>
        <v>45784</v>
      </c>
      <c r="I57" s="230">
        <v>15</v>
      </c>
      <c r="J57" s="229">
        <f t="shared" si="14"/>
        <v>45799</v>
      </c>
      <c r="K57" s="230">
        <v>0</v>
      </c>
      <c r="L57" s="229">
        <f t="shared" si="15"/>
        <v>45799</v>
      </c>
      <c r="M57" s="230">
        <v>31</v>
      </c>
      <c r="N57" s="229">
        <f t="shared" si="16"/>
        <v>45830</v>
      </c>
      <c r="O57" s="230">
        <v>3</v>
      </c>
      <c r="P57" s="229">
        <f t="shared" si="17"/>
        <v>45833</v>
      </c>
      <c r="Q57" s="211">
        <f t="shared" si="18"/>
        <v>64</v>
      </c>
      <c r="R57" s="210">
        <v>45833</v>
      </c>
      <c r="S57" s="210">
        <f t="shared" si="19"/>
        <v>45713</v>
      </c>
      <c r="T57" s="210">
        <f t="shared" si="20"/>
        <v>45736</v>
      </c>
      <c r="U57" s="210">
        <f t="shared" si="21"/>
        <v>45757</v>
      </c>
      <c r="V57" s="220">
        <f t="shared" si="22"/>
        <v>45764</v>
      </c>
      <c r="W57" s="222"/>
      <c r="X57" s="214"/>
      <c r="Y57" s="215"/>
      <c r="Z57" s="216">
        <v>21</v>
      </c>
      <c r="AA57" s="217"/>
      <c r="AB57" s="218"/>
      <c r="AC57" s="208"/>
      <c r="AD57" s="208"/>
      <c r="AE57" s="208"/>
      <c r="AF57" s="208"/>
    </row>
    <row r="58" spans="1:32" x14ac:dyDescent="0.3">
      <c r="A58" s="207">
        <v>5.05</v>
      </c>
      <c r="B58" s="208" t="s">
        <v>78</v>
      </c>
      <c r="C58" s="209" t="s">
        <v>876</v>
      </c>
      <c r="D58" s="229">
        <f t="shared" si="23"/>
        <v>45805</v>
      </c>
      <c r="E58" s="230">
        <v>10</v>
      </c>
      <c r="F58" s="229">
        <f t="shared" si="12"/>
        <v>45815</v>
      </c>
      <c r="G58" s="230">
        <v>0</v>
      </c>
      <c r="H58" s="229">
        <f t="shared" si="13"/>
        <v>45815</v>
      </c>
      <c r="I58" s="230">
        <v>15</v>
      </c>
      <c r="J58" s="229">
        <f t="shared" si="14"/>
        <v>45830</v>
      </c>
      <c r="K58" s="230">
        <v>0</v>
      </c>
      <c r="L58" s="229">
        <f t="shared" si="15"/>
        <v>45830</v>
      </c>
      <c r="M58" s="230">
        <v>0</v>
      </c>
      <c r="N58" s="229">
        <f t="shared" si="16"/>
        <v>45830</v>
      </c>
      <c r="O58" s="230">
        <v>3</v>
      </c>
      <c r="P58" s="229">
        <f t="shared" si="17"/>
        <v>45833</v>
      </c>
      <c r="Q58" s="211">
        <f t="shared" si="18"/>
        <v>28</v>
      </c>
      <c r="R58" s="210">
        <v>45833</v>
      </c>
      <c r="S58" s="210">
        <f t="shared" si="19"/>
        <v>45674</v>
      </c>
      <c r="T58" s="210">
        <f t="shared" si="20"/>
        <v>45697</v>
      </c>
      <c r="U58" s="210">
        <f t="shared" si="21"/>
        <v>45757</v>
      </c>
      <c r="V58" s="220">
        <f t="shared" si="22"/>
        <v>45764</v>
      </c>
      <c r="W58" s="222"/>
      <c r="X58" s="214"/>
      <c r="Y58" s="215"/>
      <c r="Z58" s="216">
        <v>60</v>
      </c>
      <c r="AA58" s="217"/>
      <c r="AB58" s="218"/>
      <c r="AC58" s="208"/>
      <c r="AD58" s="208"/>
      <c r="AE58" s="208"/>
      <c r="AF58" s="208"/>
    </row>
    <row r="59" spans="1:32" x14ac:dyDescent="0.3">
      <c r="A59" s="207">
        <v>5.05</v>
      </c>
      <c r="B59" s="208" t="s">
        <v>78</v>
      </c>
      <c r="C59" s="209" t="s">
        <v>877</v>
      </c>
      <c r="D59" s="229">
        <f t="shared" si="23"/>
        <v>45810</v>
      </c>
      <c r="E59" s="230">
        <v>10</v>
      </c>
      <c r="F59" s="229">
        <f t="shared" si="12"/>
        <v>45820</v>
      </c>
      <c r="G59" s="230">
        <v>0</v>
      </c>
      <c r="H59" s="229">
        <f t="shared" si="13"/>
        <v>45820</v>
      </c>
      <c r="I59" s="230">
        <v>10</v>
      </c>
      <c r="J59" s="229">
        <f t="shared" si="14"/>
        <v>45830</v>
      </c>
      <c r="K59" s="230">
        <v>0</v>
      </c>
      <c r="L59" s="229">
        <f t="shared" si="15"/>
        <v>45830</v>
      </c>
      <c r="M59" s="230">
        <v>0</v>
      </c>
      <c r="N59" s="229">
        <f t="shared" si="16"/>
        <v>45830</v>
      </c>
      <c r="O59" s="230">
        <v>3</v>
      </c>
      <c r="P59" s="229">
        <f t="shared" si="17"/>
        <v>45833</v>
      </c>
      <c r="Q59" s="211">
        <f t="shared" si="18"/>
        <v>23</v>
      </c>
      <c r="R59" s="210">
        <v>45833</v>
      </c>
      <c r="S59" s="210">
        <f t="shared" si="19"/>
        <v>45674</v>
      </c>
      <c r="T59" s="210">
        <f t="shared" si="20"/>
        <v>45697</v>
      </c>
      <c r="U59" s="210">
        <f t="shared" si="21"/>
        <v>45757</v>
      </c>
      <c r="V59" s="220">
        <f t="shared" si="22"/>
        <v>45764</v>
      </c>
      <c r="W59" s="222"/>
      <c r="X59" s="214"/>
      <c r="Y59" s="215"/>
      <c r="Z59" s="216">
        <v>60</v>
      </c>
      <c r="AA59" s="217"/>
      <c r="AB59" s="218"/>
      <c r="AC59" s="208"/>
      <c r="AD59" s="208"/>
      <c r="AE59" s="208"/>
      <c r="AF59" s="208"/>
    </row>
    <row r="60" spans="1:32" x14ac:dyDescent="0.3">
      <c r="A60" s="207">
        <v>5.0599999999999996</v>
      </c>
      <c r="B60" s="208" t="s">
        <v>878</v>
      </c>
      <c r="C60" s="209" t="s">
        <v>879</v>
      </c>
      <c r="D60" s="229">
        <f t="shared" si="23"/>
        <v>45790</v>
      </c>
      <c r="E60" s="230">
        <v>20</v>
      </c>
      <c r="F60" s="229">
        <f t="shared" si="12"/>
        <v>45810</v>
      </c>
      <c r="G60" s="230">
        <v>0</v>
      </c>
      <c r="H60" s="229">
        <f t="shared" si="13"/>
        <v>45810</v>
      </c>
      <c r="I60" s="230">
        <v>20</v>
      </c>
      <c r="J60" s="229">
        <f t="shared" si="14"/>
        <v>45830</v>
      </c>
      <c r="K60" s="230">
        <v>0</v>
      </c>
      <c r="L60" s="229">
        <f t="shared" si="15"/>
        <v>45830</v>
      </c>
      <c r="M60" s="230">
        <v>0</v>
      </c>
      <c r="N60" s="229">
        <f t="shared" si="16"/>
        <v>45830</v>
      </c>
      <c r="O60" s="230">
        <v>3</v>
      </c>
      <c r="P60" s="229">
        <f t="shared" si="17"/>
        <v>45833</v>
      </c>
      <c r="Q60" s="211">
        <f t="shared" si="18"/>
        <v>43</v>
      </c>
      <c r="R60" s="210">
        <v>45833</v>
      </c>
      <c r="S60" s="210">
        <f t="shared" si="19"/>
        <v>45644</v>
      </c>
      <c r="T60" s="210">
        <f t="shared" si="20"/>
        <v>45667</v>
      </c>
      <c r="U60" s="210">
        <f t="shared" si="21"/>
        <v>45757</v>
      </c>
      <c r="V60" s="220">
        <f t="shared" si="22"/>
        <v>45764</v>
      </c>
      <c r="W60" s="222"/>
      <c r="X60" s="214"/>
      <c r="Y60" s="215"/>
      <c r="Z60" s="216">
        <v>90</v>
      </c>
      <c r="AA60" s="217"/>
      <c r="AB60" s="218"/>
      <c r="AC60" s="208"/>
      <c r="AD60" s="208"/>
      <c r="AE60" s="208"/>
      <c r="AF60" s="208"/>
    </row>
    <row r="61" spans="1:32" x14ac:dyDescent="0.3">
      <c r="A61" s="207">
        <v>5.0599999999999996</v>
      </c>
      <c r="B61" s="208" t="s">
        <v>878</v>
      </c>
      <c r="C61" s="209" t="s">
        <v>880</v>
      </c>
      <c r="D61" s="229">
        <f t="shared" si="23"/>
        <v>45769</v>
      </c>
      <c r="E61" s="230">
        <v>15</v>
      </c>
      <c r="F61" s="229">
        <f t="shared" si="12"/>
        <v>45784</v>
      </c>
      <c r="G61" s="230">
        <v>0</v>
      </c>
      <c r="H61" s="229">
        <f t="shared" si="13"/>
        <v>45784</v>
      </c>
      <c r="I61" s="230">
        <v>15</v>
      </c>
      <c r="J61" s="229">
        <f t="shared" si="14"/>
        <v>45799</v>
      </c>
      <c r="K61" s="230">
        <v>0</v>
      </c>
      <c r="L61" s="229">
        <f t="shared" si="15"/>
        <v>45799</v>
      </c>
      <c r="M61" s="230">
        <v>31</v>
      </c>
      <c r="N61" s="229">
        <f t="shared" si="16"/>
        <v>45830</v>
      </c>
      <c r="O61" s="230">
        <v>3</v>
      </c>
      <c r="P61" s="229">
        <f t="shared" si="17"/>
        <v>45833</v>
      </c>
      <c r="Q61" s="211">
        <f t="shared" si="18"/>
        <v>64</v>
      </c>
      <c r="R61" s="210">
        <v>45833</v>
      </c>
      <c r="S61" s="210">
        <f t="shared" si="19"/>
        <v>45674</v>
      </c>
      <c r="T61" s="210">
        <f t="shared" si="20"/>
        <v>45697</v>
      </c>
      <c r="U61" s="210">
        <f t="shared" si="21"/>
        <v>45757</v>
      </c>
      <c r="V61" s="220">
        <f t="shared" si="22"/>
        <v>45764</v>
      </c>
      <c r="W61" s="222"/>
      <c r="X61" s="214"/>
      <c r="Y61" s="215"/>
      <c r="Z61" s="216">
        <v>60</v>
      </c>
      <c r="AA61" s="217"/>
      <c r="AB61" s="218"/>
      <c r="AC61" s="208"/>
      <c r="AD61" s="208"/>
      <c r="AE61" s="208"/>
      <c r="AF61" s="208"/>
    </row>
    <row r="62" spans="1:32" x14ac:dyDescent="0.3">
      <c r="A62" s="207">
        <v>5.0599999999999996</v>
      </c>
      <c r="B62" s="208" t="s">
        <v>878</v>
      </c>
      <c r="C62" s="209" t="s">
        <v>881</v>
      </c>
      <c r="D62" s="229">
        <f t="shared" si="23"/>
        <v>45745</v>
      </c>
      <c r="E62" s="230">
        <v>20</v>
      </c>
      <c r="F62" s="229">
        <f t="shared" si="12"/>
        <v>45765</v>
      </c>
      <c r="G62" s="230">
        <v>0</v>
      </c>
      <c r="H62" s="229">
        <f t="shared" si="13"/>
        <v>45765</v>
      </c>
      <c r="I62" s="230">
        <v>20</v>
      </c>
      <c r="J62" s="229">
        <f t="shared" si="14"/>
        <v>45785</v>
      </c>
      <c r="K62" s="230">
        <v>45</v>
      </c>
      <c r="L62" s="229">
        <f t="shared" si="15"/>
        <v>45830</v>
      </c>
      <c r="M62" s="230">
        <v>0</v>
      </c>
      <c r="N62" s="229">
        <f t="shared" si="16"/>
        <v>45830</v>
      </c>
      <c r="O62" s="230">
        <v>3</v>
      </c>
      <c r="P62" s="229">
        <f t="shared" si="17"/>
        <v>45833</v>
      </c>
      <c r="Q62" s="211">
        <f t="shared" si="18"/>
        <v>88</v>
      </c>
      <c r="R62" s="210">
        <v>45833</v>
      </c>
      <c r="S62" s="210">
        <f t="shared" si="19"/>
        <v>45644</v>
      </c>
      <c r="T62" s="210">
        <f t="shared" si="20"/>
        <v>45667</v>
      </c>
      <c r="U62" s="210">
        <f t="shared" si="21"/>
        <v>45757</v>
      </c>
      <c r="V62" s="220">
        <f t="shared" si="22"/>
        <v>45764</v>
      </c>
      <c r="W62" s="222"/>
      <c r="X62" s="214"/>
      <c r="Y62" s="215"/>
      <c r="Z62" s="216">
        <v>90</v>
      </c>
      <c r="AA62" s="217"/>
      <c r="AB62" s="218"/>
      <c r="AC62" s="208"/>
      <c r="AD62" s="208"/>
      <c r="AE62" s="208"/>
      <c r="AF62" s="208"/>
    </row>
    <row r="63" spans="1:32" x14ac:dyDescent="0.3">
      <c r="A63" s="207">
        <v>5.0599999999999996</v>
      </c>
      <c r="B63" s="208" t="s">
        <v>878</v>
      </c>
      <c r="C63" s="209" t="s">
        <v>882</v>
      </c>
      <c r="D63" s="229">
        <f t="shared" si="23"/>
        <v>45784</v>
      </c>
      <c r="E63" s="230">
        <v>0</v>
      </c>
      <c r="F63" s="229">
        <f t="shared" si="12"/>
        <v>45784</v>
      </c>
      <c r="G63" s="230">
        <v>0</v>
      </c>
      <c r="H63" s="229">
        <f t="shared" si="13"/>
        <v>45784</v>
      </c>
      <c r="I63" s="230">
        <v>15</v>
      </c>
      <c r="J63" s="229">
        <f t="shared" si="14"/>
        <v>45799</v>
      </c>
      <c r="K63" s="230">
        <v>0</v>
      </c>
      <c r="L63" s="229">
        <f t="shared" si="15"/>
        <v>45799</v>
      </c>
      <c r="M63" s="230">
        <v>31</v>
      </c>
      <c r="N63" s="229">
        <f t="shared" si="16"/>
        <v>45830</v>
      </c>
      <c r="O63" s="230">
        <v>3</v>
      </c>
      <c r="P63" s="229">
        <f t="shared" si="17"/>
        <v>45833</v>
      </c>
      <c r="Q63" s="211">
        <f t="shared" si="18"/>
        <v>49</v>
      </c>
      <c r="R63" s="210">
        <v>45833</v>
      </c>
      <c r="S63" s="210">
        <f t="shared" si="19"/>
        <v>45644</v>
      </c>
      <c r="T63" s="210">
        <f t="shared" si="20"/>
        <v>45667</v>
      </c>
      <c r="U63" s="210">
        <f t="shared" si="21"/>
        <v>45757</v>
      </c>
      <c r="V63" s="220">
        <f t="shared" si="22"/>
        <v>45764</v>
      </c>
      <c r="W63" s="222"/>
      <c r="X63" s="214"/>
      <c r="Y63" s="215"/>
      <c r="Z63" s="216">
        <v>90</v>
      </c>
      <c r="AA63" s="217"/>
      <c r="AB63" s="218"/>
      <c r="AC63" s="208"/>
      <c r="AD63" s="208"/>
      <c r="AE63" s="208"/>
      <c r="AF63" s="208"/>
    </row>
    <row r="64" spans="1:32" x14ac:dyDescent="0.3">
      <c r="A64" s="207">
        <v>5.07</v>
      </c>
      <c r="B64" s="208" t="s">
        <v>80</v>
      </c>
      <c r="C64" s="209" t="s">
        <v>883</v>
      </c>
      <c r="D64" s="229">
        <f t="shared" si="23"/>
        <v>45764</v>
      </c>
      <c r="E64" s="230">
        <v>20</v>
      </c>
      <c r="F64" s="229">
        <f t="shared" si="12"/>
        <v>45784</v>
      </c>
      <c r="G64" s="230">
        <v>0</v>
      </c>
      <c r="H64" s="229">
        <f t="shared" si="13"/>
        <v>45784</v>
      </c>
      <c r="I64" s="230">
        <v>15</v>
      </c>
      <c r="J64" s="229">
        <f t="shared" si="14"/>
        <v>45799</v>
      </c>
      <c r="K64" s="230">
        <v>0</v>
      </c>
      <c r="L64" s="229">
        <f t="shared" si="15"/>
        <v>45799</v>
      </c>
      <c r="M64" s="230">
        <v>31</v>
      </c>
      <c r="N64" s="229">
        <f t="shared" si="16"/>
        <v>45830</v>
      </c>
      <c r="O64" s="230">
        <v>3</v>
      </c>
      <c r="P64" s="229">
        <f t="shared" si="17"/>
        <v>45833</v>
      </c>
      <c r="Q64" s="211">
        <f t="shared" si="18"/>
        <v>69</v>
      </c>
      <c r="R64" s="210">
        <v>45833</v>
      </c>
      <c r="S64" s="210">
        <f t="shared" si="19"/>
        <v>45644</v>
      </c>
      <c r="T64" s="210">
        <f t="shared" si="20"/>
        <v>45667</v>
      </c>
      <c r="U64" s="210">
        <f t="shared" si="21"/>
        <v>45757</v>
      </c>
      <c r="V64" s="220">
        <f t="shared" si="22"/>
        <v>45764</v>
      </c>
      <c r="W64" s="222"/>
      <c r="X64" s="214"/>
      <c r="Y64" s="215"/>
      <c r="Z64" s="216">
        <v>90</v>
      </c>
      <c r="AA64" s="217"/>
      <c r="AB64" s="218"/>
      <c r="AC64" s="208"/>
      <c r="AD64" s="208"/>
      <c r="AE64" s="208"/>
      <c r="AF64" s="208"/>
    </row>
    <row r="65" spans="1:32" x14ac:dyDescent="0.3">
      <c r="A65" s="207">
        <v>5.07</v>
      </c>
      <c r="B65" s="208" t="s">
        <v>80</v>
      </c>
      <c r="C65" s="209" t="s">
        <v>884</v>
      </c>
      <c r="D65" s="229">
        <f t="shared" si="23"/>
        <v>45790</v>
      </c>
      <c r="E65" s="230">
        <v>20</v>
      </c>
      <c r="F65" s="229">
        <f t="shared" si="12"/>
        <v>45810</v>
      </c>
      <c r="G65" s="230">
        <v>0</v>
      </c>
      <c r="H65" s="229">
        <f t="shared" si="13"/>
        <v>45810</v>
      </c>
      <c r="I65" s="230">
        <v>20</v>
      </c>
      <c r="J65" s="229">
        <f t="shared" si="14"/>
        <v>45830</v>
      </c>
      <c r="K65" s="230">
        <v>0</v>
      </c>
      <c r="L65" s="229">
        <f t="shared" si="15"/>
        <v>45830</v>
      </c>
      <c r="M65" s="230">
        <v>0</v>
      </c>
      <c r="N65" s="229">
        <f t="shared" si="16"/>
        <v>45830</v>
      </c>
      <c r="O65" s="230">
        <v>3</v>
      </c>
      <c r="P65" s="229">
        <f t="shared" si="17"/>
        <v>45833</v>
      </c>
      <c r="Q65" s="211">
        <f t="shared" si="18"/>
        <v>43</v>
      </c>
      <c r="R65" s="210">
        <v>45833</v>
      </c>
      <c r="S65" s="210">
        <f t="shared" si="19"/>
        <v>45604</v>
      </c>
      <c r="T65" s="210">
        <f t="shared" si="20"/>
        <v>45627</v>
      </c>
      <c r="U65" s="210">
        <f t="shared" si="21"/>
        <v>45757</v>
      </c>
      <c r="V65" s="220">
        <f t="shared" si="22"/>
        <v>45764</v>
      </c>
      <c r="W65" s="222"/>
      <c r="X65" s="214"/>
      <c r="Y65" s="215"/>
      <c r="Z65" s="216">
        <v>130</v>
      </c>
      <c r="AA65" s="217"/>
      <c r="AB65" s="218"/>
      <c r="AC65" s="208"/>
      <c r="AD65" s="208"/>
      <c r="AE65" s="208"/>
      <c r="AF65" s="208"/>
    </row>
    <row r="66" spans="1:32" x14ac:dyDescent="0.3">
      <c r="A66" s="207">
        <v>5.07</v>
      </c>
      <c r="B66" s="208" t="s">
        <v>80</v>
      </c>
      <c r="C66" s="209" t="s">
        <v>885</v>
      </c>
      <c r="D66" s="229">
        <v>45503</v>
      </c>
      <c r="E66" s="230">
        <v>60</v>
      </c>
      <c r="F66" s="229">
        <f t="shared" si="12"/>
        <v>45563</v>
      </c>
      <c r="G66" s="230">
        <v>21</v>
      </c>
      <c r="H66" s="229">
        <f t="shared" si="13"/>
        <v>45584</v>
      </c>
      <c r="I66" s="230">
        <v>20</v>
      </c>
      <c r="J66" s="229">
        <f t="shared" si="14"/>
        <v>45604</v>
      </c>
      <c r="K66" s="230">
        <v>60</v>
      </c>
      <c r="L66" s="229">
        <f t="shared" si="15"/>
        <v>45664</v>
      </c>
      <c r="M66" s="230">
        <v>31</v>
      </c>
      <c r="N66" s="229">
        <f t="shared" si="16"/>
        <v>45695</v>
      </c>
      <c r="O66" s="230">
        <v>3</v>
      </c>
      <c r="P66" s="229">
        <f t="shared" si="17"/>
        <v>45698</v>
      </c>
      <c r="Q66" s="211">
        <f t="shared" si="18"/>
        <v>195</v>
      </c>
      <c r="R66" s="210">
        <v>45833</v>
      </c>
      <c r="S66" s="210">
        <f t="shared" si="19"/>
        <v>45604</v>
      </c>
      <c r="T66" s="210">
        <f t="shared" si="20"/>
        <v>45627</v>
      </c>
      <c r="U66" s="210">
        <f t="shared" si="21"/>
        <v>45757</v>
      </c>
      <c r="V66" s="220">
        <f t="shared" si="22"/>
        <v>45764</v>
      </c>
      <c r="W66" s="222"/>
      <c r="X66" s="214"/>
      <c r="Y66" s="215"/>
      <c r="Z66" s="216">
        <v>130</v>
      </c>
      <c r="AA66" s="217"/>
      <c r="AB66" s="218"/>
      <c r="AC66" s="208"/>
      <c r="AD66" s="208"/>
      <c r="AE66" s="208"/>
      <c r="AF66" s="208"/>
    </row>
    <row r="67" spans="1:32" x14ac:dyDescent="0.3">
      <c r="A67" s="531" t="s">
        <v>886</v>
      </c>
      <c r="B67" s="532"/>
      <c r="C67" s="532"/>
      <c r="D67" s="532"/>
      <c r="E67" s="532"/>
      <c r="F67" s="532"/>
      <c r="G67" s="532"/>
      <c r="H67" s="532"/>
      <c r="I67" s="532"/>
      <c r="J67" s="532"/>
      <c r="K67" s="532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  <c r="AA67" s="217"/>
      <c r="AB67" s="218"/>
      <c r="AC67" s="208"/>
      <c r="AD67" s="208"/>
      <c r="AE67" s="208"/>
      <c r="AF67" s="208"/>
    </row>
    <row r="68" spans="1:32" x14ac:dyDescent="0.3">
      <c r="A68" s="207">
        <v>6.01</v>
      </c>
      <c r="B68" s="208" t="s">
        <v>887</v>
      </c>
      <c r="C68" s="209" t="s">
        <v>888</v>
      </c>
      <c r="D68" s="229">
        <f t="shared" ref="D68:D106" si="24">R68-(E68+G68+I68+K68+M68+O68)</f>
        <v>45718</v>
      </c>
      <c r="E68" s="230">
        <v>10</v>
      </c>
      <c r="F68" s="229">
        <f t="shared" ref="F68:F106" si="25">D68+E68</f>
        <v>45728</v>
      </c>
      <c r="G68" s="230">
        <v>21</v>
      </c>
      <c r="H68" s="229">
        <f t="shared" ref="H68:H106" si="26">F68+G68</f>
        <v>45749</v>
      </c>
      <c r="I68" s="230">
        <v>5</v>
      </c>
      <c r="J68" s="229">
        <f t="shared" ref="J68:J106" si="27">H68+I68</f>
        <v>45754</v>
      </c>
      <c r="K68" s="230">
        <v>45</v>
      </c>
      <c r="L68" s="229">
        <f t="shared" ref="L68:L106" si="28">J68+K68</f>
        <v>45799</v>
      </c>
      <c r="M68" s="230">
        <v>31</v>
      </c>
      <c r="N68" s="229">
        <f t="shared" ref="N68:N106" si="29">L68+M68</f>
        <v>45830</v>
      </c>
      <c r="O68" s="230">
        <v>3</v>
      </c>
      <c r="P68" s="229">
        <f t="shared" ref="P68:P106" si="30">N68+O68</f>
        <v>45833</v>
      </c>
      <c r="Q68" s="211">
        <f t="shared" ref="Q68:Q106" si="31">O68+M68+K68+I68+G68+E68</f>
        <v>115</v>
      </c>
      <c r="R68" s="210">
        <v>45833</v>
      </c>
      <c r="S68" s="210">
        <f t="shared" ref="S68:S106" si="32">+T68-23</f>
        <v>45794</v>
      </c>
      <c r="T68" s="210">
        <f t="shared" ref="T68:T106" si="33">+U68-Z68</f>
        <v>45817</v>
      </c>
      <c r="U68" s="210">
        <f t="shared" ref="U68:U106" si="34">+V68-7</f>
        <v>45817</v>
      </c>
      <c r="V68" s="210">
        <f>$C$8-60</f>
        <v>45824</v>
      </c>
      <c r="W68" s="222"/>
      <c r="X68" s="214"/>
      <c r="Y68" s="215"/>
      <c r="Z68" s="216"/>
      <c r="AA68" s="217"/>
      <c r="AB68" s="218"/>
      <c r="AC68" s="208"/>
      <c r="AD68" s="208"/>
      <c r="AE68" s="208"/>
      <c r="AF68" s="208"/>
    </row>
    <row r="69" spans="1:32" x14ac:dyDescent="0.3">
      <c r="A69" s="207">
        <v>6.01</v>
      </c>
      <c r="B69" s="208" t="s">
        <v>887</v>
      </c>
      <c r="C69" s="209" t="s">
        <v>889</v>
      </c>
      <c r="D69" s="229">
        <f t="shared" si="24"/>
        <v>45718</v>
      </c>
      <c r="E69" s="230">
        <v>10</v>
      </c>
      <c r="F69" s="229">
        <f t="shared" si="25"/>
        <v>45728</v>
      </c>
      <c r="G69" s="230">
        <v>21</v>
      </c>
      <c r="H69" s="229">
        <f t="shared" si="26"/>
        <v>45749</v>
      </c>
      <c r="I69" s="230">
        <v>5</v>
      </c>
      <c r="J69" s="229">
        <f t="shared" si="27"/>
        <v>45754</v>
      </c>
      <c r="K69" s="230">
        <v>45</v>
      </c>
      <c r="L69" s="229">
        <f t="shared" si="28"/>
        <v>45799</v>
      </c>
      <c r="M69" s="230">
        <v>31</v>
      </c>
      <c r="N69" s="229">
        <f t="shared" si="29"/>
        <v>45830</v>
      </c>
      <c r="O69" s="230">
        <v>3</v>
      </c>
      <c r="P69" s="229">
        <f t="shared" si="30"/>
        <v>45833</v>
      </c>
      <c r="Q69" s="211">
        <f t="shared" si="31"/>
        <v>115</v>
      </c>
      <c r="R69" s="210">
        <v>45833</v>
      </c>
      <c r="S69" s="210">
        <f t="shared" si="32"/>
        <v>-90</v>
      </c>
      <c r="T69" s="210">
        <f t="shared" si="33"/>
        <v>-67</v>
      </c>
      <c r="U69" s="210">
        <f t="shared" si="34"/>
        <v>-67</v>
      </c>
      <c r="V69" s="210">
        <f t="shared" ref="V69:V88" si="35">+$C$6-60</f>
        <v>-60</v>
      </c>
      <c r="W69" s="222"/>
      <c r="X69" s="214"/>
      <c r="Y69" s="215"/>
      <c r="Z69" s="216"/>
      <c r="AA69" s="217"/>
      <c r="AB69" s="218"/>
      <c r="AC69" s="208"/>
      <c r="AD69" s="208"/>
      <c r="AE69" s="208"/>
      <c r="AF69" s="208"/>
    </row>
    <row r="70" spans="1:32" x14ac:dyDescent="0.3">
      <c r="A70" s="207">
        <v>6.01</v>
      </c>
      <c r="B70" s="208" t="s">
        <v>887</v>
      </c>
      <c r="C70" s="209" t="s">
        <v>890</v>
      </c>
      <c r="D70" s="229">
        <f t="shared" si="24"/>
        <v>45718</v>
      </c>
      <c r="E70" s="230">
        <v>10</v>
      </c>
      <c r="F70" s="229">
        <f t="shared" si="25"/>
        <v>45728</v>
      </c>
      <c r="G70" s="230">
        <v>21</v>
      </c>
      <c r="H70" s="229">
        <f t="shared" si="26"/>
        <v>45749</v>
      </c>
      <c r="I70" s="230">
        <v>5</v>
      </c>
      <c r="J70" s="229">
        <f t="shared" si="27"/>
        <v>45754</v>
      </c>
      <c r="K70" s="230">
        <v>45</v>
      </c>
      <c r="L70" s="229">
        <f t="shared" si="28"/>
        <v>45799</v>
      </c>
      <c r="M70" s="230">
        <v>31</v>
      </c>
      <c r="N70" s="229">
        <f t="shared" si="29"/>
        <v>45830</v>
      </c>
      <c r="O70" s="230">
        <v>3</v>
      </c>
      <c r="P70" s="229">
        <f t="shared" si="30"/>
        <v>45833</v>
      </c>
      <c r="Q70" s="211">
        <f t="shared" si="31"/>
        <v>115</v>
      </c>
      <c r="R70" s="210">
        <v>45833</v>
      </c>
      <c r="S70" s="210">
        <f t="shared" si="32"/>
        <v>-90</v>
      </c>
      <c r="T70" s="210">
        <f t="shared" si="33"/>
        <v>-67</v>
      </c>
      <c r="U70" s="210">
        <f t="shared" si="34"/>
        <v>-67</v>
      </c>
      <c r="V70" s="210">
        <f t="shared" si="35"/>
        <v>-60</v>
      </c>
      <c r="W70" s="222"/>
      <c r="X70" s="214"/>
      <c r="Y70" s="215"/>
      <c r="Z70" s="216"/>
      <c r="AA70" s="217"/>
      <c r="AB70" s="218"/>
      <c r="AC70" s="208"/>
      <c r="AD70" s="208"/>
      <c r="AE70" s="208"/>
      <c r="AF70" s="208"/>
    </row>
    <row r="71" spans="1:32" x14ac:dyDescent="0.3">
      <c r="A71" s="207">
        <v>6.01</v>
      </c>
      <c r="B71" s="208" t="s">
        <v>887</v>
      </c>
      <c r="C71" s="209" t="s">
        <v>891</v>
      </c>
      <c r="D71" s="229">
        <f t="shared" si="24"/>
        <v>45718</v>
      </c>
      <c r="E71" s="230">
        <v>10</v>
      </c>
      <c r="F71" s="229">
        <f t="shared" si="25"/>
        <v>45728</v>
      </c>
      <c r="G71" s="230">
        <v>21</v>
      </c>
      <c r="H71" s="229">
        <f t="shared" si="26"/>
        <v>45749</v>
      </c>
      <c r="I71" s="230">
        <v>5</v>
      </c>
      <c r="J71" s="229">
        <f t="shared" si="27"/>
        <v>45754</v>
      </c>
      <c r="K71" s="230">
        <v>45</v>
      </c>
      <c r="L71" s="229">
        <f t="shared" si="28"/>
        <v>45799</v>
      </c>
      <c r="M71" s="230">
        <v>31</v>
      </c>
      <c r="N71" s="229">
        <f t="shared" si="29"/>
        <v>45830</v>
      </c>
      <c r="O71" s="230">
        <v>3</v>
      </c>
      <c r="P71" s="229">
        <f t="shared" si="30"/>
        <v>45833</v>
      </c>
      <c r="Q71" s="211">
        <f t="shared" si="31"/>
        <v>115</v>
      </c>
      <c r="R71" s="210">
        <v>45833</v>
      </c>
      <c r="S71" s="210">
        <f t="shared" si="32"/>
        <v>-90</v>
      </c>
      <c r="T71" s="210">
        <f t="shared" si="33"/>
        <v>-67</v>
      </c>
      <c r="U71" s="210">
        <f t="shared" si="34"/>
        <v>-67</v>
      </c>
      <c r="V71" s="210">
        <f t="shared" si="35"/>
        <v>-60</v>
      </c>
      <c r="W71" s="222"/>
      <c r="X71" s="214"/>
      <c r="Y71" s="215"/>
      <c r="Z71" s="216"/>
      <c r="AA71" s="217"/>
      <c r="AB71" s="218"/>
      <c r="AC71" s="208"/>
      <c r="AD71" s="208"/>
      <c r="AE71" s="208"/>
      <c r="AF71" s="208"/>
    </row>
    <row r="72" spans="1:32" x14ac:dyDescent="0.3">
      <c r="A72" s="207">
        <v>6.01</v>
      </c>
      <c r="B72" s="208" t="s">
        <v>887</v>
      </c>
      <c r="C72" s="209" t="s">
        <v>892</v>
      </c>
      <c r="D72" s="229">
        <f t="shared" si="24"/>
        <v>45718</v>
      </c>
      <c r="E72" s="230">
        <v>10</v>
      </c>
      <c r="F72" s="229">
        <f t="shared" si="25"/>
        <v>45728</v>
      </c>
      <c r="G72" s="230">
        <v>21</v>
      </c>
      <c r="H72" s="229">
        <f t="shared" si="26"/>
        <v>45749</v>
      </c>
      <c r="I72" s="230">
        <v>5</v>
      </c>
      <c r="J72" s="229">
        <f t="shared" si="27"/>
        <v>45754</v>
      </c>
      <c r="K72" s="230">
        <v>45</v>
      </c>
      <c r="L72" s="229">
        <f t="shared" si="28"/>
        <v>45799</v>
      </c>
      <c r="M72" s="230">
        <v>31</v>
      </c>
      <c r="N72" s="229">
        <f t="shared" si="29"/>
        <v>45830</v>
      </c>
      <c r="O72" s="230">
        <v>3</v>
      </c>
      <c r="P72" s="229">
        <f t="shared" si="30"/>
        <v>45833</v>
      </c>
      <c r="Q72" s="211">
        <f t="shared" si="31"/>
        <v>115</v>
      </c>
      <c r="R72" s="210">
        <v>45833</v>
      </c>
      <c r="S72" s="210">
        <f t="shared" si="32"/>
        <v>-90</v>
      </c>
      <c r="T72" s="210">
        <f t="shared" si="33"/>
        <v>-67</v>
      </c>
      <c r="U72" s="210">
        <f t="shared" si="34"/>
        <v>-67</v>
      </c>
      <c r="V72" s="210">
        <f t="shared" si="35"/>
        <v>-60</v>
      </c>
      <c r="W72" s="222"/>
      <c r="X72" s="214"/>
      <c r="Y72" s="215"/>
      <c r="Z72" s="216"/>
      <c r="AA72" s="217"/>
      <c r="AB72" s="218"/>
      <c r="AC72" s="208"/>
      <c r="AD72" s="208"/>
      <c r="AE72" s="208"/>
      <c r="AF72" s="208"/>
    </row>
    <row r="73" spans="1:32" x14ac:dyDescent="0.3">
      <c r="A73" s="207">
        <v>6.01</v>
      </c>
      <c r="B73" s="208" t="s">
        <v>887</v>
      </c>
      <c r="C73" s="209" t="s">
        <v>893</v>
      </c>
      <c r="D73" s="229">
        <f t="shared" si="24"/>
        <v>45708</v>
      </c>
      <c r="E73" s="230">
        <v>15</v>
      </c>
      <c r="F73" s="229">
        <f t="shared" si="25"/>
        <v>45723</v>
      </c>
      <c r="G73" s="230">
        <v>21</v>
      </c>
      <c r="H73" s="229">
        <f t="shared" si="26"/>
        <v>45744</v>
      </c>
      <c r="I73" s="230">
        <v>10</v>
      </c>
      <c r="J73" s="229">
        <f t="shared" si="27"/>
        <v>45754</v>
      </c>
      <c r="K73" s="230">
        <v>45</v>
      </c>
      <c r="L73" s="229">
        <f t="shared" si="28"/>
        <v>45799</v>
      </c>
      <c r="M73" s="230">
        <v>31</v>
      </c>
      <c r="N73" s="229">
        <f t="shared" si="29"/>
        <v>45830</v>
      </c>
      <c r="O73" s="230">
        <v>3</v>
      </c>
      <c r="P73" s="229">
        <f t="shared" si="30"/>
        <v>45833</v>
      </c>
      <c r="Q73" s="211">
        <f t="shared" si="31"/>
        <v>125</v>
      </c>
      <c r="R73" s="210">
        <v>45833</v>
      </c>
      <c r="S73" s="210">
        <f t="shared" si="32"/>
        <v>-90</v>
      </c>
      <c r="T73" s="210">
        <f t="shared" si="33"/>
        <v>-67</v>
      </c>
      <c r="U73" s="210">
        <f t="shared" si="34"/>
        <v>-67</v>
      </c>
      <c r="V73" s="210">
        <f t="shared" si="35"/>
        <v>-60</v>
      </c>
      <c r="W73" s="222"/>
      <c r="X73" s="214"/>
      <c r="Y73" s="215"/>
      <c r="Z73" s="216"/>
      <c r="AA73" s="217"/>
      <c r="AB73" s="218"/>
      <c r="AC73" s="208"/>
      <c r="AD73" s="208"/>
      <c r="AE73" s="208"/>
      <c r="AF73" s="208"/>
    </row>
    <row r="74" spans="1:32" x14ac:dyDescent="0.3">
      <c r="A74" s="207">
        <v>6.01</v>
      </c>
      <c r="B74" s="208" t="s">
        <v>887</v>
      </c>
      <c r="C74" s="209" t="s">
        <v>894</v>
      </c>
      <c r="D74" s="229">
        <f t="shared" si="24"/>
        <v>45718</v>
      </c>
      <c r="E74" s="230">
        <v>10</v>
      </c>
      <c r="F74" s="229">
        <f t="shared" si="25"/>
        <v>45728</v>
      </c>
      <c r="G74" s="230">
        <v>21</v>
      </c>
      <c r="H74" s="229">
        <f t="shared" si="26"/>
        <v>45749</v>
      </c>
      <c r="I74" s="230">
        <v>5</v>
      </c>
      <c r="J74" s="229">
        <f t="shared" si="27"/>
        <v>45754</v>
      </c>
      <c r="K74" s="230">
        <v>45</v>
      </c>
      <c r="L74" s="229">
        <f t="shared" si="28"/>
        <v>45799</v>
      </c>
      <c r="M74" s="230">
        <v>31</v>
      </c>
      <c r="N74" s="229">
        <f t="shared" si="29"/>
        <v>45830</v>
      </c>
      <c r="O74" s="230">
        <v>3</v>
      </c>
      <c r="P74" s="229">
        <f t="shared" si="30"/>
        <v>45833</v>
      </c>
      <c r="Q74" s="211">
        <f t="shared" si="31"/>
        <v>115</v>
      </c>
      <c r="R74" s="210">
        <v>45833</v>
      </c>
      <c r="S74" s="210">
        <f t="shared" si="32"/>
        <v>-90</v>
      </c>
      <c r="T74" s="210">
        <f t="shared" si="33"/>
        <v>-67</v>
      </c>
      <c r="U74" s="210">
        <f t="shared" si="34"/>
        <v>-67</v>
      </c>
      <c r="V74" s="210">
        <f t="shared" si="35"/>
        <v>-60</v>
      </c>
      <c r="W74" s="222"/>
      <c r="X74" s="214"/>
      <c r="Y74" s="215"/>
      <c r="Z74" s="216"/>
      <c r="AA74" s="217"/>
      <c r="AB74" s="218"/>
      <c r="AC74" s="208"/>
      <c r="AD74" s="208"/>
      <c r="AE74" s="208"/>
      <c r="AF74" s="208"/>
    </row>
    <row r="75" spans="1:32" x14ac:dyDescent="0.3">
      <c r="A75" s="207">
        <v>6.01</v>
      </c>
      <c r="B75" s="208" t="s">
        <v>887</v>
      </c>
      <c r="C75" s="209" t="s">
        <v>895</v>
      </c>
      <c r="D75" s="229">
        <f t="shared" si="24"/>
        <v>45713</v>
      </c>
      <c r="E75" s="230">
        <v>10</v>
      </c>
      <c r="F75" s="229">
        <f t="shared" si="25"/>
        <v>45723</v>
      </c>
      <c r="G75" s="230">
        <v>21</v>
      </c>
      <c r="H75" s="229">
        <f t="shared" si="26"/>
        <v>45744</v>
      </c>
      <c r="I75" s="230">
        <v>10</v>
      </c>
      <c r="J75" s="229">
        <f t="shared" si="27"/>
        <v>45754</v>
      </c>
      <c r="K75" s="230">
        <v>45</v>
      </c>
      <c r="L75" s="229">
        <f t="shared" si="28"/>
        <v>45799</v>
      </c>
      <c r="M75" s="230">
        <v>31</v>
      </c>
      <c r="N75" s="229">
        <f t="shared" si="29"/>
        <v>45830</v>
      </c>
      <c r="O75" s="230">
        <v>3</v>
      </c>
      <c r="P75" s="229">
        <f t="shared" si="30"/>
        <v>45833</v>
      </c>
      <c r="Q75" s="211">
        <f t="shared" si="31"/>
        <v>120</v>
      </c>
      <c r="R75" s="210">
        <v>45833</v>
      </c>
      <c r="S75" s="210">
        <f t="shared" si="32"/>
        <v>-150</v>
      </c>
      <c r="T75" s="210">
        <f t="shared" si="33"/>
        <v>-127</v>
      </c>
      <c r="U75" s="210">
        <f t="shared" si="34"/>
        <v>-67</v>
      </c>
      <c r="V75" s="210">
        <f t="shared" si="35"/>
        <v>-60</v>
      </c>
      <c r="W75" s="222"/>
      <c r="X75" s="214"/>
      <c r="Y75" s="215"/>
      <c r="Z75" s="216">
        <v>60</v>
      </c>
      <c r="AA75" s="217"/>
      <c r="AB75" s="218"/>
      <c r="AC75" s="208"/>
      <c r="AD75" s="208"/>
      <c r="AE75" s="208"/>
      <c r="AF75" s="208"/>
    </row>
    <row r="76" spans="1:32" x14ac:dyDescent="0.3">
      <c r="A76" s="207">
        <v>6.01</v>
      </c>
      <c r="B76" s="208" t="s">
        <v>887</v>
      </c>
      <c r="C76" s="209" t="s">
        <v>193</v>
      </c>
      <c r="D76" s="229">
        <f t="shared" si="24"/>
        <v>45718</v>
      </c>
      <c r="E76" s="230">
        <v>10</v>
      </c>
      <c r="F76" s="229">
        <f t="shared" si="25"/>
        <v>45728</v>
      </c>
      <c r="G76" s="230">
        <v>21</v>
      </c>
      <c r="H76" s="229">
        <f t="shared" si="26"/>
        <v>45749</v>
      </c>
      <c r="I76" s="230">
        <v>5</v>
      </c>
      <c r="J76" s="229">
        <f t="shared" si="27"/>
        <v>45754</v>
      </c>
      <c r="K76" s="230">
        <v>45</v>
      </c>
      <c r="L76" s="229">
        <f t="shared" si="28"/>
        <v>45799</v>
      </c>
      <c r="M76" s="230">
        <v>31</v>
      </c>
      <c r="N76" s="229">
        <f t="shared" si="29"/>
        <v>45830</v>
      </c>
      <c r="O76" s="230">
        <v>3</v>
      </c>
      <c r="P76" s="229">
        <f t="shared" si="30"/>
        <v>45833</v>
      </c>
      <c r="Q76" s="211">
        <f t="shared" si="31"/>
        <v>115</v>
      </c>
      <c r="R76" s="210">
        <v>45833</v>
      </c>
      <c r="S76" s="210">
        <f t="shared" si="32"/>
        <v>-120</v>
      </c>
      <c r="T76" s="210">
        <f t="shared" si="33"/>
        <v>-97</v>
      </c>
      <c r="U76" s="210">
        <f t="shared" si="34"/>
        <v>-67</v>
      </c>
      <c r="V76" s="210">
        <f t="shared" si="35"/>
        <v>-60</v>
      </c>
      <c r="W76" s="222"/>
      <c r="X76" s="214"/>
      <c r="Y76" s="215"/>
      <c r="Z76" s="216">
        <v>30</v>
      </c>
      <c r="AA76" s="217"/>
      <c r="AB76" s="218"/>
      <c r="AC76" s="208"/>
      <c r="AD76" s="208"/>
      <c r="AE76" s="208"/>
      <c r="AF76" s="208"/>
    </row>
    <row r="77" spans="1:32" x14ac:dyDescent="0.3">
      <c r="A77" s="207">
        <v>6.01</v>
      </c>
      <c r="B77" s="208" t="s">
        <v>887</v>
      </c>
      <c r="C77" s="209" t="s">
        <v>189</v>
      </c>
      <c r="D77" s="229">
        <f t="shared" si="24"/>
        <v>45718</v>
      </c>
      <c r="E77" s="230">
        <v>10</v>
      </c>
      <c r="F77" s="229">
        <f t="shared" si="25"/>
        <v>45728</v>
      </c>
      <c r="G77" s="230">
        <v>21</v>
      </c>
      <c r="H77" s="229">
        <f t="shared" si="26"/>
        <v>45749</v>
      </c>
      <c r="I77" s="230">
        <v>5</v>
      </c>
      <c r="J77" s="229">
        <f t="shared" si="27"/>
        <v>45754</v>
      </c>
      <c r="K77" s="230">
        <v>45</v>
      </c>
      <c r="L77" s="229">
        <f t="shared" si="28"/>
        <v>45799</v>
      </c>
      <c r="M77" s="230">
        <v>31</v>
      </c>
      <c r="N77" s="229">
        <f t="shared" si="29"/>
        <v>45830</v>
      </c>
      <c r="O77" s="230">
        <v>3</v>
      </c>
      <c r="P77" s="229">
        <f t="shared" si="30"/>
        <v>45833</v>
      </c>
      <c r="Q77" s="211">
        <f t="shared" si="31"/>
        <v>115</v>
      </c>
      <c r="R77" s="210">
        <v>45833</v>
      </c>
      <c r="S77" s="210">
        <f t="shared" si="32"/>
        <v>-120</v>
      </c>
      <c r="T77" s="210">
        <f t="shared" si="33"/>
        <v>-97</v>
      </c>
      <c r="U77" s="210">
        <f t="shared" si="34"/>
        <v>-67</v>
      </c>
      <c r="V77" s="210">
        <f t="shared" si="35"/>
        <v>-60</v>
      </c>
      <c r="W77" s="222"/>
      <c r="X77" s="214"/>
      <c r="Y77" s="215"/>
      <c r="Z77" s="216">
        <v>30</v>
      </c>
      <c r="AA77" s="217"/>
      <c r="AB77" s="218"/>
      <c r="AC77" s="208"/>
      <c r="AD77" s="208"/>
      <c r="AE77" s="208"/>
      <c r="AF77" s="208"/>
    </row>
    <row r="78" spans="1:32" x14ac:dyDescent="0.3">
      <c r="A78" s="207">
        <v>6.01</v>
      </c>
      <c r="B78" s="208" t="s">
        <v>887</v>
      </c>
      <c r="C78" s="209" t="s">
        <v>185</v>
      </c>
      <c r="D78" s="229">
        <f t="shared" si="24"/>
        <v>45718</v>
      </c>
      <c r="E78" s="230">
        <v>10</v>
      </c>
      <c r="F78" s="229">
        <f t="shared" si="25"/>
        <v>45728</v>
      </c>
      <c r="G78" s="230">
        <v>21</v>
      </c>
      <c r="H78" s="229">
        <f t="shared" si="26"/>
        <v>45749</v>
      </c>
      <c r="I78" s="230">
        <v>5</v>
      </c>
      <c r="J78" s="229">
        <f t="shared" si="27"/>
        <v>45754</v>
      </c>
      <c r="K78" s="230">
        <v>45</v>
      </c>
      <c r="L78" s="229">
        <f t="shared" si="28"/>
        <v>45799</v>
      </c>
      <c r="M78" s="230">
        <v>31</v>
      </c>
      <c r="N78" s="229">
        <f t="shared" si="29"/>
        <v>45830</v>
      </c>
      <c r="O78" s="230">
        <v>3</v>
      </c>
      <c r="P78" s="229">
        <f t="shared" si="30"/>
        <v>45833</v>
      </c>
      <c r="Q78" s="211">
        <f t="shared" si="31"/>
        <v>115</v>
      </c>
      <c r="R78" s="210">
        <v>45833</v>
      </c>
      <c r="S78" s="210">
        <f t="shared" si="32"/>
        <v>-120</v>
      </c>
      <c r="T78" s="210">
        <f t="shared" si="33"/>
        <v>-97</v>
      </c>
      <c r="U78" s="210">
        <f t="shared" si="34"/>
        <v>-67</v>
      </c>
      <c r="V78" s="210">
        <f t="shared" si="35"/>
        <v>-60</v>
      </c>
      <c r="W78" s="222"/>
      <c r="X78" s="214"/>
      <c r="Y78" s="215"/>
      <c r="Z78" s="216">
        <v>30</v>
      </c>
      <c r="AA78" s="217"/>
      <c r="AB78" s="218"/>
      <c r="AC78" s="208"/>
      <c r="AD78" s="208"/>
      <c r="AE78" s="208"/>
      <c r="AF78" s="208"/>
    </row>
    <row r="79" spans="1:32" x14ac:dyDescent="0.3">
      <c r="A79" s="207">
        <v>6.01</v>
      </c>
      <c r="B79" s="208" t="s">
        <v>887</v>
      </c>
      <c r="C79" s="209" t="s">
        <v>896</v>
      </c>
      <c r="D79" s="229">
        <f t="shared" si="24"/>
        <v>45718</v>
      </c>
      <c r="E79" s="230">
        <v>10</v>
      </c>
      <c r="F79" s="229">
        <f t="shared" si="25"/>
        <v>45728</v>
      </c>
      <c r="G79" s="230">
        <v>21</v>
      </c>
      <c r="H79" s="229">
        <f t="shared" si="26"/>
        <v>45749</v>
      </c>
      <c r="I79" s="230">
        <v>5</v>
      </c>
      <c r="J79" s="229">
        <f t="shared" si="27"/>
        <v>45754</v>
      </c>
      <c r="K79" s="230">
        <v>45</v>
      </c>
      <c r="L79" s="229">
        <f t="shared" si="28"/>
        <v>45799</v>
      </c>
      <c r="M79" s="230">
        <v>31</v>
      </c>
      <c r="N79" s="229">
        <f t="shared" si="29"/>
        <v>45830</v>
      </c>
      <c r="O79" s="230">
        <v>3</v>
      </c>
      <c r="P79" s="229">
        <f t="shared" si="30"/>
        <v>45833</v>
      </c>
      <c r="Q79" s="211">
        <f t="shared" si="31"/>
        <v>115</v>
      </c>
      <c r="R79" s="210">
        <v>45833</v>
      </c>
      <c r="S79" s="210">
        <f t="shared" si="32"/>
        <v>-120</v>
      </c>
      <c r="T79" s="210">
        <f t="shared" si="33"/>
        <v>-97</v>
      </c>
      <c r="U79" s="210">
        <f t="shared" si="34"/>
        <v>-67</v>
      </c>
      <c r="V79" s="210">
        <f t="shared" si="35"/>
        <v>-60</v>
      </c>
      <c r="W79" s="222"/>
      <c r="X79" s="214"/>
      <c r="Y79" s="215"/>
      <c r="Z79" s="216">
        <v>30</v>
      </c>
      <c r="AA79" s="217"/>
      <c r="AB79" s="218"/>
      <c r="AC79" s="208"/>
      <c r="AD79" s="208"/>
      <c r="AE79" s="208"/>
      <c r="AF79" s="208"/>
    </row>
    <row r="80" spans="1:32" x14ac:dyDescent="0.3">
      <c r="A80" s="207">
        <v>6.02</v>
      </c>
      <c r="B80" s="208" t="s">
        <v>897</v>
      </c>
      <c r="C80" s="209" t="s">
        <v>498</v>
      </c>
      <c r="D80" s="229">
        <f t="shared" si="24"/>
        <v>45718</v>
      </c>
      <c r="E80" s="230">
        <v>10</v>
      </c>
      <c r="F80" s="229">
        <f t="shared" si="25"/>
        <v>45728</v>
      </c>
      <c r="G80" s="230">
        <v>21</v>
      </c>
      <c r="H80" s="229">
        <f t="shared" si="26"/>
        <v>45749</v>
      </c>
      <c r="I80" s="230">
        <v>5</v>
      </c>
      <c r="J80" s="229">
        <f t="shared" si="27"/>
        <v>45754</v>
      </c>
      <c r="K80" s="230">
        <v>45</v>
      </c>
      <c r="L80" s="229">
        <f t="shared" si="28"/>
        <v>45799</v>
      </c>
      <c r="M80" s="230">
        <v>31</v>
      </c>
      <c r="N80" s="229">
        <f t="shared" si="29"/>
        <v>45830</v>
      </c>
      <c r="O80" s="230">
        <v>3</v>
      </c>
      <c r="P80" s="229">
        <f t="shared" si="30"/>
        <v>45833</v>
      </c>
      <c r="Q80" s="211">
        <f t="shared" si="31"/>
        <v>115</v>
      </c>
      <c r="R80" s="210">
        <v>45833</v>
      </c>
      <c r="S80" s="210">
        <f t="shared" si="32"/>
        <v>-90</v>
      </c>
      <c r="T80" s="210">
        <f t="shared" si="33"/>
        <v>-67</v>
      </c>
      <c r="U80" s="210">
        <f t="shared" si="34"/>
        <v>-67</v>
      </c>
      <c r="V80" s="210">
        <f t="shared" si="35"/>
        <v>-60</v>
      </c>
      <c r="W80" s="222"/>
      <c r="X80" s="214"/>
      <c r="Y80" s="215"/>
      <c r="Z80" s="216"/>
      <c r="AA80" s="217"/>
      <c r="AB80" s="218"/>
      <c r="AC80" s="208"/>
      <c r="AD80" s="208"/>
      <c r="AE80" s="208"/>
      <c r="AF80" s="208"/>
    </row>
    <row r="81" spans="1:32" x14ac:dyDescent="0.3">
      <c r="A81" s="207">
        <v>6.02</v>
      </c>
      <c r="B81" s="208" t="s">
        <v>897</v>
      </c>
      <c r="C81" s="209" t="s">
        <v>898</v>
      </c>
      <c r="D81" s="229">
        <f t="shared" si="24"/>
        <v>45718</v>
      </c>
      <c r="E81" s="230">
        <v>10</v>
      </c>
      <c r="F81" s="229">
        <f t="shared" si="25"/>
        <v>45728</v>
      </c>
      <c r="G81" s="230">
        <v>21</v>
      </c>
      <c r="H81" s="229">
        <f t="shared" si="26"/>
        <v>45749</v>
      </c>
      <c r="I81" s="230">
        <v>5</v>
      </c>
      <c r="J81" s="229">
        <f t="shared" si="27"/>
        <v>45754</v>
      </c>
      <c r="K81" s="230">
        <v>45</v>
      </c>
      <c r="L81" s="229">
        <f t="shared" si="28"/>
        <v>45799</v>
      </c>
      <c r="M81" s="230">
        <v>31</v>
      </c>
      <c r="N81" s="229">
        <f t="shared" si="29"/>
        <v>45830</v>
      </c>
      <c r="O81" s="230">
        <v>3</v>
      </c>
      <c r="P81" s="229">
        <f t="shared" si="30"/>
        <v>45833</v>
      </c>
      <c r="Q81" s="211">
        <f t="shared" si="31"/>
        <v>115</v>
      </c>
      <c r="R81" s="210">
        <v>45833</v>
      </c>
      <c r="S81" s="210">
        <f t="shared" si="32"/>
        <v>-90</v>
      </c>
      <c r="T81" s="210">
        <f t="shared" si="33"/>
        <v>-67</v>
      </c>
      <c r="U81" s="210">
        <f t="shared" si="34"/>
        <v>-67</v>
      </c>
      <c r="V81" s="210">
        <f t="shared" si="35"/>
        <v>-60</v>
      </c>
      <c r="W81" s="222"/>
      <c r="X81" s="214"/>
      <c r="Y81" s="215"/>
      <c r="Z81" s="216"/>
      <c r="AA81" s="217"/>
      <c r="AB81" s="218"/>
      <c r="AC81" s="208"/>
      <c r="AD81" s="208"/>
      <c r="AE81" s="208"/>
      <c r="AF81" s="208"/>
    </row>
    <row r="82" spans="1:32" x14ac:dyDescent="0.3">
      <c r="A82" s="207">
        <v>6.02</v>
      </c>
      <c r="B82" s="208" t="s">
        <v>897</v>
      </c>
      <c r="C82" s="209" t="s">
        <v>899</v>
      </c>
      <c r="D82" s="229">
        <f t="shared" si="24"/>
        <v>45718</v>
      </c>
      <c r="E82" s="230">
        <v>10</v>
      </c>
      <c r="F82" s="229">
        <f t="shared" si="25"/>
        <v>45728</v>
      </c>
      <c r="G82" s="230">
        <v>21</v>
      </c>
      <c r="H82" s="229">
        <f t="shared" si="26"/>
        <v>45749</v>
      </c>
      <c r="I82" s="230">
        <v>5</v>
      </c>
      <c r="J82" s="229">
        <f t="shared" si="27"/>
        <v>45754</v>
      </c>
      <c r="K82" s="230">
        <v>45</v>
      </c>
      <c r="L82" s="229">
        <f t="shared" si="28"/>
        <v>45799</v>
      </c>
      <c r="M82" s="230">
        <v>31</v>
      </c>
      <c r="N82" s="229">
        <f t="shared" si="29"/>
        <v>45830</v>
      </c>
      <c r="O82" s="230">
        <v>3</v>
      </c>
      <c r="P82" s="229">
        <f t="shared" si="30"/>
        <v>45833</v>
      </c>
      <c r="Q82" s="211">
        <f t="shared" si="31"/>
        <v>115</v>
      </c>
      <c r="R82" s="210">
        <v>45833</v>
      </c>
      <c r="S82" s="210">
        <f t="shared" si="32"/>
        <v>-90</v>
      </c>
      <c r="T82" s="210">
        <f t="shared" si="33"/>
        <v>-67</v>
      </c>
      <c r="U82" s="210">
        <f t="shared" si="34"/>
        <v>-67</v>
      </c>
      <c r="V82" s="210">
        <f t="shared" si="35"/>
        <v>-60</v>
      </c>
      <c r="W82" s="222"/>
      <c r="X82" s="214"/>
      <c r="Y82" s="215"/>
      <c r="Z82" s="216"/>
      <c r="AA82" s="217"/>
      <c r="AB82" s="218"/>
      <c r="AC82" s="208"/>
      <c r="AD82" s="208"/>
      <c r="AE82" s="208"/>
      <c r="AF82" s="208"/>
    </row>
    <row r="83" spans="1:32" x14ac:dyDescent="0.3">
      <c r="A83" s="207">
        <v>6.02</v>
      </c>
      <c r="B83" s="208" t="s">
        <v>897</v>
      </c>
      <c r="C83" s="209" t="s">
        <v>900</v>
      </c>
      <c r="D83" s="229">
        <f t="shared" si="24"/>
        <v>45718</v>
      </c>
      <c r="E83" s="230">
        <v>10</v>
      </c>
      <c r="F83" s="229">
        <f t="shared" si="25"/>
        <v>45728</v>
      </c>
      <c r="G83" s="230">
        <v>21</v>
      </c>
      <c r="H83" s="229">
        <f t="shared" si="26"/>
        <v>45749</v>
      </c>
      <c r="I83" s="230">
        <v>5</v>
      </c>
      <c r="J83" s="229">
        <f t="shared" si="27"/>
        <v>45754</v>
      </c>
      <c r="K83" s="230">
        <v>45</v>
      </c>
      <c r="L83" s="229">
        <f t="shared" si="28"/>
        <v>45799</v>
      </c>
      <c r="M83" s="230">
        <v>31</v>
      </c>
      <c r="N83" s="229">
        <f t="shared" si="29"/>
        <v>45830</v>
      </c>
      <c r="O83" s="230">
        <v>3</v>
      </c>
      <c r="P83" s="229">
        <f t="shared" si="30"/>
        <v>45833</v>
      </c>
      <c r="Q83" s="211">
        <f t="shared" si="31"/>
        <v>115</v>
      </c>
      <c r="R83" s="210">
        <v>45833</v>
      </c>
      <c r="S83" s="210">
        <f t="shared" si="32"/>
        <v>-90</v>
      </c>
      <c r="T83" s="210">
        <f t="shared" si="33"/>
        <v>-67</v>
      </c>
      <c r="U83" s="210">
        <f t="shared" si="34"/>
        <v>-67</v>
      </c>
      <c r="V83" s="210">
        <f t="shared" si="35"/>
        <v>-60</v>
      </c>
      <c r="W83" s="222"/>
      <c r="X83" s="214"/>
      <c r="Y83" s="215"/>
      <c r="Z83" s="216"/>
      <c r="AA83" s="217"/>
      <c r="AB83" s="218"/>
      <c r="AC83" s="208"/>
      <c r="AD83" s="208"/>
      <c r="AE83" s="208"/>
      <c r="AF83" s="208"/>
    </row>
    <row r="84" spans="1:32" x14ac:dyDescent="0.3">
      <c r="A84" s="207">
        <v>6.02</v>
      </c>
      <c r="B84" s="208" t="s">
        <v>897</v>
      </c>
      <c r="C84" s="209" t="s">
        <v>901</v>
      </c>
      <c r="D84" s="229">
        <f t="shared" si="24"/>
        <v>45718</v>
      </c>
      <c r="E84" s="230">
        <v>10</v>
      </c>
      <c r="F84" s="229">
        <f t="shared" si="25"/>
        <v>45728</v>
      </c>
      <c r="G84" s="230">
        <v>21</v>
      </c>
      <c r="H84" s="229">
        <f t="shared" si="26"/>
        <v>45749</v>
      </c>
      <c r="I84" s="230">
        <v>5</v>
      </c>
      <c r="J84" s="229">
        <f t="shared" si="27"/>
        <v>45754</v>
      </c>
      <c r="K84" s="230">
        <v>45</v>
      </c>
      <c r="L84" s="229">
        <f t="shared" si="28"/>
        <v>45799</v>
      </c>
      <c r="M84" s="230">
        <v>31</v>
      </c>
      <c r="N84" s="229">
        <f t="shared" si="29"/>
        <v>45830</v>
      </c>
      <c r="O84" s="230">
        <v>3</v>
      </c>
      <c r="P84" s="229">
        <f t="shared" si="30"/>
        <v>45833</v>
      </c>
      <c r="Q84" s="211">
        <f t="shared" si="31"/>
        <v>115</v>
      </c>
      <c r="R84" s="210">
        <v>45833</v>
      </c>
      <c r="S84" s="210">
        <f t="shared" si="32"/>
        <v>-90</v>
      </c>
      <c r="T84" s="210">
        <f t="shared" si="33"/>
        <v>-67</v>
      </c>
      <c r="U84" s="210">
        <f t="shared" si="34"/>
        <v>-67</v>
      </c>
      <c r="V84" s="210">
        <f t="shared" si="35"/>
        <v>-60</v>
      </c>
      <c r="W84" s="222"/>
      <c r="X84" s="214"/>
      <c r="Y84" s="215"/>
      <c r="Z84" s="216"/>
      <c r="AA84" s="217"/>
      <c r="AB84" s="218"/>
      <c r="AC84" s="208"/>
      <c r="AD84" s="208"/>
      <c r="AE84" s="208"/>
      <c r="AF84" s="208"/>
    </row>
    <row r="85" spans="1:32" x14ac:dyDescent="0.3">
      <c r="A85" s="207">
        <v>6.02</v>
      </c>
      <c r="B85" s="208" t="s">
        <v>897</v>
      </c>
      <c r="C85" s="209" t="s">
        <v>902</v>
      </c>
      <c r="D85" s="229">
        <f t="shared" si="24"/>
        <v>45718</v>
      </c>
      <c r="E85" s="230">
        <v>10</v>
      </c>
      <c r="F85" s="229">
        <f t="shared" si="25"/>
        <v>45728</v>
      </c>
      <c r="G85" s="230">
        <v>21</v>
      </c>
      <c r="H85" s="229">
        <f t="shared" si="26"/>
        <v>45749</v>
      </c>
      <c r="I85" s="230">
        <v>5</v>
      </c>
      <c r="J85" s="229">
        <f t="shared" si="27"/>
        <v>45754</v>
      </c>
      <c r="K85" s="230">
        <v>45</v>
      </c>
      <c r="L85" s="229">
        <f t="shared" si="28"/>
        <v>45799</v>
      </c>
      <c r="M85" s="230">
        <v>31</v>
      </c>
      <c r="N85" s="229">
        <f t="shared" si="29"/>
        <v>45830</v>
      </c>
      <c r="O85" s="230">
        <v>3</v>
      </c>
      <c r="P85" s="229">
        <f t="shared" si="30"/>
        <v>45833</v>
      </c>
      <c r="Q85" s="211">
        <f t="shared" si="31"/>
        <v>115</v>
      </c>
      <c r="R85" s="210">
        <v>45833</v>
      </c>
      <c r="S85" s="210">
        <f t="shared" si="32"/>
        <v>-90</v>
      </c>
      <c r="T85" s="210">
        <f t="shared" si="33"/>
        <v>-67</v>
      </c>
      <c r="U85" s="210">
        <f t="shared" si="34"/>
        <v>-67</v>
      </c>
      <c r="V85" s="210">
        <f t="shared" si="35"/>
        <v>-60</v>
      </c>
      <c r="W85" s="222"/>
      <c r="X85" s="214"/>
      <c r="Y85" s="215"/>
      <c r="Z85" s="216"/>
      <c r="AA85" s="217"/>
      <c r="AB85" s="218"/>
      <c r="AC85" s="208"/>
      <c r="AD85" s="208"/>
      <c r="AE85" s="208"/>
      <c r="AF85" s="208"/>
    </row>
    <row r="86" spans="1:32" x14ac:dyDescent="0.3">
      <c r="A86" s="207">
        <v>6.02</v>
      </c>
      <c r="B86" s="208" t="s">
        <v>897</v>
      </c>
      <c r="C86" s="209" t="s">
        <v>903</v>
      </c>
      <c r="D86" s="229">
        <f t="shared" si="24"/>
        <v>45718</v>
      </c>
      <c r="E86" s="230">
        <v>10</v>
      </c>
      <c r="F86" s="229">
        <f t="shared" si="25"/>
        <v>45728</v>
      </c>
      <c r="G86" s="230">
        <v>21</v>
      </c>
      <c r="H86" s="229">
        <f t="shared" si="26"/>
        <v>45749</v>
      </c>
      <c r="I86" s="230">
        <v>5</v>
      </c>
      <c r="J86" s="229">
        <f t="shared" si="27"/>
        <v>45754</v>
      </c>
      <c r="K86" s="230">
        <v>45</v>
      </c>
      <c r="L86" s="229">
        <f t="shared" si="28"/>
        <v>45799</v>
      </c>
      <c r="M86" s="230">
        <v>31</v>
      </c>
      <c r="N86" s="229">
        <f t="shared" si="29"/>
        <v>45830</v>
      </c>
      <c r="O86" s="230">
        <v>3</v>
      </c>
      <c r="P86" s="229">
        <f t="shared" si="30"/>
        <v>45833</v>
      </c>
      <c r="Q86" s="211">
        <f t="shared" si="31"/>
        <v>115</v>
      </c>
      <c r="R86" s="210">
        <v>45833</v>
      </c>
      <c r="S86" s="210">
        <f t="shared" si="32"/>
        <v>-90</v>
      </c>
      <c r="T86" s="210">
        <f t="shared" si="33"/>
        <v>-67</v>
      </c>
      <c r="U86" s="210">
        <f t="shared" si="34"/>
        <v>-67</v>
      </c>
      <c r="V86" s="210">
        <f t="shared" si="35"/>
        <v>-60</v>
      </c>
      <c r="W86" s="222"/>
      <c r="X86" s="214"/>
      <c r="Y86" s="215"/>
      <c r="Z86" s="216"/>
      <c r="AA86" s="217"/>
      <c r="AB86" s="218"/>
      <c r="AC86" s="208"/>
      <c r="AD86" s="208"/>
      <c r="AE86" s="208"/>
      <c r="AF86" s="208"/>
    </row>
    <row r="87" spans="1:32" x14ac:dyDescent="0.3">
      <c r="A87" s="207">
        <v>6.03</v>
      </c>
      <c r="B87" s="208" t="s">
        <v>904</v>
      </c>
      <c r="C87" s="209" t="s">
        <v>905</v>
      </c>
      <c r="D87" s="229">
        <f t="shared" si="24"/>
        <v>45718</v>
      </c>
      <c r="E87" s="230">
        <v>10</v>
      </c>
      <c r="F87" s="229">
        <f t="shared" si="25"/>
        <v>45728</v>
      </c>
      <c r="G87" s="230">
        <v>21</v>
      </c>
      <c r="H87" s="229">
        <f t="shared" si="26"/>
        <v>45749</v>
      </c>
      <c r="I87" s="230">
        <v>5</v>
      </c>
      <c r="J87" s="229">
        <f t="shared" si="27"/>
        <v>45754</v>
      </c>
      <c r="K87" s="230">
        <v>45</v>
      </c>
      <c r="L87" s="229">
        <f t="shared" si="28"/>
        <v>45799</v>
      </c>
      <c r="M87" s="230">
        <v>31</v>
      </c>
      <c r="N87" s="229">
        <f t="shared" si="29"/>
        <v>45830</v>
      </c>
      <c r="O87" s="230">
        <v>3</v>
      </c>
      <c r="P87" s="229">
        <f t="shared" si="30"/>
        <v>45833</v>
      </c>
      <c r="Q87" s="211">
        <f t="shared" si="31"/>
        <v>115</v>
      </c>
      <c r="R87" s="210">
        <v>45833</v>
      </c>
      <c r="S87" s="210">
        <f t="shared" si="32"/>
        <v>-90</v>
      </c>
      <c r="T87" s="210">
        <f t="shared" si="33"/>
        <v>-67</v>
      </c>
      <c r="U87" s="210">
        <f t="shared" si="34"/>
        <v>-67</v>
      </c>
      <c r="V87" s="210">
        <f t="shared" si="35"/>
        <v>-60</v>
      </c>
      <c r="W87" s="222"/>
      <c r="X87" s="214"/>
      <c r="Y87" s="215"/>
      <c r="Z87" s="216"/>
      <c r="AA87" s="217"/>
      <c r="AB87" s="218"/>
      <c r="AC87" s="208"/>
      <c r="AD87" s="208"/>
      <c r="AE87" s="208"/>
      <c r="AF87" s="208"/>
    </row>
    <row r="88" spans="1:32" x14ac:dyDescent="0.3">
      <c r="A88" s="207">
        <v>6.03</v>
      </c>
      <c r="B88" s="208" t="s">
        <v>904</v>
      </c>
      <c r="C88" s="209" t="s">
        <v>906</v>
      </c>
      <c r="D88" s="229">
        <f t="shared" si="24"/>
        <v>45718</v>
      </c>
      <c r="E88" s="230">
        <v>10</v>
      </c>
      <c r="F88" s="229">
        <f t="shared" si="25"/>
        <v>45728</v>
      </c>
      <c r="G88" s="230">
        <v>21</v>
      </c>
      <c r="H88" s="229">
        <f t="shared" si="26"/>
        <v>45749</v>
      </c>
      <c r="I88" s="230">
        <v>5</v>
      </c>
      <c r="J88" s="229">
        <f t="shared" si="27"/>
        <v>45754</v>
      </c>
      <c r="K88" s="230">
        <v>45</v>
      </c>
      <c r="L88" s="229">
        <f t="shared" si="28"/>
        <v>45799</v>
      </c>
      <c r="M88" s="230">
        <v>31</v>
      </c>
      <c r="N88" s="229">
        <f t="shared" si="29"/>
        <v>45830</v>
      </c>
      <c r="O88" s="230">
        <v>3</v>
      </c>
      <c r="P88" s="229">
        <f t="shared" si="30"/>
        <v>45833</v>
      </c>
      <c r="Q88" s="211">
        <f t="shared" si="31"/>
        <v>115</v>
      </c>
      <c r="R88" s="210">
        <v>45833</v>
      </c>
      <c r="S88" s="210">
        <f t="shared" si="32"/>
        <v>-90</v>
      </c>
      <c r="T88" s="210">
        <f t="shared" si="33"/>
        <v>-67</v>
      </c>
      <c r="U88" s="210">
        <f t="shared" si="34"/>
        <v>-67</v>
      </c>
      <c r="V88" s="210">
        <f t="shared" si="35"/>
        <v>-60</v>
      </c>
      <c r="W88" s="222"/>
      <c r="X88" s="214"/>
      <c r="Y88" s="215"/>
      <c r="Z88" s="216"/>
      <c r="AA88" s="217"/>
      <c r="AB88" s="218"/>
      <c r="AC88" s="208"/>
      <c r="AD88" s="208"/>
      <c r="AE88" s="208"/>
      <c r="AF88" s="208"/>
    </row>
    <row r="89" spans="1:32" x14ac:dyDescent="0.3">
      <c r="A89" s="207">
        <v>6.03</v>
      </c>
      <c r="B89" s="208" t="s">
        <v>904</v>
      </c>
      <c r="C89" s="209" t="s">
        <v>907</v>
      </c>
      <c r="D89" s="229">
        <f t="shared" si="24"/>
        <v>45718</v>
      </c>
      <c r="E89" s="230">
        <v>10</v>
      </c>
      <c r="F89" s="229">
        <f t="shared" si="25"/>
        <v>45728</v>
      </c>
      <c r="G89" s="230">
        <v>21</v>
      </c>
      <c r="H89" s="229">
        <f t="shared" si="26"/>
        <v>45749</v>
      </c>
      <c r="I89" s="230">
        <v>5</v>
      </c>
      <c r="J89" s="229">
        <f t="shared" si="27"/>
        <v>45754</v>
      </c>
      <c r="K89" s="230">
        <v>45</v>
      </c>
      <c r="L89" s="229">
        <f t="shared" si="28"/>
        <v>45799</v>
      </c>
      <c r="M89" s="230">
        <v>31</v>
      </c>
      <c r="N89" s="229">
        <f t="shared" si="29"/>
        <v>45830</v>
      </c>
      <c r="O89" s="230">
        <v>3</v>
      </c>
      <c r="P89" s="229">
        <f t="shared" si="30"/>
        <v>45833</v>
      </c>
      <c r="Q89" s="211">
        <f t="shared" si="31"/>
        <v>115</v>
      </c>
      <c r="R89" s="210">
        <v>45833</v>
      </c>
      <c r="S89" s="210">
        <f t="shared" si="32"/>
        <v>-105</v>
      </c>
      <c r="T89" s="210">
        <f t="shared" si="33"/>
        <v>-82</v>
      </c>
      <c r="U89" s="210">
        <f t="shared" si="34"/>
        <v>-52</v>
      </c>
      <c r="V89" s="210">
        <f t="shared" ref="V89:V106" si="36">+$C$6-45</f>
        <v>-45</v>
      </c>
      <c r="W89" s="222"/>
      <c r="X89" s="214"/>
      <c r="Y89" s="215"/>
      <c r="Z89" s="216">
        <v>30</v>
      </c>
      <c r="AA89" s="217"/>
      <c r="AB89" s="218"/>
      <c r="AC89" s="208"/>
      <c r="AD89" s="208"/>
      <c r="AE89" s="208"/>
      <c r="AF89" s="208"/>
    </row>
    <row r="90" spans="1:32" x14ac:dyDescent="0.3">
      <c r="A90" s="207">
        <v>6.04</v>
      </c>
      <c r="B90" s="208" t="s">
        <v>908</v>
      </c>
      <c r="C90" s="209" t="s">
        <v>909</v>
      </c>
      <c r="D90" s="229">
        <f t="shared" si="24"/>
        <v>45718</v>
      </c>
      <c r="E90" s="230">
        <v>10</v>
      </c>
      <c r="F90" s="229">
        <f t="shared" si="25"/>
        <v>45728</v>
      </c>
      <c r="G90" s="230">
        <v>21</v>
      </c>
      <c r="H90" s="229">
        <f t="shared" si="26"/>
        <v>45749</v>
      </c>
      <c r="I90" s="230">
        <v>5</v>
      </c>
      <c r="J90" s="229">
        <f t="shared" si="27"/>
        <v>45754</v>
      </c>
      <c r="K90" s="230">
        <v>45</v>
      </c>
      <c r="L90" s="229">
        <f t="shared" si="28"/>
        <v>45799</v>
      </c>
      <c r="M90" s="230">
        <v>31</v>
      </c>
      <c r="N90" s="229">
        <f t="shared" si="29"/>
        <v>45830</v>
      </c>
      <c r="O90" s="230">
        <v>3</v>
      </c>
      <c r="P90" s="229">
        <f t="shared" si="30"/>
        <v>45833</v>
      </c>
      <c r="Q90" s="211">
        <f t="shared" si="31"/>
        <v>115</v>
      </c>
      <c r="R90" s="210">
        <v>45833</v>
      </c>
      <c r="S90" s="210">
        <f t="shared" si="32"/>
        <v>-165</v>
      </c>
      <c r="T90" s="210">
        <f t="shared" si="33"/>
        <v>-142</v>
      </c>
      <c r="U90" s="210">
        <f t="shared" si="34"/>
        <v>-52</v>
      </c>
      <c r="V90" s="210">
        <f t="shared" si="36"/>
        <v>-45</v>
      </c>
      <c r="W90" s="222"/>
      <c r="X90" s="214"/>
      <c r="Y90" s="215"/>
      <c r="Z90" s="216">
        <v>90</v>
      </c>
      <c r="AA90" s="217"/>
      <c r="AB90" s="218"/>
      <c r="AC90" s="208"/>
      <c r="AD90" s="208"/>
      <c r="AE90" s="208"/>
      <c r="AF90" s="208"/>
    </row>
    <row r="91" spans="1:32" x14ac:dyDescent="0.3">
      <c r="A91" s="207">
        <v>6.04</v>
      </c>
      <c r="B91" s="208" t="s">
        <v>908</v>
      </c>
      <c r="C91" s="209" t="s">
        <v>910</v>
      </c>
      <c r="D91" s="229">
        <f t="shared" si="24"/>
        <v>45718</v>
      </c>
      <c r="E91" s="230">
        <v>10</v>
      </c>
      <c r="F91" s="229">
        <f t="shared" si="25"/>
        <v>45728</v>
      </c>
      <c r="G91" s="230">
        <v>21</v>
      </c>
      <c r="H91" s="229">
        <f t="shared" si="26"/>
        <v>45749</v>
      </c>
      <c r="I91" s="230">
        <v>5</v>
      </c>
      <c r="J91" s="229">
        <f t="shared" si="27"/>
        <v>45754</v>
      </c>
      <c r="K91" s="230">
        <v>45</v>
      </c>
      <c r="L91" s="229">
        <f t="shared" si="28"/>
        <v>45799</v>
      </c>
      <c r="M91" s="230">
        <v>31</v>
      </c>
      <c r="N91" s="229">
        <f t="shared" si="29"/>
        <v>45830</v>
      </c>
      <c r="O91" s="230">
        <v>3</v>
      </c>
      <c r="P91" s="229">
        <f t="shared" si="30"/>
        <v>45833</v>
      </c>
      <c r="Q91" s="211">
        <f t="shared" si="31"/>
        <v>115</v>
      </c>
      <c r="R91" s="210">
        <v>45833</v>
      </c>
      <c r="S91" s="210">
        <f t="shared" si="32"/>
        <v>-165</v>
      </c>
      <c r="T91" s="210">
        <f t="shared" si="33"/>
        <v>-142</v>
      </c>
      <c r="U91" s="210">
        <f t="shared" si="34"/>
        <v>-52</v>
      </c>
      <c r="V91" s="210">
        <f t="shared" si="36"/>
        <v>-45</v>
      </c>
      <c r="W91" s="222"/>
      <c r="X91" s="214"/>
      <c r="Y91" s="215"/>
      <c r="Z91" s="216">
        <v>90</v>
      </c>
      <c r="AA91" s="217"/>
      <c r="AB91" s="218"/>
      <c r="AC91" s="208"/>
      <c r="AD91" s="208"/>
      <c r="AE91" s="208"/>
      <c r="AF91" s="208"/>
    </row>
    <row r="92" spans="1:32" x14ac:dyDescent="0.3">
      <c r="A92" s="207">
        <v>6.04</v>
      </c>
      <c r="B92" s="208" t="s">
        <v>908</v>
      </c>
      <c r="C92" s="209" t="s">
        <v>911</v>
      </c>
      <c r="D92" s="229">
        <f t="shared" si="24"/>
        <v>45718</v>
      </c>
      <c r="E92" s="230">
        <v>10</v>
      </c>
      <c r="F92" s="229">
        <f t="shared" si="25"/>
        <v>45728</v>
      </c>
      <c r="G92" s="230">
        <v>21</v>
      </c>
      <c r="H92" s="229">
        <f t="shared" si="26"/>
        <v>45749</v>
      </c>
      <c r="I92" s="230">
        <v>5</v>
      </c>
      <c r="J92" s="229">
        <f t="shared" si="27"/>
        <v>45754</v>
      </c>
      <c r="K92" s="230">
        <v>45</v>
      </c>
      <c r="L92" s="229">
        <f t="shared" si="28"/>
        <v>45799</v>
      </c>
      <c r="M92" s="230">
        <v>31</v>
      </c>
      <c r="N92" s="229">
        <f t="shared" si="29"/>
        <v>45830</v>
      </c>
      <c r="O92" s="230">
        <v>3</v>
      </c>
      <c r="P92" s="229">
        <f t="shared" si="30"/>
        <v>45833</v>
      </c>
      <c r="Q92" s="211">
        <f t="shared" si="31"/>
        <v>115</v>
      </c>
      <c r="R92" s="210">
        <v>45833</v>
      </c>
      <c r="S92" s="210">
        <f t="shared" si="32"/>
        <v>-105</v>
      </c>
      <c r="T92" s="210">
        <f t="shared" si="33"/>
        <v>-82</v>
      </c>
      <c r="U92" s="210">
        <f t="shared" si="34"/>
        <v>-52</v>
      </c>
      <c r="V92" s="210">
        <f t="shared" si="36"/>
        <v>-45</v>
      </c>
      <c r="W92" s="222"/>
      <c r="X92" s="214"/>
      <c r="Y92" s="215"/>
      <c r="Z92" s="216">
        <v>30</v>
      </c>
      <c r="AA92" s="217"/>
      <c r="AB92" s="218"/>
      <c r="AC92" s="208"/>
      <c r="AD92" s="208"/>
      <c r="AE92" s="208"/>
      <c r="AF92" s="208"/>
    </row>
    <row r="93" spans="1:32" x14ac:dyDescent="0.3">
      <c r="A93" s="207">
        <v>6.04</v>
      </c>
      <c r="B93" s="226" t="s">
        <v>908</v>
      </c>
      <c r="C93" s="209" t="s">
        <v>912</v>
      </c>
      <c r="D93" s="229">
        <f t="shared" si="24"/>
        <v>45718</v>
      </c>
      <c r="E93" s="230">
        <v>10</v>
      </c>
      <c r="F93" s="229">
        <f t="shared" si="25"/>
        <v>45728</v>
      </c>
      <c r="G93" s="230">
        <v>21</v>
      </c>
      <c r="H93" s="229">
        <f t="shared" si="26"/>
        <v>45749</v>
      </c>
      <c r="I93" s="230">
        <v>5</v>
      </c>
      <c r="J93" s="229">
        <f t="shared" si="27"/>
        <v>45754</v>
      </c>
      <c r="K93" s="230">
        <v>45</v>
      </c>
      <c r="L93" s="229">
        <f t="shared" si="28"/>
        <v>45799</v>
      </c>
      <c r="M93" s="230">
        <v>31</v>
      </c>
      <c r="N93" s="229">
        <f t="shared" si="29"/>
        <v>45830</v>
      </c>
      <c r="O93" s="230">
        <v>3</v>
      </c>
      <c r="P93" s="229">
        <f t="shared" si="30"/>
        <v>45833</v>
      </c>
      <c r="Q93" s="211">
        <f t="shared" si="31"/>
        <v>115</v>
      </c>
      <c r="R93" s="210">
        <v>45833</v>
      </c>
      <c r="S93" s="210">
        <f t="shared" si="32"/>
        <v>-75</v>
      </c>
      <c r="T93" s="210">
        <f t="shared" si="33"/>
        <v>-52</v>
      </c>
      <c r="U93" s="210">
        <f t="shared" si="34"/>
        <v>-52</v>
      </c>
      <c r="V93" s="210">
        <f t="shared" si="36"/>
        <v>-45</v>
      </c>
      <c r="W93" s="222"/>
      <c r="X93" s="214"/>
      <c r="Y93" s="215"/>
      <c r="Z93" s="216"/>
      <c r="AA93" s="217"/>
      <c r="AB93" s="218"/>
      <c r="AC93" s="208"/>
      <c r="AD93" s="208"/>
      <c r="AE93" s="208"/>
      <c r="AF93" s="208"/>
    </row>
    <row r="94" spans="1:32" ht="28.8" x14ac:dyDescent="0.3">
      <c r="A94" s="207">
        <v>6.04</v>
      </c>
      <c r="B94" s="226" t="s">
        <v>908</v>
      </c>
      <c r="C94" s="209" t="s">
        <v>913</v>
      </c>
      <c r="D94" s="229">
        <f t="shared" si="24"/>
        <v>45718</v>
      </c>
      <c r="E94" s="230">
        <v>10</v>
      </c>
      <c r="F94" s="229">
        <f t="shared" si="25"/>
        <v>45728</v>
      </c>
      <c r="G94" s="230">
        <v>21</v>
      </c>
      <c r="H94" s="229">
        <f t="shared" si="26"/>
        <v>45749</v>
      </c>
      <c r="I94" s="230">
        <v>5</v>
      </c>
      <c r="J94" s="229">
        <f t="shared" si="27"/>
        <v>45754</v>
      </c>
      <c r="K94" s="230">
        <v>45</v>
      </c>
      <c r="L94" s="229">
        <f t="shared" si="28"/>
        <v>45799</v>
      </c>
      <c r="M94" s="230">
        <v>31</v>
      </c>
      <c r="N94" s="229">
        <f t="shared" si="29"/>
        <v>45830</v>
      </c>
      <c r="O94" s="230">
        <v>3</v>
      </c>
      <c r="P94" s="229">
        <f t="shared" si="30"/>
        <v>45833</v>
      </c>
      <c r="Q94" s="211">
        <f t="shared" si="31"/>
        <v>115</v>
      </c>
      <c r="R94" s="210">
        <v>45833</v>
      </c>
      <c r="S94" s="210">
        <f t="shared" si="32"/>
        <v>-75</v>
      </c>
      <c r="T94" s="210">
        <f t="shared" si="33"/>
        <v>-52</v>
      </c>
      <c r="U94" s="210">
        <f t="shared" si="34"/>
        <v>-52</v>
      </c>
      <c r="V94" s="210">
        <f t="shared" si="36"/>
        <v>-45</v>
      </c>
      <c r="W94" s="222"/>
      <c r="X94" s="214"/>
      <c r="Y94" s="215"/>
      <c r="Z94" s="216"/>
      <c r="AA94" s="217"/>
      <c r="AB94" s="218"/>
      <c r="AC94" s="208"/>
      <c r="AD94" s="208"/>
      <c r="AE94" s="208"/>
      <c r="AF94" s="208"/>
    </row>
    <row r="95" spans="1:32" ht="28.8" x14ac:dyDescent="0.3">
      <c r="A95" s="207">
        <v>6.04</v>
      </c>
      <c r="B95" s="226" t="s">
        <v>908</v>
      </c>
      <c r="C95" s="209" t="s">
        <v>914</v>
      </c>
      <c r="D95" s="229">
        <f t="shared" si="24"/>
        <v>45718</v>
      </c>
      <c r="E95" s="230">
        <v>10</v>
      </c>
      <c r="F95" s="229">
        <f t="shared" si="25"/>
        <v>45728</v>
      </c>
      <c r="G95" s="230">
        <v>21</v>
      </c>
      <c r="H95" s="229">
        <f t="shared" si="26"/>
        <v>45749</v>
      </c>
      <c r="I95" s="230">
        <v>5</v>
      </c>
      <c r="J95" s="229">
        <f t="shared" si="27"/>
        <v>45754</v>
      </c>
      <c r="K95" s="230">
        <v>45</v>
      </c>
      <c r="L95" s="229">
        <f t="shared" si="28"/>
        <v>45799</v>
      </c>
      <c r="M95" s="230">
        <v>31</v>
      </c>
      <c r="N95" s="229">
        <f t="shared" si="29"/>
        <v>45830</v>
      </c>
      <c r="O95" s="230">
        <v>3</v>
      </c>
      <c r="P95" s="229">
        <f t="shared" si="30"/>
        <v>45833</v>
      </c>
      <c r="Q95" s="211">
        <f t="shared" si="31"/>
        <v>115</v>
      </c>
      <c r="R95" s="210">
        <v>45833</v>
      </c>
      <c r="S95" s="210">
        <f t="shared" si="32"/>
        <v>-75</v>
      </c>
      <c r="T95" s="210">
        <f t="shared" si="33"/>
        <v>-52</v>
      </c>
      <c r="U95" s="210">
        <f t="shared" si="34"/>
        <v>-52</v>
      </c>
      <c r="V95" s="210">
        <f t="shared" si="36"/>
        <v>-45</v>
      </c>
      <c r="W95" s="222"/>
      <c r="X95" s="214"/>
      <c r="Y95" s="215"/>
      <c r="Z95" s="216"/>
      <c r="AA95" s="217"/>
      <c r="AB95" s="218"/>
      <c r="AC95" s="208"/>
      <c r="AD95" s="208"/>
      <c r="AE95" s="208"/>
      <c r="AF95" s="208"/>
    </row>
    <row r="96" spans="1:32" ht="28.8" x14ac:dyDescent="0.3">
      <c r="A96" s="207">
        <v>6.04</v>
      </c>
      <c r="B96" s="226" t="s">
        <v>908</v>
      </c>
      <c r="C96" s="209" t="s">
        <v>915</v>
      </c>
      <c r="D96" s="229">
        <f t="shared" si="24"/>
        <v>45718</v>
      </c>
      <c r="E96" s="230">
        <v>10</v>
      </c>
      <c r="F96" s="229">
        <f t="shared" si="25"/>
        <v>45728</v>
      </c>
      <c r="G96" s="230">
        <v>21</v>
      </c>
      <c r="H96" s="229">
        <f t="shared" si="26"/>
        <v>45749</v>
      </c>
      <c r="I96" s="230">
        <v>5</v>
      </c>
      <c r="J96" s="229">
        <f t="shared" si="27"/>
        <v>45754</v>
      </c>
      <c r="K96" s="230">
        <v>45</v>
      </c>
      <c r="L96" s="229">
        <f t="shared" si="28"/>
        <v>45799</v>
      </c>
      <c r="M96" s="230">
        <v>31</v>
      </c>
      <c r="N96" s="229">
        <f t="shared" si="29"/>
        <v>45830</v>
      </c>
      <c r="O96" s="230">
        <v>3</v>
      </c>
      <c r="P96" s="229">
        <f t="shared" si="30"/>
        <v>45833</v>
      </c>
      <c r="Q96" s="211">
        <f t="shared" si="31"/>
        <v>115</v>
      </c>
      <c r="R96" s="210">
        <v>45833</v>
      </c>
      <c r="S96" s="210">
        <f t="shared" si="32"/>
        <v>-75</v>
      </c>
      <c r="T96" s="210">
        <f t="shared" si="33"/>
        <v>-52</v>
      </c>
      <c r="U96" s="210">
        <f t="shared" si="34"/>
        <v>-52</v>
      </c>
      <c r="V96" s="210">
        <f t="shared" si="36"/>
        <v>-45</v>
      </c>
      <c r="W96" s="222"/>
      <c r="X96" s="214"/>
      <c r="Y96" s="215"/>
      <c r="Z96" s="216"/>
      <c r="AA96" s="217"/>
      <c r="AB96" s="218"/>
      <c r="AC96" s="208"/>
      <c r="AD96" s="208"/>
      <c r="AE96" s="208"/>
      <c r="AF96" s="208"/>
    </row>
    <row r="97" spans="1:32" x14ac:dyDescent="0.3">
      <c r="A97" s="207">
        <v>6.04</v>
      </c>
      <c r="B97" s="226" t="s">
        <v>908</v>
      </c>
      <c r="C97" s="209" t="s">
        <v>916</v>
      </c>
      <c r="D97" s="229">
        <f t="shared" si="24"/>
        <v>45718</v>
      </c>
      <c r="E97" s="230">
        <v>10</v>
      </c>
      <c r="F97" s="229">
        <f t="shared" si="25"/>
        <v>45728</v>
      </c>
      <c r="G97" s="230">
        <v>21</v>
      </c>
      <c r="H97" s="229">
        <f t="shared" si="26"/>
        <v>45749</v>
      </c>
      <c r="I97" s="230">
        <v>5</v>
      </c>
      <c r="J97" s="229">
        <f t="shared" si="27"/>
        <v>45754</v>
      </c>
      <c r="K97" s="230">
        <v>45</v>
      </c>
      <c r="L97" s="229">
        <f t="shared" si="28"/>
        <v>45799</v>
      </c>
      <c r="M97" s="230">
        <v>31</v>
      </c>
      <c r="N97" s="229">
        <f t="shared" si="29"/>
        <v>45830</v>
      </c>
      <c r="O97" s="230">
        <v>3</v>
      </c>
      <c r="P97" s="229">
        <f t="shared" si="30"/>
        <v>45833</v>
      </c>
      <c r="Q97" s="211">
        <f t="shared" si="31"/>
        <v>115</v>
      </c>
      <c r="R97" s="210">
        <v>45833</v>
      </c>
      <c r="S97" s="210">
        <f t="shared" si="32"/>
        <v>-105</v>
      </c>
      <c r="T97" s="210">
        <f t="shared" si="33"/>
        <v>-82</v>
      </c>
      <c r="U97" s="210">
        <f t="shared" si="34"/>
        <v>-52</v>
      </c>
      <c r="V97" s="210">
        <f t="shared" si="36"/>
        <v>-45</v>
      </c>
      <c r="W97" s="222"/>
      <c r="X97" s="214"/>
      <c r="Y97" s="215"/>
      <c r="Z97" s="216">
        <v>30</v>
      </c>
      <c r="AA97" s="217"/>
      <c r="AB97" s="218"/>
      <c r="AC97" s="208"/>
      <c r="AD97" s="208"/>
      <c r="AE97" s="208"/>
      <c r="AF97" s="208"/>
    </row>
    <row r="98" spans="1:32" x14ac:dyDescent="0.3">
      <c r="A98" s="207">
        <v>6.04</v>
      </c>
      <c r="B98" s="226" t="s">
        <v>908</v>
      </c>
      <c r="C98" s="209" t="s">
        <v>917</v>
      </c>
      <c r="D98" s="229">
        <f t="shared" si="24"/>
        <v>45718</v>
      </c>
      <c r="E98" s="230">
        <v>10</v>
      </c>
      <c r="F98" s="229">
        <f t="shared" si="25"/>
        <v>45728</v>
      </c>
      <c r="G98" s="230">
        <v>21</v>
      </c>
      <c r="H98" s="229">
        <f t="shared" si="26"/>
        <v>45749</v>
      </c>
      <c r="I98" s="230">
        <v>5</v>
      </c>
      <c r="J98" s="229">
        <f t="shared" si="27"/>
        <v>45754</v>
      </c>
      <c r="K98" s="230">
        <v>45</v>
      </c>
      <c r="L98" s="229">
        <f t="shared" si="28"/>
        <v>45799</v>
      </c>
      <c r="M98" s="230">
        <v>31</v>
      </c>
      <c r="N98" s="229">
        <f t="shared" si="29"/>
        <v>45830</v>
      </c>
      <c r="O98" s="230">
        <v>3</v>
      </c>
      <c r="P98" s="229">
        <f t="shared" si="30"/>
        <v>45833</v>
      </c>
      <c r="Q98" s="211">
        <f t="shared" si="31"/>
        <v>115</v>
      </c>
      <c r="R98" s="210">
        <v>45833</v>
      </c>
      <c r="S98" s="210">
        <f t="shared" si="32"/>
        <v>-75</v>
      </c>
      <c r="T98" s="210">
        <f t="shared" si="33"/>
        <v>-52</v>
      </c>
      <c r="U98" s="210">
        <f t="shared" si="34"/>
        <v>-52</v>
      </c>
      <c r="V98" s="210">
        <f t="shared" si="36"/>
        <v>-45</v>
      </c>
      <c r="W98" s="222"/>
      <c r="X98" s="214"/>
      <c r="Y98" s="215"/>
      <c r="Z98" s="216"/>
      <c r="AA98" s="217"/>
      <c r="AB98" s="218"/>
      <c r="AC98" s="208"/>
      <c r="AD98" s="208"/>
      <c r="AE98" s="208"/>
      <c r="AF98" s="208"/>
    </row>
    <row r="99" spans="1:32" x14ac:dyDescent="0.3">
      <c r="A99" s="207">
        <v>6.04</v>
      </c>
      <c r="B99" s="226" t="s">
        <v>908</v>
      </c>
      <c r="C99" s="209" t="s">
        <v>918</v>
      </c>
      <c r="D99" s="229">
        <f t="shared" si="24"/>
        <v>45718</v>
      </c>
      <c r="E99" s="230">
        <v>10</v>
      </c>
      <c r="F99" s="229">
        <f t="shared" si="25"/>
        <v>45728</v>
      </c>
      <c r="G99" s="230">
        <v>21</v>
      </c>
      <c r="H99" s="229">
        <f t="shared" si="26"/>
        <v>45749</v>
      </c>
      <c r="I99" s="230">
        <v>5</v>
      </c>
      <c r="J99" s="229">
        <f t="shared" si="27"/>
        <v>45754</v>
      </c>
      <c r="K99" s="230">
        <v>45</v>
      </c>
      <c r="L99" s="229">
        <f t="shared" si="28"/>
        <v>45799</v>
      </c>
      <c r="M99" s="230">
        <v>31</v>
      </c>
      <c r="N99" s="229">
        <f t="shared" si="29"/>
        <v>45830</v>
      </c>
      <c r="O99" s="230">
        <v>3</v>
      </c>
      <c r="P99" s="229">
        <f t="shared" si="30"/>
        <v>45833</v>
      </c>
      <c r="Q99" s="211">
        <f t="shared" si="31"/>
        <v>115</v>
      </c>
      <c r="R99" s="210">
        <v>45833</v>
      </c>
      <c r="S99" s="210">
        <f t="shared" si="32"/>
        <v>-105</v>
      </c>
      <c r="T99" s="210">
        <f t="shared" si="33"/>
        <v>-82</v>
      </c>
      <c r="U99" s="210">
        <f t="shared" si="34"/>
        <v>-52</v>
      </c>
      <c r="V99" s="210">
        <f t="shared" si="36"/>
        <v>-45</v>
      </c>
      <c r="W99" s="222"/>
      <c r="X99" s="214"/>
      <c r="Y99" s="215"/>
      <c r="Z99" s="216">
        <v>30</v>
      </c>
      <c r="AA99" s="217"/>
      <c r="AB99" s="218"/>
      <c r="AC99" s="208"/>
      <c r="AD99" s="208"/>
      <c r="AE99" s="208"/>
      <c r="AF99" s="208"/>
    </row>
    <row r="100" spans="1:32" x14ac:dyDescent="0.3">
      <c r="A100" s="207">
        <v>6.04</v>
      </c>
      <c r="B100" s="208" t="s">
        <v>908</v>
      </c>
      <c r="C100" s="209" t="s">
        <v>919</v>
      </c>
      <c r="D100" s="229">
        <f t="shared" si="24"/>
        <v>45718</v>
      </c>
      <c r="E100" s="230">
        <v>10</v>
      </c>
      <c r="F100" s="229">
        <f t="shared" si="25"/>
        <v>45728</v>
      </c>
      <c r="G100" s="230">
        <v>21</v>
      </c>
      <c r="H100" s="229">
        <f t="shared" si="26"/>
        <v>45749</v>
      </c>
      <c r="I100" s="230">
        <v>5</v>
      </c>
      <c r="J100" s="229">
        <f t="shared" si="27"/>
        <v>45754</v>
      </c>
      <c r="K100" s="230">
        <v>45</v>
      </c>
      <c r="L100" s="229">
        <f t="shared" si="28"/>
        <v>45799</v>
      </c>
      <c r="M100" s="230">
        <v>31</v>
      </c>
      <c r="N100" s="229">
        <f t="shared" si="29"/>
        <v>45830</v>
      </c>
      <c r="O100" s="230">
        <v>3</v>
      </c>
      <c r="P100" s="229">
        <f t="shared" si="30"/>
        <v>45833</v>
      </c>
      <c r="Q100" s="211">
        <f t="shared" si="31"/>
        <v>115</v>
      </c>
      <c r="R100" s="210">
        <v>45833</v>
      </c>
      <c r="S100" s="210">
        <f t="shared" si="32"/>
        <v>-105</v>
      </c>
      <c r="T100" s="210">
        <f t="shared" si="33"/>
        <v>-82</v>
      </c>
      <c r="U100" s="210">
        <f t="shared" si="34"/>
        <v>-52</v>
      </c>
      <c r="V100" s="210">
        <f t="shared" si="36"/>
        <v>-45</v>
      </c>
      <c r="W100" s="222"/>
      <c r="X100" s="214"/>
      <c r="Y100" s="215"/>
      <c r="Z100" s="216">
        <v>30</v>
      </c>
      <c r="AA100" s="217"/>
      <c r="AB100" s="218"/>
      <c r="AC100" s="208"/>
      <c r="AD100" s="208"/>
      <c r="AE100" s="208"/>
      <c r="AF100" s="208"/>
    </row>
    <row r="101" spans="1:32" x14ac:dyDescent="0.3">
      <c r="A101" s="207">
        <v>6.04</v>
      </c>
      <c r="B101" s="208" t="s">
        <v>908</v>
      </c>
      <c r="C101" s="209" t="s">
        <v>920</v>
      </c>
      <c r="D101" s="229">
        <f t="shared" si="24"/>
        <v>45718</v>
      </c>
      <c r="E101" s="230">
        <v>10</v>
      </c>
      <c r="F101" s="229">
        <f t="shared" si="25"/>
        <v>45728</v>
      </c>
      <c r="G101" s="230">
        <v>21</v>
      </c>
      <c r="H101" s="229">
        <f t="shared" si="26"/>
        <v>45749</v>
      </c>
      <c r="I101" s="230">
        <v>5</v>
      </c>
      <c r="J101" s="229">
        <f t="shared" si="27"/>
        <v>45754</v>
      </c>
      <c r="K101" s="230">
        <v>45</v>
      </c>
      <c r="L101" s="229">
        <f t="shared" si="28"/>
        <v>45799</v>
      </c>
      <c r="M101" s="230">
        <v>31</v>
      </c>
      <c r="N101" s="229">
        <f t="shared" si="29"/>
        <v>45830</v>
      </c>
      <c r="O101" s="230">
        <v>3</v>
      </c>
      <c r="P101" s="229">
        <f t="shared" si="30"/>
        <v>45833</v>
      </c>
      <c r="Q101" s="211">
        <f t="shared" si="31"/>
        <v>115</v>
      </c>
      <c r="R101" s="210">
        <v>45833</v>
      </c>
      <c r="S101" s="210">
        <f t="shared" si="32"/>
        <v>-105</v>
      </c>
      <c r="T101" s="210">
        <f t="shared" si="33"/>
        <v>-82</v>
      </c>
      <c r="U101" s="210">
        <f t="shared" si="34"/>
        <v>-52</v>
      </c>
      <c r="V101" s="210">
        <f t="shared" si="36"/>
        <v>-45</v>
      </c>
      <c r="W101" s="222"/>
      <c r="X101" s="214"/>
      <c r="Y101" s="215"/>
      <c r="Z101" s="216">
        <v>30</v>
      </c>
      <c r="AA101" s="217"/>
      <c r="AB101" s="218"/>
      <c r="AC101" s="208"/>
      <c r="AD101" s="208"/>
      <c r="AE101" s="208"/>
      <c r="AF101" s="208"/>
    </row>
    <row r="102" spans="1:32" x14ac:dyDescent="0.3">
      <c r="A102" s="207">
        <v>6.04</v>
      </c>
      <c r="B102" s="208" t="s">
        <v>908</v>
      </c>
      <c r="C102" s="209" t="s">
        <v>921</v>
      </c>
      <c r="D102" s="229">
        <f t="shared" si="24"/>
        <v>45718</v>
      </c>
      <c r="E102" s="230">
        <v>10</v>
      </c>
      <c r="F102" s="229">
        <f t="shared" si="25"/>
        <v>45728</v>
      </c>
      <c r="G102" s="230">
        <v>21</v>
      </c>
      <c r="H102" s="229">
        <f t="shared" si="26"/>
        <v>45749</v>
      </c>
      <c r="I102" s="230">
        <v>5</v>
      </c>
      <c r="J102" s="229">
        <f t="shared" si="27"/>
        <v>45754</v>
      </c>
      <c r="K102" s="230">
        <v>45</v>
      </c>
      <c r="L102" s="229">
        <f t="shared" si="28"/>
        <v>45799</v>
      </c>
      <c r="M102" s="230">
        <v>31</v>
      </c>
      <c r="N102" s="229">
        <f t="shared" si="29"/>
        <v>45830</v>
      </c>
      <c r="O102" s="230">
        <v>3</v>
      </c>
      <c r="P102" s="229">
        <f t="shared" si="30"/>
        <v>45833</v>
      </c>
      <c r="Q102" s="211">
        <f t="shared" si="31"/>
        <v>115</v>
      </c>
      <c r="R102" s="210">
        <v>45833</v>
      </c>
      <c r="S102" s="210">
        <f t="shared" si="32"/>
        <v>-105</v>
      </c>
      <c r="T102" s="210">
        <f t="shared" si="33"/>
        <v>-82</v>
      </c>
      <c r="U102" s="210">
        <f t="shared" si="34"/>
        <v>-52</v>
      </c>
      <c r="V102" s="210">
        <f t="shared" si="36"/>
        <v>-45</v>
      </c>
      <c r="W102" s="222"/>
      <c r="X102" s="214"/>
      <c r="Y102" s="215"/>
      <c r="Z102" s="216">
        <v>30</v>
      </c>
      <c r="AA102" s="217"/>
      <c r="AB102" s="218"/>
      <c r="AC102" s="208"/>
      <c r="AD102" s="208"/>
      <c r="AE102" s="208"/>
      <c r="AF102" s="208"/>
    </row>
    <row r="103" spans="1:32" x14ac:dyDescent="0.3">
      <c r="A103" s="207">
        <v>6.04</v>
      </c>
      <c r="B103" s="208" t="s">
        <v>908</v>
      </c>
      <c r="C103" s="209" t="s">
        <v>922</v>
      </c>
      <c r="D103" s="229">
        <f t="shared" si="24"/>
        <v>45718</v>
      </c>
      <c r="E103" s="230">
        <v>10</v>
      </c>
      <c r="F103" s="229">
        <f t="shared" si="25"/>
        <v>45728</v>
      </c>
      <c r="G103" s="230">
        <v>21</v>
      </c>
      <c r="H103" s="229">
        <f t="shared" si="26"/>
        <v>45749</v>
      </c>
      <c r="I103" s="230">
        <v>5</v>
      </c>
      <c r="J103" s="229">
        <f t="shared" si="27"/>
        <v>45754</v>
      </c>
      <c r="K103" s="230">
        <v>45</v>
      </c>
      <c r="L103" s="229">
        <f t="shared" si="28"/>
        <v>45799</v>
      </c>
      <c r="M103" s="230">
        <v>31</v>
      </c>
      <c r="N103" s="229">
        <f t="shared" si="29"/>
        <v>45830</v>
      </c>
      <c r="O103" s="230">
        <v>3</v>
      </c>
      <c r="P103" s="229">
        <f t="shared" si="30"/>
        <v>45833</v>
      </c>
      <c r="Q103" s="211">
        <f t="shared" si="31"/>
        <v>115</v>
      </c>
      <c r="R103" s="210">
        <v>45833</v>
      </c>
      <c r="S103" s="210">
        <f t="shared" si="32"/>
        <v>-82</v>
      </c>
      <c r="T103" s="210">
        <f t="shared" si="33"/>
        <v>-59</v>
      </c>
      <c r="U103" s="210">
        <f t="shared" si="34"/>
        <v>-52</v>
      </c>
      <c r="V103" s="210">
        <f t="shared" si="36"/>
        <v>-45</v>
      </c>
      <c r="W103" s="222"/>
      <c r="X103" s="214"/>
      <c r="Y103" s="215"/>
      <c r="Z103" s="216">
        <v>7</v>
      </c>
      <c r="AA103" s="217"/>
      <c r="AB103" s="218"/>
      <c r="AC103" s="208"/>
      <c r="AD103" s="208"/>
      <c r="AE103" s="208"/>
      <c r="AF103" s="208"/>
    </row>
    <row r="104" spans="1:32" x14ac:dyDescent="0.3">
      <c r="A104" s="207">
        <v>6.04</v>
      </c>
      <c r="B104" s="208" t="s">
        <v>908</v>
      </c>
      <c r="C104" s="209" t="s">
        <v>923</v>
      </c>
      <c r="D104" s="229">
        <f t="shared" si="24"/>
        <v>45718</v>
      </c>
      <c r="E104" s="230">
        <v>10</v>
      </c>
      <c r="F104" s="229">
        <f t="shared" si="25"/>
        <v>45728</v>
      </c>
      <c r="G104" s="230">
        <v>21</v>
      </c>
      <c r="H104" s="229">
        <f t="shared" si="26"/>
        <v>45749</v>
      </c>
      <c r="I104" s="230">
        <v>5</v>
      </c>
      <c r="J104" s="229">
        <f t="shared" si="27"/>
        <v>45754</v>
      </c>
      <c r="K104" s="230">
        <v>45</v>
      </c>
      <c r="L104" s="229">
        <f t="shared" si="28"/>
        <v>45799</v>
      </c>
      <c r="M104" s="230">
        <v>31</v>
      </c>
      <c r="N104" s="229">
        <f t="shared" si="29"/>
        <v>45830</v>
      </c>
      <c r="O104" s="230">
        <v>3</v>
      </c>
      <c r="P104" s="229">
        <f t="shared" si="30"/>
        <v>45833</v>
      </c>
      <c r="Q104" s="211">
        <f t="shared" si="31"/>
        <v>115</v>
      </c>
      <c r="R104" s="210">
        <v>45833</v>
      </c>
      <c r="S104" s="210">
        <f t="shared" si="32"/>
        <v>-165</v>
      </c>
      <c r="T104" s="210">
        <f t="shared" si="33"/>
        <v>-142</v>
      </c>
      <c r="U104" s="210">
        <f t="shared" si="34"/>
        <v>-52</v>
      </c>
      <c r="V104" s="210">
        <f t="shared" si="36"/>
        <v>-45</v>
      </c>
      <c r="W104" s="222"/>
      <c r="X104" s="214"/>
      <c r="Y104" s="215"/>
      <c r="Z104" s="216">
        <v>90</v>
      </c>
      <c r="AA104" s="217"/>
      <c r="AB104" s="218"/>
      <c r="AC104" s="208"/>
      <c r="AD104" s="208"/>
      <c r="AE104" s="208"/>
      <c r="AF104" s="208"/>
    </row>
    <row r="105" spans="1:32" x14ac:dyDescent="0.3">
      <c r="A105" s="207">
        <v>6.04</v>
      </c>
      <c r="B105" s="208" t="s">
        <v>908</v>
      </c>
      <c r="C105" s="209" t="s">
        <v>924</v>
      </c>
      <c r="D105" s="229">
        <f t="shared" si="24"/>
        <v>45718</v>
      </c>
      <c r="E105" s="230">
        <v>10</v>
      </c>
      <c r="F105" s="229">
        <f t="shared" si="25"/>
        <v>45728</v>
      </c>
      <c r="G105" s="230">
        <v>21</v>
      </c>
      <c r="H105" s="229">
        <f t="shared" si="26"/>
        <v>45749</v>
      </c>
      <c r="I105" s="230">
        <v>5</v>
      </c>
      <c r="J105" s="229">
        <f t="shared" si="27"/>
        <v>45754</v>
      </c>
      <c r="K105" s="230">
        <v>45</v>
      </c>
      <c r="L105" s="229">
        <f t="shared" si="28"/>
        <v>45799</v>
      </c>
      <c r="M105" s="230">
        <v>31</v>
      </c>
      <c r="N105" s="229">
        <f t="shared" si="29"/>
        <v>45830</v>
      </c>
      <c r="O105" s="230">
        <v>3</v>
      </c>
      <c r="P105" s="229">
        <f t="shared" si="30"/>
        <v>45833</v>
      </c>
      <c r="Q105" s="211">
        <f t="shared" si="31"/>
        <v>115</v>
      </c>
      <c r="R105" s="210">
        <v>45833</v>
      </c>
      <c r="S105" s="210">
        <f t="shared" si="32"/>
        <v>-165</v>
      </c>
      <c r="T105" s="210">
        <f t="shared" si="33"/>
        <v>-142</v>
      </c>
      <c r="U105" s="210">
        <f t="shared" si="34"/>
        <v>-52</v>
      </c>
      <c r="V105" s="210">
        <f t="shared" si="36"/>
        <v>-45</v>
      </c>
      <c r="W105" s="222"/>
      <c r="X105" s="214"/>
      <c r="Y105" s="215"/>
      <c r="Z105" s="216">
        <v>90</v>
      </c>
      <c r="AA105" s="217"/>
      <c r="AB105" s="218"/>
      <c r="AC105" s="208"/>
      <c r="AD105" s="208"/>
      <c r="AE105" s="208"/>
      <c r="AF105" s="208"/>
    </row>
    <row r="106" spans="1:32" x14ac:dyDescent="0.3">
      <c r="A106" s="207">
        <v>6.04</v>
      </c>
      <c r="B106" s="208" t="s">
        <v>908</v>
      </c>
      <c r="C106" s="209" t="s">
        <v>925</v>
      </c>
      <c r="D106" s="229">
        <f t="shared" si="24"/>
        <v>45718</v>
      </c>
      <c r="E106" s="230">
        <v>10</v>
      </c>
      <c r="F106" s="229">
        <f t="shared" si="25"/>
        <v>45728</v>
      </c>
      <c r="G106" s="230">
        <v>21</v>
      </c>
      <c r="H106" s="229">
        <f t="shared" si="26"/>
        <v>45749</v>
      </c>
      <c r="I106" s="230">
        <v>5</v>
      </c>
      <c r="J106" s="229">
        <f t="shared" si="27"/>
        <v>45754</v>
      </c>
      <c r="K106" s="230">
        <v>45</v>
      </c>
      <c r="L106" s="229">
        <f t="shared" si="28"/>
        <v>45799</v>
      </c>
      <c r="M106" s="230">
        <v>31</v>
      </c>
      <c r="N106" s="229">
        <f t="shared" si="29"/>
        <v>45830</v>
      </c>
      <c r="O106" s="230">
        <v>3</v>
      </c>
      <c r="P106" s="229">
        <f t="shared" si="30"/>
        <v>45833</v>
      </c>
      <c r="Q106" s="211">
        <f t="shared" si="31"/>
        <v>115</v>
      </c>
      <c r="R106" s="210">
        <v>45833</v>
      </c>
      <c r="S106" s="210">
        <f t="shared" si="32"/>
        <v>-165</v>
      </c>
      <c r="T106" s="210">
        <f t="shared" si="33"/>
        <v>-142</v>
      </c>
      <c r="U106" s="210">
        <f t="shared" si="34"/>
        <v>-52</v>
      </c>
      <c r="V106" s="210">
        <f t="shared" si="36"/>
        <v>-45</v>
      </c>
      <c r="W106" s="222"/>
      <c r="X106" s="214"/>
      <c r="Y106" s="215"/>
      <c r="Z106" s="216">
        <v>90</v>
      </c>
      <c r="AA106" s="217"/>
      <c r="AB106" s="218"/>
      <c r="AC106" s="208"/>
      <c r="AD106" s="208"/>
      <c r="AE106" s="208"/>
      <c r="AF106" s="208"/>
    </row>
    <row r="107" spans="1:32" x14ac:dyDescent="0.3">
      <c r="A107" s="531" t="s">
        <v>926</v>
      </c>
      <c r="B107" s="532"/>
      <c r="C107" s="532"/>
      <c r="D107" s="532"/>
      <c r="E107" s="532"/>
      <c r="F107" s="532"/>
      <c r="G107" s="532"/>
      <c r="H107" s="532"/>
      <c r="I107" s="532"/>
      <c r="J107" s="532"/>
      <c r="K107" s="532"/>
      <c r="L107" s="532"/>
      <c r="M107" s="532"/>
      <c r="N107" s="532"/>
      <c r="O107" s="532"/>
      <c r="P107" s="532"/>
      <c r="Q107" s="532"/>
      <c r="R107" s="532"/>
      <c r="S107" s="532"/>
      <c r="T107" s="532"/>
      <c r="U107" s="532"/>
      <c r="V107" s="532"/>
      <c r="W107" s="532"/>
      <c r="X107" s="532"/>
      <c r="Y107" s="532"/>
      <c r="Z107" s="532"/>
      <c r="AA107" s="208"/>
      <c r="AB107" s="208"/>
      <c r="AC107" s="208"/>
      <c r="AD107" s="208"/>
      <c r="AE107" s="208"/>
      <c r="AF107" s="208"/>
    </row>
    <row r="108" spans="1:32" x14ac:dyDescent="0.3">
      <c r="A108" s="207">
        <v>7.01</v>
      </c>
      <c r="B108" s="208" t="s">
        <v>88</v>
      </c>
      <c r="C108" s="209" t="s">
        <v>927</v>
      </c>
      <c r="D108" s="229">
        <f t="shared" ref="D108:D139" si="37">R108-(E108+G108+I108+K108+M108+O108)</f>
        <v>45718</v>
      </c>
      <c r="E108" s="230">
        <v>10</v>
      </c>
      <c r="F108" s="229">
        <f t="shared" ref="F108:F139" si="38">D108+E108</f>
        <v>45728</v>
      </c>
      <c r="G108" s="230">
        <v>21</v>
      </c>
      <c r="H108" s="229">
        <f t="shared" ref="H108:H139" si="39">F108+G108</f>
        <v>45749</v>
      </c>
      <c r="I108" s="230">
        <v>5</v>
      </c>
      <c r="J108" s="229">
        <f t="shared" ref="J108:J139" si="40">H108+I108</f>
        <v>45754</v>
      </c>
      <c r="K108" s="230">
        <v>45</v>
      </c>
      <c r="L108" s="229">
        <f t="shared" ref="L108:L139" si="41">J108+K108</f>
        <v>45799</v>
      </c>
      <c r="M108" s="230">
        <v>31</v>
      </c>
      <c r="N108" s="229">
        <f t="shared" ref="N108:N139" si="42">L108+M108</f>
        <v>45830</v>
      </c>
      <c r="O108" s="230">
        <v>3</v>
      </c>
      <c r="P108" s="229">
        <f t="shared" ref="P108:P139" si="43">N108+O108</f>
        <v>45833</v>
      </c>
      <c r="Q108" s="211">
        <f t="shared" ref="Q108:Q139" si="44">O108+M108+K108+I108+G108+E108</f>
        <v>115</v>
      </c>
      <c r="R108" s="210">
        <v>45833</v>
      </c>
      <c r="S108" s="210">
        <f t="shared" ref="S108:S139" si="45">+T108-23</f>
        <v>-170</v>
      </c>
      <c r="T108" s="210">
        <f t="shared" ref="T108:T139" si="46">+U108-Z108</f>
        <v>-147</v>
      </c>
      <c r="U108" s="210">
        <f t="shared" ref="U108:U139" si="47">+V108-7</f>
        <v>-87</v>
      </c>
      <c r="V108" s="221">
        <f>+$C$7-80</f>
        <v>-80</v>
      </c>
      <c r="W108" s="209"/>
      <c r="X108" s="209"/>
      <c r="Y108" s="227"/>
      <c r="Z108" s="216">
        <v>60</v>
      </c>
      <c r="AA108" s="217"/>
      <c r="AB108" s="218"/>
      <c r="AC108" s="208"/>
      <c r="AD108" s="208"/>
      <c r="AE108" s="208"/>
      <c r="AF108" s="208"/>
    </row>
    <row r="109" spans="1:32" x14ac:dyDescent="0.3">
      <c r="A109" s="207">
        <v>7.01</v>
      </c>
      <c r="B109" s="208" t="s">
        <v>88</v>
      </c>
      <c r="C109" s="209" t="s">
        <v>928</v>
      </c>
      <c r="D109" s="229">
        <f t="shared" si="37"/>
        <v>45718</v>
      </c>
      <c r="E109" s="230">
        <v>10</v>
      </c>
      <c r="F109" s="229">
        <f t="shared" si="38"/>
        <v>45728</v>
      </c>
      <c r="G109" s="230">
        <v>21</v>
      </c>
      <c r="H109" s="229">
        <f t="shared" si="39"/>
        <v>45749</v>
      </c>
      <c r="I109" s="230">
        <v>5</v>
      </c>
      <c r="J109" s="229">
        <f t="shared" si="40"/>
        <v>45754</v>
      </c>
      <c r="K109" s="230">
        <v>45</v>
      </c>
      <c r="L109" s="229">
        <f t="shared" si="41"/>
        <v>45799</v>
      </c>
      <c r="M109" s="230">
        <v>31</v>
      </c>
      <c r="N109" s="229">
        <f t="shared" si="42"/>
        <v>45830</v>
      </c>
      <c r="O109" s="230">
        <v>3</v>
      </c>
      <c r="P109" s="229">
        <f t="shared" si="43"/>
        <v>45833</v>
      </c>
      <c r="Q109" s="211">
        <f t="shared" si="44"/>
        <v>115</v>
      </c>
      <c r="R109" s="210">
        <v>45833</v>
      </c>
      <c r="S109" s="210">
        <f t="shared" si="45"/>
        <v>-170</v>
      </c>
      <c r="T109" s="210">
        <f t="shared" si="46"/>
        <v>-147</v>
      </c>
      <c r="U109" s="210">
        <f t="shared" si="47"/>
        <v>-87</v>
      </c>
      <c r="V109" s="221">
        <f>+$C$7-80</f>
        <v>-80</v>
      </c>
      <c r="W109" s="209"/>
      <c r="X109" s="209"/>
      <c r="Y109" s="227"/>
      <c r="Z109" s="216">
        <v>60</v>
      </c>
      <c r="AA109" s="217"/>
      <c r="AB109" s="218"/>
      <c r="AC109" s="208"/>
      <c r="AD109" s="208"/>
      <c r="AE109" s="208"/>
      <c r="AF109" s="208"/>
    </row>
    <row r="110" spans="1:32" x14ac:dyDescent="0.3">
      <c r="A110" s="207">
        <v>7.01</v>
      </c>
      <c r="B110" s="208" t="s">
        <v>88</v>
      </c>
      <c r="C110" s="209" t="s">
        <v>929</v>
      </c>
      <c r="D110" s="229">
        <f t="shared" si="37"/>
        <v>45718</v>
      </c>
      <c r="E110" s="230">
        <v>10</v>
      </c>
      <c r="F110" s="229">
        <f t="shared" si="38"/>
        <v>45728</v>
      </c>
      <c r="G110" s="230">
        <v>21</v>
      </c>
      <c r="H110" s="229">
        <f t="shared" si="39"/>
        <v>45749</v>
      </c>
      <c r="I110" s="230">
        <v>5</v>
      </c>
      <c r="J110" s="229">
        <f t="shared" si="40"/>
        <v>45754</v>
      </c>
      <c r="K110" s="230">
        <v>45</v>
      </c>
      <c r="L110" s="229">
        <f t="shared" si="41"/>
        <v>45799</v>
      </c>
      <c r="M110" s="230">
        <v>31</v>
      </c>
      <c r="N110" s="229">
        <f t="shared" si="42"/>
        <v>45830</v>
      </c>
      <c r="O110" s="230">
        <v>3</v>
      </c>
      <c r="P110" s="229">
        <f t="shared" si="43"/>
        <v>45833</v>
      </c>
      <c r="Q110" s="211">
        <f t="shared" si="44"/>
        <v>115</v>
      </c>
      <c r="R110" s="210">
        <v>45833</v>
      </c>
      <c r="S110" s="210">
        <f t="shared" si="45"/>
        <v>-170</v>
      </c>
      <c r="T110" s="210">
        <f t="shared" si="46"/>
        <v>-147</v>
      </c>
      <c r="U110" s="210">
        <f t="shared" si="47"/>
        <v>-87</v>
      </c>
      <c r="V110" s="221">
        <f>+$C$7-80</f>
        <v>-80</v>
      </c>
      <c r="W110" s="209"/>
      <c r="X110" s="209"/>
      <c r="Y110" s="227"/>
      <c r="Z110" s="216">
        <v>60</v>
      </c>
      <c r="AA110" s="217"/>
      <c r="AB110" s="218"/>
      <c r="AC110" s="208"/>
      <c r="AD110" s="208"/>
      <c r="AE110" s="208"/>
      <c r="AF110" s="208"/>
    </row>
    <row r="111" spans="1:32" x14ac:dyDescent="0.3">
      <c r="A111" s="207">
        <v>7.01</v>
      </c>
      <c r="B111" s="208" t="s">
        <v>88</v>
      </c>
      <c r="C111" s="209" t="s">
        <v>930</v>
      </c>
      <c r="D111" s="229">
        <f t="shared" si="37"/>
        <v>45718</v>
      </c>
      <c r="E111" s="230">
        <v>10</v>
      </c>
      <c r="F111" s="229">
        <f t="shared" si="38"/>
        <v>45728</v>
      </c>
      <c r="G111" s="230">
        <v>21</v>
      </c>
      <c r="H111" s="229">
        <f t="shared" si="39"/>
        <v>45749</v>
      </c>
      <c r="I111" s="230">
        <v>5</v>
      </c>
      <c r="J111" s="229">
        <f t="shared" si="40"/>
        <v>45754</v>
      </c>
      <c r="K111" s="230">
        <v>45</v>
      </c>
      <c r="L111" s="229">
        <f t="shared" si="41"/>
        <v>45799</v>
      </c>
      <c r="M111" s="230">
        <v>31</v>
      </c>
      <c r="N111" s="229">
        <f t="shared" si="42"/>
        <v>45830</v>
      </c>
      <c r="O111" s="230">
        <v>3</v>
      </c>
      <c r="P111" s="229">
        <f t="shared" si="43"/>
        <v>45833</v>
      </c>
      <c r="Q111" s="211">
        <f t="shared" si="44"/>
        <v>115</v>
      </c>
      <c r="R111" s="210">
        <v>45833</v>
      </c>
      <c r="S111" s="210">
        <f t="shared" si="45"/>
        <v>-170</v>
      </c>
      <c r="T111" s="210">
        <f t="shared" si="46"/>
        <v>-147</v>
      </c>
      <c r="U111" s="210">
        <f t="shared" si="47"/>
        <v>-87</v>
      </c>
      <c r="V111" s="221">
        <f>+$C$7-80</f>
        <v>-80</v>
      </c>
      <c r="W111" s="209"/>
      <c r="X111" s="209"/>
      <c r="Y111" s="227"/>
      <c r="Z111" s="216">
        <v>60</v>
      </c>
      <c r="AA111" s="217"/>
      <c r="AB111" s="218"/>
      <c r="AC111" s="208"/>
      <c r="AD111" s="208"/>
      <c r="AE111" s="208"/>
      <c r="AF111" s="208"/>
    </row>
    <row r="112" spans="1:32" ht="28.8" x14ac:dyDescent="0.3">
      <c r="A112" s="207">
        <v>7.01</v>
      </c>
      <c r="B112" s="208" t="s">
        <v>88</v>
      </c>
      <c r="C112" s="209" t="s">
        <v>931</v>
      </c>
      <c r="D112" s="229">
        <f t="shared" si="37"/>
        <v>45718</v>
      </c>
      <c r="E112" s="230">
        <v>10</v>
      </c>
      <c r="F112" s="229">
        <f t="shared" si="38"/>
        <v>45728</v>
      </c>
      <c r="G112" s="230">
        <v>21</v>
      </c>
      <c r="H112" s="229">
        <f t="shared" si="39"/>
        <v>45749</v>
      </c>
      <c r="I112" s="230">
        <v>5</v>
      </c>
      <c r="J112" s="229">
        <f t="shared" si="40"/>
        <v>45754</v>
      </c>
      <c r="K112" s="230">
        <v>45</v>
      </c>
      <c r="L112" s="229">
        <f t="shared" si="41"/>
        <v>45799</v>
      </c>
      <c r="M112" s="230">
        <v>31</v>
      </c>
      <c r="N112" s="229">
        <f t="shared" si="42"/>
        <v>45830</v>
      </c>
      <c r="O112" s="230">
        <v>3</v>
      </c>
      <c r="P112" s="229">
        <f t="shared" si="43"/>
        <v>45833</v>
      </c>
      <c r="Q112" s="211">
        <f t="shared" si="44"/>
        <v>115</v>
      </c>
      <c r="R112" s="210">
        <v>45833</v>
      </c>
      <c r="S112" s="210">
        <f t="shared" si="45"/>
        <v>-110</v>
      </c>
      <c r="T112" s="210">
        <f t="shared" si="46"/>
        <v>-87</v>
      </c>
      <c r="U112" s="210">
        <f t="shared" si="47"/>
        <v>-87</v>
      </c>
      <c r="V112" s="221">
        <f>+$C$7-80</f>
        <v>-80</v>
      </c>
      <c r="W112" s="209"/>
      <c r="X112" s="209"/>
      <c r="Y112" s="227"/>
      <c r="Z112" s="216"/>
      <c r="AA112" s="217"/>
      <c r="AB112" s="218"/>
      <c r="AC112" s="208"/>
      <c r="AD112" s="208"/>
      <c r="AE112" s="208"/>
      <c r="AF112" s="208"/>
    </row>
    <row r="113" spans="1:32" x14ac:dyDescent="0.3">
      <c r="A113" s="207">
        <v>7.01</v>
      </c>
      <c r="B113" s="208" t="s">
        <v>88</v>
      </c>
      <c r="C113" s="209" t="s">
        <v>932</v>
      </c>
      <c r="D113" s="229">
        <f t="shared" si="37"/>
        <v>45718</v>
      </c>
      <c r="E113" s="230">
        <v>10</v>
      </c>
      <c r="F113" s="229">
        <f t="shared" si="38"/>
        <v>45728</v>
      </c>
      <c r="G113" s="230">
        <v>21</v>
      </c>
      <c r="H113" s="229">
        <f t="shared" si="39"/>
        <v>45749</v>
      </c>
      <c r="I113" s="230">
        <v>5</v>
      </c>
      <c r="J113" s="229">
        <f t="shared" si="40"/>
        <v>45754</v>
      </c>
      <c r="K113" s="230">
        <v>45</v>
      </c>
      <c r="L113" s="229">
        <f t="shared" si="41"/>
        <v>45799</v>
      </c>
      <c r="M113" s="230">
        <v>31</v>
      </c>
      <c r="N113" s="229">
        <f t="shared" si="42"/>
        <v>45830</v>
      </c>
      <c r="O113" s="230">
        <v>3</v>
      </c>
      <c r="P113" s="229">
        <f t="shared" si="43"/>
        <v>45833</v>
      </c>
      <c r="Q113" s="211">
        <f t="shared" si="44"/>
        <v>115</v>
      </c>
      <c r="R113" s="210">
        <v>45833</v>
      </c>
      <c r="S113" s="210">
        <f t="shared" si="45"/>
        <v>-120</v>
      </c>
      <c r="T113" s="210">
        <f t="shared" si="46"/>
        <v>-97</v>
      </c>
      <c r="U113" s="210">
        <f t="shared" si="47"/>
        <v>-37</v>
      </c>
      <c r="V113" s="221">
        <f>+$C$7-30</f>
        <v>-30</v>
      </c>
      <c r="W113" s="209"/>
      <c r="X113" s="209"/>
      <c r="Y113" s="227"/>
      <c r="Z113" s="216">
        <v>60</v>
      </c>
      <c r="AA113" s="217"/>
      <c r="AB113" s="218"/>
      <c r="AC113" s="208"/>
      <c r="AD113" s="208"/>
      <c r="AE113" s="208"/>
      <c r="AF113" s="208"/>
    </row>
    <row r="114" spans="1:32" x14ac:dyDescent="0.3">
      <c r="A114" s="207">
        <v>7.01</v>
      </c>
      <c r="B114" s="208" t="s">
        <v>88</v>
      </c>
      <c r="C114" s="209" t="s">
        <v>933</v>
      </c>
      <c r="D114" s="229">
        <f t="shared" si="37"/>
        <v>45718</v>
      </c>
      <c r="E114" s="230">
        <v>10</v>
      </c>
      <c r="F114" s="229">
        <f t="shared" si="38"/>
        <v>45728</v>
      </c>
      <c r="G114" s="230">
        <v>21</v>
      </c>
      <c r="H114" s="229">
        <f t="shared" si="39"/>
        <v>45749</v>
      </c>
      <c r="I114" s="230">
        <v>5</v>
      </c>
      <c r="J114" s="229">
        <f t="shared" si="40"/>
        <v>45754</v>
      </c>
      <c r="K114" s="230">
        <v>45</v>
      </c>
      <c r="L114" s="229">
        <f t="shared" si="41"/>
        <v>45799</v>
      </c>
      <c r="M114" s="230">
        <v>31</v>
      </c>
      <c r="N114" s="229">
        <f t="shared" si="42"/>
        <v>45830</v>
      </c>
      <c r="O114" s="230">
        <v>3</v>
      </c>
      <c r="P114" s="229">
        <f t="shared" si="43"/>
        <v>45833</v>
      </c>
      <c r="Q114" s="211">
        <f t="shared" si="44"/>
        <v>115</v>
      </c>
      <c r="R114" s="210">
        <v>45833</v>
      </c>
      <c r="S114" s="210">
        <f t="shared" si="45"/>
        <v>-120</v>
      </c>
      <c r="T114" s="210">
        <f t="shared" si="46"/>
        <v>-97</v>
      </c>
      <c r="U114" s="210">
        <f t="shared" si="47"/>
        <v>-37</v>
      </c>
      <c r="V114" s="221">
        <f>+$C$7-30</f>
        <v>-30</v>
      </c>
      <c r="W114" s="209"/>
      <c r="X114" s="209"/>
      <c r="Y114" s="227"/>
      <c r="Z114" s="216">
        <v>60</v>
      </c>
      <c r="AA114" s="217"/>
      <c r="AB114" s="218"/>
      <c r="AC114" s="208"/>
      <c r="AD114" s="208"/>
      <c r="AE114" s="208"/>
      <c r="AF114" s="208"/>
    </row>
    <row r="115" spans="1:32" x14ac:dyDescent="0.3">
      <c r="A115" s="207">
        <v>7.01</v>
      </c>
      <c r="B115" s="208" t="s">
        <v>88</v>
      </c>
      <c r="C115" s="209" t="s">
        <v>934</v>
      </c>
      <c r="D115" s="229">
        <f t="shared" si="37"/>
        <v>45718</v>
      </c>
      <c r="E115" s="230">
        <v>10</v>
      </c>
      <c r="F115" s="229">
        <f t="shared" si="38"/>
        <v>45728</v>
      </c>
      <c r="G115" s="230">
        <v>21</v>
      </c>
      <c r="H115" s="229">
        <f t="shared" si="39"/>
        <v>45749</v>
      </c>
      <c r="I115" s="230">
        <v>5</v>
      </c>
      <c r="J115" s="229">
        <f t="shared" si="40"/>
        <v>45754</v>
      </c>
      <c r="K115" s="230">
        <v>45</v>
      </c>
      <c r="L115" s="229">
        <f t="shared" si="41"/>
        <v>45799</v>
      </c>
      <c r="M115" s="230">
        <v>31</v>
      </c>
      <c r="N115" s="229">
        <f t="shared" si="42"/>
        <v>45830</v>
      </c>
      <c r="O115" s="230">
        <v>3</v>
      </c>
      <c r="P115" s="229">
        <f t="shared" si="43"/>
        <v>45833</v>
      </c>
      <c r="Q115" s="211">
        <f t="shared" si="44"/>
        <v>115</v>
      </c>
      <c r="R115" s="210">
        <v>45833</v>
      </c>
      <c r="S115" s="210">
        <f t="shared" si="45"/>
        <v>-120</v>
      </c>
      <c r="T115" s="210">
        <f t="shared" si="46"/>
        <v>-97</v>
      </c>
      <c r="U115" s="210">
        <f t="shared" si="47"/>
        <v>-37</v>
      </c>
      <c r="V115" s="221">
        <f>+$C$7-30</f>
        <v>-30</v>
      </c>
      <c r="W115" s="209"/>
      <c r="X115" s="209"/>
      <c r="Y115" s="227"/>
      <c r="Z115" s="216">
        <v>60</v>
      </c>
      <c r="AA115" s="217"/>
      <c r="AB115" s="218"/>
      <c r="AC115" s="208"/>
      <c r="AD115" s="208"/>
      <c r="AE115" s="208"/>
      <c r="AF115" s="208"/>
    </row>
    <row r="116" spans="1:32" x14ac:dyDescent="0.3">
      <c r="A116" s="207">
        <v>7.02</v>
      </c>
      <c r="B116" s="208" t="s">
        <v>935</v>
      </c>
      <c r="C116" s="209" t="s">
        <v>936</v>
      </c>
      <c r="D116" s="229">
        <f t="shared" si="37"/>
        <v>45718</v>
      </c>
      <c r="E116" s="230">
        <v>10</v>
      </c>
      <c r="F116" s="229">
        <f t="shared" si="38"/>
        <v>45728</v>
      </c>
      <c r="G116" s="230">
        <v>21</v>
      </c>
      <c r="H116" s="229">
        <f t="shared" si="39"/>
        <v>45749</v>
      </c>
      <c r="I116" s="230">
        <v>5</v>
      </c>
      <c r="J116" s="229">
        <f t="shared" si="40"/>
        <v>45754</v>
      </c>
      <c r="K116" s="230">
        <v>45</v>
      </c>
      <c r="L116" s="229">
        <f t="shared" si="41"/>
        <v>45799</v>
      </c>
      <c r="M116" s="230">
        <v>31</v>
      </c>
      <c r="N116" s="229">
        <f t="shared" si="42"/>
        <v>45830</v>
      </c>
      <c r="O116" s="230">
        <v>3</v>
      </c>
      <c r="P116" s="229">
        <f t="shared" si="43"/>
        <v>45833</v>
      </c>
      <c r="Q116" s="211">
        <f t="shared" si="44"/>
        <v>115</v>
      </c>
      <c r="R116" s="210">
        <v>45833</v>
      </c>
      <c r="S116" s="210">
        <f t="shared" si="45"/>
        <v>-200</v>
      </c>
      <c r="T116" s="210">
        <f t="shared" si="46"/>
        <v>-177</v>
      </c>
      <c r="U116" s="210">
        <f t="shared" si="47"/>
        <v>-87</v>
      </c>
      <c r="V116" s="221">
        <f>+$C$7-80</f>
        <v>-80</v>
      </c>
      <c r="W116" s="209"/>
      <c r="X116" s="209"/>
      <c r="Y116" s="227"/>
      <c r="Z116" s="216">
        <v>90</v>
      </c>
      <c r="AA116" s="217"/>
      <c r="AB116" s="218"/>
      <c r="AC116" s="208"/>
      <c r="AD116" s="208"/>
      <c r="AE116" s="208"/>
      <c r="AF116" s="208"/>
    </row>
    <row r="117" spans="1:32" x14ac:dyDescent="0.3">
      <c r="A117" s="207">
        <v>7.02</v>
      </c>
      <c r="B117" s="208" t="s">
        <v>935</v>
      </c>
      <c r="C117" s="209" t="s">
        <v>937</v>
      </c>
      <c r="D117" s="229">
        <f t="shared" si="37"/>
        <v>45718</v>
      </c>
      <c r="E117" s="230">
        <v>10</v>
      </c>
      <c r="F117" s="229">
        <f t="shared" si="38"/>
        <v>45728</v>
      </c>
      <c r="G117" s="230">
        <v>21</v>
      </c>
      <c r="H117" s="229">
        <f t="shared" si="39"/>
        <v>45749</v>
      </c>
      <c r="I117" s="230">
        <v>5</v>
      </c>
      <c r="J117" s="229">
        <f t="shared" si="40"/>
        <v>45754</v>
      </c>
      <c r="K117" s="230">
        <v>45</v>
      </c>
      <c r="L117" s="229">
        <f t="shared" si="41"/>
        <v>45799</v>
      </c>
      <c r="M117" s="230">
        <v>31</v>
      </c>
      <c r="N117" s="229">
        <f t="shared" si="42"/>
        <v>45830</v>
      </c>
      <c r="O117" s="230">
        <v>3</v>
      </c>
      <c r="P117" s="229">
        <f t="shared" si="43"/>
        <v>45833</v>
      </c>
      <c r="Q117" s="211">
        <f t="shared" si="44"/>
        <v>115</v>
      </c>
      <c r="R117" s="210">
        <v>45833</v>
      </c>
      <c r="S117" s="210">
        <f t="shared" si="45"/>
        <v>-200</v>
      </c>
      <c r="T117" s="210">
        <f t="shared" si="46"/>
        <v>-177</v>
      </c>
      <c r="U117" s="210">
        <f t="shared" si="47"/>
        <v>-87</v>
      </c>
      <c r="V117" s="221">
        <f>+$C$7-80</f>
        <v>-80</v>
      </c>
      <c r="W117" s="209"/>
      <c r="X117" s="209"/>
      <c r="Y117" s="227"/>
      <c r="Z117" s="216">
        <v>90</v>
      </c>
      <c r="AA117" s="217"/>
      <c r="AB117" s="218"/>
      <c r="AC117" s="208"/>
      <c r="AD117" s="208"/>
      <c r="AE117" s="208"/>
      <c r="AF117" s="208"/>
    </row>
    <row r="118" spans="1:32" x14ac:dyDescent="0.3">
      <c r="A118" s="207">
        <v>7.02</v>
      </c>
      <c r="B118" s="208" t="s">
        <v>935</v>
      </c>
      <c r="C118" s="209" t="s">
        <v>938</v>
      </c>
      <c r="D118" s="229">
        <f t="shared" si="37"/>
        <v>45718</v>
      </c>
      <c r="E118" s="230">
        <v>10</v>
      </c>
      <c r="F118" s="229">
        <f t="shared" si="38"/>
        <v>45728</v>
      </c>
      <c r="G118" s="230">
        <v>21</v>
      </c>
      <c r="H118" s="229">
        <f t="shared" si="39"/>
        <v>45749</v>
      </c>
      <c r="I118" s="230">
        <v>5</v>
      </c>
      <c r="J118" s="229">
        <f t="shared" si="40"/>
        <v>45754</v>
      </c>
      <c r="K118" s="230">
        <v>45</v>
      </c>
      <c r="L118" s="229">
        <f t="shared" si="41"/>
        <v>45799</v>
      </c>
      <c r="M118" s="230">
        <v>31</v>
      </c>
      <c r="N118" s="229">
        <f t="shared" si="42"/>
        <v>45830</v>
      </c>
      <c r="O118" s="230">
        <v>3</v>
      </c>
      <c r="P118" s="229">
        <f t="shared" si="43"/>
        <v>45833</v>
      </c>
      <c r="Q118" s="211">
        <f t="shared" si="44"/>
        <v>115</v>
      </c>
      <c r="R118" s="210">
        <v>45833</v>
      </c>
      <c r="S118" s="210">
        <f t="shared" si="45"/>
        <v>-140</v>
      </c>
      <c r="T118" s="210">
        <f t="shared" si="46"/>
        <v>-117</v>
      </c>
      <c r="U118" s="210">
        <f t="shared" si="47"/>
        <v>-7</v>
      </c>
      <c r="V118" s="221">
        <f>+$C$7-0</f>
        <v>0</v>
      </c>
      <c r="W118" s="209"/>
      <c r="X118" s="209"/>
      <c r="Y118" s="227"/>
      <c r="Z118" s="216">
        <v>110</v>
      </c>
      <c r="AA118" s="217"/>
      <c r="AB118" s="218"/>
      <c r="AC118" s="208"/>
      <c r="AD118" s="208"/>
      <c r="AE118" s="208"/>
      <c r="AF118" s="208"/>
    </row>
    <row r="119" spans="1:32" x14ac:dyDescent="0.3">
      <c r="A119" s="207">
        <v>7.02</v>
      </c>
      <c r="B119" s="208" t="s">
        <v>935</v>
      </c>
      <c r="C119" s="209" t="s">
        <v>939</v>
      </c>
      <c r="D119" s="229">
        <f t="shared" si="37"/>
        <v>45718</v>
      </c>
      <c r="E119" s="230">
        <v>10</v>
      </c>
      <c r="F119" s="229">
        <f t="shared" si="38"/>
        <v>45728</v>
      </c>
      <c r="G119" s="230">
        <v>21</v>
      </c>
      <c r="H119" s="229">
        <f t="shared" si="39"/>
        <v>45749</v>
      </c>
      <c r="I119" s="230">
        <v>5</v>
      </c>
      <c r="J119" s="229">
        <f t="shared" si="40"/>
        <v>45754</v>
      </c>
      <c r="K119" s="230">
        <v>45</v>
      </c>
      <c r="L119" s="229">
        <f t="shared" si="41"/>
        <v>45799</v>
      </c>
      <c r="M119" s="230">
        <v>31</v>
      </c>
      <c r="N119" s="229">
        <f t="shared" si="42"/>
        <v>45830</v>
      </c>
      <c r="O119" s="230">
        <v>3</v>
      </c>
      <c r="P119" s="229">
        <f t="shared" si="43"/>
        <v>45833</v>
      </c>
      <c r="Q119" s="211">
        <f t="shared" si="44"/>
        <v>115</v>
      </c>
      <c r="R119" s="210">
        <v>45833</v>
      </c>
      <c r="S119" s="210">
        <f t="shared" si="45"/>
        <v>-140</v>
      </c>
      <c r="T119" s="210">
        <f t="shared" si="46"/>
        <v>-117</v>
      </c>
      <c r="U119" s="210">
        <f t="shared" si="47"/>
        <v>-7</v>
      </c>
      <c r="V119" s="221">
        <f>+$C$7-0</f>
        <v>0</v>
      </c>
      <c r="W119" s="209"/>
      <c r="X119" s="209"/>
      <c r="Y119" s="227"/>
      <c r="Z119" s="216">
        <v>110</v>
      </c>
      <c r="AA119" s="217"/>
      <c r="AB119" s="218"/>
      <c r="AC119" s="208"/>
      <c r="AD119" s="208"/>
      <c r="AE119" s="208"/>
      <c r="AF119" s="208"/>
    </row>
    <row r="120" spans="1:32" x14ac:dyDescent="0.3">
      <c r="A120" s="207">
        <v>7.02</v>
      </c>
      <c r="B120" s="208" t="s">
        <v>935</v>
      </c>
      <c r="C120" s="209" t="s">
        <v>940</v>
      </c>
      <c r="D120" s="229">
        <f t="shared" si="37"/>
        <v>45718</v>
      </c>
      <c r="E120" s="230">
        <v>10</v>
      </c>
      <c r="F120" s="229">
        <f t="shared" si="38"/>
        <v>45728</v>
      </c>
      <c r="G120" s="230">
        <v>21</v>
      </c>
      <c r="H120" s="229">
        <f t="shared" si="39"/>
        <v>45749</v>
      </c>
      <c r="I120" s="230">
        <v>5</v>
      </c>
      <c r="J120" s="229">
        <f t="shared" si="40"/>
        <v>45754</v>
      </c>
      <c r="K120" s="230">
        <v>45</v>
      </c>
      <c r="L120" s="229">
        <f t="shared" si="41"/>
        <v>45799</v>
      </c>
      <c r="M120" s="230">
        <v>31</v>
      </c>
      <c r="N120" s="229">
        <f t="shared" si="42"/>
        <v>45830</v>
      </c>
      <c r="O120" s="230">
        <v>3</v>
      </c>
      <c r="P120" s="229">
        <f t="shared" si="43"/>
        <v>45833</v>
      </c>
      <c r="Q120" s="211">
        <f t="shared" si="44"/>
        <v>115</v>
      </c>
      <c r="R120" s="210">
        <v>45833</v>
      </c>
      <c r="S120" s="210">
        <f t="shared" si="45"/>
        <v>-120</v>
      </c>
      <c r="T120" s="210">
        <f t="shared" si="46"/>
        <v>-97</v>
      </c>
      <c r="U120" s="210">
        <f t="shared" si="47"/>
        <v>-37</v>
      </c>
      <c r="V120" s="221">
        <f>+$C$7-30</f>
        <v>-30</v>
      </c>
      <c r="W120" s="209"/>
      <c r="X120" s="209"/>
      <c r="Y120" s="227"/>
      <c r="Z120" s="216">
        <v>60</v>
      </c>
      <c r="AA120" s="217"/>
      <c r="AB120" s="218"/>
      <c r="AC120" s="208"/>
      <c r="AD120" s="208"/>
      <c r="AE120" s="208"/>
      <c r="AF120" s="208"/>
    </row>
    <row r="121" spans="1:32" x14ac:dyDescent="0.3">
      <c r="A121" s="207">
        <v>7.02</v>
      </c>
      <c r="B121" s="208" t="s">
        <v>935</v>
      </c>
      <c r="C121" s="209" t="s">
        <v>941</v>
      </c>
      <c r="D121" s="229">
        <f t="shared" si="37"/>
        <v>45718</v>
      </c>
      <c r="E121" s="230">
        <v>10</v>
      </c>
      <c r="F121" s="229">
        <f t="shared" si="38"/>
        <v>45728</v>
      </c>
      <c r="G121" s="230">
        <v>21</v>
      </c>
      <c r="H121" s="229">
        <f t="shared" si="39"/>
        <v>45749</v>
      </c>
      <c r="I121" s="230">
        <v>5</v>
      </c>
      <c r="J121" s="229">
        <f t="shared" si="40"/>
        <v>45754</v>
      </c>
      <c r="K121" s="230">
        <v>45</v>
      </c>
      <c r="L121" s="229">
        <f t="shared" si="41"/>
        <v>45799</v>
      </c>
      <c r="M121" s="230">
        <v>31</v>
      </c>
      <c r="N121" s="229">
        <f t="shared" si="42"/>
        <v>45830</v>
      </c>
      <c r="O121" s="230">
        <v>3</v>
      </c>
      <c r="P121" s="229">
        <f t="shared" si="43"/>
        <v>45833</v>
      </c>
      <c r="Q121" s="211">
        <f t="shared" si="44"/>
        <v>115</v>
      </c>
      <c r="R121" s="210">
        <v>45833</v>
      </c>
      <c r="S121" s="210">
        <f t="shared" si="45"/>
        <v>-140</v>
      </c>
      <c r="T121" s="210">
        <f t="shared" si="46"/>
        <v>-117</v>
      </c>
      <c r="U121" s="210">
        <f t="shared" si="47"/>
        <v>-27</v>
      </c>
      <c r="V121" s="221">
        <f t="shared" ref="V121:V150" si="48">+$C$7-20</f>
        <v>-20</v>
      </c>
      <c r="W121" s="209"/>
      <c r="X121" s="209"/>
      <c r="Y121" s="227"/>
      <c r="Z121" s="216">
        <v>90</v>
      </c>
      <c r="AA121" s="217"/>
      <c r="AB121" s="218"/>
      <c r="AC121" s="208"/>
      <c r="AD121" s="208"/>
      <c r="AE121" s="208"/>
      <c r="AF121" s="208"/>
    </row>
    <row r="122" spans="1:32" x14ac:dyDescent="0.3">
      <c r="A122" s="207">
        <v>7.02</v>
      </c>
      <c r="B122" s="208" t="s">
        <v>935</v>
      </c>
      <c r="C122" s="209" t="s">
        <v>942</v>
      </c>
      <c r="D122" s="229">
        <f t="shared" si="37"/>
        <v>45718</v>
      </c>
      <c r="E122" s="230">
        <v>10</v>
      </c>
      <c r="F122" s="229">
        <f t="shared" si="38"/>
        <v>45728</v>
      </c>
      <c r="G122" s="230">
        <v>21</v>
      </c>
      <c r="H122" s="229">
        <f t="shared" si="39"/>
        <v>45749</v>
      </c>
      <c r="I122" s="230">
        <v>5</v>
      </c>
      <c r="J122" s="229">
        <f t="shared" si="40"/>
        <v>45754</v>
      </c>
      <c r="K122" s="230">
        <v>45</v>
      </c>
      <c r="L122" s="229">
        <f t="shared" si="41"/>
        <v>45799</v>
      </c>
      <c r="M122" s="230">
        <v>31</v>
      </c>
      <c r="N122" s="229">
        <f t="shared" si="42"/>
        <v>45830</v>
      </c>
      <c r="O122" s="230">
        <v>3</v>
      </c>
      <c r="P122" s="229">
        <f t="shared" si="43"/>
        <v>45833</v>
      </c>
      <c r="Q122" s="211">
        <f t="shared" si="44"/>
        <v>115</v>
      </c>
      <c r="R122" s="210">
        <v>45833</v>
      </c>
      <c r="S122" s="210">
        <f t="shared" si="45"/>
        <v>-110</v>
      </c>
      <c r="T122" s="210">
        <f t="shared" si="46"/>
        <v>-87</v>
      </c>
      <c r="U122" s="210">
        <f t="shared" si="47"/>
        <v>-27</v>
      </c>
      <c r="V122" s="221">
        <f t="shared" si="48"/>
        <v>-20</v>
      </c>
      <c r="W122" s="209"/>
      <c r="X122" s="209"/>
      <c r="Y122" s="227"/>
      <c r="Z122" s="216">
        <v>60</v>
      </c>
      <c r="AA122" s="217"/>
      <c r="AB122" s="218"/>
      <c r="AC122" s="208"/>
      <c r="AD122" s="208"/>
      <c r="AE122" s="208"/>
      <c r="AF122" s="208"/>
    </row>
    <row r="123" spans="1:32" x14ac:dyDescent="0.3">
      <c r="A123" s="207">
        <v>7.02</v>
      </c>
      <c r="B123" s="208" t="s">
        <v>935</v>
      </c>
      <c r="C123" s="209" t="s">
        <v>943</v>
      </c>
      <c r="D123" s="229">
        <f t="shared" si="37"/>
        <v>45718</v>
      </c>
      <c r="E123" s="230">
        <v>10</v>
      </c>
      <c r="F123" s="229">
        <f t="shared" si="38"/>
        <v>45728</v>
      </c>
      <c r="G123" s="230">
        <v>21</v>
      </c>
      <c r="H123" s="229">
        <f t="shared" si="39"/>
        <v>45749</v>
      </c>
      <c r="I123" s="230">
        <v>5</v>
      </c>
      <c r="J123" s="229">
        <f t="shared" si="40"/>
        <v>45754</v>
      </c>
      <c r="K123" s="230">
        <v>45</v>
      </c>
      <c r="L123" s="229">
        <f t="shared" si="41"/>
        <v>45799</v>
      </c>
      <c r="M123" s="230">
        <v>31</v>
      </c>
      <c r="N123" s="229">
        <f t="shared" si="42"/>
        <v>45830</v>
      </c>
      <c r="O123" s="230">
        <v>3</v>
      </c>
      <c r="P123" s="229">
        <f t="shared" si="43"/>
        <v>45833</v>
      </c>
      <c r="Q123" s="211">
        <f t="shared" si="44"/>
        <v>115</v>
      </c>
      <c r="R123" s="210">
        <v>45833</v>
      </c>
      <c r="S123" s="210">
        <f t="shared" si="45"/>
        <v>-140</v>
      </c>
      <c r="T123" s="210">
        <f t="shared" si="46"/>
        <v>-117</v>
      </c>
      <c r="U123" s="210">
        <f t="shared" si="47"/>
        <v>-27</v>
      </c>
      <c r="V123" s="221">
        <f t="shared" si="48"/>
        <v>-20</v>
      </c>
      <c r="W123" s="209"/>
      <c r="X123" s="209"/>
      <c r="Y123" s="227"/>
      <c r="Z123" s="216">
        <v>90</v>
      </c>
      <c r="AA123" s="217"/>
      <c r="AB123" s="218"/>
      <c r="AC123" s="208"/>
      <c r="AD123" s="208"/>
      <c r="AE123" s="208"/>
      <c r="AF123" s="208"/>
    </row>
    <row r="124" spans="1:32" x14ac:dyDescent="0.3">
      <c r="A124" s="207">
        <v>7.03</v>
      </c>
      <c r="B124" s="208" t="s">
        <v>944</v>
      </c>
      <c r="C124" s="209" t="s">
        <v>945</v>
      </c>
      <c r="D124" s="229">
        <f t="shared" si="37"/>
        <v>45718</v>
      </c>
      <c r="E124" s="230">
        <v>10</v>
      </c>
      <c r="F124" s="229">
        <f t="shared" si="38"/>
        <v>45728</v>
      </c>
      <c r="G124" s="230">
        <v>21</v>
      </c>
      <c r="H124" s="229">
        <f t="shared" si="39"/>
        <v>45749</v>
      </c>
      <c r="I124" s="230">
        <v>5</v>
      </c>
      <c r="J124" s="229">
        <f t="shared" si="40"/>
        <v>45754</v>
      </c>
      <c r="K124" s="230">
        <v>45</v>
      </c>
      <c r="L124" s="229">
        <f t="shared" si="41"/>
        <v>45799</v>
      </c>
      <c r="M124" s="230">
        <v>31</v>
      </c>
      <c r="N124" s="229">
        <f t="shared" si="42"/>
        <v>45830</v>
      </c>
      <c r="O124" s="230">
        <v>3</v>
      </c>
      <c r="P124" s="229">
        <f t="shared" si="43"/>
        <v>45833</v>
      </c>
      <c r="Q124" s="211">
        <f t="shared" si="44"/>
        <v>115</v>
      </c>
      <c r="R124" s="210">
        <v>45833</v>
      </c>
      <c r="S124" s="210">
        <f t="shared" si="45"/>
        <v>-110</v>
      </c>
      <c r="T124" s="210">
        <f t="shared" si="46"/>
        <v>-87</v>
      </c>
      <c r="U124" s="210">
        <f t="shared" si="47"/>
        <v>-27</v>
      </c>
      <c r="V124" s="221">
        <f t="shared" si="48"/>
        <v>-20</v>
      </c>
      <c r="W124" s="209"/>
      <c r="X124" s="209"/>
      <c r="Y124" s="227"/>
      <c r="Z124" s="216">
        <v>60</v>
      </c>
      <c r="AA124" s="217"/>
      <c r="AB124" s="218"/>
      <c r="AC124" s="208"/>
      <c r="AD124" s="208"/>
      <c r="AE124" s="208"/>
      <c r="AF124" s="208"/>
    </row>
    <row r="125" spans="1:32" x14ac:dyDescent="0.3">
      <c r="A125" s="207">
        <v>7.03</v>
      </c>
      <c r="B125" s="208" t="s">
        <v>944</v>
      </c>
      <c r="C125" s="209" t="s">
        <v>946</v>
      </c>
      <c r="D125" s="229">
        <f t="shared" si="37"/>
        <v>45718</v>
      </c>
      <c r="E125" s="230">
        <v>10</v>
      </c>
      <c r="F125" s="229">
        <f t="shared" si="38"/>
        <v>45728</v>
      </c>
      <c r="G125" s="230">
        <v>21</v>
      </c>
      <c r="H125" s="229">
        <f t="shared" si="39"/>
        <v>45749</v>
      </c>
      <c r="I125" s="230">
        <v>5</v>
      </c>
      <c r="J125" s="229">
        <f t="shared" si="40"/>
        <v>45754</v>
      </c>
      <c r="K125" s="230">
        <v>45</v>
      </c>
      <c r="L125" s="229">
        <f t="shared" si="41"/>
        <v>45799</v>
      </c>
      <c r="M125" s="230">
        <v>31</v>
      </c>
      <c r="N125" s="229">
        <f t="shared" si="42"/>
        <v>45830</v>
      </c>
      <c r="O125" s="230">
        <v>3</v>
      </c>
      <c r="P125" s="229">
        <f t="shared" si="43"/>
        <v>45833</v>
      </c>
      <c r="Q125" s="211">
        <f t="shared" si="44"/>
        <v>115</v>
      </c>
      <c r="R125" s="210">
        <v>45833</v>
      </c>
      <c r="S125" s="210">
        <f t="shared" si="45"/>
        <v>-140</v>
      </c>
      <c r="T125" s="210">
        <f t="shared" si="46"/>
        <v>-117</v>
      </c>
      <c r="U125" s="210">
        <f t="shared" si="47"/>
        <v>-27</v>
      </c>
      <c r="V125" s="221">
        <f t="shared" si="48"/>
        <v>-20</v>
      </c>
      <c r="W125" s="209"/>
      <c r="X125" s="209"/>
      <c r="Y125" s="227"/>
      <c r="Z125" s="216">
        <v>90</v>
      </c>
      <c r="AA125" s="217"/>
      <c r="AB125" s="218"/>
      <c r="AC125" s="208"/>
      <c r="AD125" s="208"/>
      <c r="AE125" s="208"/>
      <c r="AF125" s="208"/>
    </row>
    <row r="126" spans="1:32" x14ac:dyDescent="0.3">
      <c r="A126" s="207">
        <v>7.03</v>
      </c>
      <c r="B126" s="208" t="s">
        <v>944</v>
      </c>
      <c r="C126" s="209" t="s">
        <v>947</v>
      </c>
      <c r="D126" s="229">
        <f t="shared" si="37"/>
        <v>45718</v>
      </c>
      <c r="E126" s="230">
        <v>10</v>
      </c>
      <c r="F126" s="229">
        <f t="shared" si="38"/>
        <v>45728</v>
      </c>
      <c r="G126" s="230">
        <v>21</v>
      </c>
      <c r="H126" s="229">
        <f t="shared" si="39"/>
        <v>45749</v>
      </c>
      <c r="I126" s="230">
        <v>5</v>
      </c>
      <c r="J126" s="229">
        <f t="shared" si="40"/>
        <v>45754</v>
      </c>
      <c r="K126" s="230">
        <v>45</v>
      </c>
      <c r="L126" s="229">
        <f t="shared" si="41"/>
        <v>45799</v>
      </c>
      <c r="M126" s="230">
        <v>31</v>
      </c>
      <c r="N126" s="229">
        <f t="shared" si="42"/>
        <v>45830</v>
      </c>
      <c r="O126" s="230">
        <v>3</v>
      </c>
      <c r="P126" s="229">
        <f t="shared" si="43"/>
        <v>45833</v>
      </c>
      <c r="Q126" s="211">
        <f t="shared" si="44"/>
        <v>115</v>
      </c>
      <c r="R126" s="210">
        <v>45833</v>
      </c>
      <c r="S126" s="210">
        <f t="shared" si="45"/>
        <v>-140</v>
      </c>
      <c r="T126" s="210">
        <f t="shared" si="46"/>
        <v>-117</v>
      </c>
      <c r="U126" s="210">
        <f t="shared" si="47"/>
        <v>-27</v>
      </c>
      <c r="V126" s="221">
        <f t="shared" si="48"/>
        <v>-20</v>
      </c>
      <c r="W126" s="209"/>
      <c r="X126" s="209"/>
      <c r="Y126" s="227"/>
      <c r="Z126" s="216">
        <v>90</v>
      </c>
      <c r="AA126" s="217"/>
      <c r="AB126" s="218"/>
      <c r="AC126" s="208"/>
      <c r="AD126" s="208"/>
      <c r="AE126" s="208"/>
      <c r="AF126" s="208"/>
    </row>
    <row r="127" spans="1:32" x14ac:dyDescent="0.3">
      <c r="A127" s="207">
        <v>7.03</v>
      </c>
      <c r="B127" s="208" t="s">
        <v>944</v>
      </c>
      <c r="C127" s="209" t="s">
        <v>948</v>
      </c>
      <c r="D127" s="229">
        <f t="shared" si="37"/>
        <v>45718</v>
      </c>
      <c r="E127" s="230">
        <v>10</v>
      </c>
      <c r="F127" s="229">
        <f t="shared" si="38"/>
        <v>45728</v>
      </c>
      <c r="G127" s="230">
        <v>21</v>
      </c>
      <c r="H127" s="229">
        <f t="shared" si="39"/>
        <v>45749</v>
      </c>
      <c r="I127" s="230">
        <v>5</v>
      </c>
      <c r="J127" s="229">
        <f t="shared" si="40"/>
        <v>45754</v>
      </c>
      <c r="K127" s="230">
        <v>45</v>
      </c>
      <c r="L127" s="229">
        <f t="shared" si="41"/>
        <v>45799</v>
      </c>
      <c r="M127" s="230">
        <v>31</v>
      </c>
      <c r="N127" s="229">
        <f t="shared" si="42"/>
        <v>45830</v>
      </c>
      <c r="O127" s="230">
        <v>3</v>
      </c>
      <c r="P127" s="229">
        <f t="shared" si="43"/>
        <v>45833</v>
      </c>
      <c r="Q127" s="211">
        <f t="shared" si="44"/>
        <v>115</v>
      </c>
      <c r="R127" s="210">
        <v>45833</v>
      </c>
      <c r="S127" s="210">
        <f t="shared" si="45"/>
        <v>-160</v>
      </c>
      <c r="T127" s="210">
        <f t="shared" si="46"/>
        <v>-137</v>
      </c>
      <c r="U127" s="210">
        <f t="shared" si="47"/>
        <v>-27</v>
      </c>
      <c r="V127" s="221">
        <f t="shared" si="48"/>
        <v>-20</v>
      </c>
      <c r="W127" s="209"/>
      <c r="X127" s="209"/>
      <c r="Y127" s="227"/>
      <c r="Z127" s="216">
        <v>110</v>
      </c>
      <c r="AA127" s="217"/>
      <c r="AB127" s="218"/>
      <c r="AC127" s="208"/>
      <c r="AD127" s="208"/>
      <c r="AE127" s="208"/>
      <c r="AF127" s="208"/>
    </row>
    <row r="128" spans="1:32" x14ac:dyDescent="0.3">
      <c r="A128" s="207">
        <v>7.03</v>
      </c>
      <c r="B128" s="208" t="s">
        <v>944</v>
      </c>
      <c r="C128" s="209" t="s">
        <v>949</v>
      </c>
      <c r="D128" s="229">
        <f t="shared" si="37"/>
        <v>45718</v>
      </c>
      <c r="E128" s="230">
        <v>10</v>
      </c>
      <c r="F128" s="229">
        <f t="shared" si="38"/>
        <v>45728</v>
      </c>
      <c r="G128" s="230">
        <v>21</v>
      </c>
      <c r="H128" s="229">
        <f t="shared" si="39"/>
        <v>45749</v>
      </c>
      <c r="I128" s="230">
        <v>5</v>
      </c>
      <c r="J128" s="229">
        <f t="shared" si="40"/>
        <v>45754</v>
      </c>
      <c r="K128" s="230">
        <v>45</v>
      </c>
      <c r="L128" s="229">
        <f t="shared" si="41"/>
        <v>45799</v>
      </c>
      <c r="M128" s="230">
        <v>31</v>
      </c>
      <c r="N128" s="229">
        <f t="shared" si="42"/>
        <v>45830</v>
      </c>
      <c r="O128" s="230">
        <v>3</v>
      </c>
      <c r="P128" s="229">
        <f t="shared" si="43"/>
        <v>45833</v>
      </c>
      <c r="Q128" s="211">
        <f t="shared" si="44"/>
        <v>115</v>
      </c>
      <c r="R128" s="210">
        <v>45833</v>
      </c>
      <c r="S128" s="210">
        <f t="shared" si="45"/>
        <v>-140</v>
      </c>
      <c r="T128" s="210">
        <f t="shared" si="46"/>
        <v>-117</v>
      </c>
      <c r="U128" s="210">
        <f t="shared" si="47"/>
        <v>-27</v>
      </c>
      <c r="V128" s="221">
        <f t="shared" si="48"/>
        <v>-20</v>
      </c>
      <c r="W128" s="209"/>
      <c r="X128" s="209"/>
      <c r="Y128" s="227"/>
      <c r="Z128" s="216">
        <v>90</v>
      </c>
      <c r="AA128" s="217"/>
      <c r="AB128" s="218"/>
      <c r="AC128" s="208"/>
      <c r="AD128" s="208"/>
      <c r="AE128" s="208"/>
      <c r="AF128" s="208"/>
    </row>
    <row r="129" spans="1:32" x14ac:dyDescent="0.3">
      <c r="A129" s="207">
        <v>7.03</v>
      </c>
      <c r="B129" s="208" t="s">
        <v>944</v>
      </c>
      <c r="C129" s="209" t="s">
        <v>950</v>
      </c>
      <c r="D129" s="229">
        <f t="shared" si="37"/>
        <v>45718</v>
      </c>
      <c r="E129" s="230">
        <v>10</v>
      </c>
      <c r="F129" s="229">
        <f t="shared" si="38"/>
        <v>45728</v>
      </c>
      <c r="G129" s="230">
        <v>21</v>
      </c>
      <c r="H129" s="229">
        <f t="shared" si="39"/>
        <v>45749</v>
      </c>
      <c r="I129" s="230">
        <v>5</v>
      </c>
      <c r="J129" s="229">
        <f t="shared" si="40"/>
        <v>45754</v>
      </c>
      <c r="K129" s="230">
        <v>45</v>
      </c>
      <c r="L129" s="229">
        <f t="shared" si="41"/>
        <v>45799</v>
      </c>
      <c r="M129" s="230">
        <v>31</v>
      </c>
      <c r="N129" s="229">
        <f t="shared" si="42"/>
        <v>45830</v>
      </c>
      <c r="O129" s="230">
        <v>3</v>
      </c>
      <c r="P129" s="229">
        <f t="shared" si="43"/>
        <v>45833</v>
      </c>
      <c r="Q129" s="211">
        <f t="shared" si="44"/>
        <v>115</v>
      </c>
      <c r="R129" s="210">
        <v>45833</v>
      </c>
      <c r="S129" s="210">
        <f t="shared" si="45"/>
        <v>-140</v>
      </c>
      <c r="T129" s="210">
        <f t="shared" si="46"/>
        <v>-117</v>
      </c>
      <c r="U129" s="210">
        <f t="shared" si="47"/>
        <v>-27</v>
      </c>
      <c r="V129" s="221">
        <f t="shared" si="48"/>
        <v>-20</v>
      </c>
      <c r="W129" s="209"/>
      <c r="X129" s="209"/>
      <c r="Y129" s="227"/>
      <c r="Z129" s="216">
        <v>90</v>
      </c>
      <c r="AA129" s="217"/>
      <c r="AB129" s="218"/>
      <c r="AC129" s="208"/>
      <c r="AD129" s="208"/>
      <c r="AE129" s="208"/>
      <c r="AF129" s="208"/>
    </row>
    <row r="130" spans="1:32" x14ac:dyDescent="0.3">
      <c r="A130" s="207">
        <v>7.03</v>
      </c>
      <c r="B130" s="208" t="s">
        <v>944</v>
      </c>
      <c r="C130" s="209" t="s">
        <v>951</v>
      </c>
      <c r="D130" s="229">
        <f t="shared" si="37"/>
        <v>45718</v>
      </c>
      <c r="E130" s="230">
        <v>10</v>
      </c>
      <c r="F130" s="229">
        <f t="shared" si="38"/>
        <v>45728</v>
      </c>
      <c r="G130" s="230">
        <v>21</v>
      </c>
      <c r="H130" s="229">
        <f t="shared" si="39"/>
        <v>45749</v>
      </c>
      <c r="I130" s="230">
        <v>5</v>
      </c>
      <c r="J130" s="229">
        <f t="shared" si="40"/>
        <v>45754</v>
      </c>
      <c r="K130" s="230">
        <v>45</v>
      </c>
      <c r="L130" s="229">
        <f t="shared" si="41"/>
        <v>45799</v>
      </c>
      <c r="M130" s="230">
        <v>31</v>
      </c>
      <c r="N130" s="229">
        <f t="shared" si="42"/>
        <v>45830</v>
      </c>
      <c r="O130" s="230">
        <v>3</v>
      </c>
      <c r="P130" s="229">
        <f t="shared" si="43"/>
        <v>45833</v>
      </c>
      <c r="Q130" s="211">
        <f t="shared" si="44"/>
        <v>115</v>
      </c>
      <c r="R130" s="210">
        <v>45833</v>
      </c>
      <c r="S130" s="210">
        <f t="shared" si="45"/>
        <v>-160</v>
      </c>
      <c r="T130" s="210">
        <f t="shared" si="46"/>
        <v>-137</v>
      </c>
      <c r="U130" s="210">
        <f t="shared" si="47"/>
        <v>-27</v>
      </c>
      <c r="V130" s="221">
        <f t="shared" si="48"/>
        <v>-20</v>
      </c>
      <c r="W130" s="209"/>
      <c r="X130" s="209"/>
      <c r="Y130" s="227"/>
      <c r="Z130" s="216">
        <v>110</v>
      </c>
      <c r="AA130" s="217"/>
      <c r="AB130" s="218"/>
      <c r="AC130" s="208"/>
      <c r="AD130" s="208"/>
      <c r="AE130" s="208"/>
      <c r="AF130" s="208"/>
    </row>
    <row r="131" spans="1:32" x14ac:dyDescent="0.3">
      <c r="A131" s="207">
        <v>7.03</v>
      </c>
      <c r="B131" s="208" t="s">
        <v>944</v>
      </c>
      <c r="C131" s="209" t="s">
        <v>952</v>
      </c>
      <c r="D131" s="229">
        <f t="shared" si="37"/>
        <v>45718</v>
      </c>
      <c r="E131" s="230">
        <v>10</v>
      </c>
      <c r="F131" s="229">
        <f t="shared" si="38"/>
        <v>45728</v>
      </c>
      <c r="G131" s="230">
        <v>21</v>
      </c>
      <c r="H131" s="229">
        <f t="shared" si="39"/>
        <v>45749</v>
      </c>
      <c r="I131" s="230">
        <v>5</v>
      </c>
      <c r="J131" s="229">
        <f t="shared" si="40"/>
        <v>45754</v>
      </c>
      <c r="K131" s="230">
        <v>45</v>
      </c>
      <c r="L131" s="229">
        <f t="shared" si="41"/>
        <v>45799</v>
      </c>
      <c r="M131" s="230">
        <v>31</v>
      </c>
      <c r="N131" s="229">
        <f t="shared" si="42"/>
        <v>45830</v>
      </c>
      <c r="O131" s="230">
        <v>3</v>
      </c>
      <c r="P131" s="229">
        <f t="shared" si="43"/>
        <v>45833</v>
      </c>
      <c r="Q131" s="211">
        <f t="shared" si="44"/>
        <v>115</v>
      </c>
      <c r="R131" s="210">
        <v>45833</v>
      </c>
      <c r="S131" s="210">
        <f t="shared" si="45"/>
        <v>-140</v>
      </c>
      <c r="T131" s="210">
        <f t="shared" si="46"/>
        <v>-117</v>
      </c>
      <c r="U131" s="210">
        <f t="shared" si="47"/>
        <v>-27</v>
      </c>
      <c r="V131" s="221">
        <f t="shared" si="48"/>
        <v>-20</v>
      </c>
      <c r="W131" s="209"/>
      <c r="X131" s="209"/>
      <c r="Y131" s="227"/>
      <c r="Z131" s="216">
        <v>90</v>
      </c>
      <c r="AA131" s="217"/>
      <c r="AB131" s="218"/>
      <c r="AC131" s="208"/>
      <c r="AD131" s="208"/>
      <c r="AE131" s="208"/>
      <c r="AF131" s="208"/>
    </row>
    <row r="132" spans="1:32" x14ac:dyDescent="0.3">
      <c r="A132" s="207">
        <v>7.03</v>
      </c>
      <c r="B132" s="208" t="s">
        <v>944</v>
      </c>
      <c r="C132" s="209" t="s">
        <v>953</v>
      </c>
      <c r="D132" s="229">
        <f t="shared" si="37"/>
        <v>45718</v>
      </c>
      <c r="E132" s="230">
        <v>10</v>
      </c>
      <c r="F132" s="229">
        <f t="shared" si="38"/>
        <v>45728</v>
      </c>
      <c r="G132" s="230">
        <v>21</v>
      </c>
      <c r="H132" s="229">
        <f t="shared" si="39"/>
        <v>45749</v>
      </c>
      <c r="I132" s="230">
        <v>5</v>
      </c>
      <c r="J132" s="229">
        <f t="shared" si="40"/>
        <v>45754</v>
      </c>
      <c r="K132" s="230">
        <v>45</v>
      </c>
      <c r="L132" s="229">
        <f t="shared" si="41"/>
        <v>45799</v>
      </c>
      <c r="M132" s="230">
        <v>31</v>
      </c>
      <c r="N132" s="229">
        <f t="shared" si="42"/>
        <v>45830</v>
      </c>
      <c r="O132" s="230">
        <v>3</v>
      </c>
      <c r="P132" s="229">
        <f t="shared" si="43"/>
        <v>45833</v>
      </c>
      <c r="Q132" s="211">
        <f t="shared" si="44"/>
        <v>115</v>
      </c>
      <c r="R132" s="210">
        <v>45833</v>
      </c>
      <c r="S132" s="210">
        <f t="shared" si="45"/>
        <v>-110</v>
      </c>
      <c r="T132" s="210">
        <f t="shared" si="46"/>
        <v>-87</v>
      </c>
      <c r="U132" s="210">
        <f t="shared" si="47"/>
        <v>-27</v>
      </c>
      <c r="V132" s="221">
        <f t="shared" si="48"/>
        <v>-20</v>
      </c>
      <c r="W132" s="209"/>
      <c r="X132" s="209"/>
      <c r="Y132" s="227"/>
      <c r="Z132" s="216">
        <v>60</v>
      </c>
      <c r="AA132" s="217"/>
      <c r="AB132" s="218"/>
      <c r="AC132" s="208"/>
      <c r="AD132" s="208"/>
      <c r="AE132" s="208"/>
      <c r="AF132" s="208"/>
    </row>
    <row r="133" spans="1:32" x14ac:dyDescent="0.3">
      <c r="A133" s="207">
        <v>7.03</v>
      </c>
      <c r="B133" s="208" t="s">
        <v>944</v>
      </c>
      <c r="C133" s="209" t="s">
        <v>954</v>
      </c>
      <c r="D133" s="229">
        <f t="shared" si="37"/>
        <v>45718</v>
      </c>
      <c r="E133" s="230">
        <v>10</v>
      </c>
      <c r="F133" s="229">
        <f t="shared" si="38"/>
        <v>45728</v>
      </c>
      <c r="G133" s="230">
        <v>21</v>
      </c>
      <c r="H133" s="229">
        <f t="shared" si="39"/>
        <v>45749</v>
      </c>
      <c r="I133" s="230">
        <v>5</v>
      </c>
      <c r="J133" s="229">
        <f t="shared" si="40"/>
        <v>45754</v>
      </c>
      <c r="K133" s="230">
        <v>45</v>
      </c>
      <c r="L133" s="229">
        <f t="shared" si="41"/>
        <v>45799</v>
      </c>
      <c r="M133" s="230">
        <v>31</v>
      </c>
      <c r="N133" s="229">
        <f t="shared" si="42"/>
        <v>45830</v>
      </c>
      <c r="O133" s="230">
        <v>3</v>
      </c>
      <c r="P133" s="229">
        <f t="shared" si="43"/>
        <v>45833</v>
      </c>
      <c r="Q133" s="211">
        <f t="shared" si="44"/>
        <v>115</v>
      </c>
      <c r="R133" s="210">
        <v>45833</v>
      </c>
      <c r="S133" s="210">
        <f t="shared" si="45"/>
        <v>-140</v>
      </c>
      <c r="T133" s="210">
        <f t="shared" si="46"/>
        <v>-117</v>
      </c>
      <c r="U133" s="210">
        <f t="shared" si="47"/>
        <v>-27</v>
      </c>
      <c r="V133" s="221">
        <f t="shared" si="48"/>
        <v>-20</v>
      </c>
      <c r="W133" s="209"/>
      <c r="X133" s="209"/>
      <c r="Y133" s="227"/>
      <c r="Z133" s="216">
        <v>90</v>
      </c>
      <c r="AA133" s="217"/>
      <c r="AB133" s="218"/>
      <c r="AC133" s="208"/>
      <c r="AD133" s="208"/>
      <c r="AE133" s="208"/>
      <c r="AF133" s="208"/>
    </row>
    <row r="134" spans="1:32" x14ac:dyDescent="0.3">
      <c r="A134" s="207">
        <v>7.03</v>
      </c>
      <c r="B134" s="208" t="s">
        <v>944</v>
      </c>
      <c r="C134" s="209" t="s">
        <v>955</v>
      </c>
      <c r="D134" s="229">
        <f t="shared" si="37"/>
        <v>45718</v>
      </c>
      <c r="E134" s="230">
        <v>10</v>
      </c>
      <c r="F134" s="229">
        <f t="shared" si="38"/>
        <v>45728</v>
      </c>
      <c r="G134" s="230">
        <v>21</v>
      </c>
      <c r="H134" s="229">
        <f t="shared" si="39"/>
        <v>45749</v>
      </c>
      <c r="I134" s="230">
        <v>5</v>
      </c>
      <c r="J134" s="229">
        <f t="shared" si="40"/>
        <v>45754</v>
      </c>
      <c r="K134" s="230">
        <v>45</v>
      </c>
      <c r="L134" s="229">
        <f t="shared" si="41"/>
        <v>45799</v>
      </c>
      <c r="M134" s="230">
        <v>31</v>
      </c>
      <c r="N134" s="229">
        <f t="shared" si="42"/>
        <v>45830</v>
      </c>
      <c r="O134" s="230">
        <v>3</v>
      </c>
      <c r="P134" s="229">
        <f t="shared" si="43"/>
        <v>45833</v>
      </c>
      <c r="Q134" s="211">
        <f t="shared" si="44"/>
        <v>115</v>
      </c>
      <c r="R134" s="210">
        <v>45833</v>
      </c>
      <c r="S134" s="210">
        <f t="shared" si="45"/>
        <v>-110</v>
      </c>
      <c r="T134" s="210">
        <f t="shared" si="46"/>
        <v>-87</v>
      </c>
      <c r="U134" s="210">
        <f t="shared" si="47"/>
        <v>-27</v>
      </c>
      <c r="V134" s="221">
        <f t="shared" si="48"/>
        <v>-20</v>
      </c>
      <c r="W134" s="209"/>
      <c r="X134" s="209"/>
      <c r="Y134" s="227"/>
      <c r="Z134" s="216">
        <v>60</v>
      </c>
      <c r="AA134" s="217"/>
      <c r="AB134" s="218"/>
      <c r="AC134" s="208"/>
      <c r="AD134" s="208"/>
      <c r="AE134" s="208"/>
      <c r="AF134" s="208"/>
    </row>
    <row r="135" spans="1:32" x14ac:dyDescent="0.3">
      <c r="A135" s="207">
        <v>7.03</v>
      </c>
      <c r="B135" s="208" t="s">
        <v>944</v>
      </c>
      <c r="C135" s="209" t="s">
        <v>956</v>
      </c>
      <c r="D135" s="229">
        <f t="shared" si="37"/>
        <v>45718</v>
      </c>
      <c r="E135" s="230">
        <v>10</v>
      </c>
      <c r="F135" s="229">
        <f t="shared" si="38"/>
        <v>45728</v>
      </c>
      <c r="G135" s="230">
        <v>21</v>
      </c>
      <c r="H135" s="229">
        <f t="shared" si="39"/>
        <v>45749</v>
      </c>
      <c r="I135" s="230">
        <v>5</v>
      </c>
      <c r="J135" s="229">
        <f t="shared" si="40"/>
        <v>45754</v>
      </c>
      <c r="K135" s="230">
        <v>45</v>
      </c>
      <c r="L135" s="229">
        <f t="shared" si="41"/>
        <v>45799</v>
      </c>
      <c r="M135" s="230">
        <v>31</v>
      </c>
      <c r="N135" s="229">
        <f t="shared" si="42"/>
        <v>45830</v>
      </c>
      <c r="O135" s="230">
        <v>3</v>
      </c>
      <c r="P135" s="229">
        <f t="shared" si="43"/>
        <v>45833</v>
      </c>
      <c r="Q135" s="211">
        <f t="shared" si="44"/>
        <v>115</v>
      </c>
      <c r="R135" s="210">
        <v>45833</v>
      </c>
      <c r="S135" s="210">
        <f t="shared" si="45"/>
        <v>-140</v>
      </c>
      <c r="T135" s="210">
        <f t="shared" si="46"/>
        <v>-117</v>
      </c>
      <c r="U135" s="210">
        <f t="shared" si="47"/>
        <v>-27</v>
      </c>
      <c r="V135" s="221">
        <f t="shared" si="48"/>
        <v>-20</v>
      </c>
      <c r="W135" s="209"/>
      <c r="X135" s="209"/>
      <c r="Y135" s="227"/>
      <c r="Z135" s="216">
        <v>90</v>
      </c>
      <c r="AA135" s="217"/>
      <c r="AB135" s="218"/>
      <c r="AC135" s="208"/>
      <c r="AD135" s="208"/>
      <c r="AE135" s="208"/>
      <c r="AF135" s="208"/>
    </row>
    <row r="136" spans="1:32" x14ac:dyDescent="0.3">
      <c r="A136" s="207">
        <v>7.03</v>
      </c>
      <c r="B136" s="208" t="s">
        <v>944</v>
      </c>
      <c r="C136" s="209" t="s">
        <v>957</v>
      </c>
      <c r="D136" s="229">
        <f t="shared" si="37"/>
        <v>45718</v>
      </c>
      <c r="E136" s="230">
        <v>10</v>
      </c>
      <c r="F136" s="229">
        <f t="shared" si="38"/>
        <v>45728</v>
      </c>
      <c r="G136" s="230">
        <v>21</v>
      </c>
      <c r="H136" s="229">
        <f t="shared" si="39"/>
        <v>45749</v>
      </c>
      <c r="I136" s="230">
        <v>5</v>
      </c>
      <c r="J136" s="229">
        <f t="shared" si="40"/>
        <v>45754</v>
      </c>
      <c r="K136" s="230">
        <v>45</v>
      </c>
      <c r="L136" s="229">
        <f t="shared" si="41"/>
        <v>45799</v>
      </c>
      <c r="M136" s="230">
        <v>31</v>
      </c>
      <c r="N136" s="229">
        <f t="shared" si="42"/>
        <v>45830</v>
      </c>
      <c r="O136" s="230">
        <v>3</v>
      </c>
      <c r="P136" s="229">
        <f t="shared" si="43"/>
        <v>45833</v>
      </c>
      <c r="Q136" s="211">
        <f t="shared" si="44"/>
        <v>115</v>
      </c>
      <c r="R136" s="210">
        <v>45833</v>
      </c>
      <c r="S136" s="210">
        <f t="shared" si="45"/>
        <v>-140</v>
      </c>
      <c r="T136" s="210">
        <f t="shared" si="46"/>
        <v>-117</v>
      </c>
      <c r="U136" s="210">
        <f t="shared" si="47"/>
        <v>-27</v>
      </c>
      <c r="V136" s="221">
        <f t="shared" si="48"/>
        <v>-20</v>
      </c>
      <c r="W136" s="209"/>
      <c r="X136" s="209"/>
      <c r="Y136" s="227"/>
      <c r="Z136" s="216">
        <v>90</v>
      </c>
      <c r="AA136" s="217"/>
      <c r="AB136" s="218"/>
      <c r="AC136" s="208"/>
      <c r="AD136" s="208"/>
      <c r="AE136" s="208"/>
      <c r="AF136" s="208"/>
    </row>
    <row r="137" spans="1:32" x14ac:dyDescent="0.3">
      <c r="A137" s="207">
        <v>7.03</v>
      </c>
      <c r="B137" s="208" t="s">
        <v>944</v>
      </c>
      <c r="C137" s="209" t="s">
        <v>958</v>
      </c>
      <c r="D137" s="229">
        <f t="shared" si="37"/>
        <v>45718</v>
      </c>
      <c r="E137" s="230">
        <v>10</v>
      </c>
      <c r="F137" s="229">
        <f t="shared" si="38"/>
        <v>45728</v>
      </c>
      <c r="G137" s="230">
        <v>21</v>
      </c>
      <c r="H137" s="229">
        <f t="shared" si="39"/>
        <v>45749</v>
      </c>
      <c r="I137" s="230">
        <v>5</v>
      </c>
      <c r="J137" s="229">
        <f t="shared" si="40"/>
        <v>45754</v>
      </c>
      <c r="K137" s="230">
        <v>45</v>
      </c>
      <c r="L137" s="229">
        <f t="shared" si="41"/>
        <v>45799</v>
      </c>
      <c r="M137" s="230">
        <v>31</v>
      </c>
      <c r="N137" s="229">
        <f t="shared" si="42"/>
        <v>45830</v>
      </c>
      <c r="O137" s="230">
        <v>3</v>
      </c>
      <c r="P137" s="229">
        <f t="shared" si="43"/>
        <v>45833</v>
      </c>
      <c r="Q137" s="211">
        <f t="shared" si="44"/>
        <v>115</v>
      </c>
      <c r="R137" s="210">
        <v>45833</v>
      </c>
      <c r="S137" s="210">
        <f t="shared" si="45"/>
        <v>-160</v>
      </c>
      <c r="T137" s="210">
        <f t="shared" si="46"/>
        <v>-137</v>
      </c>
      <c r="U137" s="210">
        <f t="shared" si="47"/>
        <v>-27</v>
      </c>
      <c r="V137" s="221">
        <f t="shared" si="48"/>
        <v>-20</v>
      </c>
      <c r="W137" s="209"/>
      <c r="X137" s="209"/>
      <c r="Y137" s="227"/>
      <c r="Z137" s="216">
        <v>110</v>
      </c>
      <c r="AA137" s="217"/>
      <c r="AB137" s="218"/>
      <c r="AC137" s="208"/>
      <c r="AD137" s="208"/>
      <c r="AE137" s="208"/>
      <c r="AF137" s="208"/>
    </row>
    <row r="138" spans="1:32" x14ac:dyDescent="0.3">
      <c r="A138" s="207">
        <v>7.03</v>
      </c>
      <c r="B138" s="208" t="s">
        <v>944</v>
      </c>
      <c r="C138" s="209" t="s">
        <v>959</v>
      </c>
      <c r="D138" s="229">
        <f t="shared" si="37"/>
        <v>45718</v>
      </c>
      <c r="E138" s="230">
        <v>10</v>
      </c>
      <c r="F138" s="229">
        <f t="shared" si="38"/>
        <v>45728</v>
      </c>
      <c r="G138" s="230">
        <v>21</v>
      </c>
      <c r="H138" s="229">
        <f t="shared" si="39"/>
        <v>45749</v>
      </c>
      <c r="I138" s="230">
        <v>5</v>
      </c>
      <c r="J138" s="229">
        <f t="shared" si="40"/>
        <v>45754</v>
      </c>
      <c r="K138" s="230">
        <v>45</v>
      </c>
      <c r="L138" s="229">
        <f t="shared" si="41"/>
        <v>45799</v>
      </c>
      <c r="M138" s="230">
        <v>31</v>
      </c>
      <c r="N138" s="229">
        <f t="shared" si="42"/>
        <v>45830</v>
      </c>
      <c r="O138" s="230">
        <v>3</v>
      </c>
      <c r="P138" s="229">
        <f t="shared" si="43"/>
        <v>45833</v>
      </c>
      <c r="Q138" s="211">
        <f t="shared" si="44"/>
        <v>115</v>
      </c>
      <c r="R138" s="210">
        <v>45833</v>
      </c>
      <c r="S138" s="210">
        <f t="shared" si="45"/>
        <v>-160</v>
      </c>
      <c r="T138" s="210">
        <f t="shared" si="46"/>
        <v>-137</v>
      </c>
      <c r="U138" s="210">
        <f t="shared" si="47"/>
        <v>-27</v>
      </c>
      <c r="V138" s="221">
        <f t="shared" si="48"/>
        <v>-20</v>
      </c>
      <c r="W138" s="209"/>
      <c r="X138" s="209"/>
      <c r="Y138" s="227"/>
      <c r="Z138" s="216">
        <v>110</v>
      </c>
      <c r="AA138" s="217"/>
      <c r="AB138" s="218"/>
      <c r="AC138" s="208"/>
      <c r="AD138" s="208"/>
      <c r="AE138" s="208"/>
      <c r="AF138" s="208"/>
    </row>
    <row r="139" spans="1:32" x14ac:dyDescent="0.3">
      <c r="A139" s="207">
        <v>7.04</v>
      </c>
      <c r="B139" s="208" t="s">
        <v>960</v>
      </c>
      <c r="C139" s="209" t="s">
        <v>961</v>
      </c>
      <c r="D139" s="229">
        <f t="shared" si="37"/>
        <v>45718</v>
      </c>
      <c r="E139" s="230">
        <v>10</v>
      </c>
      <c r="F139" s="229">
        <f t="shared" si="38"/>
        <v>45728</v>
      </c>
      <c r="G139" s="230">
        <v>21</v>
      </c>
      <c r="H139" s="229">
        <f t="shared" si="39"/>
        <v>45749</v>
      </c>
      <c r="I139" s="230">
        <v>5</v>
      </c>
      <c r="J139" s="229">
        <f t="shared" si="40"/>
        <v>45754</v>
      </c>
      <c r="K139" s="230">
        <v>45</v>
      </c>
      <c r="L139" s="229">
        <f t="shared" si="41"/>
        <v>45799</v>
      </c>
      <c r="M139" s="230">
        <v>31</v>
      </c>
      <c r="N139" s="229">
        <f t="shared" si="42"/>
        <v>45830</v>
      </c>
      <c r="O139" s="230">
        <v>3</v>
      </c>
      <c r="P139" s="229">
        <f t="shared" si="43"/>
        <v>45833</v>
      </c>
      <c r="Q139" s="211">
        <f t="shared" si="44"/>
        <v>115</v>
      </c>
      <c r="R139" s="210">
        <v>45833</v>
      </c>
      <c r="S139" s="210">
        <f t="shared" si="45"/>
        <v>-160</v>
      </c>
      <c r="T139" s="210">
        <f t="shared" si="46"/>
        <v>-137</v>
      </c>
      <c r="U139" s="210">
        <f t="shared" si="47"/>
        <v>-27</v>
      </c>
      <c r="V139" s="221">
        <f t="shared" si="48"/>
        <v>-20</v>
      </c>
      <c r="W139" s="209"/>
      <c r="X139" s="209"/>
      <c r="Y139" s="227"/>
      <c r="Z139" s="216">
        <v>110</v>
      </c>
      <c r="AA139" s="217"/>
      <c r="AB139" s="218"/>
      <c r="AC139" s="208"/>
      <c r="AD139" s="208"/>
      <c r="AE139" s="208"/>
      <c r="AF139" s="208"/>
    </row>
    <row r="140" spans="1:32" x14ac:dyDescent="0.3">
      <c r="A140" s="207">
        <v>7.04</v>
      </c>
      <c r="B140" s="208" t="s">
        <v>960</v>
      </c>
      <c r="C140" s="209" t="s">
        <v>962</v>
      </c>
      <c r="D140" s="229">
        <f t="shared" ref="D140:D171" si="49">R140-(E140+G140+I140+K140+M140+O140)</f>
        <v>45718</v>
      </c>
      <c r="E140" s="230">
        <v>10</v>
      </c>
      <c r="F140" s="229">
        <f t="shared" ref="F140:F171" si="50">D140+E140</f>
        <v>45728</v>
      </c>
      <c r="G140" s="230">
        <v>21</v>
      </c>
      <c r="H140" s="229">
        <f t="shared" ref="H140:H171" si="51">F140+G140</f>
        <v>45749</v>
      </c>
      <c r="I140" s="230">
        <v>5</v>
      </c>
      <c r="J140" s="229">
        <f t="shared" ref="J140:J171" si="52">H140+I140</f>
        <v>45754</v>
      </c>
      <c r="K140" s="230">
        <v>45</v>
      </c>
      <c r="L140" s="229">
        <f t="shared" ref="L140:L171" si="53">J140+K140</f>
        <v>45799</v>
      </c>
      <c r="M140" s="230">
        <v>31</v>
      </c>
      <c r="N140" s="229">
        <f t="shared" ref="N140:N171" si="54">L140+M140</f>
        <v>45830</v>
      </c>
      <c r="O140" s="230">
        <v>3</v>
      </c>
      <c r="P140" s="229">
        <f t="shared" ref="P140:P171" si="55">N140+O140</f>
        <v>45833</v>
      </c>
      <c r="Q140" s="211">
        <f t="shared" ref="Q140:Q171" si="56">O140+M140+K140+I140+G140+E140</f>
        <v>115</v>
      </c>
      <c r="R140" s="210">
        <v>45833</v>
      </c>
      <c r="S140" s="210">
        <f t="shared" ref="S140:S171" si="57">+T140-23</f>
        <v>-160</v>
      </c>
      <c r="T140" s="210">
        <f t="shared" ref="T140:T171" si="58">+U140-Z140</f>
        <v>-137</v>
      </c>
      <c r="U140" s="210">
        <f t="shared" ref="U140:U171" si="59">+V140-7</f>
        <v>-27</v>
      </c>
      <c r="V140" s="221">
        <f t="shared" si="48"/>
        <v>-20</v>
      </c>
      <c r="W140" s="209"/>
      <c r="X140" s="209"/>
      <c r="Y140" s="227"/>
      <c r="Z140" s="216">
        <v>110</v>
      </c>
      <c r="AA140" s="217"/>
      <c r="AB140" s="218"/>
      <c r="AC140" s="208"/>
      <c r="AD140" s="208"/>
      <c r="AE140" s="208"/>
      <c r="AF140" s="208"/>
    </row>
    <row r="141" spans="1:32" x14ac:dyDescent="0.3">
      <c r="A141" s="207">
        <v>7.04</v>
      </c>
      <c r="B141" s="208" t="s">
        <v>960</v>
      </c>
      <c r="C141" s="209" t="s">
        <v>963</v>
      </c>
      <c r="D141" s="229">
        <f t="shared" si="49"/>
        <v>45718</v>
      </c>
      <c r="E141" s="230">
        <v>10</v>
      </c>
      <c r="F141" s="229">
        <f t="shared" si="50"/>
        <v>45728</v>
      </c>
      <c r="G141" s="230">
        <v>21</v>
      </c>
      <c r="H141" s="229">
        <f t="shared" si="51"/>
        <v>45749</v>
      </c>
      <c r="I141" s="230">
        <v>5</v>
      </c>
      <c r="J141" s="229">
        <f t="shared" si="52"/>
        <v>45754</v>
      </c>
      <c r="K141" s="230">
        <v>45</v>
      </c>
      <c r="L141" s="229">
        <f t="shared" si="53"/>
        <v>45799</v>
      </c>
      <c r="M141" s="230">
        <v>31</v>
      </c>
      <c r="N141" s="229">
        <f t="shared" si="54"/>
        <v>45830</v>
      </c>
      <c r="O141" s="230">
        <v>3</v>
      </c>
      <c r="P141" s="229">
        <f t="shared" si="55"/>
        <v>45833</v>
      </c>
      <c r="Q141" s="211">
        <f t="shared" si="56"/>
        <v>115</v>
      </c>
      <c r="R141" s="210">
        <v>45833</v>
      </c>
      <c r="S141" s="210">
        <f t="shared" si="57"/>
        <v>-160</v>
      </c>
      <c r="T141" s="210">
        <f t="shared" si="58"/>
        <v>-137</v>
      </c>
      <c r="U141" s="210">
        <f t="shared" si="59"/>
        <v>-27</v>
      </c>
      <c r="V141" s="221">
        <f t="shared" si="48"/>
        <v>-20</v>
      </c>
      <c r="W141" s="209"/>
      <c r="X141" s="209"/>
      <c r="Y141" s="227"/>
      <c r="Z141" s="216">
        <v>110</v>
      </c>
      <c r="AA141" s="217"/>
      <c r="AB141" s="218"/>
      <c r="AC141" s="208"/>
      <c r="AD141" s="208"/>
      <c r="AE141" s="208"/>
      <c r="AF141" s="208"/>
    </row>
    <row r="142" spans="1:32" x14ac:dyDescent="0.3">
      <c r="A142" s="207">
        <v>7.04</v>
      </c>
      <c r="B142" s="208" t="s">
        <v>960</v>
      </c>
      <c r="C142" s="209" t="s">
        <v>964</v>
      </c>
      <c r="D142" s="229">
        <f t="shared" si="49"/>
        <v>45718</v>
      </c>
      <c r="E142" s="230">
        <v>10</v>
      </c>
      <c r="F142" s="229">
        <f t="shared" si="50"/>
        <v>45728</v>
      </c>
      <c r="G142" s="230">
        <v>21</v>
      </c>
      <c r="H142" s="229">
        <f t="shared" si="51"/>
        <v>45749</v>
      </c>
      <c r="I142" s="230">
        <v>5</v>
      </c>
      <c r="J142" s="229">
        <f t="shared" si="52"/>
        <v>45754</v>
      </c>
      <c r="K142" s="230">
        <v>45</v>
      </c>
      <c r="L142" s="229">
        <f t="shared" si="53"/>
        <v>45799</v>
      </c>
      <c r="M142" s="230">
        <v>31</v>
      </c>
      <c r="N142" s="229">
        <f t="shared" si="54"/>
        <v>45830</v>
      </c>
      <c r="O142" s="230">
        <v>3</v>
      </c>
      <c r="P142" s="229">
        <f t="shared" si="55"/>
        <v>45833</v>
      </c>
      <c r="Q142" s="211">
        <f t="shared" si="56"/>
        <v>115</v>
      </c>
      <c r="R142" s="210">
        <v>45833</v>
      </c>
      <c r="S142" s="210">
        <f t="shared" si="57"/>
        <v>-160</v>
      </c>
      <c r="T142" s="210">
        <f t="shared" si="58"/>
        <v>-137</v>
      </c>
      <c r="U142" s="210">
        <f t="shared" si="59"/>
        <v>-27</v>
      </c>
      <c r="V142" s="221">
        <f t="shared" si="48"/>
        <v>-20</v>
      </c>
      <c r="W142" s="209"/>
      <c r="X142" s="209"/>
      <c r="Y142" s="227"/>
      <c r="Z142" s="216">
        <v>110</v>
      </c>
      <c r="AA142" s="217"/>
      <c r="AB142" s="218"/>
      <c r="AC142" s="208"/>
      <c r="AD142" s="208"/>
      <c r="AE142" s="208"/>
      <c r="AF142" s="208"/>
    </row>
    <row r="143" spans="1:32" x14ac:dyDescent="0.3">
      <c r="A143" s="207">
        <v>7.04</v>
      </c>
      <c r="B143" s="208" t="s">
        <v>960</v>
      </c>
      <c r="C143" s="209" t="s">
        <v>965</v>
      </c>
      <c r="D143" s="229">
        <f t="shared" si="49"/>
        <v>45718</v>
      </c>
      <c r="E143" s="230">
        <v>10</v>
      </c>
      <c r="F143" s="229">
        <f t="shared" si="50"/>
        <v>45728</v>
      </c>
      <c r="G143" s="230">
        <v>21</v>
      </c>
      <c r="H143" s="229">
        <f t="shared" si="51"/>
        <v>45749</v>
      </c>
      <c r="I143" s="230">
        <v>5</v>
      </c>
      <c r="J143" s="229">
        <f t="shared" si="52"/>
        <v>45754</v>
      </c>
      <c r="K143" s="230">
        <v>45</v>
      </c>
      <c r="L143" s="229">
        <f t="shared" si="53"/>
        <v>45799</v>
      </c>
      <c r="M143" s="230">
        <v>31</v>
      </c>
      <c r="N143" s="229">
        <f t="shared" si="54"/>
        <v>45830</v>
      </c>
      <c r="O143" s="230">
        <v>3</v>
      </c>
      <c r="P143" s="229">
        <f t="shared" si="55"/>
        <v>45833</v>
      </c>
      <c r="Q143" s="211">
        <f t="shared" si="56"/>
        <v>115</v>
      </c>
      <c r="R143" s="210">
        <v>45833</v>
      </c>
      <c r="S143" s="210">
        <f t="shared" si="57"/>
        <v>-160</v>
      </c>
      <c r="T143" s="210">
        <f t="shared" si="58"/>
        <v>-137</v>
      </c>
      <c r="U143" s="210">
        <f t="shared" si="59"/>
        <v>-27</v>
      </c>
      <c r="V143" s="221">
        <f t="shared" si="48"/>
        <v>-20</v>
      </c>
      <c r="W143" s="209"/>
      <c r="X143" s="209"/>
      <c r="Y143" s="227"/>
      <c r="Z143" s="216">
        <v>110</v>
      </c>
      <c r="AA143" s="217"/>
      <c r="AB143" s="218"/>
      <c r="AC143" s="208"/>
      <c r="AD143" s="208"/>
      <c r="AE143" s="208"/>
      <c r="AF143" s="208"/>
    </row>
    <row r="144" spans="1:32" x14ac:dyDescent="0.3">
      <c r="A144" s="207">
        <v>7.04</v>
      </c>
      <c r="B144" s="208" t="s">
        <v>960</v>
      </c>
      <c r="C144" s="209" t="s">
        <v>966</v>
      </c>
      <c r="D144" s="229">
        <f t="shared" si="49"/>
        <v>45718</v>
      </c>
      <c r="E144" s="230">
        <v>10</v>
      </c>
      <c r="F144" s="229">
        <f t="shared" si="50"/>
        <v>45728</v>
      </c>
      <c r="G144" s="230">
        <v>21</v>
      </c>
      <c r="H144" s="229">
        <f t="shared" si="51"/>
        <v>45749</v>
      </c>
      <c r="I144" s="230">
        <v>5</v>
      </c>
      <c r="J144" s="229">
        <f t="shared" si="52"/>
        <v>45754</v>
      </c>
      <c r="K144" s="230">
        <v>45</v>
      </c>
      <c r="L144" s="229">
        <f t="shared" si="53"/>
        <v>45799</v>
      </c>
      <c r="M144" s="230">
        <v>31</v>
      </c>
      <c r="N144" s="229">
        <f t="shared" si="54"/>
        <v>45830</v>
      </c>
      <c r="O144" s="230">
        <v>3</v>
      </c>
      <c r="P144" s="229">
        <f t="shared" si="55"/>
        <v>45833</v>
      </c>
      <c r="Q144" s="211">
        <f t="shared" si="56"/>
        <v>115</v>
      </c>
      <c r="R144" s="210">
        <v>45833</v>
      </c>
      <c r="S144" s="210">
        <f t="shared" si="57"/>
        <v>-160</v>
      </c>
      <c r="T144" s="210">
        <f t="shared" si="58"/>
        <v>-137</v>
      </c>
      <c r="U144" s="210">
        <f t="shared" si="59"/>
        <v>-27</v>
      </c>
      <c r="V144" s="221">
        <f t="shared" si="48"/>
        <v>-20</v>
      </c>
      <c r="W144" s="209"/>
      <c r="X144" s="209"/>
      <c r="Y144" s="227"/>
      <c r="Z144" s="216">
        <v>110</v>
      </c>
      <c r="AA144" s="217"/>
      <c r="AB144" s="218"/>
      <c r="AC144" s="208"/>
      <c r="AD144" s="208"/>
      <c r="AE144" s="208"/>
      <c r="AF144" s="208"/>
    </row>
    <row r="145" spans="1:32" x14ac:dyDescent="0.3">
      <c r="A145" s="207">
        <v>7.04</v>
      </c>
      <c r="B145" s="208" t="s">
        <v>960</v>
      </c>
      <c r="C145" s="209" t="s">
        <v>967</v>
      </c>
      <c r="D145" s="229">
        <f t="shared" si="49"/>
        <v>45718</v>
      </c>
      <c r="E145" s="230">
        <v>10</v>
      </c>
      <c r="F145" s="229">
        <f t="shared" si="50"/>
        <v>45728</v>
      </c>
      <c r="G145" s="230">
        <v>21</v>
      </c>
      <c r="H145" s="229">
        <f t="shared" si="51"/>
        <v>45749</v>
      </c>
      <c r="I145" s="230">
        <v>5</v>
      </c>
      <c r="J145" s="229">
        <f t="shared" si="52"/>
        <v>45754</v>
      </c>
      <c r="K145" s="230">
        <v>45</v>
      </c>
      <c r="L145" s="229">
        <f t="shared" si="53"/>
        <v>45799</v>
      </c>
      <c r="M145" s="230">
        <v>31</v>
      </c>
      <c r="N145" s="229">
        <f t="shared" si="54"/>
        <v>45830</v>
      </c>
      <c r="O145" s="230">
        <v>3</v>
      </c>
      <c r="P145" s="229">
        <f t="shared" si="55"/>
        <v>45833</v>
      </c>
      <c r="Q145" s="211">
        <f t="shared" si="56"/>
        <v>115</v>
      </c>
      <c r="R145" s="210">
        <v>45833</v>
      </c>
      <c r="S145" s="210">
        <f t="shared" si="57"/>
        <v>-160</v>
      </c>
      <c r="T145" s="210">
        <f t="shared" si="58"/>
        <v>-137</v>
      </c>
      <c r="U145" s="210">
        <f t="shared" si="59"/>
        <v>-27</v>
      </c>
      <c r="V145" s="221">
        <f t="shared" si="48"/>
        <v>-20</v>
      </c>
      <c r="W145" s="209"/>
      <c r="X145" s="209"/>
      <c r="Y145" s="227"/>
      <c r="Z145" s="216">
        <v>110</v>
      </c>
      <c r="AA145" s="217"/>
      <c r="AB145" s="218"/>
      <c r="AC145" s="208"/>
      <c r="AD145" s="208"/>
      <c r="AE145" s="208"/>
      <c r="AF145" s="208"/>
    </row>
    <row r="146" spans="1:32" x14ac:dyDescent="0.3">
      <c r="A146" s="207">
        <v>7.04</v>
      </c>
      <c r="B146" s="208" t="s">
        <v>960</v>
      </c>
      <c r="C146" s="209" t="s">
        <v>968</v>
      </c>
      <c r="D146" s="229">
        <f t="shared" si="49"/>
        <v>45718</v>
      </c>
      <c r="E146" s="230">
        <v>10</v>
      </c>
      <c r="F146" s="229">
        <f t="shared" si="50"/>
        <v>45728</v>
      </c>
      <c r="G146" s="230">
        <v>21</v>
      </c>
      <c r="H146" s="229">
        <f t="shared" si="51"/>
        <v>45749</v>
      </c>
      <c r="I146" s="230">
        <v>5</v>
      </c>
      <c r="J146" s="229">
        <f t="shared" si="52"/>
        <v>45754</v>
      </c>
      <c r="K146" s="230">
        <v>45</v>
      </c>
      <c r="L146" s="229">
        <f t="shared" si="53"/>
        <v>45799</v>
      </c>
      <c r="M146" s="230">
        <v>31</v>
      </c>
      <c r="N146" s="229">
        <f t="shared" si="54"/>
        <v>45830</v>
      </c>
      <c r="O146" s="230">
        <v>3</v>
      </c>
      <c r="P146" s="229">
        <f t="shared" si="55"/>
        <v>45833</v>
      </c>
      <c r="Q146" s="211">
        <f t="shared" si="56"/>
        <v>115</v>
      </c>
      <c r="R146" s="210">
        <v>45833</v>
      </c>
      <c r="S146" s="210">
        <f t="shared" si="57"/>
        <v>-160</v>
      </c>
      <c r="T146" s="210">
        <f t="shared" si="58"/>
        <v>-137</v>
      </c>
      <c r="U146" s="210">
        <f t="shared" si="59"/>
        <v>-27</v>
      </c>
      <c r="V146" s="221">
        <f t="shared" si="48"/>
        <v>-20</v>
      </c>
      <c r="W146" s="209"/>
      <c r="X146" s="209"/>
      <c r="Y146" s="227"/>
      <c r="Z146" s="216">
        <v>110</v>
      </c>
      <c r="AA146" s="217"/>
      <c r="AB146" s="218"/>
      <c r="AC146" s="208"/>
      <c r="AD146" s="208"/>
      <c r="AE146" s="208"/>
      <c r="AF146" s="208"/>
    </row>
    <row r="147" spans="1:32" x14ac:dyDescent="0.3">
      <c r="A147" s="207">
        <v>7.04</v>
      </c>
      <c r="B147" s="208" t="s">
        <v>960</v>
      </c>
      <c r="C147" s="209" t="s">
        <v>969</v>
      </c>
      <c r="D147" s="229">
        <f t="shared" si="49"/>
        <v>45718</v>
      </c>
      <c r="E147" s="230">
        <v>10</v>
      </c>
      <c r="F147" s="229">
        <f t="shared" si="50"/>
        <v>45728</v>
      </c>
      <c r="G147" s="230">
        <v>21</v>
      </c>
      <c r="H147" s="229">
        <f t="shared" si="51"/>
        <v>45749</v>
      </c>
      <c r="I147" s="230">
        <v>5</v>
      </c>
      <c r="J147" s="229">
        <f t="shared" si="52"/>
        <v>45754</v>
      </c>
      <c r="K147" s="230">
        <v>45</v>
      </c>
      <c r="L147" s="229">
        <f t="shared" si="53"/>
        <v>45799</v>
      </c>
      <c r="M147" s="230">
        <v>31</v>
      </c>
      <c r="N147" s="229">
        <f t="shared" si="54"/>
        <v>45830</v>
      </c>
      <c r="O147" s="230">
        <v>3</v>
      </c>
      <c r="P147" s="229">
        <f t="shared" si="55"/>
        <v>45833</v>
      </c>
      <c r="Q147" s="211">
        <f t="shared" si="56"/>
        <v>115</v>
      </c>
      <c r="R147" s="210">
        <v>45833</v>
      </c>
      <c r="S147" s="210">
        <f t="shared" si="57"/>
        <v>-110</v>
      </c>
      <c r="T147" s="210">
        <f t="shared" si="58"/>
        <v>-87</v>
      </c>
      <c r="U147" s="210">
        <f t="shared" si="59"/>
        <v>-27</v>
      </c>
      <c r="V147" s="221">
        <f t="shared" si="48"/>
        <v>-20</v>
      </c>
      <c r="W147" s="209"/>
      <c r="X147" s="209"/>
      <c r="Y147" s="227"/>
      <c r="Z147" s="216">
        <v>60</v>
      </c>
      <c r="AA147" s="217"/>
      <c r="AB147" s="218"/>
      <c r="AC147" s="208"/>
      <c r="AD147" s="208"/>
      <c r="AE147" s="208"/>
      <c r="AF147" s="208"/>
    </row>
    <row r="148" spans="1:32" x14ac:dyDescent="0.3">
      <c r="A148" s="207">
        <v>7.04</v>
      </c>
      <c r="B148" s="208" t="s">
        <v>960</v>
      </c>
      <c r="C148" s="209" t="s">
        <v>970</v>
      </c>
      <c r="D148" s="229">
        <f t="shared" si="49"/>
        <v>45718</v>
      </c>
      <c r="E148" s="230">
        <v>10</v>
      </c>
      <c r="F148" s="229">
        <f t="shared" si="50"/>
        <v>45728</v>
      </c>
      <c r="G148" s="230">
        <v>21</v>
      </c>
      <c r="H148" s="229">
        <f t="shared" si="51"/>
        <v>45749</v>
      </c>
      <c r="I148" s="230">
        <v>5</v>
      </c>
      <c r="J148" s="229">
        <f t="shared" si="52"/>
        <v>45754</v>
      </c>
      <c r="K148" s="230">
        <v>45</v>
      </c>
      <c r="L148" s="229">
        <f t="shared" si="53"/>
        <v>45799</v>
      </c>
      <c r="M148" s="230">
        <v>31</v>
      </c>
      <c r="N148" s="229">
        <f t="shared" si="54"/>
        <v>45830</v>
      </c>
      <c r="O148" s="230">
        <v>3</v>
      </c>
      <c r="P148" s="229">
        <f t="shared" si="55"/>
        <v>45833</v>
      </c>
      <c r="Q148" s="211">
        <f t="shared" si="56"/>
        <v>115</v>
      </c>
      <c r="R148" s="210">
        <v>45833</v>
      </c>
      <c r="S148" s="210">
        <f t="shared" si="57"/>
        <v>-110</v>
      </c>
      <c r="T148" s="210">
        <f t="shared" si="58"/>
        <v>-87</v>
      </c>
      <c r="U148" s="210">
        <f t="shared" si="59"/>
        <v>-27</v>
      </c>
      <c r="V148" s="221">
        <f t="shared" si="48"/>
        <v>-20</v>
      </c>
      <c r="W148" s="209"/>
      <c r="X148" s="209"/>
      <c r="Y148" s="227"/>
      <c r="Z148" s="216">
        <v>60</v>
      </c>
      <c r="AA148" s="217"/>
      <c r="AB148" s="218"/>
      <c r="AC148" s="208"/>
      <c r="AD148" s="208"/>
      <c r="AE148" s="208"/>
      <c r="AF148" s="208"/>
    </row>
    <row r="149" spans="1:32" x14ac:dyDescent="0.3">
      <c r="A149" s="207">
        <v>7.04</v>
      </c>
      <c r="B149" s="208" t="s">
        <v>960</v>
      </c>
      <c r="C149" s="209" t="s">
        <v>971</v>
      </c>
      <c r="D149" s="229">
        <f t="shared" si="49"/>
        <v>45718</v>
      </c>
      <c r="E149" s="230">
        <v>10</v>
      </c>
      <c r="F149" s="229">
        <f t="shared" si="50"/>
        <v>45728</v>
      </c>
      <c r="G149" s="230">
        <v>21</v>
      </c>
      <c r="H149" s="229">
        <f t="shared" si="51"/>
        <v>45749</v>
      </c>
      <c r="I149" s="230">
        <v>5</v>
      </c>
      <c r="J149" s="229">
        <f t="shared" si="52"/>
        <v>45754</v>
      </c>
      <c r="K149" s="230">
        <v>45</v>
      </c>
      <c r="L149" s="229">
        <f t="shared" si="53"/>
        <v>45799</v>
      </c>
      <c r="M149" s="230">
        <v>31</v>
      </c>
      <c r="N149" s="229">
        <f t="shared" si="54"/>
        <v>45830</v>
      </c>
      <c r="O149" s="230">
        <v>3</v>
      </c>
      <c r="P149" s="229">
        <f t="shared" si="55"/>
        <v>45833</v>
      </c>
      <c r="Q149" s="211">
        <f t="shared" si="56"/>
        <v>115</v>
      </c>
      <c r="R149" s="210">
        <v>45833</v>
      </c>
      <c r="S149" s="210">
        <f t="shared" si="57"/>
        <v>-140</v>
      </c>
      <c r="T149" s="210">
        <f t="shared" si="58"/>
        <v>-117</v>
      </c>
      <c r="U149" s="210">
        <f t="shared" si="59"/>
        <v>-27</v>
      </c>
      <c r="V149" s="221">
        <f t="shared" si="48"/>
        <v>-20</v>
      </c>
      <c r="W149" s="209"/>
      <c r="X149" s="209"/>
      <c r="Y149" s="227"/>
      <c r="Z149" s="216">
        <v>90</v>
      </c>
      <c r="AA149" s="217"/>
      <c r="AB149" s="218"/>
      <c r="AC149" s="208"/>
      <c r="AD149" s="208"/>
      <c r="AE149" s="208"/>
      <c r="AF149" s="208"/>
    </row>
    <row r="150" spans="1:32" x14ac:dyDescent="0.3">
      <c r="A150" s="207">
        <v>7.04</v>
      </c>
      <c r="B150" s="208" t="s">
        <v>960</v>
      </c>
      <c r="C150" s="209" t="s">
        <v>972</v>
      </c>
      <c r="D150" s="229">
        <f t="shared" si="49"/>
        <v>45718</v>
      </c>
      <c r="E150" s="230">
        <v>10</v>
      </c>
      <c r="F150" s="229">
        <f t="shared" si="50"/>
        <v>45728</v>
      </c>
      <c r="G150" s="230">
        <v>21</v>
      </c>
      <c r="H150" s="229">
        <f t="shared" si="51"/>
        <v>45749</v>
      </c>
      <c r="I150" s="230">
        <v>5</v>
      </c>
      <c r="J150" s="229">
        <f t="shared" si="52"/>
        <v>45754</v>
      </c>
      <c r="K150" s="230">
        <v>45</v>
      </c>
      <c r="L150" s="229">
        <f t="shared" si="53"/>
        <v>45799</v>
      </c>
      <c r="M150" s="230">
        <v>31</v>
      </c>
      <c r="N150" s="229">
        <f t="shared" si="54"/>
        <v>45830</v>
      </c>
      <c r="O150" s="230">
        <v>3</v>
      </c>
      <c r="P150" s="229">
        <f t="shared" si="55"/>
        <v>45833</v>
      </c>
      <c r="Q150" s="211">
        <f t="shared" si="56"/>
        <v>115</v>
      </c>
      <c r="R150" s="210">
        <v>45833</v>
      </c>
      <c r="S150" s="210">
        <f t="shared" si="57"/>
        <v>-160</v>
      </c>
      <c r="T150" s="210">
        <f t="shared" si="58"/>
        <v>-137</v>
      </c>
      <c r="U150" s="210">
        <f t="shared" si="59"/>
        <v>-27</v>
      </c>
      <c r="V150" s="221">
        <f t="shared" si="48"/>
        <v>-20</v>
      </c>
      <c r="W150" s="209"/>
      <c r="X150" s="209"/>
      <c r="Y150" s="227"/>
      <c r="Z150" s="216">
        <v>110</v>
      </c>
      <c r="AA150" s="217"/>
      <c r="AB150" s="218"/>
      <c r="AC150" s="208"/>
      <c r="AD150" s="208"/>
      <c r="AE150" s="208"/>
      <c r="AF150" s="208"/>
    </row>
    <row r="151" spans="1:32" x14ac:dyDescent="0.3">
      <c r="A151" s="207">
        <v>7.04</v>
      </c>
      <c r="B151" s="208" t="s">
        <v>960</v>
      </c>
      <c r="C151" s="209" t="s">
        <v>973</v>
      </c>
      <c r="D151" s="229">
        <f t="shared" si="49"/>
        <v>45718</v>
      </c>
      <c r="E151" s="230">
        <v>10</v>
      </c>
      <c r="F151" s="229">
        <f t="shared" si="50"/>
        <v>45728</v>
      </c>
      <c r="G151" s="230">
        <v>21</v>
      </c>
      <c r="H151" s="229">
        <f t="shared" si="51"/>
        <v>45749</v>
      </c>
      <c r="I151" s="230">
        <v>5</v>
      </c>
      <c r="J151" s="229">
        <f t="shared" si="52"/>
        <v>45754</v>
      </c>
      <c r="K151" s="230">
        <v>45</v>
      </c>
      <c r="L151" s="229">
        <f t="shared" si="53"/>
        <v>45799</v>
      </c>
      <c r="M151" s="230">
        <v>31</v>
      </c>
      <c r="N151" s="229">
        <f t="shared" si="54"/>
        <v>45830</v>
      </c>
      <c r="O151" s="230">
        <v>3</v>
      </c>
      <c r="P151" s="229">
        <f t="shared" si="55"/>
        <v>45833</v>
      </c>
      <c r="Q151" s="211">
        <f t="shared" si="56"/>
        <v>115</v>
      </c>
      <c r="R151" s="210">
        <v>45833</v>
      </c>
      <c r="S151" s="210">
        <f t="shared" si="57"/>
        <v>-132</v>
      </c>
      <c r="T151" s="210">
        <f t="shared" si="58"/>
        <v>-109</v>
      </c>
      <c r="U151" s="210">
        <f t="shared" si="59"/>
        <v>-37</v>
      </c>
      <c r="V151" s="221">
        <f>+$C$7-30</f>
        <v>-30</v>
      </c>
      <c r="W151" s="209"/>
      <c r="X151" s="209"/>
      <c r="Y151" s="227"/>
      <c r="Z151" s="216">
        <v>72</v>
      </c>
      <c r="AA151" s="217"/>
      <c r="AB151" s="218"/>
      <c r="AC151" s="208"/>
      <c r="AD151" s="208"/>
      <c r="AE151" s="208"/>
      <c r="AF151" s="208"/>
    </row>
    <row r="152" spans="1:32" x14ac:dyDescent="0.3">
      <c r="A152" s="207">
        <v>7.04</v>
      </c>
      <c r="B152" s="208" t="s">
        <v>960</v>
      </c>
      <c r="C152" s="209" t="s">
        <v>974</v>
      </c>
      <c r="D152" s="229">
        <f t="shared" si="49"/>
        <v>45718</v>
      </c>
      <c r="E152" s="230">
        <v>10</v>
      </c>
      <c r="F152" s="229">
        <f t="shared" si="50"/>
        <v>45728</v>
      </c>
      <c r="G152" s="230">
        <v>21</v>
      </c>
      <c r="H152" s="229">
        <f t="shared" si="51"/>
        <v>45749</v>
      </c>
      <c r="I152" s="230">
        <v>5</v>
      </c>
      <c r="J152" s="229">
        <f t="shared" si="52"/>
        <v>45754</v>
      </c>
      <c r="K152" s="230">
        <v>45</v>
      </c>
      <c r="L152" s="229">
        <f t="shared" si="53"/>
        <v>45799</v>
      </c>
      <c r="M152" s="230">
        <v>31</v>
      </c>
      <c r="N152" s="229">
        <f t="shared" si="54"/>
        <v>45830</v>
      </c>
      <c r="O152" s="230">
        <v>3</v>
      </c>
      <c r="P152" s="229">
        <f t="shared" si="55"/>
        <v>45833</v>
      </c>
      <c r="Q152" s="211">
        <f t="shared" si="56"/>
        <v>115</v>
      </c>
      <c r="R152" s="210">
        <v>45833</v>
      </c>
      <c r="S152" s="210">
        <f t="shared" si="57"/>
        <v>-132</v>
      </c>
      <c r="T152" s="210">
        <f t="shared" si="58"/>
        <v>-109</v>
      </c>
      <c r="U152" s="210">
        <f t="shared" si="59"/>
        <v>-37</v>
      </c>
      <c r="V152" s="221">
        <f>+$C$7-30</f>
        <v>-30</v>
      </c>
      <c r="W152" s="209"/>
      <c r="X152" s="209"/>
      <c r="Y152" s="227"/>
      <c r="Z152" s="216">
        <v>72</v>
      </c>
      <c r="AA152" s="217"/>
      <c r="AB152" s="218"/>
      <c r="AC152" s="208"/>
      <c r="AD152" s="208"/>
      <c r="AE152" s="208"/>
      <c r="AF152" s="208"/>
    </row>
    <row r="153" spans="1:32" x14ac:dyDescent="0.3">
      <c r="A153" s="207">
        <v>7.04</v>
      </c>
      <c r="B153" s="208" t="s">
        <v>960</v>
      </c>
      <c r="C153" s="209" t="s">
        <v>975</v>
      </c>
      <c r="D153" s="229">
        <f t="shared" si="49"/>
        <v>45718</v>
      </c>
      <c r="E153" s="230">
        <v>10</v>
      </c>
      <c r="F153" s="229">
        <f t="shared" si="50"/>
        <v>45728</v>
      </c>
      <c r="G153" s="230">
        <v>21</v>
      </c>
      <c r="H153" s="229">
        <f t="shared" si="51"/>
        <v>45749</v>
      </c>
      <c r="I153" s="230">
        <v>5</v>
      </c>
      <c r="J153" s="229">
        <f t="shared" si="52"/>
        <v>45754</v>
      </c>
      <c r="K153" s="230">
        <v>45</v>
      </c>
      <c r="L153" s="229">
        <f t="shared" si="53"/>
        <v>45799</v>
      </c>
      <c r="M153" s="230">
        <v>31</v>
      </c>
      <c r="N153" s="229">
        <f t="shared" si="54"/>
        <v>45830</v>
      </c>
      <c r="O153" s="230">
        <v>3</v>
      </c>
      <c r="P153" s="229">
        <f t="shared" si="55"/>
        <v>45833</v>
      </c>
      <c r="Q153" s="211">
        <f t="shared" si="56"/>
        <v>115</v>
      </c>
      <c r="R153" s="210">
        <v>45833</v>
      </c>
      <c r="S153" s="210">
        <f t="shared" si="57"/>
        <v>-132</v>
      </c>
      <c r="T153" s="210">
        <f t="shared" si="58"/>
        <v>-109</v>
      </c>
      <c r="U153" s="210">
        <f t="shared" si="59"/>
        <v>-37</v>
      </c>
      <c r="V153" s="221">
        <f>+$C$7-30</f>
        <v>-30</v>
      </c>
      <c r="W153" s="209"/>
      <c r="X153" s="209"/>
      <c r="Y153" s="227"/>
      <c r="Z153" s="216">
        <v>72</v>
      </c>
      <c r="AA153" s="217"/>
      <c r="AB153" s="218"/>
      <c r="AC153" s="208"/>
      <c r="AD153" s="208"/>
      <c r="AE153" s="208"/>
      <c r="AF153" s="208"/>
    </row>
    <row r="154" spans="1:32" x14ac:dyDescent="0.3">
      <c r="A154" s="207">
        <v>7.04</v>
      </c>
      <c r="B154" s="208" t="s">
        <v>960</v>
      </c>
      <c r="C154" s="209" t="s">
        <v>976</v>
      </c>
      <c r="D154" s="229">
        <f t="shared" si="49"/>
        <v>45718</v>
      </c>
      <c r="E154" s="230">
        <v>10</v>
      </c>
      <c r="F154" s="229">
        <f t="shared" si="50"/>
        <v>45728</v>
      </c>
      <c r="G154" s="230">
        <v>21</v>
      </c>
      <c r="H154" s="229">
        <f t="shared" si="51"/>
        <v>45749</v>
      </c>
      <c r="I154" s="230">
        <v>5</v>
      </c>
      <c r="J154" s="229">
        <f t="shared" si="52"/>
        <v>45754</v>
      </c>
      <c r="K154" s="230">
        <v>45</v>
      </c>
      <c r="L154" s="229">
        <f t="shared" si="53"/>
        <v>45799</v>
      </c>
      <c r="M154" s="230">
        <v>31</v>
      </c>
      <c r="N154" s="229">
        <f t="shared" si="54"/>
        <v>45830</v>
      </c>
      <c r="O154" s="230">
        <v>3</v>
      </c>
      <c r="P154" s="229">
        <f t="shared" si="55"/>
        <v>45833</v>
      </c>
      <c r="Q154" s="211">
        <f t="shared" si="56"/>
        <v>115</v>
      </c>
      <c r="R154" s="210">
        <v>45833</v>
      </c>
      <c r="S154" s="210">
        <f t="shared" si="57"/>
        <v>-100</v>
      </c>
      <c r="T154" s="210">
        <f t="shared" si="58"/>
        <v>-77</v>
      </c>
      <c r="U154" s="210">
        <f t="shared" si="59"/>
        <v>-17</v>
      </c>
      <c r="V154" s="221">
        <f t="shared" ref="V154:V181" si="60">+$C$7-10</f>
        <v>-10</v>
      </c>
      <c r="W154" s="209"/>
      <c r="X154" s="209"/>
      <c r="Y154" s="227"/>
      <c r="Z154" s="216">
        <v>60</v>
      </c>
      <c r="AA154" s="217"/>
      <c r="AB154" s="218"/>
      <c r="AC154" s="208"/>
      <c r="AD154" s="208"/>
      <c r="AE154" s="208"/>
      <c r="AF154" s="208"/>
    </row>
    <row r="155" spans="1:32" x14ac:dyDescent="0.3">
      <c r="A155" s="207">
        <v>7.04</v>
      </c>
      <c r="B155" s="208" t="s">
        <v>960</v>
      </c>
      <c r="C155" s="209" t="s">
        <v>977</v>
      </c>
      <c r="D155" s="229">
        <f t="shared" si="49"/>
        <v>45718</v>
      </c>
      <c r="E155" s="230">
        <v>10</v>
      </c>
      <c r="F155" s="229">
        <f t="shared" si="50"/>
        <v>45728</v>
      </c>
      <c r="G155" s="230">
        <v>21</v>
      </c>
      <c r="H155" s="229">
        <f t="shared" si="51"/>
        <v>45749</v>
      </c>
      <c r="I155" s="230">
        <v>5</v>
      </c>
      <c r="J155" s="229">
        <f t="shared" si="52"/>
        <v>45754</v>
      </c>
      <c r="K155" s="230">
        <v>45</v>
      </c>
      <c r="L155" s="229">
        <f t="shared" si="53"/>
        <v>45799</v>
      </c>
      <c r="M155" s="230">
        <v>31</v>
      </c>
      <c r="N155" s="229">
        <f t="shared" si="54"/>
        <v>45830</v>
      </c>
      <c r="O155" s="230">
        <v>3</v>
      </c>
      <c r="P155" s="229">
        <f t="shared" si="55"/>
        <v>45833</v>
      </c>
      <c r="Q155" s="211">
        <f t="shared" si="56"/>
        <v>115</v>
      </c>
      <c r="R155" s="210">
        <v>45833</v>
      </c>
      <c r="S155" s="210">
        <f t="shared" si="57"/>
        <v>-100</v>
      </c>
      <c r="T155" s="210">
        <f t="shared" si="58"/>
        <v>-77</v>
      </c>
      <c r="U155" s="210">
        <f t="shared" si="59"/>
        <v>-17</v>
      </c>
      <c r="V155" s="221">
        <f t="shared" si="60"/>
        <v>-10</v>
      </c>
      <c r="W155" s="209"/>
      <c r="X155" s="209"/>
      <c r="Y155" s="227"/>
      <c r="Z155" s="216">
        <v>60</v>
      </c>
      <c r="AA155" s="217"/>
      <c r="AB155" s="218"/>
      <c r="AC155" s="208"/>
      <c r="AD155" s="208"/>
      <c r="AE155" s="208"/>
      <c r="AF155" s="208"/>
    </row>
    <row r="156" spans="1:32" x14ac:dyDescent="0.3">
      <c r="A156" s="207">
        <v>7.04</v>
      </c>
      <c r="B156" s="208" t="s">
        <v>960</v>
      </c>
      <c r="C156" s="209" t="s">
        <v>978</v>
      </c>
      <c r="D156" s="229">
        <f t="shared" si="49"/>
        <v>45718</v>
      </c>
      <c r="E156" s="230">
        <v>10</v>
      </c>
      <c r="F156" s="229">
        <f t="shared" si="50"/>
        <v>45728</v>
      </c>
      <c r="G156" s="230">
        <v>21</v>
      </c>
      <c r="H156" s="229">
        <f t="shared" si="51"/>
        <v>45749</v>
      </c>
      <c r="I156" s="230">
        <v>5</v>
      </c>
      <c r="J156" s="229">
        <f t="shared" si="52"/>
        <v>45754</v>
      </c>
      <c r="K156" s="230">
        <v>45</v>
      </c>
      <c r="L156" s="229">
        <f t="shared" si="53"/>
        <v>45799</v>
      </c>
      <c r="M156" s="230">
        <v>31</v>
      </c>
      <c r="N156" s="229">
        <f t="shared" si="54"/>
        <v>45830</v>
      </c>
      <c r="O156" s="230">
        <v>3</v>
      </c>
      <c r="P156" s="229">
        <f t="shared" si="55"/>
        <v>45833</v>
      </c>
      <c r="Q156" s="211">
        <f t="shared" si="56"/>
        <v>115</v>
      </c>
      <c r="R156" s="210">
        <v>45833</v>
      </c>
      <c r="S156" s="210">
        <f t="shared" si="57"/>
        <v>-70</v>
      </c>
      <c r="T156" s="210">
        <f t="shared" si="58"/>
        <v>-47</v>
      </c>
      <c r="U156" s="210">
        <f t="shared" si="59"/>
        <v>-17</v>
      </c>
      <c r="V156" s="221">
        <f t="shared" si="60"/>
        <v>-10</v>
      </c>
      <c r="W156" s="209"/>
      <c r="X156" s="209"/>
      <c r="Y156" s="227"/>
      <c r="Z156" s="216">
        <v>30</v>
      </c>
      <c r="AA156" s="217"/>
      <c r="AB156" s="218"/>
      <c r="AC156" s="208"/>
      <c r="AD156" s="208"/>
      <c r="AE156" s="208"/>
      <c r="AF156" s="208"/>
    </row>
    <row r="157" spans="1:32" x14ac:dyDescent="0.3">
      <c r="A157" s="207">
        <v>7.04</v>
      </c>
      <c r="B157" s="208" t="s">
        <v>960</v>
      </c>
      <c r="C157" s="209" t="s">
        <v>979</v>
      </c>
      <c r="D157" s="229">
        <f t="shared" si="49"/>
        <v>45718</v>
      </c>
      <c r="E157" s="230">
        <v>10</v>
      </c>
      <c r="F157" s="229">
        <f t="shared" si="50"/>
        <v>45728</v>
      </c>
      <c r="G157" s="230">
        <v>21</v>
      </c>
      <c r="H157" s="229">
        <f t="shared" si="51"/>
        <v>45749</v>
      </c>
      <c r="I157" s="230">
        <v>5</v>
      </c>
      <c r="J157" s="229">
        <f t="shared" si="52"/>
        <v>45754</v>
      </c>
      <c r="K157" s="230">
        <v>45</v>
      </c>
      <c r="L157" s="229">
        <f t="shared" si="53"/>
        <v>45799</v>
      </c>
      <c r="M157" s="230">
        <v>31</v>
      </c>
      <c r="N157" s="229">
        <f t="shared" si="54"/>
        <v>45830</v>
      </c>
      <c r="O157" s="230">
        <v>3</v>
      </c>
      <c r="P157" s="229">
        <f t="shared" si="55"/>
        <v>45833</v>
      </c>
      <c r="Q157" s="211">
        <f t="shared" si="56"/>
        <v>115</v>
      </c>
      <c r="R157" s="210">
        <v>45833</v>
      </c>
      <c r="S157" s="210">
        <f t="shared" si="57"/>
        <v>-40</v>
      </c>
      <c r="T157" s="210">
        <f t="shared" si="58"/>
        <v>-17</v>
      </c>
      <c r="U157" s="210">
        <f t="shared" si="59"/>
        <v>-17</v>
      </c>
      <c r="V157" s="221">
        <f t="shared" si="60"/>
        <v>-10</v>
      </c>
      <c r="W157" s="209"/>
      <c r="X157" s="209"/>
      <c r="Y157" s="227"/>
      <c r="Z157" s="216"/>
      <c r="AA157" s="217"/>
      <c r="AB157" s="218"/>
      <c r="AC157" s="208"/>
      <c r="AD157" s="208"/>
      <c r="AE157" s="208"/>
      <c r="AF157" s="208"/>
    </row>
    <row r="158" spans="1:32" x14ac:dyDescent="0.3">
      <c r="A158" s="207">
        <v>7.04</v>
      </c>
      <c r="B158" s="208" t="s">
        <v>960</v>
      </c>
      <c r="C158" s="209" t="s">
        <v>980</v>
      </c>
      <c r="D158" s="229">
        <f t="shared" si="49"/>
        <v>45718</v>
      </c>
      <c r="E158" s="230">
        <v>10</v>
      </c>
      <c r="F158" s="229">
        <f t="shared" si="50"/>
        <v>45728</v>
      </c>
      <c r="G158" s="230">
        <v>21</v>
      </c>
      <c r="H158" s="229">
        <f t="shared" si="51"/>
        <v>45749</v>
      </c>
      <c r="I158" s="230">
        <v>5</v>
      </c>
      <c r="J158" s="229">
        <f t="shared" si="52"/>
        <v>45754</v>
      </c>
      <c r="K158" s="230">
        <v>45</v>
      </c>
      <c r="L158" s="229">
        <f t="shared" si="53"/>
        <v>45799</v>
      </c>
      <c r="M158" s="230">
        <v>31</v>
      </c>
      <c r="N158" s="229">
        <f t="shared" si="54"/>
        <v>45830</v>
      </c>
      <c r="O158" s="230">
        <v>3</v>
      </c>
      <c r="P158" s="229">
        <f t="shared" si="55"/>
        <v>45833</v>
      </c>
      <c r="Q158" s="211">
        <f t="shared" si="56"/>
        <v>115</v>
      </c>
      <c r="R158" s="210">
        <v>45833</v>
      </c>
      <c r="S158" s="210">
        <f t="shared" si="57"/>
        <v>-40</v>
      </c>
      <c r="T158" s="210">
        <f t="shared" si="58"/>
        <v>-17</v>
      </c>
      <c r="U158" s="210">
        <f t="shared" si="59"/>
        <v>-17</v>
      </c>
      <c r="V158" s="221">
        <f t="shared" si="60"/>
        <v>-10</v>
      </c>
      <c r="W158" s="209"/>
      <c r="X158" s="209"/>
      <c r="Y158" s="227"/>
      <c r="Z158" s="216"/>
      <c r="AA158" s="217"/>
      <c r="AB158" s="218"/>
      <c r="AC158" s="208"/>
      <c r="AD158" s="208"/>
      <c r="AE158" s="208"/>
      <c r="AF158" s="208"/>
    </row>
    <row r="159" spans="1:32" x14ac:dyDescent="0.3">
      <c r="A159" s="207">
        <v>7.04</v>
      </c>
      <c r="B159" s="208" t="s">
        <v>960</v>
      </c>
      <c r="C159" s="209" t="s">
        <v>951</v>
      </c>
      <c r="D159" s="229">
        <f t="shared" si="49"/>
        <v>45718</v>
      </c>
      <c r="E159" s="230">
        <v>10</v>
      </c>
      <c r="F159" s="229">
        <f t="shared" si="50"/>
        <v>45728</v>
      </c>
      <c r="G159" s="230">
        <v>21</v>
      </c>
      <c r="H159" s="229">
        <f t="shared" si="51"/>
        <v>45749</v>
      </c>
      <c r="I159" s="230">
        <v>5</v>
      </c>
      <c r="J159" s="229">
        <f t="shared" si="52"/>
        <v>45754</v>
      </c>
      <c r="K159" s="230">
        <v>45</v>
      </c>
      <c r="L159" s="229">
        <f t="shared" si="53"/>
        <v>45799</v>
      </c>
      <c r="M159" s="230">
        <v>31</v>
      </c>
      <c r="N159" s="229">
        <f t="shared" si="54"/>
        <v>45830</v>
      </c>
      <c r="O159" s="230">
        <v>3</v>
      </c>
      <c r="P159" s="229">
        <f t="shared" si="55"/>
        <v>45833</v>
      </c>
      <c r="Q159" s="211">
        <f t="shared" si="56"/>
        <v>115</v>
      </c>
      <c r="R159" s="210">
        <v>45833</v>
      </c>
      <c r="S159" s="210">
        <f t="shared" si="57"/>
        <v>-150</v>
      </c>
      <c r="T159" s="210">
        <f t="shared" si="58"/>
        <v>-127</v>
      </c>
      <c r="U159" s="210">
        <f t="shared" si="59"/>
        <v>-17</v>
      </c>
      <c r="V159" s="221">
        <f t="shared" si="60"/>
        <v>-10</v>
      </c>
      <c r="W159" s="209"/>
      <c r="X159" s="209"/>
      <c r="Y159" s="227"/>
      <c r="Z159" s="216">
        <v>110</v>
      </c>
      <c r="AA159" s="217"/>
      <c r="AB159" s="218"/>
      <c r="AC159" s="208"/>
      <c r="AD159" s="208"/>
      <c r="AE159" s="208"/>
      <c r="AF159" s="208"/>
    </row>
    <row r="160" spans="1:32" x14ac:dyDescent="0.3">
      <c r="A160" s="207">
        <v>7.05</v>
      </c>
      <c r="B160" s="208" t="s">
        <v>94</v>
      </c>
      <c r="C160" s="209" t="s">
        <v>981</v>
      </c>
      <c r="D160" s="229">
        <f t="shared" si="49"/>
        <v>45718</v>
      </c>
      <c r="E160" s="230">
        <v>10</v>
      </c>
      <c r="F160" s="229">
        <f t="shared" si="50"/>
        <v>45728</v>
      </c>
      <c r="G160" s="230">
        <v>21</v>
      </c>
      <c r="H160" s="229">
        <f t="shared" si="51"/>
        <v>45749</v>
      </c>
      <c r="I160" s="230">
        <v>5</v>
      </c>
      <c r="J160" s="229">
        <f t="shared" si="52"/>
        <v>45754</v>
      </c>
      <c r="K160" s="230">
        <v>45</v>
      </c>
      <c r="L160" s="229">
        <f t="shared" si="53"/>
        <v>45799</v>
      </c>
      <c r="M160" s="230">
        <v>31</v>
      </c>
      <c r="N160" s="229">
        <f t="shared" si="54"/>
        <v>45830</v>
      </c>
      <c r="O160" s="230">
        <v>3</v>
      </c>
      <c r="P160" s="229">
        <f t="shared" si="55"/>
        <v>45833</v>
      </c>
      <c r="Q160" s="211">
        <f t="shared" si="56"/>
        <v>115</v>
      </c>
      <c r="R160" s="210">
        <v>45833</v>
      </c>
      <c r="S160" s="210">
        <f t="shared" si="57"/>
        <v>-150</v>
      </c>
      <c r="T160" s="210">
        <f t="shared" si="58"/>
        <v>-127</v>
      </c>
      <c r="U160" s="210">
        <f t="shared" si="59"/>
        <v>-17</v>
      </c>
      <c r="V160" s="221">
        <f t="shared" si="60"/>
        <v>-10</v>
      </c>
      <c r="W160" s="209"/>
      <c r="X160" s="209"/>
      <c r="Y160" s="227"/>
      <c r="Z160" s="216">
        <v>110</v>
      </c>
      <c r="AA160" s="217"/>
      <c r="AB160" s="218"/>
      <c r="AC160" s="208"/>
      <c r="AD160" s="208"/>
      <c r="AE160" s="208"/>
      <c r="AF160" s="208"/>
    </row>
    <row r="161" spans="1:32" x14ac:dyDescent="0.3">
      <c r="A161" s="207">
        <v>7.05</v>
      </c>
      <c r="B161" s="208" t="s">
        <v>94</v>
      </c>
      <c r="C161" s="209" t="s">
        <v>982</v>
      </c>
      <c r="D161" s="229">
        <f t="shared" si="49"/>
        <v>45718</v>
      </c>
      <c r="E161" s="230">
        <v>10</v>
      </c>
      <c r="F161" s="229">
        <f t="shared" si="50"/>
        <v>45728</v>
      </c>
      <c r="G161" s="230">
        <v>21</v>
      </c>
      <c r="H161" s="229">
        <f t="shared" si="51"/>
        <v>45749</v>
      </c>
      <c r="I161" s="230">
        <v>5</v>
      </c>
      <c r="J161" s="229">
        <f t="shared" si="52"/>
        <v>45754</v>
      </c>
      <c r="K161" s="230">
        <v>45</v>
      </c>
      <c r="L161" s="229">
        <f t="shared" si="53"/>
        <v>45799</v>
      </c>
      <c r="M161" s="230">
        <v>31</v>
      </c>
      <c r="N161" s="229">
        <f t="shared" si="54"/>
        <v>45830</v>
      </c>
      <c r="O161" s="230">
        <v>3</v>
      </c>
      <c r="P161" s="229">
        <f t="shared" si="55"/>
        <v>45833</v>
      </c>
      <c r="Q161" s="211">
        <f t="shared" si="56"/>
        <v>115</v>
      </c>
      <c r="R161" s="210">
        <v>45833</v>
      </c>
      <c r="S161" s="210">
        <f t="shared" si="57"/>
        <v>-150</v>
      </c>
      <c r="T161" s="210">
        <f t="shared" si="58"/>
        <v>-127</v>
      </c>
      <c r="U161" s="210">
        <f t="shared" si="59"/>
        <v>-17</v>
      </c>
      <c r="V161" s="221">
        <f t="shared" si="60"/>
        <v>-10</v>
      </c>
      <c r="W161" s="209"/>
      <c r="X161" s="209"/>
      <c r="Y161" s="227"/>
      <c r="Z161" s="216">
        <v>110</v>
      </c>
      <c r="AA161" s="217"/>
      <c r="AB161" s="218"/>
      <c r="AC161" s="208"/>
      <c r="AD161" s="208"/>
      <c r="AE161" s="208"/>
      <c r="AF161" s="208"/>
    </row>
    <row r="162" spans="1:32" x14ac:dyDescent="0.3">
      <c r="A162" s="207">
        <v>7.05</v>
      </c>
      <c r="B162" s="208" t="s">
        <v>94</v>
      </c>
      <c r="C162" s="209" t="s">
        <v>983</v>
      </c>
      <c r="D162" s="229">
        <f t="shared" si="49"/>
        <v>45718</v>
      </c>
      <c r="E162" s="230">
        <v>10</v>
      </c>
      <c r="F162" s="229">
        <f t="shared" si="50"/>
        <v>45728</v>
      </c>
      <c r="G162" s="230">
        <v>21</v>
      </c>
      <c r="H162" s="229">
        <f t="shared" si="51"/>
        <v>45749</v>
      </c>
      <c r="I162" s="230">
        <v>5</v>
      </c>
      <c r="J162" s="229">
        <f t="shared" si="52"/>
        <v>45754</v>
      </c>
      <c r="K162" s="230">
        <v>45</v>
      </c>
      <c r="L162" s="229">
        <f t="shared" si="53"/>
        <v>45799</v>
      </c>
      <c r="M162" s="230">
        <v>31</v>
      </c>
      <c r="N162" s="229">
        <f t="shared" si="54"/>
        <v>45830</v>
      </c>
      <c r="O162" s="230">
        <v>3</v>
      </c>
      <c r="P162" s="229">
        <f t="shared" si="55"/>
        <v>45833</v>
      </c>
      <c r="Q162" s="211">
        <f t="shared" si="56"/>
        <v>115</v>
      </c>
      <c r="R162" s="210">
        <v>45833</v>
      </c>
      <c r="S162" s="210">
        <f t="shared" si="57"/>
        <v>-150</v>
      </c>
      <c r="T162" s="210">
        <f t="shared" si="58"/>
        <v>-127</v>
      </c>
      <c r="U162" s="210">
        <f t="shared" si="59"/>
        <v>-17</v>
      </c>
      <c r="V162" s="221">
        <f t="shared" si="60"/>
        <v>-10</v>
      </c>
      <c r="W162" s="209"/>
      <c r="X162" s="209"/>
      <c r="Y162" s="227"/>
      <c r="Z162" s="216">
        <v>110</v>
      </c>
      <c r="AA162" s="217"/>
      <c r="AB162" s="218"/>
      <c r="AC162" s="208"/>
      <c r="AD162" s="208"/>
      <c r="AE162" s="208"/>
      <c r="AF162" s="208"/>
    </row>
    <row r="163" spans="1:32" x14ac:dyDescent="0.3">
      <c r="A163" s="207">
        <v>7.05</v>
      </c>
      <c r="B163" s="208" t="s">
        <v>94</v>
      </c>
      <c r="C163" s="209" t="s">
        <v>984</v>
      </c>
      <c r="D163" s="229">
        <f t="shared" si="49"/>
        <v>45718</v>
      </c>
      <c r="E163" s="230">
        <v>10</v>
      </c>
      <c r="F163" s="229">
        <f t="shared" si="50"/>
        <v>45728</v>
      </c>
      <c r="G163" s="230">
        <v>21</v>
      </c>
      <c r="H163" s="229">
        <f t="shared" si="51"/>
        <v>45749</v>
      </c>
      <c r="I163" s="230">
        <v>5</v>
      </c>
      <c r="J163" s="229">
        <f t="shared" si="52"/>
        <v>45754</v>
      </c>
      <c r="K163" s="230">
        <v>45</v>
      </c>
      <c r="L163" s="229">
        <f t="shared" si="53"/>
        <v>45799</v>
      </c>
      <c r="M163" s="230">
        <v>31</v>
      </c>
      <c r="N163" s="229">
        <f t="shared" si="54"/>
        <v>45830</v>
      </c>
      <c r="O163" s="230">
        <v>3</v>
      </c>
      <c r="P163" s="229">
        <f t="shared" si="55"/>
        <v>45833</v>
      </c>
      <c r="Q163" s="211">
        <f t="shared" si="56"/>
        <v>115</v>
      </c>
      <c r="R163" s="210">
        <v>45833</v>
      </c>
      <c r="S163" s="210">
        <f t="shared" si="57"/>
        <v>-150</v>
      </c>
      <c r="T163" s="210">
        <f t="shared" si="58"/>
        <v>-127</v>
      </c>
      <c r="U163" s="210">
        <f t="shared" si="59"/>
        <v>-17</v>
      </c>
      <c r="V163" s="221">
        <f t="shared" si="60"/>
        <v>-10</v>
      </c>
      <c r="W163" s="209"/>
      <c r="X163" s="209"/>
      <c r="Y163" s="227"/>
      <c r="Z163" s="216">
        <v>110</v>
      </c>
      <c r="AA163" s="217"/>
      <c r="AB163" s="218"/>
      <c r="AC163" s="208"/>
      <c r="AD163" s="208"/>
      <c r="AE163" s="208"/>
      <c r="AF163" s="208"/>
    </row>
    <row r="164" spans="1:32" x14ac:dyDescent="0.3">
      <c r="A164" s="207">
        <v>7.05</v>
      </c>
      <c r="B164" s="208" t="s">
        <v>94</v>
      </c>
      <c r="C164" s="209" t="s">
        <v>951</v>
      </c>
      <c r="D164" s="229">
        <f t="shared" si="49"/>
        <v>45718</v>
      </c>
      <c r="E164" s="230">
        <v>10</v>
      </c>
      <c r="F164" s="229">
        <f t="shared" si="50"/>
        <v>45728</v>
      </c>
      <c r="G164" s="230">
        <v>21</v>
      </c>
      <c r="H164" s="229">
        <f t="shared" si="51"/>
        <v>45749</v>
      </c>
      <c r="I164" s="230">
        <v>5</v>
      </c>
      <c r="J164" s="229">
        <f t="shared" si="52"/>
        <v>45754</v>
      </c>
      <c r="K164" s="230">
        <v>45</v>
      </c>
      <c r="L164" s="229">
        <f t="shared" si="53"/>
        <v>45799</v>
      </c>
      <c r="M164" s="230">
        <v>31</v>
      </c>
      <c r="N164" s="229">
        <f t="shared" si="54"/>
        <v>45830</v>
      </c>
      <c r="O164" s="230">
        <v>3</v>
      </c>
      <c r="P164" s="229">
        <f t="shared" si="55"/>
        <v>45833</v>
      </c>
      <c r="Q164" s="211">
        <f t="shared" si="56"/>
        <v>115</v>
      </c>
      <c r="R164" s="210">
        <v>45833</v>
      </c>
      <c r="S164" s="210">
        <f t="shared" si="57"/>
        <v>-150</v>
      </c>
      <c r="T164" s="210">
        <f t="shared" si="58"/>
        <v>-127</v>
      </c>
      <c r="U164" s="210">
        <f t="shared" si="59"/>
        <v>-17</v>
      </c>
      <c r="V164" s="221">
        <f t="shared" si="60"/>
        <v>-10</v>
      </c>
      <c r="W164" s="209"/>
      <c r="X164" s="209"/>
      <c r="Y164" s="227"/>
      <c r="Z164" s="216">
        <v>110</v>
      </c>
      <c r="AA164" s="217"/>
      <c r="AB164" s="218"/>
      <c r="AC164" s="208"/>
      <c r="AD164" s="208"/>
      <c r="AE164" s="208"/>
      <c r="AF164" s="208"/>
    </row>
    <row r="165" spans="1:32" x14ac:dyDescent="0.3">
      <c r="A165" s="207">
        <v>7.05</v>
      </c>
      <c r="B165" s="208" t="s">
        <v>94</v>
      </c>
      <c r="C165" s="209" t="s">
        <v>985</v>
      </c>
      <c r="D165" s="229">
        <f t="shared" si="49"/>
        <v>45718</v>
      </c>
      <c r="E165" s="230">
        <v>10</v>
      </c>
      <c r="F165" s="229">
        <f t="shared" si="50"/>
        <v>45728</v>
      </c>
      <c r="G165" s="230">
        <v>21</v>
      </c>
      <c r="H165" s="229">
        <f t="shared" si="51"/>
        <v>45749</v>
      </c>
      <c r="I165" s="230">
        <v>5</v>
      </c>
      <c r="J165" s="229">
        <f t="shared" si="52"/>
        <v>45754</v>
      </c>
      <c r="K165" s="230">
        <v>45</v>
      </c>
      <c r="L165" s="229">
        <f t="shared" si="53"/>
        <v>45799</v>
      </c>
      <c r="M165" s="230">
        <v>31</v>
      </c>
      <c r="N165" s="229">
        <f t="shared" si="54"/>
        <v>45830</v>
      </c>
      <c r="O165" s="230">
        <v>3</v>
      </c>
      <c r="P165" s="229">
        <f t="shared" si="55"/>
        <v>45833</v>
      </c>
      <c r="Q165" s="211">
        <f t="shared" si="56"/>
        <v>115</v>
      </c>
      <c r="R165" s="210">
        <v>45833</v>
      </c>
      <c r="S165" s="210">
        <f t="shared" si="57"/>
        <v>-100</v>
      </c>
      <c r="T165" s="210">
        <f t="shared" si="58"/>
        <v>-77</v>
      </c>
      <c r="U165" s="210">
        <f t="shared" si="59"/>
        <v>-17</v>
      </c>
      <c r="V165" s="221">
        <f t="shared" si="60"/>
        <v>-10</v>
      </c>
      <c r="W165" s="209"/>
      <c r="X165" s="209"/>
      <c r="Y165" s="227"/>
      <c r="Z165" s="216">
        <v>60</v>
      </c>
      <c r="AA165" s="217"/>
      <c r="AB165" s="218"/>
      <c r="AC165" s="208"/>
      <c r="AD165" s="208"/>
      <c r="AE165" s="208"/>
      <c r="AF165" s="208"/>
    </row>
    <row r="166" spans="1:32" x14ac:dyDescent="0.3">
      <c r="A166" s="207">
        <v>7.05</v>
      </c>
      <c r="B166" s="208" t="s">
        <v>94</v>
      </c>
      <c r="C166" s="209" t="s">
        <v>986</v>
      </c>
      <c r="D166" s="229">
        <f t="shared" si="49"/>
        <v>45718</v>
      </c>
      <c r="E166" s="230">
        <v>10</v>
      </c>
      <c r="F166" s="229">
        <f t="shared" si="50"/>
        <v>45728</v>
      </c>
      <c r="G166" s="230">
        <v>21</v>
      </c>
      <c r="H166" s="229">
        <f t="shared" si="51"/>
        <v>45749</v>
      </c>
      <c r="I166" s="230">
        <v>5</v>
      </c>
      <c r="J166" s="229">
        <f t="shared" si="52"/>
        <v>45754</v>
      </c>
      <c r="K166" s="230">
        <v>45</v>
      </c>
      <c r="L166" s="229">
        <f t="shared" si="53"/>
        <v>45799</v>
      </c>
      <c r="M166" s="230">
        <v>31</v>
      </c>
      <c r="N166" s="229">
        <f t="shared" si="54"/>
        <v>45830</v>
      </c>
      <c r="O166" s="230">
        <v>3</v>
      </c>
      <c r="P166" s="229">
        <f t="shared" si="55"/>
        <v>45833</v>
      </c>
      <c r="Q166" s="211">
        <f t="shared" si="56"/>
        <v>115</v>
      </c>
      <c r="R166" s="210">
        <v>45833</v>
      </c>
      <c r="S166" s="210">
        <f t="shared" si="57"/>
        <v>-100</v>
      </c>
      <c r="T166" s="210">
        <f t="shared" si="58"/>
        <v>-77</v>
      </c>
      <c r="U166" s="210">
        <f t="shared" si="59"/>
        <v>-17</v>
      </c>
      <c r="V166" s="221">
        <f t="shared" si="60"/>
        <v>-10</v>
      </c>
      <c r="W166" s="209"/>
      <c r="X166" s="209"/>
      <c r="Y166" s="227"/>
      <c r="Z166" s="216">
        <v>60</v>
      </c>
      <c r="AA166" s="217"/>
      <c r="AB166" s="218"/>
      <c r="AC166" s="208"/>
      <c r="AD166" s="208"/>
      <c r="AE166" s="208"/>
      <c r="AF166" s="208"/>
    </row>
    <row r="167" spans="1:32" x14ac:dyDescent="0.3">
      <c r="A167" s="207">
        <v>7.05</v>
      </c>
      <c r="B167" s="208" t="s">
        <v>94</v>
      </c>
      <c r="C167" s="209" t="s">
        <v>987</v>
      </c>
      <c r="D167" s="229">
        <f t="shared" si="49"/>
        <v>45718</v>
      </c>
      <c r="E167" s="230">
        <v>10</v>
      </c>
      <c r="F167" s="229">
        <f t="shared" si="50"/>
        <v>45728</v>
      </c>
      <c r="G167" s="230">
        <v>21</v>
      </c>
      <c r="H167" s="229">
        <f t="shared" si="51"/>
        <v>45749</v>
      </c>
      <c r="I167" s="230">
        <v>5</v>
      </c>
      <c r="J167" s="229">
        <f t="shared" si="52"/>
        <v>45754</v>
      </c>
      <c r="K167" s="230">
        <v>45</v>
      </c>
      <c r="L167" s="229">
        <f t="shared" si="53"/>
        <v>45799</v>
      </c>
      <c r="M167" s="230">
        <v>31</v>
      </c>
      <c r="N167" s="229">
        <f t="shared" si="54"/>
        <v>45830</v>
      </c>
      <c r="O167" s="230">
        <v>3</v>
      </c>
      <c r="P167" s="229">
        <f t="shared" si="55"/>
        <v>45833</v>
      </c>
      <c r="Q167" s="211">
        <f t="shared" si="56"/>
        <v>115</v>
      </c>
      <c r="R167" s="210">
        <v>45833</v>
      </c>
      <c r="S167" s="210">
        <f t="shared" si="57"/>
        <v>-100</v>
      </c>
      <c r="T167" s="210">
        <f t="shared" si="58"/>
        <v>-77</v>
      </c>
      <c r="U167" s="210">
        <f t="shared" si="59"/>
        <v>-17</v>
      </c>
      <c r="V167" s="221">
        <f t="shared" si="60"/>
        <v>-10</v>
      </c>
      <c r="W167" s="209"/>
      <c r="X167" s="209"/>
      <c r="Y167" s="227"/>
      <c r="Z167" s="216">
        <v>60</v>
      </c>
      <c r="AA167" s="217"/>
      <c r="AB167" s="218"/>
      <c r="AC167" s="208"/>
      <c r="AD167" s="208"/>
      <c r="AE167" s="208"/>
      <c r="AF167" s="208"/>
    </row>
    <row r="168" spans="1:32" x14ac:dyDescent="0.3">
      <c r="A168" s="207">
        <v>7.05</v>
      </c>
      <c r="B168" s="208" t="s">
        <v>94</v>
      </c>
      <c r="C168" s="209" t="s">
        <v>988</v>
      </c>
      <c r="D168" s="229">
        <f t="shared" si="49"/>
        <v>45718</v>
      </c>
      <c r="E168" s="230">
        <v>10</v>
      </c>
      <c r="F168" s="229">
        <f t="shared" si="50"/>
        <v>45728</v>
      </c>
      <c r="G168" s="230">
        <v>21</v>
      </c>
      <c r="H168" s="229">
        <f t="shared" si="51"/>
        <v>45749</v>
      </c>
      <c r="I168" s="230">
        <v>5</v>
      </c>
      <c r="J168" s="229">
        <f t="shared" si="52"/>
        <v>45754</v>
      </c>
      <c r="K168" s="230">
        <v>45</v>
      </c>
      <c r="L168" s="229">
        <f t="shared" si="53"/>
        <v>45799</v>
      </c>
      <c r="M168" s="230">
        <v>31</v>
      </c>
      <c r="N168" s="229">
        <f t="shared" si="54"/>
        <v>45830</v>
      </c>
      <c r="O168" s="230">
        <v>3</v>
      </c>
      <c r="P168" s="229">
        <f t="shared" si="55"/>
        <v>45833</v>
      </c>
      <c r="Q168" s="211">
        <f t="shared" si="56"/>
        <v>115</v>
      </c>
      <c r="R168" s="210">
        <v>45833</v>
      </c>
      <c r="S168" s="210">
        <f t="shared" si="57"/>
        <v>-150</v>
      </c>
      <c r="T168" s="210">
        <f t="shared" si="58"/>
        <v>-127</v>
      </c>
      <c r="U168" s="210">
        <f t="shared" si="59"/>
        <v>-17</v>
      </c>
      <c r="V168" s="221">
        <f t="shared" si="60"/>
        <v>-10</v>
      </c>
      <c r="W168" s="209"/>
      <c r="X168" s="209"/>
      <c r="Y168" s="227"/>
      <c r="Z168" s="216">
        <v>110</v>
      </c>
      <c r="AA168" s="217"/>
      <c r="AB168" s="218"/>
      <c r="AC168" s="208"/>
      <c r="AD168" s="208"/>
      <c r="AE168" s="208"/>
      <c r="AF168" s="208"/>
    </row>
    <row r="169" spans="1:32" x14ac:dyDescent="0.3">
      <c r="A169" s="207">
        <v>7.05</v>
      </c>
      <c r="B169" s="208" t="s">
        <v>94</v>
      </c>
      <c r="C169" s="209" t="s">
        <v>989</v>
      </c>
      <c r="D169" s="229">
        <f t="shared" si="49"/>
        <v>45718</v>
      </c>
      <c r="E169" s="230">
        <v>10</v>
      </c>
      <c r="F169" s="229">
        <f t="shared" si="50"/>
        <v>45728</v>
      </c>
      <c r="G169" s="230">
        <v>21</v>
      </c>
      <c r="H169" s="229">
        <f t="shared" si="51"/>
        <v>45749</v>
      </c>
      <c r="I169" s="230">
        <v>5</v>
      </c>
      <c r="J169" s="229">
        <f t="shared" si="52"/>
        <v>45754</v>
      </c>
      <c r="K169" s="230">
        <v>45</v>
      </c>
      <c r="L169" s="229">
        <f t="shared" si="53"/>
        <v>45799</v>
      </c>
      <c r="M169" s="230">
        <v>31</v>
      </c>
      <c r="N169" s="229">
        <f t="shared" si="54"/>
        <v>45830</v>
      </c>
      <c r="O169" s="230">
        <v>3</v>
      </c>
      <c r="P169" s="229">
        <f t="shared" si="55"/>
        <v>45833</v>
      </c>
      <c r="Q169" s="211">
        <f t="shared" si="56"/>
        <v>115</v>
      </c>
      <c r="R169" s="210">
        <v>45833</v>
      </c>
      <c r="S169" s="210">
        <f t="shared" si="57"/>
        <v>-100</v>
      </c>
      <c r="T169" s="210">
        <f t="shared" si="58"/>
        <v>-77</v>
      </c>
      <c r="U169" s="210">
        <f t="shared" si="59"/>
        <v>-17</v>
      </c>
      <c r="V169" s="221">
        <f t="shared" si="60"/>
        <v>-10</v>
      </c>
      <c r="W169" s="209"/>
      <c r="X169" s="209"/>
      <c r="Y169" s="227"/>
      <c r="Z169" s="216">
        <v>60</v>
      </c>
      <c r="AA169" s="217"/>
      <c r="AB169" s="218"/>
      <c r="AC169" s="208"/>
      <c r="AD169" s="208"/>
      <c r="AE169" s="208"/>
      <c r="AF169" s="208"/>
    </row>
    <row r="170" spans="1:32" x14ac:dyDescent="0.3">
      <c r="A170" s="207">
        <v>7.06</v>
      </c>
      <c r="B170" s="208" t="s">
        <v>95</v>
      </c>
      <c r="C170" s="209" t="s">
        <v>990</v>
      </c>
      <c r="D170" s="229">
        <f t="shared" si="49"/>
        <v>45718</v>
      </c>
      <c r="E170" s="230">
        <v>10</v>
      </c>
      <c r="F170" s="229">
        <f t="shared" si="50"/>
        <v>45728</v>
      </c>
      <c r="G170" s="230">
        <v>21</v>
      </c>
      <c r="H170" s="229">
        <f t="shared" si="51"/>
        <v>45749</v>
      </c>
      <c r="I170" s="230">
        <v>5</v>
      </c>
      <c r="J170" s="229">
        <f t="shared" si="52"/>
        <v>45754</v>
      </c>
      <c r="K170" s="230">
        <v>45</v>
      </c>
      <c r="L170" s="229">
        <f t="shared" si="53"/>
        <v>45799</v>
      </c>
      <c r="M170" s="230">
        <v>31</v>
      </c>
      <c r="N170" s="229">
        <f t="shared" si="54"/>
        <v>45830</v>
      </c>
      <c r="O170" s="230">
        <v>3</v>
      </c>
      <c r="P170" s="229">
        <f t="shared" si="55"/>
        <v>45833</v>
      </c>
      <c r="Q170" s="211">
        <f t="shared" si="56"/>
        <v>115</v>
      </c>
      <c r="R170" s="210">
        <v>45833</v>
      </c>
      <c r="S170" s="210">
        <f t="shared" si="57"/>
        <v>-40</v>
      </c>
      <c r="T170" s="210">
        <f t="shared" si="58"/>
        <v>-17</v>
      </c>
      <c r="U170" s="210">
        <f t="shared" si="59"/>
        <v>-17</v>
      </c>
      <c r="V170" s="221">
        <f t="shared" si="60"/>
        <v>-10</v>
      </c>
      <c r="W170" s="209"/>
      <c r="X170" s="209"/>
      <c r="Y170" s="227"/>
      <c r="Z170" s="216"/>
      <c r="AA170" s="217"/>
      <c r="AB170" s="218"/>
      <c r="AC170" s="208"/>
      <c r="AD170" s="208"/>
      <c r="AE170" s="208"/>
      <c r="AF170" s="208"/>
    </row>
    <row r="171" spans="1:32" x14ac:dyDescent="0.3">
      <c r="A171" s="207">
        <v>7.06</v>
      </c>
      <c r="B171" s="208" t="s">
        <v>95</v>
      </c>
      <c r="C171" s="209" t="s">
        <v>991</v>
      </c>
      <c r="D171" s="229">
        <f t="shared" si="49"/>
        <v>45718</v>
      </c>
      <c r="E171" s="230">
        <v>10</v>
      </c>
      <c r="F171" s="229">
        <f t="shared" si="50"/>
        <v>45728</v>
      </c>
      <c r="G171" s="230">
        <v>21</v>
      </c>
      <c r="H171" s="229">
        <f t="shared" si="51"/>
        <v>45749</v>
      </c>
      <c r="I171" s="230">
        <v>5</v>
      </c>
      <c r="J171" s="229">
        <f t="shared" si="52"/>
        <v>45754</v>
      </c>
      <c r="K171" s="230">
        <v>45</v>
      </c>
      <c r="L171" s="229">
        <f t="shared" si="53"/>
        <v>45799</v>
      </c>
      <c r="M171" s="230">
        <v>31</v>
      </c>
      <c r="N171" s="229">
        <f t="shared" si="54"/>
        <v>45830</v>
      </c>
      <c r="O171" s="230">
        <v>3</v>
      </c>
      <c r="P171" s="229">
        <f t="shared" si="55"/>
        <v>45833</v>
      </c>
      <c r="Q171" s="211">
        <f t="shared" si="56"/>
        <v>115</v>
      </c>
      <c r="R171" s="210">
        <v>45833</v>
      </c>
      <c r="S171" s="210">
        <f t="shared" si="57"/>
        <v>-100</v>
      </c>
      <c r="T171" s="210">
        <f t="shared" si="58"/>
        <v>-77</v>
      </c>
      <c r="U171" s="210">
        <f t="shared" si="59"/>
        <v>-17</v>
      </c>
      <c r="V171" s="221">
        <f t="shared" si="60"/>
        <v>-10</v>
      </c>
      <c r="W171" s="209"/>
      <c r="X171" s="209"/>
      <c r="Y171" s="227"/>
      <c r="Z171" s="216">
        <v>60</v>
      </c>
      <c r="AA171" s="217"/>
      <c r="AB171" s="218"/>
      <c r="AC171" s="208"/>
      <c r="AD171" s="208"/>
      <c r="AE171" s="208"/>
      <c r="AF171" s="208"/>
    </row>
    <row r="172" spans="1:32" x14ac:dyDescent="0.3">
      <c r="A172" s="207">
        <v>7.06</v>
      </c>
      <c r="B172" s="208" t="s">
        <v>95</v>
      </c>
      <c r="C172" s="209" t="s">
        <v>992</v>
      </c>
      <c r="D172" s="229">
        <f t="shared" ref="D172:D181" si="61">R172-(E172+G172+I172+K172+M172+O172)</f>
        <v>45718</v>
      </c>
      <c r="E172" s="230">
        <v>10</v>
      </c>
      <c r="F172" s="229">
        <f t="shared" ref="F172:F181" si="62">D172+E172</f>
        <v>45728</v>
      </c>
      <c r="G172" s="230">
        <v>21</v>
      </c>
      <c r="H172" s="229">
        <f t="shared" ref="H172:H181" si="63">F172+G172</f>
        <v>45749</v>
      </c>
      <c r="I172" s="230">
        <v>5</v>
      </c>
      <c r="J172" s="229">
        <f t="shared" ref="J172:J181" si="64">H172+I172</f>
        <v>45754</v>
      </c>
      <c r="K172" s="230">
        <v>45</v>
      </c>
      <c r="L172" s="229">
        <f t="shared" ref="L172:L181" si="65">J172+K172</f>
        <v>45799</v>
      </c>
      <c r="M172" s="230">
        <v>31</v>
      </c>
      <c r="N172" s="229">
        <f t="shared" ref="N172:N181" si="66">L172+M172</f>
        <v>45830</v>
      </c>
      <c r="O172" s="230">
        <v>3</v>
      </c>
      <c r="P172" s="229">
        <f t="shared" ref="P172:P181" si="67">N172+O172</f>
        <v>45833</v>
      </c>
      <c r="Q172" s="211">
        <f t="shared" ref="Q172:Q181" si="68">O172+M172+K172+I172+G172+E172</f>
        <v>115</v>
      </c>
      <c r="R172" s="210">
        <v>45833</v>
      </c>
      <c r="S172" s="210">
        <f t="shared" ref="S172:S181" si="69">+T172-23</f>
        <v>-40</v>
      </c>
      <c r="T172" s="210">
        <f t="shared" ref="T172:T181" si="70">+U172-Z172</f>
        <v>-17</v>
      </c>
      <c r="U172" s="210">
        <f t="shared" ref="U172:U181" si="71">+V172-7</f>
        <v>-17</v>
      </c>
      <c r="V172" s="221">
        <f t="shared" si="60"/>
        <v>-10</v>
      </c>
      <c r="W172" s="209"/>
      <c r="X172" s="209"/>
      <c r="Y172" s="227"/>
      <c r="Z172" s="216"/>
      <c r="AA172" s="217"/>
      <c r="AB172" s="218"/>
      <c r="AC172" s="208"/>
      <c r="AD172" s="208"/>
      <c r="AE172" s="208"/>
      <c r="AF172" s="208"/>
    </row>
    <row r="173" spans="1:32" x14ac:dyDescent="0.3">
      <c r="A173" s="207">
        <v>7.06</v>
      </c>
      <c r="B173" s="208" t="s">
        <v>95</v>
      </c>
      <c r="C173" s="209" t="s">
        <v>993</v>
      </c>
      <c r="D173" s="229">
        <f t="shared" si="61"/>
        <v>45718</v>
      </c>
      <c r="E173" s="230">
        <v>10</v>
      </c>
      <c r="F173" s="229">
        <f t="shared" si="62"/>
        <v>45728</v>
      </c>
      <c r="G173" s="230">
        <v>21</v>
      </c>
      <c r="H173" s="229">
        <f t="shared" si="63"/>
        <v>45749</v>
      </c>
      <c r="I173" s="230">
        <v>5</v>
      </c>
      <c r="J173" s="229">
        <f t="shared" si="64"/>
        <v>45754</v>
      </c>
      <c r="K173" s="230">
        <v>45</v>
      </c>
      <c r="L173" s="229">
        <f t="shared" si="65"/>
        <v>45799</v>
      </c>
      <c r="M173" s="230">
        <v>31</v>
      </c>
      <c r="N173" s="229">
        <f t="shared" si="66"/>
        <v>45830</v>
      </c>
      <c r="O173" s="230">
        <v>3</v>
      </c>
      <c r="P173" s="229">
        <f t="shared" si="67"/>
        <v>45833</v>
      </c>
      <c r="Q173" s="211">
        <f t="shared" si="68"/>
        <v>115</v>
      </c>
      <c r="R173" s="210">
        <v>45833</v>
      </c>
      <c r="S173" s="210">
        <f t="shared" si="69"/>
        <v>-40</v>
      </c>
      <c r="T173" s="210">
        <f t="shared" si="70"/>
        <v>-17</v>
      </c>
      <c r="U173" s="210">
        <f t="shared" si="71"/>
        <v>-17</v>
      </c>
      <c r="V173" s="221">
        <f t="shared" si="60"/>
        <v>-10</v>
      </c>
      <c r="W173" s="209"/>
      <c r="X173" s="209"/>
      <c r="Y173" s="227"/>
      <c r="Z173" s="216"/>
      <c r="AA173" s="217"/>
      <c r="AB173" s="218"/>
      <c r="AC173" s="208"/>
      <c r="AD173" s="208"/>
      <c r="AE173" s="208"/>
      <c r="AF173" s="208"/>
    </row>
    <row r="174" spans="1:32" x14ac:dyDescent="0.3">
      <c r="A174" s="207">
        <v>7.06</v>
      </c>
      <c r="B174" s="208" t="s">
        <v>95</v>
      </c>
      <c r="C174" s="209" t="s">
        <v>994</v>
      </c>
      <c r="D174" s="229">
        <f t="shared" si="61"/>
        <v>45718</v>
      </c>
      <c r="E174" s="230">
        <v>10</v>
      </c>
      <c r="F174" s="229">
        <f t="shared" si="62"/>
        <v>45728</v>
      </c>
      <c r="G174" s="230">
        <v>21</v>
      </c>
      <c r="H174" s="229">
        <f t="shared" si="63"/>
        <v>45749</v>
      </c>
      <c r="I174" s="230">
        <v>5</v>
      </c>
      <c r="J174" s="229">
        <f t="shared" si="64"/>
        <v>45754</v>
      </c>
      <c r="K174" s="230">
        <v>45</v>
      </c>
      <c r="L174" s="229">
        <f t="shared" si="65"/>
        <v>45799</v>
      </c>
      <c r="M174" s="230">
        <v>31</v>
      </c>
      <c r="N174" s="229">
        <f t="shared" si="66"/>
        <v>45830</v>
      </c>
      <c r="O174" s="230">
        <v>3</v>
      </c>
      <c r="P174" s="229">
        <f t="shared" si="67"/>
        <v>45833</v>
      </c>
      <c r="Q174" s="211">
        <f t="shared" si="68"/>
        <v>115</v>
      </c>
      <c r="R174" s="210">
        <v>45833</v>
      </c>
      <c r="S174" s="210">
        <f t="shared" si="69"/>
        <v>-40</v>
      </c>
      <c r="T174" s="210">
        <f t="shared" si="70"/>
        <v>-17</v>
      </c>
      <c r="U174" s="210">
        <f t="shared" si="71"/>
        <v>-17</v>
      </c>
      <c r="V174" s="221">
        <f t="shared" si="60"/>
        <v>-10</v>
      </c>
      <c r="W174" s="209"/>
      <c r="X174" s="209"/>
      <c r="Y174" s="227"/>
      <c r="Z174" s="216"/>
      <c r="AA174" s="217"/>
      <c r="AB174" s="218"/>
      <c r="AC174" s="208"/>
      <c r="AD174" s="208"/>
      <c r="AE174" s="208"/>
      <c r="AF174" s="208"/>
    </row>
    <row r="175" spans="1:32" x14ac:dyDescent="0.3">
      <c r="A175" s="207">
        <v>7.06</v>
      </c>
      <c r="B175" s="208" t="s">
        <v>95</v>
      </c>
      <c r="C175" s="209" t="s">
        <v>995</v>
      </c>
      <c r="D175" s="229">
        <f t="shared" si="61"/>
        <v>45718</v>
      </c>
      <c r="E175" s="230">
        <v>10</v>
      </c>
      <c r="F175" s="229">
        <f t="shared" si="62"/>
        <v>45728</v>
      </c>
      <c r="G175" s="230">
        <v>21</v>
      </c>
      <c r="H175" s="229">
        <f t="shared" si="63"/>
        <v>45749</v>
      </c>
      <c r="I175" s="230">
        <v>5</v>
      </c>
      <c r="J175" s="229">
        <f t="shared" si="64"/>
        <v>45754</v>
      </c>
      <c r="K175" s="230">
        <v>45</v>
      </c>
      <c r="L175" s="229">
        <f t="shared" si="65"/>
        <v>45799</v>
      </c>
      <c r="M175" s="230">
        <v>31</v>
      </c>
      <c r="N175" s="229">
        <f t="shared" si="66"/>
        <v>45830</v>
      </c>
      <c r="O175" s="230">
        <v>3</v>
      </c>
      <c r="P175" s="229">
        <f t="shared" si="67"/>
        <v>45833</v>
      </c>
      <c r="Q175" s="211">
        <f t="shared" si="68"/>
        <v>115</v>
      </c>
      <c r="R175" s="210">
        <v>45833</v>
      </c>
      <c r="S175" s="210">
        <f t="shared" si="69"/>
        <v>-40</v>
      </c>
      <c r="T175" s="210">
        <f t="shared" si="70"/>
        <v>-17</v>
      </c>
      <c r="U175" s="210">
        <f t="shared" si="71"/>
        <v>-17</v>
      </c>
      <c r="V175" s="221">
        <f t="shared" si="60"/>
        <v>-10</v>
      </c>
      <c r="W175" s="209"/>
      <c r="X175" s="209"/>
      <c r="Y175" s="227"/>
      <c r="Z175" s="216"/>
      <c r="AA175" s="217"/>
      <c r="AB175" s="218"/>
      <c r="AC175" s="208"/>
      <c r="AD175" s="208"/>
      <c r="AE175" s="208"/>
      <c r="AF175" s="208"/>
    </row>
    <row r="176" spans="1:32" x14ac:dyDescent="0.3">
      <c r="A176" s="207">
        <v>7.07</v>
      </c>
      <c r="B176" s="208" t="s">
        <v>96</v>
      </c>
      <c r="C176" s="209" t="s">
        <v>996</v>
      </c>
      <c r="D176" s="229">
        <f t="shared" si="61"/>
        <v>45718</v>
      </c>
      <c r="E176" s="230">
        <v>10</v>
      </c>
      <c r="F176" s="229">
        <f t="shared" si="62"/>
        <v>45728</v>
      </c>
      <c r="G176" s="230">
        <v>21</v>
      </c>
      <c r="H176" s="229">
        <f t="shared" si="63"/>
        <v>45749</v>
      </c>
      <c r="I176" s="230">
        <v>5</v>
      </c>
      <c r="J176" s="229">
        <f t="shared" si="64"/>
        <v>45754</v>
      </c>
      <c r="K176" s="230">
        <v>45</v>
      </c>
      <c r="L176" s="229">
        <f t="shared" si="65"/>
        <v>45799</v>
      </c>
      <c r="M176" s="230">
        <v>31</v>
      </c>
      <c r="N176" s="229">
        <f t="shared" si="66"/>
        <v>45830</v>
      </c>
      <c r="O176" s="230">
        <v>3</v>
      </c>
      <c r="P176" s="229">
        <f t="shared" si="67"/>
        <v>45833</v>
      </c>
      <c r="Q176" s="211">
        <f t="shared" si="68"/>
        <v>115</v>
      </c>
      <c r="R176" s="210">
        <v>45833</v>
      </c>
      <c r="S176" s="210">
        <f t="shared" si="69"/>
        <v>-100</v>
      </c>
      <c r="T176" s="210">
        <f t="shared" si="70"/>
        <v>-77</v>
      </c>
      <c r="U176" s="210">
        <f t="shared" si="71"/>
        <v>-17</v>
      </c>
      <c r="V176" s="221">
        <f t="shared" si="60"/>
        <v>-10</v>
      </c>
      <c r="W176" s="209"/>
      <c r="X176" s="209"/>
      <c r="Y176" s="227"/>
      <c r="Z176" s="216">
        <v>60</v>
      </c>
      <c r="AA176" s="217"/>
      <c r="AB176" s="218"/>
      <c r="AC176" s="208"/>
      <c r="AD176" s="208"/>
      <c r="AE176" s="208"/>
      <c r="AF176" s="208"/>
    </row>
    <row r="177" spans="1:32" x14ac:dyDescent="0.3">
      <c r="A177" s="207">
        <v>7.07</v>
      </c>
      <c r="B177" s="208" t="s">
        <v>96</v>
      </c>
      <c r="C177" s="209" t="s">
        <v>997</v>
      </c>
      <c r="D177" s="229">
        <f t="shared" si="61"/>
        <v>45718</v>
      </c>
      <c r="E177" s="230">
        <v>10</v>
      </c>
      <c r="F177" s="229">
        <f t="shared" si="62"/>
        <v>45728</v>
      </c>
      <c r="G177" s="230">
        <v>21</v>
      </c>
      <c r="H177" s="229">
        <f t="shared" si="63"/>
        <v>45749</v>
      </c>
      <c r="I177" s="230">
        <v>5</v>
      </c>
      <c r="J177" s="229">
        <f t="shared" si="64"/>
        <v>45754</v>
      </c>
      <c r="K177" s="230">
        <v>45</v>
      </c>
      <c r="L177" s="229">
        <f t="shared" si="65"/>
        <v>45799</v>
      </c>
      <c r="M177" s="230">
        <v>31</v>
      </c>
      <c r="N177" s="229">
        <f t="shared" si="66"/>
        <v>45830</v>
      </c>
      <c r="O177" s="230">
        <v>3</v>
      </c>
      <c r="P177" s="229">
        <f t="shared" si="67"/>
        <v>45833</v>
      </c>
      <c r="Q177" s="211">
        <f t="shared" si="68"/>
        <v>115</v>
      </c>
      <c r="R177" s="210">
        <v>45833</v>
      </c>
      <c r="S177" s="210">
        <f t="shared" si="69"/>
        <v>-100</v>
      </c>
      <c r="T177" s="210">
        <f t="shared" si="70"/>
        <v>-77</v>
      </c>
      <c r="U177" s="210">
        <f t="shared" si="71"/>
        <v>-17</v>
      </c>
      <c r="V177" s="221">
        <f t="shared" si="60"/>
        <v>-10</v>
      </c>
      <c r="W177" s="209"/>
      <c r="X177" s="209"/>
      <c r="Y177" s="227"/>
      <c r="Z177" s="216">
        <v>60</v>
      </c>
      <c r="AA177" s="217"/>
      <c r="AB177" s="218"/>
      <c r="AC177" s="208"/>
      <c r="AD177" s="208"/>
      <c r="AE177" s="208"/>
      <c r="AF177" s="208"/>
    </row>
    <row r="178" spans="1:32" x14ac:dyDescent="0.3">
      <c r="A178" s="207">
        <v>7.07</v>
      </c>
      <c r="B178" s="208" t="s">
        <v>96</v>
      </c>
      <c r="C178" s="209" t="s">
        <v>998</v>
      </c>
      <c r="D178" s="229">
        <f t="shared" si="61"/>
        <v>45718</v>
      </c>
      <c r="E178" s="230">
        <v>10</v>
      </c>
      <c r="F178" s="229">
        <f t="shared" si="62"/>
        <v>45728</v>
      </c>
      <c r="G178" s="230">
        <v>21</v>
      </c>
      <c r="H178" s="229">
        <f t="shared" si="63"/>
        <v>45749</v>
      </c>
      <c r="I178" s="230">
        <v>5</v>
      </c>
      <c r="J178" s="229">
        <f t="shared" si="64"/>
        <v>45754</v>
      </c>
      <c r="K178" s="230">
        <v>45</v>
      </c>
      <c r="L178" s="229">
        <f t="shared" si="65"/>
        <v>45799</v>
      </c>
      <c r="M178" s="230">
        <v>31</v>
      </c>
      <c r="N178" s="229">
        <f t="shared" si="66"/>
        <v>45830</v>
      </c>
      <c r="O178" s="230">
        <v>3</v>
      </c>
      <c r="P178" s="229">
        <f t="shared" si="67"/>
        <v>45833</v>
      </c>
      <c r="Q178" s="211">
        <f t="shared" si="68"/>
        <v>115</v>
      </c>
      <c r="R178" s="210">
        <v>45833</v>
      </c>
      <c r="S178" s="210">
        <f t="shared" si="69"/>
        <v>-100</v>
      </c>
      <c r="T178" s="210">
        <f t="shared" si="70"/>
        <v>-77</v>
      </c>
      <c r="U178" s="210">
        <f t="shared" si="71"/>
        <v>-17</v>
      </c>
      <c r="V178" s="221">
        <f t="shared" si="60"/>
        <v>-10</v>
      </c>
      <c r="W178" s="209"/>
      <c r="X178" s="209"/>
      <c r="Y178" s="227"/>
      <c r="Z178" s="216">
        <v>60</v>
      </c>
      <c r="AA178" s="217"/>
      <c r="AB178" s="218"/>
      <c r="AC178" s="208"/>
      <c r="AD178" s="208"/>
      <c r="AE178" s="208"/>
      <c r="AF178" s="208"/>
    </row>
    <row r="179" spans="1:32" x14ac:dyDescent="0.3">
      <c r="A179" s="207">
        <v>7.07</v>
      </c>
      <c r="B179" s="208" t="s">
        <v>96</v>
      </c>
      <c r="C179" s="209" t="s">
        <v>999</v>
      </c>
      <c r="D179" s="229">
        <f t="shared" si="61"/>
        <v>45718</v>
      </c>
      <c r="E179" s="230">
        <v>10</v>
      </c>
      <c r="F179" s="229">
        <f t="shared" si="62"/>
        <v>45728</v>
      </c>
      <c r="G179" s="230">
        <v>21</v>
      </c>
      <c r="H179" s="229">
        <f t="shared" si="63"/>
        <v>45749</v>
      </c>
      <c r="I179" s="230">
        <v>5</v>
      </c>
      <c r="J179" s="229">
        <f t="shared" si="64"/>
        <v>45754</v>
      </c>
      <c r="K179" s="230">
        <v>45</v>
      </c>
      <c r="L179" s="229">
        <f t="shared" si="65"/>
        <v>45799</v>
      </c>
      <c r="M179" s="230">
        <v>31</v>
      </c>
      <c r="N179" s="229">
        <f t="shared" si="66"/>
        <v>45830</v>
      </c>
      <c r="O179" s="230">
        <v>3</v>
      </c>
      <c r="P179" s="229">
        <f t="shared" si="67"/>
        <v>45833</v>
      </c>
      <c r="Q179" s="211">
        <f t="shared" si="68"/>
        <v>115</v>
      </c>
      <c r="R179" s="210">
        <v>45833</v>
      </c>
      <c r="S179" s="210">
        <f t="shared" si="69"/>
        <v>-100</v>
      </c>
      <c r="T179" s="210">
        <f t="shared" si="70"/>
        <v>-77</v>
      </c>
      <c r="U179" s="210">
        <f t="shared" si="71"/>
        <v>-17</v>
      </c>
      <c r="V179" s="221">
        <f t="shared" si="60"/>
        <v>-10</v>
      </c>
      <c r="W179" s="209"/>
      <c r="X179" s="209"/>
      <c r="Y179" s="227"/>
      <c r="Z179" s="216">
        <v>60</v>
      </c>
      <c r="AA179" s="217"/>
      <c r="AB179" s="218"/>
      <c r="AC179" s="208"/>
      <c r="AD179" s="208"/>
      <c r="AE179" s="208"/>
      <c r="AF179" s="208"/>
    </row>
    <row r="180" spans="1:32" x14ac:dyDescent="0.3">
      <c r="A180" s="207">
        <v>7.07</v>
      </c>
      <c r="B180" s="208" t="s">
        <v>96</v>
      </c>
      <c r="C180" s="209" t="s">
        <v>1000</v>
      </c>
      <c r="D180" s="229">
        <f t="shared" si="61"/>
        <v>45718</v>
      </c>
      <c r="E180" s="230">
        <v>10</v>
      </c>
      <c r="F180" s="229">
        <f t="shared" si="62"/>
        <v>45728</v>
      </c>
      <c r="G180" s="230">
        <v>21</v>
      </c>
      <c r="H180" s="229">
        <f t="shared" si="63"/>
        <v>45749</v>
      </c>
      <c r="I180" s="230">
        <v>5</v>
      </c>
      <c r="J180" s="229">
        <f t="shared" si="64"/>
        <v>45754</v>
      </c>
      <c r="K180" s="230">
        <v>45</v>
      </c>
      <c r="L180" s="229">
        <f t="shared" si="65"/>
        <v>45799</v>
      </c>
      <c r="M180" s="230">
        <v>31</v>
      </c>
      <c r="N180" s="229">
        <f t="shared" si="66"/>
        <v>45830</v>
      </c>
      <c r="O180" s="230">
        <v>3</v>
      </c>
      <c r="P180" s="229">
        <f t="shared" si="67"/>
        <v>45833</v>
      </c>
      <c r="Q180" s="211">
        <f t="shared" si="68"/>
        <v>115</v>
      </c>
      <c r="R180" s="210">
        <v>45833</v>
      </c>
      <c r="S180" s="210">
        <f t="shared" si="69"/>
        <v>-100</v>
      </c>
      <c r="T180" s="210">
        <f t="shared" si="70"/>
        <v>-77</v>
      </c>
      <c r="U180" s="210">
        <f t="shared" si="71"/>
        <v>-17</v>
      </c>
      <c r="V180" s="221">
        <f t="shared" si="60"/>
        <v>-10</v>
      </c>
      <c r="W180" s="209"/>
      <c r="X180" s="209"/>
      <c r="Y180" s="227"/>
      <c r="Z180" s="216">
        <v>60</v>
      </c>
      <c r="AA180" s="217"/>
      <c r="AB180" s="218"/>
      <c r="AC180" s="208"/>
      <c r="AD180" s="208"/>
      <c r="AE180" s="208"/>
      <c r="AF180" s="208"/>
    </row>
    <row r="181" spans="1:32" x14ac:dyDescent="0.3">
      <c r="A181" s="207">
        <v>7.07</v>
      </c>
      <c r="B181" s="208" t="s">
        <v>96</v>
      </c>
      <c r="C181" s="209" t="s">
        <v>1001</v>
      </c>
      <c r="D181" s="229">
        <f t="shared" si="61"/>
        <v>45718</v>
      </c>
      <c r="E181" s="230">
        <v>10</v>
      </c>
      <c r="F181" s="229">
        <f t="shared" si="62"/>
        <v>45728</v>
      </c>
      <c r="G181" s="230">
        <v>21</v>
      </c>
      <c r="H181" s="229">
        <f t="shared" si="63"/>
        <v>45749</v>
      </c>
      <c r="I181" s="230">
        <v>5</v>
      </c>
      <c r="J181" s="229">
        <f t="shared" si="64"/>
        <v>45754</v>
      </c>
      <c r="K181" s="230">
        <v>45</v>
      </c>
      <c r="L181" s="229">
        <f t="shared" si="65"/>
        <v>45799</v>
      </c>
      <c r="M181" s="230">
        <v>31</v>
      </c>
      <c r="N181" s="229">
        <f t="shared" si="66"/>
        <v>45830</v>
      </c>
      <c r="O181" s="230">
        <v>3</v>
      </c>
      <c r="P181" s="229">
        <f t="shared" si="67"/>
        <v>45833</v>
      </c>
      <c r="Q181" s="211">
        <f t="shared" si="68"/>
        <v>115</v>
      </c>
      <c r="R181" s="210">
        <v>45833</v>
      </c>
      <c r="S181" s="210">
        <f t="shared" si="69"/>
        <v>-100</v>
      </c>
      <c r="T181" s="210">
        <f t="shared" si="70"/>
        <v>-77</v>
      </c>
      <c r="U181" s="210">
        <f t="shared" si="71"/>
        <v>-17</v>
      </c>
      <c r="V181" s="221">
        <f t="shared" si="60"/>
        <v>-10</v>
      </c>
      <c r="W181" s="209"/>
      <c r="X181" s="209"/>
      <c r="Y181" s="227"/>
      <c r="Z181" s="216">
        <v>60</v>
      </c>
      <c r="AA181" s="217"/>
      <c r="AB181" s="218"/>
      <c r="AC181" s="208"/>
      <c r="AD181" s="208"/>
      <c r="AE181" s="208"/>
      <c r="AF181" s="208"/>
    </row>
    <row r="182" spans="1:32" x14ac:dyDescent="0.3">
      <c r="A182" s="531" t="s">
        <v>1002</v>
      </c>
      <c r="B182" s="532"/>
      <c r="C182" s="532"/>
      <c r="D182" s="532"/>
      <c r="E182" s="532"/>
      <c r="F182" s="532"/>
      <c r="G182" s="532"/>
      <c r="H182" s="532"/>
      <c r="I182" s="532"/>
      <c r="J182" s="532"/>
      <c r="K182" s="532"/>
      <c r="L182" s="532"/>
      <c r="M182" s="532"/>
      <c r="N182" s="532"/>
      <c r="O182" s="532"/>
      <c r="P182" s="532"/>
      <c r="Q182" s="532"/>
      <c r="R182" s="532"/>
      <c r="S182" s="532"/>
      <c r="T182" s="532"/>
      <c r="U182" s="532"/>
      <c r="V182" s="532"/>
      <c r="W182" s="532"/>
      <c r="X182" s="532"/>
      <c r="Y182" s="532"/>
      <c r="Z182" s="533"/>
      <c r="AA182" s="208"/>
      <c r="AB182" s="208"/>
      <c r="AC182" s="208"/>
      <c r="AD182" s="208"/>
      <c r="AE182" s="208"/>
      <c r="AF182" s="208"/>
    </row>
    <row r="183" spans="1:32" x14ac:dyDescent="0.3">
      <c r="A183" s="207">
        <v>8.01</v>
      </c>
      <c r="B183" s="208" t="s">
        <v>1003</v>
      </c>
      <c r="C183" s="209" t="s">
        <v>1004</v>
      </c>
      <c r="D183" s="229">
        <f t="shared" ref="D183:D214" si="72">R183-(E183+G183+I183+K183+M183+O183)</f>
        <v>45718</v>
      </c>
      <c r="E183" s="230">
        <v>10</v>
      </c>
      <c r="F183" s="229">
        <f t="shared" ref="F183:F214" si="73">D183+E183</f>
        <v>45728</v>
      </c>
      <c r="G183" s="230">
        <v>21</v>
      </c>
      <c r="H183" s="229">
        <f t="shared" ref="H183:H214" si="74">F183+G183</f>
        <v>45749</v>
      </c>
      <c r="I183" s="230">
        <v>5</v>
      </c>
      <c r="J183" s="229">
        <f t="shared" ref="J183:J214" si="75">H183+I183</f>
        <v>45754</v>
      </c>
      <c r="K183" s="230">
        <v>45</v>
      </c>
      <c r="L183" s="229">
        <f t="shared" ref="L183:L214" si="76">J183+K183</f>
        <v>45799</v>
      </c>
      <c r="M183" s="230">
        <v>31</v>
      </c>
      <c r="N183" s="229">
        <f t="shared" ref="N183:N214" si="77">L183+M183</f>
        <v>45830</v>
      </c>
      <c r="O183" s="230">
        <v>3</v>
      </c>
      <c r="P183" s="229">
        <f t="shared" ref="P183:P214" si="78">N183+O183</f>
        <v>45833</v>
      </c>
      <c r="Q183" s="211">
        <f t="shared" ref="Q183:Q214" si="79">O183+M183+K183+I183+G183+E183</f>
        <v>115</v>
      </c>
      <c r="R183" s="210">
        <v>45833</v>
      </c>
      <c r="S183" s="210">
        <f t="shared" ref="S183:S214" si="80">+T183-23</f>
        <v>-220</v>
      </c>
      <c r="T183" s="210">
        <f t="shared" ref="T183:T214" si="81">+U183-Z183</f>
        <v>-197</v>
      </c>
      <c r="U183" s="210">
        <f t="shared" ref="U183:U214" si="82">+V183-7</f>
        <v>-37</v>
      </c>
      <c r="V183" s="221">
        <f t="shared" ref="V183:V214" si="83">+$C$6-30</f>
        <v>-30</v>
      </c>
      <c r="W183" s="209"/>
      <c r="X183" s="209"/>
      <c r="Y183" s="227"/>
      <c r="Z183" s="216">
        <v>160</v>
      </c>
      <c r="AA183" s="208"/>
      <c r="AB183" s="208"/>
      <c r="AC183" s="208"/>
      <c r="AD183" s="208"/>
      <c r="AE183" s="208"/>
      <c r="AF183" s="208"/>
    </row>
    <row r="184" spans="1:32" x14ac:dyDescent="0.3">
      <c r="A184" s="207">
        <v>8.01</v>
      </c>
      <c r="B184" s="208" t="s">
        <v>1003</v>
      </c>
      <c r="C184" s="209" t="s">
        <v>1005</v>
      </c>
      <c r="D184" s="229">
        <f t="shared" si="72"/>
        <v>45718</v>
      </c>
      <c r="E184" s="230">
        <v>10</v>
      </c>
      <c r="F184" s="229">
        <f t="shared" si="73"/>
        <v>45728</v>
      </c>
      <c r="G184" s="230">
        <v>21</v>
      </c>
      <c r="H184" s="229">
        <f t="shared" si="74"/>
        <v>45749</v>
      </c>
      <c r="I184" s="230">
        <v>5</v>
      </c>
      <c r="J184" s="229">
        <f t="shared" si="75"/>
        <v>45754</v>
      </c>
      <c r="K184" s="230">
        <v>45</v>
      </c>
      <c r="L184" s="229">
        <f t="shared" si="76"/>
        <v>45799</v>
      </c>
      <c r="M184" s="230">
        <v>31</v>
      </c>
      <c r="N184" s="229">
        <f t="shared" si="77"/>
        <v>45830</v>
      </c>
      <c r="O184" s="230">
        <v>3</v>
      </c>
      <c r="P184" s="229">
        <f t="shared" si="78"/>
        <v>45833</v>
      </c>
      <c r="Q184" s="211">
        <f t="shared" si="79"/>
        <v>115</v>
      </c>
      <c r="R184" s="210">
        <v>45833</v>
      </c>
      <c r="S184" s="210">
        <f t="shared" si="80"/>
        <v>-220</v>
      </c>
      <c r="T184" s="210">
        <f t="shared" si="81"/>
        <v>-197</v>
      </c>
      <c r="U184" s="210">
        <f t="shared" si="82"/>
        <v>-37</v>
      </c>
      <c r="V184" s="221">
        <f t="shared" si="83"/>
        <v>-30</v>
      </c>
      <c r="W184" s="209"/>
      <c r="X184" s="209"/>
      <c r="Y184" s="227"/>
      <c r="Z184" s="216">
        <v>160</v>
      </c>
      <c r="AA184" s="208"/>
      <c r="AB184" s="208"/>
      <c r="AC184" s="208"/>
      <c r="AD184" s="208"/>
      <c r="AE184" s="208"/>
      <c r="AF184" s="208"/>
    </row>
    <row r="185" spans="1:32" x14ac:dyDescent="0.3">
      <c r="A185" s="207">
        <v>8.01</v>
      </c>
      <c r="B185" s="208" t="s">
        <v>1003</v>
      </c>
      <c r="C185" s="209" t="s">
        <v>1006</v>
      </c>
      <c r="D185" s="229">
        <f t="shared" si="72"/>
        <v>45718</v>
      </c>
      <c r="E185" s="230">
        <v>10</v>
      </c>
      <c r="F185" s="229">
        <f t="shared" si="73"/>
        <v>45728</v>
      </c>
      <c r="G185" s="230">
        <v>21</v>
      </c>
      <c r="H185" s="229">
        <f t="shared" si="74"/>
        <v>45749</v>
      </c>
      <c r="I185" s="230">
        <v>5</v>
      </c>
      <c r="J185" s="229">
        <f t="shared" si="75"/>
        <v>45754</v>
      </c>
      <c r="K185" s="230">
        <v>45</v>
      </c>
      <c r="L185" s="229">
        <f t="shared" si="76"/>
        <v>45799</v>
      </c>
      <c r="M185" s="230">
        <v>31</v>
      </c>
      <c r="N185" s="229">
        <f t="shared" si="77"/>
        <v>45830</v>
      </c>
      <c r="O185" s="230">
        <v>3</v>
      </c>
      <c r="P185" s="229">
        <f t="shared" si="78"/>
        <v>45833</v>
      </c>
      <c r="Q185" s="211">
        <f t="shared" si="79"/>
        <v>115</v>
      </c>
      <c r="R185" s="210">
        <v>45833</v>
      </c>
      <c r="S185" s="210">
        <f t="shared" si="80"/>
        <v>-90</v>
      </c>
      <c r="T185" s="210">
        <f t="shared" si="81"/>
        <v>-67</v>
      </c>
      <c r="U185" s="210">
        <f t="shared" si="82"/>
        <v>-37</v>
      </c>
      <c r="V185" s="221">
        <f t="shared" si="83"/>
        <v>-30</v>
      </c>
      <c r="W185" s="209"/>
      <c r="X185" s="209"/>
      <c r="Y185" s="227"/>
      <c r="Z185" s="216">
        <v>30</v>
      </c>
      <c r="AA185" s="208"/>
      <c r="AB185" s="208"/>
      <c r="AC185" s="208"/>
      <c r="AD185" s="208"/>
      <c r="AE185" s="208"/>
      <c r="AF185" s="208"/>
    </row>
    <row r="186" spans="1:32" x14ac:dyDescent="0.3">
      <c r="A186" s="207">
        <v>8.01</v>
      </c>
      <c r="B186" s="208" t="s">
        <v>1003</v>
      </c>
      <c r="C186" s="209" t="s">
        <v>1007</v>
      </c>
      <c r="D186" s="229">
        <f t="shared" si="72"/>
        <v>45718</v>
      </c>
      <c r="E186" s="230">
        <v>10</v>
      </c>
      <c r="F186" s="229">
        <f t="shared" si="73"/>
        <v>45728</v>
      </c>
      <c r="G186" s="230">
        <v>21</v>
      </c>
      <c r="H186" s="229">
        <f t="shared" si="74"/>
        <v>45749</v>
      </c>
      <c r="I186" s="230">
        <v>5</v>
      </c>
      <c r="J186" s="229">
        <f t="shared" si="75"/>
        <v>45754</v>
      </c>
      <c r="K186" s="230">
        <v>45</v>
      </c>
      <c r="L186" s="229">
        <f t="shared" si="76"/>
        <v>45799</v>
      </c>
      <c r="M186" s="230">
        <v>31</v>
      </c>
      <c r="N186" s="229">
        <f t="shared" si="77"/>
        <v>45830</v>
      </c>
      <c r="O186" s="230">
        <v>3</v>
      </c>
      <c r="P186" s="229">
        <f t="shared" si="78"/>
        <v>45833</v>
      </c>
      <c r="Q186" s="211">
        <f t="shared" si="79"/>
        <v>115</v>
      </c>
      <c r="R186" s="210">
        <v>45833</v>
      </c>
      <c r="S186" s="210">
        <f t="shared" si="80"/>
        <v>-220</v>
      </c>
      <c r="T186" s="210">
        <f t="shared" si="81"/>
        <v>-197</v>
      </c>
      <c r="U186" s="210">
        <f t="shared" si="82"/>
        <v>-37</v>
      </c>
      <c r="V186" s="221">
        <f t="shared" si="83"/>
        <v>-30</v>
      </c>
      <c r="W186" s="209"/>
      <c r="X186" s="209"/>
      <c r="Y186" s="227"/>
      <c r="Z186" s="216">
        <v>160</v>
      </c>
      <c r="AA186" s="208"/>
      <c r="AB186" s="208"/>
      <c r="AC186" s="208"/>
      <c r="AD186" s="208"/>
      <c r="AE186" s="208"/>
      <c r="AF186" s="208"/>
    </row>
    <row r="187" spans="1:32" x14ac:dyDescent="0.3">
      <c r="A187" s="207">
        <v>8.01</v>
      </c>
      <c r="B187" s="208" t="s">
        <v>1003</v>
      </c>
      <c r="C187" s="209" t="s">
        <v>1008</v>
      </c>
      <c r="D187" s="229">
        <f t="shared" si="72"/>
        <v>45718</v>
      </c>
      <c r="E187" s="230">
        <v>10</v>
      </c>
      <c r="F187" s="229">
        <f t="shared" si="73"/>
        <v>45728</v>
      </c>
      <c r="G187" s="230">
        <v>21</v>
      </c>
      <c r="H187" s="229">
        <f t="shared" si="74"/>
        <v>45749</v>
      </c>
      <c r="I187" s="230">
        <v>5</v>
      </c>
      <c r="J187" s="229">
        <f t="shared" si="75"/>
        <v>45754</v>
      </c>
      <c r="K187" s="230">
        <v>45</v>
      </c>
      <c r="L187" s="229">
        <f t="shared" si="76"/>
        <v>45799</v>
      </c>
      <c r="M187" s="230">
        <v>31</v>
      </c>
      <c r="N187" s="229">
        <f t="shared" si="77"/>
        <v>45830</v>
      </c>
      <c r="O187" s="230">
        <v>3</v>
      </c>
      <c r="P187" s="229">
        <f t="shared" si="78"/>
        <v>45833</v>
      </c>
      <c r="Q187" s="211">
        <f t="shared" si="79"/>
        <v>115</v>
      </c>
      <c r="R187" s="210">
        <v>45833</v>
      </c>
      <c r="S187" s="210">
        <f t="shared" si="80"/>
        <v>-150</v>
      </c>
      <c r="T187" s="210">
        <f t="shared" si="81"/>
        <v>-127</v>
      </c>
      <c r="U187" s="210">
        <f t="shared" si="82"/>
        <v>-37</v>
      </c>
      <c r="V187" s="221">
        <f t="shared" si="83"/>
        <v>-30</v>
      </c>
      <c r="W187" s="209"/>
      <c r="X187" s="209"/>
      <c r="Y187" s="227"/>
      <c r="Z187" s="216">
        <v>90</v>
      </c>
      <c r="AA187" s="208"/>
      <c r="AB187" s="208"/>
      <c r="AC187" s="208"/>
      <c r="AD187" s="208"/>
      <c r="AE187" s="208"/>
      <c r="AF187" s="208"/>
    </row>
    <row r="188" spans="1:32" x14ac:dyDescent="0.3">
      <c r="A188" s="207">
        <v>8.01</v>
      </c>
      <c r="B188" s="208" t="s">
        <v>1003</v>
      </c>
      <c r="C188" s="209" t="s">
        <v>1009</v>
      </c>
      <c r="D188" s="229">
        <f t="shared" si="72"/>
        <v>45718</v>
      </c>
      <c r="E188" s="230">
        <v>10</v>
      </c>
      <c r="F188" s="229">
        <f t="shared" si="73"/>
        <v>45728</v>
      </c>
      <c r="G188" s="230">
        <v>21</v>
      </c>
      <c r="H188" s="229">
        <f t="shared" si="74"/>
        <v>45749</v>
      </c>
      <c r="I188" s="230">
        <v>5</v>
      </c>
      <c r="J188" s="229">
        <f t="shared" si="75"/>
        <v>45754</v>
      </c>
      <c r="K188" s="230">
        <v>45</v>
      </c>
      <c r="L188" s="229">
        <f t="shared" si="76"/>
        <v>45799</v>
      </c>
      <c r="M188" s="230">
        <v>31</v>
      </c>
      <c r="N188" s="229">
        <f t="shared" si="77"/>
        <v>45830</v>
      </c>
      <c r="O188" s="230">
        <v>3</v>
      </c>
      <c r="P188" s="229">
        <f t="shared" si="78"/>
        <v>45833</v>
      </c>
      <c r="Q188" s="211">
        <f t="shared" si="79"/>
        <v>115</v>
      </c>
      <c r="R188" s="210">
        <v>45833</v>
      </c>
      <c r="S188" s="210">
        <f t="shared" si="80"/>
        <v>-150</v>
      </c>
      <c r="T188" s="210">
        <f t="shared" si="81"/>
        <v>-127</v>
      </c>
      <c r="U188" s="210">
        <f t="shared" si="82"/>
        <v>-37</v>
      </c>
      <c r="V188" s="221">
        <f t="shared" si="83"/>
        <v>-30</v>
      </c>
      <c r="W188" s="209"/>
      <c r="X188" s="209"/>
      <c r="Y188" s="227"/>
      <c r="Z188" s="216">
        <v>90</v>
      </c>
      <c r="AA188" s="208"/>
      <c r="AB188" s="208"/>
      <c r="AC188" s="208"/>
      <c r="AD188" s="208"/>
      <c r="AE188" s="208"/>
      <c r="AF188" s="208"/>
    </row>
    <row r="189" spans="1:32" x14ac:dyDescent="0.3">
      <c r="A189" s="207">
        <v>8.01</v>
      </c>
      <c r="B189" s="208" t="s">
        <v>1003</v>
      </c>
      <c r="C189" s="209" t="s">
        <v>1010</v>
      </c>
      <c r="D189" s="229">
        <f t="shared" si="72"/>
        <v>45718</v>
      </c>
      <c r="E189" s="230">
        <v>10</v>
      </c>
      <c r="F189" s="229">
        <f t="shared" si="73"/>
        <v>45728</v>
      </c>
      <c r="G189" s="230">
        <v>21</v>
      </c>
      <c r="H189" s="229">
        <f t="shared" si="74"/>
        <v>45749</v>
      </c>
      <c r="I189" s="230">
        <v>5</v>
      </c>
      <c r="J189" s="229">
        <f t="shared" si="75"/>
        <v>45754</v>
      </c>
      <c r="K189" s="230">
        <v>45</v>
      </c>
      <c r="L189" s="229">
        <f t="shared" si="76"/>
        <v>45799</v>
      </c>
      <c r="M189" s="230">
        <v>31</v>
      </c>
      <c r="N189" s="229">
        <f t="shared" si="77"/>
        <v>45830</v>
      </c>
      <c r="O189" s="230">
        <v>3</v>
      </c>
      <c r="P189" s="229">
        <f t="shared" si="78"/>
        <v>45833</v>
      </c>
      <c r="Q189" s="211">
        <f t="shared" si="79"/>
        <v>115</v>
      </c>
      <c r="R189" s="210">
        <v>45833</v>
      </c>
      <c r="S189" s="210">
        <f t="shared" si="80"/>
        <v>-220</v>
      </c>
      <c r="T189" s="210">
        <f t="shared" si="81"/>
        <v>-197</v>
      </c>
      <c r="U189" s="210">
        <f t="shared" si="82"/>
        <v>-37</v>
      </c>
      <c r="V189" s="221">
        <f t="shared" si="83"/>
        <v>-30</v>
      </c>
      <c r="W189" s="209"/>
      <c r="X189" s="209"/>
      <c r="Y189" s="227"/>
      <c r="Z189" s="216">
        <v>160</v>
      </c>
      <c r="AA189" s="208"/>
      <c r="AB189" s="208"/>
      <c r="AC189" s="208"/>
      <c r="AD189" s="208"/>
      <c r="AE189" s="208"/>
      <c r="AF189" s="208"/>
    </row>
    <row r="190" spans="1:32" x14ac:dyDescent="0.3">
      <c r="A190" s="207">
        <v>8.01</v>
      </c>
      <c r="B190" s="208" t="s">
        <v>1003</v>
      </c>
      <c r="C190" s="209" t="s">
        <v>1011</v>
      </c>
      <c r="D190" s="229">
        <f t="shared" si="72"/>
        <v>45718</v>
      </c>
      <c r="E190" s="230">
        <v>10</v>
      </c>
      <c r="F190" s="229">
        <f t="shared" si="73"/>
        <v>45728</v>
      </c>
      <c r="G190" s="230">
        <v>21</v>
      </c>
      <c r="H190" s="229">
        <f t="shared" si="74"/>
        <v>45749</v>
      </c>
      <c r="I190" s="230">
        <v>5</v>
      </c>
      <c r="J190" s="229">
        <f t="shared" si="75"/>
        <v>45754</v>
      </c>
      <c r="K190" s="230">
        <v>45</v>
      </c>
      <c r="L190" s="229">
        <f t="shared" si="76"/>
        <v>45799</v>
      </c>
      <c r="M190" s="230">
        <v>31</v>
      </c>
      <c r="N190" s="229">
        <f t="shared" si="77"/>
        <v>45830</v>
      </c>
      <c r="O190" s="230">
        <v>3</v>
      </c>
      <c r="P190" s="229">
        <f t="shared" si="78"/>
        <v>45833</v>
      </c>
      <c r="Q190" s="211">
        <f t="shared" si="79"/>
        <v>115</v>
      </c>
      <c r="R190" s="210">
        <v>45833</v>
      </c>
      <c r="S190" s="210">
        <f t="shared" si="80"/>
        <v>-220</v>
      </c>
      <c r="T190" s="210">
        <f t="shared" si="81"/>
        <v>-197</v>
      </c>
      <c r="U190" s="210">
        <f t="shared" si="82"/>
        <v>-37</v>
      </c>
      <c r="V190" s="221">
        <f t="shared" si="83"/>
        <v>-30</v>
      </c>
      <c r="W190" s="209"/>
      <c r="X190" s="209"/>
      <c r="Y190" s="227"/>
      <c r="Z190" s="216">
        <v>160</v>
      </c>
      <c r="AA190" s="208"/>
      <c r="AB190" s="208"/>
      <c r="AC190" s="208"/>
      <c r="AD190" s="208"/>
      <c r="AE190" s="208"/>
      <c r="AF190" s="208"/>
    </row>
    <row r="191" spans="1:32" x14ac:dyDescent="0.3">
      <c r="A191" s="207">
        <v>8.01</v>
      </c>
      <c r="B191" s="208" t="s">
        <v>1003</v>
      </c>
      <c r="C191" s="209" t="s">
        <v>1012</v>
      </c>
      <c r="D191" s="229">
        <f t="shared" si="72"/>
        <v>45718</v>
      </c>
      <c r="E191" s="230">
        <v>10</v>
      </c>
      <c r="F191" s="229">
        <f t="shared" si="73"/>
        <v>45728</v>
      </c>
      <c r="G191" s="230">
        <v>21</v>
      </c>
      <c r="H191" s="229">
        <f t="shared" si="74"/>
        <v>45749</v>
      </c>
      <c r="I191" s="230">
        <v>5</v>
      </c>
      <c r="J191" s="229">
        <f t="shared" si="75"/>
        <v>45754</v>
      </c>
      <c r="K191" s="230">
        <v>45</v>
      </c>
      <c r="L191" s="229">
        <f t="shared" si="76"/>
        <v>45799</v>
      </c>
      <c r="M191" s="230">
        <v>31</v>
      </c>
      <c r="N191" s="229">
        <f t="shared" si="77"/>
        <v>45830</v>
      </c>
      <c r="O191" s="230">
        <v>3</v>
      </c>
      <c r="P191" s="229">
        <f t="shared" si="78"/>
        <v>45833</v>
      </c>
      <c r="Q191" s="211">
        <f t="shared" si="79"/>
        <v>115</v>
      </c>
      <c r="R191" s="210">
        <v>45833</v>
      </c>
      <c r="S191" s="210">
        <f t="shared" si="80"/>
        <v>-220</v>
      </c>
      <c r="T191" s="210">
        <f t="shared" si="81"/>
        <v>-197</v>
      </c>
      <c r="U191" s="210">
        <f t="shared" si="82"/>
        <v>-37</v>
      </c>
      <c r="V191" s="221">
        <f t="shared" si="83"/>
        <v>-30</v>
      </c>
      <c r="W191" s="209"/>
      <c r="X191" s="209"/>
      <c r="Y191" s="227"/>
      <c r="Z191" s="216">
        <v>160</v>
      </c>
      <c r="AA191" s="208"/>
      <c r="AB191" s="208"/>
      <c r="AC191" s="208"/>
      <c r="AD191" s="208"/>
      <c r="AE191" s="208"/>
      <c r="AF191" s="208"/>
    </row>
    <row r="192" spans="1:32" x14ac:dyDescent="0.3">
      <c r="A192" s="207">
        <v>8.02</v>
      </c>
      <c r="B192" s="208" t="s">
        <v>1013</v>
      </c>
      <c r="C192" s="209" t="s">
        <v>511</v>
      </c>
      <c r="D192" s="229">
        <f t="shared" si="72"/>
        <v>45718</v>
      </c>
      <c r="E192" s="230">
        <v>10</v>
      </c>
      <c r="F192" s="229">
        <f t="shared" si="73"/>
        <v>45728</v>
      </c>
      <c r="G192" s="230">
        <v>21</v>
      </c>
      <c r="H192" s="229">
        <f t="shared" si="74"/>
        <v>45749</v>
      </c>
      <c r="I192" s="230">
        <v>5</v>
      </c>
      <c r="J192" s="229">
        <f t="shared" si="75"/>
        <v>45754</v>
      </c>
      <c r="K192" s="230">
        <v>45</v>
      </c>
      <c r="L192" s="229">
        <f t="shared" si="76"/>
        <v>45799</v>
      </c>
      <c r="M192" s="230">
        <v>31</v>
      </c>
      <c r="N192" s="229">
        <f t="shared" si="77"/>
        <v>45830</v>
      </c>
      <c r="O192" s="230">
        <v>3</v>
      </c>
      <c r="P192" s="229">
        <f t="shared" si="78"/>
        <v>45833</v>
      </c>
      <c r="Q192" s="211">
        <f t="shared" si="79"/>
        <v>115</v>
      </c>
      <c r="R192" s="210">
        <v>45833</v>
      </c>
      <c r="S192" s="210">
        <f t="shared" si="80"/>
        <v>-220</v>
      </c>
      <c r="T192" s="210">
        <f t="shared" si="81"/>
        <v>-197</v>
      </c>
      <c r="U192" s="210">
        <f t="shared" si="82"/>
        <v>-37</v>
      </c>
      <c r="V192" s="221">
        <f t="shared" si="83"/>
        <v>-30</v>
      </c>
      <c r="W192" s="209"/>
      <c r="X192" s="209"/>
      <c r="Y192" s="227"/>
      <c r="Z192" s="216">
        <v>160</v>
      </c>
      <c r="AA192" s="208"/>
      <c r="AB192" s="208"/>
      <c r="AC192" s="208"/>
      <c r="AD192" s="208"/>
      <c r="AE192" s="208"/>
      <c r="AF192" s="208"/>
    </row>
    <row r="193" spans="1:32" x14ac:dyDescent="0.3">
      <c r="A193" s="207">
        <v>8.0299999999999994</v>
      </c>
      <c r="B193" s="208" t="s">
        <v>101</v>
      </c>
      <c r="C193" s="209" t="s">
        <v>1014</v>
      </c>
      <c r="D193" s="229">
        <f t="shared" si="72"/>
        <v>45718</v>
      </c>
      <c r="E193" s="230">
        <v>10</v>
      </c>
      <c r="F193" s="229">
        <f t="shared" si="73"/>
        <v>45728</v>
      </c>
      <c r="G193" s="230">
        <v>21</v>
      </c>
      <c r="H193" s="229">
        <f t="shared" si="74"/>
        <v>45749</v>
      </c>
      <c r="I193" s="230">
        <v>5</v>
      </c>
      <c r="J193" s="229">
        <f t="shared" si="75"/>
        <v>45754</v>
      </c>
      <c r="K193" s="230">
        <v>45</v>
      </c>
      <c r="L193" s="229">
        <f t="shared" si="76"/>
        <v>45799</v>
      </c>
      <c r="M193" s="230">
        <v>31</v>
      </c>
      <c r="N193" s="229">
        <f t="shared" si="77"/>
        <v>45830</v>
      </c>
      <c r="O193" s="230">
        <v>3</v>
      </c>
      <c r="P193" s="229">
        <f t="shared" si="78"/>
        <v>45833</v>
      </c>
      <c r="Q193" s="211">
        <f t="shared" si="79"/>
        <v>115</v>
      </c>
      <c r="R193" s="210">
        <v>45833</v>
      </c>
      <c r="S193" s="210">
        <f t="shared" si="80"/>
        <v>-190</v>
      </c>
      <c r="T193" s="210">
        <f t="shared" si="81"/>
        <v>-167</v>
      </c>
      <c r="U193" s="210">
        <f t="shared" si="82"/>
        <v>-37</v>
      </c>
      <c r="V193" s="221">
        <f t="shared" si="83"/>
        <v>-30</v>
      </c>
      <c r="W193" s="209"/>
      <c r="X193" s="209"/>
      <c r="Y193" s="227"/>
      <c r="Z193" s="216">
        <v>130</v>
      </c>
      <c r="AA193" s="208"/>
      <c r="AB193" s="208"/>
      <c r="AC193" s="208"/>
      <c r="AD193" s="208"/>
      <c r="AE193" s="208"/>
      <c r="AF193" s="208"/>
    </row>
    <row r="194" spans="1:32" x14ac:dyDescent="0.3">
      <c r="A194" s="207">
        <v>8.0299999999999994</v>
      </c>
      <c r="B194" s="208" t="s">
        <v>101</v>
      </c>
      <c r="C194" s="209" t="s">
        <v>1015</v>
      </c>
      <c r="D194" s="229">
        <f t="shared" si="72"/>
        <v>45718</v>
      </c>
      <c r="E194" s="230">
        <v>10</v>
      </c>
      <c r="F194" s="229">
        <f t="shared" si="73"/>
        <v>45728</v>
      </c>
      <c r="G194" s="230">
        <v>21</v>
      </c>
      <c r="H194" s="229">
        <f t="shared" si="74"/>
        <v>45749</v>
      </c>
      <c r="I194" s="230">
        <v>5</v>
      </c>
      <c r="J194" s="229">
        <f t="shared" si="75"/>
        <v>45754</v>
      </c>
      <c r="K194" s="230">
        <v>45</v>
      </c>
      <c r="L194" s="229">
        <f t="shared" si="76"/>
        <v>45799</v>
      </c>
      <c r="M194" s="230">
        <v>31</v>
      </c>
      <c r="N194" s="229">
        <f t="shared" si="77"/>
        <v>45830</v>
      </c>
      <c r="O194" s="230">
        <v>3</v>
      </c>
      <c r="P194" s="229">
        <f t="shared" si="78"/>
        <v>45833</v>
      </c>
      <c r="Q194" s="211">
        <f t="shared" si="79"/>
        <v>115</v>
      </c>
      <c r="R194" s="210">
        <v>45833</v>
      </c>
      <c r="S194" s="210">
        <f t="shared" si="80"/>
        <v>-190</v>
      </c>
      <c r="T194" s="210">
        <f t="shared" si="81"/>
        <v>-167</v>
      </c>
      <c r="U194" s="210">
        <f t="shared" si="82"/>
        <v>-37</v>
      </c>
      <c r="V194" s="221">
        <f t="shared" si="83"/>
        <v>-30</v>
      </c>
      <c r="W194" s="209"/>
      <c r="X194" s="209"/>
      <c r="Y194" s="227"/>
      <c r="Z194" s="216">
        <v>130</v>
      </c>
      <c r="AA194" s="208"/>
      <c r="AB194" s="208"/>
      <c r="AC194" s="208"/>
      <c r="AD194" s="208"/>
      <c r="AE194" s="208"/>
      <c r="AF194" s="208"/>
    </row>
    <row r="195" spans="1:32" x14ac:dyDescent="0.3">
      <c r="A195" s="207">
        <v>8.0299999999999994</v>
      </c>
      <c r="B195" s="208" t="s">
        <v>101</v>
      </c>
      <c r="C195" s="209" t="s">
        <v>1016</v>
      </c>
      <c r="D195" s="229">
        <f t="shared" si="72"/>
        <v>45718</v>
      </c>
      <c r="E195" s="230">
        <v>10</v>
      </c>
      <c r="F195" s="229">
        <f t="shared" si="73"/>
        <v>45728</v>
      </c>
      <c r="G195" s="230">
        <v>21</v>
      </c>
      <c r="H195" s="229">
        <f t="shared" si="74"/>
        <v>45749</v>
      </c>
      <c r="I195" s="230">
        <v>5</v>
      </c>
      <c r="J195" s="229">
        <f t="shared" si="75"/>
        <v>45754</v>
      </c>
      <c r="K195" s="230">
        <v>45</v>
      </c>
      <c r="L195" s="229">
        <f t="shared" si="76"/>
        <v>45799</v>
      </c>
      <c r="M195" s="230">
        <v>31</v>
      </c>
      <c r="N195" s="229">
        <f t="shared" si="77"/>
        <v>45830</v>
      </c>
      <c r="O195" s="230">
        <v>3</v>
      </c>
      <c r="P195" s="229">
        <f t="shared" si="78"/>
        <v>45833</v>
      </c>
      <c r="Q195" s="211">
        <f t="shared" si="79"/>
        <v>115</v>
      </c>
      <c r="R195" s="210">
        <v>45833</v>
      </c>
      <c r="S195" s="210">
        <f t="shared" si="80"/>
        <v>-150</v>
      </c>
      <c r="T195" s="210">
        <f t="shared" si="81"/>
        <v>-127</v>
      </c>
      <c r="U195" s="210">
        <f t="shared" si="82"/>
        <v>-37</v>
      </c>
      <c r="V195" s="221">
        <f t="shared" si="83"/>
        <v>-30</v>
      </c>
      <c r="W195" s="209"/>
      <c r="X195" s="209"/>
      <c r="Y195" s="227"/>
      <c r="Z195" s="216">
        <v>90</v>
      </c>
      <c r="AA195" s="208"/>
      <c r="AB195" s="208"/>
      <c r="AC195" s="208"/>
      <c r="AD195" s="208"/>
      <c r="AE195" s="208"/>
      <c r="AF195" s="208"/>
    </row>
    <row r="196" spans="1:32" x14ac:dyDescent="0.3">
      <c r="A196" s="207">
        <v>8.0299999999999994</v>
      </c>
      <c r="B196" s="208" t="s">
        <v>101</v>
      </c>
      <c r="C196" s="209" t="s">
        <v>1017</v>
      </c>
      <c r="D196" s="229">
        <f t="shared" si="72"/>
        <v>45718</v>
      </c>
      <c r="E196" s="230">
        <v>10</v>
      </c>
      <c r="F196" s="229">
        <f t="shared" si="73"/>
        <v>45728</v>
      </c>
      <c r="G196" s="230">
        <v>21</v>
      </c>
      <c r="H196" s="229">
        <f t="shared" si="74"/>
        <v>45749</v>
      </c>
      <c r="I196" s="230">
        <v>5</v>
      </c>
      <c r="J196" s="229">
        <f t="shared" si="75"/>
        <v>45754</v>
      </c>
      <c r="K196" s="230">
        <v>45</v>
      </c>
      <c r="L196" s="229">
        <f t="shared" si="76"/>
        <v>45799</v>
      </c>
      <c r="M196" s="230">
        <v>31</v>
      </c>
      <c r="N196" s="229">
        <f t="shared" si="77"/>
        <v>45830</v>
      </c>
      <c r="O196" s="230">
        <v>3</v>
      </c>
      <c r="P196" s="229">
        <f t="shared" si="78"/>
        <v>45833</v>
      </c>
      <c r="Q196" s="211">
        <f t="shared" si="79"/>
        <v>115</v>
      </c>
      <c r="R196" s="210">
        <v>45833</v>
      </c>
      <c r="S196" s="210">
        <f t="shared" si="80"/>
        <v>-150</v>
      </c>
      <c r="T196" s="210">
        <f t="shared" si="81"/>
        <v>-127</v>
      </c>
      <c r="U196" s="210">
        <f t="shared" si="82"/>
        <v>-37</v>
      </c>
      <c r="V196" s="221">
        <f t="shared" si="83"/>
        <v>-30</v>
      </c>
      <c r="W196" s="209"/>
      <c r="X196" s="209"/>
      <c r="Y196" s="227"/>
      <c r="Z196" s="216">
        <v>90</v>
      </c>
      <c r="AA196" s="208"/>
      <c r="AB196" s="208"/>
      <c r="AC196" s="208"/>
      <c r="AD196" s="208"/>
      <c r="AE196" s="208"/>
      <c r="AF196" s="208"/>
    </row>
    <row r="197" spans="1:32" x14ac:dyDescent="0.3">
      <c r="A197" s="207">
        <v>8.0299999999999994</v>
      </c>
      <c r="B197" s="208" t="s">
        <v>101</v>
      </c>
      <c r="C197" s="209" t="s">
        <v>1018</v>
      </c>
      <c r="D197" s="229">
        <f t="shared" si="72"/>
        <v>45718</v>
      </c>
      <c r="E197" s="230">
        <v>10</v>
      </c>
      <c r="F197" s="229">
        <f t="shared" si="73"/>
        <v>45728</v>
      </c>
      <c r="G197" s="230">
        <v>21</v>
      </c>
      <c r="H197" s="229">
        <f t="shared" si="74"/>
        <v>45749</v>
      </c>
      <c r="I197" s="230">
        <v>5</v>
      </c>
      <c r="J197" s="229">
        <f t="shared" si="75"/>
        <v>45754</v>
      </c>
      <c r="K197" s="230">
        <v>45</v>
      </c>
      <c r="L197" s="229">
        <f t="shared" si="76"/>
        <v>45799</v>
      </c>
      <c r="M197" s="230">
        <v>31</v>
      </c>
      <c r="N197" s="229">
        <f t="shared" si="77"/>
        <v>45830</v>
      </c>
      <c r="O197" s="230">
        <v>3</v>
      </c>
      <c r="P197" s="229">
        <f t="shared" si="78"/>
        <v>45833</v>
      </c>
      <c r="Q197" s="211">
        <f t="shared" si="79"/>
        <v>115</v>
      </c>
      <c r="R197" s="210">
        <v>45833</v>
      </c>
      <c r="S197" s="210">
        <f t="shared" si="80"/>
        <v>-190</v>
      </c>
      <c r="T197" s="210">
        <f t="shared" si="81"/>
        <v>-167</v>
      </c>
      <c r="U197" s="210">
        <f t="shared" si="82"/>
        <v>-37</v>
      </c>
      <c r="V197" s="221">
        <f t="shared" si="83"/>
        <v>-30</v>
      </c>
      <c r="W197" s="209"/>
      <c r="X197" s="209"/>
      <c r="Y197" s="227"/>
      <c r="Z197" s="216">
        <v>130</v>
      </c>
      <c r="AA197" s="208"/>
      <c r="AB197" s="208"/>
      <c r="AC197" s="208"/>
      <c r="AD197" s="208"/>
      <c r="AE197" s="208"/>
      <c r="AF197" s="208"/>
    </row>
    <row r="198" spans="1:32" x14ac:dyDescent="0.3">
      <c r="A198" s="207">
        <v>8.0299999999999994</v>
      </c>
      <c r="B198" s="208" t="s">
        <v>101</v>
      </c>
      <c r="C198" s="209" t="s">
        <v>1019</v>
      </c>
      <c r="D198" s="229">
        <f t="shared" si="72"/>
        <v>45718</v>
      </c>
      <c r="E198" s="230">
        <v>10</v>
      </c>
      <c r="F198" s="229">
        <f t="shared" si="73"/>
        <v>45728</v>
      </c>
      <c r="G198" s="230">
        <v>21</v>
      </c>
      <c r="H198" s="229">
        <f t="shared" si="74"/>
        <v>45749</v>
      </c>
      <c r="I198" s="230">
        <v>5</v>
      </c>
      <c r="J198" s="229">
        <f t="shared" si="75"/>
        <v>45754</v>
      </c>
      <c r="K198" s="230">
        <v>45</v>
      </c>
      <c r="L198" s="229">
        <f t="shared" si="76"/>
        <v>45799</v>
      </c>
      <c r="M198" s="230">
        <v>31</v>
      </c>
      <c r="N198" s="229">
        <f t="shared" si="77"/>
        <v>45830</v>
      </c>
      <c r="O198" s="230">
        <v>3</v>
      </c>
      <c r="P198" s="229">
        <f t="shared" si="78"/>
        <v>45833</v>
      </c>
      <c r="Q198" s="211">
        <f t="shared" si="79"/>
        <v>115</v>
      </c>
      <c r="R198" s="210">
        <v>45833</v>
      </c>
      <c r="S198" s="210">
        <f t="shared" si="80"/>
        <v>-150</v>
      </c>
      <c r="T198" s="210">
        <f t="shared" si="81"/>
        <v>-127</v>
      </c>
      <c r="U198" s="210">
        <f t="shared" si="82"/>
        <v>-37</v>
      </c>
      <c r="V198" s="221">
        <f t="shared" si="83"/>
        <v>-30</v>
      </c>
      <c r="W198" s="209"/>
      <c r="X198" s="209"/>
      <c r="Y198" s="227"/>
      <c r="Z198" s="216">
        <v>90</v>
      </c>
      <c r="AA198" s="208"/>
      <c r="AB198" s="208"/>
      <c r="AC198" s="208"/>
      <c r="AD198" s="208"/>
      <c r="AE198" s="208"/>
      <c r="AF198" s="208"/>
    </row>
    <row r="199" spans="1:32" x14ac:dyDescent="0.3">
      <c r="A199" s="207">
        <v>8.0399999999999991</v>
      </c>
      <c r="B199" s="208" t="s">
        <v>102</v>
      </c>
      <c r="C199" s="209" t="s">
        <v>1020</v>
      </c>
      <c r="D199" s="229">
        <f t="shared" si="72"/>
        <v>45718</v>
      </c>
      <c r="E199" s="230">
        <v>10</v>
      </c>
      <c r="F199" s="229">
        <f t="shared" si="73"/>
        <v>45728</v>
      </c>
      <c r="G199" s="230">
        <v>21</v>
      </c>
      <c r="H199" s="229">
        <f t="shared" si="74"/>
        <v>45749</v>
      </c>
      <c r="I199" s="230">
        <v>5</v>
      </c>
      <c r="J199" s="229">
        <f t="shared" si="75"/>
        <v>45754</v>
      </c>
      <c r="K199" s="230">
        <v>45</v>
      </c>
      <c r="L199" s="229">
        <f t="shared" si="76"/>
        <v>45799</v>
      </c>
      <c r="M199" s="230">
        <v>31</v>
      </c>
      <c r="N199" s="229">
        <f t="shared" si="77"/>
        <v>45830</v>
      </c>
      <c r="O199" s="230">
        <v>3</v>
      </c>
      <c r="P199" s="229">
        <f t="shared" si="78"/>
        <v>45833</v>
      </c>
      <c r="Q199" s="211">
        <f t="shared" si="79"/>
        <v>115</v>
      </c>
      <c r="R199" s="210">
        <v>45833</v>
      </c>
      <c r="S199" s="210">
        <f t="shared" si="80"/>
        <v>-190</v>
      </c>
      <c r="T199" s="210">
        <f t="shared" si="81"/>
        <v>-167</v>
      </c>
      <c r="U199" s="210">
        <f t="shared" si="82"/>
        <v>-37</v>
      </c>
      <c r="V199" s="221">
        <f t="shared" si="83"/>
        <v>-30</v>
      </c>
      <c r="W199" s="209"/>
      <c r="X199" s="209"/>
      <c r="Y199" s="227"/>
      <c r="Z199" s="216">
        <v>130</v>
      </c>
      <c r="AA199" s="208"/>
      <c r="AB199" s="208"/>
      <c r="AC199" s="208"/>
      <c r="AD199" s="208"/>
      <c r="AE199" s="208"/>
      <c r="AF199" s="208"/>
    </row>
    <row r="200" spans="1:32" x14ac:dyDescent="0.3">
      <c r="A200" s="207">
        <v>8.0399999999999991</v>
      </c>
      <c r="B200" s="208" t="s">
        <v>102</v>
      </c>
      <c r="C200" s="209" t="s">
        <v>1021</v>
      </c>
      <c r="D200" s="229">
        <f t="shared" si="72"/>
        <v>45718</v>
      </c>
      <c r="E200" s="230">
        <v>10</v>
      </c>
      <c r="F200" s="229">
        <f t="shared" si="73"/>
        <v>45728</v>
      </c>
      <c r="G200" s="230">
        <v>21</v>
      </c>
      <c r="H200" s="229">
        <f t="shared" si="74"/>
        <v>45749</v>
      </c>
      <c r="I200" s="230">
        <v>5</v>
      </c>
      <c r="J200" s="229">
        <f t="shared" si="75"/>
        <v>45754</v>
      </c>
      <c r="K200" s="230">
        <v>45</v>
      </c>
      <c r="L200" s="229">
        <f t="shared" si="76"/>
        <v>45799</v>
      </c>
      <c r="M200" s="230">
        <v>31</v>
      </c>
      <c r="N200" s="229">
        <f t="shared" si="77"/>
        <v>45830</v>
      </c>
      <c r="O200" s="230">
        <v>3</v>
      </c>
      <c r="P200" s="229">
        <f t="shared" si="78"/>
        <v>45833</v>
      </c>
      <c r="Q200" s="211">
        <f t="shared" si="79"/>
        <v>115</v>
      </c>
      <c r="R200" s="210">
        <v>45833</v>
      </c>
      <c r="S200" s="210">
        <f t="shared" si="80"/>
        <v>-190</v>
      </c>
      <c r="T200" s="210">
        <f t="shared" si="81"/>
        <v>-167</v>
      </c>
      <c r="U200" s="210">
        <f t="shared" si="82"/>
        <v>-37</v>
      </c>
      <c r="V200" s="221">
        <f t="shared" si="83"/>
        <v>-30</v>
      </c>
      <c r="W200" s="209"/>
      <c r="X200" s="209"/>
      <c r="Y200" s="227"/>
      <c r="Z200" s="216">
        <v>130</v>
      </c>
      <c r="AA200" s="208"/>
      <c r="AB200" s="208"/>
      <c r="AC200" s="208"/>
      <c r="AD200" s="208"/>
      <c r="AE200" s="208"/>
      <c r="AF200" s="208"/>
    </row>
    <row r="201" spans="1:32" x14ac:dyDescent="0.3">
      <c r="A201" s="207">
        <v>8.0399999999999991</v>
      </c>
      <c r="B201" s="208" t="s">
        <v>102</v>
      </c>
      <c r="C201" s="209" t="s">
        <v>1022</v>
      </c>
      <c r="D201" s="229">
        <f t="shared" si="72"/>
        <v>45718</v>
      </c>
      <c r="E201" s="230">
        <v>10</v>
      </c>
      <c r="F201" s="229">
        <f t="shared" si="73"/>
        <v>45728</v>
      </c>
      <c r="G201" s="230">
        <v>21</v>
      </c>
      <c r="H201" s="229">
        <f t="shared" si="74"/>
        <v>45749</v>
      </c>
      <c r="I201" s="230">
        <v>5</v>
      </c>
      <c r="J201" s="229">
        <f t="shared" si="75"/>
        <v>45754</v>
      </c>
      <c r="K201" s="230">
        <v>45</v>
      </c>
      <c r="L201" s="229">
        <f t="shared" si="76"/>
        <v>45799</v>
      </c>
      <c r="M201" s="230">
        <v>31</v>
      </c>
      <c r="N201" s="229">
        <f t="shared" si="77"/>
        <v>45830</v>
      </c>
      <c r="O201" s="230">
        <v>3</v>
      </c>
      <c r="P201" s="229">
        <f t="shared" si="78"/>
        <v>45833</v>
      </c>
      <c r="Q201" s="211">
        <f t="shared" si="79"/>
        <v>115</v>
      </c>
      <c r="R201" s="210">
        <v>45833</v>
      </c>
      <c r="S201" s="210">
        <f t="shared" si="80"/>
        <v>-90</v>
      </c>
      <c r="T201" s="210">
        <f t="shared" si="81"/>
        <v>-67</v>
      </c>
      <c r="U201" s="210">
        <f t="shared" si="82"/>
        <v>-37</v>
      </c>
      <c r="V201" s="221">
        <f t="shared" si="83"/>
        <v>-30</v>
      </c>
      <c r="W201" s="209"/>
      <c r="X201" s="209"/>
      <c r="Y201" s="227"/>
      <c r="Z201" s="216">
        <v>30</v>
      </c>
      <c r="AA201" s="208"/>
      <c r="AB201" s="208"/>
      <c r="AC201" s="208"/>
      <c r="AD201" s="208"/>
      <c r="AE201" s="208"/>
      <c r="AF201" s="208"/>
    </row>
    <row r="202" spans="1:32" x14ac:dyDescent="0.3">
      <c r="A202" s="207">
        <v>8.0500000000000007</v>
      </c>
      <c r="B202" s="208" t="s">
        <v>1023</v>
      </c>
      <c r="C202" s="209" t="s">
        <v>1024</v>
      </c>
      <c r="D202" s="229">
        <f t="shared" si="72"/>
        <v>45718</v>
      </c>
      <c r="E202" s="230">
        <v>10</v>
      </c>
      <c r="F202" s="229">
        <f t="shared" si="73"/>
        <v>45728</v>
      </c>
      <c r="G202" s="230">
        <v>21</v>
      </c>
      <c r="H202" s="229">
        <f t="shared" si="74"/>
        <v>45749</v>
      </c>
      <c r="I202" s="230">
        <v>5</v>
      </c>
      <c r="J202" s="229">
        <f t="shared" si="75"/>
        <v>45754</v>
      </c>
      <c r="K202" s="230">
        <v>45</v>
      </c>
      <c r="L202" s="229">
        <f t="shared" si="76"/>
        <v>45799</v>
      </c>
      <c r="M202" s="230">
        <v>31</v>
      </c>
      <c r="N202" s="229">
        <f t="shared" si="77"/>
        <v>45830</v>
      </c>
      <c r="O202" s="230">
        <v>3</v>
      </c>
      <c r="P202" s="229">
        <f t="shared" si="78"/>
        <v>45833</v>
      </c>
      <c r="Q202" s="211">
        <f t="shared" si="79"/>
        <v>115</v>
      </c>
      <c r="R202" s="210">
        <v>45833</v>
      </c>
      <c r="S202" s="210">
        <f t="shared" si="80"/>
        <v>-130</v>
      </c>
      <c r="T202" s="210">
        <f t="shared" si="81"/>
        <v>-107</v>
      </c>
      <c r="U202" s="210">
        <f t="shared" si="82"/>
        <v>-37</v>
      </c>
      <c r="V202" s="221">
        <f t="shared" si="83"/>
        <v>-30</v>
      </c>
      <c r="W202" s="209"/>
      <c r="X202" s="209"/>
      <c r="Y202" s="227"/>
      <c r="Z202" s="216">
        <v>70</v>
      </c>
      <c r="AA202" s="208"/>
      <c r="AB202" s="208"/>
      <c r="AC202" s="208"/>
      <c r="AD202" s="208"/>
      <c r="AE202" s="208"/>
      <c r="AF202" s="208"/>
    </row>
    <row r="203" spans="1:32" x14ac:dyDescent="0.3">
      <c r="A203" s="207">
        <v>8.0500000000000007</v>
      </c>
      <c r="B203" s="208" t="s">
        <v>1023</v>
      </c>
      <c r="C203" s="209" t="s">
        <v>1025</v>
      </c>
      <c r="D203" s="229">
        <f t="shared" si="72"/>
        <v>45718</v>
      </c>
      <c r="E203" s="230">
        <v>10</v>
      </c>
      <c r="F203" s="229">
        <f t="shared" si="73"/>
        <v>45728</v>
      </c>
      <c r="G203" s="230">
        <v>21</v>
      </c>
      <c r="H203" s="229">
        <f t="shared" si="74"/>
        <v>45749</v>
      </c>
      <c r="I203" s="230">
        <v>5</v>
      </c>
      <c r="J203" s="229">
        <f t="shared" si="75"/>
        <v>45754</v>
      </c>
      <c r="K203" s="230">
        <v>45</v>
      </c>
      <c r="L203" s="229">
        <f t="shared" si="76"/>
        <v>45799</v>
      </c>
      <c r="M203" s="230">
        <v>31</v>
      </c>
      <c r="N203" s="229">
        <f t="shared" si="77"/>
        <v>45830</v>
      </c>
      <c r="O203" s="230">
        <v>3</v>
      </c>
      <c r="P203" s="229">
        <f t="shared" si="78"/>
        <v>45833</v>
      </c>
      <c r="Q203" s="211">
        <f t="shared" si="79"/>
        <v>115</v>
      </c>
      <c r="R203" s="210">
        <v>45833</v>
      </c>
      <c r="S203" s="210">
        <f t="shared" si="80"/>
        <v>-340</v>
      </c>
      <c r="T203" s="210">
        <f t="shared" si="81"/>
        <v>-317</v>
      </c>
      <c r="U203" s="210">
        <f t="shared" si="82"/>
        <v>-37</v>
      </c>
      <c r="V203" s="221">
        <f t="shared" si="83"/>
        <v>-30</v>
      </c>
      <c r="W203" s="209"/>
      <c r="X203" s="209"/>
      <c r="Y203" s="227"/>
      <c r="Z203" s="216">
        <v>280</v>
      </c>
      <c r="AA203" s="208"/>
      <c r="AB203" s="208"/>
      <c r="AC203" s="208"/>
      <c r="AD203" s="208"/>
      <c r="AE203" s="208"/>
      <c r="AF203" s="208"/>
    </row>
    <row r="204" spans="1:32" x14ac:dyDescent="0.3">
      <c r="A204" s="207">
        <v>8.0500000000000007</v>
      </c>
      <c r="B204" s="208" t="s">
        <v>1023</v>
      </c>
      <c r="C204" s="209" t="s">
        <v>1026</v>
      </c>
      <c r="D204" s="229">
        <f t="shared" si="72"/>
        <v>45718</v>
      </c>
      <c r="E204" s="230">
        <v>10</v>
      </c>
      <c r="F204" s="229">
        <f t="shared" si="73"/>
        <v>45728</v>
      </c>
      <c r="G204" s="230">
        <v>21</v>
      </c>
      <c r="H204" s="229">
        <f t="shared" si="74"/>
        <v>45749</v>
      </c>
      <c r="I204" s="230">
        <v>5</v>
      </c>
      <c r="J204" s="229">
        <f t="shared" si="75"/>
        <v>45754</v>
      </c>
      <c r="K204" s="230">
        <v>45</v>
      </c>
      <c r="L204" s="229">
        <f t="shared" si="76"/>
        <v>45799</v>
      </c>
      <c r="M204" s="230">
        <v>31</v>
      </c>
      <c r="N204" s="229">
        <f t="shared" si="77"/>
        <v>45830</v>
      </c>
      <c r="O204" s="230">
        <v>3</v>
      </c>
      <c r="P204" s="229">
        <f t="shared" si="78"/>
        <v>45833</v>
      </c>
      <c r="Q204" s="211">
        <f t="shared" si="79"/>
        <v>115</v>
      </c>
      <c r="R204" s="210">
        <v>45833</v>
      </c>
      <c r="S204" s="210">
        <f t="shared" si="80"/>
        <v>-75</v>
      </c>
      <c r="T204" s="210">
        <f t="shared" si="81"/>
        <v>-52</v>
      </c>
      <c r="U204" s="210">
        <f t="shared" si="82"/>
        <v>-37</v>
      </c>
      <c r="V204" s="221">
        <f t="shared" si="83"/>
        <v>-30</v>
      </c>
      <c r="W204" s="209"/>
      <c r="X204" s="209"/>
      <c r="Y204" s="227"/>
      <c r="Z204" s="216">
        <v>15</v>
      </c>
      <c r="AA204" s="208"/>
      <c r="AB204" s="208"/>
      <c r="AC204" s="208"/>
      <c r="AD204" s="208"/>
      <c r="AE204" s="208"/>
      <c r="AF204" s="208"/>
    </row>
    <row r="205" spans="1:32" x14ac:dyDescent="0.3">
      <c r="A205" s="207">
        <v>8.0500000000000007</v>
      </c>
      <c r="B205" s="208" t="s">
        <v>1023</v>
      </c>
      <c r="C205" s="209" t="s">
        <v>1027</v>
      </c>
      <c r="D205" s="229">
        <f t="shared" si="72"/>
        <v>45718</v>
      </c>
      <c r="E205" s="230">
        <v>10</v>
      </c>
      <c r="F205" s="229">
        <f t="shared" si="73"/>
        <v>45728</v>
      </c>
      <c r="G205" s="230">
        <v>21</v>
      </c>
      <c r="H205" s="229">
        <f t="shared" si="74"/>
        <v>45749</v>
      </c>
      <c r="I205" s="230">
        <v>5</v>
      </c>
      <c r="J205" s="229">
        <f t="shared" si="75"/>
        <v>45754</v>
      </c>
      <c r="K205" s="230">
        <v>45</v>
      </c>
      <c r="L205" s="229">
        <f t="shared" si="76"/>
        <v>45799</v>
      </c>
      <c r="M205" s="230">
        <v>31</v>
      </c>
      <c r="N205" s="229">
        <f t="shared" si="77"/>
        <v>45830</v>
      </c>
      <c r="O205" s="230">
        <v>3</v>
      </c>
      <c r="P205" s="229">
        <f t="shared" si="78"/>
        <v>45833</v>
      </c>
      <c r="Q205" s="211">
        <f t="shared" si="79"/>
        <v>115</v>
      </c>
      <c r="R205" s="210">
        <v>45833</v>
      </c>
      <c r="S205" s="210">
        <f t="shared" si="80"/>
        <v>-120</v>
      </c>
      <c r="T205" s="210">
        <f t="shared" si="81"/>
        <v>-97</v>
      </c>
      <c r="U205" s="210">
        <f t="shared" si="82"/>
        <v>-37</v>
      </c>
      <c r="V205" s="221">
        <f t="shared" si="83"/>
        <v>-30</v>
      </c>
      <c r="W205" s="209"/>
      <c r="X205" s="209"/>
      <c r="Y205" s="227"/>
      <c r="Z205" s="216">
        <v>60</v>
      </c>
      <c r="AA205" s="208"/>
      <c r="AB205" s="208"/>
      <c r="AC205" s="208"/>
      <c r="AD205" s="208"/>
      <c r="AE205" s="208"/>
      <c r="AF205" s="208"/>
    </row>
    <row r="206" spans="1:32" x14ac:dyDescent="0.3">
      <c r="A206" s="207">
        <v>8.0500000000000007</v>
      </c>
      <c r="B206" s="208" t="s">
        <v>1023</v>
      </c>
      <c r="C206" s="209" t="s">
        <v>1028</v>
      </c>
      <c r="D206" s="229">
        <f t="shared" si="72"/>
        <v>45718</v>
      </c>
      <c r="E206" s="230">
        <v>10</v>
      </c>
      <c r="F206" s="229">
        <f t="shared" si="73"/>
        <v>45728</v>
      </c>
      <c r="G206" s="230">
        <v>21</v>
      </c>
      <c r="H206" s="229">
        <f t="shared" si="74"/>
        <v>45749</v>
      </c>
      <c r="I206" s="230">
        <v>5</v>
      </c>
      <c r="J206" s="229">
        <f t="shared" si="75"/>
        <v>45754</v>
      </c>
      <c r="K206" s="230">
        <v>45</v>
      </c>
      <c r="L206" s="229">
        <f t="shared" si="76"/>
        <v>45799</v>
      </c>
      <c r="M206" s="230">
        <v>31</v>
      </c>
      <c r="N206" s="229">
        <f t="shared" si="77"/>
        <v>45830</v>
      </c>
      <c r="O206" s="230">
        <v>3</v>
      </c>
      <c r="P206" s="229">
        <f t="shared" si="78"/>
        <v>45833</v>
      </c>
      <c r="Q206" s="211">
        <f t="shared" si="79"/>
        <v>115</v>
      </c>
      <c r="R206" s="210">
        <v>45833</v>
      </c>
      <c r="S206" s="210">
        <f t="shared" si="80"/>
        <v>-120</v>
      </c>
      <c r="T206" s="210">
        <f t="shared" si="81"/>
        <v>-97</v>
      </c>
      <c r="U206" s="210">
        <f t="shared" si="82"/>
        <v>-37</v>
      </c>
      <c r="V206" s="221">
        <f t="shared" si="83"/>
        <v>-30</v>
      </c>
      <c r="W206" s="209"/>
      <c r="X206" s="209"/>
      <c r="Y206" s="227"/>
      <c r="Z206" s="216">
        <v>60</v>
      </c>
      <c r="AA206" s="208"/>
      <c r="AB206" s="208"/>
      <c r="AC206" s="208"/>
      <c r="AD206" s="208"/>
      <c r="AE206" s="208"/>
      <c r="AF206" s="208"/>
    </row>
    <row r="207" spans="1:32" x14ac:dyDescent="0.3">
      <c r="A207" s="207">
        <v>8.0500000000000007</v>
      </c>
      <c r="B207" s="208" t="s">
        <v>1023</v>
      </c>
      <c r="C207" s="209" t="s">
        <v>1029</v>
      </c>
      <c r="D207" s="229">
        <f t="shared" si="72"/>
        <v>45718</v>
      </c>
      <c r="E207" s="230">
        <v>10</v>
      </c>
      <c r="F207" s="229">
        <f t="shared" si="73"/>
        <v>45728</v>
      </c>
      <c r="G207" s="230">
        <v>21</v>
      </c>
      <c r="H207" s="229">
        <f t="shared" si="74"/>
        <v>45749</v>
      </c>
      <c r="I207" s="230">
        <v>5</v>
      </c>
      <c r="J207" s="229">
        <f t="shared" si="75"/>
        <v>45754</v>
      </c>
      <c r="K207" s="230">
        <v>45</v>
      </c>
      <c r="L207" s="229">
        <f t="shared" si="76"/>
        <v>45799</v>
      </c>
      <c r="M207" s="230">
        <v>31</v>
      </c>
      <c r="N207" s="229">
        <f t="shared" si="77"/>
        <v>45830</v>
      </c>
      <c r="O207" s="230">
        <v>3</v>
      </c>
      <c r="P207" s="229">
        <f t="shared" si="78"/>
        <v>45833</v>
      </c>
      <c r="Q207" s="211">
        <f t="shared" si="79"/>
        <v>115</v>
      </c>
      <c r="R207" s="210">
        <v>45833</v>
      </c>
      <c r="S207" s="210">
        <f t="shared" si="80"/>
        <v>-90</v>
      </c>
      <c r="T207" s="210">
        <f t="shared" si="81"/>
        <v>-67</v>
      </c>
      <c r="U207" s="210">
        <f t="shared" si="82"/>
        <v>-37</v>
      </c>
      <c r="V207" s="221">
        <f t="shared" si="83"/>
        <v>-30</v>
      </c>
      <c r="W207" s="209"/>
      <c r="X207" s="209"/>
      <c r="Y207" s="227"/>
      <c r="Z207" s="216">
        <v>30</v>
      </c>
      <c r="AA207" s="208"/>
      <c r="AB207" s="208"/>
      <c r="AC207" s="208"/>
      <c r="AD207" s="208"/>
      <c r="AE207" s="208"/>
      <c r="AF207" s="208"/>
    </row>
    <row r="208" spans="1:32" x14ac:dyDescent="0.3">
      <c r="A208" s="207">
        <v>8.0500000000000007</v>
      </c>
      <c r="B208" s="208" t="s">
        <v>1023</v>
      </c>
      <c r="C208" s="209" t="s">
        <v>1030</v>
      </c>
      <c r="D208" s="229">
        <f t="shared" si="72"/>
        <v>45718</v>
      </c>
      <c r="E208" s="230">
        <v>10</v>
      </c>
      <c r="F208" s="229">
        <f t="shared" si="73"/>
        <v>45728</v>
      </c>
      <c r="G208" s="230">
        <v>21</v>
      </c>
      <c r="H208" s="229">
        <f t="shared" si="74"/>
        <v>45749</v>
      </c>
      <c r="I208" s="230">
        <v>5</v>
      </c>
      <c r="J208" s="229">
        <f t="shared" si="75"/>
        <v>45754</v>
      </c>
      <c r="K208" s="230">
        <v>45</v>
      </c>
      <c r="L208" s="229">
        <f t="shared" si="76"/>
        <v>45799</v>
      </c>
      <c r="M208" s="230">
        <v>31</v>
      </c>
      <c r="N208" s="229">
        <f t="shared" si="77"/>
        <v>45830</v>
      </c>
      <c r="O208" s="230">
        <v>3</v>
      </c>
      <c r="P208" s="229">
        <f t="shared" si="78"/>
        <v>45833</v>
      </c>
      <c r="Q208" s="211">
        <f t="shared" si="79"/>
        <v>115</v>
      </c>
      <c r="R208" s="210">
        <v>45833</v>
      </c>
      <c r="S208" s="210">
        <f t="shared" si="80"/>
        <v>-90</v>
      </c>
      <c r="T208" s="210">
        <f t="shared" si="81"/>
        <v>-67</v>
      </c>
      <c r="U208" s="210">
        <f t="shared" si="82"/>
        <v>-37</v>
      </c>
      <c r="V208" s="221">
        <f t="shared" si="83"/>
        <v>-30</v>
      </c>
      <c r="W208" s="209"/>
      <c r="X208" s="209"/>
      <c r="Y208" s="227"/>
      <c r="Z208" s="216">
        <v>30</v>
      </c>
      <c r="AA208" s="208"/>
      <c r="AB208" s="208"/>
      <c r="AC208" s="208"/>
      <c r="AD208" s="208"/>
      <c r="AE208" s="208"/>
      <c r="AF208" s="208"/>
    </row>
    <row r="209" spans="1:32" x14ac:dyDescent="0.3">
      <c r="A209" s="207">
        <v>8.0500000000000007</v>
      </c>
      <c r="B209" s="208" t="s">
        <v>1023</v>
      </c>
      <c r="C209" s="209" t="s">
        <v>1031</v>
      </c>
      <c r="D209" s="229">
        <f t="shared" si="72"/>
        <v>45718</v>
      </c>
      <c r="E209" s="230">
        <v>10</v>
      </c>
      <c r="F209" s="229">
        <f t="shared" si="73"/>
        <v>45728</v>
      </c>
      <c r="G209" s="230">
        <v>21</v>
      </c>
      <c r="H209" s="229">
        <f t="shared" si="74"/>
        <v>45749</v>
      </c>
      <c r="I209" s="230">
        <v>5</v>
      </c>
      <c r="J209" s="229">
        <f t="shared" si="75"/>
        <v>45754</v>
      </c>
      <c r="K209" s="230">
        <v>45</v>
      </c>
      <c r="L209" s="229">
        <f t="shared" si="76"/>
        <v>45799</v>
      </c>
      <c r="M209" s="230">
        <v>31</v>
      </c>
      <c r="N209" s="229">
        <f t="shared" si="77"/>
        <v>45830</v>
      </c>
      <c r="O209" s="230">
        <v>3</v>
      </c>
      <c r="P209" s="229">
        <f t="shared" si="78"/>
        <v>45833</v>
      </c>
      <c r="Q209" s="211">
        <f t="shared" si="79"/>
        <v>115</v>
      </c>
      <c r="R209" s="210">
        <v>45833</v>
      </c>
      <c r="S209" s="210">
        <f t="shared" si="80"/>
        <v>-90</v>
      </c>
      <c r="T209" s="210">
        <f t="shared" si="81"/>
        <v>-67</v>
      </c>
      <c r="U209" s="210">
        <f t="shared" si="82"/>
        <v>-37</v>
      </c>
      <c r="V209" s="221">
        <f t="shared" si="83"/>
        <v>-30</v>
      </c>
      <c r="W209" s="209"/>
      <c r="X209" s="209"/>
      <c r="Y209" s="227"/>
      <c r="Z209" s="216">
        <v>30</v>
      </c>
      <c r="AA209" s="208"/>
      <c r="AB209" s="208"/>
      <c r="AC209" s="208"/>
      <c r="AD209" s="208"/>
      <c r="AE209" s="208"/>
      <c r="AF209" s="208"/>
    </row>
    <row r="210" spans="1:32" x14ac:dyDescent="0.3">
      <c r="A210" s="207">
        <v>8.0500000000000007</v>
      </c>
      <c r="B210" s="208" t="s">
        <v>1023</v>
      </c>
      <c r="C210" s="209" t="s">
        <v>1028</v>
      </c>
      <c r="D210" s="229">
        <f t="shared" si="72"/>
        <v>45718</v>
      </c>
      <c r="E210" s="230">
        <v>10</v>
      </c>
      <c r="F210" s="229">
        <f t="shared" si="73"/>
        <v>45728</v>
      </c>
      <c r="G210" s="230">
        <v>21</v>
      </c>
      <c r="H210" s="229">
        <f t="shared" si="74"/>
        <v>45749</v>
      </c>
      <c r="I210" s="230">
        <v>5</v>
      </c>
      <c r="J210" s="229">
        <f t="shared" si="75"/>
        <v>45754</v>
      </c>
      <c r="K210" s="230">
        <v>45</v>
      </c>
      <c r="L210" s="229">
        <f t="shared" si="76"/>
        <v>45799</v>
      </c>
      <c r="M210" s="230">
        <v>31</v>
      </c>
      <c r="N210" s="229">
        <f t="shared" si="77"/>
        <v>45830</v>
      </c>
      <c r="O210" s="230">
        <v>3</v>
      </c>
      <c r="P210" s="229">
        <f t="shared" si="78"/>
        <v>45833</v>
      </c>
      <c r="Q210" s="211">
        <f t="shared" si="79"/>
        <v>115</v>
      </c>
      <c r="R210" s="210">
        <v>45833</v>
      </c>
      <c r="S210" s="210">
        <f t="shared" si="80"/>
        <v>-120</v>
      </c>
      <c r="T210" s="210">
        <f t="shared" si="81"/>
        <v>-97</v>
      </c>
      <c r="U210" s="210">
        <f t="shared" si="82"/>
        <v>-37</v>
      </c>
      <c r="V210" s="221">
        <f t="shared" si="83"/>
        <v>-30</v>
      </c>
      <c r="W210" s="209"/>
      <c r="X210" s="209"/>
      <c r="Y210" s="227"/>
      <c r="Z210" s="216">
        <v>60</v>
      </c>
      <c r="AA210" s="208"/>
      <c r="AB210" s="208"/>
      <c r="AC210" s="208"/>
      <c r="AD210" s="208"/>
      <c r="AE210" s="208"/>
      <c r="AF210" s="208"/>
    </row>
    <row r="211" spans="1:32" x14ac:dyDescent="0.3">
      <c r="A211" s="207">
        <v>8.0500000000000007</v>
      </c>
      <c r="B211" s="208" t="s">
        <v>1023</v>
      </c>
      <c r="C211" s="209" t="s">
        <v>1032</v>
      </c>
      <c r="D211" s="229">
        <f t="shared" si="72"/>
        <v>45718</v>
      </c>
      <c r="E211" s="230">
        <v>10</v>
      </c>
      <c r="F211" s="229">
        <f t="shared" si="73"/>
        <v>45728</v>
      </c>
      <c r="G211" s="230">
        <v>21</v>
      </c>
      <c r="H211" s="229">
        <f t="shared" si="74"/>
        <v>45749</v>
      </c>
      <c r="I211" s="230">
        <v>5</v>
      </c>
      <c r="J211" s="229">
        <f t="shared" si="75"/>
        <v>45754</v>
      </c>
      <c r="K211" s="230">
        <v>45</v>
      </c>
      <c r="L211" s="229">
        <f t="shared" si="76"/>
        <v>45799</v>
      </c>
      <c r="M211" s="230">
        <v>31</v>
      </c>
      <c r="N211" s="229">
        <f t="shared" si="77"/>
        <v>45830</v>
      </c>
      <c r="O211" s="230">
        <v>3</v>
      </c>
      <c r="P211" s="229">
        <f t="shared" si="78"/>
        <v>45833</v>
      </c>
      <c r="Q211" s="211">
        <f t="shared" si="79"/>
        <v>115</v>
      </c>
      <c r="R211" s="210">
        <v>45833</v>
      </c>
      <c r="S211" s="210">
        <f t="shared" si="80"/>
        <v>-190</v>
      </c>
      <c r="T211" s="210">
        <f t="shared" si="81"/>
        <v>-167</v>
      </c>
      <c r="U211" s="210">
        <f t="shared" si="82"/>
        <v>-37</v>
      </c>
      <c r="V211" s="221">
        <f t="shared" si="83"/>
        <v>-30</v>
      </c>
      <c r="W211" s="209"/>
      <c r="X211" s="209"/>
      <c r="Y211" s="227"/>
      <c r="Z211" s="216">
        <v>130</v>
      </c>
      <c r="AA211" s="208"/>
      <c r="AB211" s="208"/>
      <c r="AC211" s="208"/>
      <c r="AD211" s="208"/>
      <c r="AE211" s="208"/>
      <c r="AF211" s="208"/>
    </row>
    <row r="212" spans="1:32" x14ac:dyDescent="0.3">
      <c r="A212" s="207">
        <v>8.0500000000000007</v>
      </c>
      <c r="B212" s="208" t="s">
        <v>1023</v>
      </c>
      <c r="C212" s="209" t="s">
        <v>1033</v>
      </c>
      <c r="D212" s="229">
        <f t="shared" si="72"/>
        <v>45718</v>
      </c>
      <c r="E212" s="230">
        <v>10</v>
      </c>
      <c r="F212" s="229">
        <f t="shared" si="73"/>
        <v>45728</v>
      </c>
      <c r="G212" s="230">
        <v>21</v>
      </c>
      <c r="H212" s="229">
        <f t="shared" si="74"/>
        <v>45749</v>
      </c>
      <c r="I212" s="230">
        <v>5</v>
      </c>
      <c r="J212" s="229">
        <f t="shared" si="75"/>
        <v>45754</v>
      </c>
      <c r="K212" s="230">
        <v>45</v>
      </c>
      <c r="L212" s="229">
        <f t="shared" si="76"/>
        <v>45799</v>
      </c>
      <c r="M212" s="230">
        <v>31</v>
      </c>
      <c r="N212" s="229">
        <f t="shared" si="77"/>
        <v>45830</v>
      </c>
      <c r="O212" s="230">
        <v>3</v>
      </c>
      <c r="P212" s="229">
        <f t="shared" si="78"/>
        <v>45833</v>
      </c>
      <c r="Q212" s="211">
        <f t="shared" si="79"/>
        <v>115</v>
      </c>
      <c r="R212" s="210">
        <v>45833</v>
      </c>
      <c r="S212" s="210">
        <f t="shared" si="80"/>
        <v>-120</v>
      </c>
      <c r="T212" s="210">
        <f t="shared" si="81"/>
        <v>-97</v>
      </c>
      <c r="U212" s="210">
        <f t="shared" si="82"/>
        <v>-37</v>
      </c>
      <c r="V212" s="221">
        <f t="shared" si="83"/>
        <v>-30</v>
      </c>
      <c r="W212" s="209"/>
      <c r="X212" s="209"/>
      <c r="Y212" s="227"/>
      <c r="Z212" s="216">
        <v>60</v>
      </c>
      <c r="AA212" s="208"/>
      <c r="AB212" s="208"/>
      <c r="AC212" s="208"/>
      <c r="AD212" s="208"/>
      <c r="AE212" s="208"/>
      <c r="AF212" s="208"/>
    </row>
    <row r="213" spans="1:32" x14ac:dyDescent="0.3">
      <c r="A213" s="207">
        <v>8.0500000000000007</v>
      </c>
      <c r="B213" s="208" t="s">
        <v>1023</v>
      </c>
      <c r="C213" s="209" t="s">
        <v>1034</v>
      </c>
      <c r="D213" s="229">
        <f t="shared" si="72"/>
        <v>45718</v>
      </c>
      <c r="E213" s="230">
        <v>10</v>
      </c>
      <c r="F213" s="229">
        <f t="shared" si="73"/>
        <v>45728</v>
      </c>
      <c r="G213" s="230">
        <v>21</v>
      </c>
      <c r="H213" s="229">
        <f t="shared" si="74"/>
        <v>45749</v>
      </c>
      <c r="I213" s="230">
        <v>5</v>
      </c>
      <c r="J213" s="229">
        <f t="shared" si="75"/>
        <v>45754</v>
      </c>
      <c r="K213" s="230">
        <v>45</v>
      </c>
      <c r="L213" s="229">
        <f t="shared" si="76"/>
        <v>45799</v>
      </c>
      <c r="M213" s="230">
        <v>31</v>
      </c>
      <c r="N213" s="229">
        <f t="shared" si="77"/>
        <v>45830</v>
      </c>
      <c r="O213" s="230">
        <v>3</v>
      </c>
      <c r="P213" s="229">
        <f t="shared" si="78"/>
        <v>45833</v>
      </c>
      <c r="Q213" s="211">
        <f t="shared" si="79"/>
        <v>115</v>
      </c>
      <c r="R213" s="210">
        <v>45833</v>
      </c>
      <c r="S213" s="210">
        <f t="shared" si="80"/>
        <v>-90</v>
      </c>
      <c r="T213" s="210">
        <f t="shared" si="81"/>
        <v>-67</v>
      </c>
      <c r="U213" s="210">
        <f t="shared" si="82"/>
        <v>-37</v>
      </c>
      <c r="V213" s="221">
        <f t="shared" si="83"/>
        <v>-30</v>
      </c>
      <c r="W213" s="209"/>
      <c r="X213" s="209"/>
      <c r="Y213" s="227"/>
      <c r="Z213" s="216">
        <v>30</v>
      </c>
      <c r="AA213" s="208"/>
      <c r="AB213" s="208"/>
      <c r="AC213" s="208"/>
      <c r="AD213" s="208"/>
      <c r="AE213" s="208"/>
      <c r="AF213" s="208"/>
    </row>
    <row r="214" spans="1:32" x14ac:dyDescent="0.3">
      <c r="A214" s="207">
        <v>8.0500000000000007</v>
      </c>
      <c r="B214" s="208" t="s">
        <v>1023</v>
      </c>
      <c r="C214" s="209" t="s">
        <v>1035</v>
      </c>
      <c r="D214" s="229">
        <f t="shared" si="72"/>
        <v>45718</v>
      </c>
      <c r="E214" s="230">
        <v>10</v>
      </c>
      <c r="F214" s="229">
        <f t="shared" si="73"/>
        <v>45728</v>
      </c>
      <c r="G214" s="230">
        <v>21</v>
      </c>
      <c r="H214" s="229">
        <f t="shared" si="74"/>
        <v>45749</v>
      </c>
      <c r="I214" s="230">
        <v>5</v>
      </c>
      <c r="J214" s="229">
        <f t="shared" si="75"/>
        <v>45754</v>
      </c>
      <c r="K214" s="230">
        <v>45</v>
      </c>
      <c r="L214" s="229">
        <f t="shared" si="76"/>
        <v>45799</v>
      </c>
      <c r="M214" s="230">
        <v>31</v>
      </c>
      <c r="N214" s="229">
        <f t="shared" si="77"/>
        <v>45830</v>
      </c>
      <c r="O214" s="230">
        <v>3</v>
      </c>
      <c r="P214" s="229">
        <f t="shared" si="78"/>
        <v>45833</v>
      </c>
      <c r="Q214" s="211">
        <f t="shared" si="79"/>
        <v>115</v>
      </c>
      <c r="R214" s="210">
        <v>45833</v>
      </c>
      <c r="S214" s="210">
        <f t="shared" si="80"/>
        <v>-90</v>
      </c>
      <c r="T214" s="210">
        <f t="shared" si="81"/>
        <v>-67</v>
      </c>
      <c r="U214" s="210">
        <f t="shared" si="82"/>
        <v>-37</v>
      </c>
      <c r="V214" s="221">
        <f t="shared" si="83"/>
        <v>-30</v>
      </c>
      <c r="W214" s="209"/>
      <c r="X214" s="209"/>
      <c r="Y214" s="227"/>
      <c r="Z214" s="216">
        <v>30</v>
      </c>
      <c r="AA214" s="208"/>
      <c r="AB214" s="208"/>
      <c r="AC214" s="208"/>
      <c r="AD214" s="208"/>
      <c r="AE214" s="208"/>
      <c r="AF214" s="208"/>
    </row>
    <row r="215" spans="1:32" x14ac:dyDescent="0.3">
      <c r="A215" s="207">
        <v>8.06</v>
      </c>
      <c r="B215" s="208" t="s">
        <v>1036</v>
      </c>
      <c r="C215" s="209" t="s">
        <v>1037</v>
      </c>
      <c r="D215" s="229">
        <f t="shared" ref="D215:D246" si="84">R215-(E215+G215+I215+K215+M215+O215)</f>
        <v>45718</v>
      </c>
      <c r="E215" s="230">
        <v>10</v>
      </c>
      <c r="F215" s="229">
        <f t="shared" ref="F215:F246" si="85">D215+E215</f>
        <v>45728</v>
      </c>
      <c r="G215" s="230">
        <v>21</v>
      </c>
      <c r="H215" s="229">
        <f t="shared" ref="H215:H246" si="86">F215+G215</f>
        <v>45749</v>
      </c>
      <c r="I215" s="230">
        <v>5</v>
      </c>
      <c r="J215" s="229">
        <f t="shared" ref="J215:J246" si="87">H215+I215</f>
        <v>45754</v>
      </c>
      <c r="K215" s="230">
        <v>45</v>
      </c>
      <c r="L215" s="229">
        <f t="shared" ref="L215:L246" si="88">J215+K215</f>
        <v>45799</v>
      </c>
      <c r="M215" s="230">
        <v>31</v>
      </c>
      <c r="N215" s="229">
        <f t="shared" ref="N215:N246" si="89">L215+M215</f>
        <v>45830</v>
      </c>
      <c r="O215" s="230">
        <v>3</v>
      </c>
      <c r="P215" s="229">
        <f t="shared" ref="P215:P246" si="90">N215+O215</f>
        <v>45833</v>
      </c>
      <c r="Q215" s="211">
        <f t="shared" ref="Q215:Q246" si="91">O215+M215+K215+I215+G215+E215</f>
        <v>115</v>
      </c>
      <c r="R215" s="210">
        <v>45833</v>
      </c>
      <c r="S215" s="210">
        <f t="shared" ref="S215:S246" si="92">+T215-23</f>
        <v>-120</v>
      </c>
      <c r="T215" s="210">
        <f t="shared" ref="T215:T246" si="93">+U215-Z215</f>
        <v>-97</v>
      </c>
      <c r="U215" s="210">
        <f t="shared" ref="U215:U246" si="94">+V215-7</f>
        <v>-37</v>
      </c>
      <c r="V215" s="221">
        <f t="shared" ref="V215:V246" si="95">+$C$6-30</f>
        <v>-30</v>
      </c>
      <c r="W215" s="209"/>
      <c r="X215" s="209"/>
      <c r="Y215" s="227"/>
      <c r="Z215" s="216">
        <v>60</v>
      </c>
      <c r="AA215" s="208"/>
      <c r="AB215" s="208"/>
      <c r="AC215" s="208"/>
      <c r="AD215" s="208"/>
      <c r="AE215" s="208"/>
      <c r="AF215" s="208"/>
    </row>
    <row r="216" spans="1:32" x14ac:dyDescent="0.3">
      <c r="A216" s="207">
        <v>8.06</v>
      </c>
      <c r="B216" s="208" t="s">
        <v>1036</v>
      </c>
      <c r="C216" s="209" t="s">
        <v>1038</v>
      </c>
      <c r="D216" s="229">
        <f t="shared" si="84"/>
        <v>45718</v>
      </c>
      <c r="E216" s="230">
        <v>10</v>
      </c>
      <c r="F216" s="229">
        <f t="shared" si="85"/>
        <v>45728</v>
      </c>
      <c r="G216" s="230">
        <v>21</v>
      </c>
      <c r="H216" s="229">
        <f t="shared" si="86"/>
        <v>45749</v>
      </c>
      <c r="I216" s="230">
        <v>5</v>
      </c>
      <c r="J216" s="229">
        <f t="shared" si="87"/>
        <v>45754</v>
      </c>
      <c r="K216" s="230">
        <v>45</v>
      </c>
      <c r="L216" s="229">
        <f t="shared" si="88"/>
        <v>45799</v>
      </c>
      <c r="M216" s="230">
        <v>31</v>
      </c>
      <c r="N216" s="229">
        <f t="shared" si="89"/>
        <v>45830</v>
      </c>
      <c r="O216" s="230">
        <v>3</v>
      </c>
      <c r="P216" s="229">
        <f t="shared" si="90"/>
        <v>45833</v>
      </c>
      <c r="Q216" s="211">
        <f t="shared" si="91"/>
        <v>115</v>
      </c>
      <c r="R216" s="210">
        <v>45833</v>
      </c>
      <c r="S216" s="210">
        <f t="shared" si="92"/>
        <v>-120</v>
      </c>
      <c r="T216" s="210">
        <f t="shared" si="93"/>
        <v>-97</v>
      </c>
      <c r="U216" s="210">
        <f t="shared" si="94"/>
        <v>-37</v>
      </c>
      <c r="V216" s="221">
        <f t="shared" si="95"/>
        <v>-30</v>
      </c>
      <c r="W216" s="209"/>
      <c r="X216" s="209"/>
      <c r="Y216" s="227"/>
      <c r="Z216" s="216">
        <v>60</v>
      </c>
      <c r="AA216" s="208"/>
      <c r="AB216" s="208"/>
      <c r="AC216" s="208"/>
      <c r="AD216" s="208"/>
      <c r="AE216" s="208"/>
      <c r="AF216" s="208"/>
    </row>
    <row r="217" spans="1:32" x14ac:dyDescent="0.3">
      <c r="A217" s="207">
        <v>8.06</v>
      </c>
      <c r="B217" s="208" t="s">
        <v>1036</v>
      </c>
      <c r="C217" s="209" t="s">
        <v>1039</v>
      </c>
      <c r="D217" s="229">
        <f t="shared" si="84"/>
        <v>45718</v>
      </c>
      <c r="E217" s="230">
        <v>10</v>
      </c>
      <c r="F217" s="229">
        <f t="shared" si="85"/>
        <v>45728</v>
      </c>
      <c r="G217" s="230">
        <v>21</v>
      </c>
      <c r="H217" s="229">
        <f t="shared" si="86"/>
        <v>45749</v>
      </c>
      <c r="I217" s="230">
        <v>5</v>
      </c>
      <c r="J217" s="229">
        <f t="shared" si="87"/>
        <v>45754</v>
      </c>
      <c r="K217" s="230">
        <v>45</v>
      </c>
      <c r="L217" s="229">
        <f t="shared" si="88"/>
        <v>45799</v>
      </c>
      <c r="M217" s="230">
        <v>31</v>
      </c>
      <c r="N217" s="229">
        <f t="shared" si="89"/>
        <v>45830</v>
      </c>
      <c r="O217" s="230">
        <v>3</v>
      </c>
      <c r="P217" s="229">
        <f t="shared" si="90"/>
        <v>45833</v>
      </c>
      <c r="Q217" s="211">
        <f t="shared" si="91"/>
        <v>115</v>
      </c>
      <c r="R217" s="210">
        <v>45833</v>
      </c>
      <c r="S217" s="210">
        <f t="shared" si="92"/>
        <v>-60</v>
      </c>
      <c r="T217" s="210">
        <f t="shared" si="93"/>
        <v>-37</v>
      </c>
      <c r="U217" s="210">
        <f t="shared" si="94"/>
        <v>-37</v>
      </c>
      <c r="V217" s="221">
        <f t="shared" si="95"/>
        <v>-30</v>
      </c>
      <c r="W217" s="209"/>
      <c r="X217" s="209"/>
      <c r="Y217" s="227"/>
      <c r="Z217" s="216"/>
      <c r="AA217" s="208"/>
      <c r="AB217" s="208"/>
      <c r="AC217" s="208"/>
      <c r="AD217" s="208"/>
      <c r="AE217" s="208"/>
      <c r="AF217" s="208"/>
    </row>
    <row r="218" spans="1:32" x14ac:dyDescent="0.3">
      <c r="A218" s="207">
        <v>8.06</v>
      </c>
      <c r="B218" s="208" t="s">
        <v>1036</v>
      </c>
      <c r="C218" s="209" t="s">
        <v>1040</v>
      </c>
      <c r="D218" s="229">
        <f t="shared" si="84"/>
        <v>45718</v>
      </c>
      <c r="E218" s="230">
        <v>10</v>
      </c>
      <c r="F218" s="229">
        <f t="shared" si="85"/>
        <v>45728</v>
      </c>
      <c r="G218" s="230">
        <v>21</v>
      </c>
      <c r="H218" s="229">
        <f t="shared" si="86"/>
        <v>45749</v>
      </c>
      <c r="I218" s="230">
        <v>5</v>
      </c>
      <c r="J218" s="229">
        <f t="shared" si="87"/>
        <v>45754</v>
      </c>
      <c r="K218" s="230">
        <v>45</v>
      </c>
      <c r="L218" s="229">
        <f t="shared" si="88"/>
        <v>45799</v>
      </c>
      <c r="M218" s="230">
        <v>31</v>
      </c>
      <c r="N218" s="229">
        <f t="shared" si="89"/>
        <v>45830</v>
      </c>
      <c r="O218" s="230">
        <v>3</v>
      </c>
      <c r="P218" s="229">
        <f t="shared" si="90"/>
        <v>45833</v>
      </c>
      <c r="Q218" s="211">
        <f t="shared" si="91"/>
        <v>115</v>
      </c>
      <c r="R218" s="210">
        <v>45833</v>
      </c>
      <c r="S218" s="210">
        <f t="shared" si="92"/>
        <v>-120</v>
      </c>
      <c r="T218" s="210">
        <f t="shared" si="93"/>
        <v>-97</v>
      </c>
      <c r="U218" s="210">
        <f t="shared" si="94"/>
        <v>-37</v>
      </c>
      <c r="V218" s="221">
        <f t="shared" si="95"/>
        <v>-30</v>
      </c>
      <c r="W218" s="209"/>
      <c r="X218" s="209"/>
      <c r="Y218" s="227"/>
      <c r="Z218" s="216">
        <v>60</v>
      </c>
      <c r="AA218" s="208"/>
      <c r="AB218" s="208"/>
      <c r="AC218" s="208"/>
      <c r="AD218" s="208"/>
      <c r="AE218" s="208"/>
      <c r="AF218" s="208"/>
    </row>
    <row r="219" spans="1:32" x14ac:dyDescent="0.3">
      <c r="A219" s="207">
        <v>8.06</v>
      </c>
      <c r="B219" s="208" t="s">
        <v>1036</v>
      </c>
      <c r="C219" s="209" t="s">
        <v>1041</v>
      </c>
      <c r="D219" s="229">
        <f t="shared" si="84"/>
        <v>45718</v>
      </c>
      <c r="E219" s="230">
        <v>10</v>
      </c>
      <c r="F219" s="229">
        <f t="shared" si="85"/>
        <v>45728</v>
      </c>
      <c r="G219" s="230">
        <v>21</v>
      </c>
      <c r="H219" s="229">
        <f t="shared" si="86"/>
        <v>45749</v>
      </c>
      <c r="I219" s="230">
        <v>5</v>
      </c>
      <c r="J219" s="229">
        <f t="shared" si="87"/>
        <v>45754</v>
      </c>
      <c r="K219" s="230">
        <v>45</v>
      </c>
      <c r="L219" s="229">
        <f t="shared" si="88"/>
        <v>45799</v>
      </c>
      <c r="M219" s="230">
        <v>31</v>
      </c>
      <c r="N219" s="229">
        <f t="shared" si="89"/>
        <v>45830</v>
      </c>
      <c r="O219" s="230">
        <v>3</v>
      </c>
      <c r="P219" s="229">
        <f t="shared" si="90"/>
        <v>45833</v>
      </c>
      <c r="Q219" s="211">
        <f t="shared" si="91"/>
        <v>115</v>
      </c>
      <c r="R219" s="210">
        <v>45833</v>
      </c>
      <c r="S219" s="210">
        <f t="shared" si="92"/>
        <v>-132</v>
      </c>
      <c r="T219" s="210">
        <f t="shared" si="93"/>
        <v>-109</v>
      </c>
      <c r="U219" s="210">
        <f t="shared" si="94"/>
        <v>-37</v>
      </c>
      <c r="V219" s="221">
        <f t="shared" si="95"/>
        <v>-30</v>
      </c>
      <c r="W219" s="209"/>
      <c r="X219" s="209"/>
      <c r="Y219" s="227"/>
      <c r="Z219" s="216">
        <v>72</v>
      </c>
      <c r="AA219" s="208"/>
      <c r="AB219" s="208"/>
      <c r="AC219" s="208"/>
      <c r="AD219" s="208"/>
      <c r="AE219" s="208"/>
      <c r="AF219" s="208"/>
    </row>
    <row r="220" spans="1:32" x14ac:dyDescent="0.3">
      <c r="A220" s="207">
        <v>8.06</v>
      </c>
      <c r="B220" s="208" t="s">
        <v>1036</v>
      </c>
      <c r="C220" s="209" t="s">
        <v>1042</v>
      </c>
      <c r="D220" s="229">
        <f t="shared" si="84"/>
        <v>45718</v>
      </c>
      <c r="E220" s="230">
        <v>10</v>
      </c>
      <c r="F220" s="229">
        <f t="shared" si="85"/>
        <v>45728</v>
      </c>
      <c r="G220" s="230">
        <v>21</v>
      </c>
      <c r="H220" s="229">
        <f t="shared" si="86"/>
        <v>45749</v>
      </c>
      <c r="I220" s="230">
        <v>5</v>
      </c>
      <c r="J220" s="229">
        <f t="shared" si="87"/>
        <v>45754</v>
      </c>
      <c r="K220" s="230">
        <v>45</v>
      </c>
      <c r="L220" s="229">
        <f t="shared" si="88"/>
        <v>45799</v>
      </c>
      <c r="M220" s="230">
        <v>31</v>
      </c>
      <c r="N220" s="229">
        <f t="shared" si="89"/>
        <v>45830</v>
      </c>
      <c r="O220" s="230">
        <v>3</v>
      </c>
      <c r="P220" s="229">
        <f t="shared" si="90"/>
        <v>45833</v>
      </c>
      <c r="Q220" s="211">
        <f t="shared" si="91"/>
        <v>115</v>
      </c>
      <c r="R220" s="210">
        <v>45833</v>
      </c>
      <c r="S220" s="210">
        <f t="shared" si="92"/>
        <v>-120</v>
      </c>
      <c r="T220" s="210">
        <f t="shared" si="93"/>
        <v>-97</v>
      </c>
      <c r="U220" s="210">
        <f t="shared" si="94"/>
        <v>-37</v>
      </c>
      <c r="V220" s="221">
        <f t="shared" si="95"/>
        <v>-30</v>
      </c>
      <c r="W220" s="209"/>
      <c r="X220" s="209"/>
      <c r="Y220" s="227"/>
      <c r="Z220" s="216">
        <v>60</v>
      </c>
      <c r="AA220" s="208"/>
      <c r="AB220" s="208"/>
      <c r="AC220" s="208"/>
      <c r="AD220" s="208"/>
      <c r="AE220" s="208"/>
      <c r="AF220" s="208"/>
    </row>
    <row r="221" spans="1:32" x14ac:dyDescent="0.3">
      <c r="A221" s="207">
        <v>8.06</v>
      </c>
      <c r="B221" s="208" t="s">
        <v>1036</v>
      </c>
      <c r="C221" s="209" t="s">
        <v>1043</v>
      </c>
      <c r="D221" s="229">
        <f t="shared" si="84"/>
        <v>45718</v>
      </c>
      <c r="E221" s="230">
        <v>10</v>
      </c>
      <c r="F221" s="229">
        <f t="shared" si="85"/>
        <v>45728</v>
      </c>
      <c r="G221" s="230">
        <v>21</v>
      </c>
      <c r="H221" s="229">
        <f t="shared" si="86"/>
        <v>45749</v>
      </c>
      <c r="I221" s="230">
        <v>5</v>
      </c>
      <c r="J221" s="229">
        <f t="shared" si="87"/>
        <v>45754</v>
      </c>
      <c r="K221" s="230">
        <v>45</v>
      </c>
      <c r="L221" s="229">
        <f t="shared" si="88"/>
        <v>45799</v>
      </c>
      <c r="M221" s="230">
        <v>31</v>
      </c>
      <c r="N221" s="229">
        <f t="shared" si="89"/>
        <v>45830</v>
      </c>
      <c r="O221" s="230">
        <v>3</v>
      </c>
      <c r="P221" s="229">
        <f t="shared" si="90"/>
        <v>45833</v>
      </c>
      <c r="Q221" s="211">
        <f t="shared" si="91"/>
        <v>115</v>
      </c>
      <c r="R221" s="210">
        <v>45833</v>
      </c>
      <c r="S221" s="210">
        <f t="shared" si="92"/>
        <v>-120</v>
      </c>
      <c r="T221" s="210">
        <f t="shared" si="93"/>
        <v>-97</v>
      </c>
      <c r="U221" s="210">
        <f t="shared" si="94"/>
        <v>-37</v>
      </c>
      <c r="V221" s="221">
        <f t="shared" si="95"/>
        <v>-30</v>
      </c>
      <c r="W221" s="209"/>
      <c r="X221" s="209"/>
      <c r="Y221" s="227"/>
      <c r="Z221" s="216">
        <v>60</v>
      </c>
      <c r="AA221" s="208"/>
      <c r="AB221" s="208"/>
      <c r="AC221" s="208"/>
      <c r="AD221" s="208"/>
      <c r="AE221" s="208"/>
      <c r="AF221" s="208"/>
    </row>
    <row r="222" spans="1:32" x14ac:dyDescent="0.3">
      <c r="A222" s="207">
        <v>8.06</v>
      </c>
      <c r="B222" s="208" t="s">
        <v>1036</v>
      </c>
      <c r="C222" s="209" t="s">
        <v>1044</v>
      </c>
      <c r="D222" s="229">
        <f t="shared" si="84"/>
        <v>45718</v>
      </c>
      <c r="E222" s="230">
        <v>10</v>
      </c>
      <c r="F222" s="229">
        <f t="shared" si="85"/>
        <v>45728</v>
      </c>
      <c r="G222" s="230">
        <v>21</v>
      </c>
      <c r="H222" s="229">
        <f t="shared" si="86"/>
        <v>45749</v>
      </c>
      <c r="I222" s="230">
        <v>5</v>
      </c>
      <c r="J222" s="229">
        <f t="shared" si="87"/>
        <v>45754</v>
      </c>
      <c r="K222" s="230">
        <v>45</v>
      </c>
      <c r="L222" s="229">
        <f t="shared" si="88"/>
        <v>45799</v>
      </c>
      <c r="M222" s="230">
        <v>31</v>
      </c>
      <c r="N222" s="229">
        <f t="shared" si="89"/>
        <v>45830</v>
      </c>
      <c r="O222" s="230">
        <v>3</v>
      </c>
      <c r="P222" s="229">
        <f t="shared" si="90"/>
        <v>45833</v>
      </c>
      <c r="Q222" s="211">
        <f t="shared" si="91"/>
        <v>115</v>
      </c>
      <c r="R222" s="210">
        <v>45833</v>
      </c>
      <c r="S222" s="210">
        <f t="shared" si="92"/>
        <v>-120</v>
      </c>
      <c r="T222" s="210">
        <f t="shared" si="93"/>
        <v>-97</v>
      </c>
      <c r="U222" s="210">
        <f t="shared" si="94"/>
        <v>-37</v>
      </c>
      <c r="V222" s="221">
        <f t="shared" si="95"/>
        <v>-30</v>
      </c>
      <c r="W222" s="209"/>
      <c r="X222" s="209"/>
      <c r="Y222" s="227"/>
      <c r="Z222" s="216">
        <v>60</v>
      </c>
      <c r="AA222" s="208"/>
      <c r="AB222" s="208"/>
      <c r="AC222" s="208"/>
      <c r="AD222" s="208"/>
      <c r="AE222" s="208"/>
      <c r="AF222" s="208"/>
    </row>
    <row r="223" spans="1:32" x14ac:dyDescent="0.3">
      <c r="A223" s="207">
        <v>8.06</v>
      </c>
      <c r="B223" s="208" t="s">
        <v>1036</v>
      </c>
      <c r="C223" s="209" t="s">
        <v>1045</v>
      </c>
      <c r="D223" s="229">
        <f t="shared" si="84"/>
        <v>45718</v>
      </c>
      <c r="E223" s="230">
        <v>10</v>
      </c>
      <c r="F223" s="229">
        <f t="shared" si="85"/>
        <v>45728</v>
      </c>
      <c r="G223" s="230">
        <v>21</v>
      </c>
      <c r="H223" s="229">
        <f t="shared" si="86"/>
        <v>45749</v>
      </c>
      <c r="I223" s="230">
        <v>5</v>
      </c>
      <c r="J223" s="229">
        <f t="shared" si="87"/>
        <v>45754</v>
      </c>
      <c r="K223" s="230">
        <v>45</v>
      </c>
      <c r="L223" s="229">
        <f t="shared" si="88"/>
        <v>45799</v>
      </c>
      <c r="M223" s="230">
        <v>31</v>
      </c>
      <c r="N223" s="229">
        <f t="shared" si="89"/>
        <v>45830</v>
      </c>
      <c r="O223" s="230">
        <v>3</v>
      </c>
      <c r="P223" s="229">
        <f t="shared" si="90"/>
        <v>45833</v>
      </c>
      <c r="Q223" s="211">
        <f t="shared" si="91"/>
        <v>115</v>
      </c>
      <c r="R223" s="210">
        <v>45833</v>
      </c>
      <c r="S223" s="210">
        <f t="shared" si="92"/>
        <v>-120</v>
      </c>
      <c r="T223" s="210">
        <f t="shared" si="93"/>
        <v>-97</v>
      </c>
      <c r="U223" s="210">
        <f t="shared" si="94"/>
        <v>-37</v>
      </c>
      <c r="V223" s="221">
        <f t="shared" si="95"/>
        <v>-30</v>
      </c>
      <c r="W223" s="209"/>
      <c r="X223" s="209"/>
      <c r="Y223" s="227"/>
      <c r="Z223" s="216">
        <v>60</v>
      </c>
      <c r="AA223" s="208"/>
      <c r="AB223" s="208"/>
      <c r="AC223" s="208"/>
      <c r="AD223" s="208"/>
      <c r="AE223" s="208"/>
      <c r="AF223" s="208"/>
    </row>
    <row r="224" spans="1:32" x14ac:dyDescent="0.3">
      <c r="A224" s="207">
        <v>8.06</v>
      </c>
      <c r="B224" s="208" t="s">
        <v>1036</v>
      </c>
      <c r="C224" s="209" t="s">
        <v>1046</v>
      </c>
      <c r="D224" s="229">
        <f t="shared" si="84"/>
        <v>45718</v>
      </c>
      <c r="E224" s="230">
        <v>10</v>
      </c>
      <c r="F224" s="229">
        <f t="shared" si="85"/>
        <v>45728</v>
      </c>
      <c r="G224" s="230">
        <v>21</v>
      </c>
      <c r="H224" s="229">
        <f t="shared" si="86"/>
        <v>45749</v>
      </c>
      <c r="I224" s="230">
        <v>5</v>
      </c>
      <c r="J224" s="229">
        <f t="shared" si="87"/>
        <v>45754</v>
      </c>
      <c r="K224" s="230">
        <v>45</v>
      </c>
      <c r="L224" s="229">
        <f t="shared" si="88"/>
        <v>45799</v>
      </c>
      <c r="M224" s="230">
        <v>31</v>
      </c>
      <c r="N224" s="229">
        <f t="shared" si="89"/>
        <v>45830</v>
      </c>
      <c r="O224" s="230">
        <v>3</v>
      </c>
      <c r="P224" s="229">
        <f t="shared" si="90"/>
        <v>45833</v>
      </c>
      <c r="Q224" s="211">
        <f t="shared" si="91"/>
        <v>115</v>
      </c>
      <c r="R224" s="210">
        <v>45833</v>
      </c>
      <c r="S224" s="210">
        <f t="shared" si="92"/>
        <v>-120</v>
      </c>
      <c r="T224" s="210">
        <f t="shared" si="93"/>
        <v>-97</v>
      </c>
      <c r="U224" s="210">
        <f t="shared" si="94"/>
        <v>-37</v>
      </c>
      <c r="V224" s="221">
        <f t="shared" si="95"/>
        <v>-30</v>
      </c>
      <c r="W224" s="209"/>
      <c r="X224" s="209"/>
      <c r="Y224" s="227"/>
      <c r="Z224" s="216">
        <v>60</v>
      </c>
      <c r="AA224" s="208"/>
      <c r="AB224" s="208"/>
      <c r="AC224" s="208"/>
      <c r="AD224" s="208"/>
      <c r="AE224" s="208"/>
      <c r="AF224" s="208"/>
    </row>
    <row r="225" spans="1:32" x14ac:dyDescent="0.3">
      <c r="A225" s="207">
        <v>8.06</v>
      </c>
      <c r="B225" s="208" t="s">
        <v>1036</v>
      </c>
      <c r="C225" s="209" t="s">
        <v>1047</v>
      </c>
      <c r="D225" s="229">
        <f t="shared" si="84"/>
        <v>45718</v>
      </c>
      <c r="E225" s="230">
        <v>10</v>
      </c>
      <c r="F225" s="229">
        <f t="shared" si="85"/>
        <v>45728</v>
      </c>
      <c r="G225" s="230">
        <v>21</v>
      </c>
      <c r="H225" s="229">
        <f t="shared" si="86"/>
        <v>45749</v>
      </c>
      <c r="I225" s="230">
        <v>5</v>
      </c>
      <c r="J225" s="229">
        <f t="shared" si="87"/>
        <v>45754</v>
      </c>
      <c r="K225" s="230">
        <v>45</v>
      </c>
      <c r="L225" s="229">
        <f t="shared" si="88"/>
        <v>45799</v>
      </c>
      <c r="M225" s="230">
        <v>31</v>
      </c>
      <c r="N225" s="229">
        <f t="shared" si="89"/>
        <v>45830</v>
      </c>
      <c r="O225" s="230">
        <v>3</v>
      </c>
      <c r="P225" s="229">
        <f t="shared" si="90"/>
        <v>45833</v>
      </c>
      <c r="Q225" s="211">
        <f t="shared" si="91"/>
        <v>115</v>
      </c>
      <c r="R225" s="210">
        <v>45833</v>
      </c>
      <c r="S225" s="210">
        <f t="shared" si="92"/>
        <v>-120</v>
      </c>
      <c r="T225" s="210">
        <f t="shared" si="93"/>
        <v>-97</v>
      </c>
      <c r="U225" s="210">
        <f t="shared" si="94"/>
        <v>-37</v>
      </c>
      <c r="V225" s="221">
        <f t="shared" si="95"/>
        <v>-30</v>
      </c>
      <c r="W225" s="209"/>
      <c r="X225" s="209"/>
      <c r="Y225" s="227"/>
      <c r="Z225" s="216">
        <v>60</v>
      </c>
      <c r="AA225" s="208"/>
      <c r="AB225" s="208"/>
      <c r="AC225" s="208"/>
      <c r="AD225" s="208"/>
      <c r="AE225" s="208"/>
      <c r="AF225" s="208"/>
    </row>
    <row r="226" spans="1:32" x14ac:dyDescent="0.3">
      <c r="A226" s="207">
        <v>8.06</v>
      </c>
      <c r="B226" s="208" t="s">
        <v>1036</v>
      </c>
      <c r="C226" s="209" t="s">
        <v>1048</v>
      </c>
      <c r="D226" s="229">
        <f t="shared" si="84"/>
        <v>45718</v>
      </c>
      <c r="E226" s="230">
        <v>10</v>
      </c>
      <c r="F226" s="229">
        <f t="shared" si="85"/>
        <v>45728</v>
      </c>
      <c r="G226" s="230">
        <v>21</v>
      </c>
      <c r="H226" s="229">
        <f t="shared" si="86"/>
        <v>45749</v>
      </c>
      <c r="I226" s="230">
        <v>5</v>
      </c>
      <c r="J226" s="229">
        <f t="shared" si="87"/>
        <v>45754</v>
      </c>
      <c r="K226" s="230">
        <v>45</v>
      </c>
      <c r="L226" s="229">
        <f t="shared" si="88"/>
        <v>45799</v>
      </c>
      <c r="M226" s="230">
        <v>31</v>
      </c>
      <c r="N226" s="229">
        <f t="shared" si="89"/>
        <v>45830</v>
      </c>
      <c r="O226" s="230">
        <v>3</v>
      </c>
      <c r="P226" s="229">
        <f t="shared" si="90"/>
        <v>45833</v>
      </c>
      <c r="Q226" s="211">
        <f t="shared" si="91"/>
        <v>115</v>
      </c>
      <c r="R226" s="210">
        <v>45833</v>
      </c>
      <c r="S226" s="210">
        <f t="shared" si="92"/>
        <v>-120</v>
      </c>
      <c r="T226" s="210">
        <f t="shared" si="93"/>
        <v>-97</v>
      </c>
      <c r="U226" s="210">
        <f t="shared" si="94"/>
        <v>-37</v>
      </c>
      <c r="V226" s="221">
        <f t="shared" si="95"/>
        <v>-30</v>
      </c>
      <c r="W226" s="209"/>
      <c r="X226" s="209"/>
      <c r="Y226" s="227"/>
      <c r="Z226" s="216">
        <v>60</v>
      </c>
      <c r="AA226" s="208"/>
      <c r="AB226" s="208"/>
      <c r="AC226" s="208"/>
      <c r="AD226" s="208"/>
      <c r="AE226" s="208"/>
      <c r="AF226" s="208"/>
    </row>
    <row r="227" spans="1:32" x14ac:dyDescent="0.3">
      <c r="A227" s="207">
        <v>8.06</v>
      </c>
      <c r="B227" s="208" t="s">
        <v>1036</v>
      </c>
      <c r="C227" s="209" t="s">
        <v>1049</v>
      </c>
      <c r="D227" s="229">
        <f t="shared" si="84"/>
        <v>45718</v>
      </c>
      <c r="E227" s="230">
        <v>10</v>
      </c>
      <c r="F227" s="229">
        <f t="shared" si="85"/>
        <v>45728</v>
      </c>
      <c r="G227" s="230">
        <v>21</v>
      </c>
      <c r="H227" s="229">
        <f t="shared" si="86"/>
        <v>45749</v>
      </c>
      <c r="I227" s="230">
        <v>5</v>
      </c>
      <c r="J227" s="229">
        <f t="shared" si="87"/>
        <v>45754</v>
      </c>
      <c r="K227" s="230">
        <v>45</v>
      </c>
      <c r="L227" s="229">
        <f t="shared" si="88"/>
        <v>45799</v>
      </c>
      <c r="M227" s="230">
        <v>31</v>
      </c>
      <c r="N227" s="229">
        <f t="shared" si="89"/>
        <v>45830</v>
      </c>
      <c r="O227" s="230">
        <v>3</v>
      </c>
      <c r="P227" s="229">
        <f t="shared" si="90"/>
        <v>45833</v>
      </c>
      <c r="Q227" s="211">
        <f t="shared" si="91"/>
        <v>115</v>
      </c>
      <c r="R227" s="210">
        <v>45833</v>
      </c>
      <c r="S227" s="210">
        <f t="shared" si="92"/>
        <v>-120</v>
      </c>
      <c r="T227" s="210">
        <f t="shared" si="93"/>
        <v>-97</v>
      </c>
      <c r="U227" s="210">
        <f t="shared" si="94"/>
        <v>-37</v>
      </c>
      <c r="V227" s="221">
        <f t="shared" si="95"/>
        <v>-30</v>
      </c>
      <c r="W227" s="209"/>
      <c r="X227" s="209"/>
      <c r="Y227" s="227"/>
      <c r="Z227" s="216">
        <v>60</v>
      </c>
      <c r="AA227" s="208"/>
      <c r="AB227" s="208"/>
      <c r="AC227" s="208"/>
      <c r="AD227" s="208"/>
      <c r="AE227" s="208"/>
      <c r="AF227" s="208"/>
    </row>
    <row r="228" spans="1:32" x14ac:dyDescent="0.3">
      <c r="A228" s="207">
        <v>8.06</v>
      </c>
      <c r="B228" s="208" t="s">
        <v>1036</v>
      </c>
      <c r="C228" s="209" t="s">
        <v>1050</v>
      </c>
      <c r="D228" s="229">
        <f t="shared" si="84"/>
        <v>45718</v>
      </c>
      <c r="E228" s="230">
        <v>10</v>
      </c>
      <c r="F228" s="229">
        <f t="shared" si="85"/>
        <v>45728</v>
      </c>
      <c r="G228" s="230">
        <v>21</v>
      </c>
      <c r="H228" s="229">
        <f t="shared" si="86"/>
        <v>45749</v>
      </c>
      <c r="I228" s="230">
        <v>5</v>
      </c>
      <c r="J228" s="229">
        <f t="shared" si="87"/>
        <v>45754</v>
      </c>
      <c r="K228" s="230">
        <v>45</v>
      </c>
      <c r="L228" s="229">
        <f t="shared" si="88"/>
        <v>45799</v>
      </c>
      <c r="M228" s="230">
        <v>31</v>
      </c>
      <c r="N228" s="229">
        <f t="shared" si="89"/>
        <v>45830</v>
      </c>
      <c r="O228" s="230">
        <v>3</v>
      </c>
      <c r="P228" s="229">
        <f t="shared" si="90"/>
        <v>45833</v>
      </c>
      <c r="Q228" s="211">
        <f t="shared" si="91"/>
        <v>115</v>
      </c>
      <c r="R228" s="210">
        <v>45833</v>
      </c>
      <c r="S228" s="210">
        <f t="shared" si="92"/>
        <v>-120</v>
      </c>
      <c r="T228" s="210">
        <f t="shared" si="93"/>
        <v>-97</v>
      </c>
      <c r="U228" s="210">
        <f t="shared" si="94"/>
        <v>-37</v>
      </c>
      <c r="V228" s="221">
        <f t="shared" si="95"/>
        <v>-30</v>
      </c>
      <c r="W228" s="209"/>
      <c r="X228" s="209"/>
      <c r="Y228" s="227"/>
      <c r="Z228" s="216">
        <v>60</v>
      </c>
      <c r="AA228" s="208"/>
      <c r="AB228" s="208"/>
      <c r="AC228" s="208"/>
      <c r="AD228" s="208"/>
      <c r="AE228" s="208"/>
      <c r="AF228" s="208"/>
    </row>
    <row r="229" spans="1:32" x14ac:dyDescent="0.3">
      <c r="A229" s="207">
        <v>8.06</v>
      </c>
      <c r="B229" s="208" t="s">
        <v>1036</v>
      </c>
      <c r="C229" s="209" t="s">
        <v>1051</v>
      </c>
      <c r="D229" s="229">
        <f t="shared" si="84"/>
        <v>45718</v>
      </c>
      <c r="E229" s="230">
        <v>10</v>
      </c>
      <c r="F229" s="229">
        <f t="shared" si="85"/>
        <v>45728</v>
      </c>
      <c r="G229" s="230">
        <v>21</v>
      </c>
      <c r="H229" s="229">
        <f t="shared" si="86"/>
        <v>45749</v>
      </c>
      <c r="I229" s="230">
        <v>5</v>
      </c>
      <c r="J229" s="229">
        <f t="shared" si="87"/>
        <v>45754</v>
      </c>
      <c r="K229" s="230">
        <v>45</v>
      </c>
      <c r="L229" s="229">
        <f t="shared" si="88"/>
        <v>45799</v>
      </c>
      <c r="M229" s="230">
        <v>31</v>
      </c>
      <c r="N229" s="229">
        <f t="shared" si="89"/>
        <v>45830</v>
      </c>
      <c r="O229" s="230">
        <v>3</v>
      </c>
      <c r="P229" s="229">
        <f t="shared" si="90"/>
        <v>45833</v>
      </c>
      <c r="Q229" s="211">
        <f t="shared" si="91"/>
        <v>115</v>
      </c>
      <c r="R229" s="210">
        <v>45833</v>
      </c>
      <c r="S229" s="210">
        <f t="shared" si="92"/>
        <v>-120</v>
      </c>
      <c r="T229" s="210">
        <f t="shared" si="93"/>
        <v>-97</v>
      </c>
      <c r="U229" s="210">
        <f t="shared" si="94"/>
        <v>-37</v>
      </c>
      <c r="V229" s="221">
        <f t="shared" si="95"/>
        <v>-30</v>
      </c>
      <c r="W229" s="209"/>
      <c r="X229" s="209"/>
      <c r="Y229" s="227"/>
      <c r="Z229" s="216">
        <v>60</v>
      </c>
      <c r="AA229" s="208"/>
      <c r="AB229" s="208"/>
      <c r="AC229" s="208"/>
      <c r="AD229" s="208"/>
      <c r="AE229" s="208"/>
      <c r="AF229" s="208"/>
    </row>
    <row r="230" spans="1:32" x14ac:dyDescent="0.3">
      <c r="A230" s="207">
        <v>8.06</v>
      </c>
      <c r="B230" s="208" t="s">
        <v>1036</v>
      </c>
      <c r="C230" s="209" t="s">
        <v>1052</v>
      </c>
      <c r="D230" s="229">
        <f t="shared" si="84"/>
        <v>45718</v>
      </c>
      <c r="E230" s="230">
        <v>10</v>
      </c>
      <c r="F230" s="229">
        <f t="shared" si="85"/>
        <v>45728</v>
      </c>
      <c r="G230" s="230">
        <v>21</v>
      </c>
      <c r="H230" s="229">
        <f t="shared" si="86"/>
        <v>45749</v>
      </c>
      <c r="I230" s="230">
        <v>5</v>
      </c>
      <c r="J230" s="229">
        <f t="shared" si="87"/>
        <v>45754</v>
      </c>
      <c r="K230" s="230">
        <v>45</v>
      </c>
      <c r="L230" s="229">
        <f t="shared" si="88"/>
        <v>45799</v>
      </c>
      <c r="M230" s="230">
        <v>31</v>
      </c>
      <c r="N230" s="229">
        <f t="shared" si="89"/>
        <v>45830</v>
      </c>
      <c r="O230" s="230">
        <v>3</v>
      </c>
      <c r="P230" s="229">
        <f t="shared" si="90"/>
        <v>45833</v>
      </c>
      <c r="Q230" s="211">
        <f t="shared" si="91"/>
        <v>115</v>
      </c>
      <c r="R230" s="210">
        <v>45833</v>
      </c>
      <c r="S230" s="210">
        <f t="shared" si="92"/>
        <v>-120</v>
      </c>
      <c r="T230" s="210">
        <f t="shared" si="93"/>
        <v>-97</v>
      </c>
      <c r="U230" s="210">
        <f t="shared" si="94"/>
        <v>-37</v>
      </c>
      <c r="V230" s="221">
        <f t="shared" si="95"/>
        <v>-30</v>
      </c>
      <c r="W230" s="209"/>
      <c r="X230" s="209"/>
      <c r="Y230" s="227"/>
      <c r="Z230" s="216">
        <v>60</v>
      </c>
      <c r="AA230" s="208"/>
      <c r="AB230" s="208"/>
      <c r="AC230" s="208"/>
      <c r="AD230" s="208"/>
      <c r="AE230" s="208"/>
      <c r="AF230" s="208"/>
    </row>
    <row r="231" spans="1:32" x14ac:dyDescent="0.3">
      <c r="A231" s="207">
        <v>8.06</v>
      </c>
      <c r="B231" s="208" t="s">
        <v>1036</v>
      </c>
      <c r="C231" s="209" t="s">
        <v>1053</v>
      </c>
      <c r="D231" s="229">
        <f t="shared" si="84"/>
        <v>45718</v>
      </c>
      <c r="E231" s="230">
        <v>10</v>
      </c>
      <c r="F231" s="229">
        <f t="shared" si="85"/>
        <v>45728</v>
      </c>
      <c r="G231" s="230">
        <v>21</v>
      </c>
      <c r="H231" s="229">
        <f t="shared" si="86"/>
        <v>45749</v>
      </c>
      <c r="I231" s="230">
        <v>5</v>
      </c>
      <c r="J231" s="229">
        <f t="shared" si="87"/>
        <v>45754</v>
      </c>
      <c r="K231" s="230">
        <v>45</v>
      </c>
      <c r="L231" s="229">
        <f t="shared" si="88"/>
        <v>45799</v>
      </c>
      <c r="M231" s="230">
        <v>31</v>
      </c>
      <c r="N231" s="229">
        <f t="shared" si="89"/>
        <v>45830</v>
      </c>
      <c r="O231" s="230">
        <v>3</v>
      </c>
      <c r="P231" s="229">
        <f t="shared" si="90"/>
        <v>45833</v>
      </c>
      <c r="Q231" s="211">
        <f t="shared" si="91"/>
        <v>115</v>
      </c>
      <c r="R231" s="210">
        <v>45833</v>
      </c>
      <c r="S231" s="210">
        <f t="shared" si="92"/>
        <v>-60</v>
      </c>
      <c r="T231" s="210">
        <f t="shared" si="93"/>
        <v>-37</v>
      </c>
      <c r="U231" s="210">
        <f t="shared" si="94"/>
        <v>-37</v>
      </c>
      <c r="V231" s="221">
        <f t="shared" si="95"/>
        <v>-30</v>
      </c>
      <c r="W231" s="209"/>
      <c r="X231" s="209"/>
      <c r="Y231" s="227"/>
      <c r="Z231" s="216"/>
      <c r="AA231" s="208"/>
      <c r="AB231" s="208"/>
      <c r="AC231" s="208"/>
      <c r="AD231" s="208"/>
      <c r="AE231" s="208"/>
      <c r="AF231" s="208"/>
    </row>
    <row r="232" spans="1:32" x14ac:dyDescent="0.3">
      <c r="A232" s="207">
        <v>8.06</v>
      </c>
      <c r="B232" s="208" t="s">
        <v>1036</v>
      </c>
      <c r="C232" s="209" t="s">
        <v>1054</v>
      </c>
      <c r="D232" s="229">
        <f t="shared" si="84"/>
        <v>45718</v>
      </c>
      <c r="E232" s="230">
        <v>10</v>
      </c>
      <c r="F232" s="229">
        <f t="shared" si="85"/>
        <v>45728</v>
      </c>
      <c r="G232" s="230">
        <v>21</v>
      </c>
      <c r="H232" s="229">
        <f t="shared" si="86"/>
        <v>45749</v>
      </c>
      <c r="I232" s="230">
        <v>5</v>
      </c>
      <c r="J232" s="229">
        <f t="shared" si="87"/>
        <v>45754</v>
      </c>
      <c r="K232" s="230">
        <v>45</v>
      </c>
      <c r="L232" s="229">
        <f t="shared" si="88"/>
        <v>45799</v>
      </c>
      <c r="M232" s="230">
        <v>31</v>
      </c>
      <c r="N232" s="229">
        <f t="shared" si="89"/>
        <v>45830</v>
      </c>
      <c r="O232" s="230">
        <v>3</v>
      </c>
      <c r="P232" s="229">
        <f t="shared" si="90"/>
        <v>45833</v>
      </c>
      <c r="Q232" s="211">
        <f t="shared" si="91"/>
        <v>115</v>
      </c>
      <c r="R232" s="210">
        <v>45833</v>
      </c>
      <c r="S232" s="210">
        <f t="shared" si="92"/>
        <v>-120</v>
      </c>
      <c r="T232" s="210">
        <f t="shared" si="93"/>
        <v>-97</v>
      </c>
      <c r="U232" s="210">
        <f t="shared" si="94"/>
        <v>-37</v>
      </c>
      <c r="V232" s="221">
        <f t="shared" si="95"/>
        <v>-30</v>
      </c>
      <c r="W232" s="209"/>
      <c r="X232" s="209"/>
      <c r="Y232" s="227"/>
      <c r="Z232" s="216">
        <v>60</v>
      </c>
      <c r="AA232" s="208"/>
      <c r="AB232" s="208"/>
      <c r="AC232" s="208"/>
      <c r="AD232" s="208"/>
      <c r="AE232" s="208"/>
      <c r="AF232" s="208"/>
    </row>
    <row r="233" spans="1:32" x14ac:dyDescent="0.3">
      <c r="A233" s="207">
        <v>8.06</v>
      </c>
      <c r="B233" s="208" t="s">
        <v>1036</v>
      </c>
      <c r="C233" s="209" t="s">
        <v>1055</v>
      </c>
      <c r="D233" s="229">
        <f t="shared" si="84"/>
        <v>45718</v>
      </c>
      <c r="E233" s="230">
        <v>10</v>
      </c>
      <c r="F233" s="229">
        <f t="shared" si="85"/>
        <v>45728</v>
      </c>
      <c r="G233" s="230">
        <v>21</v>
      </c>
      <c r="H233" s="229">
        <f t="shared" si="86"/>
        <v>45749</v>
      </c>
      <c r="I233" s="230">
        <v>5</v>
      </c>
      <c r="J233" s="229">
        <f t="shared" si="87"/>
        <v>45754</v>
      </c>
      <c r="K233" s="230">
        <v>45</v>
      </c>
      <c r="L233" s="229">
        <f t="shared" si="88"/>
        <v>45799</v>
      </c>
      <c r="M233" s="230">
        <v>31</v>
      </c>
      <c r="N233" s="229">
        <f t="shared" si="89"/>
        <v>45830</v>
      </c>
      <c r="O233" s="230">
        <v>3</v>
      </c>
      <c r="P233" s="229">
        <f t="shared" si="90"/>
        <v>45833</v>
      </c>
      <c r="Q233" s="211">
        <f t="shared" si="91"/>
        <v>115</v>
      </c>
      <c r="R233" s="210">
        <v>45833</v>
      </c>
      <c r="S233" s="210">
        <f t="shared" si="92"/>
        <v>-120</v>
      </c>
      <c r="T233" s="210">
        <f t="shared" si="93"/>
        <v>-97</v>
      </c>
      <c r="U233" s="210">
        <f t="shared" si="94"/>
        <v>-37</v>
      </c>
      <c r="V233" s="221">
        <f t="shared" si="95"/>
        <v>-30</v>
      </c>
      <c r="W233" s="209"/>
      <c r="X233" s="209"/>
      <c r="Y233" s="227"/>
      <c r="Z233" s="216">
        <v>60</v>
      </c>
      <c r="AA233" s="208"/>
      <c r="AB233" s="208"/>
      <c r="AC233" s="208"/>
      <c r="AD233" s="208"/>
      <c r="AE233" s="208"/>
      <c r="AF233" s="208"/>
    </row>
    <row r="234" spans="1:32" x14ac:dyDescent="0.3">
      <c r="A234" s="207">
        <v>8.06</v>
      </c>
      <c r="B234" s="208" t="s">
        <v>1036</v>
      </c>
      <c r="C234" s="209" t="s">
        <v>1056</v>
      </c>
      <c r="D234" s="229">
        <f t="shared" si="84"/>
        <v>45718</v>
      </c>
      <c r="E234" s="230">
        <v>10</v>
      </c>
      <c r="F234" s="229">
        <f t="shared" si="85"/>
        <v>45728</v>
      </c>
      <c r="G234" s="230">
        <v>21</v>
      </c>
      <c r="H234" s="229">
        <f t="shared" si="86"/>
        <v>45749</v>
      </c>
      <c r="I234" s="230">
        <v>5</v>
      </c>
      <c r="J234" s="229">
        <f t="shared" si="87"/>
        <v>45754</v>
      </c>
      <c r="K234" s="230">
        <v>45</v>
      </c>
      <c r="L234" s="229">
        <f t="shared" si="88"/>
        <v>45799</v>
      </c>
      <c r="M234" s="230">
        <v>31</v>
      </c>
      <c r="N234" s="229">
        <f t="shared" si="89"/>
        <v>45830</v>
      </c>
      <c r="O234" s="230">
        <v>3</v>
      </c>
      <c r="P234" s="229">
        <f t="shared" si="90"/>
        <v>45833</v>
      </c>
      <c r="Q234" s="211">
        <f t="shared" si="91"/>
        <v>115</v>
      </c>
      <c r="R234" s="210">
        <v>45833</v>
      </c>
      <c r="S234" s="210">
        <f t="shared" si="92"/>
        <v>-75</v>
      </c>
      <c r="T234" s="210">
        <f t="shared" si="93"/>
        <v>-52</v>
      </c>
      <c r="U234" s="210">
        <f t="shared" si="94"/>
        <v>-37</v>
      </c>
      <c r="V234" s="221">
        <f t="shared" si="95"/>
        <v>-30</v>
      </c>
      <c r="W234" s="209"/>
      <c r="X234" s="209"/>
      <c r="Y234" s="227"/>
      <c r="Z234" s="216">
        <v>15</v>
      </c>
      <c r="AA234" s="208"/>
      <c r="AB234" s="208"/>
      <c r="AC234" s="208"/>
      <c r="AD234" s="208"/>
      <c r="AE234" s="208"/>
      <c r="AF234" s="208"/>
    </row>
    <row r="235" spans="1:32" x14ac:dyDescent="0.3">
      <c r="A235" s="207">
        <v>8.06</v>
      </c>
      <c r="B235" s="208" t="s">
        <v>1036</v>
      </c>
      <c r="C235" s="209" t="s">
        <v>1057</v>
      </c>
      <c r="D235" s="229">
        <f t="shared" si="84"/>
        <v>45718</v>
      </c>
      <c r="E235" s="230">
        <v>10</v>
      </c>
      <c r="F235" s="229">
        <f t="shared" si="85"/>
        <v>45728</v>
      </c>
      <c r="G235" s="230">
        <v>21</v>
      </c>
      <c r="H235" s="229">
        <f t="shared" si="86"/>
        <v>45749</v>
      </c>
      <c r="I235" s="230">
        <v>5</v>
      </c>
      <c r="J235" s="229">
        <f t="shared" si="87"/>
        <v>45754</v>
      </c>
      <c r="K235" s="230">
        <v>45</v>
      </c>
      <c r="L235" s="229">
        <f t="shared" si="88"/>
        <v>45799</v>
      </c>
      <c r="M235" s="230">
        <v>31</v>
      </c>
      <c r="N235" s="229">
        <f t="shared" si="89"/>
        <v>45830</v>
      </c>
      <c r="O235" s="230">
        <v>3</v>
      </c>
      <c r="P235" s="229">
        <f t="shared" si="90"/>
        <v>45833</v>
      </c>
      <c r="Q235" s="211">
        <f t="shared" si="91"/>
        <v>115</v>
      </c>
      <c r="R235" s="210">
        <v>45833</v>
      </c>
      <c r="S235" s="210">
        <f t="shared" si="92"/>
        <v>-75</v>
      </c>
      <c r="T235" s="210">
        <f t="shared" si="93"/>
        <v>-52</v>
      </c>
      <c r="U235" s="210">
        <f t="shared" si="94"/>
        <v>-37</v>
      </c>
      <c r="V235" s="221">
        <f t="shared" si="95"/>
        <v>-30</v>
      </c>
      <c r="W235" s="209"/>
      <c r="X235" s="209"/>
      <c r="Y235" s="227"/>
      <c r="Z235" s="216">
        <v>15</v>
      </c>
      <c r="AA235" s="208"/>
      <c r="AB235" s="208"/>
      <c r="AC235" s="208"/>
      <c r="AD235" s="208"/>
      <c r="AE235" s="208"/>
      <c r="AF235" s="208"/>
    </row>
    <row r="236" spans="1:32" x14ac:dyDescent="0.3">
      <c r="A236" s="207">
        <v>8.06</v>
      </c>
      <c r="B236" s="208" t="s">
        <v>1036</v>
      </c>
      <c r="C236" s="209" t="s">
        <v>1058</v>
      </c>
      <c r="D236" s="229">
        <f t="shared" si="84"/>
        <v>45718</v>
      </c>
      <c r="E236" s="230">
        <v>10</v>
      </c>
      <c r="F236" s="229">
        <f t="shared" si="85"/>
        <v>45728</v>
      </c>
      <c r="G236" s="230">
        <v>21</v>
      </c>
      <c r="H236" s="229">
        <f t="shared" si="86"/>
        <v>45749</v>
      </c>
      <c r="I236" s="230">
        <v>5</v>
      </c>
      <c r="J236" s="229">
        <f t="shared" si="87"/>
        <v>45754</v>
      </c>
      <c r="K236" s="230">
        <v>45</v>
      </c>
      <c r="L236" s="229">
        <f t="shared" si="88"/>
        <v>45799</v>
      </c>
      <c r="M236" s="230">
        <v>31</v>
      </c>
      <c r="N236" s="229">
        <f t="shared" si="89"/>
        <v>45830</v>
      </c>
      <c r="O236" s="230">
        <v>3</v>
      </c>
      <c r="P236" s="229">
        <f t="shared" si="90"/>
        <v>45833</v>
      </c>
      <c r="Q236" s="211">
        <f t="shared" si="91"/>
        <v>115</v>
      </c>
      <c r="R236" s="210">
        <v>45833</v>
      </c>
      <c r="S236" s="210">
        <f t="shared" si="92"/>
        <v>-120</v>
      </c>
      <c r="T236" s="210">
        <f t="shared" si="93"/>
        <v>-97</v>
      </c>
      <c r="U236" s="210">
        <f t="shared" si="94"/>
        <v>-37</v>
      </c>
      <c r="V236" s="221">
        <f t="shared" si="95"/>
        <v>-30</v>
      </c>
      <c r="W236" s="209"/>
      <c r="X236" s="209"/>
      <c r="Y236" s="227"/>
      <c r="Z236" s="216">
        <v>60</v>
      </c>
      <c r="AA236" s="208"/>
      <c r="AB236" s="208"/>
      <c r="AC236" s="208"/>
      <c r="AD236" s="208"/>
      <c r="AE236" s="208"/>
      <c r="AF236" s="208"/>
    </row>
    <row r="237" spans="1:32" x14ac:dyDescent="0.3">
      <c r="A237" s="207">
        <v>8.06</v>
      </c>
      <c r="B237" s="208" t="s">
        <v>1036</v>
      </c>
      <c r="C237" s="209" t="s">
        <v>1059</v>
      </c>
      <c r="D237" s="229">
        <f t="shared" si="84"/>
        <v>45718</v>
      </c>
      <c r="E237" s="230">
        <v>10</v>
      </c>
      <c r="F237" s="229">
        <f t="shared" si="85"/>
        <v>45728</v>
      </c>
      <c r="G237" s="230">
        <v>21</v>
      </c>
      <c r="H237" s="229">
        <f t="shared" si="86"/>
        <v>45749</v>
      </c>
      <c r="I237" s="230">
        <v>5</v>
      </c>
      <c r="J237" s="229">
        <f t="shared" si="87"/>
        <v>45754</v>
      </c>
      <c r="K237" s="230">
        <v>45</v>
      </c>
      <c r="L237" s="229">
        <f t="shared" si="88"/>
        <v>45799</v>
      </c>
      <c r="M237" s="230">
        <v>31</v>
      </c>
      <c r="N237" s="229">
        <f t="shared" si="89"/>
        <v>45830</v>
      </c>
      <c r="O237" s="230">
        <v>3</v>
      </c>
      <c r="P237" s="229">
        <f t="shared" si="90"/>
        <v>45833</v>
      </c>
      <c r="Q237" s="211">
        <f t="shared" si="91"/>
        <v>115</v>
      </c>
      <c r="R237" s="210">
        <v>45833</v>
      </c>
      <c r="S237" s="210">
        <f t="shared" si="92"/>
        <v>-120</v>
      </c>
      <c r="T237" s="210">
        <f t="shared" si="93"/>
        <v>-97</v>
      </c>
      <c r="U237" s="210">
        <f t="shared" si="94"/>
        <v>-37</v>
      </c>
      <c r="V237" s="221">
        <f t="shared" si="95"/>
        <v>-30</v>
      </c>
      <c r="W237" s="209"/>
      <c r="X237" s="209"/>
      <c r="Y237" s="227"/>
      <c r="Z237" s="216">
        <v>60</v>
      </c>
      <c r="AA237" s="208"/>
      <c r="AB237" s="208"/>
      <c r="AC237" s="208"/>
      <c r="AD237" s="208"/>
      <c r="AE237" s="208"/>
      <c r="AF237" s="208"/>
    </row>
    <row r="238" spans="1:32" x14ac:dyDescent="0.3">
      <c r="A238" s="207">
        <v>8.07</v>
      </c>
      <c r="B238" s="208" t="s">
        <v>1060</v>
      </c>
      <c r="C238" s="209" t="s">
        <v>1061</v>
      </c>
      <c r="D238" s="229">
        <f t="shared" si="84"/>
        <v>45718</v>
      </c>
      <c r="E238" s="230">
        <v>10</v>
      </c>
      <c r="F238" s="229">
        <f t="shared" si="85"/>
        <v>45728</v>
      </c>
      <c r="G238" s="230">
        <v>21</v>
      </c>
      <c r="H238" s="229">
        <f t="shared" si="86"/>
        <v>45749</v>
      </c>
      <c r="I238" s="230">
        <v>5</v>
      </c>
      <c r="J238" s="229">
        <f t="shared" si="87"/>
        <v>45754</v>
      </c>
      <c r="K238" s="230">
        <v>45</v>
      </c>
      <c r="L238" s="229">
        <f t="shared" si="88"/>
        <v>45799</v>
      </c>
      <c r="M238" s="230">
        <v>31</v>
      </c>
      <c r="N238" s="229">
        <f t="shared" si="89"/>
        <v>45830</v>
      </c>
      <c r="O238" s="230">
        <v>3</v>
      </c>
      <c r="P238" s="229">
        <f t="shared" si="90"/>
        <v>45833</v>
      </c>
      <c r="Q238" s="211">
        <f t="shared" si="91"/>
        <v>115</v>
      </c>
      <c r="R238" s="210">
        <v>45833</v>
      </c>
      <c r="S238" s="210">
        <f t="shared" si="92"/>
        <v>-120</v>
      </c>
      <c r="T238" s="210">
        <f t="shared" si="93"/>
        <v>-97</v>
      </c>
      <c r="U238" s="210">
        <f t="shared" si="94"/>
        <v>-37</v>
      </c>
      <c r="V238" s="221">
        <f t="shared" si="95"/>
        <v>-30</v>
      </c>
      <c r="W238" s="209"/>
      <c r="X238" s="209"/>
      <c r="Y238" s="227"/>
      <c r="Z238" s="216">
        <v>60</v>
      </c>
      <c r="AA238" s="208"/>
      <c r="AB238" s="208"/>
      <c r="AC238" s="208"/>
      <c r="AD238" s="208"/>
      <c r="AE238" s="208"/>
      <c r="AF238" s="208"/>
    </row>
    <row r="239" spans="1:32" x14ac:dyDescent="0.3">
      <c r="A239" s="207">
        <v>8.07</v>
      </c>
      <c r="B239" s="208" t="s">
        <v>1060</v>
      </c>
      <c r="C239" s="209" t="s">
        <v>1062</v>
      </c>
      <c r="D239" s="229">
        <f t="shared" si="84"/>
        <v>45718</v>
      </c>
      <c r="E239" s="230">
        <v>10</v>
      </c>
      <c r="F239" s="229">
        <f t="shared" si="85"/>
        <v>45728</v>
      </c>
      <c r="G239" s="230">
        <v>21</v>
      </c>
      <c r="H239" s="229">
        <f t="shared" si="86"/>
        <v>45749</v>
      </c>
      <c r="I239" s="230">
        <v>5</v>
      </c>
      <c r="J239" s="229">
        <f t="shared" si="87"/>
        <v>45754</v>
      </c>
      <c r="K239" s="230">
        <v>45</v>
      </c>
      <c r="L239" s="229">
        <f t="shared" si="88"/>
        <v>45799</v>
      </c>
      <c r="M239" s="230">
        <v>31</v>
      </c>
      <c r="N239" s="229">
        <f t="shared" si="89"/>
        <v>45830</v>
      </c>
      <c r="O239" s="230">
        <v>3</v>
      </c>
      <c r="P239" s="229">
        <f t="shared" si="90"/>
        <v>45833</v>
      </c>
      <c r="Q239" s="211">
        <f t="shared" si="91"/>
        <v>115</v>
      </c>
      <c r="R239" s="210">
        <v>45833</v>
      </c>
      <c r="S239" s="210">
        <f t="shared" si="92"/>
        <v>-120</v>
      </c>
      <c r="T239" s="210">
        <f t="shared" si="93"/>
        <v>-97</v>
      </c>
      <c r="U239" s="210">
        <f t="shared" si="94"/>
        <v>-37</v>
      </c>
      <c r="V239" s="221">
        <f t="shared" si="95"/>
        <v>-30</v>
      </c>
      <c r="W239" s="209"/>
      <c r="X239" s="209"/>
      <c r="Y239" s="227"/>
      <c r="Z239" s="216">
        <v>60</v>
      </c>
      <c r="AA239" s="208"/>
      <c r="AB239" s="208"/>
      <c r="AC239" s="208"/>
      <c r="AD239" s="208"/>
      <c r="AE239" s="208"/>
      <c r="AF239" s="208"/>
    </row>
    <row r="240" spans="1:32" x14ac:dyDescent="0.3">
      <c r="A240" s="207">
        <v>8.07</v>
      </c>
      <c r="B240" s="208" t="s">
        <v>1060</v>
      </c>
      <c r="C240" s="209" t="s">
        <v>1063</v>
      </c>
      <c r="D240" s="229">
        <f t="shared" si="84"/>
        <v>45718</v>
      </c>
      <c r="E240" s="230">
        <v>10</v>
      </c>
      <c r="F240" s="229">
        <f t="shared" si="85"/>
        <v>45728</v>
      </c>
      <c r="G240" s="230">
        <v>21</v>
      </c>
      <c r="H240" s="229">
        <f t="shared" si="86"/>
        <v>45749</v>
      </c>
      <c r="I240" s="230">
        <v>5</v>
      </c>
      <c r="J240" s="229">
        <f t="shared" si="87"/>
        <v>45754</v>
      </c>
      <c r="K240" s="230">
        <v>45</v>
      </c>
      <c r="L240" s="229">
        <f t="shared" si="88"/>
        <v>45799</v>
      </c>
      <c r="M240" s="230">
        <v>31</v>
      </c>
      <c r="N240" s="229">
        <f t="shared" si="89"/>
        <v>45830</v>
      </c>
      <c r="O240" s="230">
        <v>3</v>
      </c>
      <c r="P240" s="229">
        <f t="shared" si="90"/>
        <v>45833</v>
      </c>
      <c r="Q240" s="211">
        <f t="shared" si="91"/>
        <v>115</v>
      </c>
      <c r="R240" s="210">
        <v>45833</v>
      </c>
      <c r="S240" s="210">
        <f t="shared" si="92"/>
        <v>-60</v>
      </c>
      <c r="T240" s="210">
        <f t="shared" si="93"/>
        <v>-37</v>
      </c>
      <c r="U240" s="210">
        <f t="shared" si="94"/>
        <v>-37</v>
      </c>
      <c r="V240" s="221">
        <f t="shared" si="95"/>
        <v>-30</v>
      </c>
      <c r="W240" s="209"/>
      <c r="X240" s="209"/>
      <c r="Y240" s="227"/>
      <c r="Z240" s="216"/>
      <c r="AA240" s="208"/>
      <c r="AB240" s="208"/>
      <c r="AC240" s="208"/>
      <c r="AD240" s="208"/>
      <c r="AE240" s="208"/>
      <c r="AF240" s="208"/>
    </row>
    <row r="241" spans="1:32" x14ac:dyDescent="0.3">
      <c r="A241" s="207">
        <v>8.07</v>
      </c>
      <c r="B241" s="208" t="s">
        <v>1060</v>
      </c>
      <c r="C241" s="209" t="s">
        <v>1064</v>
      </c>
      <c r="D241" s="229">
        <f t="shared" si="84"/>
        <v>45718</v>
      </c>
      <c r="E241" s="230">
        <v>10</v>
      </c>
      <c r="F241" s="229">
        <f t="shared" si="85"/>
        <v>45728</v>
      </c>
      <c r="G241" s="230">
        <v>21</v>
      </c>
      <c r="H241" s="229">
        <f t="shared" si="86"/>
        <v>45749</v>
      </c>
      <c r="I241" s="230">
        <v>5</v>
      </c>
      <c r="J241" s="229">
        <f t="shared" si="87"/>
        <v>45754</v>
      </c>
      <c r="K241" s="230">
        <v>45</v>
      </c>
      <c r="L241" s="229">
        <f t="shared" si="88"/>
        <v>45799</v>
      </c>
      <c r="M241" s="230">
        <v>31</v>
      </c>
      <c r="N241" s="229">
        <f t="shared" si="89"/>
        <v>45830</v>
      </c>
      <c r="O241" s="230">
        <v>3</v>
      </c>
      <c r="P241" s="229">
        <f t="shared" si="90"/>
        <v>45833</v>
      </c>
      <c r="Q241" s="211">
        <f t="shared" si="91"/>
        <v>115</v>
      </c>
      <c r="R241" s="210">
        <v>45833</v>
      </c>
      <c r="S241" s="210">
        <f t="shared" si="92"/>
        <v>-120</v>
      </c>
      <c r="T241" s="210">
        <f t="shared" si="93"/>
        <v>-97</v>
      </c>
      <c r="U241" s="210">
        <f t="shared" si="94"/>
        <v>-37</v>
      </c>
      <c r="V241" s="221">
        <f t="shared" si="95"/>
        <v>-30</v>
      </c>
      <c r="W241" s="209"/>
      <c r="X241" s="209"/>
      <c r="Y241" s="227"/>
      <c r="Z241" s="216">
        <v>60</v>
      </c>
      <c r="AA241" s="208"/>
      <c r="AB241" s="208"/>
      <c r="AC241" s="208"/>
      <c r="AD241" s="208"/>
      <c r="AE241" s="208"/>
      <c r="AF241" s="208"/>
    </row>
    <row r="242" spans="1:32" x14ac:dyDescent="0.3">
      <c r="A242" s="207">
        <v>8.07</v>
      </c>
      <c r="B242" s="208" t="s">
        <v>1060</v>
      </c>
      <c r="C242" s="209" t="s">
        <v>1065</v>
      </c>
      <c r="D242" s="229">
        <f t="shared" si="84"/>
        <v>45718</v>
      </c>
      <c r="E242" s="230">
        <v>10</v>
      </c>
      <c r="F242" s="229">
        <f t="shared" si="85"/>
        <v>45728</v>
      </c>
      <c r="G242" s="230">
        <v>21</v>
      </c>
      <c r="H242" s="229">
        <f t="shared" si="86"/>
        <v>45749</v>
      </c>
      <c r="I242" s="230">
        <v>5</v>
      </c>
      <c r="J242" s="229">
        <f t="shared" si="87"/>
        <v>45754</v>
      </c>
      <c r="K242" s="230">
        <v>45</v>
      </c>
      <c r="L242" s="229">
        <f t="shared" si="88"/>
        <v>45799</v>
      </c>
      <c r="M242" s="230">
        <v>31</v>
      </c>
      <c r="N242" s="229">
        <f t="shared" si="89"/>
        <v>45830</v>
      </c>
      <c r="O242" s="230">
        <v>3</v>
      </c>
      <c r="P242" s="229">
        <f t="shared" si="90"/>
        <v>45833</v>
      </c>
      <c r="Q242" s="211">
        <f t="shared" si="91"/>
        <v>115</v>
      </c>
      <c r="R242" s="210">
        <v>45833</v>
      </c>
      <c r="S242" s="210">
        <f t="shared" si="92"/>
        <v>-120</v>
      </c>
      <c r="T242" s="210">
        <f t="shared" si="93"/>
        <v>-97</v>
      </c>
      <c r="U242" s="210">
        <f t="shared" si="94"/>
        <v>-37</v>
      </c>
      <c r="V242" s="221">
        <f t="shared" si="95"/>
        <v>-30</v>
      </c>
      <c r="W242" s="209"/>
      <c r="X242" s="209"/>
      <c r="Y242" s="227"/>
      <c r="Z242" s="216">
        <v>60</v>
      </c>
      <c r="AA242" s="208"/>
      <c r="AB242" s="208"/>
      <c r="AC242" s="208"/>
      <c r="AD242" s="208"/>
      <c r="AE242" s="208"/>
      <c r="AF242" s="208"/>
    </row>
    <row r="243" spans="1:32" x14ac:dyDescent="0.3">
      <c r="A243" s="207">
        <v>8.07</v>
      </c>
      <c r="B243" s="208" t="s">
        <v>1060</v>
      </c>
      <c r="C243" s="209" t="s">
        <v>1066</v>
      </c>
      <c r="D243" s="229">
        <f t="shared" si="84"/>
        <v>45718</v>
      </c>
      <c r="E243" s="230">
        <v>10</v>
      </c>
      <c r="F243" s="229">
        <f t="shared" si="85"/>
        <v>45728</v>
      </c>
      <c r="G243" s="230">
        <v>21</v>
      </c>
      <c r="H243" s="229">
        <f t="shared" si="86"/>
        <v>45749</v>
      </c>
      <c r="I243" s="230">
        <v>5</v>
      </c>
      <c r="J243" s="229">
        <f t="shared" si="87"/>
        <v>45754</v>
      </c>
      <c r="K243" s="230">
        <v>45</v>
      </c>
      <c r="L243" s="229">
        <f t="shared" si="88"/>
        <v>45799</v>
      </c>
      <c r="M243" s="230">
        <v>31</v>
      </c>
      <c r="N243" s="229">
        <f t="shared" si="89"/>
        <v>45830</v>
      </c>
      <c r="O243" s="230">
        <v>3</v>
      </c>
      <c r="P243" s="229">
        <f t="shared" si="90"/>
        <v>45833</v>
      </c>
      <c r="Q243" s="211">
        <f t="shared" si="91"/>
        <v>115</v>
      </c>
      <c r="R243" s="210">
        <v>45833</v>
      </c>
      <c r="S243" s="210">
        <f t="shared" si="92"/>
        <v>-120</v>
      </c>
      <c r="T243" s="210">
        <f t="shared" si="93"/>
        <v>-97</v>
      </c>
      <c r="U243" s="210">
        <f t="shared" si="94"/>
        <v>-37</v>
      </c>
      <c r="V243" s="221">
        <f t="shared" si="95"/>
        <v>-30</v>
      </c>
      <c r="W243" s="209"/>
      <c r="X243" s="209"/>
      <c r="Y243" s="227"/>
      <c r="Z243" s="216">
        <v>60</v>
      </c>
      <c r="AA243" s="208"/>
      <c r="AB243" s="208"/>
      <c r="AC243" s="208"/>
      <c r="AD243" s="208"/>
      <c r="AE243" s="208"/>
      <c r="AF243" s="208"/>
    </row>
    <row r="244" spans="1:32" x14ac:dyDescent="0.3">
      <c r="A244" s="207">
        <v>8.07</v>
      </c>
      <c r="B244" s="208" t="s">
        <v>1060</v>
      </c>
      <c r="C244" s="209" t="s">
        <v>1067</v>
      </c>
      <c r="D244" s="229">
        <f t="shared" si="84"/>
        <v>45718</v>
      </c>
      <c r="E244" s="230">
        <v>10</v>
      </c>
      <c r="F244" s="229">
        <f t="shared" si="85"/>
        <v>45728</v>
      </c>
      <c r="G244" s="230">
        <v>21</v>
      </c>
      <c r="H244" s="229">
        <f t="shared" si="86"/>
        <v>45749</v>
      </c>
      <c r="I244" s="230">
        <v>5</v>
      </c>
      <c r="J244" s="229">
        <f t="shared" si="87"/>
        <v>45754</v>
      </c>
      <c r="K244" s="230">
        <v>45</v>
      </c>
      <c r="L244" s="229">
        <f t="shared" si="88"/>
        <v>45799</v>
      </c>
      <c r="M244" s="230">
        <v>31</v>
      </c>
      <c r="N244" s="229">
        <f t="shared" si="89"/>
        <v>45830</v>
      </c>
      <c r="O244" s="230">
        <v>3</v>
      </c>
      <c r="P244" s="229">
        <f t="shared" si="90"/>
        <v>45833</v>
      </c>
      <c r="Q244" s="211">
        <f t="shared" si="91"/>
        <v>115</v>
      </c>
      <c r="R244" s="210">
        <v>45833</v>
      </c>
      <c r="S244" s="210">
        <f t="shared" si="92"/>
        <v>-120</v>
      </c>
      <c r="T244" s="210">
        <f t="shared" si="93"/>
        <v>-97</v>
      </c>
      <c r="U244" s="210">
        <f t="shared" si="94"/>
        <v>-37</v>
      </c>
      <c r="V244" s="221">
        <f t="shared" si="95"/>
        <v>-30</v>
      </c>
      <c r="W244" s="209"/>
      <c r="X244" s="209"/>
      <c r="Y244" s="227"/>
      <c r="Z244" s="216">
        <v>60</v>
      </c>
      <c r="AA244" s="208"/>
      <c r="AB244" s="208"/>
      <c r="AC244" s="208"/>
      <c r="AD244" s="208"/>
      <c r="AE244" s="208"/>
      <c r="AF244" s="208"/>
    </row>
    <row r="245" spans="1:32" x14ac:dyDescent="0.3">
      <c r="A245" s="207">
        <v>8.07</v>
      </c>
      <c r="B245" s="208" t="s">
        <v>1060</v>
      </c>
      <c r="C245" s="209" t="s">
        <v>1068</v>
      </c>
      <c r="D245" s="229">
        <f t="shared" si="84"/>
        <v>45718</v>
      </c>
      <c r="E245" s="230">
        <v>10</v>
      </c>
      <c r="F245" s="229">
        <f t="shared" si="85"/>
        <v>45728</v>
      </c>
      <c r="G245" s="230">
        <v>21</v>
      </c>
      <c r="H245" s="229">
        <f t="shared" si="86"/>
        <v>45749</v>
      </c>
      <c r="I245" s="230">
        <v>5</v>
      </c>
      <c r="J245" s="229">
        <f t="shared" si="87"/>
        <v>45754</v>
      </c>
      <c r="K245" s="230">
        <v>45</v>
      </c>
      <c r="L245" s="229">
        <f t="shared" si="88"/>
        <v>45799</v>
      </c>
      <c r="M245" s="230">
        <v>31</v>
      </c>
      <c r="N245" s="229">
        <f t="shared" si="89"/>
        <v>45830</v>
      </c>
      <c r="O245" s="230">
        <v>3</v>
      </c>
      <c r="P245" s="229">
        <f t="shared" si="90"/>
        <v>45833</v>
      </c>
      <c r="Q245" s="211">
        <f t="shared" si="91"/>
        <v>115</v>
      </c>
      <c r="R245" s="210">
        <v>45833</v>
      </c>
      <c r="S245" s="210">
        <f t="shared" si="92"/>
        <v>-120</v>
      </c>
      <c r="T245" s="210">
        <f t="shared" si="93"/>
        <v>-97</v>
      </c>
      <c r="U245" s="210">
        <f t="shared" si="94"/>
        <v>-37</v>
      </c>
      <c r="V245" s="221">
        <f t="shared" si="95"/>
        <v>-30</v>
      </c>
      <c r="W245" s="209"/>
      <c r="X245" s="209"/>
      <c r="Y245" s="227"/>
      <c r="Z245" s="216">
        <v>60</v>
      </c>
      <c r="AA245" s="208"/>
      <c r="AB245" s="208"/>
      <c r="AC245" s="208"/>
      <c r="AD245" s="208"/>
      <c r="AE245" s="208"/>
      <c r="AF245" s="208"/>
    </row>
    <row r="246" spans="1:32" x14ac:dyDescent="0.3">
      <c r="A246" s="207">
        <v>8.07</v>
      </c>
      <c r="B246" s="208" t="s">
        <v>1060</v>
      </c>
      <c r="C246" s="209" t="s">
        <v>1069</v>
      </c>
      <c r="D246" s="229">
        <f t="shared" si="84"/>
        <v>45718</v>
      </c>
      <c r="E246" s="230">
        <v>10</v>
      </c>
      <c r="F246" s="229">
        <f t="shared" si="85"/>
        <v>45728</v>
      </c>
      <c r="G246" s="230">
        <v>21</v>
      </c>
      <c r="H246" s="229">
        <f t="shared" si="86"/>
        <v>45749</v>
      </c>
      <c r="I246" s="230">
        <v>5</v>
      </c>
      <c r="J246" s="229">
        <f t="shared" si="87"/>
        <v>45754</v>
      </c>
      <c r="K246" s="230">
        <v>45</v>
      </c>
      <c r="L246" s="229">
        <f t="shared" si="88"/>
        <v>45799</v>
      </c>
      <c r="M246" s="230">
        <v>31</v>
      </c>
      <c r="N246" s="229">
        <f t="shared" si="89"/>
        <v>45830</v>
      </c>
      <c r="O246" s="230">
        <v>3</v>
      </c>
      <c r="P246" s="229">
        <f t="shared" si="90"/>
        <v>45833</v>
      </c>
      <c r="Q246" s="211">
        <f t="shared" si="91"/>
        <v>115</v>
      </c>
      <c r="R246" s="210">
        <v>45833</v>
      </c>
      <c r="S246" s="210">
        <f t="shared" si="92"/>
        <v>-120</v>
      </c>
      <c r="T246" s="210">
        <f t="shared" si="93"/>
        <v>-97</v>
      </c>
      <c r="U246" s="210">
        <f t="shared" si="94"/>
        <v>-37</v>
      </c>
      <c r="V246" s="221">
        <f t="shared" si="95"/>
        <v>-30</v>
      </c>
      <c r="W246" s="209"/>
      <c r="X246" s="209"/>
      <c r="Y246" s="227"/>
      <c r="Z246" s="216">
        <v>60</v>
      </c>
      <c r="AA246" s="208"/>
      <c r="AB246" s="208"/>
      <c r="AC246" s="208"/>
      <c r="AD246" s="208"/>
      <c r="AE246" s="208"/>
      <c r="AF246" s="208"/>
    </row>
    <row r="247" spans="1:32" x14ac:dyDescent="0.3">
      <c r="A247" s="207">
        <v>8.07</v>
      </c>
      <c r="B247" s="208" t="s">
        <v>1060</v>
      </c>
      <c r="C247" s="209" t="s">
        <v>1070</v>
      </c>
      <c r="D247" s="229">
        <f t="shared" ref="D247:D261" si="96">R247-(E247+G247+I247+K247+M247+O247)</f>
        <v>45718</v>
      </c>
      <c r="E247" s="230">
        <v>10</v>
      </c>
      <c r="F247" s="229">
        <f t="shared" ref="F247:F261" si="97">D247+E247</f>
        <v>45728</v>
      </c>
      <c r="G247" s="230">
        <v>21</v>
      </c>
      <c r="H247" s="229">
        <f t="shared" ref="H247:H261" si="98">F247+G247</f>
        <v>45749</v>
      </c>
      <c r="I247" s="230">
        <v>5</v>
      </c>
      <c r="J247" s="229">
        <f t="shared" ref="J247:J261" si="99">H247+I247</f>
        <v>45754</v>
      </c>
      <c r="K247" s="230">
        <v>45</v>
      </c>
      <c r="L247" s="229">
        <f t="shared" ref="L247:L261" si="100">J247+K247</f>
        <v>45799</v>
      </c>
      <c r="M247" s="230">
        <v>31</v>
      </c>
      <c r="N247" s="229">
        <f t="shared" ref="N247:N261" si="101">L247+M247</f>
        <v>45830</v>
      </c>
      <c r="O247" s="230">
        <v>3</v>
      </c>
      <c r="P247" s="229">
        <f t="shared" ref="P247:P261" si="102">N247+O247</f>
        <v>45833</v>
      </c>
      <c r="Q247" s="211">
        <f t="shared" ref="Q247:Q261" si="103">O247+M247+K247+I247+G247+E247</f>
        <v>115</v>
      </c>
      <c r="R247" s="210">
        <v>45833</v>
      </c>
      <c r="S247" s="210">
        <f t="shared" ref="S247:S261" si="104">+T247-23</f>
        <v>-190</v>
      </c>
      <c r="T247" s="210">
        <f t="shared" ref="T247:T261" si="105">+U247-Z247</f>
        <v>-167</v>
      </c>
      <c r="U247" s="210">
        <f t="shared" ref="U247:U261" si="106">+V247-7</f>
        <v>-37</v>
      </c>
      <c r="V247" s="221">
        <f t="shared" ref="V247:V261" si="107">+$C$6-30</f>
        <v>-30</v>
      </c>
      <c r="W247" s="209"/>
      <c r="X247" s="209"/>
      <c r="Y247" s="227"/>
      <c r="Z247" s="216">
        <v>130</v>
      </c>
      <c r="AA247" s="208"/>
      <c r="AB247" s="208"/>
      <c r="AC247" s="208"/>
      <c r="AD247" s="208"/>
      <c r="AE247" s="208"/>
      <c r="AF247" s="208"/>
    </row>
    <row r="248" spans="1:32" x14ac:dyDescent="0.3">
      <c r="A248" s="207">
        <v>8.07</v>
      </c>
      <c r="B248" s="208" t="s">
        <v>1060</v>
      </c>
      <c r="C248" s="209" t="s">
        <v>1071</v>
      </c>
      <c r="D248" s="229">
        <f t="shared" si="96"/>
        <v>45718</v>
      </c>
      <c r="E248" s="230">
        <v>10</v>
      </c>
      <c r="F248" s="229">
        <f t="shared" si="97"/>
        <v>45728</v>
      </c>
      <c r="G248" s="230">
        <v>21</v>
      </c>
      <c r="H248" s="229">
        <f t="shared" si="98"/>
        <v>45749</v>
      </c>
      <c r="I248" s="230">
        <v>5</v>
      </c>
      <c r="J248" s="229">
        <f t="shared" si="99"/>
        <v>45754</v>
      </c>
      <c r="K248" s="230">
        <v>45</v>
      </c>
      <c r="L248" s="229">
        <f t="shared" si="100"/>
        <v>45799</v>
      </c>
      <c r="M248" s="230">
        <v>31</v>
      </c>
      <c r="N248" s="229">
        <f t="shared" si="101"/>
        <v>45830</v>
      </c>
      <c r="O248" s="230">
        <v>3</v>
      </c>
      <c r="P248" s="229">
        <f t="shared" si="102"/>
        <v>45833</v>
      </c>
      <c r="Q248" s="211">
        <f t="shared" si="103"/>
        <v>115</v>
      </c>
      <c r="R248" s="210">
        <v>45833</v>
      </c>
      <c r="S248" s="210">
        <f t="shared" si="104"/>
        <v>-120</v>
      </c>
      <c r="T248" s="210">
        <f t="shared" si="105"/>
        <v>-97</v>
      </c>
      <c r="U248" s="210">
        <f t="shared" si="106"/>
        <v>-37</v>
      </c>
      <c r="V248" s="221">
        <f t="shared" si="107"/>
        <v>-30</v>
      </c>
      <c r="W248" s="209"/>
      <c r="X248" s="209"/>
      <c r="Y248" s="227"/>
      <c r="Z248" s="216">
        <v>60</v>
      </c>
      <c r="AA248" s="208"/>
      <c r="AB248" s="208"/>
      <c r="AC248" s="208"/>
      <c r="AD248" s="208"/>
      <c r="AE248" s="208"/>
      <c r="AF248" s="208"/>
    </row>
    <row r="249" spans="1:32" x14ac:dyDescent="0.3">
      <c r="A249" s="207">
        <v>8.07</v>
      </c>
      <c r="B249" s="208" t="s">
        <v>1060</v>
      </c>
      <c r="C249" s="209" t="s">
        <v>1072</v>
      </c>
      <c r="D249" s="229">
        <f t="shared" si="96"/>
        <v>45718</v>
      </c>
      <c r="E249" s="230">
        <v>10</v>
      </c>
      <c r="F249" s="229">
        <f t="shared" si="97"/>
        <v>45728</v>
      </c>
      <c r="G249" s="230">
        <v>21</v>
      </c>
      <c r="H249" s="229">
        <f t="shared" si="98"/>
        <v>45749</v>
      </c>
      <c r="I249" s="230">
        <v>5</v>
      </c>
      <c r="J249" s="229">
        <f t="shared" si="99"/>
        <v>45754</v>
      </c>
      <c r="K249" s="230">
        <v>45</v>
      </c>
      <c r="L249" s="229">
        <f t="shared" si="100"/>
        <v>45799</v>
      </c>
      <c r="M249" s="230">
        <v>31</v>
      </c>
      <c r="N249" s="229">
        <f t="shared" si="101"/>
        <v>45830</v>
      </c>
      <c r="O249" s="230">
        <v>3</v>
      </c>
      <c r="P249" s="229">
        <f t="shared" si="102"/>
        <v>45833</v>
      </c>
      <c r="Q249" s="211">
        <f t="shared" si="103"/>
        <v>115</v>
      </c>
      <c r="R249" s="210">
        <v>45833</v>
      </c>
      <c r="S249" s="210">
        <f t="shared" si="104"/>
        <v>-120</v>
      </c>
      <c r="T249" s="210">
        <f t="shared" si="105"/>
        <v>-97</v>
      </c>
      <c r="U249" s="210">
        <f t="shared" si="106"/>
        <v>-37</v>
      </c>
      <c r="V249" s="221">
        <f t="shared" si="107"/>
        <v>-30</v>
      </c>
      <c r="W249" s="209"/>
      <c r="X249" s="209"/>
      <c r="Y249" s="227"/>
      <c r="Z249" s="216">
        <v>60</v>
      </c>
      <c r="AA249" s="208"/>
      <c r="AB249" s="208"/>
      <c r="AC249" s="208"/>
      <c r="AD249" s="208"/>
      <c r="AE249" s="208"/>
      <c r="AF249" s="208"/>
    </row>
    <row r="250" spans="1:32" x14ac:dyDescent="0.3">
      <c r="A250" s="207">
        <v>8.07</v>
      </c>
      <c r="B250" s="208" t="s">
        <v>1060</v>
      </c>
      <c r="C250" s="209" t="s">
        <v>1073</v>
      </c>
      <c r="D250" s="229">
        <f t="shared" si="96"/>
        <v>45718</v>
      </c>
      <c r="E250" s="230">
        <v>10</v>
      </c>
      <c r="F250" s="229">
        <f t="shared" si="97"/>
        <v>45728</v>
      </c>
      <c r="G250" s="230">
        <v>21</v>
      </c>
      <c r="H250" s="229">
        <f t="shared" si="98"/>
        <v>45749</v>
      </c>
      <c r="I250" s="230">
        <v>5</v>
      </c>
      <c r="J250" s="229">
        <f t="shared" si="99"/>
        <v>45754</v>
      </c>
      <c r="K250" s="230">
        <v>45</v>
      </c>
      <c r="L250" s="229">
        <f t="shared" si="100"/>
        <v>45799</v>
      </c>
      <c r="M250" s="230">
        <v>31</v>
      </c>
      <c r="N250" s="229">
        <f t="shared" si="101"/>
        <v>45830</v>
      </c>
      <c r="O250" s="230">
        <v>3</v>
      </c>
      <c r="P250" s="229">
        <f t="shared" si="102"/>
        <v>45833</v>
      </c>
      <c r="Q250" s="211">
        <f t="shared" si="103"/>
        <v>115</v>
      </c>
      <c r="R250" s="210">
        <v>45833</v>
      </c>
      <c r="S250" s="210">
        <f t="shared" si="104"/>
        <v>-120</v>
      </c>
      <c r="T250" s="210">
        <f t="shared" si="105"/>
        <v>-97</v>
      </c>
      <c r="U250" s="210">
        <f t="shared" si="106"/>
        <v>-37</v>
      </c>
      <c r="V250" s="221">
        <f t="shared" si="107"/>
        <v>-30</v>
      </c>
      <c r="W250" s="209"/>
      <c r="X250" s="209"/>
      <c r="Y250" s="227"/>
      <c r="Z250" s="216">
        <v>60</v>
      </c>
      <c r="AA250" s="208"/>
      <c r="AB250" s="208"/>
      <c r="AC250" s="208"/>
      <c r="AD250" s="208"/>
      <c r="AE250" s="208"/>
      <c r="AF250" s="208"/>
    </row>
    <row r="251" spans="1:32" x14ac:dyDescent="0.3">
      <c r="A251" s="207">
        <v>8.07</v>
      </c>
      <c r="B251" s="208" t="s">
        <v>1060</v>
      </c>
      <c r="C251" s="209" t="s">
        <v>1074</v>
      </c>
      <c r="D251" s="229">
        <f t="shared" si="96"/>
        <v>45718</v>
      </c>
      <c r="E251" s="230">
        <v>10</v>
      </c>
      <c r="F251" s="229">
        <f t="shared" si="97"/>
        <v>45728</v>
      </c>
      <c r="G251" s="230">
        <v>21</v>
      </c>
      <c r="H251" s="229">
        <f t="shared" si="98"/>
        <v>45749</v>
      </c>
      <c r="I251" s="230">
        <v>5</v>
      </c>
      <c r="J251" s="229">
        <f t="shared" si="99"/>
        <v>45754</v>
      </c>
      <c r="K251" s="230">
        <v>45</v>
      </c>
      <c r="L251" s="229">
        <f t="shared" si="100"/>
        <v>45799</v>
      </c>
      <c r="M251" s="230">
        <v>31</v>
      </c>
      <c r="N251" s="229">
        <f t="shared" si="101"/>
        <v>45830</v>
      </c>
      <c r="O251" s="230">
        <v>3</v>
      </c>
      <c r="P251" s="229">
        <f t="shared" si="102"/>
        <v>45833</v>
      </c>
      <c r="Q251" s="211">
        <f t="shared" si="103"/>
        <v>115</v>
      </c>
      <c r="R251" s="210">
        <v>45833</v>
      </c>
      <c r="S251" s="210">
        <f t="shared" si="104"/>
        <v>-120</v>
      </c>
      <c r="T251" s="210">
        <f t="shared" si="105"/>
        <v>-97</v>
      </c>
      <c r="U251" s="210">
        <f t="shared" si="106"/>
        <v>-37</v>
      </c>
      <c r="V251" s="221">
        <f t="shared" si="107"/>
        <v>-30</v>
      </c>
      <c r="W251" s="209"/>
      <c r="X251" s="209"/>
      <c r="Y251" s="227"/>
      <c r="Z251" s="216">
        <v>60</v>
      </c>
      <c r="AA251" s="208"/>
      <c r="AB251" s="208"/>
      <c r="AC251" s="208"/>
      <c r="AD251" s="208"/>
      <c r="AE251" s="208"/>
      <c r="AF251" s="208"/>
    </row>
    <row r="252" spans="1:32" x14ac:dyDescent="0.3">
      <c r="A252" s="207">
        <v>8.07</v>
      </c>
      <c r="B252" s="208" t="s">
        <v>1060</v>
      </c>
      <c r="C252" s="209" t="s">
        <v>1075</v>
      </c>
      <c r="D252" s="229">
        <f t="shared" si="96"/>
        <v>45718</v>
      </c>
      <c r="E252" s="230">
        <v>10</v>
      </c>
      <c r="F252" s="229">
        <f t="shared" si="97"/>
        <v>45728</v>
      </c>
      <c r="G252" s="230">
        <v>21</v>
      </c>
      <c r="H252" s="229">
        <f t="shared" si="98"/>
        <v>45749</v>
      </c>
      <c r="I252" s="230">
        <v>5</v>
      </c>
      <c r="J252" s="229">
        <f t="shared" si="99"/>
        <v>45754</v>
      </c>
      <c r="K252" s="230">
        <v>45</v>
      </c>
      <c r="L252" s="229">
        <f t="shared" si="100"/>
        <v>45799</v>
      </c>
      <c r="M252" s="230">
        <v>31</v>
      </c>
      <c r="N252" s="229">
        <f t="shared" si="101"/>
        <v>45830</v>
      </c>
      <c r="O252" s="230">
        <v>3</v>
      </c>
      <c r="P252" s="229">
        <f t="shared" si="102"/>
        <v>45833</v>
      </c>
      <c r="Q252" s="211">
        <f t="shared" si="103"/>
        <v>115</v>
      </c>
      <c r="R252" s="210">
        <v>45833</v>
      </c>
      <c r="S252" s="210">
        <f t="shared" si="104"/>
        <v>-75</v>
      </c>
      <c r="T252" s="210">
        <f t="shared" si="105"/>
        <v>-52</v>
      </c>
      <c r="U252" s="210">
        <f t="shared" si="106"/>
        <v>-37</v>
      </c>
      <c r="V252" s="221">
        <f t="shared" si="107"/>
        <v>-30</v>
      </c>
      <c r="W252" s="209"/>
      <c r="X252" s="209"/>
      <c r="Y252" s="227"/>
      <c r="Z252" s="216">
        <v>15</v>
      </c>
      <c r="AA252" s="208"/>
      <c r="AB252" s="208"/>
      <c r="AC252" s="208"/>
      <c r="AD252" s="208"/>
      <c r="AE252" s="208"/>
      <c r="AF252" s="208"/>
    </row>
    <row r="253" spans="1:32" x14ac:dyDescent="0.3">
      <c r="A253" s="207">
        <v>8.08</v>
      </c>
      <c r="B253" s="208" t="s">
        <v>1076</v>
      </c>
      <c r="C253" s="209" t="s">
        <v>1077</v>
      </c>
      <c r="D253" s="229">
        <f t="shared" si="96"/>
        <v>45718</v>
      </c>
      <c r="E253" s="230">
        <v>10</v>
      </c>
      <c r="F253" s="229">
        <f t="shared" si="97"/>
        <v>45728</v>
      </c>
      <c r="G253" s="230">
        <v>21</v>
      </c>
      <c r="H253" s="229">
        <f t="shared" si="98"/>
        <v>45749</v>
      </c>
      <c r="I253" s="230">
        <v>5</v>
      </c>
      <c r="J253" s="229">
        <f t="shared" si="99"/>
        <v>45754</v>
      </c>
      <c r="K253" s="230">
        <v>45</v>
      </c>
      <c r="L253" s="229">
        <f t="shared" si="100"/>
        <v>45799</v>
      </c>
      <c r="M253" s="230">
        <v>31</v>
      </c>
      <c r="N253" s="229">
        <f t="shared" si="101"/>
        <v>45830</v>
      </c>
      <c r="O253" s="230">
        <v>3</v>
      </c>
      <c r="P253" s="229">
        <f t="shared" si="102"/>
        <v>45833</v>
      </c>
      <c r="Q253" s="211">
        <f t="shared" si="103"/>
        <v>115</v>
      </c>
      <c r="R253" s="210">
        <v>45833</v>
      </c>
      <c r="S253" s="210">
        <f t="shared" si="104"/>
        <v>-150</v>
      </c>
      <c r="T253" s="210">
        <f t="shared" si="105"/>
        <v>-127</v>
      </c>
      <c r="U253" s="210">
        <f t="shared" si="106"/>
        <v>-37</v>
      </c>
      <c r="V253" s="221">
        <f t="shared" si="107"/>
        <v>-30</v>
      </c>
      <c r="W253" s="209"/>
      <c r="X253" s="209"/>
      <c r="Y253" s="227"/>
      <c r="Z253" s="216">
        <v>90</v>
      </c>
      <c r="AA253" s="208"/>
      <c r="AB253" s="208"/>
      <c r="AC253" s="208"/>
      <c r="AD253" s="208"/>
      <c r="AE253" s="208"/>
      <c r="AF253" s="208"/>
    </row>
    <row r="254" spans="1:32" x14ac:dyDescent="0.3">
      <c r="A254" s="207">
        <v>8.08</v>
      </c>
      <c r="B254" s="208" t="s">
        <v>1076</v>
      </c>
      <c r="C254" s="209" t="s">
        <v>1078</v>
      </c>
      <c r="D254" s="229">
        <f t="shared" si="96"/>
        <v>45718</v>
      </c>
      <c r="E254" s="230">
        <v>10</v>
      </c>
      <c r="F254" s="229">
        <f t="shared" si="97"/>
        <v>45728</v>
      </c>
      <c r="G254" s="230">
        <v>21</v>
      </c>
      <c r="H254" s="229">
        <f t="shared" si="98"/>
        <v>45749</v>
      </c>
      <c r="I254" s="230">
        <v>5</v>
      </c>
      <c r="J254" s="229">
        <f t="shared" si="99"/>
        <v>45754</v>
      </c>
      <c r="K254" s="230">
        <v>45</v>
      </c>
      <c r="L254" s="229">
        <f t="shared" si="100"/>
        <v>45799</v>
      </c>
      <c r="M254" s="230">
        <v>31</v>
      </c>
      <c r="N254" s="229">
        <f t="shared" si="101"/>
        <v>45830</v>
      </c>
      <c r="O254" s="230">
        <v>3</v>
      </c>
      <c r="P254" s="229">
        <f t="shared" si="102"/>
        <v>45833</v>
      </c>
      <c r="Q254" s="211">
        <f t="shared" si="103"/>
        <v>115</v>
      </c>
      <c r="R254" s="210">
        <v>45833</v>
      </c>
      <c r="S254" s="210">
        <f t="shared" si="104"/>
        <v>-150</v>
      </c>
      <c r="T254" s="210">
        <f t="shared" si="105"/>
        <v>-127</v>
      </c>
      <c r="U254" s="210">
        <f t="shared" si="106"/>
        <v>-37</v>
      </c>
      <c r="V254" s="221">
        <f t="shared" si="107"/>
        <v>-30</v>
      </c>
      <c r="W254" s="209"/>
      <c r="X254" s="209"/>
      <c r="Y254" s="227"/>
      <c r="Z254" s="216">
        <v>90</v>
      </c>
      <c r="AA254" s="208"/>
      <c r="AB254" s="208"/>
      <c r="AC254" s="208"/>
      <c r="AD254" s="208"/>
      <c r="AE254" s="208"/>
      <c r="AF254" s="208"/>
    </row>
    <row r="255" spans="1:32" x14ac:dyDescent="0.3">
      <c r="A255" s="207">
        <v>8.08</v>
      </c>
      <c r="B255" s="208" t="s">
        <v>1076</v>
      </c>
      <c r="C255" s="209" t="s">
        <v>1079</v>
      </c>
      <c r="D255" s="229">
        <f t="shared" si="96"/>
        <v>45718</v>
      </c>
      <c r="E255" s="230">
        <v>10</v>
      </c>
      <c r="F255" s="229">
        <f t="shared" si="97"/>
        <v>45728</v>
      </c>
      <c r="G255" s="230">
        <v>21</v>
      </c>
      <c r="H255" s="229">
        <f t="shared" si="98"/>
        <v>45749</v>
      </c>
      <c r="I255" s="230">
        <v>5</v>
      </c>
      <c r="J255" s="229">
        <f t="shared" si="99"/>
        <v>45754</v>
      </c>
      <c r="K255" s="230">
        <v>45</v>
      </c>
      <c r="L255" s="229">
        <f t="shared" si="100"/>
        <v>45799</v>
      </c>
      <c r="M255" s="230">
        <v>31</v>
      </c>
      <c r="N255" s="229">
        <f t="shared" si="101"/>
        <v>45830</v>
      </c>
      <c r="O255" s="230">
        <v>3</v>
      </c>
      <c r="P255" s="229">
        <f t="shared" si="102"/>
        <v>45833</v>
      </c>
      <c r="Q255" s="211">
        <f t="shared" si="103"/>
        <v>115</v>
      </c>
      <c r="R255" s="210">
        <v>45833</v>
      </c>
      <c r="S255" s="210">
        <f t="shared" si="104"/>
        <v>-150</v>
      </c>
      <c r="T255" s="210">
        <f t="shared" si="105"/>
        <v>-127</v>
      </c>
      <c r="U255" s="210">
        <f t="shared" si="106"/>
        <v>-37</v>
      </c>
      <c r="V255" s="221">
        <f t="shared" si="107"/>
        <v>-30</v>
      </c>
      <c r="W255" s="209"/>
      <c r="X255" s="209"/>
      <c r="Y255" s="227"/>
      <c r="Z255" s="216">
        <v>90</v>
      </c>
      <c r="AA255" s="208"/>
      <c r="AB255" s="208"/>
      <c r="AC255" s="208"/>
      <c r="AD255" s="208"/>
      <c r="AE255" s="208"/>
      <c r="AF255" s="208"/>
    </row>
    <row r="256" spans="1:32" x14ac:dyDescent="0.3">
      <c r="A256" s="207">
        <v>8.09</v>
      </c>
      <c r="B256" s="208" t="s">
        <v>1080</v>
      </c>
      <c r="C256" s="209" t="s">
        <v>1081</v>
      </c>
      <c r="D256" s="229">
        <f t="shared" si="96"/>
        <v>45718</v>
      </c>
      <c r="E256" s="230">
        <v>10</v>
      </c>
      <c r="F256" s="229">
        <f t="shared" si="97"/>
        <v>45728</v>
      </c>
      <c r="G256" s="230">
        <v>21</v>
      </c>
      <c r="H256" s="229">
        <f t="shared" si="98"/>
        <v>45749</v>
      </c>
      <c r="I256" s="230">
        <v>5</v>
      </c>
      <c r="J256" s="229">
        <f t="shared" si="99"/>
        <v>45754</v>
      </c>
      <c r="K256" s="230">
        <v>45</v>
      </c>
      <c r="L256" s="229">
        <f t="shared" si="100"/>
        <v>45799</v>
      </c>
      <c r="M256" s="230">
        <v>31</v>
      </c>
      <c r="N256" s="229">
        <f t="shared" si="101"/>
        <v>45830</v>
      </c>
      <c r="O256" s="230">
        <v>3</v>
      </c>
      <c r="P256" s="229">
        <f t="shared" si="102"/>
        <v>45833</v>
      </c>
      <c r="Q256" s="211">
        <f t="shared" si="103"/>
        <v>115</v>
      </c>
      <c r="R256" s="210">
        <v>45833</v>
      </c>
      <c r="S256" s="210">
        <f t="shared" si="104"/>
        <v>-170</v>
      </c>
      <c r="T256" s="210">
        <f t="shared" si="105"/>
        <v>-147</v>
      </c>
      <c r="U256" s="210">
        <f t="shared" si="106"/>
        <v>-37</v>
      </c>
      <c r="V256" s="221">
        <f t="shared" si="107"/>
        <v>-30</v>
      </c>
      <c r="W256" s="209"/>
      <c r="X256" s="209"/>
      <c r="Y256" s="227"/>
      <c r="Z256" s="216">
        <v>110</v>
      </c>
      <c r="AA256" s="208"/>
      <c r="AB256" s="208"/>
      <c r="AC256" s="208"/>
      <c r="AD256" s="208"/>
      <c r="AE256" s="208"/>
      <c r="AF256" s="208"/>
    </row>
    <row r="257" spans="1:32" x14ac:dyDescent="0.3">
      <c r="A257" s="207">
        <v>8.09</v>
      </c>
      <c r="B257" s="208" t="s">
        <v>1080</v>
      </c>
      <c r="C257" s="209" t="s">
        <v>1082</v>
      </c>
      <c r="D257" s="229">
        <f t="shared" si="96"/>
        <v>45718</v>
      </c>
      <c r="E257" s="230">
        <v>10</v>
      </c>
      <c r="F257" s="229">
        <f t="shared" si="97"/>
        <v>45728</v>
      </c>
      <c r="G257" s="230">
        <v>21</v>
      </c>
      <c r="H257" s="229">
        <f t="shared" si="98"/>
        <v>45749</v>
      </c>
      <c r="I257" s="230">
        <v>5</v>
      </c>
      <c r="J257" s="229">
        <f t="shared" si="99"/>
        <v>45754</v>
      </c>
      <c r="K257" s="230">
        <v>45</v>
      </c>
      <c r="L257" s="229">
        <f t="shared" si="100"/>
        <v>45799</v>
      </c>
      <c r="M257" s="230">
        <v>31</v>
      </c>
      <c r="N257" s="229">
        <f t="shared" si="101"/>
        <v>45830</v>
      </c>
      <c r="O257" s="230">
        <v>3</v>
      </c>
      <c r="P257" s="229">
        <f t="shared" si="102"/>
        <v>45833</v>
      </c>
      <c r="Q257" s="211">
        <f t="shared" si="103"/>
        <v>115</v>
      </c>
      <c r="R257" s="210">
        <v>45833</v>
      </c>
      <c r="S257" s="210">
        <f t="shared" si="104"/>
        <v>-75</v>
      </c>
      <c r="T257" s="210">
        <f t="shared" si="105"/>
        <v>-52</v>
      </c>
      <c r="U257" s="210">
        <f t="shared" si="106"/>
        <v>-37</v>
      </c>
      <c r="V257" s="221">
        <f t="shared" si="107"/>
        <v>-30</v>
      </c>
      <c r="W257" s="209"/>
      <c r="X257" s="209"/>
      <c r="Y257" s="227"/>
      <c r="Z257" s="216">
        <v>15</v>
      </c>
      <c r="AA257" s="208"/>
      <c r="AB257" s="208"/>
      <c r="AC257" s="208"/>
      <c r="AD257" s="208"/>
      <c r="AE257" s="208"/>
      <c r="AF257" s="208"/>
    </row>
    <row r="258" spans="1:32" x14ac:dyDescent="0.3">
      <c r="A258" s="207">
        <v>8.09</v>
      </c>
      <c r="B258" s="208" t="s">
        <v>1080</v>
      </c>
      <c r="C258" s="209" t="s">
        <v>1083</v>
      </c>
      <c r="D258" s="229">
        <f t="shared" si="96"/>
        <v>45718</v>
      </c>
      <c r="E258" s="230">
        <v>10</v>
      </c>
      <c r="F258" s="229">
        <f t="shared" si="97"/>
        <v>45728</v>
      </c>
      <c r="G258" s="230">
        <v>21</v>
      </c>
      <c r="H258" s="229">
        <f t="shared" si="98"/>
        <v>45749</v>
      </c>
      <c r="I258" s="230">
        <v>5</v>
      </c>
      <c r="J258" s="229">
        <f t="shared" si="99"/>
        <v>45754</v>
      </c>
      <c r="K258" s="230">
        <v>45</v>
      </c>
      <c r="L258" s="229">
        <f t="shared" si="100"/>
        <v>45799</v>
      </c>
      <c r="M258" s="230">
        <v>31</v>
      </c>
      <c r="N258" s="229">
        <f t="shared" si="101"/>
        <v>45830</v>
      </c>
      <c r="O258" s="230">
        <v>3</v>
      </c>
      <c r="P258" s="229">
        <f t="shared" si="102"/>
        <v>45833</v>
      </c>
      <c r="Q258" s="211">
        <f t="shared" si="103"/>
        <v>115</v>
      </c>
      <c r="R258" s="210">
        <v>45833</v>
      </c>
      <c r="S258" s="210">
        <f t="shared" si="104"/>
        <v>-170</v>
      </c>
      <c r="T258" s="210">
        <f t="shared" si="105"/>
        <v>-147</v>
      </c>
      <c r="U258" s="210">
        <f t="shared" si="106"/>
        <v>-37</v>
      </c>
      <c r="V258" s="221">
        <f t="shared" si="107"/>
        <v>-30</v>
      </c>
      <c r="W258" s="209"/>
      <c r="X258" s="209"/>
      <c r="Y258" s="227"/>
      <c r="Z258" s="216">
        <v>110</v>
      </c>
      <c r="AA258" s="208"/>
      <c r="AB258" s="208"/>
      <c r="AC258" s="208"/>
      <c r="AD258" s="208"/>
      <c r="AE258" s="208"/>
      <c r="AF258" s="208"/>
    </row>
    <row r="259" spans="1:32" x14ac:dyDescent="0.3">
      <c r="A259" s="207">
        <v>8.09</v>
      </c>
      <c r="B259" s="208" t="s">
        <v>1080</v>
      </c>
      <c r="C259" s="209" t="s">
        <v>1084</v>
      </c>
      <c r="D259" s="229">
        <f t="shared" si="96"/>
        <v>45718</v>
      </c>
      <c r="E259" s="230">
        <v>10</v>
      </c>
      <c r="F259" s="229">
        <f t="shared" si="97"/>
        <v>45728</v>
      </c>
      <c r="G259" s="230">
        <v>21</v>
      </c>
      <c r="H259" s="229">
        <f t="shared" si="98"/>
        <v>45749</v>
      </c>
      <c r="I259" s="230">
        <v>5</v>
      </c>
      <c r="J259" s="229">
        <f t="shared" si="99"/>
        <v>45754</v>
      </c>
      <c r="K259" s="230">
        <v>45</v>
      </c>
      <c r="L259" s="229">
        <f t="shared" si="100"/>
        <v>45799</v>
      </c>
      <c r="M259" s="230">
        <v>31</v>
      </c>
      <c r="N259" s="229">
        <f t="shared" si="101"/>
        <v>45830</v>
      </c>
      <c r="O259" s="230">
        <v>3</v>
      </c>
      <c r="P259" s="229">
        <f t="shared" si="102"/>
        <v>45833</v>
      </c>
      <c r="Q259" s="211">
        <f t="shared" si="103"/>
        <v>115</v>
      </c>
      <c r="R259" s="210">
        <v>45833</v>
      </c>
      <c r="S259" s="210">
        <f t="shared" si="104"/>
        <v>-75</v>
      </c>
      <c r="T259" s="210">
        <f t="shared" si="105"/>
        <v>-52</v>
      </c>
      <c r="U259" s="210">
        <f t="shared" si="106"/>
        <v>-37</v>
      </c>
      <c r="V259" s="221">
        <f t="shared" si="107"/>
        <v>-30</v>
      </c>
      <c r="W259" s="209"/>
      <c r="X259" s="209"/>
      <c r="Y259" s="227"/>
      <c r="Z259" s="216">
        <v>15</v>
      </c>
      <c r="AA259" s="208"/>
      <c r="AB259" s="208"/>
      <c r="AC259" s="208"/>
      <c r="AD259" s="208"/>
      <c r="AE259" s="208"/>
      <c r="AF259" s="208"/>
    </row>
    <row r="260" spans="1:32" x14ac:dyDescent="0.3">
      <c r="A260" s="207">
        <v>8.09</v>
      </c>
      <c r="B260" s="208" t="s">
        <v>1080</v>
      </c>
      <c r="C260" s="209" t="s">
        <v>1085</v>
      </c>
      <c r="D260" s="229">
        <f t="shared" si="96"/>
        <v>45718</v>
      </c>
      <c r="E260" s="230">
        <v>10</v>
      </c>
      <c r="F260" s="229">
        <f t="shared" si="97"/>
        <v>45728</v>
      </c>
      <c r="G260" s="230">
        <v>21</v>
      </c>
      <c r="H260" s="229">
        <f t="shared" si="98"/>
        <v>45749</v>
      </c>
      <c r="I260" s="230">
        <v>5</v>
      </c>
      <c r="J260" s="229">
        <f t="shared" si="99"/>
        <v>45754</v>
      </c>
      <c r="K260" s="230">
        <v>45</v>
      </c>
      <c r="L260" s="229">
        <f t="shared" si="100"/>
        <v>45799</v>
      </c>
      <c r="M260" s="230">
        <v>31</v>
      </c>
      <c r="N260" s="229">
        <f t="shared" si="101"/>
        <v>45830</v>
      </c>
      <c r="O260" s="230">
        <v>3</v>
      </c>
      <c r="P260" s="229">
        <f t="shared" si="102"/>
        <v>45833</v>
      </c>
      <c r="Q260" s="211">
        <f t="shared" si="103"/>
        <v>115</v>
      </c>
      <c r="R260" s="210">
        <v>45833</v>
      </c>
      <c r="S260" s="210">
        <f t="shared" si="104"/>
        <v>-150</v>
      </c>
      <c r="T260" s="210">
        <f t="shared" si="105"/>
        <v>-127</v>
      </c>
      <c r="U260" s="210">
        <f t="shared" si="106"/>
        <v>-37</v>
      </c>
      <c r="V260" s="221">
        <f t="shared" si="107"/>
        <v>-30</v>
      </c>
      <c r="W260" s="209"/>
      <c r="X260" s="209"/>
      <c r="Y260" s="227"/>
      <c r="Z260" s="216">
        <v>90</v>
      </c>
      <c r="AA260" s="208"/>
      <c r="AB260" s="208"/>
      <c r="AC260" s="208"/>
      <c r="AD260" s="208"/>
      <c r="AE260" s="208"/>
      <c r="AF260" s="208"/>
    </row>
    <row r="261" spans="1:32" ht="28.8" x14ac:dyDescent="0.3">
      <c r="A261" s="207">
        <v>8.09</v>
      </c>
      <c r="B261" s="208" t="s">
        <v>1080</v>
      </c>
      <c r="C261" s="209" t="s">
        <v>1086</v>
      </c>
      <c r="D261" s="229">
        <f t="shared" si="96"/>
        <v>45718</v>
      </c>
      <c r="E261" s="230">
        <v>10</v>
      </c>
      <c r="F261" s="229">
        <f t="shared" si="97"/>
        <v>45728</v>
      </c>
      <c r="G261" s="230">
        <v>21</v>
      </c>
      <c r="H261" s="229">
        <f t="shared" si="98"/>
        <v>45749</v>
      </c>
      <c r="I261" s="230">
        <v>5</v>
      </c>
      <c r="J261" s="229">
        <f t="shared" si="99"/>
        <v>45754</v>
      </c>
      <c r="K261" s="230">
        <v>45</v>
      </c>
      <c r="L261" s="229">
        <f t="shared" si="100"/>
        <v>45799</v>
      </c>
      <c r="M261" s="230">
        <v>31</v>
      </c>
      <c r="N261" s="229">
        <f t="shared" si="101"/>
        <v>45830</v>
      </c>
      <c r="O261" s="230">
        <v>3</v>
      </c>
      <c r="P261" s="229">
        <f t="shared" si="102"/>
        <v>45833</v>
      </c>
      <c r="Q261" s="211">
        <f t="shared" si="103"/>
        <v>115</v>
      </c>
      <c r="R261" s="210">
        <v>45833</v>
      </c>
      <c r="S261" s="210">
        <f t="shared" si="104"/>
        <v>-150</v>
      </c>
      <c r="T261" s="210">
        <f t="shared" si="105"/>
        <v>-127</v>
      </c>
      <c r="U261" s="210">
        <f t="shared" si="106"/>
        <v>-37</v>
      </c>
      <c r="V261" s="221">
        <f t="shared" si="107"/>
        <v>-30</v>
      </c>
      <c r="W261" s="209"/>
      <c r="X261" s="209"/>
      <c r="Y261" s="227"/>
      <c r="Z261" s="216">
        <v>90</v>
      </c>
      <c r="AA261" s="208"/>
      <c r="AB261" s="208"/>
      <c r="AC261" s="208"/>
      <c r="AD261" s="208"/>
      <c r="AE261" s="208"/>
      <c r="AF261" s="208"/>
    </row>
  </sheetData>
  <autoFilter ref="A2:AF261" xr:uid="{CD76C40E-35D6-45A2-85F3-C69ACC79C54B}"/>
  <mergeCells count="21">
    <mergeCell ref="A182:Z182"/>
    <mergeCell ref="O13:P13"/>
    <mergeCell ref="A15:AF15"/>
    <mergeCell ref="A30:Z30"/>
    <mergeCell ref="A34:Z34"/>
    <mergeCell ref="A37:Z37"/>
    <mergeCell ref="A67:Z67"/>
    <mergeCell ref="D13:D14"/>
    <mergeCell ref="E13:F13"/>
    <mergeCell ref="G13:H13"/>
    <mergeCell ref="I13:J13"/>
    <mergeCell ref="K13:L13"/>
    <mergeCell ref="M13:N13"/>
    <mergeCell ref="A107:Z107"/>
    <mergeCell ref="S11:Y11"/>
    <mergeCell ref="D12:F12"/>
    <mergeCell ref="G12:H12"/>
    <mergeCell ref="I12:J12"/>
    <mergeCell ref="K12:L12"/>
    <mergeCell ref="M12:N12"/>
    <mergeCell ref="O12:P12"/>
  </mergeCells>
  <conditionalFormatting sqref="D16:D29 F16:F29 H16:H29 J16:J29 L16:L29 N16:N29 P16:P29 D31:D33 F31:F33 H31:H33 J31:J33 L31:L33 N31:N33 P31:P33 D35:D36 F35:F36 H35:H36 J35:J36 L35:L36 N35:N36 P35:P36 D38:D66 F38:F66 H38:H66 J38:J66 L38:L66 N38:N66 P38:P66 D68:D106 F68:F106 H68:H106 J68:J106 L68:L106 N68:N106 P68:P106 D108:D181 F108:F181 H108:H181 J108:J181 L108:L181 N108:N181 P108:P181 D183:D261 F183:F261 H183:H261 J183:J261 L183:L261 N183:N261 P183:P261">
    <cfRule type="cellIs" dxfId="149" priority="3" operator="lessThanOrEqual">
      <formula>TODAY()</formula>
    </cfRule>
    <cfRule type="cellIs" dxfId="148" priority="4" operator="lessThanOrEqual">
      <formula>TODAY()+7</formula>
    </cfRule>
  </conditionalFormatting>
  <conditionalFormatting sqref="E7">
    <cfRule type="cellIs" dxfId="147" priority="1" operator="lessThanOrEqual">
      <formula>TODAY()</formula>
    </cfRule>
    <cfRule type="cellIs" dxfId="146" priority="2" operator="lessThanOrEqual">
      <formula>TODAY()+7</formula>
    </cfRule>
  </conditionalFormatting>
  <conditionalFormatting sqref="T16:T29">
    <cfRule type="cellIs" dxfId="145" priority="17" operator="between">
      <formula>$C$10</formula>
      <formula>$C$11</formula>
    </cfRule>
    <cfRule type="cellIs" dxfId="144" priority="18" operator="between">
      <formula>$C$9</formula>
      <formula>$C$10</formula>
    </cfRule>
  </conditionalFormatting>
  <conditionalFormatting sqref="T31:T33">
    <cfRule type="cellIs" dxfId="143" priority="15" operator="between">
      <formula>$C$10</formula>
      <formula>$C$11</formula>
    </cfRule>
    <cfRule type="cellIs" dxfId="142" priority="16" operator="between">
      <formula>$C$9</formula>
      <formula>$C$10</formula>
    </cfRule>
  </conditionalFormatting>
  <conditionalFormatting sqref="T35:T36">
    <cfRule type="cellIs" dxfId="141" priority="13" operator="between">
      <formula>$C$10</formula>
      <formula>$C$11</formula>
    </cfRule>
    <cfRule type="cellIs" dxfId="140" priority="14" operator="between">
      <formula>$C$9</formula>
      <formula>$C$10</formula>
    </cfRule>
  </conditionalFormatting>
  <conditionalFormatting sqref="T38:T66">
    <cfRule type="cellIs" dxfId="139" priority="11" operator="between">
      <formula>$C$10</formula>
      <formula>$C$11</formula>
    </cfRule>
    <cfRule type="cellIs" dxfId="138" priority="12" operator="between">
      <formula>$C$9</formula>
      <formula>$C$10</formula>
    </cfRule>
  </conditionalFormatting>
  <conditionalFormatting sqref="T68:T106">
    <cfRule type="cellIs" dxfId="137" priority="9" operator="between">
      <formula>$C$10</formula>
      <formula>$C$11</formula>
    </cfRule>
    <cfRule type="cellIs" dxfId="136" priority="10" operator="between">
      <formula>$C$9</formula>
      <formula>$C$10</formula>
    </cfRule>
  </conditionalFormatting>
  <conditionalFormatting sqref="T108:T181">
    <cfRule type="cellIs" dxfId="135" priority="7" operator="between">
      <formula>$C$10</formula>
      <formula>$C$11</formula>
    </cfRule>
    <cfRule type="cellIs" dxfId="134" priority="8" operator="between">
      <formula>$C$9</formula>
      <formula>$C$10</formula>
    </cfRule>
  </conditionalFormatting>
  <conditionalFormatting sqref="T183:T261">
    <cfRule type="cellIs" dxfId="133" priority="5" operator="between">
      <formula>$C$10</formula>
      <formula>$C$11</formula>
    </cfRule>
    <cfRule type="cellIs" dxfId="132" priority="6" operator="between">
      <formula>$C$9</formula>
      <formula>$C$10</formula>
    </cfRule>
  </conditionalFormatting>
  <conditionalFormatting sqref="X16:X20 X23 X31:X33 X38:X66">
    <cfRule type="containsText" dxfId="131" priority="141" operator="containsText" text="Pendiente">
      <formula>NOT(ISERROR(SEARCH("Pendiente",X16)))</formula>
    </cfRule>
    <cfRule type="containsText" dxfId="130" priority="142" operator="containsText" text="Verificar">
      <formula>NOT(ISERROR(SEARCH("Verificar",X16)))</formula>
    </cfRule>
  </conditionalFormatting>
  <conditionalFormatting sqref="X16:X20">
    <cfRule type="containsText" dxfId="129" priority="134" operator="containsText" text="Todavia">
      <formula>NOT(ISERROR(SEARCH("Todavia",X16)))</formula>
    </cfRule>
    <cfRule type="containsText" dxfId="128" priority="140" operator="containsText" text="Alerta">
      <formula>NOT(ISERROR(SEARCH("Alerta",X16)))</formula>
    </cfRule>
    <cfRule type="containsText" dxfId="127" priority="147" operator="containsText" text="Alerta">
      <formula>NOT(ISERROR(SEARCH("Alerta",X16)))</formula>
    </cfRule>
    <cfRule type="containsText" dxfId="126" priority="146" operator="containsText" text="Listo">
      <formula>NOT(ISERROR(SEARCH("Listo",X16)))</formula>
    </cfRule>
    <cfRule type="containsText" dxfId="125" priority="145" operator="containsText" text="Paso">
      <formula>NOT(ISERROR(SEARCH("Paso",X16)))</formula>
    </cfRule>
    <cfRule type="containsText" dxfId="124" priority="144" operator="containsText" text="Atento">
      <formula>NOT(ISERROR(SEARCH("Atento",X16)))</formula>
    </cfRule>
    <cfRule type="containsText" dxfId="123" priority="143" operator="containsText" text="Todavia">
      <formula>NOT(ISERROR(SEARCH("Todavia",X16)))</formula>
    </cfRule>
    <cfRule type="containsText" dxfId="122" priority="139" operator="containsText" text="Listo">
      <formula>NOT(ISERROR(SEARCH("Listo",X16)))</formula>
    </cfRule>
    <cfRule type="containsText" dxfId="121" priority="138" operator="containsText" text="Todavia">
      <formula>NOT(ISERROR(SEARCH("Todavia",X16)))</formula>
    </cfRule>
    <cfRule type="containsText" dxfId="120" priority="137" operator="containsText" text="Coordinar">
      <formula>NOT(ISERROR(SEARCH("Coordinar",X16)))</formula>
    </cfRule>
    <cfRule type="containsText" dxfId="119" priority="135" operator="containsText" text="Atento">
      <formula>NOT(ISERROR(SEARCH("Atento",X16)))</formula>
    </cfRule>
  </conditionalFormatting>
  <conditionalFormatting sqref="X16:X28">
    <cfRule type="containsText" dxfId="118" priority="128" operator="containsText" text="Alerta">
      <formula>NOT(ISERROR(SEARCH("Alerta",X16)))</formula>
    </cfRule>
    <cfRule type="containsText" dxfId="117" priority="127" operator="containsText" text="Listo">
      <formula>NOT(ISERROR(SEARCH("Listo",X16)))</formula>
    </cfRule>
    <cfRule type="containsText" dxfId="116" priority="126" operator="containsText" text="Paso">
      <formula>NOT(ISERROR(SEARCH("Paso",X16)))</formula>
    </cfRule>
  </conditionalFormatting>
  <conditionalFormatting sqref="X16:X29">
    <cfRule type="containsText" dxfId="115" priority="110" operator="containsText" text="Proceso">
      <formula>NOT(ISERROR(SEARCH("Proceso",X16)))</formula>
    </cfRule>
    <cfRule type="containsText" dxfId="114" priority="111" operator="containsText" text="Entregado">
      <formula>NOT(ISERROR(SEARCH("Entregado",X16)))</formula>
    </cfRule>
  </conditionalFormatting>
  <conditionalFormatting sqref="X21:X28">
    <cfRule type="containsText" dxfId="113" priority="118" operator="containsText" text="Coordinar">
      <formula>NOT(ISERROR(SEARCH("Coordinar",X21)))</formula>
    </cfRule>
    <cfRule type="containsText" dxfId="112" priority="125" operator="containsText" text="Atento">
      <formula>NOT(ISERROR(SEARCH("Atento",X21)))</formula>
    </cfRule>
    <cfRule type="containsText" dxfId="111" priority="124" operator="containsText" text="Todavia">
      <formula>NOT(ISERROR(SEARCH("Todavia",X21)))</formula>
    </cfRule>
    <cfRule type="containsText" dxfId="110" priority="121" operator="containsText" text="Alerta">
      <formula>NOT(ISERROR(SEARCH("Alerta",X21)))</formula>
    </cfRule>
    <cfRule type="containsText" dxfId="109" priority="120" operator="containsText" text="Listo">
      <formula>NOT(ISERROR(SEARCH("Listo",X21)))</formula>
    </cfRule>
    <cfRule type="containsText" dxfId="108" priority="119" operator="containsText" text="Todavia">
      <formula>NOT(ISERROR(SEARCH("Todavia",X21)))</formula>
    </cfRule>
    <cfRule type="containsText" dxfId="107" priority="116" operator="containsText" text="Atento">
      <formula>NOT(ISERROR(SEARCH("Atento",X21)))</formula>
    </cfRule>
    <cfRule type="containsText" dxfId="106" priority="115" operator="containsText" text="Todavia">
      <formula>NOT(ISERROR(SEARCH("Todavia",X21)))</formula>
    </cfRule>
    <cfRule type="containsText" dxfId="105" priority="114" operator="containsText" text="Alerta">
      <formula>NOT(ISERROR(SEARCH("Alerta",X21)))</formula>
    </cfRule>
    <cfRule type="containsText" dxfId="104" priority="112" operator="containsText" text="Paso">
      <formula>NOT(ISERROR(SEARCH("Paso",X21)))</formula>
    </cfRule>
    <cfRule type="containsText" dxfId="103" priority="113" operator="containsText" text="Listo">
      <formula>NOT(ISERROR(SEARCH("Listo",X21)))</formula>
    </cfRule>
  </conditionalFormatting>
  <conditionalFormatting sqref="X21:X29">
    <cfRule type="containsText" dxfId="102" priority="123" operator="containsText" text="Verificar">
      <formula>NOT(ISERROR(SEARCH("Verificar",X21)))</formula>
    </cfRule>
    <cfRule type="containsText" dxfId="101" priority="122" operator="containsText" text="Pendiente">
      <formula>NOT(ISERROR(SEARCH("Pendiente",X21)))</formula>
    </cfRule>
  </conditionalFormatting>
  <conditionalFormatting sqref="X23 X29 X31:X33 X38:X66 X68:X102">
    <cfRule type="containsText" dxfId="100" priority="149" operator="containsText" text="Todavia">
      <formula>NOT(ISERROR(SEARCH("Todavia",X23)))</formula>
    </cfRule>
    <cfRule type="containsText" dxfId="99" priority="150" operator="containsText" text="Listo">
      <formula>NOT(ISERROR(SEARCH("Listo",X23)))</formula>
    </cfRule>
    <cfRule type="containsText" dxfId="98" priority="151" operator="containsText" text="Alerta">
      <formula>NOT(ISERROR(SEARCH("Alerta",X23)))</formula>
    </cfRule>
    <cfRule type="containsText" dxfId="97" priority="155" operator="containsText" text="Atento">
      <formula>NOT(ISERROR(SEARCH("Atento",X23)))</formula>
    </cfRule>
    <cfRule type="containsText" dxfId="96" priority="156" operator="containsText" text="Paso">
      <formula>NOT(ISERROR(SEARCH("Paso",X23)))</formula>
    </cfRule>
    <cfRule type="containsText" dxfId="95" priority="157" operator="containsText" text="Listo">
      <formula>NOT(ISERROR(SEARCH("Listo",X23)))</formula>
    </cfRule>
    <cfRule type="containsText" dxfId="94" priority="158" operator="containsText" text="Alerta">
      <formula>NOT(ISERROR(SEARCH("Alerta",X23)))</formula>
    </cfRule>
  </conditionalFormatting>
  <conditionalFormatting sqref="X23 X31:X33 X38:X66 X29 X68:X102">
    <cfRule type="containsText" dxfId="93" priority="148" operator="containsText" text="Coordinar">
      <formula>NOT(ISERROR(SEARCH("Coordinar",X23)))</formula>
    </cfRule>
  </conditionalFormatting>
  <conditionalFormatting sqref="X23 X31:X33 X38:X66 X68:X102 X29">
    <cfRule type="containsText" dxfId="92" priority="154" operator="containsText" text="Todavia">
      <formula>NOT(ISERROR(SEARCH("Todavia",X23)))</formula>
    </cfRule>
  </conditionalFormatting>
  <conditionalFormatting sqref="X23 X31:X33 X38:X66 X68:X102">
    <cfRule type="containsText" dxfId="91" priority="152" operator="containsText" text="Pendiente">
      <formula>NOT(ISERROR(SEARCH("Pendiente",X23)))</formula>
    </cfRule>
    <cfRule type="containsText" dxfId="90" priority="153" operator="containsText" text="Verificar">
      <formula>NOT(ISERROR(SEARCH("Verificar",X23)))</formula>
    </cfRule>
  </conditionalFormatting>
  <conditionalFormatting sqref="X23 X31:X33 X38:X66">
    <cfRule type="containsText" dxfId="89" priority="129" operator="containsText" text="Proceso">
      <formula>NOT(ISERROR(SEARCH("Proceso",X23)))</formula>
    </cfRule>
    <cfRule type="containsText" dxfId="88" priority="130" operator="containsText" text="Entregado">
      <formula>NOT(ISERROR(SEARCH("Entregado",X23)))</formula>
    </cfRule>
  </conditionalFormatting>
  <conditionalFormatting sqref="X35">
    <cfRule type="containsText" dxfId="87" priority="60" operator="containsText" text="Atento">
      <formula>NOT(ISERROR(SEARCH("Atento",X35)))</formula>
    </cfRule>
    <cfRule type="containsText" dxfId="86" priority="63" operator="containsText" text="Paso">
      <formula>NOT(ISERROR(SEARCH("Paso",X35)))</formula>
    </cfRule>
    <cfRule type="containsText" dxfId="85" priority="64" operator="containsText" text="Listo">
      <formula>NOT(ISERROR(SEARCH("Listo",X35)))</formula>
    </cfRule>
    <cfRule type="containsText" dxfId="84" priority="65" operator="containsText" text="Alerta">
      <formula>NOT(ISERROR(SEARCH("Alerta",X35)))</formula>
    </cfRule>
    <cfRule type="containsText" dxfId="83" priority="66" operator="containsText" text="Todavia">
      <formula>NOT(ISERROR(SEARCH("Todavia",X35)))</formula>
    </cfRule>
    <cfRule type="containsText" dxfId="82" priority="67" operator="containsText" text="Atento">
      <formula>NOT(ISERROR(SEARCH("Atento",X35)))</formula>
    </cfRule>
    <cfRule type="containsText" dxfId="81" priority="71" operator="containsText" text="Listo">
      <formula>NOT(ISERROR(SEARCH("Listo",X35)))</formula>
    </cfRule>
    <cfRule type="containsText" dxfId="80" priority="72" operator="containsText" text="Alerta">
      <formula>NOT(ISERROR(SEARCH("Alerta",X35)))</formula>
    </cfRule>
    <cfRule type="containsText" dxfId="79" priority="73" operator="containsText" text="Pendiente">
      <formula>NOT(ISERROR(SEARCH("Pendiente",X35)))</formula>
    </cfRule>
    <cfRule type="containsText" dxfId="78" priority="74" operator="containsText" text="Verificar">
      <formula>NOT(ISERROR(SEARCH("Verificar",X35)))</formula>
    </cfRule>
    <cfRule type="containsText" dxfId="77" priority="75" operator="containsText" text="Todavia">
      <formula>NOT(ISERROR(SEARCH("Todavia",X35)))</formula>
    </cfRule>
    <cfRule type="containsText" dxfId="76" priority="76" operator="containsText" text="Atento">
      <formula>NOT(ISERROR(SEARCH("Atento",X35)))</formula>
    </cfRule>
    <cfRule type="containsText" dxfId="75" priority="77" operator="containsText" text="Paso">
      <formula>NOT(ISERROR(SEARCH("Paso",X35)))</formula>
    </cfRule>
    <cfRule type="containsText" dxfId="74" priority="50" operator="containsText" text="Coordinar">
      <formula>NOT(ISERROR(SEARCH("Coordinar",X35)))</formula>
    </cfRule>
    <cfRule type="containsText" dxfId="73" priority="51" operator="containsText" text="Todavia">
      <formula>NOT(ISERROR(SEARCH("Todavia",X35)))</formula>
    </cfRule>
    <cfRule type="containsText" dxfId="72" priority="52" operator="containsText" text="Listo">
      <formula>NOT(ISERROR(SEARCH("Listo",X35)))</formula>
    </cfRule>
    <cfRule type="containsText" dxfId="71" priority="53" operator="containsText" text="Alerta">
      <formula>NOT(ISERROR(SEARCH("Alerta",X35)))</formula>
    </cfRule>
    <cfRule type="containsText" dxfId="70" priority="54" operator="containsText" text="Pendiente">
      <formula>NOT(ISERROR(SEARCH("Pendiente",X35)))</formula>
    </cfRule>
    <cfRule type="containsText" dxfId="69" priority="55" operator="containsText" text="Verificar">
      <formula>NOT(ISERROR(SEARCH("Verificar",X35)))</formula>
    </cfRule>
    <cfRule type="containsText" dxfId="68" priority="56" operator="containsText" text="Paso">
      <formula>NOT(ISERROR(SEARCH("Paso",X35)))</formula>
    </cfRule>
    <cfRule type="containsText" dxfId="67" priority="57" operator="containsText" text="Listo">
      <formula>NOT(ISERROR(SEARCH("Listo",X35)))</formula>
    </cfRule>
    <cfRule type="containsText" dxfId="66" priority="58" operator="containsText" text="Alerta">
      <formula>NOT(ISERROR(SEARCH("Alerta",X35)))</formula>
    </cfRule>
    <cfRule type="containsText" dxfId="65" priority="59" operator="containsText" text="Todavia">
      <formula>NOT(ISERROR(SEARCH("Todavia",X35)))</formula>
    </cfRule>
  </conditionalFormatting>
  <conditionalFormatting sqref="X35:X36">
    <cfRule type="containsText" dxfId="64" priority="61" operator="containsText" text="Proceso">
      <formula>NOT(ISERROR(SEARCH("Proceso",X35)))</formula>
    </cfRule>
    <cfRule type="containsText" dxfId="63" priority="79" operator="containsText" text="Alerta">
      <formula>NOT(ISERROR(SEARCH("Alerta",X35)))</formula>
    </cfRule>
    <cfRule type="containsText" dxfId="62" priority="78" operator="containsText" text="Listo">
      <formula>NOT(ISERROR(SEARCH("Listo",X35)))</formula>
    </cfRule>
    <cfRule type="containsText" dxfId="61" priority="70" operator="containsText" text="Todavia">
      <formula>NOT(ISERROR(SEARCH("Todavia",X35)))</formula>
    </cfRule>
    <cfRule type="containsText" dxfId="60" priority="69" operator="containsText" text="Coordinar">
      <formula>NOT(ISERROR(SEARCH("Coordinar",X35)))</formula>
    </cfRule>
    <cfRule type="containsText" dxfId="59" priority="62" operator="containsText" text="Entregado">
      <formula>NOT(ISERROR(SEARCH("Entregado",X35)))</formula>
    </cfRule>
  </conditionalFormatting>
  <conditionalFormatting sqref="X36">
    <cfRule type="containsText" dxfId="58" priority="94" operator="containsText" text="Listo">
      <formula>NOT(ISERROR(SEARCH("Listo",X36)))</formula>
    </cfRule>
    <cfRule type="containsText" dxfId="57" priority="95" operator="containsText" text="Alerta">
      <formula>NOT(ISERROR(SEARCH("Alerta",X36)))</formula>
    </cfRule>
    <cfRule type="containsText" dxfId="56" priority="96" operator="containsText" text="Todavia">
      <formula>NOT(ISERROR(SEARCH("Todavia",X36)))</formula>
    </cfRule>
    <cfRule type="containsText" dxfId="55" priority="97" operator="containsText" text="Atento">
      <formula>NOT(ISERROR(SEARCH("Atento",X36)))</formula>
    </cfRule>
    <cfRule type="containsText" dxfId="54" priority="99" operator="containsText" text="Coordinar">
      <formula>NOT(ISERROR(SEARCH("Coordinar",X36)))</formula>
    </cfRule>
    <cfRule type="containsText" dxfId="53" priority="100" operator="containsText" text="Todavia">
      <formula>NOT(ISERROR(SEARCH("Todavia",X36)))</formula>
    </cfRule>
    <cfRule type="containsText" dxfId="52" priority="101" operator="containsText" text="Listo">
      <formula>NOT(ISERROR(SEARCH("Listo",X36)))</formula>
    </cfRule>
    <cfRule type="containsText" dxfId="51" priority="102" operator="containsText" text="Alerta">
      <formula>NOT(ISERROR(SEARCH("Alerta",X36)))</formula>
    </cfRule>
    <cfRule type="containsText" dxfId="50" priority="103" operator="containsText" text="Pendiente">
      <formula>NOT(ISERROR(SEARCH("Pendiente",X36)))</formula>
    </cfRule>
    <cfRule type="containsText" dxfId="49" priority="104" operator="containsText" text="Verificar">
      <formula>NOT(ISERROR(SEARCH("Verificar",X36)))</formula>
    </cfRule>
    <cfRule type="containsText" dxfId="48" priority="105" operator="containsText" text="Todavia">
      <formula>NOT(ISERROR(SEARCH("Todavia",X36)))</formula>
    </cfRule>
    <cfRule type="containsText" dxfId="47" priority="106" operator="containsText" text="Atento">
      <formula>NOT(ISERROR(SEARCH("Atento",X36)))</formula>
    </cfRule>
    <cfRule type="containsText" dxfId="46" priority="107" operator="containsText" text="Paso">
      <formula>NOT(ISERROR(SEARCH("Paso",X36)))</formula>
    </cfRule>
    <cfRule type="containsText" dxfId="45" priority="108" operator="containsText" text="Listo">
      <formula>NOT(ISERROR(SEARCH("Listo",X36)))</formula>
    </cfRule>
    <cfRule type="containsText" dxfId="44" priority="109" operator="containsText" text="Alerta">
      <formula>NOT(ISERROR(SEARCH("Alerta",X36)))</formula>
    </cfRule>
    <cfRule type="containsText" dxfId="43" priority="93" operator="containsText" text="Paso">
      <formula>NOT(ISERROR(SEARCH("Paso",X36)))</formula>
    </cfRule>
    <cfRule type="containsText" dxfId="42" priority="84" operator="containsText" text="Pendiente">
      <formula>NOT(ISERROR(SEARCH("Pendiente",X36)))</formula>
    </cfRule>
    <cfRule type="containsText" dxfId="41" priority="85" operator="containsText" text="Verificar">
      <formula>NOT(ISERROR(SEARCH("Verificar",X36)))</formula>
    </cfRule>
    <cfRule type="containsText" dxfId="40" priority="86" operator="containsText" text="Paso">
      <formula>NOT(ISERROR(SEARCH("Paso",X36)))</formula>
    </cfRule>
    <cfRule type="containsText" dxfId="39" priority="87" operator="containsText" text="Listo">
      <formula>NOT(ISERROR(SEARCH("Listo",X36)))</formula>
    </cfRule>
    <cfRule type="containsText" dxfId="38" priority="88" operator="containsText" text="Alerta">
      <formula>NOT(ISERROR(SEARCH("Alerta",X36)))</formula>
    </cfRule>
    <cfRule type="containsText" dxfId="37" priority="89" operator="containsText" text="Todavia">
      <formula>NOT(ISERROR(SEARCH("Todavia",X36)))</formula>
    </cfRule>
    <cfRule type="containsText" dxfId="36" priority="90" operator="containsText" text="Atento">
      <formula>NOT(ISERROR(SEARCH("Atento",X36)))</formula>
    </cfRule>
  </conditionalFormatting>
  <conditionalFormatting sqref="X68:X106">
    <cfRule type="containsText" dxfId="35" priority="31" operator="containsText" text="Proceso">
      <formula>NOT(ISERROR(SEARCH("Proceso",X68)))</formula>
    </cfRule>
    <cfRule type="containsText" dxfId="34" priority="44" operator="containsText" text="Verificar">
      <formula>NOT(ISERROR(SEARCH("Verificar",X68)))</formula>
    </cfRule>
    <cfRule type="containsText" dxfId="33" priority="43" operator="containsText" text="Pendiente">
      <formula>NOT(ISERROR(SEARCH("Pendiente",X68)))</formula>
    </cfRule>
    <cfRule type="containsText" dxfId="32" priority="32" operator="containsText" text="Entregado">
      <formula>NOT(ISERROR(SEARCH("Entregado",X68)))</formula>
    </cfRule>
  </conditionalFormatting>
  <conditionalFormatting sqref="X103:X106">
    <cfRule type="containsText" dxfId="31" priority="49" operator="containsText" text="Alerta">
      <formula>NOT(ISERROR(SEARCH("Alerta",X103)))</formula>
    </cfRule>
    <cfRule type="containsText" dxfId="30" priority="48" operator="containsText" text="Listo">
      <formula>NOT(ISERROR(SEARCH("Listo",X103)))</formula>
    </cfRule>
    <cfRule type="containsText" dxfId="29" priority="47" operator="containsText" text="Paso">
      <formula>NOT(ISERROR(SEARCH("Paso",X103)))</formula>
    </cfRule>
    <cfRule type="containsText" dxfId="28" priority="45" operator="containsText" text="Todavia">
      <formula>NOT(ISERROR(SEARCH("Todavia",X103)))</formula>
    </cfRule>
    <cfRule type="containsText" dxfId="27" priority="42" operator="containsText" text="Alerta">
      <formula>NOT(ISERROR(SEARCH("Alerta",X103)))</formula>
    </cfRule>
    <cfRule type="containsText" dxfId="26" priority="30" operator="containsText" text="Atento">
      <formula>NOT(ISERROR(SEARCH("Atento",X103)))</formula>
    </cfRule>
    <cfRule type="containsText" dxfId="25" priority="29" operator="containsText" text="Todavia">
      <formula>NOT(ISERROR(SEARCH("Todavia",X103)))</formula>
    </cfRule>
    <cfRule type="containsText" dxfId="24" priority="28" operator="containsText" text="Alerta">
      <formula>NOT(ISERROR(SEARCH("Alerta",X103)))</formula>
    </cfRule>
    <cfRule type="containsText" dxfId="23" priority="37" operator="containsText" text="Atento">
      <formula>NOT(ISERROR(SEARCH("Atento",X103)))</formula>
    </cfRule>
    <cfRule type="containsText" dxfId="22" priority="27" operator="containsText" text="Listo">
      <formula>NOT(ISERROR(SEARCH("Listo",X103)))</formula>
    </cfRule>
    <cfRule type="containsText" dxfId="21" priority="26" operator="containsText" text="Paso">
      <formula>NOT(ISERROR(SEARCH("Paso",X103)))</formula>
    </cfRule>
    <cfRule type="containsText" dxfId="20" priority="25" operator="containsText" text="Verificar">
      <formula>NOT(ISERROR(SEARCH("Verificar",X103)))</formula>
    </cfRule>
    <cfRule type="containsText" dxfId="19" priority="23" operator="containsText" text="Alerta">
      <formula>NOT(ISERROR(SEARCH("Alerta",X103)))</formula>
    </cfRule>
    <cfRule type="containsText" dxfId="18" priority="22" operator="containsText" text="Listo">
      <formula>NOT(ISERROR(SEARCH("Listo",X103)))</formula>
    </cfRule>
    <cfRule type="containsText" dxfId="17" priority="21" operator="containsText" text="Todavia">
      <formula>NOT(ISERROR(SEARCH("Todavia",X103)))</formula>
    </cfRule>
    <cfRule type="containsText" dxfId="16" priority="20" operator="containsText" text="Coordinar">
      <formula>NOT(ISERROR(SEARCH("Coordinar",X103)))</formula>
    </cfRule>
    <cfRule type="containsText" dxfId="15" priority="40" operator="containsText" text="Todavia">
      <formula>NOT(ISERROR(SEARCH("Todavia",X103)))</formula>
    </cfRule>
    <cfRule type="containsText" dxfId="14" priority="41" operator="containsText" text="Listo">
      <formula>NOT(ISERROR(SEARCH("Listo",X103)))</formula>
    </cfRule>
    <cfRule type="containsText" dxfId="13" priority="46" operator="containsText" text="Atento">
      <formula>NOT(ISERROR(SEARCH("Atento",X103)))</formula>
    </cfRule>
    <cfRule type="containsText" dxfId="12" priority="36" operator="containsText" text="Todavia">
      <formula>NOT(ISERROR(SEARCH("Todavia",X103)))</formula>
    </cfRule>
    <cfRule type="containsText" dxfId="11" priority="35" operator="containsText" text="Alerta">
      <formula>NOT(ISERROR(SEARCH("Alerta",X103)))</formula>
    </cfRule>
    <cfRule type="containsText" dxfId="10" priority="34" operator="containsText" text="Listo">
      <formula>NOT(ISERROR(SEARCH("Listo",X103)))</formula>
    </cfRule>
    <cfRule type="containsText" dxfId="9" priority="33" operator="containsText" text="Paso">
      <formula>NOT(ISERROR(SEARCH("Paso",X103)))</formula>
    </cfRule>
    <cfRule type="containsText" dxfId="8" priority="39" operator="containsText" text="Coordinar">
      <formula>NOT(ISERROR(SEARCH("Coordinar",X103)))</formula>
    </cfRule>
    <cfRule type="containsText" dxfId="7" priority="24" operator="containsText" text="Pendiente">
      <formula>NOT(ISERROR(SEARCH("Pendiente",X103)))</formula>
    </cfRule>
  </conditionalFormatting>
  <conditionalFormatting sqref="AD16:AD20">
    <cfRule type="cellIs" dxfId="6" priority="19" operator="lessThan">
      <formula>0</formula>
    </cfRule>
  </conditionalFormatting>
  <dataValidations count="1">
    <dataValidation type="decimal" operator="equal" allowBlank="1" showInputMessage="1" showErrorMessage="1" sqref="B35:B36 B21:B28" xr:uid="{98D7E670-E5FD-43C1-8713-913DCD938BA9}">
      <formula1>5.45646E-22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36C-2B38-4BA5-A460-AF8EC91F01E9}">
  <sheetPr codeName="Hoja12"/>
  <dimension ref="A1:IG121"/>
  <sheetViews>
    <sheetView topLeftCell="H11" workbookViewId="0">
      <selection activeCell="O129" sqref="O129"/>
    </sheetView>
  </sheetViews>
  <sheetFormatPr baseColWidth="10" defaultColWidth="11.44140625" defaultRowHeight="13.8" x14ac:dyDescent="0.3"/>
  <cols>
    <col min="1" max="1" width="5.44140625" style="287" customWidth="1"/>
    <col min="2" max="2" width="4.5546875" style="275" customWidth="1"/>
    <col min="3" max="3" width="25.44140625" style="275" hidden="1" customWidth="1"/>
    <col min="4" max="4" width="7.5546875" style="275" customWidth="1"/>
    <col min="5" max="5" width="12.44140625" style="275" customWidth="1"/>
    <col min="6" max="6" width="50.5546875" style="275" bestFit="1" customWidth="1"/>
    <col min="7" max="7" width="9.44140625" style="275" customWidth="1"/>
    <col min="8" max="8" width="9.44140625" style="275" bestFit="1" customWidth="1"/>
    <col min="9" max="9" width="10" style="275" bestFit="1" customWidth="1"/>
    <col min="10" max="10" width="9.44140625" style="275" bestFit="1" customWidth="1"/>
    <col min="11" max="11" width="9.5546875" style="275" bestFit="1" customWidth="1"/>
    <col min="12" max="12" width="16.44140625" style="275" bestFit="1" customWidth="1"/>
    <col min="13" max="13" width="23" style="275" customWidth="1"/>
    <col min="14" max="14" width="11.44140625" style="275" bestFit="1" customWidth="1"/>
    <col min="15" max="15" width="22.44140625" style="275" customWidth="1"/>
    <col min="16" max="16" width="16.44140625" style="275" customWidth="1"/>
    <col min="17" max="17" width="33.5546875" style="275" bestFit="1" customWidth="1"/>
    <col min="18" max="18" width="10.5546875" style="275" bestFit="1" customWidth="1"/>
    <col min="19" max="19" width="15.44140625" style="275" bestFit="1" customWidth="1"/>
    <col min="20" max="20" width="17.5546875" style="275" bestFit="1" customWidth="1"/>
    <col min="21" max="21" width="9.5546875" style="275" bestFit="1" customWidth="1"/>
    <col min="22" max="22" width="33.5546875" style="275" bestFit="1" customWidth="1"/>
    <col min="23" max="23" width="8.5546875" style="275" customWidth="1"/>
    <col min="24" max="24" width="10.5546875" style="278" customWidth="1"/>
    <col min="25" max="25" width="13.44140625" style="275" customWidth="1"/>
    <col min="26" max="26" width="10.44140625" style="275" customWidth="1"/>
    <col min="27" max="37" width="14.44140625" style="275" customWidth="1"/>
    <col min="38" max="38" width="17.5546875" style="275" customWidth="1"/>
    <col min="39" max="39" width="14.44140625" style="401" customWidth="1"/>
    <col min="40" max="241" width="11.44140625" style="401"/>
    <col min="242" max="16384" width="11.44140625" style="275"/>
  </cols>
  <sheetData>
    <row r="1" spans="1:241" ht="15" customHeight="1" x14ac:dyDescent="0.3">
      <c r="A1" s="517" t="s">
        <v>1087</v>
      </c>
      <c r="B1" s="517"/>
      <c r="C1" s="517"/>
      <c r="D1" s="517"/>
      <c r="E1" s="517"/>
      <c r="F1" s="517"/>
      <c r="G1" s="274"/>
      <c r="H1" s="274"/>
      <c r="J1" s="431" t="s">
        <v>456</v>
      </c>
      <c r="K1" s="431" t="s">
        <v>526</v>
      </c>
      <c r="Q1" s="288" t="s">
        <v>23</v>
      </c>
      <c r="AL1" s="515" t="s">
        <v>396</v>
      </c>
    </row>
    <row r="2" spans="1:241" ht="15" customHeight="1" x14ac:dyDescent="0.3">
      <c r="A2" s="518">
        <v>45860</v>
      </c>
      <c r="B2" s="518"/>
      <c r="C2" s="517"/>
      <c r="D2" s="517"/>
      <c r="E2" s="517"/>
      <c r="F2" s="517"/>
      <c r="G2" s="274"/>
      <c r="H2" s="274"/>
      <c r="I2" s="431" t="s">
        <v>528</v>
      </c>
      <c r="J2" s="435">
        <v>62.35</v>
      </c>
      <c r="K2" s="435">
        <v>73.3</v>
      </c>
      <c r="Q2" s="288" t="s">
        <v>22</v>
      </c>
      <c r="W2" s="520" t="s">
        <v>529</v>
      </c>
      <c r="X2" s="520"/>
      <c r="Y2" s="520"/>
      <c r="Z2" s="520"/>
      <c r="AA2" s="520"/>
      <c r="AB2" s="520"/>
      <c r="AC2" s="520"/>
      <c r="AD2" s="520"/>
      <c r="AE2" s="520"/>
      <c r="AF2" s="520"/>
      <c r="AG2" s="520"/>
      <c r="AH2" s="520"/>
      <c r="AI2" s="520"/>
      <c r="AJ2" s="520"/>
      <c r="AK2" s="520"/>
      <c r="AL2" s="515"/>
    </row>
    <row r="3" spans="1:241" ht="15" customHeight="1" x14ac:dyDescent="0.3">
      <c r="D3" s="275" t="s">
        <v>530</v>
      </c>
      <c r="O3" s="436">
        <f>SUBTOTAL(109,BD.PD510[Ppto. Orden Interna '[DOP']])</f>
        <v>8241577.9399999995</v>
      </c>
      <c r="P3" s="436">
        <f>SUBTOTAL(109,BD.PD510[Ppto. Orden Interna '[USD']])</f>
        <v>132182.48500400962</v>
      </c>
      <c r="W3" s="520" t="s">
        <v>531</v>
      </c>
      <c r="X3" s="520"/>
      <c r="Y3" s="520"/>
      <c r="Z3" s="520" t="s">
        <v>532</v>
      </c>
      <c r="AA3" s="520"/>
      <c r="AB3" s="520"/>
      <c r="AC3" s="520" t="s">
        <v>533</v>
      </c>
      <c r="AD3" s="520"/>
      <c r="AE3" s="520"/>
      <c r="AF3" s="520" t="s">
        <v>534</v>
      </c>
      <c r="AG3" s="520"/>
      <c r="AH3" s="520"/>
      <c r="AI3" s="520" t="s">
        <v>535</v>
      </c>
      <c r="AJ3" s="520"/>
      <c r="AK3" s="520"/>
      <c r="AL3" s="515"/>
    </row>
    <row r="4" spans="1:241" s="287" customFormat="1" ht="27.6" x14ac:dyDescent="0.3">
      <c r="A4" s="283" t="s">
        <v>536</v>
      </c>
      <c r="B4" s="283" t="s">
        <v>537</v>
      </c>
      <c r="C4" s="283" t="s">
        <v>538</v>
      </c>
      <c r="D4" s="283" t="s">
        <v>539</v>
      </c>
      <c r="E4" s="283" t="s">
        <v>540</v>
      </c>
      <c r="F4" s="283" t="s">
        <v>541</v>
      </c>
      <c r="G4" s="283" t="s">
        <v>542</v>
      </c>
      <c r="H4" s="283" t="s">
        <v>0</v>
      </c>
      <c r="I4" s="283" t="s">
        <v>543</v>
      </c>
      <c r="J4" s="283" t="s">
        <v>544</v>
      </c>
      <c r="K4" s="283" t="s">
        <v>545</v>
      </c>
      <c r="L4" s="283" t="s">
        <v>546</v>
      </c>
      <c r="M4" s="283" t="s">
        <v>547</v>
      </c>
      <c r="N4" s="283" t="s">
        <v>548</v>
      </c>
      <c r="O4" s="283" t="s">
        <v>549</v>
      </c>
      <c r="P4" s="283" t="s">
        <v>550</v>
      </c>
      <c r="Q4" s="283" t="s">
        <v>551</v>
      </c>
      <c r="R4" s="283" t="s">
        <v>552</v>
      </c>
      <c r="S4" s="283" t="s">
        <v>553</v>
      </c>
      <c r="T4" s="283" t="s">
        <v>554</v>
      </c>
      <c r="U4" s="283" t="s">
        <v>555</v>
      </c>
      <c r="V4" s="283" t="s">
        <v>556</v>
      </c>
      <c r="W4" s="283" t="s">
        <v>557</v>
      </c>
      <c r="X4" s="283" t="s">
        <v>558</v>
      </c>
      <c r="Y4" s="283" t="s">
        <v>559</v>
      </c>
      <c r="Z4" s="283" t="s">
        <v>560</v>
      </c>
      <c r="AA4" s="283" t="s">
        <v>561</v>
      </c>
      <c r="AB4" s="283" t="s">
        <v>562</v>
      </c>
      <c r="AC4" s="283" t="s">
        <v>563</v>
      </c>
      <c r="AD4" s="283" t="s">
        <v>564</v>
      </c>
      <c r="AE4" s="283" t="s">
        <v>565</v>
      </c>
      <c r="AF4" s="283" t="s">
        <v>566</v>
      </c>
      <c r="AG4" s="283" t="s">
        <v>567</v>
      </c>
      <c r="AH4" s="283" t="s">
        <v>568</v>
      </c>
      <c r="AI4" s="283" t="s">
        <v>569</v>
      </c>
      <c r="AJ4" s="283" t="s">
        <v>570</v>
      </c>
      <c r="AK4" s="283" t="s">
        <v>571</v>
      </c>
      <c r="AL4" s="283" t="s">
        <v>572</v>
      </c>
      <c r="AM4" s="405" t="s">
        <v>573</v>
      </c>
      <c r="AN4" s="403"/>
      <c r="AO4" s="403"/>
      <c r="AP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  <c r="CJ4" s="403"/>
      <c r="CK4" s="403"/>
      <c r="CL4" s="403"/>
      <c r="CM4" s="403"/>
      <c r="CN4" s="403"/>
      <c r="CO4" s="403"/>
      <c r="CP4" s="403"/>
      <c r="CQ4" s="403"/>
      <c r="CR4" s="403"/>
      <c r="CS4" s="403"/>
      <c r="CT4" s="403"/>
      <c r="CU4" s="403"/>
      <c r="CV4" s="403"/>
      <c r="CW4" s="403"/>
      <c r="CX4" s="403"/>
      <c r="CY4" s="403"/>
      <c r="CZ4" s="403"/>
      <c r="DA4" s="403"/>
      <c r="DB4" s="403"/>
      <c r="DC4" s="403"/>
      <c r="DD4" s="403"/>
      <c r="DE4" s="403"/>
      <c r="DF4" s="403"/>
      <c r="DG4" s="403"/>
      <c r="DH4" s="403"/>
      <c r="DI4" s="403"/>
      <c r="DJ4" s="403"/>
      <c r="DK4" s="403"/>
      <c r="DL4" s="403"/>
      <c r="DM4" s="403"/>
      <c r="DN4" s="403"/>
      <c r="DO4" s="403"/>
      <c r="DP4" s="403"/>
      <c r="DQ4" s="403"/>
      <c r="DR4" s="403"/>
      <c r="DS4" s="403"/>
      <c r="DT4" s="403"/>
      <c r="DU4" s="403"/>
      <c r="DV4" s="403"/>
      <c r="DW4" s="403"/>
      <c r="DX4" s="403"/>
      <c r="DY4" s="403"/>
      <c r="DZ4" s="403"/>
      <c r="EA4" s="403"/>
      <c r="EB4" s="403"/>
      <c r="EC4" s="403"/>
      <c r="ED4" s="403"/>
      <c r="EE4" s="403"/>
      <c r="EF4" s="403"/>
      <c r="EG4" s="403"/>
      <c r="EH4" s="403"/>
      <c r="EI4" s="403"/>
      <c r="EJ4" s="403"/>
      <c r="EK4" s="403"/>
      <c r="EL4" s="403"/>
      <c r="EM4" s="403"/>
      <c r="EN4" s="403"/>
      <c r="EO4" s="403"/>
      <c r="EP4" s="403"/>
      <c r="EQ4" s="403"/>
      <c r="ER4" s="403"/>
      <c r="ES4" s="403"/>
      <c r="ET4" s="403"/>
      <c r="EU4" s="403"/>
      <c r="EV4" s="403"/>
      <c r="EW4" s="403"/>
      <c r="EX4" s="403"/>
      <c r="EY4" s="403"/>
      <c r="EZ4" s="403"/>
      <c r="FA4" s="403"/>
      <c r="FB4" s="403"/>
      <c r="FC4" s="403"/>
      <c r="FD4" s="403"/>
      <c r="FE4" s="403"/>
      <c r="FF4" s="403"/>
      <c r="FG4" s="403"/>
      <c r="FH4" s="403"/>
      <c r="FI4" s="403"/>
      <c r="FJ4" s="403"/>
      <c r="FK4" s="403"/>
      <c r="FL4" s="403"/>
      <c r="FM4" s="403"/>
      <c r="FN4" s="403"/>
      <c r="FO4" s="403"/>
      <c r="FP4" s="403"/>
      <c r="FQ4" s="403"/>
      <c r="FR4" s="403"/>
      <c r="FS4" s="403"/>
      <c r="FT4" s="403"/>
      <c r="FU4" s="403"/>
      <c r="FV4" s="403"/>
      <c r="FW4" s="403"/>
      <c r="FX4" s="403"/>
      <c r="FY4" s="403"/>
      <c r="FZ4" s="403"/>
      <c r="GA4" s="403"/>
      <c r="GB4" s="403"/>
      <c r="GC4" s="403"/>
      <c r="GD4" s="403"/>
      <c r="GE4" s="403"/>
      <c r="GF4" s="403"/>
      <c r="GG4" s="403"/>
      <c r="GH4" s="403"/>
      <c r="GI4" s="403"/>
      <c r="GJ4" s="403"/>
      <c r="GK4" s="403"/>
      <c r="GL4" s="403"/>
      <c r="GM4" s="403"/>
      <c r="GN4" s="403"/>
      <c r="GO4" s="403"/>
      <c r="GP4" s="403"/>
      <c r="GQ4" s="403"/>
      <c r="GR4" s="403"/>
      <c r="GS4" s="403"/>
      <c r="GT4" s="403"/>
      <c r="GU4" s="403"/>
      <c r="GV4" s="403"/>
      <c r="GW4" s="403"/>
      <c r="GX4" s="403"/>
      <c r="GY4" s="403"/>
      <c r="GZ4" s="403"/>
      <c r="HA4" s="403"/>
      <c r="HB4" s="403"/>
      <c r="HC4" s="403"/>
      <c r="HD4" s="403"/>
      <c r="HE4" s="403"/>
      <c r="HF4" s="403"/>
      <c r="HG4" s="403"/>
      <c r="HH4" s="403"/>
      <c r="HI4" s="403"/>
      <c r="HJ4" s="403"/>
      <c r="HK4" s="403"/>
      <c r="HL4" s="403"/>
      <c r="HM4" s="403"/>
      <c r="HN4" s="403"/>
      <c r="HO4" s="403"/>
      <c r="HP4" s="403"/>
      <c r="HQ4" s="403"/>
      <c r="HR4" s="403"/>
      <c r="HS4" s="403"/>
      <c r="HT4" s="403"/>
      <c r="HU4" s="403"/>
      <c r="HV4" s="403"/>
      <c r="HW4" s="403"/>
      <c r="HX4" s="403"/>
      <c r="HY4" s="403"/>
      <c r="HZ4" s="403"/>
      <c r="IA4" s="403"/>
      <c r="IB4" s="403"/>
      <c r="IC4" s="403"/>
      <c r="ID4" s="403"/>
      <c r="IE4" s="403"/>
      <c r="IF4" s="403"/>
      <c r="IG4" s="403"/>
    </row>
    <row r="5" spans="1:241" s="309" customFormat="1" ht="15" customHeight="1" x14ac:dyDescent="0.3">
      <c r="A5" s="231">
        <v>7.07</v>
      </c>
      <c r="B5" s="288"/>
      <c r="C5" s="289" t="e">
        <f>VLOOKUP(BD.PD510[[#This Row],[Pos]],[16]!PPto[#Data],3,FALSE)</f>
        <v>#REF!</v>
      </c>
      <c r="D5" s="231" t="s">
        <v>1088</v>
      </c>
      <c r="E5" s="291" t="str">
        <f>IF(BD.PD510[[#This Row],[.]]="*",VLOOKUP(BD.PD510[[#This Row],[Pos]],[16]Presupuesto!A:H,7,FALSE),"")</f>
        <v/>
      </c>
      <c r="F5" s="292" t="s">
        <v>1089</v>
      </c>
      <c r="G5" s="292"/>
      <c r="H5" s="292"/>
      <c r="I5" s="437">
        <v>1</v>
      </c>
      <c r="J5" s="231" t="s">
        <v>526</v>
      </c>
      <c r="K5" s="438">
        <f>IF(BD.PD510[[#This Row],[Mon]]="DOP",1,HLOOKUP(BD.PD510[[#This Row],[Mon]],$J$1:$K$2,2,FALSE))</f>
        <v>73.3</v>
      </c>
      <c r="L5" s="439">
        <v>2825</v>
      </c>
      <c r="M5" s="302">
        <f>BD.PD510[[#This Row],[Cant.]]*BD.PD510[[#This Row],[ Tasa ]]*BD.PD510[[#This Row],[ Precio Und.]]</f>
        <v>207072.5</v>
      </c>
      <c r="N5" s="440">
        <v>0.15</v>
      </c>
      <c r="O5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5" s="302">
        <f>BD.PD510[[#This Row],[Ppto. Orden Interna '[DOP']]]/HLOOKUP("USD",$J$1:$K$2,2,FALSE)</f>
        <v>3819.3003207698475</v>
      </c>
      <c r="Q5" s="423" t="s">
        <v>1090</v>
      </c>
      <c r="R5" s="425"/>
      <c r="S5" s="425"/>
      <c r="T5" s="425"/>
      <c r="U5" s="425"/>
      <c r="V5" s="423" t="s">
        <v>1090</v>
      </c>
      <c r="W5" s="441">
        <v>1</v>
      </c>
      <c r="X5" s="442">
        <v>1</v>
      </c>
      <c r="Y5" s="302">
        <f>BD.PD510[[#This Row],[Av.P1 '[%']]]*BD.PD510[[#This Row],[Ppto. Orden Interna '[DOP']]]</f>
        <v>238133.375</v>
      </c>
      <c r="AA5" s="443"/>
      <c r="AB5" s="302">
        <f>BD.PD510[[#This Row],[Av.P2 '[%']]]*BD.PD510[[#This Row],[Ppto. Orden Interna '[DOP']]]</f>
        <v>0</v>
      </c>
      <c r="AD5" s="443"/>
      <c r="AE5" s="302">
        <f>BD.PD510[[#This Row],[Av.P3 '[%']]]*BD.PD510[[#This Row],[Ppto. Orden Interna '[DOP']]]</f>
        <v>0</v>
      </c>
      <c r="AG5" s="443"/>
      <c r="AH5" s="302">
        <f>BD.PD510[[#This Row],[Av.P4 '[%']]]*BD.PD510[[#This Row],[Ppto. Orden Interna '[DOP']]]</f>
        <v>0</v>
      </c>
      <c r="AJ5" s="443"/>
      <c r="AK5" s="302">
        <f>BD.PD510[[#This Row],[Av.P5 '[%']]]*BD.PD510[[#This Row],[Ppto. Orden Interna '[DOP']]]</f>
        <v>0</v>
      </c>
      <c r="AL5" s="444">
        <f>BD.PD510[[#This Row],[Pago 5]]+BD.PD510[[#This Row],[Pago 4]]+BD.PD510[[#This Row],[Pago 3]]+BD.PD510[[#This Row],[Pago 2]]+BD.PD510[[#This Row],[Pago 1]]</f>
        <v>238133.375</v>
      </c>
      <c r="AM5" s="404"/>
      <c r="AN5" s="404"/>
      <c r="AO5" s="404"/>
      <c r="AP5" s="404"/>
      <c r="AQ5" s="404"/>
      <c r="AR5" s="404"/>
      <c r="AS5" s="404"/>
      <c r="AT5" s="404"/>
      <c r="AU5" s="404"/>
      <c r="AV5" s="404"/>
      <c r="AW5" s="404"/>
      <c r="AX5" s="404"/>
      <c r="AY5" s="404"/>
      <c r="AZ5" s="404"/>
      <c r="BA5" s="404"/>
      <c r="BB5" s="404"/>
      <c r="BC5" s="404"/>
      <c r="BD5" s="404"/>
      <c r="BE5" s="404"/>
      <c r="BF5" s="404"/>
      <c r="BG5" s="404"/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404"/>
      <c r="BZ5" s="404"/>
      <c r="CA5" s="404"/>
      <c r="CB5" s="404"/>
      <c r="CC5" s="404"/>
      <c r="CD5" s="404"/>
      <c r="CE5" s="404"/>
      <c r="CF5" s="404"/>
      <c r="CG5" s="404"/>
      <c r="CH5" s="404"/>
      <c r="CI5" s="404"/>
      <c r="CJ5" s="404"/>
      <c r="CK5" s="404"/>
      <c r="CL5" s="404"/>
      <c r="CM5" s="404"/>
      <c r="CN5" s="404"/>
      <c r="CO5" s="404"/>
      <c r="CP5" s="404"/>
      <c r="CQ5" s="404"/>
      <c r="CR5" s="404"/>
      <c r="CS5" s="404"/>
      <c r="CT5" s="404"/>
      <c r="CU5" s="404"/>
      <c r="CV5" s="404"/>
      <c r="CW5" s="404"/>
      <c r="CX5" s="404"/>
      <c r="CY5" s="404"/>
      <c r="CZ5" s="404"/>
      <c r="DA5" s="404"/>
      <c r="DB5" s="404"/>
      <c r="DC5" s="404"/>
      <c r="DD5" s="404"/>
      <c r="DE5" s="404"/>
      <c r="DF5" s="404"/>
      <c r="DG5" s="404"/>
      <c r="DH5" s="404"/>
      <c r="DI5" s="404"/>
      <c r="DJ5" s="404"/>
      <c r="DK5" s="404"/>
      <c r="DL5" s="404"/>
      <c r="DM5" s="404"/>
      <c r="DN5" s="404"/>
      <c r="DO5" s="404"/>
      <c r="DP5" s="404"/>
      <c r="DQ5" s="404"/>
      <c r="DR5" s="404"/>
      <c r="DS5" s="404"/>
      <c r="DT5" s="404"/>
      <c r="DU5" s="404"/>
      <c r="DV5" s="404"/>
      <c r="DW5" s="404"/>
      <c r="DX5" s="404"/>
      <c r="DY5" s="404"/>
      <c r="DZ5" s="404"/>
      <c r="EA5" s="404"/>
      <c r="EB5" s="404"/>
      <c r="EC5" s="404"/>
      <c r="ED5" s="404"/>
      <c r="EE5" s="404"/>
      <c r="EF5" s="404"/>
      <c r="EG5" s="404"/>
      <c r="EH5" s="404"/>
      <c r="EI5" s="404"/>
      <c r="EJ5" s="404"/>
      <c r="EK5" s="404"/>
      <c r="EL5" s="404"/>
      <c r="EM5" s="404"/>
      <c r="EN5" s="404"/>
      <c r="EO5" s="404"/>
      <c r="EP5" s="404"/>
      <c r="EQ5" s="404"/>
      <c r="ER5" s="404"/>
      <c r="ES5" s="404"/>
      <c r="ET5" s="404"/>
      <c r="EU5" s="404"/>
      <c r="EV5" s="404"/>
      <c r="EW5" s="404"/>
      <c r="EX5" s="404"/>
      <c r="EY5" s="404"/>
      <c r="EZ5" s="404"/>
      <c r="FA5" s="404"/>
      <c r="FB5" s="404"/>
      <c r="FC5" s="404"/>
      <c r="FD5" s="404"/>
      <c r="FE5" s="404"/>
      <c r="FF5" s="404"/>
      <c r="FG5" s="404"/>
      <c r="FH5" s="404"/>
      <c r="FI5" s="404"/>
      <c r="FJ5" s="404"/>
      <c r="FK5" s="404"/>
      <c r="FL5" s="404"/>
      <c r="FM5" s="404"/>
      <c r="FN5" s="404"/>
      <c r="FO5" s="404"/>
      <c r="FP5" s="404"/>
      <c r="FQ5" s="404"/>
      <c r="FR5" s="404"/>
      <c r="FS5" s="404"/>
      <c r="FT5" s="404"/>
      <c r="FU5" s="404"/>
      <c r="FV5" s="404"/>
      <c r="FW5" s="404"/>
      <c r="FX5" s="404"/>
      <c r="FY5" s="404"/>
      <c r="FZ5" s="404"/>
      <c r="GA5" s="404"/>
      <c r="GB5" s="404"/>
      <c r="GC5" s="404"/>
      <c r="GD5" s="404"/>
      <c r="GE5" s="404"/>
      <c r="GF5" s="404"/>
      <c r="GG5" s="404"/>
      <c r="GH5" s="404"/>
      <c r="GI5" s="404"/>
      <c r="GJ5" s="404"/>
      <c r="GK5" s="404"/>
      <c r="GL5" s="404"/>
      <c r="GM5" s="404"/>
      <c r="GN5" s="404"/>
      <c r="GO5" s="404"/>
      <c r="GP5" s="404"/>
      <c r="GQ5" s="404"/>
      <c r="GR5" s="404"/>
      <c r="GS5" s="404"/>
      <c r="GT5" s="404"/>
      <c r="GU5" s="404"/>
      <c r="GV5" s="404"/>
      <c r="GW5" s="404"/>
      <c r="GX5" s="404"/>
      <c r="GY5" s="404"/>
      <c r="GZ5" s="404"/>
      <c r="HA5" s="404"/>
      <c r="HB5" s="404"/>
      <c r="HC5" s="404"/>
      <c r="HD5" s="404"/>
      <c r="HE5" s="404"/>
      <c r="HF5" s="404"/>
      <c r="HG5" s="404"/>
      <c r="HH5" s="404"/>
      <c r="HI5" s="404"/>
      <c r="HJ5" s="404"/>
      <c r="HK5" s="404"/>
      <c r="HL5" s="404"/>
      <c r="HM5" s="404"/>
      <c r="HN5" s="404"/>
      <c r="HO5" s="404"/>
      <c r="HP5" s="404"/>
      <c r="HQ5" s="404"/>
      <c r="HR5" s="404"/>
      <c r="HS5" s="404"/>
      <c r="HT5" s="404"/>
      <c r="HU5" s="404"/>
      <c r="HV5" s="404"/>
      <c r="HW5" s="404"/>
      <c r="HX5" s="404"/>
      <c r="HY5" s="404"/>
      <c r="HZ5" s="404"/>
      <c r="IA5" s="404"/>
      <c r="IB5" s="404"/>
      <c r="IC5" s="404"/>
      <c r="ID5" s="404"/>
      <c r="IE5" s="404"/>
      <c r="IF5" s="404"/>
      <c r="IG5" s="404"/>
    </row>
    <row r="6" spans="1:241" ht="15" customHeight="1" x14ac:dyDescent="0.3">
      <c r="A6" s="231">
        <v>3.04</v>
      </c>
      <c r="B6" s="288"/>
      <c r="C6" s="289" t="e">
        <f>VLOOKUP(BD.PD510[[#This Row],[Pos]],[16]!PPto[#Data],3,FALSE)</f>
        <v>#REF!</v>
      </c>
      <c r="D6" s="231" t="s">
        <v>1088</v>
      </c>
      <c r="E6" s="291" t="str">
        <f>IF(BD.PD510[[#This Row],[.]]="*",VLOOKUP(BD.PD510[[#This Row],[Pos]],[16]Presupuesto!A:H,7,FALSE),"")</f>
        <v/>
      </c>
      <c r="F6" s="292" t="s">
        <v>1091</v>
      </c>
      <c r="G6" s="292"/>
      <c r="H6" s="292"/>
      <c r="I6" s="437">
        <v>1</v>
      </c>
      <c r="J6" s="231" t="s">
        <v>581</v>
      </c>
      <c r="K6" s="438">
        <f>IF(BD.PD510[[#This Row],[Mon]]="DOP",1,HLOOKUP(BD.PD510[[#This Row],[Mon]],$J$1:$K$2,2,FALSE))</f>
        <v>1</v>
      </c>
      <c r="L6" s="439">
        <v>30000</v>
      </c>
      <c r="M6" s="302">
        <f>BD.PD510[[#This Row],[Cant.]]*BD.PD510[[#This Row],[ Tasa ]]*BD.PD510[[#This Row],[ Precio Und.]]</f>
        <v>30000</v>
      </c>
      <c r="N6" s="440">
        <v>0</v>
      </c>
      <c r="O6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" s="302">
        <f>BD.PD510[[#This Row],[Ppto. Orden Interna '[DOP']]]/HLOOKUP("USD",$J$1:$K$2,2,FALSE)</f>
        <v>481.15477145148355</v>
      </c>
      <c r="Q6" s="424" t="s">
        <v>1092</v>
      </c>
      <c r="R6" s="425"/>
      <c r="S6" s="425"/>
      <c r="T6" s="425"/>
      <c r="U6" s="425"/>
      <c r="V6" s="424" t="s">
        <v>1092</v>
      </c>
      <c r="W6" s="441"/>
      <c r="X6" s="442"/>
      <c r="Y6" s="302">
        <f>BD.PD510[[#This Row],[Av.P1 '[%']]]*BD.PD510[[#This Row],[Ppto. Orden Interna '[DOP']]]</f>
        <v>0</v>
      </c>
      <c r="Z6" s="309"/>
      <c r="AA6" s="443"/>
      <c r="AB6" s="302">
        <f>BD.PD510[[#This Row],[Av.P2 '[%']]]*BD.PD510[[#This Row],[Ppto. Orden Interna '[DOP']]]</f>
        <v>0</v>
      </c>
      <c r="AC6" s="309"/>
      <c r="AD6" s="443"/>
      <c r="AE6" s="302">
        <f>BD.PD510[[#This Row],[Av.P3 '[%']]]*BD.PD510[[#This Row],[Ppto. Orden Interna '[DOP']]]</f>
        <v>0</v>
      </c>
      <c r="AF6" s="309"/>
      <c r="AG6" s="443"/>
      <c r="AH6" s="302">
        <f>BD.PD510[[#This Row],[Av.P4 '[%']]]*BD.PD510[[#This Row],[Ppto. Orden Interna '[DOP']]]</f>
        <v>0</v>
      </c>
      <c r="AI6" s="309"/>
      <c r="AJ6" s="443"/>
      <c r="AK6" s="302">
        <f>BD.PD510[[#This Row],[Av.P5 '[%']]]*BD.PD510[[#This Row],[Ppto. Orden Interna '[DOP']]]</f>
        <v>0</v>
      </c>
      <c r="AL6" s="444">
        <f>BD.PD510[[#This Row],[Pago 5]]+BD.PD510[[#This Row],[Pago 4]]+BD.PD510[[#This Row],[Pago 3]]+BD.PD510[[#This Row],[Pago 2]]+BD.PD510[[#This Row],[Pago 1]]</f>
        <v>0</v>
      </c>
      <c r="AM6" s="404"/>
    </row>
    <row r="7" spans="1:241" ht="14.4" x14ac:dyDescent="0.3">
      <c r="A7" s="231">
        <v>4.03</v>
      </c>
      <c r="B7" s="288"/>
      <c r="C7" s="289" t="e">
        <f>VLOOKUP(BD.PD510[[#This Row],[Pos]],[16]!PPto[#Data],3,FALSE)</f>
        <v>#REF!</v>
      </c>
      <c r="D7" s="231" t="s">
        <v>1088</v>
      </c>
      <c r="E7" s="291" t="str">
        <f>IF(BD.PD510[[#This Row],[.]]="*",VLOOKUP(BD.PD510[[#This Row],[Pos]],[16]Presupuesto!A:H,7,FALSE),"")</f>
        <v/>
      </c>
      <c r="F7" s="292" t="s">
        <v>1093</v>
      </c>
      <c r="G7" s="292"/>
      <c r="H7" s="292"/>
      <c r="I7" s="437">
        <v>1</v>
      </c>
      <c r="J7" s="231" t="s">
        <v>581</v>
      </c>
      <c r="K7" s="438">
        <f>IF(BD.PD510[[#This Row],[Mon]]="DOP",1,HLOOKUP(BD.PD510[[#This Row],[Mon]],$J$1:$K$2,2,FALSE))</f>
        <v>1</v>
      </c>
      <c r="L7" s="439">
        <v>40000</v>
      </c>
      <c r="M7" s="302">
        <f>BD.PD510[[#This Row],[Cant.]]*BD.PD510[[#This Row],[ Tasa ]]*BD.PD510[[#This Row],[ Precio Und.]]</f>
        <v>40000</v>
      </c>
      <c r="N7" s="440">
        <v>0</v>
      </c>
      <c r="O7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7" s="302">
        <f>BD.PD510[[#This Row],[Ppto. Orden Interna '[DOP']]]/HLOOKUP("USD",$J$1:$K$2,2,FALSE)</f>
        <v>641.53969526864478</v>
      </c>
      <c r="Q7" s="424" t="s">
        <v>1092</v>
      </c>
      <c r="R7" s="425"/>
      <c r="S7" s="425"/>
      <c r="T7" s="425"/>
      <c r="U7" s="425"/>
      <c r="V7" s="424" t="s">
        <v>1092</v>
      </c>
      <c r="W7" s="441"/>
      <c r="X7" s="442"/>
      <c r="Y7" s="302">
        <f>BD.PD510[[#This Row],[Av.P1 '[%']]]*BD.PD510[[#This Row],[Ppto. Orden Interna '[DOP']]]</f>
        <v>0</v>
      </c>
      <c r="Z7" s="309"/>
      <c r="AA7" s="443"/>
      <c r="AB7" s="302">
        <f>BD.PD510[[#This Row],[Av.P2 '[%']]]*BD.PD510[[#This Row],[Ppto. Orden Interna '[DOP']]]</f>
        <v>0</v>
      </c>
      <c r="AC7" s="309"/>
      <c r="AD7" s="443"/>
      <c r="AE7" s="302">
        <f>BD.PD510[[#This Row],[Av.P3 '[%']]]*BD.PD510[[#This Row],[Ppto. Orden Interna '[DOP']]]</f>
        <v>0</v>
      </c>
      <c r="AF7" s="309"/>
      <c r="AG7" s="443"/>
      <c r="AH7" s="302">
        <f>BD.PD510[[#This Row],[Av.P4 '[%']]]*BD.PD510[[#This Row],[Ppto. Orden Interna '[DOP']]]</f>
        <v>0</v>
      </c>
      <c r="AI7" s="309"/>
      <c r="AJ7" s="443"/>
      <c r="AK7" s="302">
        <f>BD.PD510[[#This Row],[Av.P5 '[%']]]*BD.PD510[[#This Row],[Ppto. Orden Interna '[DOP']]]</f>
        <v>0</v>
      </c>
      <c r="AL7" s="444">
        <f>BD.PD510[[#This Row],[Pago 5]]+BD.PD510[[#This Row],[Pago 4]]+BD.PD510[[#This Row],[Pago 3]]+BD.PD510[[#This Row],[Pago 2]]+BD.PD510[[#This Row],[Pago 1]]</f>
        <v>0</v>
      </c>
      <c r="AM7" s="404"/>
    </row>
    <row r="8" spans="1:241" ht="14.4" x14ac:dyDescent="0.3">
      <c r="A8" s="231">
        <v>4.01</v>
      </c>
      <c r="B8" s="288"/>
      <c r="C8" s="289" t="e">
        <f>VLOOKUP(BD.PD510[[#This Row],[Pos]],[16]!PPto[#Data],3,FALSE)</f>
        <v>#REF!</v>
      </c>
      <c r="D8" s="231" t="s">
        <v>1088</v>
      </c>
      <c r="E8" s="291" t="str">
        <f>IF(BD.PD510[[#This Row],[.]]="*",VLOOKUP(BD.PD510[[#This Row],[Pos]],[16]Presupuesto!A:H,7,FALSE),"")</f>
        <v/>
      </c>
      <c r="F8" s="292" t="s">
        <v>1094</v>
      </c>
      <c r="G8" s="292"/>
      <c r="H8" s="292"/>
      <c r="I8" s="437">
        <v>1</v>
      </c>
      <c r="J8" s="231" t="s">
        <v>581</v>
      </c>
      <c r="K8" s="438">
        <f>IF(BD.PD510[[#This Row],[Mon]]="DOP",1,HLOOKUP(BD.PD510[[#This Row],[Mon]],$J$1:$K$2,2,FALSE))</f>
        <v>1</v>
      </c>
      <c r="L8" s="439">
        <v>1600000</v>
      </c>
      <c r="M8" s="302">
        <f>BD.PD510[[#This Row],[Cant.]]*BD.PD510[[#This Row],[ Tasa ]]*BD.PD510[[#This Row],[ Precio Und.]]</f>
        <v>1600000</v>
      </c>
      <c r="N8" s="440">
        <v>0</v>
      </c>
      <c r="O8" s="302">
        <f>IF(BD.PD510[[#This Row],[Liquid. '[%']]]&lt;&gt;0,(BD.PD510[[#This Row],[Valor Neto '[DOP']]]*BD.PD510[[#This Row],[Liquid. '[%']]])+BD.PD510[[#This Row],[Valor Neto '[DOP']]],BD.PD510[[#This Row],[Valor Neto '[DOP']]])</f>
        <v>1600000</v>
      </c>
      <c r="P8" s="302">
        <f>BD.PD510[[#This Row],[Ppto. Orden Interna '[DOP']]]/HLOOKUP("USD",$J$1:$K$2,2,FALSE)</f>
        <v>25661.58781074579</v>
      </c>
      <c r="Q8" s="423"/>
      <c r="R8" s="425"/>
      <c r="S8" s="425"/>
      <c r="T8" s="425"/>
      <c r="U8" s="425"/>
      <c r="V8" s="423"/>
      <c r="W8" s="441"/>
      <c r="X8" s="442"/>
      <c r="Y8" s="302">
        <f>BD.PD510[[#This Row],[Av.P1 '[%']]]*BD.PD510[[#This Row],[Ppto. Orden Interna '[DOP']]]</f>
        <v>0</v>
      </c>
      <c r="Z8" s="309"/>
      <c r="AA8" s="443"/>
      <c r="AB8" s="302">
        <f>BD.PD510[[#This Row],[Av.P2 '[%']]]*BD.PD510[[#This Row],[Ppto. Orden Interna '[DOP']]]</f>
        <v>0</v>
      </c>
      <c r="AC8" s="309"/>
      <c r="AD8" s="443"/>
      <c r="AE8" s="302">
        <f>BD.PD510[[#This Row],[Av.P3 '[%']]]*BD.PD510[[#This Row],[Ppto. Orden Interna '[DOP']]]</f>
        <v>0</v>
      </c>
      <c r="AF8" s="309"/>
      <c r="AG8" s="443"/>
      <c r="AH8" s="302">
        <f>BD.PD510[[#This Row],[Av.P4 '[%']]]*BD.PD510[[#This Row],[Ppto. Orden Interna '[DOP']]]</f>
        <v>0</v>
      </c>
      <c r="AI8" s="309"/>
      <c r="AJ8" s="443"/>
      <c r="AK8" s="302">
        <f>BD.PD510[[#This Row],[Av.P5 '[%']]]*BD.PD510[[#This Row],[Ppto. Orden Interna '[DOP']]]</f>
        <v>0</v>
      </c>
      <c r="AL8" s="444">
        <f>BD.PD510[[#This Row],[Pago 5]]+BD.PD510[[#This Row],[Pago 4]]+BD.PD510[[#This Row],[Pago 3]]+BD.PD510[[#This Row],[Pago 2]]+BD.PD510[[#This Row],[Pago 1]]</f>
        <v>0</v>
      </c>
      <c r="AM8" s="404"/>
    </row>
    <row r="9" spans="1:241" ht="15" customHeight="1" x14ac:dyDescent="0.3">
      <c r="A9" s="231">
        <v>2.0699999999999998</v>
      </c>
      <c r="B9" s="288"/>
      <c r="C9" s="289" t="e">
        <f>VLOOKUP(BD.PD510[[#This Row],[Pos]],[16]!PPto[#Data],3,FALSE)</f>
        <v>#REF!</v>
      </c>
      <c r="D9" s="231" t="s">
        <v>1088</v>
      </c>
      <c r="E9" s="291" t="str">
        <f>IF(BD.PD510[[#This Row],[.]]="*",VLOOKUP(BD.PD510[[#This Row],[Pos]],[16]Presupuesto!A:H,7,FALSE),"")</f>
        <v/>
      </c>
      <c r="F9" s="292" t="s">
        <v>1095</v>
      </c>
      <c r="G9" s="292"/>
      <c r="H9" s="292"/>
      <c r="I9" s="437">
        <v>3</v>
      </c>
      <c r="J9" s="231" t="s">
        <v>456</v>
      </c>
      <c r="K9" s="438">
        <f>IF(BD.PD510[[#This Row],[Mon]]="DOP",1,HLOOKUP(BD.PD510[[#This Row],[Mon]],$J$1:$K$2,2,FALSE))</f>
        <v>62.35</v>
      </c>
      <c r="L9" s="439">
        <v>300</v>
      </c>
      <c r="M9" s="302">
        <f>BD.PD510[[#This Row],[Cant.]]*BD.PD510[[#This Row],[ Tasa ]]*BD.PD510[[#This Row],[ Precio Und.]]</f>
        <v>56115</v>
      </c>
      <c r="N9" s="440">
        <v>0.02</v>
      </c>
      <c r="O9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" s="302">
        <f>BD.PD510[[#This Row],[Ppto. Orden Interna '[DOP']]]/HLOOKUP("USD",$J$1:$K$2,2,FALSE)</f>
        <v>918</v>
      </c>
      <c r="Q9" s="424" t="s">
        <v>1092</v>
      </c>
      <c r="R9" s="425"/>
      <c r="S9" s="425"/>
      <c r="T9" s="425"/>
      <c r="U9" s="425"/>
      <c r="V9" s="424" t="s">
        <v>1092</v>
      </c>
      <c r="W9" s="441"/>
      <c r="X9" s="442"/>
      <c r="Y9" s="302">
        <f>BD.PD510[[#This Row],[Av.P1 '[%']]]*BD.PD510[[#This Row],[Ppto. Orden Interna '[DOP']]]</f>
        <v>0</v>
      </c>
      <c r="Z9" s="309"/>
      <c r="AA9" s="443"/>
      <c r="AB9" s="302">
        <f>BD.PD510[[#This Row],[Av.P2 '[%']]]*BD.PD510[[#This Row],[Ppto. Orden Interna '[DOP']]]</f>
        <v>0</v>
      </c>
      <c r="AC9" s="309"/>
      <c r="AD9" s="443"/>
      <c r="AE9" s="302">
        <f>BD.PD510[[#This Row],[Av.P3 '[%']]]*BD.PD510[[#This Row],[Ppto. Orden Interna '[DOP']]]</f>
        <v>0</v>
      </c>
      <c r="AF9" s="309"/>
      <c r="AG9" s="443"/>
      <c r="AH9" s="302">
        <f>BD.PD510[[#This Row],[Av.P4 '[%']]]*BD.PD510[[#This Row],[Ppto. Orden Interna '[DOP']]]</f>
        <v>0</v>
      </c>
      <c r="AI9" s="309"/>
      <c r="AJ9" s="443"/>
      <c r="AK9" s="302">
        <f>BD.PD510[[#This Row],[Av.P5 '[%']]]*BD.PD510[[#This Row],[Ppto. Orden Interna '[DOP']]]</f>
        <v>0</v>
      </c>
      <c r="AL9" s="444">
        <f>BD.PD510[[#This Row],[Pago 5]]+BD.PD510[[#This Row],[Pago 4]]+BD.PD510[[#This Row],[Pago 3]]+BD.PD510[[#This Row],[Pago 2]]+BD.PD510[[#This Row],[Pago 1]]</f>
        <v>0</v>
      </c>
      <c r="AM9" s="404"/>
    </row>
    <row r="10" spans="1:241" ht="14.85" customHeight="1" x14ac:dyDescent="0.3">
      <c r="A10" s="231">
        <v>7.01</v>
      </c>
      <c r="B10" s="288"/>
      <c r="C10" s="289" t="e">
        <f>VLOOKUP(BD.PD510[[#This Row],[Pos]],[16]!PPto[#Data],3,FALSE)</f>
        <v>#REF!</v>
      </c>
      <c r="D10" s="231" t="s">
        <v>1088</v>
      </c>
      <c r="E10" s="291" t="str">
        <f>IF(BD.PD510[[#This Row],[.]]="*",VLOOKUP(BD.PD510[[#This Row],[Pos]],[16]Presupuesto!A:H,7,FALSE),"")</f>
        <v/>
      </c>
      <c r="F10" s="292" t="s">
        <v>1096</v>
      </c>
      <c r="G10" s="292"/>
      <c r="H10" s="292"/>
      <c r="I10" s="437">
        <v>1</v>
      </c>
      <c r="J10" s="231" t="s">
        <v>581</v>
      </c>
      <c r="K10" s="438">
        <f>IF(BD.PD510[[#This Row],[Mon]]="DOP",1,HLOOKUP(BD.PD510[[#This Row],[Mon]],$J$1:$K$2,2,FALSE))</f>
        <v>1</v>
      </c>
      <c r="L10" s="439">
        <v>121452.25</v>
      </c>
      <c r="M10" s="302">
        <f>BD.PD510[[#This Row],[Cant.]]*BD.PD510[[#This Row],[ Tasa ]]*BD.PD510[[#This Row],[ Precio Und.]]</f>
        <v>121452.25</v>
      </c>
      <c r="N10" s="440">
        <v>0</v>
      </c>
      <c r="O10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10" s="302">
        <f>BD.PD510[[#This Row],[Ppto. Orden Interna '[DOP']]]/HLOOKUP("USD",$J$1:$K$2,2,FALSE)</f>
        <v>1947.9109863672813</v>
      </c>
      <c r="Q10" s="423" t="s">
        <v>1097</v>
      </c>
      <c r="R10" s="425"/>
      <c r="S10" s="425"/>
      <c r="T10" s="425"/>
      <c r="U10" s="425"/>
      <c r="V10" s="423" t="s">
        <v>1097</v>
      </c>
      <c r="W10" s="441">
        <v>1</v>
      </c>
      <c r="X10" s="442">
        <v>0.5</v>
      </c>
      <c r="Y10" s="302">
        <f>BD.PD510[[#This Row],[Av.P1 '[%']]]*BD.PD510[[#This Row],[Ppto. Orden Interna '[DOP']]]</f>
        <v>60726.125</v>
      </c>
      <c r="Z10" s="309">
        <v>4</v>
      </c>
      <c r="AA10" s="443">
        <v>0.5</v>
      </c>
      <c r="AB10" s="302">
        <f>BD.PD510[[#This Row],[Av.P2 '[%']]]*BD.PD510[[#This Row],[Ppto. Orden Interna '[DOP']]]</f>
        <v>60726.125</v>
      </c>
      <c r="AC10" s="309"/>
      <c r="AD10" s="443"/>
      <c r="AE10" s="302">
        <f>BD.PD510[[#This Row],[Av.P3 '[%']]]*BD.PD510[[#This Row],[Ppto. Orden Interna '[DOP']]]</f>
        <v>0</v>
      </c>
      <c r="AF10" s="309"/>
      <c r="AG10" s="443"/>
      <c r="AH10" s="302">
        <f>BD.PD510[[#This Row],[Av.P4 '[%']]]*BD.PD510[[#This Row],[Ppto. Orden Interna '[DOP']]]</f>
        <v>0</v>
      </c>
      <c r="AI10" s="309"/>
      <c r="AJ10" s="443"/>
      <c r="AK10" s="302">
        <f>BD.PD510[[#This Row],[Av.P5 '[%']]]*BD.PD510[[#This Row],[Ppto. Orden Interna '[DOP']]]</f>
        <v>0</v>
      </c>
      <c r="AL10" s="444">
        <f>BD.PD510[[#This Row],[Pago 5]]+BD.PD510[[#This Row],[Pago 4]]+BD.PD510[[#This Row],[Pago 3]]+BD.PD510[[#This Row],[Pago 2]]+BD.PD510[[#This Row],[Pago 1]]</f>
        <v>121452.25</v>
      </c>
      <c r="AM10" s="404"/>
    </row>
    <row r="11" spans="1:241" ht="14.85" customHeight="1" x14ac:dyDescent="0.3">
      <c r="A11" s="231">
        <v>7.01</v>
      </c>
      <c r="B11" s="288"/>
      <c r="C11" s="289" t="e">
        <f>VLOOKUP(BD.PD510[[#This Row],[Pos]],[16]!PPto[#Data],3,FALSE)</f>
        <v>#REF!</v>
      </c>
      <c r="D11" s="231" t="s">
        <v>1088</v>
      </c>
      <c r="E11" s="291" t="str">
        <f>IF(BD.PD510[[#This Row],[.]]="*",VLOOKUP(BD.PD510[[#This Row],[Pos]],[16]Presupuesto!A:H,7,FALSE),"")</f>
        <v/>
      </c>
      <c r="F11" s="292" t="s">
        <v>1098</v>
      </c>
      <c r="G11" s="292"/>
      <c r="H11" s="292"/>
      <c r="I11" s="437">
        <v>1</v>
      </c>
      <c r="J11" s="231" t="s">
        <v>581</v>
      </c>
      <c r="K11" s="438">
        <f>IF(BD.PD510[[#This Row],[Mon]]="DOP",1,HLOOKUP(BD.PD510[[#This Row],[Mon]],$J$1:$K$2,2,FALSE))</f>
        <v>1</v>
      </c>
      <c r="L11" s="439">
        <v>43333.5</v>
      </c>
      <c r="M11" s="302">
        <f>BD.PD510[[#This Row],[Cant.]]*BD.PD510[[#This Row],[ Tasa ]]*BD.PD510[[#This Row],[ Precio Und.]]</f>
        <v>43333.5</v>
      </c>
      <c r="N11" s="440">
        <v>0</v>
      </c>
      <c r="O11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11" s="302">
        <f>BD.PD510[[#This Row],[Ppto. Orden Interna '[DOP']]]/HLOOKUP("USD",$J$1:$K$2,2,FALSE)</f>
        <v>695.00400962309538</v>
      </c>
      <c r="Q11" s="423" t="s">
        <v>1097</v>
      </c>
      <c r="R11" s="425"/>
      <c r="S11" s="425"/>
      <c r="T11" s="425"/>
      <c r="U11" s="425"/>
      <c r="V11" s="423" t="s">
        <v>1097</v>
      </c>
      <c r="W11" s="441">
        <v>1</v>
      </c>
      <c r="X11" s="442">
        <v>0.5</v>
      </c>
      <c r="Y11" s="302">
        <f>BD.PD510[[#This Row],[Av.P1 '[%']]]*BD.PD510[[#This Row],[Ppto. Orden Interna '[DOP']]]</f>
        <v>21666.75</v>
      </c>
      <c r="Z11" s="309">
        <v>4</v>
      </c>
      <c r="AA11" s="443">
        <v>0.5</v>
      </c>
      <c r="AB11" s="302">
        <f>BD.PD510[[#This Row],[Av.P2 '[%']]]*BD.PD510[[#This Row],[Ppto. Orden Interna '[DOP']]]</f>
        <v>21666.75</v>
      </c>
      <c r="AC11" s="309"/>
      <c r="AD11" s="443"/>
      <c r="AE11" s="302">
        <f>BD.PD510[[#This Row],[Av.P3 '[%']]]*BD.PD510[[#This Row],[Ppto. Orden Interna '[DOP']]]</f>
        <v>0</v>
      </c>
      <c r="AF11" s="309"/>
      <c r="AG11" s="443"/>
      <c r="AH11" s="302">
        <f>BD.PD510[[#This Row],[Av.P4 '[%']]]*BD.PD510[[#This Row],[Ppto. Orden Interna '[DOP']]]</f>
        <v>0</v>
      </c>
      <c r="AI11" s="309"/>
      <c r="AJ11" s="443"/>
      <c r="AK11" s="302">
        <f>BD.PD510[[#This Row],[Av.P5 '[%']]]*BD.PD510[[#This Row],[Ppto. Orden Interna '[DOP']]]</f>
        <v>0</v>
      </c>
      <c r="AL11" s="444">
        <f>BD.PD510[[#This Row],[Pago 5]]+BD.PD510[[#This Row],[Pago 4]]+BD.PD510[[#This Row],[Pago 3]]+BD.PD510[[#This Row],[Pago 2]]+BD.PD510[[#This Row],[Pago 1]]</f>
        <v>43333.5</v>
      </c>
      <c r="AM11" s="404"/>
    </row>
    <row r="12" spans="1:241" ht="14.4" x14ac:dyDescent="0.3">
      <c r="A12" s="231">
        <v>7.01</v>
      </c>
      <c r="B12" s="288"/>
      <c r="C12" s="289" t="e">
        <f>VLOOKUP(BD.PD510[[#This Row],[Pos]],[16]!PPto[#Data],3,FALSE)</f>
        <v>#REF!</v>
      </c>
      <c r="D12" s="231" t="s">
        <v>1088</v>
      </c>
      <c r="E12" s="291" t="str">
        <f>IF(BD.PD510[[#This Row],[.]]="*",VLOOKUP(BD.PD510[[#This Row],[Pos]],[16]Presupuesto!A:H,7,FALSE),"")</f>
        <v/>
      </c>
      <c r="F12" s="292" t="s">
        <v>1099</v>
      </c>
      <c r="G12" s="292"/>
      <c r="H12" s="292"/>
      <c r="I12" s="437">
        <v>2</v>
      </c>
      <c r="J12" s="231" t="s">
        <v>581</v>
      </c>
      <c r="K12" s="438">
        <f>IF(BD.PD510[[#This Row],[Mon]]="DOP",1,HLOOKUP(BD.PD510[[#This Row],[Mon]],$J$1:$K$2,2,FALSE))</f>
        <v>1</v>
      </c>
      <c r="L12" s="439">
        <v>24576.28</v>
      </c>
      <c r="M12" s="302">
        <f>BD.PD510[[#This Row],[Cant.]]*BD.PD510[[#This Row],[ Tasa ]]*BD.PD510[[#This Row],[ Precio Und.]]</f>
        <v>49152.56</v>
      </c>
      <c r="N12" s="440">
        <v>0</v>
      </c>
      <c r="O12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12" s="302">
        <f>BD.PD510[[#This Row],[Ppto. Orden Interna '[DOP']]]/HLOOKUP("USD",$J$1:$K$2,2,FALSE)</f>
        <v>788.33295910184438</v>
      </c>
      <c r="Q12" s="423" t="s">
        <v>1100</v>
      </c>
      <c r="R12" s="425"/>
      <c r="S12" s="425"/>
      <c r="T12" s="425"/>
      <c r="U12" s="425"/>
      <c r="V12" s="423" t="s">
        <v>1100</v>
      </c>
      <c r="W12" s="441"/>
      <c r="X12" s="442"/>
      <c r="Y12" s="302">
        <f>BD.PD510[[#This Row],[Av.P1 '[%']]]*BD.PD510[[#This Row],[Ppto. Orden Interna '[DOP']]]</f>
        <v>0</v>
      </c>
      <c r="Z12" s="309"/>
      <c r="AA12" s="443"/>
      <c r="AB12" s="302">
        <f>BD.PD510[[#This Row],[Av.P2 '[%']]]*BD.PD510[[#This Row],[Ppto. Orden Interna '[DOP']]]</f>
        <v>0</v>
      </c>
      <c r="AC12" s="309"/>
      <c r="AD12" s="443"/>
      <c r="AE12" s="302">
        <f>BD.PD510[[#This Row],[Av.P3 '[%']]]*BD.PD510[[#This Row],[Ppto. Orden Interna '[DOP']]]</f>
        <v>0</v>
      </c>
      <c r="AF12" s="309"/>
      <c r="AG12" s="443"/>
      <c r="AH12" s="302">
        <f>BD.PD510[[#This Row],[Av.P4 '[%']]]*BD.PD510[[#This Row],[Ppto. Orden Interna '[DOP']]]</f>
        <v>0</v>
      </c>
      <c r="AI12" s="309"/>
      <c r="AJ12" s="443"/>
      <c r="AK12" s="302">
        <f>BD.PD510[[#This Row],[Av.P5 '[%']]]*BD.PD510[[#This Row],[Ppto. Orden Interna '[DOP']]]</f>
        <v>0</v>
      </c>
      <c r="AL12" s="444">
        <f>BD.PD510[[#This Row],[Pago 5]]+BD.PD510[[#This Row],[Pago 4]]+BD.PD510[[#This Row],[Pago 3]]+BD.PD510[[#This Row],[Pago 2]]+BD.PD510[[#This Row],[Pago 1]]</f>
        <v>0</v>
      </c>
      <c r="AM12" s="404"/>
    </row>
    <row r="13" spans="1:241" ht="14.4" x14ac:dyDescent="0.3">
      <c r="A13" s="231">
        <v>8.0500000000000007</v>
      </c>
      <c r="B13" s="288"/>
      <c r="C13" s="289" t="e">
        <f>VLOOKUP(BD.PD510[[#This Row],[Pos]],[16]!PPto[#Data],3,FALSE)</f>
        <v>#REF!</v>
      </c>
      <c r="D13" s="231" t="s">
        <v>1088</v>
      </c>
      <c r="E13" s="291" t="str">
        <f>IF(BD.PD510[[#This Row],[.]]="*",VLOOKUP(BD.PD510[[#This Row],[Pos]],[16]Presupuesto!A:H,7,FALSE),"")</f>
        <v/>
      </c>
      <c r="F13" s="292" t="s">
        <v>1101</v>
      </c>
      <c r="G13" s="292"/>
      <c r="H13" s="292"/>
      <c r="I13" s="437">
        <v>1</v>
      </c>
      <c r="J13" s="231" t="s">
        <v>581</v>
      </c>
      <c r="K13" s="438">
        <f>IF(BD.PD510[[#This Row],[Mon]]="DOP",1,HLOOKUP(BD.PD510[[#This Row],[Mon]],$J$1:$K$2,2,FALSE))</f>
        <v>1</v>
      </c>
      <c r="L13" s="439">
        <v>400000</v>
      </c>
      <c r="M13" s="302">
        <f>BD.PD510[[#This Row],[Cant.]]*BD.PD510[[#This Row],[ Tasa ]]*BD.PD510[[#This Row],[ Precio Und.]]</f>
        <v>400000</v>
      </c>
      <c r="N13" s="440">
        <v>0</v>
      </c>
      <c r="O13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3" s="302">
        <f>BD.PD510[[#This Row],[Ppto. Orden Interna '[DOP']]]/HLOOKUP("USD",$J$1:$K$2,2,FALSE)</f>
        <v>6415.3969526864475</v>
      </c>
      <c r="Q13" s="423" t="s">
        <v>1102</v>
      </c>
      <c r="R13" s="425"/>
      <c r="S13" s="425"/>
      <c r="T13" s="425"/>
      <c r="U13" s="425"/>
      <c r="V13" s="423" t="s">
        <v>1102</v>
      </c>
      <c r="W13" s="441">
        <v>1</v>
      </c>
      <c r="X13" s="442">
        <v>0.6</v>
      </c>
      <c r="Y13" s="302">
        <f>BD.PD510[[#This Row],[Av.P1 '[%']]]*BD.PD510[[#This Row],[Ppto. Orden Interna '[DOP']]]</f>
        <v>240000</v>
      </c>
      <c r="Z13" s="309">
        <v>3</v>
      </c>
      <c r="AA13" s="443">
        <v>0.4</v>
      </c>
      <c r="AB13" s="302">
        <f>BD.PD510[[#This Row],[Av.P2 '[%']]]*BD.PD510[[#This Row],[Ppto. Orden Interna '[DOP']]]</f>
        <v>160000</v>
      </c>
      <c r="AC13" s="309"/>
      <c r="AD13" s="443"/>
      <c r="AE13" s="302">
        <f>BD.PD510[[#This Row],[Av.P3 '[%']]]*BD.PD510[[#This Row],[Ppto. Orden Interna '[DOP']]]</f>
        <v>0</v>
      </c>
      <c r="AF13" s="309"/>
      <c r="AG13" s="443"/>
      <c r="AH13" s="302">
        <f>BD.PD510[[#This Row],[Av.P4 '[%']]]*BD.PD510[[#This Row],[Ppto. Orden Interna '[DOP']]]</f>
        <v>0</v>
      </c>
      <c r="AI13" s="309"/>
      <c r="AJ13" s="443"/>
      <c r="AK13" s="302">
        <f>BD.PD510[[#This Row],[Av.P5 '[%']]]*BD.PD510[[#This Row],[Ppto. Orden Interna '[DOP']]]</f>
        <v>0</v>
      </c>
      <c r="AL13" s="444">
        <f>BD.PD510[[#This Row],[Pago 5]]+BD.PD510[[#This Row],[Pago 4]]+BD.PD510[[#This Row],[Pago 3]]+BD.PD510[[#This Row],[Pago 2]]+BD.PD510[[#This Row],[Pago 1]]</f>
        <v>400000</v>
      </c>
      <c r="AM13" s="404"/>
    </row>
    <row r="14" spans="1:241" ht="14.4" x14ac:dyDescent="0.3">
      <c r="A14" s="231">
        <v>8.0500000000000007</v>
      </c>
      <c r="B14" s="288"/>
      <c r="C14" s="289" t="e">
        <f>VLOOKUP(BD.PD510[[#This Row],[Pos]],[16]!PPto[#Data],3,FALSE)</f>
        <v>#REF!</v>
      </c>
      <c r="D14" s="231" t="s">
        <v>1088</v>
      </c>
      <c r="E14" s="291" t="str">
        <f>IF(BD.PD510[[#This Row],[.]]="*",VLOOKUP(BD.PD510[[#This Row],[Pos]],[16]Presupuesto!A:H,7,FALSE),"")</f>
        <v/>
      </c>
      <c r="F14" s="292" t="s">
        <v>1103</v>
      </c>
      <c r="G14" s="292"/>
      <c r="H14" s="292"/>
      <c r="I14" s="437">
        <v>2</v>
      </c>
      <c r="J14" s="231" t="s">
        <v>581</v>
      </c>
      <c r="K14" s="438">
        <f>IF(BD.PD510[[#This Row],[Mon]]="DOP",1,HLOOKUP(BD.PD510[[#This Row],[Mon]],$J$1:$K$2,2,FALSE))</f>
        <v>1</v>
      </c>
      <c r="L14" s="439">
        <v>12000</v>
      </c>
      <c r="M14" s="302">
        <f>BD.PD510[[#This Row],[Cant.]]*BD.PD510[[#This Row],[ Tasa ]]*BD.PD510[[#This Row],[ Precio Und.]]</f>
        <v>24000</v>
      </c>
      <c r="N14" s="440">
        <v>0</v>
      </c>
      <c r="O14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4" s="302">
        <f>BD.PD510[[#This Row],[Ppto. Orden Interna '[DOP']]]/HLOOKUP("USD",$J$1:$K$2,2,FALSE)</f>
        <v>384.92381716118683</v>
      </c>
      <c r="Q14" s="445" t="s">
        <v>1104</v>
      </c>
      <c r="R14" s="425"/>
      <c r="S14" s="425"/>
      <c r="T14" s="425"/>
      <c r="U14" s="425"/>
      <c r="V14" s="445" t="s">
        <v>1104</v>
      </c>
      <c r="W14" s="441"/>
      <c r="X14" s="442"/>
      <c r="Y14" s="302">
        <f>BD.PD510[[#This Row],[Av.P1 '[%']]]*BD.PD510[[#This Row],[Ppto. Orden Interna '[DOP']]]</f>
        <v>0</v>
      </c>
      <c r="Z14" s="309"/>
      <c r="AA14" s="443"/>
      <c r="AB14" s="302">
        <f>BD.PD510[[#This Row],[Av.P2 '[%']]]*BD.PD510[[#This Row],[Ppto. Orden Interna '[DOP']]]</f>
        <v>0</v>
      </c>
      <c r="AC14" s="309"/>
      <c r="AD14" s="443"/>
      <c r="AE14" s="302">
        <f>BD.PD510[[#This Row],[Av.P3 '[%']]]*BD.PD510[[#This Row],[Ppto. Orden Interna '[DOP']]]</f>
        <v>0</v>
      </c>
      <c r="AF14" s="309"/>
      <c r="AG14" s="443"/>
      <c r="AH14" s="302">
        <f>BD.PD510[[#This Row],[Av.P4 '[%']]]*BD.PD510[[#This Row],[Ppto. Orden Interna '[DOP']]]</f>
        <v>0</v>
      </c>
      <c r="AI14" s="309"/>
      <c r="AJ14" s="443"/>
      <c r="AK14" s="302">
        <f>BD.PD510[[#This Row],[Av.P5 '[%']]]*BD.PD510[[#This Row],[Ppto. Orden Interna '[DOP']]]</f>
        <v>0</v>
      </c>
      <c r="AL14" s="444">
        <f>BD.PD510[[#This Row],[Pago 5]]+BD.PD510[[#This Row],[Pago 4]]+BD.PD510[[#This Row],[Pago 3]]+BD.PD510[[#This Row],[Pago 2]]+BD.PD510[[#This Row],[Pago 1]]</f>
        <v>0</v>
      </c>
      <c r="AM14" s="404"/>
    </row>
    <row r="15" spans="1:241" ht="14.4" x14ac:dyDescent="0.3">
      <c r="A15" s="231">
        <v>8.0500000000000007</v>
      </c>
      <c r="B15" s="288"/>
      <c r="C15" s="289" t="e">
        <f>VLOOKUP(BD.PD510[[#This Row],[Pos]],[16]!PPto[#Data],3,FALSE)</f>
        <v>#REF!</v>
      </c>
      <c r="D15" s="231" t="s">
        <v>1088</v>
      </c>
      <c r="E15" s="291" t="str">
        <f>IF(BD.PD510[[#This Row],[.]]="*",VLOOKUP(BD.PD510[[#This Row],[Pos]],[16]Presupuesto!A:H,7,FALSE),"")</f>
        <v/>
      </c>
      <c r="F15" s="292" t="s">
        <v>1105</v>
      </c>
      <c r="G15" s="292"/>
      <c r="H15" s="292"/>
      <c r="I15" s="437">
        <v>1</v>
      </c>
      <c r="J15" s="231" t="s">
        <v>581</v>
      </c>
      <c r="K15" s="438">
        <f>IF(BD.PD510[[#This Row],[Mon]]="DOP",1,HLOOKUP(BD.PD510[[#This Row],[Mon]],$J$1:$K$2,2,FALSE))</f>
        <v>1</v>
      </c>
      <c r="L15" s="439">
        <v>7769</v>
      </c>
      <c r="M15" s="302">
        <f>BD.PD510[[#This Row],[Cant.]]*BD.PD510[[#This Row],[ Tasa ]]*BD.PD510[[#This Row],[ Precio Und.]]</f>
        <v>7769</v>
      </c>
      <c r="N15" s="440">
        <v>0</v>
      </c>
      <c r="O15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5" s="302">
        <f>BD.PD510[[#This Row],[Ppto. Orden Interna '[DOP']]]/HLOOKUP("USD",$J$1:$K$2,2,FALSE)</f>
        <v>124.60304731355252</v>
      </c>
      <c r="Q15" s="446" t="s">
        <v>1106</v>
      </c>
      <c r="R15" s="425"/>
      <c r="S15" s="425"/>
      <c r="T15" s="425"/>
      <c r="U15" s="425"/>
      <c r="V15" s="446" t="s">
        <v>1106</v>
      </c>
      <c r="W15" s="441"/>
      <c r="X15" s="442"/>
      <c r="Y15" s="302">
        <f>BD.PD510[[#This Row],[Av.P1 '[%']]]*BD.PD510[[#This Row],[Ppto. Orden Interna '[DOP']]]</f>
        <v>0</v>
      </c>
      <c r="Z15" s="309"/>
      <c r="AA15" s="443"/>
      <c r="AB15" s="302">
        <f>BD.PD510[[#This Row],[Av.P2 '[%']]]*BD.PD510[[#This Row],[Ppto. Orden Interna '[DOP']]]</f>
        <v>0</v>
      </c>
      <c r="AC15" s="309"/>
      <c r="AD15" s="443"/>
      <c r="AE15" s="302">
        <f>BD.PD510[[#This Row],[Av.P3 '[%']]]*BD.PD510[[#This Row],[Ppto. Orden Interna '[DOP']]]</f>
        <v>0</v>
      </c>
      <c r="AF15" s="309"/>
      <c r="AG15" s="443"/>
      <c r="AH15" s="302">
        <f>BD.PD510[[#This Row],[Av.P4 '[%']]]*BD.PD510[[#This Row],[Ppto. Orden Interna '[DOP']]]</f>
        <v>0</v>
      </c>
      <c r="AI15" s="309"/>
      <c r="AJ15" s="443"/>
      <c r="AK15" s="302">
        <f>BD.PD510[[#This Row],[Av.P5 '[%']]]*BD.PD510[[#This Row],[Ppto. Orden Interna '[DOP']]]</f>
        <v>0</v>
      </c>
      <c r="AL15" s="444">
        <f>BD.PD510[[#This Row],[Pago 5]]+BD.PD510[[#This Row],[Pago 4]]+BD.PD510[[#This Row],[Pago 3]]+BD.PD510[[#This Row],[Pago 2]]+BD.PD510[[#This Row],[Pago 1]]</f>
        <v>0</v>
      </c>
      <c r="AM15" s="404"/>
    </row>
    <row r="16" spans="1:241" ht="14.4" x14ac:dyDescent="0.3">
      <c r="A16" s="231">
        <v>8.0500000000000007</v>
      </c>
      <c r="B16" s="288"/>
      <c r="C16" s="289" t="e">
        <f>VLOOKUP(BD.PD510[[#This Row],[Pos]],[16]!PPto[#Data],3,FALSE)</f>
        <v>#REF!</v>
      </c>
      <c r="D16" s="231" t="s">
        <v>1088</v>
      </c>
      <c r="E16" s="291" t="str">
        <f>IF(BD.PD510[[#This Row],[.]]="*",VLOOKUP(BD.PD510[[#This Row],[Pos]],[16]Presupuesto!A:H,7,FALSE),"")</f>
        <v/>
      </c>
      <c r="F16" s="292" t="s">
        <v>1107</v>
      </c>
      <c r="G16" s="292"/>
      <c r="H16" s="292"/>
      <c r="I16" s="437">
        <v>1</v>
      </c>
      <c r="J16" s="231" t="s">
        <v>581</v>
      </c>
      <c r="K16" s="438">
        <f>IF(BD.PD510[[#This Row],[Mon]]="DOP",1,HLOOKUP(BD.PD510[[#This Row],[Mon]],$J$1:$K$2,2,FALSE))</f>
        <v>1</v>
      </c>
      <c r="L16" s="439">
        <v>5000</v>
      </c>
      <c r="M16" s="302">
        <f>BD.PD510[[#This Row],[Cant.]]*BD.PD510[[#This Row],[ Tasa ]]*BD.PD510[[#This Row],[ Precio Und.]]</f>
        <v>5000</v>
      </c>
      <c r="N16" s="440">
        <v>0</v>
      </c>
      <c r="O16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6" s="302">
        <f>BD.PD510[[#This Row],[Ppto. Orden Interna '[DOP']]]/HLOOKUP("USD",$J$1:$K$2,2,FALSE)</f>
        <v>80.192461908580597</v>
      </c>
      <c r="Q16" s="423"/>
      <c r="R16" s="425"/>
      <c r="S16" s="425"/>
      <c r="T16" s="425"/>
      <c r="U16" s="425"/>
      <c r="V16" s="423"/>
      <c r="W16" s="441"/>
      <c r="X16" s="442"/>
      <c r="Y16" s="302">
        <f>BD.PD510[[#This Row],[Av.P1 '[%']]]*BD.PD510[[#This Row],[Ppto. Orden Interna '[DOP']]]</f>
        <v>0</v>
      </c>
      <c r="Z16" s="309"/>
      <c r="AA16" s="443"/>
      <c r="AB16" s="302">
        <f>BD.PD510[[#This Row],[Av.P2 '[%']]]*BD.PD510[[#This Row],[Ppto. Orden Interna '[DOP']]]</f>
        <v>0</v>
      </c>
      <c r="AC16" s="309"/>
      <c r="AD16" s="443"/>
      <c r="AE16" s="302">
        <f>BD.PD510[[#This Row],[Av.P3 '[%']]]*BD.PD510[[#This Row],[Ppto. Orden Interna '[DOP']]]</f>
        <v>0</v>
      </c>
      <c r="AF16" s="309"/>
      <c r="AG16" s="443"/>
      <c r="AH16" s="302">
        <f>BD.PD510[[#This Row],[Av.P4 '[%']]]*BD.PD510[[#This Row],[Ppto. Orden Interna '[DOP']]]</f>
        <v>0</v>
      </c>
      <c r="AI16" s="309"/>
      <c r="AJ16" s="443"/>
      <c r="AK16" s="302">
        <f>BD.PD510[[#This Row],[Av.P5 '[%']]]*BD.PD510[[#This Row],[Ppto. Orden Interna '[DOP']]]</f>
        <v>0</v>
      </c>
      <c r="AL16" s="444">
        <f>BD.PD510[[#This Row],[Pago 5]]+BD.PD510[[#This Row],[Pago 4]]+BD.PD510[[#This Row],[Pago 3]]+BD.PD510[[#This Row],[Pago 2]]+BD.PD510[[#This Row],[Pago 1]]</f>
        <v>0</v>
      </c>
      <c r="AM16" s="404"/>
    </row>
    <row r="17" spans="1:39" ht="14.4" x14ac:dyDescent="0.3">
      <c r="A17" s="231">
        <v>8.06</v>
      </c>
      <c r="B17" s="288"/>
      <c r="C17" s="289" t="e">
        <f>VLOOKUP(BD.PD510[[#This Row],[Pos]],[16]!PPto[#Data],3,FALSE)</f>
        <v>#REF!</v>
      </c>
      <c r="D17" s="231" t="s">
        <v>1088</v>
      </c>
      <c r="E17" s="291" t="str">
        <f>IF(BD.PD510[[#This Row],[.]]="*",VLOOKUP(BD.PD510[[#This Row],[Pos]],[16]Presupuesto!A:H,7,FALSE),"")</f>
        <v/>
      </c>
      <c r="F17" s="292" t="s">
        <v>1108</v>
      </c>
      <c r="G17" s="292"/>
      <c r="H17" s="292"/>
      <c r="I17" s="437">
        <v>1</v>
      </c>
      <c r="J17" s="231" t="s">
        <v>581</v>
      </c>
      <c r="K17" s="438">
        <f>IF(BD.PD510[[#This Row],[Mon]]="DOP",1,HLOOKUP(BD.PD510[[#This Row],[Mon]],$J$1:$K$2,2,FALSE))</f>
        <v>1</v>
      </c>
      <c r="L17" s="439">
        <v>1975</v>
      </c>
      <c r="M17" s="302">
        <f>BD.PD510[[#This Row],[Cant.]]*BD.PD510[[#This Row],[ Tasa ]]*BD.PD510[[#This Row],[ Precio Und.]]</f>
        <v>1975</v>
      </c>
      <c r="N17" s="440">
        <v>0</v>
      </c>
      <c r="O17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7" s="302">
        <f>BD.PD510[[#This Row],[Ppto. Orden Interna '[DOP']]]/HLOOKUP("USD",$J$1:$K$2,2,FALSE)</f>
        <v>31.676022453889335</v>
      </c>
      <c r="Q17" s="445" t="s">
        <v>1109</v>
      </c>
      <c r="R17" s="425"/>
      <c r="S17" s="425"/>
      <c r="T17" s="425"/>
      <c r="U17" s="425"/>
      <c r="V17" s="445" t="s">
        <v>1109</v>
      </c>
      <c r="W17" s="441"/>
      <c r="X17" s="442"/>
      <c r="Y17" s="302">
        <f>BD.PD510[[#This Row],[Av.P1 '[%']]]*BD.PD510[[#This Row],[Ppto. Orden Interna '[DOP']]]</f>
        <v>0</v>
      </c>
      <c r="Z17" s="309"/>
      <c r="AA17" s="443"/>
      <c r="AB17" s="302">
        <f>BD.PD510[[#This Row],[Av.P2 '[%']]]*BD.PD510[[#This Row],[Ppto. Orden Interna '[DOP']]]</f>
        <v>0</v>
      </c>
      <c r="AC17" s="309"/>
      <c r="AD17" s="443"/>
      <c r="AE17" s="302">
        <f>BD.PD510[[#This Row],[Av.P3 '[%']]]*BD.PD510[[#This Row],[Ppto. Orden Interna '[DOP']]]</f>
        <v>0</v>
      </c>
      <c r="AF17" s="309"/>
      <c r="AG17" s="443"/>
      <c r="AH17" s="302">
        <f>BD.PD510[[#This Row],[Av.P4 '[%']]]*BD.PD510[[#This Row],[Ppto. Orden Interna '[DOP']]]</f>
        <v>0</v>
      </c>
      <c r="AI17" s="309"/>
      <c r="AJ17" s="443"/>
      <c r="AK17" s="302">
        <f>BD.PD510[[#This Row],[Av.P5 '[%']]]*BD.PD510[[#This Row],[Ppto. Orden Interna '[DOP']]]</f>
        <v>0</v>
      </c>
      <c r="AL17" s="444">
        <f>BD.PD510[[#This Row],[Pago 5]]+BD.PD510[[#This Row],[Pago 4]]+BD.PD510[[#This Row],[Pago 3]]+BD.PD510[[#This Row],[Pago 2]]+BD.PD510[[#This Row],[Pago 1]]</f>
        <v>0</v>
      </c>
      <c r="AM17" s="404"/>
    </row>
    <row r="18" spans="1:39" ht="14.4" x14ac:dyDescent="0.3">
      <c r="A18" s="231">
        <v>8.06</v>
      </c>
      <c r="B18" s="288"/>
      <c r="C18" s="289" t="e">
        <f>VLOOKUP(BD.PD510[[#This Row],[Pos]],[16]!PPto[#Data],3,FALSE)</f>
        <v>#REF!</v>
      </c>
      <c r="D18" s="231" t="s">
        <v>1088</v>
      </c>
      <c r="E18" s="291" t="str">
        <f>IF(BD.PD510[[#This Row],[.]]="*",VLOOKUP(BD.PD510[[#This Row],[Pos]],[16]Presupuesto!A:H,7,FALSE),"")</f>
        <v/>
      </c>
      <c r="F18" s="292" t="s">
        <v>1110</v>
      </c>
      <c r="G18" s="292"/>
      <c r="H18" s="292"/>
      <c r="I18" s="437">
        <v>3</v>
      </c>
      <c r="J18" s="231" t="s">
        <v>581</v>
      </c>
      <c r="K18" s="438">
        <f>IF(BD.PD510[[#This Row],[Mon]]="DOP",1,HLOOKUP(BD.PD510[[#This Row],[Mon]],$J$1:$K$2,2,FALSE))</f>
        <v>1</v>
      </c>
      <c r="L18" s="439">
        <v>5000</v>
      </c>
      <c r="M18" s="302">
        <f>BD.PD510[[#This Row],[Cant.]]*BD.PD510[[#This Row],[ Tasa ]]*BD.PD510[[#This Row],[ Precio Und.]]</f>
        <v>15000</v>
      </c>
      <c r="N18" s="440">
        <v>0</v>
      </c>
      <c r="O18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8" s="302">
        <f>BD.PD510[[#This Row],[Ppto. Orden Interna '[DOP']]]/HLOOKUP("USD",$J$1:$K$2,2,FALSE)</f>
        <v>240.57738572574178</v>
      </c>
      <c r="Q18" s="423" t="s">
        <v>1111</v>
      </c>
      <c r="R18" s="425"/>
      <c r="S18" s="425"/>
      <c r="T18" s="425"/>
      <c r="U18" s="425"/>
      <c r="V18" s="423" t="s">
        <v>1111</v>
      </c>
      <c r="W18" s="441"/>
      <c r="X18" s="442"/>
      <c r="Y18" s="302">
        <f>BD.PD510[[#This Row],[Av.P1 '[%']]]*BD.PD510[[#This Row],[Ppto. Orden Interna '[DOP']]]</f>
        <v>0</v>
      </c>
      <c r="Z18" s="309"/>
      <c r="AA18" s="443"/>
      <c r="AB18" s="302">
        <f>BD.PD510[[#This Row],[Av.P2 '[%']]]*BD.PD510[[#This Row],[Ppto. Orden Interna '[DOP']]]</f>
        <v>0</v>
      </c>
      <c r="AC18" s="309"/>
      <c r="AD18" s="443"/>
      <c r="AE18" s="302">
        <f>BD.PD510[[#This Row],[Av.P3 '[%']]]*BD.PD510[[#This Row],[Ppto. Orden Interna '[DOP']]]</f>
        <v>0</v>
      </c>
      <c r="AF18" s="309"/>
      <c r="AG18" s="443"/>
      <c r="AH18" s="302">
        <f>BD.PD510[[#This Row],[Av.P4 '[%']]]*BD.PD510[[#This Row],[Ppto. Orden Interna '[DOP']]]</f>
        <v>0</v>
      </c>
      <c r="AI18" s="309"/>
      <c r="AJ18" s="443"/>
      <c r="AK18" s="302">
        <f>BD.PD510[[#This Row],[Av.P5 '[%']]]*BD.PD510[[#This Row],[Ppto. Orden Interna '[DOP']]]</f>
        <v>0</v>
      </c>
      <c r="AL18" s="444">
        <f>BD.PD510[[#This Row],[Pago 5]]+BD.PD510[[#This Row],[Pago 4]]+BD.PD510[[#This Row],[Pago 3]]+BD.PD510[[#This Row],[Pago 2]]+BD.PD510[[#This Row],[Pago 1]]</f>
        <v>0</v>
      </c>
      <c r="AM18" s="404"/>
    </row>
    <row r="19" spans="1:39" ht="14.1" customHeight="1" x14ac:dyDescent="0.3">
      <c r="A19" s="231">
        <v>8.06</v>
      </c>
      <c r="B19" s="288"/>
      <c r="C19" s="289" t="e">
        <f>VLOOKUP(BD.PD510[[#This Row],[Pos]],[16]!PPto[#Data],3,FALSE)</f>
        <v>#REF!</v>
      </c>
      <c r="D19" s="231" t="s">
        <v>1088</v>
      </c>
      <c r="E19" s="291" t="str">
        <f>IF(BD.PD510[[#This Row],[.]]="*",VLOOKUP(BD.PD510[[#This Row],[Pos]],[16]Presupuesto!A:H,7,FALSE),"")</f>
        <v/>
      </c>
      <c r="F19" s="292" t="s">
        <v>1112</v>
      </c>
      <c r="G19" s="292"/>
      <c r="H19" s="292"/>
      <c r="I19" s="437">
        <v>1</v>
      </c>
      <c r="J19" s="231" t="s">
        <v>581</v>
      </c>
      <c r="K19" s="438">
        <f>IF(BD.PD510[[#This Row],[Mon]]="DOP",1,HLOOKUP(BD.PD510[[#This Row],[Mon]],$J$1:$K$2,2,FALSE))</f>
        <v>1</v>
      </c>
      <c r="L19" s="439">
        <v>12000</v>
      </c>
      <c r="M19" s="302">
        <f>BD.PD510[[#This Row],[Cant.]]*BD.PD510[[#This Row],[ Tasa ]]*BD.PD510[[#This Row],[ Precio Und.]]</f>
        <v>12000</v>
      </c>
      <c r="N19" s="440">
        <v>0</v>
      </c>
      <c r="O19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9" s="302">
        <f>BD.PD510[[#This Row],[Ppto. Orden Interna '[DOP']]]/HLOOKUP("USD",$J$1:$K$2,2,FALSE)</f>
        <v>192.46190858059342</v>
      </c>
      <c r="Q19" s="423" t="s">
        <v>1111</v>
      </c>
      <c r="R19" s="425"/>
      <c r="S19" s="425"/>
      <c r="T19" s="425"/>
      <c r="U19" s="425"/>
      <c r="V19" s="423" t="s">
        <v>1111</v>
      </c>
      <c r="W19" s="441"/>
      <c r="X19" s="442"/>
      <c r="Y19" s="302">
        <f>BD.PD510[[#This Row],[Av.P1 '[%']]]*BD.PD510[[#This Row],[Ppto. Orden Interna '[DOP']]]</f>
        <v>0</v>
      </c>
      <c r="Z19" s="309"/>
      <c r="AA19" s="443"/>
      <c r="AB19" s="302">
        <f>BD.PD510[[#This Row],[Av.P2 '[%']]]*BD.PD510[[#This Row],[Ppto. Orden Interna '[DOP']]]</f>
        <v>0</v>
      </c>
      <c r="AC19" s="309"/>
      <c r="AD19" s="443"/>
      <c r="AE19" s="302">
        <f>BD.PD510[[#This Row],[Av.P3 '[%']]]*BD.PD510[[#This Row],[Ppto. Orden Interna '[DOP']]]</f>
        <v>0</v>
      </c>
      <c r="AF19" s="309"/>
      <c r="AG19" s="443"/>
      <c r="AH19" s="302">
        <f>BD.PD510[[#This Row],[Av.P4 '[%']]]*BD.PD510[[#This Row],[Ppto. Orden Interna '[DOP']]]</f>
        <v>0</v>
      </c>
      <c r="AI19" s="309"/>
      <c r="AJ19" s="443"/>
      <c r="AK19" s="302">
        <f>BD.PD510[[#This Row],[Av.P5 '[%']]]*BD.PD510[[#This Row],[Ppto. Orden Interna '[DOP']]]</f>
        <v>0</v>
      </c>
      <c r="AL19" s="444">
        <f>BD.PD510[[#This Row],[Pago 5]]+BD.PD510[[#This Row],[Pago 4]]+BD.PD510[[#This Row],[Pago 3]]+BD.PD510[[#This Row],[Pago 2]]+BD.PD510[[#This Row],[Pago 1]]</f>
        <v>0</v>
      </c>
      <c r="AM19" s="404"/>
    </row>
    <row r="20" spans="1:39" ht="14.4" x14ac:dyDescent="0.3">
      <c r="A20" s="231">
        <v>8.06</v>
      </c>
      <c r="B20" s="288"/>
      <c r="C20" s="289" t="e">
        <f>VLOOKUP(BD.PD510[[#This Row],[Pos]],[16]!PPto[#Data],3,FALSE)</f>
        <v>#REF!</v>
      </c>
      <c r="D20" s="231" t="s">
        <v>1088</v>
      </c>
      <c r="E20" s="291" t="str">
        <f>IF(BD.PD510[[#This Row],[.]]="*",VLOOKUP(BD.PD510[[#This Row],[Pos]],[16]Presupuesto!A:H,7,FALSE),"")</f>
        <v/>
      </c>
      <c r="F20" s="292" t="s">
        <v>1113</v>
      </c>
      <c r="G20" s="292"/>
      <c r="H20" s="292"/>
      <c r="I20" s="437">
        <v>1</v>
      </c>
      <c r="J20" s="231" t="s">
        <v>581</v>
      </c>
      <c r="K20" s="438">
        <f>IF(BD.PD510[[#This Row],[Mon]]="DOP",1,HLOOKUP(BD.PD510[[#This Row],[Mon]],$J$1:$K$2,2,FALSE))</f>
        <v>1</v>
      </c>
      <c r="L20" s="439">
        <v>3000</v>
      </c>
      <c r="M20" s="302">
        <f>BD.PD510[[#This Row],[Cant.]]*BD.PD510[[#This Row],[ Tasa ]]*BD.PD510[[#This Row],[ Precio Und.]]</f>
        <v>3000</v>
      </c>
      <c r="N20" s="440">
        <v>0</v>
      </c>
      <c r="O20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20" s="302">
        <f>BD.PD510[[#This Row],[Ppto. Orden Interna '[DOP']]]/HLOOKUP("USD",$J$1:$K$2,2,FALSE)</f>
        <v>48.115477145148354</v>
      </c>
      <c r="Q20" s="423" t="s">
        <v>763</v>
      </c>
      <c r="R20" s="425"/>
      <c r="S20" s="425"/>
      <c r="T20" s="425"/>
      <c r="U20" s="425"/>
      <c r="V20" s="423" t="s">
        <v>763</v>
      </c>
      <c r="W20" s="441"/>
      <c r="X20" s="442"/>
      <c r="Y20" s="302">
        <f>BD.PD510[[#This Row],[Av.P1 '[%']]]*BD.PD510[[#This Row],[Ppto. Orden Interna '[DOP']]]</f>
        <v>0</v>
      </c>
      <c r="Z20" s="309"/>
      <c r="AA20" s="443"/>
      <c r="AB20" s="302">
        <f>BD.PD510[[#This Row],[Av.P2 '[%']]]*BD.PD510[[#This Row],[Ppto. Orden Interna '[DOP']]]</f>
        <v>0</v>
      </c>
      <c r="AC20" s="309"/>
      <c r="AD20" s="443"/>
      <c r="AE20" s="302">
        <f>BD.PD510[[#This Row],[Av.P3 '[%']]]*BD.PD510[[#This Row],[Ppto. Orden Interna '[DOP']]]</f>
        <v>0</v>
      </c>
      <c r="AF20" s="309"/>
      <c r="AG20" s="443"/>
      <c r="AH20" s="302">
        <f>BD.PD510[[#This Row],[Av.P4 '[%']]]*BD.PD510[[#This Row],[Ppto. Orden Interna '[DOP']]]</f>
        <v>0</v>
      </c>
      <c r="AI20" s="309"/>
      <c r="AJ20" s="443"/>
      <c r="AK20" s="302">
        <f>BD.PD510[[#This Row],[Av.P5 '[%']]]*BD.PD510[[#This Row],[Ppto. Orden Interna '[DOP']]]</f>
        <v>0</v>
      </c>
      <c r="AL20" s="444">
        <f>BD.PD510[[#This Row],[Pago 5]]+BD.PD510[[#This Row],[Pago 4]]+BD.PD510[[#This Row],[Pago 3]]+BD.PD510[[#This Row],[Pago 2]]+BD.PD510[[#This Row],[Pago 1]]</f>
        <v>0</v>
      </c>
      <c r="AM20" s="404"/>
    </row>
    <row r="21" spans="1:39" ht="14.4" x14ac:dyDescent="0.3">
      <c r="A21" s="231">
        <v>7.07</v>
      </c>
      <c r="B21" s="288"/>
      <c r="C21" s="289" t="e">
        <f>VLOOKUP(BD.PD510[[#This Row],[Pos]],[16]!PPto[#Data],3,FALSE)</f>
        <v>#REF!</v>
      </c>
      <c r="D21" s="231" t="s">
        <v>1088</v>
      </c>
      <c r="E21" s="291" t="str">
        <f>IF(BD.PD510[[#This Row],[.]]="*",VLOOKUP(BD.PD510[[#This Row],[Pos]],[16]Presupuesto!A:H,7,FALSE),"")</f>
        <v/>
      </c>
      <c r="F21" s="292" t="s">
        <v>1114</v>
      </c>
      <c r="G21" s="292"/>
      <c r="H21" s="292"/>
      <c r="I21" s="437">
        <v>1</v>
      </c>
      <c r="J21" s="231" t="s">
        <v>581</v>
      </c>
      <c r="K21" s="438">
        <f>IF(BD.PD510[[#This Row],[Mon]]="DOP",1,HLOOKUP(BD.PD510[[#This Row],[Mon]],$J$1:$K$2,2,FALSE))</f>
        <v>1</v>
      </c>
      <c r="L21" s="439">
        <v>30000</v>
      </c>
      <c r="M21" s="302">
        <f>BD.PD510[[#This Row],[Cant.]]*BD.PD510[[#This Row],[ Tasa ]]*BD.PD510[[#This Row],[ Precio Und.]]</f>
        <v>30000</v>
      </c>
      <c r="N21" s="440">
        <v>0</v>
      </c>
      <c r="O21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21" s="302">
        <f>BD.PD510[[#This Row],[Ppto. Orden Interna '[DOP']]]/HLOOKUP("USD",$J$1:$K$2,2,FALSE)</f>
        <v>481.15477145148355</v>
      </c>
      <c r="Q21" s="423"/>
      <c r="R21" s="425"/>
      <c r="S21" s="425"/>
      <c r="T21" s="425"/>
      <c r="U21" s="425"/>
      <c r="V21" s="423"/>
      <c r="W21" s="441"/>
      <c r="X21" s="442"/>
      <c r="Y21" s="302">
        <f>BD.PD510[[#This Row],[Av.P1 '[%']]]*BD.PD510[[#This Row],[Ppto. Orden Interna '[DOP']]]</f>
        <v>0</v>
      </c>
      <c r="Z21" s="309"/>
      <c r="AA21" s="443"/>
      <c r="AB21" s="302">
        <f>BD.PD510[[#This Row],[Av.P2 '[%']]]*BD.PD510[[#This Row],[Ppto. Orden Interna '[DOP']]]</f>
        <v>0</v>
      </c>
      <c r="AC21" s="309"/>
      <c r="AD21" s="443"/>
      <c r="AE21" s="302">
        <f>BD.PD510[[#This Row],[Av.P3 '[%']]]*BD.PD510[[#This Row],[Ppto. Orden Interna '[DOP']]]</f>
        <v>0</v>
      </c>
      <c r="AF21" s="309"/>
      <c r="AG21" s="443"/>
      <c r="AH21" s="302">
        <f>BD.PD510[[#This Row],[Av.P4 '[%']]]*BD.PD510[[#This Row],[Ppto. Orden Interna '[DOP']]]</f>
        <v>0</v>
      </c>
      <c r="AI21" s="309"/>
      <c r="AJ21" s="443"/>
      <c r="AK21" s="302">
        <f>BD.PD510[[#This Row],[Av.P5 '[%']]]*BD.PD510[[#This Row],[Ppto. Orden Interna '[DOP']]]</f>
        <v>0</v>
      </c>
      <c r="AL21" s="444">
        <f>BD.PD510[[#This Row],[Pago 5]]+BD.PD510[[#This Row],[Pago 4]]+BD.PD510[[#This Row],[Pago 3]]+BD.PD510[[#This Row],[Pago 2]]+BD.PD510[[#This Row],[Pago 1]]</f>
        <v>0</v>
      </c>
      <c r="AM21" s="404"/>
    </row>
    <row r="22" spans="1:39" ht="14.4" x14ac:dyDescent="0.3">
      <c r="A22" s="231">
        <v>7.07</v>
      </c>
      <c r="B22" s="288"/>
      <c r="C22" s="289" t="e">
        <f>VLOOKUP(BD.PD510[[#This Row],[Pos]],[16]!PPto[#Data],3,FALSE)</f>
        <v>#REF!</v>
      </c>
      <c r="D22" s="231" t="s">
        <v>1088</v>
      </c>
      <c r="E22" s="291" t="str">
        <f>IF(BD.PD510[[#This Row],[.]]="*",VLOOKUP(BD.PD510[[#This Row],[Pos]],[16]Presupuesto!A:H,7,FALSE),"")</f>
        <v/>
      </c>
      <c r="F22" s="292" t="s">
        <v>1115</v>
      </c>
      <c r="G22" s="292"/>
      <c r="H22" s="292"/>
      <c r="I22" s="437">
        <v>2</v>
      </c>
      <c r="J22" s="231" t="s">
        <v>526</v>
      </c>
      <c r="K22" s="438">
        <f>IF(BD.PD510[[#This Row],[Mon]]="DOP",1,HLOOKUP(BD.PD510[[#This Row],[Mon]],$J$1:$K$2,2,FALSE))</f>
        <v>73.3</v>
      </c>
      <c r="L22" s="439">
        <v>5140</v>
      </c>
      <c r="M22" s="302">
        <f>BD.PD510[[#This Row],[Cant.]]*BD.PD510[[#This Row],[ Tasa ]]*BD.PD510[[#This Row],[ Precio Und.]]</f>
        <v>753524</v>
      </c>
      <c r="N22" s="440">
        <v>0.15</v>
      </c>
      <c r="O22" s="302">
        <f>IF(BD.PD510[[#This Row],[Liquid. '[%']]]&lt;&gt;0,(BD.PD510[[#This Row],[Valor Neto '[DOP']]]*BD.PD510[[#This Row],[Liquid. '[%']]])+BD.PD510[[#This Row],[Valor Neto '[DOP']]],BD.PD510[[#This Row],[Valor Neto '[DOP']]])</f>
        <v>866552.6</v>
      </c>
      <c r="P22" s="302">
        <f>BD.PD510[[#This Row],[Ppto. Orden Interna '[DOP']]]/HLOOKUP("USD",$J$1:$K$2,2,FALSE)</f>
        <v>13898.197273456295</v>
      </c>
      <c r="Q22" s="423" t="s">
        <v>1090</v>
      </c>
      <c r="R22" s="425"/>
      <c r="S22" s="425"/>
      <c r="T22" s="425"/>
      <c r="U22" s="425"/>
      <c r="V22" s="423" t="s">
        <v>1090</v>
      </c>
      <c r="W22" s="441">
        <v>1</v>
      </c>
      <c r="X22" s="442">
        <v>1</v>
      </c>
      <c r="Y22" s="302">
        <f>BD.PD510[[#This Row],[Av.P1 '[%']]]*BD.PD510[[#This Row],[Ppto. Orden Interna '[DOP']]]</f>
        <v>866552.6</v>
      </c>
      <c r="Z22" s="309"/>
      <c r="AA22" s="443"/>
      <c r="AB22" s="302">
        <f>BD.PD510[[#This Row],[Av.P2 '[%']]]*BD.PD510[[#This Row],[Ppto. Orden Interna '[DOP']]]</f>
        <v>0</v>
      </c>
      <c r="AC22" s="309"/>
      <c r="AD22" s="443"/>
      <c r="AE22" s="302">
        <f>BD.PD510[[#This Row],[Av.P3 '[%']]]*BD.PD510[[#This Row],[Ppto. Orden Interna '[DOP']]]</f>
        <v>0</v>
      </c>
      <c r="AF22" s="309"/>
      <c r="AG22" s="443"/>
      <c r="AH22" s="302">
        <f>BD.PD510[[#This Row],[Av.P4 '[%']]]*BD.PD510[[#This Row],[Ppto. Orden Interna '[DOP']]]</f>
        <v>0</v>
      </c>
      <c r="AI22" s="309"/>
      <c r="AJ22" s="443"/>
      <c r="AK22" s="302">
        <f>BD.PD510[[#This Row],[Av.P5 '[%']]]*BD.PD510[[#This Row],[Ppto. Orden Interna '[DOP']]]</f>
        <v>0</v>
      </c>
      <c r="AL22" s="444">
        <f>BD.PD510[[#This Row],[Pago 5]]+BD.PD510[[#This Row],[Pago 4]]+BD.PD510[[#This Row],[Pago 3]]+BD.PD510[[#This Row],[Pago 2]]+BD.PD510[[#This Row],[Pago 1]]</f>
        <v>866552.6</v>
      </c>
      <c r="AM22" s="404"/>
    </row>
    <row r="23" spans="1:39" ht="14.4" x14ac:dyDescent="0.3">
      <c r="A23" s="231">
        <v>7.07</v>
      </c>
      <c r="B23" s="288"/>
      <c r="C23" s="289" t="e">
        <f>VLOOKUP(BD.PD510[[#This Row],[Pos]],[16]!PPto[#Data],3,FALSE)</f>
        <v>#REF!</v>
      </c>
      <c r="D23" s="231" t="s">
        <v>1088</v>
      </c>
      <c r="E23" s="291" t="str">
        <f>IF(BD.PD510[[#This Row],[.]]="*",VLOOKUP(BD.PD510[[#This Row],[Pos]],[16]Presupuesto!A:H,7,FALSE),"")</f>
        <v/>
      </c>
      <c r="F23" s="292" t="s">
        <v>1116</v>
      </c>
      <c r="G23" s="292"/>
      <c r="H23" s="292"/>
      <c r="I23" s="437">
        <v>1</v>
      </c>
      <c r="J23" s="231" t="s">
        <v>526</v>
      </c>
      <c r="K23" s="438">
        <f>IF(BD.PD510[[#This Row],[Mon]]="DOP",1,HLOOKUP(BD.PD510[[#This Row],[Mon]],$J$1:$K$2,2,FALSE))</f>
        <v>73.3</v>
      </c>
      <c r="L23" s="439">
        <v>2225</v>
      </c>
      <c r="M23" s="302">
        <f>BD.PD510[[#This Row],[Cant.]]*BD.PD510[[#This Row],[ Tasa ]]*BD.PD510[[#This Row],[ Precio Und.]]</f>
        <v>163092.5</v>
      </c>
      <c r="N23" s="440">
        <v>0.15</v>
      </c>
      <c r="O23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23" s="302">
        <f>BD.PD510[[#This Row],[Ppto. Orden Interna '[DOP']]]/HLOOKUP("USD",$J$1:$K$2,2,FALSE)</f>
        <v>3008.1214915797914</v>
      </c>
      <c r="Q23" s="423" t="s">
        <v>1090</v>
      </c>
      <c r="R23" s="425"/>
      <c r="S23" s="425"/>
      <c r="T23" s="425"/>
      <c r="U23" s="425"/>
      <c r="V23" s="423" t="s">
        <v>1090</v>
      </c>
      <c r="W23" s="441">
        <v>1</v>
      </c>
      <c r="X23" s="442">
        <v>1</v>
      </c>
      <c r="Y23" s="302">
        <f>BD.PD510[[#This Row],[Av.P1 '[%']]]*BD.PD510[[#This Row],[Ppto. Orden Interna '[DOP']]]</f>
        <v>187556.375</v>
      </c>
      <c r="Z23" s="309"/>
      <c r="AA23" s="443"/>
      <c r="AB23" s="302">
        <f>BD.PD510[[#This Row],[Av.P2 '[%']]]*BD.PD510[[#This Row],[Ppto. Orden Interna '[DOP']]]</f>
        <v>0</v>
      </c>
      <c r="AC23" s="309"/>
      <c r="AD23" s="443"/>
      <c r="AE23" s="302">
        <f>BD.PD510[[#This Row],[Av.P3 '[%']]]*BD.PD510[[#This Row],[Ppto. Orden Interna '[DOP']]]</f>
        <v>0</v>
      </c>
      <c r="AF23" s="309"/>
      <c r="AG23" s="443"/>
      <c r="AH23" s="302">
        <f>BD.PD510[[#This Row],[Av.P4 '[%']]]*BD.PD510[[#This Row],[Ppto. Orden Interna '[DOP']]]</f>
        <v>0</v>
      </c>
      <c r="AI23" s="309"/>
      <c r="AJ23" s="443"/>
      <c r="AK23" s="302">
        <f>BD.PD510[[#This Row],[Av.P5 '[%']]]*BD.PD510[[#This Row],[Ppto. Orden Interna '[DOP']]]</f>
        <v>0</v>
      </c>
      <c r="AL23" s="444">
        <f>BD.PD510[[#This Row],[Pago 5]]+BD.PD510[[#This Row],[Pago 4]]+BD.PD510[[#This Row],[Pago 3]]+BD.PD510[[#This Row],[Pago 2]]+BD.PD510[[#This Row],[Pago 1]]</f>
        <v>187556.375</v>
      </c>
      <c r="AM23" s="404"/>
    </row>
    <row r="24" spans="1:39" ht="14.4" x14ac:dyDescent="0.3">
      <c r="A24" s="231">
        <v>7.07</v>
      </c>
      <c r="B24" s="288"/>
      <c r="C24" s="289" t="e">
        <f>VLOOKUP(BD.PD510[[#This Row],[Pos]],[16]!PPto[#Data],3,FALSE)</f>
        <v>#REF!</v>
      </c>
      <c r="D24" s="231" t="s">
        <v>1088</v>
      </c>
      <c r="E24" s="291" t="str">
        <f>IF(BD.PD510[[#This Row],[.]]="*",VLOOKUP(BD.PD510[[#This Row],[Pos]],[16]Presupuesto!A:H,7,FALSE),"")</f>
        <v/>
      </c>
      <c r="F24" s="292" t="s">
        <v>1117</v>
      </c>
      <c r="G24" s="292"/>
      <c r="H24" s="292"/>
      <c r="I24" s="437">
        <v>1</v>
      </c>
      <c r="J24" s="231" t="s">
        <v>581</v>
      </c>
      <c r="K24" s="438">
        <f>IF(BD.PD510[[#This Row],[Mon]]="DOP",1,HLOOKUP(BD.PD510[[#This Row],[Mon]],$J$1:$K$2,2,FALSE))</f>
        <v>1</v>
      </c>
      <c r="L24" s="439">
        <v>10588.98</v>
      </c>
      <c r="M24" s="302">
        <f>BD.PD510[[#This Row],[Cant.]]*BD.PD510[[#This Row],[ Tasa ]]*BD.PD510[[#This Row],[ Precio Und.]]</f>
        <v>10588.98</v>
      </c>
      <c r="N24" s="440">
        <v>0</v>
      </c>
      <c r="O24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24" s="302">
        <f>BD.PD510[[#This Row],[Ppto. Orden Interna '[DOP']]]/HLOOKUP("USD",$J$1:$K$2,2,FALSE)</f>
        <v>169.83127506014435</v>
      </c>
      <c r="Q24" s="447" t="s">
        <v>1118</v>
      </c>
      <c r="R24" s="425"/>
      <c r="S24" s="425"/>
      <c r="T24" s="425"/>
      <c r="U24" s="425"/>
      <c r="V24" s="447" t="s">
        <v>1118</v>
      </c>
      <c r="W24" s="441">
        <v>1</v>
      </c>
      <c r="X24" s="442">
        <v>1</v>
      </c>
      <c r="Y24" s="302">
        <f>BD.PD510[[#This Row],[Av.P1 '[%']]]*BD.PD510[[#This Row],[Ppto. Orden Interna '[DOP']]]</f>
        <v>10588.98</v>
      </c>
      <c r="Z24" s="309"/>
      <c r="AA24" s="443"/>
      <c r="AB24" s="302">
        <f>BD.PD510[[#This Row],[Av.P2 '[%']]]*BD.PD510[[#This Row],[Ppto. Orden Interna '[DOP']]]</f>
        <v>0</v>
      </c>
      <c r="AC24" s="309"/>
      <c r="AD24" s="443"/>
      <c r="AE24" s="302">
        <f>BD.PD510[[#This Row],[Av.P3 '[%']]]*BD.PD510[[#This Row],[Ppto. Orden Interna '[DOP']]]</f>
        <v>0</v>
      </c>
      <c r="AF24" s="309"/>
      <c r="AG24" s="443"/>
      <c r="AH24" s="302">
        <f>BD.PD510[[#This Row],[Av.P4 '[%']]]*BD.PD510[[#This Row],[Ppto. Orden Interna '[DOP']]]</f>
        <v>0</v>
      </c>
      <c r="AI24" s="309"/>
      <c r="AJ24" s="443"/>
      <c r="AK24" s="302">
        <f>BD.PD510[[#This Row],[Av.P5 '[%']]]*BD.PD510[[#This Row],[Ppto. Orden Interna '[DOP']]]</f>
        <v>0</v>
      </c>
      <c r="AL24" s="444">
        <f>BD.PD510[[#This Row],[Pago 5]]+BD.PD510[[#This Row],[Pago 4]]+BD.PD510[[#This Row],[Pago 3]]+BD.PD510[[#This Row],[Pago 2]]+BD.PD510[[#This Row],[Pago 1]]</f>
        <v>10588.98</v>
      </c>
      <c r="AM24" s="404"/>
    </row>
    <row r="25" spans="1:39" ht="14.4" x14ac:dyDescent="0.3">
      <c r="A25" s="231">
        <v>7.07</v>
      </c>
      <c r="B25" s="288"/>
      <c r="C25" s="289" t="e">
        <f>VLOOKUP(BD.PD510[[#This Row],[Pos]],[16]!PPto[#Data],3,FALSE)</f>
        <v>#REF!</v>
      </c>
      <c r="D25" s="231" t="s">
        <v>1088</v>
      </c>
      <c r="E25" s="291" t="str">
        <f>IF(BD.PD510[[#This Row],[.]]="*",VLOOKUP(BD.PD510[[#This Row],[Pos]],[16]Presupuesto!A:H,7,FALSE),"")</f>
        <v/>
      </c>
      <c r="F25" s="292" t="s">
        <v>1119</v>
      </c>
      <c r="G25" s="292"/>
      <c r="H25" s="292"/>
      <c r="I25" s="437">
        <v>1</v>
      </c>
      <c r="J25" s="231" t="s">
        <v>581</v>
      </c>
      <c r="K25" s="438">
        <f>IF(BD.PD510[[#This Row],[Mon]]="DOP",1,HLOOKUP(BD.PD510[[#This Row],[Mon]],$J$1:$K$2,2,FALSE))</f>
        <v>1</v>
      </c>
      <c r="L25" s="439">
        <v>40500</v>
      </c>
      <c r="M25" s="302">
        <f>BD.PD510[[#This Row],[Cant.]]*BD.PD510[[#This Row],[ Tasa ]]*BD.PD510[[#This Row],[ Precio Und.]]</f>
        <v>40500</v>
      </c>
      <c r="N25" s="440">
        <v>0</v>
      </c>
      <c r="O25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25" s="302">
        <f>BD.PD510[[#This Row],[Ppto. Orden Interna '[DOP']]]/HLOOKUP("USD",$J$1:$K$2,2,FALSE)</f>
        <v>649.55894145950276</v>
      </c>
      <c r="Q25" s="447" t="s">
        <v>1120</v>
      </c>
      <c r="R25" s="425"/>
      <c r="S25" s="425"/>
      <c r="T25" s="425"/>
      <c r="U25" s="425"/>
      <c r="V25" s="447" t="s">
        <v>1120</v>
      </c>
      <c r="W25" s="441">
        <v>1</v>
      </c>
      <c r="X25" s="442">
        <v>0.6</v>
      </c>
      <c r="Y25" s="302">
        <f>BD.PD510[[#This Row],[Av.P1 '[%']]]*BD.PD510[[#This Row],[Ppto. Orden Interna '[DOP']]]</f>
        <v>24300</v>
      </c>
      <c r="Z25" s="309">
        <v>3</v>
      </c>
      <c r="AA25" s="443">
        <v>0.4</v>
      </c>
      <c r="AB25" s="302">
        <f>BD.PD510[[#This Row],[Av.P2 '[%']]]*BD.PD510[[#This Row],[Ppto. Orden Interna '[DOP']]]</f>
        <v>16200</v>
      </c>
      <c r="AC25" s="309"/>
      <c r="AD25" s="443"/>
      <c r="AE25" s="302">
        <f>BD.PD510[[#This Row],[Av.P3 '[%']]]*BD.PD510[[#This Row],[Ppto. Orden Interna '[DOP']]]</f>
        <v>0</v>
      </c>
      <c r="AF25" s="309"/>
      <c r="AG25" s="443"/>
      <c r="AH25" s="302">
        <f>BD.PD510[[#This Row],[Av.P4 '[%']]]*BD.PD510[[#This Row],[Ppto. Orden Interna '[DOP']]]</f>
        <v>0</v>
      </c>
      <c r="AI25" s="309"/>
      <c r="AJ25" s="443"/>
      <c r="AK25" s="302">
        <f>BD.PD510[[#This Row],[Av.P5 '[%']]]*BD.PD510[[#This Row],[Ppto. Orden Interna '[DOP']]]</f>
        <v>0</v>
      </c>
      <c r="AL25" s="444">
        <f>BD.PD510[[#This Row],[Pago 5]]+BD.PD510[[#This Row],[Pago 4]]+BD.PD510[[#This Row],[Pago 3]]+BD.PD510[[#This Row],[Pago 2]]+BD.PD510[[#This Row],[Pago 1]]</f>
        <v>40500</v>
      </c>
      <c r="AM25" s="404"/>
    </row>
    <row r="26" spans="1:39" ht="14.4" x14ac:dyDescent="0.3">
      <c r="A26" s="231">
        <v>7.07</v>
      </c>
      <c r="B26" s="288"/>
      <c r="C26" s="289" t="e">
        <f>VLOOKUP(BD.PD510[[#This Row],[Pos]],[16]!PPto[#Data],3,FALSE)</f>
        <v>#REF!</v>
      </c>
      <c r="D26" s="231" t="s">
        <v>1088</v>
      </c>
      <c r="E26" s="291" t="str">
        <f>IF(BD.PD510[[#This Row],[.]]="*",VLOOKUP(BD.PD510[[#This Row],[Pos]],[16]Presupuesto!A:H,7,FALSE),"")</f>
        <v/>
      </c>
      <c r="F26" s="292" t="s">
        <v>1121</v>
      </c>
      <c r="G26" s="292"/>
      <c r="H26" s="292"/>
      <c r="I26" s="437">
        <v>1</v>
      </c>
      <c r="J26" s="231" t="s">
        <v>581</v>
      </c>
      <c r="K26" s="438">
        <f>IF(BD.PD510[[#This Row],[Mon]]="DOP",1,HLOOKUP(BD.PD510[[#This Row],[Mon]],$J$1:$K$2,2,FALSE))</f>
        <v>1</v>
      </c>
      <c r="L26" s="439">
        <v>63000</v>
      </c>
      <c r="M26" s="302">
        <f>BD.PD510[[#This Row],[Cant.]]*BD.PD510[[#This Row],[ Tasa ]]*BD.PD510[[#This Row],[ Precio Und.]]</f>
        <v>63000</v>
      </c>
      <c r="N26" s="440">
        <v>0</v>
      </c>
      <c r="O26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26" s="302">
        <f>BD.PD510[[#This Row],[Ppto. Orden Interna '[DOP']]]/HLOOKUP("USD",$J$1:$K$2,2,FALSE)</f>
        <v>1010.4250200481155</v>
      </c>
      <c r="Q26" s="447" t="s">
        <v>1120</v>
      </c>
      <c r="R26" s="425"/>
      <c r="S26" s="425"/>
      <c r="T26" s="425"/>
      <c r="U26" s="425"/>
      <c r="V26" s="447" t="s">
        <v>1120</v>
      </c>
      <c r="W26" s="441">
        <v>1</v>
      </c>
      <c r="X26" s="442">
        <v>0.6</v>
      </c>
      <c r="Y26" s="302">
        <f>BD.PD510[[#This Row],[Av.P1 '[%']]]*BD.PD510[[#This Row],[Ppto. Orden Interna '[DOP']]]</f>
        <v>37800</v>
      </c>
      <c r="Z26" s="309">
        <v>3</v>
      </c>
      <c r="AA26" s="443">
        <v>0.4</v>
      </c>
      <c r="AB26" s="302">
        <f>BD.PD510[[#This Row],[Av.P2 '[%']]]*BD.PD510[[#This Row],[Ppto. Orden Interna '[DOP']]]</f>
        <v>25200</v>
      </c>
      <c r="AC26" s="309"/>
      <c r="AD26" s="443"/>
      <c r="AE26" s="302">
        <f>BD.PD510[[#This Row],[Av.P3 '[%']]]*BD.PD510[[#This Row],[Ppto. Orden Interna '[DOP']]]</f>
        <v>0</v>
      </c>
      <c r="AF26" s="309"/>
      <c r="AG26" s="443"/>
      <c r="AH26" s="302">
        <f>BD.PD510[[#This Row],[Av.P4 '[%']]]*BD.PD510[[#This Row],[Ppto. Orden Interna '[DOP']]]</f>
        <v>0</v>
      </c>
      <c r="AI26" s="309"/>
      <c r="AJ26" s="443"/>
      <c r="AK26" s="302">
        <f>BD.PD510[[#This Row],[Av.P5 '[%']]]*BD.PD510[[#This Row],[Ppto. Orden Interna '[DOP']]]</f>
        <v>0</v>
      </c>
      <c r="AL26" s="444">
        <f>BD.PD510[[#This Row],[Pago 5]]+BD.PD510[[#This Row],[Pago 4]]+BD.PD510[[#This Row],[Pago 3]]+BD.PD510[[#This Row],[Pago 2]]+BD.PD510[[#This Row],[Pago 1]]</f>
        <v>63000</v>
      </c>
      <c r="AM26" s="404"/>
    </row>
    <row r="27" spans="1:39" ht="14.4" x14ac:dyDescent="0.3">
      <c r="A27" s="231">
        <v>7.07</v>
      </c>
      <c r="B27" s="288"/>
      <c r="C27" s="289" t="e">
        <f>VLOOKUP(BD.PD510[[#This Row],[Pos]],[16]!PPto[#Data],3,FALSE)</f>
        <v>#REF!</v>
      </c>
      <c r="D27" s="231" t="s">
        <v>1088</v>
      </c>
      <c r="E27" s="291" t="str">
        <f>IF(BD.PD510[[#This Row],[.]]="*",VLOOKUP(BD.PD510[[#This Row],[Pos]],[16]Presupuesto!A:H,7,FALSE),"")</f>
        <v/>
      </c>
      <c r="F27" s="292" t="s">
        <v>1122</v>
      </c>
      <c r="G27" s="292"/>
      <c r="H27" s="292"/>
      <c r="I27" s="437">
        <v>1</v>
      </c>
      <c r="J27" s="231" t="s">
        <v>526</v>
      </c>
      <c r="K27" s="438">
        <f>IF(BD.PD510[[#This Row],[Mon]]="DOP",1,HLOOKUP(BD.PD510[[#This Row],[Mon]],$J$1:$K$2,2,FALSE))</f>
        <v>73.3</v>
      </c>
      <c r="L27" s="439">
        <v>30060</v>
      </c>
      <c r="M27" s="302">
        <f>BD.PD510[[#This Row],[Cant.]]*BD.PD510[[#This Row],[ Tasa ]]*BD.PD510[[#This Row],[ Precio Und.]]</f>
        <v>2203398</v>
      </c>
      <c r="N27" s="440">
        <v>0.15</v>
      </c>
      <c r="O27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27" s="302">
        <f>BD.PD510[[#This Row],[Ppto. Orden Interna '[DOP']]]/HLOOKUP("USD",$J$1:$K$2,2,FALSE)</f>
        <v>40640.059342421817</v>
      </c>
      <c r="Q27" s="423" t="s">
        <v>1090</v>
      </c>
      <c r="R27" s="425"/>
      <c r="S27" s="425"/>
      <c r="T27" s="425"/>
      <c r="U27" s="425"/>
      <c r="V27" s="423" t="s">
        <v>1090</v>
      </c>
      <c r="W27" s="441">
        <v>1</v>
      </c>
      <c r="X27" s="442">
        <v>1</v>
      </c>
      <c r="Y27" s="302">
        <f>BD.PD510[[#This Row],[Av.P1 '[%']]]*BD.PD510[[#This Row],[Ppto. Orden Interna '[DOP']]]</f>
        <v>2533907.7000000002</v>
      </c>
      <c r="Z27" s="309"/>
      <c r="AA27" s="443"/>
      <c r="AB27" s="302">
        <f>BD.PD510[[#This Row],[Av.P2 '[%']]]*BD.PD510[[#This Row],[Ppto. Orden Interna '[DOP']]]</f>
        <v>0</v>
      </c>
      <c r="AC27" s="309"/>
      <c r="AD27" s="443"/>
      <c r="AE27" s="302">
        <f>BD.PD510[[#This Row],[Av.P3 '[%']]]*BD.PD510[[#This Row],[Ppto. Orden Interna '[DOP']]]</f>
        <v>0</v>
      </c>
      <c r="AF27" s="309"/>
      <c r="AG27" s="443"/>
      <c r="AH27" s="302">
        <f>BD.PD510[[#This Row],[Av.P4 '[%']]]*BD.PD510[[#This Row],[Ppto. Orden Interna '[DOP']]]</f>
        <v>0</v>
      </c>
      <c r="AI27" s="309"/>
      <c r="AJ27" s="443"/>
      <c r="AK27" s="302">
        <f>BD.PD510[[#This Row],[Av.P5 '[%']]]*BD.PD510[[#This Row],[Ppto. Orden Interna '[DOP']]]</f>
        <v>0</v>
      </c>
      <c r="AL27" s="444">
        <f>BD.PD510[[#This Row],[Pago 5]]+BD.PD510[[#This Row],[Pago 4]]+BD.PD510[[#This Row],[Pago 3]]+BD.PD510[[#This Row],[Pago 2]]+BD.PD510[[#This Row],[Pago 1]]</f>
        <v>2533907.7000000002</v>
      </c>
      <c r="AM27" s="404"/>
    </row>
    <row r="28" spans="1:39" ht="14.4" x14ac:dyDescent="0.3">
      <c r="A28" s="231">
        <v>7.07</v>
      </c>
      <c r="B28" s="288"/>
      <c r="C28" s="289" t="e">
        <f>VLOOKUP(BD.PD510[[#This Row],[Pos]],[16]!PPto[#Data],3,FALSE)</f>
        <v>#REF!</v>
      </c>
      <c r="D28" s="231" t="s">
        <v>1088</v>
      </c>
      <c r="E28" s="291" t="str">
        <f>IF(BD.PD510[[#This Row],[.]]="*",VLOOKUP(BD.PD510[[#This Row],[Pos]],[16]Presupuesto!A:H,7,FALSE),"")</f>
        <v/>
      </c>
      <c r="F28" s="292" t="s">
        <v>1123</v>
      </c>
      <c r="G28" s="292"/>
      <c r="H28" s="292"/>
      <c r="I28" s="437">
        <v>1</v>
      </c>
      <c r="J28" s="231" t="s">
        <v>526</v>
      </c>
      <c r="K28" s="438">
        <f>IF(BD.PD510[[#This Row],[Mon]]="DOP",1,HLOOKUP(BD.PD510[[#This Row],[Mon]],$J$1:$K$2,2,FALSE))</f>
        <v>73.3</v>
      </c>
      <c r="L28" s="439">
        <v>9505</v>
      </c>
      <c r="M28" s="302">
        <f>BD.PD510[[#This Row],[Cant.]]*BD.PD510[[#This Row],[ Tasa ]]*BD.PD510[[#This Row],[ Precio Und.]]</f>
        <v>696716.5</v>
      </c>
      <c r="N28" s="440">
        <v>0.15</v>
      </c>
      <c r="O28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28" s="302">
        <f>BD.PD510[[#This Row],[Ppto. Orden Interna '[DOP']]]/HLOOKUP("USD",$J$1:$K$2,2,FALSE)</f>
        <v>12850.424619085805</v>
      </c>
      <c r="Q28" s="423" t="s">
        <v>1090</v>
      </c>
      <c r="R28" s="425"/>
      <c r="S28" s="425"/>
      <c r="T28" s="425"/>
      <c r="U28" s="425"/>
      <c r="V28" s="423" t="s">
        <v>1090</v>
      </c>
      <c r="W28" s="441">
        <v>1</v>
      </c>
      <c r="X28" s="442">
        <v>1</v>
      </c>
      <c r="Y28" s="302">
        <f>BD.PD510[[#This Row],[Av.P1 '[%']]]*BD.PD510[[#This Row],[Ppto. Orden Interna '[DOP']]]</f>
        <v>801223.97499999998</v>
      </c>
      <c r="Z28" s="309"/>
      <c r="AA28" s="443"/>
      <c r="AB28" s="302">
        <f>BD.PD510[[#This Row],[Av.P2 '[%']]]*BD.PD510[[#This Row],[Ppto. Orden Interna '[DOP']]]</f>
        <v>0</v>
      </c>
      <c r="AC28" s="309"/>
      <c r="AD28" s="443"/>
      <c r="AE28" s="302">
        <f>BD.PD510[[#This Row],[Av.P3 '[%']]]*BD.PD510[[#This Row],[Ppto. Orden Interna '[DOP']]]</f>
        <v>0</v>
      </c>
      <c r="AF28" s="309"/>
      <c r="AG28" s="443"/>
      <c r="AH28" s="302">
        <f>BD.PD510[[#This Row],[Av.P4 '[%']]]*BD.PD510[[#This Row],[Ppto. Orden Interna '[DOP']]]</f>
        <v>0</v>
      </c>
      <c r="AI28" s="309"/>
      <c r="AJ28" s="443"/>
      <c r="AK28" s="302">
        <f>BD.PD510[[#This Row],[Av.P5 '[%']]]*BD.PD510[[#This Row],[Ppto. Orden Interna '[DOP']]]</f>
        <v>0</v>
      </c>
      <c r="AL28" s="444">
        <f>BD.PD510[[#This Row],[Pago 5]]+BD.PD510[[#This Row],[Pago 4]]+BD.PD510[[#This Row],[Pago 3]]+BD.PD510[[#This Row],[Pago 2]]+BD.PD510[[#This Row],[Pago 1]]</f>
        <v>801223.97499999998</v>
      </c>
      <c r="AM28" s="404"/>
    </row>
    <row r="29" spans="1:39" ht="14.4" x14ac:dyDescent="0.3">
      <c r="A29" s="231">
        <v>7.07</v>
      </c>
      <c r="B29" s="288"/>
      <c r="C29" s="289" t="e">
        <f>VLOOKUP(BD.PD510[[#This Row],[Pos]],[16]!PPto[#Data],3,FALSE)</f>
        <v>#REF!</v>
      </c>
      <c r="D29" s="231" t="s">
        <v>1088</v>
      </c>
      <c r="E29" s="291" t="str">
        <f>IF(BD.PD510[[#This Row],[.]]="*",VLOOKUP(BD.PD510[[#This Row],[Pos]],[16]Presupuesto!A:H,7,FALSE),"")</f>
        <v/>
      </c>
      <c r="F29" s="292" t="s">
        <v>1124</v>
      </c>
      <c r="G29" s="292"/>
      <c r="H29" s="292"/>
      <c r="I29" s="437">
        <v>1</v>
      </c>
      <c r="J29" s="231" t="s">
        <v>526</v>
      </c>
      <c r="K29" s="438">
        <f>IF(BD.PD510[[#This Row],[Mon]]="DOP",1,HLOOKUP(BD.PD510[[#This Row],[Mon]],$J$1:$K$2,2,FALSE))</f>
        <v>73.3</v>
      </c>
      <c r="L29" s="439">
        <v>4605</v>
      </c>
      <c r="M29" s="302">
        <f>BD.PD510[[#This Row],[Cant.]]*BD.PD510[[#This Row],[ Tasa ]]*BD.PD510[[#This Row],[ Precio Und.]]</f>
        <v>337546.5</v>
      </c>
      <c r="N29" s="440">
        <v>0.15</v>
      </c>
      <c r="O29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29" s="302">
        <f>BD.PD510[[#This Row],[Ppto. Orden Interna '[DOP']]]/HLOOKUP("USD",$J$1:$K$2,2,FALSE)</f>
        <v>6225.7975140336803</v>
      </c>
      <c r="Q29" s="423" t="s">
        <v>1090</v>
      </c>
      <c r="R29" s="425"/>
      <c r="S29" s="425"/>
      <c r="T29" s="425"/>
      <c r="U29" s="425"/>
      <c r="V29" s="423" t="s">
        <v>1090</v>
      </c>
      <c r="W29" s="441">
        <v>1</v>
      </c>
      <c r="X29" s="442">
        <v>1</v>
      </c>
      <c r="Y29" s="302">
        <f>BD.PD510[[#This Row],[Av.P1 '[%']]]*BD.PD510[[#This Row],[Ppto. Orden Interna '[DOP']]]</f>
        <v>388178.47499999998</v>
      </c>
      <c r="Z29" s="309"/>
      <c r="AA29" s="443"/>
      <c r="AB29" s="302">
        <f>BD.PD510[[#This Row],[Av.P2 '[%']]]*BD.PD510[[#This Row],[Ppto. Orden Interna '[DOP']]]</f>
        <v>0</v>
      </c>
      <c r="AC29" s="309"/>
      <c r="AD29" s="443"/>
      <c r="AE29" s="302">
        <f>BD.PD510[[#This Row],[Av.P3 '[%']]]*BD.PD510[[#This Row],[Ppto. Orden Interna '[DOP']]]</f>
        <v>0</v>
      </c>
      <c r="AF29" s="309"/>
      <c r="AG29" s="443"/>
      <c r="AH29" s="302">
        <f>BD.PD510[[#This Row],[Av.P4 '[%']]]*BD.PD510[[#This Row],[Ppto. Orden Interna '[DOP']]]</f>
        <v>0</v>
      </c>
      <c r="AI29" s="309"/>
      <c r="AJ29" s="443"/>
      <c r="AK29" s="302">
        <f>BD.PD510[[#This Row],[Av.P5 '[%']]]*BD.PD510[[#This Row],[Ppto. Orden Interna '[DOP']]]</f>
        <v>0</v>
      </c>
      <c r="AL29" s="444">
        <f>BD.PD510[[#This Row],[Pago 5]]+BD.PD510[[#This Row],[Pago 4]]+BD.PD510[[#This Row],[Pago 3]]+BD.PD510[[#This Row],[Pago 2]]+BD.PD510[[#This Row],[Pago 1]]</f>
        <v>388178.47499999998</v>
      </c>
      <c r="AM29" s="404"/>
    </row>
    <row r="30" spans="1:39" ht="14.4" x14ac:dyDescent="0.3">
      <c r="A30" s="231">
        <v>7.07</v>
      </c>
      <c r="B30" s="288"/>
      <c r="C30" s="289" t="e">
        <f>VLOOKUP(BD.PD510[[#This Row],[Pos]],[16]!PPto[#Data],3,FALSE)</f>
        <v>#REF!</v>
      </c>
      <c r="D30" s="231" t="s">
        <v>1088</v>
      </c>
      <c r="E30" s="291" t="str">
        <f>IF(BD.PD510[[#This Row],[.]]="*",VLOOKUP(BD.PD510[[#This Row],[Pos]],[16]Presupuesto!A:H,7,FALSE),"")</f>
        <v/>
      </c>
      <c r="F30" s="292" t="s">
        <v>1125</v>
      </c>
      <c r="G30" s="292"/>
      <c r="H30" s="292"/>
      <c r="I30" s="437">
        <v>1</v>
      </c>
      <c r="J30" s="231" t="s">
        <v>526</v>
      </c>
      <c r="K30" s="438">
        <f>IF(BD.PD510[[#This Row],[Mon]]="DOP",1,HLOOKUP(BD.PD510[[#This Row],[Mon]],$J$1:$K$2,2,FALSE))</f>
        <v>73.3</v>
      </c>
      <c r="L30" s="439">
        <v>4930</v>
      </c>
      <c r="M30" s="302">
        <f>BD.PD510[[#This Row],[Cant.]]*BD.PD510[[#This Row],[ Tasa ]]*BD.PD510[[#This Row],[ Precio Und.]]</f>
        <v>361369</v>
      </c>
      <c r="N30" s="440">
        <v>0.15</v>
      </c>
      <c r="O30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30" s="302">
        <f>BD.PD510[[#This Row],[Ppto. Orden Interna '[DOP']]]/HLOOKUP("USD",$J$1:$K$2,2,FALSE)</f>
        <v>6665.186046511627</v>
      </c>
      <c r="Q30" s="423" t="s">
        <v>1090</v>
      </c>
      <c r="R30" s="425"/>
      <c r="S30" s="425"/>
      <c r="T30" s="425"/>
      <c r="U30" s="425"/>
      <c r="V30" s="423" t="s">
        <v>1090</v>
      </c>
      <c r="W30" s="441">
        <v>1</v>
      </c>
      <c r="X30" s="442">
        <v>1</v>
      </c>
      <c r="Y30" s="302">
        <f>BD.PD510[[#This Row],[Av.P1 '[%']]]*BD.PD510[[#This Row],[Ppto. Orden Interna '[DOP']]]</f>
        <v>415574.35</v>
      </c>
      <c r="Z30" s="309"/>
      <c r="AA30" s="443"/>
      <c r="AB30" s="302">
        <f>BD.PD510[[#This Row],[Av.P2 '[%']]]*BD.PD510[[#This Row],[Ppto. Orden Interna '[DOP']]]</f>
        <v>0</v>
      </c>
      <c r="AC30" s="309"/>
      <c r="AD30" s="443"/>
      <c r="AE30" s="302">
        <f>BD.PD510[[#This Row],[Av.P3 '[%']]]*BD.PD510[[#This Row],[Ppto. Orden Interna '[DOP']]]</f>
        <v>0</v>
      </c>
      <c r="AF30" s="309"/>
      <c r="AG30" s="443"/>
      <c r="AH30" s="302">
        <f>BD.PD510[[#This Row],[Av.P4 '[%']]]*BD.PD510[[#This Row],[Ppto. Orden Interna '[DOP']]]</f>
        <v>0</v>
      </c>
      <c r="AI30" s="309"/>
      <c r="AJ30" s="443"/>
      <c r="AK30" s="302">
        <f>BD.PD510[[#This Row],[Av.P5 '[%']]]*BD.PD510[[#This Row],[Ppto. Orden Interna '[DOP']]]</f>
        <v>0</v>
      </c>
      <c r="AL30" s="444">
        <f>BD.PD510[[#This Row],[Pago 5]]+BD.PD510[[#This Row],[Pago 4]]+BD.PD510[[#This Row],[Pago 3]]+BD.PD510[[#This Row],[Pago 2]]+BD.PD510[[#This Row],[Pago 1]]</f>
        <v>415574.35</v>
      </c>
      <c r="AM30" s="404"/>
    </row>
    <row r="31" spans="1:39" ht="14.4" x14ac:dyDescent="0.3">
      <c r="A31" s="231">
        <v>7.07</v>
      </c>
      <c r="B31" s="288"/>
      <c r="C31" s="289" t="e">
        <f>VLOOKUP(BD.PD510[[#This Row],[Pos]],[16]!PPto[#Data],3,FALSE)</f>
        <v>#REF!</v>
      </c>
      <c r="D31" s="231" t="s">
        <v>1088</v>
      </c>
      <c r="E31" s="291" t="str">
        <f>IF(BD.PD510[[#This Row],[.]]="*",VLOOKUP(BD.PD510[[#This Row],[Pos]],[16]Presupuesto!A:H,7,FALSE),"")</f>
        <v/>
      </c>
      <c r="F31" s="292" t="s">
        <v>1126</v>
      </c>
      <c r="G31" s="292"/>
      <c r="H31" s="292"/>
      <c r="I31" s="437">
        <v>1</v>
      </c>
      <c r="J31" s="231" t="s">
        <v>526</v>
      </c>
      <c r="K31" s="438">
        <f>IF(BD.PD510[[#This Row],[Mon]]="DOP",1,HLOOKUP(BD.PD510[[#This Row],[Mon]],$J$1:$K$2,2,FALSE))</f>
        <v>73.3</v>
      </c>
      <c r="L31" s="439">
        <v>1500</v>
      </c>
      <c r="M31" s="302">
        <f>BD.PD510[[#This Row],[Cant.]]*BD.PD510[[#This Row],[ Tasa ]]*BD.PD510[[#This Row],[ Precio Und.]]</f>
        <v>109950</v>
      </c>
      <c r="N31" s="440">
        <v>0.15</v>
      </c>
      <c r="O31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31" s="302">
        <f>BD.PD510[[#This Row],[Ppto. Orden Interna '[DOP']]]/HLOOKUP("USD",$J$1:$K$2,2,FALSE)</f>
        <v>2027.9470729751404</v>
      </c>
      <c r="Q31" s="423" t="s">
        <v>1090</v>
      </c>
      <c r="R31" s="425"/>
      <c r="S31" s="425"/>
      <c r="T31" s="425"/>
      <c r="U31" s="425"/>
      <c r="V31" s="423" t="s">
        <v>1090</v>
      </c>
      <c r="W31" s="441">
        <v>1</v>
      </c>
      <c r="X31" s="442">
        <v>1</v>
      </c>
      <c r="Y31" s="302">
        <f>BD.PD510[[#This Row],[Av.P1 '[%']]]*BD.PD510[[#This Row],[Ppto. Orden Interna '[DOP']]]</f>
        <v>126442.5</v>
      </c>
      <c r="Z31" s="309"/>
      <c r="AA31" s="443"/>
      <c r="AB31" s="302">
        <f>BD.PD510[[#This Row],[Av.P2 '[%']]]*BD.PD510[[#This Row],[Ppto. Orden Interna '[DOP']]]</f>
        <v>0</v>
      </c>
      <c r="AC31" s="309"/>
      <c r="AD31" s="443"/>
      <c r="AE31" s="302">
        <f>BD.PD510[[#This Row],[Av.P3 '[%']]]*BD.PD510[[#This Row],[Ppto. Orden Interna '[DOP']]]</f>
        <v>0</v>
      </c>
      <c r="AF31" s="309"/>
      <c r="AG31" s="443"/>
      <c r="AH31" s="302">
        <f>BD.PD510[[#This Row],[Av.P4 '[%']]]*BD.PD510[[#This Row],[Ppto. Orden Interna '[DOP']]]</f>
        <v>0</v>
      </c>
      <c r="AI31" s="309"/>
      <c r="AJ31" s="443"/>
      <c r="AK31" s="302">
        <f>BD.PD510[[#This Row],[Av.P5 '[%']]]*BD.PD510[[#This Row],[Ppto. Orden Interna '[DOP']]]</f>
        <v>0</v>
      </c>
      <c r="AL31" s="444">
        <f>BD.PD510[[#This Row],[Pago 5]]+BD.PD510[[#This Row],[Pago 4]]+BD.PD510[[#This Row],[Pago 3]]+BD.PD510[[#This Row],[Pago 2]]+BD.PD510[[#This Row],[Pago 1]]</f>
        <v>126442.5</v>
      </c>
      <c r="AM31" s="404"/>
    </row>
    <row r="32" spans="1:39" ht="14.4" x14ac:dyDescent="0.3">
      <c r="A32" s="231">
        <v>8.07</v>
      </c>
      <c r="B32" s="288"/>
      <c r="C32" s="289" t="e">
        <f>VLOOKUP(BD.PD510[[#This Row],[Pos]],[16]!PPto[#Data],3,FALSE)</f>
        <v>#REF!</v>
      </c>
      <c r="D32" s="231" t="s">
        <v>1088</v>
      </c>
      <c r="E32" s="291" t="str">
        <f>IF(BD.PD510[[#This Row],[.]]="*",VLOOKUP(BD.PD510[[#This Row],[Pos]],[16]Presupuesto!A:H,7,FALSE),"")</f>
        <v/>
      </c>
      <c r="F32" s="292" t="s">
        <v>1127</v>
      </c>
      <c r="G32" s="292"/>
      <c r="H32" s="292"/>
      <c r="I32" s="437">
        <v>1</v>
      </c>
      <c r="J32" s="231" t="s">
        <v>581</v>
      </c>
      <c r="K32" s="438">
        <f>IF(BD.PD510[[#This Row],[Mon]]="DOP",1,HLOOKUP(BD.PD510[[#This Row],[Mon]],$J$1:$K$2,2,FALSE))</f>
        <v>1</v>
      </c>
      <c r="L32" s="439">
        <v>50000</v>
      </c>
      <c r="M32" s="302">
        <f>BD.PD510[[#This Row],[Cant.]]*BD.PD510[[#This Row],[ Tasa ]]*BD.PD510[[#This Row],[ Precio Und.]]</f>
        <v>50000</v>
      </c>
      <c r="N32" s="440">
        <v>0</v>
      </c>
      <c r="O32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32" s="302">
        <f>BD.PD510[[#This Row],[Ppto. Orden Interna '[DOP']]]/HLOOKUP("USD",$J$1:$K$2,2,FALSE)</f>
        <v>801.92461908580594</v>
      </c>
      <c r="Q32" s="423" t="s">
        <v>1102</v>
      </c>
      <c r="R32" s="425"/>
      <c r="S32" s="425"/>
      <c r="T32" s="425"/>
      <c r="U32" s="425"/>
      <c r="V32" s="423" t="s">
        <v>1102</v>
      </c>
      <c r="W32" s="441">
        <v>1</v>
      </c>
      <c r="X32" s="442">
        <v>0.6</v>
      </c>
      <c r="Y32" s="302">
        <f>BD.PD510[[#This Row],[Av.P1 '[%']]]*BD.PD510[[#This Row],[Ppto. Orden Interna '[DOP']]]</f>
        <v>30000</v>
      </c>
      <c r="Z32" s="309">
        <v>3</v>
      </c>
      <c r="AA32" s="443">
        <v>0.4</v>
      </c>
      <c r="AB32" s="302">
        <f>BD.PD510[[#This Row],[Av.P2 '[%']]]*BD.PD510[[#This Row],[Ppto. Orden Interna '[DOP']]]</f>
        <v>20000</v>
      </c>
      <c r="AC32" s="309"/>
      <c r="AD32" s="443"/>
      <c r="AE32" s="302">
        <f>BD.PD510[[#This Row],[Av.P3 '[%']]]*BD.PD510[[#This Row],[Ppto. Orden Interna '[DOP']]]</f>
        <v>0</v>
      </c>
      <c r="AF32" s="309"/>
      <c r="AG32" s="443"/>
      <c r="AH32" s="302">
        <f>BD.PD510[[#This Row],[Av.P4 '[%']]]*BD.PD510[[#This Row],[Ppto. Orden Interna '[DOP']]]</f>
        <v>0</v>
      </c>
      <c r="AI32" s="309"/>
      <c r="AJ32" s="443"/>
      <c r="AK32" s="302">
        <f>BD.PD510[[#This Row],[Av.P5 '[%']]]*BD.PD510[[#This Row],[Ppto. Orden Interna '[DOP']]]</f>
        <v>0</v>
      </c>
      <c r="AL32" s="444">
        <f>BD.PD510[[#This Row],[Pago 5]]+BD.PD510[[#This Row],[Pago 4]]+BD.PD510[[#This Row],[Pago 3]]+BD.PD510[[#This Row],[Pago 2]]+BD.PD510[[#This Row],[Pago 1]]</f>
        <v>50000</v>
      </c>
      <c r="AM32" s="404"/>
    </row>
    <row r="33" spans="1:241" ht="14.4" x14ac:dyDescent="0.3">
      <c r="A33" s="231">
        <v>8.07</v>
      </c>
      <c r="B33" s="288"/>
      <c r="C33" s="289" t="e">
        <f>VLOOKUP(BD.PD510[[#This Row],[Pos]],[16]!PPto[#Data],3,FALSE)</f>
        <v>#REF!</v>
      </c>
      <c r="D33" s="231" t="s">
        <v>1088</v>
      </c>
      <c r="E33" s="291" t="str">
        <f>IF(BD.PD510[[#This Row],[.]]="*",VLOOKUP(BD.PD510[[#This Row],[Pos]],[16]Presupuesto!A:H,7,FALSE),"")</f>
        <v/>
      </c>
      <c r="F33" s="292" t="s">
        <v>1128</v>
      </c>
      <c r="G33" s="292"/>
      <c r="H33" s="292"/>
      <c r="I33" s="437">
        <v>1</v>
      </c>
      <c r="J33" s="231" t="s">
        <v>581</v>
      </c>
      <c r="K33" s="438">
        <f>IF(BD.PD510[[#This Row],[Mon]]="DOP",1,HLOOKUP(BD.PD510[[#This Row],[Mon]],$J$1:$K$2,2,FALSE))</f>
        <v>1</v>
      </c>
      <c r="L33" s="439">
        <v>80000</v>
      </c>
      <c r="M33" s="302">
        <f>BD.PD510[[#This Row],[Cant.]]*BD.PD510[[#This Row],[ Tasa ]]*BD.PD510[[#This Row],[ Precio Und.]]</f>
        <v>80000</v>
      </c>
      <c r="N33" s="440">
        <v>0</v>
      </c>
      <c r="O33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33" s="302">
        <f>BD.PD510[[#This Row],[Ppto. Orden Interna '[DOP']]]/HLOOKUP("USD",$J$1:$K$2,2,FALSE)</f>
        <v>1283.0793905372896</v>
      </c>
      <c r="Q33" s="423" t="s">
        <v>1102</v>
      </c>
      <c r="R33" s="425"/>
      <c r="S33" s="425"/>
      <c r="T33" s="425"/>
      <c r="U33" s="425"/>
      <c r="V33" s="423" t="s">
        <v>1102</v>
      </c>
      <c r="W33" s="441">
        <v>1</v>
      </c>
      <c r="X33" s="442">
        <v>0.6</v>
      </c>
      <c r="Y33" s="302">
        <f>BD.PD510[[#This Row],[Av.P1 '[%']]]*BD.PD510[[#This Row],[Ppto. Orden Interna '[DOP']]]</f>
        <v>48000</v>
      </c>
      <c r="Z33" s="309">
        <v>3</v>
      </c>
      <c r="AA33" s="443">
        <v>0.4</v>
      </c>
      <c r="AB33" s="302">
        <f>BD.PD510[[#This Row],[Av.P2 '[%']]]*BD.PD510[[#This Row],[Ppto. Orden Interna '[DOP']]]</f>
        <v>32000</v>
      </c>
      <c r="AC33" s="309"/>
      <c r="AD33" s="443"/>
      <c r="AE33" s="302">
        <f>BD.PD510[[#This Row],[Av.P3 '[%']]]*BD.PD510[[#This Row],[Ppto. Orden Interna '[DOP']]]</f>
        <v>0</v>
      </c>
      <c r="AF33" s="309"/>
      <c r="AG33" s="443"/>
      <c r="AH33" s="302">
        <f>BD.PD510[[#This Row],[Av.P4 '[%']]]*BD.PD510[[#This Row],[Ppto. Orden Interna '[DOP']]]</f>
        <v>0</v>
      </c>
      <c r="AI33" s="309"/>
      <c r="AJ33" s="443"/>
      <c r="AK33" s="302">
        <f>BD.PD510[[#This Row],[Av.P5 '[%']]]*BD.PD510[[#This Row],[Ppto. Orden Interna '[DOP']]]</f>
        <v>0</v>
      </c>
      <c r="AL33" s="444">
        <f>BD.PD510[[#This Row],[Pago 5]]+BD.PD510[[#This Row],[Pago 4]]+BD.PD510[[#This Row],[Pago 3]]+BD.PD510[[#This Row],[Pago 2]]+BD.PD510[[#This Row],[Pago 1]]</f>
        <v>80000</v>
      </c>
      <c r="AM33" s="404"/>
    </row>
    <row r="34" spans="1:241" s="309" customFormat="1" ht="15" hidden="1" customHeight="1" x14ac:dyDescent="0.3">
      <c r="A34" s="231">
        <v>8.06</v>
      </c>
      <c r="B34" s="288"/>
      <c r="C34" s="289" t="e">
        <f>VLOOKUP(BD.PD510[[#This Row],[Pos]],[16]!PPto[#Data],3,FALSE)</f>
        <v>#REF!</v>
      </c>
      <c r="D34" s="290" t="s">
        <v>1129</v>
      </c>
      <c r="E34" s="291" t="str">
        <f>IF(BD.PD510[[#This Row],[.]]="*",VLOOKUP(BD.PD510[[#This Row],[Pos]],[16]Presupuesto!A:H,7,FALSE),"")</f>
        <v/>
      </c>
      <c r="F34" s="292" t="s">
        <v>1089</v>
      </c>
      <c r="G34" s="292"/>
      <c r="H34" s="292"/>
      <c r="I34" s="437">
        <v>1</v>
      </c>
      <c r="J34" s="231" t="s">
        <v>526</v>
      </c>
      <c r="K34" s="438">
        <f>IF(BD.PD510[[#This Row],[Mon]]="DOP",1,HLOOKUP(BD.PD510[[#This Row],[Mon]],$J$1:$K$2,2,FALSE))</f>
        <v>73.3</v>
      </c>
      <c r="L34" s="439">
        <v>2825</v>
      </c>
      <c r="M34" s="302">
        <f>BD.PD510[[#This Row],[Cant.]]*BD.PD510[[#This Row],[ Tasa ]]*BD.PD510[[#This Row],[ Precio Und.]]</f>
        <v>207072.5</v>
      </c>
      <c r="N34" s="440">
        <v>0.15</v>
      </c>
      <c r="O34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34" s="302">
        <f>BD.PD510[[#This Row],[Ppto. Orden Interna '[DOP']]]/HLOOKUP("USD",$J$1:$K$2,2,FALSE)</f>
        <v>3819.3003207698475</v>
      </c>
      <c r="Q34" s="425" t="s">
        <v>1090</v>
      </c>
      <c r="R34" s="425"/>
      <c r="S34" s="425"/>
      <c r="T34" s="425"/>
      <c r="U34" s="425"/>
      <c r="V34" s="292" t="s">
        <v>1090</v>
      </c>
      <c r="W34" s="441">
        <v>1</v>
      </c>
      <c r="X34" s="442">
        <v>1</v>
      </c>
      <c r="Y34" s="302">
        <f>BD.PD510[[#This Row],[Av.P1 '[%']]]*BD.PD510[[#This Row],[Ppto. Orden Interna '[DOP']]]</f>
        <v>238133.375</v>
      </c>
      <c r="AA34" s="443"/>
      <c r="AB34" s="302">
        <f>BD.PD510[[#This Row],[Av.P2 '[%']]]*BD.PD510[[#This Row],[Ppto. Orden Interna '[DOP']]]</f>
        <v>0</v>
      </c>
      <c r="AD34" s="443"/>
      <c r="AE34" s="302">
        <f>BD.PD510[[#This Row],[Av.P3 '[%']]]*BD.PD510[[#This Row],[Ppto. Orden Interna '[DOP']]]</f>
        <v>0</v>
      </c>
      <c r="AG34" s="443"/>
      <c r="AH34" s="302">
        <f>BD.PD510[[#This Row],[Av.P4 '[%']]]*BD.PD510[[#This Row],[Ppto. Orden Interna '[DOP']]]</f>
        <v>0</v>
      </c>
      <c r="AJ34" s="443"/>
      <c r="AK34" s="302">
        <f>BD.PD510[[#This Row],[Av.P5 '[%']]]*BD.PD510[[#This Row],[Ppto. Orden Interna '[DOP']]]</f>
        <v>0</v>
      </c>
      <c r="AL34" s="444">
        <f>BD.PD510[[#This Row],[Pago 5]]+BD.PD510[[#This Row],[Pago 4]]+BD.PD510[[#This Row],[Pago 3]]+BD.PD510[[#This Row],[Pago 2]]+BD.PD510[[#This Row],[Pago 1]]</f>
        <v>238133.375</v>
      </c>
      <c r="AM34" s="404"/>
      <c r="AN34" s="404"/>
      <c r="AO34" s="404"/>
      <c r="AP34" s="404"/>
      <c r="AQ34" s="404"/>
      <c r="AR34" s="404"/>
      <c r="AS34" s="404"/>
      <c r="AT34" s="404"/>
      <c r="AU34" s="404"/>
      <c r="AV34" s="404"/>
      <c r="AW34" s="404"/>
      <c r="AX34" s="404"/>
      <c r="AY34" s="404"/>
      <c r="AZ34" s="404"/>
      <c r="BA34" s="404"/>
      <c r="BB34" s="404"/>
      <c r="BC34" s="404"/>
      <c r="BD34" s="404"/>
      <c r="BE34" s="404"/>
      <c r="BF34" s="404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4"/>
      <c r="DD34" s="404"/>
      <c r="DE34" s="404"/>
      <c r="DF34" s="404"/>
      <c r="DG34" s="404"/>
      <c r="DH34" s="404"/>
      <c r="DI34" s="404"/>
      <c r="DJ34" s="404"/>
      <c r="DK34" s="404"/>
      <c r="DL34" s="404"/>
      <c r="DM34" s="404"/>
      <c r="DN34" s="404"/>
      <c r="DO34" s="404"/>
      <c r="DP34" s="404"/>
      <c r="DQ34" s="404"/>
      <c r="DR34" s="404"/>
      <c r="DS34" s="404"/>
      <c r="DT34" s="404"/>
      <c r="DU34" s="404"/>
      <c r="DV34" s="404"/>
      <c r="DW34" s="404"/>
      <c r="DX34" s="404"/>
      <c r="DY34" s="404"/>
      <c r="DZ34" s="404"/>
      <c r="EA34" s="404"/>
      <c r="EB34" s="404"/>
      <c r="EC34" s="404"/>
      <c r="ED34" s="404"/>
      <c r="EE34" s="404"/>
      <c r="EF34" s="404"/>
      <c r="EG34" s="404"/>
      <c r="EH34" s="404"/>
      <c r="EI34" s="404"/>
      <c r="EJ34" s="404"/>
      <c r="EK34" s="404"/>
      <c r="EL34" s="404"/>
      <c r="EM34" s="404"/>
      <c r="EN34" s="404"/>
      <c r="EO34" s="404"/>
      <c r="EP34" s="404"/>
      <c r="EQ34" s="404"/>
      <c r="ER34" s="404"/>
      <c r="ES34" s="404"/>
      <c r="ET34" s="404"/>
      <c r="EU34" s="404"/>
      <c r="EV34" s="404"/>
      <c r="EW34" s="404"/>
      <c r="EX34" s="404"/>
      <c r="EY34" s="404"/>
      <c r="EZ34" s="404"/>
      <c r="FA34" s="404"/>
      <c r="FB34" s="404"/>
      <c r="FC34" s="404"/>
      <c r="FD34" s="404"/>
      <c r="FE34" s="404"/>
      <c r="FF34" s="404"/>
      <c r="FG34" s="404"/>
      <c r="FH34" s="404"/>
      <c r="FI34" s="404"/>
      <c r="FJ34" s="404"/>
      <c r="FK34" s="404"/>
      <c r="FL34" s="404"/>
      <c r="FM34" s="404"/>
      <c r="FN34" s="404"/>
      <c r="FO34" s="404"/>
      <c r="FP34" s="404"/>
      <c r="FQ34" s="404"/>
      <c r="FR34" s="404"/>
      <c r="FS34" s="404"/>
      <c r="FT34" s="404"/>
      <c r="FU34" s="404"/>
      <c r="FV34" s="404"/>
      <c r="FW34" s="404"/>
      <c r="FX34" s="404"/>
      <c r="FY34" s="404"/>
      <c r="FZ34" s="404"/>
      <c r="GA34" s="404"/>
      <c r="GB34" s="404"/>
      <c r="GC34" s="404"/>
      <c r="GD34" s="404"/>
      <c r="GE34" s="404"/>
      <c r="GF34" s="404"/>
      <c r="GG34" s="404"/>
      <c r="GH34" s="404"/>
      <c r="GI34" s="404"/>
      <c r="GJ34" s="404"/>
      <c r="GK34" s="404"/>
      <c r="GL34" s="404"/>
      <c r="GM34" s="404"/>
      <c r="GN34" s="404"/>
      <c r="GO34" s="404"/>
      <c r="GP34" s="404"/>
      <c r="GQ34" s="404"/>
      <c r="GR34" s="404"/>
      <c r="GS34" s="404"/>
      <c r="GT34" s="404"/>
      <c r="GU34" s="404"/>
      <c r="GV34" s="404"/>
      <c r="GW34" s="404"/>
      <c r="GX34" s="404"/>
      <c r="GY34" s="404"/>
      <c r="GZ34" s="404"/>
      <c r="HA34" s="404"/>
      <c r="HB34" s="404"/>
      <c r="HC34" s="404"/>
      <c r="HD34" s="404"/>
      <c r="HE34" s="404"/>
      <c r="HF34" s="404"/>
      <c r="HG34" s="404"/>
      <c r="HH34" s="404"/>
      <c r="HI34" s="404"/>
      <c r="HJ34" s="404"/>
      <c r="HK34" s="404"/>
      <c r="HL34" s="404"/>
      <c r="HM34" s="404"/>
      <c r="HN34" s="404"/>
      <c r="HO34" s="404"/>
      <c r="HP34" s="404"/>
      <c r="HQ34" s="404"/>
      <c r="HR34" s="404"/>
      <c r="HS34" s="404"/>
      <c r="HT34" s="404"/>
      <c r="HU34" s="404"/>
      <c r="HV34" s="404"/>
      <c r="HW34" s="404"/>
      <c r="HX34" s="404"/>
      <c r="HY34" s="404"/>
      <c r="HZ34" s="404"/>
      <c r="IA34" s="404"/>
      <c r="IB34" s="404"/>
      <c r="IC34" s="404"/>
      <c r="ID34" s="404"/>
      <c r="IE34" s="404"/>
      <c r="IF34" s="404"/>
      <c r="IG34" s="404"/>
    </row>
    <row r="35" spans="1:241" ht="15" hidden="1" customHeight="1" x14ac:dyDescent="0.3">
      <c r="A35" s="231">
        <v>8.06</v>
      </c>
      <c r="B35" s="288"/>
      <c r="C35" s="289" t="e">
        <f>VLOOKUP(BD.PD510[[#This Row],[Pos]],[16]!PPto[#Data],3,FALSE)</f>
        <v>#REF!</v>
      </c>
      <c r="D35" s="290" t="s">
        <v>1129</v>
      </c>
      <c r="E35" s="291" t="str">
        <f>IF(BD.PD510[[#This Row],[.]]="*",VLOOKUP(BD.PD510[[#This Row],[Pos]],[16]Presupuesto!A:H,7,FALSE),"")</f>
        <v/>
      </c>
      <c r="F35" s="292" t="s">
        <v>1091</v>
      </c>
      <c r="G35" s="292"/>
      <c r="H35" s="292"/>
      <c r="I35" s="437">
        <v>1</v>
      </c>
      <c r="J35" s="231" t="s">
        <v>581</v>
      </c>
      <c r="K35" s="438">
        <f>IF(BD.PD510[[#This Row],[Mon]]="DOP",1,HLOOKUP(BD.PD510[[#This Row],[Mon]],$J$1:$K$2,2,FALSE))</f>
        <v>1</v>
      </c>
      <c r="L35" s="439">
        <v>30000</v>
      </c>
      <c r="M35" s="302">
        <f>BD.PD510[[#This Row],[Cant.]]*BD.PD510[[#This Row],[ Tasa ]]*BD.PD510[[#This Row],[ Precio Und.]]</f>
        <v>30000</v>
      </c>
      <c r="N35" s="440">
        <v>0</v>
      </c>
      <c r="O35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35" s="302">
        <f>BD.PD510[[#This Row],[Ppto. Orden Interna '[DOP']]]/HLOOKUP("USD",$J$1:$K$2,2,FALSE)</f>
        <v>481.15477145148355</v>
      </c>
      <c r="Q35" s="425" t="s">
        <v>1092</v>
      </c>
      <c r="R35" s="425"/>
      <c r="S35" s="425"/>
      <c r="T35" s="425"/>
      <c r="U35" s="425"/>
      <c r="V35" s="292" t="s">
        <v>1092</v>
      </c>
      <c r="W35" s="441"/>
      <c r="X35" s="442"/>
      <c r="Y35" s="302">
        <f>BD.PD510[[#This Row],[Av.P1 '[%']]]*BD.PD510[[#This Row],[Ppto. Orden Interna '[DOP']]]</f>
        <v>0</v>
      </c>
      <c r="Z35" s="309"/>
      <c r="AA35" s="443"/>
      <c r="AB35" s="302">
        <f>BD.PD510[[#This Row],[Av.P2 '[%']]]*BD.PD510[[#This Row],[Ppto. Orden Interna '[DOP']]]</f>
        <v>0</v>
      </c>
      <c r="AC35" s="309"/>
      <c r="AD35" s="443"/>
      <c r="AE35" s="302">
        <f>BD.PD510[[#This Row],[Av.P3 '[%']]]*BD.PD510[[#This Row],[Ppto. Orden Interna '[DOP']]]</f>
        <v>0</v>
      </c>
      <c r="AF35" s="309"/>
      <c r="AG35" s="443"/>
      <c r="AH35" s="302">
        <f>BD.PD510[[#This Row],[Av.P4 '[%']]]*BD.PD510[[#This Row],[Ppto. Orden Interna '[DOP']]]</f>
        <v>0</v>
      </c>
      <c r="AI35" s="309"/>
      <c r="AJ35" s="443"/>
      <c r="AK35" s="302">
        <f>BD.PD510[[#This Row],[Av.P5 '[%']]]*BD.PD510[[#This Row],[Ppto. Orden Interna '[DOP']]]</f>
        <v>0</v>
      </c>
      <c r="AL35" s="444">
        <f>BD.PD510[[#This Row],[Pago 5]]+BD.PD510[[#This Row],[Pago 4]]+BD.PD510[[#This Row],[Pago 3]]+BD.PD510[[#This Row],[Pago 2]]+BD.PD510[[#This Row],[Pago 1]]</f>
        <v>0</v>
      </c>
      <c r="AM35" s="404"/>
    </row>
    <row r="36" spans="1:241" ht="14.4" hidden="1" x14ac:dyDescent="0.3">
      <c r="A36" s="231">
        <v>8.06</v>
      </c>
      <c r="B36" s="288"/>
      <c r="C36" s="289" t="e">
        <f>VLOOKUP(BD.PD510[[#This Row],[Pos]],[16]!PPto[#Data],3,FALSE)</f>
        <v>#REF!</v>
      </c>
      <c r="D36" s="290" t="s">
        <v>1129</v>
      </c>
      <c r="E36" s="291" t="str">
        <f>IF(BD.PD510[[#This Row],[.]]="*",VLOOKUP(BD.PD510[[#This Row],[Pos]],[16]Presupuesto!A:H,7,FALSE),"")</f>
        <v/>
      </c>
      <c r="F36" s="292" t="s">
        <v>1093</v>
      </c>
      <c r="G36" s="292"/>
      <c r="H36" s="292"/>
      <c r="I36" s="437">
        <v>1</v>
      </c>
      <c r="J36" s="231" t="s">
        <v>581</v>
      </c>
      <c r="K36" s="438">
        <f>IF(BD.PD510[[#This Row],[Mon]]="DOP",1,HLOOKUP(BD.PD510[[#This Row],[Mon]],$J$1:$K$2,2,FALSE))</f>
        <v>1</v>
      </c>
      <c r="L36" s="439">
        <v>40000</v>
      </c>
      <c r="M36" s="302">
        <f>BD.PD510[[#This Row],[Cant.]]*BD.PD510[[#This Row],[ Tasa ]]*BD.PD510[[#This Row],[ Precio Und.]]</f>
        <v>40000</v>
      </c>
      <c r="N36" s="440">
        <v>0</v>
      </c>
      <c r="O36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36" s="302">
        <f>BD.PD510[[#This Row],[Ppto. Orden Interna '[DOP']]]/HLOOKUP("USD",$J$1:$K$2,2,FALSE)</f>
        <v>641.53969526864478</v>
      </c>
      <c r="Q36" s="425" t="s">
        <v>1092</v>
      </c>
      <c r="R36" s="425"/>
      <c r="S36" s="425"/>
      <c r="T36" s="425"/>
      <c r="U36" s="425"/>
      <c r="V36" s="292" t="s">
        <v>1092</v>
      </c>
      <c r="W36" s="441"/>
      <c r="X36" s="442"/>
      <c r="Y36" s="302">
        <f>BD.PD510[[#This Row],[Av.P1 '[%']]]*BD.PD510[[#This Row],[Ppto. Orden Interna '[DOP']]]</f>
        <v>0</v>
      </c>
      <c r="Z36" s="309"/>
      <c r="AA36" s="443"/>
      <c r="AB36" s="302">
        <f>BD.PD510[[#This Row],[Av.P2 '[%']]]*BD.PD510[[#This Row],[Ppto. Orden Interna '[DOP']]]</f>
        <v>0</v>
      </c>
      <c r="AC36" s="309"/>
      <c r="AD36" s="443"/>
      <c r="AE36" s="302">
        <f>BD.PD510[[#This Row],[Av.P3 '[%']]]*BD.PD510[[#This Row],[Ppto. Orden Interna '[DOP']]]</f>
        <v>0</v>
      </c>
      <c r="AF36" s="309"/>
      <c r="AG36" s="443"/>
      <c r="AH36" s="302">
        <f>BD.PD510[[#This Row],[Av.P4 '[%']]]*BD.PD510[[#This Row],[Ppto. Orden Interna '[DOP']]]</f>
        <v>0</v>
      </c>
      <c r="AI36" s="309"/>
      <c r="AJ36" s="443"/>
      <c r="AK36" s="302">
        <f>BD.PD510[[#This Row],[Av.P5 '[%']]]*BD.PD510[[#This Row],[Ppto. Orden Interna '[DOP']]]</f>
        <v>0</v>
      </c>
      <c r="AL36" s="444">
        <f>BD.PD510[[#This Row],[Pago 5]]+BD.PD510[[#This Row],[Pago 4]]+BD.PD510[[#This Row],[Pago 3]]+BD.PD510[[#This Row],[Pago 2]]+BD.PD510[[#This Row],[Pago 1]]</f>
        <v>0</v>
      </c>
      <c r="AM36" s="404"/>
    </row>
    <row r="37" spans="1:241" hidden="1" x14ac:dyDescent="0.3">
      <c r="A37" s="231">
        <v>8.06</v>
      </c>
      <c r="B37" s="288"/>
      <c r="C37" s="289" t="e">
        <f>VLOOKUP(BD.PD510[[#This Row],[Pos]],[16]!PPto[#Data],3,FALSE)</f>
        <v>#REF!</v>
      </c>
      <c r="D37" s="290" t="s">
        <v>1129</v>
      </c>
      <c r="E37" s="291" t="str">
        <f>IF(BD.PD510[[#This Row],[.]]="*",VLOOKUP(BD.PD510[[#This Row],[Pos]],[16]Presupuesto!A:H,7,FALSE),"")</f>
        <v/>
      </c>
      <c r="F37" s="292" t="s">
        <v>1094</v>
      </c>
      <c r="G37" s="292"/>
      <c r="H37" s="292"/>
      <c r="I37" s="437">
        <v>1</v>
      </c>
      <c r="J37" s="231" t="s">
        <v>581</v>
      </c>
      <c r="K37" s="438">
        <f>IF(BD.PD510[[#This Row],[Mon]]="DOP",1,HLOOKUP(BD.PD510[[#This Row],[Mon]],$J$1:$K$2,2,FALSE))</f>
        <v>1</v>
      </c>
      <c r="L37" s="439">
        <v>1000000</v>
      </c>
      <c r="M37" s="302">
        <f>BD.PD510[[#This Row],[Cant.]]*BD.PD510[[#This Row],[ Tasa ]]*BD.PD510[[#This Row],[ Precio Und.]]</f>
        <v>1000000</v>
      </c>
      <c r="N37" s="440">
        <v>0.02</v>
      </c>
      <c r="O37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37" s="302">
        <f>BD.PD510[[#This Row],[Ppto. Orden Interna '[DOP']]]/HLOOKUP("USD",$J$1:$K$2,2,FALSE)</f>
        <v>16359.262229350441</v>
      </c>
      <c r="Q37" s="425"/>
      <c r="R37" s="425"/>
      <c r="S37" s="425"/>
      <c r="T37" s="425"/>
      <c r="U37" s="425"/>
      <c r="V37" s="292"/>
      <c r="W37" s="441"/>
      <c r="X37" s="442"/>
      <c r="Y37" s="302">
        <f>BD.PD510[[#This Row],[Av.P1 '[%']]]*BD.PD510[[#This Row],[Ppto. Orden Interna '[DOP']]]</f>
        <v>0</v>
      </c>
      <c r="Z37" s="309"/>
      <c r="AA37" s="443"/>
      <c r="AB37" s="302">
        <f>BD.PD510[[#This Row],[Av.P2 '[%']]]*BD.PD510[[#This Row],[Ppto. Orden Interna '[DOP']]]</f>
        <v>0</v>
      </c>
      <c r="AC37" s="309"/>
      <c r="AD37" s="443"/>
      <c r="AE37" s="302">
        <f>BD.PD510[[#This Row],[Av.P3 '[%']]]*BD.PD510[[#This Row],[Ppto. Orden Interna '[DOP']]]</f>
        <v>0</v>
      </c>
      <c r="AF37" s="309"/>
      <c r="AG37" s="443"/>
      <c r="AH37" s="302">
        <f>BD.PD510[[#This Row],[Av.P4 '[%']]]*BD.PD510[[#This Row],[Ppto. Orden Interna '[DOP']]]</f>
        <v>0</v>
      </c>
      <c r="AI37" s="309"/>
      <c r="AJ37" s="443"/>
      <c r="AK37" s="302">
        <f>BD.PD510[[#This Row],[Av.P5 '[%']]]*BD.PD510[[#This Row],[Ppto. Orden Interna '[DOP']]]</f>
        <v>0</v>
      </c>
      <c r="AL37" s="444">
        <f>BD.PD510[[#This Row],[Pago 5]]+BD.PD510[[#This Row],[Pago 4]]+BD.PD510[[#This Row],[Pago 3]]+BD.PD510[[#This Row],[Pago 2]]+BD.PD510[[#This Row],[Pago 1]]</f>
        <v>0</v>
      </c>
      <c r="AM37" s="404"/>
    </row>
    <row r="38" spans="1:241" ht="15" hidden="1" customHeight="1" x14ac:dyDescent="0.3">
      <c r="A38" s="231">
        <v>8.06</v>
      </c>
      <c r="B38" s="288"/>
      <c r="C38" s="289" t="e">
        <f>VLOOKUP(BD.PD510[[#This Row],[Pos]],[16]!PPto[#Data],3,FALSE)</f>
        <v>#REF!</v>
      </c>
      <c r="D38" s="290" t="s">
        <v>1129</v>
      </c>
      <c r="E38" s="291" t="str">
        <f>IF(BD.PD510[[#This Row],[.]]="*",VLOOKUP(BD.PD510[[#This Row],[Pos]],[16]Presupuesto!A:H,7,FALSE),"")</f>
        <v/>
      </c>
      <c r="F38" s="292" t="s">
        <v>1095</v>
      </c>
      <c r="G38" s="292"/>
      <c r="H38" s="292"/>
      <c r="I38" s="437">
        <v>3</v>
      </c>
      <c r="J38" s="231" t="s">
        <v>456</v>
      </c>
      <c r="K38" s="438">
        <f>IF(BD.PD510[[#This Row],[Mon]]="DOP",1,HLOOKUP(BD.PD510[[#This Row],[Mon]],$J$1:$K$2,2,FALSE))</f>
        <v>62.35</v>
      </c>
      <c r="L38" s="439">
        <v>300</v>
      </c>
      <c r="M38" s="302">
        <f>BD.PD510[[#This Row],[Cant.]]*BD.PD510[[#This Row],[ Tasa ]]*BD.PD510[[#This Row],[ Precio Und.]]</f>
        <v>56115</v>
      </c>
      <c r="N38" s="440">
        <v>0.02</v>
      </c>
      <c r="O38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38" s="302">
        <f>BD.PD510[[#This Row],[Ppto. Orden Interna '[DOP']]]/HLOOKUP("USD",$J$1:$K$2,2,FALSE)</f>
        <v>918</v>
      </c>
      <c r="Q38" s="425" t="s">
        <v>1092</v>
      </c>
      <c r="R38" s="425"/>
      <c r="S38" s="425"/>
      <c r="T38" s="425"/>
      <c r="U38" s="425"/>
      <c r="V38" s="292" t="s">
        <v>1092</v>
      </c>
      <c r="W38" s="441"/>
      <c r="X38" s="442"/>
      <c r="Y38" s="302">
        <f>BD.PD510[[#This Row],[Av.P1 '[%']]]*BD.PD510[[#This Row],[Ppto. Orden Interna '[DOP']]]</f>
        <v>0</v>
      </c>
      <c r="Z38" s="309"/>
      <c r="AA38" s="443"/>
      <c r="AB38" s="302">
        <f>BD.PD510[[#This Row],[Av.P2 '[%']]]*BD.PD510[[#This Row],[Ppto. Orden Interna '[DOP']]]</f>
        <v>0</v>
      </c>
      <c r="AC38" s="309"/>
      <c r="AD38" s="443"/>
      <c r="AE38" s="302">
        <f>BD.PD510[[#This Row],[Av.P3 '[%']]]*BD.PD510[[#This Row],[Ppto. Orden Interna '[DOP']]]</f>
        <v>0</v>
      </c>
      <c r="AF38" s="309"/>
      <c r="AG38" s="443"/>
      <c r="AH38" s="302">
        <f>BD.PD510[[#This Row],[Av.P4 '[%']]]*BD.PD510[[#This Row],[Ppto. Orden Interna '[DOP']]]</f>
        <v>0</v>
      </c>
      <c r="AI38" s="309"/>
      <c r="AJ38" s="443"/>
      <c r="AK38" s="302">
        <f>BD.PD510[[#This Row],[Av.P5 '[%']]]*BD.PD510[[#This Row],[Ppto. Orden Interna '[DOP']]]</f>
        <v>0</v>
      </c>
      <c r="AL38" s="444">
        <f>BD.PD510[[#This Row],[Pago 5]]+BD.PD510[[#This Row],[Pago 4]]+BD.PD510[[#This Row],[Pago 3]]+BD.PD510[[#This Row],[Pago 2]]+BD.PD510[[#This Row],[Pago 1]]</f>
        <v>0</v>
      </c>
      <c r="AM38" s="404"/>
    </row>
    <row r="39" spans="1:241" ht="14.85" hidden="1" customHeight="1" x14ac:dyDescent="0.3">
      <c r="A39" s="231">
        <v>8.06</v>
      </c>
      <c r="B39" s="288"/>
      <c r="C39" s="289" t="e">
        <f>VLOOKUP(BD.PD510[[#This Row],[Pos]],[16]!PPto[#Data],3,FALSE)</f>
        <v>#REF!</v>
      </c>
      <c r="D39" s="290" t="s">
        <v>1129</v>
      </c>
      <c r="E39" s="291" t="str">
        <f>IF(BD.PD510[[#This Row],[.]]="*",VLOOKUP(BD.PD510[[#This Row],[Pos]],[16]Presupuesto!A:H,7,FALSE),"")</f>
        <v/>
      </c>
      <c r="F39" s="292" t="s">
        <v>1096</v>
      </c>
      <c r="G39" s="292"/>
      <c r="H39" s="292"/>
      <c r="I39" s="437">
        <v>1</v>
      </c>
      <c r="J39" s="231" t="s">
        <v>581</v>
      </c>
      <c r="K39" s="438">
        <f>IF(BD.PD510[[#This Row],[Mon]]="DOP",1,HLOOKUP(BD.PD510[[#This Row],[Mon]],$J$1:$K$2,2,FALSE))</f>
        <v>1</v>
      </c>
      <c r="L39" s="439">
        <v>121452.25</v>
      </c>
      <c r="M39" s="302">
        <f>BD.PD510[[#This Row],[Cant.]]*BD.PD510[[#This Row],[ Tasa ]]*BD.PD510[[#This Row],[ Precio Und.]]</f>
        <v>121452.25</v>
      </c>
      <c r="N39" s="440">
        <v>0</v>
      </c>
      <c r="O39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39" s="302">
        <f>BD.PD510[[#This Row],[Ppto. Orden Interna '[DOP']]]/HLOOKUP("USD",$J$1:$K$2,2,FALSE)</f>
        <v>1947.9109863672813</v>
      </c>
      <c r="Q39" s="425" t="s">
        <v>1097</v>
      </c>
      <c r="R39" s="425"/>
      <c r="S39" s="425"/>
      <c r="T39" s="425"/>
      <c r="U39" s="425"/>
      <c r="V39" s="292" t="s">
        <v>1097</v>
      </c>
      <c r="W39" s="441">
        <v>1</v>
      </c>
      <c r="X39" s="442">
        <v>0.5</v>
      </c>
      <c r="Y39" s="302">
        <f>BD.PD510[[#This Row],[Av.P1 '[%']]]*BD.PD510[[#This Row],[Ppto. Orden Interna '[DOP']]]</f>
        <v>60726.125</v>
      </c>
      <c r="Z39" s="309">
        <v>4</v>
      </c>
      <c r="AA39" s="443">
        <v>0.5</v>
      </c>
      <c r="AB39" s="302">
        <f>BD.PD510[[#This Row],[Av.P2 '[%']]]*BD.PD510[[#This Row],[Ppto. Orden Interna '[DOP']]]</f>
        <v>60726.125</v>
      </c>
      <c r="AC39" s="309"/>
      <c r="AD39" s="443"/>
      <c r="AE39" s="302">
        <f>BD.PD510[[#This Row],[Av.P3 '[%']]]*BD.PD510[[#This Row],[Ppto. Orden Interna '[DOP']]]</f>
        <v>0</v>
      </c>
      <c r="AF39" s="309"/>
      <c r="AG39" s="443"/>
      <c r="AH39" s="302">
        <f>BD.PD510[[#This Row],[Av.P4 '[%']]]*BD.PD510[[#This Row],[Ppto. Orden Interna '[DOP']]]</f>
        <v>0</v>
      </c>
      <c r="AI39" s="309"/>
      <c r="AJ39" s="443"/>
      <c r="AK39" s="302">
        <f>BD.PD510[[#This Row],[Av.P5 '[%']]]*BD.PD510[[#This Row],[Ppto. Orden Interna '[DOP']]]</f>
        <v>0</v>
      </c>
      <c r="AL39" s="444">
        <f>BD.PD510[[#This Row],[Pago 5]]+BD.PD510[[#This Row],[Pago 4]]+BD.PD510[[#This Row],[Pago 3]]+BD.PD510[[#This Row],[Pago 2]]+BD.PD510[[#This Row],[Pago 1]]</f>
        <v>121452.25</v>
      </c>
      <c r="AM39" s="404"/>
    </row>
    <row r="40" spans="1:241" ht="14.85" hidden="1" customHeight="1" x14ac:dyDescent="0.3">
      <c r="A40" s="231">
        <v>8.06</v>
      </c>
      <c r="B40" s="288"/>
      <c r="C40" s="289" t="e">
        <f>VLOOKUP(BD.PD510[[#This Row],[Pos]],[16]!PPto[#Data],3,FALSE)</f>
        <v>#REF!</v>
      </c>
      <c r="D40" s="290" t="s">
        <v>1129</v>
      </c>
      <c r="E40" s="291" t="str">
        <f>IF(BD.PD510[[#This Row],[.]]="*",VLOOKUP(BD.PD510[[#This Row],[Pos]],[16]Presupuesto!A:H,7,FALSE),"")</f>
        <v/>
      </c>
      <c r="F40" s="292" t="s">
        <v>1098</v>
      </c>
      <c r="G40" s="292"/>
      <c r="H40" s="292"/>
      <c r="I40" s="437">
        <v>1</v>
      </c>
      <c r="J40" s="231" t="s">
        <v>581</v>
      </c>
      <c r="K40" s="438">
        <f>IF(BD.PD510[[#This Row],[Mon]]="DOP",1,HLOOKUP(BD.PD510[[#This Row],[Mon]],$J$1:$K$2,2,FALSE))</f>
        <v>1</v>
      </c>
      <c r="L40" s="439">
        <v>43333.5</v>
      </c>
      <c r="M40" s="302">
        <f>BD.PD510[[#This Row],[Cant.]]*BD.PD510[[#This Row],[ Tasa ]]*BD.PD510[[#This Row],[ Precio Und.]]</f>
        <v>43333.5</v>
      </c>
      <c r="N40" s="440">
        <v>0</v>
      </c>
      <c r="O40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40" s="302">
        <f>BD.PD510[[#This Row],[Ppto. Orden Interna '[DOP']]]/HLOOKUP("USD",$J$1:$K$2,2,FALSE)</f>
        <v>695.00400962309538</v>
      </c>
      <c r="Q40" s="425" t="s">
        <v>1097</v>
      </c>
      <c r="R40" s="425"/>
      <c r="S40" s="425"/>
      <c r="T40" s="425"/>
      <c r="U40" s="425"/>
      <c r="V40" s="292" t="s">
        <v>1097</v>
      </c>
      <c r="W40" s="441">
        <v>1</v>
      </c>
      <c r="X40" s="442">
        <v>0.5</v>
      </c>
      <c r="Y40" s="302">
        <f>BD.PD510[[#This Row],[Av.P1 '[%']]]*BD.PD510[[#This Row],[Ppto. Orden Interna '[DOP']]]</f>
        <v>21666.75</v>
      </c>
      <c r="Z40" s="309">
        <v>4</v>
      </c>
      <c r="AA40" s="443">
        <v>0.5</v>
      </c>
      <c r="AB40" s="302">
        <f>BD.PD510[[#This Row],[Av.P2 '[%']]]*BD.PD510[[#This Row],[Ppto. Orden Interna '[DOP']]]</f>
        <v>21666.75</v>
      </c>
      <c r="AC40" s="309"/>
      <c r="AD40" s="443"/>
      <c r="AE40" s="302">
        <f>BD.PD510[[#This Row],[Av.P3 '[%']]]*BD.PD510[[#This Row],[Ppto. Orden Interna '[DOP']]]</f>
        <v>0</v>
      </c>
      <c r="AF40" s="309"/>
      <c r="AG40" s="443"/>
      <c r="AH40" s="302">
        <f>BD.PD510[[#This Row],[Av.P4 '[%']]]*BD.PD510[[#This Row],[Ppto. Orden Interna '[DOP']]]</f>
        <v>0</v>
      </c>
      <c r="AI40" s="309"/>
      <c r="AJ40" s="443"/>
      <c r="AK40" s="302">
        <f>BD.PD510[[#This Row],[Av.P5 '[%']]]*BD.PD510[[#This Row],[Ppto. Orden Interna '[DOP']]]</f>
        <v>0</v>
      </c>
      <c r="AL40" s="444">
        <f>BD.PD510[[#This Row],[Pago 5]]+BD.PD510[[#This Row],[Pago 4]]+BD.PD510[[#This Row],[Pago 3]]+BD.PD510[[#This Row],[Pago 2]]+BD.PD510[[#This Row],[Pago 1]]</f>
        <v>43333.5</v>
      </c>
      <c r="AM40" s="404"/>
    </row>
    <row r="41" spans="1:241" hidden="1" x14ac:dyDescent="0.3">
      <c r="A41" s="231">
        <v>8.06</v>
      </c>
      <c r="B41" s="288"/>
      <c r="C41" s="289" t="e">
        <f>VLOOKUP(BD.PD510[[#This Row],[Pos]],[16]!PPto[#Data],3,FALSE)</f>
        <v>#REF!</v>
      </c>
      <c r="D41" s="290" t="s">
        <v>1129</v>
      </c>
      <c r="E41" s="291" t="str">
        <f>IF(BD.PD510[[#This Row],[.]]="*",VLOOKUP(BD.PD510[[#This Row],[Pos]],[16]Presupuesto!A:H,7,FALSE),"")</f>
        <v/>
      </c>
      <c r="F41" s="292" t="s">
        <v>1099</v>
      </c>
      <c r="G41" s="292"/>
      <c r="H41" s="292"/>
      <c r="I41" s="437">
        <v>2</v>
      </c>
      <c r="J41" s="231" t="s">
        <v>581</v>
      </c>
      <c r="K41" s="438">
        <f>IF(BD.PD510[[#This Row],[Mon]]="DOP",1,HLOOKUP(BD.PD510[[#This Row],[Mon]],$J$1:$K$2,2,FALSE))</f>
        <v>1</v>
      </c>
      <c r="L41" s="439">
        <v>24576.28</v>
      </c>
      <c r="M41" s="302">
        <f>BD.PD510[[#This Row],[Cant.]]*BD.PD510[[#This Row],[ Tasa ]]*BD.PD510[[#This Row],[ Precio Und.]]</f>
        <v>49152.56</v>
      </c>
      <c r="N41" s="440">
        <v>0</v>
      </c>
      <c r="O41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41" s="302">
        <f>BD.PD510[[#This Row],[Ppto. Orden Interna '[DOP']]]/HLOOKUP("USD",$J$1:$K$2,2,FALSE)</f>
        <v>788.33295910184438</v>
      </c>
      <c r="Q41" s="425" t="s">
        <v>1100</v>
      </c>
      <c r="R41" s="425"/>
      <c r="S41" s="425"/>
      <c r="T41" s="425"/>
      <c r="U41" s="425"/>
      <c r="V41" s="292" t="s">
        <v>1100</v>
      </c>
      <c r="W41" s="441"/>
      <c r="X41" s="442"/>
      <c r="Y41" s="302">
        <f>BD.PD510[[#This Row],[Av.P1 '[%']]]*BD.PD510[[#This Row],[Ppto. Orden Interna '[DOP']]]</f>
        <v>0</v>
      </c>
      <c r="Z41" s="309"/>
      <c r="AA41" s="443"/>
      <c r="AB41" s="302">
        <f>BD.PD510[[#This Row],[Av.P2 '[%']]]*BD.PD510[[#This Row],[Ppto. Orden Interna '[DOP']]]</f>
        <v>0</v>
      </c>
      <c r="AC41" s="309"/>
      <c r="AD41" s="443"/>
      <c r="AE41" s="302">
        <f>BD.PD510[[#This Row],[Av.P3 '[%']]]*BD.PD510[[#This Row],[Ppto. Orden Interna '[DOP']]]</f>
        <v>0</v>
      </c>
      <c r="AF41" s="309"/>
      <c r="AG41" s="443"/>
      <c r="AH41" s="302">
        <f>BD.PD510[[#This Row],[Av.P4 '[%']]]*BD.PD510[[#This Row],[Ppto. Orden Interna '[DOP']]]</f>
        <v>0</v>
      </c>
      <c r="AI41" s="309"/>
      <c r="AJ41" s="443"/>
      <c r="AK41" s="302">
        <f>BD.PD510[[#This Row],[Av.P5 '[%']]]*BD.PD510[[#This Row],[Ppto. Orden Interna '[DOP']]]</f>
        <v>0</v>
      </c>
      <c r="AL41" s="444">
        <f>BD.PD510[[#This Row],[Pago 5]]+BD.PD510[[#This Row],[Pago 4]]+BD.PD510[[#This Row],[Pago 3]]+BD.PD510[[#This Row],[Pago 2]]+BD.PD510[[#This Row],[Pago 1]]</f>
        <v>0</v>
      </c>
      <c r="AM41" s="404"/>
    </row>
    <row r="42" spans="1:241" hidden="1" x14ac:dyDescent="0.3">
      <c r="A42" s="231">
        <v>8.06</v>
      </c>
      <c r="B42" s="288"/>
      <c r="C42" s="289" t="e">
        <f>VLOOKUP(BD.PD510[[#This Row],[Pos]],[16]!PPto[#Data],3,FALSE)</f>
        <v>#REF!</v>
      </c>
      <c r="D42" s="290" t="s">
        <v>1129</v>
      </c>
      <c r="E42" s="291" t="str">
        <f>IF(BD.PD510[[#This Row],[.]]="*",VLOOKUP(BD.PD510[[#This Row],[Pos]],[16]Presupuesto!A:H,7,FALSE),"")</f>
        <v/>
      </c>
      <c r="F42" s="292" t="s">
        <v>1101</v>
      </c>
      <c r="G42" s="292"/>
      <c r="H42" s="292"/>
      <c r="I42" s="437">
        <v>1</v>
      </c>
      <c r="J42" s="231" t="s">
        <v>581</v>
      </c>
      <c r="K42" s="438">
        <f>IF(BD.PD510[[#This Row],[Mon]]="DOP",1,HLOOKUP(BD.PD510[[#This Row],[Mon]],$J$1:$K$2,2,FALSE))</f>
        <v>1</v>
      </c>
      <c r="L42" s="439">
        <v>400000</v>
      </c>
      <c r="M42" s="302">
        <f>BD.PD510[[#This Row],[Cant.]]*BD.PD510[[#This Row],[ Tasa ]]*BD.PD510[[#This Row],[ Precio Und.]]</f>
        <v>400000</v>
      </c>
      <c r="N42" s="440">
        <v>0</v>
      </c>
      <c r="O42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42" s="302">
        <f>BD.PD510[[#This Row],[Ppto. Orden Interna '[DOP']]]/HLOOKUP("USD",$J$1:$K$2,2,FALSE)</f>
        <v>6415.3969526864475</v>
      </c>
      <c r="Q42" s="425" t="s">
        <v>1102</v>
      </c>
      <c r="R42" s="425"/>
      <c r="S42" s="425"/>
      <c r="T42" s="425"/>
      <c r="U42" s="425"/>
      <c r="V42" s="292" t="s">
        <v>1102</v>
      </c>
      <c r="W42" s="441">
        <v>1</v>
      </c>
      <c r="X42" s="442">
        <v>0.6</v>
      </c>
      <c r="Y42" s="302">
        <f>BD.PD510[[#This Row],[Av.P1 '[%']]]*BD.PD510[[#This Row],[Ppto. Orden Interna '[DOP']]]</f>
        <v>240000</v>
      </c>
      <c r="Z42" s="309">
        <v>3</v>
      </c>
      <c r="AA42" s="443">
        <v>0.4</v>
      </c>
      <c r="AB42" s="302">
        <f>BD.PD510[[#This Row],[Av.P2 '[%']]]*BD.PD510[[#This Row],[Ppto. Orden Interna '[DOP']]]</f>
        <v>160000</v>
      </c>
      <c r="AC42" s="309"/>
      <c r="AD42" s="443"/>
      <c r="AE42" s="302">
        <f>BD.PD510[[#This Row],[Av.P3 '[%']]]*BD.PD510[[#This Row],[Ppto. Orden Interna '[DOP']]]</f>
        <v>0</v>
      </c>
      <c r="AF42" s="309"/>
      <c r="AG42" s="443"/>
      <c r="AH42" s="302">
        <f>BD.PD510[[#This Row],[Av.P4 '[%']]]*BD.PD510[[#This Row],[Ppto. Orden Interna '[DOP']]]</f>
        <v>0</v>
      </c>
      <c r="AI42" s="309"/>
      <c r="AJ42" s="443"/>
      <c r="AK42" s="302">
        <f>BD.PD510[[#This Row],[Av.P5 '[%']]]*BD.PD510[[#This Row],[Ppto. Orden Interna '[DOP']]]</f>
        <v>0</v>
      </c>
      <c r="AL42" s="444">
        <f>BD.PD510[[#This Row],[Pago 5]]+BD.PD510[[#This Row],[Pago 4]]+BD.PD510[[#This Row],[Pago 3]]+BD.PD510[[#This Row],[Pago 2]]+BD.PD510[[#This Row],[Pago 1]]</f>
        <v>400000</v>
      </c>
      <c r="AM42" s="404"/>
    </row>
    <row r="43" spans="1:241" hidden="1" x14ac:dyDescent="0.3">
      <c r="A43" s="231">
        <v>8.06</v>
      </c>
      <c r="B43" s="288"/>
      <c r="C43" s="289" t="e">
        <f>VLOOKUP(BD.PD510[[#This Row],[Pos]],[16]!PPto[#Data],3,FALSE)</f>
        <v>#REF!</v>
      </c>
      <c r="D43" s="290" t="s">
        <v>1129</v>
      </c>
      <c r="E43" s="291" t="str">
        <f>IF(BD.PD510[[#This Row],[.]]="*",VLOOKUP(BD.PD510[[#This Row],[Pos]],[16]Presupuesto!A:H,7,FALSE),"")</f>
        <v/>
      </c>
      <c r="F43" s="292" t="s">
        <v>1103</v>
      </c>
      <c r="G43" s="292"/>
      <c r="H43" s="292"/>
      <c r="I43" s="437">
        <v>2</v>
      </c>
      <c r="J43" s="231" t="s">
        <v>581</v>
      </c>
      <c r="K43" s="438">
        <f>IF(BD.PD510[[#This Row],[Mon]]="DOP",1,HLOOKUP(BD.PD510[[#This Row],[Mon]],$J$1:$K$2,2,FALSE))</f>
        <v>1</v>
      </c>
      <c r="L43" s="439">
        <v>12000</v>
      </c>
      <c r="M43" s="302">
        <f>BD.PD510[[#This Row],[Cant.]]*BD.PD510[[#This Row],[ Tasa ]]*BD.PD510[[#This Row],[ Precio Und.]]</f>
        <v>24000</v>
      </c>
      <c r="N43" s="440">
        <v>0</v>
      </c>
      <c r="O43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43" s="302">
        <f>BD.PD510[[#This Row],[Ppto. Orden Interna '[DOP']]]/HLOOKUP("USD",$J$1:$K$2,2,FALSE)</f>
        <v>384.92381716118683</v>
      </c>
      <c r="Q43" s="425" t="s">
        <v>1104</v>
      </c>
      <c r="R43" s="425"/>
      <c r="S43" s="425"/>
      <c r="T43" s="425"/>
      <c r="U43" s="425"/>
      <c r="V43" s="292" t="s">
        <v>1104</v>
      </c>
      <c r="W43" s="441"/>
      <c r="X43" s="442"/>
      <c r="Y43" s="302">
        <f>BD.PD510[[#This Row],[Av.P1 '[%']]]*BD.PD510[[#This Row],[Ppto. Orden Interna '[DOP']]]</f>
        <v>0</v>
      </c>
      <c r="Z43" s="309"/>
      <c r="AA43" s="443"/>
      <c r="AB43" s="302">
        <f>BD.PD510[[#This Row],[Av.P2 '[%']]]*BD.PD510[[#This Row],[Ppto. Orden Interna '[DOP']]]</f>
        <v>0</v>
      </c>
      <c r="AC43" s="309"/>
      <c r="AD43" s="443"/>
      <c r="AE43" s="302">
        <f>BD.PD510[[#This Row],[Av.P3 '[%']]]*BD.PD510[[#This Row],[Ppto. Orden Interna '[DOP']]]</f>
        <v>0</v>
      </c>
      <c r="AF43" s="309"/>
      <c r="AG43" s="443"/>
      <c r="AH43" s="302">
        <f>BD.PD510[[#This Row],[Av.P4 '[%']]]*BD.PD510[[#This Row],[Ppto. Orden Interna '[DOP']]]</f>
        <v>0</v>
      </c>
      <c r="AI43" s="309"/>
      <c r="AJ43" s="443"/>
      <c r="AK43" s="302">
        <f>BD.PD510[[#This Row],[Av.P5 '[%']]]*BD.PD510[[#This Row],[Ppto. Orden Interna '[DOP']]]</f>
        <v>0</v>
      </c>
      <c r="AL43" s="444">
        <f>BD.PD510[[#This Row],[Pago 5]]+BD.PD510[[#This Row],[Pago 4]]+BD.PD510[[#This Row],[Pago 3]]+BD.PD510[[#This Row],[Pago 2]]+BD.PD510[[#This Row],[Pago 1]]</f>
        <v>0</v>
      </c>
      <c r="AM43" s="404"/>
    </row>
    <row r="44" spans="1:241" hidden="1" x14ac:dyDescent="0.3">
      <c r="A44" s="231">
        <v>8.06</v>
      </c>
      <c r="B44" s="288"/>
      <c r="C44" s="289" t="e">
        <f>VLOOKUP(BD.PD510[[#This Row],[Pos]],[16]!PPto[#Data],3,FALSE)</f>
        <v>#REF!</v>
      </c>
      <c r="D44" s="290" t="s">
        <v>1129</v>
      </c>
      <c r="E44" s="291" t="str">
        <f>IF(BD.PD510[[#This Row],[.]]="*",VLOOKUP(BD.PD510[[#This Row],[Pos]],[16]Presupuesto!A:H,7,FALSE),"")</f>
        <v/>
      </c>
      <c r="F44" s="292" t="s">
        <v>1105</v>
      </c>
      <c r="G44" s="292"/>
      <c r="H44" s="292"/>
      <c r="I44" s="437">
        <v>1</v>
      </c>
      <c r="J44" s="231" t="s">
        <v>581</v>
      </c>
      <c r="K44" s="438">
        <f>IF(BD.PD510[[#This Row],[Mon]]="DOP",1,HLOOKUP(BD.PD510[[#This Row],[Mon]],$J$1:$K$2,2,FALSE))</f>
        <v>1</v>
      </c>
      <c r="L44" s="439">
        <v>7769</v>
      </c>
      <c r="M44" s="302">
        <f>BD.PD510[[#This Row],[Cant.]]*BD.PD510[[#This Row],[ Tasa ]]*BD.PD510[[#This Row],[ Precio Und.]]</f>
        <v>7769</v>
      </c>
      <c r="N44" s="440">
        <v>0</v>
      </c>
      <c r="O44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44" s="302">
        <f>BD.PD510[[#This Row],[Ppto. Orden Interna '[DOP']]]/HLOOKUP("USD",$J$1:$K$2,2,FALSE)</f>
        <v>124.60304731355252</v>
      </c>
      <c r="Q44" s="425" t="s">
        <v>1106</v>
      </c>
      <c r="R44" s="425"/>
      <c r="S44" s="425"/>
      <c r="T44" s="425"/>
      <c r="U44" s="425"/>
      <c r="V44" s="292" t="s">
        <v>1106</v>
      </c>
      <c r="W44" s="441"/>
      <c r="X44" s="442"/>
      <c r="Y44" s="302">
        <f>BD.PD510[[#This Row],[Av.P1 '[%']]]*BD.PD510[[#This Row],[Ppto. Orden Interna '[DOP']]]</f>
        <v>0</v>
      </c>
      <c r="Z44" s="309"/>
      <c r="AA44" s="443"/>
      <c r="AB44" s="302">
        <f>BD.PD510[[#This Row],[Av.P2 '[%']]]*BD.PD510[[#This Row],[Ppto. Orden Interna '[DOP']]]</f>
        <v>0</v>
      </c>
      <c r="AC44" s="309"/>
      <c r="AD44" s="443"/>
      <c r="AE44" s="302">
        <f>BD.PD510[[#This Row],[Av.P3 '[%']]]*BD.PD510[[#This Row],[Ppto. Orden Interna '[DOP']]]</f>
        <v>0</v>
      </c>
      <c r="AF44" s="309"/>
      <c r="AG44" s="443"/>
      <c r="AH44" s="302">
        <f>BD.PD510[[#This Row],[Av.P4 '[%']]]*BD.PD510[[#This Row],[Ppto. Orden Interna '[DOP']]]</f>
        <v>0</v>
      </c>
      <c r="AI44" s="309"/>
      <c r="AJ44" s="443"/>
      <c r="AK44" s="302">
        <f>BD.PD510[[#This Row],[Av.P5 '[%']]]*BD.PD510[[#This Row],[Ppto. Orden Interna '[DOP']]]</f>
        <v>0</v>
      </c>
      <c r="AL44" s="444">
        <f>BD.PD510[[#This Row],[Pago 5]]+BD.PD510[[#This Row],[Pago 4]]+BD.PD510[[#This Row],[Pago 3]]+BD.PD510[[#This Row],[Pago 2]]+BD.PD510[[#This Row],[Pago 1]]</f>
        <v>0</v>
      </c>
      <c r="AM44" s="404"/>
    </row>
    <row r="45" spans="1:241" hidden="1" x14ac:dyDescent="0.3">
      <c r="A45" s="231">
        <v>8.06</v>
      </c>
      <c r="B45" s="288"/>
      <c r="C45" s="289" t="e">
        <f>VLOOKUP(BD.PD510[[#This Row],[Pos]],[16]!PPto[#Data],3,FALSE)</f>
        <v>#REF!</v>
      </c>
      <c r="D45" s="290" t="s">
        <v>1129</v>
      </c>
      <c r="E45" s="291" t="str">
        <f>IF(BD.PD510[[#This Row],[.]]="*",VLOOKUP(BD.PD510[[#This Row],[Pos]],[16]Presupuesto!A:H,7,FALSE),"")</f>
        <v/>
      </c>
      <c r="F45" s="292" t="s">
        <v>1107</v>
      </c>
      <c r="G45" s="292"/>
      <c r="H45" s="292"/>
      <c r="I45" s="437">
        <v>1</v>
      </c>
      <c r="J45" s="231" t="s">
        <v>581</v>
      </c>
      <c r="K45" s="438">
        <f>IF(BD.PD510[[#This Row],[Mon]]="DOP",1,HLOOKUP(BD.PD510[[#This Row],[Mon]],$J$1:$K$2,2,FALSE))</f>
        <v>1</v>
      </c>
      <c r="L45" s="439">
        <v>5000</v>
      </c>
      <c r="M45" s="302">
        <f>BD.PD510[[#This Row],[Cant.]]*BD.PD510[[#This Row],[ Tasa ]]*BD.PD510[[#This Row],[ Precio Und.]]</f>
        <v>5000</v>
      </c>
      <c r="N45" s="440">
        <v>0</v>
      </c>
      <c r="O45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45" s="302">
        <f>BD.PD510[[#This Row],[Ppto. Orden Interna '[DOP']]]/HLOOKUP("USD",$J$1:$K$2,2,FALSE)</f>
        <v>80.192461908580597</v>
      </c>
      <c r="Q45" s="425"/>
      <c r="R45" s="425"/>
      <c r="S45" s="425"/>
      <c r="T45" s="425"/>
      <c r="U45" s="425"/>
      <c r="V45" s="292"/>
      <c r="W45" s="441"/>
      <c r="X45" s="442"/>
      <c r="Y45" s="302">
        <f>BD.PD510[[#This Row],[Av.P1 '[%']]]*BD.PD510[[#This Row],[Ppto. Orden Interna '[DOP']]]</f>
        <v>0</v>
      </c>
      <c r="Z45" s="309"/>
      <c r="AA45" s="443"/>
      <c r="AB45" s="302">
        <f>BD.PD510[[#This Row],[Av.P2 '[%']]]*BD.PD510[[#This Row],[Ppto. Orden Interna '[DOP']]]</f>
        <v>0</v>
      </c>
      <c r="AC45" s="309"/>
      <c r="AD45" s="443"/>
      <c r="AE45" s="302">
        <f>BD.PD510[[#This Row],[Av.P3 '[%']]]*BD.PD510[[#This Row],[Ppto. Orden Interna '[DOP']]]</f>
        <v>0</v>
      </c>
      <c r="AF45" s="309"/>
      <c r="AG45" s="443"/>
      <c r="AH45" s="302">
        <f>BD.PD510[[#This Row],[Av.P4 '[%']]]*BD.PD510[[#This Row],[Ppto. Orden Interna '[DOP']]]</f>
        <v>0</v>
      </c>
      <c r="AI45" s="309"/>
      <c r="AJ45" s="443"/>
      <c r="AK45" s="302">
        <f>BD.PD510[[#This Row],[Av.P5 '[%']]]*BD.PD510[[#This Row],[Ppto. Orden Interna '[DOP']]]</f>
        <v>0</v>
      </c>
      <c r="AL45" s="444">
        <f>BD.PD510[[#This Row],[Pago 5]]+BD.PD510[[#This Row],[Pago 4]]+BD.PD510[[#This Row],[Pago 3]]+BD.PD510[[#This Row],[Pago 2]]+BD.PD510[[#This Row],[Pago 1]]</f>
        <v>0</v>
      </c>
      <c r="AM45" s="404"/>
    </row>
    <row r="46" spans="1:241" hidden="1" x14ac:dyDescent="0.3">
      <c r="A46" s="231">
        <v>8.06</v>
      </c>
      <c r="B46" s="288"/>
      <c r="C46" s="289" t="e">
        <f>VLOOKUP(BD.PD510[[#This Row],[Pos]],[16]!PPto[#Data],3,FALSE)</f>
        <v>#REF!</v>
      </c>
      <c r="D46" s="290" t="s">
        <v>1129</v>
      </c>
      <c r="E46" s="291" t="str">
        <f>IF(BD.PD510[[#This Row],[.]]="*",VLOOKUP(BD.PD510[[#This Row],[Pos]],[16]Presupuesto!A:H,7,FALSE),"")</f>
        <v/>
      </c>
      <c r="F46" s="292" t="s">
        <v>1108</v>
      </c>
      <c r="G46" s="292"/>
      <c r="H46" s="292"/>
      <c r="I46" s="437">
        <v>1</v>
      </c>
      <c r="J46" s="231" t="s">
        <v>581</v>
      </c>
      <c r="K46" s="438">
        <f>IF(BD.PD510[[#This Row],[Mon]]="DOP",1,HLOOKUP(BD.PD510[[#This Row],[Mon]],$J$1:$K$2,2,FALSE))</f>
        <v>1</v>
      </c>
      <c r="L46" s="439">
        <v>1975</v>
      </c>
      <c r="M46" s="302">
        <f>BD.PD510[[#This Row],[Cant.]]*BD.PD510[[#This Row],[ Tasa ]]*BD.PD510[[#This Row],[ Precio Und.]]</f>
        <v>1975</v>
      </c>
      <c r="N46" s="440">
        <v>0</v>
      </c>
      <c r="O46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46" s="302">
        <f>BD.PD510[[#This Row],[Ppto. Orden Interna '[DOP']]]/HLOOKUP("USD",$J$1:$K$2,2,FALSE)</f>
        <v>31.676022453889335</v>
      </c>
      <c r="Q46" s="425" t="s">
        <v>1109</v>
      </c>
      <c r="R46" s="425"/>
      <c r="S46" s="425"/>
      <c r="T46" s="425"/>
      <c r="U46" s="425"/>
      <c r="V46" s="292" t="s">
        <v>1109</v>
      </c>
      <c r="W46" s="441"/>
      <c r="X46" s="442"/>
      <c r="Y46" s="302">
        <f>BD.PD510[[#This Row],[Av.P1 '[%']]]*BD.PD510[[#This Row],[Ppto. Orden Interna '[DOP']]]</f>
        <v>0</v>
      </c>
      <c r="Z46" s="309"/>
      <c r="AA46" s="443"/>
      <c r="AB46" s="302">
        <f>BD.PD510[[#This Row],[Av.P2 '[%']]]*BD.PD510[[#This Row],[Ppto. Orden Interna '[DOP']]]</f>
        <v>0</v>
      </c>
      <c r="AC46" s="309"/>
      <c r="AD46" s="443"/>
      <c r="AE46" s="302">
        <f>BD.PD510[[#This Row],[Av.P3 '[%']]]*BD.PD510[[#This Row],[Ppto. Orden Interna '[DOP']]]</f>
        <v>0</v>
      </c>
      <c r="AF46" s="309"/>
      <c r="AG46" s="443"/>
      <c r="AH46" s="302">
        <f>BD.PD510[[#This Row],[Av.P4 '[%']]]*BD.PD510[[#This Row],[Ppto. Orden Interna '[DOP']]]</f>
        <v>0</v>
      </c>
      <c r="AI46" s="309"/>
      <c r="AJ46" s="443"/>
      <c r="AK46" s="302">
        <f>BD.PD510[[#This Row],[Av.P5 '[%']]]*BD.PD510[[#This Row],[Ppto. Orden Interna '[DOP']]]</f>
        <v>0</v>
      </c>
      <c r="AL46" s="444">
        <f>BD.PD510[[#This Row],[Pago 5]]+BD.PD510[[#This Row],[Pago 4]]+BD.PD510[[#This Row],[Pago 3]]+BD.PD510[[#This Row],[Pago 2]]+BD.PD510[[#This Row],[Pago 1]]</f>
        <v>0</v>
      </c>
      <c r="AM46" s="404"/>
    </row>
    <row r="47" spans="1:241" hidden="1" x14ac:dyDescent="0.3">
      <c r="A47" s="231">
        <v>8.06</v>
      </c>
      <c r="B47" s="288"/>
      <c r="C47" s="289" t="e">
        <f>VLOOKUP(BD.PD510[[#This Row],[Pos]],[16]!PPto[#Data],3,FALSE)</f>
        <v>#REF!</v>
      </c>
      <c r="D47" s="290" t="s">
        <v>1129</v>
      </c>
      <c r="E47" s="291" t="str">
        <f>IF(BD.PD510[[#This Row],[.]]="*",VLOOKUP(BD.PD510[[#This Row],[Pos]],[16]Presupuesto!A:H,7,FALSE),"")</f>
        <v/>
      </c>
      <c r="F47" s="292" t="s">
        <v>1110</v>
      </c>
      <c r="G47" s="292"/>
      <c r="H47" s="292"/>
      <c r="I47" s="437">
        <v>3</v>
      </c>
      <c r="J47" s="231" t="s">
        <v>581</v>
      </c>
      <c r="K47" s="438">
        <f>IF(BD.PD510[[#This Row],[Mon]]="DOP",1,HLOOKUP(BD.PD510[[#This Row],[Mon]],$J$1:$K$2,2,FALSE))</f>
        <v>1</v>
      </c>
      <c r="L47" s="439">
        <v>5000</v>
      </c>
      <c r="M47" s="302">
        <f>BD.PD510[[#This Row],[Cant.]]*BD.PD510[[#This Row],[ Tasa ]]*BD.PD510[[#This Row],[ Precio Und.]]</f>
        <v>15000</v>
      </c>
      <c r="N47" s="440">
        <v>0</v>
      </c>
      <c r="O47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47" s="302">
        <f>BD.PD510[[#This Row],[Ppto. Orden Interna '[DOP']]]/HLOOKUP("USD",$J$1:$K$2,2,FALSE)</f>
        <v>240.57738572574178</v>
      </c>
      <c r="Q47" s="425" t="s">
        <v>1111</v>
      </c>
      <c r="R47" s="425"/>
      <c r="S47" s="425"/>
      <c r="T47" s="425"/>
      <c r="U47" s="425"/>
      <c r="V47" s="292" t="s">
        <v>1111</v>
      </c>
      <c r="W47" s="441"/>
      <c r="X47" s="442"/>
      <c r="Y47" s="302">
        <f>BD.PD510[[#This Row],[Av.P1 '[%']]]*BD.PD510[[#This Row],[Ppto. Orden Interna '[DOP']]]</f>
        <v>0</v>
      </c>
      <c r="Z47" s="309"/>
      <c r="AA47" s="443"/>
      <c r="AB47" s="302">
        <f>BD.PD510[[#This Row],[Av.P2 '[%']]]*BD.PD510[[#This Row],[Ppto. Orden Interna '[DOP']]]</f>
        <v>0</v>
      </c>
      <c r="AC47" s="309"/>
      <c r="AD47" s="443"/>
      <c r="AE47" s="302">
        <f>BD.PD510[[#This Row],[Av.P3 '[%']]]*BD.PD510[[#This Row],[Ppto. Orden Interna '[DOP']]]</f>
        <v>0</v>
      </c>
      <c r="AF47" s="309"/>
      <c r="AG47" s="443"/>
      <c r="AH47" s="302">
        <f>BD.PD510[[#This Row],[Av.P4 '[%']]]*BD.PD510[[#This Row],[Ppto. Orden Interna '[DOP']]]</f>
        <v>0</v>
      </c>
      <c r="AI47" s="309"/>
      <c r="AJ47" s="443"/>
      <c r="AK47" s="302">
        <f>BD.PD510[[#This Row],[Av.P5 '[%']]]*BD.PD510[[#This Row],[Ppto. Orden Interna '[DOP']]]</f>
        <v>0</v>
      </c>
      <c r="AL47" s="444">
        <f>BD.PD510[[#This Row],[Pago 5]]+BD.PD510[[#This Row],[Pago 4]]+BD.PD510[[#This Row],[Pago 3]]+BD.PD510[[#This Row],[Pago 2]]+BD.PD510[[#This Row],[Pago 1]]</f>
        <v>0</v>
      </c>
      <c r="AM47" s="404"/>
    </row>
    <row r="48" spans="1:241" ht="14.1" hidden="1" customHeight="1" x14ac:dyDescent="0.3">
      <c r="A48" s="231">
        <v>8.06</v>
      </c>
      <c r="B48" s="288"/>
      <c r="C48" s="289" t="e">
        <f>VLOOKUP(BD.PD510[[#This Row],[Pos]],[16]!PPto[#Data],3,FALSE)</f>
        <v>#REF!</v>
      </c>
      <c r="D48" s="290" t="s">
        <v>1129</v>
      </c>
      <c r="E48" s="291" t="str">
        <f>IF(BD.PD510[[#This Row],[.]]="*",VLOOKUP(BD.PD510[[#This Row],[Pos]],[16]Presupuesto!A:H,7,FALSE),"")</f>
        <v/>
      </c>
      <c r="F48" s="292" t="s">
        <v>1112</v>
      </c>
      <c r="G48" s="292"/>
      <c r="H48" s="292"/>
      <c r="I48" s="437">
        <v>1</v>
      </c>
      <c r="J48" s="231" t="s">
        <v>581</v>
      </c>
      <c r="K48" s="438">
        <f>IF(BD.PD510[[#This Row],[Mon]]="DOP",1,HLOOKUP(BD.PD510[[#This Row],[Mon]],$J$1:$K$2,2,FALSE))</f>
        <v>1</v>
      </c>
      <c r="L48" s="439">
        <v>12000</v>
      </c>
      <c r="M48" s="302">
        <f>BD.PD510[[#This Row],[Cant.]]*BD.PD510[[#This Row],[ Tasa ]]*BD.PD510[[#This Row],[ Precio Und.]]</f>
        <v>12000</v>
      </c>
      <c r="N48" s="440">
        <v>0</v>
      </c>
      <c r="O48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48" s="302">
        <f>BD.PD510[[#This Row],[Ppto. Orden Interna '[DOP']]]/HLOOKUP("USD",$J$1:$K$2,2,FALSE)</f>
        <v>192.46190858059342</v>
      </c>
      <c r="Q48" s="425" t="s">
        <v>1111</v>
      </c>
      <c r="R48" s="425"/>
      <c r="S48" s="425"/>
      <c r="T48" s="425"/>
      <c r="U48" s="425"/>
      <c r="V48" s="292" t="s">
        <v>1111</v>
      </c>
      <c r="W48" s="441"/>
      <c r="X48" s="442"/>
      <c r="Y48" s="302">
        <f>BD.PD510[[#This Row],[Av.P1 '[%']]]*BD.PD510[[#This Row],[Ppto. Orden Interna '[DOP']]]</f>
        <v>0</v>
      </c>
      <c r="Z48" s="309"/>
      <c r="AA48" s="443"/>
      <c r="AB48" s="302">
        <f>BD.PD510[[#This Row],[Av.P2 '[%']]]*BD.PD510[[#This Row],[Ppto. Orden Interna '[DOP']]]</f>
        <v>0</v>
      </c>
      <c r="AC48" s="309"/>
      <c r="AD48" s="443"/>
      <c r="AE48" s="302">
        <f>BD.PD510[[#This Row],[Av.P3 '[%']]]*BD.PD510[[#This Row],[Ppto. Orden Interna '[DOP']]]</f>
        <v>0</v>
      </c>
      <c r="AF48" s="309"/>
      <c r="AG48" s="443"/>
      <c r="AH48" s="302">
        <f>BD.PD510[[#This Row],[Av.P4 '[%']]]*BD.PD510[[#This Row],[Ppto. Orden Interna '[DOP']]]</f>
        <v>0</v>
      </c>
      <c r="AI48" s="309"/>
      <c r="AJ48" s="443"/>
      <c r="AK48" s="302">
        <f>BD.PD510[[#This Row],[Av.P5 '[%']]]*BD.PD510[[#This Row],[Ppto. Orden Interna '[DOP']]]</f>
        <v>0</v>
      </c>
      <c r="AL48" s="444">
        <f>BD.PD510[[#This Row],[Pago 5]]+BD.PD510[[#This Row],[Pago 4]]+BD.PD510[[#This Row],[Pago 3]]+BD.PD510[[#This Row],[Pago 2]]+BD.PD510[[#This Row],[Pago 1]]</f>
        <v>0</v>
      </c>
      <c r="AM48" s="404"/>
    </row>
    <row r="49" spans="1:241" hidden="1" x14ac:dyDescent="0.3">
      <c r="A49" s="231">
        <v>8.06</v>
      </c>
      <c r="B49" s="288"/>
      <c r="C49" s="289" t="e">
        <f>VLOOKUP(BD.PD510[[#This Row],[Pos]],[16]!PPto[#Data],3,FALSE)</f>
        <v>#REF!</v>
      </c>
      <c r="D49" s="290" t="s">
        <v>1129</v>
      </c>
      <c r="E49" s="291" t="str">
        <f>IF(BD.PD510[[#This Row],[.]]="*",VLOOKUP(BD.PD510[[#This Row],[Pos]],[16]Presupuesto!A:H,7,FALSE),"")</f>
        <v/>
      </c>
      <c r="F49" s="292" t="s">
        <v>1113</v>
      </c>
      <c r="G49" s="292"/>
      <c r="H49" s="292"/>
      <c r="I49" s="437">
        <v>1</v>
      </c>
      <c r="J49" s="231" t="s">
        <v>581</v>
      </c>
      <c r="K49" s="438">
        <f>IF(BD.PD510[[#This Row],[Mon]]="DOP",1,HLOOKUP(BD.PD510[[#This Row],[Mon]],$J$1:$K$2,2,FALSE))</f>
        <v>1</v>
      </c>
      <c r="L49" s="439">
        <v>3000</v>
      </c>
      <c r="M49" s="302">
        <f>BD.PD510[[#This Row],[Cant.]]*BD.PD510[[#This Row],[ Tasa ]]*BD.PD510[[#This Row],[ Precio Und.]]</f>
        <v>3000</v>
      </c>
      <c r="N49" s="440">
        <v>0</v>
      </c>
      <c r="O49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49" s="302">
        <f>BD.PD510[[#This Row],[Ppto. Orden Interna '[DOP']]]/HLOOKUP("USD",$J$1:$K$2,2,FALSE)</f>
        <v>48.115477145148354</v>
      </c>
      <c r="Q49" s="425" t="s">
        <v>763</v>
      </c>
      <c r="R49" s="425"/>
      <c r="S49" s="425"/>
      <c r="T49" s="425"/>
      <c r="U49" s="425"/>
      <c r="V49" s="292" t="s">
        <v>763</v>
      </c>
      <c r="W49" s="441"/>
      <c r="X49" s="442"/>
      <c r="Y49" s="302">
        <f>BD.PD510[[#This Row],[Av.P1 '[%']]]*BD.PD510[[#This Row],[Ppto. Orden Interna '[DOP']]]</f>
        <v>0</v>
      </c>
      <c r="Z49" s="309"/>
      <c r="AA49" s="443"/>
      <c r="AB49" s="302">
        <f>BD.PD510[[#This Row],[Av.P2 '[%']]]*BD.PD510[[#This Row],[Ppto. Orden Interna '[DOP']]]</f>
        <v>0</v>
      </c>
      <c r="AC49" s="309"/>
      <c r="AD49" s="443"/>
      <c r="AE49" s="302">
        <f>BD.PD510[[#This Row],[Av.P3 '[%']]]*BD.PD510[[#This Row],[Ppto. Orden Interna '[DOP']]]</f>
        <v>0</v>
      </c>
      <c r="AF49" s="309"/>
      <c r="AG49" s="443"/>
      <c r="AH49" s="302">
        <f>BD.PD510[[#This Row],[Av.P4 '[%']]]*BD.PD510[[#This Row],[Ppto. Orden Interna '[DOP']]]</f>
        <v>0</v>
      </c>
      <c r="AI49" s="309"/>
      <c r="AJ49" s="443"/>
      <c r="AK49" s="302">
        <f>BD.PD510[[#This Row],[Av.P5 '[%']]]*BD.PD510[[#This Row],[Ppto. Orden Interna '[DOP']]]</f>
        <v>0</v>
      </c>
      <c r="AL49" s="444">
        <f>BD.PD510[[#This Row],[Pago 5]]+BD.PD510[[#This Row],[Pago 4]]+BD.PD510[[#This Row],[Pago 3]]+BD.PD510[[#This Row],[Pago 2]]+BD.PD510[[#This Row],[Pago 1]]</f>
        <v>0</v>
      </c>
      <c r="AM49" s="404"/>
    </row>
    <row r="50" spans="1:241" hidden="1" x14ac:dyDescent="0.3">
      <c r="A50" s="231">
        <v>8.06</v>
      </c>
      <c r="B50" s="288"/>
      <c r="C50" s="289" t="e">
        <f>VLOOKUP(BD.PD510[[#This Row],[Pos]],[16]!PPto[#Data],3,FALSE)</f>
        <v>#REF!</v>
      </c>
      <c r="D50" s="290" t="s">
        <v>1129</v>
      </c>
      <c r="E50" s="291" t="str">
        <f>IF(BD.PD510[[#This Row],[.]]="*",VLOOKUP(BD.PD510[[#This Row],[Pos]],[16]Presupuesto!A:H,7,FALSE),"")</f>
        <v/>
      </c>
      <c r="F50" s="292" t="s">
        <v>1114</v>
      </c>
      <c r="G50" s="292"/>
      <c r="H50" s="292"/>
      <c r="I50" s="437">
        <v>1</v>
      </c>
      <c r="J50" s="231" t="s">
        <v>581</v>
      </c>
      <c r="K50" s="438">
        <f>IF(BD.PD510[[#This Row],[Mon]]="DOP",1,HLOOKUP(BD.PD510[[#This Row],[Mon]],$J$1:$K$2,2,FALSE))</f>
        <v>1</v>
      </c>
      <c r="L50" s="439">
        <v>30000</v>
      </c>
      <c r="M50" s="302">
        <f>BD.PD510[[#This Row],[Cant.]]*BD.PD510[[#This Row],[ Tasa ]]*BD.PD510[[#This Row],[ Precio Und.]]</f>
        <v>30000</v>
      </c>
      <c r="N50" s="440">
        <v>0</v>
      </c>
      <c r="O50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50" s="302">
        <f>BD.PD510[[#This Row],[Ppto. Orden Interna '[DOP']]]/HLOOKUP("USD",$J$1:$K$2,2,FALSE)</f>
        <v>481.15477145148355</v>
      </c>
      <c r="Q50" s="425"/>
      <c r="R50" s="425"/>
      <c r="S50" s="425"/>
      <c r="T50" s="425"/>
      <c r="U50" s="425"/>
      <c r="V50" s="292"/>
      <c r="W50" s="441"/>
      <c r="X50" s="442"/>
      <c r="Y50" s="302">
        <f>BD.PD510[[#This Row],[Av.P1 '[%']]]*BD.PD510[[#This Row],[Ppto. Orden Interna '[DOP']]]</f>
        <v>0</v>
      </c>
      <c r="Z50" s="309"/>
      <c r="AA50" s="443"/>
      <c r="AB50" s="302">
        <f>BD.PD510[[#This Row],[Av.P2 '[%']]]*BD.PD510[[#This Row],[Ppto. Orden Interna '[DOP']]]</f>
        <v>0</v>
      </c>
      <c r="AC50" s="309"/>
      <c r="AD50" s="443"/>
      <c r="AE50" s="302">
        <f>BD.PD510[[#This Row],[Av.P3 '[%']]]*BD.PD510[[#This Row],[Ppto. Orden Interna '[DOP']]]</f>
        <v>0</v>
      </c>
      <c r="AF50" s="309"/>
      <c r="AG50" s="443"/>
      <c r="AH50" s="302">
        <f>BD.PD510[[#This Row],[Av.P4 '[%']]]*BD.PD510[[#This Row],[Ppto. Orden Interna '[DOP']]]</f>
        <v>0</v>
      </c>
      <c r="AI50" s="309"/>
      <c r="AJ50" s="443"/>
      <c r="AK50" s="302">
        <f>BD.PD510[[#This Row],[Av.P5 '[%']]]*BD.PD510[[#This Row],[Ppto. Orden Interna '[DOP']]]</f>
        <v>0</v>
      </c>
      <c r="AL50" s="444">
        <f>BD.PD510[[#This Row],[Pago 5]]+BD.PD510[[#This Row],[Pago 4]]+BD.PD510[[#This Row],[Pago 3]]+BD.PD510[[#This Row],[Pago 2]]+BD.PD510[[#This Row],[Pago 1]]</f>
        <v>0</v>
      </c>
      <c r="AM50" s="404"/>
    </row>
    <row r="51" spans="1:241" hidden="1" x14ac:dyDescent="0.3">
      <c r="A51" s="231">
        <v>8.06</v>
      </c>
      <c r="B51" s="288"/>
      <c r="C51" s="289" t="e">
        <f>VLOOKUP(BD.PD510[[#This Row],[Pos]],[16]!PPto[#Data],3,FALSE)</f>
        <v>#REF!</v>
      </c>
      <c r="D51" s="290" t="s">
        <v>1129</v>
      </c>
      <c r="E51" s="291" t="str">
        <f>IF(BD.PD510[[#This Row],[.]]="*",VLOOKUP(BD.PD510[[#This Row],[Pos]],[16]Presupuesto!A:H,7,FALSE),"")</f>
        <v/>
      </c>
      <c r="F51" s="292" t="s">
        <v>1115</v>
      </c>
      <c r="G51" s="292"/>
      <c r="H51" s="292"/>
      <c r="I51" s="437">
        <v>2</v>
      </c>
      <c r="J51" s="231" t="s">
        <v>526</v>
      </c>
      <c r="K51" s="438">
        <f>IF(BD.PD510[[#This Row],[Mon]]="DOP",1,HLOOKUP(BD.PD510[[#This Row],[Mon]],$J$1:$K$2,2,FALSE))</f>
        <v>73.3</v>
      </c>
      <c r="L51" s="439">
        <v>4850</v>
      </c>
      <c r="M51" s="302">
        <f>BD.PD510[[#This Row],[Cant.]]*BD.PD510[[#This Row],[ Tasa ]]*BD.PD510[[#This Row],[ Precio Und.]]</f>
        <v>711010</v>
      </c>
      <c r="N51" s="440">
        <v>0.15</v>
      </c>
      <c r="O51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51" s="302">
        <f>BD.PD510[[#This Row],[Ppto. Orden Interna '[DOP']]]/HLOOKUP("USD",$J$1:$K$2,2,FALSE)</f>
        <v>13114.057738572574</v>
      </c>
      <c r="Q51" s="425" t="s">
        <v>1090</v>
      </c>
      <c r="R51" s="425"/>
      <c r="S51" s="425"/>
      <c r="T51" s="425"/>
      <c r="U51" s="425"/>
      <c r="V51" s="292" t="s">
        <v>1090</v>
      </c>
      <c r="W51" s="441">
        <v>1</v>
      </c>
      <c r="X51" s="442">
        <v>1</v>
      </c>
      <c r="Y51" s="302">
        <f>BD.PD510[[#This Row],[Av.P1 '[%']]]*BD.PD510[[#This Row],[Ppto. Orden Interna '[DOP']]]</f>
        <v>817661.5</v>
      </c>
      <c r="Z51" s="309"/>
      <c r="AA51" s="443"/>
      <c r="AB51" s="302">
        <f>BD.PD510[[#This Row],[Av.P2 '[%']]]*BD.PD510[[#This Row],[Ppto. Orden Interna '[DOP']]]</f>
        <v>0</v>
      </c>
      <c r="AC51" s="309"/>
      <c r="AD51" s="443"/>
      <c r="AE51" s="302">
        <f>BD.PD510[[#This Row],[Av.P3 '[%']]]*BD.PD510[[#This Row],[Ppto. Orden Interna '[DOP']]]</f>
        <v>0</v>
      </c>
      <c r="AF51" s="309"/>
      <c r="AG51" s="443"/>
      <c r="AH51" s="302">
        <f>BD.PD510[[#This Row],[Av.P4 '[%']]]*BD.PD510[[#This Row],[Ppto. Orden Interna '[DOP']]]</f>
        <v>0</v>
      </c>
      <c r="AI51" s="309"/>
      <c r="AJ51" s="443"/>
      <c r="AK51" s="302">
        <f>BD.PD510[[#This Row],[Av.P5 '[%']]]*BD.PD510[[#This Row],[Ppto. Orden Interna '[DOP']]]</f>
        <v>0</v>
      </c>
      <c r="AL51" s="444">
        <f>BD.PD510[[#This Row],[Pago 5]]+BD.PD510[[#This Row],[Pago 4]]+BD.PD510[[#This Row],[Pago 3]]+BD.PD510[[#This Row],[Pago 2]]+BD.PD510[[#This Row],[Pago 1]]</f>
        <v>817661.5</v>
      </c>
      <c r="AM51" s="404"/>
    </row>
    <row r="52" spans="1:241" hidden="1" x14ac:dyDescent="0.3">
      <c r="A52" s="231">
        <v>8.06</v>
      </c>
      <c r="B52" s="288"/>
      <c r="C52" s="289" t="e">
        <f>VLOOKUP(BD.PD510[[#This Row],[Pos]],[16]!PPto[#Data],3,FALSE)</f>
        <v>#REF!</v>
      </c>
      <c r="D52" s="290" t="s">
        <v>1129</v>
      </c>
      <c r="E52" s="291" t="str">
        <f>IF(BD.PD510[[#This Row],[.]]="*",VLOOKUP(BD.PD510[[#This Row],[Pos]],[16]Presupuesto!A:H,7,FALSE),"")</f>
        <v/>
      </c>
      <c r="F52" s="292" t="s">
        <v>1116</v>
      </c>
      <c r="G52" s="292"/>
      <c r="H52" s="292"/>
      <c r="I52" s="437">
        <v>1</v>
      </c>
      <c r="J52" s="231" t="s">
        <v>526</v>
      </c>
      <c r="K52" s="438">
        <f>IF(BD.PD510[[#This Row],[Mon]]="DOP",1,HLOOKUP(BD.PD510[[#This Row],[Mon]],$J$1:$K$2,2,FALSE))</f>
        <v>73.3</v>
      </c>
      <c r="L52" s="439">
        <v>2225</v>
      </c>
      <c r="M52" s="302">
        <f>BD.PD510[[#This Row],[Cant.]]*BD.PD510[[#This Row],[ Tasa ]]*BD.PD510[[#This Row],[ Precio Und.]]</f>
        <v>163092.5</v>
      </c>
      <c r="N52" s="440">
        <v>0.15</v>
      </c>
      <c r="O52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52" s="302">
        <f>BD.PD510[[#This Row],[Ppto. Orden Interna '[DOP']]]/HLOOKUP("USD",$J$1:$K$2,2,FALSE)</f>
        <v>3008.1214915797914</v>
      </c>
      <c r="Q52" s="425" t="s">
        <v>1090</v>
      </c>
      <c r="R52" s="425"/>
      <c r="S52" s="425"/>
      <c r="T52" s="425"/>
      <c r="U52" s="425"/>
      <c r="V52" s="292" t="s">
        <v>1090</v>
      </c>
      <c r="W52" s="441">
        <v>1</v>
      </c>
      <c r="X52" s="442">
        <v>1</v>
      </c>
      <c r="Y52" s="302">
        <f>BD.PD510[[#This Row],[Av.P1 '[%']]]*BD.PD510[[#This Row],[Ppto. Orden Interna '[DOP']]]</f>
        <v>187556.375</v>
      </c>
      <c r="Z52" s="309"/>
      <c r="AA52" s="443"/>
      <c r="AB52" s="302">
        <f>BD.PD510[[#This Row],[Av.P2 '[%']]]*BD.PD510[[#This Row],[Ppto. Orden Interna '[DOP']]]</f>
        <v>0</v>
      </c>
      <c r="AC52" s="309"/>
      <c r="AD52" s="443"/>
      <c r="AE52" s="302">
        <f>BD.PD510[[#This Row],[Av.P3 '[%']]]*BD.PD510[[#This Row],[Ppto. Orden Interna '[DOP']]]</f>
        <v>0</v>
      </c>
      <c r="AF52" s="309"/>
      <c r="AG52" s="443"/>
      <c r="AH52" s="302">
        <f>BD.PD510[[#This Row],[Av.P4 '[%']]]*BD.PD510[[#This Row],[Ppto. Orden Interna '[DOP']]]</f>
        <v>0</v>
      </c>
      <c r="AI52" s="309"/>
      <c r="AJ52" s="443"/>
      <c r="AK52" s="302">
        <f>BD.PD510[[#This Row],[Av.P5 '[%']]]*BD.PD510[[#This Row],[Ppto. Orden Interna '[DOP']]]</f>
        <v>0</v>
      </c>
      <c r="AL52" s="444">
        <f>BD.PD510[[#This Row],[Pago 5]]+BD.PD510[[#This Row],[Pago 4]]+BD.PD510[[#This Row],[Pago 3]]+BD.PD510[[#This Row],[Pago 2]]+BD.PD510[[#This Row],[Pago 1]]</f>
        <v>187556.375</v>
      </c>
      <c r="AM52" s="404"/>
    </row>
    <row r="53" spans="1:241" hidden="1" x14ac:dyDescent="0.3">
      <c r="A53" s="231">
        <v>8.06</v>
      </c>
      <c r="B53" s="288"/>
      <c r="C53" s="289" t="e">
        <f>VLOOKUP(BD.PD510[[#This Row],[Pos]],[16]!PPto[#Data],3,FALSE)</f>
        <v>#REF!</v>
      </c>
      <c r="D53" s="290" t="s">
        <v>1129</v>
      </c>
      <c r="E53" s="291" t="str">
        <f>IF(BD.PD510[[#This Row],[.]]="*",VLOOKUP(BD.PD510[[#This Row],[Pos]],[16]Presupuesto!A:H,7,FALSE),"")</f>
        <v/>
      </c>
      <c r="F53" s="292" t="s">
        <v>1117</v>
      </c>
      <c r="G53" s="292"/>
      <c r="H53" s="292"/>
      <c r="I53" s="437">
        <v>1</v>
      </c>
      <c r="J53" s="231" t="s">
        <v>581</v>
      </c>
      <c r="K53" s="438">
        <f>IF(BD.PD510[[#This Row],[Mon]]="DOP",1,HLOOKUP(BD.PD510[[#This Row],[Mon]],$J$1:$K$2,2,FALSE))</f>
        <v>1</v>
      </c>
      <c r="L53" s="439">
        <v>10588.98</v>
      </c>
      <c r="M53" s="302">
        <f>BD.PD510[[#This Row],[Cant.]]*BD.PD510[[#This Row],[ Tasa ]]*BD.PD510[[#This Row],[ Precio Und.]]</f>
        <v>10588.98</v>
      </c>
      <c r="N53" s="440">
        <v>0</v>
      </c>
      <c r="O53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53" s="302">
        <f>BD.PD510[[#This Row],[Ppto. Orden Interna '[DOP']]]/HLOOKUP("USD",$J$1:$K$2,2,FALSE)</f>
        <v>169.83127506014435</v>
      </c>
      <c r="Q53" s="425" t="s">
        <v>1118</v>
      </c>
      <c r="R53" s="425"/>
      <c r="S53" s="425"/>
      <c r="T53" s="425"/>
      <c r="U53" s="425"/>
      <c r="V53" s="292" t="s">
        <v>1118</v>
      </c>
      <c r="W53" s="441">
        <v>1</v>
      </c>
      <c r="X53" s="442">
        <v>1</v>
      </c>
      <c r="Y53" s="302">
        <f>BD.PD510[[#This Row],[Av.P1 '[%']]]*BD.PD510[[#This Row],[Ppto. Orden Interna '[DOP']]]</f>
        <v>10588.98</v>
      </c>
      <c r="Z53" s="309"/>
      <c r="AA53" s="443"/>
      <c r="AB53" s="302">
        <f>BD.PD510[[#This Row],[Av.P2 '[%']]]*BD.PD510[[#This Row],[Ppto. Orden Interna '[DOP']]]</f>
        <v>0</v>
      </c>
      <c r="AC53" s="309"/>
      <c r="AD53" s="443"/>
      <c r="AE53" s="302">
        <f>BD.PD510[[#This Row],[Av.P3 '[%']]]*BD.PD510[[#This Row],[Ppto. Orden Interna '[DOP']]]</f>
        <v>0</v>
      </c>
      <c r="AF53" s="309"/>
      <c r="AG53" s="443"/>
      <c r="AH53" s="302">
        <f>BD.PD510[[#This Row],[Av.P4 '[%']]]*BD.PD510[[#This Row],[Ppto. Orden Interna '[DOP']]]</f>
        <v>0</v>
      </c>
      <c r="AI53" s="309"/>
      <c r="AJ53" s="443"/>
      <c r="AK53" s="302">
        <f>BD.PD510[[#This Row],[Av.P5 '[%']]]*BD.PD510[[#This Row],[Ppto. Orden Interna '[DOP']]]</f>
        <v>0</v>
      </c>
      <c r="AL53" s="444">
        <f>BD.PD510[[#This Row],[Pago 5]]+BD.PD510[[#This Row],[Pago 4]]+BD.PD510[[#This Row],[Pago 3]]+BD.PD510[[#This Row],[Pago 2]]+BD.PD510[[#This Row],[Pago 1]]</f>
        <v>10588.98</v>
      </c>
      <c r="AM53" s="404"/>
    </row>
    <row r="54" spans="1:241" hidden="1" x14ac:dyDescent="0.3">
      <c r="A54" s="231">
        <v>8.06</v>
      </c>
      <c r="B54" s="288"/>
      <c r="C54" s="289" t="e">
        <f>VLOOKUP(BD.PD510[[#This Row],[Pos]],[16]!PPto[#Data],3,FALSE)</f>
        <v>#REF!</v>
      </c>
      <c r="D54" s="290" t="s">
        <v>1129</v>
      </c>
      <c r="E54" s="291" t="str">
        <f>IF(BD.PD510[[#This Row],[.]]="*",VLOOKUP(BD.PD510[[#This Row],[Pos]],[16]Presupuesto!A:H,7,FALSE),"")</f>
        <v/>
      </c>
      <c r="F54" s="292" t="s">
        <v>1119</v>
      </c>
      <c r="G54" s="292"/>
      <c r="H54" s="292"/>
      <c r="I54" s="437">
        <v>1</v>
      </c>
      <c r="J54" s="231" t="s">
        <v>581</v>
      </c>
      <c r="K54" s="438">
        <f>IF(BD.PD510[[#This Row],[Mon]]="DOP",1,HLOOKUP(BD.PD510[[#This Row],[Mon]],$J$1:$K$2,2,FALSE))</f>
        <v>1</v>
      </c>
      <c r="L54" s="439">
        <v>40500</v>
      </c>
      <c r="M54" s="302">
        <f>BD.PD510[[#This Row],[Cant.]]*BD.PD510[[#This Row],[ Tasa ]]*BD.PD510[[#This Row],[ Precio Und.]]</f>
        <v>40500</v>
      </c>
      <c r="N54" s="440">
        <v>0</v>
      </c>
      <c r="O54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54" s="302">
        <f>BD.PD510[[#This Row],[Ppto. Orden Interna '[DOP']]]/HLOOKUP("USD",$J$1:$K$2,2,FALSE)</f>
        <v>649.55894145950276</v>
      </c>
      <c r="Q54" s="425" t="s">
        <v>1120</v>
      </c>
      <c r="R54" s="425"/>
      <c r="S54" s="425"/>
      <c r="T54" s="425"/>
      <c r="U54" s="425"/>
      <c r="V54" s="292" t="s">
        <v>1120</v>
      </c>
      <c r="W54" s="441">
        <v>1</v>
      </c>
      <c r="X54" s="442">
        <v>0.6</v>
      </c>
      <c r="Y54" s="302">
        <f>BD.PD510[[#This Row],[Av.P1 '[%']]]*BD.PD510[[#This Row],[Ppto. Orden Interna '[DOP']]]</f>
        <v>24300</v>
      </c>
      <c r="Z54" s="309">
        <v>3</v>
      </c>
      <c r="AA54" s="443">
        <v>0.4</v>
      </c>
      <c r="AB54" s="302">
        <f>BD.PD510[[#This Row],[Av.P2 '[%']]]*BD.PD510[[#This Row],[Ppto. Orden Interna '[DOP']]]</f>
        <v>16200</v>
      </c>
      <c r="AC54" s="309"/>
      <c r="AD54" s="443"/>
      <c r="AE54" s="302">
        <f>BD.PD510[[#This Row],[Av.P3 '[%']]]*BD.PD510[[#This Row],[Ppto. Orden Interna '[DOP']]]</f>
        <v>0</v>
      </c>
      <c r="AF54" s="309"/>
      <c r="AG54" s="443"/>
      <c r="AH54" s="302">
        <f>BD.PD510[[#This Row],[Av.P4 '[%']]]*BD.PD510[[#This Row],[Ppto. Orden Interna '[DOP']]]</f>
        <v>0</v>
      </c>
      <c r="AI54" s="309"/>
      <c r="AJ54" s="443"/>
      <c r="AK54" s="302">
        <f>BD.PD510[[#This Row],[Av.P5 '[%']]]*BD.PD510[[#This Row],[Ppto. Orden Interna '[DOP']]]</f>
        <v>0</v>
      </c>
      <c r="AL54" s="444">
        <f>BD.PD510[[#This Row],[Pago 5]]+BD.PD510[[#This Row],[Pago 4]]+BD.PD510[[#This Row],[Pago 3]]+BD.PD510[[#This Row],[Pago 2]]+BD.PD510[[#This Row],[Pago 1]]</f>
        <v>40500</v>
      </c>
      <c r="AM54" s="404"/>
    </row>
    <row r="55" spans="1:241" hidden="1" x14ac:dyDescent="0.3">
      <c r="A55" s="231">
        <v>8.06</v>
      </c>
      <c r="B55" s="288"/>
      <c r="C55" s="289" t="e">
        <f>VLOOKUP(BD.PD510[[#This Row],[Pos]],[16]!PPto[#Data],3,FALSE)</f>
        <v>#REF!</v>
      </c>
      <c r="D55" s="290" t="s">
        <v>1129</v>
      </c>
      <c r="E55" s="291" t="str">
        <f>IF(BD.PD510[[#This Row],[.]]="*",VLOOKUP(BD.PD510[[#This Row],[Pos]],[16]Presupuesto!A:H,7,FALSE),"")</f>
        <v/>
      </c>
      <c r="F55" s="292" t="s">
        <v>1121</v>
      </c>
      <c r="G55" s="292"/>
      <c r="H55" s="292"/>
      <c r="I55" s="437">
        <v>1</v>
      </c>
      <c r="J55" s="231" t="s">
        <v>581</v>
      </c>
      <c r="K55" s="438">
        <f>IF(BD.PD510[[#This Row],[Mon]]="DOP",1,HLOOKUP(BD.PD510[[#This Row],[Mon]],$J$1:$K$2,2,FALSE))</f>
        <v>1</v>
      </c>
      <c r="L55" s="439">
        <v>63000</v>
      </c>
      <c r="M55" s="302">
        <f>BD.PD510[[#This Row],[Cant.]]*BD.PD510[[#This Row],[ Tasa ]]*BD.PD510[[#This Row],[ Precio Und.]]</f>
        <v>63000</v>
      </c>
      <c r="N55" s="440">
        <v>0</v>
      </c>
      <c r="O55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55" s="302">
        <f>BD.PD510[[#This Row],[Ppto. Orden Interna '[DOP']]]/HLOOKUP("USD",$J$1:$K$2,2,FALSE)</f>
        <v>1010.4250200481155</v>
      </c>
      <c r="Q55" s="425" t="s">
        <v>1120</v>
      </c>
      <c r="R55" s="425"/>
      <c r="S55" s="425"/>
      <c r="T55" s="425"/>
      <c r="U55" s="425"/>
      <c r="V55" s="292" t="s">
        <v>1120</v>
      </c>
      <c r="W55" s="441">
        <v>1</v>
      </c>
      <c r="X55" s="442">
        <v>0.6</v>
      </c>
      <c r="Y55" s="302">
        <f>BD.PD510[[#This Row],[Av.P1 '[%']]]*BD.PD510[[#This Row],[Ppto. Orden Interna '[DOP']]]</f>
        <v>37800</v>
      </c>
      <c r="Z55" s="309">
        <v>3</v>
      </c>
      <c r="AA55" s="443">
        <v>0.4</v>
      </c>
      <c r="AB55" s="302">
        <f>BD.PD510[[#This Row],[Av.P2 '[%']]]*BD.PD510[[#This Row],[Ppto. Orden Interna '[DOP']]]</f>
        <v>25200</v>
      </c>
      <c r="AC55" s="309"/>
      <c r="AD55" s="443"/>
      <c r="AE55" s="302">
        <f>BD.PD510[[#This Row],[Av.P3 '[%']]]*BD.PD510[[#This Row],[Ppto. Orden Interna '[DOP']]]</f>
        <v>0</v>
      </c>
      <c r="AF55" s="309"/>
      <c r="AG55" s="443"/>
      <c r="AH55" s="302">
        <f>BD.PD510[[#This Row],[Av.P4 '[%']]]*BD.PD510[[#This Row],[Ppto. Orden Interna '[DOP']]]</f>
        <v>0</v>
      </c>
      <c r="AI55" s="309"/>
      <c r="AJ55" s="443"/>
      <c r="AK55" s="302">
        <f>BD.PD510[[#This Row],[Av.P5 '[%']]]*BD.PD510[[#This Row],[Ppto. Orden Interna '[DOP']]]</f>
        <v>0</v>
      </c>
      <c r="AL55" s="444">
        <f>BD.PD510[[#This Row],[Pago 5]]+BD.PD510[[#This Row],[Pago 4]]+BD.PD510[[#This Row],[Pago 3]]+BD.PD510[[#This Row],[Pago 2]]+BD.PD510[[#This Row],[Pago 1]]</f>
        <v>63000</v>
      </c>
      <c r="AM55" s="404"/>
    </row>
    <row r="56" spans="1:241" hidden="1" x14ac:dyDescent="0.3">
      <c r="A56" s="231">
        <v>8.06</v>
      </c>
      <c r="B56" s="288"/>
      <c r="C56" s="289" t="e">
        <f>VLOOKUP(BD.PD510[[#This Row],[Pos]],[16]!PPto[#Data],3,FALSE)</f>
        <v>#REF!</v>
      </c>
      <c r="D56" s="290" t="s">
        <v>1129</v>
      </c>
      <c r="E56" s="291" t="str">
        <f>IF(BD.PD510[[#This Row],[.]]="*",VLOOKUP(BD.PD510[[#This Row],[Pos]],[16]Presupuesto!A:H,7,FALSE),"")</f>
        <v/>
      </c>
      <c r="F56" s="292" t="s">
        <v>1122</v>
      </c>
      <c r="G56" s="292"/>
      <c r="H56" s="292"/>
      <c r="I56" s="437">
        <v>1</v>
      </c>
      <c r="J56" s="231" t="s">
        <v>526</v>
      </c>
      <c r="K56" s="438">
        <f>IF(BD.PD510[[#This Row],[Mon]]="DOP",1,HLOOKUP(BD.PD510[[#This Row],[Mon]],$J$1:$K$2,2,FALSE))</f>
        <v>73.3</v>
      </c>
      <c r="L56" s="439">
        <v>30060</v>
      </c>
      <c r="M56" s="302">
        <f>BD.PD510[[#This Row],[Cant.]]*BD.PD510[[#This Row],[ Tasa ]]*BD.PD510[[#This Row],[ Precio Und.]]</f>
        <v>2203398</v>
      </c>
      <c r="N56" s="440">
        <v>0.15</v>
      </c>
      <c r="O56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56" s="302">
        <f>BD.PD510[[#This Row],[Ppto. Orden Interna '[DOP']]]/HLOOKUP("USD",$J$1:$K$2,2,FALSE)</f>
        <v>40640.059342421817</v>
      </c>
      <c r="Q56" s="425" t="s">
        <v>1090</v>
      </c>
      <c r="R56" s="425"/>
      <c r="S56" s="425"/>
      <c r="T56" s="425"/>
      <c r="U56" s="425"/>
      <c r="V56" s="292" t="s">
        <v>1090</v>
      </c>
      <c r="W56" s="441">
        <v>1</v>
      </c>
      <c r="X56" s="442">
        <v>1</v>
      </c>
      <c r="Y56" s="302">
        <f>BD.PD510[[#This Row],[Av.P1 '[%']]]*BD.PD510[[#This Row],[Ppto. Orden Interna '[DOP']]]</f>
        <v>2533907.7000000002</v>
      </c>
      <c r="Z56" s="309"/>
      <c r="AA56" s="443"/>
      <c r="AB56" s="302">
        <f>BD.PD510[[#This Row],[Av.P2 '[%']]]*BD.PD510[[#This Row],[Ppto. Orden Interna '[DOP']]]</f>
        <v>0</v>
      </c>
      <c r="AC56" s="309"/>
      <c r="AD56" s="443"/>
      <c r="AE56" s="302">
        <f>BD.PD510[[#This Row],[Av.P3 '[%']]]*BD.PD510[[#This Row],[Ppto. Orden Interna '[DOP']]]</f>
        <v>0</v>
      </c>
      <c r="AF56" s="309"/>
      <c r="AG56" s="443"/>
      <c r="AH56" s="302">
        <f>BD.PD510[[#This Row],[Av.P4 '[%']]]*BD.PD510[[#This Row],[Ppto. Orden Interna '[DOP']]]</f>
        <v>0</v>
      </c>
      <c r="AI56" s="309"/>
      <c r="AJ56" s="443"/>
      <c r="AK56" s="302">
        <f>BD.PD510[[#This Row],[Av.P5 '[%']]]*BD.PD510[[#This Row],[Ppto. Orden Interna '[DOP']]]</f>
        <v>0</v>
      </c>
      <c r="AL56" s="444">
        <f>BD.PD510[[#This Row],[Pago 5]]+BD.PD510[[#This Row],[Pago 4]]+BD.PD510[[#This Row],[Pago 3]]+BD.PD510[[#This Row],[Pago 2]]+BD.PD510[[#This Row],[Pago 1]]</f>
        <v>2533907.7000000002</v>
      </c>
      <c r="AM56" s="404"/>
    </row>
    <row r="57" spans="1:241" hidden="1" x14ac:dyDescent="0.3">
      <c r="A57" s="231">
        <v>8.06</v>
      </c>
      <c r="B57" s="288"/>
      <c r="C57" s="289" t="e">
        <f>VLOOKUP(BD.PD510[[#This Row],[Pos]],[16]!PPto[#Data],3,FALSE)</f>
        <v>#REF!</v>
      </c>
      <c r="D57" s="290" t="s">
        <v>1129</v>
      </c>
      <c r="E57" s="291" t="str">
        <f>IF(BD.PD510[[#This Row],[.]]="*",VLOOKUP(BD.PD510[[#This Row],[Pos]],[16]Presupuesto!A:H,7,FALSE),"")</f>
        <v/>
      </c>
      <c r="F57" s="292" t="s">
        <v>1123</v>
      </c>
      <c r="G57" s="292"/>
      <c r="H57" s="292"/>
      <c r="I57" s="437">
        <v>1</v>
      </c>
      <c r="J57" s="231" t="s">
        <v>526</v>
      </c>
      <c r="K57" s="438">
        <f>IF(BD.PD510[[#This Row],[Mon]]="DOP",1,HLOOKUP(BD.PD510[[#This Row],[Mon]],$J$1:$K$2,2,FALSE))</f>
        <v>73.3</v>
      </c>
      <c r="L57" s="439">
        <v>9505</v>
      </c>
      <c r="M57" s="302">
        <f>BD.PD510[[#This Row],[Cant.]]*BD.PD510[[#This Row],[ Tasa ]]*BD.PD510[[#This Row],[ Precio Und.]]</f>
        <v>696716.5</v>
      </c>
      <c r="N57" s="440">
        <v>0.15</v>
      </c>
      <c r="O57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57" s="302">
        <f>BD.PD510[[#This Row],[Ppto. Orden Interna '[DOP']]]/HLOOKUP("USD",$J$1:$K$2,2,FALSE)</f>
        <v>12850.424619085805</v>
      </c>
      <c r="Q57" s="425" t="s">
        <v>1090</v>
      </c>
      <c r="R57" s="425"/>
      <c r="S57" s="425"/>
      <c r="T57" s="425"/>
      <c r="U57" s="425"/>
      <c r="V57" s="292" t="s">
        <v>1090</v>
      </c>
      <c r="W57" s="441">
        <v>1</v>
      </c>
      <c r="X57" s="442">
        <v>1</v>
      </c>
      <c r="Y57" s="302">
        <f>BD.PD510[[#This Row],[Av.P1 '[%']]]*BD.PD510[[#This Row],[Ppto. Orden Interna '[DOP']]]</f>
        <v>801223.97499999998</v>
      </c>
      <c r="Z57" s="309"/>
      <c r="AA57" s="443"/>
      <c r="AB57" s="302">
        <f>BD.PD510[[#This Row],[Av.P2 '[%']]]*BD.PD510[[#This Row],[Ppto. Orden Interna '[DOP']]]</f>
        <v>0</v>
      </c>
      <c r="AC57" s="309"/>
      <c r="AD57" s="443"/>
      <c r="AE57" s="302">
        <f>BD.PD510[[#This Row],[Av.P3 '[%']]]*BD.PD510[[#This Row],[Ppto. Orden Interna '[DOP']]]</f>
        <v>0</v>
      </c>
      <c r="AF57" s="309"/>
      <c r="AG57" s="443"/>
      <c r="AH57" s="302">
        <f>BD.PD510[[#This Row],[Av.P4 '[%']]]*BD.PD510[[#This Row],[Ppto. Orden Interna '[DOP']]]</f>
        <v>0</v>
      </c>
      <c r="AI57" s="309"/>
      <c r="AJ57" s="443"/>
      <c r="AK57" s="302">
        <f>BD.PD510[[#This Row],[Av.P5 '[%']]]*BD.PD510[[#This Row],[Ppto. Orden Interna '[DOP']]]</f>
        <v>0</v>
      </c>
      <c r="AL57" s="444">
        <f>BD.PD510[[#This Row],[Pago 5]]+BD.PD510[[#This Row],[Pago 4]]+BD.PD510[[#This Row],[Pago 3]]+BD.PD510[[#This Row],[Pago 2]]+BD.PD510[[#This Row],[Pago 1]]</f>
        <v>801223.97499999998</v>
      </c>
      <c r="AM57" s="404"/>
    </row>
    <row r="58" spans="1:241" hidden="1" x14ac:dyDescent="0.3">
      <c r="A58" s="231">
        <v>8.06</v>
      </c>
      <c r="B58" s="288"/>
      <c r="C58" s="289" t="e">
        <f>VLOOKUP(BD.PD510[[#This Row],[Pos]],[16]!PPto[#Data],3,FALSE)</f>
        <v>#REF!</v>
      </c>
      <c r="D58" s="290" t="s">
        <v>1129</v>
      </c>
      <c r="E58" s="291" t="str">
        <f>IF(BD.PD510[[#This Row],[.]]="*",VLOOKUP(BD.PD510[[#This Row],[Pos]],[16]Presupuesto!A:H,7,FALSE),"")</f>
        <v/>
      </c>
      <c r="F58" s="292" t="s">
        <v>1124</v>
      </c>
      <c r="G58" s="292"/>
      <c r="H58" s="292"/>
      <c r="I58" s="437">
        <v>1</v>
      </c>
      <c r="J58" s="231" t="s">
        <v>526</v>
      </c>
      <c r="K58" s="438">
        <f>IF(BD.PD510[[#This Row],[Mon]]="DOP",1,HLOOKUP(BD.PD510[[#This Row],[Mon]],$J$1:$K$2,2,FALSE))</f>
        <v>73.3</v>
      </c>
      <c r="L58" s="439">
        <v>4605</v>
      </c>
      <c r="M58" s="302">
        <f>BD.PD510[[#This Row],[Cant.]]*BD.PD510[[#This Row],[ Tasa ]]*BD.PD510[[#This Row],[ Precio Und.]]</f>
        <v>337546.5</v>
      </c>
      <c r="N58" s="440">
        <v>0.15</v>
      </c>
      <c r="O58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58" s="302">
        <f>BD.PD510[[#This Row],[Ppto. Orden Interna '[DOP']]]/HLOOKUP("USD",$J$1:$K$2,2,FALSE)</f>
        <v>6225.7975140336803</v>
      </c>
      <c r="Q58" s="425" t="s">
        <v>1090</v>
      </c>
      <c r="R58" s="425"/>
      <c r="S58" s="425"/>
      <c r="T58" s="425"/>
      <c r="U58" s="425"/>
      <c r="V58" s="292" t="s">
        <v>1090</v>
      </c>
      <c r="W58" s="441">
        <v>1</v>
      </c>
      <c r="X58" s="442">
        <v>1</v>
      </c>
      <c r="Y58" s="302">
        <f>BD.PD510[[#This Row],[Av.P1 '[%']]]*BD.PD510[[#This Row],[Ppto. Orden Interna '[DOP']]]</f>
        <v>388178.47499999998</v>
      </c>
      <c r="Z58" s="309"/>
      <c r="AA58" s="443"/>
      <c r="AB58" s="302">
        <f>BD.PD510[[#This Row],[Av.P2 '[%']]]*BD.PD510[[#This Row],[Ppto. Orden Interna '[DOP']]]</f>
        <v>0</v>
      </c>
      <c r="AC58" s="309"/>
      <c r="AD58" s="443"/>
      <c r="AE58" s="302">
        <f>BD.PD510[[#This Row],[Av.P3 '[%']]]*BD.PD510[[#This Row],[Ppto. Orden Interna '[DOP']]]</f>
        <v>0</v>
      </c>
      <c r="AF58" s="309"/>
      <c r="AG58" s="443"/>
      <c r="AH58" s="302">
        <f>BD.PD510[[#This Row],[Av.P4 '[%']]]*BD.PD510[[#This Row],[Ppto. Orden Interna '[DOP']]]</f>
        <v>0</v>
      </c>
      <c r="AI58" s="309"/>
      <c r="AJ58" s="443"/>
      <c r="AK58" s="302">
        <f>BD.PD510[[#This Row],[Av.P5 '[%']]]*BD.PD510[[#This Row],[Ppto. Orden Interna '[DOP']]]</f>
        <v>0</v>
      </c>
      <c r="AL58" s="444">
        <f>BD.PD510[[#This Row],[Pago 5]]+BD.PD510[[#This Row],[Pago 4]]+BD.PD510[[#This Row],[Pago 3]]+BD.PD510[[#This Row],[Pago 2]]+BD.PD510[[#This Row],[Pago 1]]</f>
        <v>388178.47499999998</v>
      </c>
      <c r="AM58" s="404"/>
    </row>
    <row r="59" spans="1:241" hidden="1" x14ac:dyDescent="0.3">
      <c r="A59" s="231">
        <v>8.06</v>
      </c>
      <c r="B59" s="288"/>
      <c r="C59" s="289" t="e">
        <f>VLOOKUP(BD.PD510[[#This Row],[Pos]],[16]!PPto[#Data],3,FALSE)</f>
        <v>#REF!</v>
      </c>
      <c r="D59" s="290" t="s">
        <v>1129</v>
      </c>
      <c r="E59" s="291" t="str">
        <f>IF(BD.PD510[[#This Row],[.]]="*",VLOOKUP(BD.PD510[[#This Row],[Pos]],[16]Presupuesto!A:H,7,FALSE),"")</f>
        <v/>
      </c>
      <c r="F59" s="292" t="s">
        <v>1125</v>
      </c>
      <c r="G59" s="292"/>
      <c r="H59" s="292"/>
      <c r="I59" s="437">
        <v>1</v>
      </c>
      <c r="J59" s="231" t="s">
        <v>526</v>
      </c>
      <c r="K59" s="438">
        <f>IF(BD.PD510[[#This Row],[Mon]]="DOP",1,HLOOKUP(BD.PD510[[#This Row],[Mon]],$J$1:$K$2,2,FALSE))</f>
        <v>73.3</v>
      </c>
      <c r="L59" s="439">
        <v>4930</v>
      </c>
      <c r="M59" s="302">
        <f>BD.PD510[[#This Row],[Cant.]]*BD.PD510[[#This Row],[ Tasa ]]*BD.PD510[[#This Row],[ Precio Und.]]</f>
        <v>361369</v>
      </c>
      <c r="N59" s="440">
        <v>0.15</v>
      </c>
      <c r="O59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59" s="302">
        <f>BD.PD510[[#This Row],[Ppto. Orden Interna '[DOP']]]/HLOOKUP("USD",$J$1:$K$2,2,FALSE)</f>
        <v>6665.186046511627</v>
      </c>
      <c r="Q59" s="425" t="s">
        <v>1090</v>
      </c>
      <c r="R59" s="425"/>
      <c r="S59" s="425"/>
      <c r="T59" s="425"/>
      <c r="U59" s="425"/>
      <c r="V59" s="292" t="s">
        <v>1090</v>
      </c>
      <c r="W59" s="441">
        <v>1</v>
      </c>
      <c r="X59" s="442">
        <v>1</v>
      </c>
      <c r="Y59" s="302">
        <f>BD.PD510[[#This Row],[Av.P1 '[%']]]*BD.PD510[[#This Row],[Ppto. Orden Interna '[DOP']]]</f>
        <v>415574.35</v>
      </c>
      <c r="Z59" s="309"/>
      <c r="AA59" s="443"/>
      <c r="AB59" s="302">
        <f>BD.PD510[[#This Row],[Av.P2 '[%']]]*BD.PD510[[#This Row],[Ppto. Orden Interna '[DOP']]]</f>
        <v>0</v>
      </c>
      <c r="AC59" s="309"/>
      <c r="AD59" s="443"/>
      <c r="AE59" s="302">
        <f>BD.PD510[[#This Row],[Av.P3 '[%']]]*BD.PD510[[#This Row],[Ppto. Orden Interna '[DOP']]]</f>
        <v>0</v>
      </c>
      <c r="AF59" s="309"/>
      <c r="AG59" s="443"/>
      <c r="AH59" s="302">
        <f>BD.PD510[[#This Row],[Av.P4 '[%']]]*BD.PD510[[#This Row],[Ppto. Orden Interna '[DOP']]]</f>
        <v>0</v>
      </c>
      <c r="AI59" s="309"/>
      <c r="AJ59" s="443"/>
      <c r="AK59" s="302">
        <f>BD.PD510[[#This Row],[Av.P5 '[%']]]*BD.PD510[[#This Row],[Ppto. Orden Interna '[DOP']]]</f>
        <v>0</v>
      </c>
      <c r="AL59" s="444">
        <f>BD.PD510[[#This Row],[Pago 5]]+BD.PD510[[#This Row],[Pago 4]]+BD.PD510[[#This Row],[Pago 3]]+BD.PD510[[#This Row],[Pago 2]]+BD.PD510[[#This Row],[Pago 1]]</f>
        <v>415574.35</v>
      </c>
      <c r="AM59" s="404"/>
    </row>
    <row r="60" spans="1:241" hidden="1" x14ac:dyDescent="0.3">
      <c r="A60" s="231">
        <v>8.06</v>
      </c>
      <c r="B60" s="288"/>
      <c r="C60" s="289" t="e">
        <f>VLOOKUP(BD.PD510[[#This Row],[Pos]],[16]!PPto[#Data],3,FALSE)</f>
        <v>#REF!</v>
      </c>
      <c r="D60" s="290" t="s">
        <v>1129</v>
      </c>
      <c r="E60" s="291" t="str">
        <f>IF(BD.PD510[[#This Row],[.]]="*",VLOOKUP(BD.PD510[[#This Row],[Pos]],[16]Presupuesto!A:H,7,FALSE),"")</f>
        <v/>
      </c>
      <c r="F60" s="292" t="s">
        <v>1126</v>
      </c>
      <c r="G60" s="292"/>
      <c r="H60" s="292"/>
      <c r="I60" s="437">
        <v>1</v>
      </c>
      <c r="J60" s="231" t="s">
        <v>526</v>
      </c>
      <c r="K60" s="438">
        <f>IF(BD.PD510[[#This Row],[Mon]]="DOP",1,HLOOKUP(BD.PD510[[#This Row],[Mon]],$J$1:$K$2,2,FALSE))</f>
        <v>73.3</v>
      </c>
      <c r="L60" s="439">
        <v>1500</v>
      </c>
      <c r="M60" s="302">
        <f>BD.PD510[[#This Row],[Cant.]]*BD.PD510[[#This Row],[ Tasa ]]*BD.PD510[[#This Row],[ Precio Und.]]</f>
        <v>109950</v>
      </c>
      <c r="N60" s="440">
        <v>0.15</v>
      </c>
      <c r="O60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60" s="302">
        <f>BD.PD510[[#This Row],[Ppto. Orden Interna '[DOP']]]/HLOOKUP("USD",$J$1:$K$2,2,FALSE)</f>
        <v>2027.9470729751404</v>
      </c>
      <c r="Q60" s="425" t="s">
        <v>1090</v>
      </c>
      <c r="R60" s="425"/>
      <c r="S60" s="425"/>
      <c r="T60" s="425"/>
      <c r="U60" s="425"/>
      <c r="V60" s="292" t="s">
        <v>1090</v>
      </c>
      <c r="W60" s="441">
        <v>1</v>
      </c>
      <c r="X60" s="442">
        <v>1</v>
      </c>
      <c r="Y60" s="302">
        <f>BD.PD510[[#This Row],[Av.P1 '[%']]]*BD.PD510[[#This Row],[Ppto. Orden Interna '[DOP']]]</f>
        <v>126442.5</v>
      </c>
      <c r="Z60" s="309"/>
      <c r="AA60" s="443"/>
      <c r="AB60" s="302">
        <f>BD.PD510[[#This Row],[Av.P2 '[%']]]*BD.PD510[[#This Row],[Ppto. Orden Interna '[DOP']]]</f>
        <v>0</v>
      </c>
      <c r="AC60" s="309"/>
      <c r="AD60" s="443"/>
      <c r="AE60" s="302">
        <f>BD.PD510[[#This Row],[Av.P3 '[%']]]*BD.PD510[[#This Row],[Ppto. Orden Interna '[DOP']]]</f>
        <v>0</v>
      </c>
      <c r="AF60" s="309"/>
      <c r="AG60" s="443"/>
      <c r="AH60" s="302">
        <f>BD.PD510[[#This Row],[Av.P4 '[%']]]*BD.PD510[[#This Row],[Ppto. Orden Interna '[DOP']]]</f>
        <v>0</v>
      </c>
      <c r="AI60" s="309"/>
      <c r="AJ60" s="443"/>
      <c r="AK60" s="302">
        <f>BD.PD510[[#This Row],[Av.P5 '[%']]]*BD.PD510[[#This Row],[Ppto. Orden Interna '[DOP']]]</f>
        <v>0</v>
      </c>
      <c r="AL60" s="444">
        <f>BD.PD510[[#This Row],[Pago 5]]+BD.PD510[[#This Row],[Pago 4]]+BD.PD510[[#This Row],[Pago 3]]+BD.PD510[[#This Row],[Pago 2]]+BD.PD510[[#This Row],[Pago 1]]</f>
        <v>126442.5</v>
      </c>
      <c r="AM60" s="404"/>
    </row>
    <row r="61" spans="1:241" hidden="1" x14ac:dyDescent="0.3">
      <c r="A61" s="231">
        <v>8.06</v>
      </c>
      <c r="B61" s="288"/>
      <c r="C61" s="289" t="e">
        <f>VLOOKUP(BD.PD510[[#This Row],[Pos]],[16]!PPto[#Data],3,FALSE)</f>
        <v>#REF!</v>
      </c>
      <c r="D61" s="290" t="s">
        <v>1129</v>
      </c>
      <c r="E61" s="291" t="str">
        <f>IF(BD.PD510[[#This Row],[.]]="*",VLOOKUP(BD.PD510[[#This Row],[Pos]],[16]Presupuesto!A:H,7,FALSE),"")</f>
        <v/>
      </c>
      <c r="F61" s="292" t="s">
        <v>1127</v>
      </c>
      <c r="G61" s="292"/>
      <c r="H61" s="292"/>
      <c r="I61" s="437">
        <v>1</v>
      </c>
      <c r="J61" s="231" t="s">
        <v>581</v>
      </c>
      <c r="K61" s="438">
        <f>IF(BD.PD510[[#This Row],[Mon]]="DOP",1,HLOOKUP(BD.PD510[[#This Row],[Mon]],$J$1:$K$2,2,FALSE))</f>
        <v>1</v>
      </c>
      <c r="L61" s="439">
        <v>50000</v>
      </c>
      <c r="M61" s="302">
        <f>BD.PD510[[#This Row],[Cant.]]*BD.PD510[[#This Row],[ Tasa ]]*BD.PD510[[#This Row],[ Precio Und.]]</f>
        <v>50000</v>
      </c>
      <c r="N61" s="440">
        <v>0</v>
      </c>
      <c r="O61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61" s="302">
        <f>BD.PD510[[#This Row],[Ppto. Orden Interna '[DOP']]]/HLOOKUP("USD",$J$1:$K$2,2,FALSE)</f>
        <v>801.92461908580594</v>
      </c>
      <c r="Q61" s="425" t="s">
        <v>1102</v>
      </c>
      <c r="R61" s="425"/>
      <c r="S61" s="425"/>
      <c r="T61" s="425"/>
      <c r="U61" s="425"/>
      <c r="V61" s="292" t="s">
        <v>1102</v>
      </c>
      <c r="W61" s="441">
        <v>1</v>
      </c>
      <c r="X61" s="442">
        <v>0.6</v>
      </c>
      <c r="Y61" s="302">
        <f>BD.PD510[[#This Row],[Av.P1 '[%']]]*BD.PD510[[#This Row],[Ppto. Orden Interna '[DOP']]]</f>
        <v>30000</v>
      </c>
      <c r="Z61" s="309">
        <v>3</v>
      </c>
      <c r="AA61" s="443">
        <v>0.4</v>
      </c>
      <c r="AB61" s="302">
        <f>BD.PD510[[#This Row],[Av.P2 '[%']]]*BD.PD510[[#This Row],[Ppto. Orden Interna '[DOP']]]</f>
        <v>20000</v>
      </c>
      <c r="AC61" s="309"/>
      <c r="AD61" s="443"/>
      <c r="AE61" s="302">
        <f>BD.PD510[[#This Row],[Av.P3 '[%']]]*BD.PD510[[#This Row],[Ppto. Orden Interna '[DOP']]]</f>
        <v>0</v>
      </c>
      <c r="AF61" s="309"/>
      <c r="AG61" s="443"/>
      <c r="AH61" s="302">
        <f>BD.PD510[[#This Row],[Av.P4 '[%']]]*BD.PD510[[#This Row],[Ppto. Orden Interna '[DOP']]]</f>
        <v>0</v>
      </c>
      <c r="AI61" s="309"/>
      <c r="AJ61" s="443"/>
      <c r="AK61" s="302">
        <f>BD.PD510[[#This Row],[Av.P5 '[%']]]*BD.PD510[[#This Row],[Ppto. Orden Interna '[DOP']]]</f>
        <v>0</v>
      </c>
      <c r="AL61" s="444">
        <f>BD.PD510[[#This Row],[Pago 5]]+BD.PD510[[#This Row],[Pago 4]]+BD.PD510[[#This Row],[Pago 3]]+BD.PD510[[#This Row],[Pago 2]]+BD.PD510[[#This Row],[Pago 1]]</f>
        <v>50000</v>
      </c>
      <c r="AM61" s="404"/>
    </row>
    <row r="62" spans="1:241" hidden="1" x14ac:dyDescent="0.3">
      <c r="A62" s="231">
        <v>8.06</v>
      </c>
      <c r="B62" s="288"/>
      <c r="C62" s="289" t="e">
        <f>VLOOKUP(BD.PD510[[#This Row],[Pos]],[16]!PPto[#Data],3,FALSE)</f>
        <v>#REF!</v>
      </c>
      <c r="D62" s="290" t="s">
        <v>1129</v>
      </c>
      <c r="E62" s="291" t="str">
        <f>IF(BD.PD510[[#This Row],[.]]="*",VLOOKUP(BD.PD510[[#This Row],[Pos]],[16]Presupuesto!A:H,7,FALSE),"")</f>
        <v/>
      </c>
      <c r="F62" s="292" t="s">
        <v>1128</v>
      </c>
      <c r="G62" s="292"/>
      <c r="H62" s="292"/>
      <c r="I62" s="437">
        <v>1</v>
      </c>
      <c r="J62" s="231" t="s">
        <v>581</v>
      </c>
      <c r="K62" s="438">
        <f>IF(BD.PD510[[#This Row],[Mon]]="DOP",1,HLOOKUP(BD.PD510[[#This Row],[Mon]],$J$1:$K$2,2,FALSE))</f>
        <v>1</v>
      </c>
      <c r="L62" s="439">
        <v>80000</v>
      </c>
      <c r="M62" s="302">
        <f>BD.PD510[[#This Row],[Cant.]]*BD.PD510[[#This Row],[ Tasa ]]*BD.PD510[[#This Row],[ Precio Und.]]</f>
        <v>80000</v>
      </c>
      <c r="N62" s="440">
        <v>0</v>
      </c>
      <c r="O62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62" s="302">
        <f>BD.PD510[[#This Row],[Ppto. Orden Interna '[DOP']]]/HLOOKUP("USD",$J$1:$K$2,2,FALSE)</f>
        <v>1283.0793905372896</v>
      </c>
      <c r="Q62" s="425" t="s">
        <v>1102</v>
      </c>
      <c r="R62" s="425"/>
      <c r="S62" s="425"/>
      <c r="T62" s="425"/>
      <c r="U62" s="425"/>
      <c r="V62" s="292" t="s">
        <v>1102</v>
      </c>
      <c r="W62" s="441">
        <v>1</v>
      </c>
      <c r="X62" s="442">
        <v>0.6</v>
      </c>
      <c r="Y62" s="302">
        <f>BD.PD510[[#This Row],[Av.P1 '[%']]]*BD.PD510[[#This Row],[Ppto. Orden Interna '[DOP']]]</f>
        <v>48000</v>
      </c>
      <c r="Z62" s="309">
        <v>3</v>
      </c>
      <c r="AA62" s="443">
        <v>0.4</v>
      </c>
      <c r="AB62" s="302">
        <f>BD.PD510[[#This Row],[Av.P2 '[%']]]*BD.PD510[[#This Row],[Ppto. Orden Interna '[DOP']]]</f>
        <v>32000</v>
      </c>
      <c r="AC62" s="309"/>
      <c r="AD62" s="443"/>
      <c r="AE62" s="302">
        <f>BD.PD510[[#This Row],[Av.P3 '[%']]]*BD.PD510[[#This Row],[Ppto. Orden Interna '[DOP']]]</f>
        <v>0</v>
      </c>
      <c r="AF62" s="309"/>
      <c r="AG62" s="443"/>
      <c r="AH62" s="302">
        <f>BD.PD510[[#This Row],[Av.P4 '[%']]]*BD.PD510[[#This Row],[Ppto. Orden Interna '[DOP']]]</f>
        <v>0</v>
      </c>
      <c r="AI62" s="309"/>
      <c r="AJ62" s="443"/>
      <c r="AK62" s="302">
        <f>BD.PD510[[#This Row],[Av.P5 '[%']]]*BD.PD510[[#This Row],[Ppto. Orden Interna '[DOP']]]</f>
        <v>0</v>
      </c>
      <c r="AL62" s="444">
        <f>BD.PD510[[#This Row],[Pago 5]]+BD.PD510[[#This Row],[Pago 4]]+BD.PD510[[#This Row],[Pago 3]]+BD.PD510[[#This Row],[Pago 2]]+BD.PD510[[#This Row],[Pago 1]]</f>
        <v>80000</v>
      </c>
      <c r="AM62" s="404"/>
    </row>
    <row r="63" spans="1:241" s="309" customFormat="1" ht="15" hidden="1" customHeight="1" x14ac:dyDescent="0.3">
      <c r="A63" s="231">
        <v>8.06</v>
      </c>
      <c r="B63" s="288"/>
      <c r="C63" s="289" t="e">
        <f>VLOOKUP(BD.PD510[[#This Row],[Pos]],[16]!PPto[#Data],3,FALSE)</f>
        <v>#REF!</v>
      </c>
      <c r="D63" s="290" t="s">
        <v>1130</v>
      </c>
      <c r="E63" s="291" t="str">
        <f>IF(BD.PD510[[#This Row],[.]]="*",VLOOKUP(BD.PD510[[#This Row],[Pos]],[16]Presupuesto!A:H,7,FALSE),"")</f>
        <v/>
      </c>
      <c r="F63" s="292" t="s">
        <v>1089</v>
      </c>
      <c r="G63" s="292"/>
      <c r="H63" s="292"/>
      <c r="I63" s="437">
        <v>1</v>
      </c>
      <c r="J63" s="231" t="s">
        <v>526</v>
      </c>
      <c r="K63" s="438">
        <f>IF(BD.PD510[[#This Row],[Mon]]="DOP",1,HLOOKUP(BD.PD510[[#This Row],[Mon]],$J$1:$K$2,2,FALSE))</f>
        <v>73.3</v>
      </c>
      <c r="L63" s="439">
        <v>2825</v>
      </c>
      <c r="M63" s="302">
        <f>BD.PD510[[#This Row],[Cant.]]*BD.PD510[[#This Row],[ Tasa ]]*BD.PD510[[#This Row],[ Precio Und.]]</f>
        <v>207072.5</v>
      </c>
      <c r="N63" s="440">
        <v>0.15</v>
      </c>
      <c r="O63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63" s="302">
        <f>BD.PD510[[#This Row],[Ppto. Orden Interna '[DOP']]]/HLOOKUP("USD",$J$1:$K$2,2,FALSE)</f>
        <v>3819.3003207698475</v>
      </c>
      <c r="Q63" s="425" t="s">
        <v>1090</v>
      </c>
      <c r="R63" s="425"/>
      <c r="S63" s="425"/>
      <c r="T63" s="425"/>
      <c r="U63" s="425"/>
      <c r="V63" s="292" t="s">
        <v>1090</v>
      </c>
      <c r="W63" s="441">
        <v>1</v>
      </c>
      <c r="X63" s="442">
        <v>1</v>
      </c>
      <c r="Y63" s="302">
        <f>BD.PD510[[#This Row],[Av.P1 '[%']]]*BD.PD510[[#This Row],[Ppto. Orden Interna '[DOP']]]</f>
        <v>238133.375</v>
      </c>
      <c r="AA63" s="443"/>
      <c r="AB63" s="302">
        <f>BD.PD510[[#This Row],[Av.P2 '[%']]]*BD.PD510[[#This Row],[Ppto. Orden Interna '[DOP']]]</f>
        <v>0</v>
      </c>
      <c r="AD63" s="443"/>
      <c r="AE63" s="302">
        <f>BD.PD510[[#This Row],[Av.P3 '[%']]]*BD.PD510[[#This Row],[Ppto. Orden Interna '[DOP']]]</f>
        <v>0</v>
      </c>
      <c r="AG63" s="443"/>
      <c r="AH63" s="302">
        <f>BD.PD510[[#This Row],[Av.P4 '[%']]]*BD.PD510[[#This Row],[Ppto. Orden Interna '[DOP']]]</f>
        <v>0</v>
      </c>
      <c r="AJ63" s="443"/>
      <c r="AK63" s="302">
        <f>BD.PD510[[#This Row],[Av.P5 '[%']]]*BD.PD510[[#This Row],[Ppto. Orden Interna '[DOP']]]</f>
        <v>0</v>
      </c>
      <c r="AL63" s="444">
        <f>BD.PD510[[#This Row],[Pago 5]]+BD.PD510[[#This Row],[Pago 4]]+BD.PD510[[#This Row],[Pago 3]]+BD.PD510[[#This Row],[Pago 2]]+BD.PD510[[#This Row],[Pago 1]]</f>
        <v>238133.375</v>
      </c>
      <c r="AM63" s="404"/>
      <c r="AN63" s="404"/>
      <c r="AO63" s="404"/>
      <c r="AP63" s="404"/>
      <c r="AQ63" s="404"/>
      <c r="AR63" s="404"/>
      <c r="AS63" s="404"/>
      <c r="AT63" s="404"/>
      <c r="AU63" s="404"/>
      <c r="AV63" s="404"/>
      <c r="AW63" s="404"/>
      <c r="AX63" s="404"/>
      <c r="AY63" s="404"/>
      <c r="AZ63" s="404"/>
      <c r="BA63" s="404"/>
      <c r="BB63" s="404"/>
      <c r="BC63" s="404"/>
      <c r="BD63" s="404"/>
      <c r="BE63" s="404"/>
      <c r="BF63" s="404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4"/>
      <c r="DD63" s="404"/>
      <c r="DE63" s="404"/>
      <c r="DF63" s="404"/>
      <c r="DG63" s="404"/>
      <c r="DH63" s="404"/>
      <c r="DI63" s="404"/>
      <c r="DJ63" s="404"/>
      <c r="DK63" s="404"/>
      <c r="DL63" s="404"/>
      <c r="DM63" s="404"/>
      <c r="DN63" s="404"/>
      <c r="DO63" s="404"/>
      <c r="DP63" s="404"/>
      <c r="DQ63" s="404"/>
      <c r="DR63" s="404"/>
      <c r="DS63" s="404"/>
      <c r="DT63" s="404"/>
      <c r="DU63" s="404"/>
      <c r="DV63" s="404"/>
      <c r="DW63" s="404"/>
      <c r="DX63" s="404"/>
      <c r="DY63" s="404"/>
      <c r="DZ63" s="404"/>
      <c r="EA63" s="404"/>
      <c r="EB63" s="404"/>
      <c r="EC63" s="404"/>
      <c r="ED63" s="404"/>
      <c r="EE63" s="404"/>
      <c r="EF63" s="404"/>
      <c r="EG63" s="404"/>
      <c r="EH63" s="404"/>
      <c r="EI63" s="404"/>
      <c r="EJ63" s="404"/>
      <c r="EK63" s="404"/>
      <c r="EL63" s="404"/>
      <c r="EM63" s="404"/>
      <c r="EN63" s="404"/>
      <c r="EO63" s="404"/>
      <c r="EP63" s="404"/>
      <c r="EQ63" s="404"/>
      <c r="ER63" s="404"/>
      <c r="ES63" s="404"/>
      <c r="ET63" s="404"/>
      <c r="EU63" s="404"/>
      <c r="EV63" s="404"/>
      <c r="EW63" s="404"/>
      <c r="EX63" s="404"/>
      <c r="EY63" s="404"/>
      <c r="EZ63" s="404"/>
      <c r="FA63" s="404"/>
      <c r="FB63" s="404"/>
      <c r="FC63" s="404"/>
      <c r="FD63" s="404"/>
      <c r="FE63" s="404"/>
      <c r="FF63" s="404"/>
      <c r="FG63" s="404"/>
      <c r="FH63" s="404"/>
      <c r="FI63" s="404"/>
      <c r="FJ63" s="404"/>
      <c r="FK63" s="404"/>
      <c r="FL63" s="404"/>
      <c r="FM63" s="404"/>
      <c r="FN63" s="404"/>
      <c r="FO63" s="404"/>
      <c r="FP63" s="404"/>
      <c r="FQ63" s="404"/>
      <c r="FR63" s="404"/>
      <c r="FS63" s="404"/>
      <c r="FT63" s="404"/>
      <c r="FU63" s="404"/>
      <c r="FV63" s="404"/>
      <c r="FW63" s="404"/>
      <c r="FX63" s="404"/>
      <c r="FY63" s="404"/>
      <c r="FZ63" s="404"/>
      <c r="GA63" s="404"/>
      <c r="GB63" s="404"/>
      <c r="GC63" s="404"/>
      <c r="GD63" s="404"/>
      <c r="GE63" s="404"/>
      <c r="GF63" s="404"/>
      <c r="GG63" s="404"/>
      <c r="GH63" s="404"/>
      <c r="GI63" s="404"/>
      <c r="GJ63" s="404"/>
      <c r="GK63" s="404"/>
      <c r="GL63" s="404"/>
      <c r="GM63" s="404"/>
      <c r="GN63" s="404"/>
      <c r="GO63" s="404"/>
      <c r="GP63" s="404"/>
      <c r="GQ63" s="404"/>
      <c r="GR63" s="404"/>
      <c r="GS63" s="404"/>
      <c r="GT63" s="404"/>
      <c r="GU63" s="404"/>
      <c r="GV63" s="404"/>
      <c r="GW63" s="404"/>
      <c r="GX63" s="404"/>
      <c r="GY63" s="404"/>
      <c r="GZ63" s="404"/>
      <c r="HA63" s="404"/>
      <c r="HB63" s="404"/>
      <c r="HC63" s="404"/>
      <c r="HD63" s="404"/>
      <c r="HE63" s="404"/>
      <c r="HF63" s="404"/>
      <c r="HG63" s="404"/>
      <c r="HH63" s="404"/>
      <c r="HI63" s="404"/>
      <c r="HJ63" s="404"/>
      <c r="HK63" s="404"/>
      <c r="HL63" s="404"/>
      <c r="HM63" s="404"/>
      <c r="HN63" s="404"/>
      <c r="HO63" s="404"/>
      <c r="HP63" s="404"/>
      <c r="HQ63" s="404"/>
      <c r="HR63" s="404"/>
      <c r="HS63" s="404"/>
      <c r="HT63" s="404"/>
      <c r="HU63" s="404"/>
      <c r="HV63" s="404"/>
      <c r="HW63" s="404"/>
      <c r="HX63" s="404"/>
      <c r="HY63" s="404"/>
      <c r="HZ63" s="404"/>
      <c r="IA63" s="404"/>
      <c r="IB63" s="404"/>
      <c r="IC63" s="404"/>
      <c r="ID63" s="404"/>
      <c r="IE63" s="404"/>
      <c r="IF63" s="404"/>
      <c r="IG63" s="404"/>
    </row>
    <row r="64" spans="1:241" ht="15" hidden="1" customHeight="1" x14ac:dyDescent="0.3">
      <c r="A64" s="231">
        <v>8.06</v>
      </c>
      <c r="B64" s="288"/>
      <c r="C64" s="289" t="e">
        <f>VLOOKUP(BD.PD510[[#This Row],[Pos]],[16]!PPto[#Data],3,FALSE)</f>
        <v>#REF!</v>
      </c>
      <c r="D64" s="290" t="s">
        <v>1130</v>
      </c>
      <c r="E64" s="291" t="str">
        <f>IF(BD.PD510[[#This Row],[.]]="*",VLOOKUP(BD.PD510[[#This Row],[Pos]],[16]Presupuesto!A:H,7,FALSE),"")</f>
        <v/>
      </c>
      <c r="F64" s="292" t="s">
        <v>1091</v>
      </c>
      <c r="G64" s="292"/>
      <c r="H64" s="292"/>
      <c r="I64" s="437">
        <v>1</v>
      </c>
      <c r="J64" s="231" t="s">
        <v>581</v>
      </c>
      <c r="K64" s="438">
        <f>IF(BD.PD510[[#This Row],[Mon]]="DOP",1,HLOOKUP(BD.PD510[[#This Row],[Mon]],$J$1:$K$2,2,FALSE))</f>
        <v>1</v>
      </c>
      <c r="L64" s="439">
        <v>30000</v>
      </c>
      <c r="M64" s="302">
        <f>BD.PD510[[#This Row],[Cant.]]*BD.PD510[[#This Row],[ Tasa ]]*BD.PD510[[#This Row],[ Precio Und.]]</f>
        <v>30000</v>
      </c>
      <c r="N64" s="440">
        <v>0</v>
      </c>
      <c r="O64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64" s="302">
        <f>BD.PD510[[#This Row],[Ppto. Orden Interna '[DOP']]]/HLOOKUP("USD",$J$1:$K$2,2,FALSE)</f>
        <v>481.15477145148355</v>
      </c>
      <c r="Q64" s="425" t="s">
        <v>1092</v>
      </c>
      <c r="R64" s="425"/>
      <c r="S64" s="425"/>
      <c r="T64" s="425"/>
      <c r="U64" s="425"/>
      <c r="V64" s="292" t="s">
        <v>1092</v>
      </c>
      <c r="W64" s="441"/>
      <c r="X64" s="442"/>
      <c r="Y64" s="302">
        <f>BD.PD510[[#This Row],[Av.P1 '[%']]]*BD.PD510[[#This Row],[Ppto. Orden Interna '[DOP']]]</f>
        <v>0</v>
      </c>
      <c r="Z64" s="309"/>
      <c r="AA64" s="443"/>
      <c r="AB64" s="302">
        <f>BD.PD510[[#This Row],[Av.P2 '[%']]]*BD.PD510[[#This Row],[Ppto. Orden Interna '[DOP']]]</f>
        <v>0</v>
      </c>
      <c r="AC64" s="309"/>
      <c r="AD64" s="443"/>
      <c r="AE64" s="302">
        <f>BD.PD510[[#This Row],[Av.P3 '[%']]]*BD.PD510[[#This Row],[Ppto. Orden Interna '[DOP']]]</f>
        <v>0</v>
      </c>
      <c r="AF64" s="309"/>
      <c r="AG64" s="443"/>
      <c r="AH64" s="302">
        <f>BD.PD510[[#This Row],[Av.P4 '[%']]]*BD.PD510[[#This Row],[Ppto. Orden Interna '[DOP']]]</f>
        <v>0</v>
      </c>
      <c r="AI64" s="309"/>
      <c r="AJ64" s="443"/>
      <c r="AK64" s="302">
        <f>BD.PD510[[#This Row],[Av.P5 '[%']]]*BD.PD510[[#This Row],[Ppto. Orden Interna '[DOP']]]</f>
        <v>0</v>
      </c>
      <c r="AL64" s="444">
        <f>BD.PD510[[#This Row],[Pago 5]]+BD.PD510[[#This Row],[Pago 4]]+BD.PD510[[#This Row],[Pago 3]]+BD.PD510[[#This Row],[Pago 2]]+BD.PD510[[#This Row],[Pago 1]]</f>
        <v>0</v>
      </c>
      <c r="AM64" s="404"/>
    </row>
    <row r="65" spans="1:39" ht="14.4" hidden="1" x14ac:dyDescent="0.3">
      <c r="A65" s="231">
        <v>8.06</v>
      </c>
      <c r="B65" s="288"/>
      <c r="C65" s="289" t="e">
        <f>VLOOKUP(BD.PD510[[#This Row],[Pos]],[16]!PPto[#Data],3,FALSE)</f>
        <v>#REF!</v>
      </c>
      <c r="D65" s="290" t="s">
        <v>1130</v>
      </c>
      <c r="E65" s="291" t="str">
        <f>IF(BD.PD510[[#This Row],[.]]="*",VLOOKUP(BD.PD510[[#This Row],[Pos]],[16]Presupuesto!A:H,7,FALSE),"")</f>
        <v/>
      </c>
      <c r="F65" s="292" t="s">
        <v>1093</v>
      </c>
      <c r="G65" s="292"/>
      <c r="H65" s="292"/>
      <c r="I65" s="437">
        <v>1</v>
      </c>
      <c r="J65" s="231" t="s">
        <v>581</v>
      </c>
      <c r="K65" s="438">
        <f>IF(BD.PD510[[#This Row],[Mon]]="DOP",1,HLOOKUP(BD.PD510[[#This Row],[Mon]],$J$1:$K$2,2,FALSE))</f>
        <v>1</v>
      </c>
      <c r="L65" s="439">
        <v>40000</v>
      </c>
      <c r="M65" s="302">
        <f>BD.PD510[[#This Row],[Cant.]]*BD.PD510[[#This Row],[ Tasa ]]*BD.PD510[[#This Row],[ Precio Und.]]</f>
        <v>40000</v>
      </c>
      <c r="N65" s="440">
        <v>0</v>
      </c>
      <c r="O65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65" s="302">
        <f>BD.PD510[[#This Row],[Ppto. Orden Interna '[DOP']]]/HLOOKUP("USD",$J$1:$K$2,2,FALSE)</f>
        <v>641.53969526864478</v>
      </c>
      <c r="Q65" s="425" t="s">
        <v>1092</v>
      </c>
      <c r="R65" s="425"/>
      <c r="S65" s="425"/>
      <c r="T65" s="425"/>
      <c r="U65" s="425"/>
      <c r="V65" s="292" t="s">
        <v>1092</v>
      </c>
      <c r="W65" s="441"/>
      <c r="X65" s="442"/>
      <c r="Y65" s="302">
        <f>BD.PD510[[#This Row],[Av.P1 '[%']]]*BD.PD510[[#This Row],[Ppto. Orden Interna '[DOP']]]</f>
        <v>0</v>
      </c>
      <c r="Z65" s="309"/>
      <c r="AA65" s="443"/>
      <c r="AB65" s="302">
        <f>BD.PD510[[#This Row],[Av.P2 '[%']]]*BD.PD510[[#This Row],[Ppto. Orden Interna '[DOP']]]</f>
        <v>0</v>
      </c>
      <c r="AC65" s="309"/>
      <c r="AD65" s="443"/>
      <c r="AE65" s="302">
        <f>BD.PD510[[#This Row],[Av.P3 '[%']]]*BD.PD510[[#This Row],[Ppto. Orden Interna '[DOP']]]</f>
        <v>0</v>
      </c>
      <c r="AF65" s="309"/>
      <c r="AG65" s="443"/>
      <c r="AH65" s="302">
        <f>BD.PD510[[#This Row],[Av.P4 '[%']]]*BD.PD510[[#This Row],[Ppto. Orden Interna '[DOP']]]</f>
        <v>0</v>
      </c>
      <c r="AI65" s="309"/>
      <c r="AJ65" s="443"/>
      <c r="AK65" s="302">
        <f>BD.PD510[[#This Row],[Av.P5 '[%']]]*BD.PD510[[#This Row],[Ppto. Orden Interna '[DOP']]]</f>
        <v>0</v>
      </c>
      <c r="AL65" s="444">
        <f>BD.PD510[[#This Row],[Pago 5]]+BD.PD510[[#This Row],[Pago 4]]+BD.PD510[[#This Row],[Pago 3]]+BD.PD510[[#This Row],[Pago 2]]+BD.PD510[[#This Row],[Pago 1]]</f>
        <v>0</v>
      </c>
      <c r="AM65" s="404"/>
    </row>
    <row r="66" spans="1:39" hidden="1" x14ac:dyDescent="0.3">
      <c r="A66" s="231">
        <v>8.06</v>
      </c>
      <c r="B66" s="288"/>
      <c r="C66" s="289" t="e">
        <f>VLOOKUP(BD.PD510[[#This Row],[Pos]],[16]!PPto[#Data],3,FALSE)</f>
        <v>#REF!</v>
      </c>
      <c r="D66" s="290" t="s">
        <v>1130</v>
      </c>
      <c r="E66" s="291" t="str">
        <f>IF(BD.PD510[[#This Row],[.]]="*",VLOOKUP(BD.PD510[[#This Row],[Pos]],[16]Presupuesto!A:H,7,FALSE),"")</f>
        <v/>
      </c>
      <c r="F66" s="292" t="s">
        <v>1094</v>
      </c>
      <c r="G66" s="292"/>
      <c r="H66" s="292"/>
      <c r="I66" s="437">
        <v>1</v>
      </c>
      <c r="J66" s="231" t="s">
        <v>581</v>
      </c>
      <c r="K66" s="438">
        <f>IF(BD.PD510[[#This Row],[Mon]]="DOP",1,HLOOKUP(BD.PD510[[#This Row],[Mon]],$J$1:$K$2,2,FALSE))</f>
        <v>1</v>
      </c>
      <c r="L66" s="439">
        <v>1000000</v>
      </c>
      <c r="M66" s="302">
        <f>BD.PD510[[#This Row],[Cant.]]*BD.PD510[[#This Row],[ Tasa ]]*BD.PD510[[#This Row],[ Precio Und.]]</f>
        <v>1000000</v>
      </c>
      <c r="N66" s="440">
        <v>0.02</v>
      </c>
      <c r="O66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66" s="302">
        <f>BD.PD510[[#This Row],[Ppto. Orden Interna '[DOP']]]/HLOOKUP("USD",$J$1:$K$2,2,FALSE)</f>
        <v>16359.262229350441</v>
      </c>
      <c r="Q66" s="425"/>
      <c r="R66" s="425"/>
      <c r="S66" s="425"/>
      <c r="T66" s="425"/>
      <c r="U66" s="425"/>
      <c r="V66" s="292"/>
      <c r="W66" s="441"/>
      <c r="X66" s="442"/>
      <c r="Y66" s="302">
        <f>BD.PD510[[#This Row],[Av.P1 '[%']]]*BD.PD510[[#This Row],[Ppto. Orden Interna '[DOP']]]</f>
        <v>0</v>
      </c>
      <c r="Z66" s="309"/>
      <c r="AA66" s="443"/>
      <c r="AB66" s="302">
        <f>BD.PD510[[#This Row],[Av.P2 '[%']]]*BD.PD510[[#This Row],[Ppto. Orden Interna '[DOP']]]</f>
        <v>0</v>
      </c>
      <c r="AC66" s="309"/>
      <c r="AD66" s="443"/>
      <c r="AE66" s="302">
        <f>BD.PD510[[#This Row],[Av.P3 '[%']]]*BD.PD510[[#This Row],[Ppto. Orden Interna '[DOP']]]</f>
        <v>0</v>
      </c>
      <c r="AF66" s="309"/>
      <c r="AG66" s="443"/>
      <c r="AH66" s="302">
        <f>BD.PD510[[#This Row],[Av.P4 '[%']]]*BD.PD510[[#This Row],[Ppto. Orden Interna '[DOP']]]</f>
        <v>0</v>
      </c>
      <c r="AI66" s="309"/>
      <c r="AJ66" s="443"/>
      <c r="AK66" s="302">
        <f>BD.PD510[[#This Row],[Av.P5 '[%']]]*BD.PD510[[#This Row],[Ppto. Orden Interna '[DOP']]]</f>
        <v>0</v>
      </c>
      <c r="AL66" s="444">
        <f>BD.PD510[[#This Row],[Pago 5]]+BD.PD510[[#This Row],[Pago 4]]+BD.PD510[[#This Row],[Pago 3]]+BD.PD510[[#This Row],[Pago 2]]+BD.PD510[[#This Row],[Pago 1]]</f>
        <v>0</v>
      </c>
      <c r="AM66" s="404"/>
    </row>
    <row r="67" spans="1:39" ht="15" hidden="1" customHeight="1" x14ac:dyDescent="0.3">
      <c r="A67" s="231">
        <v>8.06</v>
      </c>
      <c r="B67" s="288"/>
      <c r="C67" s="289" t="e">
        <f>VLOOKUP(BD.PD510[[#This Row],[Pos]],[16]!PPto[#Data],3,FALSE)</f>
        <v>#REF!</v>
      </c>
      <c r="D67" s="290" t="s">
        <v>1130</v>
      </c>
      <c r="E67" s="291" t="str">
        <f>IF(BD.PD510[[#This Row],[.]]="*",VLOOKUP(BD.PD510[[#This Row],[Pos]],[16]Presupuesto!A:H,7,FALSE),"")</f>
        <v/>
      </c>
      <c r="F67" s="292" t="s">
        <v>1095</v>
      </c>
      <c r="G67" s="292"/>
      <c r="H67" s="292"/>
      <c r="I67" s="437">
        <v>3</v>
      </c>
      <c r="J67" s="231" t="s">
        <v>456</v>
      </c>
      <c r="K67" s="438">
        <f>IF(BD.PD510[[#This Row],[Mon]]="DOP",1,HLOOKUP(BD.PD510[[#This Row],[Mon]],$J$1:$K$2,2,FALSE))</f>
        <v>62.35</v>
      </c>
      <c r="L67" s="439">
        <v>300</v>
      </c>
      <c r="M67" s="302">
        <f>BD.PD510[[#This Row],[Cant.]]*BD.PD510[[#This Row],[ Tasa ]]*BD.PD510[[#This Row],[ Precio Und.]]</f>
        <v>56115</v>
      </c>
      <c r="N67" s="440">
        <v>0.02</v>
      </c>
      <c r="O67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67" s="302">
        <f>BD.PD510[[#This Row],[Ppto. Orden Interna '[DOP']]]/HLOOKUP("USD",$J$1:$K$2,2,FALSE)</f>
        <v>918</v>
      </c>
      <c r="Q67" s="425" t="s">
        <v>1092</v>
      </c>
      <c r="R67" s="425"/>
      <c r="S67" s="425"/>
      <c r="T67" s="425"/>
      <c r="U67" s="425"/>
      <c r="V67" s="292" t="s">
        <v>1092</v>
      </c>
      <c r="W67" s="441"/>
      <c r="X67" s="442"/>
      <c r="Y67" s="302">
        <f>BD.PD510[[#This Row],[Av.P1 '[%']]]*BD.PD510[[#This Row],[Ppto. Orden Interna '[DOP']]]</f>
        <v>0</v>
      </c>
      <c r="Z67" s="309"/>
      <c r="AA67" s="443"/>
      <c r="AB67" s="302">
        <f>BD.PD510[[#This Row],[Av.P2 '[%']]]*BD.PD510[[#This Row],[Ppto. Orden Interna '[DOP']]]</f>
        <v>0</v>
      </c>
      <c r="AC67" s="309"/>
      <c r="AD67" s="443"/>
      <c r="AE67" s="302">
        <f>BD.PD510[[#This Row],[Av.P3 '[%']]]*BD.PD510[[#This Row],[Ppto. Orden Interna '[DOP']]]</f>
        <v>0</v>
      </c>
      <c r="AF67" s="309"/>
      <c r="AG67" s="443"/>
      <c r="AH67" s="302">
        <f>BD.PD510[[#This Row],[Av.P4 '[%']]]*BD.PD510[[#This Row],[Ppto. Orden Interna '[DOP']]]</f>
        <v>0</v>
      </c>
      <c r="AI67" s="309"/>
      <c r="AJ67" s="443"/>
      <c r="AK67" s="302">
        <f>BD.PD510[[#This Row],[Av.P5 '[%']]]*BD.PD510[[#This Row],[Ppto. Orden Interna '[DOP']]]</f>
        <v>0</v>
      </c>
      <c r="AL67" s="444">
        <f>BD.PD510[[#This Row],[Pago 5]]+BD.PD510[[#This Row],[Pago 4]]+BD.PD510[[#This Row],[Pago 3]]+BD.PD510[[#This Row],[Pago 2]]+BD.PD510[[#This Row],[Pago 1]]</f>
        <v>0</v>
      </c>
      <c r="AM67" s="404"/>
    </row>
    <row r="68" spans="1:39" ht="14.85" hidden="1" customHeight="1" x14ac:dyDescent="0.3">
      <c r="A68" s="231">
        <v>8.06</v>
      </c>
      <c r="B68" s="288"/>
      <c r="C68" s="289" t="e">
        <f>VLOOKUP(BD.PD510[[#This Row],[Pos]],[16]!PPto[#Data],3,FALSE)</f>
        <v>#REF!</v>
      </c>
      <c r="D68" s="290" t="s">
        <v>1130</v>
      </c>
      <c r="E68" s="291" t="str">
        <f>IF(BD.PD510[[#This Row],[.]]="*",VLOOKUP(BD.PD510[[#This Row],[Pos]],[16]Presupuesto!A:H,7,FALSE),"")</f>
        <v/>
      </c>
      <c r="F68" s="292" t="s">
        <v>1096</v>
      </c>
      <c r="G68" s="292"/>
      <c r="H68" s="292"/>
      <c r="I68" s="437">
        <v>1</v>
      </c>
      <c r="J68" s="231" t="s">
        <v>581</v>
      </c>
      <c r="K68" s="438">
        <f>IF(BD.PD510[[#This Row],[Mon]]="DOP",1,HLOOKUP(BD.PD510[[#This Row],[Mon]],$J$1:$K$2,2,FALSE))</f>
        <v>1</v>
      </c>
      <c r="L68" s="439">
        <v>121452.25</v>
      </c>
      <c r="M68" s="302">
        <f>BD.PD510[[#This Row],[Cant.]]*BD.PD510[[#This Row],[ Tasa ]]*BD.PD510[[#This Row],[ Precio Und.]]</f>
        <v>121452.25</v>
      </c>
      <c r="N68" s="440">
        <v>0</v>
      </c>
      <c r="O68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68" s="302">
        <f>BD.PD510[[#This Row],[Ppto. Orden Interna '[DOP']]]/HLOOKUP("USD",$J$1:$K$2,2,FALSE)</f>
        <v>1947.9109863672813</v>
      </c>
      <c r="Q68" s="425" t="s">
        <v>1097</v>
      </c>
      <c r="R68" s="425"/>
      <c r="S68" s="425"/>
      <c r="T68" s="425"/>
      <c r="U68" s="425"/>
      <c r="V68" s="292" t="s">
        <v>1097</v>
      </c>
      <c r="W68" s="441">
        <v>1</v>
      </c>
      <c r="X68" s="442">
        <v>0.5</v>
      </c>
      <c r="Y68" s="302">
        <f>BD.PD510[[#This Row],[Av.P1 '[%']]]*BD.PD510[[#This Row],[Ppto. Orden Interna '[DOP']]]</f>
        <v>60726.125</v>
      </c>
      <c r="Z68" s="309">
        <v>4</v>
      </c>
      <c r="AA68" s="443">
        <v>0.5</v>
      </c>
      <c r="AB68" s="302">
        <f>BD.PD510[[#This Row],[Av.P2 '[%']]]*BD.PD510[[#This Row],[Ppto. Orden Interna '[DOP']]]</f>
        <v>60726.125</v>
      </c>
      <c r="AC68" s="309"/>
      <c r="AD68" s="443"/>
      <c r="AE68" s="302">
        <f>BD.PD510[[#This Row],[Av.P3 '[%']]]*BD.PD510[[#This Row],[Ppto. Orden Interna '[DOP']]]</f>
        <v>0</v>
      </c>
      <c r="AF68" s="309"/>
      <c r="AG68" s="443"/>
      <c r="AH68" s="302">
        <f>BD.PD510[[#This Row],[Av.P4 '[%']]]*BD.PD510[[#This Row],[Ppto. Orden Interna '[DOP']]]</f>
        <v>0</v>
      </c>
      <c r="AI68" s="309"/>
      <c r="AJ68" s="443"/>
      <c r="AK68" s="302">
        <f>BD.PD510[[#This Row],[Av.P5 '[%']]]*BD.PD510[[#This Row],[Ppto. Orden Interna '[DOP']]]</f>
        <v>0</v>
      </c>
      <c r="AL68" s="444">
        <f>BD.PD510[[#This Row],[Pago 5]]+BD.PD510[[#This Row],[Pago 4]]+BD.PD510[[#This Row],[Pago 3]]+BD.PD510[[#This Row],[Pago 2]]+BD.PD510[[#This Row],[Pago 1]]</f>
        <v>121452.25</v>
      </c>
      <c r="AM68" s="404"/>
    </row>
    <row r="69" spans="1:39" ht="14.85" hidden="1" customHeight="1" x14ac:dyDescent="0.3">
      <c r="A69" s="231">
        <v>8.06</v>
      </c>
      <c r="B69" s="288"/>
      <c r="C69" s="289" t="e">
        <f>VLOOKUP(BD.PD510[[#This Row],[Pos]],[16]!PPto[#Data],3,FALSE)</f>
        <v>#REF!</v>
      </c>
      <c r="D69" s="290" t="s">
        <v>1130</v>
      </c>
      <c r="E69" s="291" t="str">
        <f>IF(BD.PD510[[#This Row],[.]]="*",VLOOKUP(BD.PD510[[#This Row],[Pos]],[16]Presupuesto!A:H,7,FALSE),"")</f>
        <v/>
      </c>
      <c r="F69" s="292" t="s">
        <v>1098</v>
      </c>
      <c r="G69" s="292"/>
      <c r="H69" s="292"/>
      <c r="I69" s="437">
        <v>1</v>
      </c>
      <c r="J69" s="231" t="s">
        <v>581</v>
      </c>
      <c r="K69" s="438">
        <f>IF(BD.PD510[[#This Row],[Mon]]="DOP",1,HLOOKUP(BD.PD510[[#This Row],[Mon]],$J$1:$K$2,2,FALSE))</f>
        <v>1</v>
      </c>
      <c r="L69" s="439">
        <v>43333.5</v>
      </c>
      <c r="M69" s="302">
        <f>BD.PD510[[#This Row],[Cant.]]*BD.PD510[[#This Row],[ Tasa ]]*BD.PD510[[#This Row],[ Precio Und.]]</f>
        <v>43333.5</v>
      </c>
      <c r="N69" s="440">
        <v>0</v>
      </c>
      <c r="O69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69" s="302">
        <f>BD.PD510[[#This Row],[Ppto. Orden Interna '[DOP']]]/HLOOKUP("USD",$J$1:$K$2,2,FALSE)</f>
        <v>695.00400962309538</v>
      </c>
      <c r="Q69" s="425" t="s">
        <v>1097</v>
      </c>
      <c r="R69" s="425"/>
      <c r="S69" s="425"/>
      <c r="T69" s="425"/>
      <c r="U69" s="425"/>
      <c r="V69" s="292" t="s">
        <v>1097</v>
      </c>
      <c r="W69" s="441">
        <v>1</v>
      </c>
      <c r="X69" s="442">
        <v>0.5</v>
      </c>
      <c r="Y69" s="302">
        <f>BD.PD510[[#This Row],[Av.P1 '[%']]]*BD.PD510[[#This Row],[Ppto. Orden Interna '[DOP']]]</f>
        <v>21666.75</v>
      </c>
      <c r="Z69" s="309">
        <v>4</v>
      </c>
      <c r="AA69" s="443">
        <v>0.5</v>
      </c>
      <c r="AB69" s="302">
        <f>BD.PD510[[#This Row],[Av.P2 '[%']]]*BD.PD510[[#This Row],[Ppto. Orden Interna '[DOP']]]</f>
        <v>21666.75</v>
      </c>
      <c r="AC69" s="309"/>
      <c r="AD69" s="443"/>
      <c r="AE69" s="302">
        <f>BD.PD510[[#This Row],[Av.P3 '[%']]]*BD.PD510[[#This Row],[Ppto. Orden Interna '[DOP']]]</f>
        <v>0</v>
      </c>
      <c r="AF69" s="309"/>
      <c r="AG69" s="443"/>
      <c r="AH69" s="302">
        <f>BD.PD510[[#This Row],[Av.P4 '[%']]]*BD.PD510[[#This Row],[Ppto. Orden Interna '[DOP']]]</f>
        <v>0</v>
      </c>
      <c r="AI69" s="309"/>
      <c r="AJ69" s="443"/>
      <c r="AK69" s="302">
        <f>BD.PD510[[#This Row],[Av.P5 '[%']]]*BD.PD510[[#This Row],[Ppto. Orden Interna '[DOP']]]</f>
        <v>0</v>
      </c>
      <c r="AL69" s="444">
        <f>BD.PD510[[#This Row],[Pago 5]]+BD.PD510[[#This Row],[Pago 4]]+BD.PD510[[#This Row],[Pago 3]]+BD.PD510[[#This Row],[Pago 2]]+BD.PD510[[#This Row],[Pago 1]]</f>
        <v>43333.5</v>
      </c>
      <c r="AM69" s="404"/>
    </row>
    <row r="70" spans="1:39" hidden="1" x14ac:dyDescent="0.3">
      <c r="A70" s="231">
        <v>8.06</v>
      </c>
      <c r="B70" s="288"/>
      <c r="C70" s="289" t="e">
        <f>VLOOKUP(BD.PD510[[#This Row],[Pos]],[16]!PPto[#Data],3,FALSE)</f>
        <v>#REF!</v>
      </c>
      <c r="D70" s="290" t="s">
        <v>1130</v>
      </c>
      <c r="E70" s="291" t="str">
        <f>IF(BD.PD510[[#This Row],[.]]="*",VLOOKUP(BD.PD510[[#This Row],[Pos]],[16]Presupuesto!A:H,7,FALSE),"")</f>
        <v/>
      </c>
      <c r="F70" s="292" t="s">
        <v>1099</v>
      </c>
      <c r="G70" s="292"/>
      <c r="H70" s="292"/>
      <c r="I70" s="437">
        <v>2</v>
      </c>
      <c r="J70" s="231" t="s">
        <v>581</v>
      </c>
      <c r="K70" s="438">
        <f>IF(BD.PD510[[#This Row],[Mon]]="DOP",1,HLOOKUP(BD.PD510[[#This Row],[Mon]],$J$1:$K$2,2,FALSE))</f>
        <v>1</v>
      </c>
      <c r="L70" s="439">
        <v>24576.28</v>
      </c>
      <c r="M70" s="302">
        <f>BD.PD510[[#This Row],[Cant.]]*BD.PD510[[#This Row],[ Tasa ]]*BD.PD510[[#This Row],[ Precio Und.]]</f>
        <v>49152.56</v>
      </c>
      <c r="N70" s="440">
        <v>0</v>
      </c>
      <c r="O70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70" s="302">
        <f>BD.PD510[[#This Row],[Ppto. Orden Interna '[DOP']]]/HLOOKUP("USD",$J$1:$K$2,2,FALSE)</f>
        <v>788.33295910184438</v>
      </c>
      <c r="Q70" s="425" t="s">
        <v>1100</v>
      </c>
      <c r="R70" s="425"/>
      <c r="S70" s="425"/>
      <c r="T70" s="425"/>
      <c r="U70" s="425"/>
      <c r="V70" s="292" t="s">
        <v>1100</v>
      </c>
      <c r="W70" s="441"/>
      <c r="X70" s="442"/>
      <c r="Y70" s="302">
        <f>BD.PD510[[#This Row],[Av.P1 '[%']]]*BD.PD510[[#This Row],[Ppto. Orden Interna '[DOP']]]</f>
        <v>0</v>
      </c>
      <c r="Z70" s="309"/>
      <c r="AA70" s="443"/>
      <c r="AB70" s="302">
        <f>BD.PD510[[#This Row],[Av.P2 '[%']]]*BD.PD510[[#This Row],[Ppto. Orden Interna '[DOP']]]</f>
        <v>0</v>
      </c>
      <c r="AC70" s="309"/>
      <c r="AD70" s="443"/>
      <c r="AE70" s="302">
        <f>BD.PD510[[#This Row],[Av.P3 '[%']]]*BD.PD510[[#This Row],[Ppto. Orden Interna '[DOP']]]</f>
        <v>0</v>
      </c>
      <c r="AF70" s="309"/>
      <c r="AG70" s="443"/>
      <c r="AH70" s="302">
        <f>BD.PD510[[#This Row],[Av.P4 '[%']]]*BD.PD510[[#This Row],[Ppto. Orden Interna '[DOP']]]</f>
        <v>0</v>
      </c>
      <c r="AI70" s="309"/>
      <c r="AJ70" s="443"/>
      <c r="AK70" s="302">
        <f>BD.PD510[[#This Row],[Av.P5 '[%']]]*BD.PD510[[#This Row],[Ppto. Orden Interna '[DOP']]]</f>
        <v>0</v>
      </c>
      <c r="AL70" s="444">
        <f>BD.PD510[[#This Row],[Pago 5]]+BD.PD510[[#This Row],[Pago 4]]+BD.PD510[[#This Row],[Pago 3]]+BD.PD510[[#This Row],[Pago 2]]+BD.PD510[[#This Row],[Pago 1]]</f>
        <v>0</v>
      </c>
      <c r="AM70" s="404"/>
    </row>
    <row r="71" spans="1:39" hidden="1" x14ac:dyDescent="0.3">
      <c r="A71" s="231">
        <v>8.06</v>
      </c>
      <c r="B71" s="288"/>
      <c r="C71" s="289" t="e">
        <f>VLOOKUP(BD.PD510[[#This Row],[Pos]],[16]!PPto[#Data],3,FALSE)</f>
        <v>#REF!</v>
      </c>
      <c r="D71" s="290" t="s">
        <v>1130</v>
      </c>
      <c r="E71" s="291" t="str">
        <f>IF(BD.PD510[[#This Row],[.]]="*",VLOOKUP(BD.PD510[[#This Row],[Pos]],[16]Presupuesto!A:H,7,FALSE),"")</f>
        <v/>
      </c>
      <c r="F71" s="292" t="s">
        <v>1101</v>
      </c>
      <c r="G71" s="292"/>
      <c r="H71" s="292"/>
      <c r="I71" s="437">
        <v>1</v>
      </c>
      <c r="J71" s="231" t="s">
        <v>581</v>
      </c>
      <c r="K71" s="438">
        <f>IF(BD.PD510[[#This Row],[Mon]]="DOP",1,HLOOKUP(BD.PD510[[#This Row],[Mon]],$J$1:$K$2,2,FALSE))</f>
        <v>1</v>
      </c>
      <c r="L71" s="439">
        <v>400000</v>
      </c>
      <c r="M71" s="302">
        <f>BD.PD510[[#This Row],[Cant.]]*BD.PD510[[#This Row],[ Tasa ]]*BD.PD510[[#This Row],[ Precio Und.]]</f>
        <v>400000</v>
      </c>
      <c r="N71" s="440">
        <v>0</v>
      </c>
      <c r="O71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71" s="302">
        <f>BD.PD510[[#This Row],[Ppto. Orden Interna '[DOP']]]/HLOOKUP("USD",$J$1:$K$2,2,FALSE)</f>
        <v>6415.3969526864475</v>
      </c>
      <c r="Q71" s="425" t="s">
        <v>1102</v>
      </c>
      <c r="R71" s="425"/>
      <c r="S71" s="425"/>
      <c r="T71" s="425"/>
      <c r="U71" s="425"/>
      <c r="V71" s="292" t="s">
        <v>1102</v>
      </c>
      <c r="W71" s="441">
        <v>1</v>
      </c>
      <c r="X71" s="442">
        <v>0.6</v>
      </c>
      <c r="Y71" s="302">
        <f>BD.PD510[[#This Row],[Av.P1 '[%']]]*BD.PD510[[#This Row],[Ppto. Orden Interna '[DOP']]]</f>
        <v>240000</v>
      </c>
      <c r="Z71" s="309">
        <v>3</v>
      </c>
      <c r="AA71" s="443">
        <v>0.4</v>
      </c>
      <c r="AB71" s="302">
        <f>BD.PD510[[#This Row],[Av.P2 '[%']]]*BD.PD510[[#This Row],[Ppto. Orden Interna '[DOP']]]</f>
        <v>160000</v>
      </c>
      <c r="AC71" s="309"/>
      <c r="AD71" s="443"/>
      <c r="AE71" s="302">
        <f>BD.PD510[[#This Row],[Av.P3 '[%']]]*BD.PD510[[#This Row],[Ppto. Orden Interna '[DOP']]]</f>
        <v>0</v>
      </c>
      <c r="AF71" s="309"/>
      <c r="AG71" s="443"/>
      <c r="AH71" s="302">
        <f>BD.PD510[[#This Row],[Av.P4 '[%']]]*BD.PD510[[#This Row],[Ppto. Orden Interna '[DOP']]]</f>
        <v>0</v>
      </c>
      <c r="AI71" s="309"/>
      <c r="AJ71" s="443"/>
      <c r="AK71" s="302">
        <f>BD.PD510[[#This Row],[Av.P5 '[%']]]*BD.PD510[[#This Row],[Ppto. Orden Interna '[DOP']]]</f>
        <v>0</v>
      </c>
      <c r="AL71" s="444">
        <f>BD.PD510[[#This Row],[Pago 5]]+BD.PD510[[#This Row],[Pago 4]]+BD.PD510[[#This Row],[Pago 3]]+BD.PD510[[#This Row],[Pago 2]]+BD.PD510[[#This Row],[Pago 1]]</f>
        <v>400000</v>
      </c>
      <c r="AM71" s="404"/>
    </row>
    <row r="72" spans="1:39" hidden="1" x14ac:dyDescent="0.3">
      <c r="A72" s="231">
        <v>8.06</v>
      </c>
      <c r="B72" s="288"/>
      <c r="C72" s="289" t="e">
        <f>VLOOKUP(BD.PD510[[#This Row],[Pos]],[16]!PPto[#Data],3,FALSE)</f>
        <v>#REF!</v>
      </c>
      <c r="D72" s="290" t="s">
        <v>1130</v>
      </c>
      <c r="E72" s="291" t="str">
        <f>IF(BD.PD510[[#This Row],[.]]="*",VLOOKUP(BD.PD510[[#This Row],[Pos]],[16]Presupuesto!A:H,7,FALSE),"")</f>
        <v/>
      </c>
      <c r="F72" s="292" t="s">
        <v>1103</v>
      </c>
      <c r="G72" s="292"/>
      <c r="H72" s="292"/>
      <c r="I72" s="437">
        <v>2</v>
      </c>
      <c r="J72" s="231" t="s">
        <v>581</v>
      </c>
      <c r="K72" s="438">
        <f>IF(BD.PD510[[#This Row],[Mon]]="DOP",1,HLOOKUP(BD.PD510[[#This Row],[Mon]],$J$1:$K$2,2,FALSE))</f>
        <v>1</v>
      </c>
      <c r="L72" s="439">
        <v>12000</v>
      </c>
      <c r="M72" s="302">
        <f>BD.PD510[[#This Row],[Cant.]]*BD.PD510[[#This Row],[ Tasa ]]*BD.PD510[[#This Row],[ Precio Und.]]</f>
        <v>24000</v>
      </c>
      <c r="N72" s="440">
        <v>0</v>
      </c>
      <c r="O72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72" s="302">
        <f>BD.PD510[[#This Row],[Ppto. Orden Interna '[DOP']]]/HLOOKUP("USD",$J$1:$K$2,2,FALSE)</f>
        <v>384.92381716118683</v>
      </c>
      <c r="Q72" s="425" t="s">
        <v>1104</v>
      </c>
      <c r="R72" s="425"/>
      <c r="S72" s="425"/>
      <c r="T72" s="425"/>
      <c r="U72" s="425"/>
      <c r="V72" s="292" t="s">
        <v>1104</v>
      </c>
      <c r="W72" s="441"/>
      <c r="X72" s="442"/>
      <c r="Y72" s="302">
        <f>BD.PD510[[#This Row],[Av.P1 '[%']]]*BD.PD510[[#This Row],[Ppto. Orden Interna '[DOP']]]</f>
        <v>0</v>
      </c>
      <c r="Z72" s="309"/>
      <c r="AA72" s="443"/>
      <c r="AB72" s="302">
        <f>BD.PD510[[#This Row],[Av.P2 '[%']]]*BD.PD510[[#This Row],[Ppto. Orden Interna '[DOP']]]</f>
        <v>0</v>
      </c>
      <c r="AC72" s="309"/>
      <c r="AD72" s="443"/>
      <c r="AE72" s="302">
        <f>BD.PD510[[#This Row],[Av.P3 '[%']]]*BD.PD510[[#This Row],[Ppto. Orden Interna '[DOP']]]</f>
        <v>0</v>
      </c>
      <c r="AF72" s="309"/>
      <c r="AG72" s="443"/>
      <c r="AH72" s="302">
        <f>BD.PD510[[#This Row],[Av.P4 '[%']]]*BD.PD510[[#This Row],[Ppto. Orden Interna '[DOP']]]</f>
        <v>0</v>
      </c>
      <c r="AI72" s="309"/>
      <c r="AJ72" s="443"/>
      <c r="AK72" s="302">
        <f>BD.PD510[[#This Row],[Av.P5 '[%']]]*BD.PD510[[#This Row],[Ppto. Orden Interna '[DOP']]]</f>
        <v>0</v>
      </c>
      <c r="AL72" s="444">
        <f>BD.PD510[[#This Row],[Pago 5]]+BD.PD510[[#This Row],[Pago 4]]+BD.PD510[[#This Row],[Pago 3]]+BD.PD510[[#This Row],[Pago 2]]+BD.PD510[[#This Row],[Pago 1]]</f>
        <v>0</v>
      </c>
      <c r="AM72" s="404"/>
    </row>
    <row r="73" spans="1:39" hidden="1" x14ac:dyDescent="0.3">
      <c r="A73" s="231">
        <v>8.06</v>
      </c>
      <c r="B73" s="288"/>
      <c r="C73" s="289" t="e">
        <f>VLOOKUP(BD.PD510[[#This Row],[Pos]],[16]!PPto[#Data],3,FALSE)</f>
        <v>#REF!</v>
      </c>
      <c r="D73" s="290" t="s">
        <v>1130</v>
      </c>
      <c r="E73" s="291" t="str">
        <f>IF(BD.PD510[[#This Row],[.]]="*",VLOOKUP(BD.PD510[[#This Row],[Pos]],[16]Presupuesto!A:H,7,FALSE),"")</f>
        <v/>
      </c>
      <c r="F73" s="292" t="s">
        <v>1105</v>
      </c>
      <c r="G73" s="292"/>
      <c r="H73" s="292"/>
      <c r="I73" s="437">
        <v>1</v>
      </c>
      <c r="J73" s="231" t="s">
        <v>581</v>
      </c>
      <c r="K73" s="438">
        <f>IF(BD.PD510[[#This Row],[Mon]]="DOP",1,HLOOKUP(BD.PD510[[#This Row],[Mon]],$J$1:$K$2,2,FALSE))</f>
        <v>1</v>
      </c>
      <c r="L73" s="439">
        <v>7769</v>
      </c>
      <c r="M73" s="302">
        <f>BD.PD510[[#This Row],[Cant.]]*BD.PD510[[#This Row],[ Tasa ]]*BD.PD510[[#This Row],[ Precio Und.]]</f>
        <v>7769</v>
      </c>
      <c r="N73" s="440">
        <v>0</v>
      </c>
      <c r="O73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73" s="302">
        <f>BD.PD510[[#This Row],[Ppto. Orden Interna '[DOP']]]/HLOOKUP("USD",$J$1:$K$2,2,FALSE)</f>
        <v>124.60304731355252</v>
      </c>
      <c r="Q73" s="425" t="s">
        <v>1106</v>
      </c>
      <c r="R73" s="425"/>
      <c r="S73" s="425"/>
      <c r="T73" s="425"/>
      <c r="U73" s="425"/>
      <c r="V73" s="292" t="s">
        <v>1106</v>
      </c>
      <c r="W73" s="441"/>
      <c r="X73" s="442"/>
      <c r="Y73" s="302">
        <f>BD.PD510[[#This Row],[Av.P1 '[%']]]*BD.PD510[[#This Row],[Ppto. Orden Interna '[DOP']]]</f>
        <v>0</v>
      </c>
      <c r="Z73" s="309"/>
      <c r="AA73" s="443"/>
      <c r="AB73" s="302">
        <f>BD.PD510[[#This Row],[Av.P2 '[%']]]*BD.PD510[[#This Row],[Ppto. Orden Interna '[DOP']]]</f>
        <v>0</v>
      </c>
      <c r="AC73" s="309"/>
      <c r="AD73" s="443"/>
      <c r="AE73" s="302">
        <f>BD.PD510[[#This Row],[Av.P3 '[%']]]*BD.PD510[[#This Row],[Ppto. Orden Interna '[DOP']]]</f>
        <v>0</v>
      </c>
      <c r="AF73" s="309"/>
      <c r="AG73" s="443"/>
      <c r="AH73" s="302">
        <f>BD.PD510[[#This Row],[Av.P4 '[%']]]*BD.PD510[[#This Row],[Ppto. Orden Interna '[DOP']]]</f>
        <v>0</v>
      </c>
      <c r="AI73" s="309"/>
      <c r="AJ73" s="443"/>
      <c r="AK73" s="302">
        <f>BD.PD510[[#This Row],[Av.P5 '[%']]]*BD.PD510[[#This Row],[Ppto. Orden Interna '[DOP']]]</f>
        <v>0</v>
      </c>
      <c r="AL73" s="444">
        <f>BD.PD510[[#This Row],[Pago 5]]+BD.PD510[[#This Row],[Pago 4]]+BD.PD510[[#This Row],[Pago 3]]+BD.PD510[[#This Row],[Pago 2]]+BD.PD510[[#This Row],[Pago 1]]</f>
        <v>0</v>
      </c>
      <c r="AM73" s="404"/>
    </row>
    <row r="74" spans="1:39" hidden="1" x14ac:dyDescent="0.3">
      <c r="A74" s="231">
        <v>8.06</v>
      </c>
      <c r="B74" s="288"/>
      <c r="C74" s="289" t="e">
        <f>VLOOKUP(BD.PD510[[#This Row],[Pos]],[16]!PPto[#Data],3,FALSE)</f>
        <v>#REF!</v>
      </c>
      <c r="D74" s="290" t="s">
        <v>1130</v>
      </c>
      <c r="E74" s="291" t="str">
        <f>IF(BD.PD510[[#This Row],[.]]="*",VLOOKUP(BD.PD510[[#This Row],[Pos]],[16]Presupuesto!A:H,7,FALSE),"")</f>
        <v/>
      </c>
      <c r="F74" s="292" t="s">
        <v>1107</v>
      </c>
      <c r="G74" s="292"/>
      <c r="H74" s="292"/>
      <c r="I74" s="437">
        <v>1</v>
      </c>
      <c r="J74" s="231" t="s">
        <v>581</v>
      </c>
      <c r="K74" s="438">
        <f>IF(BD.PD510[[#This Row],[Mon]]="DOP",1,HLOOKUP(BD.PD510[[#This Row],[Mon]],$J$1:$K$2,2,FALSE))</f>
        <v>1</v>
      </c>
      <c r="L74" s="439">
        <v>5000</v>
      </c>
      <c r="M74" s="302">
        <f>BD.PD510[[#This Row],[Cant.]]*BD.PD510[[#This Row],[ Tasa ]]*BD.PD510[[#This Row],[ Precio Und.]]</f>
        <v>5000</v>
      </c>
      <c r="N74" s="440">
        <v>0</v>
      </c>
      <c r="O74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74" s="302">
        <f>BD.PD510[[#This Row],[Ppto. Orden Interna '[DOP']]]/HLOOKUP("USD",$J$1:$K$2,2,FALSE)</f>
        <v>80.192461908580597</v>
      </c>
      <c r="Q74" s="425"/>
      <c r="R74" s="425"/>
      <c r="S74" s="425"/>
      <c r="T74" s="425"/>
      <c r="U74" s="425"/>
      <c r="V74" s="292"/>
      <c r="W74" s="441"/>
      <c r="X74" s="442"/>
      <c r="Y74" s="302">
        <f>BD.PD510[[#This Row],[Av.P1 '[%']]]*BD.PD510[[#This Row],[Ppto. Orden Interna '[DOP']]]</f>
        <v>0</v>
      </c>
      <c r="Z74" s="309"/>
      <c r="AA74" s="443"/>
      <c r="AB74" s="302">
        <f>BD.PD510[[#This Row],[Av.P2 '[%']]]*BD.PD510[[#This Row],[Ppto. Orden Interna '[DOP']]]</f>
        <v>0</v>
      </c>
      <c r="AC74" s="309"/>
      <c r="AD74" s="443"/>
      <c r="AE74" s="302">
        <f>BD.PD510[[#This Row],[Av.P3 '[%']]]*BD.PD510[[#This Row],[Ppto. Orden Interna '[DOP']]]</f>
        <v>0</v>
      </c>
      <c r="AF74" s="309"/>
      <c r="AG74" s="443"/>
      <c r="AH74" s="302">
        <f>BD.PD510[[#This Row],[Av.P4 '[%']]]*BD.PD510[[#This Row],[Ppto. Orden Interna '[DOP']]]</f>
        <v>0</v>
      </c>
      <c r="AI74" s="309"/>
      <c r="AJ74" s="443"/>
      <c r="AK74" s="302">
        <f>BD.PD510[[#This Row],[Av.P5 '[%']]]*BD.PD510[[#This Row],[Ppto. Orden Interna '[DOP']]]</f>
        <v>0</v>
      </c>
      <c r="AL74" s="444">
        <f>BD.PD510[[#This Row],[Pago 5]]+BD.PD510[[#This Row],[Pago 4]]+BD.PD510[[#This Row],[Pago 3]]+BD.PD510[[#This Row],[Pago 2]]+BD.PD510[[#This Row],[Pago 1]]</f>
        <v>0</v>
      </c>
      <c r="AM74" s="404"/>
    </row>
    <row r="75" spans="1:39" hidden="1" x14ac:dyDescent="0.3">
      <c r="A75" s="231">
        <v>8.06</v>
      </c>
      <c r="B75" s="288"/>
      <c r="C75" s="289" t="e">
        <f>VLOOKUP(BD.PD510[[#This Row],[Pos]],[16]!PPto[#Data],3,FALSE)</f>
        <v>#REF!</v>
      </c>
      <c r="D75" s="290" t="s">
        <v>1130</v>
      </c>
      <c r="E75" s="291" t="str">
        <f>IF(BD.PD510[[#This Row],[.]]="*",VLOOKUP(BD.PD510[[#This Row],[Pos]],[16]Presupuesto!A:H,7,FALSE),"")</f>
        <v/>
      </c>
      <c r="F75" s="292" t="s">
        <v>1108</v>
      </c>
      <c r="G75" s="292"/>
      <c r="H75" s="292"/>
      <c r="I75" s="437">
        <v>1</v>
      </c>
      <c r="J75" s="231" t="s">
        <v>581</v>
      </c>
      <c r="K75" s="438">
        <f>IF(BD.PD510[[#This Row],[Mon]]="DOP",1,HLOOKUP(BD.PD510[[#This Row],[Mon]],$J$1:$K$2,2,FALSE))</f>
        <v>1</v>
      </c>
      <c r="L75" s="439">
        <v>1975</v>
      </c>
      <c r="M75" s="302">
        <f>BD.PD510[[#This Row],[Cant.]]*BD.PD510[[#This Row],[ Tasa ]]*BD.PD510[[#This Row],[ Precio Und.]]</f>
        <v>1975</v>
      </c>
      <c r="N75" s="440">
        <v>0</v>
      </c>
      <c r="O75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75" s="302">
        <f>BD.PD510[[#This Row],[Ppto. Orden Interna '[DOP']]]/HLOOKUP("USD",$J$1:$K$2,2,FALSE)</f>
        <v>31.676022453889335</v>
      </c>
      <c r="Q75" s="425" t="s">
        <v>1109</v>
      </c>
      <c r="R75" s="425"/>
      <c r="S75" s="425"/>
      <c r="T75" s="425"/>
      <c r="U75" s="425"/>
      <c r="V75" s="292" t="s">
        <v>1109</v>
      </c>
      <c r="W75" s="441"/>
      <c r="X75" s="442"/>
      <c r="Y75" s="302">
        <f>BD.PD510[[#This Row],[Av.P1 '[%']]]*BD.PD510[[#This Row],[Ppto. Orden Interna '[DOP']]]</f>
        <v>0</v>
      </c>
      <c r="Z75" s="309"/>
      <c r="AA75" s="443"/>
      <c r="AB75" s="302">
        <f>BD.PD510[[#This Row],[Av.P2 '[%']]]*BD.PD510[[#This Row],[Ppto. Orden Interna '[DOP']]]</f>
        <v>0</v>
      </c>
      <c r="AC75" s="309"/>
      <c r="AD75" s="443"/>
      <c r="AE75" s="302">
        <f>BD.PD510[[#This Row],[Av.P3 '[%']]]*BD.PD510[[#This Row],[Ppto. Orden Interna '[DOP']]]</f>
        <v>0</v>
      </c>
      <c r="AF75" s="309"/>
      <c r="AG75" s="443"/>
      <c r="AH75" s="302">
        <f>BD.PD510[[#This Row],[Av.P4 '[%']]]*BD.PD510[[#This Row],[Ppto. Orden Interna '[DOP']]]</f>
        <v>0</v>
      </c>
      <c r="AI75" s="309"/>
      <c r="AJ75" s="443"/>
      <c r="AK75" s="302">
        <f>BD.PD510[[#This Row],[Av.P5 '[%']]]*BD.PD510[[#This Row],[Ppto. Orden Interna '[DOP']]]</f>
        <v>0</v>
      </c>
      <c r="AL75" s="444">
        <f>BD.PD510[[#This Row],[Pago 5]]+BD.PD510[[#This Row],[Pago 4]]+BD.PD510[[#This Row],[Pago 3]]+BD.PD510[[#This Row],[Pago 2]]+BD.PD510[[#This Row],[Pago 1]]</f>
        <v>0</v>
      </c>
      <c r="AM75" s="404"/>
    </row>
    <row r="76" spans="1:39" hidden="1" x14ac:dyDescent="0.3">
      <c r="A76" s="231">
        <v>8.06</v>
      </c>
      <c r="B76" s="288"/>
      <c r="C76" s="289" t="e">
        <f>VLOOKUP(BD.PD510[[#This Row],[Pos]],[16]!PPto[#Data],3,FALSE)</f>
        <v>#REF!</v>
      </c>
      <c r="D76" s="290" t="s">
        <v>1130</v>
      </c>
      <c r="E76" s="291" t="str">
        <f>IF(BD.PD510[[#This Row],[.]]="*",VLOOKUP(BD.PD510[[#This Row],[Pos]],[16]Presupuesto!A:H,7,FALSE),"")</f>
        <v/>
      </c>
      <c r="F76" s="292" t="s">
        <v>1110</v>
      </c>
      <c r="G76" s="292"/>
      <c r="H76" s="292"/>
      <c r="I76" s="437">
        <v>3</v>
      </c>
      <c r="J76" s="231" t="s">
        <v>581</v>
      </c>
      <c r="K76" s="438">
        <f>IF(BD.PD510[[#This Row],[Mon]]="DOP",1,HLOOKUP(BD.PD510[[#This Row],[Mon]],$J$1:$K$2,2,FALSE))</f>
        <v>1</v>
      </c>
      <c r="L76" s="439">
        <v>5000</v>
      </c>
      <c r="M76" s="302">
        <f>BD.PD510[[#This Row],[Cant.]]*BD.PD510[[#This Row],[ Tasa ]]*BD.PD510[[#This Row],[ Precio Und.]]</f>
        <v>15000</v>
      </c>
      <c r="N76" s="440">
        <v>0</v>
      </c>
      <c r="O76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76" s="302">
        <f>BD.PD510[[#This Row],[Ppto. Orden Interna '[DOP']]]/HLOOKUP("USD",$J$1:$K$2,2,FALSE)</f>
        <v>240.57738572574178</v>
      </c>
      <c r="Q76" s="425" t="s">
        <v>1111</v>
      </c>
      <c r="R76" s="425"/>
      <c r="S76" s="425"/>
      <c r="T76" s="425"/>
      <c r="U76" s="425"/>
      <c r="V76" s="292" t="s">
        <v>1111</v>
      </c>
      <c r="W76" s="441"/>
      <c r="X76" s="442"/>
      <c r="Y76" s="302">
        <f>BD.PD510[[#This Row],[Av.P1 '[%']]]*BD.PD510[[#This Row],[Ppto. Orden Interna '[DOP']]]</f>
        <v>0</v>
      </c>
      <c r="Z76" s="309"/>
      <c r="AA76" s="443"/>
      <c r="AB76" s="302">
        <f>BD.PD510[[#This Row],[Av.P2 '[%']]]*BD.PD510[[#This Row],[Ppto. Orden Interna '[DOP']]]</f>
        <v>0</v>
      </c>
      <c r="AC76" s="309"/>
      <c r="AD76" s="443"/>
      <c r="AE76" s="302">
        <f>BD.PD510[[#This Row],[Av.P3 '[%']]]*BD.PD510[[#This Row],[Ppto. Orden Interna '[DOP']]]</f>
        <v>0</v>
      </c>
      <c r="AF76" s="309"/>
      <c r="AG76" s="443"/>
      <c r="AH76" s="302">
        <f>BD.PD510[[#This Row],[Av.P4 '[%']]]*BD.PD510[[#This Row],[Ppto. Orden Interna '[DOP']]]</f>
        <v>0</v>
      </c>
      <c r="AI76" s="309"/>
      <c r="AJ76" s="443"/>
      <c r="AK76" s="302">
        <f>BD.PD510[[#This Row],[Av.P5 '[%']]]*BD.PD510[[#This Row],[Ppto. Orden Interna '[DOP']]]</f>
        <v>0</v>
      </c>
      <c r="AL76" s="444">
        <f>BD.PD510[[#This Row],[Pago 5]]+BD.PD510[[#This Row],[Pago 4]]+BD.PD510[[#This Row],[Pago 3]]+BD.PD510[[#This Row],[Pago 2]]+BD.PD510[[#This Row],[Pago 1]]</f>
        <v>0</v>
      </c>
      <c r="AM76" s="404"/>
    </row>
    <row r="77" spans="1:39" ht="14.1" hidden="1" customHeight="1" x14ac:dyDescent="0.3">
      <c r="A77" s="231">
        <v>8.06</v>
      </c>
      <c r="B77" s="288"/>
      <c r="C77" s="289" t="e">
        <f>VLOOKUP(BD.PD510[[#This Row],[Pos]],[16]!PPto[#Data],3,FALSE)</f>
        <v>#REF!</v>
      </c>
      <c r="D77" s="290" t="s">
        <v>1130</v>
      </c>
      <c r="E77" s="291" t="str">
        <f>IF(BD.PD510[[#This Row],[.]]="*",VLOOKUP(BD.PD510[[#This Row],[Pos]],[16]Presupuesto!A:H,7,FALSE),"")</f>
        <v/>
      </c>
      <c r="F77" s="292" t="s">
        <v>1112</v>
      </c>
      <c r="G77" s="292"/>
      <c r="H77" s="292"/>
      <c r="I77" s="437">
        <v>1</v>
      </c>
      <c r="J77" s="231" t="s">
        <v>581</v>
      </c>
      <c r="K77" s="438">
        <f>IF(BD.PD510[[#This Row],[Mon]]="DOP",1,HLOOKUP(BD.PD510[[#This Row],[Mon]],$J$1:$K$2,2,FALSE))</f>
        <v>1</v>
      </c>
      <c r="L77" s="439">
        <v>12000</v>
      </c>
      <c r="M77" s="302">
        <f>BD.PD510[[#This Row],[Cant.]]*BD.PD510[[#This Row],[ Tasa ]]*BD.PD510[[#This Row],[ Precio Und.]]</f>
        <v>12000</v>
      </c>
      <c r="N77" s="440">
        <v>0</v>
      </c>
      <c r="O77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77" s="302">
        <f>BD.PD510[[#This Row],[Ppto. Orden Interna '[DOP']]]/HLOOKUP("USD",$J$1:$K$2,2,FALSE)</f>
        <v>192.46190858059342</v>
      </c>
      <c r="Q77" s="425" t="s">
        <v>1111</v>
      </c>
      <c r="R77" s="425"/>
      <c r="S77" s="425"/>
      <c r="T77" s="425"/>
      <c r="U77" s="425"/>
      <c r="V77" s="292" t="s">
        <v>1111</v>
      </c>
      <c r="W77" s="441"/>
      <c r="X77" s="442"/>
      <c r="Y77" s="302">
        <f>BD.PD510[[#This Row],[Av.P1 '[%']]]*BD.PD510[[#This Row],[Ppto. Orden Interna '[DOP']]]</f>
        <v>0</v>
      </c>
      <c r="Z77" s="309"/>
      <c r="AA77" s="443"/>
      <c r="AB77" s="302">
        <f>BD.PD510[[#This Row],[Av.P2 '[%']]]*BD.PD510[[#This Row],[Ppto. Orden Interna '[DOP']]]</f>
        <v>0</v>
      </c>
      <c r="AC77" s="309"/>
      <c r="AD77" s="443"/>
      <c r="AE77" s="302">
        <f>BD.PD510[[#This Row],[Av.P3 '[%']]]*BD.PD510[[#This Row],[Ppto. Orden Interna '[DOP']]]</f>
        <v>0</v>
      </c>
      <c r="AF77" s="309"/>
      <c r="AG77" s="443"/>
      <c r="AH77" s="302">
        <f>BD.PD510[[#This Row],[Av.P4 '[%']]]*BD.PD510[[#This Row],[Ppto. Orden Interna '[DOP']]]</f>
        <v>0</v>
      </c>
      <c r="AI77" s="309"/>
      <c r="AJ77" s="443"/>
      <c r="AK77" s="302">
        <f>BD.PD510[[#This Row],[Av.P5 '[%']]]*BD.PD510[[#This Row],[Ppto. Orden Interna '[DOP']]]</f>
        <v>0</v>
      </c>
      <c r="AL77" s="444">
        <f>BD.PD510[[#This Row],[Pago 5]]+BD.PD510[[#This Row],[Pago 4]]+BD.PD510[[#This Row],[Pago 3]]+BD.PD510[[#This Row],[Pago 2]]+BD.PD510[[#This Row],[Pago 1]]</f>
        <v>0</v>
      </c>
      <c r="AM77" s="404"/>
    </row>
    <row r="78" spans="1:39" hidden="1" x14ac:dyDescent="0.3">
      <c r="A78" s="231">
        <v>8.06</v>
      </c>
      <c r="B78" s="288"/>
      <c r="C78" s="289" t="e">
        <f>VLOOKUP(BD.PD510[[#This Row],[Pos]],[16]!PPto[#Data],3,FALSE)</f>
        <v>#REF!</v>
      </c>
      <c r="D78" s="290" t="s">
        <v>1130</v>
      </c>
      <c r="E78" s="291" t="str">
        <f>IF(BD.PD510[[#This Row],[.]]="*",VLOOKUP(BD.PD510[[#This Row],[Pos]],[16]Presupuesto!A:H,7,FALSE),"")</f>
        <v/>
      </c>
      <c r="F78" s="292" t="s">
        <v>1113</v>
      </c>
      <c r="G78" s="292"/>
      <c r="H78" s="292"/>
      <c r="I78" s="437">
        <v>1</v>
      </c>
      <c r="J78" s="231" t="s">
        <v>581</v>
      </c>
      <c r="K78" s="438">
        <f>IF(BD.PD510[[#This Row],[Mon]]="DOP",1,HLOOKUP(BD.PD510[[#This Row],[Mon]],$J$1:$K$2,2,FALSE))</f>
        <v>1</v>
      </c>
      <c r="L78" s="439">
        <v>3000</v>
      </c>
      <c r="M78" s="302">
        <f>BD.PD510[[#This Row],[Cant.]]*BD.PD510[[#This Row],[ Tasa ]]*BD.PD510[[#This Row],[ Precio Und.]]</f>
        <v>3000</v>
      </c>
      <c r="N78" s="440">
        <v>0</v>
      </c>
      <c r="O78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78" s="302">
        <f>BD.PD510[[#This Row],[Ppto. Orden Interna '[DOP']]]/HLOOKUP("USD",$J$1:$K$2,2,FALSE)</f>
        <v>48.115477145148354</v>
      </c>
      <c r="Q78" s="425" t="s">
        <v>763</v>
      </c>
      <c r="R78" s="425"/>
      <c r="S78" s="425"/>
      <c r="T78" s="425"/>
      <c r="U78" s="425"/>
      <c r="V78" s="292" t="s">
        <v>763</v>
      </c>
      <c r="W78" s="441"/>
      <c r="X78" s="442"/>
      <c r="Y78" s="302">
        <f>BD.PD510[[#This Row],[Av.P1 '[%']]]*BD.PD510[[#This Row],[Ppto. Orden Interna '[DOP']]]</f>
        <v>0</v>
      </c>
      <c r="Z78" s="309"/>
      <c r="AA78" s="443"/>
      <c r="AB78" s="302">
        <f>BD.PD510[[#This Row],[Av.P2 '[%']]]*BD.PD510[[#This Row],[Ppto. Orden Interna '[DOP']]]</f>
        <v>0</v>
      </c>
      <c r="AC78" s="309"/>
      <c r="AD78" s="443"/>
      <c r="AE78" s="302">
        <f>BD.PD510[[#This Row],[Av.P3 '[%']]]*BD.PD510[[#This Row],[Ppto. Orden Interna '[DOP']]]</f>
        <v>0</v>
      </c>
      <c r="AF78" s="309"/>
      <c r="AG78" s="443"/>
      <c r="AH78" s="302">
        <f>BD.PD510[[#This Row],[Av.P4 '[%']]]*BD.PD510[[#This Row],[Ppto. Orden Interna '[DOP']]]</f>
        <v>0</v>
      </c>
      <c r="AI78" s="309"/>
      <c r="AJ78" s="443"/>
      <c r="AK78" s="302">
        <f>BD.PD510[[#This Row],[Av.P5 '[%']]]*BD.PD510[[#This Row],[Ppto. Orden Interna '[DOP']]]</f>
        <v>0</v>
      </c>
      <c r="AL78" s="444">
        <f>BD.PD510[[#This Row],[Pago 5]]+BD.PD510[[#This Row],[Pago 4]]+BD.PD510[[#This Row],[Pago 3]]+BD.PD510[[#This Row],[Pago 2]]+BD.PD510[[#This Row],[Pago 1]]</f>
        <v>0</v>
      </c>
      <c r="AM78" s="404"/>
    </row>
    <row r="79" spans="1:39" hidden="1" x14ac:dyDescent="0.3">
      <c r="A79" s="231">
        <v>8.06</v>
      </c>
      <c r="B79" s="288"/>
      <c r="C79" s="289" t="e">
        <f>VLOOKUP(BD.PD510[[#This Row],[Pos]],[16]!PPto[#Data],3,FALSE)</f>
        <v>#REF!</v>
      </c>
      <c r="D79" s="290" t="s">
        <v>1130</v>
      </c>
      <c r="E79" s="291" t="str">
        <f>IF(BD.PD510[[#This Row],[.]]="*",VLOOKUP(BD.PD510[[#This Row],[Pos]],[16]Presupuesto!A:H,7,FALSE),"")</f>
        <v/>
      </c>
      <c r="F79" s="292" t="s">
        <v>1114</v>
      </c>
      <c r="G79" s="292"/>
      <c r="H79" s="292"/>
      <c r="I79" s="437">
        <v>1</v>
      </c>
      <c r="J79" s="231" t="s">
        <v>581</v>
      </c>
      <c r="K79" s="438">
        <f>IF(BD.PD510[[#This Row],[Mon]]="DOP",1,HLOOKUP(BD.PD510[[#This Row],[Mon]],$J$1:$K$2,2,FALSE))</f>
        <v>1</v>
      </c>
      <c r="L79" s="439">
        <v>30000</v>
      </c>
      <c r="M79" s="302">
        <f>BD.PD510[[#This Row],[Cant.]]*BD.PD510[[#This Row],[ Tasa ]]*BD.PD510[[#This Row],[ Precio Und.]]</f>
        <v>30000</v>
      </c>
      <c r="N79" s="440">
        <v>0</v>
      </c>
      <c r="O79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79" s="302">
        <f>BD.PD510[[#This Row],[Ppto. Orden Interna '[DOP']]]/HLOOKUP("USD",$J$1:$K$2,2,FALSE)</f>
        <v>481.15477145148355</v>
      </c>
      <c r="Q79" s="425"/>
      <c r="R79" s="425"/>
      <c r="S79" s="425"/>
      <c r="T79" s="425"/>
      <c r="U79" s="425"/>
      <c r="V79" s="292"/>
      <c r="W79" s="441"/>
      <c r="X79" s="442"/>
      <c r="Y79" s="302">
        <f>BD.PD510[[#This Row],[Av.P1 '[%']]]*BD.PD510[[#This Row],[Ppto. Orden Interna '[DOP']]]</f>
        <v>0</v>
      </c>
      <c r="Z79" s="309"/>
      <c r="AA79" s="443"/>
      <c r="AB79" s="302">
        <f>BD.PD510[[#This Row],[Av.P2 '[%']]]*BD.PD510[[#This Row],[Ppto. Orden Interna '[DOP']]]</f>
        <v>0</v>
      </c>
      <c r="AC79" s="309"/>
      <c r="AD79" s="443"/>
      <c r="AE79" s="302">
        <f>BD.PD510[[#This Row],[Av.P3 '[%']]]*BD.PD510[[#This Row],[Ppto. Orden Interna '[DOP']]]</f>
        <v>0</v>
      </c>
      <c r="AF79" s="309"/>
      <c r="AG79" s="443"/>
      <c r="AH79" s="302">
        <f>BD.PD510[[#This Row],[Av.P4 '[%']]]*BD.PD510[[#This Row],[Ppto. Orden Interna '[DOP']]]</f>
        <v>0</v>
      </c>
      <c r="AI79" s="309"/>
      <c r="AJ79" s="443"/>
      <c r="AK79" s="302">
        <f>BD.PD510[[#This Row],[Av.P5 '[%']]]*BD.PD510[[#This Row],[Ppto. Orden Interna '[DOP']]]</f>
        <v>0</v>
      </c>
      <c r="AL79" s="444">
        <f>BD.PD510[[#This Row],[Pago 5]]+BD.PD510[[#This Row],[Pago 4]]+BD.PD510[[#This Row],[Pago 3]]+BD.PD510[[#This Row],[Pago 2]]+BD.PD510[[#This Row],[Pago 1]]</f>
        <v>0</v>
      </c>
      <c r="AM79" s="404"/>
    </row>
    <row r="80" spans="1:39" hidden="1" x14ac:dyDescent="0.3">
      <c r="A80" s="231">
        <v>8.06</v>
      </c>
      <c r="B80" s="288"/>
      <c r="C80" s="289" t="e">
        <f>VLOOKUP(BD.PD510[[#This Row],[Pos]],[16]!PPto[#Data],3,FALSE)</f>
        <v>#REF!</v>
      </c>
      <c r="D80" s="290" t="s">
        <v>1130</v>
      </c>
      <c r="E80" s="291" t="str">
        <f>IF(BD.PD510[[#This Row],[.]]="*",VLOOKUP(BD.PD510[[#This Row],[Pos]],[16]Presupuesto!A:H,7,FALSE),"")</f>
        <v/>
      </c>
      <c r="F80" s="292" t="s">
        <v>1115</v>
      </c>
      <c r="G80" s="292"/>
      <c r="H80" s="292"/>
      <c r="I80" s="437">
        <v>2</v>
      </c>
      <c r="J80" s="231" t="s">
        <v>526</v>
      </c>
      <c r="K80" s="438">
        <f>IF(BD.PD510[[#This Row],[Mon]]="DOP",1,HLOOKUP(BD.PD510[[#This Row],[Mon]],$J$1:$K$2,2,FALSE))</f>
        <v>73.3</v>
      </c>
      <c r="L80" s="439">
        <v>4850</v>
      </c>
      <c r="M80" s="302">
        <f>BD.PD510[[#This Row],[Cant.]]*BD.PD510[[#This Row],[ Tasa ]]*BD.PD510[[#This Row],[ Precio Und.]]</f>
        <v>711010</v>
      </c>
      <c r="N80" s="440">
        <v>0.15</v>
      </c>
      <c r="O80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80" s="302">
        <f>BD.PD510[[#This Row],[Ppto. Orden Interna '[DOP']]]/HLOOKUP("USD",$J$1:$K$2,2,FALSE)</f>
        <v>13114.057738572574</v>
      </c>
      <c r="Q80" s="425" t="s">
        <v>1090</v>
      </c>
      <c r="R80" s="425"/>
      <c r="S80" s="425"/>
      <c r="T80" s="425"/>
      <c r="U80" s="425"/>
      <c r="V80" s="292" t="s">
        <v>1090</v>
      </c>
      <c r="W80" s="441">
        <v>1</v>
      </c>
      <c r="X80" s="442">
        <v>1</v>
      </c>
      <c r="Y80" s="302">
        <f>BD.PD510[[#This Row],[Av.P1 '[%']]]*BD.PD510[[#This Row],[Ppto. Orden Interna '[DOP']]]</f>
        <v>817661.5</v>
      </c>
      <c r="Z80" s="309"/>
      <c r="AA80" s="443"/>
      <c r="AB80" s="302">
        <f>BD.PD510[[#This Row],[Av.P2 '[%']]]*BD.PD510[[#This Row],[Ppto. Orden Interna '[DOP']]]</f>
        <v>0</v>
      </c>
      <c r="AC80" s="309"/>
      <c r="AD80" s="443"/>
      <c r="AE80" s="302">
        <f>BD.PD510[[#This Row],[Av.P3 '[%']]]*BD.PD510[[#This Row],[Ppto. Orden Interna '[DOP']]]</f>
        <v>0</v>
      </c>
      <c r="AF80" s="309"/>
      <c r="AG80" s="443"/>
      <c r="AH80" s="302">
        <f>BD.PD510[[#This Row],[Av.P4 '[%']]]*BD.PD510[[#This Row],[Ppto. Orden Interna '[DOP']]]</f>
        <v>0</v>
      </c>
      <c r="AI80" s="309"/>
      <c r="AJ80" s="443"/>
      <c r="AK80" s="302">
        <f>BD.PD510[[#This Row],[Av.P5 '[%']]]*BD.PD510[[#This Row],[Ppto. Orden Interna '[DOP']]]</f>
        <v>0</v>
      </c>
      <c r="AL80" s="444">
        <f>BD.PD510[[#This Row],[Pago 5]]+BD.PD510[[#This Row],[Pago 4]]+BD.PD510[[#This Row],[Pago 3]]+BD.PD510[[#This Row],[Pago 2]]+BD.PD510[[#This Row],[Pago 1]]</f>
        <v>817661.5</v>
      </c>
      <c r="AM80" s="404"/>
    </row>
    <row r="81" spans="1:241" hidden="1" x14ac:dyDescent="0.3">
      <c r="A81" s="231">
        <v>8.06</v>
      </c>
      <c r="B81" s="288"/>
      <c r="C81" s="289" t="e">
        <f>VLOOKUP(BD.PD510[[#This Row],[Pos]],[16]!PPto[#Data],3,FALSE)</f>
        <v>#REF!</v>
      </c>
      <c r="D81" s="290" t="s">
        <v>1130</v>
      </c>
      <c r="E81" s="291" t="str">
        <f>IF(BD.PD510[[#This Row],[.]]="*",VLOOKUP(BD.PD510[[#This Row],[Pos]],[16]Presupuesto!A:H,7,FALSE),"")</f>
        <v/>
      </c>
      <c r="F81" s="292" t="s">
        <v>1116</v>
      </c>
      <c r="G81" s="292"/>
      <c r="H81" s="292"/>
      <c r="I81" s="437">
        <v>1</v>
      </c>
      <c r="J81" s="231" t="s">
        <v>526</v>
      </c>
      <c r="K81" s="438">
        <f>IF(BD.PD510[[#This Row],[Mon]]="DOP",1,HLOOKUP(BD.PD510[[#This Row],[Mon]],$J$1:$K$2,2,FALSE))</f>
        <v>73.3</v>
      </c>
      <c r="L81" s="439">
        <v>2225</v>
      </c>
      <c r="M81" s="302">
        <f>BD.PD510[[#This Row],[Cant.]]*BD.PD510[[#This Row],[ Tasa ]]*BD.PD510[[#This Row],[ Precio Und.]]</f>
        <v>163092.5</v>
      </c>
      <c r="N81" s="440">
        <v>0.15</v>
      </c>
      <c r="O81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81" s="302">
        <f>BD.PD510[[#This Row],[Ppto. Orden Interna '[DOP']]]/HLOOKUP("USD",$J$1:$K$2,2,FALSE)</f>
        <v>3008.1214915797914</v>
      </c>
      <c r="Q81" s="425" t="s">
        <v>1090</v>
      </c>
      <c r="R81" s="425"/>
      <c r="S81" s="425"/>
      <c r="T81" s="425"/>
      <c r="U81" s="425"/>
      <c r="V81" s="292" t="s">
        <v>1090</v>
      </c>
      <c r="W81" s="441">
        <v>1</v>
      </c>
      <c r="X81" s="442">
        <v>1</v>
      </c>
      <c r="Y81" s="302">
        <f>BD.PD510[[#This Row],[Av.P1 '[%']]]*BD.PD510[[#This Row],[Ppto. Orden Interna '[DOP']]]</f>
        <v>187556.375</v>
      </c>
      <c r="Z81" s="309"/>
      <c r="AA81" s="443"/>
      <c r="AB81" s="302">
        <f>BD.PD510[[#This Row],[Av.P2 '[%']]]*BD.PD510[[#This Row],[Ppto. Orden Interna '[DOP']]]</f>
        <v>0</v>
      </c>
      <c r="AC81" s="309"/>
      <c r="AD81" s="443"/>
      <c r="AE81" s="302">
        <f>BD.PD510[[#This Row],[Av.P3 '[%']]]*BD.PD510[[#This Row],[Ppto. Orden Interna '[DOP']]]</f>
        <v>0</v>
      </c>
      <c r="AF81" s="309"/>
      <c r="AG81" s="443"/>
      <c r="AH81" s="302">
        <f>BD.PD510[[#This Row],[Av.P4 '[%']]]*BD.PD510[[#This Row],[Ppto. Orden Interna '[DOP']]]</f>
        <v>0</v>
      </c>
      <c r="AI81" s="309"/>
      <c r="AJ81" s="443"/>
      <c r="AK81" s="302">
        <f>BD.PD510[[#This Row],[Av.P5 '[%']]]*BD.PD510[[#This Row],[Ppto. Orden Interna '[DOP']]]</f>
        <v>0</v>
      </c>
      <c r="AL81" s="444">
        <f>BD.PD510[[#This Row],[Pago 5]]+BD.PD510[[#This Row],[Pago 4]]+BD.PD510[[#This Row],[Pago 3]]+BD.PD510[[#This Row],[Pago 2]]+BD.PD510[[#This Row],[Pago 1]]</f>
        <v>187556.375</v>
      </c>
      <c r="AM81" s="404"/>
    </row>
    <row r="82" spans="1:241" hidden="1" x14ac:dyDescent="0.3">
      <c r="A82" s="231">
        <v>8.06</v>
      </c>
      <c r="B82" s="288"/>
      <c r="C82" s="289" t="e">
        <f>VLOOKUP(BD.PD510[[#This Row],[Pos]],[16]!PPto[#Data],3,FALSE)</f>
        <v>#REF!</v>
      </c>
      <c r="D82" s="290" t="s">
        <v>1130</v>
      </c>
      <c r="E82" s="291" t="str">
        <f>IF(BD.PD510[[#This Row],[.]]="*",VLOOKUP(BD.PD510[[#This Row],[Pos]],[16]Presupuesto!A:H,7,FALSE),"")</f>
        <v/>
      </c>
      <c r="F82" s="292" t="s">
        <v>1117</v>
      </c>
      <c r="G82" s="292"/>
      <c r="H82" s="292"/>
      <c r="I82" s="437">
        <v>1</v>
      </c>
      <c r="J82" s="231" t="s">
        <v>581</v>
      </c>
      <c r="K82" s="438">
        <f>IF(BD.PD510[[#This Row],[Mon]]="DOP",1,HLOOKUP(BD.PD510[[#This Row],[Mon]],$J$1:$K$2,2,FALSE))</f>
        <v>1</v>
      </c>
      <c r="L82" s="439">
        <v>10588.98</v>
      </c>
      <c r="M82" s="302">
        <f>BD.PD510[[#This Row],[Cant.]]*BD.PD510[[#This Row],[ Tasa ]]*BD.PD510[[#This Row],[ Precio Und.]]</f>
        <v>10588.98</v>
      </c>
      <c r="N82" s="440">
        <v>0</v>
      </c>
      <c r="O82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82" s="302">
        <f>BD.PD510[[#This Row],[Ppto. Orden Interna '[DOP']]]/HLOOKUP("USD",$J$1:$K$2,2,FALSE)</f>
        <v>169.83127506014435</v>
      </c>
      <c r="Q82" s="425" t="s">
        <v>1118</v>
      </c>
      <c r="R82" s="425"/>
      <c r="S82" s="425"/>
      <c r="T82" s="425"/>
      <c r="U82" s="425"/>
      <c r="V82" s="292" t="s">
        <v>1118</v>
      </c>
      <c r="W82" s="441">
        <v>1</v>
      </c>
      <c r="X82" s="442">
        <v>1</v>
      </c>
      <c r="Y82" s="302">
        <f>BD.PD510[[#This Row],[Av.P1 '[%']]]*BD.PD510[[#This Row],[Ppto. Orden Interna '[DOP']]]</f>
        <v>10588.98</v>
      </c>
      <c r="Z82" s="309"/>
      <c r="AA82" s="443"/>
      <c r="AB82" s="302">
        <f>BD.PD510[[#This Row],[Av.P2 '[%']]]*BD.PD510[[#This Row],[Ppto. Orden Interna '[DOP']]]</f>
        <v>0</v>
      </c>
      <c r="AC82" s="309"/>
      <c r="AD82" s="443"/>
      <c r="AE82" s="302">
        <f>BD.PD510[[#This Row],[Av.P3 '[%']]]*BD.PD510[[#This Row],[Ppto. Orden Interna '[DOP']]]</f>
        <v>0</v>
      </c>
      <c r="AF82" s="309"/>
      <c r="AG82" s="443"/>
      <c r="AH82" s="302">
        <f>BD.PD510[[#This Row],[Av.P4 '[%']]]*BD.PD510[[#This Row],[Ppto. Orden Interna '[DOP']]]</f>
        <v>0</v>
      </c>
      <c r="AI82" s="309"/>
      <c r="AJ82" s="443"/>
      <c r="AK82" s="302">
        <f>BD.PD510[[#This Row],[Av.P5 '[%']]]*BD.PD510[[#This Row],[Ppto. Orden Interna '[DOP']]]</f>
        <v>0</v>
      </c>
      <c r="AL82" s="444">
        <f>BD.PD510[[#This Row],[Pago 5]]+BD.PD510[[#This Row],[Pago 4]]+BD.PD510[[#This Row],[Pago 3]]+BD.PD510[[#This Row],[Pago 2]]+BD.PD510[[#This Row],[Pago 1]]</f>
        <v>10588.98</v>
      </c>
      <c r="AM82" s="404"/>
    </row>
    <row r="83" spans="1:241" hidden="1" x14ac:dyDescent="0.3">
      <c r="A83" s="231">
        <v>8.06</v>
      </c>
      <c r="B83" s="288"/>
      <c r="C83" s="289" t="e">
        <f>VLOOKUP(BD.PD510[[#This Row],[Pos]],[16]!PPto[#Data],3,FALSE)</f>
        <v>#REF!</v>
      </c>
      <c r="D83" s="290" t="s">
        <v>1130</v>
      </c>
      <c r="E83" s="291" t="str">
        <f>IF(BD.PD510[[#This Row],[.]]="*",VLOOKUP(BD.PD510[[#This Row],[Pos]],[16]Presupuesto!A:H,7,FALSE),"")</f>
        <v/>
      </c>
      <c r="F83" s="292" t="s">
        <v>1119</v>
      </c>
      <c r="G83" s="292"/>
      <c r="H83" s="292"/>
      <c r="I83" s="437">
        <v>1</v>
      </c>
      <c r="J83" s="231" t="s">
        <v>581</v>
      </c>
      <c r="K83" s="438">
        <f>IF(BD.PD510[[#This Row],[Mon]]="DOP",1,HLOOKUP(BD.PD510[[#This Row],[Mon]],$J$1:$K$2,2,FALSE))</f>
        <v>1</v>
      </c>
      <c r="L83" s="439">
        <v>40500</v>
      </c>
      <c r="M83" s="302">
        <f>BD.PD510[[#This Row],[Cant.]]*BD.PD510[[#This Row],[ Tasa ]]*BD.PD510[[#This Row],[ Precio Und.]]</f>
        <v>40500</v>
      </c>
      <c r="N83" s="440">
        <v>0</v>
      </c>
      <c r="O83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83" s="302">
        <f>BD.PD510[[#This Row],[Ppto. Orden Interna '[DOP']]]/HLOOKUP("USD",$J$1:$K$2,2,FALSE)</f>
        <v>649.55894145950276</v>
      </c>
      <c r="Q83" s="425" t="s">
        <v>1120</v>
      </c>
      <c r="R83" s="425"/>
      <c r="S83" s="425"/>
      <c r="T83" s="425"/>
      <c r="U83" s="425"/>
      <c r="V83" s="292" t="s">
        <v>1120</v>
      </c>
      <c r="W83" s="441">
        <v>1</v>
      </c>
      <c r="X83" s="442">
        <v>0.6</v>
      </c>
      <c r="Y83" s="302">
        <f>BD.PD510[[#This Row],[Av.P1 '[%']]]*BD.PD510[[#This Row],[Ppto. Orden Interna '[DOP']]]</f>
        <v>24300</v>
      </c>
      <c r="Z83" s="309">
        <v>3</v>
      </c>
      <c r="AA83" s="443">
        <v>0.4</v>
      </c>
      <c r="AB83" s="302">
        <f>BD.PD510[[#This Row],[Av.P2 '[%']]]*BD.PD510[[#This Row],[Ppto. Orden Interna '[DOP']]]</f>
        <v>16200</v>
      </c>
      <c r="AC83" s="309"/>
      <c r="AD83" s="443"/>
      <c r="AE83" s="302">
        <f>BD.PD510[[#This Row],[Av.P3 '[%']]]*BD.PD510[[#This Row],[Ppto. Orden Interna '[DOP']]]</f>
        <v>0</v>
      </c>
      <c r="AF83" s="309"/>
      <c r="AG83" s="443"/>
      <c r="AH83" s="302">
        <f>BD.PD510[[#This Row],[Av.P4 '[%']]]*BD.PD510[[#This Row],[Ppto. Orden Interna '[DOP']]]</f>
        <v>0</v>
      </c>
      <c r="AI83" s="309"/>
      <c r="AJ83" s="443"/>
      <c r="AK83" s="302">
        <f>BD.PD510[[#This Row],[Av.P5 '[%']]]*BD.PD510[[#This Row],[Ppto. Orden Interna '[DOP']]]</f>
        <v>0</v>
      </c>
      <c r="AL83" s="444">
        <f>BD.PD510[[#This Row],[Pago 5]]+BD.PD510[[#This Row],[Pago 4]]+BD.PD510[[#This Row],[Pago 3]]+BD.PD510[[#This Row],[Pago 2]]+BD.PD510[[#This Row],[Pago 1]]</f>
        <v>40500</v>
      </c>
      <c r="AM83" s="404"/>
    </row>
    <row r="84" spans="1:241" hidden="1" x14ac:dyDescent="0.3">
      <c r="A84" s="231">
        <v>8.06</v>
      </c>
      <c r="B84" s="288"/>
      <c r="C84" s="289" t="e">
        <f>VLOOKUP(BD.PD510[[#This Row],[Pos]],[16]!PPto[#Data],3,FALSE)</f>
        <v>#REF!</v>
      </c>
      <c r="D84" s="290" t="s">
        <v>1130</v>
      </c>
      <c r="E84" s="291" t="str">
        <f>IF(BD.PD510[[#This Row],[.]]="*",VLOOKUP(BD.PD510[[#This Row],[Pos]],[16]Presupuesto!A:H,7,FALSE),"")</f>
        <v/>
      </c>
      <c r="F84" s="292" t="s">
        <v>1121</v>
      </c>
      <c r="G84" s="292"/>
      <c r="H84" s="292"/>
      <c r="I84" s="437">
        <v>1</v>
      </c>
      <c r="J84" s="231" t="s">
        <v>581</v>
      </c>
      <c r="K84" s="438">
        <f>IF(BD.PD510[[#This Row],[Mon]]="DOP",1,HLOOKUP(BD.PD510[[#This Row],[Mon]],$J$1:$K$2,2,FALSE))</f>
        <v>1</v>
      </c>
      <c r="L84" s="439">
        <v>63000</v>
      </c>
      <c r="M84" s="302">
        <f>BD.PD510[[#This Row],[Cant.]]*BD.PD510[[#This Row],[ Tasa ]]*BD.PD510[[#This Row],[ Precio Und.]]</f>
        <v>63000</v>
      </c>
      <c r="N84" s="440">
        <v>0</v>
      </c>
      <c r="O84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84" s="302">
        <f>BD.PD510[[#This Row],[Ppto. Orden Interna '[DOP']]]/HLOOKUP("USD",$J$1:$K$2,2,FALSE)</f>
        <v>1010.4250200481155</v>
      </c>
      <c r="Q84" s="425" t="s">
        <v>1120</v>
      </c>
      <c r="R84" s="425"/>
      <c r="S84" s="425"/>
      <c r="T84" s="425"/>
      <c r="U84" s="425"/>
      <c r="V84" s="292" t="s">
        <v>1120</v>
      </c>
      <c r="W84" s="441">
        <v>1</v>
      </c>
      <c r="X84" s="442">
        <v>0.6</v>
      </c>
      <c r="Y84" s="302">
        <f>BD.PD510[[#This Row],[Av.P1 '[%']]]*BD.PD510[[#This Row],[Ppto. Orden Interna '[DOP']]]</f>
        <v>37800</v>
      </c>
      <c r="Z84" s="309">
        <v>3</v>
      </c>
      <c r="AA84" s="443">
        <v>0.4</v>
      </c>
      <c r="AB84" s="302">
        <f>BD.PD510[[#This Row],[Av.P2 '[%']]]*BD.PD510[[#This Row],[Ppto. Orden Interna '[DOP']]]</f>
        <v>25200</v>
      </c>
      <c r="AC84" s="309"/>
      <c r="AD84" s="443"/>
      <c r="AE84" s="302">
        <f>BD.PD510[[#This Row],[Av.P3 '[%']]]*BD.PD510[[#This Row],[Ppto. Orden Interna '[DOP']]]</f>
        <v>0</v>
      </c>
      <c r="AF84" s="309"/>
      <c r="AG84" s="443"/>
      <c r="AH84" s="302">
        <f>BD.PD510[[#This Row],[Av.P4 '[%']]]*BD.PD510[[#This Row],[Ppto. Orden Interna '[DOP']]]</f>
        <v>0</v>
      </c>
      <c r="AI84" s="309"/>
      <c r="AJ84" s="443"/>
      <c r="AK84" s="302">
        <f>BD.PD510[[#This Row],[Av.P5 '[%']]]*BD.PD510[[#This Row],[Ppto. Orden Interna '[DOP']]]</f>
        <v>0</v>
      </c>
      <c r="AL84" s="444">
        <f>BD.PD510[[#This Row],[Pago 5]]+BD.PD510[[#This Row],[Pago 4]]+BD.PD510[[#This Row],[Pago 3]]+BD.PD510[[#This Row],[Pago 2]]+BD.PD510[[#This Row],[Pago 1]]</f>
        <v>63000</v>
      </c>
      <c r="AM84" s="404"/>
    </row>
    <row r="85" spans="1:241" hidden="1" x14ac:dyDescent="0.3">
      <c r="A85" s="231">
        <v>8.06</v>
      </c>
      <c r="B85" s="288"/>
      <c r="C85" s="289" t="e">
        <f>VLOOKUP(BD.PD510[[#This Row],[Pos]],[16]!PPto[#Data],3,FALSE)</f>
        <v>#REF!</v>
      </c>
      <c r="D85" s="290" t="s">
        <v>1130</v>
      </c>
      <c r="E85" s="291" t="str">
        <f>IF(BD.PD510[[#This Row],[.]]="*",VLOOKUP(BD.PD510[[#This Row],[Pos]],[16]Presupuesto!A:H,7,FALSE),"")</f>
        <v/>
      </c>
      <c r="F85" s="292" t="s">
        <v>1122</v>
      </c>
      <c r="G85" s="292"/>
      <c r="H85" s="292"/>
      <c r="I85" s="437">
        <v>1</v>
      </c>
      <c r="J85" s="231" t="s">
        <v>526</v>
      </c>
      <c r="K85" s="438">
        <f>IF(BD.PD510[[#This Row],[Mon]]="DOP",1,HLOOKUP(BD.PD510[[#This Row],[Mon]],$J$1:$K$2,2,FALSE))</f>
        <v>73.3</v>
      </c>
      <c r="L85" s="439">
        <v>30060</v>
      </c>
      <c r="M85" s="302">
        <f>BD.PD510[[#This Row],[Cant.]]*BD.PD510[[#This Row],[ Tasa ]]*BD.PD510[[#This Row],[ Precio Und.]]</f>
        <v>2203398</v>
      </c>
      <c r="N85" s="440">
        <v>0.15</v>
      </c>
      <c r="O85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85" s="302">
        <f>BD.PD510[[#This Row],[Ppto. Orden Interna '[DOP']]]/HLOOKUP("USD",$J$1:$K$2,2,FALSE)</f>
        <v>40640.059342421817</v>
      </c>
      <c r="Q85" s="425" t="s">
        <v>1090</v>
      </c>
      <c r="R85" s="425"/>
      <c r="S85" s="425"/>
      <c r="T85" s="425"/>
      <c r="U85" s="425"/>
      <c r="V85" s="292" t="s">
        <v>1090</v>
      </c>
      <c r="W85" s="441">
        <v>1</v>
      </c>
      <c r="X85" s="442">
        <v>1</v>
      </c>
      <c r="Y85" s="302">
        <f>BD.PD510[[#This Row],[Av.P1 '[%']]]*BD.PD510[[#This Row],[Ppto. Orden Interna '[DOP']]]</f>
        <v>2533907.7000000002</v>
      </c>
      <c r="Z85" s="309"/>
      <c r="AA85" s="443"/>
      <c r="AB85" s="302">
        <f>BD.PD510[[#This Row],[Av.P2 '[%']]]*BD.PD510[[#This Row],[Ppto. Orden Interna '[DOP']]]</f>
        <v>0</v>
      </c>
      <c r="AC85" s="309"/>
      <c r="AD85" s="443"/>
      <c r="AE85" s="302">
        <f>BD.PD510[[#This Row],[Av.P3 '[%']]]*BD.PD510[[#This Row],[Ppto. Orden Interna '[DOP']]]</f>
        <v>0</v>
      </c>
      <c r="AF85" s="309"/>
      <c r="AG85" s="443"/>
      <c r="AH85" s="302">
        <f>BD.PD510[[#This Row],[Av.P4 '[%']]]*BD.PD510[[#This Row],[Ppto. Orden Interna '[DOP']]]</f>
        <v>0</v>
      </c>
      <c r="AI85" s="309"/>
      <c r="AJ85" s="443"/>
      <c r="AK85" s="302">
        <f>BD.PD510[[#This Row],[Av.P5 '[%']]]*BD.PD510[[#This Row],[Ppto. Orden Interna '[DOP']]]</f>
        <v>0</v>
      </c>
      <c r="AL85" s="444">
        <f>BD.PD510[[#This Row],[Pago 5]]+BD.PD510[[#This Row],[Pago 4]]+BD.PD510[[#This Row],[Pago 3]]+BD.PD510[[#This Row],[Pago 2]]+BD.PD510[[#This Row],[Pago 1]]</f>
        <v>2533907.7000000002</v>
      </c>
      <c r="AM85" s="404"/>
    </row>
    <row r="86" spans="1:241" hidden="1" x14ac:dyDescent="0.3">
      <c r="A86" s="231">
        <v>8.06</v>
      </c>
      <c r="B86" s="288"/>
      <c r="C86" s="289" t="e">
        <f>VLOOKUP(BD.PD510[[#This Row],[Pos]],[16]!PPto[#Data],3,FALSE)</f>
        <v>#REF!</v>
      </c>
      <c r="D86" s="290" t="s">
        <v>1130</v>
      </c>
      <c r="E86" s="291" t="str">
        <f>IF(BD.PD510[[#This Row],[.]]="*",VLOOKUP(BD.PD510[[#This Row],[Pos]],[16]Presupuesto!A:H,7,FALSE),"")</f>
        <v/>
      </c>
      <c r="F86" s="292" t="s">
        <v>1123</v>
      </c>
      <c r="G86" s="292"/>
      <c r="H86" s="292"/>
      <c r="I86" s="437">
        <v>1</v>
      </c>
      <c r="J86" s="231" t="s">
        <v>526</v>
      </c>
      <c r="K86" s="438">
        <f>IF(BD.PD510[[#This Row],[Mon]]="DOP",1,HLOOKUP(BD.PD510[[#This Row],[Mon]],$J$1:$K$2,2,FALSE))</f>
        <v>73.3</v>
      </c>
      <c r="L86" s="439">
        <v>9505</v>
      </c>
      <c r="M86" s="302">
        <f>BD.PD510[[#This Row],[Cant.]]*BD.PD510[[#This Row],[ Tasa ]]*BD.PD510[[#This Row],[ Precio Und.]]</f>
        <v>696716.5</v>
      </c>
      <c r="N86" s="440">
        <v>0.15</v>
      </c>
      <c r="O86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86" s="302">
        <f>BD.PD510[[#This Row],[Ppto. Orden Interna '[DOP']]]/HLOOKUP("USD",$J$1:$K$2,2,FALSE)</f>
        <v>12850.424619085805</v>
      </c>
      <c r="Q86" s="425" t="s">
        <v>1090</v>
      </c>
      <c r="R86" s="425"/>
      <c r="S86" s="425"/>
      <c r="T86" s="425"/>
      <c r="U86" s="425"/>
      <c r="V86" s="292" t="s">
        <v>1090</v>
      </c>
      <c r="W86" s="441">
        <v>1</v>
      </c>
      <c r="X86" s="442">
        <v>1</v>
      </c>
      <c r="Y86" s="302">
        <f>BD.PD510[[#This Row],[Av.P1 '[%']]]*BD.PD510[[#This Row],[Ppto. Orden Interna '[DOP']]]</f>
        <v>801223.97499999998</v>
      </c>
      <c r="Z86" s="309"/>
      <c r="AA86" s="443"/>
      <c r="AB86" s="302">
        <f>BD.PD510[[#This Row],[Av.P2 '[%']]]*BD.PD510[[#This Row],[Ppto. Orden Interna '[DOP']]]</f>
        <v>0</v>
      </c>
      <c r="AC86" s="309"/>
      <c r="AD86" s="443"/>
      <c r="AE86" s="302">
        <f>BD.PD510[[#This Row],[Av.P3 '[%']]]*BD.PD510[[#This Row],[Ppto. Orden Interna '[DOP']]]</f>
        <v>0</v>
      </c>
      <c r="AF86" s="309"/>
      <c r="AG86" s="443"/>
      <c r="AH86" s="302">
        <f>BD.PD510[[#This Row],[Av.P4 '[%']]]*BD.PD510[[#This Row],[Ppto. Orden Interna '[DOP']]]</f>
        <v>0</v>
      </c>
      <c r="AI86" s="309"/>
      <c r="AJ86" s="443"/>
      <c r="AK86" s="302">
        <f>BD.PD510[[#This Row],[Av.P5 '[%']]]*BD.PD510[[#This Row],[Ppto. Orden Interna '[DOP']]]</f>
        <v>0</v>
      </c>
      <c r="AL86" s="444">
        <f>BD.PD510[[#This Row],[Pago 5]]+BD.PD510[[#This Row],[Pago 4]]+BD.PD510[[#This Row],[Pago 3]]+BD.PD510[[#This Row],[Pago 2]]+BD.PD510[[#This Row],[Pago 1]]</f>
        <v>801223.97499999998</v>
      </c>
      <c r="AM86" s="404"/>
    </row>
    <row r="87" spans="1:241" hidden="1" x14ac:dyDescent="0.3">
      <c r="A87" s="231">
        <v>8.06</v>
      </c>
      <c r="B87" s="288"/>
      <c r="C87" s="289" t="e">
        <f>VLOOKUP(BD.PD510[[#This Row],[Pos]],[16]!PPto[#Data],3,FALSE)</f>
        <v>#REF!</v>
      </c>
      <c r="D87" s="290" t="s">
        <v>1130</v>
      </c>
      <c r="E87" s="291" t="str">
        <f>IF(BD.PD510[[#This Row],[.]]="*",VLOOKUP(BD.PD510[[#This Row],[Pos]],[16]Presupuesto!A:H,7,FALSE),"")</f>
        <v/>
      </c>
      <c r="F87" s="292" t="s">
        <v>1124</v>
      </c>
      <c r="G87" s="292"/>
      <c r="H87" s="292"/>
      <c r="I87" s="437">
        <v>1</v>
      </c>
      <c r="J87" s="231" t="s">
        <v>526</v>
      </c>
      <c r="K87" s="438">
        <f>IF(BD.PD510[[#This Row],[Mon]]="DOP",1,HLOOKUP(BD.PD510[[#This Row],[Mon]],$J$1:$K$2,2,FALSE))</f>
        <v>73.3</v>
      </c>
      <c r="L87" s="439">
        <v>4605</v>
      </c>
      <c r="M87" s="302">
        <f>BD.PD510[[#This Row],[Cant.]]*BD.PD510[[#This Row],[ Tasa ]]*BD.PD510[[#This Row],[ Precio Und.]]</f>
        <v>337546.5</v>
      </c>
      <c r="N87" s="440">
        <v>0.15</v>
      </c>
      <c r="O87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87" s="302">
        <f>BD.PD510[[#This Row],[Ppto. Orden Interna '[DOP']]]/HLOOKUP("USD",$J$1:$K$2,2,FALSE)</f>
        <v>6225.7975140336803</v>
      </c>
      <c r="Q87" s="425" t="s">
        <v>1090</v>
      </c>
      <c r="R87" s="425"/>
      <c r="S87" s="425"/>
      <c r="T87" s="425"/>
      <c r="U87" s="425"/>
      <c r="V87" s="292" t="s">
        <v>1090</v>
      </c>
      <c r="W87" s="441">
        <v>1</v>
      </c>
      <c r="X87" s="442">
        <v>1</v>
      </c>
      <c r="Y87" s="302">
        <f>BD.PD510[[#This Row],[Av.P1 '[%']]]*BD.PD510[[#This Row],[Ppto. Orden Interna '[DOP']]]</f>
        <v>388178.47499999998</v>
      </c>
      <c r="Z87" s="309"/>
      <c r="AA87" s="443"/>
      <c r="AB87" s="302">
        <f>BD.PD510[[#This Row],[Av.P2 '[%']]]*BD.PD510[[#This Row],[Ppto. Orden Interna '[DOP']]]</f>
        <v>0</v>
      </c>
      <c r="AC87" s="309"/>
      <c r="AD87" s="443"/>
      <c r="AE87" s="302">
        <f>BD.PD510[[#This Row],[Av.P3 '[%']]]*BD.PD510[[#This Row],[Ppto. Orden Interna '[DOP']]]</f>
        <v>0</v>
      </c>
      <c r="AF87" s="309"/>
      <c r="AG87" s="443"/>
      <c r="AH87" s="302">
        <f>BD.PD510[[#This Row],[Av.P4 '[%']]]*BD.PD510[[#This Row],[Ppto. Orden Interna '[DOP']]]</f>
        <v>0</v>
      </c>
      <c r="AI87" s="309"/>
      <c r="AJ87" s="443"/>
      <c r="AK87" s="302">
        <f>BD.PD510[[#This Row],[Av.P5 '[%']]]*BD.PD510[[#This Row],[Ppto. Orden Interna '[DOP']]]</f>
        <v>0</v>
      </c>
      <c r="AL87" s="444">
        <f>BD.PD510[[#This Row],[Pago 5]]+BD.PD510[[#This Row],[Pago 4]]+BD.PD510[[#This Row],[Pago 3]]+BD.PD510[[#This Row],[Pago 2]]+BD.PD510[[#This Row],[Pago 1]]</f>
        <v>388178.47499999998</v>
      </c>
      <c r="AM87" s="404"/>
    </row>
    <row r="88" spans="1:241" hidden="1" x14ac:dyDescent="0.3">
      <c r="A88" s="231">
        <v>8.06</v>
      </c>
      <c r="B88" s="288"/>
      <c r="C88" s="289" t="e">
        <f>VLOOKUP(BD.PD510[[#This Row],[Pos]],[16]!PPto[#Data],3,FALSE)</f>
        <v>#REF!</v>
      </c>
      <c r="D88" s="290" t="s">
        <v>1130</v>
      </c>
      <c r="E88" s="291" t="str">
        <f>IF(BD.PD510[[#This Row],[.]]="*",VLOOKUP(BD.PD510[[#This Row],[Pos]],[16]Presupuesto!A:H,7,FALSE),"")</f>
        <v/>
      </c>
      <c r="F88" s="292" t="s">
        <v>1125</v>
      </c>
      <c r="G88" s="292"/>
      <c r="H88" s="292"/>
      <c r="I88" s="437">
        <v>1</v>
      </c>
      <c r="J88" s="231" t="s">
        <v>526</v>
      </c>
      <c r="K88" s="438">
        <f>IF(BD.PD510[[#This Row],[Mon]]="DOP",1,HLOOKUP(BD.PD510[[#This Row],[Mon]],$J$1:$K$2,2,FALSE))</f>
        <v>73.3</v>
      </c>
      <c r="L88" s="439">
        <v>4930</v>
      </c>
      <c r="M88" s="302">
        <f>BD.PD510[[#This Row],[Cant.]]*BD.PD510[[#This Row],[ Tasa ]]*BD.PD510[[#This Row],[ Precio Und.]]</f>
        <v>361369</v>
      </c>
      <c r="N88" s="440">
        <v>0.15</v>
      </c>
      <c r="O88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88" s="302">
        <f>BD.PD510[[#This Row],[Ppto. Orden Interna '[DOP']]]/HLOOKUP("USD",$J$1:$K$2,2,FALSE)</f>
        <v>6665.186046511627</v>
      </c>
      <c r="Q88" s="425" t="s">
        <v>1090</v>
      </c>
      <c r="R88" s="425"/>
      <c r="S88" s="425"/>
      <c r="T88" s="425"/>
      <c r="U88" s="425"/>
      <c r="V88" s="292" t="s">
        <v>1090</v>
      </c>
      <c r="W88" s="441">
        <v>1</v>
      </c>
      <c r="X88" s="442">
        <v>1</v>
      </c>
      <c r="Y88" s="302">
        <f>BD.PD510[[#This Row],[Av.P1 '[%']]]*BD.PD510[[#This Row],[Ppto. Orden Interna '[DOP']]]</f>
        <v>415574.35</v>
      </c>
      <c r="Z88" s="309"/>
      <c r="AA88" s="443"/>
      <c r="AB88" s="302">
        <f>BD.PD510[[#This Row],[Av.P2 '[%']]]*BD.PD510[[#This Row],[Ppto. Orden Interna '[DOP']]]</f>
        <v>0</v>
      </c>
      <c r="AC88" s="309"/>
      <c r="AD88" s="443"/>
      <c r="AE88" s="302">
        <f>BD.PD510[[#This Row],[Av.P3 '[%']]]*BD.PD510[[#This Row],[Ppto. Orden Interna '[DOP']]]</f>
        <v>0</v>
      </c>
      <c r="AF88" s="309"/>
      <c r="AG88" s="443"/>
      <c r="AH88" s="302">
        <f>BD.PD510[[#This Row],[Av.P4 '[%']]]*BD.PD510[[#This Row],[Ppto. Orden Interna '[DOP']]]</f>
        <v>0</v>
      </c>
      <c r="AI88" s="309"/>
      <c r="AJ88" s="443"/>
      <c r="AK88" s="302">
        <f>BD.PD510[[#This Row],[Av.P5 '[%']]]*BD.PD510[[#This Row],[Ppto. Orden Interna '[DOP']]]</f>
        <v>0</v>
      </c>
      <c r="AL88" s="444">
        <f>BD.PD510[[#This Row],[Pago 5]]+BD.PD510[[#This Row],[Pago 4]]+BD.PD510[[#This Row],[Pago 3]]+BD.PD510[[#This Row],[Pago 2]]+BD.PD510[[#This Row],[Pago 1]]</f>
        <v>415574.35</v>
      </c>
      <c r="AM88" s="404"/>
    </row>
    <row r="89" spans="1:241" hidden="1" x14ac:dyDescent="0.3">
      <c r="A89" s="231">
        <v>8.06</v>
      </c>
      <c r="B89" s="288"/>
      <c r="C89" s="289" t="e">
        <f>VLOOKUP(BD.PD510[[#This Row],[Pos]],[16]!PPto[#Data],3,FALSE)</f>
        <v>#REF!</v>
      </c>
      <c r="D89" s="290" t="s">
        <v>1130</v>
      </c>
      <c r="E89" s="291" t="str">
        <f>IF(BD.PD510[[#This Row],[.]]="*",VLOOKUP(BD.PD510[[#This Row],[Pos]],[16]Presupuesto!A:H,7,FALSE),"")</f>
        <v/>
      </c>
      <c r="F89" s="292" t="s">
        <v>1126</v>
      </c>
      <c r="G89" s="292"/>
      <c r="H89" s="292"/>
      <c r="I89" s="437">
        <v>1</v>
      </c>
      <c r="J89" s="231" t="s">
        <v>526</v>
      </c>
      <c r="K89" s="438">
        <f>IF(BD.PD510[[#This Row],[Mon]]="DOP",1,HLOOKUP(BD.PD510[[#This Row],[Mon]],$J$1:$K$2,2,FALSE))</f>
        <v>73.3</v>
      </c>
      <c r="L89" s="439">
        <v>1500</v>
      </c>
      <c r="M89" s="302">
        <f>BD.PD510[[#This Row],[Cant.]]*BD.PD510[[#This Row],[ Tasa ]]*BD.PD510[[#This Row],[ Precio Und.]]</f>
        <v>109950</v>
      </c>
      <c r="N89" s="440">
        <v>0.15</v>
      </c>
      <c r="O89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89" s="302">
        <f>BD.PD510[[#This Row],[Ppto. Orden Interna '[DOP']]]/HLOOKUP("USD",$J$1:$K$2,2,FALSE)</f>
        <v>2027.9470729751404</v>
      </c>
      <c r="Q89" s="425" t="s">
        <v>1090</v>
      </c>
      <c r="R89" s="425"/>
      <c r="S89" s="425"/>
      <c r="T89" s="425"/>
      <c r="U89" s="425"/>
      <c r="V89" s="292" t="s">
        <v>1090</v>
      </c>
      <c r="W89" s="441">
        <v>1</v>
      </c>
      <c r="X89" s="442">
        <v>1</v>
      </c>
      <c r="Y89" s="302">
        <f>BD.PD510[[#This Row],[Av.P1 '[%']]]*BD.PD510[[#This Row],[Ppto. Orden Interna '[DOP']]]</f>
        <v>126442.5</v>
      </c>
      <c r="Z89" s="309"/>
      <c r="AA89" s="443"/>
      <c r="AB89" s="302">
        <f>BD.PD510[[#This Row],[Av.P2 '[%']]]*BD.PD510[[#This Row],[Ppto. Orden Interna '[DOP']]]</f>
        <v>0</v>
      </c>
      <c r="AC89" s="309"/>
      <c r="AD89" s="443"/>
      <c r="AE89" s="302">
        <f>BD.PD510[[#This Row],[Av.P3 '[%']]]*BD.PD510[[#This Row],[Ppto. Orden Interna '[DOP']]]</f>
        <v>0</v>
      </c>
      <c r="AF89" s="309"/>
      <c r="AG89" s="443"/>
      <c r="AH89" s="302">
        <f>BD.PD510[[#This Row],[Av.P4 '[%']]]*BD.PD510[[#This Row],[Ppto. Orden Interna '[DOP']]]</f>
        <v>0</v>
      </c>
      <c r="AI89" s="309"/>
      <c r="AJ89" s="443"/>
      <c r="AK89" s="302">
        <f>BD.PD510[[#This Row],[Av.P5 '[%']]]*BD.PD510[[#This Row],[Ppto. Orden Interna '[DOP']]]</f>
        <v>0</v>
      </c>
      <c r="AL89" s="444">
        <f>BD.PD510[[#This Row],[Pago 5]]+BD.PD510[[#This Row],[Pago 4]]+BD.PD510[[#This Row],[Pago 3]]+BD.PD510[[#This Row],[Pago 2]]+BD.PD510[[#This Row],[Pago 1]]</f>
        <v>126442.5</v>
      </c>
      <c r="AM89" s="404"/>
    </row>
    <row r="90" spans="1:241" hidden="1" x14ac:dyDescent="0.3">
      <c r="A90" s="231">
        <v>8.06</v>
      </c>
      <c r="B90" s="288"/>
      <c r="C90" s="289" t="e">
        <f>VLOOKUP(BD.PD510[[#This Row],[Pos]],[16]!PPto[#Data],3,FALSE)</f>
        <v>#REF!</v>
      </c>
      <c r="D90" s="290" t="s">
        <v>1130</v>
      </c>
      <c r="E90" s="291" t="str">
        <f>IF(BD.PD510[[#This Row],[.]]="*",VLOOKUP(BD.PD510[[#This Row],[Pos]],[16]Presupuesto!A:H,7,FALSE),"")</f>
        <v/>
      </c>
      <c r="F90" s="292" t="s">
        <v>1127</v>
      </c>
      <c r="G90" s="292"/>
      <c r="H90" s="292"/>
      <c r="I90" s="437">
        <v>1</v>
      </c>
      <c r="J90" s="231" t="s">
        <v>581</v>
      </c>
      <c r="K90" s="438">
        <f>IF(BD.PD510[[#This Row],[Mon]]="DOP",1,HLOOKUP(BD.PD510[[#This Row],[Mon]],$J$1:$K$2,2,FALSE))</f>
        <v>1</v>
      </c>
      <c r="L90" s="439">
        <v>50000</v>
      </c>
      <c r="M90" s="302">
        <f>BD.PD510[[#This Row],[Cant.]]*BD.PD510[[#This Row],[ Tasa ]]*BD.PD510[[#This Row],[ Precio Und.]]</f>
        <v>50000</v>
      </c>
      <c r="N90" s="440">
        <v>0</v>
      </c>
      <c r="O90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90" s="302">
        <f>BD.PD510[[#This Row],[Ppto. Orden Interna '[DOP']]]/HLOOKUP("USD",$J$1:$K$2,2,FALSE)</f>
        <v>801.92461908580594</v>
      </c>
      <c r="Q90" s="425" t="s">
        <v>1102</v>
      </c>
      <c r="R90" s="425"/>
      <c r="S90" s="425"/>
      <c r="T90" s="425"/>
      <c r="U90" s="425"/>
      <c r="V90" s="292" t="s">
        <v>1102</v>
      </c>
      <c r="W90" s="441">
        <v>1</v>
      </c>
      <c r="X90" s="442">
        <v>0.6</v>
      </c>
      <c r="Y90" s="302">
        <f>BD.PD510[[#This Row],[Av.P1 '[%']]]*BD.PD510[[#This Row],[Ppto. Orden Interna '[DOP']]]</f>
        <v>30000</v>
      </c>
      <c r="Z90" s="309">
        <v>3</v>
      </c>
      <c r="AA90" s="443">
        <v>0.4</v>
      </c>
      <c r="AB90" s="302">
        <f>BD.PD510[[#This Row],[Av.P2 '[%']]]*BD.PD510[[#This Row],[Ppto. Orden Interna '[DOP']]]</f>
        <v>20000</v>
      </c>
      <c r="AC90" s="309"/>
      <c r="AD90" s="443"/>
      <c r="AE90" s="302">
        <f>BD.PD510[[#This Row],[Av.P3 '[%']]]*BD.PD510[[#This Row],[Ppto. Orden Interna '[DOP']]]</f>
        <v>0</v>
      </c>
      <c r="AF90" s="309"/>
      <c r="AG90" s="443"/>
      <c r="AH90" s="302">
        <f>BD.PD510[[#This Row],[Av.P4 '[%']]]*BD.PD510[[#This Row],[Ppto. Orden Interna '[DOP']]]</f>
        <v>0</v>
      </c>
      <c r="AI90" s="309"/>
      <c r="AJ90" s="443"/>
      <c r="AK90" s="302">
        <f>BD.PD510[[#This Row],[Av.P5 '[%']]]*BD.PD510[[#This Row],[Ppto. Orden Interna '[DOP']]]</f>
        <v>0</v>
      </c>
      <c r="AL90" s="444">
        <f>BD.PD510[[#This Row],[Pago 5]]+BD.PD510[[#This Row],[Pago 4]]+BD.PD510[[#This Row],[Pago 3]]+BD.PD510[[#This Row],[Pago 2]]+BD.PD510[[#This Row],[Pago 1]]</f>
        <v>50000</v>
      </c>
      <c r="AM90" s="404"/>
    </row>
    <row r="91" spans="1:241" hidden="1" x14ac:dyDescent="0.3">
      <c r="A91" s="231">
        <v>8.06</v>
      </c>
      <c r="B91" s="288"/>
      <c r="C91" s="289" t="e">
        <f>VLOOKUP(BD.PD510[[#This Row],[Pos]],[16]!PPto[#Data],3,FALSE)</f>
        <v>#REF!</v>
      </c>
      <c r="D91" s="290" t="s">
        <v>1130</v>
      </c>
      <c r="E91" s="291" t="str">
        <f>IF(BD.PD510[[#This Row],[.]]="*",VLOOKUP(BD.PD510[[#This Row],[Pos]],[16]Presupuesto!A:H,7,FALSE),"")</f>
        <v/>
      </c>
      <c r="F91" s="292" t="s">
        <v>1128</v>
      </c>
      <c r="G91" s="292"/>
      <c r="H91" s="292"/>
      <c r="I91" s="437">
        <v>1</v>
      </c>
      <c r="J91" s="231" t="s">
        <v>581</v>
      </c>
      <c r="K91" s="438">
        <f>IF(BD.PD510[[#This Row],[Mon]]="DOP",1,HLOOKUP(BD.PD510[[#This Row],[Mon]],$J$1:$K$2,2,FALSE))</f>
        <v>1</v>
      </c>
      <c r="L91" s="439">
        <v>80000</v>
      </c>
      <c r="M91" s="302">
        <f>BD.PD510[[#This Row],[Cant.]]*BD.PD510[[#This Row],[ Tasa ]]*BD.PD510[[#This Row],[ Precio Und.]]</f>
        <v>80000</v>
      </c>
      <c r="N91" s="440">
        <v>0</v>
      </c>
      <c r="O91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91" s="302">
        <f>BD.PD510[[#This Row],[Ppto. Orden Interna '[DOP']]]/HLOOKUP("USD",$J$1:$K$2,2,FALSE)</f>
        <v>1283.0793905372896</v>
      </c>
      <c r="Q91" s="425" t="s">
        <v>1102</v>
      </c>
      <c r="R91" s="425"/>
      <c r="S91" s="425"/>
      <c r="T91" s="425"/>
      <c r="U91" s="425"/>
      <c r="V91" s="292" t="s">
        <v>1102</v>
      </c>
      <c r="W91" s="441">
        <v>1</v>
      </c>
      <c r="X91" s="442">
        <v>0.6</v>
      </c>
      <c r="Y91" s="302">
        <f>BD.PD510[[#This Row],[Av.P1 '[%']]]*BD.PD510[[#This Row],[Ppto. Orden Interna '[DOP']]]</f>
        <v>48000</v>
      </c>
      <c r="Z91" s="309">
        <v>3</v>
      </c>
      <c r="AA91" s="443">
        <v>0.4</v>
      </c>
      <c r="AB91" s="302">
        <f>BD.PD510[[#This Row],[Av.P2 '[%']]]*BD.PD510[[#This Row],[Ppto. Orden Interna '[DOP']]]</f>
        <v>32000</v>
      </c>
      <c r="AC91" s="309"/>
      <c r="AD91" s="443"/>
      <c r="AE91" s="302">
        <f>BD.PD510[[#This Row],[Av.P3 '[%']]]*BD.PD510[[#This Row],[Ppto. Orden Interna '[DOP']]]</f>
        <v>0</v>
      </c>
      <c r="AF91" s="309"/>
      <c r="AG91" s="443"/>
      <c r="AH91" s="302">
        <f>BD.PD510[[#This Row],[Av.P4 '[%']]]*BD.PD510[[#This Row],[Ppto. Orden Interna '[DOP']]]</f>
        <v>0</v>
      </c>
      <c r="AI91" s="309"/>
      <c r="AJ91" s="443"/>
      <c r="AK91" s="302">
        <f>BD.PD510[[#This Row],[Av.P5 '[%']]]*BD.PD510[[#This Row],[Ppto. Orden Interna '[DOP']]]</f>
        <v>0</v>
      </c>
      <c r="AL91" s="444">
        <f>BD.PD510[[#This Row],[Pago 5]]+BD.PD510[[#This Row],[Pago 4]]+BD.PD510[[#This Row],[Pago 3]]+BD.PD510[[#This Row],[Pago 2]]+BD.PD510[[#This Row],[Pago 1]]</f>
        <v>80000</v>
      </c>
      <c r="AM91" s="404"/>
    </row>
    <row r="92" spans="1:241" s="309" customFormat="1" ht="15" hidden="1" customHeight="1" x14ac:dyDescent="0.3">
      <c r="A92" s="231">
        <v>8.06</v>
      </c>
      <c r="B92" s="288"/>
      <c r="C92" s="289" t="e">
        <f>VLOOKUP(BD.PD510[[#This Row],[Pos]],[16]!PPto[#Data],3,FALSE)</f>
        <v>#REF!</v>
      </c>
      <c r="D92" s="290" t="s">
        <v>1131</v>
      </c>
      <c r="E92" s="291" t="str">
        <f>IF(BD.PD510[[#This Row],[.]]="*",VLOOKUP(BD.PD510[[#This Row],[Pos]],[16]Presupuesto!A:H,7,FALSE),"")</f>
        <v/>
      </c>
      <c r="F92" s="292" t="s">
        <v>1089</v>
      </c>
      <c r="G92" s="292"/>
      <c r="H92" s="292"/>
      <c r="I92" s="437">
        <v>1</v>
      </c>
      <c r="J92" s="231" t="s">
        <v>526</v>
      </c>
      <c r="K92" s="438">
        <f>IF(BD.PD510[[#This Row],[Mon]]="DOP",1,HLOOKUP(BD.PD510[[#This Row],[Mon]],$J$1:$K$2,2,FALSE))</f>
        <v>73.3</v>
      </c>
      <c r="L92" s="439">
        <v>2825</v>
      </c>
      <c r="M92" s="302">
        <f>BD.PD510[[#This Row],[Cant.]]*BD.PD510[[#This Row],[ Tasa ]]*BD.PD510[[#This Row],[ Precio Und.]]</f>
        <v>207072.5</v>
      </c>
      <c r="N92" s="440">
        <v>0.15</v>
      </c>
      <c r="O92" s="302">
        <f>IF(BD.PD510[[#This Row],[Liquid. '[%']]]&lt;&gt;0,(BD.PD510[[#This Row],[Valor Neto '[DOP']]]*BD.PD510[[#This Row],[Liquid. '[%']]])+BD.PD510[[#This Row],[Valor Neto '[DOP']]],BD.PD510[[#This Row],[Valor Neto '[DOP']]])</f>
        <v>238133.375</v>
      </c>
      <c r="P92" s="302">
        <f>BD.PD510[[#This Row],[Ppto. Orden Interna '[DOP']]]/HLOOKUP("USD",$J$1:$K$2,2,FALSE)</f>
        <v>3819.3003207698475</v>
      </c>
      <c r="Q92" s="425" t="s">
        <v>1090</v>
      </c>
      <c r="R92" s="425"/>
      <c r="S92" s="425"/>
      <c r="T92" s="425"/>
      <c r="U92" s="425"/>
      <c r="V92" s="292" t="s">
        <v>1090</v>
      </c>
      <c r="W92" s="441">
        <v>1</v>
      </c>
      <c r="X92" s="442">
        <v>1</v>
      </c>
      <c r="Y92" s="302">
        <f>BD.PD510[[#This Row],[Av.P1 '[%']]]*BD.PD510[[#This Row],[Ppto. Orden Interna '[DOP']]]</f>
        <v>238133.375</v>
      </c>
      <c r="AA92" s="443"/>
      <c r="AB92" s="302">
        <f>BD.PD510[[#This Row],[Av.P2 '[%']]]*BD.PD510[[#This Row],[Ppto. Orden Interna '[DOP']]]</f>
        <v>0</v>
      </c>
      <c r="AD92" s="443"/>
      <c r="AE92" s="302">
        <f>BD.PD510[[#This Row],[Av.P3 '[%']]]*BD.PD510[[#This Row],[Ppto. Orden Interna '[DOP']]]</f>
        <v>0</v>
      </c>
      <c r="AG92" s="443"/>
      <c r="AH92" s="302">
        <f>BD.PD510[[#This Row],[Av.P4 '[%']]]*BD.PD510[[#This Row],[Ppto. Orden Interna '[DOP']]]</f>
        <v>0</v>
      </c>
      <c r="AJ92" s="443"/>
      <c r="AK92" s="302">
        <f>BD.PD510[[#This Row],[Av.P5 '[%']]]*BD.PD510[[#This Row],[Ppto. Orden Interna '[DOP']]]</f>
        <v>0</v>
      </c>
      <c r="AL92" s="444">
        <f>BD.PD510[[#This Row],[Pago 5]]+BD.PD510[[#This Row],[Pago 4]]+BD.PD510[[#This Row],[Pago 3]]+BD.PD510[[#This Row],[Pago 2]]+BD.PD510[[#This Row],[Pago 1]]</f>
        <v>238133.375</v>
      </c>
      <c r="AM92" s="404"/>
      <c r="AN92" s="404"/>
      <c r="AO92" s="404"/>
      <c r="AP92" s="404"/>
      <c r="AQ92" s="404"/>
      <c r="AR92" s="404"/>
      <c r="AS92" s="404"/>
      <c r="AT92" s="404"/>
      <c r="AU92" s="404"/>
      <c r="AV92" s="404"/>
      <c r="AW92" s="404"/>
      <c r="AX92" s="404"/>
      <c r="AY92" s="404"/>
      <c r="AZ92" s="404"/>
      <c r="BA92" s="404"/>
      <c r="BB92" s="404"/>
      <c r="BC92" s="404"/>
      <c r="BD92" s="404"/>
      <c r="BE92" s="404"/>
      <c r="BF92" s="404"/>
      <c r="BG92" s="404"/>
      <c r="BH92" s="404"/>
      <c r="BI92" s="404"/>
      <c r="BJ92" s="404"/>
      <c r="BK92" s="404"/>
      <c r="BL92" s="404"/>
      <c r="BM92" s="404"/>
      <c r="BN92" s="404"/>
      <c r="BO92" s="404"/>
      <c r="BP92" s="404"/>
      <c r="BQ92" s="404"/>
      <c r="BR92" s="404"/>
      <c r="BS92" s="404"/>
      <c r="BT92" s="404"/>
      <c r="BU92" s="404"/>
      <c r="BV92" s="404"/>
      <c r="BW92" s="404"/>
      <c r="BX92" s="404"/>
      <c r="BY92" s="404"/>
      <c r="BZ92" s="404"/>
      <c r="CA92" s="404"/>
      <c r="CB92" s="404"/>
      <c r="CC92" s="404"/>
      <c r="CD92" s="404"/>
      <c r="CE92" s="404"/>
      <c r="CF92" s="404"/>
      <c r="CG92" s="404"/>
      <c r="CH92" s="404"/>
      <c r="CI92" s="404"/>
      <c r="CJ92" s="404"/>
      <c r="CK92" s="404"/>
      <c r="CL92" s="404"/>
      <c r="CM92" s="404"/>
      <c r="CN92" s="404"/>
      <c r="CO92" s="404"/>
      <c r="CP92" s="404"/>
      <c r="CQ92" s="404"/>
      <c r="CR92" s="404"/>
      <c r="CS92" s="404"/>
      <c r="CT92" s="404"/>
      <c r="CU92" s="404"/>
      <c r="CV92" s="404"/>
      <c r="CW92" s="404"/>
      <c r="CX92" s="404"/>
      <c r="CY92" s="404"/>
      <c r="CZ92" s="404"/>
      <c r="DA92" s="404"/>
      <c r="DB92" s="404"/>
      <c r="DC92" s="404"/>
      <c r="DD92" s="404"/>
      <c r="DE92" s="404"/>
      <c r="DF92" s="404"/>
      <c r="DG92" s="404"/>
      <c r="DH92" s="404"/>
      <c r="DI92" s="404"/>
      <c r="DJ92" s="404"/>
      <c r="DK92" s="404"/>
      <c r="DL92" s="404"/>
      <c r="DM92" s="404"/>
      <c r="DN92" s="404"/>
      <c r="DO92" s="404"/>
      <c r="DP92" s="404"/>
      <c r="DQ92" s="404"/>
      <c r="DR92" s="404"/>
      <c r="DS92" s="404"/>
      <c r="DT92" s="404"/>
      <c r="DU92" s="404"/>
      <c r="DV92" s="404"/>
      <c r="DW92" s="404"/>
      <c r="DX92" s="404"/>
      <c r="DY92" s="404"/>
      <c r="DZ92" s="404"/>
      <c r="EA92" s="404"/>
      <c r="EB92" s="404"/>
      <c r="EC92" s="404"/>
      <c r="ED92" s="404"/>
      <c r="EE92" s="404"/>
      <c r="EF92" s="404"/>
      <c r="EG92" s="404"/>
      <c r="EH92" s="404"/>
      <c r="EI92" s="404"/>
      <c r="EJ92" s="404"/>
      <c r="EK92" s="404"/>
      <c r="EL92" s="404"/>
      <c r="EM92" s="404"/>
      <c r="EN92" s="404"/>
      <c r="EO92" s="404"/>
      <c r="EP92" s="404"/>
      <c r="EQ92" s="404"/>
      <c r="ER92" s="404"/>
      <c r="ES92" s="404"/>
      <c r="ET92" s="404"/>
      <c r="EU92" s="404"/>
      <c r="EV92" s="404"/>
      <c r="EW92" s="404"/>
      <c r="EX92" s="404"/>
      <c r="EY92" s="404"/>
      <c r="EZ92" s="404"/>
      <c r="FA92" s="404"/>
      <c r="FB92" s="404"/>
      <c r="FC92" s="404"/>
      <c r="FD92" s="404"/>
      <c r="FE92" s="404"/>
      <c r="FF92" s="404"/>
      <c r="FG92" s="404"/>
      <c r="FH92" s="404"/>
      <c r="FI92" s="404"/>
      <c r="FJ92" s="404"/>
      <c r="FK92" s="404"/>
      <c r="FL92" s="404"/>
      <c r="FM92" s="404"/>
      <c r="FN92" s="404"/>
      <c r="FO92" s="404"/>
      <c r="FP92" s="404"/>
      <c r="FQ92" s="404"/>
      <c r="FR92" s="404"/>
      <c r="FS92" s="404"/>
      <c r="FT92" s="404"/>
      <c r="FU92" s="404"/>
      <c r="FV92" s="404"/>
      <c r="FW92" s="404"/>
      <c r="FX92" s="404"/>
      <c r="FY92" s="404"/>
      <c r="FZ92" s="404"/>
      <c r="GA92" s="404"/>
      <c r="GB92" s="404"/>
      <c r="GC92" s="404"/>
      <c r="GD92" s="404"/>
      <c r="GE92" s="404"/>
      <c r="GF92" s="404"/>
      <c r="GG92" s="404"/>
      <c r="GH92" s="404"/>
      <c r="GI92" s="404"/>
      <c r="GJ92" s="404"/>
      <c r="GK92" s="404"/>
      <c r="GL92" s="404"/>
      <c r="GM92" s="404"/>
      <c r="GN92" s="404"/>
      <c r="GO92" s="404"/>
      <c r="GP92" s="404"/>
      <c r="GQ92" s="404"/>
      <c r="GR92" s="404"/>
      <c r="GS92" s="404"/>
      <c r="GT92" s="404"/>
      <c r="GU92" s="404"/>
      <c r="GV92" s="404"/>
      <c r="GW92" s="404"/>
      <c r="GX92" s="404"/>
      <c r="GY92" s="404"/>
      <c r="GZ92" s="404"/>
      <c r="HA92" s="404"/>
      <c r="HB92" s="404"/>
      <c r="HC92" s="404"/>
      <c r="HD92" s="404"/>
      <c r="HE92" s="404"/>
      <c r="HF92" s="404"/>
      <c r="HG92" s="404"/>
      <c r="HH92" s="404"/>
      <c r="HI92" s="404"/>
      <c r="HJ92" s="404"/>
      <c r="HK92" s="404"/>
      <c r="HL92" s="404"/>
      <c r="HM92" s="404"/>
      <c r="HN92" s="404"/>
      <c r="HO92" s="404"/>
      <c r="HP92" s="404"/>
      <c r="HQ92" s="404"/>
      <c r="HR92" s="404"/>
      <c r="HS92" s="404"/>
      <c r="HT92" s="404"/>
      <c r="HU92" s="404"/>
      <c r="HV92" s="404"/>
      <c r="HW92" s="404"/>
      <c r="HX92" s="404"/>
      <c r="HY92" s="404"/>
      <c r="HZ92" s="404"/>
      <c r="IA92" s="404"/>
      <c r="IB92" s="404"/>
      <c r="IC92" s="404"/>
      <c r="ID92" s="404"/>
      <c r="IE92" s="404"/>
      <c r="IF92" s="404"/>
      <c r="IG92" s="404"/>
    </row>
    <row r="93" spans="1:241" ht="15" hidden="1" customHeight="1" x14ac:dyDescent="0.3">
      <c r="A93" s="231">
        <v>8.06</v>
      </c>
      <c r="B93" s="288"/>
      <c r="C93" s="289" t="e">
        <f>VLOOKUP(BD.PD510[[#This Row],[Pos]],[16]!PPto[#Data],3,FALSE)</f>
        <v>#REF!</v>
      </c>
      <c r="D93" s="290" t="s">
        <v>1131</v>
      </c>
      <c r="E93" s="291" t="str">
        <f>IF(BD.PD510[[#This Row],[.]]="*",VLOOKUP(BD.PD510[[#This Row],[Pos]],[16]Presupuesto!A:H,7,FALSE),"")</f>
        <v/>
      </c>
      <c r="F93" s="292" t="s">
        <v>1091</v>
      </c>
      <c r="G93" s="292"/>
      <c r="H93" s="292"/>
      <c r="I93" s="437">
        <v>1</v>
      </c>
      <c r="J93" s="231" t="s">
        <v>581</v>
      </c>
      <c r="K93" s="438">
        <f>IF(BD.PD510[[#This Row],[Mon]]="DOP",1,HLOOKUP(BD.PD510[[#This Row],[Mon]],$J$1:$K$2,2,FALSE))</f>
        <v>1</v>
      </c>
      <c r="L93" s="439">
        <v>30000</v>
      </c>
      <c r="M93" s="302">
        <f>BD.PD510[[#This Row],[Cant.]]*BD.PD510[[#This Row],[ Tasa ]]*BD.PD510[[#This Row],[ Precio Und.]]</f>
        <v>30000</v>
      </c>
      <c r="N93" s="440">
        <v>0</v>
      </c>
      <c r="O93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93" s="302">
        <f>BD.PD510[[#This Row],[Ppto. Orden Interna '[DOP']]]/HLOOKUP("USD",$J$1:$K$2,2,FALSE)</f>
        <v>481.15477145148355</v>
      </c>
      <c r="Q93" s="425" t="s">
        <v>1092</v>
      </c>
      <c r="R93" s="425"/>
      <c r="S93" s="425"/>
      <c r="T93" s="425"/>
      <c r="U93" s="425"/>
      <c r="V93" s="292" t="s">
        <v>1092</v>
      </c>
      <c r="W93" s="441"/>
      <c r="X93" s="442"/>
      <c r="Y93" s="302">
        <f>BD.PD510[[#This Row],[Av.P1 '[%']]]*BD.PD510[[#This Row],[Ppto. Orden Interna '[DOP']]]</f>
        <v>0</v>
      </c>
      <c r="Z93" s="309"/>
      <c r="AA93" s="443"/>
      <c r="AB93" s="302">
        <f>BD.PD510[[#This Row],[Av.P2 '[%']]]*BD.PD510[[#This Row],[Ppto. Orden Interna '[DOP']]]</f>
        <v>0</v>
      </c>
      <c r="AC93" s="309"/>
      <c r="AD93" s="443"/>
      <c r="AE93" s="302">
        <f>BD.PD510[[#This Row],[Av.P3 '[%']]]*BD.PD510[[#This Row],[Ppto. Orden Interna '[DOP']]]</f>
        <v>0</v>
      </c>
      <c r="AF93" s="309"/>
      <c r="AG93" s="443"/>
      <c r="AH93" s="302">
        <f>BD.PD510[[#This Row],[Av.P4 '[%']]]*BD.PD510[[#This Row],[Ppto. Orden Interna '[DOP']]]</f>
        <v>0</v>
      </c>
      <c r="AI93" s="309"/>
      <c r="AJ93" s="443"/>
      <c r="AK93" s="302">
        <f>BD.PD510[[#This Row],[Av.P5 '[%']]]*BD.PD510[[#This Row],[Ppto. Orden Interna '[DOP']]]</f>
        <v>0</v>
      </c>
      <c r="AL93" s="444">
        <f>BD.PD510[[#This Row],[Pago 5]]+BD.PD510[[#This Row],[Pago 4]]+BD.PD510[[#This Row],[Pago 3]]+BD.PD510[[#This Row],[Pago 2]]+BD.PD510[[#This Row],[Pago 1]]</f>
        <v>0</v>
      </c>
      <c r="AM93" s="404"/>
    </row>
    <row r="94" spans="1:241" ht="14.4" hidden="1" x14ac:dyDescent="0.3">
      <c r="A94" s="231">
        <v>8.06</v>
      </c>
      <c r="B94" s="288"/>
      <c r="C94" s="289" t="e">
        <f>VLOOKUP(BD.PD510[[#This Row],[Pos]],[16]!PPto[#Data],3,FALSE)</f>
        <v>#REF!</v>
      </c>
      <c r="D94" s="290" t="s">
        <v>1131</v>
      </c>
      <c r="E94" s="291" t="str">
        <f>IF(BD.PD510[[#This Row],[.]]="*",VLOOKUP(BD.PD510[[#This Row],[Pos]],[16]Presupuesto!A:H,7,FALSE),"")</f>
        <v/>
      </c>
      <c r="F94" s="292" t="s">
        <v>1093</v>
      </c>
      <c r="G94" s="292"/>
      <c r="H94" s="292"/>
      <c r="I94" s="437">
        <v>1</v>
      </c>
      <c r="J94" s="231" t="s">
        <v>581</v>
      </c>
      <c r="K94" s="438">
        <f>IF(BD.PD510[[#This Row],[Mon]]="DOP",1,HLOOKUP(BD.PD510[[#This Row],[Mon]],$J$1:$K$2,2,FALSE))</f>
        <v>1</v>
      </c>
      <c r="L94" s="439">
        <v>40000</v>
      </c>
      <c r="M94" s="302">
        <f>BD.PD510[[#This Row],[Cant.]]*BD.PD510[[#This Row],[ Tasa ]]*BD.PD510[[#This Row],[ Precio Und.]]</f>
        <v>40000</v>
      </c>
      <c r="N94" s="440">
        <v>0</v>
      </c>
      <c r="O94" s="302">
        <f>IF(BD.PD510[[#This Row],[Liquid. '[%']]]&lt;&gt;0,(BD.PD510[[#This Row],[Valor Neto '[DOP']]]*BD.PD510[[#This Row],[Liquid. '[%']]])+BD.PD510[[#This Row],[Valor Neto '[DOP']]],BD.PD510[[#This Row],[Valor Neto '[DOP']]])</f>
        <v>40000</v>
      </c>
      <c r="P94" s="302">
        <f>BD.PD510[[#This Row],[Ppto. Orden Interna '[DOP']]]/HLOOKUP("USD",$J$1:$K$2,2,FALSE)</f>
        <v>641.53969526864478</v>
      </c>
      <c r="Q94" s="425" t="s">
        <v>1092</v>
      </c>
      <c r="R94" s="425"/>
      <c r="S94" s="425"/>
      <c r="T94" s="425"/>
      <c r="U94" s="425"/>
      <c r="V94" s="292" t="s">
        <v>1092</v>
      </c>
      <c r="W94" s="441"/>
      <c r="X94" s="442"/>
      <c r="Y94" s="302">
        <f>BD.PD510[[#This Row],[Av.P1 '[%']]]*BD.PD510[[#This Row],[Ppto. Orden Interna '[DOP']]]</f>
        <v>0</v>
      </c>
      <c r="Z94" s="309"/>
      <c r="AA94" s="443"/>
      <c r="AB94" s="302">
        <f>BD.PD510[[#This Row],[Av.P2 '[%']]]*BD.PD510[[#This Row],[Ppto. Orden Interna '[DOP']]]</f>
        <v>0</v>
      </c>
      <c r="AC94" s="309"/>
      <c r="AD94" s="443"/>
      <c r="AE94" s="302">
        <f>BD.PD510[[#This Row],[Av.P3 '[%']]]*BD.PD510[[#This Row],[Ppto. Orden Interna '[DOP']]]</f>
        <v>0</v>
      </c>
      <c r="AF94" s="309"/>
      <c r="AG94" s="443"/>
      <c r="AH94" s="302">
        <f>BD.PD510[[#This Row],[Av.P4 '[%']]]*BD.PD510[[#This Row],[Ppto. Orden Interna '[DOP']]]</f>
        <v>0</v>
      </c>
      <c r="AI94" s="309"/>
      <c r="AJ94" s="443"/>
      <c r="AK94" s="302">
        <f>BD.PD510[[#This Row],[Av.P5 '[%']]]*BD.PD510[[#This Row],[Ppto. Orden Interna '[DOP']]]</f>
        <v>0</v>
      </c>
      <c r="AL94" s="444">
        <f>BD.PD510[[#This Row],[Pago 5]]+BD.PD510[[#This Row],[Pago 4]]+BD.PD510[[#This Row],[Pago 3]]+BD.PD510[[#This Row],[Pago 2]]+BD.PD510[[#This Row],[Pago 1]]</f>
        <v>0</v>
      </c>
      <c r="AM94" s="404"/>
    </row>
    <row r="95" spans="1:241" hidden="1" x14ac:dyDescent="0.3">
      <c r="A95" s="231">
        <v>8.06</v>
      </c>
      <c r="B95" s="288"/>
      <c r="C95" s="289" t="e">
        <f>VLOOKUP(BD.PD510[[#This Row],[Pos]],[16]!PPto[#Data],3,FALSE)</f>
        <v>#REF!</v>
      </c>
      <c r="D95" s="290" t="s">
        <v>1131</v>
      </c>
      <c r="E95" s="291" t="str">
        <f>IF(BD.PD510[[#This Row],[.]]="*",VLOOKUP(BD.PD510[[#This Row],[Pos]],[16]Presupuesto!A:H,7,FALSE),"")</f>
        <v/>
      </c>
      <c r="F95" s="292" t="s">
        <v>1094</v>
      </c>
      <c r="G95" s="292"/>
      <c r="H95" s="292"/>
      <c r="I95" s="437">
        <v>1</v>
      </c>
      <c r="J95" s="231" t="s">
        <v>581</v>
      </c>
      <c r="K95" s="438">
        <f>IF(BD.PD510[[#This Row],[Mon]]="DOP",1,HLOOKUP(BD.PD510[[#This Row],[Mon]],$J$1:$K$2,2,FALSE))</f>
        <v>1</v>
      </c>
      <c r="L95" s="439">
        <v>1000000</v>
      </c>
      <c r="M95" s="302">
        <f>BD.PD510[[#This Row],[Cant.]]*BD.PD510[[#This Row],[ Tasa ]]*BD.PD510[[#This Row],[ Precio Und.]]</f>
        <v>1000000</v>
      </c>
      <c r="N95" s="440">
        <v>0.02</v>
      </c>
      <c r="O95" s="302">
        <f>IF(BD.PD510[[#This Row],[Liquid. '[%']]]&lt;&gt;0,(BD.PD510[[#This Row],[Valor Neto '[DOP']]]*BD.PD510[[#This Row],[Liquid. '[%']]])+BD.PD510[[#This Row],[Valor Neto '[DOP']]],BD.PD510[[#This Row],[Valor Neto '[DOP']]])</f>
        <v>1020000</v>
      </c>
      <c r="P95" s="302">
        <f>BD.PD510[[#This Row],[Ppto. Orden Interna '[DOP']]]/HLOOKUP("USD",$J$1:$K$2,2,FALSE)</f>
        <v>16359.262229350441</v>
      </c>
      <c r="Q95" s="425"/>
      <c r="R95" s="425"/>
      <c r="S95" s="425"/>
      <c r="T95" s="425"/>
      <c r="U95" s="425"/>
      <c r="V95" s="292"/>
      <c r="W95" s="441"/>
      <c r="X95" s="442"/>
      <c r="Y95" s="302">
        <f>BD.PD510[[#This Row],[Av.P1 '[%']]]*BD.PD510[[#This Row],[Ppto. Orden Interna '[DOP']]]</f>
        <v>0</v>
      </c>
      <c r="Z95" s="309"/>
      <c r="AA95" s="443"/>
      <c r="AB95" s="302">
        <f>BD.PD510[[#This Row],[Av.P2 '[%']]]*BD.PD510[[#This Row],[Ppto. Orden Interna '[DOP']]]</f>
        <v>0</v>
      </c>
      <c r="AC95" s="309"/>
      <c r="AD95" s="443"/>
      <c r="AE95" s="302">
        <f>BD.PD510[[#This Row],[Av.P3 '[%']]]*BD.PD510[[#This Row],[Ppto. Orden Interna '[DOP']]]</f>
        <v>0</v>
      </c>
      <c r="AF95" s="309"/>
      <c r="AG95" s="443"/>
      <c r="AH95" s="302">
        <f>BD.PD510[[#This Row],[Av.P4 '[%']]]*BD.PD510[[#This Row],[Ppto. Orden Interna '[DOP']]]</f>
        <v>0</v>
      </c>
      <c r="AI95" s="309"/>
      <c r="AJ95" s="443"/>
      <c r="AK95" s="302">
        <f>BD.PD510[[#This Row],[Av.P5 '[%']]]*BD.PD510[[#This Row],[Ppto. Orden Interna '[DOP']]]</f>
        <v>0</v>
      </c>
      <c r="AL95" s="444">
        <f>BD.PD510[[#This Row],[Pago 5]]+BD.PD510[[#This Row],[Pago 4]]+BD.PD510[[#This Row],[Pago 3]]+BD.PD510[[#This Row],[Pago 2]]+BD.PD510[[#This Row],[Pago 1]]</f>
        <v>0</v>
      </c>
      <c r="AM95" s="404"/>
    </row>
    <row r="96" spans="1:241" ht="15" hidden="1" customHeight="1" x14ac:dyDescent="0.3">
      <c r="A96" s="231">
        <v>8.06</v>
      </c>
      <c r="B96" s="288"/>
      <c r="C96" s="289" t="e">
        <f>VLOOKUP(BD.PD510[[#This Row],[Pos]],[16]!PPto[#Data],3,FALSE)</f>
        <v>#REF!</v>
      </c>
      <c r="D96" s="290" t="s">
        <v>1131</v>
      </c>
      <c r="E96" s="291" t="str">
        <f>IF(BD.PD510[[#This Row],[.]]="*",VLOOKUP(BD.PD510[[#This Row],[Pos]],[16]Presupuesto!A:H,7,FALSE),"")</f>
        <v/>
      </c>
      <c r="F96" s="292" t="s">
        <v>1095</v>
      </c>
      <c r="G96" s="292"/>
      <c r="H96" s="292"/>
      <c r="I96" s="437">
        <v>3</v>
      </c>
      <c r="J96" s="231" t="s">
        <v>456</v>
      </c>
      <c r="K96" s="438">
        <f>IF(BD.PD510[[#This Row],[Mon]]="DOP",1,HLOOKUP(BD.PD510[[#This Row],[Mon]],$J$1:$K$2,2,FALSE))</f>
        <v>62.35</v>
      </c>
      <c r="L96" s="439">
        <v>300</v>
      </c>
      <c r="M96" s="302">
        <f>BD.PD510[[#This Row],[Cant.]]*BD.PD510[[#This Row],[ Tasa ]]*BD.PD510[[#This Row],[ Precio Und.]]</f>
        <v>56115</v>
      </c>
      <c r="N96" s="440">
        <v>0.02</v>
      </c>
      <c r="O96" s="302">
        <f>IF(BD.PD510[[#This Row],[Liquid. '[%']]]&lt;&gt;0,(BD.PD510[[#This Row],[Valor Neto '[DOP']]]*BD.PD510[[#This Row],[Liquid. '[%']]])+BD.PD510[[#This Row],[Valor Neto '[DOP']]],BD.PD510[[#This Row],[Valor Neto '[DOP']]])</f>
        <v>57237.3</v>
      </c>
      <c r="P96" s="302">
        <f>BD.PD510[[#This Row],[Ppto. Orden Interna '[DOP']]]/HLOOKUP("USD",$J$1:$K$2,2,FALSE)</f>
        <v>918</v>
      </c>
      <c r="Q96" s="425" t="s">
        <v>1092</v>
      </c>
      <c r="R96" s="425"/>
      <c r="S96" s="425"/>
      <c r="T96" s="425"/>
      <c r="U96" s="425"/>
      <c r="V96" s="292" t="s">
        <v>1092</v>
      </c>
      <c r="W96" s="441"/>
      <c r="X96" s="442"/>
      <c r="Y96" s="302">
        <f>BD.PD510[[#This Row],[Av.P1 '[%']]]*BD.PD510[[#This Row],[Ppto. Orden Interna '[DOP']]]</f>
        <v>0</v>
      </c>
      <c r="Z96" s="309"/>
      <c r="AA96" s="443"/>
      <c r="AB96" s="302">
        <f>BD.PD510[[#This Row],[Av.P2 '[%']]]*BD.PD510[[#This Row],[Ppto. Orden Interna '[DOP']]]</f>
        <v>0</v>
      </c>
      <c r="AC96" s="309"/>
      <c r="AD96" s="443"/>
      <c r="AE96" s="302">
        <f>BD.PD510[[#This Row],[Av.P3 '[%']]]*BD.PD510[[#This Row],[Ppto. Orden Interna '[DOP']]]</f>
        <v>0</v>
      </c>
      <c r="AF96" s="309"/>
      <c r="AG96" s="443"/>
      <c r="AH96" s="302">
        <f>BD.PD510[[#This Row],[Av.P4 '[%']]]*BD.PD510[[#This Row],[Ppto. Orden Interna '[DOP']]]</f>
        <v>0</v>
      </c>
      <c r="AI96" s="309"/>
      <c r="AJ96" s="443"/>
      <c r="AK96" s="302">
        <f>BD.PD510[[#This Row],[Av.P5 '[%']]]*BD.PD510[[#This Row],[Ppto. Orden Interna '[DOP']]]</f>
        <v>0</v>
      </c>
      <c r="AL96" s="444">
        <f>BD.PD510[[#This Row],[Pago 5]]+BD.PD510[[#This Row],[Pago 4]]+BD.PD510[[#This Row],[Pago 3]]+BD.PD510[[#This Row],[Pago 2]]+BD.PD510[[#This Row],[Pago 1]]</f>
        <v>0</v>
      </c>
      <c r="AM96" s="404"/>
    </row>
    <row r="97" spans="1:39" ht="14.85" hidden="1" customHeight="1" x14ac:dyDescent="0.3">
      <c r="A97" s="231">
        <v>8.06</v>
      </c>
      <c r="B97" s="288"/>
      <c r="C97" s="289" t="e">
        <f>VLOOKUP(BD.PD510[[#This Row],[Pos]],[16]!PPto[#Data],3,FALSE)</f>
        <v>#REF!</v>
      </c>
      <c r="D97" s="290" t="s">
        <v>1131</v>
      </c>
      <c r="E97" s="291" t="str">
        <f>IF(BD.PD510[[#This Row],[.]]="*",VLOOKUP(BD.PD510[[#This Row],[Pos]],[16]Presupuesto!A:H,7,FALSE),"")</f>
        <v/>
      </c>
      <c r="F97" s="292" t="s">
        <v>1096</v>
      </c>
      <c r="G97" s="292"/>
      <c r="H97" s="292"/>
      <c r="I97" s="437">
        <v>1</v>
      </c>
      <c r="J97" s="231" t="s">
        <v>581</v>
      </c>
      <c r="K97" s="438">
        <f>IF(BD.PD510[[#This Row],[Mon]]="DOP",1,HLOOKUP(BD.PD510[[#This Row],[Mon]],$J$1:$K$2,2,FALSE))</f>
        <v>1</v>
      </c>
      <c r="L97" s="439">
        <v>121452.25</v>
      </c>
      <c r="M97" s="302">
        <f>BD.PD510[[#This Row],[Cant.]]*BD.PD510[[#This Row],[ Tasa ]]*BD.PD510[[#This Row],[ Precio Und.]]</f>
        <v>121452.25</v>
      </c>
      <c r="N97" s="440">
        <v>0</v>
      </c>
      <c r="O97" s="302">
        <f>IF(BD.PD510[[#This Row],[Liquid. '[%']]]&lt;&gt;0,(BD.PD510[[#This Row],[Valor Neto '[DOP']]]*BD.PD510[[#This Row],[Liquid. '[%']]])+BD.PD510[[#This Row],[Valor Neto '[DOP']]],BD.PD510[[#This Row],[Valor Neto '[DOP']]])</f>
        <v>121452.25</v>
      </c>
      <c r="P97" s="302">
        <f>BD.PD510[[#This Row],[Ppto. Orden Interna '[DOP']]]/HLOOKUP("USD",$J$1:$K$2,2,FALSE)</f>
        <v>1947.9109863672813</v>
      </c>
      <c r="Q97" s="425" t="s">
        <v>1097</v>
      </c>
      <c r="R97" s="425"/>
      <c r="S97" s="425"/>
      <c r="T97" s="425"/>
      <c r="U97" s="425"/>
      <c r="V97" s="292" t="s">
        <v>1097</v>
      </c>
      <c r="W97" s="441">
        <v>1</v>
      </c>
      <c r="X97" s="442">
        <v>0.5</v>
      </c>
      <c r="Y97" s="302">
        <f>BD.PD510[[#This Row],[Av.P1 '[%']]]*BD.PD510[[#This Row],[Ppto. Orden Interna '[DOP']]]</f>
        <v>60726.125</v>
      </c>
      <c r="Z97" s="309">
        <v>4</v>
      </c>
      <c r="AA97" s="443">
        <v>0.5</v>
      </c>
      <c r="AB97" s="302">
        <f>BD.PD510[[#This Row],[Av.P2 '[%']]]*BD.PD510[[#This Row],[Ppto. Orden Interna '[DOP']]]</f>
        <v>60726.125</v>
      </c>
      <c r="AC97" s="309"/>
      <c r="AD97" s="443"/>
      <c r="AE97" s="302">
        <f>BD.PD510[[#This Row],[Av.P3 '[%']]]*BD.PD510[[#This Row],[Ppto. Orden Interna '[DOP']]]</f>
        <v>0</v>
      </c>
      <c r="AF97" s="309"/>
      <c r="AG97" s="443"/>
      <c r="AH97" s="302">
        <f>BD.PD510[[#This Row],[Av.P4 '[%']]]*BD.PD510[[#This Row],[Ppto. Orden Interna '[DOP']]]</f>
        <v>0</v>
      </c>
      <c r="AI97" s="309"/>
      <c r="AJ97" s="443"/>
      <c r="AK97" s="302">
        <f>BD.PD510[[#This Row],[Av.P5 '[%']]]*BD.PD510[[#This Row],[Ppto. Orden Interna '[DOP']]]</f>
        <v>0</v>
      </c>
      <c r="AL97" s="444">
        <f>BD.PD510[[#This Row],[Pago 5]]+BD.PD510[[#This Row],[Pago 4]]+BD.PD510[[#This Row],[Pago 3]]+BD.PD510[[#This Row],[Pago 2]]+BD.PD510[[#This Row],[Pago 1]]</f>
        <v>121452.25</v>
      </c>
      <c r="AM97" s="404"/>
    </row>
    <row r="98" spans="1:39" ht="14.85" hidden="1" customHeight="1" x14ac:dyDescent="0.3">
      <c r="A98" s="231">
        <v>8.06</v>
      </c>
      <c r="B98" s="288"/>
      <c r="C98" s="289" t="e">
        <f>VLOOKUP(BD.PD510[[#This Row],[Pos]],[16]!PPto[#Data],3,FALSE)</f>
        <v>#REF!</v>
      </c>
      <c r="D98" s="290" t="s">
        <v>1131</v>
      </c>
      <c r="E98" s="291" t="str">
        <f>IF(BD.PD510[[#This Row],[.]]="*",VLOOKUP(BD.PD510[[#This Row],[Pos]],[16]Presupuesto!A:H,7,FALSE),"")</f>
        <v/>
      </c>
      <c r="F98" s="292" t="s">
        <v>1098</v>
      </c>
      <c r="G98" s="292"/>
      <c r="H98" s="292"/>
      <c r="I98" s="437">
        <v>1</v>
      </c>
      <c r="J98" s="231" t="s">
        <v>581</v>
      </c>
      <c r="K98" s="438">
        <f>IF(BD.PD510[[#This Row],[Mon]]="DOP",1,HLOOKUP(BD.PD510[[#This Row],[Mon]],$J$1:$K$2,2,FALSE))</f>
        <v>1</v>
      </c>
      <c r="L98" s="439">
        <v>43333.5</v>
      </c>
      <c r="M98" s="302">
        <f>BD.PD510[[#This Row],[Cant.]]*BD.PD510[[#This Row],[ Tasa ]]*BD.PD510[[#This Row],[ Precio Und.]]</f>
        <v>43333.5</v>
      </c>
      <c r="N98" s="440">
        <v>0</v>
      </c>
      <c r="O98" s="302">
        <f>IF(BD.PD510[[#This Row],[Liquid. '[%']]]&lt;&gt;0,(BD.PD510[[#This Row],[Valor Neto '[DOP']]]*BD.PD510[[#This Row],[Liquid. '[%']]])+BD.PD510[[#This Row],[Valor Neto '[DOP']]],BD.PD510[[#This Row],[Valor Neto '[DOP']]])</f>
        <v>43333.5</v>
      </c>
      <c r="P98" s="302">
        <f>BD.PD510[[#This Row],[Ppto. Orden Interna '[DOP']]]/HLOOKUP("USD",$J$1:$K$2,2,FALSE)</f>
        <v>695.00400962309538</v>
      </c>
      <c r="Q98" s="425" t="s">
        <v>1097</v>
      </c>
      <c r="R98" s="425"/>
      <c r="S98" s="425"/>
      <c r="T98" s="425"/>
      <c r="U98" s="425"/>
      <c r="V98" s="292" t="s">
        <v>1097</v>
      </c>
      <c r="W98" s="441">
        <v>1</v>
      </c>
      <c r="X98" s="442">
        <v>0.5</v>
      </c>
      <c r="Y98" s="302">
        <f>BD.PD510[[#This Row],[Av.P1 '[%']]]*BD.PD510[[#This Row],[Ppto. Orden Interna '[DOP']]]</f>
        <v>21666.75</v>
      </c>
      <c r="Z98" s="309">
        <v>4</v>
      </c>
      <c r="AA98" s="443">
        <v>0.5</v>
      </c>
      <c r="AB98" s="302">
        <f>BD.PD510[[#This Row],[Av.P2 '[%']]]*BD.PD510[[#This Row],[Ppto. Orden Interna '[DOP']]]</f>
        <v>21666.75</v>
      </c>
      <c r="AC98" s="309"/>
      <c r="AD98" s="443"/>
      <c r="AE98" s="302">
        <f>BD.PD510[[#This Row],[Av.P3 '[%']]]*BD.PD510[[#This Row],[Ppto. Orden Interna '[DOP']]]</f>
        <v>0</v>
      </c>
      <c r="AF98" s="309"/>
      <c r="AG98" s="443"/>
      <c r="AH98" s="302">
        <f>BD.PD510[[#This Row],[Av.P4 '[%']]]*BD.PD510[[#This Row],[Ppto. Orden Interna '[DOP']]]</f>
        <v>0</v>
      </c>
      <c r="AI98" s="309"/>
      <c r="AJ98" s="443"/>
      <c r="AK98" s="302">
        <f>BD.PD510[[#This Row],[Av.P5 '[%']]]*BD.PD510[[#This Row],[Ppto. Orden Interna '[DOP']]]</f>
        <v>0</v>
      </c>
      <c r="AL98" s="444">
        <f>BD.PD510[[#This Row],[Pago 5]]+BD.PD510[[#This Row],[Pago 4]]+BD.PD510[[#This Row],[Pago 3]]+BD.PD510[[#This Row],[Pago 2]]+BD.PD510[[#This Row],[Pago 1]]</f>
        <v>43333.5</v>
      </c>
      <c r="AM98" s="404"/>
    </row>
    <row r="99" spans="1:39" hidden="1" x14ac:dyDescent="0.3">
      <c r="A99" s="231">
        <v>8.06</v>
      </c>
      <c r="B99" s="288"/>
      <c r="C99" s="289" t="e">
        <f>VLOOKUP(BD.PD510[[#This Row],[Pos]],[16]!PPto[#Data],3,FALSE)</f>
        <v>#REF!</v>
      </c>
      <c r="D99" s="290" t="s">
        <v>1131</v>
      </c>
      <c r="E99" s="291" t="str">
        <f>IF(BD.PD510[[#This Row],[.]]="*",VLOOKUP(BD.PD510[[#This Row],[Pos]],[16]Presupuesto!A:H,7,FALSE),"")</f>
        <v/>
      </c>
      <c r="F99" s="292" t="s">
        <v>1099</v>
      </c>
      <c r="G99" s="292"/>
      <c r="H99" s="292"/>
      <c r="I99" s="437">
        <v>2</v>
      </c>
      <c r="J99" s="231" t="s">
        <v>581</v>
      </c>
      <c r="K99" s="438">
        <f>IF(BD.PD510[[#This Row],[Mon]]="DOP",1,HLOOKUP(BD.PD510[[#This Row],[Mon]],$J$1:$K$2,2,FALSE))</f>
        <v>1</v>
      </c>
      <c r="L99" s="439">
        <v>24576.28</v>
      </c>
      <c r="M99" s="302">
        <f>BD.PD510[[#This Row],[Cant.]]*BD.PD510[[#This Row],[ Tasa ]]*BD.PD510[[#This Row],[ Precio Und.]]</f>
        <v>49152.56</v>
      </c>
      <c r="N99" s="440">
        <v>0</v>
      </c>
      <c r="O99" s="302">
        <f>IF(BD.PD510[[#This Row],[Liquid. '[%']]]&lt;&gt;0,(BD.PD510[[#This Row],[Valor Neto '[DOP']]]*BD.PD510[[#This Row],[Liquid. '[%']]])+BD.PD510[[#This Row],[Valor Neto '[DOP']]],BD.PD510[[#This Row],[Valor Neto '[DOP']]])</f>
        <v>49152.56</v>
      </c>
      <c r="P99" s="302">
        <f>BD.PD510[[#This Row],[Ppto. Orden Interna '[DOP']]]/HLOOKUP("USD",$J$1:$K$2,2,FALSE)</f>
        <v>788.33295910184438</v>
      </c>
      <c r="Q99" s="425" t="s">
        <v>1100</v>
      </c>
      <c r="R99" s="425"/>
      <c r="S99" s="425"/>
      <c r="T99" s="425"/>
      <c r="U99" s="425"/>
      <c r="V99" s="292" t="s">
        <v>1100</v>
      </c>
      <c r="W99" s="441"/>
      <c r="X99" s="442"/>
      <c r="Y99" s="302">
        <f>BD.PD510[[#This Row],[Av.P1 '[%']]]*BD.PD510[[#This Row],[Ppto. Orden Interna '[DOP']]]</f>
        <v>0</v>
      </c>
      <c r="Z99" s="309"/>
      <c r="AA99" s="443"/>
      <c r="AB99" s="302">
        <f>BD.PD510[[#This Row],[Av.P2 '[%']]]*BD.PD510[[#This Row],[Ppto. Orden Interna '[DOP']]]</f>
        <v>0</v>
      </c>
      <c r="AC99" s="309"/>
      <c r="AD99" s="443"/>
      <c r="AE99" s="302">
        <f>BD.PD510[[#This Row],[Av.P3 '[%']]]*BD.PD510[[#This Row],[Ppto. Orden Interna '[DOP']]]</f>
        <v>0</v>
      </c>
      <c r="AF99" s="309"/>
      <c r="AG99" s="443"/>
      <c r="AH99" s="302">
        <f>BD.PD510[[#This Row],[Av.P4 '[%']]]*BD.PD510[[#This Row],[Ppto. Orden Interna '[DOP']]]</f>
        <v>0</v>
      </c>
      <c r="AI99" s="309"/>
      <c r="AJ99" s="443"/>
      <c r="AK99" s="302">
        <f>BD.PD510[[#This Row],[Av.P5 '[%']]]*BD.PD510[[#This Row],[Ppto. Orden Interna '[DOP']]]</f>
        <v>0</v>
      </c>
      <c r="AL99" s="444">
        <f>BD.PD510[[#This Row],[Pago 5]]+BD.PD510[[#This Row],[Pago 4]]+BD.PD510[[#This Row],[Pago 3]]+BD.PD510[[#This Row],[Pago 2]]+BD.PD510[[#This Row],[Pago 1]]</f>
        <v>0</v>
      </c>
      <c r="AM99" s="404"/>
    </row>
    <row r="100" spans="1:39" hidden="1" x14ac:dyDescent="0.3">
      <c r="A100" s="231">
        <v>8.06</v>
      </c>
      <c r="B100" s="288"/>
      <c r="C100" s="289" t="e">
        <f>VLOOKUP(BD.PD510[[#This Row],[Pos]],[16]!PPto[#Data],3,FALSE)</f>
        <v>#REF!</v>
      </c>
      <c r="D100" s="290" t="s">
        <v>1131</v>
      </c>
      <c r="E100" s="291" t="str">
        <f>IF(BD.PD510[[#This Row],[.]]="*",VLOOKUP(BD.PD510[[#This Row],[Pos]],[16]Presupuesto!A:H,7,FALSE),"")</f>
        <v/>
      </c>
      <c r="F100" s="292" t="s">
        <v>1101</v>
      </c>
      <c r="G100" s="292"/>
      <c r="H100" s="292"/>
      <c r="I100" s="437">
        <v>1</v>
      </c>
      <c r="J100" s="231" t="s">
        <v>581</v>
      </c>
      <c r="K100" s="438">
        <f>IF(BD.PD510[[#This Row],[Mon]]="DOP",1,HLOOKUP(BD.PD510[[#This Row],[Mon]],$J$1:$K$2,2,FALSE))</f>
        <v>1</v>
      </c>
      <c r="L100" s="439">
        <v>400000</v>
      </c>
      <c r="M100" s="302">
        <f>BD.PD510[[#This Row],[Cant.]]*BD.PD510[[#This Row],[ Tasa ]]*BD.PD510[[#This Row],[ Precio Und.]]</f>
        <v>400000</v>
      </c>
      <c r="N100" s="440">
        <v>0</v>
      </c>
      <c r="O100" s="302">
        <f>IF(BD.PD510[[#This Row],[Liquid. '[%']]]&lt;&gt;0,(BD.PD510[[#This Row],[Valor Neto '[DOP']]]*BD.PD510[[#This Row],[Liquid. '[%']]])+BD.PD510[[#This Row],[Valor Neto '[DOP']]],BD.PD510[[#This Row],[Valor Neto '[DOP']]])</f>
        <v>400000</v>
      </c>
      <c r="P100" s="302">
        <f>BD.PD510[[#This Row],[Ppto. Orden Interna '[DOP']]]/HLOOKUP("USD",$J$1:$K$2,2,FALSE)</f>
        <v>6415.3969526864475</v>
      </c>
      <c r="Q100" s="425" t="s">
        <v>1102</v>
      </c>
      <c r="R100" s="425"/>
      <c r="S100" s="425"/>
      <c r="T100" s="425"/>
      <c r="U100" s="425"/>
      <c r="V100" s="292" t="s">
        <v>1102</v>
      </c>
      <c r="W100" s="441">
        <v>1</v>
      </c>
      <c r="X100" s="442">
        <v>0.6</v>
      </c>
      <c r="Y100" s="302">
        <f>BD.PD510[[#This Row],[Av.P1 '[%']]]*BD.PD510[[#This Row],[Ppto. Orden Interna '[DOP']]]</f>
        <v>240000</v>
      </c>
      <c r="Z100" s="309">
        <v>3</v>
      </c>
      <c r="AA100" s="443">
        <v>0.4</v>
      </c>
      <c r="AB100" s="302">
        <f>BD.PD510[[#This Row],[Av.P2 '[%']]]*BD.PD510[[#This Row],[Ppto. Orden Interna '[DOP']]]</f>
        <v>160000</v>
      </c>
      <c r="AC100" s="309"/>
      <c r="AD100" s="443"/>
      <c r="AE100" s="302">
        <f>BD.PD510[[#This Row],[Av.P3 '[%']]]*BD.PD510[[#This Row],[Ppto. Orden Interna '[DOP']]]</f>
        <v>0</v>
      </c>
      <c r="AF100" s="309"/>
      <c r="AG100" s="443"/>
      <c r="AH100" s="302">
        <f>BD.PD510[[#This Row],[Av.P4 '[%']]]*BD.PD510[[#This Row],[Ppto. Orden Interna '[DOP']]]</f>
        <v>0</v>
      </c>
      <c r="AI100" s="309"/>
      <c r="AJ100" s="443"/>
      <c r="AK100" s="302">
        <f>BD.PD510[[#This Row],[Av.P5 '[%']]]*BD.PD510[[#This Row],[Ppto. Orden Interna '[DOP']]]</f>
        <v>0</v>
      </c>
      <c r="AL100" s="444">
        <f>BD.PD510[[#This Row],[Pago 5]]+BD.PD510[[#This Row],[Pago 4]]+BD.PD510[[#This Row],[Pago 3]]+BD.PD510[[#This Row],[Pago 2]]+BD.PD510[[#This Row],[Pago 1]]</f>
        <v>400000</v>
      </c>
      <c r="AM100" s="404"/>
    </row>
    <row r="101" spans="1:39" hidden="1" x14ac:dyDescent="0.3">
      <c r="A101" s="231">
        <v>8.06</v>
      </c>
      <c r="B101" s="288"/>
      <c r="C101" s="289" t="e">
        <f>VLOOKUP(BD.PD510[[#This Row],[Pos]],[16]!PPto[#Data],3,FALSE)</f>
        <v>#REF!</v>
      </c>
      <c r="D101" s="290" t="s">
        <v>1131</v>
      </c>
      <c r="E101" s="291" t="str">
        <f>IF(BD.PD510[[#This Row],[.]]="*",VLOOKUP(BD.PD510[[#This Row],[Pos]],[16]Presupuesto!A:H,7,FALSE),"")</f>
        <v/>
      </c>
      <c r="F101" s="292" t="s">
        <v>1103</v>
      </c>
      <c r="G101" s="292"/>
      <c r="H101" s="292"/>
      <c r="I101" s="437">
        <v>2</v>
      </c>
      <c r="J101" s="231" t="s">
        <v>581</v>
      </c>
      <c r="K101" s="438">
        <f>IF(BD.PD510[[#This Row],[Mon]]="DOP",1,HLOOKUP(BD.PD510[[#This Row],[Mon]],$J$1:$K$2,2,FALSE))</f>
        <v>1</v>
      </c>
      <c r="L101" s="439">
        <v>12000</v>
      </c>
      <c r="M101" s="302">
        <f>BD.PD510[[#This Row],[Cant.]]*BD.PD510[[#This Row],[ Tasa ]]*BD.PD510[[#This Row],[ Precio Und.]]</f>
        <v>24000</v>
      </c>
      <c r="N101" s="440">
        <v>0</v>
      </c>
      <c r="O101" s="302">
        <f>IF(BD.PD510[[#This Row],[Liquid. '[%']]]&lt;&gt;0,(BD.PD510[[#This Row],[Valor Neto '[DOP']]]*BD.PD510[[#This Row],[Liquid. '[%']]])+BD.PD510[[#This Row],[Valor Neto '[DOP']]],BD.PD510[[#This Row],[Valor Neto '[DOP']]])</f>
        <v>24000</v>
      </c>
      <c r="P101" s="302">
        <f>BD.PD510[[#This Row],[Ppto. Orden Interna '[DOP']]]/HLOOKUP("USD",$J$1:$K$2,2,FALSE)</f>
        <v>384.92381716118683</v>
      </c>
      <c r="Q101" s="425" t="s">
        <v>1104</v>
      </c>
      <c r="R101" s="425"/>
      <c r="S101" s="425"/>
      <c r="T101" s="425"/>
      <c r="U101" s="425"/>
      <c r="V101" s="292" t="s">
        <v>1104</v>
      </c>
      <c r="W101" s="441"/>
      <c r="X101" s="442"/>
      <c r="Y101" s="302">
        <f>BD.PD510[[#This Row],[Av.P1 '[%']]]*BD.PD510[[#This Row],[Ppto. Orden Interna '[DOP']]]</f>
        <v>0</v>
      </c>
      <c r="Z101" s="309"/>
      <c r="AA101" s="443"/>
      <c r="AB101" s="302">
        <f>BD.PD510[[#This Row],[Av.P2 '[%']]]*BD.PD510[[#This Row],[Ppto. Orden Interna '[DOP']]]</f>
        <v>0</v>
      </c>
      <c r="AC101" s="309"/>
      <c r="AD101" s="443"/>
      <c r="AE101" s="302">
        <f>BD.PD510[[#This Row],[Av.P3 '[%']]]*BD.PD510[[#This Row],[Ppto. Orden Interna '[DOP']]]</f>
        <v>0</v>
      </c>
      <c r="AF101" s="309"/>
      <c r="AG101" s="443"/>
      <c r="AH101" s="302">
        <f>BD.PD510[[#This Row],[Av.P4 '[%']]]*BD.PD510[[#This Row],[Ppto. Orden Interna '[DOP']]]</f>
        <v>0</v>
      </c>
      <c r="AI101" s="309"/>
      <c r="AJ101" s="443"/>
      <c r="AK101" s="302">
        <f>BD.PD510[[#This Row],[Av.P5 '[%']]]*BD.PD510[[#This Row],[Ppto. Orden Interna '[DOP']]]</f>
        <v>0</v>
      </c>
      <c r="AL101" s="444">
        <f>BD.PD510[[#This Row],[Pago 5]]+BD.PD510[[#This Row],[Pago 4]]+BD.PD510[[#This Row],[Pago 3]]+BD.PD510[[#This Row],[Pago 2]]+BD.PD510[[#This Row],[Pago 1]]</f>
        <v>0</v>
      </c>
      <c r="AM101" s="404"/>
    </row>
    <row r="102" spans="1:39" hidden="1" x14ac:dyDescent="0.3">
      <c r="A102" s="231">
        <v>8.06</v>
      </c>
      <c r="B102" s="288"/>
      <c r="C102" s="289" t="e">
        <f>VLOOKUP(BD.PD510[[#This Row],[Pos]],[16]!PPto[#Data],3,FALSE)</f>
        <v>#REF!</v>
      </c>
      <c r="D102" s="290" t="s">
        <v>1131</v>
      </c>
      <c r="E102" s="291" t="str">
        <f>IF(BD.PD510[[#This Row],[.]]="*",VLOOKUP(BD.PD510[[#This Row],[Pos]],[16]Presupuesto!A:H,7,FALSE),"")</f>
        <v/>
      </c>
      <c r="F102" s="292" t="s">
        <v>1105</v>
      </c>
      <c r="G102" s="292"/>
      <c r="H102" s="292"/>
      <c r="I102" s="437">
        <v>1</v>
      </c>
      <c r="J102" s="231" t="s">
        <v>581</v>
      </c>
      <c r="K102" s="438">
        <f>IF(BD.PD510[[#This Row],[Mon]]="DOP",1,HLOOKUP(BD.PD510[[#This Row],[Mon]],$J$1:$K$2,2,FALSE))</f>
        <v>1</v>
      </c>
      <c r="L102" s="439">
        <v>7769</v>
      </c>
      <c r="M102" s="302">
        <f>BD.PD510[[#This Row],[Cant.]]*BD.PD510[[#This Row],[ Tasa ]]*BD.PD510[[#This Row],[ Precio Und.]]</f>
        <v>7769</v>
      </c>
      <c r="N102" s="440">
        <v>0</v>
      </c>
      <c r="O102" s="302">
        <f>IF(BD.PD510[[#This Row],[Liquid. '[%']]]&lt;&gt;0,(BD.PD510[[#This Row],[Valor Neto '[DOP']]]*BD.PD510[[#This Row],[Liquid. '[%']]])+BD.PD510[[#This Row],[Valor Neto '[DOP']]],BD.PD510[[#This Row],[Valor Neto '[DOP']]])</f>
        <v>7769</v>
      </c>
      <c r="P102" s="302">
        <f>BD.PD510[[#This Row],[Ppto. Orden Interna '[DOP']]]/HLOOKUP("USD",$J$1:$K$2,2,FALSE)</f>
        <v>124.60304731355252</v>
      </c>
      <c r="Q102" s="425" t="s">
        <v>1106</v>
      </c>
      <c r="R102" s="425"/>
      <c r="S102" s="425"/>
      <c r="T102" s="425"/>
      <c r="U102" s="425"/>
      <c r="V102" s="292" t="s">
        <v>1106</v>
      </c>
      <c r="W102" s="441"/>
      <c r="X102" s="442"/>
      <c r="Y102" s="302">
        <f>BD.PD510[[#This Row],[Av.P1 '[%']]]*BD.PD510[[#This Row],[Ppto. Orden Interna '[DOP']]]</f>
        <v>0</v>
      </c>
      <c r="Z102" s="309"/>
      <c r="AA102" s="443"/>
      <c r="AB102" s="302">
        <f>BD.PD510[[#This Row],[Av.P2 '[%']]]*BD.PD510[[#This Row],[Ppto. Orden Interna '[DOP']]]</f>
        <v>0</v>
      </c>
      <c r="AC102" s="309"/>
      <c r="AD102" s="443"/>
      <c r="AE102" s="302">
        <f>BD.PD510[[#This Row],[Av.P3 '[%']]]*BD.PD510[[#This Row],[Ppto. Orden Interna '[DOP']]]</f>
        <v>0</v>
      </c>
      <c r="AF102" s="309"/>
      <c r="AG102" s="443"/>
      <c r="AH102" s="302">
        <f>BD.PD510[[#This Row],[Av.P4 '[%']]]*BD.PD510[[#This Row],[Ppto. Orden Interna '[DOP']]]</f>
        <v>0</v>
      </c>
      <c r="AI102" s="309"/>
      <c r="AJ102" s="443"/>
      <c r="AK102" s="302">
        <f>BD.PD510[[#This Row],[Av.P5 '[%']]]*BD.PD510[[#This Row],[Ppto. Orden Interna '[DOP']]]</f>
        <v>0</v>
      </c>
      <c r="AL102" s="444">
        <f>BD.PD510[[#This Row],[Pago 5]]+BD.PD510[[#This Row],[Pago 4]]+BD.PD510[[#This Row],[Pago 3]]+BD.PD510[[#This Row],[Pago 2]]+BD.PD510[[#This Row],[Pago 1]]</f>
        <v>0</v>
      </c>
      <c r="AM102" s="404"/>
    </row>
    <row r="103" spans="1:39" hidden="1" x14ac:dyDescent="0.3">
      <c r="A103" s="231">
        <v>8.06</v>
      </c>
      <c r="B103" s="288"/>
      <c r="C103" s="289" t="e">
        <f>VLOOKUP(BD.PD510[[#This Row],[Pos]],[16]!PPto[#Data],3,FALSE)</f>
        <v>#REF!</v>
      </c>
      <c r="D103" s="290" t="s">
        <v>1131</v>
      </c>
      <c r="E103" s="291" t="str">
        <f>IF(BD.PD510[[#This Row],[.]]="*",VLOOKUP(BD.PD510[[#This Row],[Pos]],[16]Presupuesto!A:H,7,FALSE),"")</f>
        <v/>
      </c>
      <c r="F103" s="292" t="s">
        <v>1107</v>
      </c>
      <c r="G103" s="292"/>
      <c r="H103" s="292"/>
      <c r="I103" s="437">
        <v>1</v>
      </c>
      <c r="J103" s="231" t="s">
        <v>581</v>
      </c>
      <c r="K103" s="438">
        <f>IF(BD.PD510[[#This Row],[Mon]]="DOP",1,HLOOKUP(BD.PD510[[#This Row],[Mon]],$J$1:$K$2,2,FALSE))</f>
        <v>1</v>
      </c>
      <c r="L103" s="439">
        <v>5000</v>
      </c>
      <c r="M103" s="302">
        <f>BD.PD510[[#This Row],[Cant.]]*BD.PD510[[#This Row],[ Tasa ]]*BD.PD510[[#This Row],[ Precio Und.]]</f>
        <v>5000</v>
      </c>
      <c r="N103" s="440">
        <v>0</v>
      </c>
      <c r="O103" s="302">
        <f>IF(BD.PD510[[#This Row],[Liquid. '[%']]]&lt;&gt;0,(BD.PD510[[#This Row],[Valor Neto '[DOP']]]*BD.PD510[[#This Row],[Liquid. '[%']]])+BD.PD510[[#This Row],[Valor Neto '[DOP']]],BD.PD510[[#This Row],[Valor Neto '[DOP']]])</f>
        <v>5000</v>
      </c>
      <c r="P103" s="302">
        <f>BD.PD510[[#This Row],[Ppto. Orden Interna '[DOP']]]/HLOOKUP("USD",$J$1:$K$2,2,FALSE)</f>
        <v>80.192461908580597</v>
      </c>
      <c r="Q103" s="425"/>
      <c r="R103" s="425"/>
      <c r="S103" s="425"/>
      <c r="T103" s="425"/>
      <c r="U103" s="425"/>
      <c r="V103" s="292"/>
      <c r="W103" s="441"/>
      <c r="X103" s="442"/>
      <c r="Y103" s="302">
        <f>BD.PD510[[#This Row],[Av.P1 '[%']]]*BD.PD510[[#This Row],[Ppto. Orden Interna '[DOP']]]</f>
        <v>0</v>
      </c>
      <c r="Z103" s="309"/>
      <c r="AA103" s="443"/>
      <c r="AB103" s="302">
        <f>BD.PD510[[#This Row],[Av.P2 '[%']]]*BD.PD510[[#This Row],[Ppto. Orden Interna '[DOP']]]</f>
        <v>0</v>
      </c>
      <c r="AC103" s="309"/>
      <c r="AD103" s="443"/>
      <c r="AE103" s="302">
        <f>BD.PD510[[#This Row],[Av.P3 '[%']]]*BD.PD510[[#This Row],[Ppto. Orden Interna '[DOP']]]</f>
        <v>0</v>
      </c>
      <c r="AF103" s="309"/>
      <c r="AG103" s="443"/>
      <c r="AH103" s="302">
        <f>BD.PD510[[#This Row],[Av.P4 '[%']]]*BD.PD510[[#This Row],[Ppto. Orden Interna '[DOP']]]</f>
        <v>0</v>
      </c>
      <c r="AI103" s="309"/>
      <c r="AJ103" s="443"/>
      <c r="AK103" s="302">
        <f>BD.PD510[[#This Row],[Av.P5 '[%']]]*BD.PD510[[#This Row],[Ppto. Orden Interna '[DOP']]]</f>
        <v>0</v>
      </c>
      <c r="AL103" s="444">
        <f>BD.PD510[[#This Row],[Pago 5]]+BD.PD510[[#This Row],[Pago 4]]+BD.PD510[[#This Row],[Pago 3]]+BD.PD510[[#This Row],[Pago 2]]+BD.PD510[[#This Row],[Pago 1]]</f>
        <v>0</v>
      </c>
      <c r="AM103" s="404"/>
    </row>
    <row r="104" spans="1:39" hidden="1" x14ac:dyDescent="0.3">
      <c r="A104" s="231">
        <v>8.06</v>
      </c>
      <c r="B104" s="288"/>
      <c r="C104" s="289" t="e">
        <f>VLOOKUP(BD.PD510[[#This Row],[Pos]],[16]!PPto[#Data],3,FALSE)</f>
        <v>#REF!</v>
      </c>
      <c r="D104" s="290" t="s">
        <v>1131</v>
      </c>
      <c r="E104" s="291" t="str">
        <f>IF(BD.PD510[[#This Row],[.]]="*",VLOOKUP(BD.PD510[[#This Row],[Pos]],[16]Presupuesto!A:H,7,FALSE),"")</f>
        <v/>
      </c>
      <c r="F104" s="292" t="s">
        <v>1108</v>
      </c>
      <c r="G104" s="292"/>
      <c r="H104" s="292"/>
      <c r="I104" s="437">
        <v>1</v>
      </c>
      <c r="J104" s="231" t="s">
        <v>581</v>
      </c>
      <c r="K104" s="438">
        <f>IF(BD.PD510[[#This Row],[Mon]]="DOP",1,HLOOKUP(BD.PD510[[#This Row],[Mon]],$J$1:$K$2,2,FALSE))</f>
        <v>1</v>
      </c>
      <c r="L104" s="439">
        <v>1975</v>
      </c>
      <c r="M104" s="302">
        <f>BD.PD510[[#This Row],[Cant.]]*BD.PD510[[#This Row],[ Tasa ]]*BD.PD510[[#This Row],[ Precio Und.]]</f>
        <v>1975</v>
      </c>
      <c r="N104" s="440">
        <v>0</v>
      </c>
      <c r="O104" s="302">
        <f>IF(BD.PD510[[#This Row],[Liquid. '[%']]]&lt;&gt;0,(BD.PD510[[#This Row],[Valor Neto '[DOP']]]*BD.PD510[[#This Row],[Liquid. '[%']]])+BD.PD510[[#This Row],[Valor Neto '[DOP']]],BD.PD510[[#This Row],[Valor Neto '[DOP']]])</f>
        <v>1975</v>
      </c>
      <c r="P104" s="302">
        <f>BD.PD510[[#This Row],[Ppto. Orden Interna '[DOP']]]/HLOOKUP("USD",$J$1:$K$2,2,FALSE)</f>
        <v>31.676022453889335</v>
      </c>
      <c r="Q104" s="425" t="s">
        <v>1109</v>
      </c>
      <c r="R104" s="425"/>
      <c r="S104" s="425"/>
      <c r="T104" s="425"/>
      <c r="U104" s="425"/>
      <c r="V104" s="292" t="s">
        <v>1109</v>
      </c>
      <c r="W104" s="441"/>
      <c r="X104" s="442"/>
      <c r="Y104" s="302">
        <f>BD.PD510[[#This Row],[Av.P1 '[%']]]*BD.PD510[[#This Row],[Ppto. Orden Interna '[DOP']]]</f>
        <v>0</v>
      </c>
      <c r="Z104" s="309"/>
      <c r="AA104" s="443"/>
      <c r="AB104" s="302">
        <f>BD.PD510[[#This Row],[Av.P2 '[%']]]*BD.PD510[[#This Row],[Ppto. Orden Interna '[DOP']]]</f>
        <v>0</v>
      </c>
      <c r="AC104" s="309"/>
      <c r="AD104" s="443"/>
      <c r="AE104" s="302">
        <f>BD.PD510[[#This Row],[Av.P3 '[%']]]*BD.PD510[[#This Row],[Ppto. Orden Interna '[DOP']]]</f>
        <v>0</v>
      </c>
      <c r="AF104" s="309"/>
      <c r="AG104" s="443"/>
      <c r="AH104" s="302">
        <f>BD.PD510[[#This Row],[Av.P4 '[%']]]*BD.PD510[[#This Row],[Ppto. Orden Interna '[DOP']]]</f>
        <v>0</v>
      </c>
      <c r="AI104" s="309"/>
      <c r="AJ104" s="443"/>
      <c r="AK104" s="302">
        <f>BD.PD510[[#This Row],[Av.P5 '[%']]]*BD.PD510[[#This Row],[Ppto. Orden Interna '[DOP']]]</f>
        <v>0</v>
      </c>
      <c r="AL104" s="444">
        <f>BD.PD510[[#This Row],[Pago 5]]+BD.PD510[[#This Row],[Pago 4]]+BD.PD510[[#This Row],[Pago 3]]+BD.PD510[[#This Row],[Pago 2]]+BD.PD510[[#This Row],[Pago 1]]</f>
        <v>0</v>
      </c>
      <c r="AM104" s="404"/>
    </row>
    <row r="105" spans="1:39" hidden="1" x14ac:dyDescent="0.3">
      <c r="A105" s="231">
        <v>8.06</v>
      </c>
      <c r="B105" s="288"/>
      <c r="C105" s="289" t="e">
        <f>VLOOKUP(BD.PD510[[#This Row],[Pos]],[16]!PPto[#Data],3,FALSE)</f>
        <v>#REF!</v>
      </c>
      <c r="D105" s="290" t="s">
        <v>1131</v>
      </c>
      <c r="E105" s="291" t="str">
        <f>IF(BD.PD510[[#This Row],[.]]="*",VLOOKUP(BD.PD510[[#This Row],[Pos]],[16]Presupuesto!A:H,7,FALSE),"")</f>
        <v/>
      </c>
      <c r="F105" s="292" t="s">
        <v>1110</v>
      </c>
      <c r="G105" s="292"/>
      <c r="H105" s="292"/>
      <c r="I105" s="437">
        <v>3</v>
      </c>
      <c r="J105" s="231" t="s">
        <v>581</v>
      </c>
      <c r="K105" s="438">
        <f>IF(BD.PD510[[#This Row],[Mon]]="DOP",1,HLOOKUP(BD.PD510[[#This Row],[Mon]],$J$1:$K$2,2,FALSE))</f>
        <v>1</v>
      </c>
      <c r="L105" s="439">
        <v>5000</v>
      </c>
      <c r="M105" s="302">
        <f>BD.PD510[[#This Row],[Cant.]]*BD.PD510[[#This Row],[ Tasa ]]*BD.PD510[[#This Row],[ Precio Und.]]</f>
        <v>15000</v>
      </c>
      <c r="N105" s="440">
        <v>0</v>
      </c>
      <c r="O105" s="302">
        <f>IF(BD.PD510[[#This Row],[Liquid. '[%']]]&lt;&gt;0,(BD.PD510[[#This Row],[Valor Neto '[DOP']]]*BD.PD510[[#This Row],[Liquid. '[%']]])+BD.PD510[[#This Row],[Valor Neto '[DOP']]],BD.PD510[[#This Row],[Valor Neto '[DOP']]])</f>
        <v>15000</v>
      </c>
      <c r="P105" s="302">
        <f>BD.PD510[[#This Row],[Ppto. Orden Interna '[DOP']]]/HLOOKUP("USD",$J$1:$K$2,2,FALSE)</f>
        <v>240.57738572574178</v>
      </c>
      <c r="Q105" s="425" t="s">
        <v>1111</v>
      </c>
      <c r="R105" s="425"/>
      <c r="S105" s="425"/>
      <c r="T105" s="425"/>
      <c r="U105" s="425"/>
      <c r="V105" s="292" t="s">
        <v>1111</v>
      </c>
      <c r="W105" s="441"/>
      <c r="X105" s="442"/>
      <c r="Y105" s="302">
        <f>BD.PD510[[#This Row],[Av.P1 '[%']]]*BD.PD510[[#This Row],[Ppto. Orden Interna '[DOP']]]</f>
        <v>0</v>
      </c>
      <c r="Z105" s="309"/>
      <c r="AA105" s="443"/>
      <c r="AB105" s="302">
        <f>BD.PD510[[#This Row],[Av.P2 '[%']]]*BD.PD510[[#This Row],[Ppto. Orden Interna '[DOP']]]</f>
        <v>0</v>
      </c>
      <c r="AC105" s="309"/>
      <c r="AD105" s="443"/>
      <c r="AE105" s="302">
        <f>BD.PD510[[#This Row],[Av.P3 '[%']]]*BD.PD510[[#This Row],[Ppto. Orden Interna '[DOP']]]</f>
        <v>0</v>
      </c>
      <c r="AF105" s="309"/>
      <c r="AG105" s="443"/>
      <c r="AH105" s="302">
        <f>BD.PD510[[#This Row],[Av.P4 '[%']]]*BD.PD510[[#This Row],[Ppto. Orden Interna '[DOP']]]</f>
        <v>0</v>
      </c>
      <c r="AI105" s="309"/>
      <c r="AJ105" s="443"/>
      <c r="AK105" s="302">
        <f>BD.PD510[[#This Row],[Av.P5 '[%']]]*BD.PD510[[#This Row],[Ppto. Orden Interna '[DOP']]]</f>
        <v>0</v>
      </c>
      <c r="AL105" s="444">
        <f>BD.PD510[[#This Row],[Pago 5]]+BD.PD510[[#This Row],[Pago 4]]+BD.PD510[[#This Row],[Pago 3]]+BD.PD510[[#This Row],[Pago 2]]+BD.PD510[[#This Row],[Pago 1]]</f>
        <v>0</v>
      </c>
      <c r="AM105" s="404"/>
    </row>
    <row r="106" spans="1:39" ht="14.1" hidden="1" customHeight="1" x14ac:dyDescent="0.3">
      <c r="A106" s="231">
        <v>8.06</v>
      </c>
      <c r="B106" s="288"/>
      <c r="C106" s="289" t="e">
        <f>VLOOKUP(BD.PD510[[#This Row],[Pos]],[16]!PPto[#Data],3,FALSE)</f>
        <v>#REF!</v>
      </c>
      <c r="D106" s="290" t="s">
        <v>1131</v>
      </c>
      <c r="E106" s="291" t="str">
        <f>IF(BD.PD510[[#This Row],[.]]="*",VLOOKUP(BD.PD510[[#This Row],[Pos]],[16]Presupuesto!A:H,7,FALSE),"")</f>
        <v/>
      </c>
      <c r="F106" s="292" t="s">
        <v>1112</v>
      </c>
      <c r="G106" s="292"/>
      <c r="H106" s="292"/>
      <c r="I106" s="437">
        <v>1</v>
      </c>
      <c r="J106" s="231" t="s">
        <v>581</v>
      </c>
      <c r="K106" s="438">
        <f>IF(BD.PD510[[#This Row],[Mon]]="DOP",1,HLOOKUP(BD.PD510[[#This Row],[Mon]],$J$1:$K$2,2,FALSE))</f>
        <v>1</v>
      </c>
      <c r="L106" s="439">
        <v>12000</v>
      </c>
      <c r="M106" s="302">
        <f>BD.PD510[[#This Row],[Cant.]]*BD.PD510[[#This Row],[ Tasa ]]*BD.PD510[[#This Row],[ Precio Und.]]</f>
        <v>12000</v>
      </c>
      <c r="N106" s="440">
        <v>0</v>
      </c>
      <c r="O106" s="302">
        <f>IF(BD.PD510[[#This Row],[Liquid. '[%']]]&lt;&gt;0,(BD.PD510[[#This Row],[Valor Neto '[DOP']]]*BD.PD510[[#This Row],[Liquid. '[%']]])+BD.PD510[[#This Row],[Valor Neto '[DOP']]],BD.PD510[[#This Row],[Valor Neto '[DOP']]])</f>
        <v>12000</v>
      </c>
      <c r="P106" s="302">
        <f>BD.PD510[[#This Row],[Ppto. Orden Interna '[DOP']]]/HLOOKUP("USD",$J$1:$K$2,2,FALSE)</f>
        <v>192.46190858059342</v>
      </c>
      <c r="Q106" s="425" t="s">
        <v>1111</v>
      </c>
      <c r="R106" s="425"/>
      <c r="S106" s="425"/>
      <c r="T106" s="425"/>
      <c r="U106" s="425"/>
      <c r="V106" s="292" t="s">
        <v>1111</v>
      </c>
      <c r="W106" s="441"/>
      <c r="X106" s="442"/>
      <c r="Y106" s="302">
        <f>BD.PD510[[#This Row],[Av.P1 '[%']]]*BD.PD510[[#This Row],[Ppto. Orden Interna '[DOP']]]</f>
        <v>0</v>
      </c>
      <c r="Z106" s="309"/>
      <c r="AA106" s="443"/>
      <c r="AB106" s="302">
        <f>BD.PD510[[#This Row],[Av.P2 '[%']]]*BD.PD510[[#This Row],[Ppto. Orden Interna '[DOP']]]</f>
        <v>0</v>
      </c>
      <c r="AC106" s="309"/>
      <c r="AD106" s="443"/>
      <c r="AE106" s="302">
        <f>BD.PD510[[#This Row],[Av.P3 '[%']]]*BD.PD510[[#This Row],[Ppto. Orden Interna '[DOP']]]</f>
        <v>0</v>
      </c>
      <c r="AF106" s="309"/>
      <c r="AG106" s="443"/>
      <c r="AH106" s="302">
        <f>BD.PD510[[#This Row],[Av.P4 '[%']]]*BD.PD510[[#This Row],[Ppto. Orden Interna '[DOP']]]</f>
        <v>0</v>
      </c>
      <c r="AI106" s="309"/>
      <c r="AJ106" s="443"/>
      <c r="AK106" s="302">
        <f>BD.PD510[[#This Row],[Av.P5 '[%']]]*BD.PD510[[#This Row],[Ppto. Orden Interna '[DOP']]]</f>
        <v>0</v>
      </c>
      <c r="AL106" s="444">
        <f>BD.PD510[[#This Row],[Pago 5]]+BD.PD510[[#This Row],[Pago 4]]+BD.PD510[[#This Row],[Pago 3]]+BD.PD510[[#This Row],[Pago 2]]+BD.PD510[[#This Row],[Pago 1]]</f>
        <v>0</v>
      </c>
      <c r="AM106" s="404"/>
    </row>
    <row r="107" spans="1:39" hidden="1" x14ac:dyDescent="0.3">
      <c r="A107" s="231">
        <v>8.06</v>
      </c>
      <c r="B107" s="288"/>
      <c r="C107" s="289" t="e">
        <f>VLOOKUP(BD.PD510[[#This Row],[Pos]],[16]!PPto[#Data],3,FALSE)</f>
        <v>#REF!</v>
      </c>
      <c r="D107" s="290" t="s">
        <v>1131</v>
      </c>
      <c r="E107" s="291" t="str">
        <f>IF(BD.PD510[[#This Row],[.]]="*",VLOOKUP(BD.PD510[[#This Row],[Pos]],[16]Presupuesto!A:H,7,FALSE),"")</f>
        <v/>
      </c>
      <c r="F107" s="292" t="s">
        <v>1113</v>
      </c>
      <c r="G107" s="292"/>
      <c r="H107" s="292"/>
      <c r="I107" s="437">
        <v>1</v>
      </c>
      <c r="J107" s="231" t="s">
        <v>581</v>
      </c>
      <c r="K107" s="438">
        <f>IF(BD.PD510[[#This Row],[Mon]]="DOP",1,HLOOKUP(BD.PD510[[#This Row],[Mon]],$J$1:$K$2,2,FALSE))</f>
        <v>1</v>
      </c>
      <c r="L107" s="439">
        <v>3000</v>
      </c>
      <c r="M107" s="302">
        <f>BD.PD510[[#This Row],[Cant.]]*BD.PD510[[#This Row],[ Tasa ]]*BD.PD510[[#This Row],[ Precio Und.]]</f>
        <v>3000</v>
      </c>
      <c r="N107" s="440">
        <v>0</v>
      </c>
      <c r="O107" s="302">
        <f>IF(BD.PD510[[#This Row],[Liquid. '[%']]]&lt;&gt;0,(BD.PD510[[#This Row],[Valor Neto '[DOP']]]*BD.PD510[[#This Row],[Liquid. '[%']]])+BD.PD510[[#This Row],[Valor Neto '[DOP']]],BD.PD510[[#This Row],[Valor Neto '[DOP']]])</f>
        <v>3000</v>
      </c>
      <c r="P107" s="302">
        <f>BD.PD510[[#This Row],[Ppto. Orden Interna '[DOP']]]/HLOOKUP("USD",$J$1:$K$2,2,FALSE)</f>
        <v>48.115477145148354</v>
      </c>
      <c r="Q107" s="425" t="s">
        <v>763</v>
      </c>
      <c r="R107" s="425"/>
      <c r="S107" s="425"/>
      <c r="T107" s="425"/>
      <c r="U107" s="425"/>
      <c r="V107" s="292" t="s">
        <v>763</v>
      </c>
      <c r="W107" s="441"/>
      <c r="X107" s="442"/>
      <c r="Y107" s="302">
        <f>BD.PD510[[#This Row],[Av.P1 '[%']]]*BD.PD510[[#This Row],[Ppto. Orden Interna '[DOP']]]</f>
        <v>0</v>
      </c>
      <c r="Z107" s="309"/>
      <c r="AA107" s="443"/>
      <c r="AB107" s="302">
        <f>BD.PD510[[#This Row],[Av.P2 '[%']]]*BD.PD510[[#This Row],[Ppto. Orden Interna '[DOP']]]</f>
        <v>0</v>
      </c>
      <c r="AC107" s="309"/>
      <c r="AD107" s="443"/>
      <c r="AE107" s="302">
        <f>BD.PD510[[#This Row],[Av.P3 '[%']]]*BD.PD510[[#This Row],[Ppto. Orden Interna '[DOP']]]</f>
        <v>0</v>
      </c>
      <c r="AF107" s="309"/>
      <c r="AG107" s="443"/>
      <c r="AH107" s="302">
        <f>BD.PD510[[#This Row],[Av.P4 '[%']]]*BD.PD510[[#This Row],[Ppto. Orden Interna '[DOP']]]</f>
        <v>0</v>
      </c>
      <c r="AI107" s="309"/>
      <c r="AJ107" s="443"/>
      <c r="AK107" s="302">
        <f>BD.PD510[[#This Row],[Av.P5 '[%']]]*BD.PD510[[#This Row],[Ppto. Orden Interna '[DOP']]]</f>
        <v>0</v>
      </c>
      <c r="AL107" s="444">
        <f>BD.PD510[[#This Row],[Pago 5]]+BD.PD510[[#This Row],[Pago 4]]+BD.PD510[[#This Row],[Pago 3]]+BD.PD510[[#This Row],[Pago 2]]+BD.PD510[[#This Row],[Pago 1]]</f>
        <v>0</v>
      </c>
      <c r="AM107" s="404"/>
    </row>
    <row r="108" spans="1:39" hidden="1" x14ac:dyDescent="0.3">
      <c r="A108" s="231">
        <v>8.06</v>
      </c>
      <c r="B108" s="288"/>
      <c r="C108" s="289" t="e">
        <f>VLOOKUP(BD.PD510[[#This Row],[Pos]],[16]!PPto[#Data],3,FALSE)</f>
        <v>#REF!</v>
      </c>
      <c r="D108" s="290" t="s">
        <v>1131</v>
      </c>
      <c r="E108" s="291" t="str">
        <f>IF(BD.PD510[[#This Row],[.]]="*",VLOOKUP(BD.PD510[[#This Row],[Pos]],[16]Presupuesto!A:H,7,FALSE),"")</f>
        <v/>
      </c>
      <c r="F108" s="292" t="s">
        <v>1114</v>
      </c>
      <c r="G108" s="292"/>
      <c r="H108" s="292"/>
      <c r="I108" s="437">
        <v>1</v>
      </c>
      <c r="J108" s="231" t="s">
        <v>581</v>
      </c>
      <c r="K108" s="438">
        <f>IF(BD.PD510[[#This Row],[Mon]]="DOP",1,HLOOKUP(BD.PD510[[#This Row],[Mon]],$J$1:$K$2,2,FALSE))</f>
        <v>1</v>
      </c>
      <c r="L108" s="439">
        <v>30000</v>
      </c>
      <c r="M108" s="302">
        <f>BD.PD510[[#This Row],[Cant.]]*BD.PD510[[#This Row],[ Tasa ]]*BD.PD510[[#This Row],[ Precio Und.]]</f>
        <v>30000</v>
      </c>
      <c r="N108" s="440">
        <v>0</v>
      </c>
      <c r="O108" s="302">
        <f>IF(BD.PD510[[#This Row],[Liquid. '[%']]]&lt;&gt;0,(BD.PD510[[#This Row],[Valor Neto '[DOP']]]*BD.PD510[[#This Row],[Liquid. '[%']]])+BD.PD510[[#This Row],[Valor Neto '[DOP']]],BD.PD510[[#This Row],[Valor Neto '[DOP']]])</f>
        <v>30000</v>
      </c>
      <c r="P108" s="302">
        <f>BD.PD510[[#This Row],[Ppto. Orden Interna '[DOP']]]/HLOOKUP("USD",$J$1:$K$2,2,FALSE)</f>
        <v>481.15477145148355</v>
      </c>
      <c r="Q108" s="425"/>
      <c r="R108" s="425"/>
      <c r="S108" s="425"/>
      <c r="T108" s="425"/>
      <c r="U108" s="425"/>
      <c r="V108" s="292"/>
      <c r="W108" s="441"/>
      <c r="X108" s="442"/>
      <c r="Y108" s="302">
        <f>BD.PD510[[#This Row],[Av.P1 '[%']]]*BD.PD510[[#This Row],[Ppto. Orden Interna '[DOP']]]</f>
        <v>0</v>
      </c>
      <c r="Z108" s="309"/>
      <c r="AA108" s="443"/>
      <c r="AB108" s="302">
        <f>BD.PD510[[#This Row],[Av.P2 '[%']]]*BD.PD510[[#This Row],[Ppto. Orden Interna '[DOP']]]</f>
        <v>0</v>
      </c>
      <c r="AC108" s="309"/>
      <c r="AD108" s="443"/>
      <c r="AE108" s="302">
        <f>BD.PD510[[#This Row],[Av.P3 '[%']]]*BD.PD510[[#This Row],[Ppto. Orden Interna '[DOP']]]</f>
        <v>0</v>
      </c>
      <c r="AF108" s="309"/>
      <c r="AG108" s="443"/>
      <c r="AH108" s="302">
        <f>BD.PD510[[#This Row],[Av.P4 '[%']]]*BD.PD510[[#This Row],[Ppto. Orden Interna '[DOP']]]</f>
        <v>0</v>
      </c>
      <c r="AI108" s="309"/>
      <c r="AJ108" s="443"/>
      <c r="AK108" s="302">
        <f>BD.PD510[[#This Row],[Av.P5 '[%']]]*BD.PD510[[#This Row],[Ppto. Orden Interna '[DOP']]]</f>
        <v>0</v>
      </c>
      <c r="AL108" s="444">
        <f>BD.PD510[[#This Row],[Pago 5]]+BD.PD510[[#This Row],[Pago 4]]+BD.PD510[[#This Row],[Pago 3]]+BD.PD510[[#This Row],[Pago 2]]+BD.PD510[[#This Row],[Pago 1]]</f>
        <v>0</v>
      </c>
      <c r="AM108" s="404"/>
    </row>
    <row r="109" spans="1:39" hidden="1" x14ac:dyDescent="0.3">
      <c r="A109" s="231">
        <v>8.06</v>
      </c>
      <c r="B109" s="288"/>
      <c r="C109" s="289" t="e">
        <f>VLOOKUP(BD.PD510[[#This Row],[Pos]],[16]!PPto[#Data],3,FALSE)</f>
        <v>#REF!</v>
      </c>
      <c r="D109" s="290" t="s">
        <v>1131</v>
      </c>
      <c r="E109" s="291" t="str">
        <f>IF(BD.PD510[[#This Row],[.]]="*",VLOOKUP(BD.PD510[[#This Row],[Pos]],[16]Presupuesto!A:H,7,FALSE),"")</f>
        <v/>
      </c>
      <c r="F109" s="292" t="s">
        <v>1115</v>
      </c>
      <c r="G109" s="292"/>
      <c r="H109" s="292"/>
      <c r="I109" s="437">
        <v>2</v>
      </c>
      <c r="J109" s="231" t="s">
        <v>526</v>
      </c>
      <c r="K109" s="438">
        <f>IF(BD.PD510[[#This Row],[Mon]]="DOP",1,HLOOKUP(BD.PD510[[#This Row],[Mon]],$J$1:$K$2,2,FALSE))</f>
        <v>73.3</v>
      </c>
      <c r="L109" s="439">
        <v>4850</v>
      </c>
      <c r="M109" s="302">
        <f>BD.PD510[[#This Row],[Cant.]]*BD.PD510[[#This Row],[ Tasa ]]*BD.PD510[[#This Row],[ Precio Und.]]</f>
        <v>711010</v>
      </c>
      <c r="N109" s="440">
        <v>0.15</v>
      </c>
      <c r="O109" s="302">
        <f>IF(BD.PD510[[#This Row],[Liquid. '[%']]]&lt;&gt;0,(BD.PD510[[#This Row],[Valor Neto '[DOP']]]*BD.PD510[[#This Row],[Liquid. '[%']]])+BD.PD510[[#This Row],[Valor Neto '[DOP']]],BD.PD510[[#This Row],[Valor Neto '[DOP']]])</f>
        <v>817661.5</v>
      </c>
      <c r="P109" s="302">
        <f>BD.PD510[[#This Row],[Ppto. Orden Interna '[DOP']]]/HLOOKUP("USD",$J$1:$K$2,2,FALSE)</f>
        <v>13114.057738572574</v>
      </c>
      <c r="Q109" s="425" t="s">
        <v>1090</v>
      </c>
      <c r="R109" s="425"/>
      <c r="S109" s="425"/>
      <c r="T109" s="425"/>
      <c r="U109" s="425"/>
      <c r="V109" s="292" t="s">
        <v>1090</v>
      </c>
      <c r="W109" s="441">
        <v>1</v>
      </c>
      <c r="X109" s="442">
        <v>1</v>
      </c>
      <c r="Y109" s="302">
        <f>BD.PD510[[#This Row],[Av.P1 '[%']]]*BD.PD510[[#This Row],[Ppto. Orden Interna '[DOP']]]</f>
        <v>817661.5</v>
      </c>
      <c r="Z109" s="309"/>
      <c r="AA109" s="443"/>
      <c r="AB109" s="302">
        <f>BD.PD510[[#This Row],[Av.P2 '[%']]]*BD.PD510[[#This Row],[Ppto. Orden Interna '[DOP']]]</f>
        <v>0</v>
      </c>
      <c r="AC109" s="309"/>
      <c r="AD109" s="443"/>
      <c r="AE109" s="302">
        <f>BD.PD510[[#This Row],[Av.P3 '[%']]]*BD.PD510[[#This Row],[Ppto. Orden Interna '[DOP']]]</f>
        <v>0</v>
      </c>
      <c r="AF109" s="309"/>
      <c r="AG109" s="443"/>
      <c r="AH109" s="302">
        <f>BD.PD510[[#This Row],[Av.P4 '[%']]]*BD.PD510[[#This Row],[Ppto. Orden Interna '[DOP']]]</f>
        <v>0</v>
      </c>
      <c r="AI109" s="309"/>
      <c r="AJ109" s="443"/>
      <c r="AK109" s="302">
        <f>BD.PD510[[#This Row],[Av.P5 '[%']]]*BD.PD510[[#This Row],[Ppto. Orden Interna '[DOP']]]</f>
        <v>0</v>
      </c>
      <c r="AL109" s="444">
        <f>BD.PD510[[#This Row],[Pago 5]]+BD.PD510[[#This Row],[Pago 4]]+BD.PD510[[#This Row],[Pago 3]]+BD.PD510[[#This Row],[Pago 2]]+BD.PD510[[#This Row],[Pago 1]]</f>
        <v>817661.5</v>
      </c>
      <c r="AM109" s="404"/>
    </row>
    <row r="110" spans="1:39" hidden="1" x14ac:dyDescent="0.3">
      <c r="A110" s="231">
        <v>8.06</v>
      </c>
      <c r="B110" s="288"/>
      <c r="C110" s="289" t="e">
        <f>VLOOKUP(BD.PD510[[#This Row],[Pos]],[16]!PPto[#Data],3,FALSE)</f>
        <v>#REF!</v>
      </c>
      <c r="D110" s="290" t="s">
        <v>1131</v>
      </c>
      <c r="E110" s="291" t="str">
        <f>IF(BD.PD510[[#This Row],[.]]="*",VLOOKUP(BD.PD510[[#This Row],[Pos]],[16]Presupuesto!A:H,7,FALSE),"")</f>
        <v/>
      </c>
      <c r="F110" s="292" t="s">
        <v>1116</v>
      </c>
      <c r="G110" s="292"/>
      <c r="H110" s="292"/>
      <c r="I110" s="437">
        <v>1</v>
      </c>
      <c r="J110" s="231" t="s">
        <v>526</v>
      </c>
      <c r="K110" s="438">
        <f>IF(BD.PD510[[#This Row],[Mon]]="DOP",1,HLOOKUP(BD.PD510[[#This Row],[Mon]],$J$1:$K$2,2,FALSE))</f>
        <v>73.3</v>
      </c>
      <c r="L110" s="439">
        <v>2225</v>
      </c>
      <c r="M110" s="302">
        <f>BD.PD510[[#This Row],[Cant.]]*BD.PD510[[#This Row],[ Tasa ]]*BD.PD510[[#This Row],[ Precio Und.]]</f>
        <v>163092.5</v>
      </c>
      <c r="N110" s="440">
        <v>0.15</v>
      </c>
      <c r="O110" s="302">
        <f>IF(BD.PD510[[#This Row],[Liquid. '[%']]]&lt;&gt;0,(BD.PD510[[#This Row],[Valor Neto '[DOP']]]*BD.PD510[[#This Row],[Liquid. '[%']]])+BD.PD510[[#This Row],[Valor Neto '[DOP']]],BD.PD510[[#This Row],[Valor Neto '[DOP']]])</f>
        <v>187556.375</v>
      </c>
      <c r="P110" s="302">
        <f>BD.PD510[[#This Row],[Ppto. Orden Interna '[DOP']]]/HLOOKUP("USD",$J$1:$K$2,2,FALSE)</f>
        <v>3008.1214915797914</v>
      </c>
      <c r="Q110" s="425" t="s">
        <v>1090</v>
      </c>
      <c r="R110" s="425"/>
      <c r="S110" s="425"/>
      <c r="T110" s="425"/>
      <c r="U110" s="425"/>
      <c r="V110" s="292" t="s">
        <v>1090</v>
      </c>
      <c r="W110" s="441">
        <v>1</v>
      </c>
      <c r="X110" s="442">
        <v>1</v>
      </c>
      <c r="Y110" s="302">
        <f>BD.PD510[[#This Row],[Av.P1 '[%']]]*BD.PD510[[#This Row],[Ppto. Orden Interna '[DOP']]]</f>
        <v>187556.375</v>
      </c>
      <c r="Z110" s="309"/>
      <c r="AA110" s="443"/>
      <c r="AB110" s="302">
        <f>BD.PD510[[#This Row],[Av.P2 '[%']]]*BD.PD510[[#This Row],[Ppto. Orden Interna '[DOP']]]</f>
        <v>0</v>
      </c>
      <c r="AC110" s="309"/>
      <c r="AD110" s="443"/>
      <c r="AE110" s="302">
        <f>BD.PD510[[#This Row],[Av.P3 '[%']]]*BD.PD510[[#This Row],[Ppto. Orden Interna '[DOP']]]</f>
        <v>0</v>
      </c>
      <c r="AF110" s="309"/>
      <c r="AG110" s="443"/>
      <c r="AH110" s="302">
        <f>BD.PD510[[#This Row],[Av.P4 '[%']]]*BD.PD510[[#This Row],[Ppto. Orden Interna '[DOP']]]</f>
        <v>0</v>
      </c>
      <c r="AI110" s="309"/>
      <c r="AJ110" s="443"/>
      <c r="AK110" s="302">
        <f>BD.PD510[[#This Row],[Av.P5 '[%']]]*BD.PD510[[#This Row],[Ppto. Orden Interna '[DOP']]]</f>
        <v>0</v>
      </c>
      <c r="AL110" s="444">
        <f>BD.PD510[[#This Row],[Pago 5]]+BD.PD510[[#This Row],[Pago 4]]+BD.PD510[[#This Row],[Pago 3]]+BD.PD510[[#This Row],[Pago 2]]+BD.PD510[[#This Row],[Pago 1]]</f>
        <v>187556.375</v>
      </c>
      <c r="AM110" s="404"/>
    </row>
    <row r="111" spans="1:39" hidden="1" x14ac:dyDescent="0.3">
      <c r="A111" s="231">
        <v>8.06</v>
      </c>
      <c r="B111" s="288"/>
      <c r="C111" s="289" t="e">
        <f>VLOOKUP(BD.PD510[[#This Row],[Pos]],[16]!PPto[#Data],3,FALSE)</f>
        <v>#REF!</v>
      </c>
      <c r="D111" s="290" t="s">
        <v>1131</v>
      </c>
      <c r="E111" s="291" t="str">
        <f>IF(BD.PD510[[#This Row],[.]]="*",VLOOKUP(BD.PD510[[#This Row],[Pos]],[16]Presupuesto!A:H,7,FALSE),"")</f>
        <v/>
      </c>
      <c r="F111" s="292" t="s">
        <v>1117</v>
      </c>
      <c r="G111" s="292"/>
      <c r="H111" s="292"/>
      <c r="I111" s="437">
        <v>1</v>
      </c>
      <c r="J111" s="231" t="s">
        <v>581</v>
      </c>
      <c r="K111" s="438">
        <f>IF(BD.PD510[[#This Row],[Mon]]="DOP",1,HLOOKUP(BD.PD510[[#This Row],[Mon]],$J$1:$K$2,2,FALSE))</f>
        <v>1</v>
      </c>
      <c r="L111" s="439">
        <v>10588.98</v>
      </c>
      <c r="M111" s="302">
        <f>BD.PD510[[#This Row],[Cant.]]*BD.PD510[[#This Row],[ Tasa ]]*BD.PD510[[#This Row],[ Precio Und.]]</f>
        <v>10588.98</v>
      </c>
      <c r="N111" s="440">
        <v>0</v>
      </c>
      <c r="O111" s="302">
        <f>IF(BD.PD510[[#This Row],[Liquid. '[%']]]&lt;&gt;0,(BD.PD510[[#This Row],[Valor Neto '[DOP']]]*BD.PD510[[#This Row],[Liquid. '[%']]])+BD.PD510[[#This Row],[Valor Neto '[DOP']]],BD.PD510[[#This Row],[Valor Neto '[DOP']]])</f>
        <v>10588.98</v>
      </c>
      <c r="P111" s="302">
        <f>BD.PD510[[#This Row],[Ppto. Orden Interna '[DOP']]]/HLOOKUP("USD",$J$1:$K$2,2,FALSE)</f>
        <v>169.83127506014435</v>
      </c>
      <c r="Q111" s="425" t="s">
        <v>1118</v>
      </c>
      <c r="R111" s="425"/>
      <c r="S111" s="425"/>
      <c r="T111" s="425"/>
      <c r="U111" s="425"/>
      <c r="V111" s="292" t="s">
        <v>1118</v>
      </c>
      <c r="W111" s="441">
        <v>1</v>
      </c>
      <c r="X111" s="442">
        <v>1</v>
      </c>
      <c r="Y111" s="302">
        <f>BD.PD510[[#This Row],[Av.P1 '[%']]]*BD.PD510[[#This Row],[Ppto. Orden Interna '[DOP']]]</f>
        <v>10588.98</v>
      </c>
      <c r="Z111" s="309"/>
      <c r="AA111" s="443"/>
      <c r="AB111" s="302">
        <f>BD.PD510[[#This Row],[Av.P2 '[%']]]*BD.PD510[[#This Row],[Ppto. Orden Interna '[DOP']]]</f>
        <v>0</v>
      </c>
      <c r="AC111" s="309"/>
      <c r="AD111" s="443"/>
      <c r="AE111" s="302">
        <f>BD.PD510[[#This Row],[Av.P3 '[%']]]*BD.PD510[[#This Row],[Ppto. Orden Interna '[DOP']]]</f>
        <v>0</v>
      </c>
      <c r="AF111" s="309"/>
      <c r="AG111" s="443"/>
      <c r="AH111" s="302">
        <f>BD.PD510[[#This Row],[Av.P4 '[%']]]*BD.PD510[[#This Row],[Ppto. Orden Interna '[DOP']]]</f>
        <v>0</v>
      </c>
      <c r="AI111" s="309"/>
      <c r="AJ111" s="443"/>
      <c r="AK111" s="302">
        <f>BD.PD510[[#This Row],[Av.P5 '[%']]]*BD.PD510[[#This Row],[Ppto. Orden Interna '[DOP']]]</f>
        <v>0</v>
      </c>
      <c r="AL111" s="444">
        <f>BD.PD510[[#This Row],[Pago 5]]+BD.PD510[[#This Row],[Pago 4]]+BD.PD510[[#This Row],[Pago 3]]+BD.PD510[[#This Row],[Pago 2]]+BD.PD510[[#This Row],[Pago 1]]</f>
        <v>10588.98</v>
      </c>
      <c r="AM111" s="404"/>
    </row>
    <row r="112" spans="1:39" hidden="1" x14ac:dyDescent="0.3">
      <c r="A112" s="231">
        <v>8.06</v>
      </c>
      <c r="B112" s="288"/>
      <c r="C112" s="289" t="e">
        <f>VLOOKUP(BD.PD510[[#This Row],[Pos]],[16]!PPto[#Data],3,FALSE)</f>
        <v>#REF!</v>
      </c>
      <c r="D112" s="290" t="s">
        <v>1131</v>
      </c>
      <c r="E112" s="291" t="str">
        <f>IF(BD.PD510[[#This Row],[.]]="*",VLOOKUP(BD.PD510[[#This Row],[Pos]],[16]Presupuesto!A:H,7,FALSE),"")</f>
        <v/>
      </c>
      <c r="F112" s="292" t="s">
        <v>1119</v>
      </c>
      <c r="G112" s="292"/>
      <c r="H112" s="292"/>
      <c r="I112" s="437">
        <v>1</v>
      </c>
      <c r="J112" s="231" t="s">
        <v>581</v>
      </c>
      <c r="K112" s="438">
        <f>IF(BD.PD510[[#This Row],[Mon]]="DOP",1,HLOOKUP(BD.PD510[[#This Row],[Mon]],$J$1:$K$2,2,FALSE))</f>
        <v>1</v>
      </c>
      <c r="L112" s="439">
        <v>40500</v>
      </c>
      <c r="M112" s="302">
        <f>BD.PD510[[#This Row],[Cant.]]*BD.PD510[[#This Row],[ Tasa ]]*BD.PD510[[#This Row],[ Precio Und.]]</f>
        <v>40500</v>
      </c>
      <c r="N112" s="440">
        <v>0</v>
      </c>
      <c r="O112" s="302">
        <f>IF(BD.PD510[[#This Row],[Liquid. '[%']]]&lt;&gt;0,(BD.PD510[[#This Row],[Valor Neto '[DOP']]]*BD.PD510[[#This Row],[Liquid. '[%']]])+BD.PD510[[#This Row],[Valor Neto '[DOP']]],BD.PD510[[#This Row],[Valor Neto '[DOP']]])</f>
        <v>40500</v>
      </c>
      <c r="P112" s="302">
        <f>BD.PD510[[#This Row],[Ppto. Orden Interna '[DOP']]]/HLOOKUP("USD",$J$1:$K$2,2,FALSE)</f>
        <v>649.55894145950276</v>
      </c>
      <c r="Q112" s="425" t="s">
        <v>1120</v>
      </c>
      <c r="R112" s="425"/>
      <c r="S112" s="425"/>
      <c r="T112" s="425"/>
      <c r="U112" s="425"/>
      <c r="V112" s="292" t="s">
        <v>1120</v>
      </c>
      <c r="W112" s="441">
        <v>1</v>
      </c>
      <c r="X112" s="442">
        <v>0.6</v>
      </c>
      <c r="Y112" s="302">
        <f>BD.PD510[[#This Row],[Av.P1 '[%']]]*BD.PD510[[#This Row],[Ppto. Orden Interna '[DOP']]]</f>
        <v>24300</v>
      </c>
      <c r="Z112" s="309">
        <v>3</v>
      </c>
      <c r="AA112" s="443">
        <v>0.4</v>
      </c>
      <c r="AB112" s="302">
        <f>BD.PD510[[#This Row],[Av.P2 '[%']]]*BD.PD510[[#This Row],[Ppto. Orden Interna '[DOP']]]</f>
        <v>16200</v>
      </c>
      <c r="AC112" s="309"/>
      <c r="AD112" s="443"/>
      <c r="AE112" s="302">
        <f>BD.PD510[[#This Row],[Av.P3 '[%']]]*BD.PD510[[#This Row],[Ppto. Orden Interna '[DOP']]]</f>
        <v>0</v>
      </c>
      <c r="AF112" s="309"/>
      <c r="AG112" s="443"/>
      <c r="AH112" s="302">
        <f>BD.PD510[[#This Row],[Av.P4 '[%']]]*BD.PD510[[#This Row],[Ppto. Orden Interna '[DOP']]]</f>
        <v>0</v>
      </c>
      <c r="AI112" s="309"/>
      <c r="AJ112" s="443"/>
      <c r="AK112" s="302">
        <f>BD.PD510[[#This Row],[Av.P5 '[%']]]*BD.PD510[[#This Row],[Ppto. Orden Interna '[DOP']]]</f>
        <v>0</v>
      </c>
      <c r="AL112" s="444">
        <f>BD.PD510[[#This Row],[Pago 5]]+BD.PD510[[#This Row],[Pago 4]]+BD.PD510[[#This Row],[Pago 3]]+BD.PD510[[#This Row],[Pago 2]]+BD.PD510[[#This Row],[Pago 1]]</f>
        <v>40500</v>
      </c>
      <c r="AM112" s="404"/>
    </row>
    <row r="113" spans="1:39" hidden="1" x14ac:dyDescent="0.3">
      <c r="A113" s="231">
        <v>8.06</v>
      </c>
      <c r="B113" s="288"/>
      <c r="C113" s="289" t="e">
        <f>VLOOKUP(BD.PD510[[#This Row],[Pos]],[16]!PPto[#Data],3,FALSE)</f>
        <v>#REF!</v>
      </c>
      <c r="D113" s="290" t="s">
        <v>1131</v>
      </c>
      <c r="E113" s="291" t="str">
        <f>IF(BD.PD510[[#This Row],[.]]="*",VLOOKUP(BD.PD510[[#This Row],[Pos]],[16]Presupuesto!A:H,7,FALSE),"")</f>
        <v/>
      </c>
      <c r="F113" s="292" t="s">
        <v>1121</v>
      </c>
      <c r="G113" s="292"/>
      <c r="H113" s="292"/>
      <c r="I113" s="437">
        <v>1</v>
      </c>
      <c r="J113" s="231" t="s">
        <v>581</v>
      </c>
      <c r="K113" s="438">
        <f>IF(BD.PD510[[#This Row],[Mon]]="DOP",1,HLOOKUP(BD.PD510[[#This Row],[Mon]],$J$1:$K$2,2,FALSE))</f>
        <v>1</v>
      </c>
      <c r="L113" s="439">
        <v>63000</v>
      </c>
      <c r="M113" s="302">
        <f>BD.PD510[[#This Row],[Cant.]]*BD.PD510[[#This Row],[ Tasa ]]*BD.PD510[[#This Row],[ Precio Und.]]</f>
        <v>63000</v>
      </c>
      <c r="N113" s="440">
        <v>0</v>
      </c>
      <c r="O113" s="302">
        <f>IF(BD.PD510[[#This Row],[Liquid. '[%']]]&lt;&gt;0,(BD.PD510[[#This Row],[Valor Neto '[DOP']]]*BD.PD510[[#This Row],[Liquid. '[%']]])+BD.PD510[[#This Row],[Valor Neto '[DOP']]],BD.PD510[[#This Row],[Valor Neto '[DOP']]])</f>
        <v>63000</v>
      </c>
      <c r="P113" s="302">
        <f>BD.PD510[[#This Row],[Ppto. Orden Interna '[DOP']]]/HLOOKUP("USD",$J$1:$K$2,2,FALSE)</f>
        <v>1010.4250200481155</v>
      </c>
      <c r="Q113" s="425" t="s">
        <v>1120</v>
      </c>
      <c r="R113" s="425"/>
      <c r="S113" s="425"/>
      <c r="T113" s="425"/>
      <c r="U113" s="425"/>
      <c r="V113" s="292" t="s">
        <v>1120</v>
      </c>
      <c r="W113" s="441">
        <v>1</v>
      </c>
      <c r="X113" s="442">
        <v>0.6</v>
      </c>
      <c r="Y113" s="302">
        <f>BD.PD510[[#This Row],[Av.P1 '[%']]]*BD.PD510[[#This Row],[Ppto. Orden Interna '[DOP']]]</f>
        <v>37800</v>
      </c>
      <c r="Z113" s="309">
        <v>3</v>
      </c>
      <c r="AA113" s="443">
        <v>0.4</v>
      </c>
      <c r="AB113" s="302">
        <f>BD.PD510[[#This Row],[Av.P2 '[%']]]*BD.PD510[[#This Row],[Ppto. Orden Interna '[DOP']]]</f>
        <v>25200</v>
      </c>
      <c r="AC113" s="309"/>
      <c r="AD113" s="443"/>
      <c r="AE113" s="302">
        <f>BD.PD510[[#This Row],[Av.P3 '[%']]]*BD.PD510[[#This Row],[Ppto. Orden Interna '[DOP']]]</f>
        <v>0</v>
      </c>
      <c r="AF113" s="309"/>
      <c r="AG113" s="443"/>
      <c r="AH113" s="302">
        <f>BD.PD510[[#This Row],[Av.P4 '[%']]]*BD.PD510[[#This Row],[Ppto. Orden Interna '[DOP']]]</f>
        <v>0</v>
      </c>
      <c r="AI113" s="309"/>
      <c r="AJ113" s="443"/>
      <c r="AK113" s="302">
        <f>BD.PD510[[#This Row],[Av.P5 '[%']]]*BD.PD510[[#This Row],[Ppto. Orden Interna '[DOP']]]</f>
        <v>0</v>
      </c>
      <c r="AL113" s="444">
        <f>BD.PD510[[#This Row],[Pago 5]]+BD.PD510[[#This Row],[Pago 4]]+BD.PD510[[#This Row],[Pago 3]]+BD.PD510[[#This Row],[Pago 2]]+BD.PD510[[#This Row],[Pago 1]]</f>
        <v>63000</v>
      </c>
      <c r="AM113" s="404"/>
    </row>
    <row r="114" spans="1:39" hidden="1" x14ac:dyDescent="0.3">
      <c r="A114" s="231">
        <v>8.06</v>
      </c>
      <c r="B114" s="288"/>
      <c r="C114" s="289" t="e">
        <f>VLOOKUP(BD.PD510[[#This Row],[Pos]],[16]!PPto[#Data],3,FALSE)</f>
        <v>#REF!</v>
      </c>
      <c r="D114" s="290" t="s">
        <v>1131</v>
      </c>
      <c r="E114" s="291" t="str">
        <f>IF(BD.PD510[[#This Row],[.]]="*",VLOOKUP(BD.PD510[[#This Row],[Pos]],[16]Presupuesto!A:H,7,FALSE),"")</f>
        <v/>
      </c>
      <c r="F114" s="292" t="s">
        <v>1122</v>
      </c>
      <c r="G114" s="292"/>
      <c r="H114" s="292"/>
      <c r="I114" s="437">
        <v>1</v>
      </c>
      <c r="J114" s="231" t="s">
        <v>526</v>
      </c>
      <c r="K114" s="438">
        <f>IF(BD.PD510[[#This Row],[Mon]]="DOP",1,HLOOKUP(BD.PD510[[#This Row],[Mon]],$J$1:$K$2,2,FALSE))</f>
        <v>73.3</v>
      </c>
      <c r="L114" s="439">
        <v>30060</v>
      </c>
      <c r="M114" s="302">
        <f>BD.PD510[[#This Row],[Cant.]]*BD.PD510[[#This Row],[ Tasa ]]*BD.PD510[[#This Row],[ Precio Und.]]</f>
        <v>2203398</v>
      </c>
      <c r="N114" s="440">
        <v>0.15</v>
      </c>
      <c r="O114" s="302">
        <f>IF(BD.PD510[[#This Row],[Liquid. '[%']]]&lt;&gt;0,(BD.PD510[[#This Row],[Valor Neto '[DOP']]]*BD.PD510[[#This Row],[Liquid. '[%']]])+BD.PD510[[#This Row],[Valor Neto '[DOP']]],BD.PD510[[#This Row],[Valor Neto '[DOP']]])</f>
        <v>2533907.7000000002</v>
      </c>
      <c r="P114" s="302">
        <f>BD.PD510[[#This Row],[Ppto. Orden Interna '[DOP']]]/HLOOKUP("USD",$J$1:$K$2,2,FALSE)</f>
        <v>40640.059342421817</v>
      </c>
      <c r="Q114" s="425" t="s">
        <v>1090</v>
      </c>
      <c r="R114" s="425"/>
      <c r="S114" s="425"/>
      <c r="T114" s="425"/>
      <c r="U114" s="425"/>
      <c r="V114" s="292" t="s">
        <v>1090</v>
      </c>
      <c r="W114" s="441">
        <v>1</v>
      </c>
      <c r="X114" s="442">
        <v>1</v>
      </c>
      <c r="Y114" s="302">
        <f>BD.PD510[[#This Row],[Av.P1 '[%']]]*BD.PD510[[#This Row],[Ppto. Orden Interna '[DOP']]]</f>
        <v>2533907.7000000002</v>
      </c>
      <c r="Z114" s="309"/>
      <c r="AA114" s="443"/>
      <c r="AB114" s="302">
        <f>BD.PD510[[#This Row],[Av.P2 '[%']]]*BD.PD510[[#This Row],[Ppto. Orden Interna '[DOP']]]</f>
        <v>0</v>
      </c>
      <c r="AC114" s="309"/>
      <c r="AD114" s="443"/>
      <c r="AE114" s="302">
        <f>BD.PD510[[#This Row],[Av.P3 '[%']]]*BD.PD510[[#This Row],[Ppto. Orden Interna '[DOP']]]</f>
        <v>0</v>
      </c>
      <c r="AF114" s="309"/>
      <c r="AG114" s="443"/>
      <c r="AH114" s="302">
        <f>BD.PD510[[#This Row],[Av.P4 '[%']]]*BD.PD510[[#This Row],[Ppto. Orden Interna '[DOP']]]</f>
        <v>0</v>
      </c>
      <c r="AI114" s="309"/>
      <c r="AJ114" s="443"/>
      <c r="AK114" s="302">
        <f>BD.PD510[[#This Row],[Av.P5 '[%']]]*BD.PD510[[#This Row],[Ppto. Orden Interna '[DOP']]]</f>
        <v>0</v>
      </c>
      <c r="AL114" s="444">
        <f>BD.PD510[[#This Row],[Pago 5]]+BD.PD510[[#This Row],[Pago 4]]+BD.PD510[[#This Row],[Pago 3]]+BD.PD510[[#This Row],[Pago 2]]+BD.PD510[[#This Row],[Pago 1]]</f>
        <v>2533907.7000000002</v>
      </c>
      <c r="AM114" s="404"/>
    </row>
    <row r="115" spans="1:39" hidden="1" x14ac:dyDescent="0.3">
      <c r="A115" s="231">
        <v>8.06</v>
      </c>
      <c r="B115" s="288"/>
      <c r="C115" s="289" t="e">
        <f>VLOOKUP(BD.PD510[[#This Row],[Pos]],[16]!PPto[#Data],3,FALSE)</f>
        <v>#REF!</v>
      </c>
      <c r="D115" s="290" t="s">
        <v>1131</v>
      </c>
      <c r="E115" s="291" t="str">
        <f>IF(BD.PD510[[#This Row],[.]]="*",VLOOKUP(BD.PD510[[#This Row],[Pos]],[16]Presupuesto!A:H,7,FALSE),"")</f>
        <v/>
      </c>
      <c r="F115" s="292" t="s">
        <v>1123</v>
      </c>
      <c r="G115" s="292"/>
      <c r="H115" s="292"/>
      <c r="I115" s="437">
        <v>1</v>
      </c>
      <c r="J115" s="231" t="s">
        <v>526</v>
      </c>
      <c r="K115" s="438">
        <f>IF(BD.PD510[[#This Row],[Mon]]="DOP",1,HLOOKUP(BD.PD510[[#This Row],[Mon]],$J$1:$K$2,2,FALSE))</f>
        <v>73.3</v>
      </c>
      <c r="L115" s="439">
        <v>9505</v>
      </c>
      <c r="M115" s="302">
        <f>BD.PD510[[#This Row],[Cant.]]*BD.PD510[[#This Row],[ Tasa ]]*BD.PD510[[#This Row],[ Precio Und.]]</f>
        <v>696716.5</v>
      </c>
      <c r="N115" s="440">
        <v>0.15</v>
      </c>
      <c r="O115" s="302">
        <f>IF(BD.PD510[[#This Row],[Liquid. '[%']]]&lt;&gt;0,(BD.PD510[[#This Row],[Valor Neto '[DOP']]]*BD.PD510[[#This Row],[Liquid. '[%']]])+BD.PD510[[#This Row],[Valor Neto '[DOP']]],BD.PD510[[#This Row],[Valor Neto '[DOP']]])</f>
        <v>801223.97499999998</v>
      </c>
      <c r="P115" s="302">
        <f>BD.PD510[[#This Row],[Ppto. Orden Interna '[DOP']]]/HLOOKUP("USD",$J$1:$K$2,2,FALSE)</f>
        <v>12850.424619085805</v>
      </c>
      <c r="Q115" s="425" t="s">
        <v>1090</v>
      </c>
      <c r="R115" s="425"/>
      <c r="S115" s="425"/>
      <c r="T115" s="425"/>
      <c r="U115" s="425"/>
      <c r="V115" s="292" t="s">
        <v>1090</v>
      </c>
      <c r="W115" s="441">
        <v>1</v>
      </c>
      <c r="X115" s="442">
        <v>1</v>
      </c>
      <c r="Y115" s="302">
        <f>BD.PD510[[#This Row],[Av.P1 '[%']]]*BD.PD510[[#This Row],[Ppto. Orden Interna '[DOP']]]</f>
        <v>801223.97499999998</v>
      </c>
      <c r="Z115" s="309"/>
      <c r="AA115" s="443"/>
      <c r="AB115" s="302">
        <f>BD.PD510[[#This Row],[Av.P2 '[%']]]*BD.PD510[[#This Row],[Ppto. Orden Interna '[DOP']]]</f>
        <v>0</v>
      </c>
      <c r="AC115" s="309"/>
      <c r="AD115" s="443"/>
      <c r="AE115" s="302">
        <f>BD.PD510[[#This Row],[Av.P3 '[%']]]*BD.PD510[[#This Row],[Ppto. Orden Interna '[DOP']]]</f>
        <v>0</v>
      </c>
      <c r="AF115" s="309"/>
      <c r="AG115" s="443"/>
      <c r="AH115" s="302">
        <f>BD.PD510[[#This Row],[Av.P4 '[%']]]*BD.PD510[[#This Row],[Ppto. Orden Interna '[DOP']]]</f>
        <v>0</v>
      </c>
      <c r="AI115" s="309"/>
      <c r="AJ115" s="443"/>
      <c r="AK115" s="302">
        <f>BD.PD510[[#This Row],[Av.P5 '[%']]]*BD.PD510[[#This Row],[Ppto. Orden Interna '[DOP']]]</f>
        <v>0</v>
      </c>
      <c r="AL115" s="444">
        <f>BD.PD510[[#This Row],[Pago 5]]+BD.PD510[[#This Row],[Pago 4]]+BD.PD510[[#This Row],[Pago 3]]+BD.PD510[[#This Row],[Pago 2]]+BD.PD510[[#This Row],[Pago 1]]</f>
        <v>801223.97499999998</v>
      </c>
      <c r="AM115" s="404"/>
    </row>
    <row r="116" spans="1:39" hidden="1" x14ac:dyDescent="0.3">
      <c r="A116" s="231">
        <v>8.06</v>
      </c>
      <c r="B116" s="288"/>
      <c r="C116" s="289" t="e">
        <f>VLOOKUP(BD.PD510[[#This Row],[Pos]],[16]!PPto[#Data],3,FALSE)</f>
        <v>#REF!</v>
      </c>
      <c r="D116" s="290" t="s">
        <v>1131</v>
      </c>
      <c r="E116" s="291" t="str">
        <f>IF(BD.PD510[[#This Row],[.]]="*",VLOOKUP(BD.PD510[[#This Row],[Pos]],[16]Presupuesto!A:H,7,FALSE),"")</f>
        <v/>
      </c>
      <c r="F116" s="292" t="s">
        <v>1124</v>
      </c>
      <c r="G116" s="292"/>
      <c r="H116" s="292"/>
      <c r="I116" s="437">
        <v>1</v>
      </c>
      <c r="J116" s="231" t="s">
        <v>526</v>
      </c>
      <c r="K116" s="438">
        <f>IF(BD.PD510[[#This Row],[Mon]]="DOP",1,HLOOKUP(BD.PD510[[#This Row],[Mon]],$J$1:$K$2,2,FALSE))</f>
        <v>73.3</v>
      </c>
      <c r="L116" s="439">
        <v>4605</v>
      </c>
      <c r="M116" s="302">
        <f>BD.PD510[[#This Row],[Cant.]]*BD.PD510[[#This Row],[ Tasa ]]*BD.PD510[[#This Row],[ Precio Und.]]</f>
        <v>337546.5</v>
      </c>
      <c r="N116" s="440">
        <v>0.15</v>
      </c>
      <c r="O116" s="302">
        <f>IF(BD.PD510[[#This Row],[Liquid. '[%']]]&lt;&gt;0,(BD.PD510[[#This Row],[Valor Neto '[DOP']]]*BD.PD510[[#This Row],[Liquid. '[%']]])+BD.PD510[[#This Row],[Valor Neto '[DOP']]],BD.PD510[[#This Row],[Valor Neto '[DOP']]])</f>
        <v>388178.47499999998</v>
      </c>
      <c r="P116" s="302">
        <f>BD.PD510[[#This Row],[Ppto. Orden Interna '[DOP']]]/HLOOKUP("USD",$J$1:$K$2,2,FALSE)</f>
        <v>6225.7975140336803</v>
      </c>
      <c r="Q116" s="425" t="s">
        <v>1090</v>
      </c>
      <c r="R116" s="425"/>
      <c r="S116" s="425"/>
      <c r="T116" s="425"/>
      <c r="U116" s="425"/>
      <c r="V116" s="292" t="s">
        <v>1090</v>
      </c>
      <c r="W116" s="441">
        <v>1</v>
      </c>
      <c r="X116" s="442">
        <v>1</v>
      </c>
      <c r="Y116" s="302">
        <f>BD.PD510[[#This Row],[Av.P1 '[%']]]*BD.PD510[[#This Row],[Ppto. Orden Interna '[DOP']]]</f>
        <v>388178.47499999998</v>
      </c>
      <c r="Z116" s="309"/>
      <c r="AA116" s="443"/>
      <c r="AB116" s="302">
        <f>BD.PD510[[#This Row],[Av.P2 '[%']]]*BD.PD510[[#This Row],[Ppto. Orden Interna '[DOP']]]</f>
        <v>0</v>
      </c>
      <c r="AC116" s="309"/>
      <c r="AD116" s="443"/>
      <c r="AE116" s="302">
        <f>BD.PD510[[#This Row],[Av.P3 '[%']]]*BD.PD510[[#This Row],[Ppto. Orden Interna '[DOP']]]</f>
        <v>0</v>
      </c>
      <c r="AF116" s="309"/>
      <c r="AG116" s="443"/>
      <c r="AH116" s="302">
        <f>BD.PD510[[#This Row],[Av.P4 '[%']]]*BD.PD510[[#This Row],[Ppto. Orden Interna '[DOP']]]</f>
        <v>0</v>
      </c>
      <c r="AI116" s="309"/>
      <c r="AJ116" s="443"/>
      <c r="AK116" s="302">
        <f>BD.PD510[[#This Row],[Av.P5 '[%']]]*BD.PD510[[#This Row],[Ppto. Orden Interna '[DOP']]]</f>
        <v>0</v>
      </c>
      <c r="AL116" s="444">
        <f>BD.PD510[[#This Row],[Pago 5]]+BD.PD510[[#This Row],[Pago 4]]+BD.PD510[[#This Row],[Pago 3]]+BD.PD510[[#This Row],[Pago 2]]+BD.PD510[[#This Row],[Pago 1]]</f>
        <v>388178.47499999998</v>
      </c>
      <c r="AM116" s="404"/>
    </row>
    <row r="117" spans="1:39" hidden="1" x14ac:dyDescent="0.3">
      <c r="A117" s="231">
        <v>8.06</v>
      </c>
      <c r="B117" s="288"/>
      <c r="C117" s="289" t="e">
        <f>VLOOKUP(BD.PD510[[#This Row],[Pos]],[16]!PPto[#Data],3,FALSE)</f>
        <v>#REF!</v>
      </c>
      <c r="D117" s="290" t="s">
        <v>1131</v>
      </c>
      <c r="E117" s="291" t="str">
        <f>IF(BD.PD510[[#This Row],[.]]="*",VLOOKUP(BD.PD510[[#This Row],[Pos]],[16]Presupuesto!A:H,7,FALSE),"")</f>
        <v/>
      </c>
      <c r="F117" s="292" t="s">
        <v>1125</v>
      </c>
      <c r="G117" s="292"/>
      <c r="H117" s="292"/>
      <c r="I117" s="437">
        <v>1</v>
      </c>
      <c r="J117" s="231" t="s">
        <v>526</v>
      </c>
      <c r="K117" s="438">
        <f>IF(BD.PD510[[#This Row],[Mon]]="DOP",1,HLOOKUP(BD.PD510[[#This Row],[Mon]],$J$1:$K$2,2,FALSE))</f>
        <v>73.3</v>
      </c>
      <c r="L117" s="439">
        <v>4930</v>
      </c>
      <c r="M117" s="302">
        <f>BD.PD510[[#This Row],[Cant.]]*BD.PD510[[#This Row],[ Tasa ]]*BD.PD510[[#This Row],[ Precio Und.]]</f>
        <v>361369</v>
      </c>
      <c r="N117" s="440">
        <v>0.15</v>
      </c>
      <c r="O117" s="302">
        <f>IF(BD.PD510[[#This Row],[Liquid. '[%']]]&lt;&gt;0,(BD.PD510[[#This Row],[Valor Neto '[DOP']]]*BD.PD510[[#This Row],[Liquid. '[%']]])+BD.PD510[[#This Row],[Valor Neto '[DOP']]],BD.PD510[[#This Row],[Valor Neto '[DOP']]])</f>
        <v>415574.35</v>
      </c>
      <c r="P117" s="302">
        <f>BD.PD510[[#This Row],[Ppto. Orden Interna '[DOP']]]/HLOOKUP("USD",$J$1:$K$2,2,FALSE)</f>
        <v>6665.186046511627</v>
      </c>
      <c r="Q117" s="425" t="s">
        <v>1090</v>
      </c>
      <c r="R117" s="425"/>
      <c r="S117" s="425"/>
      <c r="T117" s="425"/>
      <c r="U117" s="425"/>
      <c r="V117" s="292" t="s">
        <v>1090</v>
      </c>
      <c r="W117" s="441">
        <v>1</v>
      </c>
      <c r="X117" s="442">
        <v>1</v>
      </c>
      <c r="Y117" s="302">
        <f>BD.PD510[[#This Row],[Av.P1 '[%']]]*BD.PD510[[#This Row],[Ppto. Orden Interna '[DOP']]]</f>
        <v>415574.35</v>
      </c>
      <c r="Z117" s="309"/>
      <c r="AA117" s="443"/>
      <c r="AB117" s="302">
        <f>BD.PD510[[#This Row],[Av.P2 '[%']]]*BD.PD510[[#This Row],[Ppto. Orden Interna '[DOP']]]</f>
        <v>0</v>
      </c>
      <c r="AC117" s="309"/>
      <c r="AD117" s="443"/>
      <c r="AE117" s="302">
        <f>BD.PD510[[#This Row],[Av.P3 '[%']]]*BD.PD510[[#This Row],[Ppto. Orden Interna '[DOP']]]</f>
        <v>0</v>
      </c>
      <c r="AF117" s="309"/>
      <c r="AG117" s="443"/>
      <c r="AH117" s="302">
        <f>BD.PD510[[#This Row],[Av.P4 '[%']]]*BD.PD510[[#This Row],[Ppto. Orden Interna '[DOP']]]</f>
        <v>0</v>
      </c>
      <c r="AI117" s="309"/>
      <c r="AJ117" s="443"/>
      <c r="AK117" s="302">
        <f>BD.PD510[[#This Row],[Av.P5 '[%']]]*BD.PD510[[#This Row],[Ppto. Orden Interna '[DOP']]]</f>
        <v>0</v>
      </c>
      <c r="AL117" s="444">
        <f>BD.PD510[[#This Row],[Pago 5]]+BD.PD510[[#This Row],[Pago 4]]+BD.PD510[[#This Row],[Pago 3]]+BD.PD510[[#This Row],[Pago 2]]+BD.PD510[[#This Row],[Pago 1]]</f>
        <v>415574.35</v>
      </c>
      <c r="AM117" s="404"/>
    </row>
    <row r="118" spans="1:39" hidden="1" x14ac:dyDescent="0.3">
      <c r="A118" s="231">
        <v>8.06</v>
      </c>
      <c r="B118" s="288"/>
      <c r="C118" s="289" t="e">
        <f>VLOOKUP(BD.PD510[[#This Row],[Pos]],[16]!PPto[#Data],3,FALSE)</f>
        <v>#REF!</v>
      </c>
      <c r="D118" s="290" t="s">
        <v>1131</v>
      </c>
      <c r="E118" s="291" t="str">
        <f>IF(BD.PD510[[#This Row],[.]]="*",VLOOKUP(BD.PD510[[#This Row],[Pos]],[16]Presupuesto!A:H,7,FALSE),"")</f>
        <v/>
      </c>
      <c r="F118" s="292" t="s">
        <v>1126</v>
      </c>
      <c r="G118" s="292"/>
      <c r="H118" s="292"/>
      <c r="I118" s="437">
        <v>1</v>
      </c>
      <c r="J118" s="231" t="s">
        <v>526</v>
      </c>
      <c r="K118" s="438">
        <f>IF(BD.PD510[[#This Row],[Mon]]="DOP",1,HLOOKUP(BD.PD510[[#This Row],[Mon]],$J$1:$K$2,2,FALSE))</f>
        <v>73.3</v>
      </c>
      <c r="L118" s="439">
        <v>1500</v>
      </c>
      <c r="M118" s="302">
        <f>BD.PD510[[#This Row],[Cant.]]*BD.PD510[[#This Row],[ Tasa ]]*BD.PD510[[#This Row],[ Precio Und.]]</f>
        <v>109950</v>
      </c>
      <c r="N118" s="440">
        <v>0.15</v>
      </c>
      <c r="O118" s="302">
        <f>IF(BD.PD510[[#This Row],[Liquid. '[%']]]&lt;&gt;0,(BD.PD510[[#This Row],[Valor Neto '[DOP']]]*BD.PD510[[#This Row],[Liquid. '[%']]])+BD.PD510[[#This Row],[Valor Neto '[DOP']]],BD.PD510[[#This Row],[Valor Neto '[DOP']]])</f>
        <v>126442.5</v>
      </c>
      <c r="P118" s="302">
        <f>BD.PD510[[#This Row],[Ppto. Orden Interna '[DOP']]]/HLOOKUP("USD",$J$1:$K$2,2,FALSE)</f>
        <v>2027.9470729751404</v>
      </c>
      <c r="Q118" s="425" t="s">
        <v>1090</v>
      </c>
      <c r="R118" s="425"/>
      <c r="S118" s="425"/>
      <c r="T118" s="425"/>
      <c r="U118" s="425"/>
      <c r="V118" s="292" t="s">
        <v>1090</v>
      </c>
      <c r="W118" s="441">
        <v>1</v>
      </c>
      <c r="X118" s="442">
        <v>1</v>
      </c>
      <c r="Y118" s="302">
        <f>BD.PD510[[#This Row],[Av.P1 '[%']]]*BD.PD510[[#This Row],[Ppto. Orden Interna '[DOP']]]</f>
        <v>126442.5</v>
      </c>
      <c r="Z118" s="309"/>
      <c r="AA118" s="443"/>
      <c r="AB118" s="302">
        <f>BD.PD510[[#This Row],[Av.P2 '[%']]]*BD.PD510[[#This Row],[Ppto. Orden Interna '[DOP']]]</f>
        <v>0</v>
      </c>
      <c r="AC118" s="309"/>
      <c r="AD118" s="443"/>
      <c r="AE118" s="302">
        <f>BD.PD510[[#This Row],[Av.P3 '[%']]]*BD.PD510[[#This Row],[Ppto. Orden Interna '[DOP']]]</f>
        <v>0</v>
      </c>
      <c r="AF118" s="309"/>
      <c r="AG118" s="443"/>
      <c r="AH118" s="302">
        <f>BD.PD510[[#This Row],[Av.P4 '[%']]]*BD.PD510[[#This Row],[Ppto. Orden Interna '[DOP']]]</f>
        <v>0</v>
      </c>
      <c r="AI118" s="309"/>
      <c r="AJ118" s="443"/>
      <c r="AK118" s="302">
        <f>BD.PD510[[#This Row],[Av.P5 '[%']]]*BD.PD510[[#This Row],[Ppto. Orden Interna '[DOP']]]</f>
        <v>0</v>
      </c>
      <c r="AL118" s="444">
        <f>BD.PD510[[#This Row],[Pago 5]]+BD.PD510[[#This Row],[Pago 4]]+BD.PD510[[#This Row],[Pago 3]]+BD.PD510[[#This Row],[Pago 2]]+BD.PD510[[#This Row],[Pago 1]]</f>
        <v>126442.5</v>
      </c>
      <c r="AM118" s="404"/>
    </row>
    <row r="119" spans="1:39" hidden="1" x14ac:dyDescent="0.3">
      <c r="A119" s="231">
        <v>8.06</v>
      </c>
      <c r="B119" s="288"/>
      <c r="C119" s="289" t="e">
        <f>VLOOKUP(BD.PD510[[#This Row],[Pos]],[16]!PPto[#Data],3,FALSE)</f>
        <v>#REF!</v>
      </c>
      <c r="D119" s="290" t="s">
        <v>1131</v>
      </c>
      <c r="E119" s="291" t="str">
        <f>IF(BD.PD510[[#This Row],[.]]="*",VLOOKUP(BD.PD510[[#This Row],[Pos]],[16]Presupuesto!A:H,7,FALSE),"")</f>
        <v/>
      </c>
      <c r="F119" s="292" t="s">
        <v>1127</v>
      </c>
      <c r="G119" s="292"/>
      <c r="H119" s="292"/>
      <c r="I119" s="437">
        <v>1</v>
      </c>
      <c r="J119" s="231" t="s">
        <v>581</v>
      </c>
      <c r="K119" s="438">
        <f>IF(BD.PD510[[#This Row],[Mon]]="DOP",1,HLOOKUP(BD.PD510[[#This Row],[Mon]],$J$1:$K$2,2,FALSE))</f>
        <v>1</v>
      </c>
      <c r="L119" s="439">
        <v>50000</v>
      </c>
      <c r="M119" s="302">
        <f>BD.PD510[[#This Row],[Cant.]]*BD.PD510[[#This Row],[ Tasa ]]*BD.PD510[[#This Row],[ Precio Und.]]</f>
        <v>50000</v>
      </c>
      <c r="N119" s="440">
        <v>0</v>
      </c>
      <c r="O119" s="302">
        <f>IF(BD.PD510[[#This Row],[Liquid. '[%']]]&lt;&gt;0,(BD.PD510[[#This Row],[Valor Neto '[DOP']]]*BD.PD510[[#This Row],[Liquid. '[%']]])+BD.PD510[[#This Row],[Valor Neto '[DOP']]],BD.PD510[[#This Row],[Valor Neto '[DOP']]])</f>
        <v>50000</v>
      </c>
      <c r="P119" s="302">
        <f>BD.PD510[[#This Row],[Ppto. Orden Interna '[DOP']]]/HLOOKUP("USD",$J$1:$K$2,2,FALSE)</f>
        <v>801.92461908580594</v>
      </c>
      <c r="Q119" s="425" t="s">
        <v>1102</v>
      </c>
      <c r="R119" s="425"/>
      <c r="S119" s="425"/>
      <c r="T119" s="425"/>
      <c r="U119" s="425"/>
      <c r="V119" s="292" t="s">
        <v>1102</v>
      </c>
      <c r="W119" s="441">
        <v>1</v>
      </c>
      <c r="X119" s="442">
        <v>0.6</v>
      </c>
      <c r="Y119" s="302">
        <f>BD.PD510[[#This Row],[Av.P1 '[%']]]*BD.PD510[[#This Row],[Ppto. Orden Interna '[DOP']]]</f>
        <v>30000</v>
      </c>
      <c r="Z119" s="309">
        <v>3</v>
      </c>
      <c r="AA119" s="443">
        <v>0.4</v>
      </c>
      <c r="AB119" s="302">
        <f>BD.PD510[[#This Row],[Av.P2 '[%']]]*BD.PD510[[#This Row],[Ppto. Orden Interna '[DOP']]]</f>
        <v>20000</v>
      </c>
      <c r="AC119" s="309"/>
      <c r="AD119" s="443"/>
      <c r="AE119" s="302">
        <f>BD.PD510[[#This Row],[Av.P3 '[%']]]*BD.PD510[[#This Row],[Ppto. Orden Interna '[DOP']]]</f>
        <v>0</v>
      </c>
      <c r="AF119" s="309"/>
      <c r="AG119" s="443"/>
      <c r="AH119" s="302">
        <f>BD.PD510[[#This Row],[Av.P4 '[%']]]*BD.PD510[[#This Row],[Ppto. Orden Interna '[DOP']]]</f>
        <v>0</v>
      </c>
      <c r="AI119" s="309"/>
      <c r="AJ119" s="443"/>
      <c r="AK119" s="302">
        <f>BD.PD510[[#This Row],[Av.P5 '[%']]]*BD.PD510[[#This Row],[Ppto. Orden Interna '[DOP']]]</f>
        <v>0</v>
      </c>
      <c r="AL119" s="444">
        <f>BD.PD510[[#This Row],[Pago 5]]+BD.PD510[[#This Row],[Pago 4]]+BD.PD510[[#This Row],[Pago 3]]+BD.PD510[[#This Row],[Pago 2]]+BD.PD510[[#This Row],[Pago 1]]</f>
        <v>50000</v>
      </c>
      <c r="AM119" s="404"/>
    </row>
    <row r="120" spans="1:39" hidden="1" x14ac:dyDescent="0.3">
      <c r="A120" s="231">
        <v>8.06</v>
      </c>
      <c r="B120" s="288"/>
      <c r="C120" s="289" t="e">
        <f>VLOOKUP(BD.PD510[[#This Row],[Pos]],[16]!PPto[#Data],3,FALSE)</f>
        <v>#REF!</v>
      </c>
      <c r="D120" s="290" t="s">
        <v>1131</v>
      </c>
      <c r="E120" s="291" t="str">
        <f>IF(BD.PD510[[#This Row],[.]]="*",VLOOKUP(BD.PD510[[#This Row],[Pos]],[16]Presupuesto!A:H,7,FALSE),"")</f>
        <v/>
      </c>
      <c r="F120" s="292" t="s">
        <v>1128</v>
      </c>
      <c r="G120" s="292"/>
      <c r="H120" s="292"/>
      <c r="I120" s="437">
        <v>1</v>
      </c>
      <c r="J120" s="231" t="s">
        <v>581</v>
      </c>
      <c r="K120" s="438">
        <f>IF(BD.PD510[[#This Row],[Mon]]="DOP",1,HLOOKUP(BD.PD510[[#This Row],[Mon]],$J$1:$K$2,2,FALSE))</f>
        <v>1</v>
      </c>
      <c r="L120" s="439">
        <v>80000</v>
      </c>
      <c r="M120" s="302">
        <f>BD.PD510[[#This Row],[Cant.]]*BD.PD510[[#This Row],[ Tasa ]]*BD.PD510[[#This Row],[ Precio Und.]]</f>
        <v>80000</v>
      </c>
      <c r="N120" s="440">
        <v>0</v>
      </c>
      <c r="O120" s="302">
        <f>IF(BD.PD510[[#This Row],[Liquid. '[%']]]&lt;&gt;0,(BD.PD510[[#This Row],[Valor Neto '[DOP']]]*BD.PD510[[#This Row],[Liquid. '[%']]])+BD.PD510[[#This Row],[Valor Neto '[DOP']]],BD.PD510[[#This Row],[Valor Neto '[DOP']]])</f>
        <v>80000</v>
      </c>
      <c r="P120" s="302">
        <f>BD.PD510[[#This Row],[Ppto. Orden Interna '[DOP']]]/HLOOKUP("USD",$J$1:$K$2,2,FALSE)</f>
        <v>1283.0793905372896</v>
      </c>
      <c r="Q120" s="425" t="s">
        <v>1102</v>
      </c>
      <c r="R120" s="425"/>
      <c r="S120" s="425"/>
      <c r="T120" s="425"/>
      <c r="U120" s="425"/>
      <c r="V120" s="292" t="s">
        <v>1102</v>
      </c>
      <c r="W120" s="441">
        <v>1</v>
      </c>
      <c r="X120" s="442">
        <v>0.6</v>
      </c>
      <c r="Y120" s="302">
        <f>BD.PD510[[#This Row],[Av.P1 '[%']]]*BD.PD510[[#This Row],[Ppto. Orden Interna '[DOP']]]</f>
        <v>48000</v>
      </c>
      <c r="Z120" s="309">
        <v>3</v>
      </c>
      <c r="AA120" s="443">
        <v>0.4</v>
      </c>
      <c r="AB120" s="302">
        <f>BD.PD510[[#This Row],[Av.P2 '[%']]]*BD.PD510[[#This Row],[Ppto. Orden Interna '[DOP']]]</f>
        <v>32000</v>
      </c>
      <c r="AC120" s="309"/>
      <c r="AD120" s="443"/>
      <c r="AE120" s="302">
        <f>BD.PD510[[#This Row],[Av.P3 '[%']]]*BD.PD510[[#This Row],[Ppto. Orden Interna '[DOP']]]</f>
        <v>0</v>
      </c>
      <c r="AF120" s="309"/>
      <c r="AG120" s="443"/>
      <c r="AH120" s="302">
        <f>BD.PD510[[#This Row],[Av.P4 '[%']]]*BD.PD510[[#This Row],[Ppto. Orden Interna '[DOP']]]</f>
        <v>0</v>
      </c>
      <c r="AI120" s="309"/>
      <c r="AJ120" s="443"/>
      <c r="AK120" s="302">
        <f>BD.PD510[[#This Row],[Av.P5 '[%']]]*BD.PD510[[#This Row],[Ppto. Orden Interna '[DOP']]]</f>
        <v>0</v>
      </c>
      <c r="AL120" s="444">
        <f>BD.PD510[[#This Row],[Pago 5]]+BD.PD510[[#This Row],[Pago 4]]+BD.PD510[[#This Row],[Pago 3]]+BD.PD510[[#This Row],[Pago 2]]+BD.PD510[[#This Row],[Pago 1]]</f>
        <v>80000</v>
      </c>
      <c r="AM120" s="404"/>
    </row>
    <row r="121" spans="1:39" x14ac:dyDescent="0.3">
      <c r="A121" s="310" t="s">
        <v>442</v>
      </c>
      <c r="B121" s="311"/>
      <c r="C121" s="311"/>
      <c r="D121" s="312"/>
      <c r="E121" s="313">
        <f>SUBTOTAL(109,BD.PD510[Plan])</f>
        <v>0</v>
      </c>
      <c r="F121" s="310"/>
      <c r="G121" s="310"/>
      <c r="H121" s="310"/>
      <c r="I121" s="310"/>
      <c r="J121" s="310"/>
      <c r="K121" s="311"/>
      <c r="L121" s="309"/>
      <c r="M121" s="314">
        <f>SUBTOTAL(109,BD.PD510[Valor Neto '[DOP']])</f>
        <v>7515555.29</v>
      </c>
      <c r="N121" s="315"/>
      <c r="O121" s="314">
        <f>SUBTOTAL(109,BD.PD510[Ppto. Orden Interna '[DOP']])</f>
        <v>8241577.9399999995</v>
      </c>
      <c r="P121" s="316">
        <f>SUBTOTAL(109,BD.PD510[Ppto. Orden Interna '[USD']])</f>
        <v>132182.48500400962</v>
      </c>
      <c r="Q121" s="310"/>
      <c r="R121" s="310"/>
      <c r="S121" s="310"/>
      <c r="T121" s="310"/>
      <c r="U121" s="310"/>
      <c r="V121" s="315"/>
      <c r="W121" s="317"/>
      <c r="X121" s="318"/>
      <c r="Y121" s="310"/>
      <c r="Z121" s="317"/>
      <c r="AA121" s="310"/>
      <c r="AB121" s="310"/>
      <c r="AC121" s="317"/>
      <c r="AD121" s="310"/>
      <c r="AE121" s="310"/>
      <c r="AF121" s="317"/>
      <c r="AG121" s="310"/>
      <c r="AH121" s="310"/>
      <c r="AI121" s="317"/>
      <c r="AJ121" s="310"/>
      <c r="AK121" s="310"/>
      <c r="AL121" s="319">
        <f>SUBTOTAL(109,BD.PD510[Total Flujo Caja])</f>
        <v>6366444.0799999991</v>
      </c>
      <c r="AM121" s="310"/>
    </row>
  </sheetData>
  <mergeCells count="9">
    <mergeCell ref="A1:F1"/>
    <mergeCell ref="AL1:AL3"/>
    <mergeCell ref="A2:F2"/>
    <mergeCell ref="W2:AK2"/>
    <mergeCell ref="W3:Y3"/>
    <mergeCell ref="Z3:AB3"/>
    <mergeCell ref="AC3:AE3"/>
    <mergeCell ref="AF3:AH3"/>
    <mergeCell ref="AI3:AK3"/>
  </mergeCells>
  <conditionalFormatting sqref="AL5:AL120">
    <cfRule type="expression" dxfId="5" priority="1">
      <formula>$AL5&lt;&gt;$O5</formula>
    </cfRule>
  </conditionalFormatting>
  <dataValidations count="2">
    <dataValidation operator="equal" allowBlank="1" showInputMessage="1" showErrorMessage="1" sqref="Q1:Q2 O34:P34 M5:M120 K5:K120 O5:P5 O63:P63 O92:P92 C5:E120" xr:uid="{0D34A61E-D349-4D0B-89E8-5296729AB9C5}"/>
    <dataValidation type="whole" operator="greaterThanOrEqual" allowBlank="1" showInputMessage="1" showErrorMessage="1" sqref="AC5:AC120 W5:W120 Z5:Z120 AF5:AF120 AI5:AI120" xr:uid="{3A8B2C5B-8450-4C61-AE47-1A6274DEFBF7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B9CB-249C-4F62-AB20-090D49C4959A}">
  <sheetPr codeName="Hoja13">
    <tabColor rgb="FF00B0F0"/>
  </sheetPr>
  <dimension ref="A1:XEU46"/>
  <sheetViews>
    <sheetView topLeftCell="A17" zoomScale="89" zoomScaleNormal="89" workbookViewId="0">
      <selection activeCell="B22" sqref="B22"/>
    </sheetView>
  </sheetViews>
  <sheetFormatPr baseColWidth="10" defaultColWidth="11.44140625" defaultRowHeight="13.2" x14ac:dyDescent="0.25"/>
  <cols>
    <col min="1" max="1" width="22.5546875" style="450" bestFit="1" customWidth="1"/>
    <col min="2" max="2" width="16" style="450" customWidth="1"/>
    <col min="3" max="3" width="40.5546875" style="450" bestFit="1" customWidth="1"/>
    <col min="4" max="4" width="13.44140625" style="453" customWidth="1"/>
    <col min="5" max="5" width="15.5546875" style="454" bestFit="1" customWidth="1"/>
    <col min="6" max="6" width="48.44140625" style="450" customWidth="1"/>
    <col min="7" max="7" width="11.44140625" style="450" customWidth="1"/>
    <col min="8" max="8" width="22.109375" style="450" customWidth="1"/>
    <col min="9" max="9" width="12.109375" style="450" customWidth="1"/>
    <col min="10" max="10" width="9" style="450" customWidth="1"/>
    <col min="11" max="11" width="16" style="455" customWidth="1"/>
    <col min="12" max="12" width="11.5546875" style="456" customWidth="1"/>
    <col min="13" max="13" width="14.44140625" style="455" customWidth="1"/>
    <col min="14" max="14" width="14.44140625" style="456" customWidth="1"/>
    <col min="15" max="15" width="14.44140625" style="455" customWidth="1"/>
    <col min="16" max="16" width="17.5546875" style="455" customWidth="1"/>
    <col min="17" max="17" width="15.5546875" style="450" customWidth="1"/>
    <col min="18" max="18" width="17.5546875" style="453" hidden="1" customWidth="1"/>
    <col min="19" max="19" width="10.5546875" style="457" hidden="1" customWidth="1"/>
    <col min="20" max="20" width="14.44140625" style="453" hidden="1" customWidth="1"/>
    <col min="21" max="21" width="10.5546875" style="453" hidden="1" customWidth="1"/>
    <col min="22" max="22" width="14.44140625" style="453" hidden="1" customWidth="1"/>
    <col min="23" max="23" width="10.5546875" style="453" hidden="1" customWidth="1"/>
    <col min="24" max="24" width="14.44140625" style="453" hidden="1" customWidth="1"/>
    <col min="25" max="25" width="18.5546875" style="450" hidden="1" customWidth="1"/>
    <col min="26" max="26" width="22.5546875" style="450" customWidth="1"/>
    <col min="27" max="27" width="17.44140625" style="453" hidden="1" customWidth="1"/>
    <col min="28" max="32" width="56.44140625" style="450" customWidth="1"/>
    <col min="33" max="271" width="11.44140625" style="450"/>
    <col min="272" max="272" width="44.109375" style="450" customWidth="1"/>
    <col min="273" max="273" width="17.44140625" style="450" customWidth="1"/>
    <col min="274" max="274" width="18" style="450" customWidth="1"/>
    <col min="275" max="275" width="60.44140625" style="450" customWidth="1"/>
    <col min="276" max="276" width="13.44140625" style="450" customWidth="1"/>
    <col min="277" max="277" width="17.44140625" style="450" customWidth="1"/>
    <col min="278" max="278" width="20.5546875" style="450" customWidth="1"/>
    <col min="279" max="279" width="17.5546875" style="450" customWidth="1"/>
    <col min="280" max="280" width="19.44140625" style="450" customWidth="1"/>
    <col min="281" max="281" width="25.5546875" style="450" customWidth="1"/>
    <col min="282" max="282" width="22" style="450" customWidth="1"/>
    <col min="283" max="283" width="27.88671875" style="450" customWidth="1"/>
    <col min="284" max="284" width="22.5546875" style="450" customWidth="1"/>
    <col min="285" max="285" width="45.5546875" style="450" customWidth="1"/>
    <col min="286" max="527" width="11.44140625" style="450"/>
    <col min="528" max="528" width="44.109375" style="450" customWidth="1"/>
    <col min="529" max="529" width="17.44140625" style="450" customWidth="1"/>
    <col min="530" max="530" width="18" style="450" customWidth="1"/>
    <col min="531" max="531" width="60.44140625" style="450" customWidth="1"/>
    <col min="532" max="532" width="13.44140625" style="450" customWidth="1"/>
    <col min="533" max="533" width="17.44140625" style="450" customWidth="1"/>
    <col min="534" max="534" width="20.5546875" style="450" customWidth="1"/>
    <col min="535" max="535" width="17.5546875" style="450" customWidth="1"/>
    <col min="536" max="536" width="19.44140625" style="450" customWidth="1"/>
    <col min="537" max="537" width="25.5546875" style="450" customWidth="1"/>
    <col min="538" max="538" width="22" style="450" customWidth="1"/>
    <col min="539" max="539" width="27.88671875" style="450" customWidth="1"/>
    <col min="540" max="540" width="22.5546875" style="450" customWidth="1"/>
    <col min="541" max="541" width="45.5546875" style="450" customWidth="1"/>
    <col min="542" max="783" width="11.44140625" style="450"/>
    <col min="784" max="784" width="44.109375" style="450" customWidth="1"/>
    <col min="785" max="785" width="17.44140625" style="450" customWidth="1"/>
    <col min="786" max="786" width="18" style="450" customWidth="1"/>
    <col min="787" max="787" width="60.44140625" style="450" customWidth="1"/>
    <col min="788" max="788" width="13.44140625" style="450" customWidth="1"/>
    <col min="789" max="789" width="17.44140625" style="450" customWidth="1"/>
    <col min="790" max="790" width="20.5546875" style="450" customWidth="1"/>
    <col min="791" max="791" width="17.5546875" style="450" customWidth="1"/>
    <col min="792" max="792" width="19.44140625" style="450" customWidth="1"/>
    <col min="793" max="793" width="25.5546875" style="450" customWidth="1"/>
    <col min="794" max="794" width="22" style="450" customWidth="1"/>
    <col min="795" max="795" width="27.88671875" style="450" customWidth="1"/>
    <col min="796" max="796" width="22.5546875" style="450" customWidth="1"/>
    <col min="797" max="797" width="45.5546875" style="450" customWidth="1"/>
    <col min="798" max="1039" width="11.44140625" style="450"/>
    <col min="1040" max="1040" width="44.109375" style="450" customWidth="1"/>
    <col min="1041" max="1041" width="17.44140625" style="450" customWidth="1"/>
    <col min="1042" max="1042" width="18" style="450" customWidth="1"/>
    <col min="1043" max="1043" width="60.44140625" style="450" customWidth="1"/>
    <col min="1044" max="1044" width="13.44140625" style="450" customWidth="1"/>
    <col min="1045" max="1045" width="17.44140625" style="450" customWidth="1"/>
    <col min="1046" max="1046" width="20.5546875" style="450" customWidth="1"/>
    <col min="1047" max="1047" width="17.5546875" style="450" customWidth="1"/>
    <col min="1048" max="1048" width="19.44140625" style="450" customWidth="1"/>
    <col min="1049" max="1049" width="25.5546875" style="450" customWidth="1"/>
    <col min="1050" max="1050" width="22" style="450" customWidth="1"/>
    <col min="1051" max="1051" width="27.88671875" style="450" customWidth="1"/>
    <col min="1052" max="1052" width="22.5546875" style="450" customWidth="1"/>
    <col min="1053" max="1053" width="45.5546875" style="450" customWidth="1"/>
    <col min="1054" max="1295" width="11.44140625" style="450"/>
    <col min="1296" max="1296" width="44.109375" style="450" customWidth="1"/>
    <col min="1297" max="1297" width="17.44140625" style="450" customWidth="1"/>
    <col min="1298" max="1298" width="18" style="450" customWidth="1"/>
    <col min="1299" max="1299" width="60.44140625" style="450" customWidth="1"/>
    <col min="1300" max="1300" width="13.44140625" style="450" customWidth="1"/>
    <col min="1301" max="1301" width="17.44140625" style="450" customWidth="1"/>
    <col min="1302" max="1302" width="20.5546875" style="450" customWidth="1"/>
    <col min="1303" max="1303" width="17.5546875" style="450" customWidth="1"/>
    <col min="1304" max="1304" width="19.44140625" style="450" customWidth="1"/>
    <col min="1305" max="1305" width="25.5546875" style="450" customWidth="1"/>
    <col min="1306" max="1306" width="22" style="450" customWidth="1"/>
    <col min="1307" max="1307" width="27.88671875" style="450" customWidth="1"/>
    <col min="1308" max="1308" width="22.5546875" style="450" customWidth="1"/>
    <col min="1309" max="1309" width="45.5546875" style="450" customWidth="1"/>
    <col min="1310" max="1551" width="11.44140625" style="450"/>
    <col min="1552" max="1552" width="44.109375" style="450" customWidth="1"/>
    <col min="1553" max="1553" width="17.44140625" style="450" customWidth="1"/>
    <col min="1554" max="1554" width="18" style="450" customWidth="1"/>
    <col min="1555" max="1555" width="60.44140625" style="450" customWidth="1"/>
    <col min="1556" max="1556" width="13.44140625" style="450" customWidth="1"/>
    <col min="1557" max="1557" width="17.44140625" style="450" customWidth="1"/>
    <col min="1558" max="1558" width="20.5546875" style="450" customWidth="1"/>
    <col min="1559" max="1559" width="17.5546875" style="450" customWidth="1"/>
    <col min="1560" max="1560" width="19.44140625" style="450" customWidth="1"/>
    <col min="1561" max="1561" width="25.5546875" style="450" customWidth="1"/>
    <col min="1562" max="1562" width="22" style="450" customWidth="1"/>
    <col min="1563" max="1563" width="27.88671875" style="450" customWidth="1"/>
    <col min="1564" max="1564" width="22.5546875" style="450" customWidth="1"/>
    <col min="1565" max="1565" width="45.5546875" style="450" customWidth="1"/>
    <col min="1566" max="1807" width="11.44140625" style="450"/>
    <col min="1808" max="1808" width="44.109375" style="450" customWidth="1"/>
    <col min="1809" max="1809" width="17.44140625" style="450" customWidth="1"/>
    <col min="1810" max="1810" width="18" style="450" customWidth="1"/>
    <col min="1811" max="1811" width="60.44140625" style="450" customWidth="1"/>
    <col min="1812" max="1812" width="13.44140625" style="450" customWidth="1"/>
    <col min="1813" max="1813" width="17.44140625" style="450" customWidth="1"/>
    <col min="1814" max="1814" width="20.5546875" style="450" customWidth="1"/>
    <col min="1815" max="1815" width="17.5546875" style="450" customWidth="1"/>
    <col min="1816" max="1816" width="19.44140625" style="450" customWidth="1"/>
    <col min="1817" max="1817" width="25.5546875" style="450" customWidth="1"/>
    <col min="1818" max="1818" width="22" style="450" customWidth="1"/>
    <col min="1819" max="1819" width="27.88671875" style="450" customWidth="1"/>
    <col min="1820" max="1820" width="22.5546875" style="450" customWidth="1"/>
    <col min="1821" max="1821" width="45.5546875" style="450" customWidth="1"/>
    <col min="1822" max="2063" width="11.44140625" style="450"/>
    <col min="2064" max="2064" width="44.109375" style="450" customWidth="1"/>
    <col min="2065" max="2065" width="17.44140625" style="450" customWidth="1"/>
    <col min="2066" max="2066" width="18" style="450" customWidth="1"/>
    <col min="2067" max="2067" width="60.44140625" style="450" customWidth="1"/>
    <col min="2068" max="2068" width="13.44140625" style="450" customWidth="1"/>
    <col min="2069" max="2069" width="17.44140625" style="450" customWidth="1"/>
    <col min="2070" max="2070" width="20.5546875" style="450" customWidth="1"/>
    <col min="2071" max="2071" width="17.5546875" style="450" customWidth="1"/>
    <col min="2072" max="2072" width="19.44140625" style="450" customWidth="1"/>
    <col min="2073" max="2073" width="25.5546875" style="450" customWidth="1"/>
    <col min="2074" max="2074" width="22" style="450" customWidth="1"/>
    <col min="2075" max="2075" width="27.88671875" style="450" customWidth="1"/>
    <col min="2076" max="2076" width="22.5546875" style="450" customWidth="1"/>
    <col min="2077" max="2077" width="45.5546875" style="450" customWidth="1"/>
    <col min="2078" max="2319" width="11.44140625" style="450"/>
    <col min="2320" max="2320" width="44.109375" style="450" customWidth="1"/>
    <col min="2321" max="2321" width="17.44140625" style="450" customWidth="1"/>
    <col min="2322" max="2322" width="18" style="450" customWidth="1"/>
    <col min="2323" max="2323" width="60.44140625" style="450" customWidth="1"/>
    <col min="2324" max="2324" width="13.44140625" style="450" customWidth="1"/>
    <col min="2325" max="2325" width="17.44140625" style="450" customWidth="1"/>
    <col min="2326" max="2326" width="20.5546875" style="450" customWidth="1"/>
    <col min="2327" max="2327" width="17.5546875" style="450" customWidth="1"/>
    <col min="2328" max="2328" width="19.44140625" style="450" customWidth="1"/>
    <col min="2329" max="2329" width="25.5546875" style="450" customWidth="1"/>
    <col min="2330" max="2330" width="22" style="450" customWidth="1"/>
    <col min="2331" max="2331" width="27.88671875" style="450" customWidth="1"/>
    <col min="2332" max="2332" width="22.5546875" style="450" customWidth="1"/>
    <col min="2333" max="2333" width="45.5546875" style="450" customWidth="1"/>
    <col min="2334" max="2575" width="11.44140625" style="450"/>
    <col min="2576" max="2576" width="44.109375" style="450" customWidth="1"/>
    <col min="2577" max="2577" width="17.44140625" style="450" customWidth="1"/>
    <col min="2578" max="2578" width="18" style="450" customWidth="1"/>
    <col min="2579" max="2579" width="60.44140625" style="450" customWidth="1"/>
    <col min="2580" max="2580" width="13.44140625" style="450" customWidth="1"/>
    <col min="2581" max="2581" width="17.44140625" style="450" customWidth="1"/>
    <col min="2582" max="2582" width="20.5546875" style="450" customWidth="1"/>
    <col min="2583" max="2583" width="17.5546875" style="450" customWidth="1"/>
    <col min="2584" max="2584" width="19.44140625" style="450" customWidth="1"/>
    <col min="2585" max="2585" width="25.5546875" style="450" customWidth="1"/>
    <col min="2586" max="2586" width="22" style="450" customWidth="1"/>
    <col min="2587" max="2587" width="27.88671875" style="450" customWidth="1"/>
    <col min="2588" max="2588" width="22.5546875" style="450" customWidth="1"/>
    <col min="2589" max="2589" width="45.5546875" style="450" customWidth="1"/>
    <col min="2590" max="2831" width="11.44140625" style="450"/>
    <col min="2832" max="2832" width="44.109375" style="450" customWidth="1"/>
    <col min="2833" max="2833" width="17.44140625" style="450" customWidth="1"/>
    <col min="2834" max="2834" width="18" style="450" customWidth="1"/>
    <col min="2835" max="2835" width="60.44140625" style="450" customWidth="1"/>
    <col min="2836" max="2836" width="13.44140625" style="450" customWidth="1"/>
    <col min="2837" max="2837" width="17.44140625" style="450" customWidth="1"/>
    <col min="2838" max="2838" width="20.5546875" style="450" customWidth="1"/>
    <col min="2839" max="2839" width="17.5546875" style="450" customWidth="1"/>
    <col min="2840" max="2840" width="19.44140625" style="450" customWidth="1"/>
    <col min="2841" max="2841" width="25.5546875" style="450" customWidth="1"/>
    <col min="2842" max="2842" width="22" style="450" customWidth="1"/>
    <col min="2843" max="2843" width="27.88671875" style="450" customWidth="1"/>
    <col min="2844" max="2844" width="22.5546875" style="450" customWidth="1"/>
    <col min="2845" max="2845" width="45.5546875" style="450" customWidth="1"/>
    <col min="2846" max="3087" width="11.44140625" style="450"/>
    <col min="3088" max="3088" width="44.109375" style="450" customWidth="1"/>
    <col min="3089" max="3089" width="17.44140625" style="450" customWidth="1"/>
    <col min="3090" max="3090" width="18" style="450" customWidth="1"/>
    <col min="3091" max="3091" width="60.44140625" style="450" customWidth="1"/>
    <col min="3092" max="3092" width="13.44140625" style="450" customWidth="1"/>
    <col min="3093" max="3093" width="17.44140625" style="450" customWidth="1"/>
    <col min="3094" max="3094" width="20.5546875" style="450" customWidth="1"/>
    <col min="3095" max="3095" width="17.5546875" style="450" customWidth="1"/>
    <col min="3096" max="3096" width="19.44140625" style="450" customWidth="1"/>
    <col min="3097" max="3097" width="25.5546875" style="450" customWidth="1"/>
    <col min="3098" max="3098" width="22" style="450" customWidth="1"/>
    <col min="3099" max="3099" width="27.88671875" style="450" customWidth="1"/>
    <col min="3100" max="3100" width="22.5546875" style="450" customWidth="1"/>
    <col min="3101" max="3101" width="45.5546875" style="450" customWidth="1"/>
    <col min="3102" max="3343" width="11.44140625" style="450"/>
    <col min="3344" max="3344" width="44.109375" style="450" customWidth="1"/>
    <col min="3345" max="3345" width="17.44140625" style="450" customWidth="1"/>
    <col min="3346" max="3346" width="18" style="450" customWidth="1"/>
    <col min="3347" max="3347" width="60.44140625" style="450" customWidth="1"/>
    <col min="3348" max="3348" width="13.44140625" style="450" customWidth="1"/>
    <col min="3349" max="3349" width="17.44140625" style="450" customWidth="1"/>
    <col min="3350" max="3350" width="20.5546875" style="450" customWidth="1"/>
    <col min="3351" max="3351" width="17.5546875" style="450" customWidth="1"/>
    <col min="3352" max="3352" width="19.44140625" style="450" customWidth="1"/>
    <col min="3353" max="3353" width="25.5546875" style="450" customWidth="1"/>
    <col min="3354" max="3354" width="22" style="450" customWidth="1"/>
    <col min="3355" max="3355" width="27.88671875" style="450" customWidth="1"/>
    <col min="3356" max="3356" width="22.5546875" style="450" customWidth="1"/>
    <col min="3357" max="3357" width="45.5546875" style="450" customWidth="1"/>
    <col min="3358" max="3599" width="11.44140625" style="450"/>
    <col min="3600" max="3600" width="44.109375" style="450" customWidth="1"/>
    <col min="3601" max="3601" width="17.44140625" style="450" customWidth="1"/>
    <col min="3602" max="3602" width="18" style="450" customWidth="1"/>
    <col min="3603" max="3603" width="60.44140625" style="450" customWidth="1"/>
    <col min="3604" max="3604" width="13.44140625" style="450" customWidth="1"/>
    <col min="3605" max="3605" width="17.44140625" style="450" customWidth="1"/>
    <col min="3606" max="3606" width="20.5546875" style="450" customWidth="1"/>
    <col min="3607" max="3607" width="17.5546875" style="450" customWidth="1"/>
    <col min="3608" max="3608" width="19.44140625" style="450" customWidth="1"/>
    <col min="3609" max="3609" width="25.5546875" style="450" customWidth="1"/>
    <col min="3610" max="3610" width="22" style="450" customWidth="1"/>
    <col min="3611" max="3611" width="27.88671875" style="450" customWidth="1"/>
    <col min="3612" max="3612" width="22.5546875" style="450" customWidth="1"/>
    <col min="3613" max="3613" width="45.5546875" style="450" customWidth="1"/>
    <col min="3614" max="3855" width="11.44140625" style="450"/>
    <col min="3856" max="3856" width="44.109375" style="450" customWidth="1"/>
    <col min="3857" max="3857" width="17.44140625" style="450" customWidth="1"/>
    <col min="3858" max="3858" width="18" style="450" customWidth="1"/>
    <col min="3859" max="3859" width="60.44140625" style="450" customWidth="1"/>
    <col min="3860" max="3860" width="13.44140625" style="450" customWidth="1"/>
    <col min="3861" max="3861" width="17.44140625" style="450" customWidth="1"/>
    <col min="3862" max="3862" width="20.5546875" style="450" customWidth="1"/>
    <col min="3863" max="3863" width="17.5546875" style="450" customWidth="1"/>
    <col min="3864" max="3864" width="19.44140625" style="450" customWidth="1"/>
    <col min="3865" max="3865" width="25.5546875" style="450" customWidth="1"/>
    <col min="3866" max="3866" width="22" style="450" customWidth="1"/>
    <col min="3867" max="3867" width="27.88671875" style="450" customWidth="1"/>
    <col min="3868" max="3868" width="22.5546875" style="450" customWidth="1"/>
    <col min="3869" max="3869" width="45.5546875" style="450" customWidth="1"/>
    <col min="3870" max="4111" width="11.44140625" style="450"/>
    <col min="4112" max="4112" width="44.109375" style="450" customWidth="1"/>
    <col min="4113" max="4113" width="17.44140625" style="450" customWidth="1"/>
    <col min="4114" max="4114" width="18" style="450" customWidth="1"/>
    <col min="4115" max="4115" width="60.44140625" style="450" customWidth="1"/>
    <col min="4116" max="4116" width="13.44140625" style="450" customWidth="1"/>
    <col min="4117" max="4117" width="17.44140625" style="450" customWidth="1"/>
    <col min="4118" max="4118" width="20.5546875" style="450" customWidth="1"/>
    <col min="4119" max="4119" width="17.5546875" style="450" customWidth="1"/>
    <col min="4120" max="4120" width="19.44140625" style="450" customWidth="1"/>
    <col min="4121" max="4121" width="25.5546875" style="450" customWidth="1"/>
    <col min="4122" max="4122" width="22" style="450" customWidth="1"/>
    <col min="4123" max="4123" width="27.88671875" style="450" customWidth="1"/>
    <col min="4124" max="4124" width="22.5546875" style="450" customWidth="1"/>
    <col min="4125" max="4125" width="45.5546875" style="450" customWidth="1"/>
    <col min="4126" max="4367" width="11.44140625" style="450"/>
    <col min="4368" max="4368" width="44.109375" style="450" customWidth="1"/>
    <col min="4369" max="4369" width="17.44140625" style="450" customWidth="1"/>
    <col min="4370" max="4370" width="18" style="450" customWidth="1"/>
    <col min="4371" max="4371" width="60.44140625" style="450" customWidth="1"/>
    <col min="4372" max="4372" width="13.44140625" style="450" customWidth="1"/>
    <col min="4373" max="4373" width="17.44140625" style="450" customWidth="1"/>
    <col min="4374" max="4374" width="20.5546875" style="450" customWidth="1"/>
    <col min="4375" max="4375" width="17.5546875" style="450" customWidth="1"/>
    <col min="4376" max="4376" width="19.44140625" style="450" customWidth="1"/>
    <col min="4377" max="4377" width="25.5546875" style="450" customWidth="1"/>
    <col min="4378" max="4378" width="22" style="450" customWidth="1"/>
    <col min="4379" max="4379" width="27.88671875" style="450" customWidth="1"/>
    <col min="4380" max="4380" width="22.5546875" style="450" customWidth="1"/>
    <col min="4381" max="4381" width="45.5546875" style="450" customWidth="1"/>
    <col min="4382" max="4623" width="11.44140625" style="450"/>
    <col min="4624" max="4624" width="44.109375" style="450" customWidth="1"/>
    <col min="4625" max="4625" width="17.44140625" style="450" customWidth="1"/>
    <col min="4626" max="4626" width="18" style="450" customWidth="1"/>
    <col min="4627" max="4627" width="60.44140625" style="450" customWidth="1"/>
    <col min="4628" max="4628" width="13.44140625" style="450" customWidth="1"/>
    <col min="4629" max="4629" width="17.44140625" style="450" customWidth="1"/>
    <col min="4630" max="4630" width="20.5546875" style="450" customWidth="1"/>
    <col min="4631" max="4631" width="17.5546875" style="450" customWidth="1"/>
    <col min="4632" max="4632" width="19.44140625" style="450" customWidth="1"/>
    <col min="4633" max="4633" width="25.5546875" style="450" customWidth="1"/>
    <col min="4634" max="4634" width="22" style="450" customWidth="1"/>
    <col min="4635" max="4635" width="27.88671875" style="450" customWidth="1"/>
    <col min="4636" max="4636" width="22.5546875" style="450" customWidth="1"/>
    <col min="4637" max="4637" width="45.5546875" style="450" customWidth="1"/>
    <col min="4638" max="4879" width="11.44140625" style="450"/>
    <col min="4880" max="4880" width="44.109375" style="450" customWidth="1"/>
    <col min="4881" max="4881" width="17.44140625" style="450" customWidth="1"/>
    <col min="4882" max="4882" width="18" style="450" customWidth="1"/>
    <col min="4883" max="4883" width="60.44140625" style="450" customWidth="1"/>
    <col min="4884" max="4884" width="13.44140625" style="450" customWidth="1"/>
    <col min="4885" max="4885" width="17.44140625" style="450" customWidth="1"/>
    <col min="4886" max="4886" width="20.5546875" style="450" customWidth="1"/>
    <col min="4887" max="4887" width="17.5546875" style="450" customWidth="1"/>
    <col min="4888" max="4888" width="19.44140625" style="450" customWidth="1"/>
    <col min="4889" max="4889" width="25.5546875" style="450" customWidth="1"/>
    <col min="4890" max="4890" width="22" style="450" customWidth="1"/>
    <col min="4891" max="4891" width="27.88671875" style="450" customWidth="1"/>
    <col min="4892" max="4892" width="22.5546875" style="450" customWidth="1"/>
    <col min="4893" max="4893" width="45.5546875" style="450" customWidth="1"/>
    <col min="4894" max="5135" width="11.44140625" style="450"/>
    <col min="5136" max="5136" width="44.109375" style="450" customWidth="1"/>
    <col min="5137" max="5137" width="17.44140625" style="450" customWidth="1"/>
    <col min="5138" max="5138" width="18" style="450" customWidth="1"/>
    <col min="5139" max="5139" width="60.44140625" style="450" customWidth="1"/>
    <col min="5140" max="5140" width="13.44140625" style="450" customWidth="1"/>
    <col min="5141" max="5141" width="17.44140625" style="450" customWidth="1"/>
    <col min="5142" max="5142" width="20.5546875" style="450" customWidth="1"/>
    <col min="5143" max="5143" width="17.5546875" style="450" customWidth="1"/>
    <col min="5144" max="5144" width="19.44140625" style="450" customWidth="1"/>
    <col min="5145" max="5145" width="25.5546875" style="450" customWidth="1"/>
    <col min="5146" max="5146" width="22" style="450" customWidth="1"/>
    <col min="5147" max="5147" width="27.88671875" style="450" customWidth="1"/>
    <col min="5148" max="5148" width="22.5546875" style="450" customWidth="1"/>
    <col min="5149" max="5149" width="45.5546875" style="450" customWidth="1"/>
    <col min="5150" max="5391" width="11.44140625" style="450"/>
    <col min="5392" max="5392" width="44.109375" style="450" customWidth="1"/>
    <col min="5393" max="5393" width="17.44140625" style="450" customWidth="1"/>
    <col min="5394" max="5394" width="18" style="450" customWidth="1"/>
    <col min="5395" max="5395" width="60.44140625" style="450" customWidth="1"/>
    <col min="5396" max="5396" width="13.44140625" style="450" customWidth="1"/>
    <col min="5397" max="5397" width="17.44140625" style="450" customWidth="1"/>
    <col min="5398" max="5398" width="20.5546875" style="450" customWidth="1"/>
    <col min="5399" max="5399" width="17.5546875" style="450" customWidth="1"/>
    <col min="5400" max="5400" width="19.44140625" style="450" customWidth="1"/>
    <col min="5401" max="5401" width="25.5546875" style="450" customWidth="1"/>
    <col min="5402" max="5402" width="22" style="450" customWidth="1"/>
    <col min="5403" max="5403" width="27.88671875" style="450" customWidth="1"/>
    <col min="5404" max="5404" width="22.5546875" style="450" customWidth="1"/>
    <col min="5405" max="5405" width="45.5546875" style="450" customWidth="1"/>
    <col min="5406" max="5647" width="11.44140625" style="450"/>
    <col min="5648" max="5648" width="44.109375" style="450" customWidth="1"/>
    <col min="5649" max="5649" width="17.44140625" style="450" customWidth="1"/>
    <col min="5650" max="5650" width="18" style="450" customWidth="1"/>
    <col min="5651" max="5651" width="60.44140625" style="450" customWidth="1"/>
    <col min="5652" max="5652" width="13.44140625" style="450" customWidth="1"/>
    <col min="5653" max="5653" width="17.44140625" style="450" customWidth="1"/>
    <col min="5654" max="5654" width="20.5546875" style="450" customWidth="1"/>
    <col min="5655" max="5655" width="17.5546875" style="450" customWidth="1"/>
    <col min="5656" max="5656" width="19.44140625" style="450" customWidth="1"/>
    <col min="5657" max="5657" width="25.5546875" style="450" customWidth="1"/>
    <col min="5658" max="5658" width="22" style="450" customWidth="1"/>
    <col min="5659" max="5659" width="27.88671875" style="450" customWidth="1"/>
    <col min="5660" max="5660" width="22.5546875" style="450" customWidth="1"/>
    <col min="5661" max="5661" width="45.5546875" style="450" customWidth="1"/>
    <col min="5662" max="5903" width="11.44140625" style="450"/>
    <col min="5904" max="5904" width="44.109375" style="450" customWidth="1"/>
    <col min="5905" max="5905" width="17.44140625" style="450" customWidth="1"/>
    <col min="5906" max="5906" width="18" style="450" customWidth="1"/>
    <col min="5907" max="5907" width="60.44140625" style="450" customWidth="1"/>
    <col min="5908" max="5908" width="13.44140625" style="450" customWidth="1"/>
    <col min="5909" max="5909" width="17.44140625" style="450" customWidth="1"/>
    <col min="5910" max="5910" width="20.5546875" style="450" customWidth="1"/>
    <col min="5911" max="5911" width="17.5546875" style="450" customWidth="1"/>
    <col min="5912" max="5912" width="19.44140625" style="450" customWidth="1"/>
    <col min="5913" max="5913" width="25.5546875" style="450" customWidth="1"/>
    <col min="5914" max="5914" width="22" style="450" customWidth="1"/>
    <col min="5915" max="5915" width="27.88671875" style="450" customWidth="1"/>
    <col min="5916" max="5916" width="22.5546875" style="450" customWidth="1"/>
    <col min="5917" max="5917" width="45.5546875" style="450" customWidth="1"/>
    <col min="5918" max="6159" width="11.44140625" style="450"/>
    <col min="6160" max="6160" width="44.109375" style="450" customWidth="1"/>
    <col min="6161" max="6161" width="17.44140625" style="450" customWidth="1"/>
    <col min="6162" max="6162" width="18" style="450" customWidth="1"/>
    <col min="6163" max="6163" width="60.44140625" style="450" customWidth="1"/>
    <col min="6164" max="6164" width="13.44140625" style="450" customWidth="1"/>
    <col min="6165" max="6165" width="17.44140625" style="450" customWidth="1"/>
    <col min="6166" max="6166" width="20.5546875" style="450" customWidth="1"/>
    <col min="6167" max="6167" width="17.5546875" style="450" customWidth="1"/>
    <col min="6168" max="6168" width="19.44140625" style="450" customWidth="1"/>
    <col min="6169" max="6169" width="25.5546875" style="450" customWidth="1"/>
    <col min="6170" max="6170" width="22" style="450" customWidth="1"/>
    <col min="6171" max="6171" width="27.88671875" style="450" customWidth="1"/>
    <col min="6172" max="6172" width="22.5546875" style="450" customWidth="1"/>
    <col min="6173" max="6173" width="45.5546875" style="450" customWidth="1"/>
    <col min="6174" max="6415" width="11.44140625" style="450"/>
    <col min="6416" max="6416" width="44.109375" style="450" customWidth="1"/>
    <col min="6417" max="6417" width="17.44140625" style="450" customWidth="1"/>
    <col min="6418" max="6418" width="18" style="450" customWidth="1"/>
    <col min="6419" max="6419" width="60.44140625" style="450" customWidth="1"/>
    <col min="6420" max="6420" width="13.44140625" style="450" customWidth="1"/>
    <col min="6421" max="6421" width="17.44140625" style="450" customWidth="1"/>
    <col min="6422" max="6422" width="20.5546875" style="450" customWidth="1"/>
    <col min="6423" max="6423" width="17.5546875" style="450" customWidth="1"/>
    <col min="6424" max="6424" width="19.44140625" style="450" customWidth="1"/>
    <col min="6425" max="6425" width="25.5546875" style="450" customWidth="1"/>
    <col min="6426" max="6426" width="22" style="450" customWidth="1"/>
    <col min="6427" max="6427" width="27.88671875" style="450" customWidth="1"/>
    <col min="6428" max="6428" width="22.5546875" style="450" customWidth="1"/>
    <col min="6429" max="6429" width="45.5546875" style="450" customWidth="1"/>
    <col min="6430" max="6671" width="11.44140625" style="450"/>
    <col min="6672" max="6672" width="44.109375" style="450" customWidth="1"/>
    <col min="6673" max="6673" width="17.44140625" style="450" customWidth="1"/>
    <col min="6674" max="6674" width="18" style="450" customWidth="1"/>
    <col min="6675" max="6675" width="60.44140625" style="450" customWidth="1"/>
    <col min="6676" max="6676" width="13.44140625" style="450" customWidth="1"/>
    <col min="6677" max="6677" width="17.44140625" style="450" customWidth="1"/>
    <col min="6678" max="6678" width="20.5546875" style="450" customWidth="1"/>
    <col min="6679" max="6679" width="17.5546875" style="450" customWidth="1"/>
    <col min="6680" max="6680" width="19.44140625" style="450" customWidth="1"/>
    <col min="6681" max="6681" width="25.5546875" style="450" customWidth="1"/>
    <col min="6682" max="6682" width="22" style="450" customWidth="1"/>
    <col min="6683" max="6683" width="27.88671875" style="450" customWidth="1"/>
    <col min="6684" max="6684" width="22.5546875" style="450" customWidth="1"/>
    <col min="6685" max="6685" width="45.5546875" style="450" customWidth="1"/>
    <col min="6686" max="6927" width="11.44140625" style="450"/>
    <col min="6928" max="6928" width="44.109375" style="450" customWidth="1"/>
    <col min="6929" max="6929" width="17.44140625" style="450" customWidth="1"/>
    <col min="6930" max="6930" width="18" style="450" customWidth="1"/>
    <col min="6931" max="6931" width="60.44140625" style="450" customWidth="1"/>
    <col min="6932" max="6932" width="13.44140625" style="450" customWidth="1"/>
    <col min="6933" max="6933" width="17.44140625" style="450" customWidth="1"/>
    <col min="6934" max="6934" width="20.5546875" style="450" customWidth="1"/>
    <col min="6935" max="6935" width="17.5546875" style="450" customWidth="1"/>
    <col min="6936" max="6936" width="19.44140625" style="450" customWidth="1"/>
    <col min="6937" max="6937" width="25.5546875" style="450" customWidth="1"/>
    <col min="6938" max="6938" width="22" style="450" customWidth="1"/>
    <col min="6939" max="6939" width="27.88671875" style="450" customWidth="1"/>
    <col min="6940" max="6940" width="22.5546875" style="450" customWidth="1"/>
    <col min="6941" max="6941" width="45.5546875" style="450" customWidth="1"/>
    <col min="6942" max="7183" width="11.44140625" style="450"/>
    <col min="7184" max="7184" width="44.109375" style="450" customWidth="1"/>
    <col min="7185" max="7185" width="17.44140625" style="450" customWidth="1"/>
    <col min="7186" max="7186" width="18" style="450" customWidth="1"/>
    <col min="7187" max="7187" width="60.44140625" style="450" customWidth="1"/>
    <col min="7188" max="7188" width="13.44140625" style="450" customWidth="1"/>
    <col min="7189" max="7189" width="17.44140625" style="450" customWidth="1"/>
    <col min="7190" max="7190" width="20.5546875" style="450" customWidth="1"/>
    <col min="7191" max="7191" width="17.5546875" style="450" customWidth="1"/>
    <col min="7192" max="7192" width="19.44140625" style="450" customWidth="1"/>
    <col min="7193" max="7193" width="25.5546875" style="450" customWidth="1"/>
    <col min="7194" max="7194" width="22" style="450" customWidth="1"/>
    <col min="7195" max="7195" width="27.88671875" style="450" customWidth="1"/>
    <col min="7196" max="7196" width="22.5546875" style="450" customWidth="1"/>
    <col min="7197" max="7197" width="45.5546875" style="450" customWidth="1"/>
    <col min="7198" max="7439" width="11.44140625" style="450"/>
    <col min="7440" max="7440" width="44.109375" style="450" customWidth="1"/>
    <col min="7441" max="7441" width="17.44140625" style="450" customWidth="1"/>
    <col min="7442" max="7442" width="18" style="450" customWidth="1"/>
    <col min="7443" max="7443" width="60.44140625" style="450" customWidth="1"/>
    <col min="7444" max="7444" width="13.44140625" style="450" customWidth="1"/>
    <col min="7445" max="7445" width="17.44140625" style="450" customWidth="1"/>
    <col min="7446" max="7446" width="20.5546875" style="450" customWidth="1"/>
    <col min="7447" max="7447" width="17.5546875" style="450" customWidth="1"/>
    <col min="7448" max="7448" width="19.44140625" style="450" customWidth="1"/>
    <col min="7449" max="7449" width="25.5546875" style="450" customWidth="1"/>
    <col min="7450" max="7450" width="22" style="450" customWidth="1"/>
    <col min="7451" max="7451" width="27.88671875" style="450" customWidth="1"/>
    <col min="7452" max="7452" width="22.5546875" style="450" customWidth="1"/>
    <col min="7453" max="7453" width="45.5546875" style="450" customWidth="1"/>
    <col min="7454" max="7695" width="11.44140625" style="450"/>
    <col min="7696" max="7696" width="44.109375" style="450" customWidth="1"/>
    <col min="7697" max="7697" width="17.44140625" style="450" customWidth="1"/>
    <col min="7698" max="7698" width="18" style="450" customWidth="1"/>
    <col min="7699" max="7699" width="60.44140625" style="450" customWidth="1"/>
    <col min="7700" max="7700" width="13.44140625" style="450" customWidth="1"/>
    <col min="7701" max="7701" width="17.44140625" style="450" customWidth="1"/>
    <col min="7702" max="7702" width="20.5546875" style="450" customWidth="1"/>
    <col min="7703" max="7703" width="17.5546875" style="450" customWidth="1"/>
    <col min="7704" max="7704" width="19.44140625" style="450" customWidth="1"/>
    <col min="7705" max="7705" width="25.5546875" style="450" customWidth="1"/>
    <col min="7706" max="7706" width="22" style="450" customWidth="1"/>
    <col min="7707" max="7707" width="27.88671875" style="450" customWidth="1"/>
    <col min="7708" max="7708" width="22.5546875" style="450" customWidth="1"/>
    <col min="7709" max="7709" width="45.5546875" style="450" customWidth="1"/>
    <col min="7710" max="7951" width="11.44140625" style="450"/>
    <col min="7952" max="7952" width="44.109375" style="450" customWidth="1"/>
    <col min="7953" max="7953" width="17.44140625" style="450" customWidth="1"/>
    <col min="7954" max="7954" width="18" style="450" customWidth="1"/>
    <col min="7955" max="7955" width="60.44140625" style="450" customWidth="1"/>
    <col min="7956" max="7956" width="13.44140625" style="450" customWidth="1"/>
    <col min="7957" max="7957" width="17.44140625" style="450" customWidth="1"/>
    <col min="7958" max="7958" width="20.5546875" style="450" customWidth="1"/>
    <col min="7959" max="7959" width="17.5546875" style="450" customWidth="1"/>
    <col min="7960" max="7960" width="19.44140625" style="450" customWidth="1"/>
    <col min="7961" max="7961" width="25.5546875" style="450" customWidth="1"/>
    <col min="7962" max="7962" width="22" style="450" customWidth="1"/>
    <col min="7963" max="7963" width="27.88671875" style="450" customWidth="1"/>
    <col min="7964" max="7964" width="22.5546875" style="450" customWidth="1"/>
    <col min="7965" max="7965" width="45.5546875" style="450" customWidth="1"/>
    <col min="7966" max="8207" width="11.44140625" style="450"/>
    <col min="8208" max="8208" width="44.109375" style="450" customWidth="1"/>
    <col min="8209" max="8209" width="17.44140625" style="450" customWidth="1"/>
    <col min="8210" max="8210" width="18" style="450" customWidth="1"/>
    <col min="8211" max="8211" width="60.44140625" style="450" customWidth="1"/>
    <col min="8212" max="8212" width="13.44140625" style="450" customWidth="1"/>
    <col min="8213" max="8213" width="17.44140625" style="450" customWidth="1"/>
    <col min="8214" max="8214" width="20.5546875" style="450" customWidth="1"/>
    <col min="8215" max="8215" width="17.5546875" style="450" customWidth="1"/>
    <col min="8216" max="8216" width="19.44140625" style="450" customWidth="1"/>
    <col min="8217" max="8217" width="25.5546875" style="450" customWidth="1"/>
    <col min="8218" max="8218" width="22" style="450" customWidth="1"/>
    <col min="8219" max="8219" width="27.88671875" style="450" customWidth="1"/>
    <col min="8220" max="8220" width="22.5546875" style="450" customWidth="1"/>
    <col min="8221" max="8221" width="45.5546875" style="450" customWidth="1"/>
    <col min="8222" max="8463" width="11.44140625" style="450"/>
    <col min="8464" max="8464" width="44.109375" style="450" customWidth="1"/>
    <col min="8465" max="8465" width="17.44140625" style="450" customWidth="1"/>
    <col min="8466" max="8466" width="18" style="450" customWidth="1"/>
    <col min="8467" max="8467" width="60.44140625" style="450" customWidth="1"/>
    <col min="8468" max="8468" width="13.44140625" style="450" customWidth="1"/>
    <col min="8469" max="8469" width="17.44140625" style="450" customWidth="1"/>
    <col min="8470" max="8470" width="20.5546875" style="450" customWidth="1"/>
    <col min="8471" max="8471" width="17.5546875" style="450" customWidth="1"/>
    <col min="8472" max="8472" width="19.44140625" style="450" customWidth="1"/>
    <col min="8473" max="8473" width="25.5546875" style="450" customWidth="1"/>
    <col min="8474" max="8474" width="22" style="450" customWidth="1"/>
    <col min="8475" max="8475" width="27.88671875" style="450" customWidth="1"/>
    <col min="8476" max="8476" width="22.5546875" style="450" customWidth="1"/>
    <col min="8477" max="8477" width="45.5546875" style="450" customWidth="1"/>
    <col min="8478" max="8719" width="11.44140625" style="450"/>
    <col min="8720" max="8720" width="44.109375" style="450" customWidth="1"/>
    <col min="8721" max="8721" width="17.44140625" style="450" customWidth="1"/>
    <col min="8722" max="8722" width="18" style="450" customWidth="1"/>
    <col min="8723" max="8723" width="60.44140625" style="450" customWidth="1"/>
    <col min="8724" max="8724" width="13.44140625" style="450" customWidth="1"/>
    <col min="8725" max="8725" width="17.44140625" style="450" customWidth="1"/>
    <col min="8726" max="8726" width="20.5546875" style="450" customWidth="1"/>
    <col min="8727" max="8727" width="17.5546875" style="450" customWidth="1"/>
    <col min="8728" max="8728" width="19.44140625" style="450" customWidth="1"/>
    <col min="8729" max="8729" width="25.5546875" style="450" customWidth="1"/>
    <col min="8730" max="8730" width="22" style="450" customWidth="1"/>
    <col min="8731" max="8731" width="27.88671875" style="450" customWidth="1"/>
    <col min="8732" max="8732" width="22.5546875" style="450" customWidth="1"/>
    <col min="8733" max="8733" width="45.5546875" style="450" customWidth="1"/>
    <col min="8734" max="8975" width="11.44140625" style="450"/>
    <col min="8976" max="8976" width="44.109375" style="450" customWidth="1"/>
    <col min="8977" max="8977" width="17.44140625" style="450" customWidth="1"/>
    <col min="8978" max="8978" width="18" style="450" customWidth="1"/>
    <col min="8979" max="8979" width="60.44140625" style="450" customWidth="1"/>
    <col min="8980" max="8980" width="13.44140625" style="450" customWidth="1"/>
    <col min="8981" max="8981" width="17.44140625" style="450" customWidth="1"/>
    <col min="8982" max="8982" width="20.5546875" style="450" customWidth="1"/>
    <col min="8983" max="8983" width="17.5546875" style="450" customWidth="1"/>
    <col min="8984" max="8984" width="19.44140625" style="450" customWidth="1"/>
    <col min="8985" max="8985" width="25.5546875" style="450" customWidth="1"/>
    <col min="8986" max="8986" width="22" style="450" customWidth="1"/>
    <col min="8987" max="8987" width="27.88671875" style="450" customWidth="1"/>
    <col min="8988" max="8988" width="22.5546875" style="450" customWidth="1"/>
    <col min="8989" max="8989" width="45.5546875" style="450" customWidth="1"/>
    <col min="8990" max="9231" width="11.44140625" style="450"/>
    <col min="9232" max="9232" width="44.109375" style="450" customWidth="1"/>
    <col min="9233" max="9233" width="17.44140625" style="450" customWidth="1"/>
    <col min="9234" max="9234" width="18" style="450" customWidth="1"/>
    <col min="9235" max="9235" width="60.44140625" style="450" customWidth="1"/>
    <col min="9236" max="9236" width="13.44140625" style="450" customWidth="1"/>
    <col min="9237" max="9237" width="17.44140625" style="450" customWidth="1"/>
    <col min="9238" max="9238" width="20.5546875" style="450" customWidth="1"/>
    <col min="9239" max="9239" width="17.5546875" style="450" customWidth="1"/>
    <col min="9240" max="9240" width="19.44140625" style="450" customWidth="1"/>
    <col min="9241" max="9241" width="25.5546875" style="450" customWidth="1"/>
    <col min="9242" max="9242" width="22" style="450" customWidth="1"/>
    <col min="9243" max="9243" width="27.88671875" style="450" customWidth="1"/>
    <col min="9244" max="9244" width="22.5546875" style="450" customWidth="1"/>
    <col min="9245" max="9245" width="45.5546875" style="450" customWidth="1"/>
    <col min="9246" max="9487" width="11.44140625" style="450"/>
    <col min="9488" max="9488" width="44.109375" style="450" customWidth="1"/>
    <col min="9489" max="9489" width="17.44140625" style="450" customWidth="1"/>
    <col min="9490" max="9490" width="18" style="450" customWidth="1"/>
    <col min="9491" max="9491" width="60.44140625" style="450" customWidth="1"/>
    <col min="9492" max="9492" width="13.44140625" style="450" customWidth="1"/>
    <col min="9493" max="9493" width="17.44140625" style="450" customWidth="1"/>
    <col min="9494" max="9494" width="20.5546875" style="450" customWidth="1"/>
    <col min="9495" max="9495" width="17.5546875" style="450" customWidth="1"/>
    <col min="9496" max="9496" width="19.44140625" style="450" customWidth="1"/>
    <col min="9497" max="9497" width="25.5546875" style="450" customWidth="1"/>
    <col min="9498" max="9498" width="22" style="450" customWidth="1"/>
    <col min="9499" max="9499" width="27.88671875" style="450" customWidth="1"/>
    <col min="9500" max="9500" width="22.5546875" style="450" customWidth="1"/>
    <col min="9501" max="9501" width="45.5546875" style="450" customWidth="1"/>
    <col min="9502" max="9743" width="11.44140625" style="450"/>
    <col min="9744" max="9744" width="44.109375" style="450" customWidth="1"/>
    <col min="9745" max="9745" width="17.44140625" style="450" customWidth="1"/>
    <col min="9746" max="9746" width="18" style="450" customWidth="1"/>
    <col min="9747" max="9747" width="60.44140625" style="450" customWidth="1"/>
    <col min="9748" max="9748" width="13.44140625" style="450" customWidth="1"/>
    <col min="9749" max="9749" width="17.44140625" style="450" customWidth="1"/>
    <col min="9750" max="9750" width="20.5546875" style="450" customWidth="1"/>
    <col min="9751" max="9751" width="17.5546875" style="450" customWidth="1"/>
    <col min="9752" max="9752" width="19.44140625" style="450" customWidth="1"/>
    <col min="9753" max="9753" width="25.5546875" style="450" customWidth="1"/>
    <col min="9754" max="9754" width="22" style="450" customWidth="1"/>
    <col min="9755" max="9755" width="27.88671875" style="450" customWidth="1"/>
    <col min="9756" max="9756" width="22.5546875" style="450" customWidth="1"/>
    <col min="9757" max="9757" width="45.5546875" style="450" customWidth="1"/>
    <col min="9758" max="9999" width="11.44140625" style="450"/>
    <col min="10000" max="10000" width="44.109375" style="450" customWidth="1"/>
    <col min="10001" max="10001" width="17.44140625" style="450" customWidth="1"/>
    <col min="10002" max="10002" width="18" style="450" customWidth="1"/>
    <col min="10003" max="10003" width="60.44140625" style="450" customWidth="1"/>
    <col min="10004" max="10004" width="13.44140625" style="450" customWidth="1"/>
    <col min="10005" max="10005" width="17.44140625" style="450" customWidth="1"/>
    <col min="10006" max="10006" width="20.5546875" style="450" customWidth="1"/>
    <col min="10007" max="10007" width="17.5546875" style="450" customWidth="1"/>
    <col min="10008" max="10008" width="19.44140625" style="450" customWidth="1"/>
    <col min="10009" max="10009" width="25.5546875" style="450" customWidth="1"/>
    <col min="10010" max="10010" width="22" style="450" customWidth="1"/>
    <col min="10011" max="10011" width="27.88671875" style="450" customWidth="1"/>
    <col min="10012" max="10012" width="22.5546875" style="450" customWidth="1"/>
    <col min="10013" max="10013" width="45.5546875" style="450" customWidth="1"/>
    <col min="10014" max="10255" width="11.44140625" style="450"/>
    <col min="10256" max="10256" width="44.109375" style="450" customWidth="1"/>
    <col min="10257" max="10257" width="17.44140625" style="450" customWidth="1"/>
    <col min="10258" max="10258" width="18" style="450" customWidth="1"/>
    <col min="10259" max="10259" width="60.44140625" style="450" customWidth="1"/>
    <col min="10260" max="10260" width="13.44140625" style="450" customWidth="1"/>
    <col min="10261" max="10261" width="17.44140625" style="450" customWidth="1"/>
    <col min="10262" max="10262" width="20.5546875" style="450" customWidth="1"/>
    <col min="10263" max="10263" width="17.5546875" style="450" customWidth="1"/>
    <col min="10264" max="10264" width="19.44140625" style="450" customWidth="1"/>
    <col min="10265" max="10265" width="25.5546875" style="450" customWidth="1"/>
    <col min="10266" max="10266" width="22" style="450" customWidth="1"/>
    <col min="10267" max="10267" width="27.88671875" style="450" customWidth="1"/>
    <col min="10268" max="10268" width="22.5546875" style="450" customWidth="1"/>
    <col min="10269" max="10269" width="45.5546875" style="450" customWidth="1"/>
    <col min="10270" max="10511" width="11.44140625" style="450"/>
    <col min="10512" max="10512" width="44.109375" style="450" customWidth="1"/>
    <col min="10513" max="10513" width="17.44140625" style="450" customWidth="1"/>
    <col min="10514" max="10514" width="18" style="450" customWidth="1"/>
    <col min="10515" max="10515" width="60.44140625" style="450" customWidth="1"/>
    <col min="10516" max="10516" width="13.44140625" style="450" customWidth="1"/>
    <col min="10517" max="10517" width="17.44140625" style="450" customWidth="1"/>
    <col min="10518" max="10518" width="20.5546875" style="450" customWidth="1"/>
    <col min="10519" max="10519" width="17.5546875" style="450" customWidth="1"/>
    <col min="10520" max="10520" width="19.44140625" style="450" customWidth="1"/>
    <col min="10521" max="10521" width="25.5546875" style="450" customWidth="1"/>
    <col min="10522" max="10522" width="22" style="450" customWidth="1"/>
    <col min="10523" max="10523" width="27.88671875" style="450" customWidth="1"/>
    <col min="10524" max="10524" width="22.5546875" style="450" customWidth="1"/>
    <col min="10525" max="10525" width="45.5546875" style="450" customWidth="1"/>
    <col min="10526" max="10767" width="11.44140625" style="450"/>
    <col min="10768" max="10768" width="44.109375" style="450" customWidth="1"/>
    <col min="10769" max="10769" width="17.44140625" style="450" customWidth="1"/>
    <col min="10770" max="10770" width="18" style="450" customWidth="1"/>
    <col min="10771" max="10771" width="60.44140625" style="450" customWidth="1"/>
    <col min="10772" max="10772" width="13.44140625" style="450" customWidth="1"/>
    <col min="10773" max="10773" width="17.44140625" style="450" customWidth="1"/>
    <col min="10774" max="10774" width="20.5546875" style="450" customWidth="1"/>
    <col min="10775" max="10775" width="17.5546875" style="450" customWidth="1"/>
    <col min="10776" max="10776" width="19.44140625" style="450" customWidth="1"/>
    <col min="10777" max="10777" width="25.5546875" style="450" customWidth="1"/>
    <col min="10778" max="10778" width="22" style="450" customWidth="1"/>
    <col min="10779" max="10779" width="27.88671875" style="450" customWidth="1"/>
    <col min="10780" max="10780" width="22.5546875" style="450" customWidth="1"/>
    <col min="10781" max="10781" width="45.5546875" style="450" customWidth="1"/>
    <col min="10782" max="11023" width="11.44140625" style="450"/>
    <col min="11024" max="11024" width="44.109375" style="450" customWidth="1"/>
    <col min="11025" max="11025" width="17.44140625" style="450" customWidth="1"/>
    <col min="11026" max="11026" width="18" style="450" customWidth="1"/>
    <col min="11027" max="11027" width="60.44140625" style="450" customWidth="1"/>
    <col min="11028" max="11028" width="13.44140625" style="450" customWidth="1"/>
    <col min="11029" max="11029" width="17.44140625" style="450" customWidth="1"/>
    <col min="11030" max="11030" width="20.5546875" style="450" customWidth="1"/>
    <col min="11031" max="11031" width="17.5546875" style="450" customWidth="1"/>
    <col min="11032" max="11032" width="19.44140625" style="450" customWidth="1"/>
    <col min="11033" max="11033" width="25.5546875" style="450" customWidth="1"/>
    <col min="11034" max="11034" width="22" style="450" customWidth="1"/>
    <col min="11035" max="11035" width="27.88671875" style="450" customWidth="1"/>
    <col min="11036" max="11036" width="22.5546875" style="450" customWidth="1"/>
    <col min="11037" max="11037" width="45.5546875" style="450" customWidth="1"/>
    <col min="11038" max="11279" width="11.44140625" style="450"/>
    <col min="11280" max="11280" width="44.109375" style="450" customWidth="1"/>
    <col min="11281" max="11281" width="17.44140625" style="450" customWidth="1"/>
    <col min="11282" max="11282" width="18" style="450" customWidth="1"/>
    <col min="11283" max="11283" width="60.44140625" style="450" customWidth="1"/>
    <col min="11284" max="11284" width="13.44140625" style="450" customWidth="1"/>
    <col min="11285" max="11285" width="17.44140625" style="450" customWidth="1"/>
    <col min="11286" max="11286" width="20.5546875" style="450" customWidth="1"/>
    <col min="11287" max="11287" width="17.5546875" style="450" customWidth="1"/>
    <col min="11288" max="11288" width="19.44140625" style="450" customWidth="1"/>
    <col min="11289" max="11289" width="25.5546875" style="450" customWidth="1"/>
    <col min="11290" max="11290" width="22" style="450" customWidth="1"/>
    <col min="11291" max="11291" width="27.88671875" style="450" customWidth="1"/>
    <col min="11292" max="11292" width="22.5546875" style="450" customWidth="1"/>
    <col min="11293" max="11293" width="45.5546875" style="450" customWidth="1"/>
    <col min="11294" max="11535" width="11.44140625" style="450"/>
    <col min="11536" max="11536" width="44.109375" style="450" customWidth="1"/>
    <col min="11537" max="11537" width="17.44140625" style="450" customWidth="1"/>
    <col min="11538" max="11538" width="18" style="450" customWidth="1"/>
    <col min="11539" max="11539" width="60.44140625" style="450" customWidth="1"/>
    <col min="11540" max="11540" width="13.44140625" style="450" customWidth="1"/>
    <col min="11541" max="11541" width="17.44140625" style="450" customWidth="1"/>
    <col min="11542" max="11542" width="20.5546875" style="450" customWidth="1"/>
    <col min="11543" max="11543" width="17.5546875" style="450" customWidth="1"/>
    <col min="11544" max="11544" width="19.44140625" style="450" customWidth="1"/>
    <col min="11545" max="11545" width="25.5546875" style="450" customWidth="1"/>
    <col min="11546" max="11546" width="22" style="450" customWidth="1"/>
    <col min="11547" max="11547" width="27.88671875" style="450" customWidth="1"/>
    <col min="11548" max="11548" width="22.5546875" style="450" customWidth="1"/>
    <col min="11549" max="11549" width="45.5546875" style="450" customWidth="1"/>
    <col min="11550" max="11791" width="11.44140625" style="450"/>
    <col min="11792" max="11792" width="44.109375" style="450" customWidth="1"/>
    <col min="11793" max="11793" width="17.44140625" style="450" customWidth="1"/>
    <col min="11794" max="11794" width="18" style="450" customWidth="1"/>
    <col min="11795" max="11795" width="60.44140625" style="450" customWidth="1"/>
    <col min="11796" max="11796" width="13.44140625" style="450" customWidth="1"/>
    <col min="11797" max="11797" width="17.44140625" style="450" customWidth="1"/>
    <col min="11798" max="11798" width="20.5546875" style="450" customWidth="1"/>
    <col min="11799" max="11799" width="17.5546875" style="450" customWidth="1"/>
    <col min="11800" max="11800" width="19.44140625" style="450" customWidth="1"/>
    <col min="11801" max="11801" width="25.5546875" style="450" customWidth="1"/>
    <col min="11802" max="11802" width="22" style="450" customWidth="1"/>
    <col min="11803" max="11803" width="27.88671875" style="450" customWidth="1"/>
    <col min="11804" max="11804" width="22.5546875" style="450" customWidth="1"/>
    <col min="11805" max="11805" width="45.5546875" style="450" customWidth="1"/>
    <col min="11806" max="12047" width="11.44140625" style="450"/>
    <col min="12048" max="12048" width="44.109375" style="450" customWidth="1"/>
    <col min="12049" max="12049" width="17.44140625" style="450" customWidth="1"/>
    <col min="12050" max="12050" width="18" style="450" customWidth="1"/>
    <col min="12051" max="12051" width="60.44140625" style="450" customWidth="1"/>
    <col min="12052" max="12052" width="13.44140625" style="450" customWidth="1"/>
    <col min="12053" max="12053" width="17.44140625" style="450" customWidth="1"/>
    <col min="12054" max="12054" width="20.5546875" style="450" customWidth="1"/>
    <col min="12055" max="12055" width="17.5546875" style="450" customWidth="1"/>
    <col min="12056" max="12056" width="19.44140625" style="450" customWidth="1"/>
    <col min="12057" max="12057" width="25.5546875" style="450" customWidth="1"/>
    <col min="12058" max="12058" width="22" style="450" customWidth="1"/>
    <col min="12059" max="12059" width="27.88671875" style="450" customWidth="1"/>
    <col min="12060" max="12060" width="22.5546875" style="450" customWidth="1"/>
    <col min="12061" max="12061" width="45.5546875" style="450" customWidth="1"/>
    <col min="12062" max="12303" width="11.44140625" style="450"/>
    <col min="12304" max="12304" width="44.109375" style="450" customWidth="1"/>
    <col min="12305" max="12305" width="17.44140625" style="450" customWidth="1"/>
    <col min="12306" max="12306" width="18" style="450" customWidth="1"/>
    <col min="12307" max="12307" width="60.44140625" style="450" customWidth="1"/>
    <col min="12308" max="12308" width="13.44140625" style="450" customWidth="1"/>
    <col min="12309" max="12309" width="17.44140625" style="450" customWidth="1"/>
    <col min="12310" max="12310" width="20.5546875" style="450" customWidth="1"/>
    <col min="12311" max="12311" width="17.5546875" style="450" customWidth="1"/>
    <col min="12312" max="12312" width="19.44140625" style="450" customWidth="1"/>
    <col min="12313" max="12313" width="25.5546875" style="450" customWidth="1"/>
    <col min="12314" max="12314" width="22" style="450" customWidth="1"/>
    <col min="12315" max="12315" width="27.88671875" style="450" customWidth="1"/>
    <col min="12316" max="12316" width="22.5546875" style="450" customWidth="1"/>
    <col min="12317" max="12317" width="45.5546875" style="450" customWidth="1"/>
    <col min="12318" max="12559" width="11.44140625" style="450"/>
    <col min="12560" max="12560" width="44.109375" style="450" customWidth="1"/>
    <col min="12561" max="12561" width="17.44140625" style="450" customWidth="1"/>
    <col min="12562" max="12562" width="18" style="450" customWidth="1"/>
    <col min="12563" max="12563" width="60.44140625" style="450" customWidth="1"/>
    <col min="12564" max="12564" width="13.44140625" style="450" customWidth="1"/>
    <col min="12565" max="12565" width="17.44140625" style="450" customWidth="1"/>
    <col min="12566" max="12566" width="20.5546875" style="450" customWidth="1"/>
    <col min="12567" max="12567" width="17.5546875" style="450" customWidth="1"/>
    <col min="12568" max="12568" width="19.44140625" style="450" customWidth="1"/>
    <col min="12569" max="12569" width="25.5546875" style="450" customWidth="1"/>
    <col min="12570" max="12570" width="22" style="450" customWidth="1"/>
    <col min="12571" max="12571" width="27.88671875" style="450" customWidth="1"/>
    <col min="12572" max="12572" width="22.5546875" style="450" customWidth="1"/>
    <col min="12573" max="12573" width="45.5546875" style="450" customWidth="1"/>
    <col min="12574" max="12815" width="11.44140625" style="450"/>
    <col min="12816" max="12816" width="44.109375" style="450" customWidth="1"/>
    <col min="12817" max="12817" width="17.44140625" style="450" customWidth="1"/>
    <col min="12818" max="12818" width="18" style="450" customWidth="1"/>
    <col min="12819" max="12819" width="60.44140625" style="450" customWidth="1"/>
    <col min="12820" max="12820" width="13.44140625" style="450" customWidth="1"/>
    <col min="12821" max="12821" width="17.44140625" style="450" customWidth="1"/>
    <col min="12822" max="12822" width="20.5546875" style="450" customWidth="1"/>
    <col min="12823" max="12823" width="17.5546875" style="450" customWidth="1"/>
    <col min="12824" max="12824" width="19.44140625" style="450" customWidth="1"/>
    <col min="12825" max="12825" width="25.5546875" style="450" customWidth="1"/>
    <col min="12826" max="12826" width="22" style="450" customWidth="1"/>
    <col min="12827" max="12827" width="27.88671875" style="450" customWidth="1"/>
    <col min="12828" max="12828" width="22.5546875" style="450" customWidth="1"/>
    <col min="12829" max="12829" width="45.5546875" style="450" customWidth="1"/>
    <col min="12830" max="13071" width="11.44140625" style="450"/>
    <col min="13072" max="13072" width="44.109375" style="450" customWidth="1"/>
    <col min="13073" max="13073" width="17.44140625" style="450" customWidth="1"/>
    <col min="13074" max="13074" width="18" style="450" customWidth="1"/>
    <col min="13075" max="13075" width="60.44140625" style="450" customWidth="1"/>
    <col min="13076" max="13076" width="13.44140625" style="450" customWidth="1"/>
    <col min="13077" max="13077" width="17.44140625" style="450" customWidth="1"/>
    <col min="13078" max="13078" width="20.5546875" style="450" customWidth="1"/>
    <col min="13079" max="13079" width="17.5546875" style="450" customWidth="1"/>
    <col min="13080" max="13080" width="19.44140625" style="450" customWidth="1"/>
    <col min="13081" max="13081" width="25.5546875" style="450" customWidth="1"/>
    <col min="13082" max="13082" width="22" style="450" customWidth="1"/>
    <col min="13083" max="13083" width="27.88671875" style="450" customWidth="1"/>
    <col min="13084" max="13084" width="22.5546875" style="450" customWidth="1"/>
    <col min="13085" max="13085" width="45.5546875" style="450" customWidth="1"/>
    <col min="13086" max="13327" width="11.44140625" style="450"/>
    <col min="13328" max="13328" width="44.109375" style="450" customWidth="1"/>
    <col min="13329" max="13329" width="17.44140625" style="450" customWidth="1"/>
    <col min="13330" max="13330" width="18" style="450" customWidth="1"/>
    <col min="13331" max="13331" width="60.44140625" style="450" customWidth="1"/>
    <col min="13332" max="13332" width="13.44140625" style="450" customWidth="1"/>
    <col min="13333" max="13333" width="17.44140625" style="450" customWidth="1"/>
    <col min="13334" max="13334" width="20.5546875" style="450" customWidth="1"/>
    <col min="13335" max="13335" width="17.5546875" style="450" customWidth="1"/>
    <col min="13336" max="13336" width="19.44140625" style="450" customWidth="1"/>
    <col min="13337" max="13337" width="25.5546875" style="450" customWidth="1"/>
    <col min="13338" max="13338" width="22" style="450" customWidth="1"/>
    <col min="13339" max="13339" width="27.88671875" style="450" customWidth="1"/>
    <col min="13340" max="13340" width="22.5546875" style="450" customWidth="1"/>
    <col min="13341" max="13341" width="45.5546875" style="450" customWidth="1"/>
    <col min="13342" max="13583" width="11.44140625" style="450"/>
    <col min="13584" max="13584" width="44.109375" style="450" customWidth="1"/>
    <col min="13585" max="13585" width="17.44140625" style="450" customWidth="1"/>
    <col min="13586" max="13586" width="18" style="450" customWidth="1"/>
    <col min="13587" max="13587" width="60.44140625" style="450" customWidth="1"/>
    <col min="13588" max="13588" width="13.44140625" style="450" customWidth="1"/>
    <col min="13589" max="13589" width="17.44140625" style="450" customWidth="1"/>
    <col min="13590" max="13590" width="20.5546875" style="450" customWidth="1"/>
    <col min="13591" max="13591" width="17.5546875" style="450" customWidth="1"/>
    <col min="13592" max="13592" width="19.44140625" style="450" customWidth="1"/>
    <col min="13593" max="13593" width="25.5546875" style="450" customWidth="1"/>
    <col min="13594" max="13594" width="22" style="450" customWidth="1"/>
    <col min="13595" max="13595" width="27.88671875" style="450" customWidth="1"/>
    <col min="13596" max="13596" width="22.5546875" style="450" customWidth="1"/>
    <col min="13597" max="13597" width="45.5546875" style="450" customWidth="1"/>
    <col min="13598" max="13839" width="11.44140625" style="450"/>
    <col min="13840" max="13840" width="44.109375" style="450" customWidth="1"/>
    <col min="13841" max="13841" width="17.44140625" style="450" customWidth="1"/>
    <col min="13842" max="13842" width="18" style="450" customWidth="1"/>
    <col min="13843" max="13843" width="60.44140625" style="450" customWidth="1"/>
    <col min="13844" max="13844" width="13.44140625" style="450" customWidth="1"/>
    <col min="13845" max="13845" width="17.44140625" style="450" customWidth="1"/>
    <col min="13846" max="13846" width="20.5546875" style="450" customWidth="1"/>
    <col min="13847" max="13847" width="17.5546875" style="450" customWidth="1"/>
    <col min="13848" max="13848" width="19.44140625" style="450" customWidth="1"/>
    <col min="13849" max="13849" width="25.5546875" style="450" customWidth="1"/>
    <col min="13850" max="13850" width="22" style="450" customWidth="1"/>
    <col min="13851" max="13851" width="27.88671875" style="450" customWidth="1"/>
    <col min="13852" max="13852" width="22.5546875" style="450" customWidth="1"/>
    <col min="13853" max="13853" width="45.5546875" style="450" customWidth="1"/>
    <col min="13854" max="14095" width="11.44140625" style="450"/>
    <col min="14096" max="14096" width="44.109375" style="450" customWidth="1"/>
    <col min="14097" max="14097" width="17.44140625" style="450" customWidth="1"/>
    <col min="14098" max="14098" width="18" style="450" customWidth="1"/>
    <col min="14099" max="14099" width="60.44140625" style="450" customWidth="1"/>
    <col min="14100" max="14100" width="13.44140625" style="450" customWidth="1"/>
    <col min="14101" max="14101" width="17.44140625" style="450" customWidth="1"/>
    <col min="14102" max="14102" width="20.5546875" style="450" customWidth="1"/>
    <col min="14103" max="14103" width="17.5546875" style="450" customWidth="1"/>
    <col min="14104" max="14104" width="19.44140625" style="450" customWidth="1"/>
    <col min="14105" max="14105" width="25.5546875" style="450" customWidth="1"/>
    <col min="14106" max="14106" width="22" style="450" customWidth="1"/>
    <col min="14107" max="14107" width="27.88671875" style="450" customWidth="1"/>
    <col min="14108" max="14108" width="22.5546875" style="450" customWidth="1"/>
    <col min="14109" max="14109" width="45.5546875" style="450" customWidth="1"/>
    <col min="14110" max="14351" width="11.44140625" style="450"/>
    <col min="14352" max="14352" width="44.109375" style="450" customWidth="1"/>
    <col min="14353" max="14353" width="17.44140625" style="450" customWidth="1"/>
    <col min="14354" max="14354" width="18" style="450" customWidth="1"/>
    <col min="14355" max="14355" width="60.44140625" style="450" customWidth="1"/>
    <col min="14356" max="14356" width="13.44140625" style="450" customWidth="1"/>
    <col min="14357" max="14357" width="17.44140625" style="450" customWidth="1"/>
    <col min="14358" max="14358" width="20.5546875" style="450" customWidth="1"/>
    <col min="14359" max="14359" width="17.5546875" style="450" customWidth="1"/>
    <col min="14360" max="14360" width="19.44140625" style="450" customWidth="1"/>
    <col min="14361" max="14361" width="25.5546875" style="450" customWidth="1"/>
    <col min="14362" max="14362" width="22" style="450" customWidth="1"/>
    <col min="14363" max="14363" width="27.88671875" style="450" customWidth="1"/>
    <col min="14364" max="14364" width="22.5546875" style="450" customWidth="1"/>
    <col min="14365" max="14365" width="45.5546875" style="450" customWidth="1"/>
    <col min="14366" max="14607" width="11.44140625" style="450"/>
    <col min="14608" max="14608" width="44.109375" style="450" customWidth="1"/>
    <col min="14609" max="14609" width="17.44140625" style="450" customWidth="1"/>
    <col min="14610" max="14610" width="18" style="450" customWidth="1"/>
    <col min="14611" max="14611" width="60.44140625" style="450" customWidth="1"/>
    <col min="14612" max="14612" width="13.44140625" style="450" customWidth="1"/>
    <col min="14613" max="14613" width="17.44140625" style="450" customWidth="1"/>
    <col min="14614" max="14614" width="20.5546875" style="450" customWidth="1"/>
    <col min="14615" max="14615" width="17.5546875" style="450" customWidth="1"/>
    <col min="14616" max="14616" width="19.44140625" style="450" customWidth="1"/>
    <col min="14617" max="14617" width="25.5546875" style="450" customWidth="1"/>
    <col min="14618" max="14618" width="22" style="450" customWidth="1"/>
    <col min="14619" max="14619" width="27.88671875" style="450" customWidth="1"/>
    <col min="14620" max="14620" width="22.5546875" style="450" customWidth="1"/>
    <col min="14621" max="14621" width="45.5546875" style="450" customWidth="1"/>
    <col min="14622" max="14863" width="11.44140625" style="450"/>
    <col min="14864" max="14864" width="44.109375" style="450" customWidth="1"/>
    <col min="14865" max="14865" width="17.44140625" style="450" customWidth="1"/>
    <col min="14866" max="14866" width="18" style="450" customWidth="1"/>
    <col min="14867" max="14867" width="60.44140625" style="450" customWidth="1"/>
    <col min="14868" max="14868" width="13.44140625" style="450" customWidth="1"/>
    <col min="14869" max="14869" width="17.44140625" style="450" customWidth="1"/>
    <col min="14870" max="14870" width="20.5546875" style="450" customWidth="1"/>
    <col min="14871" max="14871" width="17.5546875" style="450" customWidth="1"/>
    <col min="14872" max="14872" width="19.44140625" style="450" customWidth="1"/>
    <col min="14873" max="14873" width="25.5546875" style="450" customWidth="1"/>
    <col min="14874" max="14874" width="22" style="450" customWidth="1"/>
    <col min="14875" max="14875" width="27.88671875" style="450" customWidth="1"/>
    <col min="14876" max="14876" width="22.5546875" style="450" customWidth="1"/>
    <col min="14877" max="14877" width="45.5546875" style="450" customWidth="1"/>
    <col min="14878" max="15119" width="11.44140625" style="450"/>
    <col min="15120" max="15120" width="44.109375" style="450" customWidth="1"/>
    <col min="15121" max="15121" width="17.44140625" style="450" customWidth="1"/>
    <col min="15122" max="15122" width="18" style="450" customWidth="1"/>
    <col min="15123" max="15123" width="60.44140625" style="450" customWidth="1"/>
    <col min="15124" max="15124" width="13.44140625" style="450" customWidth="1"/>
    <col min="15125" max="15125" width="17.44140625" style="450" customWidth="1"/>
    <col min="15126" max="15126" width="20.5546875" style="450" customWidth="1"/>
    <col min="15127" max="15127" width="17.5546875" style="450" customWidth="1"/>
    <col min="15128" max="15128" width="19.44140625" style="450" customWidth="1"/>
    <col min="15129" max="15129" width="25.5546875" style="450" customWidth="1"/>
    <col min="15130" max="15130" width="22" style="450" customWidth="1"/>
    <col min="15131" max="15131" width="27.88671875" style="450" customWidth="1"/>
    <col min="15132" max="15132" width="22.5546875" style="450" customWidth="1"/>
    <col min="15133" max="15133" width="45.5546875" style="450" customWidth="1"/>
    <col min="15134" max="15375" width="11.44140625" style="450"/>
    <col min="15376" max="15376" width="44.109375" style="450" customWidth="1"/>
    <col min="15377" max="15377" width="17.44140625" style="450" customWidth="1"/>
    <col min="15378" max="15378" width="18" style="450" customWidth="1"/>
    <col min="15379" max="15379" width="60.44140625" style="450" customWidth="1"/>
    <col min="15380" max="15380" width="13.44140625" style="450" customWidth="1"/>
    <col min="15381" max="15381" width="17.44140625" style="450" customWidth="1"/>
    <col min="15382" max="15382" width="20.5546875" style="450" customWidth="1"/>
    <col min="15383" max="15383" width="17.5546875" style="450" customWidth="1"/>
    <col min="15384" max="15384" width="19.44140625" style="450" customWidth="1"/>
    <col min="15385" max="15385" width="25.5546875" style="450" customWidth="1"/>
    <col min="15386" max="15386" width="22" style="450" customWidth="1"/>
    <col min="15387" max="15387" width="27.88671875" style="450" customWidth="1"/>
    <col min="15388" max="15388" width="22.5546875" style="450" customWidth="1"/>
    <col min="15389" max="15389" width="45.5546875" style="450" customWidth="1"/>
    <col min="15390" max="15631" width="11.44140625" style="450"/>
    <col min="15632" max="15632" width="44.109375" style="450" customWidth="1"/>
    <col min="15633" max="15633" width="17.44140625" style="450" customWidth="1"/>
    <col min="15634" max="15634" width="18" style="450" customWidth="1"/>
    <col min="15635" max="15635" width="60.44140625" style="450" customWidth="1"/>
    <col min="15636" max="15636" width="13.44140625" style="450" customWidth="1"/>
    <col min="15637" max="15637" width="17.44140625" style="450" customWidth="1"/>
    <col min="15638" max="15638" width="20.5546875" style="450" customWidth="1"/>
    <col min="15639" max="15639" width="17.5546875" style="450" customWidth="1"/>
    <col min="15640" max="15640" width="19.44140625" style="450" customWidth="1"/>
    <col min="15641" max="15641" width="25.5546875" style="450" customWidth="1"/>
    <col min="15642" max="15642" width="22" style="450" customWidth="1"/>
    <col min="15643" max="15643" width="27.88671875" style="450" customWidth="1"/>
    <col min="15644" max="15644" width="22.5546875" style="450" customWidth="1"/>
    <col min="15645" max="15645" width="45.5546875" style="450" customWidth="1"/>
    <col min="15646" max="15887" width="11.44140625" style="450"/>
    <col min="15888" max="15888" width="44.109375" style="450" customWidth="1"/>
    <col min="15889" max="15889" width="17.44140625" style="450" customWidth="1"/>
    <col min="15890" max="15890" width="18" style="450" customWidth="1"/>
    <col min="15891" max="15891" width="60.44140625" style="450" customWidth="1"/>
    <col min="15892" max="15892" width="13.44140625" style="450" customWidth="1"/>
    <col min="15893" max="15893" width="17.44140625" style="450" customWidth="1"/>
    <col min="15894" max="15894" width="20.5546875" style="450" customWidth="1"/>
    <col min="15895" max="15895" width="17.5546875" style="450" customWidth="1"/>
    <col min="15896" max="15896" width="19.44140625" style="450" customWidth="1"/>
    <col min="15897" max="15897" width="25.5546875" style="450" customWidth="1"/>
    <col min="15898" max="15898" width="22" style="450" customWidth="1"/>
    <col min="15899" max="15899" width="27.88671875" style="450" customWidth="1"/>
    <col min="15900" max="15900" width="22.5546875" style="450" customWidth="1"/>
    <col min="15901" max="15901" width="45.5546875" style="450" customWidth="1"/>
    <col min="15902" max="16143" width="11.44140625" style="450"/>
    <col min="16144" max="16144" width="44.109375" style="450" customWidth="1"/>
    <col min="16145" max="16145" width="17.44140625" style="450" customWidth="1"/>
    <col min="16146" max="16146" width="18" style="450" customWidth="1"/>
    <col min="16147" max="16147" width="60.44140625" style="450" customWidth="1"/>
    <col min="16148" max="16148" width="13.44140625" style="450" customWidth="1"/>
    <col min="16149" max="16149" width="17.44140625" style="450" customWidth="1"/>
    <col min="16150" max="16150" width="20.5546875" style="450" customWidth="1"/>
    <col min="16151" max="16151" width="17.5546875" style="450" customWidth="1"/>
    <col min="16152" max="16152" width="19.44140625" style="450" customWidth="1"/>
    <col min="16153" max="16153" width="25.5546875" style="450" customWidth="1"/>
    <col min="16154" max="16154" width="22" style="450" customWidth="1"/>
    <col min="16155" max="16155" width="27.88671875" style="450" customWidth="1"/>
    <col min="16156" max="16156" width="22.5546875" style="450" customWidth="1"/>
    <col min="16157" max="16157" width="45.5546875" style="450" customWidth="1"/>
    <col min="16158" max="16384" width="11.44140625" style="450"/>
  </cols>
  <sheetData>
    <row r="1" spans="1:32" ht="65.400000000000006" customHeight="1" x14ac:dyDescent="0.3">
      <c r="A1" s="541"/>
      <c r="B1" s="542"/>
      <c r="C1" s="543" t="s">
        <v>1132</v>
      </c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5"/>
      <c r="S1" s="545"/>
      <c r="T1" s="545"/>
      <c r="U1" s="545"/>
      <c r="V1" s="545"/>
      <c r="W1" s="545"/>
      <c r="X1" s="545"/>
      <c r="Y1" s="545"/>
      <c r="Z1" s="544"/>
      <c r="AA1" s="545"/>
      <c r="AB1" s="544"/>
      <c r="AC1" s="495"/>
    </row>
    <row r="2" spans="1:32" ht="15.6" x14ac:dyDescent="0.25">
      <c r="A2" s="451" t="s">
        <v>785</v>
      </c>
      <c r="B2" s="452" t="s">
        <v>1133</v>
      </c>
    </row>
    <row r="3" spans="1:32" ht="15.6" x14ac:dyDescent="0.25">
      <c r="A3" s="451" t="s">
        <v>789</v>
      </c>
      <c r="B3" s="452" t="s">
        <v>1134</v>
      </c>
      <c r="H3" s="496">
        <v>909800</v>
      </c>
      <c r="I3" s="450">
        <f>+H3*2</f>
        <v>1819600</v>
      </c>
    </row>
    <row r="4" spans="1:32" ht="15.6" x14ac:dyDescent="0.25">
      <c r="A4" s="451" t="s">
        <v>1135</v>
      </c>
      <c r="B4" s="452" t="s">
        <v>1136</v>
      </c>
    </row>
    <row r="5" spans="1:32" ht="15.6" x14ac:dyDescent="0.25">
      <c r="A5" s="451" t="s">
        <v>793</v>
      </c>
      <c r="B5" s="452" t="s">
        <v>1137</v>
      </c>
      <c r="N5" s="458" t="s">
        <v>1138</v>
      </c>
      <c r="O5" s="458" t="s">
        <v>1139</v>
      </c>
    </row>
    <row r="6" spans="1:32" ht="15.6" x14ac:dyDescent="0.25">
      <c r="A6" s="451" t="s">
        <v>1140</v>
      </c>
      <c r="B6" s="459">
        <v>45895</v>
      </c>
      <c r="N6" s="460">
        <v>63</v>
      </c>
      <c r="O6" s="461">
        <v>76.5</v>
      </c>
    </row>
    <row r="8" spans="1:32" s="465" customFormat="1" ht="48" customHeight="1" x14ac:dyDescent="0.3">
      <c r="A8" s="462" t="s">
        <v>1141</v>
      </c>
      <c r="B8" s="462" t="s">
        <v>1142</v>
      </c>
      <c r="C8" s="462" t="s">
        <v>1143</v>
      </c>
      <c r="D8" s="463" t="s">
        <v>1144</v>
      </c>
      <c r="E8" s="462" t="s">
        <v>1145</v>
      </c>
      <c r="F8" s="462" t="s">
        <v>1146</v>
      </c>
      <c r="G8" s="462" t="s">
        <v>1147</v>
      </c>
      <c r="H8" s="462" t="s">
        <v>1148</v>
      </c>
      <c r="I8" s="462" t="s">
        <v>1149</v>
      </c>
      <c r="J8" s="462" t="s">
        <v>823</v>
      </c>
      <c r="K8" s="462" t="s">
        <v>1150</v>
      </c>
      <c r="L8" s="462" t="s">
        <v>1151</v>
      </c>
      <c r="M8" s="462" t="s">
        <v>1152</v>
      </c>
      <c r="N8" s="462" t="s">
        <v>1153</v>
      </c>
      <c r="O8" s="462" t="s">
        <v>442</v>
      </c>
      <c r="P8" s="462" t="s">
        <v>1154</v>
      </c>
      <c r="Q8" s="464" t="s">
        <v>1155</v>
      </c>
      <c r="R8" s="464" t="s">
        <v>1156</v>
      </c>
      <c r="S8" s="462" t="s">
        <v>1157</v>
      </c>
      <c r="T8" s="462" t="s">
        <v>1158</v>
      </c>
      <c r="U8" s="462" t="s">
        <v>1157</v>
      </c>
      <c r="V8" s="462" t="s">
        <v>1158</v>
      </c>
      <c r="W8" s="462" t="s">
        <v>1157</v>
      </c>
      <c r="X8" s="462" t="s">
        <v>1158</v>
      </c>
      <c r="Y8" s="462" t="s">
        <v>1159</v>
      </c>
      <c r="Z8" s="464" t="s">
        <v>1156</v>
      </c>
      <c r="AA8" s="462" t="s">
        <v>1160</v>
      </c>
      <c r="AB8" s="462" t="s">
        <v>1161</v>
      </c>
      <c r="AC8" s="462" t="s">
        <v>1162</v>
      </c>
      <c r="AD8" s="462" t="s">
        <v>1163</v>
      </c>
      <c r="AE8" s="462" t="s">
        <v>1164</v>
      </c>
      <c r="AF8" s="462" t="s">
        <v>1165</v>
      </c>
    </row>
    <row r="9" spans="1:32" ht="15.6" x14ac:dyDescent="0.3">
      <c r="A9" s="466" t="s">
        <v>1166</v>
      </c>
      <c r="B9" s="467">
        <v>76878</v>
      </c>
      <c r="C9" s="467" t="s">
        <v>1167</v>
      </c>
      <c r="D9" s="468">
        <v>4512392669</v>
      </c>
      <c r="E9" s="469">
        <v>45672</v>
      </c>
      <c r="F9" s="467" t="s">
        <v>182</v>
      </c>
      <c r="G9" s="467" t="s">
        <v>1168</v>
      </c>
      <c r="H9" s="467" t="s">
        <v>1169</v>
      </c>
      <c r="I9" s="467" t="s">
        <v>1170</v>
      </c>
      <c r="J9" s="467" t="s">
        <v>581</v>
      </c>
      <c r="K9" s="470">
        <v>660000</v>
      </c>
      <c r="L9" s="471">
        <v>0</v>
      </c>
      <c r="M9" s="471">
        <f t="shared" ref="M9:M39" si="0">K9-L9</f>
        <v>660000</v>
      </c>
      <c r="N9" s="471">
        <f t="shared" ref="N9:N14" si="1">M9*0.18</f>
        <v>118800</v>
      </c>
      <c r="O9" s="471">
        <f t="shared" ref="O9:O39" si="2">M9+N9</f>
        <v>778800</v>
      </c>
      <c r="P9" s="471">
        <f>+O9</f>
        <v>778800</v>
      </c>
      <c r="Q9" s="467" t="s">
        <v>1171</v>
      </c>
      <c r="R9" s="472">
        <v>500014085</v>
      </c>
      <c r="S9" s="473">
        <v>0.5</v>
      </c>
      <c r="T9" s="471">
        <f>M9*S9</f>
        <v>330000</v>
      </c>
      <c r="U9" s="473">
        <v>0.5</v>
      </c>
      <c r="V9" s="471">
        <f>M9*U9+N9</f>
        <v>448800</v>
      </c>
      <c r="W9" s="473"/>
      <c r="X9" s="471"/>
      <c r="Y9" s="474">
        <v>45337</v>
      </c>
      <c r="Z9" s="467" t="s">
        <v>1171</v>
      </c>
      <c r="AA9" s="472" t="e">
        <f t="shared" ref="AA9:AA21" si="3">+Z9-E9</f>
        <v>#VALUE!</v>
      </c>
      <c r="AB9" s="467" t="s">
        <v>1172</v>
      </c>
      <c r="AC9" s="467"/>
      <c r="AD9" s="467"/>
      <c r="AE9" s="467"/>
      <c r="AF9" s="467"/>
    </row>
    <row r="10" spans="1:32" ht="15.6" x14ac:dyDescent="0.3">
      <c r="A10" s="466" t="s">
        <v>1166</v>
      </c>
      <c r="B10" s="467">
        <v>76878</v>
      </c>
      <c r="C10" s="467" t="s">
        <v>1167</v>
      </c>
      <c r="D10" s="468">
        <v>4512392671</v>
      </c>
      <c r="E10" s="469">
        <v>45672</v>
      </c>
      <c r="F10" s="467" t="s">
        <v>1173</v>
      </c>
      <c r="G10" s="467" t="s">
        <v>1168</v>
      </c>
      <c r="H10" s="467" t="s">
        <v>1169</v>
      </c>
      <c r="I10" s="467" t="s">
        <v>1170</v>
      </c>
      <c r="J10" s="467" t="s">
        <v>581</v>
      </c>
      <c r="K10" s="471">
        <v>387600</v>
      </c>
      <c r="L10" s="471">
        <v>0</v>
      </c>
      <c r="M10" s="471">
        <f t="shared" si="0"/>
        <v>387600</v>
      </c>
      <c r="N10" s="471">
        <f t="shared" si="1"/>
        <v>69768</v>
      </c>
      <c r="O10" s="471">
        <f t="shared" si="2"/>
        <v>457368</v>
      </c>
      <c r="P10" s="471">
        <f t="shared" ref="P10:P14" si="4">+O10</f>
        <v>457368</v>
      </c>
      <c r="Q10" s="467" t="s">
        <v>1171</v>
      </c>
      <c r="R10" s="472">
        <v>500014085</v>
      </c>
      <c r="S10" s="473">
        <v>0.5</v>
      </c>
      <c r="T10" s="471">
        <f>M10*S10</f>
        <v>193800</v>
      </c>
      <c r="U10" s="473">
        <v>0.5</v>
      </c>
      <c r="V10" s="471">
        <f>M10*U10+N10</f>
        <v>263568</v>
      </c>
      <c r="W10" s="473"/>
      <c r="X10" s="471"/>
      <c r="Y10" s="474">
        <v>45337</v>
      </c>
      <c r="Z10" s="467" t="s">
        <v>1171</v>
      </c>
      <c r="AA10" s="472" t="e">
        <f t="shared" si="3"/>
        <v>#VALUE!</v>
      </c>
      <c r="AB10" s="467" t="s">
        <v>1174</v>
      </c>
      <c r="AC10" s="467"/>
      <c r="AD10" s="467"/>
      <c r="AE10" s="467"/>
      <c r="AF10" s="467"/>
    </row>
    <row r="11" spans="1:32" ht="15.6" x14ac:dyDescent="0.3">
      <c r="A11" s="466" t="s">
        <v>1166</v>
      </c>
      <c r="B11" s="467">
        <v>75312</v>
      </c>
      <c r="C11" s="467" t="s">
        <v>1175</v>
      </c>
      <c r="D11" s="468">
        <v>4512411633</v>
      </c>
      <c r="E11" s="474">
        <v>45705</v>
      </c>
      <c r="F11" s="467" t="s">
        <v>1176</v>
      </c>
      <c r="G11" s="467" t="s">
        <v>1168</v>
      </c>
      <c r="H11" s="467" t="s">
        <v>1169</v>
      </c>
      <c r="I11" s="467" t="s">
        <v>1177</v>
      </c>
      <c r="J11" s="467" t="s">
        <v>581</v>
      </c>
      <c r="K11" s="471">
        <v>51061.42</v>
      </c>
      <c r="L11" s="475">
        <v>6127.37</v>
      </c>
      <c r="M11" s="471">
        <f t="shared" si="0"/>
        <v>44934.049999999996</v>
      </c>
      <c r="N11" s="471">
        <f t="shared" si="1"/>
        <v>8088.128999999999</v>
      </c>
      <c r="O11" s="471">
        <f t="shared" si="2"/>
        <v>53022.178999999996</v>
      </c>
      <c r="P11" s="471">
        <f t="shared" si="4"/>
        <v>53022.178999999996</v>
      </c>
      <c r="Q11" s="467" t="s">
        <v>1171</v>
      </c>
      <c r="R11" s="472"/>
      <c r="S11" s="473"/>
      <c r="T11" s="472"/>
      <c r="U11" s="472"/>
      <c r="V11" s="472"/>
      <c r="W11" s="472"/>
      <c r="X11" s="472"/>
      <c r="Y11" s="476"/>
      <c r="Z11" s="474">
        <v>45809</v>
      </c>
      <c r="AA11" s="472">
        <f t="shared" si="3"/>
        <v>104</v>
      </c>
      <c r="AB11" s="467" t="s">
        <v>1178</v>
      </c>
      <c r="AC11" s="467"/>
      <c r="AD11" s="467"/>
      <c r="AE11" s="467"/>
      <c r="AF11" s="467"/>
    </row>
    <row r="12" spans="1:32" ht="15.6" x14ac:dyDescent="0.3">
      <c r="A12" s="466" t="s">
        <v>1166</v>
      </c>
      <c r="B12" s="467">
        <v>75272</v>
      </c>
      <c r="C12" s="467" t="s">
        <v>1179</v>
      </c>
      <c r="D12" s="468">
        <v>4512411708</v>
      </c>
      <c r="E12" s="474">
        <v>45705</v>
      </c>
      <c r="F12" s="467" t="s">
        <v>1176</v>
      </c>
      <c r="G12" s="467" t="s">
        <v>1168</v>
      </c>
      <c r="H12" s="467" t="s">
        <v>1169</v>
      </c>
      <c r="I12" s="467" t="s">
        <v>1177</v>
      </c>
      <c r="J12" s="467" t="s">
        <v>581</v>
      </c>
      <c r="K12" s="471">
        <v>20210.05</v>
      </c>
      <c r="L12" s="475">
        <v>3637.81</v>
      </c>
      <c r="M12" s="471">
        <f t="shared" si="0"/>
        <v>16572.239999999998</v>
      </c>
      <c r="N12" s="471">
        <f t="shared" si="1"/>
        <v>2983.0031999999997</v>
      </c>
      <c r="O12" s="471">
        <f t="shared" si="2"/>
        <v>19555.243199999997</v>
      </c>
      <c r="P12" s="471">
        <f t="shared" si="4"/>
        <v>19555.243199999997</v>
      </c>
      <c r="Q12" s="467" t="s">
        <v>1171</v>
      </c>
      <c r="R12" s="472"/>
      <c r="S12" s="473"/>
      <c r="T12" s="472"/>
      <c r="U12" s="472"/>
      <c r="V12" s="472"/>
      <c r="W12" s="472"/>
      <c r="X12" s="472"/>
      <c r="Y12" s="476"/>
      <c r="Z12" s="474">
        <v>45809</v>
      </c>
      <c r="AA12" s="472">
        <f t="shared" si="3"/>
        <v>104</v>
      </c>
      <c r="AB12" s="467" t="s">
        <v>1178</v>
      </c>
      <c r="AC12" s="467"/>
      <c r="AD12" s="467"/>
      <c r="AE12" s="467"/>
      <c r="AF12" s="467"/>
    </row>
    <row r="13" spans="1:32" ht="15.6" x14ac:dyDescent="0.3">
      <c r="A13" s="466" t="s">
        <v>1166</v>
      </c>
      <c r="B13" s="467">
        <v>75366</v>
      </c>
      <c r="C13" s="467" t="s">
        <v>1180</v>
      </c>
      <c r="D13" s="468">
        <v>4512443446</v>
      </c>
      <c r="E13" s="474">
        <v>45735</v>
      </c>
      <c r="F13" s="467" t="s">
        <v>1181</v>
      </c>
      <c r="G13" s="467" t="s">
        <v>1168</v>
      </c>
      <c r="H13" s="467" t="s">
        <v>1169</v>
      </c>
      <c r="I13" s="467" t="s">
        <v>1177</v>
      </c>
      <c r="J13" s="467" t="s">
        <v>581</v>
      </c>
      <c r="K13" s="471">
        <v>49863.6</v>
      </c>
      <c r="L13" s="475"/>
      <c r="M13" s="471">
        <f t="shared" si="0"/>
        <v>49863.6</v>
      </c>
      <c r="N13" s="471">
        <f t="shared" si="1"/>
        <v>8975.4479999999985</v>
      </c>
      <c r="O13" s="471">
        <f t="shared" si="2"/>
        <v>58839.047999999995</v>
      </c>
      <c r="P13" s="471">
        <f t="shared" si="4"/>
        <v>58839.047999999995</v>
      </c>
      <c r="Q13" s="467" t="s">
        <v>1171</v>
      </c>
      <c r="R13" s="472"/>
      <c r="S13" s="473"/>
      <c r="T13" s="472"/>
      <c r="U13" s="472"/>
      <c r="V13" s="472"/>
      <c r="W13" s="472"/>
      <c r="X13" s="472"/>
      <c r="Y13" s="476"/>
      <c r="Z13" s="474">
        <v>45809</v>
      </c>
      <c r="AA13" s="472">
        <f t="shared" si="3"/>
        <v>74</v>
      </c>
      <c r="AB13" s="467" t="s">
        <v>1182</v>
      </c>
      <c r="AC13" s="497" t="s">
        <v>1183</v>
      </c>
      <c r="AD13" s="467"/>
      <c r="AE13" s="467"/>
      <c r="AF13" s="467"/>
    </row>
    <row r="14" spans="1:32" ht="15.6" x14ac:dyDescent="0.3">
      <c r="A14" s="466" t="s">
        <v>1166</v>
      </c>
      <c r="B14" s="467">
        <v>75052</v>
      </c>
      <c r="C14" s="467" t="s">
        <v>1184</v>
      </c>
      <c r="D14" s="468">
        <v>4512435538</v>
      </c>
      <c r="E14" s="474">
        <v>45727</v>
      </c>
      <c r="F14" s="467" t="s">
        <v>1185</v>
      </c>
      <c r="G14" s="467" t="s">
        <v>1168</v>
      </c>
      <c r="H14" s="467" t="s">
        <v>1169</v>
      </c>
      <c r="I14" s="467" t="s">
        <v>1177</v>
      </c>
      <c r="J14" s="467" t="s">
        <v>581</v>
      </c>
      <c r="K14" s="471">
        <v>64200</v>
      </c>
      <c r="L14" s="475"/>
      <c r="M14" s="471">
        <f t="shared" si="0"/>
        <v>64200</v>
      </c>
      <c r="N14" s="471">
        <f t="shared" si="1"/>
        <v>11556</v>
      </c>
      <c r="O14" s="471">
        <f t="shared" si="2"/>
        <v>75756</v>
      </c>
      <c r="P14" s="471">
        <f t="shared" si="4"/>
        <v>75756</v>
      </c>
      <c r="Q14" s="467" t="s">
        <v>1171</v>
      </c>
      <c r="R14" s="472"/>
      <c r="S14" s="473"/>
      <c r="T14" s="472"/>
      <c r="U14" s="472"/>
      <c r="V14" s="472"/>
      <c r="W14" s="472"/>
      <c r="X14" s="472"/>
      <c r="Y14" s="476"/>
      <c r="Z14" s="474">
        <v>45809</v>
      </c>
      <c r="AA14" s="472">
        <f t="shared" si="3"/>
        <v>82</v>
      </c>
      <c r="AB14" s="467" t="s">
        <v>1182</v>
      </c>
      <c r="AC14" s="497" t="s">
        <v>1183</v>
      </c>
      <c r="AD14" s="467"/>
      <c r="AE14" s="467"/>
      <c r="AF14" s="467"/>
    </row>
    <row r="15" spans="1:32" ht="15.6" x14ac:dyDescent="0.3">
      <c r="A15" s="466" t="s">
        <v>1166</v>
      </c>
      <c r="B15" s="467">
        <v>35682</v>
      </c>
      <c r="C15" s="467" t="s">
        <v>595</v>
      </c>
      <c r="D15" s="468">
        <v>4600072801</v>
      </c>
      <c r="E15" s="474">
        <v>45726</v>
      </c>
      <c r="F15" s="467" t="s">
        <v>1186</v>
      </c>
      <c r="G15" s="467" t="s">
        <v>1187</v>
      </c>
      <c r="H15" s="467" t="s">
        <v>1188</v>
      </c>
      <c r="I15" s="467" t="s">
        <v>1189</v>
      </c>
      <c r="J15" s="467" t="s">
        <v>456</v>
      </c>
      <c r="K15" s="477">
        <v>148971.5</v>
      </c>
      <c r="L15" s="475"/>
      <c r="M15" s="471">
        <f t="shared" si="0"/>
        <v>148971.5</v>
      </c>
      <c r="N15" s="471"/>
      <c r="O15" s="471">
        <f t="shared" si="2"/>
        <v>148971.5</v>
      </c>
      <c r="P15" s="471">
        <f>+O15*$N$6</f>
        <v>9385204.5</v>
      </c>
      <c r="Q15" s="474" t="s">
        <v>1190</v>
      </c>
      <c r="R15" s="472"/>
      <c r="S15" s="473"/>
      <c r="T15" s="472"/>
      <c r="U15" s="472"/>
      <c r="V15" s="472"/>
      <c r="W15" s="472"/>
      <c r="X15" s="472"/>
      <c r="Y15" s="476"/>
      <c r="Z15" s="474">
        <v>45809</v>
      </c>
      <c r="AA15" s="472">
        <f t="shared" si="3"/>
        <v>83</v>
      </c>
      <c r="AB15" s="478" t="s">
        <v>1182</v>
      </c>
      <c r="AC15" s="497" t="s">
        <v>1183</v>
      </c>
      <c r="AD15" s="478"/>
      <c r="AE15" s="478"/>
      <c r="AF15" s="478"/>
    </row>
    <row r="16" spans="1:32" ht="15.6" x14ac:dyDescent="0.3">
      <c r="A16" s="466" t="s">
        <v>1166</v>
      </c>
      <c r="B16" s="467">
        <v>35675</v>
      </c>
      <c r="C16" s="467" t="s">
        <v>1191</v>
      </c>
      <c r="D16" s="468">
        <v>4600072230</v>
      </c>
      <c r="E16" s="474">
        <v>45735</v>
      </c>
      <c r="F16" s="479" t="s">
        <v>1192</v>
      </c>
      <c r="G16" s="479" t="s">
        <v>1187</v>
      </c>
      <c r="H16" s="467" t="s">
        <v>1188</v>
      </c>
      <c r="I16" s="467" t="s">
        <v>1189</v>
      </c>
      <c r="J16" s="467" t="s">
        <v>456</v>
      </c>
      <c r="K16" s="471">
        <v>79527.8</v>
      </c>
      <c r="L16" s="475"/>
      <c r="M16" s="471">
        <f t="shared" si="0"/>
        <v>79527.8</v>
      </c>
      <c r="N16" s="471"/>
      <c r="O16" s="471">
        <f t="shared" si="2"/>
        <v>79527.8</v>
      </c>
      <c r="P16" s="471">
        <f t="shared" ref="P16:P18" si="5">+O16*$N$6</f>
        <v>5010251.4000000004</v>
      </c>
      <c r="Q16" s="467" t="s">
        <v>1193</v>
      </c>
      <c r="R16" s="472"/>
      <c r="S16" s="473"/>
      <c r="T16" s="472"/>
      <c r="U16" s="472"/>
      <c r="V16" s="472"/>
      <c r="W16" s="472"/>
      <c r="X16" s="472"/>
      <c r="Y16" s="476"/>
      <c r="Z16" s="474">
        <v>45819</v>
      </c>
      <c r="AA16" s="472">
        <f t="shared" si="3"/>
        <v>84</v>
      </c>
      <c r="AB16" s="478" t="s">
        <v>1182</v>
      </c>
      <c r="AC16" s="478"/>
      <c r="AD16" s="478"/>
      <c r="AE16" s="478"/>
      <c r="AF16" s="478"/>
    </row>
    <row r="17" spans="1:32" ht="15.6" x14ac:dyDescent="0.3">
      <c r="A17" s="466" t="s">
        <v>1166</v>
      </c>
      <c r="B17" s="467">
        <v>75535</v>
      </c>
      <c r="C17" s="467" t="s">
        <v>1194</v>
      </c>
      <c r="D17" s="468">
        <v>4512415673</v>
      </c>
      <c r="E17" s="474">
        <v>45708</v>
      </c>
      <c r="F17" s="467" t="s">
        <v>1195</v>
      </c>
      <c r="G17" s="467" t="s">
        <v>1187</v>
      </c>
      <c r="H17" s="467" t="s">
        <v>1169</v>
      </c>
      <c r="I17" s="467" t="s">
        <v>1170</v>
      </c>
      <c r="J17" s="467" t="s">
        <v>456</v>
      </c>
      <c r="K17" s="471">
        <v>194999.98</v>
      </c>
      <c r="L17" s="475"/>
      <c r="M17" s="471">
        <f t="shared" si="0"/>
        <v>194999.98</v>
      </c>
      <c r="N17" s="471">
        <f>M17*0.18</f>
        <v>35099.996400000004</v>
      </c>
      <c r="O17" s="471">
        <f t="shared" si="2"/>
        <v>230099.97640000001</v>
      </c>
      <c r="P17" s="471">
        <f>+O17*$N$6</f>
        <v>14496298.513200002</v>
      </c>
      <c r="Q17" s="467" t="s">
        <v>1196</v>
      </c>
      <c r="R17" s="472"/>
      <c r="S17" s="473"/>
      <c r="T17" s="472"/>
      <c r="U17" s="472"/>
      <c r="V17" s="472"/>
      <c r="W17" s="472"/>
      <c r="X17" s="472"/>
      <c r="Y17" s="476"/>
      <c r="Z17" s="474">
        <v>45809</v>
      </c>
      <c r="AA17" s="472">
        <f t="shared" si="3"/>
        <v>101</v>
      </c>
      <c r="AB17" s="467" t="s">
        <v>1182</v>
      </c>
      <c r="AC17" s="467"/>
      <c r="AD17" s="467"/>
      <c r="AE17" s="467"/>
      <c r="AF17" s="467"/>
    </row>
    <row r="18" spans="1:32" ht="15.6" x14ac:dyDescent="0.3">
      <c r="A18" s="466" t="s">
        <v>1166</v>
      </c>
      <c r="B18" s="467">
        <v>30270</v>
      </c>
      <c r="C18" s="467" t="s">
        <v>1197</v>
      </c>
      <c r="D18" s="468">
        <v>4600072909</v>
      </c>
      <c r="E18" s="474">
        <v>45729</v>
      </c>
      <c r="F18" s="467" t="s">
        <v>1198</v>
      </c>
      <c r="G18" s="467" t="s">
        <v>1187</v>
      </c>
      <c r="H18" s="467" t="s">
        <v>1169</v>
      </c>
      <c r="I18" s="467" t="s">
        <v>1177</v>
      </c>
      <c r="J18" s="467" t="s">
        <v>456</v>
      </c>
      <c r="K18" s="471">
        <v>30354.09</v>
      </c>
      <c r="L18" s="475"/>
      <c r="M18" s="471">
        <f t="shared" si="0"/>
        <v>30354.09</v>
      </c>
      <c r="N18" s="471">
        <f>M18*0.18</f>
        <v>5463.7361999999994</v>
      </c>
      <c r="O18" s="471">
        <f t="shared" si="2"/>
        <v>35817.826199999996</v>
      </c>
      <c r="P18" s="471">
        <f t="shared" si="5"/>
        <v>2256523.0505999997</v>
      </c>
      <c r="Q18" s="467" t="s">
        <v>1196</v>
      </c>
      <c r="R18" s="472"/>
      <c r="S18" s="473"/>
      <c r="T18" s="472"/>
      <c r="U18" s="472"/>
      <c r="V18" s="472"/>
      <c r="W18" s="472"/>
      <c r="X18" s="472"/>
      <c r="Y18" s="476"/>
      <c r="Z18" s="474">
        <v>45825</v>
      </c>
      <c r="AA18" s="472">
        <f t="shared" si="3"/>
        <v>96</v>
      </c>
      <c r="AB18" s="467" t="s">
        <v>1182</v>
      </c>
      <c r="AC18" s="467"/>
      <c r="AD18" s="467"/>
      <c r="AE18" s="467"/>
      <c r="AF18" s="467"/>
    </row>
    <row r="19" spans="1:32" ht="15.6" x14ac:dyDescent="0.3">
      <c r="A19" s="466" t="s">
        <v>1166</v>
      </c>
      <c r="B19" s="467">
        <v>5634</v>
      </c>
      <c r="C19" s="467" t="s">
        <v>1199</v>
      </c>
      <c r="D19" s="468">
        <v>4600072951</v>
      </c>
      <c r="E19" s="474">
        <v>45730</v>
      </c>
      <c r="F19" s="467" t="s">
        <v>144</v>
      </c>
      <c r="G19" s="467" t="s">
        <v>1200</v>
      </c>
      <c r="H19" s="467" t="s">
        <v>1188</v>
      </c>
      <c r="I19" s="467" t="s">
        <v>1189</v>
      </c>
      <c r="J19" s="467" t="s">
        <v>526</v>
      </c>
      <c r="K19" s="471">
        <v>33443.97</v>
      </c>
      <c r="L19" s="475"/>
      <c r="M19" s="471">
        <f t="shared" si="0"/>
        <v>33443.97</v>
      </c>
      <c r="N19" s="471"/>
      <c r="O19" s="471">
        <f t="shared" si="2"/>
        <v>33443.97</v>
      </c>
      <c r="P19" s="471">
        <f>+O19*$O$6</f>
        <v>2558463.7050000001</v>
      </c>
      <c r="Q19" s="467" t="s">
        <v>1201</v>
      </c>
      <c r="R19" s="472"/>
      <c r="S19" s="473"/>
      <c r="T19" s="472"/>
      <c r="U19" s="472"/>
      <c r="V19" s="472"/>
      <c r="W19" s="472"/>
      <c r="X19" s="472"/>
      <c r="Y19" s="476"/>
      <c r="Z19" s="474">
        <v>45876</v>
      </c>
      <c r="AA19" s="472">
        <f t="shared" si="3"/>
        <v>146</v>
      </c>
      <c r="AB19" s="478" t="s">
        <v>1182</v>
      </c>
      <c r="AC19" s="478"/>
      <c r="AD19" s="478"/>
      <c r="AE19" s="478"/>
      <c r="AF19" s="478"/>
    </row>
    <row r="20" spans="1:32" ht="15" customHeight="1" x14ac:dyDescent="0.3">
      <c r="A20" s="466" t="s">
        <v>1166</v>
      </c>
      <c r="B20" s="467">
        <v>35643</v>
      </c>
      <c r="C20" s="467" t="s">
        <v>1202</v>
      </c>
      <c r="D20" s="468">
        <v>4600073130</v>
      </c>
      <c r="E20" s="474">
        <v>45742</v>
      </c>
      <c r="F20" s="467" t="s">
        <v>1203</v>
      </c>
      <c r="G20" s="467" t="s">
        <v>1204</v>
      </c>
      <c r="H20" s="467" t="s">
        <v>1188</v>
      </c>
      <c r="I20" s="467" t="s">
        <v>1189</v>
      </c>
      <c r="J20" s="467" t="s">
        <v>456</v>
      </c>
      <c r="K20" s="471">
        <v>75339</v>
      </c>
      <c r="L20" s="475"/>
      <c r="M20" s="471">
        <f t="shared" si="0"/>
        <v>75339</v>
      </c>
      <c r="N20" s="471"/>
      <c r="O20" s="471">
        <f t="shared" si="2"/>
        <v>75339</v>
      </c>
      <c r="P20" s="471">
        <f>+O20*$N$6</f>
        <v>4746357</v>
      </c>
      <c r="Q20" s="467" t="s">
        <v>1190</v>
      </c>
      <c r="R20" s="472"/>
      <c r="S20" s="473"/>
      <c r="T20" s="472"/>
      <c r="U20" s="472"/>
      <c r="V20" s="472"/>
      <c r="W20" s="472"/>
      <c r="X20" s="472"/>
      <c r="Y20" s="476"/>
      <c r="Z20" s="474">
        <v>45991</v>
      </c>
      <c r="AA20" s="472">
        <f t="shared" si="3"/>
        <v>249</v>
      </c>
      <c r="AB20" s="467" t="s">
        <v>1205</v>
      </c>
      <c r="AC20" s="467"/>
      <c r="AD20" s="467"/>
      <c r="AE20" s="467"/>
      <c r="AF20" s="467"/>
    </row>
    <row r="21" spans="1:32" ht="15.6" x14ac:dyDescent="0.3">
      <c r="A21" s="466" t="s">
        <v>1166</v>
      </c>
      <c r="B21" s="467">
        <v>33347</v>
      </c>
      <c r="C21" s="467" t="s">
        <v>619</v>
      </c>
      <c r="D21" s="468">
        <v>4600073154</v>
      </c>
      <c r="E21" s="474">
        <v>45743</v>
      </c>
      <c r="F21" s="467" t="s">
        <v>1206</v>
      </c>
      <c r="G21" s="467" t="s">
        <v>1207</v>
      </c>
      <c r="H21" s="467" t="s">
        <v>1188</v>
      </c>
      <c r="I21" s="467" t="s">
        <v>1189</v>
      </c>
      <c r="J21" s="467" t="s">
        <v>526</v>
      </c>
      <c r="K21" s="471">
        <v>148337.1</v>
      </c>
      <c r="L21" s="475"/>
      <c r="M21" s="471">
        <f t="shared" si="0"/>
        <v>148337.1</v>
      </c>
      <c r="N21" s="471"/>
      <c r="O21" s="471">
        <f>M21+N21</f>
        <v>148337.1</v>
      </c>
      <c r="P21" s="471">
        <f>+O21*$O$6</f>
        <v>11347788.15</v>
      </c>
      <c r="Q21" s="467" t="s">
        <v>1190</v>
      </c>
      <c r="R21" s="472"/>
      <c r="S21" s="473"/>
      <c r="T21" s="472"/>
      <c r="U21" s="472"/>
      <c r="V21" s="472"/>
      <c r="W21" s="472"/>
      <c r="X21" s="472"/>
      <c r="Y21" s="476"/>
      <c r="Z21" s="474">
        <v>45847</v>
      </c>
      <c r="AA21" s="472">
        <f t="shared" si="3"/>
        <v>104</v>
      </c>
      <c r="AB21" s="478" t="s">
        <v>1182</v>
      </c>
      <c r="AC21" s="478"/>
      <c r="AD21" s="478"/>
      <c r="AE21" s="478"/>
      <c r="AF21" s="478"/>
    </row>
    <row r="22" spans="1:32" ht="15.6" x14ac:dyDescent="0.3">
      <c r="A22" s="466" t="s">
        <v>1166</v>
      </c>
      <c r="B22" s="467">
        <v>35643</v>
      </c>
      <c r="C22" s="467" t="s">
        <v>1202</v>
      </c>
      <c r="D22" s="468">
        <v>4600073602</v>
      </c>
      <c r="E22" s="474">
        <v>45779</v>
      </c>
      <c r="F22" s="467" t="s">
        <v>1208</v>
      </c>
      <c r="G22" s="467" t="s">
        <v>1204</v>
      </c>
      <c r="H22" s="467" t="s">
        <v>1188</v>
      </c>
      <c r="I22" s="467" t="s">
        <v>1189</v>
      </c>
      <c r="J22" s="467" t="s">
        <v>581</v>
      </c>
      <c r="K22" s="471">
        <v>17651</v>
      </c>
      <c r="L22" s="475"/>
      <c r="M22" s="471">
        <f t="shared" si="0"/>
        <v>17651</v>
      </c>
      <c r="N22" s="471"/>
      <c r="O22" s="471">
        <f t="shared" si="2"/>
        <v>17651</v>
      </c>
      <c r="P22" s="471">
        <f t="shared" ref="P22:P23" si="6">+O22</f>
        <v>17651</v>
      </c>
      <c r="Q22" s="467" t="s">
        <v>1190</v>
      </c>
      <c r="R22" s="480">
        <v>45902</v>
      </c>
      <c r="S22" s="473"/>
      <c r="T22" s="472"/>
      <c r="U22" s="472"/>
      <c r="V22" s="472"/>
      <c r="W22" s="472"/>
      <c r="X22" s="472"/>
      <c r="Y22" s="476"/>
      <c r="Z22" s="474">
        <v>45902</v>
      </c>
      <c r="AA22" s="472"/>
      <c r="AB22" s="478" t="s">
        <v>1182</v>
      </c>
      <c r="AC22" s="478"/>
      <c r="AD22" s="478"/>
      <c r="AE22" s="478"/>
      <c r="AF22" s="478"/>
    </row>
    <row r="23" spans="1:32" ht="15.6" x14ac:dyDescent="0.3">
      <c r="A23" s="466" t="s">
        <v>1166</v>
      </c>
      <c r="B23" s="467">
        <v>75291</v>
      </c>
      <c r="C23" s="467" t="s">
        <v>1104</v>
      </c>
      <c r="D23" s="468">
        <v>4512491769</v>
      </c>
      <c r="E23" s="474">
        <v>45785</v>
      </c>
      <c r="F23" s="467" t="s">
        <v>1209</v>
      </c>
      <c r="G23" s="467" t="s">
        <v>1168</v>
      </c>
      <c r="H23" s="467" t="s">
        <v>1169</v>
      </c>
      <c r="I23" s="467" t="s">
        <v>1177</v>
      </c>
      <c r="J23" s="467" t="s">
        <v>581</v>
      </c>
      <c r="K23" s="471"/>
      <c r="L23" s="471"/>
      <c r="M23" s="471">
        <f t="shared" si="0"/>
        <v>0</v>
      </c>
      <c r="N23" s="471">
        <f>M23*0.18</f>
        <v>0</v>
      </c>
      <c r="O23" s="471">
        <f t="shared" si="2"/>
        <v>0</v>
      </c>
      <c r="P23" s="471">
        <f t="shared" si="6"/>
        <v>0</v>
      </c>
      <c r="Q23" s="467" t="s">
        <v>1171</v>
      </c>
      <c r="R23" s="472"/>
      <c r="S23" s="473"/>
      <c r="T23" s="471"/>
      <c r="U23" s="473"/>
      <c r="V23" s="471"/>
      <c r="W23" s="473"/>
      <c r="X23" s="471"/>
      <c r="Y23" s="476"/>
      <c r="Z23" s="474">
        <v>45872</v>
      </c>
      <c r="AA23" s="472">
        <f t="shared" ref="AA23:AA39" si="7">+Z23-E23</f>
        <v>87</v>
      </c>
      <c r="AB23" s="467" t="s">
        <v>1210</v>
      </c>
      <c r="AC23" s="467"/>
      <c r="AD23" s="467"/>
      <c r="AE23" s="467"/>
      <c r="AF23" s="467"/>
    </row>
    <row r="24" spans="1:32" ht="15.6" x14ac:dyDescent="0.3">
      <c r="A24" s="466" t="s">
        <v>1166</v>
      </c>
      <c r="B24" s="467">
        <v>76610</v>
      </c>
      <c r="C24" s="467" t="s">
        <v>1211</v>
      </c>
      <c r="D24" s="468">
        <v>4512501398</v>
      </c>
      <c r="E24" s="474">
        <v>45786</v>
      </c>
      <c r="F24" s="467" t="s">
        <v>1212</v>
      </c>
      <c r="G24" s="467" t="s">
        <v>1168</v>
      </c>
      <c r="H24" s="467" t="s">
        <v>1169</v>
      </c>
      <c r="I24" s="467" t="s">
        <v>1170</v>
      </c>
      <c r="J24" s="467" t="s">
        <v>456</v>
      </c>
      <c r="K24" s="471">
        <v>44913.78</v>
      </c>
      <c r="L24" s="475"/>
      <c r="M24" s="471">
        <f t="shared" si="0"/>
        <v>44913.78</v>
      </c>
      <c r="N24" s="471">
        <f>M24*0.18</f>
        <v>8084.4803999999995</v>
      </c>
      <c r="O24" s="471">
        <f t="shared" si="2"/>
        <v>52998.260399999999</v>
      </c>
      <c r="P24" s="471">
        <f t="shared" ref="P24:P25" si="8">+O24*$N$6</f>
        <v>3338890.4051999999</v>
      </c>
      <c r="Q24" s="467" t="s">
        <v>1190</v>
      </c>
      <c r="R24" s="472"/>
      <c r="S24" s="473"/>
      <c r="T24" s="472"/>
      <c r="U24" s="472"/>
      <c r="V24" s="472"/>
      <c r="W24" s="472"/>
      <c r="X24" s="472"/>
      <c r="Y24" s="476"/>
      <c r="Z24" s="474">
        <v>45873</v>
      </c>
      <c r="AA24" s="472">
        <f t="shared" si="7"/>
        <v>87</v>
      </c>
      <c r="AB24" s="467" t="s">
        <v>1182</v>
      </c>
      <c r="AC24" s="467"/>
      <c r="AD24" s="467"/>
      <c r="AE24" s="467"/>
      <c r="AF24" s="467"/>
    </row>
    <row r="25" spans="1:32" ht="15" customHeight="1" x14ac:dyDescent="0.3">
      <c r="A25" s="466" t="s">
        <v>1166</v>
      </c>
      <c r="B25" s="467">
        <v>77292</v>
      </c>
      <c r="C25" s="467" t="s">
        <v>1213</v>
      </c>
      <c r="D25" s="468">
        <v>4512510967</v>
      </c>
      <c r="E25" s="474">
        <v>45797</v>
      </c>
      <c r="F25" s="467" t="s">
        <v>1214</v>
      </c>
      <c r="G25" s="467" t="s">
        <v>1207</v>
      </c>
      <c r="H25" s="467" t="s">
        <v>1188</v>
      </c>
      <c r="I25" s="467" t="s">
        <v>1189</v>
      </c>
      <c r="J25" s="467" t="s">
        <v>456</v>
      </c>
      <c r="K25" s="471">
        <v>31247.58</v>
      </c>
      <c r="L25" s="471"/>
      <c r="M25" s="471">
        <f t="shared" si="0"/>
        <v>31247.58</v>
      </c>
      <c r="N25" s="471"/>
      <c r="O25" s="471">
        <f t="shared" si="2"/>
        <v>31247.58</v>
      </c>
      <c r="P25" s="471">
        <f t="shared" si="8"/>
        <v>1968597.54</v>
      </c>
      <c r="Q25" s="467" t="s">
        <v>1215</v>
      </c>
      <c r="R25" s="472"/>
      <c r="S25" s="473"/>
      <c r="T25" s="471"/>
      <c r="U25" s="473"/>
      <c r="V25" s="471"/>
      <c r="W25" s="473"/>
      <c r="X25" s="471"/>
      <c r="Y25" s="476"/>
      <c r="Z25" s="474">
        <v>45991</v>
      </c>
      <c r="AA25" s="472">
        <f t="shared" si="7"/>
        <v>194</v>
      </c>
      <c r="AB25" s="467" t="s">
        <v>1205</v>
      </c>
      <c r="AC25" s="467"/>
      <c r="AD25" s="467"/>
      <c r="AE25" s="467"/>
      <c r="AF25" s="467"/>
    </row>
    <row r="26" spans="1:32" ht="15.6" x14ac:dyDescent="0.3">
      <c r="A26" s="466" t="s">
        <v>1166</v>
      </c>
      <c r="B26" s="467">
        <v>75084</v>
      </c>
      <c r="C26" s="467" t="s">
        <v>1216</v>
      </c>
      <c r="D26" s="468">
        <v>4512516886</v>
      </c>
      <c r="E26" s="474">
        <v>45800</v>
      </c>
      <c r="F26" s="467" t="s">
        <v>1217</v>
      </c>
      <c r="G26" s="467" t="s">
        <v>1168</v>
      </c>
      <c r="H26" s="467" t="s">
        <v>1169</v>
      </c>
      <c r="I26" s="467" t="s">
        <v>1177</v>
      </c>
      <c r="J26" s="467" t="s">
        <v>581</v>
      </c>
      <c r="K26" s="471">
        <v>115500</v>
      </c>
      <c r="L26" s="471">
        <v>4620</v>
      </c>
      <c r="M26" s="471">
        <f t="shared" si="0"/>
        <v>110880</v>
      </c>
      <c r="N26" s="471">
        <f>M26*0.18</f>
        <v>19958.399999999998</v>
      </c>
      <c r="O26" s="471">
        <f t="shared" si="2"/>
        <v>130838.39999999999</v>
      </c>
      <c r="P26" s="471">
        <f>+O26</f>
        <v>130838.39999999999</v>
      </c>
      <c r="Q26" s="467" t="s">
        <v>1218</v>
      </c>
      <c r="R26" s="472"/>
      <c r="S26" s="473"/>
      <c r="T26" s="471"/>
      <c r="U26" s="473"/>
      <c r="V26" s="471"/>
      <c r="W26" s="473"/>
      <c r="X26" s="471"/>
      <c r="Y26" s="476"/>
      <c r="Z26" s="474">
        <v>45863</v>
      </c>
      <c r="AA26" s="472">
        <f t="shared" si="7"/>
        <v>63</v>
      </c>
      <c r="AB26" s="467" t="s">
        <v>1182</v>
      </c>
      <c r="AC26" s="467"/>
      <c r="AD26" s="467"/>
      <c r="AE26" s="467"/>
      <c r="AF26" s="467"/>
    </row>
    <row r="27" spans="1:32" ht="15.6" x14ac:dyDescent="0.3">
      <c r="A27" s="466" t="s">
        <v>1166</v>
      </c>
      <c r="B27" s="467">
        <v>33347</v>
      </c>
      <c r="C27" s="467" t="s">
        <v>619</v>
      </c>
      <c r="D27" s="468">
        <v>4600073639</v>
      </c>
      <c r="E27" s="474">
        <v>45785</v>
      </c>
      <c r="F27" s="467" t="s">
        <v>1219</v>
      </c>
      <c r="G27" s="467" t="s">
        <v>1207</v>
      </c>
      <c r="H27" s="467" t="s">
        <v>1188</v>
      </c>
      <c r="I27" s="467" t="s">
        <v>1189</v>
      </c>
      <c r="J27" s="467" t="s">
        <v>526</v>
      </c>
      <c r="K27" s="471">
        <v>12438</v>
      </c>
      <c r="L27" s="475"/>
      <c r="M27" s="471">
        <f t="shared" si="0"/>
        <v>12438</v>
      </c>
      <c r="N27" s="471"/>
      <c r="O27" s="471">
        <f>M27+N27</f>
        <v>12438</v>
      </c>
      <c r="P27" s="471">
        <f>+O27*$O$6</f>
        <v>951507</v>
      </c>
      <c r="Q27" s="467" t="s">
        <v>1190</v>
      </c>
      <c r="R27" s="472"/>
      <c r="S27" s="473"/>
      <c r="T27" s="472"/>
      <c r="U27" s="472"/>
      <c r="V27" s="472"/>
      <c r="W27" s="472"/>
      <c r="X27" s="472"/>
      <c r="Y27" s="476"/>
      <c r="Z27" s="474">
        <v>45892</v>
      </c>
      <c r="AA27" s="472">
        <f t="shared" si="7"/>
        <v>107</v>
      </c>
      <c r="AB27" s="467" t="s">
        <v>1182</v>
      </c>
      <c r="AC27" s="467"/>
      <c r="AD27" s="467"/>
      <c r="AE27" s="467"/>
      <c r="AF27" s="467"/>
    </row>
    <row r="28" spans="1:32" ht="15.6" x14ac:dyDescent="0.3">
      <c r="A28" s="466" t="s">
        <v>1166</v>
      </c>
      <c r="B28" s="467">
        <v>80015</v>
      </c>
      <c r="C28" s="467" t="s">
        <v>1220</v>
      </c>
      <c r="D28" s="468">
        <v>4512530519</v>
      </c>
      <c r="E28" s="474">
        <v>45813</v>
      </c>
      <c r="F28" s="467" t="s">
        <v>1221</v>
      </c>
      <c r="G28" s="467" t="s">
        <v>1168</v>
      </c>
      <c r="H28" s="467" t="s">
        <v>1169</v>
      </c>
      <c r="I28" s="467" t="s">
        <v>1177</v>
      </c>
      <c r="J28" s="467" t="s">
        <v>581</v>
      </c>
      <c r="K28" s="471">
        <v>22150</v>
      </c>
      <c r="L28" s="475"/>
      <c r="M28" s="471">
        <f t="shared" si="0"/>
        <v>22150</v>
      </c>
      <c r="N28" s="471">
        <f>M28*0.18</f>
        <v>3987</v>
      </c>
      <c r="O28" s="471">
        <f t="shared" si="2"/>
        <v>26137</v>
      </c>
      <c r="P28" s="471">
        <f>+O28</f>
        <v>26137</v>
      </c>
      <c r="Q28" s="467" t="s">
        <v>1171</v>
      </c>
      <c r="R28" s="472"/>
      <c r="S28" s="473"/>
      <c r="T28" s="472"/>
      <c r="U28" s="472"/>
      <c r="V28" s="472"/>
      <c r="W28" s="472"/>
      <c r="X28" s="472"/>
      <c r="Y28" s="476"/>
      <c r="Z28" s="474">
        <v>45899</v>
      </c>
      <c r="AA28" s="472">
        <f t="shared" si="7"/>
        <v>86</v>
      </c>
      <c r="AB28" s="467" t="s">
        <v>1210</v>
      </c>
      <c r="AC28" s="467"/>
      <c r="AD28" s="467"/>
      <c r="AE28" s="467"/>
      <c r="AF28" s="467"/>
    </row>
    <row r="29" spans="1:32" ht="15.6" x14ac:dyDescent="0.3">
      <c r="A29" s="466" t="s">
        <v>1166</v>
      </c>
      <c r="B29" s="467">
        <v>35392</v>
      </c>
      <c r="C29" s="467" t="s">
        <v>1222</v>
      </c>
      <c r="D29" s="468">
        <v>4600073350</v>
      </c>
      <c r="E29" s="474">
        <v>45758</v>
      </c>
      <c r="F29" s="467" t="s">
        <v>1223</v>
      </c>
      <c r="G29" s="467" t="s">
        <v>1200</v>
      </c>
      <c r="H29" s="467" t="s">
        <v>1188</v>
      </c>
      <c r="I29" s="467" t="s">
        <v>1189</v>
      </c>
      <c r="J29" s="467" t="s">
        <v>526</v>
      </c>
      <c r="K29" s="471">
        <v>175139.1</v>
      </c>
      <c r="L29" s="475"/>
      <c r="M29" s="471">
        <f t="shared" si="0"/>
        <v>175139.1</v>
      </c>
      <c r="N29" s="471"/>
      <c r="O29" s="471">
        <f t="shared" si="2"/>
        <v>175139.1</v>
      </c>
      <c r="P29" s="471">
        <f t="shared" ref="P29:P31" si="9">+O29*$O$6</f>
        <v>13398141.15</v>
      </c>
      <c r="Q29" s="467" t="s">
        <v>1190</v>
      </c>
      <c r="R29" s="472"/>
      <c r="S29" s="473"/>
      <c r="T29" s="472"/>
      <c r="U29" s="472"/>
      <c r="V29" s="472"/>
      <c r="W29" s="472"/>
      <c r="X29" s="472"/>
      <c r="Y29" s="476"/>
      <c r="Z29" s="474">
        <v>45687</v>
      </c>
      <c r="AA29" s="472">
        <f t="shared" si="7"/>
        <v>-71</v>
      </c>
      <c r="AB29" s="467" t="s">
        <v>1224</v>
      </c>
      <c r="AC29" s="467"/>
      <c r="AD29" s="467"/>
      <c r="AE29" s="467"/>
      <c r="AF29" s="467"/>
    </row>
    <row r="30" spans="1:32" ht="15.6" x14ac:dyDescent="0.3">
      <c r="A30" s="466" t="s">
        <v>1166</v>
      </c>
      <c r="B30" s="467">
        <v>34156</v>
      </c>
      <c r="C30" s="467" t="s">
        <v>1225</v>
      </c>
      <c r="D30" s="468">
        <v>4600074308</v>
      </c>
      <c r="E30" s="474">
        <v>45822</v>
      </c>
      <c r="F30" s="467" t="s">
        <v>1226</v>
      </c>
      <c r="G30" s="467" t="s">
        <v>1200</v>
      </c>
      <c r="H30" s="467" t="s">
        <v>1188</v>
      </c>
      <c r="I30" s="467" t="s">
        <v>1189</v>
      </c>
      <c r="J30" s="467" t="s">
        <v>526</v>
      </c>
      <c r="K30" s="471">
        <v>11520.68</v>
      </c>
      <c r="L30" s="471"/>
      <c r="M30" s="471">
        <f t="shared" si="0"/>
        <v>11520.68</v>
      </c>
      <c r="N30" s="471"/>
      <c r="O30" s="471">
        <f t="shared" si="2"/>
        <v>11520.68</v>
      </c>
      <c r="P30" s="471">
        <f t="shared" si="9"/>
        <v>881332.02</v>
      </c>
      <c r="Q30" s="467" t="s">
        <v>1215</v>
      </c>
      <c r="R30" s="472"/>
      <c r="S30" s="473"/>
      <c r="T30" s="471"/>
      <c r="U30" s="473"/>
      <c r="V30" s="471"/>
      <c r="W30" s="473"/>
      <c r="X30" s="471"/>
      <c r="Y30" s="476"/>
      <c r="Z30" s="474">
        <v>45960</v>
      </c>
      <c r="AA30" s="472">
        <f t="shared" si="7"/>
        <v>138</v>
      </c>
      <c r="AB30" s="481" t="s">
        <v>1182</v>
      </c>
      <c r="AC30" s="481"/>
      <c r="AD30" s="481"/>
      <c r="AE30" s="481"/>
      <c r="AF30" s="481"/>
    </row>
    <row r="31" spans="1:32" ht="15.6" x14ac:dyDescent="0.3">
      <c r="A31" s="466" t="s">
        <v>1166</v>
      </c>
      <c r="B31" s="467"/>
      <c r="C31" s="467" t="s">
        <v>1227</v>
      </c>
      <c r="D31" s="468">
        <v>4600074011</v>
      </c>
      <c r="E31" s="474">
        <v>45807</v>
      </c>
      <c r="F31" s="467" t="s">
        <v>1228</v>
      </c>
      <c r="G31" s="467" t="s">
        <v>1207</v>
      </c>
      <c r="H31" s="467" t="s">
        <v>1188</v>
      </c>
      <c r="I31" s="467" t="s">
        <v>1189</v>
      </c>
      <c r="J31" s="467" t="s">
        <v>526</v>
      </c>
      <c r="K31" s="471">
        <v>238783.45</v>
      </c>
      <c r="L31" s="471"/>
      <c r="M31" s="471">
        <f t="shared" si="0"/>
        <v>238783.45</v>
      </c>
      <c r="N31" s="471"/>
      <c r="O31" s="471">
        <f t="shared" si="2"/>
        <v>238783.45</v>
      </c>
      <c r="P31" s="471">
        <f t="shared" si="9"/>
        <v>18266933.925000001</v>
      </c>
      <c r="Q31" s="467" t="s">
        <v>1229</v>
      </c>
      <c r="R31" s="472"/>
      <c r="S31" s="473"/>
      <c r="T31" s="471"/>
      <c r="U31" s="473"/>
      <c r="V31" s="471"/>
      <c r="W31" s="473"/>
      <c r="X31" s="471"/>
      <c r="Y31" s="476"/>
      <c r="Z31" s="474">
        <v>45962</v>
      </c>
      <c r="AA31" s="472">
        <f t="shared" si="7"/>
        <v>155</v>
      </c>
      <c r="AB31" s="481" t="s">
        <v>1230</v>
      </c>
      <c r="AC31" s="481"/>
      <c r="AD31" s="481"/>
      <c r="AE31" s="481"/>
      <c r="AF31" s="481"/>
    </row>
    <row r="32" spans="1:32" ht="15.6" x14ac:dyDescent="0.3">
      <c r="A32" s="466" t="s">
        <v>1166</v>
      </c>
      <c r="B32" s="467">
        <v>75020</v>
      </c>
      <c r="C32" s="467" t="s">
        <v>1231</v>
      </c>
      <c r="D32" s="468">
        <v>4512504508</v>
      </c>
      <c r="E32" s="474">
        <v>45790</v>
      </c>
      <c r="F32" s="467" t="s">
        <v>1232</v>
      </c>
      <c r="G32" s="467" t="s">
        <v>1168</v>
      </c>
      <c r="H32" s="467" t="s">
        <v>1169</v>
      </c>
      <c r="I32" s="467" t="s">
        <v>1170</v>
      </c>
      <c r="J32" s="467" t="s">
        <v>456</v>
      </c>
      <c r="K32" s="471">
        <v>17987</v>
      </c>
      <c r="L32" s="475"/>
      <c r="M32" s="471">
        <f t="shared" si="0"/>
        <v>17987</v>
      </c>
      <c r="N32" s="471">
        <f>M32*0.18</f>
        <v>3237.66</v>
      </c>
      <c r="O32" s="471">
        <f t="shared" si="2"/>
        <v>21224.66</v>
      </c>
      <c r="P32" s="471">
        <f>+O32*$N$6</f>
        <v>1337153.58</v>
      </c>
      <c r="Q32" s="467" t="s">
        <v>1233</v>
      </c>
      <c r="R32" s="472"/>
      <c r="S32" s="473"/>
      <c r="T32" s="472"/>
      <c r="U32" s="472"/>
      <c r="V32" s="472"/>
      <c r="W32" s="472"/>
      <c r="X32" s="472"/>
      <c r="Y32" s="476"/>
      <c r="Z32" s="474">
        <v>45790</v>
      </c>
      <c r="AA32" s="472">
        <f t="shared" si="7"/>
        <v>0</v>
      </c>
      <c r="AB32" s="467" t="s">
        <v>1234</v>
      </c>
      <c r="AC32" s="467"/>
      <c r="AD32" s="467"/>
      <c r="AE32" s="467"/>
      <c r="AF32" s="467"/>
    </row>
    <row r="33" spans="1:16375" ht="15.6" x14ac:dyDescent="0.3">
      <c r="A33" s="466" t="s">
        <v>1166</v>
      </c>
      <c r="B33" s="467">
        <v>35716</v>
      </c>
      <c r="C33" s="467" t="s">
        <v>696</v>
      </c>
      <c r="D33" s="468">
        <v>4600074513</v>
      </c>
      <c r="E33" s="474">
        <v>45838</v>
      </c>
      <c r="F33" s="467" t="s">
        <v>1235</v>
      </c>
      <c r="G33" s="467" t="s">
        <v>1207</v>
      </c>
      <c r="H33" s="467" t="s">
        <v>1188</v>
      </c>
      <c r="I33" s="467" t="s">
        <v>1189</v>
      </c>
      <c r="J33" s="467" t="s">
        <v>526</v>
      </c>
      <c r="K33" s="471">
        <v>5400</v>
      </c>
      <c r="L33" s="475"/>
      <c r="M33" s="471">
        <f t="shared" si="0"/>
        <v>5400</v>
      </c>
      <c r="N33" s="471"/>
      <c r="O33" s="471">
        <f t="shared" si="2"/>
        <v>5400</v>
      </c>
      <c r="P33" s="471">
        <f t="shared" ref="P33:P35" si="10">+O33*$O$6</f>
        <v>413100</v>
      </c>
      <c r="Q33" s="467" t="s">
        <v>1190</v>
      </c>
      <c r="R33" s="472"/>
      <c r="S33" s="473"/>
      <c r="T33" s="472"/>
      <c r="U33" s="472"/>
      <c r="V33" s="472"/>
      <c r="W33" s="472"/>
      <c r="X33" s="472"/>
      <c r="Y33" s="476"/>
      <c r="Z33" s="480">
        <v>46021</v>
      </c>
      <c r="AA33" s="472">
        <f t="shared" si="7"/>
        <v>183</v>
      </c>
      <c r="AB33" s="467" t="s">
        <v>1236</v>
      </c>
      <c r="AC33" s="467"/>
      <c r="AD33" s="467"/>
      <c r="AE33" s="467"/>
      <c r="AF33" s="467"/>
    </row>
    <row r="34" spans="1:16375" ht="15.6" x14ac:dyDescent="0.3">
      <c r="A34" s="466" t="s">
        <v>1166</v>
      </c>
      <c r="B34" s="467">
        <v>35716</v>
      </c>
      <c r="C34" s="467" t="s">
        <v>696</v>
      </c>
      <c r="D34" s="468">
        <v>4600074116</v>
      </c>
      <c r="E34" s="474">
        <v>45813</v>
      </c>
      <c r="F34" s="467" t="s">
        <v>1237</v>
      </c>
      <c r="G34" s="467" t="s">
        <v>1207</v>
      </c>
      <c r="H34" s="467" t="s">
        <v>1188</v>
      </c>
      <c r="I34" s="467" t="s">
        <v>1189</v>
      </c>
      <c r="J34" s="467" t="s">
        <v>526</v>
      </c>
      <c r="K34" s="471">
        <v>34720</v>
      </c>
      <c r="L34" s="475"/>
      <c r="M34" s="471">
        <f t="shared" si="0"/>
        <v>34720</v>
      </c>
      <c r="N34" s="471"/>
      <c r="O34" s="471">
        <f t="shared" si="2"/>
        <v>34720</v>
      </c>
      <c r="P34" s="471">
        <f t="shared" si="10"/>
        <v>2656080</v>
      </c>
      <c r="Q34" s="467" t="s">
        <v>1190</v>
      </c>
      <c r="R34" s="472"/>
      <c r="S34" s="473"/>
      <c r="T34" s="472"/>
      <c r="U34" s="472"/>
      <c r="V34" s="472"/>
      <c r="W34" s="472"/>
      <c r="X34" s="472"/>
      <c r="Y34" s="476"/>
      <c r="Z34" s="480">
        <v>46021</v>
      </c>
      <c r="AA34" s="472">
        <f t="shared" si="7"/>
        <v>208</v>
      </c>
      <c r="AB34" s="467" t="s">
        <v>1236</v>
      </c>
      <c r="AC34" s="467"/>
      <c r="AD34" s="467"/>
      <c r="AE34" s="467"/>
      <c r="AF34" s="467"/>
    </row>
    <row r="35" spans="1:16375" ht="16.350000000000001" customHeight="1" x14ac:dyDescent="0.3">
      <c r="A35" s="466" t="s">
        <v>1166</v>
      </c>
      <c r="B35" s="467">
        <v>33347</v>
      </c>
      <c r="C35" s="467" t="s">
        <v>619</v>
      </c>
      <c r="D35" s="468">
        <v>4600074921</v>
      </c>
      <c r="E35" s="474">
        <v>45853</v>
      </c>
      <c r="F35" s="467" t="s">
        <v>1238</v>
      </c>
      <c r="G35" s="467" t="s">
        <v>1207</v>
      </c>
      <c r="H35" s="467" t="s">
        <v>1188</v>
      </c>
      <c r="I35" s="467" t="s">
        <v>1189</v>
      </c>
      <c r="J35" s="467" t="s">
        <v>526</v>
      </c>
      <c r="K35" s="471">
        <v>9981.7199999999993</v>
      </c>
      <c r="L35" s="475"/>
      <c r="M35" s="471">
        <f t="shared" si="0"/>
        <v>9981.7199999999993</v>
      </c>
      <c r="N35" s="471"/>
      <c r="O35" s="471">
        <f t="shared" si="2"/>
        <v>9981.7199999999993</v>
      </c>
      <c r="P35" s="471">
        <f t="shared" si="10"/>
        <v>763601.58</v>
      </c>
      <c r="Q35" s="467" t="s">
        <v>1190</v>
      </c>
      <c r="R35" s="472"/>
      <c r="S35" s="473"/>
      <c r="T35" s="472"/>
      <c r="U35" s="472"/>
      <c r="V35" s="472"/>
      <c r="W35" s="472"/>
      <c r="X35" s="472"/>
      <c r="Y35" s="476"/>
      <c r="Z35" s="480">
        <v>46021</v>
      </c>
      <c r="AA35" s="472">
        <f t="shared" si="7"/>
        <v>168</v>
      </c>
      <c r="AB35" s="467" t="s">
        <v>1236</v>
      </c>
      <c r="AC35" s="467"/>
      <c r="AD35" s="467"/>
      <c r="AE35" s="467"/>
      <c r="AF35" s="467"/>
    </row>
    <row r="36" spans="1:16375" ht="26.1" customHeight="1" x14ac:dyDescent="0.3">
      <c r="A36" s="466" t="s">
        <v>1166</v>
      </c>
      <c r="B36" s="467">
        <v>77122</v>
      </c>
      <c r="C36" s="467" t="s">
        <v>1239</v>
      </c>
      <c r="D36" s="468">
        <v>4512581646</v>
      </c>
      <c r="E36" s="474">
        <v>45855</v>
      </c>
      <c r="F36" s="467" t="s">
        <v>1240</v>
      </c>
      <c r="G36" s="467" t="s">
        <v>1168</v>
      </c>
      <c r="H36" s="467" t="s">
        <v>1169</v>
      </c>
      <c r="I36" s="467" t="s">
        <v>1177</v>
      </c>
      <c r="J36" s="467" t="s">
        <v>581</v>
      </c>
      <c r="K36" s="471">
        <v>624159.14</v>
      </c>
      <c r="L36" s="475"/>
      <c r="M36" s="471">
        <f t="shared" si="0"/>
        <v>624159.14</v>
      </c>
      <c r="N36" s="471"/>
      <c r="O36" s="471">
        <f t="shared" si="2"/>
        <v>624159.14</v>
      </c>
      <c r="P36" s="471">
        <f>+O36</f>
        <v>624159.14</v>
      </c>
      <c r="Q36" s="467" t="s">
        <v>1171</v>
      </c>
      <c r="R36" s="472"/>
      <c r="S36" s="473"/>
      <c r="T36" s="472"/>
      <c r="U36" s="472"/>
      <c r="V36" s="472"/>
      <c r="W36" s="472"/>
      <c r="X36" s="472"/>
      <c r="Y36" s="476"/>
      <c r="Z36" s="480">
        <v>45960</v>
      </c>
      <c r="AA36" s="472">
        <f t="shared" si="7"/>
        <v>105</v>
      </c>
      <c r="AB36" s="467" t="s">
        <v>1241</v>
      </c>
      <c r="AC36" s="467"/>
      <c r="AD36" s="467"/>
      <c r="AE36" s="467"/>
      <c r="AF36" s="467"/>
    </row>
    <row r="37" spans="1:16375" ht="31.2" x14ac:dyDescent="0.3">
      <c r="A37" s="466" t="s">
        <v>1166</v>
      </c>
      <c r="B37" s="467">
        <v>35631</v>
      </c>
      <c r="C37" s="467" t="s">
        <v>1242</v>
      </c>
      <c r="D37" s="468">
        <v>4600074838</v>
      </c>
      <c r="E37" s="474">
        <v>45853</v>
      </c>
      <c r="F37" s="467" t="s">
        <v>1243</v>
      </c>
      <c r="G37" s="467" t="s">
        <v>1200</v>
      </c>
      <c r="H37" s="467" t="s">
        <v>1188</v>
      </c>
      <c r="I37" s="467" t="s">
        <v>1189</v>
      </c>
      <c r="J37" s="467" t="s">
        <v>526</v>
      </c>
      <c r="K37" s="471">
        <v>49981.2</v>
      </c>
      <c r="L37" s="475"/>
      <c r="M37" s="471">
        <f t="shared" si="0"/>
        <v>49981.2</v>
      </c>
      <c r="N37" s="471"/>
      <c r="O37" s="471">
        <f t="shared" si="2"/>
        <v>49981.2</v>
      </c>
      <c r="P37" s="471">
        <f t="shared" ref="P37:P38" si="11">+O37*$O$6</f>
        <v>3823561.8</v>
      </c>
      <c r="Q37" s="474" t="s">
        <v>1244</v>
      </c>
      <c r="R37" s="472"/>
      <c r="S37" s="473"/>
      <c r="T37" s="472"/>
      <c r="U37" s="472"/>
      <c r="V37" s="472"/>
      <c r="W37" s="472"/>
      <c r="X37" s="472"/>
      <c r="Y37" s="476"/>
      <c r="Z37" s="480">
        <v>45960</v>
      </c>
      <c r="AA37" s="472">
        <f t="shared" si="7"/>
        <v>107</v>
      </c>
      <c r="AB37" s="482" t="s">
        <v>1245</v>
      </c>
      <c r="AC37" s="482"/>
      <c r="AD37" s="482"/>
      <c r="AE37" s="482"/>
      <c r="AF37" s="482"/>
    </row>
    <row r="38" spans="1:16375" ht="15.6" x14ac:dyDescent="0.3">
      <c r="A38" s="466" t="s">
        <v>1166</v>
      </c>
      <c r="B38" s="467">
        <v>75322</v>
      </c>
      <c r="C38" s="467" t="s">
        <v>1246</v>
      </c>
      <c r="D38" s="468">
        <v>4512595609</v>
      </c>
      <c r="E38" s="474">
        <v>45869</v>
      </c>
      <c r="F38" s="467" t="s">
        <v>1247</v>
      </c>
      <c r="G38" s="467" t="s">
        <v>1207</v>
      </c>
      <c r="H38" s="467" t="s">
        <v>1169</v>
      </c>
      <c r="I38" s="467" t="s">
        <v>1177</v>
      </c>
      <c r="J38" s="467" t="s">
        <v>526</v>
      </c>
      <c r="K38" s="471">
        <v>7401.15</v>
      </c>
      <c r="L38" s="475"/>
      <c r="M38" s="471">
        <f t="shared" si="0"/>
        <v>7401.15</v>
      </c>
      <c r="N38" s="471"/>
      <c r="O38" s="471">
        <f t="shared" si="2"/>
        <v>7401.15</v>
      </c>
      <c r="P38" s="471">
        <f t="shared" si="11"/>
        <v>566187.97499999998</v>
      </c>
      <c r="Q38" s="467" t="s">
        <v>1244</v>
      </c>
      <c r="R38" s="472"/>
      <c r="S38" s="473"/>
      <c r="T38" s="472"/>
      <c r="U38" s="472"/>
      <c r="V38" s="472"/>
      <c r="W38" s="472"/>
      <c r="X38" s="472"/>
      <c r="Y38" s="476"/>
      <c r="Z38" s="480">
        <v>46021</v>
      </c>
      <c r="AA38" s="472">
        <f t="shared" si="7"/>
        <v>152</v>
      </c>
      <c r="AB38" s="467" t="s">
        <v>1248</v>
      </c>
      <c r="AC38" s="467"/>
      <c r="AD38" s="467"/>
      <c r="AE38" s="467"/>
      <c r="AF38" s="467"/>
    </row>
    <row r="39" spans="1:16375" ht="15.6" x14ac:dyDescent="0.3">
      <c r="A39" s="466" t="s">
        <v>1166</v>
      </c>
      <c r="B39" s="467">
        <v>75322</v>
      </c>
      <c r="C39" s="467" t="s">
        <v>1246</v>
      </c>
      <c r="D39" s="468">
        <v>4512560301</v>
      </c>
      <c r="E39" s="474">
        <v>45838</v>
      </c>
      <c r="F39" s="467" t="s">
        <v>1249</v>
      </c>
      <c r="G39" s="467" t="s">
        <v>1207</v>
      </c>
      <c r="H39" s="467" t="s">
        <v>1169</v>
      </c>
      <c r="I39" s="467" t="s">
        <v>1177</v>
      </c>
      <c r="J39" s="467" t="s">
        <v>526</v>
      </c>
      <c r="K39" s="471">
        <v>49983.199999999997</v>
      </c>
      <c r="L39" s="475"/>
      <c r="M39" s="471">
        <f t="shared" si="0"/>
        <v>49983.199999999997</v>
      </c>
      <c r="N39" s="471"/>
      <c r="O39" s="471">
        <f t="shared" si="2"/>
        <v>49983.199999999997</v>
      </c>
      <c r="P39" s="471">
        <f>+O39*$O$6</f>
        <v>3823714.8</v>
      </c>
      <c r="Q39" s="467" t="s">
        <v>1244</v>
      </c>
      <c r="R39" s="472"/>
      <c r="S39" s="473"/>
      <c r="T39" s="472"/>
      <c r="U39" s="472"/>
      <c r="V39" s="472"/>
      <c r="W39" s="472"/>
      <c r="X39" s="472"/>
      <c r="Y39" s="476"/>
      <c r="Z39" s="480">
        <v>46021</v>
      </c>
      <c r="AA39" s="472">
        <f t="shared" si="7"/>
        <v>183</v>
      </c>
      <c r="AB39" s="467" t="s">
        <v>1248</v>
      </c>
      <c r="AC39" s="467"/>
      <c r="AD39" s="467"/>
      <c r="AE39" s="467"/>
      <c r="AF39" s="467"/>
    </row>
    <row r="40" spans="1:16375" ht="15" customHeight="1" x14ac:dyDescent="0.3">
      <c r="A40" s="466" t="s">
        <v>1166</v>
      </c>
      <c r="B40" s="467">
        <v>33347</v>
      </c>
      <c r="C40" s="467" t="s">
        <v>619</v>
      </c>
      <c r="D40" s="468">
        <v>4600076036</v>
      </c>
      <c r="E40" s="474">
        <v>45929</v>
      </c>
      <c r="F40" s="467" t="s">
        <v>1250</v>
      </c>
      <c r="G40" s="467" t="s">
        <v>1207</v>
      </c>
      <c r="H40" s="467" t="s">
        <v>1188</v>
      </c>
      <c r="I40" s="467" t="s">
        <v>1177</v>
      </c>
      <c r="J40" s="467" t="s">
        <v>526</v>
      </c>
      <c r="K40" s="471">
        <v>7348</v>
      </c>
      <c r="L40" s="475"/>
      <c r="M40" s="471">
        <f t="shared" ref="M40:M42" si="12">K40-L40</f>
        <v>7348</v>
      </c>
      <c r="N40" s="471"/>
      <c r="O40" s="471">
        <f t="shared" ref="O40:O42" si="13">M40+N40</f>
        <v>7348</v>
      </c>
      <c r="P40" s="471">
        <f t="shared" ref="P40" si="14">+O40*$O$6</f>
        <v>562122</v>
      </c>
      <c r="Q40" s="467" t="s">
        <v>1190</v>
      </c>
      <c r="R40" s="472"/>
      <c r="S40" s="473"/>
      <c r="T40" s="472"/>
      <c r="U40" s="472"/>
      <c r="V40" s="472"/>
      <c r="W40" s="472"/>
      <c r="X40" s="472"/>
      <c r="Y40" s="476"/>
      <c r="Z40" s="480">
        <v>46021</v>
      </c>
      <c r="AA40" s="472">
        <f t="shared" ref="AA40:AA41" si="15">+Z40-E40</f>
        <v>92</v>
      </c>
      <c r="AB40" s="467" t="s">
        <v>1236</v>
      </c>
      <c r="AC40" s="467"/>
      <c r="AD40" s="467"/>
      <c r="AE40" s="467"/>
      <c r="AF40" s="467"/>
    </row>
    <row r="41" spans="1:16375" ht="15" customHeight="1" x14ac:dyDescent="0.3">
      <c r="A41" s="466" t="s">
        <v>1166</v>
      </c>
      <c r="B41" s="467">
        <v>75252</v>
      </c>
      <c r="C41" s="467" t="s">
        <v>1220</v>
      </c>
      <c r="D41" s="468">
        <v>4512716532</v>
      </c>
      <c r="E41" s="474">
        <v>45968</v>
      </c>
      <c r="F41" s="467" t="s">
        <v>1251</v>
      </c>
      <c r="G41" s="467" t="s">
        <v>1168</v>
      </c>
      <c r="H41" s="467" t="s">
        <v>1169</v>
      </c>
      <c r="I41" s="467" t="s">
        <v>1170</v>
      </c>
      <c r="J41" s="467" t="s">
        <v>581</v>
      </c>
      <c r="K41" s="471">
        <v>91228.82</v>
      </c>
      <c r="L41" s="475"/>
      <c r="M41" s="471">
        <f t="shared" si="12"/>
        <v>91228.82</v>
      </c>
      <c r="N41" s="471">
        <f>M41*0.18</f>
        <v>16421.187600000001</v>
      </c>
      <c r="O41" s="471">
        <f t="shared" si="13"/>
        <v>107650.00760000001</v>
      </c>
      <c r="P41" s="471">
        <f>+O41*$N$6</f>
        <v>6781950.4788000006</v>
      </c>
      <c r="Q41" s="467" t="s">
        <v>1244</v>
      </c>
      <c r="R41" s="472"/>
      <c r="S41" s="473"/>
      <c r="T41" s="472"/>
      <c r="U41" s="472"/>
      <c r="V41" s="472"/>
      <c r="W41" s="472"/>
      <c r="X41" s="472"/>
      <c r="Y41" s="476"/>
      <c r="Z41" s="480">
        <v>45687</v>
      </c>
      <c r="AA41" s="472">
        <f t="shared" si="15"/>
        <v>-281</v>
      </c>
      <c r="AB41" s="467" t="s">
        <v>1252</v>
      </c>
      <c r="AC41" s="467"/>
      <c r="AD41" s="467"/>
      <c r="AE41" s="467"/>
      <c r="AF41" s="467"/>
    </row>
    <row r="42" spans="1:16375" ht="14.4" customHeight="1" x14ac:dyDescent="0.3">
      <c r="A42" s="466" t="s">
        <v>1166</v>
      </c>
      <c r="B42" s="467">
        <v>75084</v>
      </c>
      <c r="C42" s="467" t="s">
        <v>1216</v>
      </c>
      <c r="D42" s="468">
        <v>4512927103</v>
      </c>
      <c r="E42" s="474">
        <v>46143</v>
      </c>
      <c r="F42" s="467" t="s">
        <v>1253</v>
      </c>
      <c r="G42" s="467" t="s">
        <v>1168</v>
      </c>
      <c r="H42" s="467" t="s">
        <v>1169</v>
      </c>
      <c r="I42" s="467" t="s">
        <v>1170</v>
      </c>
      <c r="J42" s="467" t="s">
        <v>581</v>
      </c>
      <c r="K42" s="471">
        <v>347900</v>
      </c>
      <c r="L42" s="505"/>
      <c r="M42" s="505">
        <f t="shared" si="12"/>
        <v>347900</v>
      </c>
      <c r="N42" s="505">
        <f>M42*0.18</f>
        <v>62622</v>
      </c>
      <c r="O42" s="505">
        <f t="shared" si="13"/>
        <v>410522</v>
      </c>
      <c r="P42" s="506">
        <f>+O42</f>
        <v>410522</v>
      </c>
      <c r="Q42" s="507" t="s">
        <v>1254</v>
      </c>
      <c r="R42" s="467"/>
      <c r="S42" s="472"/>
      <c r="T42" s="472"/>
      <c r="U42" s="472"/>
      <c r="V42" s="472"/>
      <c r="W42" s="472"/>
      <c r="X42" s="476"/>
      <c r="Y42" s="480">
        <v>46193</v>
      </c>
      <c r="Z42" s="472"/>
      <c r="AA42" s="478"/>
    </row>
    <row r="43" spans="1:16375" ht="14.4" customHeight="1" x14ac:dyDescent="0.3">
      <c r="A43" s="466" t="s">
        <v>1166</v>
      </c>
      <c r="B43" s="467">
        <v>75084</v>
      </c>
      <c r="C43" s="467" t="s">
        <v>1255</v>
      </c>
      <c r="D43" s="468">
        <v>4512925858</v>
      </c>
      <c r="E43" s="474">
        <v>46143</v>
      </c>
      <c r="F43" s="467" t="s">
        <v>1256</v>
      </c>
      <c r="G43" s="467" t="s">
        <v>1168</v>
      </c>
      <c r="H43" s="467" t="s">
        <v>1169</v>
      </c>
      <c r="I43" s="467" t="s">
        <v>1177</v>
      </c>
      <c r="J43" s="467" t="s">
        <v>581</v>
      </c>
      <c r="K43" s="471">
        <v>503207</v>
      </c>
      <c r="L43" s="505">
        <v>10064.14</v>
      </c>
      <c r="M43" s="505">
        <f t="shared" ref="M43" si="16">K43-L43</f>
        <v>493142.86</v>
      </c>
      <c r="N43" s="505">
        <f>M43*0.18</f>
        <v>88765.714799999987</v>
      </c>
      <c r="O43" s="505">
        <f t="shared" ref="O43" si="17">M43+N43</f>
        <v>581908.57479999994</v>
      </c>
      <c r="P43" s="506">
        <f>+O43</f>
        <v>581908.57479999994</v>
      </c>
      <c r="Q43" s="507" t="s">
        <v>1233</v>
      </c>
      <c r="R43" s="467" t="s">
        <v>1257</v>
      </c>
      <c r="S43" s="472" t="s">
        <v>1258</v>
      </c>
      <c r="T43" s="472"/>
      <c r="U43" s="472"/>
      <c r="V43" s="472"/>
      <c r="W43" s="472"/>
      <c r="X43" s="476"/>
      <c r="Y43" s="480"/>
      <c r="Z43" s="472">
        <v>46188</v>
      </c>
      <c r="AA43" s="478"/>
    </row>
    <row r="44" spans="1:16375" ht="15.6" x14ac:dyDescent="0.3">
      <c r="A44" s="508" t="s">
        <v>1166</v>
      </c>
      <c r="B44" s="468">
        <v>77002</v>
      </c>
      <c r="C44" s="467" t="s">
        <v>1259</v>
      </c>
      <c r="D44" s="508">
        <v>4512781014</v>
      </c>
      <c r="E44" s="469">
        <v>46021</v>
      </c>
      <c r="F44" s="468" t="s">
        <v>1260</v>
      </c>
      <c r="G44" s="468" t="s">
        <v>1168</v>
      </c>
      <c r="H44" s="468" t="s">
        <v>1169</v>
      </c>
      <c r="I44" s="468" t="s">
        <v>1177</v>
      </c>
      <c r="J44" s="468" t="s">
        <v>581</v>
      </c>
      <c r="K44" s="509">
        <v>3670</v>
      </c>
      <c r="L44" s="468"/>
      <c r="M44" s="471">
        <v>3670</v>
      </c>
      <c r="N44" s="471">
        <v>660.6</v>
      </c>
      <c r="O44" s="471">
        <v>4330.6000000000004</v>
      </c>
      <c r="P44" s="471">
        <v>4330.6000000000004</v>
      </c>
      <c r="Q44" s="468" t="s">
        <v>1261</v>
      </c>
      <c r="R44" s="469">
        <v>46037</v>
      </c>
      <c r="S44" s="468" t="s">
        <v>1262</v>
      </c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8"/>
      <c r="DF44" s="468"/>
      <c r="DG44" s="468"/>
      <c r="DH44" s="468"/>
      <c r="DI44" s="468"/>
      <c r="DJ44" s="468"/>
      <c r="DK44" s="468"/>
      <c r="DL44" s="468"/>
      <c r="DM44" s="468"/>
      <c r="DN44" s="468"/>
      <c r="DO44" s="468"/>
      <c r="DP44" s="468"/>
      <c r="DQ44" s="468"/>
      <c r="DR44" s="468"/>
      <c r="DS44" s="468"/>
      <c r="DT44" s="468"/>
      <c r="DU44" s="468"/>
      <c r="DV44" s="468"/>
      <c r="DW44" s="468"/>
      <c r="DX44" s="468"/>
      <c r="DY44" s="468"/>
      <c r="DZ44" s="468"/>
      <c r="EA44" s="468"/>
      <c r="EB44" s="468"/>
      <c r="EC44" s="468"/>
      <c r="ED44" s="468"/>
      <c r="EE44" s="468"/>
      <c r="EF44" s="468"/>
      <c r="EG44" s="468"/>
      <c r="EH44" s="468"/>
      <c r="EI44" s="468"/>
      <c r="EJ44" s="468"/>
      <c r="EK44" s="468"/>
      <c r="EL44" s="468"/>
      <c r="EM44" s="468"/>
      <c r="EN44" s="468"/>
      <c r="EO44" s="468"/>
      <c r="EP44" s="468"/>
      <c r="EQ44" s="468"/>
      <c r="ER44" s="468"/>
      <c r="ES44" s="468"/>
      <c r="ET44" s="468"/>
      <c r="EU44" s="468"/>
      <c r="EV44" s="468"/>
      <c r="EW44" s="468"/>
      <c r="EX44" s="468"/>
      <c r="EY44" s="468"/>
      <c r="EZ44" s="468"/>
      <c r="FA44" s="468"/>
      <c r="FB44" s="468"/>
      <c r="FC44" s="468"/>
      <c r="FD44" s="468"/>
      <c r="FE44" s="468"/>
      <c r="FF44" s="468"/>
      <c r="FG44" s="468"/>
      <c r="FH44" s="468"/>
      <c r="FI44" s="468"/>
      <c r="FJ44" s="468"/>
      <c r="FK44" s="468"/>
      <c r="FL44" s="468"/>
      <c r="FM44" s="468"/>
      <c r="FN44" s="468"/>
      <c r="FO44" s="468"/>
      <c r="FP44" s="468"/>
      <c r="FQ44" s="468"/>
      <c r="FR44" s="468"/>
      <c r="FS44" s="468"/>
      <c r="FT44" s="468"/>
      <c r="FU44" s="468"/>
      <c r="FV44" s="468"/>
      <c r="FW44" s="468"/>
      <c r="FX44" s="468"/>
      <c r="FY44" s="468"/>
      <c r="FZ44" s="468"/>
      <c r="GA44" s="468"/>
      <c r="GB44" s="468"/>
      <c r="GC44" s="468"/>
      <c r="GD44" s="468"/>
      <c r="GE44" s="468"/>
      <c r="GF44" s="468"/>
      <c r="GG44" s="468"/>
      <c r="GH44" s="468"/>
      <c r="GI44" s="468"/>
      <c r="GJ44" s="468"/>
      <c r="GK44" s="468"/>
      <c r="GL44" s="468"/>
      <c r="GM44" s="468"/>
      <c r="GN44" s="468"/>
      <c r="GO44" s="468"/>
      <c r="GP44" s="468"/>
      <c r="GQ44" s="468"/>
      <c r="GR44" s="468"/>
      <c r="GS44" s="468"/>
      <c r="GT44" s="468"/>
      <c r="GU44" s="468"/>
      <c r="GV44" s="468"/>
      <c r="GW44" s="468"/>
      <c r="GX44" s="468"/>
      <c r="GY44" s="468"/>
      <c r="GZ44" s="468"/>
      <c r="HA44" s="468"/>
      <c r="HB44" s="468"/>
      <c r="HC44" s="468"/>
      <c r="HD44" s="468"/>
      <c r="HE44" s="468"/>
      <c r="HF44" s="468"/>
      <c r="HG44" s="468"/>
      <c r="HH44" s="468"/>
      <c r="HI44" s="468"/>
      <c r="HJ44" s="468"/>
      <c r="HK44" s="468"/>
      <c r="HL44" s="468"/>
      <c r="HM44" s="468"/>
      <c r="HN44" s="468"/>
      <c r="HO44" s="468"/>
      <c r="HP44" s="468"/>
      <c r="HQ44" s="468"/>
      <c r="HR44" s="468"/>
      <c r="HS44" s="468"/>
      <c r="HT44" s="468"/>
      <c r="HU44" s="468"/>
      <c r="HV44" s="468"/>
      <c r="HW44" s="468"/>
      <c r="HX44" s="468"/>
      <c r="HY44" s="468"/>
      <c r="HZ44" s="468"/>
      <c r="IA44" s="468"/>
      <c r="IB44" s="468"/>
      <c r="IC44" s="468"/>
      <c r="ID44" s="468"/>
      <c r="IE44" s="468"/>
      <c r="IF44" s="468"/>
      <c r="IG44" s="468"/>
      <c r="IH44" s="468"/>
      <c r="II44" s="468"/>
      <c r="IJ44" s="468"/>
      <c r="IK44" s="468"/>
      <c r="IL44" s="468"/>
      <c r="IM44" s="468"/>
      <c r="IN44" s="468"/>
      <c r="IO44" s="468"/>
      <c r="IP44" s="468"/>
      <c r="IQ44" s="468"/>
      <c r="IR44" s="468"/>
      <c r="IS44" s="468"/>
      <c r="IT44" s="468"/>
      <c r="IU44" s="468"/>
      <c r="IV44" s="468"/>
      <c r="IW44" s="468"/>
      <c r="IX44" s="468"/>
      <c r="IY44" s="468"/>
      <c r="IZ44" s="468"/>
      <c r="JA44" s="468"/>
      <c r="JB44" s="468"/>
      <c r="JC44" s="468"/>
      <c r="JD44" s="468"/>
      <c r="JE44" s="468"/>
      <c r="JF44" s="468"/>
      <c r="JG44" s="468"/>
      <c r="JH44" s="468"/>
      <c r="JI44" s="468"/>
      <c r="JJ44" s="468"/>
      <c r="JK44" s="468"/>
      <c r="JL44" s="468"/>
      <c r="JM44" s="468"/>
      <c r="JN44" s="468"/>
      <c r="JO44" s="468"/>
      <c r="JP44" s="468"/>
      <c r="JQ44" s="468"/>
      <c r="JR44" s="468"/>
      <c r="JS44" s="468"/>
      <c r="JT44" s="468"/>
      <c r="JU44" s="468"/>
      <c r="JV44" s="468"/>
      <c r="JW44" s="468"/>
      <c r="JX44" s="468"/>
      <c r="JY44" s="468"/>
      <c r="JZ44" s="468"/>
      <c r="KA44" s="468"/>
      <c r="KB44" s="468"/>
      <c r="KC44" s="468"/>
      <c r="KD44" s="468"/>
      <c r="KE44" s="468"/>
      <c r="KF44" s="468"/>
      <c r="KG44" s="468"/>
      <c r="KH44" s="468"/>
      <c r="KI44" s="468"/>
      <c r="KJ44" s="468"/>
      <c r="KK44" s="468"/>
      <c r="KL44" s="468"/>
      <c r="KM44" s="468"/>
      <c r="KN44" s="468"/>
      <c r="KO44" s="468"/>
      <c r="KP44" s="468"/>
      <c r="KQ44" s="468"/>
      <c r="KR44" s="468"/>
      <c r="KS44" s="468"/>
      <c r="KT44" s="468"/>
      <c r="KU44" s="468"/>
      <c r="KV44" s="468"/>
      <c r="KW44" s="468"/>
      <c r="KX44" s="468"/>
      <c r="KY44" s="468"/>
      <c r="KZ44" s="468"/>
      <c r="LA44" s="468"/>
      <c r="LB44" s="468"/>
      <c r="LC44" s="468"/>
      <c r="LD44" s="468"/>
      <c r="LE44" s="468"/>
      <c r="LF44" s="468"/>
      <c r="LG44" s="468"/>
      <c r="LH44" s="468"/>
      <c r="LI44" s="468"/>
      <c r="LJ44" s="468"/>
      <c r="LK44" s="468"/>
      <c r="LL44" s="468"/>
      <c r="LM44" s="468"/>
      <c r="LN44" s="468"/>
      <c r="LO44" s="468"/>
      <c r="LP44" s="468"/>
      <c r="LQ44" s="468"/>
      <c r="LR44" s="468"/>
      <c r="LS44" s="468"/>
      <c r="LT44" s="468"/>
      <c r="LU44" s="468"/>
      <c r="LV44" s="468"/>
      <c r="LW44" s="468"/>
      <c r="LX44" s="468"/>
      <c r="LY44" s="468"/>
      <c r="LZ44" s="468"/>
      <c r="MA44" s="468"/>
      <c r="MB44" s="468"/>
      <c r="MC44" s="468"/>
      <c r="MD44" s="468"/>
      <c r="ME44" s="468"/>
      <c r="MF44" s="468"/>
      <c r="MG44" s="468"/>
      <c r="MH44" s="468"/>
      <c r="MI44" s="468"/>
      <c r="MJ44" s="468"/>
      <c r="MK44" s="468"/>
      <c r="ML44" s="468"/>
      <c r="MM44" s="468"/>
      <c r="MN44" s="468"/>
      <c r="MO44" s="468"/>
      <c r="MP44" s="468"/>
      <c r="MQ44" s="468"/>
      <c r="MR44" s="468"/>
      <c r="MS44" s="468"/>
      <c r="MT44" s="468"/>
      <c r="MU44" s="468"/>
      <c r="MV44" s="468"/>
      <c r="MW44" s="468"/>
      <c r="MX44" s="468"/>
      <c r="MY44" s="468"/>
      <c r="MZ44" s="468"/>
      <c r="NA44" s="468"/>
      <c r="NB44" s="468"/>
      <c r="NC44" s="468"/>
      <c r="ND44" s="468"/>
      <c r="NE44" s="468"/>
      <c r="NF44" s="468"/>
      <c r="NG44" s="468"/>
      <c r="NH44" s="468"/>
      <c r="NI44" s="468"/>
      <c r="NJ44" s="468"/>
      <c r="NK44" s="468"/>
      <c r="NL44" s="468"/>
      <c r="NM44" s="468"/>
      <c r="NN44" s="468"/>
      <c r="NO44" s="468"/>
      <c r="NP44" s="468"/>
      <c r="NQ44" s="468"/>
      <c r="NR44" s="468"/>
      <c r="NS44" s="468"/>
      <c r="NT44" s="468"/>
      <c r="NU44" s="468"/>
      <c r="NV44" s="468"/>
      <c r="NW44" s="468"/>
      <c r="NX44" s="468"/>
      <c r="NY44" s="468"/>
      <c r="NZ44" s="468"/>
      <c r="OA44" s="468"/>
      <c r="OB44" s="468"/>
      <c r="OC44" s="468"/>
      <c r="OD44" s="468"/>
      <c r="OE44" s="468"/>
      <c r="OF44" s="468"/>
      <c r="OG44" s="468"/>
      <c r="OH44" s="468"/>
      <c r="OI44" s="468"/>
      <c r="OJ44" s="468"/>
      <c r="OK44" s="468"/>
      <c r="OL44" s="468"/>
      <c r="OM44" s="468"/>
      <c r="ON44" s="468"/>
      <c r="OO44" s="468"/>
      <c r="OP44" s="468"/>
      <c r="OQ44" s="468"/>
      <c r="OR44" s="468"/>
      <c r="OS44" s="468"/>
      <c r="OT44" s="468"/>
      <c r="OU44" s="468"/>
      <c r="OV44" s="468"/>
      <c r="OW44" s="468"/>
      <c r="OX44" s="468"/>
      <c r="OY44" s="468"/>
      <c r="OZ44" s="468"/>
      <c r="PA44" s="468"/>
      <c r="PB44" s="468"/>
      <c r="PC44" s="468"/>
      <c r="PD44" s="468"/>
      <c r="PE44" s="468"/>
      <c r="PF44" s="468"/>
      <c r="PG44" s="468"/>
      <c r="PH44" s="468"/>
      <c r="PI44" s="468"/>
      <c r="PJ44" s="468"/>
      <c r="PK44" s="468"/>
      <c r="PL44" s="468"/>
      <c r="PM44" s="468"/>
      <c r="PN44" s="468"/>
      <c r="PO44" s="468"/>
      <c r="PP44" s="468"/>
      <c r="PQ44" s="468"/>
      <c r="PR44" s="468"/>
      <c r="PS44" s="468"/>
      <c r="PT44" s="468"/>
      <c r="PU44" s="468"/>
      <c r="PV44" s="468"/>
      <c r="PW44" s="468"/>
      <c r="PX44" s="468"/>
      <c r="PY44" s="468"/>
      <c r="PZ44" s="468"/>
      <c r="QA44" s="468"/>
      <c r="QB44" s="468"/>
      <c r="QC44" s="468"/>
      <c r="QD44" s="468"/>
      <c r="QE44" s="468"/>
      <c r="QF44" s="468"/>
      <c r="QG44" s="468"/>
      <c r="QH44" s="468"/>
      <c r="QI44" s="468"/>
      <c r="QJ44" s="468"/>
      <c r="QK44" s="468"/>
      <c r="QL44" s="468"/>
      <c r="QM44" s="468"/>
      <c r="QN44" s="468"/>
      <c r="QO44" s="468"/>
      <c r="QP44" s="468"/>
      <c r="QQ44" s="468"/>
      <c r="QR44" s="468"/>
      <c r="QS44" s="468"/>
      <c r="QT44" s="468"/>
      <c r="QU44" s="468"/>
      <c r="QV44" s="468"/>
      <c r="QW44" s="468"/>
      <c r="QX44" s="468"/>
      <c r="QY44" s="468"/>
      <c r="QZ44" s="468"/>
      <c r="RA44" s="468"/>
      <c r="RB44" s="468"/>
      <c r="RC44" s="468"/>
      <c r="RD44" s="468"/>
      <c r="RE44" s="468"/>
      <c r="RF44" s="468"/>
      <c r="RG44" s="468"/>
      <c r="RH44" s="468"/>
      <c r="RI44" s="468"/>
      <c r="RJ44" s="468"/>
      <c r="RK44" s="468"/>
      <c r="RL44" s="468"/>
      <c r="RM44" s="468"/>
      <c r="RN44" s="468"/>
      <c r="RO44" s="468"/>
      <c r="RP44" s="468"/>
      <c r="RQ44" s="468"/>
      <c r="RR44" s="468"/>
      <c r="RS44" s="468"/>
      <c r="RT44" s="468"/>
      <c r="RU44" s="468"/>
      <c r="RV44" s="468"/>
      <c r="RW44" s="468"/>
      <c r="RX44" s="468"/>
      <c r="RY44" s="468"/>
      <c r="RZ44" s="468"/>
      <c r="SA44" s="468"/>
      <c r="SB44" s="468"/>
      <c r="SC44" s="468"/>
      <c r="SD44" s="468"/>
      <c r="SE44" s="468"/>
      <c r="SF44" s="468"/>
      <c r="SG44" s="468"/>
      <c r="SH44" s="468"/>
      <c r="SI44" s="468"/>
      <c r="SJ44" s="468"/>
      <c r="SK44" s="468"/>
      <c r="SL44" s="468"/>
      <c r="SM44" s="468"/>
      <c r="SN44" s="468"/>
      <c r="SO44" s="468"/>
      <c r="SP44" s="468"/>
      <c r="SQ44" s="468"/>
      <c r="SR44" s="468"/>
      <c r="SS44" s="468"/>
      <c r="ST44" s="468"/>
      <c r="SU44" s="468"/>
      <c r="SV44" s="468"/>
      <c r="SW44" s="468"/>
      <c r="SX44" s="468"/>
      <c r="SY44" s="468"/>
      <c r="SZ44" s="468"/>
      <c r="TA44" s="468"/>
      <c r="TB44" s="468"/>
      <c r="TC44" s="468"/>
      <c r="TD44" s="468"/>
      <c r="TE44" s="468"/>
      <c r="TF44" s="468"/>
      <c r="TG44" s="468"/>
      <c r="TH44" s="468"/>
      <c r="TI44" s="468"/>
      <c r="TJ44" s="468"/>
      <c r="TK44" s="468"/>
      <c r="TL44" s="468"/>
      <c r="TM44" s="468"/>
      <c r="TN44" s="468"/>
      <c r="TO44" s="468"/>
      <c r="TP44" s="468"/>
      <c r="TQ44" s="468"/>
      <c r="TR44" s="468"/>
      <c r="TS44" s="468"/>
      <c r="TT44" s="468"/>
      <c r="TU44" s="468"/>
      <c r="TV44" s="468"/>
      <c r="TW44" s="468"/>
      <c r="TX44" s="468"/>
      <c r="TY44" s="468"/>
      <c r="TZ44" s="468"/>
      <c r="UA44" s="468"/>
      <c r="UB44" s="468"/>
      <c r="UC44" s="468"/>
      <c r="UD44" s="468"/>
      <c r="UE44" s="468"/>
      <c r="UF44" s="468"/>
      <c r="UG44" s="468"/>
      <c r="UH44" s="468"/>
      <c r="UI44" s="468"/>
      <c r="UJ44" s="468"/>
      <c r="UK44" s="468"/>
      <c r="UL44" s="468"/>
      <c r="UM44" s="468"/>
      <c r="UN44" s="468"/>
      <c r="UO44" s="468"/>
      <c r="UP44" s="468"/>
      <c r="UQ44" s="468"/>
      <c r="UR44" s="468"/>
      <c r="US44" s="468"/>
      <c r="UT44" s="468"/>
      <c r="UU44" s="468"/>
      <c r="UV44" s="468"/>
      <c r="UW44" s="468"/>
      <c r="UX44" s="468"/>
      <c r="UY44" s="468"/>
      <c r="UZ44" s="468"/>
      <c r="VA44" s="468"/>
      <c r="VB44" s="468"/>
      <c r="VC44" s="468"/>
      <c r="VD44" s="468"/>
      <c r="VE44" s="468"/>
      <c r="VF44" s="468"/>
      <c r="VG44" s="468"/>
      <c r="VH44" s="468"/>
      <c r="VI44" s="468"/>
      <c r="VJ44" s="468"/>
      <c r="VK44" s="468"/>
      <c r="VL44" s="468"/>
      <c r="VM44" s="468"/>
      <c r="VN44" s="468"/>
      <c r="VO44" s="468"/>
      <c r="VP44" s="468"/>
      <c r="VQ44" s="468"/>
      <c r="VR44" s="468"/>
      <c r="VS44" s="468"/>
      <c r="VT44" s="468"/>
      <c r="VU44" s="468"/>
      <c r="VV44" s="468"/>
      <c r="VW44" s="468"/>
      <c r="VX44" s="468"/>
      <c r="VY44" s="468"/>
      <c r="VZ44" s="468"/>
      <c r="WA44" s="468"/>
      <c r="WB44" s="468"/>
      <c r="WC44" s="468"/>
      <c r="WD44" s="468"/>
      <c r="WE44" s="468"/>
      <c r="WF44" s="468"/>
      <c r="WG44" s="468"/>
      <c r="WH44" s="468"/>
      <c r="WI44" s="468"/>
      <c r="WJ44" s="468"/>
      <c r="WK44" s="468"/>
      <c r="WL44" s="468"/>
      <c r="WM44" s="468"/>
      <c r="WN44" s="468"/>
      <c r="WO44" s="468"/>
      <c r="WP44" s="468"/>
      <c r="WQ44" s="468"/>
      <c r="WR44" s="468"/>
      <c r="WS44" s="468"/>
      <c r="WT44" s="468"/>
      <c r="WU44" s="468"/>
      <c r="WV44" s="468"/>
      <c r="WW44" s="468"/>
      <c r="WX44" s="468"/>
      <c r="WY44" s="468"/>
      <c r="WZ44" s="468"/>
      <c r="XA44" s="468"/>
      <c r="XB44" s="468"/>
      <c r="XC44" s="468"/>
      <c r="XD44" s="468"/>
      <c r="XE44" s="468"/>
      <c r="XF44" s="468"/>
      <c r="XG44" s="468"/>
      <c r="XH44" s="468"/>
      <c r="XI44" s="468"/>
      <c r="XJ44" s="468"/>
      <c r="XK44" s="468"/>
      <c r="XL44" s="468"/>
      <c r="XM44" s="468"/>
      <c r="XN44" s="468"/>
      <c r="XO44" s="468"/>
      <c r="XP44" s="468"/>
      <c r="XQ44" s="468"/>
      <c r="XR44" s="468"/>
      <c r="XS44" s="468"/>
      <c r="XT44" s="468"/>
      <c r="XU44" s="468"/>
      <c r="XV44" s="468"/>
      <c r="XW44" s="468"/>
      <c r="XX44" s="468"/>
      <c r="XY44" s="468"/>
      <c r="XZ44" s="468"/>
      <c r="YA44" s="468"/>
      <c r="YB44" s="468"/>
      <c r="YC44" s="468"/>
      <c r="YD44" s="468"/>
      <c r="YE44" s="468"/>
      <c r="YF44" s="468"/>
      <c r="YG44" s="468"/>
      <c r="YH44" s="468"/>
      <c r="YI44" s="468"/>
      <c r="YJ44" s="468"/>
      <c r="YK44" s="468"/>
      <c r="YL44" s="468"/>
      <c r="YM44" s="468"/>
      <c r="YN44" s="468"/>
      <c r="YO44" s="468"/>
      <c r="YP44" s="468"/>
      <c r="YQ44" s="468"/>
      <c r="YR44" s="468"/>
      <c r="YS44" s="468"/>
      <c r="YT44" s="468"/>
      <c r="YU44" s="468"/>
      <c r="YV44" s="468"/>
      <c r="YW44" s="468"/>
      <c r="YX44" s="468"/>
      <c r="YY44" s="468"/>
      <c r="YZ44" s="468"/>
      <c r="ZA44" s="468"/>
      <c r="ZB44" s="468"/>
      <c r="ZC44" s="468"/>
      <c r="ZD44" s="468"/>
      <c r="ZE44" s="468"/>
      <c r="ZF44" s="468"/>
      <c r="ZG44" s="468"/>
      <c r="ZH44" s="468"/>
      <c r="ZI44" s="468"/>
      <c r="ZJ44" s="468"/>
      <c r="ZK44" s="468"/>
      <c r="ZL44" s="468"/>
      <c r="ZM44" s="468"/>
      <c r="ZN44" s="468"/>
      <c r="ZO44" s="468"/>
      <c r="ZP44" s="468"/>
      <c r="ZQ44" s="468"/>
      <c r="ZR44" s="468"/>
      <c r="ZS44" s="468"/>
      <c r="ZT44" s="468"/>
      <c r="ZU44" s="468"/>
      <c r="ZV44" s="468"/>
      <c r="ZW44" s="468"/>
      <c r="ZX44" s="468"/>
      <c r="ZY44" s="468"/>
      <c r="ZZ44" s="468"/>
      <c r="AAA44" s="468"/>
      <c r="AAB44" s="468"/>
      <c r="AAC44" s="468"/>
      <c r="AAD44" s="468"/>
      <c r="AAE44" s="468"/>
      <c r="AAF44" s="468"/>
      <c r="AAG44" s="468"/>
      <c r="AAH44" s="468"/>
      <c r="AAI44" s="468"/>
      <c r="AAJ44" s="468"/>
      <c r="AAK44" s="468"/>
      <c r="AAL44" s="468"/>
      <c r="AAM44" s="468"/>
      <c r="AAN44" s="468"/>
      <c r="AAO44" s="468"/>
      <c r="AAP44" s="468"/>
      <c r="AAQ44" s="468"/>
      <c r="AAR44" s="468"/>
      <c r="AAS44" s="468"/>
      <c r="AAT44" s="468"/>
      <c r="AAU44" s="468"/>
      <c r="AAV44" s="468"/>
      <c r="AAW44" s="468"/>
      <c r="AAX44" s="468"/>
      <c r="AAY44" s="468"/>
      <c r="AAZ44" s="468"/>
      <c r="ABA44" s="468"/>
      <c r="ABB44" s="468"/>
      <c r="ABC44" s="468"/>
      <c r="ABD44" s="468"/>
      <c r="ABE44" s="468"/>
      <c r="ABF44" s="468"/>
      <c r="ABG44" s="468"/>
      <c r="ABH44" s="468"/>
      <c r="ABI44" s="468"/>
      <c r="ABJ44" s="468"/>
      <c r="ABK44" s="468"/>
      <c r="ABL44" s="468"/>
      <c r="ABM44" s="468"/>
      <c r="ABN44" s="468"/>
      <c r="ABO44" s="468"/>
      <c r="ABP44" s="468"/>
      <c r="ABQ44" s="468"/>
      <c r="ABR44" s="468"/>
      <c r="ABS44" s="468"/>
      <c r="ABT44" s="468"/>
      <c r="ABU44" s="468"/>
      <c r="ABV44" s="468"/>
      <c r="ABW44" s="468"/>
      <c r="ABX44" s="468"/>
      <c r="ABY44" s="468"/>
      <c r="ABZ44" s="468"/>
      <c r="ACA44" s="468"/>
      <c r="ACB44" s="468"/>
      <c r="ACC44" s="468"/>
      <c r="ACD44" s="468"/>
      <c r="ACE44" s="468"/>
      <c r="ACF44" s="468"/>
      <c r="ACG44" s="468"/>
      <c r="ACH44" s="468"/>
      <c r="ACI44" s="468"/>
      <c r="ACJ44" s="468"/>
      <c r="ACK44" s="468"/>
      <c r="ACL44" s="468"/>
      <c r="ACM44" s="468"/>
      <c r="ACN44" s="468"/>
      <c r="ACO44" s="468"/>
      <c r="ACP44" s="468"/>
      <c r="ACQ44" s="468"/>
      <c r="ACR44" s="468"/>
      <c r="ACS44" s="468"/>
      <c r="ACT44" s="468"/>
      <c r="ACU44" s="468"/>
      <c r="ACV44" s="468"/>
      <c r="ACW44" s="468"/>
      <c r="ACX44" s="468"/>
      <c r="ACY44" s="468"/>
      <c r="ACZ44" s="468"/>
      <c r="ADA44" s="468"/>
      <c r="ADB44" s="468"/>
      <c r="ADC44" s="468"/>
      <c r="ADD44" s="468"/>
      <c r="ADE44" s="468"/>
      <c r="ADF44" s="468"/>
      <c r="ADG44" s="468"/>
      <c r="ADH44" s="468"/>
      <c r="ADI44" s="468"/>
      <c r="ADJ44" s="468"/>
      <c r="ADK44" s="468"/>
      <c r="ADL44" s="468"/>
      <c r="ADM44" s="468"/>
      <c r="ADN44" s="468"/>
      <c r="ADO44" s="468"/>
      <c r="ADP44" s="468"/>
      <c r="ADQ44" s="468"/>
      <c r="ADR44" s="468"/>
      <c r="ADS44" s="468"/>
      <c r="ADT44" s="468"/>
      <c r="ADU44" s="468"/>
      <c r="ADV44" s="468"/>
      <c r="ADW44" s="468"/>
      <c r="ADX44" s="468"/>
      <c r="ADY44" s="468"/>
      <c r="ADZ44" s="468"/>
      <c r="AEA44" s="468"/>
      <c r="AEB44" s="468"/>
      <c r="AEC44" s="468"/>
      <c r="AED44" s="468"/>
      <c r="AEE44" s="468"/>
      <c r="AEF44" s="468"/>
      <c r="AEG44" s="468"/>
      <c r="AEH44" s="468"/>
      <c r="AEI44" s="468"/>
      <c r="AEJ44" s="468"/>
      <c r="AEK44" s="468"/>
      <c r="AEL44" s="468"/>
      <c r="AEM44" s="468"/>
      <c r="AEN44" s="468"/>
      <c r="AEO44" s="468"/>
      <c r="AEP44" s="468"/>
      <c r="AEQ44" s="468"/>
      <c r="AER44" s="468"/>
      <c r="AES44" s="468"/>
      <c r="AET44" s="468"/>
      <c r="AEU44" s="468"/>
      <c r="AEV44" s="468"/>
      <c r="AEW44" s="468"/>
      <c r="AEX44" s="468"/>
      <c r="AEY44" s="468"/>
      <c r="AEZ44" s="468"/>
      <c r="AFA44" s="468"/>
      <c r="AFB44" s="468"/>
      <c r="AFC44" s="468"/>
      <c r="AFD44" s="468"/>
      <c r="AFE44" s="468"/>
      <c r="AFF44" s="468"/>
      <c r="AFG44" s="468"/>
      <c r="AFH44" s="468"/>
      <c r="AFI44" s="468"/>
      <c r="AFJ44" s="468"/>
      <c r="AFK44" s="468"/>
      <c r="AFL44" s="468"/>
      <c r="AFM44" s="468"/>
      <c r="AFN44" s="468"/>
      <c r="AFO44" s="468"/>
      <c r="AFP44" s="468"/>
      <c r="AFQ44" s="468"/>
      <c r="AFR44" s="468"/>
      <c r="AFS44" s="468"/>
      <c r="AFT44" s="468"/>
      <c r="AFU44" s="468"/>
      <c r="AFV44" s="468"/>
      <c r="AFW44" s="468"/>
      <c r="AFX44" s="468"/>
      <c r="AFY44" s="468"/>
      <c r="AFZ44" s="468"/>
      <c r="AGA44" s="468"/>
      <c r="AGB44" s="468"/>
      <c r="AGC44" s="468"/>
      <c r="AGD44" s="468"/>
      <c r="AGE44" s="468"/>
      <c r="AGF44" s="468"/>
      <c r="AGG44" s="468"/>
      <c r="AGH44" s="468"/>
      <c r="AGI44" s="468"/>
      <c r="AGJ44" s="468"/>
      <c r="AGK44" s="468"/>
      <c r="AGL44" s="468"/>
      <c r="AGM44" s="468"/>
      <c r="AGN44" s="468"/>
      <c r="AGO44" s="468"/>
      <c r="AGP44" s="468"/>
      <c r="AGQ44" s="468"/>
      <c r="AGR44" s="468"/>
      <c r="AGS44" s="468"/>
      <c r="AGT44" s="468"/>
      <c r="AGU44" s="468"/>
      <c r="AGV44" s="468"/>
      <c r="AGW44" s="468"/>
      <c r="AGX44" s="468"/>
      <c r="AGY44" s="468"/>
      <c r="AGZ44" s="468"/>
      <c r="AHA44" s="468"/>
      <c r="AHB44" s="468"/>
      <c r="AHC44" s="468"/>
      <c r="AHD44" s="468"/>
      <c r="AHE44" s="468"/>
      <c r="AHF44" s="468"/>
      <c r="AHG44" s="468"/>
      <c r="AHH44" s="468"/>
      <c r="AHI44" s="468"/>
      <c r="AHJ44" s="468"/>
      <c r="AHK44" s="468"/>
      <c r="AHL44" s="468"/>
      <c r="AHM44" s="468"/>
      <c r="AHN44" s="468"/>
      <c r="AHO44" s="468"/>
      <c r="AHP44" s="468"/>
      <c r="AHQ44" s="468"/>
      <c r="AHR44" s="468"/>
      <c r="AHS44" s="468"/>
      <c r="AHT44" s="468"/>
      <c r="AHU44" s="468"/>
      <c r="AHV44" s="468"/>
      <c r="AHW44" s="468"/>
      <c r="AHX44" s="468"/>
      <c r="AHY44" s="468"/>
      <c r="AHZ44" s="468"/>
      <c r="AIA44" s="468"/>
      <c r="AIB44" s="468"/>
      <c r="AIC44" s="468"/>
      <c r="AID44" s="468"/>
      <c r="AIE44" s="468"/>
      <c r="AIF44" s="468"/>
      <c r="AIG44" s="468"/>
      <c r="AIH44" s="468"/>
      <c r="AII44" s="468"/>
      <c r="AIJ44" s="468"/>
      <c r="AIK44" s="468"/>
      <c r="AIL44" s="468"/>
      <c r="AIM44" s="468"/>
      <c r="AIN44" s="468"/>
      <c r="AIO44" s="468"/>
      <c r="AIP44" s="468"/>
      <c r="AIQ44" s="468"/>
      <c r="AIR44" s="468"/>
      <c r="AIS44" s="468"/>
      <c r="AIT44" s="468"/>
      <c r="AIU44" s="468"/>
      <c r="AIV44" s="468"/>
      <c r="AIW44" s="468"/>
      <c r="AIX44" s="468"/>
      <c r="AIY44" s="468"/>
      <c r="AIZ44" s="468"/>
      <c r="AJA44" s="468"/>
      <c r="AJB44" s="468"/>
      <c r="AJC44" s="468"/>
      <c r="AJD44" s="468"/>
      <c r="AJE44" s="468"/>
      <c r="AJF44" s="468"/>
      <c r="AJG44" s="468"/>
      <c r="AJH44" s="468"/>
      <c r="AJI44" s="468"/>
      <c r="AJJ44" s="468"/>
      <c r="AJK44" s="468"/>
      <c r="AJL44" s="468"/>
      <c r="AJM44" s="468"/>
      <c r="AJN44" s="468"/>
      <c r="AJO44" s="468"/>
      <c r="AJP44" s="468"/>
      <c r="AJQ44" s="468"/>
      <c r="AJR44" s="468"/>
      <c r="AJS44" s="468"/>
      <c r="AJT44" s="468"/>
      <c r="AJU44" s="468"/>
      <c r="AJV44" s="468"/>
      <c r="AJW44" s="468"/>
      <c r="AJX44" s="468"/>
      <c r="AJY44" s="468"/>
      <c r="AJZ44" s="468"/>
      <c r="AKA44" s="468"/>
      <c r="AKB44" s="468"/>
      <c r="AKC44" s="468"/>
      <c r="AKD44" s="468"/>
      <c r="AKE44" s="468"/>
      <c r="AKF44" s="468"/>
      <c r="AKG44" s="468"/>
      <c r="AKH44" s="468"/>
      <c r="AKI44" s="468"/>
      <c r="AKJ44" s="468"/>
      <c r="AKK44" s="468"/>
      <c r="AKL44" s="468"/>
      <c r="AKM44" s="468"/>
      <c r="AKN44" s="468"/>
      <c r="AKO44" s="468"/>
      <c r="AKP44" s="468"/>
      <c r="AKQ44" s="468"/>
      <c r="AKR44" s="468"/>
      <c r="AKS44" s="468"/>
      <c r="AKT44" s="468"/>
      <c r="AKU44" s="468"/>
      <c r="AKV44" s="468"/>
      <c r="AKW44" s="468"/>
      <c r="AKX44" s="468"/>
      <c r="AKY44" s="468"/>
      <c r="AKZ44" s="468"/>
      <c r="ALA44" s="468"/>
      <c r="ALB44" s="468"/>
      <c r="ALC44" s="468"/>
      <c r="ALD44" s="468"/>
      <c r="ALE44" s="468"/>
      <c r="ALF44" s="468"/>
      <c r="ALG44" s="468"/>
      <c r="ALH44" s="468"/>
      <c r="ALI44" s="468"/>
      <c r="ALJ44" s="468"/>
      <c r="ALK44" s="468"/>
      <c r="ALL44" s="468"/>
      <c r="ALM44" s="468"/>
      <c r="ALN44" s="468"/>
      <c r="ALO44" s="468"/>
      <c r="ALP44" s="468"/>
      <c r="ALQ44" s="468"/>
      <c r="ALR44" s="468"/>
      <c r="ALS44" s="468"/>
      <c r="ALT44" s="468"/>
      <c r="ALU44" s="468"/>
      <c r="ALV44" s="468"/>
      <c r="ALW44" s="468"/>
      <c r="ALX44" s="468"/>
      <c r="ALY44" s="468"/>
      <c r="ALZ44" s="468"/>
      <c r="AMA44" s="468"/>
      <c r="AMB44" s="468"/>
      <c r="AMC44" s="468"/>
      <c r="AMD44" s="468"/>
      <c r="AME44" s="468"/>
      <c r="AMF44" s="468"/>
      <c r="AMG44" s="468"/>
      <c r="AMH44" s="468"/>
      <c r="AMI44" s="468"/>
      <c r="AMJ44" s="468"/>
      <c r="AMK44" s="468"/>
      <c r="AML44" s="468"/>
      <c r="AMM44" s="468"/>
      <c r="AMN44" s="468"/>
      <c r="AMO44" s="468"/>
      <c r="AMP44" s="468"/>
      <c r="AMQ44" s="468"/>
      <c r="AMR44" s="468"/>
      <c r="AMS44" s="468"/>
      <c r="AMT44" s="468"/>
      <c r="AMU44" s="468"/>
      <c r="AMV44" s="468"/>
      <c r="AMW44" s="468"/>
      <c r="AMX44" s="468"/>
      <c r="AMY44" s="468"/>
      <c r="AMZ44" s="468"/>
      <c r="ANA44" s="468"/>
      <c r="ANB44" s="468"/>
      <c r="ANC44" s="468"/>
      <c r="AND44" s="468"/>
      <c r="ANE44" s="468"/>
      <c r="ANF44" s="468"/>
      <c r="ANG44" s="468"/>
      <c r="ANH44" s="468"/>
      <c r="ANI44" s="468"/>
      <c r="ANJ44" s="468"/>
      <c r="ANK44" s="468"/>
      <c r="ANL44" s="468"/>
      <c r="ANM44" s="468"/>
      <c r="ANN44" s="468"/>
      <c r="ANO44" s="468"/>
      <c r="ANP44" s="468"/>
      <c r="ANQ44" s="468"/>
      <c r="ANR44" s="468"/>
      <c r="ANS44" s="468"/>
      <c r="ANT44" s="468"/>
      <c r="ANU44" s="468"/>
      <c r="ANV44" s="468"/>
      <c r="ANW44" s="468"/>
      <c r="ANX44" s="468"/>
      <c r="ANY44" s="468"/>
      <c r="ANZ44" s="468"/>
      <c r="AOA44" s="468"/>
      <c r="AOB44" s="468"/>
      <c r="AOC44" s="468"/>
      <c r="AOD44" s="468"/>
      <c r="AOE44" s="468"/>
      <c r="AOF44" s="468"/>
      <c r="AOG44" s="468"/>
      <c r="AOH44" s="468"/>
      <c r="AOI44" s="468"/>
      <c r="AOJ44" s="468"/>
      <c r="AOK44" s="468"/>
      <c r="AOL44" s="468"/>
      <c r="AOM44" s="468"/>
      <c r="AON44" s="468"/>
      <c r="AOO44" s="468"/>
      <c r="AOP44" s="468"/>
      <c r="AOQ44" s="468"/>
      <c r="AOR44" s="468"/>
      <c r="AOS44" s="468"/>
      <c r="AOT44" s="468"/>
      <c r="AOU44" s="468"/>
      <c r="AOV44" s="468"/>
      <c r="AOW44" s="468"/>
      <c r="AOX44" s="468"/>
      <c r="AOY44" s="468"/>
      <c r="AOZ44" s="468"/>
      <c r="APA44" s="468"/>
      <c r="APB44" s="468"/>
      <c r="APC44" s="468"/>
      <c r="APD44" s="468"/>
      <c r="APE44" s="468"/>
      <c r="APF44" s="468"/>
      <c r="APG44" s="468"/>
      <c r="APH44" s="468"/>
      <c r="API44" s="468"/>
      <c r="APJ44" s="468"/>
      <c r="APK44" s="468"/>
      <c r="APL44" s="468"/>
      <c r="APM44" s="468"/>
      <c r="APN44" s="468"/>
      <c r="APO44" s="468"/>
      <c r="APP44" s="468"/>
      <c r="APQ44" s="468"/>
      <c r="APR44" s="468"/>
      <c r="APS44" s="468"/>
      <c r="APT44" s="468"/>
      <c r="APU44" s="468"/>
      <c r="APV44" s="468"/>
      <c r="APW44" s="468"/>
      <c r="APX44" s="468"/>
      <c r="APY44" s="468"/>
      <c r="APZ44" s="468"/>
      <c r="AQA44" s="468"/>
      <c r="AQB44" s="468"/>
      <c r="AQC44" s="468"/>
      <c r="AQD44" s="468"/>
      <c r="AQE44" s="468"/>
      <c r="AQF44" s="468"/>
      <c r="AQG44" s="468"/>
      <c r="AQH44" s="468"/>
      <c r="AQI44" s="468"/>
      <c r="AQJ44" s="468"/>
      <c r="AQK44" s="468"/>
      <c r="AQL44" s="468"/>
      <c r="AQM44" s="468"/>
      <c r="AQN44" s="468"/>
      <c r="AQO44" s="468"/>
      <c r="AQP44" s="468"/>
      <c r="AQQ44" s="468"/>
      <c r="AQR44" s="468"/>
      <c r="AQS44" s="468"/>
      <c r="AQT44" s="468"/>
      <c r="AQU44" s="468"/>
      <c r="AQV44" s="468"/>
      <c r="AQW44" s="468"/>
      <c r="AQX44" s="468"/>
      <c r="AQY44" s="468"/>
      <c r="AQZ44" s="468"/>
      <c r="ARA44" s="468"/>
      <c r="ARB44" s="468"/>
      <c r="ARC44" s="468"/>
      <c r="ARD44" s="468"/>
      <c r="ARE44" s="468"/>
      <c r="ARF44" s="468"/>
      <c r="ARG44" s="468"/>
      <c r="ARH44" s="468"/>
      <c r="ARI44" s="468"/>
      <c r="ARJ44" s="468"/>
      <c r="ARK44" s="468"/>
      <c r="ARL44" s="468"/>
      <c r="ARM44" s="468"/>
      <c r="ARN44" s="468"/>
      <c r="ARO44" s="468"/>
      <c r="ARP44" s="468"/>
      <c r="ARQ44" s="468"/>
      <c r="ARR44" s="468"/>
      <c r="ARS44" s="468"/>
      <c r="ART44" s="468"/>
      <c r="ARU44" s="468"/>
      <c r="ARV44" s="468"/>
      <c r="ARW44" s="468"/>
      <c r="ARX44" s="468"/>
      <c r="ARY44" s="468"/>
      <c r="ARZ44" s="468"/>
      <c r="ASA44" s="468"/>
      <c r="ASB44" s="468"/>
      <c r="ASC44" s="468"/>
      <c r="ASD44" s="468"/>
      <c r="ASE44" s="468"/>
      <c r="ASF44" s="468"/>
      <c r="ASG44" s="468"/>
      <c r="ASH44" s="468"/>
      <c r="ASI44" s="468"/>
      <c r="ASJ44" s="468"/>
      <c r="ASK44" s="468"/>
      <c r="ASL44" s="468"/>
      <c r="ASM44" s="468"/>
      <c r="ASN44" s="468"/>
      <c r="ASO44" s="468"/>
      <c r="ASP44" s="468"/>
      <c r="ASQ44" s="468"/>
      <c r="ASR44" s="468"/>
      <c r="ASS44" s="468"/>
      <c r="AST44" s="468"/>
      <c r="ASU44" s="468"/>
      <c r="ASV44" s="468"/>
      <c r="ASW44" s="468"/>
      <c r="ASX44" s="468"/>
      <c r="ASY44" s="468"/>
      <c r="ASZ44" s="468"/>
      <c r="ATA44" s="468"/>
      <c r="ATB44" s="468"/>
      <c r="ATC44" s="468"/>
      <c r="ATD44" s="468"/>
      <c r="ATE44" s="468"/>
      <c r="ATF44" s="468"/>
      <c r="ATG44" s="468"/>
      <c r="ATH44" s="468"/>
      <c r="ATI44" s="468"/>
      <c r="ATJ44" s="468"/>
      <c r="ATK44" s="468"/>
      <c r="ATL44" s="468"/>
      <c r="ATM44" s="468"/>
      <c r="ATN44" s="468"/>
      <c r="ATO44" s="468"/>
      <c r="ATP44" s="468"/>
      <c r="ATQ44" s="468"/>
      <c r="ATR44" s="468"/>
      <c r="ATS44" s="468"/>
      <c r="ATT44" s="468"/>
      <c r="ATU44" s="468"/>
      <c r="ATV44" s="468"/>
      <c r="ATW44" s="468"/>
      <c r="ATX44" s="468"/>
      <c r="ATY44" s="468"/>
      <c r="ATZ44" s="468"/>
      <c r="AUA44" s="468"/>
      <c r="AUB44" s="468"/>
      <c r="AUC44" s="468"/>
      <c r="AUD44" s="468"/>
      <c r="AUE44" s="468"/>
      <c r="AUF44" s="468"/>
      <c r="AUG44" s="468"/>
      <c r="AUH44" s="468"/>
      <c r="AUI44" s="468"/>
      <c r="AUJ44" s="468"/>
      <c r="AUK44" s="468"/>
      <c r="AUL44" s="468"/>
      <c r="AUM44" s="468"/>
      <c r="AUN44" s="468"/>
      <c r="AUO44" s="468"/>
      <c r="AUP44" s="468"/>
      <c r="AUQ44" s="468"/>
      <c r="AUR44" s="468"/>
      <c r="AUS44" s="468"/>
      <c r="AUT44" s="468"/>
      <c r="AUU44" s="468"/>
      <c r="AUV44" s="468"/>
      <c r="AUW44" s="468"/>
      <c r="AUX44" s="468"/>
      <c r="AUY44" s="468"/>
      <c r="AUZ44" s="468"/>
      <c r="AVA44" s="468"/>
      <c r="AVB44" s="468"/>
      <c r="AVC44" s="468"/>
      <c r="AVD44" s="468"/>
      <c r="AVE44" s="468"/>
      <c r="AVF44" s="468"/>
      <c r="AVG44" s="468"/>
      <c r="AVH44" s="468"/>
      <c r="AVI44" s="468"/>
      <c r="AVJ44" s="468"/>
      <c r="AVK44" s="468"/>
      <c r="AVL44" s="468"/>
      <c r="AVM44" s="468"/>
      <c r="AVN44" s="468"/>
      <c r="AVO44" s="468"/>
      <c r="AVP44" s="468"/>
      <c r="AVQ44" s="468"/>
      <c r="AVR44" s="468"/>
      <c r="AVS44" s="468"/>
      <c r="AVT44" s="468"/>
      <c r="AVU44" s="468"/>
      <c r="AVV44" s="468"/>
      <c r="AVW44" s="468"/>
      <c r="AVX44" s="468"/>
      <c r="AVY44" s="468"/>
      <c r="AVZ44" s="468"/>
      <c r="AWA44" s="468"/>
      <c r="AWB44" s="468"/>
      <c r="AWC44" s="468"/>
      <c r="AWD44" s="468"/>
      <c r="AWE44" s="468"/>
      <c r="AWF44" s="468"/>
      <c r="AWG44" s="468"/>
      <c r="AWH44" s="468"/>
      <c r="AWI44" s="468"/>
      <c r="AWJ44" s="468"/>
      <c r="AWK44" s="468"/>
      <c r="AWL44" s="468"/>
      <c r="AWM44" s="468"/>
      <c r="AWN44" s="468"/>
      <c r="AWO44" s="468"/>
      <c r="AWP44" s="468"/>
      <c r="AWQ44" s="468"/>
      <c r="AWR44" s="468"/>
      <c r="AWS44" s="468"/>
      <c r="AWT44" s="468"/>
      <c r="AWU44" s="468"/>
      <c r="AWV44" s="468"/>
      <c r="AWW44" s="468"/>
      <c r="AWX44" s="468"/>
      <c r="AWY44" s="468"/>
      <c r="AWZ44" s="468"/>
      <c r="AXA44" s="468"/>
      <c r="AXB44" s="468"/>
      <c r="AXC44" s="468"/>
      <c r="AXD44" s="468"/>
      <c r="AXE44" s="468"/>
      <c r="AXF44" s="468"/>
      <c r="AXG44" s="468"/>
      <c r="AXH44" s="468"/>
      <c r="AXI44" s="468"/>
      <c r="AXJ44" s="468"/>
      <c r="AXK44" s="468"/>
      <c r="AXL44" s="468"/>
      <c r="AXM44" s="468"/>
      <c r="AXN44" s="468"/>
      <c r="AXO44" s="468"/>
      <c r="AXP44" s="468"/>
      <c r="AXQ44" s="468"/>
      <c r="AXR44" s="468"/>
      <c r="AXS44" s="468"/>
      <c r="AXT44" s="468"/>
      <c r="AXU44" s="468"/>
      <c r="AXV44" s="468"/>
      <c r="AXW44" s="468"/>
      <c r="AXX44" s="468"/>
      <c r="AXY44" s="468"/>
      <c r="AXZ44" s="468"/>
      <c r="AYA44" s="468"/>
      <c r="AYB44" s="468"/>
      <c r="AYC44" s="468"/>
      <c r="AYD44" s="468"/>
      <c r="AYE44" s="468"/>
      <c r="AYF44" s="468"/>
      <c r="AYG44" s="468"/>
      <c r="AYH44" s="468"/>
      <c r="AYI44" s="468"/>
      <c r="AYJ44" s="468"/>
      <c r="AYK44" s="468"/>
      <c r="AYL44" s="468"/>
      <c r="AYM44" s="468"/>
      <c r="AYN44" s="468"/>
      <c r="AYO44" s="468"/>
      <c r="AYP44" s="468"/>
      <c r="AYQ44" s="468"/>
      <c r="AYR44" s="468"/>
      <c r="AYS44" s="468"/>
      <c r="AYT44" s="468"/>
      <c r="AYU44" s="468"/>
      <c r="AYV44" s="468"/>
      <c r="AYW44" s="468"/>
      <c r="AYX44" s="468"/>
      <c r="AYY44" s="468"/>
      <c r="AYZ44" s="468"/>
      <c r="AZA44" s="468"/>
      <c r="AZB44" s="468"/>
      <c r="AZC44" s="468"/>
      <c r="AZD44" s="468"/>
      <c r="AZE44" s="468"/>
      <c r="AZF44" s="468"/>
      <c r="AZG44" s="468"/>
      <c r="AZH44" s="468"/>
      <c r="AZI44" s="468"/>
      <c r="AZJ44" s="468"/>
      <c r="AZK44" s="468"/>
      <c r="AZL44" s="468"/>
      <c r="AZM44" s="468"/>
      <c r="AZN44" s="468"/>
      <c r="AZO44" s="468"/>
      <c r="AZP44" s="468"/>
      <c r="AZQ44" s="468"/>
      <c r="AZR44" s="468"/>
      <c r="AZS44" s="468"/>
      <c r="AZT44" s="468"/>
      <c r="AZU44" s="468"/>
      <c r="AZV44" s="468"/>
      <c r="AZW44" s="468"/>
      <c r="AZX44" s="468"/>
      <c r="AZY44" s="468"/>
      <c r="AZZ44" s="468"/>
      <c r="BAA44" s="468"/>
      <c r="BAB44" s="468"/>
      <c r="BAC44" s="468"/>
      <c r="BAD44" s="468"/>
      <c r="BAE44" s="468"/>
      <c r="BAF44" s="468"/>
      <c r="BAG44" s="468"/>
      <c r="BAH44" s="468"/>
      <c r="BAI44" s="468"/>
      <c r="BAJ44" s="468"/>
      <c r="BAK44" s="468"/>
      <c r="BAL44" s="468"/>
      <c r="BAM44" s="468"/>
      <c r="BAN44" s="468"/>
      <c r="BAO44" s="468"/>
      <c r="BAP44" s="468"/>
      <c r="BAQ44" s="468"/>
      <c r="BAR44" s="468"/>
      <c r="BAS44" s="468"/>
      <c r="BAT44" s="468"/>
      <c r="BAU44" s="468"/>
      <c r="BAV44" s="468"/>
      <c r="BAW44" s="468"/>
      <c r="BAX44" s="468"/>
      <c r="BAY44" s="468"/>
      <c r="BAZ44" s="468"/>
      <c r="BBA44" s="468"/>
      <c r="BBB44" s="468"/>
      <c r="BBC44" s="468"/>
      <c r="BBD44" s="468"/>
      <c r="BBE44" s="468"/>
      <c r="BBF44" s="468"/>
      <c r="BBG44" s="468"/>
      <c r="BBH44" s="468"/>
      <c r="BBI44" s="468"/>
      <c r="BBJ44" s="468"/>
      <c r="BBK44" s="468"/>
      <c r="BBL44" s="468"/>
      <c r="BBM44" s="468"/>
      <c r="BBN44" s="468"/>
      <c r="BBO44" s="468"/>
      <c r="BBP44" s="468"/>
      <c r="BBQ44" s="468"/>
      <c r="BBR44" s="468"/>
      <c r="BBS44" s="468"/>
      <c r="BBT44" s="468"/>
      <c r="BBU44" s="468"/>
      <c r="BBV44" s="468"/>
      <c r="BBW44" s="468"/>
      <c r="BBX44" s="468"/>
      <c r="BBY44" s="468"/>
      <c r="BBZ44" s="468"/>
      <c r="BCA44" s="468"/>
      <c r="BCB44" s="468"/>
      <c r="BCC44" s="468"/>
      <c r="BCD44" s="468"/>
      <c r="BCE44" s="468"/>
      <c r="BCF44" s="468"/>
      <c r="BCG44" s="468"/>
      <c r="BCH44" s="468"/>
      <c r="BCI44" s="468"/>
      <c r="BCJ44" s="468"/>
      <c r="BCK44" s="468"/>
      <c r="BCL44" s="468"/>
      <c r="BCM44" s="468"/>
      <c r="BCN44" s="468"/>
      <c r="BCO44" s="468"/>
      <c r="BCP44" s="468"/>
      <c r="BCQ44" s="468"/>
      <c r="BCR44" s="468"/>
      <c r="BCS44" s="468"/>
      <c r="BCT44" s="468"/>
      <c r="BCU44" s="468"/>
      <c r="BCV44" s="468"/>
      <c r="BCW44" s="468"/>
      <c r="BCX44" s="468"/>
      <c r="BCY44" s="468"/>
      <c r="BCZ44" s="468"/>
      <c r="BDA44" s="468"/>
      <c r="BDB44" s="468"/>
      <c r="BDC44" s="468"/>
      <c r="BDD44" s="468"/>
      <c r="BDE44" s="468"/>
      <c r="BDF44" s="468"/>
      <c r="BDG44" s="468"/>
      <c r="BDH44" s="468"/>
      <c r="BDI44" s="468"/>
      <c r="BDJ44" s="468"/>
      <c r="BDK44" s="468"/>
      <c r="BDL44" s="468"/>
      <c r="BDM44" s="468"/>
      <c r="BDN44" s="468"/>
      <c r="BDO44" s="468"/>
      <c r="BDP44" s="468"/>
      <c r="BDQ44" s="468"/>
      <c r="BDR44" s="468"/>
      <c r="BDS44" s="468"/>
      <c r="BDT44" s="468"/>
      <c r="BDU44" s="468"/>
      <c r="BDV44" s="468"/>
      <c r="BDW44" s="468"/>
      <c r="BDX44" s="468"/>
      <c r="BDY44" s="468"/>
      <c r="BDZ44" s="468"/>
      <c r="BEA44" s="468"/>
      <c r="BEB44" s="468"/>
      <c r="BEC44" s="468"/>
      <c r="BED44" s="468"/>
      <c r="BEE44" s="468"/>
      <c r="BEF44" s="468"/>
      <c r="BEG44" s="468"/>
      <c r="BEH44" s="468"/>
      <c r="BEI44" s="468"/>
      <c r="BEJ44" s="468"/>
      <c r="BEK44" s="468"/>
      <c r="BEL44" s="468"/>
      <c r="BEM44" s="468"/>
      <c r="BEN44" s="468"/>
      <c r="BEO44" s="468"/>
      <c r="BEP44" s="468"/>
      <c r="BEQ44" s="468"/>
      <c r="BER44" s="468"/>
      <c r="BES44" s="468"/>
      <c r="BET44" s="468"/>
      <c r="BEU44" s="468"/>
      <c r="BEV44" s="468"/>
      <c r="BEW44" s="468"/>
      <c r="BEX44" s="468"/>
      <c r="BEY44" s="468"/>
      <c r="BEZ44" s="468"/>
      <c r="BFA44" s="468"/>
      <c r="BFB44" s="468"/>
      <c r="BFC44" s="468"/>
      <c r="BFD44" s="468"/>
      <c r="BFE44" s="468"/>
      <c r="BFF44" s="468"/>
      <c r="BFG44" s="468"/>
      <c r="BFH44" s="468"/>
      <c r="BFI44" s="468"/>
      <c r="BFJ44" s="468"/>
      <c r="BFK44" s="468"/>
      <c r="BFL44" s="468"/>
      <c r="BFM44" s="468"/>
      <c r="BFN44" s="468"/>
      <c r="BFO44" s="468"/>
      <c r="BFP44" s="468"/>
      <c r="BFQ44" s="468"/>
      <c r="BFR44" s="468"/>
      <c r="BFS44" s="468"/>
      <c r="BFT44" s="468"/>
      <c r="BFU44" s="468"/>
      <c r="BFV44" s="468"/>
      <c r="BFW44" s="468"/>
      <c r="BFX44" s="468"/>
      <c r="BFY44" s="468"/>
      <c r="BFZ44" s="468"/>
      <c r="BGA44" s="468"/>
      <c r="BGB44" s="468"/>
      <c r="BGC44" s="468"/>
      <c r="BGD44" s="468"/>
      <c r="BGE44" s="468"/>
      <c r="BGF44" s="468"/>
      <c r="BGG44" s="468"/>
      <c r="BGH44" s="468"/>
      <c r="BGI44" s="468"/>
      <c r="BGJ44" s="468"/>
      <c r="BGK44" s="468"/>
      <c r="BGL44" s="468"/>
      <c r="BGM44" s="468"/>
      <c r="BGN44" s="468"/>
      <c r="BGO44" s="468"/>
      <c r="BGP44" s="468"/>
      <c r="BGQ44" s="468"/>
      <c r="BGR44" s="468"/>
      <c r="BGS44" s="468"/>
      <c r="BGT44" s="468"/>
      <c r="BGU44" s="468"/>
      <c r="BGV44" s="468"/>
      <c r="BGW44" s="468"/>
      <c r="BGX44" s="468"/>
      <c r="BGY44" s="468"/>
      <c r="BGZ44" s="468"/>
      <c r="BHA44" s="468"/>
      <c r="BHB44" s="468"/>
      <c r="BHC44" s="468"/>
      <c r="BHD44" s="468"/>
      <c r="BHE44" s="468"/>
      <c r="BHF44" s="468"/>
      <c r="BHG44" s="468"/>
      <c r="BHH44" s="468"/>
      <c r="BHI44" s="468"/>
      <c r="BHJ44" s="468"/>
      <c r="BHK44" s="468"/>
      <c r="BHL44" s="468"/>
      <c r="BHM44" s="468"/>
      <c r="BHN44" s="468"/>
      <c r="BHO44" s="468"/>
      <c r="BHP44" s="468"/>
      <c r="BHQ44" s="468"/>
      <c r="BHR44" s="468"/>
      <c r="BHS44" s="468"/>
      <c r="BHT44" s="468"/>
      <c r="BHU44" s="468"/>
      <c r="BHV44" s="468"/>
      <c r="BHW44" s="468"/>
      <c r="BHX44" s="468"/>
      <c r="BHY44" s="468"/>
      <c r="BHZ44" s="468"/>
      <c r="BIA44" s="468"/>
      <c r="BIB44" s="468"/>
      <c r="BIC44" s="468"/>
      <c r="BID44" s="468"/>
      <c r="BIE44" s="468"/>
      <c r="BIF44" s="468"/>
      <c r="BIG44" s="468"/>
      <c r="BIH44" s="468"/>
      <c r="BII44" s="468"/>
      <c r="BIJ44" s="468"/>
      <c r="BIK44" s="468"/>
      <c r="BIL44" s="468"/>
      <c r="BIM44" s="468"/>
      <c r="BIN44" s="468"/>
      <c r="BIO44" s="468"/>
      <c r="BIP44" s="468"/>
      <c r="BIQ44" s="468"/>
      <c r="BIR44" s="468"/>
      <c r="BIS44" s="468"/>
      <c r="BIT44" s="468"/>
      <c r="BIU44" s="468"/>
      <c r="BIV44" s="468"/>
      <c r="BIW44" s="468"/>
      <c r="BIX44" s="468"/>
      <c r="BIY44" s="468"/>
      <c r="BIZ44" s="468"/>
      <c r="BJA44" s="468"/>
      <c r="BJB44" s="468"/>
      <c r="BJC44" s="468"/>
      <c r="BJD44" s="468"/>
      <c r="BJE44" s="468"/>
      <c r="BJF44" s="468"/>
      <c r="BJG44" s="468"/>
      <c r="BJH44" s="468"/>
      <c r="BJI44" s="468"/>
      <c r="BJJ44" s="468"/>
      <c r="BJK44" s="468"/>
      <c r="BJL44" s="468"/>
      <c r="BJM44" s="468"/>
      <c r="BJN44" s="468"/>
      <c r="BJO44" s="468"/>
      <c r="BJP44" s="468"/>
      <c r="BJQ44" s="468"/>
      <c r="BJR44" s="468"/>
      <c r="BJS44" s="468"/>
      <c r="BJT44" s="468"/>
      <c r="BJU44" s="468"/>
      <c r="BJV44" s="468"/>
      <c r="BJW44" s="468"/>
      <c r="BJX44" s="468"/>
      <c r="BJY44" s="468"/>
      <c r="BJZ44" s="468"/>
      <c r="BKA44" s="468"/>
      <c r="BKB44" s="468"/>
      <c r="BKC44" s="468"/>
      <c r="BKD44" s="468"/>
      <c r="BKE44" s="468"/>
      <c r="BKF44" s="468"/>
      <c r="BKG44" s="468"/>
      <c r="BKH44" s="468"/>
      <c r="BKI44" s="468"/>
      <c r="BKJ44" s="468"/>
      <c r="BKK44" s="468"/>
      <c r="BKL44" s="468"/>
      <c r="BKM44" s="468"/>
      <c r="BKN44" s="468"/>
      <c r="BKO44" s="468"/>
      <c r="BKP44" s="468"/>
      <c r="BKQ44" s="468"/>
      <c r="BKR44" s="468"/>
      <c r="BKS44" s="468"/>
      <c r="BKT44" s="468"/>
      <c r="BKU44" s="468"/>
      <c r="BKV44" s="468"/>
      <c r="BKW44" s="468"/>
      <c r="BKX44" s="468"/>
      <c r="BKY44" s="468"/>
      <c r="BKZ44" s="468"/>
      <c r="BLA44" s="468"/>
      <c r="BLB44" s="468"/>
      <c r="BLC44" s="468"/>
      <c r="BLD44" s="468"/>
      <c r="BLE44" s="468"/>
      <c r="BLF44" s="468"/>
      <c r="BLG44" s="468"/>
      <c r="BLH44" s="468"/>
      <c r="BLI44" s="468"/>
      <c r="BLJ44" s="468"/>
      <c r="BLK44" s="468"/>
      <c r="BLL44" s="468"/>
      <c r="BLM44" s="468"/>
      <c r="BLN44" s="468"/>
      <c r="BLO44" s="468"/>
      <c r="BLP44" s="468"/>
      <c r="BLQ44" s="468"/>
      <c r="BLR44" s="468"/>
      <c r="BLS44" s="468"/>
      <c r="BLT44" s="468"/>
      <c r="BLU44" s="468"/>
      <c r="BLV44" s="468"/>
      <c r="BLW44" s="468"/>
      <c r="BLX44" s="468"/>
      <c r="BLY44" s="468"/>
      <c r="BLZ44" s="468"/>
      <c r="BMA44" s="468"/>
      <c r="BMB44" s="468"/>
      <c r="BMC44" s="468"/>
      <c r="BMD44" s="468"/>
      <c r="BME44" s="468"/>
      <c r="BMF44" s="468"/>
      <c r="BMG44" s="468"/>
      <c r="BMH44" s="468"/>
      <c r="BMI44" s="468"/>
      <c r="BMJ44" s="468"/>
      <c r="BMK44" s="468"/>
      <c r="BML44" s="468"/>
      <c r="BMM44" s="468"/>
      <c r="BMN44" s="468"/>
      <c r="BMO44" s="468"/>
      <c r="BMP44" s="468"/>
      <c r="BMQ44" s="468"/>
      <c r="BMR44" s="468"/>
      <c r="BMS44" s="468"/>
      <c r="BMT44" s="468"/>
      <c r="BMU44" s="468"/>
      <c r="BMV44" s="468"/>
      <c r="BMW44" s="468"/>
      <c r="BMX44" s="468"/>
      <c r="BMY44" s="468"/>
      <c r="BMZ44" s="468"/>
      <c r="BNA44" s="468"/>
      <c r="BNB44" s="468"/>
      <c r="BNC44" s="468"/>
      <c r="BND44" s="468"/>
      <c r="BNE44" s="468"/>
      <c r="BNF44" s="468"/>
      <c r="BNG44" s="468"/>
      <c r="BNH44" s="468"/>
      <c r="BNI44" s="468"/>
      <c r="BNJ44" s="468"/>
      <c r="BNK44" s="468"/>
      <c r="BNL44" s="468"/>
      <c r="BNM44" s="468"/>
      <c r="BNN44" s="468"/>
      <c r="BNO44" s="468"/>
      <c r="BNP44" s="468"/>
      <c r="BNQ44" s="468"/>
      <c r="BNR44" s="468"/>
      <c r="BNS44" s="468"/>
      <c r="BNT44" s="468"/>
      <c r="BNU44" s="468"/>
      <c r="BNV44" s="468"/>
      <c r="BNW44" s="468"/>
      <c r="BNX44" s="468"/>
      <c r="BNY44" s="468"/>
      <c r="BNZ44" s="468"/>
      <c r="BOA44" s="468"/>
      <c r="BOB44" s="468"/>
      <c r="BOC44" s="468"/>
      <c r="BOD44" s="468"/>
      <c r="BOE44" s="468"/>
      <c r="BOF44" s="468"/>
      <c r="BOG44" s="468"/>
      <c r="BOH44" s="468"/>
      <c r="BOI44" s="468"/>
      <c r="BOJ44" s="468"/>
      <c r="BOK44" s="468"/>
      <c r="BOL44" s="468"/>
      <c r="BOM44" s="468"/>
      <c r="BON44" s="468"/>
      <c r="BOO44" s="468"/>
      <c r="BOP44" s="468"/>
      <c r="BOQ44" s="468"/>
      <c r="BOR44" s="468"/>
      <c r="BOS44" s="468"/>
      <c r="BOT44" s="468"/>
      <c r="BOU44" s="468"/>
      <c r="BOV44" s="468"/>
      <c r="BOW44" s="468"/>
      <c r="BOX44" s="468"/>
      <c r="BOY44" s="468"/>
      <c r="BOZ44" s="468"/>
      <c r="BPA44" s="468"/>
      <c r="BPB44" s="468"/>
      <c r="BPC44" s="468"/>
      <c r="BPD44" s="468"/>
      <c r="BPE44" s="468"/>
      <c r="BPF44" s="468"/>
      <c r="BPG44" s="468"/>
      <c r="BPH44" s="468"/>
      <c r="BPI44" s="468"/>
      <c r="BPJ44" s="468"/>
      <c r="BPK44" s="468"/>
      <c r="BPL44" s="468"/>
      <c r="BPM44" s="468"/>
      <c r="BPN44" s="468"/>
      <c r="BPO44" s="468"/>
      <c r="BPP44" s="468"/>
      <c r="BPQ44" s="468"/>
      <c r="BPR44" s="468"/>
      <c r="BPS44" s="468"/>
      <c r="BPT44" s="468"/>
      <c r="BPU44" s="468"/>
      <c r="BPV44" s="468"/>
      <c r="BPW44" s="468"/>
      <c r="BPX44" s="468"/>
      <c r="BPY44" s="468"/>
      <c r="BPZ44" s="468"/>
      <c r="BQA44" s="468"/>
      <c r="BQB44" s="468"/>
      <c r="BQC44" s="468"/>
      <c r="BQD44" s="468"/>
      <c r="BQE44" s="468"/>
      <c r="BQF44" s="468"/>
      <c r="BQG44" s="468"/>
      <c r="BQH44" s="468"/>
      <c r="BQI44" s="468"/>
      <c r="BQJ44" s="468"/>
      <c r="BQK44" s="468"/>
      <c r="BQL44" s="468"/>
      <c r="BQM44" s="468"/>
      <c r="BQN44" s="468"/>
      <c r="BQO44" s="468"/>
      <c r="BQP44" s="468"/>
      <c r="BQQ44" s="468"/>
      <c r="BQR44" s="468"/>
      <c r="BQS44" s="468"/>
      <c r="BQT44" s="468"/>
      <c r="BQU44" s="468"/>
      <c r="BQV44" s="468"/>
      <c r="BQW44" s="468"/>
      <c r="BQX44" s="468"/>
      <c r="BQY44" s="468"/>
      <c r="BQZ44" s="468"/>
      <c r="BRA44" s="468"/>
      <c r="BRB44" s="468"/>
      <c r="BRC44" s="468"/>
      <c r="BRD44" s="468"/>
      <c r="BRE44" s="468"/>
      <c r="BRF44" s="468"/>
      <c r="BRG44" s="468"/>
      <c r="BRH44" s="468"/>
      <c r="BRI44" s="468"/>
      <c r="BRJ44" s="468"/>
      <c r="BRK44" s="468"/>
      <c r="BRL44" s="468"/>
      <c r="BRM44" s="468"/>
      <c r="BRN44" s="468"/>
      <c r="BRO44" s="468"/>
      <c r="BRP44" s="468"/>
      <c r="BRQ44" s="468"/>
      <c r="BRR44" s="468"/>
      <c r="BRS44" s="468"/>
      <c r="BRT44" s="468"/>
      <c r="BRU44" s="468"/>
      <c r="BRV44" s="468"/>
      <c r="BRW44" s="468"/>
      <c r="BRX44" s="468"/>
      <c r="BRY44" s="468"/>
      <c r="BRZ44" s="468"/>
      <c r="BSA44" s="468"/>
      <c r="BSB44" s="468"/>
      <c r="BSC44" s="468"/>
      <c r="BSD44" s="468"/>
      <c r="BSE44" s="468"/>
      <c r="BSF44" s="468"/>
      <c r="BSG44" s="468"/>
      <c r="BSH44" s="468"/>
      <c r="BSI44" s="468"/>
      <c r="BSJ44" s="468"/>
      <c r="BSK44" s="468"/>
      <c r="BSL44" s="468"/>
      <c r="BSM44" s="468"/>
      <c r="BSN44" s="468"/>
      <c r="BSO44" s="468"/>
      <c r="BSP44" s="468"/>
      <c r="BSQ44" s="468"/>
      <c r="BSR44" s="468"/>
      <c r="BSS44" s="468"/>
      <c r="BST44" s="468"/>
      <c r="BSU44" s="468"/>
      <c r="BSV44" s="468"/>
      <c r="BSW44" s="468"/>
      <c r="BSX44" s="468"/>
      <c r="BSY44" s="468"/>
      <c r="BSZ44" s="468"/>
      <c r="BTA44" s="468"/>
      <c r="BTB44" s="468"/>
      <c r="BTC44" s="468"/>
      <c r="BTD44" s="468"/>
      <c r="BTE44" s="468"/>
      <c r="BTF44" s="468"/>
      <c r="BTG44" s="468"/>
      <c r="BTH44" s="468"/>
      <c r="BTI44" s="468"/>
      <c r="BTJ44" s="468"/>
      <c r="BTK44" s="468"/>
      <c r="BTL44" s="468"/>
      <c r="BTM44" s="468"/>
      <c r="BTN44" s="468"/>
      <c r="BTO44" s="468"/>
      <c r="BTP44" s="468"/>
      <c r="BTQ44" s="468"/>
      <c r="BTR44" s="468"/>
      <c r="BTS44" s="468"/>
      <c r="BTT44" s="468"/>
      <c r="BTU44" s="468"/>
      <c r="BTV44" s="468"/>
      <c r="BTW44" s="468"/>
      <c r="BTX44" s="468"/>
      <c r="BTY44" s="468"/>
      <c r="BTZ44" s="468"/>
      <c r="BUA44" s="468"/>
      <c r="BUB44" s="468"/>
      <c r="BUC44" s="468"/>
      <c r="BUD44" s="468"/>
      <c r="BUE44" s="468"/>
      <c r="BUF44" s="468"/>
      <c r="BUG44" s="468"/>
      <c r="BUH44" s="468"/>
      <c r="BUI44" s="468"/>
      <c r="BUJ44" s="468"/>
      <c r="BUK44" s="468"/>
      <c r="BUL44" s="468"/>
      <c r="BUM44" s="468"/>
      <c r="BUN44" s="468"/>
      <c r="BUO44" s="468"/>
      <c r="BUP44" s="468"/>
      <c r="BUQ44" s="468"/>
      <c r="BUR44" s="468"/>
      <c r="BUS44" s="468"/>
      <c r="BUT44" s="468"/>
      <c r="BUU44" s="468"/>
      <c r="BUV44" s="468"/>
      <c r="BUW44" s="468"/>
      <c r="BUX44" s="468"/>
      <c r="BUY44" s="468"/>
      <c r="BUZ44" s="468"/>
      <c r="BVA44" s="468"/>
      <c r="BVB44" s="468"/>
      <c r="BVC44" s="468"/>
      <c r="BVD44" s="468"/>
      <c r="BVE44" s="468"/>
      <c r="BVF44" s="468"/>
      <c r="BVG44" s="468"/>
      <c r="BVH44" s="468"/>
      <c r="BVI44" s="468"/>
      <c r="BVJ44" s="468"/>
      <c r="BVK44" s="468"/>
      <c r="BVL44" s="468"/>
      <c r="BVM44" s="468"/>
      <c r="BVN44" s="468"/>
      <c r="BVO44" s="468"/>
      <c r="BVP44" s="468"/>
      <c r="BVQ44" s="468"/>
      <c r="BVR44" s="468"/>
      <c r="BVS44" s="468"/>
      <c r="BVT44" s="468"/>
      <c r="BVU44" s="468"/>
      <c r="BVV44" s="468"/>
      <c r="BVW44" s="468"/>
      <c r="BVX44" s="468"/>
      <c r="BVY44" s="468"/>
      <c r="BVZ44" s="468"/>
      <c r="BWA44" s="468"/>
      <c r="BWB44" s="468"/>
      <c r="BWC44" s="468"/>
      <c r="BWD44" s="468"/>
      <c r="BWE44" s="468"/>
      <c r="BWF44" s="468"/>
      <c r="BWG44" s="468"/>
      <c r="BWH44" s="468"/>
      <c r="BWI44" s="468"/>
      <c r="BWJ44" s="468"/>
      <c r="BWK44" s="468"/>
      <c r="BWL44" s="468"/>
      <c r="BWM44" s="468"/>
      <c r="BWN44" s="468"/>
      <c r="BWO44" s="468"/>
      <c r="BWP44" s="468"/>
      <c r="BWQ44" s="468"/>
      <c r="BWR44" s="468"/>
      <c r="BWS44" s="468"/>
      <c r="BWT44" s="468"/>
      <c r="BWU44" s="468"/>
      <c r="BWV44" s="468"/>
      <c r="BWW44" s="468"/>
      <c r="BWX44" s="468"/>
      <c r="BWY44" s="468"/>
      <c r="BWZ44" s="468"/>
      <c r="BXA44" s="468"/>
      <c r="BXB44" s="468"/>
      <c r="BXC44" s="468"/>
      <c r="BXD44" s="468"/>
      <c r="BXE44" s="468"/>
      <c r="BXF44" s="468"/>
      <c r="BXG44" s="468"/>
      <c r="BXH44" s="468"/>
      <c r="BXI44" s="468"/>
      <c r="BXJ44" s="468"/>
      <c r="BXK44" s="468"/>
      <c r="BXL44" s="468"/>
      <c r="BXM44" s="468"/>
      <c r="BXN44" s="468"/>
      <c r="BXO44" s="468"/>
      <c r="BXP44" s="468"/>
      <c r="BXQ44" s="468"/>
      <c r="BXR44" s="468"/>
      <c r="BXS44" s="468"/>
      <c r="BXT44" s="468"/>
      <c r="BXU44" s="468"/>
      <c r="BXV44" s="468"/>
      <c r="BXW44" s="468"/>
      <c r="BXX44" s="468"/>
      <c r="BXY44" s="468"/>
      <c r="BXZ44" s="468"/>
      <c r="BYA44" s="468"/>
      <c r="BYB44" s="468"/>
      <c r="BYC44" s="468"/>
      <c r="BYD44" s="468"/>
      <c r="BYE44" s="468"/>
      <c r="BYF44" s="468"/>
      <c r="BYG44" s="468"/>
      <c r="BYH44" s="468"/>
      <c r="BYI44" s="468"/>
      <c r="BYJ44" s="468"/>
      <c r="BYK44" s="468"/>
      <c r="BYL44" s="468"/>
      <c r="BYM44" s="468"/>
      <c r="BYN44" s="468"/>
      <c r="BYO44" s="468"/>
      <c r="BYP44" s="468"/>
      <c r="BYQ44" s="468"/>
      <c r="BYR44" s="468"/>
      <c r="BYS44" s="468"/>
      <c r="BYT44" s="468"/>
      <c r="BYU44" s="468"/>
      <c r="BYV44" s="468"/>
      <c r="BYW44" s="468"/>
      <c r="BYX44" s="468"/>
      <c r="BYY44" s="468"/>
      <c r="BYZ44" s="468"/>
      <c r="BZA44" s="468"/>
      <c r="BZB44" s="468"/>
      <c r="BZC44" s="468"/>
      <c r="BZD44" s="468"/>
      <c r="BZE44" s="468"/>
      <c r="BZF44" s="468"/>
      <c r="BZG44" s="468"/>
      <c r="BZH44" s="468"/>
      <c r="BZI44" s="468"/>
      <c r="BZJ44" s="468"/>
      <c r="BZK44" s="468"/>
      <c r="BZL44" s="468"/>
      <c r="BZM44" s="468"/>
      <c r="BZN44" s="468"/>
      <c r="BZO44" s="468"/>
      <c r="BZP44" s="468"/>
      <c r="BZQ44" s="468"/>
      <c r="BZR44" s="468"/>
      <c r="BZS44" s="468"/>
      <c r="BZT44" s="468"/>
      <c r="BZU44" s="468"/>
      <c r="BZV44" s="468"/>
      <c r="BZW44" s="468"/>
      <c r="BZX44" s="468"/>
      <c r="BZY44" s="468"/>
      <c r="BZZ44" s="468"/>
      <c r="CAA44" s="468"/>
      <c r="CAB44" s="468"/>
      <c r="CAC44" s="468"/>
      <c r="CAD44" s="468"/>
      <c r="CAE44" s="468"/>
      <c r="CAF44" s="468"/>
      <c r="CAG44" s="468"/>
      <c r="CAH44" s="468"/>
      <c r="CAI44" s="468"/>
      <c r="CAJ44" s="468"/>
      <c r="CAK44" s="468"/>
      <c r="CAL44" s="468"/>
      <c r="CAM44" s="468"/>
      <c r="CAN44" s="468"/>
      <c r="CAO44" s="468"/>
      <c r="CAP44" s="468"/>
      <c r="CAQ44" s="468"/>
      <c r="CAR44" s="468"/>
      <c r="CAS44" s="468"/>
      <c r="CAT44" s="468"/>
      <c r="CAU44" s="468"/>
      <c r="CAV44" s="468"/>
      <c r="CAW44" s="468"/>
      <c r="CAX44" s="468"/>
      <c r="CAY44" s="468"/>
      <c r="CAZ44" s="468"/>
      <c r="CBA44" s="468"/>
      <c r="CBB44" s="468"/>
      <c r="CBC44" s="468"/>
      <c r="CBD44" s="468"/>
      <c r="CBE44" s="468"/>
      <c r="CBF44" s="468"/>
      <c r="CBG44" s="468"/>
      <c r="CBH44" s="468"/>
      <c r="CBI44" s="468"/>
      <c r="CBJ44" s="468"/>
      <c r="CBK44" s="468"/>
      <c r="CBL44" s="468"/>
      <c r="CBM44" s="468"/>
      <c r="CBN44" s="468"/>
      <c r="CBO44" s="468"/>
      <c r="CBP44" s="468"/>
      <c r="CBQ44" s="468"/>
      <c r="CBR44" s="468"/>
      <c r="CBS44" s="468"/>
      <c r="CBT44" s="468"/>
      <c r="CBU44" s="468"/>
      <c r="CBV44" s="468"/>
      <c r="CBW44" s="468"/>
      <c r="CBX44" s="468"/>
      <c r="CBY44" s="468"/>
      <c r="CBZ44" s="468"/>
      <c r="CCA44" s="468"/>
      <c r="CCB44" s="468"/>
      <c r="CCC44" s="468"/>
      <c r="CCD44" s="468"/>
      <c r="CCE44" s="468"/>
      <c r="CCF44" s="468"/>
      <c r="CCG44" s="468"/>
      <c r="CCH44" s="468"/>
      <c r="CCI44" s="468"/>
      <c r="CCJ44" s="468"/>
      <c r="CCK44" s="468"/>
      <c r="CCL44" s="468"/>
      <c r="CCM44" s="468"/>
      <c r="CCN44" s="468"/>
      <c r="CCO44" s="468"/>
      <c r="CCP44" s="468"/>
      <c r="CCQ44" s="468"/>
      <c r="CCR44" s="468"/>
      <c r="CCS44" s="468"/>
      <c r="CCT44" s="468"/>
      <c r="CCU44" s="468"/>
      <c r="CCV44" s="468"/>
      <c r="CCW44" s="468"/>
      <c r="CCX44" s="468"/>
      <c r="CCY44" s="468"/>
      <c r="CCZ44" s="468"/>
      <c r="CDA44" s="468"/>
      <c r="CDB44" s="468"/>
      <c r="CDC44" s="468"/>
      <c r="CDD44" s="468"/>
      <c r="CDE44" s="468"/>
      <c r="CDF44" s="468"/>
      <c r="CDG44" s="468"/>
      <c r="CDH44" s="468"/>
      <c r="CDI44" s="468"/>
      <c r="CDJ44" s="468"/>
      <c r="CDK44" s="468"/>
      <c r="CDL44" s="468"/>
      <c r="CDM44" s="468"/>
      <c r="CDN44" s="468"/>
      <c r="CDO44" s="468"/>
      <c r="CDP44" s="468"/>
      <c r="CDQ44" s="468"/>
      <c r="CDR44" s="468"/>
      <c r="CDS44" s="468"/>
      <c r="CDT44" s="468"/>
      <c r="CDU44" s="468"/>
      <c r="CDV44" s="468"/>
      <c r="CDW44" s="468"/>
      <c r="CDX44" s="468"/>
      <c r="CDY44" s="468"/>
      <c r="CDZ44" s="468"/>
      <c r="CEA44" s="468"/>
      <c r="CEB44" s="468"/>
      <c r="CEC44" s="468"/>
      <c r="CED44" s="468"/>
      <c r="CEE44" s="468"/>
      <c r="CEF44" s="468"/>
      <c r="CEG44" s="468"/>
      <c r="CEH44" s="468"/>
      <c r="CEI44" s="468"/>
      <c r="CEJ44" s="468"/>
      <c r="CEK44" s="468"/>
      <c r="CEL44" s="468"/>
      <c r="CEM44" s="468"/>
      <c r="CEN44" s="468"/>
      <c r="CEO44" s="468"/>
      <c r="CEP44" s="468"/>
      <c r="CEQ44" s="468"/>
      <c r="CER44" s="468"/>
      <c r="CES44" s="468"/>
      <c r="CET44" s="468"/>
      <c r="CEU44" s="468"/>
      <c r="CEV44" s="468"/>
      <c r="CEW44" s="468"/>
      <c r="CEX44" s="468"/>
      <c r="CEY44" s="468"/>
      <c r="CEZ44" s="468"/>
      <c r="CFA44" s="468"/>
      <c r="CFB44" s="468"/>
      <c r="CFC44" s="468"/>
      <c r="CFD44" s="468"/>
      <c r="CFE44" s="468"/>
      <c r="CFF44" s="468"/>
      <c r="CFG44" s="468"/>
      <c r="CFH44" s="468"/>
      <c r="CFI44" s="468"/>
      <c r="CFJ44" s="468"/>
      <c r="CFK44" s="468"/>
      <c r="CFL44" s="468"/>
      <c r="CFM44" s="468"/>
      <c r="CFN44" s="468"/>
      <c r="CFO44" s="468"/>
      <c r="CFP44" s="468"/>
      <c r="CFQ44" s="468"/>
      <c r="CFR44" s="468"/>
      <c r="CFS44" s="468"/>
      <c r="CFT44" s="468"/>
      <c r="CFU44" s="468"/>
      <c r="CFV44" s="468"/>
      <c r="CFW44" s="468"/>
      <c r="CFX44" s="468"/>
      <c r="CFY44" s="468"/>
      <c r="CFZ44" s="468"/>
      <c r="CGA44" s="468"/>
      <c r="CGB44" s="468"/>
      <c r="CGC44" s="468"/>
      <c r="CGD44" s="468"/>
      <c r="CGE44" s="468"/>
      <c r="CGF44" s="468"/>
      <c r="CGG44" s="468"/>
      <c r="CGH44" s="468"/>
      <c r="CGI44" s="468"/>
      <c r="CGJ44" s="468"/>
      <c r="CGK44" s="468"/>
      <c r="CGL44" s="468"/>
      <c r="CGM44" s="468"/>
      <c r="CGN44" s="468"/>
      <c r="CGO44" s="468"/>
      <c r="CGP44" s="468"/>
      <c r="CGQ44" s="468"/>
      <c r="CGR44" s="468"/>
      <c r="CGS44" s="468"/>
      <c r="CGT44" s="468"/>
      <c r="CGU44" s="468"/>
      <c r="CGV44" s="468"/>
      <c r="CGW44" s="468"/>
      <c r="CGX44" s="468"/>
      <c r="CGY44" s="468"/>
      <c r="CGZ44" s="468"/>
      <c r="CHA44" s="468"/>
      <c r="CHB44" s="468"/>
      <c r="CHC44" s="468"/>
      <c r="CHD44" s="468"/>
      <c r="CHE44" s="468"/>
      <c r="CHF44" s="468"/>
      <c r="CHG44" s="468"/>
      <c r="CHH44" s="468"/>
      <c r="CHI44" s="468"/>
      <c r="CHJ44" s="468"/>
      <c r="CHK44" s="468"/>
      <c r="CHL44" s="468"/>
      <c r="CHM44" s="468"/>
      <c r="CHN44" s="468"/>
      <c r="CHO44" s="468"/>
      <c r="CHP44" s="468"/>
      <c r="CHQ44" s="468"/>
      <c r="CHR44" s="468"/>
      <c r="CHS44" s="468"/>
      <c r="CHT44" s="468"/>
      <c r="CHU44" s="468"/>
      <c r="CHV44" s="468"/>
      <c r="CHW44" s="468"/>
      <c r="CHX44" s="468"/>
      <c r="CHY44" s="468"/>
      <c r="CHZ44" s="468"/>
      <c r="CIA44" s="468"/>
      <c r="CIB44" s="468"/>
      <c r="CIC44" s="468"/>
      <c r="CID44" s="468"/>
      <c r="CIE44" s="468"/>
      <c r="CIF44" s="468"/>
      <c r="CIG44" s="468"/>
      <c r="CIH44" s="468"/>
      <c r="CII44" s="468"/>
      <c r="CIJ44" s="468"/>
      <c r="CIK44" s="468"/>
      <c r="CIL44" s="468"/>
      <c r="CIM44" s="468"/>
      <c r="CIN44" s="468"/>
      <c r="CIO44" s="468"/>
      <c r="CIP44" s="468"/>
      <c r="CIQ44" s="468"/>
      <c r="CIR44" s="468"/>
      <c r="CIS44" s="468"/>
      <c r="CIT44" s="468"/>
      <c r="CIU44" s="468"/>
      <c r="CIV44" s="468"/>
      <c r="CIW44" s="468"/>
      <c r="CIX44" s="468"/>
      <c r="CIY44" s="468"/>
      <c r="CIZ44" s="468"/>
      <c r="CJA44" s="468"/>
      <c r="CJB44" s="468"/>
      <c r="CJC44" s="468"/>
      <c r="CJD44" s="468"/>
      <c r="CJE44" s="468"/>
      <c r="CJF44" s="468"/>
      <c r="CJG44" s="468"/>
      <c r="CJH44" s="468"/>
      <c r="CJI44" s="468"/>
      <c r="CJJ44" s="468"/>
      <c r="CJK44" s="468"/>
      <c r="CJL44" s="468"/>
      <c r="CJM44" s="468"/>
      <c r="CJN44" s="468"/>
      <c r="CJO44" s="468"/>
      <c r="CJP44" s="468"/>
      <c r="CJQ44" s="468"/>
      <c r="CJR44" s="468"/>
      <c r="CJS44" s="468"/>
      <c r="CJT44" s="468"/>
      <c r="CJU44" s="468"/>
      <c r="CJV44" s="468"/>
      <c r="CJW44" s="468"/>
      <c r="CJX44" s="468"/>
      <c r="CJY44" s="468"/>
      <c r="CJZ44" s="468"/>
      <c r="CKA44" s="468"/>
      <c r="CKB44" s="468"/>
      <c r="CKC44" s="468"/>
      <c r="CKD44" s="468"/>
      <c r="CKE44" s="468"/>
      <c r="CKF44" s="468"/>
      <c r="CKG44" s="468"/>
      <c r="CKH44" s="468"/>
      <c r="CKI44" s="468"/>
      <c r="CKJ44" s="468"/>
      <c r="CKK44" s="468"/>
      <c r="CKL44" s="468"/>
      <c r="CKM44" s="468"/>
      <c r="CKN44" s="468"/>
      <c r="CKO44" s="468"/>
      <c r="CKP44" s="468"/>
      <c r="CKQ44" s="468"/>
      <c r="CKR44" s="468"/>
      <c r="CKS44" s="468"/>
      <c r="CKT44" s="468"/>
      <c r="CKU44" s="468"/>
      <c r="CKV44" s="468"/>
      <c r="CKW44" s="468"/>
      <c r="CKX44" s="468"/>
      <c r="CKY44" s="468"/>
      <c r="CKZ44" s="468"/>
      <c r="CLA44" s="468"/>
      <c r="CLB44" s="468"/>
      <c r="CLC44" s="468"/>
      <c r="CLD44" s="468"/>
      <c r="CLE44" s="468"/>
      <c r="CLF44" s="468"/>
      <c r="CLG44" s="468"/>
      <c r="CLH44" s="468"/>
      <c r="CLI44" s="468"/>
      <c r="CLJ44" s="468"/>
      <c r="CLK44" s="468"/>
      <c r="CLL44" s="468"/>
      <c r="CLM44" s="468"/>
      <c r="CLN44" s="468"/>
      <c r="CLO44" s="468"/>
      <c r="CLP44" s="468"/>
      <c r="CLQ44" s="468"/>
      <c r="CLR44" s="468"/>
      <c r="CLS44" s="468"/>
      <c r="CLT44" s="468"/>
      <c r="CLU44" s="468"/>
      <c r="CLV44" s="468"/>
      <c r="CLW44" s="468"/>
      <c r="CLX44" s="468"/>
      <c r="CLY44" s="468"/>
      <c r="CLZ44" s="468"/>
      <c r="CMA44" s="468"/>
      <c r="CMB44" s="468"/>
      <c r="CMC44" s="468"/>
      <c r="CMD44" s="468"/>
      <c r="CME44" s="468"/>
      <c r="CMF44" s="468"/>
      <c r="CMG44" s="468"/>
      <c r="CMH44" s="468"/>
      <c r="CMI44" s="468"/>
      <c r="CMJ44" s="468"/>
      <c r="CMK44" s="468"/>
      <c r="CML44" s="468"/>
      <c r="CMM44" s="468"/>
      <c r="CMN44" s="468"/>
      <c r="CMO44" s="468"/>
      <c r="CMP44" s="468"/>
      <c r="CMQ44" s="468"/>
      <c r="CMR44" s="468"/>
      <c r="CMS44" s="468"/>
      <c r="CMT44" s="468"/>
      <c r="CMU44" s="468"/>
      <c r="CMV44" s="468"/>
      <c r="CMW44" s="468"/>
      <c r="CMX44" s="468"/>
      <c r="CMY44" s="468"/>
      <c r="CMZ44" s="468"/>
      <c r="CNA44" s="468"/>
      <c r="CNB44" s="468"/>
      <c r="CNC44" s="468"/>
      <c r="CND44" s="468"/>
      <c r="CNE44" s="468"/>
      <c r="CNF44" s="468"/>
      <c r="CNG44" s="468"/>
      <c r="CNH44" s="468"/>
      <c r="CNI44" s="468"/>
      <c r="CNJ44" s="468"/>
      <c r="CNK44" s="468"/>
      <c r="CNL44" s="468"/>
      <c r="CNM44" s="468"/>
      <c r="CNN44" s="468"/>
      <c r="CNO44" s="468"/>
      <c r="CNP44" s="468"/>
      <c r="CNQ44" s="468"/>
      <c r="CNR44" s="468"/>
      <c r="CNS44" s="468"/>
      <c r="CNT44" s="468"/>
      <c r="CNU44" s="468"/>
      <c r="CNV44" s="468"/>
      <c r="CNW44" s="468"/>
      <c r="CNX44" s="468"/>
      <c r="CNY44" s="468"/>
      <c r="CNZ44" s="468"/>
      <c r="COA44" s="468"/>
      <c r="COB44" s="468"/>
      <c r="COC44" s="468"/>
      <c r="COD44" s="468"/>
      <c r="COE44" s="468"/>
      <c r="COF44" s="468"/>
      <c r="COG44" s="468"/>
      <c r="COH44" s="468"/>
      <c r="COI44" s="468"/>
      <c r="COJ44" s="468"/>
      <c r="COK44" s="468"/>
      <c r="COL44" s="468"/>
      <c r="COM44" s="468"/>
      <c r="CON44" s="468"/>
      <c r="COO44" s="468"/>
      <c r="COP44" s="468"/>
      <c r="COQ44" s="468"/>
      <c r="COR44" s="468"/>
      <c r="COS44" s="468"/>
      <c r="COT44" s="468"/>
      <c r="COU44" s="468"/>
      <c r="COV44" s="468"/>
      <c r="COW44" s="468"/>
      <c r="COX44" s="468"/>
      <c r="COY44" s="468"/>
      <c r="COZ44" s="468"/>
      <c r="CPA44" s="468"/>
      <c r="CPB44" s="468"/>
      <c r="CPC44" s="468"/>
      <c r="CPD44" s="468"/>
      <c r="CPE44" s="468"/>
      <c r="CPF44" s="468"/>
      <c r="CPG44" s="468"/>
      <c r="CPH44" s="468"/>
      <c r="CPI44" s="468"/>
      <c r="CPJ44" s="468"/>
      <c r="CPK44" s="468"/>
      <c r="CPL44" s="468"/>
      <c r="CPM44" s="468"/>
      <c r="CPN44" s="468"/>
      <c r="CPO44" s="468"/>
      <c r="CPP44" s="468"/>
      <c r="CPQ44" s="468"/>
      <c r="CPR44" s="468"/>
      <c r="CPS44" s="468"/>
      <c r="CPT44" s="468"/>
      <c r="CPU44" s="468"/>
      <c r="CPV44" s="468"/>
      <c r="CPW44" s="468"/>
      <c r="CPX44" s="468"/>
      <c r="CPY44" s="468"/>
      <c r="CPZ44" s="468"/>
      <c r="CQA44" s="468"/>
      <c r="CQB44" s="468"/>
      <c r="CQC44" s="468"/>
      <c r="CQD44" s="468"/>
      <c r="CQE44" s="468"/>
      <c r="CQF44" s="468"/>
      <c r="CQG44" s="468"/>
      <c r="CQH44" s="468"/>
      <c r="CQI44" s="468"/>
      <c r="CQJ44" s="468"/>
      <c r="CQK44" s="468"/>
      <c r="CQL44" s="468"/>
      <c r="CQM44" s="468"/>
      <c r="CQN44" s="468"/>
      <c r="CQO44" s="468"/>
      <c r="CQP44" s="468"/>
      <c r="CQQ44" s="468"/>
      <c r="CQR44" s="468"/>
      <c r="CQS44" s="468"/>
      <c r="CQT44" s="468"/>
      <c r="CQU44" s="468"/>
      <c r="CQV44" s="468"/>
      <c r="CQW44" s="468"/>
      <c r="CQX44" s="468"/>
      <c r="CQY44" s="468"/>
      <c r="CQZ44" s="468"/>
      <c r="CRA44" s="468"/>
      <c r="CRB44" s="468"/>
      <c r="CRC44" s="468"/>
      <c r="CRD44" s="468"/>
      <c r="CRE44" s="468"/>
      <c r="CRF44" s="468"/>
      <c r="CRG44" s="468"/>
      <c r="CRH44" s="468"/>
      <c r="CRI44" s="468"/>
      <c r="CRJ44" s="468"/>
      <c r="CRK44" s="468"/>
      <c r="CRL44" s="468"/>
      <c r="CRM44" s="468"/>
      <c r="CRN44" s="468"/>
      <c r="CRO44" s="468"/>
      <c r="CRP44" s="468"/>
      <c r="CRQ44" s="468"/>
      <c r="CRR44" s="468"/>
      <c r="CRS44" s="468"/>
      <c r="CRT44" s="468"/>
      <c r="CRU44" s="468"/>
      <c r="CRV44" s="468"/>
      <c r="CRW44" s="468"/>
      <c r="CRX44" s="468"/>
      <c r="CRY44" s="468"/>
      <c r="CRZ44" s="468"/>
      <c r="CSA44" s="468"/>
      <c r="CSB44" s="468"/>
      <c r="CSC44" s="468"/>
      <c r="CSD44" s="468"/>
      <c r="CSE44" s="468"/>
      <c r="CSF44" s="468"/>
      <c r="CSG44" s="468"/>
      <c r="CSH44" s="468"/>
      <c r="CSI44" s="468"/>
      <c r="CSJ44" s="468"/>
      <c r="CSK44" s="468"/>
      <c r="CSL44" s="468"/>
      <c r="CSM44" s="468"/>
      <c r="CSN44" s="468"/>
      <c r="CSO44" s="468"/>
      <c r="CSP44" s="468"/>
      <c r="CSQ44" s="468"/>
      <c r="CSR44" s="468"/>
      <c r="CSS44" s="468"/>
      <c r="CST44" s="468"/>
      <c r="CSU44" s="468"/>
      <c r="CSV44" s="468"/>
      <c r="CSW44" s="468"/>
      <c r="CSX44" s="468"/>
      <c r="CSY44" s="468"/>
      <c r="CSZ44" s="468"/>
      <c r="CTA44" s="468"/>
      <c r="CTB44" s="468"/>
      <c r="CTC44" s="468"/>
      <c r="CTD44" s="468"/>
      <c r="CTE44" s="468"/>
      <c r="CTF44" s="468"/>
      <c r="CTG44" s="468"/>
      <c r="CTH44" s="468"/>
      <c r="CTI44" s="468"/>
      <c r="CTJ44" s="468"/>
      <c r="CTK44" s="468"/>
      <c r="CTL44" s="468"/>
      <c r="CTM44" s="468"/>
      <c r="CTN44" s="468"/>
      <c r="CTO44" s="468"/>
      <c r="CTP44" s="468"/>
      <c r="CTQ44" s="468"/>
      <c r="CTR44" s="468"/>
      <c r="CTS44" s="468"/>
      <c r="CTT44" s="468"/>
      <c r="CTU44" s="468"/>
      <c r="CTV44" s="468"/>
      <c r="CTW44" s="468"/>
      <c r="CTX44" s="468"/>
      <c r="CTY44" s="468"/>
      <c r="CTZ44" s="468"/>
      <c r="CUA44" s="468"/>
      <c r="CUB44" s="468"/>
      <c r="CUC44" s="468"/>
      <c r="CUD44" s="468"/>
      <c r="CUE44" s="468"/>
      <c r="CUF44" s="468"/>
      <c r="CUG44" s="468"/>
      <c r="CUH44" s="468"/>
      <c r="CUI44" s="468"/>
      <c r="CUJ44" s="468"/>
      <c r="CUK44" s="468"/>
      <c r="CUL44" s="468"/>
      <c r="CUM44" s="468"/>
      <c r="CUN44" s="468"/>
      <c r="CUO44" s="468"/>
      <c r="CUP44" s="468"/>
      <c r="CUQ44" s="468"/>
      <c r="CUR44" s="468"/>
      <c r="CUS44" s="468"/>
      <c r="CUT44" s="468"/>
      <c r="CUU44" s="468"/>
      <c r="CUV44" s="468"/>
      <c r="CUW44" s="468"/>
      <c r="CUX44" s="468"/>
      <c r="CUY44" s="468"/>
      <c r="CUZ44" s="468"/>
      <c r="CVA44" s="468"/>
      <c r="CVB44" s="468"/>
      <c r="CVC44" s="468"/>
      <c r="CVD44" s="468"/>
      <c r="CVE44" s="468"/>
      <c r="CVF44" s="468"/>
      <c r="CVG44" s="468"/>
      <c r="CVH44" s="468"/>
      <c r="CVI44" s="468"/>
      <c r="CVJ44" s="468"/>
      <c r="CVK44" s="468"/>
      <c r="CVL44" s="468"/>
      <c r="CVM44" s="468"/>
      <c r="CVN44" s="468"/>
      <c r="CVO44" s="468"/>
      <c r="CVP44" s="468"/>
      <c r="CVQ44" s="468"/>
      <c r="CVR44" s="468"/>
      <c r="CVS44" s="468"/>
      <c r="CVT44" s="468"/>
      <c r="CVU44" s="468"/>
      <c r="CVV44" s="468"/>
      <c r="CVW44" s="468"/>
      <c r="CVX44" s="468"/>
      <c r="CVY44" s="468"/>
      <c r="CVZ44" s="468"/>
      <c r="CWA44" s="468"/>
      <c r="CWB44" s="468"/>
      <c r="CWC44" s="468"/>
      <c r="CWD44" s="468"/>
      <c r="CWE44" s="468"/>
      <c r="CWF44" s="468"/>
      <c r="CWG44" s="468"/>
      <c r="CWH44" s="468"/>
      <c r="CWI44" s="468"/>
      <c r="CWJ44" s="468"/>
      <c r="CWK44" s="468"/>
      <c r="CWL44" s="468"/>
      <c r="CWM44" s="468"/>
      <c r="CWN44" s="468"/>
      <c r="CWO44" s="468"/>
      <c r="CWP44" s="468"/>
      <c r="CWQ44" s="468"/>
      <c r="CWR44" s="468"/>
      <c r="CWS44" s="468"/>
      <c r="CWT44" s="468"/>
      <c r="CWU44" s="468"/>
      <c r="CWV44" s="468"/>
      <c r="CWW44" s="468"/>
      <c r="CWX44" s="468"/>
      <c r="CWY44" s="468"/>
      <c r="CWZ44" s="468"/>
      <c r="CXA44" s="468"/>
      <c r="CXB44" s="468"/>
      <c r="CXC44" s="468"/>
      <c r="CXD44" s="468"/>
      <c r="CXE44" s="468"/>
      <c r="CXF44" s="468"/>
      <c r="CXG44" s="468"/>
      <c r="CXH44" s="468"/>
      <c r="CXI44" s="468"/>
      <c r="CXJ44" s="468"/>
      <c r="CXK44" s="468"/>
      <c r="CXL44" s="468"/>
      <c r="CXM44" s="468"/>
      <c r="CXN44" s="468"/>
      <c r="CXO44" s="468"/>
      <c r="CXP44" s="468"/>
      <c r="CXQ44" s="468"/>
      <c r="CXR44" s="468"/>
      <c r="CXS44" s="468"/>
      <c r="CXT44" s="468"/>
      <c r="CXU44" s="468"/>
      <c r="CXV44" s="468"/>
      <c r="CXW44" s="468"/>
      <c r="CXX44" s="468"/>
      <c r="CXY44" s="468"/>
      <c r="CXZ44" s="468"/>
      <c r="CYA44" s="468"/>
      <c r="CYB44" s="468"/>
      <c r="CYC44" s="468"/>
      <c r="CYD44" s="468"/>
      <c r="CYE44" s="468"/>
      <c r="CYF44" s="468"/>
      <c r="CYG44" s="468"/>
      <c r="CYH44" s="468"/>
      <c r="CYI44" s="468"/>
      <c r="CYJ44" s="468"/>
      <c r="CYK44" s="468"/>
      <c r="CYL44" s="468"/>
      <c r="CYM44" s="468"/>
      <c r="CYN44" s="468"/>
      <c r="CYO44" s="468"/>
      <c r="CYP44" s="468"/>
      <c r="CYQ44" s="468"/>
      <c r="CYR44" s="468"/>
      <c r="CYS44" s="468"/>
      <c r="CYT44" s="468"/>
      <c r="CYU44" s="468"/>
      <c r="CYV44" s="468"/>
      <c r="CYW44" s="468"/>
      <c r="CYX44" s="468"/>
      <c r="CYY44" s="468"/>
      <c r="CYZ44" s="468"/>
      <c r="CZA44" s="468"/>
      <c r="CZB44" s="468"/>
      <c r="CZC44" s="468"/>
      <c r="CZD44" s="468"/>
      <c r="CZE44" s="468"/>
      <c r="CZF44" s="468"/>
      <c r="CZG44" s="468"/>
      <c r="CZH44" s="468"/>
      <c r="CZI44" s="468"/>
      <c r="CZJ44" s="468"/>
      <c r="CZK44" s="468"/>
      <c r="CZL44" s="468"/>
      <c r="CZM44" s="468"/>
      <c r="CZN44" s="468"/>
      <c r="CZO44" s="468"/>
      <c r="CZP44" s="468"/>
      <c r="CZQ44" s="468"/>
      <c r="CZR44" s="468"/>
      <c r="CZS44" s="468"/>
      <c r="CZT44" s="468"/>
      <c r="CZU44" s="468"/>
      <c r="CZV44" s="468"/>
      <c r="CZW44" s="468"/>
      <c r="CZX44" s="468"/>
      <c r="CZY44" s="468"/>
      <c r="CZZ44" s="468"/>
      <c r="DAA44" s="468"/>
      <c r="DAB44" s="468"/>
      <c r="DAC44" s="468"/>
      <c r="DAD44" s="468"/>
      <c r="DAE44" s="468"/>
      <c r="DAF44" s="468"/>
      <c r="DAG44" s="468"/>
      <c r="DAH44" s="468"/>
      <c r="DAI44" s="468"/>
      <c r="DAJ44" s="468"/>
      <c r="DAK44" s="468"/>
      <c r="DAL44" s="468"/>
      <c r="DAM44" s="468"/>
      <c r="DAN44" s="468"/>
      <c r="DAO44" s="468"/>
      <c r="DAP44" s="468"/>
      <c r="DAQ44" s="468"/>
      <c r="DAR44" s="468"/>
      <c r="DAS44" s="468"/>
      <c r="DAT44" s="468"/>
      <c r="DAU44" s="468"/>
      <c r="DAV44" s="468"/>
      <c r="DAW44" s="468"/>
      <c r="DAX44" s="468"/>
      <c r="DAY44" s="468"/>
      <c r="DAZ44" s="468"/>
      <c r="DBA44" s="468"/>
      <c r="DBB44" s="468"/>
      <c r="DBC44" s="468"/>
      <c r="DBD44" s="468"/>
      <c r="DBE44" s="468"/>
      <c r="DBF44" s="468"/>
      <c r="DBG44" s="468"/>
      <c r="DBH44" s="468"/>
      <c r="DBI44" s="468"/>
      <c r="DBJ44" s="468"/>
      <c r="DBK44" s="468"/>
      <c r="DBL44" s="468"/>
      <c r="DBM44" s="468"/>
      <c r="DBN44" s="468"/>
      <c r="DBO44" s="468"/>
      <c r="DBP44" s="468"/>
      <c r="DBQ44" s="468"/>
      <c r="DBR44" s="468"/>
      <c r="DBS44" s="468"/>
      <c r="DBT44" s="468"/>
      <c r="DBU44" s="468"/>
      <c r="DBV44" s="468"/>
      <c r="DBW44" s="468"/>
      <c r="DBX44" s="468"/>
      <c r="DBY44" s="468"/>
      <c r="DBZ44" s="468"/>
      <c r="DCA44" s="468"/>
      <c r="DCB44" s="468"/>
      <c r="DCC44" s="468"/>
      <c r="DCD44" s="468"/>
      <c r="DCE44" s="468"/>
      <c r="DCF44" s="468"/>
      <c r="DCG44" s="468"/>
      <c r="DCH44" s="468"/>
      <c r="DCI44" s="468"/>
      <c r="DCJ44" s="468"/>
      <c r="DCK44" s="468"/>
      <c r="DCL44" s="468"/>
      <c r="DCM44" s="468"/>
      <c r="DCN44" s="468"/>
      <c r="DCO44" s="468"/>
      <c r="DCP44" s="468"/>
      <c r="DCQ44" s="468"/>
      <c r="DCR44" s="468"/>
      <c r="DCS44" s="468"/>
      <c r="DCT44" s="468"/>
      <c r="DCU44" s="468"/>
      <c r="DCV44" s="468"/>
      <c r="DCW44" s="468"/>
      <c r="DCX44" s="468"/>
      <c r="DCY44" s="468"/>
      <c r="DCZ44" s="468"/>
      <c r="DDA44" s="468"/>
      <c r="DDB44" s="468"/>
      <c r="DDC44" s="468"/>
      <c r="DDD44" s="468"/>
      <c r="DDE44" s="468"/>
      <c r="DDF44" s="468"/>
      <c r="DDG44" s="468"/>
      <c r="DDH44" s="468"/>
      <c r="DDI44" s="468"/>
      <c r="DDJ44" s="468"/>
      <c r="DDK44" s="468"/>
      <c r="DDL44" s="468"/>
      <c r="DDM44" s="468"/>
      <c r="DDN44" s="468"/>
      <c r="DDO44" s="468"/>
      <c r="DDP44" s="468"/>
      <c r="DDQ44" s="468"/>
      <c r="DDR44" s="468"/>
      <c r="DDS44" s="468"/>
      <c r="DDT44" s="468"/>
      <c r="DDU44" s="468"/>
      <c r="DDV44" s="468"/>
      <c r="DDW44" s="468"/>
      <c r="DDX44" s="468"/>
      <c r="DDY44" s="468"/>
      <c r="DDZ44" s="468"/>
      <c r="DEA44" s="468"/>
      <c r="DEB44" s="468"/>
      <c r="DEC44" s="468"/>
      <c r="DED44" s="468"/>
      <c r="DEE44" s="468"/>
      <c r="DEF44" s="468"/>
      <c r="DEG44" s="468"/>
      <c r="DEH44" s="468"/>
      <c r="DEI44" s="468"/>
      <c r="DEJ44" s="468"/>
      <c r="DEK44" s="468"/>
      <c r="DEL44" s="468"/>
      <c r="DEM44" s="468"/>
      <c r="DEN44" s="468"/>
      <c r="DEO44" s="468"/>
      <c r="DEP44" s="468"/>
      <c r="DEQ44" s="468"/>
      <c r="DER44" s="468"/>
      <c r="DES44" s="468"/>
      <c r="DET44" s="468"/>
      <c r="DEU44" s="468"/>
      <c r="DEV44" s="468"/>
      <c r="DEW44" s="468"/>
      <c r="DEX44" s="468"/>
      <c r="DEY44" s="468"/>
      <c r="DEZ44" s="468"/>
      <c r="DFA44" s="468"/>
      <c r="DFB44" s="468"/>
      <c r="DFC44" s="468"/>
      <c r="DFD44" s="468"/>
      <c r="DFE44" s="468"/>
      <c r="DFF44" s="468"/>
      <c r="DFG44" s="468"/>
      <c r="DFH44" s="468"/>
      <c r="DFI44" s="468"/>
      <c r="DFJ44" s="468"/>
      <c r="DFK44" s="468"/>
      <c r="DFL44" s="468"/>
      <c r="DFM44" s="468"/>
      <c r="DFN44" s="468"/>
      <c r="DFO44" s="468"/>
      <c r="DFP44" s="468"/>
      <c r="DFQ44" s="468"/>
      <c r="DFR44" s="468"/>
      <c r="DFS44" s="468"/>
      <c r="DFT44" s="468"/>
      <c r="DFU44" s="468"/>
      <c r="DFV44" s="468"/>
      <c r="DFW44" s="468"/>
      <c r="DFX44" s="468"/>
      <c r="DFY44" s="468"/>
      <c r="DFZ44" s="468"/>
      <c r="DGA44" s="468"/>
      <c r="DGB44" s="468"/>
      <c r="DGC44" s="468"/>
      <c r="DGD44" s="468"/>
      <c r="DGE44" s="468"/>
      <c r="DGF44" s="468"/>
      <c r="DGG44" s="468"/>
      <c r="DGH44" s="468"/>
      <c r="DGI44" s="468"/>
      <c r="DGJ44" s="468"/>
      <c r="DGK44" s="468"/>
      <c r="DGL44" s="468"/>
      <c r="DGM44" s="468"/>
      <c r="DGN44" s="468"/>
      <c r="DGO44" s="468"/>
      <c r="DGP44" s="468"/>
      <c r="DGQ44" s="468"/>
      <c r="DGR44" s="468"/>
      <c r="DGS44" s="468"/>
      <c r="DGT44" s="468"/>
      <c r="DGU44" s="468"/>
      <c r="DGV44" s="468"/>
      <c r="DGW44" s="468"/>
      <c r="DGX44" s="468"/>
      <c r="DGY44" s="468"/>
      <c r="DGZ44" s="468"/>
      <c r="DHA44" s="468"/>
      <c r="DHB44" s="468"/>
      <c r="DHC44" s="468"/>
      <c r="DHD44" s="468"/>
      <c r="DHE44" s="468"/>
      <c r="DHF44" s="468"/>
      <c r="DHG44" s="468"/>
      <c r="DHH44" s="468"/>
      <c r="DHI44" s="468"/>
      <c r="DHJ44" s="468"/>
      <c r="DHK44" s="468"/>
      <c r="DHL44" s="468"/>
      <c r="DHM44" s="468"/>
      <c r="DHN44" s="468"/>
      <c r="DHO44" s="468"/>
      <c r="DHP44" s="468"/>
      <c r="DHQ44" s="468"/>
      <c r="DHR44" s="468"/>
      <c r="DHS44" s="468"/>
      <c r="DHT44" s="468"/>
      <c r="DHU44" s="468"/>
      <c r="DHV44" s="468"/>
      <c r="DHW44" s="468"/>
      <c r="DHX44" s="468"/>
      <c r="DHY44" s="468"/>
      <c r="DHZ44" s="468"/>
      <c r="DIA44" s="468"/>
      <c r="DIB44" s="468"/>
      <c r="DIC44" s="468"/>
      <c r="DID44" s="468"/>
      <c r="DIE44" s="468"/>
      <c r="DIF44" s="468"/>
      <c r="DIG44" s="468"/>
      <c r="DIH44" s="468"/>
      <c r="DII44" s="468"/>
      <c r="DIJ44" s="468"/>
      <c r="DIK44" s="468"/>
      <c r="DIL44" s="468"/>
      <c r="DIM44" s="468"/>
      <c r="DIN44" s="468"/>
      <c r="DIO44" s="468"/>
      <c r="DIP44" s="468"/>
      <c r="DIQ44" s="468"/>
      <c r="DIR44" s="468"/>
      <c r="DIS44" s="468"/>
      <c r="DIT44" s="468"/>
      <c r="DIU44" s="468"/>
      <c r="DIV44" s="468"/>
      <c r="DIW44" s="468"/>
      <c r="DIX44" s="468"/>
      <c r="DIY44" s="468"/>
      <c r="DIZ44" s="468"/>
      <c r="DJA44" s="468"/>
      <c r="DJB44" s="468"/>
      <c r="DJC44" s="468"/>
      <c r="DJD44" s="468"/>
      <c r="DJE44" s="468"/>
      <c r="DJF44" s="468"/>
      <c r="DJG44" s="468"/>
      <c r="DJH44" s="468"/>
      <c r="DJI44" s="468"/>
      <c r="DJJ44" s="468"/>
      <c r="DJK44" s="468"/>
      <c r="DJL44" s="468"/>
      <c r="DJM44" s="468"/>
      <c r="DJN44" s="468"/>
      <c r="DJO44" s="468"/>
      <c r="DJP44" s="468"/>
      <c r="DJQ44" s="468"/>
      <c r="DJR44" s="468"/>
      <c r="DJS44" s="468"/>
      <c r="DJT44" s="468"/>
      <c r="DJU44" s="468"/>
      <c r="DJV44" s="468"/>
      <c r="DJW44" s="468"/>
      <c r="DJX44" s="468"/>
      <c r="DJY44" s="468"/>
      <c r="DJZ44" s="468"/>
      <c r="DKA44" s="468"/>
      <c r="DKB44" s="468"/>
      <c r="DKC44" s="468"/>
      <c r="DKD44" s="468"/>
      <c r="DKE44" s="468"/>
      <c r="DKF44" s="468"/>
      <c r="DKG44" s="468"/>
      <c r="DKH44" s="468"/>
      <c r="DKI44" s="468"/>
      <c r="DKJ44" s="468"/>
      <c r="DKK44" s="468"/>
      <c r="DKL44" s="468"/>
      <c r="DKM44" s="468"/>
      <c r="DKN44" s="468"/>
      <c r="DKO44" s="468"/>
      <c r="DKP44" s="468"/>
      <c r="DKQ44" s="468"/>
      <c r="DKR44" s="468"/>
      <c r="DKS44" s="468"/>
      <c r="DKT44" s="468"/>
      <c r="DKU44" s="468"/>
      <c r="DKV44" s="468"/>
      <c r="DKW44" s="468"/>
      <c r="DKX44" s="468"/>
      <c r="DKY44" s="468"/>
      <c r="DKZ44" s="468"/>
      <c r="DLA44" s="468"/>
      <c r="DLB44" s="468"/>
      <c r="DLC44" s="468"/>
      <c r="DLD44" s="468"/>
      <c r="DLE44" s="468"/>
      <c r="DLF44" s="468"/>
      <c r="DLG44" s="468"/>
      <c r="DLH44" s="468"/>
      <c r="DLI44" s="468"/>
      <c r="DLJ44" s="468"/>
      <c r="DLK44" s="468"/>
      <c r="DLL44" s="468"/>
      <c r="DLM44" s="468"/>
      <c r="DLN44" s="468"/>
      <c r="DLO44" s="468"/>
      <c r="DLP44" s="468"/>
      <c r="DLQ44" s="468"/>
      <c r="DLR44" s="468"/>
      <c r="DLS44" s="468"/>
      <c r="DLT44" s="468"/>
      <c r="DLU44" s="468"/>
      <c r="DLV44" s="468"/>
      <c r="DLW44" s="468"/>
      <c r="DLX44" s="468"/>
      <c r="DLY44" s="468"/>
      <c r="DLZ44" s="468"/>
      <c r="DMA44" s="468"/>
      <c r="DMB44" s="468"/>
      <c r="DMC44" s="468"/>
      <c r="DMD44" s="468"/>
      <c r="DME44" s="468"/>
      <c r="DMF44" s="468"/>
      <c r="DMG44" s="468"/>
      <c r="DMH44" s="468"/>
      <c r="DMI44" s="468"/>
      <c r="DMJ44" s="468"/>
      <c r="DMK44" s="468"/>
      <c r="DML44" s="468"/>
      <c r="DMM44" s="468"/>
      <c r="DMN44" s="468"/>
      <c r="DMO44" s="468"/>
      <c r="DMP44" s="468"/>
      <c r="DMQ44" s="468"/>
      <c r="DMR44" s="468"/>
      <c r="DMS44" s="468"/>
      <c r="DMT44" s="468"/>
      <c r="DMU44" s="468"/>
      <c r="DMV44" s="468"/>
      <c r="DMW44" s="468"/>
      <c r="DMX44" s="468"/>
      <c r="DMY44" s="468"/>
      <c r="DMZ44" s="468"/>
      <c r="DNA44" s="468"/>
      <c r="DNB44" s="468"/>
      <c r="DNC44" s="468"/>
      <c r="DND44" s="468"/>
      <c r="DNE44" s="468"/>
      <c r="DNF44" s="468"/>
      <c r="DNG44" s="468"/>
      <c r="DNH44" s="468"/>
      <c r="DNI44" s="468"/>
      <c r="DNJ44" s="468"/>
      <c r="DNK44" s="468"/>
      <c r="DNL44" s="468"/>
      <c r="DNM44" s="468"/>
      <c r="DNN44" s="468"/>
      <c r="DNO44" s="468"/>
      <c r="DNP44" s="468"/>
      <c r="DNQ44" s="468"/>
      <c r="DNR44" s="468"/>
      <c r="DNS44" s="468"/>
      <c r="DNT44" s="468"/>
      <c r="DNU44" s="468"/>
      <c r="DNV44" s="468"/>
      <c r="DNW44" s="468"/>
      <c r="DNX44" s="468"/>
      <c r="DNY44" s="468"/>
      <c r="DNZ44" s="468"/>
      <c r="DOA44" s="468"/>
      <c r="DOB44" s="468"/>
      <c r="DOC44" s="468"/>
      <c r="DOD44" s="468"/>
      <c r="DOE44" s="468"/>
      <c r="DOF44" s="468"/>
      <c r="DOG44" s="468"/>
      <c r="DOH44" s="468"/>
      <c r="DOI44" s="468"/>
      <c r="DOJ44" s="468"/>
      <c r="DOK44" s="468"/>
      <c r="DOL44" s="468"/>
      <c r="DOM44" s="468"/>
      <c r="DON44" s="468"/>
      <c r="DOO44" s="468"/>
      <c r="DOP44" s="468"/>
      <c r="DOQ44" s="468"/>
      <c r="DOR44" s="468"/>
      <c r="DOS44" s="468"/>
      <c r="DOT44" s="468"/>
      <c r="DOU44" s="468"/>
      <c r="DOV44" s="468"/>
      <c r="DOW44" s="468"/>
      <c r="DOX44" s="468"/>
      <c r="DOY44" s="468"/>
      <c r="DOZ44" s="468"/>
      <c r="DPA44" s="468"/>
      <c r="DPB44" s="468"/>
      <c r="DPC44" s="468"/>
      <c r="DPD44" s="468"/>
      <c r="DPE44" s="468"/>
      <c r="DPF44" s="468"/>
      <c r="DPG44" s="468"/>
      <c r="DPH44" s="468"/>
      <c r="DPI44" s="468"/>
      <c r="DPJ44" s="468"/>
      <c r="DPK44" s="468"/>
      <c r="DPL44" s="468"/>
      <c r="DPM44" s="468"/>
      <c r="DPN44" s="468"/>
      <c r="DPO44" s="468"/>
      <c r="DPP44" s="468"/>
      <c r="DPQ44" s="468"/>
      <c r="DPR44" s="468"/>
      <c r="DPS44" s="468"/>
      <c r="DPT44" s="468"/>
      <c r="DPU44" s="468"/>
      <c r="DPV44" s="468"/>
      <c r="DPW44" s="468"/>
      <c r="DPX44" s="468"/>
      <c r="DPY44" s="468"/>
      <c r="DPZ44" s="468"/>
      <c r="DQA44" s="468"/>
      <c r="DQB44" s="468"/>
      <c r="DQC44" s="468"/>
      <c r="DQD44" s="468"/>
      <c r="DQE44" s="468"/>
      <c r="DQF44" s="468"/>
      <c r="DQG44" s="468"/>
      <c r="DQH44" s="468"/>
      <c r="DQI44" s="468"/>
      <c r="DQJ44" s="468"/>
      <c r="DQK44" s="468"/>
      <c r="DQL44" s="468"/>
      <c r="DQM44" s="468"/>
      <c r="DQN44" s="468"/>
      <c r="DQO44" s="468"/>
      <c r="DQP44" s="468"/>
      <c r="DQQ44" s="468"/>
      <c r="DQR44" s="468"/>
      <c r="DQS44" s="468"/>
      <c r="DQT44" s="468"/>
      <c r="DQU44" s="468"/>
      <c r="DQV44" s="468"/>
      <c r="DQW44" s="468"/>
      <c r="DQX44" s="468"/>
      <c r="DQY44" s="468"/>
      <c r="DQZ44" s="468"/>
      <c r="DRA44" s="468"/>
      <c r="DRB44" s="468"/>
      <c r="DRC44" s="468"/>
      <c r="DRD44" s="468"/>
      <c r="DRE44" s="468"/>
      <c r="DRF44" s="468"/>
      <c r="DRG44" s="468"/>
      <c r="DRH44" s="468"/>
      <c r="DRI44" s="468"/>
      <c r="DRJ44" s="468"/>
      <c r="DRK44" s="468"/>
      <c r="DRL44" s="468"/>
      <c r="DRM44" s="468"/>
      <c r="DRN44" s="468"/>
      <c r="DRO44" s="468"/>
      <c r="DRP44" s="468"/>
      <c r="DRQ44" s="468"/>
      <c r="DRR44" s="468"/>
      <c r="DRS44" s="468"/>
      <c r="DRT44" s="468"/>
      <c r="DRU44" s="468"/>
      <c r="DRV44" s="468"/>
      <c r="DRW44" s="468"/>
      <c r="DRX44" s="468"/>
      <c r="DRY44" s="468"/>
      <c r="DRZ44" s="468"/>
      <c r="DSA44" s="468"/>
      <c r="DSB44" s="468"/>
      <c r="DSC44" s="468"/>
      <c r="DSD44" s="468"/>
      <c r="DSE44" s="468"/>
      <c r="DSF44" s="468"/>
      <c r="DSG44" s="468"/>
      <c r="DSH44" s="468"/>
      <c r="DSI44" s="468"/>
      <c r="DSJ44" s="468"/>
      <c r="DSK44" s="468"/>
      <c r="DSL44" s="468"/>
      <c r="DSM44" s="468"/>
      <c r="DSN44" s="468"/>
      <c r="DSO44" s="468"/>
      <c r="DSP44" s="468"/>
      <c r="DSQ44" s="468"/>
      <c r="DSR44" s="468"/>
      <c r="DSS44" s="468"/>
      <c r="DST44" s="468"/>
      <c r="DSU44" s="468"/>
      <c r="DSV44" s="468"/>
      <c r="DSW44" s="468"/>
      <c r="DSX44" s="468"/>
      <c r="DSY44" s="468"/>
      <c r="DSZ44" s="468"/>
      <c r="DTA44" s="468"/>
      <c r="DTB44" s="468"/>
      <c r="DTC44" s="468"/>
      <c r="DTD44" s="468"/>
      <c r="DTE44" s="468"/>
      <c r="DTF44" s="468"/>
      <c r="DTG44" s="468"/>
      <c r="DTH44" s="468"/>
      <c r="DTI44" s="468"/>
      <c r="DTJ44" s="468"/>
      <c r="DTK44" s="468"/>
      <c r="DTL44" s="468"/>
      <c r="DTM44" s="468"/>
      <c r="DTN44" s="468"/>
      <c r="DTO44" s="468"/>
      <c r="DTP44" s="468"/>
      <c r="DTQ44" s="468"/>
      <c r="DTR44" s="468"/>
      <c r="DTS44" s="468"/>
      <c r="DTT44" s="468"/>
      <c r="DTU44" s="468"/>
      <c r="DTV44" s="468"/>
      <c r="DTW44" s="468"/>
      <c r="DTX44" s="468"/>
      <c r="DTY44" s="468"/>
      <c r="DTZ44" s="468"/>
      <c r="DUA44" s="468"/>
      <c r="DUB44" s="468"/>
      <c r="DUC44" s="468"/>
      <c r="DUD44" s="468"/>
      <c r="DUE44" s="468"/>
      <c r="DUF44" s="468"/>
      <c r="DUG44" s="468"/>
      <c r="DUH44" s="468"/>
      <c r="DUI44" s="468"/>
      <c r="DUJ44" s="468"/>
      <c r="DUK44" s="468"/>
      <c r="DUL44" s="468"/>
      <c r="DUM44" s="468"/>
      <c r="DUN44" s="468"/>
      <c r="DUO44" s="468"/>
      <c r="DUP44" s="468"/>
      <c r="DUQ44" s="468"/>
      <c r="DUR44" s="468"/>
      <c r="DUS44" s="468"/>
      <c r="DUT44" s="468"/>
      <c r="DUU44" s="468"/>
      <c r="DUV44" s="468"/>
      <c r="DUW44" s="468"/>
      <c r="DUX44" s="468"/>
      <c r="DUY44" s="468"/>
      <c r="DUZ44" s="468"/>
      <c r="DVA44" s="468"/>
      <c r="DVB44" s="468"/>
      <c r="DVC44" s="468"/>
      <c r="DVD44" s="468"/>
      <c r="DVE44" s="468"/>
      <c r="DVF44" s="468"/>
      <c r="DVG44" s="468"/>
      <c r="DVH44" s="468"/>
      <c r="DVI44" s="468"/>
      <c r="DVJ44" s="468"/>
      <c r="DVK44" s="468"/>
      <c r="DVL44" s="468"/>
      <c r="DVM44" s="468"/>
      <c r="DVN44" s="468"/>
      <c r="DVO44" s="468"/>
      <c r="DVP44" s="468"/>
      <c r="DVQ44" s="468"/>
      <c r="DVR44" s="468"/>
      <c r="DVS44" s="468"/>
      <c r="DVT44" s="468"/>
      <c r="DVU44" s="468"/>
      <c r="DVV44" s="468"/>
      <c r="DVW44" s="468"/>
      <c r="DVX44" s="468"/>
      <c r="DVY44" s="468"/>
      <c r="DVZ44" s="468"/>
      <c r="DWA44" s="468"/>
      <c r="DWB44" s="468"/>
      <c r="DWC44" s="468"/>
      <c r="DWD44" s="468"/>
      <c r="DWE44" s="468"/>
      <c r="DWF44" s="468"/>
      <c r="DWG44" s="468"/>
      <c r="DWH44" s="468"/>
      <c r="DWI44" s="468"/>
      <c r="DWJ44" s="468"/>
      <c r="DWK44" s="468"/>
      <c r="DWL44" s="468"/>
      <c r="DWM44" s="468"/>
      <c r="DWN44" s="468"/>
      <c r="DWO44" s="468"/>
      <c r="DWP44" s="468"/>
      <c r="DWQ44" s="468"/>
      <c r="DWR44" s="468"/>
      <c r="DWS44" s="468"/>
      <c r="DWT44" s="468"/>
      <c r="DWU44" s="468"/>
      <c r="DWV44" s="468"/>
      <c r="DWW44" s="468"/>
      <c r="DWX44" s="468"/>
      <c r="DWY44" s="468"/>
      <c r="DWZ44" s="468"/>
      <c r="DXA44" s="468"/>
      <c r="DXB44" s="468"/>
      <c r="DXC44" s="468"/>
      <c r="DXD44" s="468"/>
      <c r="DXE44" s="468"/>
      <c r="DXF44" s="468"/>
      <c r="DXG44" s="468"/>
      <c r="DXH44" s="468"/>
      <c r="DXI44" s="468"/>
      <c r="DXJ44" s="468"/>
      <c r="DXK44" s="468"/>
      <c r="DXL44" s="468"/>
      <c r="DXM44" s="468"/>
      <c r="DXN44" s="468"/>
      <c r="DXO44" s="468"/>
      <c r="DXP44" s="468"/>
      <c r="DXQ44" s="468"/>
      <c r="DXR44" s="468"/>
      <c r="DXS44" s="468"/>
      <c r="DXT44" s="468"/>
      <c r="DXU44" s="468"/>
      <c r="DXV44" s="468"/>
      <c r="DXW44" s="468"/>
      <c r="DXX44" s="468"/>
      <c r="DXY44" s="468"/>
      <c r="DXZ44" s="468"/>
      <c r="DYA44" s="468"/>
      <c r="DYB44" s="468"/>
      <c r="DYC44" s="468"/>
      <c r="DYD44" s="468"/>
      <c r="DYE44" s="468"/>
      <c r="DYF44" s="468"/>
      <c r="DYG44" s="468"/>
      <c r="DYH44" s="468"/>
      <c r="DYI44" s="468"/>
      <c r="DYJ44" s="468"/>
      <c r="DYK44" s="468"/>
      <c r="DYL44" s="468"/>
      <c r="DYM44" s="468"/>
      <c r="DYN44" s="468"/>
      <c r="DYO44" s="468"/>
      <c r="DYP44" s="468"/>
      <c r="DYQ44" s="468"/>
      <c r="DYR44" s="468"/>
      <c r="DYS44" s="468"/>
      <c r="DYT44" s="468"/>
      <c r="DYU44" s="468"/>
      <c r="DYV44" s="468"/>
      <c r="DYW44" s="468"/>
      <c r="DYX44" s="468"/>
      <c r="DYY44" s="468"/>
      <c r="DYZ44" s="468"/>
      <c r="DZA44" s="468"/>
      <c r="DZB44" s="468"/>
      <c r="DZC44" s="468"/>
      <c r="DZD44" s="468"/>
      <c r="DZE44" s="468"/>
      <c r="DZF44" s="468"/>
      <c r="DZG44" s="468"/>
      <c r="DZH44" s="468"/>
      <c r="DZI44" s="468"/>
      <c r="DZJ44" s="468"/>
      <c r="DZK44" s="468"/>
      <c r="DZL44" s="468"/>
      <c r="DZM44" s="468"/>
      <c r="DZN44" s="468"/>
      <c r="DZO44" s="468"/>
      <c r="DZP44" s="468"/>
      <c r="DZQ44" s="468"/>
      <c r="DZR44" s="468"/>
      <c r="DZS44" s="468"/>
      <c r="DZT44" s="468"/>
      <c r="DZU44" s="468"/>
      <c r="DZV44" s="468"/>
      <c r="DZW44" s="468"/>
      <c r="DZX44" s="468"/>
      <c r="DZY44" s="468"/>
      <c r="DZZ44" s="468"/>
      <c r="EAA44" s="468"/>
      <c r="EAB44" s="468"/>
      <c r="EAC44" s="468"/>
      <c r="EAD44" s="468"/>
      <c r="EAE44" s="468"/>
      <c r="EAF44" s="468"/>
      <c r="EAG44" s="468"/>
      <c r="EAH44" s="468"/>
      <c r="EAI44" s="468"/>
      <c r="EAJ44" s="468"/>
      <c r="EAK44" s="468"/>
      <c r="EAL44" s="468"/>
      <c r="EAM44" s="468"/>
      <c r="EAN44" s="468"/>
      <c r="EAO44" s="468"/>
      <c r="EAP44" s="468"/>
      <c r="EAQ44" s="468"/>
      <c r="EAR44" s="468"/>
      <c r="EAS44" s="468"/>
      <c r="EAT44" s="468"/>
      <c r="EAU44" s="468"/>
      <c r="EAV44" s="468"/>
      <c r="EAW44" s="468"/>
      <c r="EAX44" s="468"/>
      <c r="EAY44" s="468"/>
      <c r="EAZ44" s="468"/>
      <c r="EBA44" s="468"/>
      <c r="EBB44" s="468"/>
      <c r="EBC44" s="468"/>
      <c r="EBD44" s="468"/>
      <c r="EBE44" s="468"/>
      <c r="EBF44" s="468"/>
      <c r="EBG44" s="468"/>
      <c r="EBH44" s="468"/>
      <c r="EBI44" s="468"/>
      <c r="EBJ44" s="468"/>
      <c r="EBK44" s="468"/>
      <c r="EBL44" s="468"/>
      <c r="EBM44" s="468"/>
      <c r="EBN44" s="468"/>
      <c r="EBO44" s="468"/>
      <c r="EBP44" s="468"/>
      <c r="EBQ44" s="468"/>
      <c r="EBR44" s="468"/>
      <c r="EBS44" s="468"/>
      <c r="EBT44" s="468"/>
      <c r="EBU44" s="468"/>
      <c r="EBV44" s="468"/>
      <c r="EBW44" s="468"/>
      <c r="EBX44" s="468"/>
      <c r="EBY44" s="468"/>
      <c r="EBZ44" s="468"/>
      <c r="ECA44" s="468"/>
      <c r="ECB44" s="468"/>
      <c r="ECC44" s="468"/>
      <c r="ECD44" s="468"/>
      <c r="ECE44" s="468"/>
      <c r="ECF44" s="468"/>
      <c r="ECG44" s="468"/>
      <c r="ECH44" s="468"/>
      <c r="ECI44" s="468"/>
      <c r="ECJ44" s="468"/>
      <c r="ECK44" s="468"/>
      <c r="ECL44" s="468"/>
      <c r="ECM44" s="468"/>
      <c r="ECN44" s="468"/>
      <c r="ECO44" s="468"/>
      <c r="ECP44" s="468"/>
      <c r="ECQ44" s="468"/>
      <c r="ECR44" s="468"/>
      <c r="ECS44" s="468"/>
      <c r="ECT44" s="468"/>
      <c r="ECU44" s="468"/>
      <c r="ECV44" s="468"/>
      <c r="ECW44" s="468"/>
      <c r="ECX44" s="468"/>
      <c r="ECY44" s="468"/>
      <c r="ECZ44" s="468"/>
      <c r="EDA44" s="468"/>
      <c r="EDB44" s="468"/>
      <c r="EDC44" s="468"/>
      <c r="EDD44" s="468"/>
      <c r="EDE44" s="468"/>
      <c r="EDF44" s="468"/>
      <c r="EDG44" s="468"/>
      <c r="EDH44" s="468"/>
      <c r="EDI44" s="468"/>
      <c r="EDJ44" s="468"/>
      <c r="EDK44" s="468"/>
      <c r="EDL44" s="468"/>
      <c r="EDM44" s="468"/>
      <c r="EDN44" s="468"/>
      <c r="EDO44" s="468"/>
      <c r="EDP44" s="468"/>
      <c r="EDQ44" s="468"/>
      <c r="EDR44" s="468"/>
      <c r="EDS44" s="468"/>
      <c r="EDT44" s="468"/>
      <c r="EDU44" s="468"/>
      <c r="EDV44" s="468"/>
      <c r="EDW44" s="468"/>
      <c r="EDX44" s="468"/>
      <c r="EDY44" s="468"/>
      <c r="EDZ44" s="468"/>
      <c r="EEA44" s="468"/>
      <c r="EEB44" s="468"/>
      <c r="EEC44" s="468"/>
      <c r="EED44" s="468"/>
      <c r="EEE44" s="468"/>
      <c r="EEF44" s="468"/>
      <c r="EEG44" s="468"/>
      <c r="EEH44" s="468"/>
      <c r="EEI44" s="468"/>
      <c r="EEJ44" s="468"/>
      <c r="EEK44" s="468"/>
      <c r="EEL44" s="468"/>
      <c r="EEM44" s="468"/>
      <c r="EEN44" s="468"/>
      <c r="EEO44" s="468"/>
      <c r="EEP44" s="468"/>
      <c r="EEQ44" s="468"/>
      <c r="EER44" s="468"/>
      <c r="EES44" s="468"/>
      <c r="EET44" s="468"/>
      <c r="EEU44" s="468"/>
      <c r="EEV44" s="468"/>
      <c r="EEW44" s="468"/>
      <c r="EEX44" s="468"/>
      <c r="EEY44" s="468"/>
      <c r="EEZ44" s="468"/>
      <c r="EFA44" s="468"/>
      <c r="EFB44" s="468"/>
      <c r="EFC44" s="468"/>
      <c r="EFD44" s="468"/>
      <c r="EFE44" s="468"/>
      <c r="EFF44" s="468"/>
      <c r="EFG44" s="468"/>
      <c r="EFH44" s="468"/>
      <c r="EFI44" s="468"/>
      <c r="EFJ44" s="468"/>
      <c r="EFK44" s="468"/>
      <c r="EFL44" s="468"/>
      <c r="EFM44" s="468"/>
      <c r="EFN44" s="468"/>
      <c r="EFO44" s="468"/>
      <c r="EFP44" s="468"/>
      <c r="EFQ44" s="468"/>
      <c r="EFR44" s="468"/>
      <c r="EFS44" s="468"/>
      <c r="EFT44" s="468"/>
      <c r="EFU44" s="468"/>
      <c r="EFV44" s="468"/>
      <c r="EFW44" s="468"/>
      <c r="EFX44" s="468"/>
      <c r="EFY44" s="468"/>
      <c r="EFZ44" s="468"/>
      <c r="EGA44" s="468"/>
      <c r="EGB44" s="468"/>
      <c r="EGC44" s="468"/>
      <c r="EGD44" s="468"/>
      <c r="EGE44" s="468"/>
      <c r="EGF44" s="468"/>
      <c r="EGG44" s="468"/>
      <c r="EGH44" s="468"/>
      <c r="EGI44" s="468"/>
      <c r="EGJ44" s="468"/>
      <c r="EGK44" s="468"/>
      <c r="EGL44" s="468"/>
      <c r="EGM44" s="468"/>
      <c r="EGN44" s="468"/>
      <c r="EGO44" s="468"/>
      <c r="EGP44" s="468"/>
      <c r="EGQ44" s="468"/>
      <c r="EGR44" s="468"/>
      <c r="EGS44" s="468"/>
      <c r="EGT44" s="468"/>
      <c r="EGU44" s="468"/>
      <c r="EGV44" s="468"/>
      <c r="EGW44" s="468"/>
      <c r="EGX44" s="468"/>
      <c r="EGY44" s="468"/>
      <c r="EGZ44" s="468"/>
      <c r="EHA44" s="468"/>
      <c r="EHB44" s="468"/>
      <c r="EHC44" s="468"/>
      <c r="EHD44" s="468"/>
      <c r="EHE44" s="468"/>
      <c r="EHF44" s="468"/>
      <c r="EHG44" s="468"/>
      <c r="EHH44" s="468"/>
      <c r="EHI44" s="468"/>
      <c r="EHJ44" s="468"/>
      <c r="EHK44" s="468"/>
      <c r="EHL44" s="468"/>
      <c r="EHM44" s="468"/>
      <c r="EHN44" s="468"/>
      <c r="EHO44" s="468"/>
      <c r="EHP44" s="468"/>
      <c r="EHQ44" s="468"/>
      <c r="EHR44" s="468"/>
      <c r="EHS44" s="468"/>
      <c r="EHT44" s="468"/>
      <c r="EHU44" s="468"/>
      <c r="EHV44" s="468"/>
      <c r="EHW44" s="468"/>
      <c r="EHX44" s="468"/>
      <c r="EHY44" s="468"/>
      <c r="EHZ44" s="468"/>
      <c r="EIA44" s="468"/>
      <c r="EIB44" s="468"/>
      <c r="EIC44" s="468"/>
      <c r="EID44" s="468"/>
      <c r="EIE44" s="468"/>
      <c r="EIF44" s="468"/>
      <c r="EIG44" s="468"/>
      <c r="EIH44" s="468"/>
      <c r="EII44" s="468"/>
      <c r="EIJ44" s="468"/>
      <c r="EIK44" s="468"/>
      <c r="EIL44" s="468"/>
      <c r="EIM44" s="468"/>
      <c r="EIN44" s="468"/>
      <c r="EIO44" s="468"/>
      <c r="EIP44" s="468"/>
      <c r="EIQ44" s="468"/>
      <c r="EIR44" s="468"/>
      <c r="EIS44" s="468"/>
      <c r="EIT44" s="468"/>
      <c r="EIU44" s="468"/>
      <c r="EIV44" s="468"/>
      <c r="EIW44" s="468"/>
      <c r="EIX44" s="468"/>
      <c r="EIY44" s="468"/>
      <c r="EIZ44" s="468"/>
      <c r="EJA44" s="468"/>
      <c r="EJB44" s="468"/>
      <c r="EJC44" s="468"/>
      <c r="EJD44" s="468"/>
      <c r="EJE44" s="468"/>
      <c r="EJF44" s="468"/>
      <c r="EJG44" s="468"/>
      <c r="EJH44" s="468"/>
      <c r="EJI44" s="468"/>
      <c r="EJJ44" s="468"/>
      <c r="EJK44" s="468"/>
      <c r="EJL44" s="468"/>
      <c r="EJM44" s="468"/>
      <c r="EJN44" s="468"/>
      <c r="EJO44" s="468"/>
      <c r="EJP44" s="468"/>
      <c r="EJQ44" s="468"/>
      <c r="EJR44" s="468"/>
      <c r="EJS44" s="468"/>
      <c r="EJT44" s="468"/>
      <c r="EJU44" s="468"/>
      <c r="EJV44" s="468"/>
      <c r="EJW44" s="468"/>
      <c r="EJX44" s="468"/>
      <c r="EJY44" s="468"/>
      <c r="EJZ44" s="468"/>
      <c r="EKA44" s="468"/>
      <c r="EKB44" s="468"/>
      <c r="EKC44" s="468"/>
      <c r="EKD44" s="468"/>
      <c r="EKE44" s="468"/>
      <c r="EKF44" s="468"/>
      <c r="EKG44" s="468"/>
      <c r="EKH44" s="468"/>
      <c r="EKI44" s="468"/>
      <c r="EKJ44" s="468"/>
      <c r="EKK44" s="468"/>
      <c r="EKL44" s="468"/>
      <c r="EKM44" s="468"/>
      <c r="EKN44" s="468"/>
      <c r="EKO44" s="468"/>
      <c r="EKP44" s="468"/>
      <c r="EKQ44" s="468"/>
      <c r="EKR44" s="468"/>
      <c r="EKS44" s="468"/>
      <c r="EKT44" s="468"/>
      <c r="EKU44" s="468"/>
      <c r="EKV44" s="468"/>
      <c r="EKW44" s="468"/>
      <c r="EKX44" s="468"/>
      <c r="EKY44" s="468"/>
      <c r="EKZ44" s="468"/>
      <c r="ELA44" s="468"/>
      <c r="ELB44" s="468"/>
      <c r="ELC44" s="468"/>
      <c r="ELD44" s="468"/>
      <c r="ELE44" s="468"/>
      <c r="ELF44" s="468"/>
      <c r="ELG44" s="468"/>
      <c r="ELH44" s="468"/>
      <c r="ELI44" s="468"/>
      <c r="ELJ44" s="468"/>
      <c r="ELK44" s="468"/>
      <c r="ELL44" s="468"/>
      <c r="ELM44" s="468"/>
      <c r="ELN44" s="468"/>
      <c r="ELO44" s="468"/>
      <c r="ELP44" s="468"/>
      <c r="ELQ44" s="468"/>
      <c r="ELR44" s="468"/>
      <c r="ELS44" s="468"/>
      <c r="ELT44" s="468"/>
      <c r="ELU44" s="468"/>
      <c r="ELV44" s="468"/>
      <c r="ELW44" s="468"/>
      <c r="ELX44" s="468"/>
      <c r="ELY44" s="468"/>
      <c r="ELZ44" s="468"/>
      <c r="EMA44" s="468"/>
      <c r="EMB44" s="468"/>
      <c r="EMC44" s="468"/>
      <c r="EMD44" s="468"/>
      <c r="EME44" s="468"/>
      <c r="EMF44" s="468"/>
      <c r="EMG44" s="468"/>
      <c r="EMH44" s="468"/>
      <c r="EMI44" s="468"/>
      <c r="EMJ44" s="468"/>
      <c r="EMK44" s="468"/>
      <c r="EML44" s="468"/>
      <c r="EMM44" s="468"/>
      <c r="EMN44" s="468"/>
      <c r="EMO44" s="468"/>
      <c r="EMP44" s="468"/>
      <c r="EMQ44" s="468"/>
      <c r="EMR44" s="468"/>
      <c r="EMS44" s="468"/>
      <c r="EMT44" s="468"/>
      <c r="EMU44" s="468"/>
      <c r="EMV44" s="468"/>
      <c r="EMW44" s="468"/>
      <c r="EMX44" s="468"/>
      <c r="EMY44" s="468"/>
      <c r="EMZ44" s="468"/>
      <c r="ENA44" s="468"/>
      <c r="ENB44" s="468"/>
      <c r="ENC44" s="468"/>
      <c r="END44" s="468"/>
      <c r="ENE44" s="468"/>
      <c r="ENF44" s="468"/>
      <c r="ENG44" s="468"/>
      <c r="ENH44" s="468"/>
      <c r="ENI44" s="468"/>
      <c r="ENJ44" s="468"/>
      <c r="ENK44" s="468"/>
      <c r="ENL44" s="468"/>
      <c r="ENM44" s="468"/>
      <c r="ENN44" s="468"/>
      <c r="ENO44" s="468"/>
      <c r="ENP44" s="468"/>
      <c r="ENQ44" s="468"/>
      <c r="ENR44" s="468"/>
      <c r="ENS44" s="468"/>
      <c r="ENT44" s="468"/>
      <c r="ENU44" s="468"/>
      <c r="ENV44" s="468"/>
      <c r="ENW44" s="468"/>
      <c r="ENX44" s="468"/>
      <c r="ENY44" s="468"/>
      <c r="ENZ44" s="468"/>
      <c r="EOA44" s="468"/>
      <c r="EOB44" s="468"/>
      <c r="EOC44" s="468"/>
      <c r="EOD44" s="468"/>
      <c r="EOE44" s="468"/>
      <c r="EOF44" s="468"/>
      <c r="EOG44" s="468"/>
      <c r="EOH44" s="468"/>
      <c r="EOI44" s="468"/>
      <c r="EOJ44" s="468"/>
      <c r="EOK44" s="468"/>
      <c r="EOL44" s="468"/>
      <c r="EOM44" s="468"/>
      <c r="EON44" s="468"/>
      <c r="EOO44" s="468"/>
      <c r="EOP44" s="468"/>
      <c r="EOQ44" s="468"/>
      <c r="EOR44" s="468"/>
      <c r="EOS44" s="468"/>
      <c r="EOT44" s="468"/>
      <c r="EOU44" s="468"/>
      <c r="EOV44" s="468"/>
      <c r="EOW44" s="468"/>
      <c r="EOX44" s="468"/>
      <c r="EOY44" s="468"/>
      <c r="EOZ44" s="468"/>
      <c r="EPA44" s="468"/>
      <c r="EPB44" s="468"/>
      <c r="EPC44" s="468"/>
      <c r="EPD44" s="468"/>
      <c r="EPE44" s="468"/>
      <c r="EPF44" s="468"/>
      <c r="EPG44" s="468"/>
      <c r="EPH44" s="468"/>
      <c r="EPI44" s="468"/>
      <c r="EPJ44" s="468"/>
      <c r="EPK44" s="468"/>
      <c r="EPL44" s="468"/>
      <c r="EPM44" s="468"/>
      <c r="EPN44" s="468"/>
      <c r="EPO44" s="468"/>
      <c r="EPP44" s="468"/>
      <c r="EPQ44" s="468"/>
      <c r="EPR44" s="468"/>
      <c r="EPS44" s="468"/>
      <c r="EPT44" s="468"/>
      <c r="EPU44" s="468"/>
      <c r="EPV44" s="468"/>
      <c r="EPW44" s="468"/>
      <c r="EPX44" s="468"/>
      <c r="EPY44" s="468"/>
      <c r="EPZ44" s="468"/>
      <c r="EQA44" s="468"/>
      <c r="EQB44" s="468"/>
      <c r="EQC44" s="468"/>
      <c r="EQD44" s="468"/>
      <c r="EQE44" s="468"/>
      <c r="EQF44" s="468"/>
      <c r="EQG44" s="468"/>
      <c r="EQH44" s="468"/>
      <c r="EQI44" s="468"/>
      <c r="EQJ44" s="468"/>
      <c r="EQK44" s="468"/>
      <c r="EQL44" s="468"/>
      <c r="EQM44" s="468"/>
      <c r="EQN44" s="468"/>
      <c r="EQO44" s="468"/>
      <c r="EQP44" s="468"/>
      <c r="EQQ44" s="468"/>
      <c r="EQR44" s="468"/>
      <c r="EQS44" s="468"/>
      <c r="EQT44" s="468"/>
      <c r="EQU44" s="468"/>
      <c r="EQV44" s="468"/>
      <c r="EQW44" s="468"/>
      <c r="EQX44" s="468"/>
      <c r="EQY44" s="468"/>
      <c r="EQZ44" s="468"/>
      <c r="ERA44" s="468"/>
      <c r="ERB44" s="468"/>
      <c r="ERC44" s="468"/>
      <c r="ERD44" s="468"/>
      <c r="ERE44" s="468"/>
      <c r="ERF44" s="468"/>
      <c r="ERG44" s="468"/>
      <c r="ERH44" s="468"/>
      <c r="ERI44" s="468"/>
      <c r="ERJ44" s="468"/>
      <c r="ERK44" s="468"/>
      <c r="ERL44" s="468"/>
      <c r="ERM44" s="468"/>
      <c r="ERN44" s="468"/>
      <c r="ERO44" s="468"/>
      <c r="ERP44" s="468"/>
      <c r="ERQ44" s="468"/>
      <c r="ERR44" s="468"/>
      <c r="ERS44" s="468"/>
      <c r="ERT44" s="468"/>
      <c r="ERU44" s="468"/>
      <c r="ERV44" s="468"/>
      <c r="ERW44" s="468"/>
      <c r="ERX44" s="468"/>
      <c r="ERY44" s="468"/>
      <c r="ERZ44" s="468"/>
      <c r="ESA44" s="468"/>
      <c r="ESB44" s="468"/>
      <c r="ESC44" s="468"/>
      <c r="ESD44" s="468"/>
      <c r="ESE44" s="468"/>
      <c r="ESF44" s="468"/>
      <c r="ESG44" s="468"/>
      <c r="ESH44" s="468"/>
      <c r="ESI44" s="468"/>
      <c r="ESJ44" s="468"/>
      <c r="ESK44" s="468"/>
      <c r="ESL44" s="468"/>
      <c r="ESM44" s="468"/>
      <c r="ESN44" s="468"/>
      <c r="ESO44" s="468"/>
      <c r="ESP44" s="468"/>
      <c r="ESQ44" s="468"/>
      <c r="ESR44" s="468"/>
      <c r="ESS44" s="468"/>
      <c r="EST44" s="468"/>
      <c r="ESU44" s="468"/>
      <c r="ESV44" s="468"/>
      <c r="ESW44" s="468"/>
      <c r="ESX44" s="468"/>
      <c r="ESY44" s="468"/>
      <c r="ESZ44" s="468"/>
      <c r="ETA44" s="468"/>
      <c r="ETB44" s="468"/>
      <c r="ETC44" s="468"/>
      <c r="ETD44" s="468"/>
      <c r="ETE44" s="468"/>
      <c r="ETF44" s="468"/>
      <c r="ETG44" s="468"/>
      <c r="ETH44" s="468"/>
      <c r="ETI44" s="468"/>
      <c r="ETJ44" s="468"/>
      <c r="ETK44" s="468"/>
      <c r="ETL44" s="468"/>
      <c r="ETM44" s="468"/>
      <c r="ETN44" s="468"/>
      <c r="ETO44" s="468"/>
      <c r="ETP44" s="468"/>
      <c r="ETQ44" s="468"/>
      <c r="ETR44" s="468"/>
      <c r="ETS44" s="468"/>
      <c r="ETT44" s="468"/>
      <c r="ETU44" s="468"/>
      <c r="ETV44" s="468"/>
      <c r="ETW44" s="468"/>
      <c r="ETX44" s="468"/>
      <c r="ETY44" s="468"/>
      <c r="ETZ44" s="468"/>
      <c r="EUA44" s="468"/>
      <c r="EUB44" s="468"/>
      <c r="EUC44" s="468"/>
      <c r="EUD44" s="468"/>
      <c r="EUE44" s="468"/>
      <c r="EUF44" s="468"/>
      <c r="EUG44" s="468"/>
      <c r="EUH44" s="468"/>
      <c r="EUI44" s="468"/>
      <c r="EUJ44" s="468"/>
      <c r="EUK44" s="468"/>
      <c r="EUL44" s="468"/>
      <c r="EUM44" s="468"/>
      <c r="EUN44" s="468"/>
      <c r="EUO44" s="468"/>
      <c r="EUP44" s="468"/>
      <c r="EUQ44" s="468"/>
      <c r="EUR44" s="468"/>
      <c r="EUS44" s="468"/>
      <c r="EUT44" s="468"/>
      <c r="EUU44" s="468"/>
      <c r="EUV44" s="468"/>
      <c r="EUW44" s="468"/>
      <c r="EUX44" s="468"/>
      <c r="EUY44" s="468"/>
      <c r="EUZ44" s="468"/>
      <c r="EVA44" s="468"/>
      <c r="EVB44" s="468"/>
      <c r="EVC44" s="468"/>
      <c r="EVD44" s="468"/>
      <c r="EVE44" s="468"/>
      <c r="EVF44" s="468"/>
      <c r="EVG44" s="468"/>
      <c r="EVH44" s="468"/>
      <c r="EVI44" s="468"/>
      <c r="EVJ44" s="468"/>
      <c r="EVK44" s="468"/>
      <c r="EVL44" s="468"/>
      <c r="EVM44" s="468"/>
      <c r="EVN44" s="468"/>
      <c r="EVO44" s="468"/>
      <c r="EVP44" s="468"/>
      <c r="EVQ44" s="468"/>
      <c r="EVR44" s="468"/>
      <c r="EVS44" s="468"/>
      <c r="EVT44" s="468"/>
      <c r="EVU44" s="468"/>
      <c r="EVV44" s="468"/>
      <c r="EVW44" s="468"/>
      <c r="EVX44" s="468"/>
      <c r="EVY44" s="468"/>
      <c r="EVZ44" s="468"/>
      <c r="EWA44" s="468"/>
      <c r="EWB44" s="468"/>
      <c r="EWC44" s="468"/>
      <c r="EWD44" s="468"/>
      <c r="EWE44" s="468"/>
      <c r="EWF44" s="468"/>
      <c r="EWG44" s="468"/>
      <c r="EWH44" s="468"/>
      <c r="EWI44" s="468"/>
      <c r="EWJ44" s="468"/>
      <c r="EWK44" s="468"/>
      <c r="EWL44" s="468"/>
      <c r="EWM44" s="468"/>
      <c r="EWN44" s="468"/>
      <c r="EWO44" s="468"/>
      <c r="EWP44" s="468"/>
      <c r="EWQ44" s="468"/>
      <c r="EWR44" s="468"/>
      <c r="EWS44" s="468"/>
      <c r="EWT44" s="468"/>
      <c r="EWU44" s="468"/>
      <c r="EWV44" s="468"/>
      <c r="EWW44" s="468"/>
      <c r="EWX44" s="468"/>
      <c r="EWY44" s="468"/>
      <c r="EWZ44" s="468"/>
      <c r="EXA44" s="468"/>
      <c r="EXB44" s="468"/>
      <c r="EXC44" s="468"/>
      <c r="EXD44" s="468"/>
      <c r="EXE44" s="468"/>
      <c r="EXF44" s="468"/>
      <c r="EXG44" s="468"/>
      <c r="EXH44" s="468"/>
      <c r="EXI44" s="468"/>
      <c r="EXJ44" s="468"/>
      <c r="EXK44" s="468"/>
      <c r="EXL44" s="468"/>
      <c r="EXM44" s="468"/>
      <c r="EXN44" s="468"/>
      <c r="EXO44" s="468"/>
      <c r="EXP44" s="468"/>
      <c r="EXQ44" s="468"/>
      <c r="EXR44" s="468"/>
      <c r="EXS44" s="468"/>
      <c r="EXT44" s="468"/>
      <c r="EXU44" s="468"/>
      <c r="EXV44" s="468"/>
      <c r="EXW44" s="468"/>
      <c r="EXX44" s="468"/>
      <c r="EXY44" s="468"/>
      <c r="EXZ44" s="468"/>
      <c r="EYA44" s="468"/>
      <c r="EYB44" s="468"/>
      <c r="EYC44" s="468"/>
      <c r="EYD44" s="468"/>
      <c r="EYE44" s="468"/>
      <c r="EYF44" s="468"/>
      <c r="EYG44" s="468"/>
      <c r="EYH44" s="468"/>
      <c r="EYI44" s="468"/>
      <c r="EYJ44" s="468"/>
      <c r="EYK44" s="468"/>
      <c r="EYL44" s="468"/>
      <c r="EYM44" s="468"/>
      <c r="EYN44" s="468"/>
      <c r="EYO44" s="468"/>
      <c r="EYP44" s="468"/>
      <c r="EYQ44" s="468"/>
      <c r="EYR44" s="468"/>
      <c r="EYS44" s="468"/>
      <c r="EYT44" s="468"/>
      <c r="EYU44" s="468"/>
      <c r="EYV44" s="468"/>
      <c r="EYW44" s="468"/>
      <c r="EYX44" s="468"/>
      <c r="EYY44" s="468"/>
      <c r="EYZ44" s="468"/>
      <c r="EZA44" s="468"/>
      <c r="EZB44" s="468"/>
      <c r="EZC44" s="468"/>
      <c r="EZD44" s="468"/>
      <c r="EZE44" s="468"/>
      <c r="EZF44" s="468"/>
      <c r="EZG44" s="468"/>
      <c r="EZH44" s="468"/>
      <c r="EZI44" s="468"/>
      <c r="EZJ44" s="468"/>
      <c r="EZK44" s="468"/>
      <c r="EZL44" s="468"/>
      <c r="EZM44" s="468"/>
      <c r="EZN44" s="468"/>
      <c r="EZO44" s="468"/>
      <c r="EZP44" s="468"/>
      <c r="EZQ44" s="468"/>
      <c r="EZR44" s="468"/>
      <c r="EZS44" s="468"/>
      <c r="EZT44" s="468"/>
      <c r="EZU44" s="468"/>
      <c r="EZV44" s="468"/>
      <c r="EZW44" s="468"/>
      <c r="EZX44" s="468"/>
      <c r="EZY44" s="468"/>
      <c r="EZZ44" s="468"/>
      <c r="FAA44" s="468"/>
      <c r="FAB44" s="468"/>
      <c r="FAC44" s="468"/>
      <c r="FAD44" s="468"/>
      <c r="FAE44" s="468"/>
      <c r="FAF44" s="468"/>
      <c r="FAG44" s="468"/>
      <c r="FAH44" s="468"/>
      <c r="FAI44" s="468"/>
      <c r="FAJ44" s="468"/>
      <c r="FAK44" s="468"/>
      <c r="FAL44" s="468"/>
      <c r="FAM44" s="468"/>
      <c r="FAN44" s="468"/>
      <c r="FAO44" s="468"/>
      <c r="FAP44" s="468"/>
      <c r="FAQ44" s="468"/>
      <c r="FAR44" s="468"/>
      <c r="FAS44" s="468"/>
      <c r="FAT44" s="468"/>
      <c r="FAU44" s="468"/>
      <c r="FAV44" s="468"/>
      <c r="FAW44" s="468"/>
      <c r="FAX44" s="468"/>
      <c r="FAY44" s="468"/>
      <c r="FAZ44" s="468"/>
      <c r="FBA44" s="468"/>
      <c r="FBB44" s="468"/>
      <c r="FBC44" s="468"/>
      <c r="FBD44" s="468"/>
      <c r="FBE44" s="468"/>
      <c r="FBF44" s="468"/>
      <c r="FBG44" s="468"/>
      <c r="FBH44" s="468"/>
      <c r="FBI44" s="468"/>
      <c r="FBJ44" s="468"/>
      <c r="FBK44" s="468"/>
      <c r="FBL44" s="468"/>
      <c r="FBM44" s="468"/>
      <c r="FBN44" s="468"/>
      <c r="FBO44" s="468"/>
      <c r="FBP44" s="468"/>
      <c r="FBQ44" s="468"/>
      <c r="FBR44" s="468"/>
      <c r="FBS44" s="468"/>
      <c r="FBT44" s="468"/>
      <c r="FBU44" s="468"/>
      <c r="FBV44" s="468"/>
      <c r="FBW44" s="468"/>
      <c r="FBX44" s="468"/>
      <c r="FBY44" s="468"/>
      <c r="FBZ44" s="468"/>
      <c r="FCA44" s="468"/>
      <c r="FCB44" s="468"/>
      <c r="FCC44" s="468"/>
      <c r="FCD44" s="468"/>
      <c r="FCE44" s="468"/>
      <c r="FCF44" s="468"/>
      <c r="FCG44" s="468"/>
      <c r="FCH44" s="468"/>
      <c r="FCI44" s="468"/>
      <c r="FCJ44" s="468"/>
      <c r="FCK44" s="468"/>
      <c r="FCL44" s="468"/>
      <c r="FCM44" s="468"/>
      <c r="FCN44" s="468"/>
      <c r="FCO44" s="468"/>
      <c r="FCP44" s="468"/>
      <c r="FCQ44" s="468"/>
      <c r="FCR44" s="468"/>
      <c r="FCS44" s="468"/>
      <c r="FCT44" s="468"/>
      <c r="FCU44" s="468"/>
      <c r="FCV44" s="468"/>
      <c r="FCW44" s="468"/>
      <c r="FCX44" s="468"/>
      <c r="FCY44" s="468"/>
      <c r="FCZ44" s="468"/>
      <c r="FDA44" s="468"/>
      <c r="FDB44" s="468"/>
      <c r="FDC44" s="468"/>
      <c r="FDD44" s="468"/>
      <c r="FDE44" s="468"/>
      <c r="FDF44" s="468"/>
      <c r="FDG44" s="468"/>
      <c r="FDH44" s="468"/>
      <c r="FDI44" s="468"/>
      <c r="FDJ44" s="468"/>
      <c r="FDK44" s="468"/>
      <c r="FDL44" s="468"/>
      <c r="FDM44" s="468"/>
      <c r="FDN44" s="468"/>
      <c r="FDO44" s="468"/>
      <c r="FDP44" s="468"/>
      <c r="FDQ44" s="468"/>
      <c r="FDR44" s="468"/>
      <c r="FDS44" s="468"/>
      <c r="FDT44" s="468"/>
      <c r="FDU44" s="468"/>
      <c r="FDV44" s="468"/>
      <c r="FDW44" s="468"/>
      <c r="FDX44" s="468"/>
      <c r="FDY44" s="468"/>
      <c r="FDZ44" s="468"/>
      <c r="FEA44" s="468"/>
      <c r="FEB44" s="468"/>
      <c r="FEC44" s="468"/>
      <c r="FED44" s="468"/>
      <c r="FEE44" s="468"/>
      <c r="FEF44" s="468"/>
      <c r="FEG44" s="468"/>
      <c r="FEH44" s="468"/>
      <c r="FEI44" s="468"/>
      <c r="FEJ44" s="468"/>
      <c r="FEK44" s="468"/>
      <c r="FEL44" s="468"/>
      <c r="FEM44" s="468"/>
      <c r="FEN44" s="468"/>
      <c r="FEO44" s="468"/>
      <c r="FEP44" s="468"/>
      <c r="FEQ44" s="468"/>
      <c r="FER44" s="468"/>
      <c r="FES44" s="468"/>
      <c r="FET44" s="468"/>
      <c r="FEU44" s="468"/>
      <c r="FEV44" s="468"/>
      <c r="FEW44" s="468"/>
      <c r="FEX44" s="468"/>
      <c r="FEY44" s="468"/>
      <c r="FEZ44" s="468"/>
      <c r="FFA44" s="468"/>
      <c r="FFB44" s="468"/>
      <c r="FFC44" s="468"/>
      <c r="FFD44" s="468"/>
      <c r="FFE44" s="468"/>
      <c r="FFF44" s="468"/>
      <c r="FFG44" s="468"/>
      <c r="FFH44" s="468"/>
      <c r="FFI44" s="468"/>
      <c r="FFJ44" s="468"/>
      <c r="FFK44" s="468"/>
      <c r="FFL44" s="468"/>
      <c r="FFM44" s="468"/>
      <c r="FFN44" s="468"/>
      <c r="FFO44" s="468"/>
      <c r="FFP44" s="468"/>
      <c r="FFQ44" s="468"/>
      <c r="FFR44" s="468"/>
      <c r="FFS44" s="468"/>
      <c r="FFT44" s="468"/>
      <c r="FFU44" s="468"/>
      <c r="FFV44" s="468"/>
      <c r="FFW44" s="468"/>
      <c r="FFX44" s="468"/>
      <c r="FFY44" s="468"/>
      <c r="FFZ44" s="468"/>
      <c r="FGA44" s="468"/>
      <c r="FGB44" s="468"/>
      <c r="FGC44" s="468"/>
      <c r="FGD44" s="468"/>
      <c r="FGE44" s="468"/>
      <c r="FGF44" s="468"/>
      <c r="FGG44" s="468"/>
      <c r="FGH44" s="468"/>
      <c r="FGI44" s="468"/>
      <c r="FGJ44" s="468"/>
      <c r="FGK44" s="468"/>
      <c r="FGL44" s="468"/>
      <c r="FGM44" s="468"/>
      <c r="FGN44" s="468"/>
      <c r="FGO44" s="468"/>
      <c r="FGP44" s="468"/>
      <c r="FGQ44" s="468"/>
      <c r="FGR44" s="468"/>
      <c r="FGS44" s="468"/>
      <c r="FGT44" s="468"/>
      <c r="FGU44" s="468"/>
      <c r="FGV44" s="468"/>
      <c r="FGW44" s="468"/>
      <c r="FGX44" s="468"/>
      <c r="FGY44" s="468"/>
      <c r="FGZ44" s="468"/>
      <c r="FHA44" s="468"/>
      <c r="FHB44" s="468"/>
      <c r="FHC44" s="468"/>
      <c r="FHD44" s="468"/>
      <c r="FHE44" s="468"/>
      <c r="FHF44" s="468"/>
      <c r="FHG44" s="468"/>
      <c r="FHH44" s="468"/>
      <c r="FHI44" s="468"/>
      <c r="FHJ44" s="468"/>
      <c r="FHK44" s="468"/>
      <c r="FHL44" s="468"/>
      <c r="FHM44" s="468"/>
      <c r="FHN44" s="468"/>
      <c r="FHO44" s="468"/>
      <c r="FHP44" s="468"/>
      <c r="FHQ44" s="468"/>
      <c r="FHR44" s="468"/>
      <c r="FHS44" s="468"/>
      <c r="FHT44" s="468"/>
      <c r="FHU44" s="468"/>
      <c r="FHV44" s="468"/>
      <c r="FHW44" s="468"/>
      <c r="FHX44" s="468"/>
      <c r="FHY44" s="468"/>
      <c r="FHZ44" s="468"/>
      <c r="FIA44" s="468"/>
      <c r="FIB44" s="468"/>
      <c r="FIC44" s="468"/>
      <c r="FID44" s="468"/>
      <c r="FIE44" s="468"/>
      <c r="FIF44" s="468"/>
      <c r="FIG44" s="468"/>
      <c r="FIH44" s="468"/>
      <c r="FII44" s="468"/>
      <c r="FIJ44" s="468"/>
      <c r="FIK44" s="468"/>
      <c r="FIL44" s="468"/>
      <c r="FIM44" s="468"/>
      <c r="FIN44" s="468"/>
      <c r="FIO44" s="468"/>
      <c r="FIP44" s="468"/>
      <c r="FIQ44" s="468"/>
      <c r="FIR44" s="468"/>
      <c r="FIS44" s="468"/>
      <c r="FIT44" s="468"/>
      <c r="FIU44" s="468"/>
      <c r="FIV44" s="468"/>
      <c r="FIW44" s="468"/>
      <c r="FIX44" s="468"/>
      <c r="FIY44" s="468"/>
      <c r="FIZ44" s="468"/>
      <c r="FJA44" s="468"/>
      <c r="FJB44" s="468"/>
      <c r="FJC44" s="468"/>
      <c r="FJD44" s="468"/>
      <c r="FJE44" s="468"/>
      <c r="FJF44" s="468"/>
      <c r="FJG44" s="468"/>
      <c r="FJH44" s="468"/>
      <c r="FJI44" s="468"/>
      <c r="FJJ44" s="468"/>
      <c r="FJK44" s="468"/>
      <c r="FJL44" s="468"/>
      <c r="FJM44" s="468"/>
      <c r="FJN44" s="468"/>
      <c r="FJO44" s="468"/>
      <c r="FJP44" s="468"/>
      <c r="FJQ44" s="468"/>
      <c r="FJR44" s="468"/>
      <c r="FJS44" s="468"/>
      <c r="FJT44" s="468"/>
      <c r="FJU44" s="468"/>
      <c r="FJV44" s="468"/>
      <c r="FJW44" s="468"/>
      <c r="FJX44" s="468"/>
      <c r="FJY44" s="468"/>
      <c r="FJZ44" s="468"/>
      <c r="FKA44" s="468"/>
      <c r="FKB44" s="468"/>
      <c r="FKC44" s="468"/>
      <c r="FKD44" s="468"/>
      <c r="FKE44" s="468"/>
      <c r="FKF44" s="468"/>
      <c r="FKG44" s="468"/>
      <c r="FKH44" s="468"/>
      <c r="FKI44" s="468"/>
      <c r="FKJ44" s="468"/>
      <c r="FKK44" s="468"/>
      <c r="FKL44" s="468"/>
      <c r="FKM44" s="468"/>
      <c r="FKN44" s="468"/>
      <c r="FKO44" s="468"/>
      <c r="FKP44" s="468"/>
      <c r="FKQ44" s="468"/>
      <c r="FKR44" s="468"/>
      <c r="FKS44" s="468"/>
      <c r="FKT44" s="468"/>
      <c r="FKU44" s="468"/>
      <c r="FKV44" s="468"/>
      <c r="FKW44" s="468"/>
      <c r="FKX44" s="468"/>
      <c r="FKY44" s="468"/>
      <c r="FKZ44" s="468"/>
      <c r="FLA44" s="468"/>
      <c r="FLB44" s="468"/>
      <c r="FLC44" s="468"/>
      <c r="FLD44" s="468"/>
      <c r="FLE44" s="468"/>
      <c r="FLF44" s="468"/>
      <c r="FLG44" s="468"/>
      <c r="FLH44" s="468"/>
      <c r="FLI44" s="468"/>
      <c r="FLJ44" s="468"/>
      <c r="FLK44" s="468"/>
      <c r="FLL44" s="468"/>
      <c r="FLM44" s="468"/>
      <c r="FLN44" s="468"/>
      <c r="FLO44" s="468"/>
      <c r="FLP44" s="468"/>
      <c r="FLQ44" s="468"/>
      <c r="FLR44" s="468"/>
      <c r="FLS44" s="468"/>
      <c r="FLT44" s="468"/>
      <c r="FLU44" s="468"/>
      <c r="FLV44" s="468"/>
      <c r="FLW44" s="468"/>
      <c r="FLX44" s="468"/>
      <c r="FLY44" s="468"/>
      <c r="FLZ44" s="468"/>
      <c r="FMA44" s="468"/>
      <c r="FMB44" s="468"/>
      <c r="FMC44" s="468"/>
      <c r="FMD44" s="468"/>
      <c r="FME44" s="468"/>
      <c r="FMF44" s="468"/>
      <c r="FMG44" s="468"/>
      <c r="FMH44" s="468"/>
      <c r="FMI44" s="468"/>
      <c r="FMJ44" s="468"/>
      <c r="FMK44" s="468"/>
      <c r="FML44" s="468"/>
      <c r="FMM44" s="468"/>
      <c r="FMN44" s="468"/>
      <c r="FMO44" s="468"/>
      <c r="FMP44" s="468"/>
      <c r="FMQ44" s="468"/>
      <c r="FMR44" s="468"/>
      <c r="FMS44" s="468"/>
      <c r="FMT44" s="468"/>
      <c r="FMU44" s="468"/>
      <c r="FMV44" s="468"/>
      <c r="FMW44" s="468"/>
      <c r="FMX44" s="468"/>
      <c r="FMY44" s="468"/>
      <c r="FMZ44" s="468"/>
      <c r="FNA44" s="468"/>
      <c r="FNB44" s="468"/>
      <c r="FNC44" s="468"/>
      <c r="FND44" s="468"/>
      <c r="FNE44" s="468"/>
      <c r="FNF44" s="468"/>
      <c r="FNG44" s="468"/>
      <c r="FNH44" s="468"/>
      <c r="FNI44" s="468"/>
      <c r="FNJ44" s="468"/>
      <c r="FNK44" s="468"/>
      <c r="FNL44" s="468"/>
      <c r="FNM44" s="468"/>
      <c r="FNN44" s="468"/>
      <c r="FNO44" s="468"/>
      <c r="FNP44" s="468"/>
      <c r="FNQ44" s="468"/>
      <c r="FNR44" s="468"/>
      <c r="FNS44" s="468"/>
      <c r="FNT44" s="468"/>
      <c r="FNU44" s="468"/>
      <c r="FNV44" s="468"/>
      <c r="FNW44" s="468"/>
      <c r="FNX44" s="468"/>
      <c r="FNY44" s="468"/>
      <c r="FNZ44" s="468"/>
      <c r="FOA44" s="468"/>
      <c r="FOB44" s="468"/>
      <c r="FOC44" s="468"/>
      <c r="FOD44" s="468"/>
      <c r="FOE44" s="468"/>
      <c r="FOF44" s="468"/>
      <c r="FOG44" s="468"/>
      <c r="FOH44" s="468"/>
      <c r="FOI44" s="468"/>
      <c r="FOJ44" s="468"/>
      <c r="FOK44" s="468"/>
      <c r="FOL44" s="468"/>
      <c r="FOM44" s="468"/>
      <c r="FON44" s="468"/>
      <c r="FOO44" s="468"/>
      <c r="FOP44" s="468"/>
      <c r="FOQ44" s="468"/>
      <c r="FOR44" s="468"/>
      <c r="FOS44" s="468"/>
      <c r="FOT44" s="468"/>
      <c r="FOU44" s="468"/>
      <c r="FOV44" s="468"/>
      <c r="FOW44" s="468"/>
      <c r="FOX44" s="468"/>
      <c r="FOY44" s="468"/>
      <c r="FOZ44" s="468"/>
      <c r="FPA44" s="468"/>
      <c r="FPB44" s="468"/>
      <c r="FPC44" s="468"/>
      <c r="FPD44" s="468"/>
      <c r="FPE44" s="468"/>
      <c r="FPF44" s="468"/>
      <c r="FPG44" s="468"/>
      <c r="FPH44" s="468"/>
      <c r="FPI44" s="468"/>
      <c r="FPJ44" s="468"/>
      <c r="FPK44" s="468"/>
      <c r="FPL44" s="468"/>
      <c r="FPM44" s="468"/>
      <c r="FPN44" s="468"/>
      <c r="FPO44" s="468"/>
      <c r="FPP44" s="468"/>
      <c r="FPQ44" s="468"/>
      <c r="FPR44" s="468"/>
      <c r="FPS44" s="468"/>
      <c r="FPT44" s="468"/>
      <c r="FPU44" s="468"/>
      <c r="FPV44" s="468"/>
      <c r="FPW44" s="468"/>
      <c r="FPX44" s="468"/>
      <c r="FPY44" s="468"/>
      <c r="FPZ44" s="468"/>
      <c r="FQA44" s="468"/>
      <c r="FQB44" s="468"/>
      <c r="FQC44" s="468"/>
      <c r="FQD44" s="468"/>
      <c r="FQE44" s="468"/>
      <c r="FQF44" s="468"/>
      <c r="FQG44" s="468"/>
      <c r="FQH44" s="468"/>
      <c r="FQI44" s="468"/>
      <c r="FQJ44" s="468"/>
      <c r="FQK44" s="468"/>
      <c r="FQL44" s="468"/>
      <c r="FQM44" s="468"/>
      <c r="FQN44" s="468"/>
      <c r="FQO44" s="468"/>
      <c r="FQP44" s="468"/>
      <c r="FQQ44" s="468"/>
      <c r="FQR44" s="468"/>
      <c r="FQS44" s="468"/>
      <c r="FQT44" s="468"/>
      <c r="FQU44" s="468"/>
      <c r="FQV44" s="468"/>
      <c r="FQW44" s="468"/>
      <c r="FQX44" s="468"/>
      <c r="FQY44" s="468"/>
      <c r="FQZ44" s="468"/>
      <c r="FRA44" s="468"/>
      <c r="FRB44" s="468"/>
      <c r="FRC44" s="468"/>
      <c r="FRD44" s="468"/>
      <c r="FRE44" s="468"/>
      <c r="FRF44" s="468"/>
      <c r="FRG44" s="468"/>
      <c r="FRH44" s="468"/>
      <c r="FRI44" s="468"/>
      <c r="FRJ44" s="468"/>
      <c r="FRK44" s="468"/>
      <c r="FRL44" s="468"/>
      <c r="FRM44" s="468"/>
      <c r="FRN44" s="468"/>
      <c r="FRO44" s="468"/>
      <c r="FRP44" s="468"/>
      <c r="FRQ44" s="468"/>
      <c r="FRR44" s="468"/>
      <c r="FRS44" s="468"/>
      <c r="FRT44" s="468"/>
      <c r="FRU44" s="468"/>
      <c r="FRV44" s="468"/>
      <c r="FRW44" s="468"/>
      <c r="FRX44" s="468"/>
      <c r="FRY44" s="468"/>
      <c r="FRZ44" s="468"/>
      <c r="FSA44" s="468"/>
      <c r="FSB44" s="468"/>
      <c r="FSC44" s="468"/>
      <c r="FSD44" s="468"/>
      <c r="FSE44" s="468"/>
      <c r="FSF44" s="468"/>
      <c r="FSG44" s="468"/>
      <c r="FSH44" s="468"/>
      <c r="FSI44" s="468"/>
      <c r="FSJ44" s="468"/>
      <c r="FSK44" s="468"/>
      <c r="FSL44" s="468"/>
      <c r="FSM44" s="468"/>
      <c r="FSN44" s="468"/>
      <c r="FSO44" s="468"/>
      <c r="FSP44" s="468"/>
      <c r="FSQ44" s="468"/>
      <c r="FSR44" s="468"/>
      <c r="FSS44" s="468"/>
      <c r="FST44" s="468"/>
      <c r="FSU44" s="468"/>
      <c r="FSV44" s="468"/>
      <c r="FSW44" s="468"/>
      <c r="FSX44" s="468"/>
      <c r="FSY44" s="468"/>
      <c r="FSZ44" s="468"/>
      <c r="FTA44" s="468"/>
      <c r="FTB44" s="468"/>
      <c r="FTC44" s="468"/>
      <c r="FTD44" s="468"/>
      <c r="FTE44" s="468"/>
      <c r="FTF44" s="468"/>
      <c r="FTG44" s="468"/>
      <c r="FTH44" s="468"/>
      <c r="FTI44" s="468"/>
      <c r="FTJ44" s="468"/>
      <c r="FTK44" s="468"/>
      <c r="FTL44" s="468"/>
      <c r="FTM44" s="468"/>
      <c r="FTN44" s="468"/>
      <c r="FTO44" s="468"/>
      <c r="FTP44" s="468"/>
      <c r="FTQ44" s="468"/>
      <c r="FTR44" s="468"/>
      <c r="FTS44" s="468"/>
      <c r="FTT44" s="468"/>
      <c r="FTU44" s="468"/>
      <c r="FTV44" s="468"/>
      <c r="FTW44" s="468"/>
      <c r="FTX44" s="468"/>
      <c r="FTY44" s="468"/>
      <c r="FTZ44" s="468"/>
      <c r="FUA44" s="468"/>
      <c r="FUB44" s="468"/>
      <c r="FUC44" s="468"/>
      <c r="FUD44" s="468"/>
      <c r="FUE44" s="468"/>
      <c r="FUF44" s="468"/>
      <c r="FUG44" s="468"/>
      <c r="FUH44" s="468"/>
      <c r="FUI44" s="468"/>
      <c r="FUJ44" s="468"/>
      <c r="FUK44" s="468"/>
      <c r="FUL44" s="468"/>
      <c r="FUM44" s="468"/>
      <c r="FUN44" s="468"/>
      <c r="FUO44" s="468"/>
      <c r="FUP44" s="468"/>
      <c r="FUQ44" s="468"/>
      <c r="FUR44" s="468"/>
      <c r="FUS44" s="468"/>
      <c r="FUT44" s="468"/>
      <c r="FUU44" s="468"/>
      <c r="FUV44" s="468"/>
      <c r="FUW44" s="468"/>
      <c r="FUX44" s="468"/>
      <c r="FUY44" s="468"/>
      <c r="FUZ44" s="468"/>
      <c r="FVA44" s="468"/>
      <c r="FVB44" s="468"/>
      <c r="FVC44" s="468"/>
      <c r="FVD44" s="468"/>
      <c r="FVE44" s="468"/>
      <c r="FVF44" s="468"/>
      <c r="FVG44" s="468"/>
      <c r="FVH44" s="468"/>
      <c r="FVI44" s="468"/>
      <c r="FVJ44" s="468"/>
      <c r="FVK44" s="468"/>
      <c r="FVL44" s="468"/>
      <c r="FVM44" s="468"/>
      <c r="FVN44" s="468"/>
      <c r="FVO44" s="468"/>
      <c r="FVP44" s="468"/>
      <c r="FVQ44" s="468"/>
      <c r="FVR44" s="468"/>
      <c r="FVS44" s="468"/>
      <c r="FVT44" s="468"/>
      <c r="FVU44" s="468"/>
      <c r="FVV44" s="468"/>
      <c r="FVW44" s="468"/>
      <c r="FVX44" s="468"/>
      <c r="FVY44" s="468"/>
      <c r="FVZ44" s="468"/>
      <c r="FWA44" s="468"/>
      <c r="FWB44" s="468"/>
      <c r="FWC44" s="468"/>
      <c r="FWD44" s="468"/>
      <c r="FWE44" s="468"/>
      <c r="FWF44" s="468"/>
      <c r="FWG44" s="468"/>
      <c r="FWH44" s="468"/>
      <c r="FWI44" s="468"/>
      <c r="FWJ44" s="468"/>
      <c r="FWK44" s="468"/>
      <c r="FWL44" s="468"/>
      <c r="FWM44" s="468"/>
      <c r="FWN44" s="468"/>
      <c r="FWO44" s="468"/>
      <c r="FWP44" s="468"/>
      <c r="FWQ44" s="468"/>
      <c r="FWR44" s="468"/>
      <c r="FWS44" s="468"/>
      <c r="FWT44" s="468"/>
      <c r="FWU44" s="468"/>
      <c r="FWV44" s="468"/>
      <c r="FWW44" s="468"/>
      <c r="FWX44" s="468"/>
      <c r="FWY44" s="468"/>
      <c r="FWZ44" s="468"/>
      <c r="FXA44" s="468"/>
      <c r="FXB44" s="468"/>
      <c r="FXC44" s="468"/>
      <c r="FXD44" s="468"/>
      <c r="FXE44" s="468"/>
      <c r="FXF44" s="468"/>
      <c r="FXG44" s="468"/>
      <c r="FXH44" s="468"/>
      <c r="FXI44" s="468"/>
      <c r="FXJ44" s="468"/>
      <c r="FXK44" s="468"/>
      <c r="FXL44" s="468"/>
      <c r="FXM44" s="468"/>
      <c r="FXN44" s="468"/>
      <c r="FXO44" s="468"/>
      <c r="FXP44" s="468"/>
      <c r="FXQ44" s="468"/>
      <c r="FXR44" s="468"/>
      <c r="FXS44" s="468"/>
      <c r="FXT44" s="468"/>
      <c r="FXU44" s="468"/>
      <c r="FXV44" s="468"/>
      <c r="FXW44" s="468"/>
      <c r="FXX44" s="468"/>
      <c r="FXY44" s="468"/>
      <c r="FXZ44" s="468"/>
      <c r="FYA44" s="468"/>
      <c r="FYB44" s="468"/>
      <c r="FYC44" s="468"/>
      <c r="FYD44" s="468"/>
      <c r="FYE44" s="468"/>
      <c r="FYF44" s="468"/>
      <c r="FYG44" s="468"/>
      <c r="FYH44" s="468"/>
      <c r="FYI44" s="468"/>
      <c r="FYJ44" s="468"/>
      <c r="FYK44" s="468"/>
      <c r="FYL44" s="468"/>
      <c r="FYM44" s="468"/>
      <c r="FYN44" s="468"/>
      <c r="FYO44" s="468"/>
      <c r="FYP44" s="468"/>
      <c r="FYQ44" s="468"/>
      <c r="FYR44" s="468"/>
      <c r="FYS44" s="468"/>
      <c r="FYT44" s="468"/>
      <c r="FYU44" s="468"/>
      <c r="FYV44" s="468"/>
      <c r="FYW44" s="468"/>
      <c r="FYX44" s="468"/>
      <c r="FYY44" s="468"/>
      <c r="FYZ44" s="468"/>
      <c r="FZA44" s="468"/>
      <c r="FZB44" s="468"/>
      <c r="FZC44" s="468"/>
      <c r="FZD44" s="468"/>
      <c r="FZE44" s="468"/>
      <c r="FZF44" s="468"/>
      <c r="FZG44" s="468"/>
      <c r="FZH44" s="468"/>
      <c r="FZI44" s="468"/>
      <c r="FZJ44" s="468"/>
      <c r="FZK44" s="468"/>
      <c r="FZL44" s="468"/>
      <c r="FZM44" s="468"/>
      <c r="FZN44" s="468"/>
      <c r="FZO44" s="468"/>
      <c r="FZP44" s="468"/>
      <c r="FZQ44" s="468"/>
      <c r="FZR44" s="468"/>
      <c r="FZS44" s="468"/>
      <c r="FZT44" s="468"/>
      <c r="FZU44" s="468"/>
      <c r="FZV44" s="468"/>
      <c r="FZW44" s="468"/>
      <c r="FZX44" s="468"/>
      <c r="FZY44" s="468"/>
      <c r="FZZ44" s="468"/>
      <c r="GAA44" s="468"/>
      <c r="GAB44" s="468"/>
      <c r="GAC44" s="468"/>
      <c r="GAD44" s="468"/>
      <c r="GAE44" s="468"/>
      <c r="GAF44" s="468"/>
      <c r="GAG44" s="468"/>
      <c r="GAH44" s="468"/>
      <c r="GAI44" s="468"/>
      <c r="GAJ44" s="468"/>
      <c r="GAK44" s="468"/>
      <c r="GAL44" s="468"/>
      <c r="GAM44" s="468"/>
      <c r="GAN44" s="468"/>
      <c r="GAO44" s="468"/>
      <c r="GAP44" s="468"/>
      <c r="GAQ44" s="468"/>
      <c r="GAR44" s="468"/>
      <c r="GAS44" s="468"/>
      <c r="GAT44" s="468"/>
      <c r="GAU44" s="468"/>
      <c r="GAV44" s="468"/>
      <c r="GAW44" s="468"/>
      <c r="GAX44" s="468"/>
      <c r="GAY44" s="468"/>
      <c r="GAZ44" s="468"/>
      <c r="GBA44" s="468"/>
      <c r="GBB44" s="468"/>
      <c r="GBC44" s="468"/>
      <c r="GBD44" s="468"/>
      <c r="GBE44" s="468"/>
      <c r="GBF44" s="468"/>
      <c r="GBG44" s="468"/>
      <c r="GBH44" s="468"/>
      <c r="GBI44" s="468"/>
      <c r="GBJ44" s="468"/>
      <c r="GBK44" s="468"/>
      <c r="GBL44" s="468"/>
      <c r="GBM44" s="468"/>
      <c r="GBN44" s="468"/>
      <c r="GBO44" s="468"/>
      <c r="GBP44" s="468"/>
      <c r="GBQ44" s="468"/>
      <c r="GBR44" s="468"/>
      <c r="GBS44" s="468"/>
      <c r="GBT44" s="468"/>
      <c r="GBU44" s="468"/>
      <c r="GBV44" s="468"/>
      <c r="GBW44" s="468"/>
      <c r="GBX44" s="468"/>
      <c r="GBY44" s="468"/>
      <c r="GBZ44" s="468"/>
      <c r="GCA44" s="468"/>
      <c r="GCB44" s="468"/>
      <c r="GCC44" s="468"/>
      <c r="GCD44" s="468"/>
      <c r="GCE44" s="468"/>
      <c r="GCF44" s="468"/>
      <c r="GCG44" s="468"/>
      <c r="GCH44" s="468"/>
      <c r="GCI44" s="468"/>
      <c r="GCJ44" s="468"/>
      <c r="GCK44" s="468"/>
      <c r="GCL44" s="468"/>
      <c r="GCM44" s="468"/>
      <c r="GCN44" s="468"/>
      <c r="GCO44" s="468"/>
      <c r="GCP44" s="468"/>
      <c r="GCQ44" s="468"/>
      <c r="GCR44" s="468"/>
      <c r="GCS44" s="468"/>
      <c r="GCT44" s="468"/>
      <c r="GCU44" s="468"/>
      <c r="GCV44" s="468"/>
      <c r="GCW44" s="468"/>
      <c r="GCX44" s="468"/>
      <c r="GCY44" s="468"/>
      <c r="GCZ44" s="468"/>
      <c r="GDA44" s="468"/>
      <c r="GDB44" s="468"/>
      <c r="GDC44" s="468"/>
      <c r="GDD44" s="468"/>
      <c r="GDE44" s="468"/>
      <c r="GDF44" s="468"/>
      <c r="GDG44" s="468"/>
      <c r="GDH44" s="468"/>
      <c r="GDI44" s="468"/>
      <c r="GDJ44" s="468"/>
      <c r="GDK44" s="468"/>
      <c r="GDL44" s="468"/>
      <c r="GDM44" s="468"/>
      <c r="GDN44" s="468"/>
      <c r="GDO44" s="468"/>
      <c r="GDP44" s="468"/>
      <c r="GDQ44" s="468"/>
      <c r="GDR44" s="468"/>
      <c r="GDS44" s="468"/>
      <c r="GDT44" s="468"/>
      <c r="GDU44" s="468"/>
      <c r="GDV44" s="468"/>
      <c r="GDW44" s="468"/>
      <c r="GDX44" s="468"/>
      <c r="GDY44" s="468"/>
      <c r="GDZ44" s="468"/>
      <c r="GEA44" s="468"/>
      <c r="GEB44" s="468"/>
      <c r="GEC44" s="468"/>
      <c r="GED44" s="468"/>
      <c r="GEE44" s="468"/>
      <c r="GEF44" s="468"/>
      <c r="GEG44" s="468"/>
      <c r="GEH44" s="468"/>
      <c r="GEI44" s="468"/>
      <c r="GEJ44" s="468"/>
      <c r="GEK44" s="468"/>
      <c r="GEL44" s="468"/>
      <c r="GEM44" s="468"/>
      <c r="GEN44" s="468"/>
      <c r="GEO44" s="468"/>
      <c r="GEP44" s="468"/>
      <c r="GEQ44" s="468"/>
      <c r="GER44" s="468"/>
      <c r="GES44" s="468"/>
      <c r="GET44" s="468"/>
      <c r="GEU44" s="468"/>
      <c r="GEV44" s="468"/>
      <c r="GEW44" s="468"/>
      <c r="GEX44" s="468"/>
      <c r="GEY44" s="468"/>
      <c r="GEZ44" s="468"/>
      <c r="GFA44" s="468"/>
      <c r="GFB44" s="468"/>
      <c r="GFC44" s="468"/>
      <c r="GFD44" s="468"/>
      <c r="GFE44" s="468"/>
      <c r="GFF44" s="468"/>
      <c r="GFG44" s="468"/>
      <c r="GFH44" s="468"/>
      <c r="GFI44" s="468"/>
      <c r="GFJ44" s="468"/>
      <c r="GFK44" s="468"/>
      <c r="GFL44" s="468"/>
      <c r="GFM44" s="468"/>
      <c r="GFN44" s="468"/>
      <c r="GFO44" s="468"/>
      <c r="GFP44" s="468"/>
      <c r="GFQ44" s="468"/>
      <c r="GFR44" s="468"/>
      <c r="GFS44" s="468"/>
      <c r="GFT44" s="468"/>
      <c r="GFU44" s="468"/>
      <c r="GFV44" s="468"/>
      <c r="GFW44" s="468"/>
      <c r="GFX44" s="468"/>
      <c r="GFY44" s="468"/>
      <c r="GFZ44" s="468"/>
      <c r="GGA44" s="468"/>
      <c r="GGB44" s="468"/>
      <c r="GGC44" s="468"/>
      <c r="GGD44" s="468"/>
      <c r="GGE44" s="468"/>
      <c r="GGF44" s="468"/>
      <c r="GGG44" s="468"/>
      <c r="GGH44" s="468"/>
      <c r="GGI44" s="468"/>
      <c r="GGJ44" s="468"/>
      <c r="GGK44" s="468"/>
      <c r="GGL44" s="468"/>
      <c r="GGM44" s="468"/>
      <c r="GGN44" s="468"/>
      <c r="GGO44" s="468"/>
      <c r="GGP44" s="468"/>
      <c r="GGQ44" s="468"/>
      <c r="GGR44" s="468"/>
      <c r="GGS44" s="468"/>
      <c r="GGT44" s="468"/>
      <c r="GGU44" s="468"/>
      <c r="GGV44" s="468"/>
      <c r="GGW44" s="468"/>
      <c r="GGX44" s="468"/>
      <c r="GGY44" s="468"/>
      <c r="GGZ44" s="468"/>
      <c r="GHA44" s="468"/>
      <c r="GHB44" s="468"/>
      <c r="GHC44" s="468"/>
      <c r="GHD44" s="468"/>
      <c r="GHE44" s="468"/>
      <c r="GHF44" s="468"/>
      <c r="GHG44" s="468"/>
      <c r="GHH44" s="468"/>
      <c r="GHI44" s="468"/>
      <c r="GHJ44" s="468"/>
      <c r="GHK44" s="468"/>
      <c r="GHL44" s="468"/>
      <c r="GHM44" s="468"/>
      <c r="GHN44" s="468"/>
      <c r="GHO44" s="468"/>
      <c r="GHP44" s="468"/>
      <c r="GHQ44" s="468"/>
      <c r="GHR44" s="468"/>
      <c r="GHS44" s="468"/>
      <c r="GHT44" s="468"/>
      <c r="GHU44" s="468"/>
      <c r="GHV44" s="468"/>
      <c r="GHW44" s="468"/>
      <c r="GHX44" s="468"/>
      <c r="GHY44" s="468"/>
      <c r="GHZ44" s="468"/>
      <c r="GIA44" s="468"/>
      <c r="GIB44" s="468"/>
      <c r="GIC44" s="468"/>
      <c r="GID44" s="468"/>
      <c r="GIE44" s="468"/>
      <c r="GIF44" s="468"/>
      <c r="GIG44" s="468"/>
      <c r="GIH44" s="468"/>
      <c r="GII44" s="468"/>
      <c r="GIJ44" s="468"/>
      <c r="GIK44" s="468"/>
      <c r="GIL44" s="468"/>
      <c r="GIM44" s="468"/>
      <c r="GIN44" s="468"/>
      <c r="GIO44" s="468"/>
      <c r="GIP44" s="468"/>
      <c r="GIQ44" s="468"/>
      <c r="GIR44" s="468"/>
      <c r="GIS44" s="468"/>
      <c r="GIT44" s="468"/>
      <c r="GIU44" s="468"/>
      <c r="GIV44" s="468"/>
      <c r="GIW44" s="468"/>
      <c r="GIX44" s="468"/>
      <c r="GIY44" s="468"/>
      <c r="GIZ44" s="468"/>
      <c r="GJA44" s="468"/>
      <c r="GJB44" s="468"/>
      <c r="GJC44" s="468"/>
      <c r="GJD44" s="468"/>
      <c r="GJE44" s="468"/>
      <c r="GJF44" s="468"/>
      <c r="GJG44" s="468"/>
      <c r="GJH44" s="468"/>
      <c r="GJI44" s="468"/>
      <c r="GJJ44" s="468"/>
      <c r="GJK44" s="468"/>
      <c r="GJL44" s="468"/>
      <c r="GJM44" s="468"/>
      <c r="GJN44" s="468"/>
      <c r="GJO44" s="468"/>
      <c r="GJP44" s="468"/>
      <c r="GJQ44" s="468"/>
      <c r="GJR44" s="468"/>
      <c r="GJS44" s="468"/>
      <c r="GJT44" s="468"/>
      <c r="GJU44" s="468"/>
      <c r="GJV44" s="468"/>
      <c r="GJW44" s="468"/>
      <c r="GJX44" s="468"/>
      <c r="GJY44" s="468"/>
      <c r="GJZ44" s="468"/>
      <c r="GKA44" s="468"/>
      <c r="GKB44" s="468"/>
      <c r="GKC44" s="468"/>
      <c r="GKD44" s="468"/>
      <c r="GKE44" s="468"/>
      <c r="GKF44" s="468"/>
      <c r="GKG44" s="468"/>
      <c r="GKH44" s="468"/>
      <c r="GKI44" s="468"/>
      <c r="GKJ44" s="468"/>
      <c r="GKK44" s="468"/>
      <c r="GKL44" s="468"/>
      <c r="GKM44" s="468"/>
      <c r="GKN44" s="468"/>
      <c r="GKO44" s="468"/>
      <c r="GKP44" s="468"/>
      <c r="GKQ44" s="468"/>
      <c r="GKR44" s="468"/>
      <c r="GKS44" s="468"/>
      <c r="GKT44" s="468"/>
      <c r="GKU44" s="468"/>
      <c r="GKV44" s="468"/>
      <c r="GKW44" s="468"/>
      <c r="GKX44" s="468"/>
      <c r="GKY44" s="468"/>
      <c r="GKZ44" s="468"/>
      <c r="GLA44" s="468"/>
      <c r="GLB44" s="468"/>
      <c r="GLC44" s="468"/>
      <c r="GLD44" s="468"/>
      <c r="GLE44" s="468"/>
      <c r="GLF44" s="468"/>
      <c r="GLG44" s="468"/>
      <c r="GLH44" s="468"/>
      <c r="GLI44" s="468"/>
      <c r="GLJ44" s="468"/>
      <c r="GLK44" s="468"/>
      <c r="GLL44" s="468"/>
      <c r="GLM44" s="468"/>
      <c r="GLN44" s="468"/>
      <c r="GLO44" s="468"/>
      <c r="GLP44" s="468"/>
      <c r="GLQ44" s="468"/>
      <c r="GLR44" s="468"/>
      <c r="GLS44" s="468"/>
      <c r="GLT44" s="468"/>
      <c r="GLU44" s="468"/>
      <c r="GLV44" s="468"/>
      <c r="GLW44" s="468"/>
      <c r="GLX44" s="468"/>
      <c r="GLY44" s="468"/>
      <c r="GLZ44" s="468"/>
      <c r="GMA44" s="468"/>
      <c r="GMB44" s="468"/>
      <c r="GMC44" s="468"/>
      <c r="GMD44" s="468"/>
      <c r="GME44" s="468"/>
      <c r="GMF44" s="468"/>
      <c r="GMG44" s="468"/>
      <c r="GMH44" s="468"/>
      <c r="GMI44" s="468"/>
      <c r="GMJ44" s="468"/>
      <c r="GMK44" s="468"/>
      <c r="GML44" s="468"/>
      <c r="GMM44" s="468"/>
      <c r="GMN44" s="468"/>
      <c r="GMO44" s="468"/>
      <c r="GMP44" s="468"/>
      <c r="GMQ44" s="468"/>
      <c r="GMR44" s="468"/>
      <c r="GMS44" s="468"/>
      <c r="GMT44" s="468"/>
      <c r="GMU44" s="468"/>
      <c r="GMV44" s="468"/>
      <c r="GMW44" s="468"/>
      <c r="GMX44" s="468"/>
      <c r="GMY44" s="468"/>
      <c r="GMZ44" s="468"/>
      <c r="GNA44" s="468"/>
      <c r="GNB44" s="468"/>
      <c r="GNC44" s="468"/>
      <c r="GND44" s="468"/>
      <c r="GNE44" s="468"/>
      <c r="GNF44" s="468"/>
      <c r="GNG44" s="468"/>
      <c r="GNH44" s="468"/>
      <c r="GNI44" s="468"/>
      <c r="GNJ44" s="468"/>
      <c r="GNK44" s="468"/>
      <c r="GNL44" s="468"/>
      <c r="GNM44" s="468"/>
      <c r="GNN44" s="468"/>
      <c r="GNO44" s="468"/>
      <c r="GNP44" s="468"/>
      <c r="GNQ44" s="468"/>
      <c r="GNR44" s="468"/>
      <c r="GNS44" s="468"/>
      <c r="GNT44" s="468"/>
      <c r="GNU44" s="468"/>
      <c r="GNV44" s="468"/>
      <c r="GNW44" s="468"/>
      <c r="GNX44" s="468"/>
      <c r="GNY44" s="468"/>
      <c r="GNZ44" s="468"/>
      <c r="GOA44" s="468"/>
      <c r="GOB44" s="468"/>
      <c r="GOC44" s="468"/>
      <c r="GOD44" s="468"/>
      <c r="GOE44" s="468"/>
      <c r="GOF44" s="468"/>
      <c r="GOG44" s="468"/>
      <c r="GOH44" s="468"/>
      <c r="GOI44" s="468"/>
      <c r="GOJ44" s="468"/>
      <c r="GOK44" s="468"/>
      <c r="GOL44" s="468"/>
      <c r="GOM44" s="468"/>
      <c r="GON44" s="468"/>
      <c r="GOO44" s="468"/>
      <c r="GOP44" s="468"/>
      <c r="GOQ44" s="468"/>
      <c r="GOR44" s="468"/>
      <c r="GOS44" s="468"/>
      <c r="GOT44" s="468"/>
      <c r="GOU44" s="468"/>
      <c r="GOV44" s="468"/>
      <c r="GOW44" s="468"/>
      <c r="GOX44" s="468"/>
      <c r="GOY44" s="468"/>
      <c r="GOZ44" s="468"/>
      <c r="GPA44" s="468"/>
      <c r="GPB44" s="468"/>
      <c r="GPC44" s="468"/>
      <c r="GPD44" s="468"/>
      <c r="GPE44" s="468"/>
      <c r="GPF44" s="468"/>
      <c r="GPG44" s="468"/>
      <c r="GPH44" s="468"/>
      <c r="GPI44" s="468"/>
      <c r="GPJ44" s="468"/>
      <c r="GPK44" s="468"/>
      <c r="GPL44" s="468"/>
      <c r="GPM44" s="468"/>
      <c r="GPN44" s="468"/>
      <c r="GPO44" s="468"/>
      <c r="GPP44" s="468"/>
      <c r="GPQ44" s="468"/>
      <c r="GPR44" s="468"/>
      <c r="GPS44" s="468"/>
      <c r="GPT44" s="468"/>
      <c r="GPU44" s="468"/>
      <c r="GPV44" s="468"/>
      <c r="GPW44" s="468"/>
      <c r="GPX44" s="468"/>
      <c r="GPY44" s="468"/>
      <c r="GPZ44" s="468"/>
      <c r="GQA44" s="468"/>
      <c r="GQB44" s="468"/>
      <c r="GQC44" s="468"/>
      <c r="GQD44" s="468"/>
      <c r="GQE44" s="468"/>
      <c r="GQF44" s="468"/>
      <c r="GQG44" s="468"/>
      <c r="GQH44" s="468"/>
      <c r="GQI44" s="468"/>
      <c r="GQJ44" s="468"/>
      <c r="GQK44" s="468"/>
      <c r="GQL44" s="468"/>
      <c r="GQM44" s="468"/>
      <c r="GQN44" s="468"/>
      <c r="GQO44" s="468"/>
      <c r="GQP44" s="468"/>
      <c r="GQQ44" s="468"/>
      <c r="GQR44" s="468"/>
      <c r="GQS44" s="468"/>
      <c r="GQT44" s="468"/>
      <c r="GQU44" s="468"/>
      <c r="GQV44" s="468"/>
      <c r="GQW44" s="468"/>
      <c r="GQX44" s="468"/>
      <c r="GQY44" s="468"/>
      <c r="GQZ44" s="468"/>
      <c r="GRA44" s="468"/>
      <c r="GRB44" s="468"/>
      <c r="GRC44" s="468"/>
      <c r="GRD44" s="468"/>
      <c r="GRE44" s="468"/>
      <c r="GRF44" s="468"/>
      <c r="GRG44" s="468"/>
      <c r="GRH44" s="468"/>
      <c r="GRI44" s="468"/>
      <c r="GRJ44" s="468"/>
      <c r="GRK44" s="468"/>
      <c r="GRL44" s="468"/>
      <c r="GRM44" s="468"/>
      <c r="GRN44" s="468"/>
      <c r="GRO44" s="468"/>
      <c r="GRP44" s="468"/>
      <c r="GRQ44" s="468"/>
      <c r="GRR44" s="468"/>
      <c r="GRS44" s="468"/>
      <c r="GRT44" s="468"/>
      <c r="GRU44" s="468"/>
      <c r="GRV44" s="468"/>
      <c r="GRW44" s="468"/>
      <c r="GRX44" s="468"/>
      <c r="GRY44" s="468"/>
      <c r="GRZ44" s="468"/>
      <c r="GSA44" s="468"/>
      <c r="GSB44" s="468"/>
      <c r="GSC44" s="468"/>
      <c r="GSD44" s="468"/>
      <c r="GSE44" s="468"/>
      <c r="GSF44" s="468"/>
      <c r="GSG44" s="468"/>
      <c r="GSH44" s="468"/>
      <c r="GSI44" s="468"/>
      <c r="GSJ44" s="468"/>
      <c r="GSK44" s="468"/>
      <c r="GSL44" s="468"/>
      <c r="GSM44" s="468"/>
      <c r="GSN44" s="468"/>
      <c r="GSO44" s="468"/>
      <c r="GSP44" s="468"/>
      <c r="GSQ44" s="468"/>
      <c r="GSR44" s="468"/>
      <c r="GSS44" s="468"/>
      <c r="GST44" s="468"/>
      <c r="GSU44" s="468"/>
      <c r="GSV44" s="468"/>
      <c r="GSW44" s="468"/>
      <c r="GSX44" s="468"/>
      <c r="GSY44" s="468"/>
      <c r="GSZ44" s="468"/>
      <c r="GTA44" s="468"/>
      <c r="GTB44" s="468"/>
      <c r="GTC44" s="468"/>
      <c r="GTD44" s="468"/>
      <c r="GTE44" s="468"/>
      <c r="GTF44" s="468"/>
      <c r="GTG44" s="468"/>
      <c r="GTH44" s="468"/>
      <c r="GTI44" s="468"/>
      <c r="GTJ44" s="468"/>
      <c r="GTK44" s="468"/>
      <c r="GTL44" s="468"/>
      <c r="GTM44" s="468"/>
      <c r="GTN44" s="468"/>
      <c r="GTO44" s="468"/>
      <c r="GTP44" s="468"/>
      <c r="GTQ44" s="468"/>
      <c r="GTR44" s="468"/>
      <c r="GTS44" s="468"/>
      <c r="GTT44" s="468"/>
      <c r="GTU44" s="468"/>
      <c r="GTV44" s="468"/>
      <c r="GTW44" s="468"/>
      <c r="GTX44" s="468"/>
      <c r="GTY44" s="468"/>
      <c r="GTZ44" s="468"/>
      <c r="GUA44" s="468"/>
      <c r="GUB44" s="468"/>
      <c r="GUC44" s="468"/>
      <c r="GUD44" s="468"/>
      <c r="GUE44" s="468"/>
      <c r="GUF44" s="468"/>
      <c r="GUG44" s="468"/>
      <c r="GUH44" s="468"/>
      <c r="GUI44" s="468"/>
      <c r="GUJ44" s="468"/>
      <c r="GUK44" s="468"/>
      <c r="GUL44" s="468"/>
      <c r="GUM44" s="468"/>
      <c r="GUN44" s="468"/>
      <c r="GUO44" s="468"/>
      <c r="GUP44" s="468"/>
      <c r="GUQ44" s="468"/>
      <c r="GUR44" s="468"/>
      <c r="GUS44" s="468"/>
      <c r="GUT44" s="468"/>
      <c r="GUU44" s="468"/>
      <c r="GUV44" s="468"/>
      <c r="GUW44" s="468"/>
      <c r="GUX44" s="468"/>
      <c r="GUY44" s="468"/>
      <c r="GUZ44" s="468"/>
      <c r="GVA44" s="468"/>
      <c r="GVB44" s="468"/>
      <c r="GVC44" s="468"/>
      <c r="GVD44" s="468"/>
      <c r="GVE44" s="468"/>
      <c r="GVF44" s="468"/>
      <c r="GVG44" s="468"/>
      <c r="GVH44" s="468"/>
      <c r="GVI44" s="468"/>
      <c r="GVJ44" s="468"/>
      <c r="GVK44" s="468"/>
      <c r="GVL44" s="468"/>
      <c r="GVM44" s="468"/>
      <c r="GVN44" s="468"/>
      <c r="GVO44" s="468"/>
      <c r="GVP44" s="468"/>
      <c r="GVQ44" s="468"/>
      <c r="GVR44" s="468"/>
      <c r="GVS44" s="468"/>
      <c r="GVT44" s="468"/>
      <c r="GVU44" s="468"/>
      <c r="GVV44" s="468"/>
      <c r="GVW44" s="468"/>
      <c r="GVX44" s="468"/>
      <c r="GVY44" s="468"/>
      <c r="GVZ44" s="468"/>
      <c r="GWA44" s="468"/>
      <c r="GWB44" s="468"/>
      <c r="GWC44" s="468"/>
      <c r="GWD44" s="468"/>
      <c r="GWE44" s="468"/>
      <c r="GWF44" s="468"/>
      <c r="GWG44" s="468"/>
      <c r="GWH44" s="468"/>
      <c r="GWI44" s="468"/>
      <c r="GWJ44" s="468"/>
      <c r="GWK44" s="468"/>
      <c r="GWL44" s="468"/>
      <c r="GWM44" s="468"/>
      <c r="GWN44" s="468"/>
      <c r="GWO44" s="468"/>
      <c r="GWP44" s="468"/>
      <c r="GWQ44" s="468"/>
      <c r="GWR44" s="468"/>
      <c r="GWS44" s="468"/>
      <c r="GWT44" s="468"/>
      <c r="GWU44" s="468"/>
      <c r="GWV44" s="468"/>
      <c r="GWW44" s="468"/>
      <c r="GWX44" s="468"/>
      <c r="GWY44" s="468"/>
      <c r="GWZ44" s="468"/>
      <c r="GXA44" s="468"/>
      <c r="GXB44" s="468"/>
      <c r="GXC44" s="468"/>
      <c r="GXD44" s="468"/>
      <c r="GXE44" s="468"/>
      <c r="GXF44" s="468"/>
      <c r="GXG44" s="468"/>
      <c r="GXH44" s="468"/>
      <c r="GXI44" s="468"/>
      <c r="GXJ44" s="468"/>
      <c r="GXK44" s="468"/>
      <c r="GXL44" s="468"/>
      <c r="GXM44" s="468"/>
      <c r="GXN44" s="468"/>
      <c r="GXO44" s="468"/>
      <c r="GXP44" s="468"/>
      <c r="GXQ44" s="468"/>
      <c r="GXR44" s="468"/>
      <c r="GXS44" s="468"/>
      <c r="GXT44" s="468"/>
      <c r="GXU44" s="468"/>
      <c r="GXV44" s="468"/>
      <c r="GXW44" s="468"/>
      <c r="GXX44" s="468"/>
      <c r="GXY44" s="468"/>
      <c r="GXZ44" s="468"/>
      <c r="GYA44" s="468"/>
      <c r="GYB44" s="468"/>
      <c r="GYC44" s="468"/>
      <c r="GYD44" s="468"/>
      <c r="GYE44" s="468"/>
      <c r="GYF44" s="468"/>
      <c r="GYG44" s="468"/>
      <c r="GYH44" s="468"/>
      <c r="GYI44" s="468"/>
      <c r="GYJ44" s="468"/>
      <c r="GYK44" s="468"/>
      <c r="GYL44" s="468"/>
      <c r="GYM44" s="468"/>
      <c r="GYN44" s="468"/>
      <c r="GYO44" s="468"/>
      <c r="GYP44" s="468"/>
      <c r="GYQ44" s="468"/>
      <c r="GYR44" s="468"/>
      <c r="GYS44" s="468"/>
      <c r="GYT44" s="468"/>
      <c r="GYU44" s="468"/>
      <c r="GYV44" s="468"/>
      <c r="GYW44" s="468"/>
      <c r="GYX44" s="468"/>
      <c r="GYY44" s="468"/>
      <c r="GYZ44" s="468"/>
      <c r="GZA44" s="468"/>
      <c r="GZB44" s="468"/>
      <c r="GZC44" s="468"/>
      <c r="GZD44" s="468"/>
      <c r="GZE44" s="468"/>
      <c r="GZF44" s="468"/>
      <c r="GZG44" s="468"/>
      <c r="GZH44" s="468"/>
      <c r="GZI44" s="468"/>
      <c r="GZJ44" s="468"/>
      <c r="GZK44" s="468"/>
      <c r="GZL44" s="468"/>
      <c r="GZM44" s="468"/>
      <c r="GZN44" s="468"/>
      <c r="GZO44" s="468"/>
      <c r="GZP44" s="468"/>
      <c r="GZQ44" s="468"/>
      <c r="GZR44" s="468"/>
      <c r="GZS44" s="468"/>
      <c r="GZT44" s="468"/>
      <c r="GZU44" s="468"/>
      <c r="GZV44" s="468"/>
      <c r="GZW44" s="468"/>
      <c r="GZX44" s="468"/>
      <c r="GZY44" s="468"/>
      <c r="GZZ44" s="468"/>
      <c r="HAA44" s="468"/>
      <c r="HAB44" s="468"/>
      <c r="HAC44" s="468"/>
      <c r="HAD44" s="468"/>
      <c r="HAE44" s="468"/>
      <c r="HAF44" s="468"/>
      <c r="HAG44" s="468"/>
      <c r="HAH44" s="468"/>
      <c r="HAI44" s="468"/>
      <c r="HAJ44" s="468"/>
      <c r="HAK44" s="468"/>
      <c r="HAL44" s="468"/>
      <c r="HAM44" s="468"/>
      <c r="HAN44" s="468"/>
      <c r="HAO44" s="468"/>
      <c r="HAP44" s="468"/>
      <c r="HAQ44" s="468"/>
      <c r="HAR44" s="468"/>
      <c r="HAS44" s="468"/>
      <c r="HAT44" s="468"/>
      <c r="HAU44" s="468"/>
      <c r="HAV44" s="468"/>
      <c r="HAW44" s="468"/>
      <c r="HAX44" s="468"/>
      <c r="HAY44" s="468"/>
      <c r="HAZ44" s="468"/>
      <c r="HBA44" s="468"/>
      <c r="HBB44" s="468"/>
      <c r="HBC44" s="468"/>
      <c r="HBD44" s="468"/>
      <c r="HBE44" s="468"/>
      <c r="HBF44" s="468"/>
      <c r="HBG44" s="468"/>
      <c r="HBH44" s="468"/>
      <c r="HBI44" s="468"/>
      <c r="HBJ44" s="468"/>
      <c r="HBK44" s="468"/>
      <c r="HBL44" s="468"/>
      <c r="HBM44" s="468"/>
      <c r="HBN44" s="468"/>
      <c r="HBO44" s="468"/>
      <c r="HBP44" s="468"/>
      <c r="HBQ44" s="468"/>
      <c r="HBR44" s="468"/>
      <c r="HBS44" s="468"/>
      <c r="HBT44" s="468"/>
      <c r="HBU44" s="468"/>
      <c r="HBV44" s="468"/>
      <c r="HBW44" s="468"/>
      <c r="HBX44" s="468"/>
      <c r="HBY44" s="468"/>
      <c r="HBZ44" s="468"/>
      <c r="HCA44" s="468"/>
      <c r="HCB44" s="468"/>
      <c r="HCC44" s="468"/>
      <c r="HCD44" s="468"/>
      <c r="HCE44" s="468"/>
      <c r="HCF44" s="468"/>
      <c r="HCG44" s="468"/>
      <c r="HCH44" s="468"/>
      <c r="HCI44" s="468"/>
      <c r="HCJ44" s="468"/>
      <c r="HCK44" s="468"/>
      <c r="HCL44" s="468"/>
      <c r="HCM44" s="468"/>
      <c r="HCN44" s="468"/>
      <c r="HCO44" s="468"/>
      <c r="HCP44" s="468"/>
      <c r="HCQ44" s="468"/>
      <c r="HCR44" s="468"/>
      <c r="HCS44" s="468"/>
      <c r="HCT44" s="468"/>
      <c r="HCU44" s="468"/>
      <c r="HCV44" s="468"/>
      <c r="HCW44" s="468"/>
      <c r="HCX44" s="468"/>
      <c r="HCY44" s="468"/>
      <c r="HCZ44" s="468"/>
      <c r="HDA44" s="468"/>
      <c r="HDB44" s="468"/>
      <c r="HDC44" s="468"/>
      <c r="HDD44" s="468"/>
      <c r="HDE44" s="468"/>
      <c r="HDF44" s="468"/>
      <c r="HDG44" s="468"/>
      <c r="HDH44" s="468"/>
      <c r="HDI44" s="468"/>
      <c r="HDJ44" s="468"/>
      <c r="HDK44" s="468"/>
      <c r="HDL44" s="468"/>
      <c r="HDM44" s="468"/>
      <c r="HDN44" s="468"/>
      <c r="HDO44" s="468"/>
      <c r="HDP44" s="468"/>
      <c r="HDQ44" s="468"/>
      <c r="HDR44" s="468"/>
      <c r="HDS44" s="468"/>
      <c r="HDT44" s="468"/>
      <c r="HDU44" s="468"/>
      <c r="HDV44" s="468"/>
      <c r="HDW44" s="468"/>
      <c r="HDX44" s="468"/>
      <c r="HDY44" s="468"/>
      <c r="HDZ44" s="468"/>
      <c r="HEA44" s="468"/>
      <c r="HEB44" s="468"/>
      <c r="HEC44" s="468"/>
      <c r="HED44" s="468"/>
      <c r="HEE44" s="468"/>
      <c r="HEF44" s="468"/>
      <c r="HEG44" s="468"/>
      <c r="HEH44" s="468"/>
      <c r="HEI44" s="468"/>
      <c r="HEJ44" s="468"/>
      <c r="HEK44" s="468"/>
      <c r="HEL44" s="468"/>
      <c r="HEM44" s="468"/>
      <c r="HEN44" s="468"/>
      <c r="HEO44" s="468"/>
      <c r="HEP44" s="468"/>
      <c r="HEQ44" s="468"/>
      <c r="HER44" s="468"/>
      <c r="HES44" s="468"/>
      <c r="HET44" s="468"/>
      <c r="HEU44" s="468"/>
      <c r="HEV44" s="468"/>
      <c r="HEW44" s="468"/>
      <c r="HEX44" s="468"/>
      <c r="HEY44" s="468"/>
      <c r="HEZ44" s="468"/>
      <c r="HFA44" s="468"/>
      <c r="HFB44" s="468"/>
      <c r="HFC44" s="468"/>
      <c r="HFD44" s="468"/>
      <c r="HFE44" s="468"/>
      <c r="HFF44" s="468"/>
      <c r="HFG44" s="468"/>
      <c r="HFH44" s="468"/>
      <c r="HFI44" s="468"/>
      <c r="HFJ44" s="468"/>
      <c r="HFK44" s="468"/>
      <c r="HFL44" s="468"/>
      <c r="HFM44" s="468"/>
      <c r="HFN44" s="468"/>
      <c r="HFO44" s="468"/>
      <c r="HFP44" s="468"/>
      <c r="HFQ44" s="468"/>
      <c r="HFR44" s="468"/>
      <c r="HFS44" s="468"/>
      <c r="HFT44" s="468"/>
      <c r="HFU44" s="468"/>
      <c r="HFV44" s="468"/>
      <c r="HFW44" s="468"/>
      <c r="HFX44" s="468"/>
      <c r="HFY44" s="468"/>
      <c r="HFZ44" s="468"/>
      <c r="HGA44" s="468"/>
      <c r="HGB44" s="468"/>
      <c r="HGC44" s="468"/>
      <c r="HGD44" s="468"/>
      <c r="HGE44" s="468"/>
      <c r="HGF44" s="468"/>
      <c r="HGG44" s="468"/>
      <c r="HGH44" s="468"/>
      <c r="HGI44" s="468"/>
      <c r="HGJ44" s="468"/>
      <c r="HGK44" s="468"/>
      <c r="HGL44" s="468"/>
      <c r="HGM44" s="468"/>
      <c r="HGN44" s="468"/>
      <c r="HGO44" s="468"/>
      <c r="HGP44" s="468"/>
      <c r="HGQ44" s="468"/>
      <c r="HGR44" s="468"/>
      <c r="HGS44" s="468"/>
      <c r="HGT44" s="468"/>
      <c r="HGU44" s="468"/>
      <c r="HGV44" s="468"/>
      <c r="HGW44" s="468"/>
      <c r="HGX44" s="468"/>
      <c r="HGY44" s="468"/>
      <c r="HGZ44" s="468"/>
      <c r="HHA44" s="468"/>
      <c r="HHB44" s="468"/>
      <c r="HHC44" s="468"/>
      <c r="HHD44" s="468"/>
      <c r="HHE44" s="468"/>
      <c r="HHF44" s="468"/>
      <c r="HHG44" s="468"/>
      <c r="HHH44" s="468"/>
      <c r="HHI44" s="468"/>
      <c r="HHJ44" s="468"/>
      <c r="HHK44" s="468"/>
      <c r="HHL44" s="468"/>
      <c r="HHM44" s="468"/>
      <c r="HHN44" s="468"/>
      <c r="HHO44" s="468"/>
      <c r="HHP44" s="468"/>
      <c r="HHQ44" s="468"/>
      <c r="HHR44" s="468"/>
      <c r="HHS44" s="468"/>
      <c r="HHT44" s="468"/>
      <c r="HHU44" s="468"/>
      <c r="HHV44" s="468"/>
      <c r="HHW44" s="468"/>
      <c r="HHX44" s="468"/>
      <c r="HHY44" s="468"/>
      <c r="HHZ44" s="468"/>
      <c r="HIA44" s="468"/>
      <c r="HIB44" s="468"/>
      <c r="HIC44" s="468"/>
      <c r="HID44" s="468"/>
      <c r="HIE44" s="468"/>
      <c r="HIF44" s="468"/>
      <c r="HIG44" s="468"/>
      <c r="HIH44" s="468"/>
      <c r="HII44" s="468"/>
      <c r="HIJ44" s="468"/>
      <c r="HIK44" s="468"/>
      <c r="HIL44" s="468"/>
      <c r="HIM44" s="468"/>
      <c r="HIN44" s="468"/>
      <c r="HIO44" s="468"/>
      <c r="HIP44" s="468"/>
      <c r="HIQ44" s="468"/>
      <c r="HIR44" s="468"/>
      <c r="HIS44" s="468"/>
      <c r="HIT44" s="468"/>
      <c r="HIU44" s="468"/>
      <c r="HIV44" s="468"/>
      <c r="HIW44" s="468"/>
      <c r="HIX44" s="468"/>
      <c r="HIY44" s="468"/>
      <c r="HIZ44" s="468"/>
      <c r="HJA44" s="468"/>
      <c r="HJB44" s="468"/>
      <c r="HJC44" s="468"/>
      <c r="HJD44" s="468"/>
      <c r="HJE44" s="468"/>
      <c r="HJF44" s="468"/>
      <c r="HJG44" s="468"/>
      <c r="HJH44" s="468"/>
      <c r="HJI44" s="468"/>
      <c r="HJJ44" s="468"/>
      <c r="HJK44" s="468"/>
      <c r="HJL44" s="468"/>
      <c r="HJM44" s="468"/>
      <c r="HJN44" s="468"/>
      <c r="HJO44" s="468"/>
      <c r="HJP44" s="468"/>
      <c r="HJQ44" s="468"/>
      <c r="HJR44" s="468"/>
      <c r="HJS44" s="468"/>
      <c r="HJT44" s="468"/>
      <c r="HJU44" s="468"/>
      <c r="HJV44" s="468"/>
      <c r="HJW44" s="468"/>
      <c r="HJX44" s="468"/>
      <c r="HJY44" s="468"/>
      <c r="HJZ44" s="468"/>
      <c r="HKA44" s="468"/>
      <c r="HKB44" s="468"/>
      <c r="HKC44" s="468"/>
      <c r="HKD44" s="468"/>
      <c r="HKE44" s="468"/>
      <c r="HKF44" s="468"/>
      <c r="HKG44" s="468"/>
      <c r="HKH44" s="468"/>
      <c r="HKI44" s="468"/>
      <c r="HKJ44" s="468"/>
      <c r="HKK44" s="468"/>
      <c r="HKL44" s="468"/>
      <c r="HKM44" s="468"/>
      <c r="HKN44" s="468"/>
      <c r="HKO44" s="468"/>
      <c r="HKP44" s="468"/>
      <c r="HKQ44" s="468"/>
      <c r="HKR44" s="468"/>
      <c r="HKS44" s="468"/>
      <c r="HKT44" s="468"/>
      <c r="HKU44" s="468"/>
      <c r="HKV44" s="468"/>
      <c r="HKW44" s="468"/>
      <c r="HKX44" s="468"/>
      <c r="HKY44" s="468"/>
      <c r="HKZ44" s="468"/>
      <c r="HLA44" s="468"/>
      <c r="HLB44" s="468"/>
      <c r="HLC44" s="468"/>
      <c r="HLD44" s="468"/>
      <c r="HLE44" s="468"/>
      <c r="HLF44" s="468"/>
      <c r="HLG44" s="468"/>
      <c r="HLH44" s="468"/>
      <c r="HLI44" s="468"/>
      <c r="HLJ44" s="468"/>
      <c r="HLK44" s="468"/>
      <c r="HLL44" s="468"/>
      <c r="HLM44" s="468"/>
      <c r="HLN44" s="468"/>
      <c r="HLO44" s="468"/>
      <c r="HLP44" s="468"/>
      <c r="HLQ44" s="468"/>
      <c r="HLR44" s="468"/>
      <c r="HLS44" s="468"/>
      <c r="HLT44" s="468"/>
      <c r="HLU44" s="468"/>
      <c r="HLV44" s="468"/>
      <c r="HLW44" s="468"/>
      <c r="HLX44" s="468"/>
      <c r="HLY44" s="468"/>
      <c r="HLZ44" s="468"/>
      <c r="HMA44" s="468"/>
      <c r="HMB44" s="468"/>
      <c r="HMC44" s="468"/>
      <c r="HMD44" s="468"/>
      <c r="HME44" s="468"/>
      <c r="HMF44" s="468"/>
      <c r="HMG44" s="468"/>
      <c r="HMH44" s="468"/>
      <c r="HMI44" s="468"/>
      <c r="HMJ44" s="468"/>
      <c r="HMK44" s="468"/>
      <c r="HML44" s="468"/>
      <c r="HMM44" s="468"/>
      <c r="HMN44" s="468"/>
      <c r="HMO44" s="468"/>
      <c r="HMP44" s="468"/>
      <c r="HMQ44" s="468"/>
      <c r="HMR44" s="468"/>
      <c r="HMS44" s="468"/>
      <c r="HMT44" s="468"/>
      <c r="HMU44" s="468"/>
      <c r="HMV44" s="468"/>
      <c r="HMW44" s="468"/>
      <c r="HMX44" s="468"/>
      <c r="HMY44" s="468"/>
      <c r="HMZ44" s="468"/>
      <c r="HNA44" s="468"/>
      <c r="HNB44" s="468"/>
      <c r="HNC44" s="468"/>
      <c r="HND44" s="468"/>
      <c r="HNE44" s="468"/>
      <c r="HNF44" s="468"/>
      <c r="HNG44" s="468"/>
      <c r="HNH44" s="468"/>
      <c r="HNI44" s="468"/>
      <c r="HNJ44" s="468"/>
      <c r="HNK44" s="468"/>
      <c r="HNL44" s="468"/>
      <c r="HNM44" s="468"/>
      <c r="HNN44" s="468"/>
      <c r="HNO44" s="468"/>
      <c r="HNP44" s="468"/>
      <c r="HNQ44" s="468"/>
      <c r="HNR44" s="468"/>
      <c r="HNS44" s="468"/>
      <c r="HNT44" s="468"/>
      <c r="HNU44" s="468"/>
      <c r="HNV44" s="468"/>
      <c r="HNW44" s="468"/>
      <c r="HNX44" s="468"/>
      <c r="HNY44" s="468"/>
      <c r="HNZ44" s="468"/>
      <c r="HOA44" s="468"/>
      <c r="HOB44" s="468"/>
      <c r="HOC44" s="468"/>
      <c r="HOD44" s="468"/>
      <c r="HOE44" s="468"/>
      <c r="HOF44" s="468"/>
      <c r="HOG44" s="468"/>
      <c r="HOH44" s="468"/>
      <c r="HOI44" s="468"/>
      <c r="HOJ44" s="468"/>
      <c r="HOK44" s="468"/>
      <c r="HOL44" s="468"/>
      <c r="HOM44" s="468"/>
      <c r="HON44" s="468"/>
      <c r="HOO44" s="468"/>
      <c r="HOP44" s="468"/>
      <c r="HOQ44" s="468"/>
      <c r="HOR44" s="468"/>
      <c r="HOS44" s="468"/>
      <c r="HOT44" s="468"/>
      <c r="HOU44" s="468"/>
      <c r="HOV44" s="468"/>
      <c r="HOW44" s="468"/>
      <c r="HOX44" s="468"/>
      <c r="HOY44" s="468"/>
      <c r="HOZ44" s="468"/>
      <c r="HPA44" s="468"/>
      <c r="HPB44" s="468"/>
      <c r="HPC44" s="468"/>
      <c r="HPD44" s="468"/>
      <c r="HPE44" s="468"/>
      <c r="HPF44" s="468"/>
      <c r="HPG44" s="468"/>
      <c r="HPH44" s="468"/>
      <c r="HPI44" s="468"/>
      <c r="HPJ44" s="468"/>
      <c r="HPK44" s="468"/>
      <c r="HPL44" s="468"/>
      <c r="HPM44" s="468"/>
      <c r="HPN44" s="468"/>
      <c r="HPO44" s="468"/>
      <c r="HPP44" s="468"/>
      <c r="HPQ44" s="468"/>
      <c r="HPR44" s="468"/>
      <c r="HPS44" s="468"/>
      <c r="HPT44" s="468"/>
      <c r="HPU44" s="468"/>
      <c r="HPV44" s="468"/>
      <c r="HPW44" s="468"/>
      <c r="HPX44" s="468"/>
      <c r="HPY44" s="468"/>
      <c r="HPZ44" s="468"/>
      <c r="HQA44" s="468"/>
      <c r="HQB44" s="468"/>
      <c r="HQC44" s="468"/>
      <c r="HQD44" s="468"/>
      <c r="HQE44" s="468"/>
      <c r="HQF44" s="468"/>
      <c r="HQG44" s="468"/>
      <c r="HQH44" s="468"/>
      <c r="HQI44" s="468"/>
      <c r="HQJ44" s="468"/>
      <c r="HQK44" s="468"/>
      <c r="HQL44" s="468"/>
      <c r="HQM44" s="468"/>
      <c r="HQN44" s="468"/>
      <c r="HQO44" s="468"/>
      <c r="HQP44" s="468"/>
      <c r="HQQ44" s="468"/>
      <c r="HQR44" s="468"/>
      <c r="HQS44" s="468"/>
      <c r="HQT44" s="468"/>
      <c r="HQU44" s="468"/>
      <c r="HQV44" s="468"/>
      <c r="HQW44" s="468"/>
      <c r="HQX44" s="468"/>
      <c r="HQY44" s="468"/>
      <c r="HQZ44" s="468"/>
      <c r="HRA44" s="468"/>
      <c r="HRB44" s="468"/>
      <c r="HRC44" s="468"/>
      <c r="HRD44" s="468"/>
      <c r="HRE44" s="468"/>
      <c r="HRF44" s="468"/>
      <c r="HRG44" s="468"/>
      <c r="HRH44" s="468"/>
      <c r="HRI44" s="468"/>
      <c r="HRJ44" s="468"/>
      <c r="HRK44" s="468"/>
      <c r="HRL44" s="468"/>
      <c r="HRM44" s="468"/>
      <c r="HRN44" s="468"/>
      <c r="HRO44" s="468"/>
      <c r="HRP44" s="468"/>
      <c r="HRQ44" s="468"/>
      <c r="HRR44" s="468"/>
      <c r="HRS44" s="468"/>
      <c r="HRT44" s="468"/>
      <c r="HRU44" s="468"/>
      <c r="HRV44" s="468"/>
      <c r="HRW44" s="468"/>
      <c r="HRX44" s="468"/>
      <c r="HRY44" s="468"/>
      <c r="HRZ44" s="468"/>
      <c r="HSA44" s="468"/>
      <c r="HSB44" s="468"/>
      <c r="HSC44" s="468"/>
      <c r="HSD44" s="468"/>
      <c r="HSE44" s="468"/>
      <c r="HSF44" s="468"/>
      <c r="HSG44" s="468"/>
      <c r="HSH44" s="468"/>
      <c r="HSI44" s="468"/>
      <c r="HSJ44" s="468"/>
      <c r="HSK44" s="468"/>
      <c r="HSL44" s="468"/>
      <c r="HSM44" s="468"/>
      <c r="HSN44" s="468"/>
      <c r="HSO44" s="468"/>
      <c r="HSP44" s="468"/>
      <c r="HSQ44" s="468"/>
      <c r="HSR44" s="468"/>
      <c r="HSS44" s="468"/>
      <c r="HST44" s="468"/>
      <c r="HSU44" s="468"/>
      <c r="HSV44" s="468"/>
      <c r="HSW44" s="468"/>
      <c r="HSX44" s="468"/>
      <c r="HSY44" s="468"/>
      <c r="HSZ44" s="468"/>
      <c r="HTA44" s="468"/>
      <c r="HTB44" s="468"/>
      <c r="HTC44" s="468"/>
      <c r="HTD44" s="468"/>
      <c r="HTE44" s="468"/>
      <c r="HTF44" s="468"/>
      <c r="HTG44" s="468"/>
      <c r="HTH44" s="468"/>
      <c r="HTI44" s="468"/>
      <c r="HTJ44" s="468"/>
      <c r="HTK44" s="468"/>
      <c r="HTL44" s="468"/>
      <c r="HTM44" s="468"/>
      <c r="HTN44" s="468"/>
      <c r="HTO44" s="468"/>
      <c r="HTP44" s="468"/>
      <c r="HTQ44" s="468"/>
      <c r="HTR44" s="468"/>
      <c r="HTS44" s="468"/>
      <c r="HTT44" s="468"/>
      <c r="HTU44" s="468"/>
      <c r="HTV44" s="468"/>
      <c r="HTW44" s="468"/>
      <c r="HTX44" s="468"/>
      <c r="HTY44" s="468"/>
      <c r="HTZ44" s="468"/>
      <c r="HUA44" s="468"/>
      <c r="HUB44" s="468"/>
      <c r="HUC44" s="468"/>
      <c r="HUD44" s="468"/>
      <c r="HUE44" s="468"/>
      <c r="HUF44" s="468"/>
      <c r="HUG44" s="468"/>
      <c r="HUH44" s="468"/>
      <c r="HUI44" s="468"/>
      <c r="HUJ44" s="468"/>
      <c r="HUK44" s="468"/>
      <c r="HUL44" s="468"/>
      <c r="HUM44" s="468"/>
      <c r="HUN44" s="468"/>
      <c r="HUO44" s="468"/>
      <c r="HUP44" s="468"/>
      <c r="HUQ44" s="468"/>
      <c r="HUR44" s="468"/>
      <c r="HUS44" s="468"/>
      <c r="HUT44" s="468"/>
      <c r="HUU44" s="468"/>
      <c r="HUV44" s="468"/>
      <c r="HUW44" s="468"/>
      <c r="HUX44" s="468"/>
      <c r="HUY44" s="468"/>
      <c r="HUZ44" s="468"/>
      <c r="HVA44" s="468"/>
      <c r="HVB44" s="468"/>
      <c r="HVC44" s="468"/>
      <c r="HVD44" s="468"/>
      <c r="HVE44" s="468"/>
      <c r="HVF44" s="468"/>
      <c r="HVG44" s="468"/>
      <c r="HVH44" s="468"/>
      <c r="HVI44" s="468"/>
      <c r="HVJ44" s="468"/>
      <c r="HVK44" s="468"/>
      <c r="HVL44" s="468"/>
      <c r="HVM44" s="468"/>
      <c r="HVN44" s="468"/>
      <c r="HVO44" s="468"/>
      <c r="HVP44" s="468"/>
      <c r="HVQ44" s="468"/>
      <c r="HVR44" s="468"/>
      <c r="HVS44" s="468"/>
      <c r="HVT44" s="468"/>
      <c r="HVU44" s="468"/>
      <c r="HVV44" s="468"/>
      <c r="HVW44" s="468"/>
      <c r="HVX44" s="468"/>
      <c r="HVY44" s="468"/>
      <c r="HVZ44" s="468"/>
      <c r="HWA44" s="468"/>
      <c r="HWB44" s="468"/>
      <c r="HWC44" s="468"/>
      <c r="HWD44" s="468"/>
      <c r="HWE44" s="468"/>
      <c r="HWF44" s="468"/>
      <c r="HWG44" s="468"/>
      <c r="HWH44" s="468"/>
      <c r="HWI44" s="468"/>
      <c r="HWJ44" s="468"/>
      <c r="HWK44" s="468"/>
      <c r="HWL44" s="468"/>
      <c r="HWM44" s="468"/>
      <c r="HWN44" s="468"/>
      <c r="HWO44" s="468"/>
      <c r="HWP44" s="468"/>
      <c r="HWQ44" s="468"/>
      <c r="HWR44" s="468"/>
      <c r="HWS44" s="468"/>
      <c r="HWT44" s="468"/>
      <c r="HWU44" s="468"/>
      <c r="HWV44" s="468"/>
      <c r="HWW44" s="468"/>
      <c r="HWX44" s="468"/>
      <c r="HWY44" s="468"/>
      <c r="HWZ44" s="468"/>
      <c r="HXA44" s="468"/>
      <c r="HXB44" s="468"/>
      <c r="HXC44" s="468"/>
      <c r="HXD44" s="468"/>
      <c r="HXE44" s="468"/>
      <c r="HXF44" s="468"/>
      <c r="HXG44" s="468"/>
      <c r="HXH44" s="468"/>
      <c r="HXI44" s="468"/>
      <c r="HXJ44" s="468"/>
      <c r="HXK44" s="468"/>
      <c r="HXL44" s="468"/>
      <c r="HXM44" s="468"/>
      <c r="HXN44" s="468"/>
      <c r="HXO44" s="468"/>
      <c r="HXP44" s="468"/>
      <c r="HXQ44" s="468"/>
      <c r="HXR44" s="468"/>
      <c r="HXS44" s="468"/>
      <c r="HXT44" s="468"/>
      <c r="HXU44" s="468"/>
      <c r="HXV44" s="468"/>
      <c r="HXW44" s="468"/>
      <c r="HXX44" s="468"/>
      <c r="HXY44" s="468"/>
      <c r="HXZ44" s="468"/>
      <c r="HYA44" s="468"/>
      <c r="HYB44" s="468"/>
      <c r="HYC44" s="468"/>
      <c r="HYD44" s="468"/>
      <c r="HYE44" s="468"/>
      <c r="HYF44" s="468"/>
      <c r="HYG44" s="468"/>
      <c r="HYH44" s="468"/>
      <c r="HYI44" s="468"/>
      <c r="HYJ44" s="468"/>
      <c r="HYK44" s="468"/>
      <c r="HYL44" s="468"/>
      <c r="HYM44" s="468"/>
      <c r="HYN44" s="468"/>
      <c r="HYO44" s="468"/>
      <c r="HYP44" s="468"/>
      <c r="HYQ44" s="468"/>
      <c r="HYR44" s="468"/>
      <c r="HYS44" s="468"/>
      <c r="HYT44" s="468"/>
      <c r="HYU44" s="468"/>
      <c r="HYV44" s="468"/>
      <c r="HYW44" s="468"/>
      <c r="HYX44" s="468"/>
      <c r="HYY44" s="468"/>
      <c r="HYZ44" s="468"/>
      <c r="HZA44" s="468"/>
      <c r="HZB44" s="468"/>
      <c r="HZC44" s="468"/>
      <c r="HZD44" s="468"/>
      <c r="HZE44" s="468"/>
      <c r="HZF44" s="468"/>
      <c r="HZG44" s="468"/>
      <c r="HZH44" s="468"/>
      <c r="HZI44" s="468"/>
      <c r="HZJ44" s="468"/>
      <c r="HZK44" s="468"/>
      <c r="HZL44" s="468"/>
      <c r="HZM44" s="468"/>
      <c r="HZN44" s="468"/>
      <c r="HZO44" s="468"/>
      <c r="HZP44" s="468"/>
      <c r="HZQ44" s="468"/>
      <c r="HZR44" s="468"/>
      <c r="HZS44" s="468"/>
      <c r="HZT44" s="468"/>
      <c r="HZU44" s="468"/>
      <c r="HZV44" s="468"/>
      <c r="HZW44" s="468"/>
      <c r="HZX44" s="468"/>
      <c r="HZY44" s="468"/>
      <c r="HZZ44" s="468"/>
      <c r="IAA44" s="468"/>
      <c r="IAB44" s="468"/>
      <c r="IAC44" s="468"/>
      <c r="IAD44" s="468"/>
      <c r="IAE44" s="468"/>
      <c r="IAF44" s="468"/>
      <c r="IAG44" s="468"/>
      <c r="IAH44" s="468"/>
      <c r="IAI44" s="468"/>
      <c r="IAJ44" s="468"/>
      <c r="IAK44" s="468"/>
      <c r="IAL44" s="468"/>
      <c r="IAM44" s="468"/>
      <c r="IAN44" s="468"/>
      <c r="IAO44" s="468"/>
      <c r="IAP44" s="468"/>
      <c r="IAQ44" s="468"/>
      <c r="IAR44" s="468"/>
      <c r="IAS44" s="468"/>
      <c r="IAT44" s="468"/>
      <c r="IAU44" s="468"/>
      <c r="IAV44" s="468"/>
      <c r="IAW44" s="468"/>
      <c r="IAX44" s="468"/>
      <c r="IAY44" s="468"/>
      <c r="IAZ44" s="468"/>
      <c r="IBA44" s="468"/>
      <c r="IBB44" s="468"/>
      <c r="IBC44" s="468"/>
      <c r="IBD44" s="468"/>
      <c r="IBE44" s="468"/>
      <c r="IBF44" s="468"/>
      <c r="IBG44" s="468"/>
      <c r="IBH44" s="468"/>
      <c r="IBI44" s="468"/>
      <c r="IBJ44" s="468"/>
      <c r="IBK44" s="468"/>
      <c r="IBL44" s="468"/>
      <c r="IBM44" s="468"/>
      <c r="IBN44" s="468"/>
      <c r="IBO44" s="468"/>
      <c r="IBP44" s="468"/>
      <c r="IBQ44" s="468"/>
      <c r="IBR44" s="468"/>
      <c r="IBS44" s="468"/>
      <c r="IBT44" s="468"/>
      <c r="IBU44" s="468"/>
      <c r="IBV44" s="468"/>
      <c r="IBW44" s="468"/>
      <c r="IBX44" s="468"/>
      <c r="IBY44" s="468"/>
      <c r="IBZ44" s="468"/>
      <c r="ICA44" s="468"/>
      <c r="ICB44" s="468"/>
      <c r="ICC44" s="468"/>
      <c r="ICD44" s="468"/>
      <c r="ICE44" s="468"/>
      <c r="ICF44" s="468"/>
      <c r="ICG44" s="468"/>
      <c r="ICH44" s="468"/>
      <c r="ICI44" s="468"/>
      <c r="ICJ44" s="468"/>
      <c r="ICK44" s="468"/>
      <c r="ICL44" s="468"/>
      <c r="ICM44" s="468"/>
      <c r="ICN44" s="468"/>
      <c r="ICO44" s="468"/>
      <c r="ICP44" s="468"/>
      <c r="ICQ44" s="468"/>
      <c r="ICR44" s="468"/>
      <c r="ICS44" s="468"/>
      <c r="ICT44" s="468"/>
      <c r="ICU44" s="468"/>
      <c r="ICV44" s="468"/>
      <c r="ICW44" s="468"/>
      <c r="ICX44" s="468"/>
      <c r="ICY44" s="468"/>
      <c r="ICZ44" s="468"/>
      <c r="IDA44" s="468"/>
      <c r="IDB44" s="468"/>
      <c r="IDC44" s="468"/>
      <c r="IDD44" s="468"/>
      <c r="IDE44" s="468"/>
      <c r="IDF44" s="468"/>
      <c r="IDG44" s="468"/>
      <c r="IDH44" s="468"/>
      <c r="IDI44" s="468"/>
      <c r="IDJ44" s="468"/>
      <c r="IDK44" s="468"/>
      <c r="IDL44" s="468"/>
      <c r="IDM44" s="468"/>
      <c r="IDN44" s="468"/>
      <c r="IDO44" s="468"/>
      <c r="IDP44" s="468"/>
      <c r="IDQ44" s="468"/>
      <c r="IDR44" s="468"/>
      <c r="IDS44" s="468"/>
      <c r="IDT44" s="468"/>
      <c r="IDU44" s="468"/>
      <c r="IDV44" s="468"/>
      <c r="IDW44" s="468"/>
      <c r="IDX44" s="468"/>
      <c r="IDY44" s="468"/>
      <c r="IDZ44" s="468"/>
      <c r="IEA44" s="468"/>
      <c r="IEB44" s="468"/>
      <c r="IEC44" s="468"/>
      <c r="IED44" s="468"/>
      <c r="IEE44" s="468"/>
      <c r="IEF44" s="468"/>
      <c r="IEG44" s="468"/>
      <c r="IEH44" s="468"/>
      <c r="IEI44" s="468"/>
      <c r="IEJ44" s="468"/>
      <c r="IEK44" s="468"/>
      <c r="IEL44" s="468"/>
      <c r="IEM44" s="468"/>
      <c r="IEN44" s="468"/>
      <c r="IEO44" s="468"/>
      <c r="IEP44" s="468"/>
      <c r="IEQ44" s="468"/>
      <c r="IER44" s="468"/>
      <c r="IES44" s="468"/>
      <c r="IET44" s="468"/>
      <c r="IEU44" s="468"/>
      <c r="IEV44" s="468"/>
      <c r="IEW44" s="468"/>
      <c r="IEX44" s="468"/>
      <c r="IEY44" s="468"/>
      <c r="IEZ44" s="468"/>
      <c r="IFA44" s="468"/>
      <c r="IFB44" s="468"/>
      <c r="IFC44" s="468"/>
      <c r="IFD44" s="468"/>
      <c r="IFE44" s="468"/>
      <c r="IFF44" s="468"/>
      <c r="IFG44" s="468"/>
      <c r="IFH44" s="468"/>
      <c r="IFI44" s="468"/>
      <c r="IFJ44" s="468"/>
      <c r="IFK44" s="468"/>
      <c r="IFL44" s="468"/>
      <c r="IFM44" s="468"/>
      <c r="IFN44" s="468"/>
      <c r="IFO44" s="468"/>
      <c r="IFP44" s="468"/>
      <c r="IFQ44" s="468"/>
      <c r="IFR44" s="468"/>
      <c r="IFS44" s="468"/>
      <c r="IFT44" s="468"/>
      <c r="IFU44" s="468"/>
      <c r="IFV44" s="468"/>
      <c r="IFW44" s="468"/>
      <c r="IFX44" s="468"/>
      <c r="IFY44" s="468"/>
      <c r="IFZ44" s="468"/>
      <c r="IGA44" s="468"/>
      <c r="IGB44" s="468"/>
      <c r="IGC44" s="468"/>
      <c r="IGD44" s="468"/>
      <c r="IGE44" s="468"/>
      <c r="IGF44" s="468"/>
      <c r="IGG44" s="468"/>
      <c r="IGH44" s="468"/>
      <c r="IGI44" s="468"/>
      <c r="IGJ44" s="468"/>
      <c r="IGK44" s="468"/>
      <c r="IGL44" s="468"/>
      <c r="IGM44" s="468"/>
      <c r="IGN44" s="468"/>
      <c r="IGO44" s="468"/>
      <c r="IGP44" s="468"/>
      <c r="IGQ44" s="468"/>
      <c r="IGR44" s="468"/>
      <c r="IGS44" s="468"/>
      <c r="IGT44" s="468"/>
      <c r="IGU44" s="468"/>
      <c r="IGV44" s="468"/>
      <c r="IGW44" s="468"/>
      <c r="IGX44" s="468"/>
      <c r="IGY44" s="468"/>
      <c r="IGZ44" s="468"/>
      <c r="IHA44" s="468"/>
      <c r="IHB44" s="468"/>
      <c r="IHC44" s="468"/>
      <c r="IHD44" s="468"/>
      <c r="IHE44" s="468"/>
      <c r="IHF44" s="468"/>
      <c r="IHG44" s="468"/>
      <c r="IHH44" s="468"/>
      <c r="IHI44" s="468"/>
      <c r="IHJ44" s="468"/>
      <c r="IHK44" s="468"/>
      <c r="IHL44" s="468"/>
      <c r="IHM44" s="468"/>
      <c r="IHN44" s="468"/>
      <c r="IHO44" s="468"/>
      <c r="IHP44" s="468"/>
      <c r="IHQ44" s="468"/>
      <c r="IHR44" s="468"/>
      <c r="IHS44" s="468"/>
      <c r="IHT44" s="468"/>
      <c r="IHU44" s="468"/>
      <c r="IHV44" s="468"/>
      <c r="IHW44" s="468"/>
      <c r="IHX44" s="468"/>
      <c r="IHY44" s="468"/>
      <c r="IHZ44" s="468"/>
      <c r="IIA44" s="468"/>
      <c r="IIB44" s="468"/>
      <c r="IIC44" s="468"/>
      <c r="IID44" s="468"/>
      <c r="IIE44" s="468"/>
      <c r="IIF44" s="468"/>
      <c r="IIG44" s="468"/>
      <c r="IIH44" s="468"/>
      <c r="III44" s="468"/>
      <c r="IIJ44" s="468"/>
      <c r="IIK44" s="468"/>
      <c r="IIL44" s="468"/>
      <c r="IIM44" s="468"/>
      <c r="IIN44" s="468"/>
      <c r="IIO44" s="468"/>
      <c r="IIP44" s="468"/>
      <c r="IIQ44" s="468"/>
      <c r="IIR44" s="468"/>
      <c r="IIS44" s="468"/>
      <c r="IIT44" s="468"/>
      <c r="IIU44" s="468"/>
      <c r="IIV44" s="468"/>
      <c r="IIW44" s="468"/>
      <c r="IIX44" s="468"/>
      <c r="IIY44" s="468"/>
      <c r="IIZ44" s="468"/>
      <c r="IJA44" s="468"/>
      <c r="IJB44" s="468"/>
      <c r="IJC44" s="468"/>
      <c r="IJD44" s="468"/>
      <c r="IJE44" s="468"/>
      <c r="IJF44" s="468"/>
      <c r="IJG44" s="468"/>
      <c r="IJH44" s="468"/>
      <c r="IJI44" s="468"/>
      <c r="IJJ44" s="468"/>
      <c r="IJK44" s="468"/>
      <c r="IJL44" s="468"/>
      <c r="IJM44" s="468"/>
      <c r="IJN44" s="468"/>
      <c r="IJO44" s="468"/>
      <c r="IJP44" s="468"/>
      <c r="IJQ44" s="468"/>
      <c r="IJR44" s="468"/>
      <c r="IJS44" s="468"/>
      <c r="IJT44" s="468"/>
      <c r="IJU44" s="468"/>
      <c r="IJV44" s="468"/>
      <c r="IJW44" s="468"/>
      <c r="IJX44" s="468"/>
      <c r="IJY44" s="468"/>
      <c r="IJZ44" s="468"/>
      <c r="IKA44" s="468"/>
      <c r="IKB44" s="468"/>
      <c r="IKC44" s="468"/>
      <c r="IKD44" s="468"/>
      <c r="IKE44" s="468"/>
      <c r="IKF44" s="468"/>
      <c r="IKG44" s="468"/>
      <c r="IKH44" s="468"/>
      <c r="IKI44" s="468"/>
      <c r="IKJ44" s="468"/>
      <c r="IKK44" s="468"/>
      <c r="IKL44" s="468"/>
      <c r="IKM44" s="468"/>
      <c r="IKN44" s="468"/>
      <c r="IKO44" s="468"/>
      <c r="IKP44" s="468"/>
      <c r="IKQ44" s="468"/>
      <c r="IKR44" s="468"/>
      <c r="IKS44" s="468"/>
      <c r="IKT44" s="468"/>
      <c r="IKU44" s="468"/>
      <c r="IKV44" s="468"/>
      <c r="IKW44" s="468"/>
      <c r="IKX44" s="468"/>
      <c r="IKY44" s="468"/>
      <c r="IKZ44" s="468"/>
      <c r="ILA44" s="468"/>
      <c r="ILB44" s="468"/>
      <c r="ILC44" s="468"/>
      <c r="ILD44" s="468"/>
      <c r="ILE44" s="468"/>
      <c r="ILF44" s="468"/>
      <c r="ILG44" s="468"/>
      <c r="ILH44" s="468"/>
      <c r="ILI44" s="468"/>
      <c r="ILJ44" s="468"/>
      <c r="ILK44" s="468"/>
      <c r="ILL44" s="468"/>
      <c r="ILM44" s="468"/>
      <c r="ILN44" s="468"/>
      <c r="ILO44" s="468"/>
      <c r="ILP44" s="468"/>
      <c r="ILQ44" s="468"/>
      <c r="ILR44" s="468"/>
      <c r="ILS44" s="468"/>
      <c r="ILT44" s="468"/>
      <c r="ILU44" s="468"/>
      <c r="ILV44" s="468"/>
      <c r="ILW44" s="468"/>
      <c r="ILX44" s="468"/>
      <c r="ILY44" s="468"/>
      <c r="ILZ44" s="468"/>
      <c r="IMA44" s="468"/>
      <c r="IMB44" s="468"/>
      <c r="IMC44" s="468"/>
      <c r="IMD44" s="468"/>
      <c r="IME44" s="468"/>
      <c r="IMF44" s="468"/>
      <c r="IMG44" s="468"/>
      <c r="IMH44" s="468"/>
      <c r="IMI44" s="468"/>
      <c r="IMJ44" s="468"/>
      <c r="IMK44" s="468"/>
      <c r="IML44" s="468"/>
      <c r="IMM44" s="468"/>
      <c r="IMN44" s="468"/>
      <c r="IMO44" s="468"/>
      <c r="IMP44" s="468"/>
      <c r="IMQ44" s="468"/>
      <c r="IMR44" s="468"/>
      <c r="IMS44" s="468"/>
      <c r="IMT44" s="468"/>
      <c r="IMU44" s="468"/>
      <c r="IMV44" s="468"/>
      <c r="IMW44" s="468"/>
      <c r="IMX44" s="468"/>
      <c r="IMY44" s="468"/>
      <c r="IMZ44" s="468"/>
      <c r="INA44" s="468"/>
      <c r="INB44" s="468"/>
      <c r="INC44" s="468"/>
      <c r="IND44" s="468"/>
      <c r="INE44" s="468"/>
      <c r="INF44" s="468"/>
      <c r="ING44" s="468"/>
      <c r="INH44" s="468"/>
      <c r="INI44" s="468"/>
      <c r="INJ44" s="468"/>
      <c r="INK44" s="468"/>
      <c r="INL44" s="468"/>
      <c r="INM44" s="468"/>
      <c r="INN44" s="468"/>
      <c r="INO44" s="468"/>
      <c r="INP44" s="468"/>
      <c r="INQ44" s="468"/>
      <c r="INR44" s="468"/>
      <c r="INS44" s="468"/>
      <c r="INT44" s="468"/>
      <c r="INU44" s="468"/>
      <c r="INV44" s="468"/>
      <c r="INW44" s="468"/>
      <c r="INX44" s="468"/>
      <c r="INY44" s="468"/>
      <c r="INZ44" s="468"/>
      <c r="IOA44" s="468"/>
      <c r="IOB44" s="468"/>
      <c r="IOC44" s="468"/>
      <c r="IOD44" s="468"/>
      <c r="IOE44" s="468"/>
      <c r="IOF44" s="468"/>
      <c r="IOG44" s="468"/>
      <c r="IOH44" s="468"/>
      <c r="IOI44" s="468"/>
      <c r="IOJ44" s="468"/>
      <c r="IOK44" s="468"/>
      <c r="IOL44" s="468"/>
      <c r="IOM44" s="468"/>
      <c r="ION44" s="468"/>
      <c r="IOO44" s="468"/>
      <c r="IOP44" s="468"/>
      <c r="IOQ44" s="468"/>
      <c r="IOR44" s="468"/>
      <c r="IOS44" s="468"/>
      <c r="IOT44" s="468"/>
      <c r="IOU44" s="468"/>
      <c r="IOV44" s="468"/>
      <c r="IOW44" s="468"/>
      <c r="IOX44" s="468"/>
      <c r="IOY44" s="468"/>
      <c r="IOZ44" s="468"/>
      <c r="IPA44" s="468"/>
      <c r="IPB44" s="468"/>
      <c r="IPC44" s="468"/>
      <c r="IPD44" s="468"/>
      <c r="IPE44" s="468"/>
      <c r="IPF44" s="468"/>
      <c r="IPG44" s="468"/>
      <c r="IPH44" s="468"/>
      <c r="IPI44" s="468"/>
      <c r="IPJ44" s="468"/>
      <c r="IPK44" s="468"/>
      <c r="IPL44" s="468"/>
      <c r="IPM44" s="468"/>
      <c r="IPN44" s="468"/>
      <c r="IPO44" s="468"/>
      <c r="IPP44" s="468"/>
      <c r="IPQ44" s="468"/>
      <c r="IPR44" s="468"/>
      <c r="IPS44" s="468"/>
      <c r="IPT44" s="468"/>
      <c r="IPU44" s="468"/>
      <c r="IPV44" s="468"/>
      <c r="IPW44" s="468"/>
      <c r="IPX44" s="468"/>
      <c r="IPY44" s="468"/>
      <c r="IPZ44" s="468"/>
      <c r="IQA44" s="468"/>
      <c r="IQB44" s="468"/>
      <c r="IQC44" s="468"/>
      <c r="IQD44" s="468"/>
      <c r="IQE44" s="468"/>
      <c r="IQF44" s="468"/>
      <c r="IQG44" s="468"/>
      <c r="IQH44" s="468"/>
      <c r="IQI44" s="468"/>
      <c r="IQJ44" s="468"/>
      <c r="IQK44" s="468"/>
      <c r="IQL44" s="468"/>
      <c r="IQM44" s="468"/>
      <c r="IQN44" s="468"/>
      <c r="IQO44" s="468"/>
      <c r="IQP44" s="468"/>
      <c r="IQQ44" s="468"/>
      <c r="IQR44" s="468"/>
      <c r="IQS44" s="468"/>
      <c r="IQT44" s="468"/>
      <c r="IQU44" s="468"/>
      <c r="IQV44" s="468"/>
      <c r="IQW44" s="468"/>
      <c r="IQX44" s="468"/>
      <c r="IQY44" s="468"/>
      <c r="IQZ44" s="468"/>
      <c r="IRA44" s="468"/>
      <c r="IRB44" s="468"/>
      <c r="IRC44" s="468"/>
      <c r="IRD44" s="468"/>
      <c r="IRE44" s="468"/>
      <c r="IRF44" s="468"/>
      <c r="IRG44" s="468"/>
      <c r="IRH44" s="468"/>
      <c r="IRI44" s="468"/>
      <c r="IRJ44" s="468"/>
      <c r="IRK44" s="468"/>
      <c r="IRL44" s="468"/>
      <c r="IRM44" s="468"/>
      <c r="IRN44" s="468"/>
      <c r="IRO44" s="468"/>
      <c r="IRP44" s="468"/>
      <c r="IRQ44" s="468"/>
      <c r="IRR44" s="468"/>
      <c r="IRS44" s="468"/>
      <c r="IRT44" s="468"/>
      <c r="IRU44" s="468"/>
      <c r="IRV44" s="468"/>
      <c r="IRW44" s="468"/>
      <c r="IRX44" s="468"/>
      <c r="IRY44" s="468"/>
      <c r="IRZ44" s="468"/>
      <c r="ISA44" s="468"/>
      <c r="ISB44" s="468"/>
      <c r="ISC44" s="468"/>
      <c r="ISD44" s="468"/>
      <c r="ISE44" s="468"/>
      <c r="ISF44" s="468"/>
      <c r="ISG44" s="468"/>
      <c r="ISH44" s="468"/>
      <c r="ISI44" s="468"/>
      <c r="ISJ44" s="468"/>
      <c r="ISK44" s="468"/>
      <c r="ISL44" s="468"/>
      <c r="ISM44" s="468"/>
      <c r="ISN44" s="468"/>
      <c r="ISO44" s="468"/>
      <c r="ISP44" s="468"/>
      <c r="ISQ44" s="468"/>
      <c r="ISR44" s="468"/>
      <c r="ISS44" s="468"/>
      <c r="IST44" s="468"/>
      <c r="ISU44" s="468"/>
      <c r="ISV44" s="468"/>
      <c r="ISW44" s="468"/>
      <c r="ISX44" s="468"/>
      <c r="ISY44" s="468"/>
      <c r="ISZ44" s="468"/>
      <c r="ITA44" s="468"/>
      <c r="ITB44" s="468"/>
      <c r="ITC44" s="468"/>
      <c r="ITD44" s="468"/>
      <c r="ITE44" s="468"/>
      <c r="ITF44" s="468"/>
      <c r="ITG44" s="468"/>
      <c r="ITH44" s="468"/>
      <c r="ITI44" s="468"/>
      <c r="ITJ44" s="468"/>
      <c r="ITK44" s="468"/>
      <c r="ITL44" s="468"/>
      <c r="ITM44" s="468"/>
      <c r="ITN44" s="468"/>
      <c r="ITO44" s="468"/>
      <c r="ITP44" s="468"/>
      <c r="ITQ44" s="468"/>
      <c r="ITR44" s="468"/>
      <c r="ITS44" s="468"/>
      <c r="ITT44" s="468"/>
      <c r="ITU44" s="468"/>
      <c r="ITV44" s="468"/>
      <c r="ITW44" s="468"/>
      <c r="ITX44" s="468"/>
      <c r="ITY44" s="468"/>
      <c r="ITZ44" s="468"/>
      <c r="IUA44" s="468"/>
      <c r="IUB44" s="468"/>
      <c r="IUC44" s="468"/>
      <c r="IUD44" s="468"/>
      <c r="IUE44" s="468"/>
      <c r="IUF44" s="468"/>
      <c r="IUG44" s="468"/>
      <c r="IUH44" s="468"/>
      <c r="IUI44" s="468"/>
      <c r="IUJ44" s="468"/>
      <c r="IUK44" s="468"/>
      <c r="IUL44" s="468"/>
      <c r="IUM44" s="468"/>
      <c r="IUN44" s="468"/>
      <c r="IUO44" s="468"/>
      <c r="IUP44" s="468"/>
      <c r="IUQ44" s="468"/>
      <c r="IUR44" s="468"/>
      <c r="IUS44" s="468"/>
      <c r="IUT44" s="468"/>
      <c r="IUU44" s="468"/>
      <c r="IUV44" s="468"/>
      <c r="IUW44" s="468"/>
      <c r="IUX44" s="468"/>
      <c r="IUY44" s="468"/>
      <c r="IUZ44" s="468"/>
      <c r="IVA44" s="468"/>
      <c r="IVB44" s="468"/>
      <c r="IVC44" s="468"/>
      <c r="IVD44" s="468"/>
      <c r="IVE44" s="468"/>
      <c r="IVF44" s="468"/>
      <c r="IVG44" s="468"/>
      <c r="IVH44" s="468"/>
      <c r="IVI44" s="468"/>
      <c r="IVJ44" s="468"/>
      <c r="IVK44" s="468"/>
      <c r="IVL44" s="468"/>
      <c r="IVM44" s="468"/>
      <c r="IVN44" s="468"/>
      <c r="IVO44" s="468"/>
      <c r="IVP44" s="468"/>
      <c r="IVQ44" s="468"/>
      <c r="IVR44" s="468"/>
      <c r="IVS44" s="468"/>
      <c r="IVT44" s="468"/>
      <c r="IVU44" s="468"/>
      <c r="IVV44" s="468"/>
      <c r="IVW44" s="468"/>
      <c r="IVX44" s="468"/>
      <c r="IVY44" s="468"/>
      <c r="IVZ44" s="468"/>
      <c r="IWA44" s="468"/>
      <c r="IWB44" s="468"/>
      <c r="IWC44" s="468"/>
      <c r="IWD44" s="468"/>
      <c r="IWE44" s="468"/>
      <c r="IWF44" s="468"/>
      <c r="IWG44" s="468"/>
      <c r="IWH44" s="468"/>
      <c r="IWI44" s="468"/>
      <c r="IWJ44" s="468"/>
      <c r="IWK44" s="468"/>
      <c r="IWL44" s="468"/>
      <c r="IWM44" s="468"/>
      <c r="IWN44" s="468"/>
      <c r="IWO44" s="468"/>
      <c r="IWP44" s="468"/>
      <c r="IWQ44" s="468"/>
      <c r="IWR44" s="468"/>
      <c r="IWS44" s="468"/>
      <c r="IWT44" s="468"/>
      <c r="IWU44" s="468"/>
      <c r="IWV44" s="468"/>
      <c r="IWW44" s="468"/>
      <c r="IWX44" s="468"/>
      <c r="IWY44" s="468"/>
      <c r="IWZ44" s="468"/>
      <c r="IXA44" s="468"/>
      <c r="IXB44" s="468"/>
      <c r="IXC44" s="468"/>
      <c r="IXD44" s="468"/>
      <c r="IXE44" s="468"/>
      <c r="IXF44" s="468"/>
      <c r="IXG44" s="468"/>
      <c r="IXH44" s="468"/>
      <c r="IXI44" s="468"/>
      <c r="IXJ44" s="468"/>
      <c r="IXK44" s="468"/>
      <c r="IXL44" s="468"/>
      <c r="IXM44" s="468"/>
      <c r="IXN44" s="468"/>
      <c r="IXO44" s="468"/>
      <c r="IXP44" s="468"/>
      <c r="IXQ44" s="468"/>
      <c r="IXR44" s="468"/>
      <c r="IXS44" s="468"/>
      <c r="IXT44" s="468"/>
      <c r="IXU44" s="468"/>
      <c r="IXV44" s="468"/>
      <c r="IXW44" s="468"/>
      <c r="IXX44" s="468"/>
      <c r="IXY44" s="468"/>
      <c r="IXZ44" s="468"/>
      <c r="IYA44" s="468"/>
      <c r="IYB44" s="468"/>
      <c r="IYC44" s="468"/>
      <c r="IYD44" s="468"/>
      <c r="IYE44" s="468"/>
      <c r="IYF44" s="468"/>
      <c r="IYG44" s="468"/>
      <c r="IYH44" s="468"/>
      <c r="IYI44" s="468"/>
      <c r="IYJ44" s="468"/>
      <c r="IYK44" s="468"/>
      <c r="IYL44" s="468"/>
      <c r="IYM44" s="468"/>
      <c r="IYN44" s="468"/>
      <c r="IYO44" s="468"/>
      <c r="IYP44" s="468"/>
      <c r="IYQ44" s="468"/>
      <c r="IYR44" s="468"/>
      <c r="IYS44" s="468"/>
      <c r="IYT44" s="468"/>
      <c r="IYU44" s="468"/>
      <c r="IYV44" s="468"/>
      <c r="IYW44" s="468"/>
      <c r="IYX44" s="468"/>
      <c r="IYY44" s="468"/>
      <c r="IYZ44" s="468"/>
      <c r="IZA44" s="468"/>
      <c r="IZB44" s="468"/>
      <c r="IZC44" s="468"/>
      <c r="IZD44" s="468"/>
      <c r="IZE44" s="468"/>
      <c r="IZF44" s="468"/>
      <c r="IZG44" s="468"/>
      <c r="IZH44" s="468"/>
      <c r="IZI44" s="468"/>
      <c r="IZJ44" s="468"/>
      <c r="IZK44" s="468"/>
      <c r="IZL44" s="468"/>
      <c r="IZM44" s="468"/>
      <c r="IZN44" s="468"/>
      <c r="IZO44" s="468"/>
      <c r="IZP44" s="468"/>
      <c r="IZQ44" s="468"/>
      <c r="IZR44" s="468"/>
      <c r="IZS44" s="468"/>
      <c r="IZT44" s="468"/>
      <c r="IZU44" s="468"/>
      <c r="IZV44" s="468"/>
      <c r="IZW44" s="468"/>
      <c r="IZX44" s="468"/>
      <c r="IZY44" s="468"/>
      <c r="IZZ44" s="468"/>
      <c r="JAA44" s="468"/>
      <c r="JAB44" s="468"/>
      <c r="JAC44" s="468"/>
      <c r="JAD44" s="468"/>
      <c r="JAE44" s="468"/>
      <c r="JAF44" s="468"/>
      <c r="JAG44" s="468"/>
      <c r="JAH44" s="468"/>
      <c r="JAI44" s="468"/>
      <c r="JAJ44" s="468"/>
      <c r="JAK44" s="468"/>
      <c r="JAL44" s="468"/>
      <c r="JAM44" s="468"/>
      <c r="JAN44" s="468"/>
      <c r="JAO44" s="468"/>
      <c r="JAP44" s="468"/>
      <c r="JAQ44" s="468"/>
      <c r="JAR44" s="468"/>
      <c r="JAS44" s="468"/>
      <c r="JAT44" s="468"/>
      <c r="JAU44" s="468"/>
      <c r="JAV44" s="468"/>
      <c r="JAW44" s="468"/>
      <c r="JAX44" s="468"/>
      <c r="JAY44" s="468"/>
      <c r="JAZ44" s="468"/>
      <c r="JBA44" s="468"/>
      <c r="JBB44" s="468"/>
      <c r="JBC44" s="468"/>
      <c r="JBD44" s="468"/>
      <c r="JBE44" s="468"/>
      <c r="JBF44" s="468"/>
      <c r="JBG44" s="468"/>
      <c r="JBH44" s="468"/>
      <c r="JBI44" s="468"/>
      <c r="JBJ44" s="468"/>
      <c r="JBK44" s="468"/>
      <c r="JBL44" s="468"/>
      <c r="JBM44" s="468"/>
      <c r="JBN44" s="468"/>
      <c r="JBO44" s="468"/>
      <c r="JBP44" s="468"/>
      <c r="JBQ44" s="468"/>
      <c r="JBR44" s="468"/>
      <c r="JBS44" s="468"/>
      <c r="JBT44" s="468"/>
      <c r="JBU44" s="468"/>
      <c r="JBV44" s="468"/>
      <c r="JBW44" s="468"/>
      <c r="JBX44" s="468"/>
      <c r="JBY44" s="468"/>
      <c r="JBZ44" s="468"/>
      <c r="JCA44" s="468"/>
      <c r="JCB44" s="468"/>
      <c r="JCC44" s="468"/>
      <c r="JCD44" s="468"/>
      <c r="JCE44" s="468"/>
      <c r="JCF44" s="468"/>
      <c r="JCG44" s="468"/>
      <c r="JCH44" s="468"/>
      <c r="JCI44" s="468"/>
      <c r="JCJ44" s="468"/>
      <c r="JCK44" s="468"/>
      <c r="JCL44" s="468"/>
      <c r="JCM44" s="468"/>
      <c r="JCN44" s="468"/>
      <c r="JCO44" s="468"/>
      <c r="JCP44" s="468"/>
      <c r="JCQ44" s="468"/>
      <c r="JCR44" s="468"/>
      <c r="JCS44" s="468"/>
      <c r="JCT44" s="468"/>
      <c r="JCU44" s="468"/>
      <c r="JCV44" s="468"/>
      <c r="JCW44" s="468"/>
      <c r="JCX44" s="468"/>
      <c r="JCY44" s="468"/>
      <c r="JCZ44" s="468"/>
      <c r="JDA44" s="468"/>
      <c r="JDB44" s="468"/>
      <c r="JDC44" s="468"/>
      <c r="JDD44" s="468"/>
      <c r="JDE44" s="468"/>
      <c r="JDF44" s="468"/>
      <c r="JDG44" s="468"/>
      <c r="JDH44" s="468"/>
      <c r="JDI44" s="468"/>
      <c r="JDJ44" s="468"/>
      <c r="JDK44" s="468"/>
      <c r="JDL44" s="468"/>
      <c r="JDM44" s="468"/>
      <c r="JDN44" s="468"/>
      <c r="JDO44" s="468"/>
      <c r="JDP44" s="468"/>
      <c r="JDQ44" s="468"/>
      <c r="JDR44" s="468"/>
      <c r="JDS44" s="468"/>
      <c r="JDT44" s="468"/>
      <c r="JDU44" s="468"/>
      <c r="JDV44" s="468"/>
      <c r="JDW44" s="468"/>
      <c r="JDX44" s="468"/>
      <c r="JDY44" s="468"/>
      <c r="JDZ44" s="468"/>
      <c r="JEA44" s="468"/>
      <c r="JEB44" s="468"/>
      <c r="JEC44" s="468"/>
      <c r="JED44" s="468"/>
      <c r="JEE44" s="468"/>
      <c r="JEF44" s="468"/>
      <c r="JEG44" s="468"/>
      <c r="JEH44" s="468"/>
      <c r="JEI44" s="468"/>
      <c r="JEJ44" s="468"/>
      <c r="JEK44" s="468"/>
      <c r="JEL44" s="468"/>
      <c r="JEM44" s="468"/>
      <c r="JEN44" s="468"/>
      <c r="JEO44" s="468"/>
      <c r="JEP44" s="468"/>
      <c r="JEQ44" s="468"/>
      <c r="JER44" s="468"/>
      <c r="JES44" s="468"/>
      <c r="JET44" s="468"/>
      <c r="JEU44" s="468"/>
      <c r="JEV44" s="468"/>
      <c r="JEW44" s="468"/>
      <c r="JEX44" s="468"/>
      <c r="JEY44" s="468"/>
      <c r="JEZ44" s="468"/>
      <c r="JFA44" s="468"/>
      <c r="JFB44" s="468"/>
      <c r="JFC44" s="468"/>
      <c r="JFD44" s="468"/>
      <c r="JFE44" s="468"/>
      <c r="JFF44" s="468"/>
      <c r="JFG44" s="468"/>
      <c r="JFH44" s="468"/>
      <c r="JFI44" s="468"/>
      <c r="JFJ44" s="468"/>
      <c r="JFK44" s="468"/>
      <c r="JFL44" s="468"/>
      <c r="JFM44" s="468"/>
      <c r="JFN44" s="468"/>
      <c r="JFO44" s="468"/>
      <c r="JFP44" s="468"/>
      <c r="JFQ44" s="468"/>
      <c r="JFR44" s="468"/>
      <c r="JFS44" s="468"/>
      <c r="JFT44" s="468"/>
      <c r="JFU44" s="468"/>
      <c r="JFV44" s="468"/>
      <c r="JFW44" s="468"/>
      <c r="JFX44" s="468"/>
      <c r="JFY44" s="468"/>
      <c r="JFZ44" s="468"/>
      <c r="JGA44" s="468"/>
      <c r="JGB44" s="468"/>
      <c r="JGC44" s="468"/>
      <c r="JGD44" s="468"/>
      <c r="JGE44" s="468"/>
      <c r="JGF44" s="468"/>
      <c r="JGG44" s="468"/>
      <c r="JGH44" s="468"/>
      <c r="JGI44" s="468"/>
      <c r="JGJ44" s="468"/>
      <c r="JGK44" s="468"/>
      <c r="JGL44" s="468"/>
      <c r="JGM44" s="468"/>
      <c r="JGN44" s="468"/>
      <c r="JGO44" s="468"/>
      <c r="JGP44" s="468"/>
      <c r="JGQ44" s="468"/>
      <c r="JGR44" s="468"/>
      <c r="JGS44" s="468"/>
      <c r="JGT44" s="468"/>
      <c r="JGU44" s="468"/>
      <c r="JGV44" s="468"/>
      <c r="JGW44" s="468"/>
      <c r="JGX44" s="468"/>
      <c r="JGY44" s="468"/>
      <c r="JGZ44" s="468"/>
      <c r="JHA44" s="468"/>
      <c r="JHB44" s="468"/>
      <c r="JHC44" s="468"/>
      <c r="JHD44" s="468"/>
      <c r="JHE44" s="468"/>
      <c r="JHF44" s="468"/>
      <c r="JHG44" s="468"/>
      <c r="JHH44" s="468"/>
      <c r="JHI44" s="468"/>
      <c r="JHJ44" s="468"/>
      <c r="JHK44" s="468"/>
      <c r="JHL44" s="468"/>
      <c r="JHM44" s="468"/>
      <c r="JHN44" s="468"/>
      <c r="JHO44" s="468"/>
      <c r="JHP44" s="468"/>
      <c r="JHQ44" s="468"/>
      <c r="JHR44" s="468"/>
      <c r="JHS44" s="468"/>
      <c r="JHT44" s="468"/>
      <c r="JHU44" s="468"/>
      <c r="JHV44" s="468"/>
      <c r="JHW44" s="468"/>
      <c r="JHX44" s="468"/>
      <c r="JHY44" s="468"/>
      <c r="JHZ44" s="468"/>
      <c r="JIA44" s="468"/>
      <c r="JIB44" s="468"/>
      <c r="JIC44" s="468"/>
      <c r="JID44" s="468"/>
      <c r="JIE44" s="468"/>
      <c r="JIF44" s="468"/>
      <c r="JIG44" s="468"/>
      <c r="JIH44" s="468"/>
      <c r="JII44" s="468"/>
      <c r="JIJ44" s="468"/>
      <c r="JIK44" s="468"/>
      <c r="JIL44" s="468"/>
      <c r="JIM44" s="468"/>
      <c r="JIN44" s="468"/>
      <c r="JIO44" s="468"/>
      <c r="JIP44" s="468"/>
      <c r="JIQ44" s="468"/>
      <c r="JIR44" s="468"/>
      <c r="JIS44" s="468"/>
      <c r="JIT44" s="468"/>
      <c r="JIU44" s="468"/>
      <c r="JIV44" s="468"/>
      <c r="JIW44" s="468"/>
      <c r="JIX44" s="468"/>
      <c r="JIY44" s="468"/>
      <c r="JIZ44" s="468"/>
      <c r="JJA44" s="468"/>
      <c r="JJB44" s="468"/>
      <c r="JJC44" s="468"/>
      <c r="JJD44" s="468"/>
      <c r="JJE44" s="468"/>
      <c r="JJF44" s="468"/>
      <c r="JJG44" s="468"/>
      <c r="JJH44" s="468"/>
      <c r="JJI44" s="468"/>
      <c r="JJJ44" s="468"/>
      <c r="JJK44" s="468"/>
      <c r="JJL44" s="468"/>
      <c r="JJM44" s="468"/>
      <c r="JJN44" s="468"/>
      <c r="JJO44" s="468"/>
      <c r="JJP44" s="468"/>
      <c r="JJQ44" s="468"/>
      <c r="JJR44" s="468"/>
      <c r="JJS44" s="468"/>
      <c r="JJT44" s="468"/>
      <c r="JJU44" s="468"/>
      <c r="JJV44" s="468"/>
      <c r="JJW44" s="468"/>
      <c r="JJX44" s="468"/>
      <c r="JJY44" s="468"/>
      <c r="JJZ44" s="468"/>
      <c r="JKA44" s="468"/>
      <c r="JKB44" s="468"/>
      <c r="JKC44" s="468"/>
      <c r="JKD44" s="468"/>
      <c r="JKE44" s="468"/>
      <c r="JKF44" s="468"/>
      <c r="JKG44" s="468"/>
      <c r="JKH44" s="468"/>
      <c r="JKI44" s="468"/>
      <c r="JKJ44" s="468"/>
      <c r="JKK44" s="468"/>
      <c r="JKL44" s="468"/>
      <c r="JKM44" s="468"/>
      <c r="JKN44" s="468"/>
      <c r="JKO44" s="468"/>
      <c r="JKP44" s="468"/>
      <c r="JKQ44" s="468"/>
      <c r="JKR44" s="468"/>
      <c r="JKS44" s="468"/>
      <c r="JKT44" s="468"/>
      <c r="JKU44" s="468"/>
      <c r="JKV44" s="468"/>
      <c r="JKW44" s="468"/>
      <c r="JKX44" s="468"/>
      <c r="JKY44" s="468"/>
      <c r="JKZ44" s="468"/>
      <c r="JLA44" s="468"/>
      <c r="JLB44" s="468"/>
      <c r="JLC44" s="468"/>
      <c r="JLD44" s="468"/>
      <c r="JLE44" s="468"/>
      <c r="JLF44" s="468"/>
      <c r="JLG44" s="468"/>
      <c r="JLH44" s="468"/>
      <c r="JLI44" s="468"/>
      <c r="JLJ44" s="468"/>
      <c r="JLK44" s="468"/>
      <c r="JLL44" s="468"/>
      <c r="JLM44" s="468"/>
      <c r="JLN44" s="468"/>
      <c r="JLO44" s="468"/>
      <c r="JLP44" s="468"/>
      <c r="JLQ44" s="468"/>
      <c r="JLR44" s="468"/>
      <c r="JLS44" s="468"/>
      <c r="JLT44" s="468"/>
      <c r="JLU44" s="468"/>
      <c r="JLV44" s="468"/>
      <c r="JLW44" s="468"/>
      <c r="JLX44" s="468"/>
      <c r="JLY44" s="468"/>
      <c r="JLZ44" s="468"/>
      <c r="JMA44" s="468"/>
      <c r="JMB44" s="468"/>
      <c r="JMC44" s="468"/>
      <c r="JMD44" s="468"/>
      <c r="JME44" s="468"/>
      <c r="JMF44" s="468"/>
      <c r="JMG44" s="468"/>
      <c r="JMH44" s="468"/>
      <c r="JMI44" s="468"/>
      <c r="JMJ44" s="468"/>
      <c r="JMK44" s="468"/>
      <c r="JML44" s="468"/>
      <c r="JMM44" s="468"/>
      <c r="JMN44" s="468"/>
      <c r="JMO44" s="468"/>
      <c r="JMP44" s="468"/>
      <c r="JMQ44" s="468"/>
      <c r="JMR44" s="468"/>
      <c r="JMS44" s="468"/>
      <c r="JMT44" s="468"/>
      <c r="JMU44" s="468"/>
      <c r="JMV44" s="468"/>
      <c r="JMW44" s="468"/>
      <c r="JMX44" s="468"/>
      <c r="JMY44" s="468"/>
      <c r="JMZ44" s="468"/>
      <c r="JNA44" s="468"/>
      <c r="JNB44" s="468"/>
      <c r="JNC44" s="468"/>
      <c r="JND44" s="468"/>
      <c r="JNE44" s="468"/>
      <c r="JNF44" s="468"/>
      <c r="JNG44" s="468"/>
      <c r="JNH44" s="468"/>
      <c r="JNI44" s="468"/>
      <c r="JNJ44" s="468"/>
      <c r="JNK44" s="468"/>
      <c r="JNL44" s="468"/>
      <c r="JNM44" s="468"/>
      <c r="JNN44" s="468"/>
      <c r="JNO44" s="468"/>
      <c r="JNP44" s="468"/>
      <c r="JNQ44" s="468"/>
      <c r="JNR44" s="468"/>
      <c r="JNS44" s="468"/>
      <c r="JNT44" s="468"/>
      <c r="JNU44" s="468"/>
      <c r="JNV44" s="468"/>
      <c r="JNW44" s="468"/>
      <c r="JNX44" s="468"/>
      <c r="JNY44" s="468"/>
      <c r="JNZ44" s="468"/>
      <c r="JOA44" s="468"/>
      <c r="JOB44" s="468"/>
      <c r="JOC44" s="468"/>
      <c r="JOD44" s="468"/>
      <c r="JOE44" s="468"/>
      <c r="JOF44" s="468"/>
      <c r="JOG44" s="468"/>
      <c r="JOH44" s="468"/>
      <c r="JOI44" s="468"/>
      <c r="JOJ44" s="468"/>
      <c r="JOK44" s="468"/>
      <c r="JOL44" s="468"/>
      <c r="JOM44" s="468"/>
      <c r="JON44" s="468"/>
      <c r="JOO44" s="468"/>
      <c r="JOP44" s="468"/>
      <c r="JOQ44" s="468"/>
      <c r="JOR44" s="468"/>
      <c r="JOS44" s="468"/>
      <c r="JOT44" s="468"/>
      <c r="JOU44" s="468"/>
      <c r="JOV44" s="468"/>
      <c r="JOW44" s="468"/>
      <c r="JOX44" s="468"/>
      <c r="JOY44" s="468"/>
      <c r="JOZ44" s="468"/>
      <c r="JPA44" s="468"/>
      <c r="JPB44" s="468"/>
      <c r="JPC44" s="468"/>
      <c r="JPD44" s="468"/>
      <c r="JPE44" s="468"/>
      <c r="JPF44" s="468"/>
      <c r="JPG44" s="468"/>
      <c r="JPH44" s="468"/>
      <c r="JPI44" s="468"/>
      <c r="JPJ44" s="468"/>
      <c r="JPK44" s="468"/>
      <c r="JPL44" s="468"/>
      <c r="JPM44" s="468"/>
      <c r="JPN44" s="468"/>
      <c r="JPO44" s="468"/>
      <c r="JPP44" s="468"/>
      <c r="JPQ44" s="468"/>
      <c r="JPR44" s="468"/>
      <c r="JPS44" s="468"/>
      <c r="JPT44" s="468"/>
      <c r="JPU44" s="468"/>
      <c r="JPV44" s="468"/>
      <c r="JPW44" s="468"/>
      <c r="JPX44" s="468"/>
      <c r="JPY44" s="468"/>
      <c r="JPZ44" s="468"/>
      <c r="JQA44" s="468"/>
      <c r="JQB44" s="468"/>
      <c r="JQC44" s="468"/>
      <c r="JQD44" s="468"/>
      <c r="JQE44" s="468"/>
      <c r="JQF44" s="468"/>
      <c r="JQG44" s="468"/>
      <c r="JQH44" s="468"/>
      <c r="JQI44" s="468"/>
      <c r="JQJ44" s="468"/>
      <c r="JQK44" s="468"/>
      <c r="JQL44" s="468"/>
      <c r="JQM44" s="468"/>
      <c r="JQN44" s="468"/>
      <c r="JQO44" s="468"/>
      <c r="JQP44" s="468"/>
      <c r="JQQ44" s="468"/>
      <c r="JQR44" s="468"/>
      <c r="JQS44" s="468"/>
      <c r="JQT44" s="468"/>
      <c r="JQU44" s="468"/>
      <c r="JQV44" s="468"/>
      <c r="JQW44" s="468"/>
      <c r="JQX44" s="468"/>
      <c r="JQY44" s="468"/>
      <c r="JQZ44" s="468"/>
      <c r="JRA44" s="468"/>
      <c r="JRB44" s="468"/>
      <c r="JRC44" s="468"/>
      <c r="JRD44" s="468"/>
      <c r="JRE44" s="468"/>
      <c r="JRF44" s="468"/>
      <c r="JRG44" s="468"/>
      <c r="JRH44" s="468"/>
      <c r="JRI44" s="468"/>
      <c r="JRJ44" s="468"/>
      <c r="JRK44" s="468"/>
      <c r="JRL44" s="468"/>
      <c r="JRM44" s="468"/>
      <c r="JRN44" s="468"/>
      <c r="JRO44" s="468"/>
      <c r="JRP44" s="468"/>
      <c r="JRQ44" s="468"/>
      <c r="JRR44" s="468"/>
      <c r="JRS44" s="468"/>
      <c r="JRT44" s="468"/>
      <c r="JRU44" s="468"/>
      <c r="JRV44" s="468"/>
      <c r="JRW44" s="468"/>
      <c r="JRX44" s="468"/>
      <c r="JRY44" s="468"/>
      <c r="JRZ44" s="468"/>
      <c r="JSA44" s="468"/>
      <c r="JSB44" s="468"/>
      <c r="JSC44" s="468"/>
      <c r="JSD44" s="468"/>
      <c r="JSE44" s="468"/>
      <c r="JSF44" s="468"/>
      <c r="JSG44" s="468"/>
      <c r="JSH44" s="468"/>
      <c r="JSI44" s="468"/>
      <c r="JSJ44" s="468"/>
      <c r="JSK44" s="468"/>
      <c r="JSL44" s="468"/>
      <c r="JSM44" s="468"/>
      <c r="JSN44" s="468"/>
      <c r="JSO44" s="468"/>
      <c r="JSP44" s="468"/>
      <c r="JSQ44" s="468"/>
      <c r="JSR44" s="468"/>
      <c r="JSS44" s="468"/>
      <c r="JST44" s="468"/>
      <c r="JSU44" s="468"/>
      <c r="JSV44" s="468"/>
      <c r="JSW44" s="468"/>
      <c r="JSX44" s="468"/>
      <c r="JSY44" s="468"/>
      <c r="JSZ44" s="468"/>
      <c r="JTA44" s="468"/>
      <c r="JTB44" s="468"/>
      <c r="JTC44" s="468"/>
      <c r="JTD44" s="468"/>
      <c r="JTE44" s="468"/>
      <c r="JTF44" s="468"/>
      <c r="JTG44" s="468"/>
      <c r="JTH44" s="468"/>
      <c r="JTI44" s="468"/>
      <c r="JTJ44" s="468"/>
      <c r="JTK44" s="468"/>
      <c r="JTL44" s="468"/>
      <c r="JTM44" s="468"/>
      <c r="JTN44" s="468"/>
      <c r="JTO44" s="468"/>
      <c r="JTP44" s="468"/>
      <c r="JTQ44" s="468"/>
      <c r="JTR44" s="468"/>
      <c r="JTS44" s="468"/>
      <c r="JTT44" s="468"/>
      <c r="JTU44" s="468"/>
      <c r="JTV44" s="468"/>
      <c r="JTW44" s="468"/>
      <c r="JTX44" s="468"/>
      <c r="JTY44" s="468"/>
      <c r="JTZ44" s="468"/>
      <c r="JUA44" s="468"/>
      <c r="JUB44" s="468"/>
      <c r="JUC44" s="468"/>
      <c r="JUD44" s="468"/>
      <c r="JUE44" s="468"/>
      <c r="JUF44" s="468"/>
      <c r="JUG44" s="468"/>
      <c r="JUH44" s="468"/>
      <c r="JUI44" s="468"/>
      <c r="JUJ44" s="468"/>
      <c r="JUK44" s="468"/>
      <c r="JUL44" s="468"/>
      <c r="JUM44" s="468"/>
      <c r="JUN44" s="468"/>
      <c r="JUO44" s="468"/>
      <c r="JUP44" s="468"/>
      <c r="JUQ44" s="468"/>
      <c r="JUR44" s="468"/>
      <c r="JUS44" s="468"/>
      <c r="JUT44" s="468"/>
      <c r="JUU44" s="468"/>
      <c r="JUV44" s="468"/>
      <c r="JUW44" s="468"/>
      <c r="JUX44" s="468"/>
      <c r="JUY44" s="468"/>
      <c r="JUZ44" s="468"/>
      <c r="JVA44" s="468"/>
      <c r="JVB44" s="468"/>
      <c r="JVC44" s="468"/>
      <c r="JVD44" s="468"/>
      <c r="JVE44" s="468"/>
      <c r="JVF44" s="468"/>
      <c r="JVG44" s="468"/>
      <c r="JVH44" s="468"/>
      <c r="JVI44" s="468"/>
      <c r="JVJ44" s="468"/>
      <c r="JVK44" s="468"/>
      <c r="JVL44" s="468"/>
      <c r="JVM44" s="468"/>
      <c r="JVN44" s="468"/>
      <c r="JVO44" s="468"/>
      <c r="JVP44" s="468"/>
      <c r="JVQ44" s="468"/>
      <c r="JVR44" s="468"/>
      <c r="JVS44" s="468"/>
      <c r="JVT44" s="468"/>
      <c r="JVU44" s="468"/>
      <c r="JVV44" s="468"/>
      <c r="JVW44" s="468"/>
      <c r="JVX44" s="468"/>
      <c r="JVY44" s="468"/>
      <c r="JVZ44" s="468"/>
      <c r="JWA44" s="468"/>
      <c r="JWB44" s="468"/>
      <c r="JWC44" s="468"/>
      <c r="JWD44" s="468"/>
      <c r="JWE44" s="468"/>
      <c r="JWF44" s="468"/>
      <c r="JWG44" s="468"/>
      <c r="JWH44" s="468"/>
      <c r="JWI44" s="468"/>
      <c r="JWJ44" s="468"/>
      <c r="JWK44" s="468"/>
      <c r="JWL44" s="468"/>
      <c r="JWM44" s="468"/>
      <c r="JWN44" s="468"/>
      <c r="JWO44" s="468"/>
      <c r="JWP44" s="468"/>
      <c r="JWQ44" s="468"/>
      <c r="JWR44" s="468"/>
      <c r="JWS44" s="468"/>
      <c r="JWT44" s="468"/>
      <c r="JWU44" s="468"/>
      <c r="JWV44" s="468"/>
      <c r="JWW44" s="468"/>
      <c r="JWX44" s="468"/>
      <c r="JWY44" s="468"/>
      <c r="JWZ44" s="468"/>
      <c r="JXA44" s="468"/>
      <c r="JXB44" s="468"/>
      <c r="JXC44" s="468"/>
      <c r="JXD44" s="468"/>
      <c r="JXE44" s="468"/>
      <c r="JXF44" s="468"/>
      <c r="JXG44" s="468"/>
      <c r="JXH44" s="468"/>
      <c r="JXI44" s="468"/>
      <c r="JXJ44" s="468"/>
      <c r="JXK44" s="468"/>
      <c r="JXL44" s="468"/>
      <c r="JXM44" s="468"/>
      <c r="JXN44" s="468"/>
      <c r="JXO44" s="468"/>
      <c r="JXP44" s="468"/>
      <c r="JXQ44" s="468"/>
      <c r="JXR44" s="468"/>
      <c r="JXS44" s="468"/>
      <c r="JXT44" s="468"/>
      <c r="JXU44" s="468"/>
      <c r="JXV44" s="468"/>
      <c r="JXW44" s="468"/>
      <c r="JXX44" s="468"/>
      <c r="JXY44" s="468"/>
      <c r="JXZ44" s="468"/>
      <c r="JYA44" s="468"/>
      <c r="JYB44" s="468"/>
      <c r="JYC44" s="468"/>
      <c r="JYD44" s="468"/>
      <c r="JYE44" s="468"/>
      <c r="JYF44" s="468"/>
      <c r="JYG44" s="468"/>
      <c r="JYH44" s="468"/>
      <c r="JYI44" s="468"/>
      <c r="JYJ44" s="468"/>
      <c r="JYK44" s="468"/>
      <c r="JYL44" s="468"/>
      <c r="JYM44" s="468"/>
      <c r="JYN44" s="468"/>
      <c r="JYO44" s="468"/>
      <c r="JYP44" s="468"/>
      <c r="JYQ44" s="468"/>
      <c r="JYR44" s="468"/>
      <c r="JYS44" s="468"/>
      <c r="JYT44" s="468"/>
      <c r="JYU44" s="468"/>
      <c r="JYV44" s="468"/>
      <c r="JYW44" s="468"/>
      <c r="JYX44" s="468"/>
      <c r="JYY44" s="468"/>
      <c r="JYZ44" s="468"/>
      <c r="JZA44" s="468"/>
      <c r="JZB44" s="468"/>
      <c r="JZC44" s="468"/>
      <c r="JZD44" s="468"/>
      <c r="JZE44" s="468"/>
      <c r="JZF44" s="468"/>
      <c r="JZG44" s="468"/>
      <c r="JZH44" s="468"/>
      <c r="JZI44" s="468"/>
      <c r="JZJ44" s="468"/>
      <c r="JZK44" s="468"/>
      <c r="JZL44" s="468"/>
      <c r="JZM44" s="468"/>
      <c r="JZN44" s="468"/>
      <c r="JZO44" s="468"/>
      <c r="JZP44" s="468"/>
      <c r="JZQ44" s="468"/>
      <c r="JZR44" s="468"/>
      <c r="JZS44" s="468"/>
      <c r="JZT44" s="468"/>
      <c r="JZU44" s="468"/>
      <c r="JZV44" s="468"/>
      <c r="JZW44" s="468"/>
      <c r="JZX44" s="468"/>
      <c r="JZY44" s="468"/>
      <c r="JZZ44" s="468"/>
      <c r="KAA44" s="468"/>
      <c r="KAB44" s="468"/>
      <c r="KAC44" s="468"/>
      <c r="KAD44" s="468"/>
      <c r="KAE44" s="468"/>
      <c r="KAF44" s="468"/>
      <c r="KAG44" s="468"/>
      <c r="KAH44" s="468"/>
      <c r="KAI44" s="468"/>
      <c r="KAJ44" s="468"/>
      <c r="KAK44" s="468"/>
      <c r="KAL44" s="468"/>
      <c r="KAM44" s="468"/>
      <c r="KAN44" s="468"/>
      <c r="KAO44" s="468"/>
      <c r="KAP44" s="468"/>
      <c r="KAQ44" s="468"/>
      <c r="KAR44" s="468"/>
      <c r="KAS44" s="468"/>
      <c r="KAT44" s="468"/>
      <c r="KAU44" s="468"/>
      <c r="KAV44" s="468"/>
      <c r="KAW44" s="468"/>
      <c r="KAX44" s="468"/>
      <c r="KAY44" s="468"/>
      <c r="KAZ44" s="468"/>
      <c r="KBA44" s="468"/>
      <c r="KBB44" s="468"/>
      <c r="KBC44" s="468"/>
      <c r="KBD44" s="468"/>
      <c r="KBE44" s="468"/>
      <c r="KBF44" s="468"/>
      <c r="KBG44" s="468"/>
      <c r="KBH44" s="468"/>
      <c r="KBI44" s="468"/>
      <c r="KBJ44" s="468"/>
      <c r="KBK44" s="468"/>
      <c r="KBL44" s="468"/>
      <c r="KBM44" s="468"/>
      <c r="KBN44" s="468"/>
      <c r="KBO44" s="468"/>
      <c r="KBP44" s="468"/>
      <c r="KBQ44" s="468"/>
      <c r="KBR44" s="468"/>
      <c r="KBS44" s="468"/>
      <c r="KBT44" s="468"/>
      <c r="KBU44" s="468"/>
      <c r="KBV44" s="468"/>
      <c r="KBW44" s="468"/>
      <c r="KBX44" s="468"/>
      <c r="KBY44" s="468"/>
      <c r="KBZ44" s="468"/>
      <c r="KCA44" s="468"/>
      <c r="KCB44" s="468"/>
      <c r="KCC44" s="468"/>
      <c r="KCD44" s="468"/>
      <c r="KCE44" s="468"/>
      <c r="KCF44" s="468"/>
      <c r="KCG44" s="468"/>
      <c r="KCH44" s="468"/>
      <c r="KCI44" s="468"/>
      <c r="KCJ44" s="468"/>
      <c r="KCK44" s="468"/>
      <c r="KCL44" s="468"/>
      <c r="KCM44" s="468"/>
      <c r="KCN44" s="468"/>
      <c r="KCO44" s="468"/>
      <c r="KCP44" s="468"/>
      <c r="KCQ44" s="468"/>
      <c r="KCR44" s="468"/>
      <c r="KCS44" s="468"/>
      <c r="KCT44" s="468"/>
      <c r="KCU44" s="468"/>
      <c r="KCV44" s="468"/>
      <c r="KCW44" s="468"/>
      <c r="KCX44" s="468"/>
      <c r="KCY44" s="468"/>
      <c r="KCZ44" s="468"/>
      <c r="KDA44" s="468"/>
      <c r="KDB44" s="468"/>
      <c r="KDC44" s="468"/>
      <c r="KDD44" s="468"/>
      <c r="KDE44" s="468"/>
      <c r="KDF44" s="468"/>
      <c r="KDG44" s="468"/>
      <c r="KDH44" s="468"/>
      <c r="KDI44" s="468"/>
      <c r="KDJ44" s="468"/>
      <c r="KDK44" s="468"/>
      <c r="KDL44" s="468"/>
      <c r="KDM44" s="468"/>
      <c r="KDN44" s="468"/>
      <c r="KDO44" s="468"/>
      <c r="KDP44" s="468"/>
      <c r="KDQ44" s="468"/>
      <c r="KDR44" s="468"/>
      <c r="KDS44" s="468"/>
      <c r="KDT44" s="468"/>
      <c r="KDU44" s="468"/>
      <c r="KDV44" s="468"/>
      <c r="KDW44" s="468"/>
      <c r="KDX44" s="468"/>
      <c r="KDY44" s="468"/>
      <c r="KDZ44" s="468"/>
      <c r="KEA44" s="468"/>
      <c r="KEB44" s="468"/>
      <c r="KEC44" s="468"/>
      <c r="KED44" s="468"/>
      <c r="KEE44" s="468"/>
      <c r="KEF44" s="468"/>
      <c r="KEG44" s="468"/>
      <c r="KEH44" s="468"/>
      <c r="KEI44" s="468"/>
      <c r="KEJ44" s="468"/>
      <c r="KEK44" s="468"/>
      <c r="KEL44" s="468"/>
      <c r="KEM44" s="468"/>
      <c r="KEN44" s="468"/>
      <c r="KEO44" s="468"/>
      <c r="KEP44" s="468"/>
      <c r="KEQ44" s="468"/>
      <c r="KER44" s="468"/>
      <c r="KES44" s="468"/>
      <c r="KET44" s="468"/>
      <c r="KEU44" s="468"/>
      <c r="KEV44" s="468"/>
      <c r="KEW44" s="468"/>
      <c r="KEX44" s="468"/>
      <c r="KEY44" s="468"/>
      <c r="KEZ44" s="468"/>
      <c r="KFA44" s="468"/>
      <c r="KFB44" s="468"/>
      <c r="KFC44" s="468"/>
      <c r="KFD44" s="468"/>
      <c r="KFE44" s="468"/>
      <c r="KFF44" s="468"/>
      <c r="KFG44" s="468"/>
      <c r="KFH44" s="468"/>
      <c r="KFI44" s="468"/>
      <c r="KFJ44" s="468"/>
      <c r="KFK44" s="468"/>
      <c r="KFL44" s="468"/>
      <c r="KFM44" s="468"/>
      <c r="KFN44" s="468"/>
      <c r="KFO44" s="468"/>
      <c r="KFP44" s="468"/>
      <c r="KFQ44" s="468"/>
      <c r="KFR44" s="468"/>
      <c r="KFS44" s="468"/>
      <c r="KFT44" s="468"/>
      <c r="KFU44" s="468"/>
      <c r="KFV44" s="468"/>
      <c r="KFW44" s="468"/>
      <c r="KFX44" s="468"/>
      <c r="KFY44" s="468"/>
      <c r="KFZ44" s="468"/>
      <c r="KGA44" s="468"/>
      <c r="KGB44" s="468"/>
      <c r="KGC44" s="468"/>
      <c r="KGD44" s="468"/>
      <c r="KGE44" s="468"/>
      <c r="KGF44" s="468"/>
      <c r="KGG44" s="468"/>
      <c r="KGH44" s="468"/>
      <c r="KGI44" s="468"/>
      <c r="KGJ44" s="468"/>
      <c r="KGK44" s="468"/>
      <c r="KGL44" s="468"/>
      <c r="KGM44" s="468"/>
      <c r="KGN44" s="468"/>
      <c r="KGO44" s="468"/>
      <c r="KGP44" s="468"/>
      <c r="KGQ44" s="468"/>
      <c r="KGR44" s="468"/>
      <c r="KGS44" s="468"/>
      <c r="KGT44" s="468"/>
      <c r="KGU44" s="468"/>
      <c r="KGV44" s="468"/>
      <c r="KGW44" s="468"/>
      <c r="KGX44" s="468"/>
      <c r="KGY44" s="468"/>
      <c r="KGZ44" s="468"/>
      <c r="KHA44" s="468"/>
      <c r="KHB44" s="468"/>
      <c r="KHC44" s="468"/>
      <c r="KHD44" s="468"/>
      <c r="KHE44" s="468"/>
      <c r="KHF44" s="468"/>
      <c r="KHG44" s="468"/>
      <c r="KHH44" s="468"/>
      <c r="KHI44" s="468"/>
      <c r="KHJ44" s="468"/>
      <c r="KHK44" s="468"/>
      <c r="KHL44" s="468"/>
      <c r="KHM44" s="468"/>
      <c r="KHN44" s="468"/>
      <c r="KHO44" s="468"/>
      <c r="KHP44" s="468"/>
      <c r="KHQ44" s="468"/>
      <c r="KHR44" s="468"/>
      <c r="KHS44" s="468"/>
      <c r="KHT44" s="468"/>
      <c r="KHU44" s="468"/>
      <c r="KHV44" s="468"/>
      <c r="KHW44" s="468"/>
      <c r="KHX44" s="468"/>
      <c r="KHY44" s="468"/>
      <c r="KHZ44" s="468"/>
      <c r="KIA44" s="468"/>
      <c r="KIB44" s="468"/>
      <c r="KIC44" s="468"/>
      <c r="KID44" s="468"/>
      <c r="KIE44" s="468"/>
      <c r="KIF44" s="468"/>
      <c r="KIG44" s="468"/>
      <c r="KIH44" s="468"/>
      <c r="KII44" s="468"/>
      <c r="KIJ44" s="468"/>
      <c r="KIK44" s="468"/>
      <c r="KIL44" s="468"/>
      <c r="KIM44" s="468"/>
      <c r="KIN44" s="468"/>
      <c r="KIO44" s="468"/>
      <c r="KIP44" s="468"/>
      <c r="KIQ44" s="468"/>
      <c r="KIR44" s="468"/>
      <c r="KIS44" s="468"/>
      <c r="KIT44" s="468"/>
      <c r="KIU44" s="468"/>
      <c r="KIV44" s="468"/>
      <c r="KIW44" s="468"/>
      <c r="KIX44" s="468"/>
      <c r="KIY44" s="468"/>
      <c r="KIZ44" s="468"/>
      <c r="KJA44" s="468"/>
      <c r="KJB44" s="468"/>
      <c r="KJC44" s="468"/>
      <c r="KJD44" s="468"/>
      <c r="KJE44" s="468"/>
      <c r="KJF44" s="468"/>
      <c r="KJG44" s="468"/>
      <c r="KJH44" s="468"/>
      <c r="KJI44" s="468"/>
      <c r="KJJ44" s="468"/>
      <c r="KJK44" s="468"/>
      <c r="KJL44" s="468"/>
      <c r="KJM44" s="468"/>
      <c r="KJN44" s="468"/>
      <c r="KJO44" s="468"/>
      <c r="KJP44" s="468"/>
      <c r="KJQ44" s="468"/>
      <c r="KJR44" s="468"/>
      <c r="KJS44" s="468"/>
      <c r="KJT44" s="468"/>
      <c r="KJU44" s="468"/>
      <c r="KJV44" s="468"/>
      <c r="KJW44" s="468"/>
      <c r="KJX44" s="468"/>
      <c r="KJY44" s="468"/>
      <c r="KJZ44" s="468"/>
      <c r="KKA44" s="468"/>
      <c r="KKB44" s="468"/>
      <c r="KKC44" s="468"/>
      <c r="KKD44" s="468"/>
      <c r="KKE44" s="468"/>
      <c r="KKF44" s="468"/>
      <c r="KKG44" s="468"/>
      <c r="KKH44" s="468"/>
      <c r="KKI44" s="468"/>
      <c r="KKJ44" s="468"/>
      <c r="KKK44" s="468"/>
      <c r="KKL44" s="468"/>
      <c r="KKM44" s="468"/>
      <c r="KKN44" s="468"/>
      <c r="KKO44" s="468"/>
      <c r="KKP44" s="468"/>
      <c r="KKQ44" s="468"/>
      <c r="KKR44" s="468"/>
      <c r="KKS44" s="468"/>
      <c r="KKT44" s="468"/>
      <c r="KKU44" s="468"/>
      <c r="KKV44" s="468"/>
      <c r="KKW44" s="468"/>
      <c r="KKX44" s="468"/>
      <c r="KKY44" s="468"/>
      <c r="KKZ44" s="468"/>
      <c r="KLA44" s="468"/>
      <c r="KLB44" s="468"/>
      <c r="KLC44" s="468"/>
      <c r="KLD44" s="468"/>
      <c r="KLE44" s="468"/>
      <c r="KLF44" s="468"/>
      <c r="KLG44" s="468"/>
      <c r="KLH44" s="468"/>
      <c r="KLI44" s="468"/>
      <c r="KLJ44" s="468"/>
      <c r="KLK44" s="468"/>
      <c r="KLL44" s="468"/>
      <c r="KLM44" s="468"/>
      <c r="KLN44" s="468"/>
      <c r="KLO44" s="468"/>
      <c r="KLP44" s="468"/>
      <c r="KLQ44" s="468"/>
      <c r="KLR44" s="468"/>
      <c r="KLS44" s="468"/>
      <c r="KLT44" s="468"/>
      <c r="KLU44" s="468"/>
      <c r="KLV44" s="468"/>
      <c r="KLW44" s="468"/>
      <c r="KLX44" s="468"/>
      <c r="KLY44" s="468"/>
      <c r="KLZ44" s="468"/>
      <c r="KMA44" s="468"/>
      <c r="KMB44" s="468"/>
      <c r="KMC44" s="468"/>
      <c r="KMD44" s="468"/>
      <c r="KME44" s="468"/>
      <c r="KMF44" s="468"/>
      <c r="KMG44" s="468"/>
      <c r="KMH44" s="468"/>
      <c r="KMI44" s="468"/>
      <c r="KMJ44" s="468"/>
      <c r="KMK44" s="468"/>
      <c r="KML44" s="468"/>
      <c r="KMM44" s="468"/>
      <c r="KMN44" s="468"/>
      <c r="KMO44" s="468"/>
      <c r="KMP44" s="468"/>
      <c r="KMQ44" s="468"/>
      <c r="KMR44" s="468"/>
      <c r="KMS44" s="468"/>
      <c r="KMT44" s="468"/>
      <c r="KMU44" s="468"/>
      <c r="KMV44" s="468"/>
      <c r="KMW44" s="468"/>
      <c r="KMX44" s="468"/>
      <c r="KMY44" s="468"/>
      <c r="KMZ44" s="468"/>
      <c r="KNA44" s="468"/>
      <c r="KNB44" s="468"/>
      <c r="KNC44" s="468"/>
      <c r="KND44" s="468"/>
      <c r="KNE44" s="468"/>
      <c r="KNF44" s="468"/>
      <c r="KNG44" s="468"/>
      <c r="KNH44" s="468"/>
      <c r="KNI44" s="468"/>
      <c r="KNJ44" s="468"/>
      <c r="KNK44" s="468"/>
      <c r="KNL44" s="468"/>
      <c r="KNM44" s="468"/>
      <c r="KNN44" s="468"/>
      <c r="KNO44" s="468"/>
      <c r="KNP44" s="468"/>
      <c r="KNQ44" s="468"/>
      <c r="KNR44" s="468"/>
      <c r="KNS44" s="468"/>
      <c r="KNT44" s="468"/>
      <c r="KNU44" s="468"/>
      <c r="KNV44" s="468"/>
      <c r="KNW44" s="468"/>
      <c r="KNX44" s="468"/>
      <c r="KNY44" s="468"/>
      <c r="KNZ44" s="468"/>
      <c r="KOA44" s="468"/>
      <c r="KOB44" s="468"/>
      <c r="KOC44" s="468"/>
      <c r="KOD44" s="468"/>
      <c r="KOE44" s="468"/>
      <c r="KOF44" s="468"/>
      <c r="KOG44" s="468"/>
      <c r="KOH44" s="468"/>
      <c r="KOI44" s="468"/>
      <c r="KOJ44" s="468"/>
      <c r="KOK44" s="468"/>
      <c r="KOL44" s="468"/>
      <c r="KOM44" s="468"/>
      <c r="KON44" s="468"/>
      <c r="KOO44" s="468"/>
      <c r="KOP44" s="468"/>
      <c r="KOQ44" s="468"/>
      <c r="KOR44" s="468"/>
      <c r="KOS44" s="468"/>
      <c r="KOT44" s="468"/>
      <c r="KOU44" s="468"/>
      <c r="KOV44" s="468"/>
      <c r="KOW44" s="468"/>
      <c r="KOX44" s="468"/>
      <c r="KOY44" s="468"/>
      <c r="KOZ44" s="468"/>
      <c r="KPA44" s="468"/>
      <c r="KPB44" s="468"/>
      <c r="KPC44" s="468"/>
      <c r="KPD44" s="468"/>
      <c r="KPE44" s="468"/>
      <c r="KPF44" s="468"/>
      <c r="KPG44" s="468"/>
      <c r="KPH44" s="468"/>
      <c r="KPI44" s="468"/>
      <c r="KPJ44" s="468"/>
      <c r="KPK44" s="468"/>
      <c r="KPL44" s="468"/>
      <c r="KPM44" s="468"/>
      <c r="KPN44" s="468"/>
      <c r="KPO44" s="468"/>
      <c r="KPP44" s="468"/>
      <c r="KPQ44" s="468"/>
      <c r="KPR44" s="468"/>
      <c r="KPS44" s="468"/>
      <c r="KPT44" s="468"/>
      <c r="KPU44" s="468"/>
      <c r="KPV44" s="468"/>
      <c r="KPW44" s="468"/>
      <c r="KPX44" s="468"/>
      <c r="KPY44" s="468"/>
      <c r="KPZ44" s="468"/>
      <c r="KQA44" s="468"/>
      <c r="KQB44" s="468"/>
      <c r="KQC44" s="468"/>
      <c r="KQD44" s="468"/>
      <c r="KQE44" s="468"/>
      <c r="KQF44" s="468"/>
      <c r="KQG44" s="468"/>
      <c r="KQH44" s="468"/>
      <c r="KQI44" s="468"/>
      <c r="KQJ44" s="468"/>
      <c r="KQK44" s="468"/>
      <c r="KQL44" s="468"/>
      <c r="KQM44" s="468"/>
      <c r="KQN44" s="468"/>
      <c r="KQO44" s="468"/>
      <c r="KQP44" s="468"/>
      <c r="KQQ44" s="468"/>
      <c r="KQR44" s="468"/>
      <c r="KQS44" s="468"/>
      <c r="KQT44" s="468"/>
      <c r="KQU44" s="468"/>
      <c r="KQV44" s="468"/>
      <c r="KQW44" s="468"/>
      <c r="KQX44" s="468"/>
      <c r="KQY44" s="468"/>
      <c r="KQZ44" s="468"/>
      <c r="KRA44" s="468"/>
      <c r="KRB44" s="468"/>
      <c r="KRC44" s="468"/>
      <c r="KRD44" s="468"/>
      <c r="KRE44" s="468"/>
      <c r="KRF44" s="468"/>
      <c r="KRG44" s="468"/>
      <c r="KRH44" s="468"/>
      <c r="KRI44" s="468"/>
      <c r="KRJ44" s="468"/>
      <c r="KRK44" s="468"/>
      <c r="KRL44" s="468"/>
      <c r="KRM44" s="468"/>
      <c r="KRN44" s="468"/>
      <c r="KRO44" s="468"/>
      <c r="KRP44" s="468"/>
      <c r="KRQ44" s="468"/>
      <c r="KRR44" s="468"/>
      <c r="KRS44" s="468"/>
      <c r="KRT44" s="468"/>
      <c r="KRU44" s="468"/>
      <c r="KRV44" s="468"/>
      <c r="KRW44" s="468"/>
      <c r="KRX44" s="468"/>
      <c r="KRY44" s="468"/>
      <c r="KRZ44" s="468"/>
      <c r="KSA44" s="468"/>
      <c r="KSB44" s="468"/>
      <c r="KSC44" s="468"/>
      <c r="KSD44" s="468"/>
      <c r="KSE44" s="468"/>
      <c r="KSF44" s="468"/>
      <c r="KSG44" s="468"/>
      <c r="KSH44" s="468"/>
      <c r="KSI44" s="468"/>
      <c r="KSJ44" s="468"/>
      <c r="KSK44" s="468"/>
      <c r="KSL44" s="468"/>
      <c r="KSM44" s="468"/>
      <c r="KSN44" s="468"/>
      <c r="KSO44" s="468"/>
      <c r="KSP44" s="468"/>
      <c r="KSQ44" s="468"/>
      <c r="KSR44" s="468"/>
      <c r="KSS44" s="468"/>
      <c r="KST44" s="468"/>
      <c r="KSU44" s="468"/>
      <c r="KSV44" s="468"/>
      <c r="KSW44" s="468"/>
      <c r="KSX44" s="468"/>
      <c r="KSY44" s="468"/>
      <c r="KSZ44" s="468"/>
      <c r="KTA44" s="468"/>
      <c r="KTB44" s="468"/>
      <c r="KTC44" s="468"/>
      <c r="KTD44" s="468"/>
      <c r="KTE44" s="468"/>
      <c r="KTF44" s="468"/>
      <c r="KTG44" s="468"/>
      <c r="KTH44" s="468"/>
      <c r="KTI44" s="468"/>
      <c r="KTJ44" s="468"/>
      <c r="KTK44" s="468"/>
      <c r="KTL44" s="468"/>
      <c r="KTM44" s="468"/>
      <c r="KTN44" s="468"/>
      <c r="KTO44" s="468"/>
      <c r="KTP44" s="468"/>
      <c r="KTQ44" s="468"/>
      <c r="KTR44" s="468"/>
      <c r="KTS44" s="468"/>
      <c r="KTT44" s="468"/>
      <c r="KTU44" s="468"/>
      <c r="KTV44" s="468"/>
      <c r="KTW44" s="468"/>
      <c r="KTX44" s="468"/>
      <c r="KTY44" s="468"/>
      <c r="KTZ44" s="468"/>
      <c r="KUA44" s="468"/>
      <c r="KUB44" s="468"/>
      <c r="KUC44" s="468"/>
      <c r="KUD44" s="468"/>
      <c r="KUE44" s="468"/>
      <c r="KUF44" s="468"/>
      <c r="KUG44" s="468"/>
      <c r="KUH44" s="468"/>
      <c r="KUI44" s="468"/>
      <c r="KUJ44" s="468"/>
      <c r="KUK44" s="468"/>
      <c r="KUL44" s="468"/>
      <c r="KUM44" s="468"/>
      <c r="KUN44" s="468"/>
      <c r="KUO44" s="468"/>
      <c r="KUP44" s="468"/>
      <c r="KUQ44" s="468"/>
      <c r="KUR44" s="468"/>
      <c r="KUS44" s="468"/>
      <c r="KUT44" s="468"/>
      <c r="KUU44" s="468"/>
      <c r="KUV44" s="468"/>
      <c r="KUW44" s="468"/>
      <c r="KUX44" s="468"/>
      <c r="KUY44" s="468"/>
      <c r="KUZ44" s="468"/>
      <c r="KVA44" s="468"/>
      <c r="KVB44" s="468"/>
      <c r="KVC44" s="468"/>
      <c r="KVD44" s="468"/>
      <c r="KVE44" s="468"/>
      <c r="KVF44" s="468"/>
      <c r="KVG44" s="468"/>
      <c r="KVH44" s="468"/>
      <c r="KVI44" s="468"/>
      <c r="KVJ44" s="468"/>
      <c r="KVK44" s="468"/>
      <c r="KVL44" s="468"/>
      <c r="KVM44" s="468"/>
      <c r="KVN44" s="468"/>
      <c r="KVO44" s="468"/>
      <c r="KVP44" s="468"/>
      <c r="KVQ44" s="468"/>
      <c r="KVR44" s="468"/>
      <c r="KVS44" s="468"/>
      <c r="KVT44" s="468"/>
      <c r="KVU44" s="468"/>
      <c r="KVV44" s="468"/>
      <c r="KVW44" s="468"/>
      <c r="KVX44" s="468"/>
      <c r="KVY44" s="468"/>
      <c r="KVZ44" s="468"/>
      <c r="KWA44" s="468"/>
      <c r="KWB44" s="468"/>
      <c r="KWC44" s="468"/>
      <c r="KWD44" s="468"/>
      <c r="KWE44" s="468"/>
      <c r="KWF44" s="468"/>
      <c r="KWG44" s="468"/>
      <c r="KWH44" s="468"/>
      <c r="KWI44" s="468"/>
      <c r="KWJ44" s="468"/>
      <c r="KWK44" s="468"/>
      <c r="KWL44" s="468"/>
      <c r="KWM44" s="468"/>
      <c r="KWN44" s="468"/>
      <c r="KWO44" s="468"/>
      <c r="KWP44" s="468"/>
      <c r="KWQ44" s="468"/>
      <c r="KWR44" s="468"/>
      <c r="KWS44" s="468"/>
      <c r="KWT44" s="468"/>
      <c r="KWU44" s="468"/>
      <c r="KWV44" s="468"/>
      <c r="KWW44" s="468"/>
      <c r="KWX44" s="468"/>
      <c r="KWY44" s="468"/>
      <c r="KWZ44" s="468"/>
      <c r="KXA44" s="468"/>
      <c r="KXB44" s="468"/>
      <c r="KXC44" s="468"/>
      <c r="KXD44" s="468"/>
      <c r="KXE44" s="468"/>
      <c r="KXF44" s="468"/>
      <c r="KXG44" s="468"/>
      <c r="KXH44" s="468"/>
      <c r="KXI44" s="468"/>
      <c r="KXJ44" s="468"/>
      <c r="KXK44" s="468"/>
      <c r="KXL44" s="468"/>
      <c r="KXM44" s="468"/>
      <c r="KXN44" s="468"/>
      <c r="KXO44" s="468"/>
      <c r="KXP44" s="468"/>
      <c r="KXQ44" s="468"/>
      <c r="KXR44" s="468"/>
      <c r="KXS44" s="468"/>
      <c r="KXT44" s="468"/>
      <c r="KXU44" s="468"/>
      <c r="KXV44" s="468"/>
      <c r="KXW44" s="468"/>
      <c r="KXX44" s="468"/>
      <c r="KXY44" s="468"/>
      <c r="KXZ44" s="468"/>
      <c r="KYA44" s="468"/>
      <c r="KYB44" s="468"/>
      <c r="KYC44" s="468"/>
      <c r="KYD44" s="468"/>
      <c r="KYE44" s="468"/>
      <c r="KYF44" s="468"/>
      <c r="KYG44" s="468"/>
      <c r="KYH44" s="468"/>
      <c r="KYI44" s="468"/>
      <c r="KYJ44" s="468"/>
      <c r="KYK44" s="468"/>
      <c r="KYL44" s="468"/>
      <c r="KYM44" s="468"/>
      <c r="KYN44" s="468"/>
      <c r="KYO44" s="468"/>
      <c r="KYP44" s="468"/>
      <c r="KYQ44" s="468"/>
      <c r="KYR44" s="468"/>
      <c r="KYS44" s="468"/>
      <c r="KYT44" s="468"/>
      <c r="KYU44" s="468"/>
      <c r="KYV44" s="468"/>
      <c r="KYW44" s="468"/>
      <c r="KYX44" s="468"/>
      <c r="KYY44" s="468"/>
      <c r="KYZ44" s="468"/>
      <c r="KZA44" s="468"/>
      <c r="KZB44" s="468"/>
      <c r="KZC44" s="468"/>
      <c r="KZD44" s="468"/>
      <c r="KZE44" s="468"/>
      <c r="KZF44" s="468"/>
      <c r="KZG44" s="468"/>
      <c r="KZH44" s="468"/>
      <c r="KZI44" s="468"/>
      <c r="KZJ44" s="468"/>
      <c r="KZK44" s="468"/>
      <c r="KZL44" s="468"/>
      <c r="KZM44" s="468"/>
      <c r="KZN44" s="468"/>
      <c r="KZO44" s="468"/>
      <c r="KZP44" s="468"/>
      <c r="KZQ44" s="468"/>
      <c r="KZR44" s="468"/>
      <c r="KZS44" s="468"/>
      <c r="KZT44" s="468"/>
      <c r="KZU44" s="468"/>
      <c r="KZV44" s="468"/>
      <c r="KZW44" s="468"/>
      <c r="KZX44" s="468"/>
      <c r="KZY44" s="468"/>
      <c r="KZZ44" s="468"/>
      <c r="LAA44" s="468"/>
      <c r="LAB44" s="468"/>
      <c r="LAC44" s="468"/>
      <c r="LAD44" s="468"/>
      <c r="LAE44" s="468"/>
      <c r="LAF44" s="468"/>
      <c r="LAG44" s="468"/>
      <c r="LAH44" s="468"/>
      <c r="LAI44" s="468"/>
      <c r="LAJ44" s="468"/>
      <c r="LAK44" s="468"/>
      <c r="LAL44" s="468"/>
      <c r="LAM44" s="468"/>
      <c r="LAN44" s="468"/>
      <c r="LAO44" s="468"/>
      <c r="LAP44" s="468"/>
      <c r="LAQ44" s="468"/>
      <c r="LAR44" s="468"/>
      <c r="LAS44" s="468"/>
      <c r="LAT44" s="468"/>
      <c r="LAU44" s="468"/>
      <c r="LAV44" s="468"/>
      <c r="LAW44" s="468"/>
      <c r="LAX44" s="468"/>
      <c r="LAY44" s="468"/>
      <c r="LAZ44" s="468"/>
      <c r="LBA44" s="468"/>
      <c r="LBB44" s="468"/>
      <c r="LBC44" s="468"/>
      <c r="LBD44" s="468"/>
      <c r="LBE44" s="468"/>
      <c r="LBF44" s="468"/>
      <c r="LBG44" s="468"/>
      <c r="LBH44" s="468"/>
      <c r="LBI44" s="468"/>
      <c r="LBJ44" s="468"/>
      <c r="LBK44" s="468"/>
      <c r="LBL44" s="468"/>
      <c r="LBM44" s="468"/>
      <c r="LBN44" s="468"/>
      <c r="LBO44" s="468"/>
      <c r="LBP44" s="468"/>
      <c r="LBQ44" s="468"/>
      <c r="LBR44" s="468"/>
      <c r="LBS44" s="468"/>
      <c r="LBT44" s="468"/>
      <c r="LBU44" s="468"/>
      <c r="LBV44" s="468"/>
      <c r="LBW44" s="468"/>
      <c r="LBX44" s="468"/>
      <c r="LBY44" s="468"/>
      <c r="LBZ44" s="468"/>
      <c r="LCA44" s="468"/>
      <c r="LCB44" s="468"/>
      <c r="LCC44" s="468"/>
      <c r="LCD44" s="468"/>
      <c r="LCE44" s="468"/>
      <c r="LCF44" s="468"/>
      <c r="LCG44" s="468"/>
      <c r="LCH44" s="468"/>
      <c r="LCI44" s="468"/>
      <c r="LCJ44" s="468"/>
      <c r="LCK44" s="468"/>
      <c r="LCL44" s="468"/>
      <c r="LCM44" s="468"/>
      <c r="LCN44" s="468"/>
      <c r="LCO44" s="468"/>
      <c r="LCP44" s="468"/>
      <c r="LCQ44" s="468"/>
      <c r="LCR44" s="468"/>
      <c r="LCS44" s="468"/>
      <c r="LCT44" s="468"/>
      <c r="LCU44" s="468"/>
      <c r="LCV44" s="468"/>
      <c r="LCW44" s="468"/>
      <c r="LCX44" s="468"/>
      <c r="LCY44" s="468"/>
      <c r="LCZ44" s="468"/>
      <c r="LDA44" s="468"/>
      <c r="LDB44" s="468"/>
      <c r="LDC44" s="468"/>
      <c r="LDD44" s="468"/>
      <c r="LDE44" s="468"/>
      <c r="LDF44" s="468"/>
      <c r="LDG44" s="468"/>
      <c r="LDH44" s="468"/>
      <c r="LDI44" s="468"/>
      <c r="LDJ44" s="468"/>
      <c r="LDK44" s="468"/>
      <c r="LDL44" s="468"/>
      <c r="LDM44" s="468"/>
      <c r="LDN44" s="468"/>
      <c r="LDO44" s="468"/>
      <c r="LDP44" s="468"/>
      <c r="LDQ44" s="468"/>
      <c r="LDR44" s="468"/>
      <c r="LDS44" s="468"/>
      <c r="LDT44" s="468"/>
      <c r="LDU44" s="468"/>
      <c r="LDV44" s="468"/>
      <c r="LDW44" s="468"/>
      <c r="LDX44" s="468"/>
      <c r="LDY44" s="468"/>
      <c r="LDZ44" s="468"/>
      <c r="LEA44" s="468"/>
      <c r="LEB44" s="468"/>
      <c r="LEC44" s="468"/>
      <c r="LED44" s="468"/>
      <c r="LEE44" s="468"/>
      <c r="LEF44" s="468"/>
      <c r="LEG44" s="468"/>
      <c r="LEH44" s="468"/>
      <c r="LEI44" s="468"/>
      <c r="LEJ44" s="468"/>
      <c r="LEK44" s="468"/>
      <c r="LEL44" s="468"/>
      <c r="LEM44" s="468"/>
      <c r="LEN44" s="468"/>
      <c r="LEO44" s="468"/>
      <c r="LEP44" s="468"/>
      <c r="LEQ44" s="468"/>
      <c r="LER44" s="468"/>
      <c r="LES44" s="468"/>
      <c r="LET44" s="468"/>
      <c r="LEU44" s="468"/>
      <c r="LEV44" s="468"/>
      <c r="LEW44" s="468"/>
      <c r="LEX44" s="468"/>
      <c r="LEY44" s="468"/>
      <c r="LEZ44" s="468"/>
      <c r="LFA44" s="468"/>
      <c r="LFB44" s="468"/>
      <c r="LFC44" s="468"/>
      <c r="LFD44" s="468"/>
      <c r="LFE44" s="468"/>
      <c r="LFF44" s="468"/>
      <c r="LFG44" s="468"/>
      <c r="LFH44" s="468"/>
      <c r="LFI44" s="468"/>
      <c r="LFJ44" s="468"/>
      <c r="LFK44" s="468"/>
      <c r="LFL44" s="468"/>
      <c r="LFM44" s="468"/>
      <c r="LFN44" s="468"/>
      <c r="LFO44" s="468"/>
      <c r="LFP44" s="468"/>
      <c r="LFQ44" s="468"/>
      <c r="LFR44" s="468"/>
      <c r="LFS44" s="468"/>
      <c r="LFT44" s="468"/>
      <c r="LFU44" s="468"/>
      <c r="LFV44" s="468"/>
      <c r="LFW44" s="468"/>
      <c r="LFX44" s="468"/>
      <c r="LFY44" s="468"/>
      <c r="LFZ44" s="468"/>
      <c r="LGA44" s="468"/>
      <c r="LGB44" s="468"/>
      <c r="LGC44" s="468"/>
      <c r="LGD44" s="468"/>
      <c r="LGE44" s="468"/>
      <c r="LGF44" s="468"/>
      <c r="LGG44" s="468"/>
      <c r="LGH44" s="468"/>
      <c r="LGI44" s="468"/>
      <c r="LGJ44" s="468"/>
      <c r="LGK44" s="468"/>
      <c r="LGL44" s="468"/>
      <c r="LGM44" s="468"/>
      <c r="LGN44" s="468"/>
      <c r="LGO44" s="468"/>
      <c r="LGP44" s="468"/>
      <c r="LGQ44" s="468"/>
      <c r="LGR44" s="468"/>
      <c r="LGS44" s="468"/>
      <c r="LGT44" s="468"/>
      <c r="LGU44" s="468"/>
      <c r="LGV44" s="468"/>
      <c r="LGW44" s="468"/>
      <c r="LGX44" s="468"/>
      <c r="LGY44" s="468"/>
      <c r="LGZ44" s="468"/>
      <c r="LHA44" s="468"/>
      <c r="LHB44" s="468"/>
      <c r="LHC44" s="468"/>
      <c r="LHD44" s="468"/>
      <c r="LHE44" s="468"/>
      <c r="LHF44" s="468"/>
      <c r="LHG44" s="468"/>
      <c r="LHH44" s="468"/>
      <c r="LHI44" s="468"/>
      <c r="LHJ44" s="468"/>
      <c r="LHK44" s="468"/>
      <c r="LHL44" s="468"/>
      <c r="LHM44" s="468"/>
      <c r="LHN44" s="468"/>
      <c r="LHO44" s="468"/>
      <c r="LHP44" s="468"/>
      <c r="LHQ44" s="468"/>
      <c r="LHR44" s="468"/>
      <c r="LHS44" s="468"/>
      <c r="LHT44" s="468"/>
      <c r="LHU44" s="468"/>
      <c r="LHV44" s="468"/>
      <c r="LHW44" s="468"/>
      <c r="LHX44" s="468"/>
      <c r="LHY44" s="468"/>
      <c r="LHZ44" s="468"/>
      <c r="LIA44" s="468"/>
      <c r="LIB44" s="468"/>
      <c r="LIC44" s="468"/>
      <c r="LID44" s="468"/>
      <c r="LIE44" s="468"/>
      <c r="LIF44" s="468"/>
      <c r="LIG44" s="468"/>
      <c r="LIH44" s="468"/>
      <c r="LII44" s="468"/>
      <c r="LIJ44" s="468"/>
      <c r="LIK44" s="468"/>
      <c r="LIL44" s="468"/>
      <c r="LIM44" s="468"/>
      <c r="LIN44" s="468"/>
      <c r="LIO44" s="468"/>
      <c r="LIP44" s="468"/>
      <c r="LIQ44" s="468"/>
      <c r="LIR44" s="468"/>
      <c r="LIS44" s="468"/>
      <c r="LIT44" s="468"/>
      <c r="LIU44" s="468"/>
      <c r="LIV44" s="468"/>
      <c r="LIW44" s="468"/>
      <c r="LIX44" s="468"/>
      <c r="LIY44" s="468"/>
      <c r="LIZ44" s="468"/>
      <c r="LJA44" s="468"/>
      <c r="LJB44" s="468"/>
      <c r="LJC44" s="468"/>
      <c r="LJD44" s="468"/>
      <c r="LJE44" s="468"/>
      <c r="LJF44" s="468"/>
      <c r="LJG44" s="468"/>
      <c r="LJH44" s="468"/>
      <c r="LJI44" s="468"/>
      <c r="LJJ44" s="468"/>
      <c r="LJK44" s="468"/>
      <c r="LJL44" s="468"/>
      <c r="LJM44" s="468"/>
      <c r="LJN44" s="468"/>
      <c r="LJO44" s="468"/>
      <c r="LJP44" s="468"/>
      <c r="LJQ44" s="468"/>
      <c r="LJR44" s="468"/>
      <c r="LJS44" s="468"/>
      <c r="LJT44" s="468"/>
      <c r="LJU44" s="468"/>
      <c r="LJV44" s="468"/>
      <c r="LJW44" s="468"/>
      <c r="LJX44" s="468"/>
      <c r="LJY44" s="468"/>
      <c r="LJZ44" s="468"/>
      <c r="LKA44" s="468"/>
      <c r="LKB44" s="468"/>
      <c r="LKC44" s="468"/>
      <c r="LKD44" s="468"/>
      <c r="LKE44" s="468"/>
      <c r="LKF44" s="468"/>
      <c r="LKG44" s="468"/>
      <c r="LKH44" s="468"/>
      <c r="LKI44" s="468"/>
      <c r="LKJ44" s="468"/>
      <c r="LKK44" s="468"/>
      <c r="LKL44" s="468"/>
      <c r="LKM44" s="468"/>
      <c r="LKN44" s="468"/>
      <c r="LKO44" s="468"/>
      <c r="LKP44" s="468"/>
      <c r="LKQ44" s="468"/>
      <c r="LKR44" s="468"/>
      <c r="LKS44" s="468"/>
      <c r="LKT44" s="468"/>
      <c r="LKU44" s="468"/>
      <c r="LKV44" s="468"/>
      <c r="LKW44" s="468"/>
      <c r="LKX44" s="468"/>
      <c r="LKY44" s="468"/>
      <c r="LKZ44" s="468"/>
      <c r="LLA44" s="468"/>
      <c r="LLB44" s="468"/>
      <c r="LLC44" s="468"/>
      <c r="LLD44" s="468"/>
      <c r="LLE44" s="468"/>
      <c r="LLF44" s="468"/>
      <c r="LLG44" s="468"/>
      <c r="LLH44" s="468"/>
      <c r="LLI44" s="468"/>
      <c r="LLJ44" s="468"/>
      <c r="LLK44" s="468"/>
      <c r="LLL44" s="468"/>
      <c r="LLM44" s="468"/>
      <c r="LLN44" s="468"/>
      <c r="LLO44" s="468"/>
      <c r="LLP44" s="468"/>
      <c r="LLQ44" s="468"/>
      <c r="LLR44" s="468"/>
      <c r="LLS44" s="468"/>
      <c r="LLT44" s="468"/>
      <c r="LLU44" s="468"/>
      <c r="LLV44" s="468"/>
      <c r="LLW44" s="468"/>
      <c r="LLX44" s="468"/>
      <c r="LLY44" s="468"/>
      <c r="LLZ44" s="468"/>
      <c r="LMA44" s="468"/>
      <c r="LMB44" s="468"/>
      <c r="LMC44" s="468"/>
      <c r="LMD44" s="468"/>
      <c r="LME44" s="468"/>
      <c r="LMF44" s="468"/>
      <c r="LMG44" s="468"/>
      <c r="LMH44" s="468"/>
      <c r="LMI44" s="468"/>
      <c r="LMJ44" s="468"/>
      <c r="LMK44" s="468"/>
      <c r="LML44" s="468"/>
      <c r="LMM44" s="468"/>
      <c r="LMN44" s="468"/>
      <c r="LMO44" s="468"/>
      <c r="LMP44" s="468"/>
      <c r="LMQ44" s="468"/>
      <c r="LMR44" s="468"/>
      <c r="LMS44" s="468"/>
      <c r="LMT44" s="468"/>
      <c r="LMU44" s="468"/>
      <c r="LMV44" s="468"/>
      <c r="LMW44" s="468"/>
      <c r="LMX44" s="468"/>
      <c r="LMY44" s="468"/>
      <c r="LMZ44" s="468"/>
      <c r="LNA44" s="468"/>
      <c r="LNB44" s="468"/>
      <c r="LNC44" s="468"/>
      <c r="LND44" s="468"/>
      <c r="LNE44" s="468"/>
      <c r="LNF44" s="468"/>
      <c r="LNG44" s="468"/>
      <c r="LNH44" s="468"/>
      <c r="LNI44" s="468"/>
      <c r="LNJ44" s="468"/>
      <c r="LNK44" s="468"/>
      <c r="LNL44" s="468"/>
      <c r="LNM44" s="468"/>
      <c r="LNN44" s="468"/>
      <c r="LNO44" s="468"/>
      <c r="LNP44" s="468"/>
      <c r="LNQ44" s="468"/>
      <c r="LNR44" s="468"/>
      <c r="LNS44" s="468"/>
      <c r="LNT44" s="468"/>
      <c r="LNU44" s="468"/>
      <c r="LNV44" s="468"/>
      <c r="LNW44" s="468"/>
      <c r="LNX44" s="468"/>
      <c r="LNY44" s="468"/>
      <c r="LNZ44" s="468"/>
      <c r="LOA44" s="468"/>
      <c r="LOB44" s="468"/>
      <c r="LOC44" s="468"/>
      <c r="LOD44" s="468"/>
      <c r="LOE44" s="468"/>
      <c r="LOF44" s="468"/>
      <c r="LOG44" s="468"/>
      <c r="LOH44" s="468"/>
      <c r="LOI44" s="468"/>
      <c r="LOJ44" s="468"/>
      <c r="LOK44" s="468"/>
      <c r="LOL44" s="468"/>
      <c r="LOM44" s="468"/>
      <c r="LON44" s="468"/>
      <c r="LOO44" s="468"/>
      <c r="LOP44" s="468"/>
      <c r="LOQ44" s="468"/>
      <c r="LOR44" s="468"/>
      <c r="LOS44" s="468"/>
      <c r="LOT44" s="468"/>
      <c r="LOU44" s="468"/>
      <c r="LOV44" s="468"/>
      <c r="LOW44" s="468"/>
      <c r="LOX44" s="468"/>
      <c r="LOY44" s="468"/>
      <c r="LOZ44" s="468"/>
      <c r="LPA44" s="468"/>
      <c r="LPB44" s="468"/>
      <c r="LPC44" s="468"/>
      <c r="LPD44" s="468"/>
      <c r="LPE44" s="468"/>
      <c r="LPF44" s="468"/>
      <c r="LPG44" s="468"/>
      <c r="LPH44" s="468"/>
      <c r="LPI44" s="468"/>
      <c r="LPJ44" s="468"/>
      <c r="LPK44" s="468"/>
      <c r="LPL44" s="468"/>
      <c r="LPM44" s="468"/>
      <c r="LPN44" s="468"/>
      <c r="LPO44" s="468"/>
      <c r="LPP44" s="468"/>
      <c r="LPQ44" s="468"/>
      <c r="LPR44" s="468"/>
      <c r="LPS44" s="468"/>
      <c r="LPT44" s="468"/>
      <c r="LPU44" s="468"/>
      <c r="LPV44" s="468"/>
      <c r="LPW44" s="468"/>
      <c r="LPX44" s="468"/>
      <c r="LPY44" s="468"/>
      <c r="LPZ44" s="468"/>
      <c r="LQA44" s="468"/>
      <c r="LQB44" s="468"/>
      <c r="LQC44" s="468"/>
      <c r="LQD44" s="468"/>
      <c r="LQE44" s="468"/>
      <c r="LQF44" s="468"/>
      <c r="LQG44" s="468"/>
      <c r="LQH44" s="468"/>
      <c r="LQI44" s="468"/>
      <c r="LQJ44" s="468"/>
      <c r="LQK44" s="468"/>
      <c r="LQL44" s="468"/>
      <c r="LQM44" s="468"/>
      <c r="LQN44" s="468"/>
      <c r="LQO44" s="468"/>
      <c r="LQP44" s="468"/>
      <c r="LQQ44" s="468"/>
      <c r="LQR44" s="468"/>
      <c r="LQS44" s="468"/>
      <c r="LQT44" s="468"/>
      <c r="LQU44" s="468"/>
      <c r="LQV44" s="468"/>
      <c r="LQW44" s="468"/>
      <c r="LQX44" s="468"/>
      <c r="LQY44" s="468"/>
      <c r="LQZ44" s="468"/>
      <c r="LRA44" s="468"/>
      <c r="LRB44" s="468"/>
      <c r="LRC44" s="468"/>
      <c r="LRD44" s="468"/>
      <c r="LRE44" s="468"/>
      <c r="LRF44" s="468"/>
      <c r="LRG44" s="468"/>
      <c r="LRH44" s="468"/>
      <c r="LRI44" s="468"/>
      <c r="LRJ44" s="468"/>
      <c r="LRK44" s="468"/>
      <c r="LRL44" s="468"/>
      <c r="LRM44" s="468"/>
      <c r="LRN44" s="468"/>
      <c r="LRO44" s="468"/>
      <c r="LRP44" s="468"/>
      <c r="LRQ44" s="468"/>
      <c r="LRR44" s="468"/>
      <c r="LRS44" s="468"/>
      <c r="LRT44" s="468"/>
      <c r="LRU44" s="468"/>
      <c r="LRV44" s="468"/>
      <c r="LRW44" s="468"/>
      <c r="LRX44" s="468"/>
      <c r="LRY44" s="468"/>
      <c r="LRZ44" s="468"/>
      <c r="LSA44" s="468"/>
      <c r="LSB44" s="468"/>
      <c r="LSC44" s="468"/>
      <c r="LSD44" s="468"/>
      <c r="LSE44" s="468"/>
      <c r="LSF44" s="468"/>
      <c r="LSG44" s="468"/>
      <c r="LSH44" s="468"/>
      <c r="LSI44" s="468"/>
      <c r="LSJ44" s="468"/>
      <c r="LSK44" s="468"/>
      <c r="LSL44" s="468"/>
      <c r="LSM44" s="468"/>
      <c r="LSN44" s="468"/>
      <c r="LSO44" s="468"/>
      <c r="LSP44" s="468"/>
      <c r="LSQ44" s="468"/>
      <c r="LSR44" s="468"/>
      <c r="LSS44" s="468"/>
      <c r="LST44" s="468"/>
      <c r="LSU44" s="468"/>
      <c r="LSV44" s="468"/>
      <c r="LSW44" s="468"/>
      <c r="LSX44" s="468"/>
      <c r="LSY44" s="468"/>
      <c r="LSZ44" s="468"/>
      <c r="LTA44" s="468"/>
      <c r="LTB44" s="468"/>
      <c r="LTC44" s="468"/>
      <c r="LTD44" s="468"/>
      <c r="LTE44" s="468"/>
      <c r="LTF44" s="468"/>
      <c r="LTG44" s="468"/>
      <c r="LTH44" s="468"/>
      <c r="LTI44" s="468"/>
      <c r="LTJ44" s="468"/>
      <c r="LTK44" s="468"/>
      <c r="LTL44" s="468"/>
      <c r="LTM44" s="468"/>
      <c r="LTN44" s="468"/>
      <c r="LTO44" s="468"/>
      <c r="LTP44" s="468"/>
      <c r="LTQ44" s="468"/>
      <c r="LTR44" s="468"/>
      <c r="LTS44" s="468"/>
      <c r="LTT44" s="468"/>
      <c r="LTU44" s="468"/>
      <c r="LTV44" s="468"/>
      <c r="LTW44" s="468"/>
      <c r="LTX44" s="468"/>
      <c r="LTY44" s="468"/>
      <c r="LTZ44" s="468"/>
      <c r="LUA44" s="468"/>
      <c r="LUB44" s="468"/>
      <c r="LUC44" s="468"/>
      <c r="LUD44" s="468"/>
      <c r="LUE44" s="468"/>
      <c r="LUF44" s="468"/>
      <c r="LUG44" s="468"/>
      <c r="LUH44" s="468"/>
      <c r="LUI44" s="468"/>
      <c r="LUJ44" s="468"/>
      <c r="LUK44" s="468"/>
      <c r="LUL44" s="468"/>
      <c r="LUM44" s="468"/>
      <c r="LUN44" s="468"/>
      <c r="LUO44" s="468"/>
      <c r="LUP44" s="468"/>
      <c r="LUQ44" s="468"/>
      <c r="LUR44" s="468"/>
      <c r="LUS44" s="468"/>
      <c r="LUT44" s="468"/>
      <c r="LUU44" s="468"/>
      <c r="LUV44" s="468"/>
      <c r="LUW44" s="468"/>
      <c r="LUX44" s="468"/>
      <c r="LUY44" s="468"/>
      <c r="LUZ44" s="468"/>
      <c r="LVA44" s="468"/>
      <c r="LVB44" s="468"/>
      <c r="LVC44" s="468"/>
      <c r="LVD44" s="468"/>
      <c r="LVE44" s="468"/>
      <c r="LVF44" s="468"/>
      <c r="LVG44" s="468"/>
      <c r="LVH44" s="468"/>
      <c r="LVI44" s="468"/>
      <c r="LVJ44" s="468"/>
      <c r="LVK44" s="468"/>
      <c r="LVL44" s="468"/>
      <c r="LVM44" s="468"/>
      <c r="LVN44" s="468"/>
      <c r="LVO44" s="468"/>
      <c r="LVP44" s="468"/>
      <c r="LVQ44" s="468"/>
      <c r="LVR44" s="468"/>
      <c r="LVS44" s="468"/>
      <c r="LVT44" s="468"/>
      <c r="LVU44" s="468"/>
      <c r="LVV44" s="468"/>
      <c r="LVW44" s="468"/>
      <c r="LVX44" s="468"/>
      <c r="LVY44" s="468"/>
      <c r="LVZ44" s="468"/>
      <c r="LWA44" s="468"/>
      <c r="LWB44" s="468"/>
      <c r="LWC44" s="468"/>
      <c r="LWD44" s="468"/>
      <c r="LWE44" s="468"/>
      <c r="LWF44" s="468"/>
      <c r="LWG44" s="468"/>
      <c r="LWH44" s="468"/>
      <c r="LWI44" s="468"/>
      <c r="LWJ44" s="468"/>
      <c r="LWK44" s="468"/>
      <c r="LWL44" s="468"/>
      <c r="LWM44" s="468"/>
      <c r="LWN44" s="468"/>
      <c r="LWO44" s="468"/>
      <c r="LWP44" s="468"/>
      <c r="LWQ44" s="468"/>
      <c r="LWR44" s="468"/>
      <c r="LWS44" s="468"/>
      <c r="LWT44" s="468"/>
      <c r="LWU44" s="468"/>
      <c r="LWV44" s="468"/>
      <c r="LWW44" s="468"/>
      <c r="LWX44" s="468"/>
      <c r="LWY44" s="468"/>
      <c r="LWZ44" s="468"/>
      <c r="LXA44" s="468"/>
      <c r="LXB44" s="468"/>
      <c r="LXC44" s="468"/>
      <c r="LXD44" s="468"/>
      <c r="LXE44" s="468"/>
      <c r="LXF44" s="468"/>
      <c r="LXG44" s="468"/>
      <c r="LXH44" s="468"/>
      <c r="LXI44" s="468"/>
      <c r="LXJ44" s="468"/>
      <c r="LXK44" s="468"/>
      <c r="LXL44" s="468"/>
      <c r="LXM44" s="468"/>
      <c r="LXN44" s="468"/>
      <c r="LXO44" s="468"/>
      <c r="LXP44" s="468"/>
      <c r="LXQ44" s="468"/>
      <c r="LXR44" s="468"/>
      <c r="LXS44" s="468"/>
      <c r="LXT44" s="468"/>
      <c r="LXU44" s="468"/>
      <c r="LXV44" s="468"/>
      <c r="LXW44" s="468"/>
      <c r="LXX44" s="468"/>
      <c r="LXY44" s="468"/>
      <c r="LXZ44" s="468"/>
      <c r="LYA44" s="468"/>
      <c r="LYB44" s="468"/>
      <c r="LYC44" s="468"/>
      <c r="LYD44" s="468"/>
      <c r="LYE44" s="468"/>
      <c r="LYF44" s="468"/>
      <c r="LYG44" s="468"/>
      <c r="LYH44" s="468"/>
      <c r="LYI44" s="468"/>
      <c r="LYJ44" s="468"/>
      <c r="LYK44" s="468"/>
      <c r="LYL44" s="468"/>
      <c r="LYM44" s="468"/>
      <c r="LYN44" s="468"/>
      <c r="LYO44" s="468"/>
      <c r="LYP44" s="468"/>
      <c r="LYQ44" s="468"/>
      <c r="LYR44" s="468"/>
      <c r="LYS44" s="468"/>
      <c r="LYT44" s="468"/>
      <c r="LYU44" s="468"/>
      <c r="LYV44" s="468"/>
      <c r="LYW44" s="468"/>
      <c r="LYX44" s="468"/>
      <c r="LYY44" s="468"/>
      <c r="LYZ44" s="468"/>
      <c r="LZA44" s="468"/>
      <c r="LZB44" s="468"/>
      <c r="LZC44" s="468"/>
      <c r="LZD44" s="468"/>
      <c r="LZE44" s="468"/>
      <c r="LZF44" s="468"/>
      <c r="LZG44" s="468"/>
      <c r="LZH44" s="468"/>
      <c r="LZI44" s="468"/>
      <c r="LZJ44" s="468"/>
      <c r="LZK44" s="468"/>
      <c r="LZL44" s="468"/>
      <c r="LZM44" s="468"/>
      <c r="LZN44" s="468"/>
      <c r="LZO44" s="468"/>
      <c r="LZP44" s="468"/>
      <c r="LZQ44" s="468"/>
      <c r="LZR44" s="468"/>
      <c r="LZS44" s="468"/>
      <c r="LZT44" s="468"/>
      <c r="LZU44" s="468"/>
      <c r="LZV44" s="468"/>
      <c r="LZW44" s="468"/>
      <c r="LZX44" s="468"/>
      <c r="LZY44" s="468"/>
      <c r="LZZ44" s="468"/>
      <c r="MAA44" s="468"/>
      <c r="MAB44" s="468"/>
      <c r="MAC44" s="468"/>
      <c r="MAD44" s="468"/>
      <c r="MAE44" s="468"/>
      <c r="MAF44" s="468"/>
      <c r="MAG44" s="468"/>
      <c r="MAH44" s="468"/>
      <c r="MAI44" s="468"/>
      <c r="MAJ44" s="468"/>
      <c r="MAK44" s="468"/>
      <c r="MAL44" s="468"/>
      <c r="MAM44" s="468"/>
      <c r="MAN44" s="468"/>
      <c r="MAO44" s="468"/>
      <c r="MAP44" s="468"/>
      <c r="MAQ44" s="468"/>
      <c r="MAR44" s="468"/>
      <c r="MAS44" s="468"/>
      <c r="MAT44" s="468"/>
      <c r="MAU44" s="468"/>
      <c r="MAV44" s="468"/>
      <c r="MAW44" s="468"/>
      <c r="MAX44" s="468"/>
      <c r="MAY44" s="468"/>
      <c r="MAZ44" s="468"/>
      <c r="MBA44" s="468"/>
      <c r="MBB44" s="468"/>
      <c r="MBC44" s="468"/>
      <c r="MBD44" s="468"/>
      <c r="MBE44" s="468"/>
      <c r="MBF44" s="468"/>
      <c r="MBG44" s="468"/>
      <c r="MBH44" s="468"/>
      <c r="MBI44" s="468"/>
      <c r="MBJ44" s="468"/>
      <c r="MBK44" s="468"/>
      <c r="MBL44" s="468"/>
      <c r="MBM44" s="468"/>
      <c r="MBN44" s="468"/>
      <c r="MBO44" s="468"/>
      <c r="MBP44" s="468"/>
      <c r="MBQ44" s="468"/>
      <c r="MBR44" s="468"/>
      <c r="MBS44" s="468"/>
      <c r="MBT44" s="468"/>
      <c r="MBU44" s="468"/>
      <c r="MBV44" s="468"/>
      <c r="MBW44" s="468"/>
      <c r="MBX44" s="468"/>
      <c r="MBY44" s="468"/>
      <c r="MBZ44" s="468"/>
      <c r="MCA44" s="468"/>
      <c r="MCB44" s="468"/>
      <c r="MCC44" s="468"/>
      <c r="MCD44" s="468"/>
      <c r="MCE44" s="468"/>
      <c r="MCF44" s="468"/>
      <c r="MCG44" s="468"/>
      <c r="MCH44" s="468"/>
      <c r="MCI44" s="468"/>
      <c r="MCJ44" s="468"/>
      <c r="MCK44" s="468"/>
      <c r="MCL44" s="468"/>
      <c r="MCM44" s="468"/>
      <c r="MCN44" s="468"/>
      <c r="MCO44" s="468"/>
      <c r="MCP44" s="468"/>
      <c r="MCQ44" s="468"/>
      <c r="MCR44" s="468"/>
      <c r="MCS44" s="468"/>
      <c r="MCT44" s="468"/>
      <c r="MCU44" s="468"/>
      <c r="MCV44" s="468"/>
      <c r="MCW44" s="468"/>
      <c r="MCX44" s="468"/>
      <c r="MCY44" s="468"/>
      <c r="MCZ44" s="468"/>
      <c r="MDA44" s="468"/>
      <c r="MDB44" s="468"/>
      <c r="MDC44" s="468"/>
      <c r="MDD44" s="468"/>
      <c r="MDE44" s="468"/>
      <c r="MDF44" s="468"/>
      <c r="MDG44" s="468"/>
      <c r="MDH44" s="468"/>
      <c r="MDI44" s="468"/>
      <c r="MDJ44" s="468"/>
      <c r="MDK44" s="468"/>
      <c r="MDL44" s="468"/>
      <c r="MDM44" s="468"/>
      <c r="MDN44" s="468"/>
      <c r="MDO44" s="468"/>
      <c r="MDP44" s="468"/>
      <c r="MDQ44" s="468"/>
      <c r="MDR44" s="468"/>
      <c r="MDS44" s="468"/>
      <c r="MDT44" s="468"/>
      <c r="MDU44" s="468"/>
      <c r="MDV44" s="468"/>
      <c r="MDW44" s="468"/>
      <c r="MDX44" s="468"/>
      <c r="MDY44" s="468"/>
      <c r="MDZ44" s="468"/>
      <c r="MEA44" s="468"/>
      <c r="MEB44" s="468"/>
      <c r="MEC44" s="468"/>
      <c r="MED44" s="468"/>
      <c r="MEE44" s="468"/>
      <c r="MEF44" s="468"/>
      <c r="MEG44" s="468"/>
      <c r="MEH44" s="468"/>
      <c r="MEI44" s="468"/>
      <c r="MEJ44" s="468"/>
      <c r="MEK44" s="468"/>
      <c r="MEL44" s="468"/>
      <c r="MEM44" s="468"/>
      <c r="MEN44" s="468"/>
      <c r="MEO44" s="468"/>
      <c r="MEP44" s="468"/>
      <c r="MEQ44" s="468"/>
      <c r="MER44" s="468"/>
      <c r="MES44" s="468"/>
      <c r="MET44" s="468"/>
      <c r="MEU44" s="468"/>
      <c r="MEV44" s="468"/>
      <c r="MEW44" s="468"/>
      <c r="MEX44" s="468"/>
      <c r="MEY44" s="468"/>
      <c r="MEZ44" s="468"/>
      <c r="MFA44" s="468"/>
      <c r="MFB44" s="468"/>
      <c r="MFC44" s="468"/>
      <c r="MFD44" s="468"/>
      <c r="MFE44" s="468"/>
      <c r="MFF44" s="468"/>
      <c r="MFG44" s="468"/>
      <c r="MFH44" s="468"/>
      <c r="MFI44" s="468"/>
      <c r="MFJ44" s="468"/>
      <c r="MFK44" s="468"/>
      <c r="MFL44" s="468"/>
      <c r="MFM44" s="468"/>
      <c r="MFN44" s="468"/>
      <c r="MFO44" s="468"/>
      <c r="MFP44" s="468"/>
      <c r="MFQ44" s="468"/>
      <c r="MFR44" s="468"/>
      <c r="MFS44" s="468"/>
      <c r="MFT44" s="468"/>
      <c r="MFU44" s="468"/>
      <c r="MFV44" s="468"/>
      <c r="MFW44" s="468"/>
      <c r="MFX44" s="468"/>
      <c r="MFY44" s="468"/>
      <c r="MFZ44" s="468"/>
      <c r="MGA44" s="468"/>
      <c r="MGB44" s="468"/>
      <c r="MGC44" s="468"/>
      <c r="MGD44" s="468"/>
      <c r="MGE44" s="468"/>
      <c r="MGF44" s="468"/>
      <c r="MGG44" s="468"/>
      <c r="MGH44" s="468"/>
      <c r="MGI44" s="468"/>
      <c r="MGJ44" s="468"/>
      <c r="MGK44" s="468"/>
      <c r="MGL44" s="468"/>
      <c r="MGM44" s="468"/>
      <c r="MGN44" s="468"/>
      <c r="MGO44" s="468"/>
      <c r="MGP44" s="468"/>
      <c r="MGQ44" s="468"/>
      <c r="MGR44" s="468"/>
      <c r="MGS44" s="468"/>
      <c r="MGT44" s="468"/>
      <c r="MGU44" s="468"/>
      <c r="MGV44" s="468"/>
      <c r="MGW44" s="468"/>
      <c r="MGX44" s="468"/>
      <c r="MGY44" s="468"/>
      <c r="MGZ44" s="468"/>
      <c r="MHA44" s="468"/>
      <c r="MHB44" s="468"/>
      <c r="MHC44" s="468"/>
      <c r="MHD44" s="468"/>
      <c r="MHE44" s="468"/>
      <c r="MHF44" s="468"/>
      <c r="MHG44" s="468"/>
      <c r="MHH44" s="468"/>
      <c r="MHI44" s="468"/>
      <c r="MHJ44" s="468"/>
      <c r="MHK44" s="468"/>
      <c r="MHL44" s="468"/>
      <c r="MHM44" s="468"/>
      <c r="MHN44" s="468"/>
      <c r="MHO44" s="468"/>
      <c r="MHP44" s="468"/>
      <c r="MHQ44" s="468"/>
      <c r="MHR44" s="468"/>
      <c r="MHS44" s="468"/>
      <c r="MHT44" s="468"/>
      <c r="MHU44" s="468"/>
      <c r="MHV44" s="468"/>
      <c r="MHW44" s="468"/>
      <c r="MHX44" s="468"/>
      <c r="MHY44" s="468"/>
      <c r="MHZ44" s="468"/>
      <c r="MIA44" s="468"/>
      <c r="MIB44" s="468"/>
      <c r="MIC44" s="468"/>
      <c r="MID44" s="468"/>
      <c r="MIE44" s="468"/>
      <c r="MIF44" s="468"/>
      <c r="MIG44" s="468"/>
      <c r="MIH44" s="468"/>
      <c r="MII44" s="468"/>
      <c r="MIJ44" s="468"/>
      <c r="MIK44" s="468"/>
      <c r="MIL44" s="468"/>
      <c r="MIM44" s="468"/>
      <c r="MIN44" s="468"/>
      <c r="MIO44" s="468"/>
      <c r="MIP44" s="468"/>
      <c r="MIQ44" s="468"/>
      <c r="MIR44" s="468"/>
      <c r="MIS44" s="468"/>
      <c r="MIT44" s="468"/>
      <c r="MIU44" s="468"/>
      <c r="MIV44" s="468"/>
      <c r="MIW44" s="468"/>
      <c r="MIX44" s="468"/>
      <c r="MIY44" s="468"/>
      <c r="MIZ44" s="468"/>
      <c r="MJA44" s="468"/>
      <c r="MJB44" s="468"/>
      <c r="MJC44" s="468"/>
      <c r="MJD44" s="468"/>
      <c r="MJE44" s="468"/>
      <c r="MJF44" s="468"/>
      <c r="MJG44" s="468"/>
      <c r="MJH44" s="468"/>
      <c r="MJI44" s="468"/>
      <c r="MJJ44" s="468"/>
      <c r="MJK44" s="468"/>
      <c r="MJL44" s="468"/>
      <c r="MJM44" s="468"/>
      <c r="MJN44" s="468"/>
      <c r="MJO44" s="468"/>
      <c r="MJP44" s="468"/>
      <c r="MJQ44" s="468"/>
      <c r="MJR44" s="468"/>
      <c r="MJS44" s="468"/>
      <c r="MJT44" s="468"/>
      <c r="MJU44" s="468"/>
      <c r="MJV44" s="468"/>
      <c r="MJW44" s="468"/>
      <c r="MJX44" s="468"/>
      <c r="MJY44" s="468"/>
      <c r="MJZ44" s="468"/>
      <c r="MKA44" s="468"/>
      <c r="MKB44" s="468"/>
      <c r="MKC44" s="468"/>
      <c r="MKD44" s="468"/>
      <c r="MKE44" s="468"/>
      <c r="MKF44" s="468"/>
      <c r="MKG44" s="468"/>
      <c r="MKH44" s="468"/>
      <c r="MKI44" s="468"/>
      <c r="MKJ44" s="468"/>
      <c r="MKK44" s="468"/>
      <c r="MKL44" s="468"/>
      <c r="MKM44" s="468"/>
      <c r="MKN44" s="468"/>
      <c r="MKO44" s="468"/>
      <c r="MKP44" s="468"/>
      <c r="MKQ44" s="468"/>
      <c r="MKR44" s="468"/>
      <c r="MKS44" s="468"/>
      <c r="MKT44" s="468"/>
      <c r="MKU44" s="468"/>
      <c r="MKV44" s="468"/>
      <c r="MKW44" s="468"/>
      <c r="MKX44" s="468"/>
      <c r="MKY44" s="468"/>
      <c r="MKZ44" s="468"/>
      <c r="MLA44" s="468"/>
      <c r="MLB44" s="468"/>
      <c r="MLC44" s="468"/>
      <c r="MLD44" s="468"/>
      <c r="MLE44" s="468"/>
      <c r="MLF44" s="468"/>
      <c r="MLG44" s="468"/>
      <c r="MLH44" s="468"/>
      <c r="MLI44" s="468"/>
      <c r="MLJ44" s="468"/>
      <c r="MLK44" s="468"/>
      <c r="MLL44" s="468"/>
      <c r="MLM44" s="468"/>
      <c r="MLN44" s="468"/>
      <c r="MLO44" s="468"/>
      <c r="MLP44" s="468"/>
      <c r="MLQ44" s="468"/>
      <c r="MLR44" s="468"/>
      <c r="MLS44" s="468"/>
      <c r="MLT44" s="468"/>
      <c r="MLU44" s="468"/>
      <c r="MLV44" s="468"/>
      <c r="MLW44" s="468"/>
      <c r="MLX44" s="468"/>
      <c r="MLY44" s="468"/>
      <c r="MLZ44" s="468"/>
      <c r="MMA44" s="468"/>
      <c r="MMB44" s="468"/>
      <c r="MMC44" s="468"/>
      <c r="MMD44" s="468"/>
      <c r="MME44" s="468"/>
      <c r="MMF44" s="468"/>
      <c r="MMG44" s="468"/>
      <c r="MMH44" s="468"/>
      <c r="MMI44" s="468"/>
      <c r="MMJ44" s="468"/>
      <c r="MMK44" s="468"/>
      <c r="MML44" s="468"/>
      <c r="MMM44" s="468"/>
      <c r="MMN44" s="468"/>
      <c r="MMO44" s="468"/>
      <c r="MMP44" s="468"/>
      <c r="MMQ44" s="468"/>
      <c r="MMR44" s="468"/>
      <c r="MMS44" s="468"/>
      <c r="MMT44" s="468"/>
      <c r="MMU44" s="468"/>
      <c r="MMV44" s="468"/>
      <c r="MMW44" s="468"/>
      <c r="MMX44" s="468"/>
      <c r="MMY44" s="468"/>
      <c r="MMZ44" s="468"/>
      <c r="MNA44" s="468"/>
      <c r="MNB44" s="468"/>
      <c r="MNC44" s="468"/>
      <c r="MND44" s="468"/>
      <c r="MNE44" s="468"/>
      <c r="MNF44" s="468"/>
      <c r="MNG44" s="468"/>
      <c r="MNH44" s="468"/>
      <c r="MNI44" s="468"/>
      <c r="MNJ44" s="468"/>
      <c r="MNK44" s="468"/>
      <c r="MNL44" s="468"/>
      <c r="MNM44" s="468"/>
      <c r="MNN44" s="468"/>
      <c r="MNO44" s="468"/>
      <c r="MNP44" s="468"/>
      <c r="MNQ44" s="468"/>
      <c r="MNR44" s="468"/>
      <c r="MNS44" s="468"/>
      <c r="MNT44" s="468"/>
      <c r="MNU44" s="468"/>
      <c r="MNV44" s="468"/>
      <c r="MNW44" s="468"/>
      <c r="MNX44" s="468"/>
      <c r="MNY44" s="468"/>
      <c r="MNZ44" s="468"/>
      <c r="MOA44" s="468"/>
      <c r="MOB44" s="468"/>
      <c r="MOC44" s="468"/>
      <c r="MOD44" s="468"/>
      <c r="MOE44" s="468"/>
      <c r="MOF44" s="468"/>
      <c r="MOG44" s="468"/>
      <c r="MOH44" s="468"/>
      <c r="MOI44" s="468"/>
      <c r="MOJ44" s="468"/>
      <c r="MOK44" s="468"/>
      <c r="MOL44" s="468"/>
      <c r="MOM44" s="468"/>
      <c r="MON44" s="468"/>
      <c r="MOO44" s="468"/>
      <c r="MOP44" s="468"/>
      <c r="MOQ44" s="468"/>
      <c r="MOR44" s="468"/>
      <c r="MOS44" s="468"/>
      <c r="MOT44" s="468"/>
      <c r="MOU44" s="468"/>
      <c r="MOV44" s="468"/>
      <c r="MOW44" s="468"/>
      <c r="MOX44" s="468"/>
      <c r="MOY44" s="468"/>
      <c r="MOZ44" s="468"/>
      <c r="MPA44" s="468"/>
      <c r="MPB44" s="468"/>
      <c r="MPC44" s="468"/>
      <c r="MPD44" s="468"/>
      <c r="MPE44" s="468"/>
      <c r="MPF44" s="468"/>
      <c r="MPG44" s="468"/>
      <c r="MPH44" s="468"/>
      <c r="MPI44" s="468"/>
      <c r="MPJ44" s="468"/>
      <c r="MPK44" s="468"/>
      <c r="MPL44" s="468"/>
      <c r="MPM44" s="468"/>
      <c r="MPN44" s="468"/>
      <c r="MPO44" s="468"/>
      <c r="MPP44" s="468"/>
      <c r="MPQ44" s="468"/>
      <c r="MPR44" s="468"/>
      <c r="MPS44" s="468"/>
      <c r="MPT44" s="468"/>
      <c r="MPU44" s="468"/>
      <c r="MPV44" s="468"/>
      <c r="MPW44" s="468"/>
      <c r="MPX44" s="468"/>
      <c r="MPY44" s="468"/>
      <c r="MPZ44" s="468"/>
      <c r="MQA44" s="468"/>
      <c r="MQB44" s="468"/>
      <c r="MQC44" s="468"/>
      <c r="MQD44" s="468"/>
      <c r="MQE44" s="468"/>
      <c r="MQF44" s="468"/>
      <c r="MQG44" s="468"/>
      <c r="MQH44" s="468"/>
      <c r="MQI44" s="468"/>
      <c r="MQJ44" s="468"/>
      <c r="MQK44" s="468"/>
      <c r="MQL44" s="468"/>
      <c r="MQM44" s="468"/>
      <c r="MQN44" s="468"/>
      <c r="MQO44" s="468"/>
      <c r="MQP44" s="468"/>
      <c r="MQQ44" s="468"/>
      <c r="MQR44" s="468"/>
      <c r="MQS44" s="468"/>
      <c r="MQT44" s="468"/>
      <c r="MQU44" s="468"/>
      <c r="MQV44" s="468"/>
      <c r="MQW44" s="468"/>
      <c r="MQX44" s="468"/>
      <c r="MQY44" s="468"/>
      <c r="MQZ44" s="468"/>
      <c r="MRA44" s="468"/>
      <c r="MRB44" s="468"/>
      <c r="MRC44" s="468"/>
      <c r="MRD44" s="468"/>
      <c r="MRE44" s="468"/>
      <c r="MRF44" s="468"/>
      <c r="MRG44" s="468"/>
      <c r="MRH44" s="468"/>
      <c r="MRI44" s="468"/>
      <c r="MRJ44" s="468"/>
      <c r="MRK44" s="468"/>
      <c r="MRL44" s="468"/>
      <c r="MRM44" s="468"/>
      <c r="MRN44" s="468"/>
      <c r="MRO44" s="468"/>
      <c r="MRP44" s="468"/>
      <c r="MRQ44" s="468"/>
      <c r="MRR44" s="468"/>
      <c r="MRS44" s="468"/>
      <c r="MRT44" s="468"/>
      <c r="MRU44" s="468"/>
      <c r="MRV44" s="468"/>
      <c r="MRW44" s="468"/>
      <c r="MRX44" s="468"/>
      <c r="MRY44" s="468"/>
      <c r="MRZ44" s="468"/>
      <c r="MSA44" s="468"/>
      <c r="MSB44" s="468"/>
      <c r="MSC44" s="468"/>
      <c r="MSD44" s="468"/>
      <c r="MSE44" s="468"/>
      <c r="MSF44" s="468"/>
      <c r="MSG44" s="468"/>
      <c r="MSH44" s="468"/>
      <c r="MSI44" s="468"/>
      <c r="MSJ44" s="468"/>
      <c r="MSK44" s="468"/>
      <c r="MSL44" s="468"/>
      <c r="MSM44" s="468"/>
      <c r="MSN44" s="468"/>
      <c r="MSO44" s="468"/>
      <c r="MSP44" s="468"/>
      <c r="MSQ44" s="468"/>
      <c r="MSR44" s="468"/>
      <c r="MSS44" s="468"/>
      <c r="MST44" s="468"/>
      <c r="MSU44" s="468"/>
      <c r="MSV44" s="468"/>
      <c r="MSW44" s="468"/>
      <c r="MSX44" s="468"/>
      <c r="MSY44" s="468"/>
      <c r="MSZ44" s="468"/>
      <c r="MTA44" s="468"/>
      <c r="MTB44" s="468"/>
      <c r="MTC44" s="468"/>
      <c r="MTD44" s="468"/>
      <c r="MTE44" s="468"/>
      <c r="MTF44" s="468"/>
      <c r="MTG44" s="468"/>
      <c r="MTH44" s="468"/>
      <c r="MTI44" s="468"/>
      <c r="MTJ44" s="468"/>
      <c r="MTK44" s="468"/>
      <c r="MTL44" s="468"/>
      <c r="MTM44" s="468"/>
      <c r="MTN44" s="468"/>
      <c r="MTO44" s="468"/>
      <c r="MTP44" s="468"/>
      <c r="MTQ44" s="468"/>
      <c r="MTR44" s="468"/>
      <c r="MTS44" s="468"/>
      <c r="MTT44" s="468"/>
      <c r="MTU44" s="468"/>
      <c r="MTV44" s="468"/>
      <c r="MTW44" s="468"/>
      <c r="MTX44" s="468"/>
      <c r="MTY44" s="468"/>
      <c r="MTZ44" s="468"/>
      <c r="MUA44" s="468"/>
      <c r="MUB44" s="468"/>
      <c r="MUC44" s="468"/>
      <c r="MUD44" s="468"/>
      <c r="MUE44" s="468"/>
      <c r="MUF44" s="468"/>
      <c r="MUG44" s="468"/>
      <c r="MUH44" s="468"/>
      <c r="MUI44" s="468"/>
      <c r="MUJ44" s="468"/>
      <c r="MUK44" s="468"/>
      <c r="MUL44" s="468"/>
      <c r="MUM44" s="468"/>
      <c r="MUN44" s="468"/>
      <c r="MUO44" s="468"/>
      <c r="MUP44" s="468"/>
      <c r="MUQ44" s="468"/>
      <c r="MUR44" s="468"/>
      <c r="MUS44" s="468"/>
      <c r="MUT44" s="468"/>
      <c r="MUU44" s="468"/>
      <c r="MUV44" s="468"/>
      <c r="MUW44" s="468"/>
      <c r="MUX44" s="468"/>
      <c r="MUY44" s="468"/>
      <c r="MUZ44" s="468"/>
      <c r="MVA44" s="468"/>
      <c r="MVB44" s="468"/>
      <c r="MVC44" s="468"/>
      <c r="MVD44" s="468"/>
      <c r="MVE44" s="468"/>
      <c r="MVF44" s="468"/>
      <c r="MVG44" s="468"/>
      <c r="MVH44" s="468"/>
      <c r="MVI44" s="468"/>
      <c r="MVJ44" s="468"/>
      <c r="MVK44" s="468"/>
      <c r="MVL44" s="468"/>
      <c r="MVM44" s="468"/>
      <c r="MVN44" s="468"/>
      <c r="MVO44" s="468"/>
      <c r="MVP44" s="468"/>
      <c r="MVQ44" s="468"/>
      <c r="MVR44" s="468"/>
      <c r="MVS44" s="468"/>
      <c r="MVT44" s="468"/>
      <c r="MVU44" s="468"/>
      <c r="MVV44" s="468"/>
      <c r="MVW44" s="468"/>
      <c r="MVX44" s="468"/>
      <c r="MVY44" s="468"/>
      <c r="MVZ44" s="468"/>
      <c r="MWA44" s="468"/>
      <c r="MWB44" s="468"/>
      <c r="MWC44" s="468"/>
      <c r="MWD44" s="468"/>
      <c r="MWE44" s="468"/>
      <c r="MWF44" s="468"/>
      <c r="MWG44" s="468"/>
      <c r="MWH44" s="468"/>
      <c r="MWI44" s="468"/>
      <c r="MWJ44" s="468"/>
      <c r="MWK44" s="468"/>
      <c r="MWL44" s="468"/>
      <c r="MWM44" s="468"/>
      <c r="MWN44" s="468"/>
      <c r="MWO44" s="468"/>
      <c r="MWP44" s="468"/>
      <c r="MWQ44" s="468"/>
      <c r="MWR44" s="468"/>
      <c r="MWS44" s="468"/>
      <c r="MWT44" s="468"/>
      <c r="MWU44" s="468"/>
      <c r="MWV44" s="468"/>
      <c r="MWW44" s="468"/>
      <c r="MWX44" s="468"/>
      <c r="MWY44" s="468"/>
      <c r="MWZ44" s="468"/>
      <c r="MXA44" s="468"/>
      <c r="MXB44" s="468"/>
      <c r="MXC44" s="468"/>
      <c r="MXD44" s="468"/>
      <c r="MXE44" s="468"/>
      <c r="MXF44" s="468"/>
      <c r="MXG44" s="468"/>
      <c r="MXH44" s="468"/>
      <c r="MXI44" s="468"/>
      <c r="MXJ44" s="468"/>
      <c r="MXK44" s="468"/>
      <c r="MXL44" s="468"/>
      <c r="MXM44" s="468"/>
      <c r="MXN44" s="468"/>
      <c r="MXO44" s="468"/>
      <c r="MXP44" s="468"/>
      <c r="MXQ44" s="468"/>
      <c r="MXR44" s="468"/>
      <c r="MXS44" s="468"/>
      <c r="MXT44" s="468"/>
      <c r="MXU44" s="468"/>
      <c r="MXV44" s="468"/>
      <c r="MXW44" s="468"/>
      <c r="MXX44" s="468"/>
      <c r="MXY44" s="468"/>
      <c r="MXZ44" s="468"/>
      <c r="MYA44" s="468"/>
      <c r="MYB44" s="468"/>
      <c r="MYC44" s="468"/>
      <c r="MYD44" s="468"/>
      <c r="MYE44" s="468"/>
      <c r="MYF44" s="468"/>
      <c r="MYG44" s="468"/>
      <c r="MYH44" s="468"/>
      <c r="MYI44" s="468"/>
      <c r="MYJ44" s="468"/>
      <c r="MYK44" s="468"/>
      <c r="MYL44" s="468"/>
      <c r="MYM44" s="468"/>
      <c r="MYN44" s="468"/>
      <c r="MYO44" s="468"/>
      <c r="MYP44" s="468"/>
      <c r="MYQ44" s="468"/>
      <c r="MYR44" s="468"/>
      <c r="MYS44" s="468"/>
      <c r="MYT44" s="468"/>
      <c r="MYU44" s="468"/>
      <c r="MYV44" s="468"/>
      <c r="MYW44" s="468"/>
      <c r="MYX44" s="468"/>
      <c r="MYY44" s="468"/>
      <c r="MYZ44" s="468"/>
      <c r="MZA44" s="468"/>
      <c r="MZB44" s="468"/>
      <c r="MZC44" s="468"/>
      <c r="MZD44" s="468"/>
      <c r="MZE44" s="468"/>
      <c r="MZF44" s="468"/>
      <c r="MZG44" s="468"/>
      <c r="MZH44" s="468"/>
      <c r="MZI44" s="468"/>
      <c r="MZJ44" s="468"/>
      <c r="MZK44" s="468"/>
      <c r="MZL44" s="468"/>
      <c r="MZM44" s="468"/>
      <c r="MZN44" s="468"/>
      <c r="MZO44" s="468"/>
      <c r="MZP44" s="468"/>
      <c r="MZQ44" s="468"/>
      <c r="MZR44" s="468"/>
      <c r="MZS44" s="468"/>
      <c r="MZT44" s="468"/>
      <c r="MZU44" s="468"/>
      <c r="MZV44" s="468"/>
      <c r="MZW44" s="468"/>
      <c r="MZX44" s="468"/>
      <c r="MZY44" s="468"/>
      <c r="MZZ44" s="468"/>
      <c r="NAA44" s="468"/>
      <c r="NAB44" s="468"/>
      <c r="NAC44" s="468"/>
      <c r="NAD44" s="468"/>
      <c r="NAE44" s="468"/>
      <c r="NAF44" s="468"/>
      <c r="NAG44" s="468"/>
      <c r="NAH44" s="468"/>
      <c r="NAI44" s="468"/>
      <c r="NAJ44" s="468"/>
      <c r="NAK44" s="468"/>
      <c r="NAL44" s="468"/>
      <c r="NAM44" s="468"/>
      <c r="NAN44" s="468"/>
      <c r="NAO44" s="468"/>
      <c r="NAP44" s="468"/>
      <c r="NAQ44" s="468"/>
      <c r="NAR44" s="468"/>
      <c r="NAS44" s="468"/>
      <c r="NAT44" s="468"/>
      <c r="NAU44" s="468"/>
      <c r="NAV44" s="468"/>
      <c r="NAW44" s="468"/>
      <c r="NAX44" s="468"/>
      <c r="NAY44" s="468"/>
      <c r="NAZ44" s="468"/>
      <c r="NBA44" s="468"/>
      <c r="NBB44" s="468"/>
      <c r="NBC44" s="468"/>
      <c r="NBD44" s="468"/>
      <c r="NBE44" s="468"/>
      <c r="NBF44" s="468"/>
      <c r="NBG44" s="468"/>
      <c r="NBH44" s="468"/>
      <c r="NBI44" s="468"/>
      <c r="NBJ44" s="468"/>
      <c r="NBK44" s="468"/>
      <c r="NBL44" s="468"/>
      <c r="NBM44" s="468"/>
      <c r="NBN44" s="468"/>
      <c r="NBO44" s="468"/>
      <c r="NBP44" s="468"/>
      <c r="NBQ44" s="468"/>
      <c r="NBR44" s="468"/>
      <c r="NBS44" s="468"/>
      <c r="NBT44" s="468"/>
      <c r="NBU44" s="468"/>
      <c r="NBV44" s="468"/>
      <c r="NBW44" s="468"/>
      <c r="NBX44" s="468"/>
      <c r="NBY44" s="468"/>
      <c r="NBZ44" s="468"/>
      <c r="NCA44" s="468"/>
      <c r="NCB44" s="468"/>
      <c r="NCC44" s="468"/>
      <c r="NCD44" s="468"/>
      <c r="NCE44" s="468"/>
      <c r="NCF44" s="468"/>
      <c r="NCG44" s="468"/>
      <c r="NCH44" s="468"/>
      <c r="NCI44" s="468"/>
      <c r="NCJ44" s="468"/>
      <c r="NCK44" s="468"/>
      <c r="NCL44" s="468"/>
      <c r="NCM44" s="468"/>
      <c r="NCN44" s="468"/>
      <c r="NCO44" s="468"/>
      <c r="NCP44" s="468"/>
      <c r="NCQ44" s="468"/>
      <c r="NCR44" s="468"/>
      <c r="NCS44" s="468"/>
      <c r="NCT44" s="468"/>
      <c r="NCU44" s="468"/>
      <c r="NCV44" s="468"/>
      <c r="NCW44" s="468"/>
      <c r="NCX44" s="468"/>
      <c r="NCY44" s="468"/>
      <c r="NCZ44" s="468"/>
      <c r="NDA44" s="468"/>
      <c r="NDB44" s="468"/>
      <c r="NDC44" s="468"/>
      <c r="NDD44" s="468"/>
      <c r="NDE44" s="468"/>
      <c r="NDF44" s="468"/>
      <c r="NDG44" s="468"/>
      <c r="NDH44" s="468"/>
      <c r="NDI44" s="468"/>
      <c r="NDJ44" s="468"/>
      <c r="NDK44" s="468"/>
      <c r="NDL44" s="468"/>
      <c r="NDM44" s="468"/>
      <c r="NDN44" s="468"/>
      <c r="NDO44" s="468"/>
      <c r="NDP44" s="468"/>
      <c r="NDQ44" s="468"/>
      <c r="NDR44" s="468"/>
      <c r="NDS44" s="468"/>
      <c r="NDT44" s="468"/>
      <c r="NDU44" s="468"/>
      <c r="NDV44" s="468"/>
      <c r="NDW44" s="468"/>
      <c r="NDX44" s="468"/>
      <c r="NDY44" s="468"/>
      <c r="NDZ44" s="468"/>
      <c r="NEA44" s="468"/>
      <c r="NEB44" s="468"/>
      <c r="NEC44" s="468"/>
      <c r="NED44" s="468"/>
      <c r="NEE44" s="468"/>
      <c r="NEF44" s="468"/>
      <c r="NEG44" s="468"/>
      <c r="NEH44" s="468"/>
      <c r="NEI44" s="468"/>
      <c r="NEJ44" s="468"/>
      <c r="NEK44" s="468"/>
      <c r="NEL44" s="468"/>
      <c r="NEM44" s="468"/>
      <c r="NEN44" s="468"/>
      <c r="NEO44" s="468"/>
      <c r="NEP44" s="468"/>
      <c r="NEQ44" s="468"/>
      <c r="NER44" s="468"/>
      <c r="NES44" s="468"/>
      <c r="NET44" s="468"/>
      <c r="NEU44" s="468"/>
      <c r="NEV44" s="468"/>
      <c r="NEW44" s="468"/>
      <c r="NEX44" s="468"/>
      <c r="NEY44" s="468"/>
      <c r="NEZ44" s="468"/>
      <c r="NFA44" s="468"/>
      <c r="NFB44" s="468"/>
      <c r="NFC44" s="468"/>
      <c r="NFD44" s="468"/>
      <c r="NFE44" s="468"/>
      <c r="NFF44" s="468"/>
      <c r="NFG44" s="468"/>
      <c r="NFH44" s="468"/>
      <c r="NFI44" s="468"/>
      <c r="NFJ44" s="468"/>
      <c r="NFK44" s="468"/>
      <c r="NFL44" s="468"/>
      <c r="NFM44" s="468"/>
      <c r="NFN44" s="468"/>
      <c r="NFO44" s="468"/>
      <c r="NFP44" s="468"/>
      <c r="NFQ44" s="468"/>
      <c r="NFR44" s="468"/>
      <c r="NFS44" s="468"/>
      <c r="NFT44" s="468"/>
      <c r="NFU44" s="468"/>
      <c r="NFV44" s="468"/>
      <c r="NFW44" s="468"/>
      <c r="NFX44" s="468"/>
      <c r="NFY44" s="468"/>
      <c r="NFZ44" s="468"/>
      <c r="NGA44" s="468"/>
      <c r="NGB44" s="468"/>
      <c r="NGC44" s="468"/>
      <c r="NGD44" s="468"/>
      <c r="NGE44" s="468"/>
      <c r="NGF44" s="468"/>
      <c r="NGG44" s="468"/>
      <c r="NGH44" s="468"/>
      <c r="NGI44" s="468"/>
      <c r="NGJ44" s="468"/>
      <c r="NGK44" s="468"/>
      <c r="NGL44" s="468"/>
      <c r="NGM44" s="468"/>
      <c r="NGN44" s="468"/>
      <c r="NGO44" s="468"/>
      <c r="NGP44" s="468"/>
      <c r="NGQ44" s="468"/>
      <c r="NGR44" s="468"/>
      <c r="NGS44" s="468"/>
      <c r="NGT44" s="468"/>
      <c r="NGU44" s="468"/>
      <c r="NGV44" s="468"/>
      <c r="NGW44" s="468"/>
      <c r="NGX44" s="468"/>
      <c r="NGY44" s="468"/>
      <c r="NGZ44" s="468"/>
      <c r="NHA44" s="468"/>
      <c r="NHB44" s="468"/>
      <c r="NHC44" s="468"/>
      <c r="NHD44" s="468"/>
      <c r="NHE44" s="468"/>
      <c r="NHF44" s="468"/>
      <c r="NHG44" s="468"/>
      <c r="NHH44" s="468"/>
      <c r="NHI44" s="468"/>
      <c r="NHJ44" s="468"/>
      <c r="NHK44" s="468"/>
      <c r="NHL44" s="468"/>
      <c r="NHM44" s="468"/>
      <c r="NHN44" s="468"/>
      <c r="NHO44" s="468"/>
      <c r="NHP44" s="468"/>
      <c r="NHQ44" s="468"/>
      <c r="NHR44" s="468"/>
      <c r="NHS44" s="468"/>
      <c r="NHT44" s="468"/>
      <c r="NHU44" s="468"/>
      <c r="NHV44" s="468"/>
      <c r="NHW44" s="468"/>
      <c r="NHX44" s="468"/>
      <c r="NHY44" s="468"/>
      <c r="NHZ44" s="468"/>
      <c r="NIA44" s="468"/>
      <c r="NIB44" s="468"/>
      <c r="NIC44" s="468"/>
      <c r="NID44" s="468"/>
      <c r="NIE44" s="468"/>
      <c r="NIF44" s="468"/>
      <c r="NIG44" s="468"/>
      <c r="NIH44" s="468"/>
      <c r="NII44" s="468"/>
      <c r="NIJ44" s="468"/>
      <c r="NIK44" s="468"/>
      <c r="NIL44" s="468"/>
      <c r="NIM44" s="468"/>
      <c r="NIN44" s="468"/>
      <c r="NIO44" s="468"/>
      <c r="NIP44" s="468"/>
      <c r="NIQ44" s="468"/>
      <c r="NIR44" s="468"/>
      <c r="NIS44" s="468"/>
      <c r="NIT44" s="468"/>
      <c r="NIU44" s="468"/>
      <c r="NIV44" s="468"/>
      <c r="NIW44" s="468"/>
      <c r="NIX44" s="468"/>
      <c r="NIY44" s="468"/>
      <c r="NIZ44" s="468"/>
      <c r="NJA44" s="468"/>
      <c r="NJB44" s="468"/>
      <c r="NJC44" s="468"/>
      <c r="NJD44" s="468"/>
      <c r="NJE44" s="468"/>
      <c r="NJF44" s="468"/>
      <c r="NJG44" s="468"/>
      <c r="NJH44" s="468"/>
      <c r="NJI44" s="468"/>
      <c r="NJJ44" s="468"/>
      <c r="NJK44" s="468"/>
      <c r="NJL44" s="468"/>
      <c r="NJM44" s="468"/>
      <c r="NJN44" s="468"/>
      <c r="NJO44" s="468"/>
      <c r="NJP44" s="468"/>
      <c r="NJQ44" s="468"/>
      <c r="NJR44" s="468"/>
      <c r="NJS44" s="468"/>
      <c r="NJT44" s="468"/>
      <c r="NJU44" s="468"/>
      <c r="NJV44" s="468"/>
      <c r="NJW44" s="468"/>
      <c r="NJX44" s="468"/>
      <c r="NJY44" s="468"/>
      <c r="NJZ44" s="468"/>
      <c r="NKA44" s="468"/>
      <c r="NKB44" s="468"/>
      <c r="NKC44" s="468"/>
      <c r="NKD44" s="468"/>
      <c r="NKE44" s="468"/>
      <c r="NKF44" s="468"/>
      <c r="NKG44" s="468"/>
      <c r="NKH44" s="468"/>
      <c r="NKI44" s="468"/>
      <c r="NKJ44" s="468"/>
      <c r="NKK44" s="468"/>
      <c r="NKL44" s="468"/>
      <c r="NKM44" s="468"/>
      <c r="NKN44" s="468"/>
      <c r="NKO44" s="468"/>
      <c r="NKP44" s="468"/>
      <c r="NKQ44" s="468"/>
      <c r="NKR44" s="468"/>
      <c r="NKS44" s="468"/>
      <c r="NKT44" s="468"/>
      <c r="NKU44" s="468"/>
      <c r="NKV44" s="468"/>
      <c r="NKW44" s="468"/>
      <c r="NKX44" s="468"/>
      <c r="NKY44" s="468"/>
      <c r="NKZ44" s="468"/>
      <c r="NLA44" s="468"/>
      <c r="NLB44" s="468"/>
      <c r="NLC44" s="468"/>
      <c r="NLD44" s="468"/>
      <c r="NLE44" s="468"/>
      <c r="NLF44" s="468"/>
      <c r="NLG44" s="468"/>
      <c r="NLH44" s="468"/>
      <c r="NLI44" s="468"/>
      <c r="NLJ44" s="468"/>
      <c r="NLK44" s="468"/>
      <c r="NLL44" s="468"/>
      <c r="NLM44" s="468"/>
      <c r="NLN44" s="468"/>
      <c r="NLO44" s="468"/>
      <c r="NLP44" s="468"/>
      <c r="NLQ44" s="468"/>
      <c r="NLR44" s="468"/>
      <c r="NLS44" s="468"/>
      <c r="NLT44" s="468"/>
      <c r="NLU44" s="468"/>
      <c r="NLV44" s="468"/>
      <c r="NLW44" s="468"/>
      <c r="NLX44" s="468"/>
      <c r="NLY44" s="468"/>
      <c r="NLZ44" s="468"/>
      <c r="NMA44" s="468"/>
      <c r="NMB44" s="468"/>
      <c r="NMC44" s="468"/>
      <c r="NMD44" s="468"/>
      <c r="NME44" s="468"/>
      <c r="NMF44" s="468"/>
      <c r="NMG44" s="468"/>
      <c r="NMH44" s="468"/>
      <c r="NMI44" s="468"/>
      <c r="NMJ44" s="468"/>
      <c r="NMK44" s="468"/>
      <c r="NML44" s="468"/>
      <c r="NMM44" s="468"/>
      <c r="NMN44" s="468"/>
      <c r="NMO44" s="468"/>
      <c r="NMP44" s="468"/>
      <c r="NMQ44" s="468"/>
      <c r="NMR44" s="468"/>
      <c r="NMS44" s="468"/>
      <c r="NMT44" s="468"/>
      <c r="NMU44" s="468"/>
      <c r="NMV44" s="468"/>
      <c r="NMW44" s="468"/>
      <c r="NMX44" s="468"/>
      <c r="NMY44" s="468"/>
      <c r="NMZ44" s="468"/>
      <c r="NNA44" s="468"/>
      <c r="NNB44" s="468"/>
      <c r="NNC44" s="468"/>
      <c r="NND44" s="468"/>
      <c r="NNE44" s="468"/>
      <c r="NNF44" s="468"/>
      <c r="NNG44" s="468"/>
      <c r="NNH44" s="468"/>
      <c r="NNI44" s="468"/>
      <c r="NNJ44" s="468"/>
      <c r="NNK44" s="468"/>
      <c r="NNL44" s="468"/>
      <c r="NNM44" s="468"/>
      <c r="NNN44" s="468"/>
      <c r="NNO44" s="468"/>
      <c r="NNP44" s="468"/>
      <c r="NNQ44" s="468"/>
      <c r="NNR44" s="468"/>
      <c r="NNS44" s="468"/>
      <c r="NNT44" s="468"/>
      <c r="NNU44" s="468"/>
      <c r="NNV44" s="468"/>
      <c r="NNW44" s="468"/>
      <c r="NNX44" s="468"/>
      <c r="NNY44" s="468"/>
      <c r="NNZ44" s="468"/>
      <c r="NOA44" s="468"/>
      <c r="NOB44" s="468"/>
      <c r="NOC44" s="468"/>
      <c r="NOD44" s="468"/>
      <c r="NOE44" s="468"/>
      <c r="NOF44" s="468"/>
      <c r="NOG44" s="468"/>
      <c r="NOH44" s="468"/>
      <c r="NOI44" s="468"/>
      <c r="NOJ44" s="468"/>
      <c r="NOK44" s="468"/>
      <c r="NOL44" s="468"/>
      <c r="NOM44" s="468"/>
      <c r="NON44" s="468"/>
      <c r="NOO44" s="468"/>
      <c r="NOP44" s="468"/>
      <c r="NOQ44" s="468"/>
      <c r="NOR44" s="468"/>
      <c r="NOS44" s="468"/>
      <c r="NOT44" s="468"/>
      <c r="NOU44" s="468"/>
      <c r="NOV44" s="468"/>
      <c r="NOW44" s="468"/>
      <c r="NOX44" s="468"/>
      <c r="NOY44" s="468"/>
      <c r="NOZ44" s="468"/>
      <c r="NPA44" s="468"/>
      <c r="NPB44" s="468"/>
      <c r="NPC44" s="468"/>
      <c r="NPD44" s="468"/>
      <c r="NPE44" s="468"/>
      <c r="NPF44" s="468"/>
      <c r="NPG44" s="468"/>
      <c r="NPH44" s="468"/>
      <c r="NPI44" s="468"/>
      <c r="NPJ44" s="468"/>
      <c r="NPK44" s="468"/>
      <c r="NPL44" s="468"/>
      <c r="NPM44" s="468"/>
      <c r="NPN44" s="468"/>
      <c r="NPO44" s="468"/>
      <c r="NPP44" s="468"/>
      <c r="NPQ44" s="468"/>
      <c r="NPR44" s="468"/>
      <c r="NPS44" s="468"/>
      <c r="NPT44" s="468"/>
      <c r="NPU44" s="468"/>
      <c r="NPV44" s="468"/>
      <c r="NPW44" s="468"/>
      <c r="NPX44" s="468"/>
      <c r="NPY44" s="468"/>
      <c r="NPZ44" s="468"/>
      <c r="NQA44" s="468"/>
      <c r="NQB44" s="468"/>
      <c r="NQC44" s="468"/>
      <c r="NQD44" s="468"/>
      <c r="NQE44" s="468"/>
      <c r="NQF44" s="468"/>
      <c r="NQG44" s="468"/>
      <c r="NQH44" s="468"/>
      <c r="NQI44" s="468"/>
      <c r="NQJ44" s="468"/>
      <c r="NQK44" s="468"/>
      <c r="NQL44" s="468"/>
      <c r="NQM44" s="468"/>
      <c r="NQN44" s="468"/>
      <c r="NQO44" s="468"/>
      <c r="NQP44" s="468"/>
      <c r="NQQ44" s="468"/>
      <c r="NQR44" s="468"/>
      <c r="NQS44" s="468"/>
      <c r="NQT44" s="468"/>
      <c r="NQU44" s="468"/>
      <c r="NQV44" s="468"/>
      <c r="NQW44" s="468"/>
      <c r="NQX44" s="468"/>
      <c r="NQY44" s="468"/>
      <c r="NQZ44" s="468"/>
      <c r="NRA44" s="468"/>
      <c r="NRB44" s="468"/>
      <c r="NRC44" s="468"/>
      <c r="NRD44" s="468"/>
      <c r="NRE44" s="468"/>
      <c r="NRF44" s="468"/>
      <c r="NRG44" s="468"/>
      <c r="NRH44" s="468"/>
      <c r="NRI44" s="468"/>
      <c r="NRJ44" s="468"/>
      <c r="NRK44" s="468"/>
      <c r="NRL44" s="468"/>
      <c r="NRM44" s="468"/>
      <c r="NRN44" s="468"/>
      <c r="NRO44" s="468"/>
      <c r="NRP44" s="468"/>
      <c r="NRQ44" s="468"/>
      <c r="NRR44" s="468"/>
      <c r="NRS44" s="468"/>
      <c r="NRT44" s="468"/>
      <c r="NRU44" s="468"/>
      <c r="NRV44" s="468"/>
      <c r="NRW44" s="468"/>
      <c r="NRX44" s="468"/>
      <c r="NRY44" s="468"/>
      <c r="NRZ44" s="468"/>
      <c r="NSA44" s="468"/>
      <c r="NSB44" s="468"/>
      <c r="NSC44" s="468"/>
      <c r="NSD44" s="468"/>
      <c r="NSE44" s="468"/>
      <c r="NSF44" s="468"/>
      <c r="NSG44" s="468"/>
      <c r="NSH44" s="468"/>
      <c r="NSI44" s="468"/>
      <c r="NSJ44" s="468"/>
      <c r="NSK44" s="468"/>
      <c r="NSL44" s="468"/>
      <c r="NSM44" s="468"/>
      <c r="NSN44" s="468"/>
      <c r="NSO44" s="468"/>
      <c r="NSP44" s="468"/>
      <c r="NSQ44" s="468"/>
      <c r="NSR44" s="468"/>
      <c r="NSS44" s="468"/>
      <c r="NST44" s="468"/>
      <c r="NSU44" s="468"/>
      <c r="NSV44" s="468"/>
      <c r="NSW44" s="468"/>
      <c r="NSX44" s="468"/>
      <c r="NSY44" s="468"/>
      <c r="NSZ44" s="468"/>
      <c r="NTA44" s="468"/>
      <c r="NTB44" s="468"/>
      <c r="NTC44" s="468"/>
      <c r="NTD44" s="468"/>
      <c r="NTE44" s="468"/>
      <c r="NTF44" s="468"/>
      <c r="NTG44" s="468"/>
      <c r="NTH44" s="468"/>
      <c r="NTI44" s="468"/>
      <c r="NTJ44" s="468"/>
      <c r="NTK44" s="468"/>
      <c r="NTL44" s="468"/>
      <c r="NTM44" s="468"/>
      <c r="NTN44" s="468"/>
      <c r="NTO44" s="468"/>
      <c r="NTP44" s="468"/>
      <c r="NTQ44" s="468"/>
      <c r="NTR44" s="468"/>
      <c r="NTS44" s="468"/>
      <c r="NTT44" s="468"/>
      <c r="NTU44" s="468"/>
      <c r="NTV44" s="468"/>
      <c r="NTW44" s="468"/>
      <c r="NTX44" s="468"/>
      <c r="NTY44" s="468"/>
      <c r="NTZ44" s="468"/>
      <c r="NUA44" s="468"/>
      <c r="NUB44" s="468"/>
      <c r="NUC44" s="468"/>
      <c r="NUD44" s="468"/>
      <c r="NUE44" s="468"/>
      <c r="NUF44" s="468"/>
      <c r="NUG44" s="468"/>
      <c r="NUH44" s="468"/>
      <c r="NUI44" s="468"/>
      <c r="NUJ44" s="468"/>
      <c r="NUK44" s="468"/>
      <c r="NUL44" s="468"/>
      <c r="NUM44" s="468"/>
      <c r="NUN44" s="468"/>
      <c r="NUO44" s="468"/>
      <c r="NUP44" s="468"/>
      <c r="NUQ44" s="468"/>
      <c r="NUR44" s="468"/>
      <c r="NUS44" s="468"/>
      <c r="NUT44" s="468"/>
      <c r="NUU44" s="468"/>
      <c r="NUV44" s="468"/>
      <c r="NUW44" s="468"/>
      <c r="NUX44" s="468"/>
      <c r="NUY44" s="468"/>
      <c r="NUZ44" s="468"/>
      <c r="NVA44" s="468"/>
      <c r="NVB44" s="468"/>
      <c r="NVC44" s="468"/>
      <c r="NVD44" s="468"/>
      <c r="NVE44" s="468"/>
      <c r="NVF44" s="468"/>
      <c r="NVG44" s="468"/>
      <c r="NVH44" s="468"/>
      <c r="NVI44" s="468"/>
      <c r="NVJ44" s="468"/>
      <c r="NVK44" s="468"/>
      <c r="NVL44" s="468"/>
      <c r="NVM44" s="468"/>
      <c r="NVN44" s="468"/>
      <c r="NVO44" s="468"/>
      <c r="NVP44" s="468"/>
      <c r="NVQ44" s="468"/>
      <c r="NVR44" s="468"/>
      <c r="NVS44" s="468"/>
      <c r="NVT44" s="468"/>
      <c r="NVU44" s="468"/>
      <c r="NVV44" s="468"/>
      <c r="NVW44" s="468"/>
      <c r="NVX44" s="468"/>
      <c r="NVY44" s="468"/>
      <c r="NVZ44" s="468"/>
      <c r="NWA44" s="468"/>
      <c r="NWB44" s="468"/>
      <c r="NWC44" s="468"/>
      <c r="NWD44" s="468"/>
      <c r="NWE44" s="468"/>
      <c r="NWF44" s="468"/>
      <c r="NWG44" s="468"/>
      <c r="NWH44" s="468"/>
      <c r="NWI44" s="468"/>
      <c r="NWJ44" s="468"/>
      <c r="NWK44" s="468"/>
      <c r="NWL44" s="468"/>
      <c r="NWM44" s="468"/>
      <c r="NWN44" s="468"/>
      <c r="NWO44" s="468"/>
      <c r="NWP44" s="468"/>
      <c r="NWQ44" s="468"/>
      <c r="NWR44" s="468"/>
      <c r="NWS44" s="468"/>
      <c r="NWT44" s="468"/>
      <c r="NWU44" s="468"/>
      <c r="NWV44" s="468"/>
      <c r="NWW44" s="468"/>
      <c r="NWX44" s="468"/>
      <c r="NWY44" s="468"/>
      <c r="NWZ44" s="468"/>
      <c r="NXA44" s="468"/>
      <c r="NXB44" s="468"/>
      <c r="NXC44" s="468"/>
      <c r="NXD44" s="468"/>
      <c r="NXE44" s="468"/>
      <c r="NXF44" s="468"/>
      <c r="NXG44" s="468"/>
      <c r="NXH44" s="468"/>
      <c r="NXI44" s="468"/>
      <c r="NXJ44" s="468"/>
      <c r="NXK44" s="468"/>
      <c r="NXL44" s="468"/>
      <c r="NXM44" s="468"/>
      <c r="NXN44" s="468"/>
      <c r="NXO44" s="468"/>
      <c r="NXP44" s="468"/>
      <c r="NXQ44" s="468"/>
      <c r="NXR44" s="468"/>
      <c r="NXS44" s="468"/>
      <c r="NXT44" s="468"/>
      <c r="NXU44" s="468"/>
      <c r="NXV44" s="468"/>
      <c r="NXW44" s="468"/>
      <c r="NXX44" s="468"/>
      <c r="NXY44" s="468"/>
      <c r="NXZ44" s="468"/>
      <c r="NYA44" s="468"/>
      <c r="NYB44" s="468"/>
      <c r="NYC44" s="468"/>
      <c r="NYD44" s="468"/>
      <c r="NYE44" s="468"/>
      <c r="NYF44" s="468"/>
      <c r="NYG44" s="468"/>
      <c r="NYH44" s="468"/>
      <c r="NYI44" s="468"/>
      <c r="NYJ44" s="468"/>
      <c r="NYK44" s="468"/>
      <c r="NYL44" s="468"/>
      <c r="NYM44" s="468"/>
      <c r="NYN44" s="468"/>
      <c r="NYO44" s="468"/>
      <c r="NYP44" s="468"/>
      <c r="NYQ44" s="468"/>
      <c r="NYR44" s="468"/>
      <c r="NYS44" s="468"/>
      <c r="NYT44" s="468"/>
      <c r="NYU44" s="468"/>
      <c r="NYV44" s="468"/>
      <c r="NYW44" s="468"/>
      <c r="NYX44" s="468"/>
      <c r="NYY44" s="468"/>
      <c r="NYZ44" s="468"/>
      <c r="NZA44" s="468"/>
      <c r="NZB44" s="468"/>
      <c r="NZC44" s="468"/>
      <c r="NZD44" s="468"/>
      <c r="NZE44" s="468"/>
      <c r="NZF44" s="468"/>
      <c r="NZG44" s="468"/>
      <c r="NZH44" s="468"/>
      <c r="NZI44" s="468"/>
      <c r="NZJ44" s="468"/>
      <c r="NZK44" s="468"/>
      <c r="NZL44" s="468"/>
      <c r="NZM44" s="468"/>
      <c r="NZN44" s="468"/>
      <c r="NZO44" s="468"/>
      <c r="NZP44" s="468"/>
      <c r="NZQ44" s="468"/>
      <c r="NZR44" s="468"/>
      <c r="NZS44" s="468"/>
      <c r="NZT44" s="468"/>
      <c r="NZU44" s="468"/>
      <c r="NZV44" s="468"/>
      <c r="NZW44" s="468"/>
      <c r="NZX44" s="468"/>
      <c r="NZY44" s="468"/>
      <c r="NZZ44" s="468"/>
      <c r="OAA44" s="468"/>
      <c r="OAB44" s="468"/>
      <c r="OAC44" s="468"/>
      <c r="OAD44" s="468"/>
      <c r="OAE44" s="468"/>
      <c r="OAF44" s="468"/>
      <c r="OAG44" s="468"/>
      <c r="OAH44" s="468"/>
      <c r="OAI44" s="468"/>
      <c r="OAJ44" s="468"/>
      <c r="OAK44" s="468"/>
      <c r="OAL44" s="468"/>
      <c r="OAM44" s="468"/>
      <c r="OAN44" s="468"/>
      <c r="OAO44" s="468"/>
      <c r="OAP44" s="468"/>
      <c r="OAQ44" s="468"/>
      <c r="OAR44" s="468"/>
      <c r="OAS44" s="468"/>
      <c r="OAT44" s="468"/>
      <c r="OAU44" s="468"/>
      <c r="OAV44" s="468"/>
      <c r="OAW44" s="468"/>
      <c r="OAX44" s="468"/>
      <c r="OAY44" s="468"/>
      <c r="OAZ44" s="468"/>
      <c r="OBA44" s="468"/>
      <c r="OBB44" s="468"/>
      <c r="OBC44" s="468"/>
      <c r="OBD44" s="468"/>
      <c r="OBE44" s="468"/>
      <c r="OBF44" s="468"/>
      <c r="OBG44" s="468"/>
      <c r="OBH44" s="468"/>
      <c r="OBI44" s="468"/>
      <c r="OBJ44" s="468"/>
      <c r="OBK44" s="468"/>
      <c r="OBL44" s="468"/>
      <c r="OBM44" s="468"/>
      <c r="OBN44" s="468"/>
      <c r="OBO44" s="468"/>
      <c r="OBP44" s="468"/>
      <c r="OBQ44" s="468"/>
      <c r="OBR44" s="468"/>
      <c r="OBS44" s="468"/>
      <c r="OBT44" s="468"/>
      <c r="OBU44" s="468"/>
      <c r="OBV44" s="468"/>
      <c r="OBW44" s="468"/>
      <c r="OBX44" s="468"/>
      <c r="OBY44" s="468"/>
      <c r="OBZ44" s="468"/>
      <c r="OCA44" s="468"/>
      <c r="OCB44" s="468"/>
      <c r="OCC44" s="468"/>
      <c r="OCD44" s="468"/>
      <c r="OCE44" s="468"/>
      <c r="OCF44" s="468"/>
      <c r="OCG44" s="468"/>
      <c r="OCH44" s="468"/>
      <c r="OCI44" s="468"/>
      <c r="OCJ44" s="468"/>
      <c r="OCK44" s="468"/>
      <c r="OCL44" s="468"/>
      <c r="OCM44" s="468"/>
      <c r="OCN44" s="468"/>
      <c r="OCO44" s="468"/>
      <c r="OCP44" s="468"/>
      <c r="OCQ44" s="468"/>
      <c r="OCR44" s="468"/>
      <c r="OCS44" s="468"/>
      <c r="OCT44" s="468"/>
      <c r="OCU44" s="468"/>
      <c r="OCV44" s="468"/>
      <c r="OCW44" s="468"/>
      <c r="OCX44" s="468"/>
      <c r="OCY44" s="468"/>
      <c r="OCZ44" s="468"/>
      <c r="ODA44" s="468"/>
      <c r="ODB44" s="468"/>
      <c r="ODC44" s="468"/>
      <c r="ODD44" s="468"/>
      <c r="ODE44" s="468"/>
      <c r="ODF44" s="468"/>
      <c r="ODG44" s="468"/>
      <c r="ODH44" s="468"/>
      <c r="ODI44" s="468"/>
      <c r="ODJ44" s="468"/>
      <c r="ODK44" s="468"/>
      <c r="ODL44" s="468"/>
      <c r="ODM44" s="468"/>
      <c r="ODN44" s="468"/>
      <c r="ODO44" s="468"/>
      <c r="ODP44" s="468"/>
      <c r="ODQ44" s="468"/>
      <c r="ODR44" s="468"/>
      <c r="ODS44" s="468"/>
      <c r="ODT44" s="468"/>
      <c r="ODU44" s="468"/>
      <c r="ODV44" s="468"/>
      <c r="ODW44" s="468"/>
      <c r="ODX44" s="468"/>
      <c r="ODY44" s="468"/>
      <c r="ODZ44" s="468"/>
      <c r="OEA44" s="468"/>
      <c r="OEB44" s="468"/>
      <c r="OEC44" s="468"/>
      <c r="OED44" s="468"/>
      <c r="OEE44" s="468"/>
      <c r="OEF44" s="468"/>
      <c r="OEG44" s="468"/>
      <c r="OEH44" s="468"/>
      <c r="OEI44" s="468"/>
      <c r="OEJ44" s="468"/>
      <c r="OEK44" s="468"/>
      <c r="OEL44" s="468"/>
      <c r="OEM44" s="468"/>
      <c r="OEN44" s="468"/>
      <c r="OEO44" s="468"/>
      <c r="OEP44" s="468"/>
      <c r="OEQ44" s="468"/>
      <c r="OER44" s="468"/>
      <c r="OES44" s="468"/>
      <c r="OET44" s="468"/>
      <c r="OEU44" s="468"/>
      <c r="OEV44" s="468"/>
      <c r="OEW44" s="468"/>
      <c r="OEX44" s="468"/>
      <c r="OEY44" s="468"/>
      <c r="OEZ44" s="468"/>
      <c r="OFA44" s="468"/>
      <c r="OFB44" s="468"/>
      <c r="OFC44" s="468"/>
      <c r="OFD44" s="468"/>
      <c r="OFE44" s="468"/>
      <c r="OFF44" s="468"/>
      <c r="OFG44" s="468"/>
      <c r="OFH44" s="468"/>
      <c r="OFI44" s="468"/>
      <c r="OFJ44" s="468"/>
      <c r="OFK44" s="468"/>
      <c r="OFL44" s="468"/>
      <c r="OFM44" s="468"/>
      <c r="OFN44" s="468"/>
      <c r="OFO44" s="468"/>
      <c r="OFP44" s="468"/>
      <c r="OFQ44" s="468"/>
      <c r="OFR44" s="468"/>
      <c r="OFS44" s="468"/>
      <c r="OFT44" s="468"/>
      <c r="OFU44" s="468"/>
      <c r="OFV44" s="468"/>
      <c r="OFW44" s="468"/>
      <c r="OFX44" s="468"/>
      <c r="OFY44" s="468"/>
      <c r="OFZ44" s="468"/>
      <c r="OGA44" s="468"/>
      <c r="OGB44" s="468"/>
      <c r="OGC44" s="468"/>
      <c r="OGD44" s="468"/>
      <c r="OGE44" s="468"/>
      <c r="OGF44" s="468"/>
      <c r="OGG44" s="468"/>
      <c r="OGH44" s="468"/>
      <c r="OGI44" s="468"/>
      <c r="OGJ44" s="468"/>
      <c r="OGK44" s="468"/>
      <c r="OGL44" s="468"/>
      <c r="OGM44" s="468"/>
      <c r="OGN44" s="468"/>
      <c r="OGO44" s="468"/>
      <c r="OGP44" s="468"/>
      <c r="OGQ44" s="468"/>
      <c r="OGR44" s="468"/>
      <c r="OGS44" s="468"/>
      <c r="OGT44" s="468"/>
      <c r="OGU44" s="468"/>
      <c r="OGV44" s="468"/>
      <c r="OGW44" s="468"/>
      <c r="OGX44" s="468"/>
      <c r="OGY44" s="468"/>
      <c r="OGZ44" s="468"/>
      <c r="OHA44" s="468"/>
      <c r="OHB44" s="468"/>
      <c r="OHC44" s="468"/>
      <c r="OHD44" s="468"/>
      <c r="OHE44" s="468"/>
      <c r="OHF44" s="468"/>
      <c r="OHG44" s="468"/>
      <c r="OHH44" s="468"/>
      <c r="OHI44" s="468"/>
      <c r="OHJ44" s="468"/>
      <c r="OHK44" s="468"/>
      <c r="OHL44" s="468"/>
      <c r="OHM44" s="468"/>
      <c r="OHN44" s="468"/>
      <c r="OHO44" s="468"/>
      <c r="OHP44" s="468"/>
      <c r="OHQ44" s="468"/>
      <c r="OHR44" s="468"/>
      <c r="OHS44" s="468"/>
      <c r="OHT44" s="468"/>
      <c r="OHU44" s="468"/>
      <c r="OHV44" s="468"/>
      <c r="OHW44" s="468"/>
      <c r="OHX44" s="468"/>
      <c r="OHY44" s="468"/>
      <c r="OHZ44" s="468"/>
      <c r="OIA44" s="468"/>
      <c r="OIB44" s="468"/>
      <c r="OIC44" s="468"/>
      <c r="OID44" s="468"/>
      <c r="OIE44" s="468"/>
      <c r="OIF44" s="468"/>
      <c r="OIG44" s="468"/>
      <c r="OIH44" s="468"/>
      <c r="OII44" s="468"/>
      <c r="OIJ44" s="468"/>
      <c r="OIK44" s="468"/>
      <c r="OIL44" s="468"/>
      <c r="OIM44" s="468"/>
      <c r="OIN44" s="468"/>
      <c r="OIO44" s="468"/>
      <c r="OIP44" s="468"/>
      <c r="OIQ44" s="468"/>
      <c r="OIR44" s="468"/>
      <c r="OIS44" s="468"/>
      <c r="OIT44" s="468"/>
      <c r="OIU44" s="468"/>
      <c r="OIV44" s="468"/>
      <c r="OIW44" s="468"/>
      <c r="OIX44" s="468"/>
      <c r="OIY44" s="468"/>
      <c r="OIZ44" s="468"/>
      <c r="OJA44" s="468"/>
      <c r="OJB44" s="468"/>
      <c r="OJC44" s="468"/>
      <c r="OJD44" s="468"/>
      <c r="OJE44" s="468"/>
      <c r="OJF44" s="468"/>
      <c r="OJG44" s="468"/>
      <c r="OJH44" s="468"/>
      <c r="OJI44" s="468"/>
      <c r="OJJ44" s="468"/>
      <c r="OJK44" s="468"/>
      <c r="OJL44" s="468"/>
      <c r="OJM44" s="468"/>
      <c r="OJN44" s="468"/>
      <c r="OJO44" s="468"/>
      <c r="OJP44" s="468"/>
      <c r="OJQ44" s="468"/>
      <c r="OJR44" s="468"/>
      <c r="OJS44" s="468"/>
      <c r="OJT44" s="468"/>
      <c r="OJU44" s="468"/>
      <c r="OJV44" s="468"/>
      <c r="OJW44" s="468"/>
      <c r="OJX44" s="468"/>
      <c r="OJY44" s="468"/>
      <c r="OJZ44" s="468"/>
      <c r="OKA44" s="468"/>
      <c r="OKB44" s="468"/>
      <c r="OKC44" s="468"/>
      <c r="OKD44" s="468"/>
      <c r="OKE44" s="468"/>
      <c r="OKF44" s="468"/>
      <c r="OKG44" s="468"/>
      <c r="OKH44" s="468"/>
      <c r="OKI44" s="468"/>
      <c r="OKJ44" s="468"/>
      <c r="OKK44" s="468"/>
      <c r="OKL44" s="468"/>
      <c r="OKM44" s="468"/>
      <c r="OKN44" s="468"/>
      <c r="OKO44" s="468"/>
      <c r="OKP44" s="468"/>
      <c r="OKQ44" s="468"/>
      <c r="OKR44" s="468"/>
      <c r="OKS44" s="468"/>
      <c r="OKT44" s="468"/>
      <c r="OKU44" s="468"/>
      <c r="OKV44" s="468"/>
      <c r="OKW44" s="468"/>
      <c r="OKX44" s="468"/>
      <c r="OKY44" s="468"/>
      <c r="OKZ44" s="468"/>
      <c r="OLA44" s="468"/>
      <c r="OLB44" s="468"/>
      <c r="OLC44" s="468"/>
      <c r="OLD44" s="468"/>
      <c r="OLE44" s="468"/>
      <c r="OLF44" s="468"/>
      <c r="OLG44" s="468"/>
      <c r="OLH44" s="468"/>
      <c r="OLI44" s="468"/>
      <c r="OLJ44" s="468"/>
      <c r="OLK44" s="468"/>
      <c r="OLL44" s="468"/>
      <c r="OLM44" s="468"/>
      <c r="OLN44" s="468"/>
      <c r="OLO44" s="468"/>
      <c r="OLP44" s="468"/>
      <c r="OLQ44" s="468"/>
      <c r="OLR44" s="468"/>
      <c r="OLS44" s="468"/>
      <c r="OLT44" s="468"/>
      <c r="OLU44" s="468"/>
      <c r="OLV44" s="468"/>
      <c r="OLW44" s="468"/>
      <c r="OLX44" s="468"/>
      <c r="OLY44" s="468"/>
      <c r="OLZ44" s="468"/>
      <c r="OMA44" s="468"/>
      <c r="OMB44" s="468"/>
      <c r="OMC44" s="468"/>
      <c r="OMD44" s="468"/>
      <c r="OME44" s="468"/>
      <c r="OMF44" s="468"/>
      <c r="OMG44" s="468"/>
      <c r="OMH44" s="468"/>
      <c r="OMI44" s="468"/>
      <c r="OMJ44" s="468"/>
      <c r="OMK44" s="468"/>
      <c r="OML44" s="468"/>
      <c r="OMM44" s="468"/>
      <c r="OMN44" s="468"/>
      <c r="OMO44" s="468"/>
      <c r="OMP44" s="468"/>
      <c r="OMQ44" s="468"/>
      <c r="OMR44" s="468"/>
      <c r="OMS44" s="468"/>
      <c r="OMT44" s="468"/>
      <c r="OMU44" s="468"/>
      <c r="OMV44" s="468"/>
      <c r="OMW44" s="468"/>
      <c r="OMX44" s="468"/>
      <c r="OMY44" s="468"/>
      <c r="OMZ44" s="468"/>
      <c r="ONA44" s="468"/>
      <c r="ONB44" s="468"/>
      <c r="ONC44" s="468"/>
      <c r="OND44" s="468"/>
      <c r="ONE44" s="468"/>
      <c r="ONF44" s="468"/>
      <c r="ONG44" s="468"/>
      <c r="ONH44" s="468"/>
      <c r="ONI44" s="468"/>
      <c r="ONJ44" s="468"/>
      <c r="ONK44" s="468"/>
      <c r="ONL44" s="468"/>
      <c r="ONM44" s="468"/>
      <c r="ONN44" s="468"/>
      <c r="ONO44" s="468"/>
      <c r="ONP44" s="468"/>
      <c r="ONQ44" s="468"/>
      <c r="ONR44" s="468"/>
      <c r="ONS44" s="468"/>
      <c r="ONT44" s="468"/>
      <c r="ONU44" s="468"/>
      <c r="ONV44" s="468"/>
      <c r="ONW44" s="468"/>
      <c r="ONX44" s="468"/>
      <c r="ONY44" s="468"/>
      <c r="ONZ44" s="468"/>
      <c r="OOA44" s="468"/>
      <c r="OOB44" s="468"/>
      <c r="OOC44" s="468"/>
      <c r="OOD44" s="468"/>
      <c r="OOE44" s="468"/>
      <c r="OOF44" s="468"/>
      <c r="OOG44" s="468"/>
      <c r="OOH44" s="468"/>
      <c r="OOI44" s="468"/>
      <c r="OOJ44" s="468"/>
      <c r="OOK44" s="468"/>
      <c r="OOL44" s="468"/>
      <c r="OOM44" s="468"/>
      <c r="OON44" s="468"/>
      <c r="OOO44" s="468"/>
      <c r="OOP44" s="468"/>
      <c r="OOQ44" s="468"/>
      <c r="OOR44" s="468"/>
      <c r="OOS44" s="468"/>
      <c r="OOT44" s="468"/>
      <c r="OOU44" s="468"/>
      <c r="OOV44" s="468"/>
      <c r="OOW44" s="468"/>
      <c r="OOX44" s="468"/>
      <c r="OOY44" s="468"/>
      <c r="OOZ44" s="468"/>
      <c r="OPA44" s="468"/>
      <c r="OPB44" s="468"/>
      <c r="OPC44" s="468"/>
      <c r="OPD44" s="468"/>
      <c r="OPE44" s="468"/>
      <c r="OPF44" s="468"/>
      <c r="OPG44" s="468"/>
      <c r="OPH44" s="468"/>
      <c r="OPI44" s="468"/>
      <c r="OPJ44" s="468"/>
      <c r="OPK44" s="468"/>
      <c r="OPL44" s="468"/>
      <c r="OPM44" s="468"/>
      <c r="OPN44" s="468"/>
      <c r="OPO44" s="468"/>
      <c r="OPP44" s="468"/>
      <c r="OPQ44" s="468"/>
      <c r="OPR44" s="468"/>
      <c r="OPS44" s="468"/>
      <c r="OPT44" s="468"/>
      <c r="OPU44" s="468"/>
      <c r="OPV44" s="468"/>
      <c r="OPW44" s="468"/>
      <c r="OPX44" s="468"/>
      <c r="OPY44" s="468"/>
      <c r="OPZ44" s="468"/>
      <c r="OQA44" s="468"/>
      <c r="OQB44" s="468"/>
      <c r="OQC44" s="468"/>
      <c r="OQD44" s="468"/>
      <c r="OQE44" s="468"/>
      <c r="OQF44" s="468"/>
      <c r="OQG44" s="468"/>
      <c r="OQH44" s="468"/>
      <c r="OQI44" s="468"/>
      <c r="OQJ44" s="468"/>
      <c r="OQK44" s="468"/>
      <c r="OQL44" s="468"/>
      <c r="OQM44" s="468"/>
      <c r="OQN44" s="468"/>
      <c r="OQO44" s="468"/>
      <c r="OQP44" s="468"/>
      <c r="OQQ44" s="468"/>
      <c r="OQR44" s="468"/>
      <c r="OQS44" s="468"/>
      <c r="OQT44" s="468"/>
      <c r="OQU44" s="468"/>
      <c r="OQV44" s="468"/>
      <c r="OQW44" s="468"/>
      <c r="OQX44" s="468"/>
      <c r="OQY44" s="468"/>
      <c r="OQZ44" s="468"/>
      <c r="ORA44" s="468"/>
      <c r="ORB44" s="468"/>
      <c r="ORC44" s="468"/>
      <c r="ORD44" s="468"/>
      <c r="ORE44" s="468"/>
      <c r="ORF44" s="468"/>
      <c r="ORG44" s="468"/>
      <c r="ORH44" s="468"/>
      <c r="ORI44" s="468"/>
      <c r="ORJ44" s="468"/>
      <c r="ORK44" s="468"/>
      <c r="ORL44" s="468"/>
      <c r="ORM44" s="468"/>
      <c r="ORN44" s="468"/>
      <c r="ORO44" s="468"/>
      <c r="ORP44" s="468"/>
      <c r="ORQ44" s="468"/>
      <c r="ORR44" s="468"/>
      <c r="ORS44" s="468"/>
      <c r="ORT44" s="468"/>
      <c r="ORU44" s="468"/>
      <c r="ORV44" s="468"/>
      <c r="ORW44" s="468"/>
      <c r="ORX44" s="468"/>
      <c r="ORY44" s="468"/>
      <c r="ORZ44" s="468"/>
      <c r="OSA44" s="468"/>
      <c r="OSB44" s="468"/>
      <c r="OSC44" s="468"/>
      <c r="OSD44" s="468"/>
      <c r="OSE44" s="468"/>
      <c r="OSF44" s="468"/>
      <c r="OSG44" s="468"/>
      <c r="OSH44" s="468"/>
      <c r="OSI44" s="468"/>
      <c r="OSJ44" s="468"/>
      <c r="OSK44" s="468"/>
      <c r="OSL44" s="468"/>
      <c r="OSM44" s="468"/>
      <c r="OSN44" s="468"/>
      <c r="OSO44" s="468"/>
      <c r="OSP44" s="468"/>
      <c r="OSQ44" s="468"/>
      <c r="OSR44" s="468"/>
      <c r="OSS44" s="468"/>
      <c r="OST44" s="468"/>
      <c r="OSU44" s="468"/>
      <c r="OSV44" s="468"/>
      <c r="OSW44" s="468"/>
      <c r="OSX44" s="468"/>
      <c r="OSY44" s="468"/>
      <c r="OSZ44" s="468"/>
      <c r="OTA44" s="468"/>
      <c r="OTB44" s="468"/>
      <c r="OTC44" s="468"/>
      <c r="OTD44" s="468"/>
      <c r="OTE44" s="468"/>
      <c r="OTF44" s="468"/>
      <c r="OTG44" s="468"/>
      <c r="OTH44" s="468"/>
      <c r="OTI44" s="468"/>
      <c r="OTJ44" s="468"/>
      <c r="OTK44" s="468"/>
      <c r="OTL44" s="468"/>
      <c r="OTM44" s="468"/>
      <c r="OTN44" s="468"/>
      <c r="OTO44" s="468"/>
      <c r="OTP44" s="468"/>
      <c r="OTQ44" s="468"/>
      <c r="OTR44" s="468"/>
      <c r="OTS44" s="468"/>
      <c r="OTT44" s="468"/>
      <c r="OTU44" s="468"/>
      <c r="OTV44" s="468"/>
      <c r="OTW44" s="468"/>
      <c r="OTX44" s="468"/>
      <c r="OTY44" s="468"/>
      <c r="OTZ44" s="468"/>
      <c r="OUA44" s="468"/>
      <c r="OUB44" s="468"/>
      <c r="OUC44" s="468"/>
      <c r="OUD44" s="468"/>
      <c r="OUE44" s="468"/>
      <c r="OUF44" s="468"/>
      <c r="OUG44" s="468"/>
      <c r="OUH44" s="468"/>
      <c r="OUI44" s="468"/>
      <c r="OUJ44" s="468"/>
      <c r="OUK44" s="468"/>
      <c r="OUL44" s="468"/>
      <c r="OUM44" s="468"/>
      <c r="OUN44" s="468"/>
      <c r="OUO44" s="468"/>
      <c r="OUP44" s="468"/>
      <c r="OUQ44" s="468"/>
      <c r="OUR44" s="468"/>
      <c r="OUS44" s="468"/>
      <c r="OUT44" s="468"/>
      <c r="OUU44" s="468"/>
      <c r="OUV44" s="468"/>
      <c r="OUW44" s="468"/>
      <c r="OUX44" s="468"/>
      <c r="OUY44" s="468"/>
      <c r="OUZ44" s="468"/>
      <c r="OVA44" s="468"/>
      <c r="OVB44" s="468"/>
      <c r="OVC44" s="468"/>
      <c r="OVD44" s="468"/>
      <c r="OVE44" s="468"/>
      <c r="OVF44" s="468"/>
      <c r="OVG44" s="468"/>
      <c r="OVH44" s="468"/>
      <c r="OVI44" s="468"/>
      <c r="OVJ44" s="468"/>
      <c r="OVK44" s="468"/>
      <c r="OVL44" s="468"/>
      <c r="OVM44" s="468"/>
      <c r="OVN44" s="468"/>
      <c r="OVO44" s="468"/>
      <c r="OVP44" s="468"/>
      <c r="OVQ44" s="468"/>
      <c r="OVR44" s="468"/>
      <c r="OVS44" s="468"/>
      <c r="OVT44" s="468"/>
      <c r="OVU44" s="468"/>
      <c r="OVV44" s="468"/>
      <c r="OVW44" s="468"/>
      <c r="OVX44" s="468"/>
      <c r="OVY44" s="468"/>
      <c r="OVZ44" s="468"/>
      <c r="OWA44" s="468"/>
      <c r="OWB44" s="468"/>
      <c r="OWC44" s="468"/>
      <c r="OWD44" s="468"/>
      <c r="OWE44" s="468"/>
      <c r="OWF44" s="468"/>
      <c r="OWG44" s="468"/>
      <c r="OWH44" s="468"/>
      <c r="OWI44" s="468"/>
      <c r="OWJ44" s="468"/>
      <c r="OWK44" s="468"/>
      <c r="OWL44" s="468"/>
      <c r="OWM44" s="468"/>
      <c r="OWN44" s="468"/>
      <c r="OWO44" s="468"/>
      <c r="OWP44" s="468"/>
      <c r="OWQ44" s="468"/>
      <c r="OWR44" s="468"/>
      <c r="OWS44" s="468"/>
      <c r="OWT44" s="468"/>
      <c r="OWU44" s="468"/>
      <c r="OWV44" s="468"/>
      <c r="OWW44" s="468"/>
      <c r="OWX44" s="468"/>
      <c r="OWY44" s="468"/>
      <c r="OWZ44" s="468"/>
      <c r="OXA44" s="468"/>
      <c r="OXB44" s="468"/>
      <c r="OXC44" s="468"/>
      <c r="OXD44" s="468"/>
      <c r="OXE44" s="468"/>
      <c r="OXF44" s="468"/>
      <c r="OXG44" s="468"/>
      <c r="OXH44" s="468"/>
      <c r="OXI44" s="468"/>
      <c r="OXJ44" s="468"/>
      <c r="OXK44" s="468"/>
      <c r="OXL44" s="468"/>
      <c r="OXM44" s="468"/>
      <c r="OXN44" s="468"/>
      <c r="OXO44" s="468"/>
      <c r="OXP44" s="468"/>
      <c r="OXQ44" s="468"/>
      <c r="OXR44" s="468"/>
      <c r="OXS44" s="468"/>
      <c r="OXT44" s="468"/>
      <c r="OXU44" s="468"/>
      <c r="OXV44" s="468"/>
      <c r="OXW44" s="468"/>
      <c r="OXX44" s="468"/>
      <c r="OXY44" s="468"/>
      <c r="OXZ44" s="468"/>
      <c r="OYA44" s="468"/>
      <c r="OYB44" s="468"/>
      <c r="OYC44" s="468"/>
      <c r="OYD44" s="468"/>
      <c r="OYE44" s="468"/>
      <c r="OYF44" s="468"/>
      <c r="OYG44" s="468"/>
      <c r="OYH44" s="468"/>
      <c r="OYI44" s="468"/>
      <c r="OYJ44" s="468"/>
      <c r="OYK44" s="468"/>
      <c r="OYL44" s="468"/>
      <c r="OYM44" s="468"/>
      <c r="OYN44" s="468"/>
      <c r="OYO44" s="468"/>
      <c r="OYP44" s="468"/>
      <c r="OYQ44" s="468"/>
      <c r="OYR44" s="468"/>
      <c r="OYS44" s="468"/>
      <c r="OYT44" s="468"/>
      <c r="OYU44" s="468"/>
      <c r="OYV44" s="468"/>
      <c r="OYW44" s="468"/>
      <c r="OYX44" s="468"/>
      <c r="OYY44" s="468"/>
      <c r="OYZ44" s="468"/>
      <c r="OZA44" s="468"/>
      <c r="OZB44" s="468"/>
      <c r="OZC44" s="468"/>
      <c r="OZD44" s="468"/>
      <c r="OZE44" s="468"/>
      <c r="OZF44" s="468"/>
      <c r="OZG44" s="468"/>
      <c r="OZH44" s="468"/>
      <c r="OZI44" s="468"/>
      <c r="OZJ44" s="468"/>
      <c r="OZK44" s="468"/>
      <c r="OZL44" s="468"/>
      <c r="OZM44" s="468"/>
      <c r="OZN44" s="468"/>
      <c r="OZO44" s="468"/>
      <c r="OZP44" s="468"/>
      <c r="OZQ44" s="468"/>
      <c r="OZR44" s="468"/>
      <c r="OZS44" s="468"/>
      <c r="OZT44" s="468"/>
      <c r="OZU44" s="468"/>
      <c r="OZV44" s="468"/>
      <c r="OZW44" s="468"/>
      <c r="OZX44" s="468"/>
      <c r="OZY44" s="468"/>
      <c r="OZZ44" s="468"/>
      <c r="PAA44" s="468"/>
      <c r="PAB44" s="468"/>
      <c r="PAC44" s="468"/>
      <c r="PAD44" s="468"/>
      <c r="PAE44" s="468"/>
      <c r="PAF44" s="468"/>
      <c r="PAG44" s="468"/>
      <c r="PAH44" s="468"/>
      <c r="PAI44" s="468"/>
      <c r="PAJ44" s="468"/>
      <c r="PAK44" s="468"/>
      <c r="PAL44" s="468"/>
      <c r="PAM44" s="468"/>
      <c r="PAN44" s="468"/>
      <c r="PAO44" s="468"/>
      <c r="PAP44" s="468"/>
      <c r="PAQ44" s="468"/>
      <c r="PAR44" s="468"/>
      <c r="PAS44" s="468"/>
      <c r="PAT44" s="468"/>
      <c r="PAU44" s="468"/>
      <c r="PAV44" s="468"/>
      <c r="PAW44" s="468"/>
      <c r="PAX44" s="468"/>
      <c r="PAY44" s="468"/>
      <c r="PAZ44" s="468"/>
      <c r="PBA44" s="468"/>
      <c r="PBB44" s="468"/>
      <c r="PBC44" s="468"/>
      <c r="PBD44" s="468"/>
      <c r="PBE44" s="468"/>
      <c r="PBF44" s="468"/>
      <c r="PBG44" s="468"/>
      <c r="PBH44" s="468"/>
      <c r="PBI44" s="468"/>
      <c r="PBJ44" s="468"/>
      <c r="PBK44" s="468"/>
      <c r="PBL44" s="468"/>
      <c r="PBM44" s="468"/>
      <c r="PBN44" s="468"/>
      <c r="PBO44" s="468"/>
      <c r="PBP44" s="468"/>
      <c r="PBQ44" s="468"/>
      <c r="PBR44" s="468"/>
      <c r="PBS44" s="468"/>
      <c r="PBT44" s="468"/>
      <c r="PBU44" s="468"/>
      <c r="PBV44" s="468"/>
      <c r="PBW44" s="468"/>
      <c r="PBX44" s="468"/>
      <c r="PBY44" s="468"/>
      <c r="PBZ44" s="468"/>
      <c r="PCA44" s="468"/>
      <c r="PCB44" s="468"/>
      <c r="PCC44" s="468"/>
      <c r="PCD44" s="468"/>
      <c r="PCE44" s="468"/>
      <c r="PCF44" s="468"/>
      <c r="PCG44" s="468"/>
      <c r="PCH44" s="468"/>
      <c r="PCI44" s="468"/>
      <c r="PCJ44" s="468"/>
      <c r="PCK44" s="468"/>
      <c r="PCL44" s="468"/>
      <c r="PCM44" s="468"/>
      <c r="PCN44" s="468"/>
      <c r="PCO44" s="468"/>
      <c r="PCP44" s="468"/>
      <c r="PCQ44" s="468"/>
      <c r="PCR44" s="468"/>
      <c r="PCS44" s="468"/>
      <c r="PCT44" s="468"/>
      <c r="PCU44" s="468"/>
      <c r="PCV44" s="468"/>
      <c r="PCW44" s="468"/>
      <c r="PCX44" s="468"/>
      <c r="PCY44" s="468"/>
      <c r="PCZ44" s="468"/>
      <c r="PDA44" s="468"/>
      <c r="PDB44" s="468"/>
      <c r="PDC44" s="468"/>
      <c r="PDD44" s="468"/>
      <c r="PDE44" s="468"/>
      <c r="PDF44" s="468"/>
      <c r="PDG44" s="468"/>
      <c r="PDH44" s="468"/>
      <c r="PDI44" s="468"/>
      <c r="PDJ44" s="468"/>
      <c r="PDK44" s="468"/>
      <c r="PDL44" s="468"/>
      <c r="PDM44" s="468"/>
      <c r="PDN44" s="468"/>
      <c r="PDO44" s="468"/>
      <c r="PDP44" s="468"/>
      <c r="PDQ44" s="468"/>
      <c r="PDR44" s="468"/>
      <c r="PDS44" s="468"/>
      <c r="PDT44" s="468"/>
      <c r="PDU44" s="468"/>
      <c r="PDV44" s="468"/>
      <c r="PDW44" s="468"/>
      <c r="PDX44" s="468"/>
      <c r="PDY44" s="468"/>
      <c r="PDZ44" s="468"/>
      <c r="PEA44" s="468"/>
      <c r="PEB44" s="468"/>
      <c r="PEC44" s="468"/>
      <c r="PED44" s="468"/>
      <c r="PEE44" s="468"/>
      <c r="PEF44" s="468"/>
      <c r="PEG44" s="468"/>
      <c r="PEH44" s="468"/>
      <c r="PEI44" s="468"/>
      <c r="PEJ44" s="468"/>
      <c r="PEK44" s="468"/>
      <c r="PEL44" s="468"/>
      <c r="PEM44" s="468"/>
      <c r="PEN44" s="468"/>
      <c r="PEO44" s="468"/>
      <c r="PEP44" s="468"/>
      <c r="PEQ44" s="468"/>
      <c r="PER44" s="468"/>
      <c r="PES44" s="468"/>
      <c r="PET44" s="468"/>
      <c r="PEU44" s="468"/>
      <c r="PEV44" s="468"/>
      <c r="PEW44" s="468"/>
      <c r="PEX44" s="468"/>
      <c r="PEY44" s="468"/>
      <c r="PEZ44" s="468"/>
      <c r="PFA44" s="468"/>
      <c r="PFB44" s="468"/>
      <c r="PFC44" s="468"/>
      <c r="PFD44" s="468"/>
      <c r="PFE44" s="468"/>
      <c r="PFF44" s="468"/>
      <c r="PFG44" s="468"/>
      <c r="PFH44" s="468"/>
      <c r="PFI44" s="468"/>
      <c r="PFJ44" s="468"/>
      <c r="PFK44" s="468"/>
      <c r="PFL44" s="468"/>
      <c r="PFM44" s="468"/>
      <c r="PFN44" s="468"/>
      <c r="PFO44" s="468"/>
      <c r="PFP44" s="468"/>
      <c r="PFQ44" s="468"/>
      <c r="PFR44" s="468"/>
      <c r="PFS44" s="468"/>
      <c r="PFT44" s="468"/>
      <c r="PFU44" s="468"/>
      <c r="PFV44" s="468"/>
      <c r="PFW44" s="468"/>
      <c r="PFX44" s="468"/>
      <c r="PFY44" s="468"/>
      <c r="PFZ44" s="468"/>
      <c r="PGA44" s="468"/>
      <c r="PGB44" s="468"/>
      <c r="PGC44" s="468"/>
      <c r="PGD44" s="468"/>
      <c r="PGE44" s="468"/>
      <c r="PGF44" s="468"/>
      <c r="PGG44" s="468"/>
      <c r="PGH44" s="468"/>
      <c r="PGI44" s="468"/>
      <c r="PGJ44" s="468"/>
      <c r="PGK44" s="468"/>
      <c r="PGL44" s="468"/>
      <c r="PGM44" s="468"/>
      <c r="PGN44" s="468"/>
      <c r="PGO44" s="468"/>
      <c r="PGP44" s="468"/>
      <c r="PGQ44" s="468"/>
      <c r="PGR44" s="468"/>
      <c r="PGS44" s="468"/>
      <c r="PGT44" s="468"/>
      <c r="PGU44" s="468"/>
      <c r="PGV44" s="468"/>
      <c r="PGW44" s="468"/>
      <c r="PGX44" s="468"/>
      <c r="PGY44" s="468"/>
      <c r="PGZ44" s="468"/>
      <c r="PHA44" s="468"/>
      <c r="PHB44" s="468"/>
      <c r="PHC44" s="468"/>
      <c r="PHD44" s="468"/>
      <c r="PHE44" s="468"/>
      <c r="PHF44" s="468"/>
      <c r="PHG44" s="468"/>
      <c r="PHH44" s="468"/>
      <c r="PHI44" s="468"/>
      <c r="PHJ44" s="468"/>
      <c r="PHK44" s="468"/>
      <c r="PHL44" s="468"/>
      <c r="PHM44" s="468"/>
      <c r="PHN44" s="468"/>
      <c r="PHO44" s="468"/>
      <c r="PHP44" s="468"/>
      <c r="PHQ44" s="468"/>
      <c r="PHR44" s="468"/>
      <c r="PHS44" s="468"/>
      <c r="PHT44" s="468"/>
      <c r="PHU44" s="468"/>
      <c r="PHV44" s="468"/>
      <c r="PHW44" s="468"/>
      <c r="PHX44" s="468"/>
      <c r="PHY44" s="468"/>
      <c r="PHZ44" s="468"/>
      <c r="PIA44" s="468"/>
      <c r="PIB44" s="468"/>
      <c r="PIC44" s="468"/>
      <c r="PID44" s="468"/>
      <c r="PIE44" s="468"/>
      <c r="PIF44" s="468"/>
      <c r="PIG44" s="468"/>
      <c r="PIH44" s="468"/>
      <c r="PII44" s="468"/>
      <c r="PIJ44" s="468"/>
      <c r="PIK44" s="468"/>
      <c r="PIL44" s="468"/>
      <c r="PIM44" s="468"/>
      <c r="PIN44" s="468"/>
      <c r="PIO44" s="468"/>
      <c r="PIP44" s="468"/>
      <c r="PIQ44" s="468"/>
      <c r="PIR44" s="468"/>
      <c r="PIS44" s="468"/>
      <c r="PIT44" s="468"/>
      <c r="PIU44" s="468"/>
      <c r="PIV44" s="468"/>
      <c r="PIW44" s="468"/>
      <c r="PIX44" s="468"/>
      <c r="PIY44" s="468"/>
      <c r="PIZ44" s="468"/>
      <c r="PJA44" s="468"/>
      <c r="PJB44" s="468"/>
      <c r="PJC44" s="468"/>
      <c r="PJD44" s="468"/>
      <c r="PJE44" s="468"/>
      <c r="PJF44" s="468"/>
      <c r="PJG44" s="468"/>
      <c r="PJH44" s="468"/>
      <c r="PJI44" s="468"/>
      <c r="PJJ44" s="468"/>
      <c r="PJK44" s="468"/>
      <c r="PJL44" s="468"/>
      <c r="PJM44" s="468"/>
      <c r="PJN44" s="468"/>
      <c r="PJO44" s="468"/>
      <c r="PJP44" s="468"/>
      <c r="PJQ44" s="468"/>
      <c r="PJR44" s="468"/>
      <c r="PJS44" s="468"/>
      <c r="PJT44" s="468"/>
      <c r="PJU44" s="468"/>
      <c r="PJV44" s="468"/>
      <c r="PJW44" s="468"/>
      <c r="PJX44" s="468"/>
      <c r="PJY44" s="468"/>
      <c r="PJZ44" s="468"/>
      <c r="PKA44" s="468"/>
      <c r="PKB44" s="468"/>
      <c r="PKC44" s="468"/>
      <c r="PKD44" s="468"/>
      <c r="PKE44" s="468"/>
      <c r="PKF44" s="468"/>
      <c r="PKG44" s="468"/>
      <c r="PKH44" s="468"/>
      <c r="PKI44" s="468"/>
      <c r="PKJ44" s="468"/>
      <c r="PKK44" s="468"/>
      <c r="PKL44" s="468"/>
      <c r="PKM44" s="468"/>
      <c r="PKN44" s="468"/>
      <c r="PKO44" s="468"/>
      <c r="PKP44" s="468"/>
      <c r="PKQ44" s="468"/>
      <c r="PKR44" s="468"/>
      <c r="PKS44" s="468"/>
      <c r="PKT44" s="468"/>
      <c r="PKU44" s="468"/>
      <c r="PKV44" s="468"/>
      <c r="PKW44" s="468"/>
      <c r="PKX44" s="468"/>
      <c r="PKY44" s="468"/>
      <c r="PKZ44" s="468"/>
      <c r="PLA44" s="468"/>
      <c r="PLB44" s="468"/>
      <c r="PLC44" s="468"/>
      <c r="PLD44" s="468"/>
      <c r="PLE44" s="468"/>
      <c r="PLF44" s="468"/>
      <c r="PLG44" s="468"/>
      <c r="PLH44" s="468"/>
      <c r="PLI44" s="468"/>
      <c r="PLJ44" s="468"/>
      <c r="PLK44" s="468"/>
      <c r="PLL44" s="468"/>
      <c r="PLM44" s="468"/>
      <c r="PLN44" s="468"/>
      <c r="PLO44" s="468"/>
      <c r="PLP44" s="468"/>
      <c r="PLQ44" s="468"/>
      <c r="PLR44" s="468"/>
      <c r="PLS44" s="468"/>
      <c r="PLT44" s="468"/>
      <c r="PLU44" s="468"/>
      <c r="PLV44" s="468"/>
      <c r="PLW44" s="468"/>
      <c r="PLX44" s="468"/>
      <c r="PLY44" s="468"/>
      <c r="PLZ44" s="468"/>
      <c r="PMA44" s="468"/>
      <c r="PMB44" s="468"/>
      <c r="PMC44" s="468"/>
      <c r="PMD44" s="468"/>
      <c r="PME44" s="468"/>
      <c r="PMF44" s="468"/>
      <c r="PMG44" s="468"/>
      <c r="PMH44" s="468"/>
      <c r="PMI44" s="468"/>
      <c r="PMJ44" s="468"/>
      <c r="PMK44" s="468"/>
      <c r="PML44" s="468"/>
      <c r="PMM44" s="468"/>
      <c r="PMN44" s="468"/>
      <c r="PMO44" s="468"/>
      <c r="PMP44" s="468"/>
      <c r="PMQ44" s="468"/>
      <c r="PMR44" s="468"/>
      <c r="PMS44" s="468"/>
      <c r="PMT44" s="468"/>
      <c r="PMU44" s="468"/>
      <c r="PMV44" s="468"/>
      <c r="PMW44" s="468"/>
      <c r="PMX44" s="468"/>
      <c r="PMY44" s="468"/>
      <c r="PMZ44" s="468"/>
      <c r="PNA44" s="468"/>
      <c r="PNB44" s="468"/>
      <c r="PNC44" s="468"/>
      <c r="PND44" s="468"/>
      <c r="PNE44" s="468"/>
      <c r="PNF44" s="468"/>
      <c r="PNG44" s="468"/>
      <c r="PNH44" s="468"/>
      <c r="PNI44" s="468"/>
      <c r="PNJ44" s="468"/>
      <c r="PNK44" s="468"/>
      <c r="PNL44" s="468"/>
      <c r="PNM44" s="468"/>
      <c r="PNN44" s="468"/>
      <c r="PNO44" s="468"/>
      <c r="PNP44" s="468"/>
      <c r="PNQ44" s="468"/>
      <c r="PNR44" s="468"/>
      <c r="PNS44" s="468"/>
      <c r="PNT44" s="468"/>
      <c r="PNU44" s="468"/>
      <c r="PNV44" s="468"/>
      <c r="PNW44" s="468"/>
      <c r="PNX44" s="468"/>
      <c r="PNY44" s="468"/>
      <c r="PNZ44" s="468"/>
      <c r="POA44" s="468"/>
      <c r="POB44" s="468"/>
      <c r="POC44" s="468"/>
      <c r="POD44" s="468"/>
      <c r="POE44" s="468"/>
      <c r="POF44" s="468"/>
      <c r="POG44" s="468"/>
      <c r="POH44" s="468"/>
      <c r="POI44" s="468"/>
      <c r="POJ44" s="468"/>
      <c r="POK44" s="468"/>
      <c r="POL44" s="468"/>
      <c r="POM44" s="468"/>
      <c r="PON44" s="468"/>
      <c r="POO44" s="468"/>
      <c r="POP44" s="468"/>
      <c r="POQ44" s="468"/>
      <c r="POR44" s="468"/>
      <c r="POS44" s="468"/>
      <c r="POT44" s="468"/>
      <c r="POU44" s="468"/>
      <c r="POV44" s="468"/>
      <c r="POW44" s="468"/>
      <c r="POX44" s="468"/>
      <c r="POY44" s="468"/>
      <c r="POZ44" s="468"/>
      <c r="PPA44" s="468"/>
      <c r="PPB44" s="468"/>
      <c r="PPC44" s="468"/>
      <c r="PPD44" s="468"/>
      <c r="PPE44" s="468"/>
      <c r="PPF44" s="468"/>
      <c r="PPG44" s="468"/>
      <c r="PPH44" s="468"/>
      <c r="PPI44" s="468"/>
      <c r="PPJ44" s="468"/>
      <c r="PPK44" s="468"/>
      <c r="PPL44" s="468"/>
      <c r="PPM44" s="468"/>
      <c r="PPN44" s="468"/>
      <c r="PPO44" s="468"/>
      <c r="PPP44" s="468"/>
      <c r="PPQ44" s="468"/>
      <c r="PPR44" s="468"/>
      <c r="PPS44" s="468"/>
      <c r="PPT44" s="468"/>
      <c r="PPU44" s="468"/>
      <c r="PPV44" s="468"/>
      <c r="PPW44" s="468"/>
      <c r="PPX44" s="468"/>
      <c r="PPY44" s="468"/>
      <c r="PPZ44" s="468"/>
      <c r="PQA44" s="468"/>
      <c r="PQB44" s="468"/>
      <c r="PQC44" s="468"/>
      <c r="PQD44" s="468"/>
      <c r="PQE44" s="468"/>
      <c r="PQF44" s="468"/>
      <c r="PQG44" s="468"/>
      <c r="PQH44" s="468"/>
      <c r="PQI44" s="468"/>
      <c r="PQJ44" s="468"/>
      <c r="PQK44" s="468"/>
      <c r="PQL44" s="468"/>
      <c r="PQM44" s="468"/>
      <c r="PQN44" s="468"/>
      <c r="PQO44" s="468"/>
      <c r="PQP44" s="468"/>
      <c r="PQQ44" s="468"/>
      <c r="PQR44" s="468"/>
      <c r="PQS44" s="468"/>
      <c r="PQT44" s="468"/>
      <c r="PQU44" s="468"/>
      <c r="PQV44" s="468"/>
      <c r="PQW44" s="468"/>
      <c r="PQX44" s="468"/>
      <c r="PQY44" s="468"/>
      <c r="PQZ44" s="468"/>
      <c r="PRA44" s="468"/>
      <c r="PRB44" s="468"/>
      <c r="PRC44" s="468"/>
      <c r="PRD44" s="468"/>
      <c r="PRE44" s="468"/>
      <c r="PRF44" s="468"/>
      <c r="PRG44" s="468"/>
      <c r="PRH44" s="468"/>
      <c r="PRI44" s="468"/>
      <c r="PRJ44" s="468"/>
      <c r="PRK44" s="468"/>
      <c r="PRL44" s="468"/>
      <c r="PRM44" s="468"/>
      <c r="PRN44" s="468"/>
      <c r="PRO44" s="468"/>
      <c r="PRP44" s="468"/>
      <c r="PRQ44" s="468"/>
      <c r="PRR44" s="468"/>
      <c r="PRS44" s="468"/>
      <c r="PRT44" s="468"/>
      <c r="PRU44" s="468"/>
      <c r="PRV44" s="468"/>
      <c r="PRW44" s="468"/>
      <c r="PRX44" s="468"/>
      <c r="PRY44" s="468"/>
      <c r="PRZ44" s="468"/>
      <c r="PSA44" s="468"/>
      <c r="PSB44" s="468"/>
      <c r="PSC44" s="468"/>
      <c r="PSD44" s="468"/>
      <c r="PSE44" s="468"/>
      <c r="PSF44" s="468"/>
      <c r="PSG44" s="468"/>
      <c r="PSH44" s="468"/>
      <c r="PSI44" s="468"/>
      <c r="PSJ44" s="468"/>
      <c r="PSK44" s="468"/>
      <c r="PSL44" s="468"/>
      <c r="PSM44" s="468"/>
      <c r="PSN44" s="468"/>
      <c r="PSO44" s="468"/>
      <c r="PSP44" s="468"/>
      <c r="PSQ44" s="468"/>
      <c r="PSR44" s="468"/>
      <c r="PSS44" s="468"/>
      <c r="PST44" s="468"/>
      <c r="PSU44" s="468"/>
      <c r="PSV44" s="468"/>
      <c r="PSW44" s="468"/>
      <c r="PSX44" s="468"/>
      <c r="PSY44" s="468"/>
      <c r="PSZ44" s="468"/>
      <c r="PTA44" s="468"/>
      <c r="PTB44" s="468"/>
      <c r="PTC44" s="468"/>
      <c r="PTD44" s="468"/>
      <c r="PTE44" s="468"/>
      <c r="PTF44" s="468"/>
      <c r="PTG44" s="468"/>
      <c r="PTH44" s="468"/>
      <c r="PTI44" s="468"/>
      <c r="PTJ44" s="468"/>
      <c r="PTK44" s="468"/>
      <c r="PTL44" s="468"/>
      <c r="PTM44" s="468"/>
      <c r="PTN44" s="468"/>
      <c r="PTO44" s="468"/>
      <c r="PTP44" s="468"/>
      <c r="PTQ44" s="468"/>
      <c r="PTR44" s="468"/>
      <c r="PTS44" s="468"/>
      <c r="PTT44" s="468"/>
      <c r="PTU44" s="468"/>
      <c r="PTV44" s="468"/>
      <c r="PTW44" s="468"/>
      <c r="PTX44" s="468"/>
      <c r="PTY44" s="468"/>
      <c r="PTZ44" s="468"/>
      <c r="PUA44" s="468"/>
      <c r="PUB44" s="468"/>
      <c r="PUC44" s="468"/>
      <c r="PUD44" s="468"/>
      <c r="PUE44" s="468"/>
      <c r="PUF44" s="468"/>
      <c r="PUG44" s="468"/>
      <c r="PUH44" s="468"/>
      <c r="PUI44" s="468"/>
      <c r="PUJ44" s="468"/>
      <c r="PUK44" s="468"/>
      <c r="PUL44" s="468"/>
      <c r="PUM44" s="468"/>
      <c r="PUN44" s="468"/>
      <c r="PUO44" s="468"/>
      <c r="PUP44" s="468"/>
      <c r="PUQ44" s="468"/>
      <c r="PUR44" s="468"/>
      <c r="PUS44" s="468"/>
      <c r="PUT44" s="468"/>
      <c r="PUU44" s="468"/>
      <c r="PUV44" s="468"/>
      <c r="PUW44" s="468"/>
      <c r="PUX44" s="468"/>
      <c r="PUY44" s="468"/>
      <c r="PUZ44" s="468"/>
      <c r="PVA44" s="468"/>
      <c r="PVB44" s="468"/>
      <c r="PVC44" s="468"/>
      <c r="PVD44" s="468"/>
      <c r="PVE44" s="468"/>
      <c r="PVF44" s="468"/>
      <c r="PVG44" s="468"/>
      <c r="PVH44" s="468"/>
      <c r="PVI44" s="468"/>
      <c r="PVJ44" s="468"/>
      <c r="PVK44" s="468"/>
      <c r="PVL44" s="468"/>
      <c r="PVM44" s="468"/>
      <c r="PVN44" s="468"/>
      <c r="PVO44" s="468"/>
      <c r="PVP44" s="468"/>
      <c r="PVQ44" s="468"/>
      <c r="PVR44" s="468"/>
      <c r="PVS44" s="468"/>
      <c r="PVT44" s="468"/>
      <c r="PVU44" s="468"/>
      <c r="PVV44" s="468"/>
      <c r="PVW44" s="468"/>
      <c r="PVX44" s="468"/>
      <c r="PVY44" s="468"/>
      <c r="PVZ44" s="468"/>
      <c r="PWA44" s="468"/>
      <c r="PWB44" s="468"/>
      <c r="PWC44" s="468"/>
      <c r="PWD44" s="468"/>
      <c r="PWE44" s="468"/>
      <c r="PWF44" s="468"/>
      <c r="PWG44" s="468"/>
      <c r="PWH44" s="468"/>
      <c r="PWI44" s="468"/>
      <c r="PWJ44" s="468"/>
      <c r="PWK44" s="468"/>
      <c r="PWL44" s="468"/>
      <c r="PWM44" s="468"/>
      <c r="PWN44" s="468"/>
      <c r="PWO44" s="468"/>
      <c r="PWP44" s="468"/>
      <c r="PWQ44" s="468"/>
      <c r="PWR44" s="468"/>
      <c r="PWS44" s="468"/>
      <c r="PWT44" s="468"/>
      <c r="PWU44" s="468"/>
      <c r="PWV44" s="468"/>
      <c r="PWW44" s="468"/>
      <c r="PWX44" s="468"/>
      <c r="PWY44" s="468"/>
      <c r="PWZ44" s="468"/>
      <c r="PXA44" s="468"/>
      <c r="PXB44" s="468"/>
      <c r="PXC44" s="468"/>
      <c r="PXD44" s="468"/>
      <c r="PXE44" s="468"/>
      <c r="PXF44" s="468"/>
      <c r="PXG44" s="468"/>
      <c r="PXH44" s="468"/>
      <c r="PXI44" s="468"/>
      <c r="PXJ44" s="468"/>
      <c r="PXK44" s="468"/>
      <c r="PXL44" s="468"/>
      <c r="PXM44" s="468"/>
      <c r="PXN44" s="468"/>
      <c r="PXO44" s="468"/>
      <c r="PXP44" s="468"/>
      <c r="PXQ44" s="468"/>
      <c r="PXR44" s="468"/>
      <c r="PXS44" s="468"/>
      <c r="PXT44" s="468"/>
      <c r="PXU44" s="468"/>
      <c r="PXV44" s="468"/>
      <c r="PXW44" s="468"/>
      <c r="PXX44" s="468"/>
      <c r="PXY44" s="468"/>
      <c r="PXZ44" s="468"/>
      <c r="PYA44" s="468"/>
      <c r="PYB44" s="468"/>
      <c r="PYC44" s="468"/>
      <c r="PYD44" s="468"/>
      <c r="PYE44" s="468"/>
      <c r="PYF44" s="468"/>
      <c r="PYG44" s="468"/>
      <c r="PYH44" s="468"/>
      <c r="PYI44" s="468"/>
      <c r="PYJ44" s="468"/>
      <c r="PYK44" s="468"/>
      <c r="PYL44" s="468"/>
      <c r="PYM44" s="468"/>
      <c r="PYN44" s="468"/>
      <c r="PYO44" s="468"/>
      <c r="PYP44" s="468"/>
      <c r="PYQ44" s="468"/>
      <c r="PYR44" s="468"/>
      <c r="PYS44" s="468"/>
      <c r="PYT44" s="468"/>
      <c r="PYU44" s="468"/>
      <c r="PYV44" s="468"/>
      <c r="PYW44" s="468"/>
      <c r="PYX44" s="468"/>
      <c r="PYY44" s="468"/>
      <c r="PYZ44" s="468"/>
      <c r="PZA44" s="468"/>
      <c r="PZB44" s="468"/>
      <c r="PZC44" s="468"/>
      <c r="PZD44" s="468"/>
      <c r="PZE44" s="468"/>
      <c r="PZF44" s="468"/>
      <c r="PZG44" s="468"/>
      <c r="PZH44" s="468"/>
      <c r="PZI44" s="468"/>
      <c r="PZJ44" s="468"/>
      <c r="PZK44" s="468"/>
      <c r="PZL44" s="468"/>
      <c r="PZM44" s="468"/>
      <c r="PZN44" s="468"/>
      <c r="PZO44" s="468"/>
      <c r="PZP44" s="468"/>
      <c r="PZQ44" s="468"/>
      <c r="PZR44" s="468"/>
      <c r="PZS44" s="468"/>
      <c r="PZT44" s="468"/>
      <c r="PZU44" s="468"/>
      <c r="PZV44" s="468"/>
      <c r="PZW44" s="468"/>
      <c r="PZX44" s="468"/>
      <c r="PZY44" s="468"/>
      <c r="PZZ44" s="468"/>
      <c r="QAA44" s="468"/>
      <c r="QAB44" s="468"/>
      <c r="QAC44" s="468"/>
      <c r="QAD44" s="468"/>
      <c r="QAE44" s="468"/>
      <c r="QAF44" s="468"/>
      <c r="QAG44" s="468"/>
      <c r="QAH44" s="468"/>
      <c r="QAI44" s="468"/>
      <c r="QAJ44" s="468"/>
      <c r="QAK44" s="468"/>
      <c r="QAL44" s="468"/>
      <c r="QAM44" s="468"/>
      <c r="QAN44" s="468"/>
      <c r="QAO44" s="468"/>
      <c r="QAP44" s="468"/>
      <c r="QAQ44" s="468"/>
      <c r="QAR44" s="468"/>
      <c r="QAS44" s="468"/>
      <c r="QAT44" s="468"/>
      <c r="QAU44" s="468"/>
      <c r="QAV44" s="468"/>
      <c r="QAW44" s="468"/>
      <c r="QAX44" s="468"/>
      <c r="QAY44" s="468"/>
      <c r="QAZ44" s="468"/>
      <c r="QBA44" s="468"/>
      <c r="QBB44" s="468"/>
      <c r="QBC44" s="468"/>
      <c r="QBD44" s="468"/>
      <c r="QBE44" s="468"/>
      <c r="QBF44" s="468"/>
      <c r="QBG44" s="468"/>
      <c r="QBH44" s="468"/>
      <c r="QBI44" s="468"/>
      <c r="QBJ44" s="468"/>
      <c r="QBK44" s="468"/>
      <c r="QBL44" s="468"/>
      <c r="QBM44" s="468"/>
      <c r="QBN44" s="468"/>
      <c r="QBO44" s="468"/>
      <c r="QBP44" s="468"/>
      <c r="QBQ44" s="468"/>
      <c r="QBR44" s="468"/>
      <c r="QBS44" s="468"/>
      <c r="QBT44" s="468"/>
      <c r="QBU44" s="468"/>
      <c r="QBV44" s="468"/>
      <c r="QBW44" s="468"/>
      <c r="QBX44" s="468"/>
      <c r="QBY44" s="468"/>
      <c r="QBZ44" s="468"/>
      <c r="QCA44" s="468"/>
      <c r="QCB44" s="468"/>
      <c r="QCC44" s="468"/>
      <c r="QCD44" s="468"/>
      <c r="QCE44" s="468"/>
      <c r="QCF44" s="468"/>
      <c r="QCG44" s="468"/>
      <c r="QCH44" s="468"/>
      <c r="QCI44" s="468"/>
      <c r="QCJ44" s="468"/>
      <c r="QCK44" s="468"/>
      <c r="QCL44" s="468"/>
      <c r="QCM44" s="468"/>
      <c r="QCN44" s="468"/>
      <c r="QCO44" s="468"/>
      <c r="QCP44" s="468"/>
      <c r="QCQ44" s="468"/>
      <c r="QCR44" s="468"/>
      <c r="QCS44" s="468"/>
      <c r="QCT44" s="468"/>
      <c r="QCU44" s="468"/>
      <c r="QCV44" s="468"/>
      <c r="QCW44" s="468"/>
      <c r="QCX44" s="468"/>
      <c r="QCY44" s="468"/>
      <c r="QCZ44" s="468"/>
      <c r="QDA44" s="468"/>
      <c r="QDB44" s="468"/>
      <c r="QDC44" s="468"/>
      <c r="QDD44" s="468"/>
      <c r="QDE44" s="468"/>
      <c r="QDF44" s="468"/>
      <c r="QDG44" s="468"/>
      <c r="QDH44" s="468"/>
      <c r="QDI44" s="468"/>
      <c r="QDJ44" s="468"/>
      <c r="QDK44" s="468"/>
      <c r="QDL44" s="468"/>
      <c r="QDM44" s="468"/>
      <c r="QDN44" s="468"/>
      <c r="QDO44" s="468"/>
      <c r="QDP44" s="468"/>
      <c r="QDQ44" s="468"/>
      <c r="QDR44" s="468"/>
      <c r="QDS44" s="468"/>
      <c r="QDT44" s="468"/>
      <c r="QDU44" s="468"/>
      <c r="QDV44" s="468"/>
      <c r="QDW44" s="468"/>
      <c r="QDX44" s="468"/>
      <c r="QDY44" s="468"/>
      <c r="QDZ44" s="468"/>
      <c r="QEA44" s="468"/>
      <c r="QEB44" s="468"/>
      <c r="QEC44" s="468"/>
      <c r="QED44" s="468"/>
      <c r="QEE44" s="468"/>
      <c r="QEF44" s="468"/>
      <c r="QEG44" s="468"/>
      <c r="QEH44" s="468"/>
      <c r="QEI44" s="468"/>
      <c r="QEJ44" s="468"/>
      <c r="QEK44" s="468"/>
      <c r="QEL44" s="468"/>
      <c r="QEM44" s="468"/>
      <c r="QEN44" s="468"/>
      <c r="QEO44" s="468"/>
      <c r="QEP44" s="468"/>
      <c r="QEQ44" s="468"/>
      <c r="QER44" s="468"/>
      <c r="QES44" s="468"/>
      <c r="QET44" s="468"/>
      <c r="QEU44" s="468"/>
      <c r="QEV44" s="468"/>
      <c r="QEW44" s="468"/>
      <c r="QEX44" s="468"/>
      <c r="QEY44" s="468"/>
      <c r="QEZ44" s="468"/>
      <c r="QFA44" s="468"/>
      <c r="QFB44" s="468"/>
      <c r="QFC44" s="468"/>
      <c r="QFD44" s="468"/>
      <c r="QFE44" s="468"/>
      <c r="QFF44" s="468"/>
      <c r="QFG44" s="468"/>
      <c r="QFH44" s="468"/>
      <c r="QFI44" s="468"/>
      <c r="QFJ44" s="468"/>
      <c r="QFK44" s="468"/>
      <c r="QFL44" s="468"/>
      <c r="QFM44" s="468"/>
      <c r="QFN44" s="468"/>
      <c r="QFO44" s="468"/>
      <c r="QFP44" s="468"/>
      <c r="QFQ44" s="468"/>
      <c r="QFR44" s="468"/>
      <c r="QFS44" s="468"/>
      <c r="QFT44" s="468"/>
      <c r="QFU44" s="468"/>
      <c r="QFV44" s="468"/>
      <c r="QFW44" s="468"/>
      <c r="QFX44" s="468"/>
      <c r="QFY44" s="468"/>
      <c r="QFZ44" s="468"/>
      <c r="QGA44" s="468"/>
      <c r="QGB44" s="468"/>
      <c r="QGC44" s="468"/>
      <c r="QGD44" s="468"/>
      <c r="QGE44" s="468"/>
      <c r="QGF44" s="468"/>
      <c r="QGG44" s="468"/>
      <c r="QGH44" s="468"/>
      <c r="QGI44" s="468"/>
      <c r="QGJ44" s="468"/>
      <c r="QGK44" s="468"/>
      <c r="QGL44" s="468"/>
      <c r="QGM44" s="468"/>
      <c r="QGN44" s="468"/>
      <c r="QGO44" s="468"/>
      <c r="QGP44" s="468"/>
      <c r="QGQ44" s="468"/>
      <c r="QGR44" s="468"/>
      <c r="QGS44" s="468"/>
      <c r="QGT44" s="468"/>
      <c r="QGU44" s="468"/>
      <c r="QGV44" s="468"/>
      <c r="QGW44" s="468"/>
      <c r="QGX44" s="468"/>
      <c r="QGY44" s="468"/>
      <c r="QGZ44" s="468"/>
      <c r="QHA44" s="468"/>
      <c r="QHB44" s="468"/>
      <c r="QHC44" s="468"/>
      <c r="QHD44" s="468"/>
      <c r="QHE44" s="468"/>
      <c r="QHF44" s="468"/>
      <c r="QHG44" s="468"/>
      <c r="QHH44" s="468"/>
      <c r="QHI44" s="468"/>
      <c r="QHJ44" s="468"/>
      <c r="QHK44" s="468"/>
      <c r="QHL44" s="468"/>
      <c r="QHM44" s="468"/>
      <c r="QHN44" s="468"/>
      <c r="QHO44" s="468"/>
      <c r="QHP44" s="468"/>
      <c r="QHQ44" s="468"/>
      <c r="QHR44" s="468"/>
      <c r="QHS44" s="468"/>
      <c r="QHT44" s="468"/>
      <c r="QHU44" s="468"/>
      <c r="QHV44" s="468"/>
      <c r="QHW44" s="468"/>
      <c r="QHX44" s="468"/>
      <c r="QHY44" s="468"/>
      <c r="QHZ44" s="468"/>
      <c r="QIA44" s="468"/>
      <c r="QIB44" s="468"/>
      <c r="QIC44" s="468"/>
      <c r="QID44" s="468"/>
      <c r="QIE44" s="468"/>
      <c r="QIF44" s="468"/>
      <c r="QIG44" s="468"/>
      <c r="QIH44" s="468"/>
      <c r="QII44" s="468"/>
      <c r="QIJ44" s="468"/>
      <c r="QIK44" s="468"/>
      <c r="QIL44" s="468"/>
      <c r="QIM44" s="468"/>
      <c r="QIN44" s="468"/>
      <c r="QIO44" s="468"/>
      <c r="QIP44" s="468"/>
      <c r="QIQ44" s="468"/>
      <c r="QIR44" s="468"/>
      <c r="QIS44" s="468"/>
      <c r="QIT44" s="468"/>
      <c r="QIU44" s="468"/>
      <c r="QIV44" s="468"/>
      <c r="QIW44" s="468"/>
      <c r="QIX44" s="468"/>
      <c r="QIY44" s="468"/>
      <c r="QIZ44" s="468"/>
      <c r="QJA44" s="468"/>
      <c r="QJB44" s="468"/>
      <c r="QJC44" s="468"/>
      <c r="QJD44" s="468"/>
      <c r="QJE44" s="468"/>
      <c r="QJF44" s="468"/>
      <c r="QJG44" s="468"/>
      <c r="QJH44" s="468"/>
      <c r="QJI44" s="468"/>
      <c r="QJJ44" s="468"/>
      <c r="QJK44" s="468"/>
      <c r="QJL44" s="468"/>
      <c r="QJM44" s="468"/>
      <c r="QJN44" s="468"/>
      <c r="QJO44" s="468"/>
      <c r="QJP44" s="468"/>
      <c r="QJQ44" s="468"/>
      <c r="QJR44" s="468"/>
      <c r="QJS44" s="468"/>
      <c r="QJT44" s="468"/>
      <c r="QJU44" s="468"/>
      <c r="QJV44" s="468"/>
      <c r="QJW44" s="468"/>
      <c r="QJX44" s="468"/>
      <c r="QJY44" s="468"/>
      <c r="QJZ44" s="468"/>
      <c r="QKA44" s="468"/>
      <c r="QKB44" s="468"/>
      <c r="QKC44" s="468"/>
      <c r="QKD44" s="468"/>
      <c r="QKE44" s="468"/>
      <c r="QKF44" s="468"/>
      <c r="QKG44" s="468"/>
      <c r="QKH44" s="468"/>
      <c r="QKI44" s="468"/>
      <c r="QKJ44" s="468"/>
      <c r="QKK44" s="468"/>
      <c r="QKL44" s="468"/>
      <c r="QKM44" s="468"/>
      <c r="QKN44" s="468"/>
      <c r="QKO44" s="468"/>
      <c r="QKP44" s="468"/>
      <c r="QKQ44" s="468"/>
      <c r="QKR44" s="468"/>
      <c r="QKS44" s="468"/>
      <c r="QKT44" s="468"/>
      <c r="QKU44" s="468"/>
      <c r="QKV44" s="468"/>
      <c r="QKW44" s="468"/>
      <c r="QKX44" s="468"/>
      <c r="QKY44" s="468"/>
      <c r="QKZ44" s="468"/>
      <c r="QLA44" s="468"/>
      <c r="QLB44" s="468"/>
      <c r="QLC44" s="468"/>
      <c r="QLD44" s="468"/>
      <c r="QLE44" s="468"/>
      <c r="QLF44" s="468"/>
      <c r="QLG44" s="468"/>
      <c r="QLH44" s="468"/>
      <c r="QLI44" s="468"/>
      <c r="QLJ44" s="468"/>
      <c r="QLK44" s="468"/>
      <c r="QLL44" s="468"/>
      <c r="QLM44" s="468"/>
      <c r="QLN44" s="468"/>
      <c r="QLO44" s="468"/>
      <c r="QLP44" s="468"/>
      <c r="QLQ44" s="468"/>
      <c r="QLR44" s="468"/>
      <c r="QLS44" s="468"/>
      <c r="QLT44" s="468"/>
      <c r="QLU44" s="468"/>
      <c r="QLV44" s="468"/>
      <c r="QLW44" s="468"/>
      <c r="QLX44" s="468"/>
      <c r="QLY44" s="468"/>
      <c r="QLZ44" s="468"/>
      <c r="QMA44" s="468"/>
      <c r="QMB44" s="468"/>
      <c r="QMC44" s="468"/>
      <c r="QMD44" s="468"/>
      <c r="QME44" s="468"/>
      <c r="QMF44" s="468"/>
      <c r="QMG44" s="468"/>
      <c r="QMH44" s="468"/>
      <c r="QMI44" s="468"/>
      <c r="QMJ44" s="468"/>
      <c r="QMK44" s="468"/>
      <c r="QML44" s="468"/>
      <c r="QMM44" s="468"/>
      <c r="QMN44" s="468"/>
      <c r="QMO44" s="468"/>
      <c r="QMP44" s="468"/>
      <c r="QMQ44" s="468"/>
      <c r="QMR44" s="468"/>
      <c r="QMS44" s="468"/>
      <c r="QMT44" s="468"/>
      <c r="QMU44" s="468"/>
      <c r="QMV44" s="468"/>
      <c r="QMW44" s="468"/>
      <c r="QMX44" s="468"/>
      <c r="QMY44" s="468"/>
      <c r="QMZ44" s="468"/>
      <c r="QNA44" s="468"/>
      <c r="QNB44" s="468"/>
      <c r="QNC44" s="468"/>
      <c r="QND44" s="468"/>
      <c r="QNE44" s="468"/>
      <c r="QNF44" s="468"/>
      <c r="QNG44" s="468"/>
      <c r="QNH44" s="468"/>
      <c r="QNI44" s="468"/>
      <c r="QNJ44" s="468"/>
      <c r="QNK44" s="468"/>
      <c r="QNL44" s="468"/>
      <c r="QNM44" s="468"/>
      <c r="QNN44" s="468"/>
      <c r="QNO44" s="468"/>
      <c r="QNP44" s="468"/>
      <c r="QNQ44" s="468"/>
      <c r="QNR44" s="468"/>
      <c r="QNS44" s="468"/>
      <c r="QNT44" s="468"/>
      <c r="QNU44" s="468"/>
      <c r="QNV44" s="468"/>
      <c r="QNW44" s="468"/>
      <c r="QNX44" s="468"/>
      <c r="QNY44" s="468"/>
      <c r="QNZ44" s="468"/>
      <c r="QOA44" s="468"/>
      <c r="QOB44" s="468"/>
      <c r="QOC44" s="468"/>
      <c r="QOD44" s="468"/>
      <c r="QOE44" s="468"/>
      <c r="QOF44" s="468"/>
      <c r="QOG44" s="468"/>
      <c r="QOH44" s="468"/>
      <c r="QOI44" s="468"/>
      <c r="QOJ44" s="468"/>
      <c r="QOK44" s="468"/>
      <c r="QOL44" s="468"/>
      <c r="QOM44" s="468"/>
      <c r="QON44" s="468"/>
      <c r="QOO44" s="468"/>
      <c r="QOP44" s="468"/>
      <c r="QOQ44" s="468"/>
      <c r="QOR44" s="468"/>
      <c r="QOS44" s="468"/>
      <c r="QOT44" s="468"/>
      <c r="QOU44" s="468"/>
      <c r="QOV44" s="468"/>
      <c r="QOW44" s="468"/>
      <c r="QOX44" s="468"/>
      <c r="QOY44" s="468"/>
      <c r="QOZ44" s="468"/>
      <c r="QPA44" s="468"/>
      <c r="QPB44" s="468"/>
      <c r="QPC44" s="468"/>
      <c r="QPD44" s="468"/>
      <c r="QPE44" s="468"/>
      <c r="QPF44" s="468"/>
      <c r="QPG44" s="468"/>
      <c r="QPH44" s="468"/>
      <c r="QPI44" s="468"/>
      <c r="QPJ44" s="468"/>
      <c r="QPK44" s="468"/>
      <c r="QPL44" s="468"/>
      <c r="QPM44" s="468"/>
      <c r="QPN44" s="468"/>
      <c r="QPO44" s="468"/>
      <c r="QPP44" s="468"/>
      <c r="QPQ44" s="468"/>
      <c r="QPR44" s="468"/>
      <c r="QPS44" s="468"/>
      <c r="QPT44" s="468"/>
      <c r="QPU44" s="468"/>
      <c r="QPV44" s="468"/>
      <c r="QPW44" s="468"/>
      <c r="QPX44" s="468"/>
      <c r="QPY44" s="468"/>
      <c r="QPZ44" s="468"/>
      <c r="QQA44" s="468"/>
      <c r="QQB44" s="468"/>
      <c r="QQC44" s="468"/>
      <c r="QQD44" s="468"/>
      <c r="QQE44" s="468"/>
      <c r="QQF44" s="468"/>
      <c r="QQG44" s="468"/>
      <c r="QQH44" s="468"/>
      <c r="QQI44" s="468"/>
      <c r="QQJ44" s="468"/>
      <c r="QQK44" s="468"/>
      <c r="QQL44" s="468"/>
      <c r="QQM44" s="468"/>
      <c r="QQN44" s="468"/>
      <c r="QQO44" s="468"/>
      <c r="QQP44" s="468"/>
      <c r="QQQ44" s="468"/>
      <c r="QQR44" s="468"/>
      <c r="QQS44" s="468"/>
      <c r="QQT44" s="468"/>
      <c r="QQU44" s="468"/>
      <c r="QQV44" s="468"/>
      <c r="QQW44" s="468"/>
      <c r="QQX44" s="468"/>
      <c r="QQY44" s="468"/>
      <c r="QQZ44" s="468"/>
      <c r="QRA44" s="468"/>
      <c r="QRB44" s="468"/>
      <c r="QRC44" s="468"/>
      <c r="QRD44" s="468"/>
      <c r="QRE44" s="468"/>
      <c r="QRF44" s="468"/>
      <c r="QRG44" s="468"/>
      <c r="QRH44" s="468"/>
      <c r="QRI44" s="468"/>
      <c r="QRJ44" s="468"/>
      <c r="QRK44" s="468"/>
      <c r="QRL44" s="468"/>
      <c r="QRM44" s="468"/>
      <c r="QRN44" s="468"/>
      <c r="QRO44" s="468"/>
      <c r="QRP44" s="468"/>
      <c r="QRQ44" s="468"/>
      <c r="QRR44" s="468"/>
      <c r="QRS44" s="468"/>
      <c r="QRT44" s="468"/>
      <c r="QRU44" s="468"/>
      <c r="QRV44" s="468"/>
      <c r="QRW44" s="468"/>
      <c r="QRX44" s="468"/>
      <c r="QRY44" s="468"/>
      <c r="QRZ44" s="468"/>
      <c r="QSA44" s="468"/>
      <c r="QSB44" s="468"/>
      <c r="QSC44" s="468"/>
      <c r="QSD44" s="468"/>
      <c r="QSE44" s="468"/>
      <c r="QSF44" s="468"/>
      <c r="QSG44" s="468"/>
      <c r="QSH44" s="468"/>
      <c r="QSI44" s="468"/>
      <c r="QSJ44" s="468"/>
      <c r="QSK44" s="468"/>
      <c r="QSL44" s="468"/>
      <c r="QSM44" s="468"/>
      <c r="QSN44" s="468"/>
      <c r="QSO44" s="468"/>
      <c r="QSP44" s="468"/>
      <c r="QSQ44" s="468"/>
      <c r="QSR44" s="468"/>
      <c r="QSS44" s="468"/>
      <c r="QST44" s="468"/>
      <c r="QSU44" s="468"/>
      <c r="QSV44" s="468"/>
      <c r="QSW44" s="468"/>
      <c r="QSX44" s="468"/>
      <c r="QSY44" s="468"/>
      <c r="QSZ44" s="468"/>
      <c r="QTA44" s="468"/>
      <c r="QTB44" s="468"/>
      <c r="QTC44" s="468"/>
      <c r="QTD44" s="468"/>
      <c r="QTE44" s="468"/>
      <c r="QTF44" s="468"/>
      <c r="QTG44" s="468"/>
      <c r="QTH44" s="468"/>
      <c r="QTI44" s="468"/>
      <c r="QTJ44" s="468"/>
      <c r="QTK44" s="468"/>
      <c r="QTL44" s="468"/>
      <c r="QTM44" s="468"/>
      <c r="QTN44" s="468"/>
      <c r="QTO44" s="468"/>
      <c r="QTP44" s="468"/>
      <c r="QTQ44" s="468"/>
      <c r="QTR44" s="468"/>
      <c r="QTS44" s="468"/>
      <c r="QTT44" s="468"/>
      <c r="QTU44" s="468"/>
      <c r="QTV44" s="468"/>
      <c r="QTW44" s="468"/>
      <c r="QTX44" s="468"/>
      <c r="QTY44" s="468"/>
      <c r="QTZ44" s="468"/>
      <c r="QUA44" s="468"/>
      <c r="QUB44" s="468"/>
      <c r="QUC44" s="468"/>
      <c r="QUD44" s="468"/>
      <c r="QUE44" s="468"/>
      <c r="QUF44" s="468"/>
      <c r="QUG44" s="468"/>
      <c r="QUH44" s="468"/>
      <c r="QUI44" s="468"/>
      <c r="QUJ44" s="468"/>
      <c r="QUK44" s="468"/>
      <c r="QUL44" s="468"/>
      <c r="QUM44" s="468"/>
      <c r="QUN44" s="468"/>
      <c r="QUO44" s="468"/>
      <c r="QUP44" s="468"/>
      <c r="QUQ44" s="468"/>
      <c r="QUR44" s="468"/>
      <c r="QUS44" s="468"/>
      <c r="QUT44" s="468"/>
      <c r="QUU44" s="468"/>
      <c r="QUV44" s="468"/>
      <c r="QUW44" s="468"/>
      <c r="QUX44" s="468"/>
      <c r="QUY44" s="468"/>
      <c r="QUZ44" s="468"/>
      <c r="QVA44" s="468"/>
      <c r="QVB44" s="468"/>
      <c r="QVC44" s="468"/>
      <c r="QVD44" s="468"/>
      <c r="QVE44" s="468"/>
      <c r="QVF44" s="468"/>
      <c r="QVG44" s="468"/>
      <c r="QVH44" s="468"/>
      <c r="QVI44" s="468"/>
      <c r="QVJ44" s="468"/>
      <c r="QVK44" s="468"/>
      <c r="QVL44" s="468"/>
      <c r="QVM44" s="468"/>
      <c r="QVN44" s="468"/>
      <c r="QVO44" s="468"/>
      <c r="QVP44" s="468"/>
      <c r="QVQ44" s="468"/>
      <c r="QVR44" s="468"/>
      <c r="QVS44" s="468"/>
      <c r="QVT44" s="468"/>
      <c r="QVU44" s="468"/>
      <c r="QVV44" s="468"/>
      <c r="QVW44" s="468"/>
      <c r="QVX44" s="468"/>
      <c r="QVY44" s="468"/>
      <c r="QVZ44" s="468"/>
      <c r="QWA44" s="468"/>
      <c r="QWB44" s="468"/>
      <c r="QWC44" s="468"/>
      <c r="QWD44" s="468"/>
      <c r="QWE44" s="468"/>
      <c r="QWF44" s="468"/>
      <c r="QWG44" s="468"/>
      <c r="QWH44" s="468"/>
      <c r="QWI44" s="468"/>
      <c r="QWJ44" s="468"/>
      <c r="QWK44" s="468"/>
      <c r="QWL44" s="468"/>
      <c r="QWM44" s="468"/>
      <c r="QWN44" s="468"/>
      <c r="QWO44" s="468"/>
      <c r="QWP44" s="468"/>
      <c r="QWQ44" s="468"/>
      <c r="QWR44" s="468"/>
      <c r="QWS44" s="468"/>
      <c r="QWT44" s="468"/>
      <c r="QWU44" s="468"/>
      <c r="QWV44" s="468"/>
      <c r="QWW44" s="468"/>
      <c r="QWX44" s="468"/>
      <c r="QWY44" s="468"/>
      <c r="QWZ44" s="468"/>
      <c r="QXA44" s="468"/>
      <c r="QXB44" s="468"/>
      <c r="QXC44" s="468"/>
      <c r="QXD44" s="468"/>
      <c r="QXE44" s="468"/>
      <c r="QXF44" s="468"/>
      <c r="QXG44" s="468"/>
      <c r="QXH44" s="468"/>
      <c r="QXI44" s="468"/>
      <c r="QXJ44" s="468"/>
      <c r="QXK44" s="468"/>
      <c r="QXL44" s="468"/>
      <c r="QXM44" s="468"/>
      <c r="QXN44" s="468"/>
      <c r="QXO44" s="468"/>
      <c r="QXP44" s="468"/>
      <c r="QXQ44" s="468"/>
      <c r="QXR44" s="468"/>
      <c r="QXS44" s="468"/>
      <c r="QXT44" s="468"/>
      <c r="QXU44" s="468"/>
      <c r="QXV44" s="468"/>
      <c r="QXW44" s="468"/>
      <c r="QXX44" s="468"/>
      <c r="QXY44" s="468"/>
      <c r="QXZ44" s="468"/>
      <c r="QYA44" s="468"/>
      <c r="QYB44" s="468"/>
      <c r="QYC44" s="468"/>
      <c r="QYD44" s="468"/>
      <c r="QYE44" s="468"/>
      <c r="QYF44" s="468"/>
      <c r="QYG44" s="468"/>
      <c r="QYH44" s="468"/>
      <c r="QYI44" s="468"/>
      <c r="QYJ44" s="468"/>
      <c r="QYK44" s="468"/>
      <c r="QYL44" s="468"/>
      <c r="QYM44" s="468"/>
      <c r="QYN44" s="468"/>
      <c r="QYO44" s="468"/>
      <c r="QYP44" s="468"/>
      <c r="QYQ44" s="468"/>
      <c r="QYR44" s="468"/>
      <c r="QYS44" s="468"/>
      <c r="QYT44" s="468"/>
      <c r="QYU44" s="468"/>
      <c r="QYV44" s="468"/>
      <c r="QYW44" s="468"/>
      <c r="QYX44" s="468"/>
      <c r="QYY44" s="468"/>
      <c r="QYZ44" s="468"/>
      <c r="QZA44" s="468"/>
      <c r="QZB44" s="468"/>
      <c r="QZC44" s="468"/>
      <c r="QZD44" s="468"/>
      <c r="QZE44" s="468"/>
      <c r="QZF44" s="468"/>
      <c r="QZG44" s="468"/>
      <c r="QZH44" s="468"/>
      <c r="QZI44" s="468"/>
      <c r="QZJ44" s="468"/>
      <c r="QZK44" s="468"/>
      <c r="QZL44" s="468"/>
      <c r="QZM44" s="468"/>
      <c r="QZN44" s="468"/>
      <c r="QZO44" s="468"/>
      <c r="QZP44" s="468"/>
      <c r="QZQ44" s="468"/>
      <c r="QZR44" s="468"/>
      <c r="QZS44" s="468"/>
      <c r="QZT44" s="468"/>
      <c r="QZU44" s="468"/>
      <c r="QZV44" s="468"/>
      <c r="QZW44" s="468"/>
      <c r="QZX44" s="468"/>
      <c r="QZY44" s="468"/>
      <c r="QZZ44" s="468"/>
      <c r="RAA44" s="468"/>
      <c r="RAB44" s="468"/>
      <c r="RAC44" s="468"/>
      <c r="RAD44" s="468"/>
      <c r="RAE44" s="468"/>
      <c r="RAF44" s="468"/>
      <c r="RAG44" s="468"/>
      <c r="RAH44" s="468"/>
      <c r="RAI44" s="468"/>
      <c r="RAJ44" s="468"/>
      <c r="RAK44" s="468"/>
      <c r="RAL44" s="468"/>
      <c r="RAM44" s="468"/>
      <c r="RAN44" s="468"/>
      <c r="RAO44" s="468"/>
      <c r="RAP44" s="468"/>
      <c r="RAQ44" s="468"/>
      <c r="RAR44" s="468"/>
      <c r="RAS44" s="468"/>
      <c r="RAT44" s="468"/>
      <c r="RAU44" s="468"/>
      <c r="RAV44" s="468"/>
      <c r="RAW44" s="468"/>
      <c r="RAX44" s="468"/>
      <c r="RAY44" s="468"/>
      <c r="RAZ44" s="468"/>
      <c r="RBA44" s="468"/>
      <c r="RBB44" s="468"/>
      <c r="RBC44" s="468"/>
      <c r="RBD44" s="468"/>
      <c r="RBE44" s="468"/>
      <c r="RBF44" s="468"/>
      <c r="RBG44" s="468"/>
      <c r="RBH44" s="468"/>
      <c r="RBI44" s="468"/>
      <c r="RBJ44" s="468"/>
      <c r="RBK44" s="468"/>
      <c r="RBL44" s="468"/>
      <c r="RBM44" s="468"/>
      <c r="RBN44" s="468"/>
      <c r="RBO44" s="468"/>
      <c r="RBP44" s="468"/>
      <c r="RBQ44" s="468"/>
      <c r="RBR44" s="468"/>
      <c r="RBS44" s="468"/>
      <c r="RBT44" s="468"/>
      <c r="RBU44" s="468"/>
      <c r="RBV44" s="468"/>
      <c r="RBW44" s="468"/>
      <c r="RBX44" s="468"/>
      <c r="RBY44" s="468"/>
      <c r="RBZ44" s="468"/>
      <c r="RCA44" s="468"/>
      <c r="RCB44" s="468"/>
      <c r="RCC44" s="468"/>
      <c r="RCD44" s="468"/>
      <c r="RCE44" s="468"/>
      <c r="RCF44" s="468"/>
      <c r="RCG44" s="468"/>
      <c r="RCH44" s="468"/>
      <c r="RCI44" s="468"/>
      <c r="RCJ44" s="468"/>
      <c r="RCK44" s="468"/>
      <c r="RCL44" s="468"/>
      <c r="RCM44" s="468"/>
      <c r="RCN44" s="468"/>
      <c r="RCO44" s="468"/>
      <c r="RCP44" s="468"/>
      <c r="RCQ44" s="468"/>
      <c r="RCR44" s="468"/>
      <c r="RCS44" s="468"/>
      <c r="RCT44" s="468"/>
      <c r="RCU44" s="468"/>
      <c r="RCV44" s="468"/>
      <c r="RCW44" s="468"/>
      <c r="RCX44" s="468"/>
      <c r="RCY44" s="468"/>
      <c r="RCZ44" s="468"/>
      <c r="RDA44" s="468"/>
      <c r="RDB44" s="468"/>
      <c r="RDC44" s="468"/>
      <c r="RDD44" s="468"/>
      <c r="RDE44" s="468"/>
      <c r="RDF44" s="468"/>
      <c r="RDG44" s="468"/>
      <c r="RDH44" s="468"/>
      <c r="RDI44" s="468"/>
      <c r="RDJ44" s="468"/>
      <c r="RDK44" s="468"/>
      <c r="RDL44" s="468"/>
      <c r="RDM44" s="468"/>
      <c r="RDN44" s="468"/>
      <c r="RDO44" s="468"/>
      <c r="RDP44" s="468"/>
      <c r="RDQ44" s="468"/>
      <c r="RDR44" s="468"/>
      <c r="RDS44" s="468"/>
      <c r="RDT44" s="468"/>
      <c r="RDU44" s="468"/>
      <c r="RDV44" s="468"/>
      <c r="RDW44" s="468"/>
      <c r="RDX44" s="468"/>
      <c r="RDY44" s="468"/>
      <c r="RDZ44" s="468"/>
      <c r="REA44" s="468"/>
      <c r="REB44" s="468"/>
      <c r="REC44" s="468"/>
      <c r="RED44" s="468"/>
      <c r="REE44" s="468"/>
      <c r="REF44" s="468"/>
      <c r="REG44" s="468"/>
      <c r="REH44" s="468"/>
      <c r="REI44" s="468"/>
      <c r="REJ44" s="468"/>
      <c r="REK44" s="468"/>
      <c r="REL44" s="468"/>
      <c r="REM44" s="468"/>
      <c r="REN44" s="468"/>
      <c r="REO44" s="468"/>
      <c r="REP44" s="468"/>
      <c r="REQ44" s="468"/>
      <c r="RER44" s="468"/>
      <c r="RES44" s="468"/>
      <c r="RET44" s="468"/>
      <c r="REU44" s="468"/>
      <c r="REV44" s="468"/>
      <c r="REW44" s="468"/>
      <c r="REX44" s="468"/>
      <c r="REY44" s="468"/>
      <c r="REZ44" s="468"/>
      <c r="RFA44" s="468"/>
      <c r="RFB44" s="468"/>
      <c r="RFC44" s="468"/>
      <c r="RFD44" s="468"/>
      <c r="RFE44" s="468"/>
      <c r="RFF44" s="468"/>
      <c r="RFG44" s="468"/>
      <c r="RFH44" s="468"/>
      <c r="RFI44" s="468"/>
      <c r="RFJ44" s="468"/>
      <c r="RFK44" s="468"/>
      <c r="RFL44" s="468"/>
      <c r="RFM44" s="468"/>
      <c r="RFN44" s="468"/>
      <c r="RFO44" s="468"/>
      <c r="RFP44" s="468"/>
      <c r="RFQ44" s="468"/>
      <c r="RFR44" s="468"/>
      <c r="RFS44" s="468"/>
      <c r="RFT44" s="468"/>
      <c r="RFU44" s="468"/>
      <c r="RFV44" s="468"/>
      <c r="RFW44" s="468"/>
      <c r="RFX44" s="468"/>
      <c r="RFY44" s="468"/>
      <c r="RFZ44" s="468"/>
      <c r="RGA44" s="468"/>
      <c r="RGB44" s="468"/>
      <c r="RGC44" s="468"/>
      <c r="RGD44" s="468"/>
      <c r="RGE44" s="468"/>
      <c r="RGF44" s="468"/>
      <c r="RGG44" s="468"/>
      <c r="RGH44" s="468"/>
      <c r="RGI44" s="468"/>
      <c r="RGJ44" s="468"/>
      <c r="RGK44" s="468"/>
      <c r="RGL44" s="468"/>
      <c r="RGM44" s="468"/>
      <c r="RGN44" s="468"/>
      <c r="RGO44" s="468"/>
      <c r="RGP44" s="468"/>
      <c r="RGQ44" s="468"/>
      <c r="RGR44" s="468"/>
      <c r="RGS44" s="468"/>
      <c r="RGT44" s="468"/>
      <c r="RGU44" s="468"/>
      <c r="RGV44" s="468"/>
      <c r="RGW44" s="468"/>
      <c r="RGX44" s="468"/>
      <c r="RGY44" s="468"/>
      <c r="RGZ44" s="468"/>
      <c r="RHA44" s="468"/>
      <c r="RHB44" s="468"/>
      <c r="RHC44" s="468"/>
      <c r="RHD44" s="468"/>
      <c r="RHE44" s="468"/>
      <c r="RHF44" s="468"/>
      <c r="RHG44" s="468"/>
      <c r="RHH44" s="468"/>
      <c r="RHI44" s="468"/>
      <c r="RHJ44" s="468"/>
      <c r="RHK44" s="468"/>
      <c r="RHL44" s="468"/>
      <c r="RHM44" s="468"/>
      <c r="RHN44" s="468"/>
      <c r="RHO44" s="468"/>
      <c r="RHP44" s="468"/>
      <c r="RHQ44" s="468"/>
      <c r="RHR44" s="468"/>
      <c r="RHS44" s="468"/>
      <c r="RHT44" s="468"/>
      <c r="RHU44" s="468"/>
      <c r="RHV44" s="468"/>
      <c r="RHW44" s="468"/>
      <c r="RHX44" s="468"/>
      <c r="RHY44" s="468"/>
      <c r="RHZ44" s="468"/>
      <c r="RIA44" s="468"/>
      <c r="RIB44" s="468"/>
      <c r="RIC44" s="468"/>
      <c r="RID44" s="468"/>
      <c r="RIE44" s="468"/>
      <c r="RIF44" s="468"/>
      <c r="RIG44" s="468"/>
      <c r="RIH44" s="468"/>
      <c r="RII44" s="468"/>
      <c r="RIJ44" s="468"/>
      <c r="RIK44" s="468"/>
      <c r="RIL44" s="468"/>
      <c r="RIM44" s="468"/>
      <c r="RIN44" s="468"/>
      <c r="RIO44" s="468"/>
      <c r="RIP44" s="468"/>
      <c r="RIQ44" s="468"/>
      <c r="RIR44" s="468"/>
      <c r="RIS44" s="468"/>
      <c r="RIT44" s="468"/>
      <c r="RIU44" s="468"/>
      <c r="RIV44" s="468"/>
      <c r="RIW44" s="468"/>
      <c r="RIX44" s="468"/>
      <c r="RIY44" s="468"/>
      <c r="RIZ44" s="468"/>
      <c r="RJA44" s="468"/>
      <c r="RJB44" s="468"/>
      <c r="RJC44" s="468"/>
      <c r="RJD44" s="468"/>
      <c r="RJE44" s="468"/>
      <c r="RJF44" s="468"/>
      <c r="RJG44" s="468"/>
      <c r="RJH44" s="468"/>
      <c r="RJI44" s="468"/>
      <c r="RJJ44" s="468"/>
      <c r="RJK44" s="468"/>
      <c r="RJL44" s="468"/>
      <c r="RJM44" s="468"/>
      <c r="RJN44" s="468"/>
      <c r="RJO44" s="468"/>
      <c r="RJP44" s="468"/>
      <c r="RJQ44" s="468"/>
      <c r="RJR44" s="468"/>
      <c r="RJS44" s="468"/>
      <c r="RJT44" s="468"/>
      <c r="RJU44" s="468"/>
      <c r="RJV44" s="468"/>
      <c r="RJW44" s="468"/>
      <c r="RJX44" s="468"/>
      <c r="RJY44" s="468"/>
      <c r="RJZ44" s="468"/>
      <c r="RKA44" s="468"/>
      <c r="RKB44" s="468"/>
      <c r="RKC44" s="468"/>
      <c r="RKD44" s="468"/>
      <c r="RKE44" s="468"/>
      <c r="RKF44" s="468"/>
      <c r="RKG44" s="468"/>
      <c r="RKH44" s="468"/>
      <c r="RKI44" s="468"/>
      <c r="RKJ44" s="468"/>
      <c r="RKK44" s="468"/>
      <c r="RKL44" s="468"/>
      <c r="RKM44" s="468"/>
      <c r="RKN44" s="468"/>
      <c r="RKO44" s="468"/>
      <c r="RKP44" s="468"/>
      <c r="RKQ44" s="468"/>
      <c r="RKR44" s="468"/>
      <c r="RKS44" s="468"/>
      <c r="RKT44" s="468"/>
      <c r="RKU44" s="468"/>
      <c r="RKV44" s="468"/>
      <c r="RKW44" s="468"/>
      <c r="RKX44" s="468"/>
      <c r="RKY44" s="468"/>
      <c r="RKZ44" s="468"/>
      <c r="RLA44" s="468"/>
      <c r="RLB44" s="468"/>
      <c r="RLC44" s="468"/>
      <c r="RLD44" s="468"/>
      <c r="RLE44" s="468"/>
      <c r="RLF44" s="468"/>
      <c r="RLG44" s="468"/>
      <c r="RLH44" s="468"/>
      <c r="RLI44" s="468"/>
      <c r="RLJ44" s="468"/>
      <c r="RLK44" s="468"/>
      <c r="RLL44" s="468"/>
      <c r="RLM44" s="468"/>
      <c r="RLN44" s="468"/>
      <c r="RLO44" s="468"/>
      <c r="RLP44" s="468"/>
      <c r="RLQ44" s="468"/>
      <c r="RLR44" s="468"/>
      <c r="RLS44" s="468"/>
      <c r="RLT44" s="468"/>
      <c r="RLU44" s="468"/>
      <c r="RLV44" s="468"/>
      <c r="RLW44" s="468"/>
      <c r="RLX44" s="468"/>
      <c r="RLY44" s="468"/>
      <c r="RLZ44" s="468"/>
      <c r="RMA44" s="468"/>
      <c r="RMB44" s="468"/>
      <c r="RMC44" s="468"/>
      <c r="RMD44" s="468"/>
      <c r="RME44" s="468"/>
      <c r="RMF44" s="468"/>
      <c r="RMG44" s="468"/>
      <c r="RMH44" s="468"/>
      <c r="RMI44" s="468"/>
      <c r="RMJ44" s="468"/>
      <c r="RMK44" s="468"/>
      <c r="RML44" s="468"/>
      <c r="RMM44" s="468"/>
      <c r="RMN44" s="468"/>
      <c r="RMO44" s="468"/>
      <c r="RMP44" s="468"/>
      <c r="RMQ44" s="468"/>
      <c r="RMR44" s="468"/>
      <c r="RMS44" s="468"/>
      <c r="RMT44" s="468"/>
      <c r="RMU44" s="468"/>
      <c r="RMV44" s="468"/>
      <c r="RMW44" s="468"/>
      <c r="RMX44" s="468"/>
      <c r="RMY44" s="468"/>
      <c r="RMZ44" s="468"/>
      <c r="RNA44" s="468"/>
      <c r="RNB44" s="468"/>
      <c r="RNC44" s="468"/>
      <c r="RND44" s="468"/>
      <c r="RNE44" s="468"/>
      <c r="RNF44" s="468"/>
      <c r="RNG44" s="468"/>
      <c r="RNH44" s="468"/>
      <c r="RNI44" s="468"/>
      <c r="RNJ44" s="468"/>
      <c r="RNK44" s="468"/>
      <c r="RNL44" s="468"/>
      <c r="RNM44" s="468"/>
      <c r="RNN44" s="468"/>
      <c r="RNO44" s="468"/>
      <c r="RNP44" s="468"/>
      <c r="RNQ44" s="468"/>
      <c r="RNR44" s="468"/>
      <c r="RNS44" s="468"/>
      <c r="RNT44" s="468"/>
      <c r="RNU44" s="468"/>
      <c r="RNV44" s="468"/>
      <c r="RNW44" s="468"/>
      <c r="RNX44" s="468"/>
      <c r="RNY44" s="468"/>
      <c r="RNZ44" s="468"/>
      <c r="ROA44" s="468"/>
      <c r="ROB44" s="468"/>
      <c r="ROC44" s="468"/>
      <c r="ROD44" s="468"/>
      <c r="ROE44" s="468"/>
      <c r="ROF44" s="468"/>
      <c r="ROG44" s="468"/>
      <c r="ROH44" s="468"/>
      <c r="ROI44" s="468"/>
      <c r="ROJ44" s="468"/>
      <c r="ROK44" s="468"/>
      <c r="ROL44" s="468"/>
      <c r="ROM44" s="468"/>
      <c r="RON44" s="468"/>
      <c r="ROO44" s="468"/>
      <c r="ROP44" s="468"/>
      <c r="ROQ44" s="468"/>
      <c r="ROR44" s="468"/>
      <c r="ROS44" s="468"/>
      <c r="ROT44" s="468"/>
      <c r="ROU44" s="468"/>
      <c r="ROV44" s="468"/>
      <c r="ROW44" s="468"/>
      <c r="ROX44" s="468"/>
      <c r="ROY44" s="468"/>
      <c r="ROZ44" s="468"/>
      <c r="RPA44" s="468"/>
      <c r="RPB44" s="468"/>
      <c r="RPC44" s="468"/>
      <c r="RPD44" s="468"/>
      <c r="RPE44" s="468"/>
      <c r="RPF44" s="468"/>
      <c r="RPG44" s="468"/>
      <c r="RPH44" s="468"/>
      <c r="RPI44" s="468"/>
      <c r="RPJ44" s="468"/>
      <c r="RPK44" s="468"/>
      <c r="RPL44" s="468"/>
      <c r="RPM44" s="468"/>
      <c r="RPN44" s="468"/>
      <c r="RPO44" s="468"/>
      <c r="RPP44" s="468"/>
      <c r="RPQ44" s="468"/>
      <c r="RPR44" s="468"/>
      <c r="RPS44" s="468"/>
      <c r="RPT44" s="468"/>
      <c r="RPU44" s="468"/>
      <c r="RPV44" s="468"/>
      <c r="RPW44" s="468"/>
      <c r="RPX44" s="468"/>
      <c r="RPY44" s="468"/>
      <c r="RPZ44" s="468"/>
      <c r="RQA44" s="468"/>
      <c r="RQB44" s="468"/>
      <c r="RQC44" s="468"/>
      <c r="RQD44" s="468"/>
      <c r="RQE44" s="468"/>
      <c r="RQF44" s="468"/>
      <c r="RQG44" s="468"/>
      <c r="RQH44" s="468"/>
      <c r="RQI44" s="468"/>
      <c r="RQJ44" s="468"/>
      <c r="RQK44" s="468"/>
      <c r="RQL44" s="468"/>
      <c r="RQM44" s="468"/>
      <c r="RQN44" s="468"/>
      <c r="RQO44" s="468"/>
      <c r="RQP44" s="468"/>
      <c r="RQQ44" s="468"/>
      <c r="RQR44" s="468"/>
      <c r="RQS44" s="468"/>
      <c r="RQT44" s="468"/>
      <c r="RQU44" s="468"/>
      <c r="RQV44" s="468"/>
      <c r="RQW44" s="468"/>
      <c r="RQX44" s="468"/>
      <c r="RQY44" s="468"/>
      <c r="RQZ44" s="468"/>
      <c r="RRA44" s="468"/>
      <c r="RRB44" s="468"/>
      <c r="RRC44" s="468"/>
      <c r="RRD44" s="468"/>
      <c r="RRE44" s="468"/>
      <c r="RRF44" s="468"/>
      <c r="RRG44" s="468"/>
      <c r="RRH44" s="468"/>
      <c r="RRI44" s="468"/>
      <c r="RRJ44" s="468"/>
      <c r="RRK44" s="468"/>
      <c r="RRL44" s="468"/>
      <c r="RRM44" s="468"/>
      <c r="RRN44" s="468"/>
      <c r="RRO44" s="468"/>
      <c r="RRP44" s="468"/>
      <c r="RRQ44" s="468"/>
      <c r="RRR44" s="468"/>
      <c r="RRS44" s="468"/>
      <c r="RRT44" s="468"/>
      <c r="RRU44" s="468"/>
      <c r="RRV44" s="468"/>
      <c r="RRW44" s="468"/>
      <c r="RRX44" s="468"/>
      <c r="RRY44" s="468"/>
      <c r="RRZ44" s="468"/>
      <c r="RSA44" s="468"/>
      <c r="RSB44" s="468"/>
      <c r="RSC44" s="468"/>
      <c r="RSD44" s="468"/>
      <c r="RSE44" s="468"/>
      <c r="RSF44" s="468"/>
      <c r="RSG44" s="468"/>
      <c r="RSH44" s="468"/>
      <c r="RSI44" s="468"/>
      <c r="RSJ44" s="468"/>
      <c r="RSK44" s="468"/>
      <c r="RSL44" s="468"/>
      <c r="RSM44" s="468"/>
      <c r="RSN44" s="468"/>
      <c r="RSO44" s="468"/>
      <c r="RSP44" s="468"/>
      <c r="RSQ44" s="468"/>
      <c r="RSR44" s="468"/>
      <c r="RSS44" s="468"/>
      <c r="RST44" s="468"/>
      <c r="RSU44" s="468"/>
      <c r="RSV44" s="468"/>
      <c r="RSW44" s="468"/>
      <c r="RSX44" s="468"/>
      <c r="RSY44" s="468"/>
      <c r="RSZ44" s="468"/>
      <c r="RTA44" s="468"/>
      <c r="RTB44" s="468"/>
      <c r="RTC44" s="468"/>
      <c r="RTD44" s="468"/>
      <c r="RTE44" s="468"/>
      <c r="RTF44" s="468"/>
      <c r="RTG44" s="468"/>
      <c r="RTH44" s="468"/>
      <c r="RTI44" s="468"/>
      <c r="RTJ44" s="468"/>
      <c r="RTK44" s="468"/>
      <c r="RTL44" s="468"/>
      <c r="RTM44" s="468"/>
      <c r="RTN44" s="468"/>
      <c r="RTO44" s="468"/>
      <c r="RTP44" s="468"/>
      <c r="RTQ44" s="468"/>
      <c r="RTR44" s="468"/>
      <c r="RTS44" s="468"/>
      <c r="RTT44" s="468"/>
      <c r="RTU44" s="468"/>
      <c r="RTV44" s="468"/>
      <c r="RTW44" s="468"/>
      <c r="RTX44" s="468"/>
      <c r="RTY44" s="468"/>
      <c r="RTZ44" s="468"/>
      <c r="RUA44" s="468"/>
      <c r="RUB44" s="468"/>
      <c r="RUC44" s="468"/>
      <c r="RUD44" s="468"/>
      <c r="RUE44" s="468"/>
      <c r="RUF44" s="468"/>
      <c r="RUG44" s="468"/>
      <c r="RUH44" s="468"/>
      <c r="RUI44" s="468"/>
      <c r="RUJ44" s="468"/>
      <c r="RUK44" s="468"/>
      <c r="RUL44" s="468"/>
      <c r="RUM44" s="468"/>
      <c r="RUN44" s="468"/>
      <c r="RUO44" s="468"/>
      <c r="RUP44" s="468"/>
      <c r="RUQ44" s="468"/>
      <c r="RUR44" s="468"/>
      <c r="RUS44" s="468"/>
      <c r="RUT44" s="468"/>
      <c r="RUU44" s="468"/>
      <c r="RUV44" s="468"/>
      <c r="RUW44" s="468"/>
      <c r="RUX44" s="468"/>
      <c r="RUY44" s="468"/>
      <c r="RUZ44" s="468"/>
      <c r="RVA44" s="468"/>
      <c r="RVB44" s="468"/>
      <c r="RVC44" s="468"/>
      <c r="RVD44" s="468"/>
      <c r="RVE44" s="468"/>
      <c r="RVF44" s="468"/>
      <c r="RVG44" s="468"/>
      <c r="RVH44" s="468"/>
      <c r="RVI44" s="468"/>
      <c r="RVJ44" s="468"/>
      <c r="RVK44" s="468"/>
      <c r="RVL44" s="468"/>
      <c r="RVM44" s="468"/>
      <c r="RVN44" s="468"/>
      <c r="RVO44" s="468"/>
      <c r="RVP44" s="468"/>
      <c r="RVQ44" s="468"/>
      <c r="RVR44" s="468"/>
      <c r="RVS44" s="468"/>
      <c r="RVT44" s="468"/>
      <c r="RVU44" s="468"/>
      <c r="RVV44" s="468"/>
      <c r="RVW44" s="468"/>
      <c r="RVX44" s="468"/>
      <c r="RVY44" s="468"/>
      <c r="RVZ44" s="468"/>
      <c r="RWA44" s="468"/>
      <c r="RWB44" s="468"/>
      <c r="RWC44" s="468"/>
      <c r="RWD44" s="468"/>
      <c r="RWE44" s="468"/>
      <c r="RWF44" s="468"/>
      <c r="RWG44" s="468"/>
      <c r="RWH44" s="468"/>
      <c r="RWI44" s="468"/>
      <c r="RWJ44" s="468"/>
      <c r="RWK44" s="468"/>
      <c r="RWL44" s="468"/>
      <c r="RWM44" s="468"/>
      <c r="RWN44" s="468"/>
      <c r="RWO44" s="468"/>
      <c r="RWP44" s="468"/>
      <c r="RWQ44" s="468"/>
      <c r="RWR44" s="468"/>
      <c r="RWS44" s="468"/>
      <c r="RWT44" s="468"/>
      <c r="RWU44" s="468"/>
      <c r="RWV44" s="468"/>
      <c r="RWW44" s="468"/>
      <c r="RWX44" s="468"/>
      <c r="RWY44" s="468"/>
      <c r="RWZ44" s="468"/>
      <c r="RXA44" s="468"/>
      <c r="RXB44" s="468"/>
      <c r="RXC44" s="468"/>
      <c r="RXD44" s="468"/>
      <c r="RXE44" s="468"/>
      <c r="RXF44" s="468"/>
      <c r="RXG44" s="468"/>
      <c r="RXH44" s="468"/>
      <c r="RXI44" s="468"/>
      <c r="RXJ44" s="468"/>
      <c r="RXK44" s="468"/>
      <c r="RXL44" s="468"/>
      <c r="RXM44" s="468"/>
      <c r="RXN44" s="468"/>
      <c r="RXO44" s="468"/>
      <c r="RXP44" s="468"/>
      <c r="RXQ44" s="468"/>
      <c r="RXR44" s="468"/>
      <c r="RXS44" s="468"/>
      <c r="RXT44" s="468"/>
      <c r="RXU44" s="468"/>
      <c r="RXV44" s="468"/>
      <c r="RXW44" s="468"/>
      <c r="RXX44" s="468"/>
      <c r="RXY44" s="468"/>
      <c r="RXZ44" s="468"/>
      <c r="RYA44" s="468"/>
      <c r="RYB44" s="468"/>
      <c r="RYC44" s="468"/>
      <c r="RYD44" s="468"/>
      <c r="RYE44" s="468"/>
      <c r="RYF44" s="468"/>
      <c r="RYG44" s="468"/>
      <c r="RYH44" s="468"/>
      <c r="RYI44" s="468"/>
      <c r="RYJ44" s="468"/>
      <c r="RYK44" s="468"/>
      <c r="RYL44" s="468"/>
      <c r="RYM44" s="468"/>
      <c r="RYN44" s="468"/>
      <c r="RYO44" s="468"/>
      <c r="RYP44" s="468"/>
      <c r="RYQ44" s="468"/>
      <c r="RYR44" s="468"/>
      <c r="RYS44" s="468"/>
      <c r="RYT44" s="468"/>
      <c r="RYU44" s="468"/>
      <c r="RYV44" s="468"/>
      <c r="RYW44" s="468"/>
      <c r="RYX44" s="468"/>
      <c r="RYY44" s="468"/>
      <c r="RYZ44" s="468"/>
      <c r="RZA44" s="468"/>
      <c r="RZB44" s="468"/>
      <c r="RZC44" s="468"/>
      <c r="RZD44" s="468"/>
      <c r="RZE44" s="468"/>
      <c r="RZF44" s="468"/>
      <c r="RZG44" s="468"/>
      <c r="RZH44" s="468"/>
      <c r="RZI44" s="468"/>
      <c r="RZJ44" s="468"/>
      <c r="RZK44" s="468"/>
      <c r="RZL44" s="468"/>
      <c r="RZM44" s="468"/>
      <c r="RZN44" s="468"/>
      <c r="RZO44" s="468"/>
      <c r="RZP44" s="468"/>
      <c r="RZQ44" s="468"/>
      <c r="RZR44" s="468"/>
      <c r="RZS44" s="468"/>
      <c r="RZT44" s="468"/>
      <c r="RZU44" s="468"/>
      <c r="RZV44" s="468"/>
      <c r="RZW44" s="468"/>
      <c r="RZX44" s="468"/>
      <c r="RZY44" s="468"/>
      <c r="RZZ44" s="468"/>
      <c r="SAA44" s="468"/>
      <c r="SAB44" s="468"/>
      <c r="SAC44" s="468"/>
      <c r="SAD44" s="468"/>
      <c r="SAE44" s="468"/>
      <c r="SAF44" s="468"/>
      <c r="SAG44" s="468"/>
      <c r="SAH44" s="468"/>
      <c r="SAI44" s="468"/>
      <c r="SAJ44" s="468"/>
      <c r="SAK44" s="468"/>
      <c r="SAL44" s="468"/>
      <c r="SAM44" s="468"/>
      <c r="SAN44" s="468"/>
      <c r="SAO44" s="468"/>
      <c r="SAP44" s="468"/>
      <c r="SAQ44" s="468"/>
      <c r="SAR44" s="468"/>
      <c r="SAS44" s="468"/>
      <c r="SAT44" s="468"/>
      <c r="SAU44" s="468"/>
      <c r="SAV44" s="468"/>
      <c r="SAW44" s="468"/>
      <c r="SAX44" s="468"/>
      <c r="SAY44" s="468"/>
      <c r="SAZ44" s="468"/>
      <c r="SBA44" s="468"/>
      <c r="SBB44" s="468"/>
      <c r="SBC44" s="468"/>
      <c r="SBD44" s="468"/>
      <c r="SBE44" s="468"/>
      <c r="SBF44" s="468"/>
      <c r="SBG44" s="468"/>
      <c r="SBH44" s="468"/>
      <c r="SBI44" s="468"/>
      <c r="SBJ44" s="468"/>
      <c r="SBK44" s="468"/>
      <c r="SBL44" s="468"/>
      <c r="SBM44" s="468"/>
      <c r="SBN44" s="468"/>
      <c r="SBO44" s="468"/>
      <c r="SBP44" s="468"/>
      <c r="SBQ44" s="468"/>
      <c r="SBR44" s="468"/>
      <c r="SBS44" s="468"/>
      <c r="SBT44" s="468"/>
      <c r="SBU44" s="468"/>
      <c r="SBV44" s="468"/>
      <c r="SBW44" s="468"/>
      <c r="SBX44" s="468"/>
      <c r="SBY44" s="468"/>
      <c r="SBZ44" s="468"/>
      <c r="SCA44" s="468"/>
      <c r="SCB44" s="468"/>
      <c r="SCC44" s="468"/>
      <c r="SCD44" s="468"/>
      <c r="SCE44" s="468"/>
      <c r="SCF44" s="468"/>
      <c r="SCG44" s="468"/>
      <c r="SCH44" s="468"/>
      <c r="SCI44" s="468"/>
      <c r="SCJ44" s="468"/>
      <c r="SCK44" s="468"/>
      <c r="SCL44" s="468"/>
      <c r="SCM44" s="468"/>
      <c r="SCN44" s="468"/>
      <c r="SCO44" s="468"/>
      <c r="SCP44" s="468"/>
      <c r="SCQ44" s="468"/>
      <c r="SCR44" s="468"/>
      <c r="SCS44" s="468"/>
      <c r="SCT44" s="468"/>
      <c r="SCU44" s="468"/>
      <c r="SCV44" s="468"/>
      <c r="SCW44" s="468"/>
      <c r="SCX44" s="468"/>
      <c r="SCY44" s="468"/>
      <c r="SCZ44" s="468"/>
      <c r="SDA44" s="468"/>
      <c r="SDB44" s="468"/>
      <c r="SDC44" s="468"/>
      <c r="SDD44" s="468"/>
      <c r="SDE44" s="468"/>
      <c r="SDF44" s="468"/>
      <c r="SDG44" s="468"/>
      <c r="SDH44" s="468"/>
      <c r="SDI44" s="468"/>
      <c r="SDJ44" s="468"/>
      <c r="SDK44" s="468"/>
      <c r="SDL44" s="468"/>
      <c r="SDM44" s="468"/>
      <c r="SDN44" s="468"/>
      <c r="SDO44" s="468"/>
      <c r="SDP44" s="468"/>
      <c r="SDQ44" s="468"/>
      <c r="SDR44" s="468"/>
      <c r="SDS44" s="468"/>
      <c r="SDT44" s="468"/>
      <c r="SDU44" s="468"/>
      <c r="SDV44" s="468"/>
      <c r="SDW44" s="468"/>
      <c r="SDX44" s="468"/>
      <c r="SDY44" s="468"/>
      <c r="SDZ44" s="468"/>
      <c r="SEA44" s="468"/>
      <c r="SEB44" s="468"/>
      <c r="SEC44" s="468"/>
      <c r="SED44" s="468"/>
      <c r="SEE44" s="468"/>
      <c r="SEF44" s="468"/>
      <c r="SEG44" s="468"/>
      <c r="SEH44" s="468"/>
      <c r="SEI44" s="468"/>
      <c r="SEJ44" s="468"/>
      <c r="SEK44" s="468"/>
      <c r="SEL44" s="468"/>
      <c r="SEM44" s="468"/>
      <c r="SEN44" s="468"/>
      <c r="SEO44" s="468"/>
      <c r="SEP44" s="468"/>
      <c r="SEQ44" s="468"/>
      <c r="SER44" s="468"/>
      <c r="SES44" s="468"/>
      <c r="SET44" s="468"/>
      <c r="SEU44" s="468"/>
      <c r="SEV44" s="468"/>
      <c r="SEW44" s="468"/>
      <c r="SEX44" s="468"/>
      <c r="SEY44" s="468"/>
      <c r="SEZ44" s="468"/>
      <c r="SFA44" s="468"/>
      <c r="SFB44" s="468"/>
      <c r="SFC44" s="468"/>
      <c r="SFD44" s="468"/>
      <c r="SFE44" s="468"/>
      <c r="SFF44" s="468"/>
      <c r="SFG44" s="468"/>
      <c r="SFH44" s="468"/>
      <c r="SFI44" s="468"/>
      <c r="SFJ44" s="468"/>
      <c r="SFK44" s="468"/>
      <c r="SFL44" s="468"/>
      <c r="SFM44" s="468"/>
      <c r="SFN44" s="468"/>
      <c r="SFO44" s="468"/>
      <c r="SFP44" s="468"/>
      <c r="SFQ44" s="468"/>
      <c r="SFR44" s="468"/>
      <c r="SFS44" s="468"/>
      <c r="SFT44" s="468"/>
      <c r="SFU44" s="468"/>
      <c r="SFV44" s="468"/>
      <c r="SFW44" s="468"/>
      <c r="SFX44" s="468"/>
      <c r="SFY44" s="468"/>
      <c r="SFZ44" s="468"/>
      <c r="SGA44" s="468"/>
      <c r="SGB44" s="468"/>
      <c r="SGC44" s="468"/>
      <c r="SGD44" s="468"/>
      <c r="SGE44" s="468"/>
      <c r="SGF44" s="468"/>
      <c r="SGG44" s="468"/>
      <c r="SGH44" s="468"/>
      <c r="SGI44" s="468"/>
      <c r="SGJ44" s="468"/>
      <c r="SGK44" s="468"/>
      <c r="SGL44" s="468"/>
      <c r="SGM44" s="468"/>
      <c r="SGN44" s="468"/>
      <c r="SGO44" s="468"/>
      <c r="SGP44" s="468"/>
      <c r="SGQ44" s="468"/>
      <c r="SGR44" s="468"/>
      <c r="SGS44" s="468"/>
      <c r="SGT44" s="468"/>
      <c r="SGU44" s="468"/>
      <c r="SGV44" s="468"/>
      <c r="SGW44" s="468"/>
      <c r="SGX44" s="468"/>
      <c r="SGY44" s="468"/>
      <c r="SGZ44" s="468"/>
      <c r="SHA44" s="468"/>
      <c r="SHB44" s="468"/>
      <c r="SHC44" s="468"/>
      <c r="SHD44" s="468"/>
      <c r="SHE44" s="468"/>
      <c r="SHF44" s="468"/>
      <c r="SHG44" s="468"/>
      <c r="SHH44" s="468"/>
      <c r="SHI44" s="468"/>
      <c r="SHJ44" s="468"/>
      <c r="SHK44" s="468"/>
      <c r="SHL44" s="468"/>
      <c r="SHM44" s="468"/>
      <c r="SHN44" s="468"/>
      <c r="SHO44" s="468"/>
      <c r="SHP44" s="468"/>
      <c r="SHQ44" s="468"/>
      <c r="SHR44" s="468"/>
      <c r="SHS44" s="468"/>
      <c r="SHT44" s="468"/>
      <c r="SHU44" s="468"/>
      <c r="SHV44" s="468"/>
      <c r="SHW44" s="468"/>
      <c r="SHX44" s="468"/>
      <c r="SHY44" s="468"/>
      <c r="SHZ44" s="468"/>
      <c r="SIA44" s="468"/>
      <c r="SIB44" s="468"/>
      <c r="SIC44" s="468"/>
      <c r="SID44" s="468"/>
      <c r="SIE44" s="468"/>
      <c r="SIF44" s="468"/>
      <c r="SIG44" s="468"/>
      <c r="SIH44" s="468"/>
      <c r="SII44" s="468"/>
      <c r="SIJ44" s="468"/>
      <c r="SIK44" s="468"/>
      <c r="SIL44" s="468"/>
      <c r="SIM44" s="468"/>
      <c r="SIN44" s="468"/>
      <c r="SIO44" s="468"/>
      <c r="SIP44" s="468"/>
      <c r="SIQ44" s="468"/>
      <c r="SIR44" s="468"/>
      <c r="SIS44" s="468"/>
      <c r="SIT44" s="468"/>
      <c r="SIU44" s="468"/>
      <c r="SIV44" s="468"/>
      <c r="SIW44" s="468"/>
      <c r="SIX44" s="468"/>
      <c r="SIY44" s="468"/>
      <c r="SIZ44" s="468"/>
      <c r="SJA44" s="468"/>
      <c r="SJB44" s="468"/>
      <c r="SJC44" s="468"/>
      <c r="SJD44" s="468"/>
      <c r="SJE44" s="468"/>
      <c r="SJF44" s="468"/>
      <c r="SJG44" s="468"/>
      <c r="SJH44" s="468"/>
      <c r="SJI44" s="468"/>
      <c r="SJJ44" s="468"/>
      <c r="SJK44" s="468"/>
      <c r="SJL44" s="468"/>
      <c r="SJM44" s="468"/>
      <c r="SJN44" s="468"/>
      <c r="SJO44" s="468"/>
      <c r="SJP44" s="468"/>
      <c r="SJQ44" s="468"/>
      <c r="SJR44" s="468"/>
      <c r="SJS44" s="468"/>
      <c r="SJT44" s="468"/>
      <c r="SJU44" s="468"/>
      <c r="SJV44" s="468"/>
      <c r="SJW44" s="468"/>
      <c r="SJX44" s="468"/>
      <c r="SJY44" s="468"/>
      <c r="SJZ44" s="468"/>
      <c r="SKA44" s="468"/>
      <c r="SKB44" s="468"/>
      <c r="SKC44" s="468"/>
      <c r="SKD44" s="468"/>
      <c r="SKE44" s="468"/>
      <c r="SKF44" s="468"/>
      <c r="SKG44" s="468"/>
      <c r="SKH44" s="468"/>
      <c r="SKI44" s="468"/>
      <c r="SKJ44" s="468"/>
      <c r="SKK44" s="468"/>
      <c r="SKL44" s="468"/>
      <c r="SKM44" s="468"/>
      <c r="SKN44" s="468"/>
      <c r="SKO44" s="468"/>
      <c r="SKP44" s="468"/>
      <c r="SKQ44" s="468"/>
      <c r="SKR44" s="468"/>
      <c r="SKS44" s="468"/>
      <c r="SKT44" s="468"/>
      <c r="SKU44" s="468"/>
      <c r="SKV44" s="468"/>
      <c r="SKW44" s="468"/>
      <c r="SKX44" s="468"/>
      <c r="SKY44" s="468"/>
      <c r="SKZ44" s="468"/>
      <c r="SLA44" s="468"/>
      <c r="SLB44" s="468"/>
      <c r="SLC44" s="468"/>
      <c r="SLD44" s="468"/>
      <c r="SLE44" s="468"/>
      <c r="SLF44" s="468"/>
      <c r="SLG44" s="468"/>
      <c r="SLH44" s="468"/>
      <c r="SLI44" s="468"/>
      <c r="SLJ44" s="468"/>
      <c r="SLK44" s="468"/>
      <c r="SLL44" s="468"/>
      <c r="SLM44" s="468"/>
      <c r="SLN44" s="468"/>
      <c r="SLO44" s="468"/>
      <c r="SLP44" s="468"/>
      <c r="SLQ44" s="468"/>
      <c r="SLR44" s="468"/>
      <c r="SLS44" s="468"/>
      <c r="SLT44" s="468"/>
      <c r="SLU44" s="468"/>
      <c r="SLV44" s="468"/>
      <c r="SLW44" s="468"/>
      <c r="SLX44" s="468"/>
      <c r="SLY44" s="468"/>
      <c r="SLZ44" s="468"/>
      <c r="SMA44" s="468"/>
      <c r="SMB44" s="468"/>
      <c r="SMC44" s="468"/>
      <c r="SMD44" s="468"/>
      <c r="SME44" s="468"/>
      <c r="SMF44" s="468"/>
      <c r="SMG44" s="468"/>
      <c r="SMH44" s="468"/>
      <c r="SMI44" s="468"/>
      <c r="SMJ44" s="468"/>
      <c r="SMK44" s="468"/>
      <c r="SML44" s="468"/>
      <c r="SMM44" s="468"/>
      <c r="SMN44" s="468"/>
      <c r="SMO44" s="468"/>
      <c r="SMP44" s="468"/>
      <c r="SMQ44" s="468"/>
      <c r="SMR44" s="468"/>
      <c r="SMS44" s="468"/>
      <c r="SMT44" s="468"/>
      <c r="SMU44" s="468"/>
      <c r="SMV44" s="468"/>
      <c r="SMW44" s="468"/>
      <c r="SMX44" s="468"/>
      <c r="SMY44" s="468"/>
      <c r="SMZ44" s="468"/>
      <c r="SNA44" s="468"/>
      <c r="SNB44" s="468"/>
      <c r="SNC44" s="468"/>
      <c r="SND44" s="468"/>
      <c r="SNE44" s="468"/>
      <c r="SNF44" s="468"/>
      <c r="SNG44" s="468"/>
      <c r="SNH44" s="468"/>
      <c r="SNI44" s="468"/>
      <c r="SNJ44" s="468"/>
      <c r="SNK44" s="468"/>
      <c r="SNL44" s="468"/>
      <c r="SNM44" s="468"/>
      <c r="SNN44" s="468"/>
      <c r="SNO44" s="468"/>
      <c r="SNP44" s="468"/>
      <c r="SNQ44" s="468"/>
      <c r="SNR44" s="468"/>
      <c r="SNS44" s="468"/>
      <c r="SNT44" s="468"/>
      <c r="SNU44" s="468"/>
      <c r="SNV44" s="468"/>
      <c r="SNW44" s="468"/>
      <c r="SNX44" s="468"/>
      <c r="SNY44" s="468"/>
      <c r="SNZ44" s="468"/>
      <c r="SOA44" s="468"/>
      <c r="SOB44" s="468"/>
      <c r="SOC44" s="468"/>
      <c r="SOD44" s="468"/>
      <c r="SOE44" s="468"/>
      <c r="SOF44" s="468"/>
      <c r="SOG44" s="468"/>
      <c r="SOH44" s="468"/>
      <c r="SOI44" s="468"/>
      <c r="SOJ44" s="468"/>
      <c r="SOK44" s="468"/>
      <c r="SOL44" s="468"/>
      <c r="SOM44" s="468"/>
      <c r="SON44" s="468"/>
      <c r="SOO44" s="468"/>
      <c r="SOP44" s="468"/>
      <c r="SOQ44" s="468"/>
      <c r="SOR44" s="468"/>
      <c r="SOS44" s="468"/>
      <c r="SOT44" s="468"/>
      <c r="SOU44" s="468"/>
      <c r="SOV44" s="468"/>
      <c r="SOW44" s="468"/>
      <c r="SOX44" s="468"/>
      <c r="SOY44" s="468"/>
      <c r="SOZ44" s="468"/>
      <c r="SPA44" s="468"/>
      <c r="SPB44" s="468"/>
      <c r="SPC44" s="468"/>
      <c r="SPD44" s="468"/>
      <c r="SPE44" s="468"/>
      <c r="SPF44" s="468"/>
      <c r="SPG44" s="468"/>
      <c r="SPH44" s="468"/>
      <c r="SPI44" s="468"/>
      <c r="SPJ44" s="468"/>
      <c r="SPK44" s="468"/>
      <c r="SPL44" s="468"/>
      <c r="SPM44" s="468"/>
      <c r="SPN44" s="468"/>
      <c r="SPO44" s="468"/>
      <c r="SPP44" s="468"/>
      <c r="SPQ44" s="468"/>
      <c r="SPR44" s="468"/>
      <c r="SPS44" s="468"/>
      <c r="SPT44" s="468"/>
      <c r="SPU44" s="468"/>
      <c r="SPV44" s="468"/>
      <c r="SPW44" s="468"/>
      <c r="SPX44" s="468"/>
      <c r="SPY44" s="468"/>
      <c r="SPZ44" s="468"/>
      <c r="SQA44" s="468"/>
      <c r="SQB44" s="468"/>
      <c r="SQC44" s="468"/>
      <c r="SQD44" s="468"/>
      <c r="SQE44" s="468"/>
      <c r="SQF44" s="468"/>
      <c r="SQG44" s="468"/>
      <c r="SQH44" s="468"/>
      <c r="SQI44" s="468"/>
      <c r="SQJ44" s="468"/>
      <c r="SQK44" s="468"/>
      <c r="SQL44" s="468"/>
      <c r="SQM44" s="468"/>
      <c r="SQN44" s="468"/>
      <c r="SQO44" s="468"/>
      <c r="SQP44" s="468"/>
      <c r="SQQ44" s="468"/>
      <c r="SQR44" s="468"/>
      <c r="SQS44" s="468"/>
      <c r="SQT44" s="468"/>
      <c r="SQU44" s="468"/>
      <c r="SQV44" s="468"/>
      <c r="SQW44" s="468"/>
      <c r="SQX44" s="468"/>
      <c r="SQY44" s="468"/>
      <c r="SQZ44" s="468"/>
      <c r="SRA44" s="468"/>
      <c r="SRB44" s="468"/>
      <c r="SRC44" s="468"/>
      <c r="SRD44" s="468"/>
      <c r="SRE44" s="468"/>
      <c r="SRF44" s="468"/>
      <c r="SRG44" s="468"/>
      <c r="SRH44" s="468"/>
      <c r="SRI44" s="468"/>
      <c r="SRJ44" s="468"/>
      <c r="SRK44" s="468"/>
      <c r="SRL44" s="468"/>
      <c r="SRM44" s="468"/>
      <c r="SRN44" s="468"/>
      <c r="SRO44" s="468"/>
      <c r="SRP44" s="468"/>
      <c r="SRQ44" s="468"/>
      <c r="SRR44" s="468"/>
      <c r="SRS44" s="468"/>
      <c r="SRT44" s="468"/>
      <c r="SRU44" s="468"/>
      <c r="SRV44" s="468"/>
      <c r="SRW44" s="468"/>
      <c r="SRX44" s="468"/>
      <c r="SRY44" s="468"/>
      <c r="SRZ44" s="468"/>
      <c r="SSA44" s="468"/>
      <c r="SSB44" s="468"/>
      <c r="SSC44" s="468"/>
      <c r="SSD44" s="468"/>
      <c r="SSE44" s="468"/>
      <c r="SSF44" s="468"/>
      <c r="SSG44" s="468"/>
      <c r="SSH44" s="468"/>
      <c r="SSI44" s="468"/>
      <c r="SSJ44" s="468"/>
      <c r="SSK44" s="468"/>
      <c r="SSL44" s="468"/>
      <c r="SSM44" s="468"/>
      <c r="SSN44" s="468"/>
      <c r="SSO44" s="468"/>
      <c r="SSP44" s="468"/>
      <c r="SSQ44" s="468"/>
      <c r="SSR44" s="468"/>
      <c r="SSS44" s="468"/>
      <c r="SST44" s="468"/>
      <c r="SSU44" s="468"/>
      <c r="SSV44" s="468"/>
      <c r="SSW44" s="468"/>
      <c r="SSX44" s="468"/>
      <c r="SSY44" s="468"/>
      <c r="SSZ44" s="468"/>
      <c r="STA44" s="468"/>
      <c r="STB44" s="468"/>
      <c r="STC44" s="468"/>
      <c r="STD44" s="468"/>
      <c r="STE44" s="468"/>
      <c r="STF44" s="468"/>
      <c r="STG44" s="468"/>
      <c r="STH44" s="468"/>
      <c r="STI44" s="468"/>
      <c r="STJ44" s="468"/>
      <c r="STK44" s="468"/>
      <c r="STL44" s="468"/>
      <c r="STM44" s="468"/>
      <c r="STN44" s="468"/>
      <c r="STO44" s="468"/>
      <c r="STP44" s="468"/>
      <c r="STQ44" s="468"/>
      <c r="STR44" s="468"/>
      <c r="STS44" s="468"/>
      <c r="STT44" s="468"/>
      <c r="STU44" s="468"/>
      <c r="STV44" s="468"/>
      <c r="STW44" s="468"/>
      <c r="STX44" s="468"/>
      <c r="STY44" s="468"/>
      <c r="STZ44" s="468"/>
      <c r="SUA44" s="468"/>
      <c r="SUB44" s="468"/>
      <c r="SUC44" s="468"/>
      <c r="SUD44" s="468"/>
      <c r="SUE44" s="468"/>
      <c r="SUF44" s="468"/>
      <c r="SUG44" s="468"/>
      <c r="SUH44" s="468"/>
      <c r="SUI44" s="468"/>
      <c r="SUJ44" s="468"/>
      <c r="SUK44" s="468"/>
      <c r="SUL44" s="468"/>
      <c r="SUM44" s="468"/>
      <c r="SUN44" s="468"/>
      <c r="SUO44" s="468"/>
      <c r="SUP44" s="468"/>
      <c r="SUQ44" s="468"/>
      <c r="SUR44" s="468"/>
      <c r="SUS44" s="468"/>
      <c r="SUT44" s="468"/>
      <c r="SUU44" s="468"/>
      <c r="SUV44" s="468"/>
      <c r="SUW44" s="468"/>
      <c r="SUX44" s="468"/>
      <c r="SUY44" s="468"/>
      <c r="SUZ44" s="468"/>
      <c r="SVA44" s="468"/>
      <c r="SVB44" s="468"/>
      <c r="SVC44" s="468"/>
      <c r="SVD44" s="468"/>
      <c r="SVE44" s="468"/>
      <c r="SVF44" s="468"/>
      <c r="SVG44" s="468"/>
      <c r="SVH44" s="468"/>
      <c r="SVI44" s="468"/>
      <c r="SVJ44" s="468"/>
      <c r="SVK44" s="468"/>
      <c r="SVL44" s="468"/>
      <c r="SVM44" s="468"/>
      <c r="SVN44" s="468"/>
      <c r="SVO44" s="468"/>
      <c r="SVP44" s="468"/>
      <c r="SVQ44" s="468"/>
      <c r="SVR44" s="468"/>
      <c r="SVS44" s="468"/>
      <c r="SVT44" s="468"/>
      <c r="SVU44" s="468"/>
      <c r="SVV44" s="468"/>
      <c r="SVW44" s="468"/>
      <c r="SVX44" s="468"/>
      <c r="SVY44" s="468"/>
      <c r="SVZ44" s="468"/>
      <c r="SWA44" s="468"/>
      <c r="SWB44" s="468"/>
      <c r="SWC44" s="468"/>
      <c r="SWD44" s="468"/>
      <c r="SWE44" s="468"/>
      <c r="SWF44" s="468"/>
      <c r="SWG44" s="468"/>
      <c r="SWH44" s="468"/>
      <c r="SWI44" s="468"/>
      <c r="SWJ44" s="468"/>
      <c r="SWK44" s="468"/>
      <c r="SWL44" s="468"/>
      <c r="SWM44" s="468"/>
      <c r="SWN44" s="468"/>
      <c r="SWO44" s="468"/>
      <c r="SWP44" s="468"/>
      <c r="SWQ44" s="468"/>
      <c r="SWR44" s="468"/>
      <c r="SWS44" s="468"/>
      <c r="SWT44" s="468"/>
      <c r="SWU44" s="468"/>
      <c r="SWV44" s="468"/>
      <c r="SWW44" s="468"/>
      <c r="SWX44" s="468"/>
      <c r="SWY44" s="468"/>
      <c r="SWZ44" s="468"/>
      <c r="SXA44" s="468"/>
      <c r="SXB44" s="468"/>
      <c r="SXC44" s="468"/>
      <c r="SXD44" s="468"/>
      <c r="SXE44" s="468"/>
      <c r="SXF44" s="468"/>
      <c r="SXG44" s="468"/>
      <c r="SXH44" s="468"/>
      <c r="SXI44" s="468"/>
      <c r="SXJ44" s="468"/>
      <c r="SXK44" s="468"/>
      <c r="SXL44" s="468"/>
      <c r="SXM44" s="468"/>
      <c r="SXN44" s="468"/>
      <c r="SXO44" s="468"/>
      <c r="SXP44" s="468"/>
      <c r="SXQ44" s="468"/>
      <c r="SXR44" s="468"/>
      <c r="SXS44" s="468"/>
      <c r="SXT44" s="468"/>
      <c r="SXU44" s="468"/>
      <c r="SXV44" s="468"/>
      <c r="SXW44" s="468"/>
      <c r="SXX44" s="468"/>
      <c r="SXY44" s="468"/>
      <c r="SXZ44" s="468"/>
      <c r="SYA44" s="468"/>
      <c r="SYB44" s="468"/>
      <c r="SYC44" s="468"/>
      <c r="SYD44" s="468"/>
      <c r="SYE44" s="468"/>
      <c r="SYF44" s="468"/>
      <c r="SYG44" s="468"/>
      <c r="SYH44" s="468"/>
      <c r="SYI44" s="468"/>
      <c r="SYJ44" s="468"/>
      <c r="SYK44" s="468"/>
      <c r="SYL44" s="468"/>
      <c r="SYM44" s="468"/>
      <c r="SYN44" s="468"/>
      <c r="SYO44" s="468"/>
      <c r="SYP44" s="468"/>
      <c r="SYQ44" s="468"/>
      <c r="SYR44" s="468"/>
      <c r="SYS44" s="468"/>
      <c r="SYT44" s="468"/>
      <c r="SYU44" s="468"/>
      <c r="SYV44" s="468"/>
      <c r="SYW44" s="468"/>
      <c r="SYX44" s="468"/>
      <c r="SYY44" s="468"/>
      <c r="SYZ44" s="468"/>
      <c r="SZA44" s="468"/>
      <c r="SZB44" s="468"/>
      <c r="SZC44" s="468"/>
      <c r="SZD44" s="468"/>
      <c r="SZE44" s="468"/>
      <c r="SZF44" s="468"/>
      <c r="SZG44" s="468"/>
      <c r="SZH44" s="468"/>
      <c r="SZI44" s="468"/>
      <c r="SZJ44" s="468"/>
      <c r="SZK44" s="468"/>
      <c r="SZL44" s="468"/>
      <c r="SZM44" s="468"/>
      <c r="SZN44" s="468"/>
      <c r="SZO44" s="468"/>
      <c r="SZP44" s="468"/>
      <c r="SZQ44" s="468"/>
      <c r="SZR44" s="468"/>
      <c r="SZS44" s="468"/>
      <c r="SZT44" s="468"/>
      <c r="SZU44" s="468"/>
      <c r="SZV44" s="468"/>
      <c r="SZW44" s="468"/>
      <c r="SZX44" s="468"/>
      <c r="SZY44" s="468"/>
      <c r="SZZ44" s="468"/>
      <c r="TAA44" s="468"/>
      <c r="TAB44" s="468"/>
      <c r="TAC44" s="468"/>
      <c r="TAD44" s="468"/>
      <c r="TAE44" s="468"/>
      <c r="TAF44" s="468"/>
      <c r="TAG44" s="468"/>
      <c r="TAH44" s="468"/>
      <c r="TAI44" s="468"/>
      <c r="TAJ44" s="468"/>
      <c r="TAK44" s="468"/>
      <c r="TAL44" s="468"/>
      <c r="TAM44" s="468"/>
      <c r="TAN44" s="468"/>
      <c r="TAO44" s="468"/>
      <c r="TAP44" s="468"/>
      <c r="TAQ44" s="468"/>
      <c r="TAR44" s="468"/>
      <c r="TAS44" s="468"/>
      <c r="TAT44" s="468"/>
      <c r="TAU44" s="468"/>
      <c r="TAV44" s="468"/>
      <c r="TAW44" s="468"/>
      <c r="TAX44" s="468"/>
      <c r="TAY44" s="468"/>
      <c r="TAZ44" s="468"/>
      <c r="TBA44" s="468"/>
      <c r="TBB44" s="468"/>
      <c r="TBC44" s="468"/>
      <c r="TBD44" s="468"/>
      <c r="TBE44" s="468"/>
      <c r="TBF44" s="468"/>
      <c r="TBG44" s="468"/>
      <c r="TBH44" s="468"/>
      <c r="TBI44" s="468"/>
      <c r="TBJ44" s="468"/>
      <c r="TBK44" s="468"/>
      <c r="TBL44" s="468"/>
      <c r="TBM44" s="468"/>
      <c r="TBN44" s="468"/>
      <c r="TBO44" s="468"/>
      <c r="TBP44" s="468"/>
      <c r="TBQ44" s="468"/>
      <c r="TBR44" s="468"/>
      <c r="TBS44" s="468"/>
      <c r="TBT44" s="468"/>
      <c r="TBU44" s="468"/>
      <c r="TBV44" s="468"/>
      <c r="TBW44" s="468"/>
      <c r="TBX44" s="468"/>
      <c r="TBY44" s="468"/>
      <c r="TBZ44" s="468"/>
      <c r="TCA44" s="468"/>
      <c r="TCB44" s="468"/>
      <c r="TCC44" s="468"/>
      <c r="TCD44" s="468"/>
      <c r="TCE44" s="468"/>
      <c r="TCF44" s="468"/>
      <c r="TCG44" s="468"/>
      <c r="TCH44" s="468"/>
      <c r="TCI44" s="468"/>
      <c r="TCJ44" s="468"/>
      <c r="TCK44" s="468"/>
      <c r="TCL44" s="468"/>
      <c r="TCM44" s="468"/>
      <c r="TCN44" s="468"/>
      <c r="TCO44" s="468"/>
      <c r="TCP44" s="468"/>
      <c r="TCQ44" s="468"/>
      <c r="TCR44" s="468"/>
      <c r="TCS44" s="468"/>
      <c r="TCT44" s="468"/>
      <c r="TCU44" s="468"/>
      <c r="TCV44" s="468"/>
      <c r="TCW44" s="468"/>
      <c r="TCX44" s="468"/>
      <c r="TCY44" s="468"/>
      <c r="TCZ44" s="468"/>
      <c r="TDA44" s="468"/>
      <c r="TDB44" s="468"/>
      <c r="TDC44" s="468"/>
      <c r="TDD44" s="468"/>
      <c r="TDE44" s="468"/>
      <c r="TDF44" s="468"/>
      <c r="TDG44" s="468"/>
      <c r="TDH44" s="468"/>
      <c r="TDI44" s="468"/>
      <c r="TDJ44" s="468"/>
      <c r="TDK44" s="468"/>
      <c r="TDL44" s="468"/>
      <c r="TDM44" s="468"/>
      <c r="TDN44" s="468"/>
      <c r="TDO44" s="468"/>
      <c r="TDP44" s="468"/>
      <c r="TDQ44" s="468"/>
      <c r="TDR44" s="468"/>
      <c r="TDS44" s="468"/>
      <c r="TDT44" s="468"/>
      <c r="TDU44" s="468"/>
      <c r="TDV44" s="468"/>
      <c r="TDW44" s="468"/>
      <c r="TDX44" s="468"/>
      <c r="TDY44" s="468"/>
      <c r="TDZ44" s="468"/>
      <c r="TEA44" s="468"/>
      <c r="TEB44" s="468"/>
      <c r="TEC44" s="468"/>
      <c r="TED44" s="468"/>
      <c r="TEE44" s="468"/>
      <c r="TEF44" s="468"/>
      <c r="TEG44" s="468"/>
      <c r="TEH44" s="468"/>
      <c r="TEI44" s="468"/>
      <c r="TEJ44" s="468"/>
      <c r="TEK44" s="468"/>
      <c r="TEL44" s="468"/>
      <c r="TEM44" s="468"/>
      <c r="TEN44" s="468"/>
      <c r="TEO44" s="468"/>
      <c r="TEP44" s="468"/>
      <c r="TEQ44" s="468"/>
      <c r="TER44" s="468"/>
      <c r="TES44" s="468"/>
      <c r="TET44" s="468"/>
      <c r="TEU44" s="468"/>
      <c r="TEV44" s="468"/>
      <c r="TEW44" s="468"/>
      <c r="TEX44" s="468"/>
      <c r="TEY44" s="468"/>
      <c r="TEZ44" s="468"/>
      <c r="TFA44" s="468"/>
      <c r="TFB44" s="468"/>
      <c r="TFC44" s="468"/>
      <c r="TFD44" s="468"/>
      <c r="TFE44" s="468"/>
      <c r="TFF44" s="468"/>
      <c r="TFG44" s="468"/>
      <c r="TFH44" s="468"/>
      <c r="TFI44" s="468"/>
      <c r="TFJ44" s="468"/>
      <c r="TFK44" s="468"/>
      <c r="TFL44" s="468"/>
      <c r="TFM44" s="468"/>
      <c r="TFN44" s="468"/>
      <c r="TFO44" s="468"/>
      <c r="TFP44" s="468"/>
      <c r="TFQ44" s="468"/>
      <c r="TFR44" s="468"/>
      <c r="TFS44" s="468"/>
      <c r="TFT44" s="468"/>
      <c r="TFU44" s="468"/>
      <c r="TFV44" s="468"/>
      <c r="TFW44" s="468"/>
      <c r="TFX44" s="468"/>
      <c r="TFY44" s="468"/>
      <c r="TFZ44" s="468"/>
      <c r="TGA44" s="468"/>
      <c r="TGB44" s="468"/>
      <c r="TGC44" s="468"/>
      <c r="TGD44" s="468"/>
      <c r="TGE44" s="468"/>
      <c r="TGF44" s="468"/>
      <c r="TGG44" s="468"/>
      <c r="TGH44" s="468"/>
      <c r="TGI44" s="468"/>
      <c r="TGJ44" s="468"/>
      <c r="TGK44" s="468"/>
      <c r="TGL44" s="468"/>
      <c r="TGM44" s="468"/>
      <c r="TGN44" s="468"/>
      <c r="TGO44" s="468"/>
      <c r="TGP44" s="468"/>
      <c r="TGQ44" s="468"/>
      <c r="TGR44" s="468"/>
      <c r="TGS44" s="468"/>
      <c r="TGT44" s="468"/>
      <c r="TGU44" s="468"/>
      <c r="TGV44" s="468"/>
      <c r="TGW44" s="468"/>
      <c r="TGX44" s="468"/>
      <c r="TGY44" s="468"/>
      <c r="TGZ44" s="468"/>
      <c r="THA44" s="468"/>
      <c r="THB44" s="468"/>
      <c r="THC44" s="468"/>
      <c r="THD44" s="468"/>
      <c r="THE44" s="468"/>
      <c r="THF44" s="468"/>
      <c r="THG44" s="468"/>
      <c r="THH44" s="468"/>
      <c r="THI44" s="468"/>
      <c r="THJ44" s="468"/>
      <c r="THK44" s="468"/>
      <c r="THL44" s="468"/>
      <c r="THM44" s="468"/>
      <c r="THN44" s="468"/>
      <c r="THO44" s="468"/>
      <c r="THP44" s="468"/>
      <c r="THQ44" s="468"/>
      <c r="THR44" s="468"/>
      <c r="THS44" s="468"/>
      <c r="THT44" s="468"/>
      <c r="THU44" s="468"/>
      <c r="THV44" s="468"/>
      <c r="THW44" s="468"/>
      <c r="THX44" s="468"/>
      <c r="THY44" s="468"/>
      <c r="THZ44" s="468"/>
      <c r="TIA44" s="468"/>
      <c r="TIB44" s="468"/>
      <c r="TIC44" s="468"/>
      <c r="TID44" s="468"/>
      <c r="TIE44" s="468"/>
      <c r="TIF44" s="468"/>
      <c r="TIG44" s="468"/>
      <c r="TIH44" s="468"/>
      <c r="TII44" s="468"/>
      <c r="TIJ44" s="468"/>
      <c r="TIK44" s="468"/>
      <c r="TIL44" s="468"/>
      <c r="TIM44" s="468"/>
      <c r="TIN44" s="468"/>
      <c r="TIO44" s="468"/>
      <c r="TIP44" s="468"/>
      <c r="TIQ44" s="468"/>
      <c r="TIR44" s="468"/>
      <c r="TIS44" s="468"/>
      <c r="TIT44" s="468"/>
      <c r="TIU44" s="468"/>
      <c r="TIV44" s="468"/>
      <c r="TIW44" s="468"/>
      <c r="TIX44" s="468"/>
      <c r="TIY44" s="468"/>
      <c r="TIZ44" s="468"/>
      <c r="TJA44" s="468"/>
      <c r="TJB44" s="468"/>
      <c r="TJC44" s="468"/>
      <c r="TJD44" s="468"/>
      <c r="TJE44" s="468"/>
      <c r="TJF44" s="468"/>
      <c r="TJG44" s="468"/>
      <c r="TJH44" s="468"/>
      <c r="TJI44" s="468"/>
      <c r="TJJ44" s="468"/>
      <c r="TJK44" s="468"/>
      <c r="TJL44" s="468"/>
      <c r="TJM44" s="468"/>
      <c r="TJN44" s="468"/>
      <c r="TJO44" s="468"/>
      <c r="TJP44" s="468"/>
      <c r="TJQ44" s="468"/>
      <c r="TJR44" s="468"/>
      <c r="TJS44" s="468"/>
      <c r="TJT44" s="468"/>
      <c r="TJU44" s="468"/>
      <c r="TJV44" s="468"/>
      <c r="TJW44" s="468"/>
      <c r="TJX44" s="468"/>
      <c r="TJY44" s="468"/>
      <c r="TJZ44" s="468"/>
      <c r="TKA44" s="468"/>
      <c r="TKB44" s="468"/>
      <c r="TKC44" s="468"/>
      <c r="TKD44" s="468"/>
      <c r="TKE44" s="468"/>
      <c r="TKF44" s="468"/>
      <c r="TKG44" s="468"/>
      <c r="TKH44" s="468"/>
      <c r="TKI44" s="468"/>
      <c r="TKJ44" s="468"/>
      <c r="TKK44" s="468"/>
      <c r="TKL44" s="468"/>
      <c r="TKM44" s="468"/>
      <c r="TKN44" s="468"/>
      <c r="TKO44" s="468"/>
      <c r="TKP44" s="468"/>
      <c r="TKQ44" s="468"/>
      <c r="TKR44" s="468"/>
      <c r="TKS44" s="468"/>
      <c r="TKT44" s="468"/>
      <c r="TKU44" s="468"/>
      <c r="TKV44" s="468"/>
      <c r="TKW44" s="468"/>
      <c r="TKX44" s="468"/>
      <c r="TKY44" s="468"/>
      <c r="TKZ44" s="468"/>
      <c r="TLA44" s="468"/>
      <c r="TLB44" s="468"/>
      <c r="TLC44" s="468"/>
      <c r="TLD44" s="468"/>
      <c r="TLE44" s="468"/>
      <c r="TLF44" s="468"/>
      <c r="TLG44" s="468"/>
      <c r="TLH44" s="468"/>
      <c r="TLI44" s="468"/>
      <c r="TLJ44" s="468"/>
      <c r="TLK44" s="468"/>
      <c r="TLL44" s="468"/>
      <c r="TLM44" s="468"/>
      <c r="TLN44" s="468"/>
      <c r="TLO44" s="468"/>
      <c r="TLP44" s="468"/>
      <c r="TLQ44" s="468"/>
      <c r="TLR44" s="468"/>
      <c r="TLS44" s="468"/>
      <c r="TLT44" s="468"/>
      <c r="TLU44" s="468"/>
      <c r="TLV44" s="468"/>
      <c r="TLW44" s="468"/>
      <c r="TLX44" s="468"/>
      <c r="TLY44" s="468"/>
      <c r="TLZ44" s="468"/>
      <c r="TMA44" s="468"/>
      <c r="TMB44" s="468"/>
      <c r="TMC44" s="468"/>
      <c r="TMD44" s="468"/>
      <c r="TME44" s="468"/>
      <c r="TMF44" s="468"/>
      <c r="TMG44" s="468"/>
      <c r="TMH44" s="468"/>
      <c r="TMI44" s="468"/>
      <c r="TMJ44" s="468"/>
      <c r="TMK44" s="468"/>
      <c r="TML44" s="468"/>
      <c r="TMM44" s="468"/>
      <c r="TMN44" s="468"/>
      <c r="TMO44" s="468"/>
      <c r="TMP44" s="468"/>
      <c r="TMQ44" s="468"/>
      <c r="TMR44" s="468"/>
      <c r="TMS44" s="468"/>
      <c r="TMT44" s="468"/>
      <c r="TMU44" s="468"/>
      <c r="TMV44" s="468"/>
      <c r="TMW44" s="468"/>
      <c r="TMX44" s="468"/>
      <c r="TMY44" s="468"/>
      <c r="TMZ44" s="468"/>
      <c r="TNA44" s="468"/>
      <c r="TNB44" s="468"/>
      <c r="TNC44" s="468"/>
      <c r="TND44" s="468"/>
      <c r="TNE44" s="468"/>
      <c r="TNF44" s="468"/>
      <c r="TNG44" s="468"/>
      <c r="TNH44" s="468"/>
      <c r="TNI44" s="468"/>
      <c r="TNJ44" s="468"/>
      <c r="TNK44" s="468"/>
      <c r="TNL44" s="468"/>
      <c r="TNM44" s="468"/>
      <c r="TNN44" s="468"/>
      <c r="TNO44" s="468"/>
      <c r="TNP44" s="468"/>
      <c r="TNQ44" s="468"/>
      <c r="TNR44" s="468"/>
      <c r="TNS44" s="468"/>
      <c r="TNT44" s="468"/>
      <c r="TNU44" s="468"/>
      <c r="TNV44" s="468"/>
      <c r="TNW44" s="468"/>
      <c r="TNX44" s="468"/>
      <c r="TNY44" s="468"/>
      <c r="TNZ44" s="468"/>
      <c r="TOA44" s="468"/>
      <c r="TOB44" s="468"/>
      <c r="TOC44" s="468"/>
      <c r="TOD44" s="468"/>
      <c r="TOE44" s="468"/>
      <c r="TOF44" s="468"/>
      <c r="TOG44" s="468"/>
      <c r="TOH44" s="468"/>
      <c r="TOI44" s="468"/>
      <c r="TOJ44" s="468"/>
      <c r="TOK44" s="468"/>
      <c r="TOL44" s="468"/>
      <c r="TOM44" s="468"/>
      <c r="TON44" s="468"/>
      <c r="TOO44" s="468"/>
      <c r="TOP44" s="468"/>
      <c r="TOQ44" s="468"/>
      <c r="TOR44" s="468"/>
      <c r="TOS44" s="468"/>
      <c r="TOT44" s="468"/>
      <c r="TOU44" s="468"/>
      <c r="TOV44" s="468"/>
      <c r="TOW44" s="468"/>
      <c r="TOX44" s="468"/>
      <c r="TOY44" s="468"/>
      <c r="TOZ44" s="468"/>
      <c r="TPA44" s="468"/>
      <c r="TPB44" s="468"/>
      <c r="TPC44" s="468"/>
      <c r="TPD44" s="468"/>
      <c r="TPE44" s="468"/>
      <c r="TPF44" s="468"/>
      <c r="TPG44" s="468"/>
      <c r="TPH44" s="468"/>
      <c r="TPI44" s="468"/>
      <c r="TPJ44" s="468"/>
      <c r="TPK44" s="468"/>
      <c r="TPL44" s="468"/>
      <c r="TPM44" s="468"/>
      <c r="TPN44" s="468"/>
      <c r="TPO44" s="468"/>
      <c r="TPP44" s="468"/>
      <c r="TPQ44" s="468"/>
      <c r="TPR44" s="468"/>
      <c r="TPS44" s="468"/>
      <c r="TPT44" s="468"/>
      <c r="TPU44" s="468"/>
      <c r="TPV44" s="468"/>
      <c r="TPW44" s="468"/>
      <c r="TPX44" s="468"/>
      <c r="TPY44" s="468"/>
      <c r="TPZ44" s="468"/>
      <c r="TQA44" s="468"/>
      <c r="TQB44" s="468"/>
      <c r="TQC44" s="468"/>
      <c r="TQD44" s="468"/>
      <c r="TQE44" s="468"/>
      <c r="TQF44" s="468"/>
      <c r="TQG44" s="468"/>
      <c r="TQH44" s="468"/>
      <c r="TQI44" s="468"/>
      <c r="TQJ44" s="468"/>
      <c r="TQK44" s="468"/>
      <c r="TQL44" s="468"/>
      <c r="TQM44" s="468"/>
      <c r="TQN44" s="468"/>
      <c r="TQO44" s="468"/>
      <c r="TQP44" s="468"/>
      <c r="TQQ44" s="468"/>
      <c r="TQR44" s="468"/>
      <c r="TQS44" s="468"/>
      <c r="TQT44" s="468"/>
      <c r="TQU44" s="468"/>
      <c r="TQV44" s="468"/>
      <c r="TQW44" s="468"/>
      <c r="TQX44" s="468"/>
      <c r="TQY44" s="468"/>
      <c r="TQZ44" s="468"/>
      <c r="TRA44" s="468"/>
      <c r="TRB44" s="468"/>
      <c r="TRC44" s="468"/>
      <c r="TRD44" s="468"/>
      <c r="TRE44" s="468"/>
      <c r="TRF44" s="468"/>
      <c r="TRG44" s="468"/>
      <c r="TRH44" s="468"/>
      <c r="TRI44" s="468"/>
      <c r="TRJ44" s="468"/>
      <c r="TRK44" s="468"/>
      <c r="TRL44" s="468"/>
      <c r="TRM44" s="468"/>
      <c r="TRN44" s="468"/>
      <c r="TRO44" s="468"/>
      <c r="TRP44" s="468"/>
      <c r="TRQ44" s="468"/>
      <c r="TRR44" s="468"/>
      <c r="TRS44" s="468"/>
      <c r="TRT44" s="468"/>
      <c r="TRU44" s="468"/>
      <c r="TRV44" s="468"/>
      <c r="TRW44" s="468"/>
      <c r="TRX44" s="468"/>
      <c r="TRY44" s="468"/>
      <c r="TRZ44" s="468"/>
      <c r="TSA44" s="468"/>
      <c r="TSB44" s="468"/>
      <c r="TSC44" s="468"/>
      <c r="TSD44" s="468"/>
      <c r="TSE44" s="468"/>
      <c r="TSF44" s="468"/>
      <c r="TSG44" s="468"/>
      <c r="TSH44" s="468"/>
      <c r="TSI44" s="468"/>
      <c r="TSJ44" s="468"/>
      <c r="TSK44" s="468"/>
      <c r="TSL44" s="468"/>
      <c r="TSM44" s="468"/>
      <c r="TSN44" s="468"/>
      <c r="TSO44" s="468"/>
      <c r="TSP44" s="468"/>
      <c r="TSQ44" s="468"/>
      <c r="TSR44" s="468"/>
      <c r="TSS44" s="468"/>
      <c r="TST44" s="468"/>
      <c r="TSU44" s="468"/>
      <c r="TSV44" s="468"/>
      <c r="TSW44" s="468"/>
      <c r="TSX44" s="468"/>
      <c r="TSY44" s="468"/>
      <c r="TSZ44" s="468"/>
      <c r="TTA44" s="468"/>
      <c r="TTB44" s="468"/>
      <c r="TTC44" s="468"/>
      <c r="TTD44" s="468"/>
      <c r="TTE44" s="468"/>
      <c r="TTF44" s="468"/>
      <c r="TTG44" s="468"/>
      <c r="TTH44" s="468"/>
      <c r="TTI44" s="468"/>
      <c r="TTJ44" s="468"/>
      <c r="TTK44" s="468"/>
      <c r="TTL44" s="468"/>
      <c r="TTM44" s="468"/>
      <c r="TTN44" s="468"/>
      <c r="TTO44" s="468"/>
      <c r="TTP44" s="468"/>
      <c r="TTQ44" s="468"/>
      <c r="TTR44" s="468"/>
      <c r="TTS44" s="468"/>
      <c r="TTT44" s="468"/>
      <c r="TTU44" s="468"/>
      <c r="TTV44" s="468"/>
      <c r="TTW44" s="468"/>
      <c r="TTX44" s="468"/>
      <c r="TTY44" s="468"/>
      <c r="TTZ44" s="468"/>
      <c r="TUA44" s="468"/>
      <c r="TUB44" s="468"/>
      <c r="TUC44" s="468"/>
      <c r="TUD44" s="468"/>
      <c r="TUE44" s="468"/>
      <c r="TUF44" s="468"/>
      <c r="TUG44" s="468"/>
      <c r="TUH44" s="468"/>
      <c r="TUI44" s="468"/>
      <c r="TUJ44" s="468"/>
      <c r="TUK44" s="468"/>
      <c r="TUL44" s="468"/>
      <c r="TUM44" s="468"/>
      <c r="TUN44" s="468"/>
      <c r="TUO44" s="468"/>
      <c r="TUP44" s="468"/>
      <c r="TUQ44" s="468"/>
      <c r="TUR44" s="468"/>
      <c r="TUS44" s="468"/>
      <c r="TUT44" s="468"/>
      <c r="TUU44" s="468"/>
      <c r="TUV44" s="468"/>
      <c r="TUW44" s="468"/>
      <c r="TUX44" s="468"/>
      <c r="TUY44" s="468"/>
      <c r="TUZ44" s="468"/>
      <c r="TVA44" s="468"/>
      <c r="TVB44" s="468"/>
      <c r="TVC44" s="468"/>
      <c r="TVD44" s="468"/>
      <c r="TVE44" s="468"/>
      <c r="TVF44" s="468"/>
      <c r="TVG44" s="468"/>
      <c r="TVH44" s="468"/>
      <c r="TVI44" s="468"/>
      <c r="TVJ44" s="468"/>
      <c r="TVK44" s="468"/>
      <c r="TVL44" s="468"/>
      <c r="TVM44" s="468"/>
      <c r="TVN44" s="468"/>
      <c r="TVO44" s="468"/>
      <c r="TVP44" s="468"/>
      <c r="TVQ44" s="468"/>
      <c r="TVR44" s="468"/>
      <c r="TVS44" s="468"/>
      <c r="TVT44" s="468"/>
      <c r="TVU44" s="468"/>
      <c r="TVV44" s="468"/>
      <c r="TVW44" s="468"/>
      <c r="TVX44" s="468"/>
      <c r="TVY44" s="468"/>
      <c r="TVZ44" s="468"/>
      <c r="TWA44" s="468"/>
      <c r="TWB44" s="468"/>
      <c r="TWC44" s="468"/>
      <c r="TWD44" s="468"/>
      <c r="TWE44" s="468"/>
      <c r="TWF44" s="468"/>
      <c r="TWG44" s="468"/>
      <c r="TWH44" s="468"/>
      <c r="TWI44" s="468"/>
      <c r="TWJ44" s="468"/>
      <c r="TWK44" s="468"/>
      <c r="TWL44" s="468"/>
      <c r="TWM44" s="468"/>
      <c r="TWN44" s="468"/>
      <c r="TWO44" s="468"/>
      <c r="TWP44" s="468"/>
      <c r="TWQ44" s="468"/>
      <c r="TWR44" s="468"/>
      <c r="TWS44" s="468"/>
      <c r="TWT44" s="468"/>
      <c r="TWU44" s="468"/>
      <c r="TWV44" s="468"/>
      <c r="TWW44" s="468"/>
      <c r="TWX44" s="468"/>
      <c r="TWY44" s="468"/>
      <c r="TWZ44" s="468"/>
      <c r="TXA44" s="468"/>
      <c r="TXB44" s="468"/>
      <c r="TXC44" s="468"/>
      <c r="TXD44" s="468"/>
      <c r="TXE44" s="468"/>
      <c r="TXF44" s="468"/>
      <c r="TXG44" s="468"/>
      <c r="TXH44" s="468"/>
      <c r="TXI44" s="468"/>
      <c r="TXJ44" s="468"/>
      <c r="TXK44" s="468"/>
      <c r="TXL44" s="468"/>
      <c r="TXM44" s="468"/>
      <c r="TXN44" s="468"/>
      <c r="TXO44" s="468"/>
      <c r="TXP44" s="468"/>
      <c r="TXQ44" s="468"/>
      <c r="TXR44" s="468"/>
      <c r="TXS44" s="468"/>
      <c r="TXT44" s="468"/>
      <c r="TXU44" s="468"/>
      <c r="TXV44" s="468"/>
      <c r="TXW44" s="468"/>
      <c r="TXX44" s="468"/>
      <c r="TXY44" s="468"/>
      <c r="TXZ44" s="468"/>
      <c r="TYA44" s="468"/>
      <c r="TYB44" s="468"/>
      <c r="TYC44" s="468"/>
      <c r="TYD44" s="468"/>
      <c r="TYE44" s="468"/>
      <c r="TYF44" s="468"/>
      <c r="TYG44" s="468"/>
      <c r="TYH44" s="468"/>
      <c r="TYI44" s="468"/>
      <c r="TYJ44" s="468"/>
      <c r="TYK44" s="468"/>
      <c r="TYL44" s="468"/>
      <c r="TYM44" s="468"/>
      <c r="TYN44" s="468"/>
      <c r="TYO44" s="468"/>
      <c r="TYP44" s="468"/>
      <c r="TYQ44" s="468"/>
      <c r="TYR44" s="468"/>
      <c r="TYS44" s="468"/>
      <c r="TYT44" s="468"/>
      <c r="TYU44" s="468"/>
      <c r="TYV44" s="468"/>
      <c r="TYW44" s="468"/>
      <c r="TYX44" s="468"/>
      <c r="TYY44" s="468"/>
      <c r="TYZ44" s="468"/>
      <c r="TZA44" s="468"/>
      <c r="TZB44" s="468"/>
      <c r="TZC44" s="468"/>
      <c r="TZD44" s="468"/>
      <c r="TZE44" s="468"/>
      <c r="TZF44" s="468"/>
      <c r="TZG44" s="468"/>
      <c r="TZH44" s="468"/>
      <c r="TZI44" s="468"/>
      <c r="TZJ44" s="468"/>
      <c r="TZK44" s="468"/>
      <c r="TZL44" s="468"/>
      <c r="TZM44" s="468"/>
      <c r="TZN44" s="468"/>
      <c r="TZO44" s="468"/>
      <c r="TZP44" s="468"/>
      <c r="TZQ44" s="468"/>
      <c r="TZR44" s="468"/>
      <c r="TZS44" s="468"/>
      <c r="TZT44" s="468"/>
      <c r="TZU44" s="468"/>
      <c r="TZV44" s="468"/>
      <c r="TZW44" s="468"/>
      <c r="TZX44" s="468"/>
      <c r="TZY44" s="468"/>
      <c r="TZZ44" s="468"/>
      <c r="UAA44" s="468"/>
      <c r="UAB44" s="468"/>
      <c r="UAC44" s="468"/>
      <c r="UAD44" s="468"/>
      <c r="UAE44" s="468"/>
      <c r="UAF44" s="468"/>
      <c r="UAG44" s="468"/>
      <c r="UAH44" s="468"/>
      <c r="UAI44" s="468"/>
      <c r="UAJ44" s="468"/>
      <c r="UAK44" s="468"/>
      <c r="UAL44" s="468"/>
      <c r="UAM44" s="468"/>
      <c r="UAN44" s="468"/>
      <c r="UAO44" s="468"/>
      <c r="UAP44" s="468"/>
      <c r="UAQ44" s="468"/>
      <c r="UAR44" s="468"/>
      <c r="UAS44" s="468"/>
      <c r="UAT44" s="468"/>
      <c r="UAU44" s="468"/>
      <c r="UAV44" s="468"/>
      <c r="UAW44" s="468"/>
      <c r="UAX44" s="468"/>
      <c r="UAY44" s="468"/>
      <c r="UAZ44" s="468"/>
      <c r="UBA44" s="468"/>
      <c r="UBB44" s="468"/>
      <c r="UBC44" s="468"/>
      <c r="UBD44" s="468"/>
      <c r="UBE44" s="468"/>
      <c r="UBF44" s="468"/>
      <c r="UBG44" s="468"/>
      <c r="UBH44" s="468"/>
      <c r="UBI44" s="468"/>
      <c r="UBJ44" s="468"/>
      <c r="UBK44" s="468"/>
      <c r="UBL44" s="468"/>
      <c r="UBM44" s="468"/>
      <c r="UBN44" s="468"/>
      <c r="UBO44" s="468"/>
      <c r="UBP44" s="468"/>
      <c r="UBQ44" s="468"/>
      <c r="UBR44" s="468"/>
      <c r="UBS44" s="468"/>
      <c r="UBT44" s="468"/>
      <c r="UBU44" s="468"/>
      <c r="UBV44" s="468"/>
      <c r="UBW44" s="468"/>
      <c r="UBX44" s="468"/>
      <c r="UBY44" s="468"/>
      <c r="UBZ44" s="468"/>
      <c r="UCA44" s="468"/>
      <c r="UCB44" s="468"/>
      <c r="UCC44" s="468"/>
      <c r="UCD44" s="468"/>
      <c r="UCE44" s="468"/>
      <c r="UCF44" s="468"/>
      <c r="UCG44" s="468"/>
      <c r="UCH44" s="468"/>
      <c r="UCI44" s="468"/>
      <c r="UCJ44" s="468"/>
      <c r="UCK44" s="468"/>
      <c r="UCL44" s="468"/>
      <c r="UCM44" s="468"/>
      <c r="UCN44" s="468"/>
      <c r="UCO44" s="468"/>
      <c r="UCP44" s="468"/>
      <c r="UCQ44" s="468"/>
      <c r="UCR44" s="468"/>
      <c r="UCS44" s="468"/>
      <c r="UCT44" s="468"/>
      <c r="UCU44" s="468"/>
      <c r="UCV44" s="468"/>
      <c r="UCW44" s="468"/>
      <c r="UCX44" s="468"/>
      <c r="UCY44" s="468"/>
      <c r="UCZ44" s="468"/>
      <c r="UDA44" s="468"/>
      <c r="UDB44" s="468"/>
      <c r="UDC44" s="468"/>
      <c r="UDD44" s="468"/>
      <c r="UDE44" s="468"/>
      <c r="UDF44" s="468"/>
      <c r="UDG44" s="468"/>
      <c r="UDH44" s="468"/>
      <c r="UDI44" s="468"/>
      <c r="UDJ44" s="468"/>
      <c r="UDK44" s="468"/>
      <c r="UDL44" s="468"/>
      <c r="UDM44" s="468"/>
      <c r="UDN44" s="468"/>
      <c r="UDO44" s="468"/>
      <c r="UDP44" s="468"/>
      <c r="UDQ44" s="468"/>
      <c r="UDR44" s="468"/>
      <c r="UDS44" s="468"/>
      <c r="UDT44" s="468"/>
      <c r="UDU44" s="468"/>
      <c r="UDV44" s="468"/>
      <c r="UDW44" s="468"/>
      <c r="UDX44" s="468"/>
      <c r="UDY44" s="468"/>
      <c r="UDZ44" s="468"/>
      <c r="UEA44" s="468"/>
      <c r="UEB44" s="468"/>
      <c r="UEC44" s="468"/>
      <c r="UED44" s="468"/>
      <c r="UEE44" s="468"/>
      <c r="UEF44" s="468"/>
      <c r="UEG44" s="468"/>
      <c r="UEH44" s="468"/>
      <c r="UEI44" s="468"/>
      <c r="UEJ44" s="468"/>
      <c r="UEK44" s="468"/>
      <c r="UEL44" s="468"/>
      <c r="UEM44" s="468"/>
      <c r="UEN44" s="468"/>
      <c r="UEO44" s="468"/>
      <c r="UEP44" s="468"/>
      <c r="UEQ44" s="468"/>
      <c r="UER44" s="468"/>
      <c r="UES44" s="468"/>
      <c r="UET44" s="468"/>
      <c r="UEU44" s="468"/>
      <c r="UEV44" s="468"/>
      <c r="UEW44" s="468"/>
      <c r="UEX44" s="468"/>
      <c r="UEY44" s="468"/>
      <c r="UEZ44" s="468"/>
      <c r="UFA44" s="468"/>
      <c r="UFB44" s="468"/>
      <c r="UFC44" s="468"/>
      <c r="UFD44" s="468"/>
      <c r="UFE44" s="468"/>
      <c r="UFF44" s="468"/>
      <c r="UFG44" s="468"/>
      <c r="UFH44" s="468"/>
      <c r="UFI44" s="468"/>
      <c r="UFJ44" s="468"/>
      <c r="UFK44" s="468"/>
      <c r="UFL44" s="468"/>
      <c r="UFM44" s="468"/>
      <c r="UFN44" s="468"/>
      <c r="UFO44" s="468"/>
      <c r="UFP44" s="468"/>
      <c r="UFQ44" s="468"/>
      <c r="UFR44" s="468"/>
      <c r="UFS44" s="468"/>
      <c r="UFT44" s="468"/>
      <c r="UFU44" s="468"/>
      <c r="UFV44" s="468"/>
      <c r="UFW44" s="468"/>
      <c r="UFX44" s="468"/>
      <c r="UFY44" s="468"/>
      <c r="UFZ44" s="468"/>
      <c r="UGA44" s="468"/>
      <c r="UGB44" s="468"/>
      <c r="UGC44" s="468"/>
      <c r="UGD44" s="468"/>
      <c r="UGE44" s="468"/>
      <c r="UGF44" s="468"/>
      <c r="UGG44" s="468"/>
      <c r="UGH44" s="468"/>
      <c r="UGI44" s="468"/>
      <c r="UGJ44" s="468"/>
      <c r="UGK44" s="468"/>
      <c r="UGL44" s="468"/>
      <c r="UGM44" s="468"/>
      <c r="UGN44" s="468"/>
      <c r="UGO44" s="468"/>
      <c r="UGP44" s="468"/>
      <c r="UGQ44" s="468"/>
      <c r="UGR44" s="468"/>
      <c r="UGS44" s="468"/>
      <c r="UGT44" s="468"/>
      <c r="UGU44" s="468"/>
      <c r="UGV44" s="468"/>
      <c r="UGW44" s="468"/>
      <c r="UGX44" s="468"/>
      <c r="UGY44" s="468"/>
      <c r="UGZ44" s="468"/>
      <c r="UHA44" s="468"/>
      <c r="UHB44" s="468"/>
      <c r="UHC44" s="468"/>
      <c r="UHD44" s="468"/>
      <c r="UHE44" s="468"/>
      <c r="UHF44" s="468"/>
      <c r="UHG44" s="468"/>
      <c r="UHH44" s="468"/>
      <c r="UHI44" s="468"/>
      <c r="UHJ44" s="468"/>
      <c r="UHK44" s="468"/>
      <c r="UHL44" s="468"/>
      <c r="UHM44" s="468"/>
      <c r="UHN44" s="468"/>
      <c r="UHO44" s="468"/>
      <c r="UHP44" s="468"/>
      <c r="UHQ44" s="468"/>
      <c r="UHR44" s="468"/>
      <c r="UHS44" s="468"/>
      <c r="UHT44" s="468"/>
      <c r="UHU44" s="468"/>
      <c r="UHV44" s="468"/>
      <c r="UHW44" s="468"/>
      <c r="UHX44" s="468"/>
      <c r="UHY44" s="468"/>
      <c r="UHZ44" s="468"/>
      <c r="UIA44" s="468"/>
      <c r="UIB44" s="468"/>
      <c r="UIC44" s="468"/>
      <c r="UID44" s="468"/>
      <c r="UIE44" s="468"/>
      <c r="UIF44" s="468"/>
      <c r="UIG44" s="468"/>
      <c r="UIH44" s="468"/>
      <c r="UII44" s="468"/>
      <c r="UIJ44" s="468"/>
      <c r="UIK44" s="468"/>
      <c r="UIL44" s="468"/>
      <c r="UIM44" s="468"/>
      <c r="UIN44" s="468"/>
      <c r="UIO44" s="468"/>
      <c r="UIP44" s="468"/>
      <c r="UIQ44" s="468"/>
      <c r="UIR44" s="468"/>
      <c r="UIS44" s="468"/>
      <c r="UIT44" s="468"/>
      <c r="UIU44" s="468"/>
      <c r="UIV44" s="468"/>
      <c r="UIW44" s="468"/>
      <c r="UIX44" s="468"/>
      <c r="UIY44" s="468"/>
      <c r="UIZ44" s="468"/>
      <c r="UJA44" s="468"/>
      <c r="UJB44" s="468"/>
      <c r="UJC44" s="468"/>
      <c r="UJD44" s="468"/>
      <c r="UJE44" s="468"/>
      <c r="UJF44" s="468"/>
      <c r="UJG44" s="468"/>
      <c r="UJH44" s="468"/>
      <c r="UJI44" s="468"/>
      <c r="UJJ44" s="468"/>
      <c r="UJK44" s="468"/>
      <c r="UJL44" s="468"/>
      <c r="UJM44" s="468"/>
      <c r="UJN44" s="468"/>
      <c r="UJO44" s="468"/>
      <c r="UJP44" s="468"/>
      <c r="UJQ44" s="468"/>
      <c r="UJR44" s="468"/>
      <c r="UJS44" s="468"/>
      <c r="UJT44" s="468"/>
      <c r="UJU44" s="468"/>
      <c r="UJV44" s="468"/>
      <c r="UJW44" s="468"/>
      <c r="UJX44" s="468"/>
      <c r="UJY44" s="468"/>
      <c r="UJZ44" s="468"/>
      <c r="UKA44" s="468"/>
      <c r="UKB44" s="468"/>
      <c r="UKC44" s="468"/>
      <c r="UKD44" s="468"/>
      <c r="UKE44" s="468"/>
      <c r="UKF44" s="468"/>
      <c r="UKG44" s="468"/>
      <c r="UKH44" s="468"/>
      <c r="UKI44" s="468"/>
      <c r="UKJ44" s="468"/>
      <c r="UKK44" s="468"/>
      <c r="UKL44" s="468"/>
      <c r="UKM44" s="468"/>
      <c r="UKN44" s="468"/>
      <c r="UKO44" s="468"/>
      <c r="UKP44" s="468"/>
      <c r="UKQ44" s="468"/>
      <c r="UKR44" s="468"/>
      <c r="UKS44" s="468"/>
      <c r="UKT44" s="468"/>
      <c r="UKU44" s="468"/>
      <c r="UKV44" s="468"/>
      <c r="UKW44" s="468"/>
      <c r="UKX44" s="468"/>
      <c r="UKY44" s="468"/>
      <c r="UKZ44" s="468"/>
      <c r="ULA44" s="468"/>
      <c r="ULB44" s="468"/>
      <c r="ULC44" s="468"/>
      <c r="ULD44" s="468"/>
      <c r="ULE44" s="468"/>
      <c r="ULF44" s="468"/>
      <c r="ULG44" s="468"/>
      <c r="ULH44" s="468"/>
      <c r="ULI44" s="468"/>
      <c r="ULJ44" s="468"/>
      <c r="ULK44" s="468"/>
      <c r="ULL44" s="468"/>
      <c r="ULM44" s="468"/>
      <c r="ULN44" s="468"/>
      <c r="ULO44" s="468"/>
      <c r="ULP44" s="468"/>
      <c r="ULQ44" s="468"/>
      <c r="ULR44" s="468"/>
      <c r="ULS44" s="468"/>
      <c r="ULT44" s="468"/>
      <c r="ULU44" s="468"/>
      <c r="ULV44" s="468"/>
      <c r="ULW44" s="468"/>
      <c r="ULX44" s="468"/>
      <c r="ULY44" s="468"/>
      <c r="ULZ44" s="468"/>
      <c r="UMA44" s="468"/>
      <c r="UMB44" s="468"/>
      <c r="UMC44" s="468"/>
      <c r="UMD44" s="468"/>
      <c r="UME44" s="468"/>
      <c r="UMF44" s="468"/>
      <c r="UMG44" s="468"/>
      <c r="UMH44" s="468"/>
      <c r="UMI44" s="468"/>
      <c r="UMJ44" s="468"/>
      <c r="UMK44" s="468"/>
      <c r="UML44" s="468"/>
      <c r="UMM44" s="468"/>
      <c r="UMN44" s="468"/>
      <c r="UMO44" s="468"/>
      <c r="UMP44" s="468"/>
      <c r="UMQ44" s="468"/>
      <c r="UMR44" s="468"/>
      <c r="UMS44" s="468"/>
      <c r="UMT44" s="468"/>
      <c r="UMU44" s="468"/>
      <c r="UMV44" s="468"/>
      <c r="UMW44" s="468"/>
      <c r="UMX44" s="468"/>
      <c r="UMY44" s="468"/>
      <c r="UMZ44" s="468"/>
      <c r="UNA44" s="468"/>
      <c r="UNB44" s="468"/>
      <c r="UNC44" s="468"/>
      <c r="UND44" s="468"/>
      <c r="UNE44" s="468"/>
      <c r="UNF44" s="468"/>
      <c r="UNG44" s="468"/>
      <c r="UNH44" s="468"/>
      <c r="UNI44" s="468"/>
      <c r="UNJ44" s="468"/>
      <c r="UNK44" s="468"/>
      <c r="UNL44" s="468"/>
      <c r="UNM44" s="468"/>
      <c r="UNN44" s="468"/>
      <c r="UNO44" s="468"/>
      <c r="UNP44" s="468"/>
      <c r="UNQ44" s="468"/>
      <c r="UNR44" s="468"/>
      <c r="UNS44" s="468"/>
      <c r="UNT44" s="468"/>
      <c r="UNU44" s="468"/>
      <c r="UNV44" s="468"/>
      <c r="UNW44" s="468"/>
      <c r="UNX44" s="468"/>
      <c r="UNY44" s="468"/>
      <c r="UNZ44" s="468"/>
      <c r="UOA44" s="468"/>
      <c r="UOB44" s="468"/>
      <c r="UOC44" s="468"/>
      <c r="UOD44" s="468"/>
      <c r="UOE44" s="468"/>
      <c r="UOF44" s="468"/>
      <c r="UOG44" s="468"/>
      <c r="UOH44" s="468"/>
      <c r="UOI44" s="468"/>
      <c r="UOJ44" s="468"/>
      <c r="UOK44" s="468"/>
      <c r="UOL44" s="468"/>
      <c r="UOM44" s="468"/>
      <c r="UON44" s="468"/>
      <c r="UOO44" s="468"/>
      <c r="UOP44" s="468"/>
      <c r="UOQ44" s="468"/>
      <c r="UOR44" s="468"/>
      <c r="UOS44" s="468"/>
      <c r="UOT44" s="468"/>
      <c r="UOU44" s="468"/>
      <c r="UOV44" s="468"/>
      <c r="UOW44" s="468"/>
      <c r="UOX44" s="468"/>
      <c r="UOY44" s="468"/>
      <c r="UOZ44" s="468"/>
      <c r="UPA44" s="468"/>
      <c r="UPB44" s="468"/>
      <c r="UPC44" s="468"/>
      <c r="UPD44" s="468"/>
      <c r="UPE44" s="468"/>
      <c r="UPF44" s="468"/>
      <c r="UPG44" s="468"/>
      <c r="UPH44" s="468"/>
      <c r="UPI44" s="468"/>
      <c r="UPJ44" s="468"/>
      <c r="UPK44" s="468"/>
      <c r="UPL44" s="468"/>
      <c r="UPM44" s="468"/>
      <c r="UPN44" s="468"/>
      <c r="UPO44" s="468"/>
      <c r="UPP44" s="468"/>
      <c r="UPQ44" s="468"/>
      <c r="UPR44" s="468"/>
      <c r="UPS44" s="468"/>
      <c r="UPT44" s="468"/>
      <c r="UPU44" s="468"/>
      <c r="UPV44" s="468"/>
      <c r="UPW44" s="468"/>
      <c r="UPX44" s="468"/>
      <c r="UPY44" s="468"/>
      <c r="UPZ44" s="468"/>
      <c r="UQA44" s="468"/>
      <c r="UQB44" s="468"/>
      <c r="UQC44" s="468"/>
      <c r="UQD44" s="468"/>
      <c r="UQE44" s="468"/>
      <c r="UQF44" s="468"/>
      <c r="UQG44" s="468"/>
      <c r="UQH44" s="468"/>
      <c r="UQI44" s="468"/>
      <c r="UQJ44" s="468"/>
      <c r="UQK44" s="468"/>
      <c r="UQL44" s="468"/>
      <c r="UQM44" s="468"/>
      <c r="UQN44" s="468"/>
      <c r="UQO44" s="468"/>
      <c r="UQP44" s="468"/>
      <c r="UQQ44" s="468"/>
      <c r="UQR44" s="468"/>
      <c r="UQS44" s="468"/>
      <c r="UQT44" s="468"/>
      <c r="UQU44" s="468"/>
      <c r="UQV44" s="468"/>
      <c r="UQW44" s="468"/>
      <c r="UQX44" s="468"/>
      <c r="UQY44" s="468"/>
      <c r="UQZ44" s="468"/>
      <c r="URA44" s="468"/>
      <c r="URB44" s="468"/>
      <c r="URC44" s="468"/>
      <c r="URD44" s="468"/>
      <c r="URE44" s="468"/>
      <c r="URF44" s="468"/>
      <c r="URG44" s="468"/>
      <c r="URH44" s="468"/>
      <c r="URI44" s="468"/>
      <c r="URJ44" s="468"/>
      <c r="URK44" s="468"/>
      <c r="URL44" s="468"/>
      <c r="URM44" s="468"/>
      <c r="URN44" s="468"/>
      <c r="URO44" s="468"/>
      <c r="URP44" s="468"/>
      <c r="URQ44" s="468"/>
      <c r="URR44" s="468"/>
      <c r="URS44" s="468"/>
      <c r="URT44" s="468"/>
      <c r="URU44" s="468"/>
      <c r="URV44" s="468"/>
      <c r="URW44" s="468"/>
      <c r="URX44" s="468"/>
      <c r="URY44" s="468"/>
      <c r="URZ44" s="468"/>
      <c r="USA44" s="468"/>
      <c r="USB44" s="468"/>
      <c r="USC44" s="468"/>
      <c r="USD44" s="468"/>
      <c r="USE44" s="468"/>
      <c r="USF44" s="468"/>
      <c r="USG44" s="468"/>
      <c r="USH44" s="468"/>
      <c r="USI44" s="468"/>
      <c r="USJ44" s="468"/>
      <c r="USK44" s="468"/>
      <c r="USL44" s="468"/>
      <c r="USM44" s="468"/>
      <c r="USN44" s="468"/>
      <c r="USO44" s="468"/>
      <c r="USP44" s="468"/>
      <c r="USQ44" s="468"/>
      <c r="USR44" s="468"/>
      <c r="USS44" s="468"/>
      <c r="UST44" s="468"/>
      <c r="USU44" s="468"/>
      <c r="USV44" s="468"/>
      <c r="USW44" s="468"/>
      <c r="USX44" s="468"/>
      <c r="USY44" s="468"/>
      <c r="USZ44" s="468"/>
      <c r="UTA44" s="468"/>
      <c r="UTB44" s="468"/>
      <c r="UTC44" s="468"/>
      <c r="UTD44" s="468"/>
      <c r="UTE44" s="468"/>
      <c r="UTF44" s="468"/>
      <c r="UTG44" s="468"/>
      <c r="UTH44" s="468"/>
      <c r="UTI44" s="468"/>
      <c r="UTJ44" s="468"/>
      <c r="UTK44" s="468"/>
      <c r="UTL44" s="468"/>
      <c r="UTM44" s="468"/>
      <c r="UTN44" s="468"/>
      <c r="UTO44" s="468"/>
      <c r="UTP44" s="468"/>
      <c r="UTQ44" s="468"/>
      <c r="UTR44" s="468"/>
      <c r="UTS44" s="468"/>
      <c r="UTT44" s="468"/>
      <c r="UTU44" s="468"/>
      <c r="UTV44" s="468"/>
      <c r="UTW44" s="468"/>
      <c r="UTX44" s="468"/>
      <c r="UTY44" s="468"/>
      <c r="UTZ44" s="468"/>
      <c r="UUA44" s="468"/>
      <c r="UUB44" s="468"/>
      <c r="UUC44" s="468"/>
      <c r="UUD44" s="468"/>
      <c r="UUE44" s="468"/>
      <c r="UUF44" s="468"/>
      <c r="UUG44" s="468"/>
      <c r="UUH44" s="468"/>
      <c r="UUI44" s="468"/>
      <c r="UUJ44" s="468"/>
      <c r="UUK44" s="468"/>
      <c r="UUL44" s="468"/>
      <c r="UUM44" s="468"/>
      <c r="UUN44" s="468"/>
      <c r="UUO44" s="468"/>
      <c r="UUP44" s="468"/>
      <c r="UUQ44" s="468"/>
      <c r="UUR44" s="468"/>
      <c r="UUS44" s="468"/>
      <c r="UUT44" s="468"/>
      <c r="UUU44" s="468"/>
      <c r="UUV44" s="468"/>
      <c r="UUW44" s="468"/>
      <c r="UUX44" s="468"/>
      <c r="UUY44" s="468"/>
      <c r="UUZ44" s="468"/>
      <c r="UVA44" s="468"/>
      <c r="UVB44" s="468"/>
      <c r="UVC44" s="468"/>
      <c r="UVD44" s="468"/>
      <c r="UVE44" s="468"/>
      <c r="UVF44" s="468"/>
      <c r="UVG44" s="468"/>
      <c r="UVH44" s="468"/>
      <c r="UVI44" s="468"/>
      <c r="UVJ44" s="468"/>
      <c r="UVK44" s="468"/>
      <c r="UVL44" s="468"/>
      <c r="UVM44" s="468"/>
      <c r="UVN44" s="468"/>
      <c r="UVO44" s="468"/>
      <c r="UVP44" s="468"/>
      <c r="UVQ44" s="468"/>
      <c r="UVR44" s="468"/>
      <c r="UVS44" s="468"/>
      <c r="UVT44" s="468"/>
      <c r="UVU44" s="468"/>
      <c r="UVV44" s="468"/>
      <c r="UVW44" s="468"/>
      <c r="UVX44" s="468"/>
      <c r="UVY44" s="468"/>
      <c r="UVZ44" s="468"/>
      <c r="UWA44" s="468"/>
      <c r="UWB44" s="468"/>
      <c r="UWC44" s="468"/>
      <c r="UWD44" s="468"/>
      <c r="UWE44" s="468"/>
      <c r="UWF44" s="468"/>
      <c r="UWG44" s="468"/>
      <c r="UWH44" s="468"/>
      <c r="UWI44" s="468"/>
      <c r="UWJ44" s="468"/>
      <c r="UWK44" s="468"/>
      <c r="UWL44" s="468"/>
      <c r="UWM44" s="468"/>
      <c r="UWN44" s="468"/>
      <c r="UWO44" s="468"/>
      <c r="UWP44" s="468"/>
      <c r="UWQ44" s="468"/>
      <c r="UWR44" s="468"/>
      <c r="UWS44" s="468"/>
      <c r="UWT44" s="468"/>
      <c r="UWU44" s="468"/>
      <c r="UWV44" s="468"/>
      <c r="UWW44" s="468"/>
      <c r="UWX44" s="468"/>
      <c r="UWY44" s="468"/>
      <c r="UWZ44" s="468"/>
      <c r="UXA44" s="468"/>
      <c r="UXB44" s="468"/>
      <c r="UXC44" s="468"/>
      <c r="UXD44" s="468"/>
      <c r="UXE44" s="468"/>
      <c r="UXF44" s="468"/>
      <c r="UXG44" s="468"/>
      <c r="UXH44" s="468"/>
      <c r="UXI44" s="468"/>
      <c r="UXJ44" s="468"/>
      <c r="UXK44" s="468"/>
      <c r="UXL44" s="468"/>
      <c r="UXM44" s="468"/>
      <c r="UXN44" s="468"/>
      <c r="UXO44" s="468"/>
      <c r="UXP44" s="468"/>
      <c r="UXQ44" s="468"/>
      <c r="UXR44" s="468"/>
      <c r="UXS44" s="468"/>
      <c r="UXT44" s="468"/>
      <c r="UXU44" s="468"/>
      <c r="UXV44" s="468"/>
      <c r="UXW44" s="468"/>
      <c r="UXX44" s="468"/>
      <c r="UXY44" s="468"/>
      <c r="UXZ44" s="468"/>
      <c r="UYA44" s="468"/>
      <c r="UYB44" s="468"/>
      <c r="UYC44" s="468"/>
      <c r="UYD44" s="468"/>
      <c r="UYE44" s="468"/>
      <c r="UYF44" s="468"/>
      <c r="UYG44" s="468"/>
      <c r="UYH44" s="468"/>
      <c r="UYI44" s="468"/>
      <c r="UYJ44" s="468"/>
      <c r="UYK44" s="468"/>
      <c r="UYL44" s="468"/>
      <c r="UYM44" s="468"/>
      <c r="UYN44" s="468"/>
      <c r="UYO44" s="468"/>
      <c r="UYP44" s="468"/>
      <c r="UYQ44" s="468"/>
      <c r="UYR44" s="468"/>
      <c r="UYS44" s="468"/>
      <c r="UYT44" s="468"/>
      <c r="UYU44" s="468"/>
      <c r="UYV44" s="468"/>
      <c r="UYW44" s="468"/>
      <c r="UYX44" s="468"/>
      <c r="UYY44" s="468"/>
      <c r="UYZ44" s="468"/>
      <c r="UZA44" s="468"/>
      <c r="UZB44" s="468"/>
      <c r="UZC44" s="468"/>
      <c r="UZD44" s="468"/>
      <c r="UZE44" s="468"/>
      <c r="UZF44" s="468"/>
      <c r="UZG44" s="468"/>
      <c r="UZH44" s="468"/>
      <c r="UZI44" s="468"/>
      <c r="UZJ44" s="468"/>
      <c r="UZK44" s="468"/>
      <c r="UZL44" s="468"/>
      <c r="UZM44" s="468"/>
      <c r="UZN44" s="468"/>
      <c r="UZO44" s="468"/>
      <c r="UZP44" s="468"/>
      <c r="UZQ44" s="468"/>
      <c r="UZR44" s="468"/>
      <c r="UZS44" s="468"/>
      <c r="UZT44" s="468"/>
      <c r="UZU44" s="468"/>
      <c r="UZV44" s="468"/>
      <c r="UZW44" s="468"/>
      <c r="UZX44" s="468"/>
      <c r="UZY44" s="468"/>
      <c r="UZZ44" s="468"/>
      <c r="VAA44" s="468"/>
      <c r="VAB44" s="468"/>
      <c r="VAC44" s="468"/>
      <c r="VAD44" s="468"/>
      <c r="VAE44" s="468"/>
      <c r="VAF44" s="468"/>
      <c r="VAG44" s="468"/>
      <c r="VAH44" s="468"/>
      <c r="VAI44" s="468"/>
      <c r="VAJ44" s="468"/>
      <c r="VAK44" s="468"/>
      <c r="VAL44" s="468"/>
      <c r="VAM44" s="468"/>
      <c r="VAN44" s="468"/>
      <c r="VAO44" s="468"/>
      <c r="VAP44" s="468"/>
      <c r="VAQ44" s="468"/>
      <c r="VAR44" s="468"/>
      <c r="VAS44" s="468"/>
      <c r="VAT44" s="468"/>
      <c r="VAU44" s="468"/>
      <c r="VAV44" s="468"/>
      <c r="VAW44" s="468"/>
      <c r="VAX44" s="468"/>
      <c r="VAY44" s="468"/>
      <c r="VAZ44" s="468"/>
      <c r="VBA44" s="468"/>
      <c r="VBB44" s="468"/>
      <c r="VBC44" s="468"/>
      <c r="VBD44" s="468"/>
      <c r="VBE44" s="468"/>
      <c r="VBF44" s="468"/>
      <c r="VBG44" s="468"/>
      <c r="VBH44" s="468"/>
      <c r="VBI44" s="468"/>
      <c r="VBJ44" s="468"/>
      <c r="VBK44" s="468"/>
      <c r="VBL44" s="468"/>
      <c r="VBM44" s="468"/>
      <c r="VBN44" s="468"/>
      <c r="VBO44" s="468"/>
      <c r="VBP44" s="468"/>
      <c r="VBQ44" s="468"/>
      <c r="VBR44" s="468"/>
      <c r="VBS44" s="468"/>
      <c r="VBT44" s="468"/>
      <c r="VBU44" s="468"/>
      <c r="VBV44" s="468"/>
      <c r="VBW44" s="468"/>
      <c r="VBX44" s="468"/>
      <c r="VBY44" s="468"/>
      <c r="VBZ44" s="468"/>
      <c r="VCA44" s="468"/>
      <c r="VCB44" s="468"/>
      <c r="VCC44" s="468"/>
      <c r="VCD44" s="468"/>
      <c r="VCE44" s="468"/>
      <c r="VCF44" s="468"/>
      <c r="VCG44" s="468"/>
      <c r="VCH44" s="468"/>
      <c r="VCI44" s="468"/>
      <c r="VCJ44" s="468"/>
      <c r="VCK44" s="468"/>
      <c r="VCL44" s="468"/>
      <c r="VCM44" s="468"/>
      <c r="VCN44" s="468"/>
      <c r="VCO44" s="468"/>
      <c r="VCP44" s="468"/>
      <c r="VCQ44" s="468"/>
      <c r="VCR44" s="468"/>
      <c r="VCS44" s="468"/>
      <c r="VCT44" s="468"/>
      <c r="VCU44" s="468"/>
      <c r="VCV44" s="468"/>
      <c r="VCW44" s="468"/>
      <c r="VCX44" s="468"/>
      <c r="VCY44" s="468"/>
      <c r="VCZ44" s="468"/>
      <c r="VDA44" s="468"/>
      <c r="VDB44" s="468"/>
      <c r="VDC44" s="468"/>
      <c r="VDD44" s="468"/>
      <c r="VDE44" s="468"/>
      <c r="VDF44" s="468"/>
      <c r="VDG44" s="468"/>
      <c r="VDH44" s="468"/>
      <c r="VDI44" s="468"/>
      <c r="VDJ44" s="468"/>
      <c r="VDK44" s="468"/>
      <c r="VDL44" s="468"/>
      <c r="VDM44" s="468"/>
      <c r="VDN44" s="468"/>
      <c r="VDO44" s="468"/>
      <c r="VDP44" s="468"/>
      <c r="VDQ44" s="468"/>
      <c r="VDR44" s="468"/>
      <c r="VDS44" s="468"/>
      <c r="VDT44" s="468"/>
      <c r="VDU44" s="468"/>
      <c r="VDV44" s="468"/>
      <c r="VDW44" s="468"/>
      <c r="VDX44" s="468"/>
      <c r="VDY44" s="468"/>
      <c r="VDZ44" s="468"/>
      <c r="VEA44" s="468"/>
      <c r="VEB44" s="468"/>
      <c r="VEC44" s="468"/>
      <c r="VED44" s="468"/>
      <c r="VEE44" s="468"/>
      <c r="VEF44" s="468"/>
      <c r="VEG44" s="468"/>
      <c r="VEH44" s="468"/>
      <c r="VEI44" s="468"/>
      <c r="VEJ44" s="468"/>
      <c r="VEK44" s="468"/>
      <c r="VEL44" s="468"/>
      <c r="VEM44" s="468"/>
      <c r="VEN44" s="468"/>
      <c r="VEO44" s="468"/>
      <c r="VEP44" s="468"/>
      <c r="VEQ44" s="468"/>
      <c r="VER44" s="468"/>
      <c r="VES44" s="468"/>
      <c r="VET44" s="468"/>
      <c r="VEU44" s="468"/>
      <c r="VEV44" s="468"/>
      <c r="VEW44" s="468"/>
      <c r="VEX44" s="468"/>
      <c r="VEY44" s="468"/>
      <c r="VEZ44" s="468"/>
      <c r="VFA44" s="468"/>
      <c r="VFB44" s="468"/>
      <c r="VFC44" s="468"/>
      <c r="VFD44" s="468"/>
      <c r="VFE44" s="468"/>
      <c r="VFF44" s="468"/>
      <c r="VFG44" s="468"/>
      <c r="VFH44" s="468"/>
      <c r="VFI44" s="468"/>
      <c r="VFJ44" s="468"/>
      <c r="VFK44" s="468"/>
      <c r="VFL44" s="468"/>
      <c r="VFM44" s="468"/>
      <c r="VFN44" s="468"/>
      <c r="VFO44" s="468"/>
      <c r="VFP44" s="468"/>
      <c r="VFQ44" s="468"/>
      <c r="VFR44" s="468"/>
      <c r="VFS44" s="468"/>
      <c r="VFT44" s="468"/>
      <c r="VFU44" s="468"/>
      <c r="VFV44" s="468"/>
      <c r="VFW44" s="468"/>
      <c r="VFX44" s="468"/>
      <c r="VFY44" s="468"/>
      <c r="VFZ44" s="468"/>
      <c r="VGA44" s="468"/>
      <c r="VGB44" s="468"/>
      <c r="VGC44" s="468"/>
      <c r="VGD44" s="468"/>
      <c r="VGE44" s="468"/>
      <c r="VGF44" s="468"/>
      <c r="VGG44" s="468"/>
      <c r="VGH44" s="468"/>
      <c r="VGI44" s="468"/>
      <c r="VGJ44" s="468"/>
      <c r="VGK44" s="468"/>
      <c r="VGL44" s="468"/>
      <c r="VGM44" s="468"/>
      <c r="VGN44" s="468"/>
      <c r="VGO44" s="468"/>
      <c r="VGP44" s="468"/>
      <c r="VGQ44" s="468"/>
      <c r="VGR44" s="468"/>
      <c r="VGS44" s="468"/>
      <c r="VGT44" s="468"/>
      <c r="VGU44" s="468"/>
      <c r="VGV44" s="468"/>
      <c r="VGW44" s="468"/>
      <c r="VGX44" s="468"/>
      <c r="VGY44" s="468"/>
      <c r="VGZ44" s="468"/>
      <c r="VHA44" s="468"/>
      <c r="VHB44" s="468"/>
      <c r="VHC44" s="468"/>
      <c r="VHD44" s="468"/>
      <c r="VHE44" s="468"/>
      <c r="VHF44" s="468"/>
      <c r="VHG44" s="468"/>
      <c r="VHH44" s="468"/>
      <c r="VHI44" s="468"/>
      <c r="VHJ44" s="468"/>
      <c r="VHK44" s="468"/>
      <c r="VHL44" s="468"/>
      <c r="VHM44" s="468"/>
      <c r="VHN44" s="468"/>
      <c r="VHO44" s="468"/>
      <c r="VHP44" s="468"/>
      <c r="VHQ44" s="468"/>
      <c r="VHR44" s="468"/>
      <c r="VHS44" s="468"/>
      <c r="VHT44" s="468"/>
      <c r="VHU44" s="468"/>
      <c r="VHV44" s="468"/>
      <c r="VHW44" s="468"/>
      <c r="VHX44" s="468"/>
      <c r="VHY44" s="468"/>
      <c r="VHZ44" s="468"/>
      <c r="VIA44" s="468"/>
      <c r="VIB44" s="468"/>
      <c r="VIC44" s="468"/>
      <c r="VID44" s="468"/>
      <c r="VIE44" s="468"/>
      <c r="VIF44" s="468"/>
      <c r="VIG44" s="468"/>
      <c r="VIH44" s="468"/>
      <c r="VII44" s="468"/>
      <c r="VIJ44" s="468"/>
      <c r="VIK44" s="468"/>
      <c r="VIL44" s="468"/>
      <c r="VIM44" s="468"/>
      <c r="VIN44" s="468"/>
      <c r="VIO44" s="468"/>
      <c r="VIP44" s="468"/>
      <c r="VIQ44" s="468"/>
      <c r="VIR44" s="468"/>
      <c r="VIS44" s="468"/>
      <c r="VIT44" s="468"/>
      <c r="VIU44" s="468"/>
      <c r="VIV44" s="468"/>
      <c r="VIW44" s="468"/>
      <c r="VIX44" s="468"/>
      <c r="VIY44" s="468"/>
      <c r="VIZ44" s="468"/>
      <c r="VJA44" s="468"/>
      <c r="VJB44" s="468"/>
      <c r="VJC44" s="468"/>
      <c r="VJD44" s="468"/>
      <c r="VJE44" s="468"/>
      <c r="VJF44" s="468"/>
      <c r="VJG44" s="468"/>
      <c r="VJH44" s="468"/>
      <c r="VJI44" s="468"/>
      <c r="VJJ44" s="468"/>
      <c r="VJK44" s="468"/>
      <c r="VJL44" s="468"/>
      <c r="VJM44" s="468"/>
      <c r="VJN44" s="468"/>
      <c r="VJO44" s="468"/>
      <c r="VJP44" s="468"/>
      <c r="VJQ44" s="468"/>
      <c r="VJR44" s="468"/>
      <c r="VJS44" s="468"/>
      <c r="VJT44" s="468"/>
      <c r="VJU44" s="468"/>
      <c r="VJV44" s="468"/>
      <c r="VJW44" s="468"/>
      <c r="VJX44" s="468"/>
      <c r="VJY44" s="468"/>
      <c r="VJZ44" s="468"/>
      <c r="VKA44" s="468"/>
      <c r="VKB44" s="468"/>
      <c r="VKC44" s="468"/>
      <c r="VKD44" s="468"/>
      <c r="VKE44" s="468"/>
      <c r="VKF44" s="468"/>
      <c r="VKG44" s="468"/>
      <c r="VKH44" s="468"/>
      <c r="VKI44" s="468"/>
      <c r="VKJ44" s="468"/>
      <c r="VKK44" s="468"/>
      <c r="VKL44" s="468"/>
      <c r="VKM44" s="468"/>
      <c r="VKN44" s="468"/>
      <c r="VKO44" s="468"/>
      <c r="VKP44" s="468"/>
      <c r="VKQ44" s="468"/>
      <c r="VKR44" s="468"/>
      <c r="VKS44" s="468"/>
      <c r="VKT44" s="468"/>
      <c r="VKU44" s="468"/>
      <c r="VKV44" s="468"/>
      <c r="VKW44" s="468"/>
      <c r="VKX44" s="468"/>
      <c r="VKY44" s="468"/>
      <c r="VKZ44" s="468"/>
      <c r="VLA44" s="468"/>
      <c r="VLB44" s="468"/>
      <c r="VLC44" s="468"/>
      <c r="VLD44" s="468"/>
      <c r="VLE44" s="468"/>
      <c r="VLF44" s="468"/>
      <c r="VLG44" s="468"/>
      <c r="VLH44" s="468"/>
      <c r="VLI44" s="468"/>
      <c r="VLJ44" s="468"/>
      <c r="VLK44" s="468"/>
      <c r="VLL44" s="468"/>
      <c r="VLM44" s="468"/>
      <c r="VLN44" s="468"/>
      <c r="VLO44" s="468"/>
      <c r="VLP44" s="468"/>
      <c r="VLQ44" s="468"/>
      <c r="VLR44" s="468"/>
      <c r="VLS44" s="468"/>
      <c r="VLT44" s="468"/>
      <c r="VLU44" s="468"/>
      <c r="VLV44" s="468"/>
      <c r="VLW44" s="468"/>
      <c r="VLX44" s="468"/>
      <c r="VLY44" s="468"/>
      <c r="VLZ44" s="468"/>
      <c r="VMA44" s="468"/>
      <c r="VMB44" s="468"/>
      <c r="VMC44" s="468"/>
      <c r="VMD44" s="468"/>
      <c r="VME44" s="468"/>
      <c r="VMF44" s="468"/>
      <c r="VMG44" s="468"/>
      <c r="VMH44" s="468"/>
      <c r="VMI44" s="468"/>
      <c r="VMJ44" s="468"/>
      <c r="VMK44" s="468"/>
      <c r="VML44" s="468"/>
      <c r="VMM44" s="468"/>
      <c r="VMN44" s="468"/>
      <c r="VMO44" s="468"/>
      <c r="VMP44" s="468"/>
      <c r="VMQ44" s="468"/>
      <c r="VMR44" s="468"/>
      <c r="VMS44" s="468"/>
      <c r="VMT44" s="468"/>
      <c r="VMU44" s="468"/>
      <c r="VMV44" s="468"/>
      <c r="VMW44" s="468"/>
      <c r="VMX44" s="468"/>
      <c r="VMY44" s="468"/>
      <c r="VMZ44" s="468"/>
      <c r="VNA44" s="468"/>
      <c r="VNB44" s="468"/>
      <c r="VNC44" s="468"/>
      <c r="VND44" s="468"/>
      <c r="VNE44" s="468"/>
      <c r="VNF44" s="468"/>
      <c r="VNG44" s="468"/>
      <c r="VNH44" s="468"/>
      <c r="VNI44" s="468"/>
      <c r="VNJ44" s="468"/>
      <c r="VNK44" s="468"/>
      <c r="VNL44" s="468"/>
      <c r="VNM44" s="468"/>
      <c r="VNN44" s="468"/>
      <c r="VNO44" s="468"/>
      <c r="VNP44" s="468"/>
      <c r="VNQ44" s="468"/>
      <c r="VNR44" s="468"/>
      <c r="VNS44" s="468"/>
      <c r="VNT44" s="468"/>
      <c r="VNU44" s="468"/>
      <c r="VNV44" s="468"/>
      <c r="VNW44" s="468"/>
      <c r="VNX44" s="468"/>
      <c r="VNY44" s="468"/>
      <c r="VNZ44" s="468"/>
      <c r="VOA44" s="468"/>
      <c r="VOB44" s="468"/>
      <c r="VOC44" s="468"/>
      <c r="VOD44" s="468"/>
      <c r="VOE44" s="468"/>
      <c r="VOF44" s="468"/>
      <c r="VOG44" s="468"/>
      <c r="VOH44" s="468"/>
      <c r="VOI44" s="468"/>
      <c r="VOJ44" s="468"/>
      <c r="VOK44" s="468"/>
      <c r="VOL44" s="468"/>
      <c r="VOM44" s="468"/>
      <c r="VON44" s="468"/>
      <c r="VOO44" s="468"/>
      <c r="VOP44" s="468"/>
      <c r="VOQ44" s="468"/>
      <c r="VOR44" s="468"/>
      <c r="VOS44" s="468"/>
      <c r="VOT44" s="468"/>
      <c r="VOU44" s="468"/>
      <c r="VOV44" s="468"/>
      <c r="VOW44" s="468"/>
      <c r="VOX44" s="468"/>
      <c r="VOY44" s="468"/>
      <c r="VOZ44" s="468"/>
      <c r="VPA44" s="468"/>
      <c r="VPB44" s="468"/>
      <c r="VPC44" s="468"/>
      <c r="VPD44" s="468"/>
      <c r="VPE44" s="468"/>
      <c r="VPF44" s="468"/>
      <c r="VPG44" s="468"/>
      <c r="VPH44" s="468"/>
      <c r="VPI44" s="468"/>
      <c r="VPJ44" s="468"/>
      <c r="VPK44" s="468"/>
      <c r="VPL44" s="468"/>
      <c r="VPM44" s="468"/>
      <c r="VPN44" s="468"/>
      <c r="VPO44" s="468"/>
      <c r="VPP44" s="468"/>
      <c r="VPQ44" s="468"/>
      <c r="VPR44" s="468"/>
      <c r="VPS44" s="468"/>
      <c r="VPT44" s="468"/>
      <c r="VPU44" s="468"/>
      <c r="VPV44" s="468"/>
      <c r="VPW44" s="468"/>
      <c r="VPX44" s="468"/>
      <c r="VPY44" s="468"/>
      <c r="VPZ44" s="468"/>
      <c r="VQA44" s="468"/>
      <c r="VQB44" s="468"/>
      <c r="VQC44" s="468"/>
      <c r="VQD44" s="468"/>
      <c r="VQE44" s="468"/>
      <c r="VQF44" s="468"/>
      <c r="VQG44" s="468"/>
      <c r="VQH44" s="468"/>
      <c r="VQI44" s="468"/>
      <c r="VQJ44" s="468"/>
      <c r="VQK44" s="468"/>
      <c r="VQL44" s="468"/>
      <c r="VQM44" s="468"/>
      <c r="VQN44" s="468"/>
      <c r="VQO44" s="468"/>
      <c r="VQP44" s="468"/>
      <c r="VQQ44" s="468"/>
      <c r="VQR44" s="468"/>
      <c r="VQS44" s="468"/>
      <c r="VQT44" s="468"/>
      <c r="VQU44" s="468"/>
      <c r="VQV44" s="468"/>
      <c r="VQW44" s="468"/>
      <c r="VQX44" s="468"/>
      <c r="VQY44" s="468"/>
      <c r="VQZ44" s="468"/>
      <c r="VRA44" s="468"/>
      <c r="VRB44" s="468"/>
      <c r="VRC44" s="468"/>
      <c r="VRD44" s="468"/>
      <c r="VRE44" s="468"/>
      <c r="VRF44" s="468"/>
      <c r="VRG44" s="468"/>
      <c r="VRH44" s="468"/>
      <c r="VRI44" s="468"/>
      <c r="VRJ44" s="468"/>
      <c r="VRK44" s="468"/>
      <c r="VRL44" s="468"/>
      <c r="VRM44" s="468"/>
      <c r="VRN44" s="468"/>
      <c r="VRO44" s="468"/>
      <c r="VRP44" s="468"/>
      <c r="VRQ44" s="468"/>
      <c r="VRR44" s="468"/>
      <c r="VRS44" s="468"/>
      <c r="VRT44" s="468"/>
      <c r="VRU44" s="468"/>
      <c r="VRV44" s="468"/>
      <c r="VRW44" s="468"/>
      <c r="VRX44" s="468"/>
      <c r="VRY44" s="468"/>
      <c r="VRZ44" s="468"/>
      <c r="VSA44" s="468"/>
      <c r="VSB44" s="468"/>
      <c r="VSC44" s="468"/>
      <c r="VSD44" s="468"/>
      <c r="VSE44" s="468"/>
      <c r="VSF44" s="468"/>
      <c r="VSG44" s="468"/>
      <c r="VSH44" s="468"/>
      <c r="VSI44" s="468"/>
      <c r="VSJ44" s="468"/>
      <c r="VSK44" s="468"/>
      <c r="VSL44" s="468"/>
      <c r="VSM44" s="468"/>
      <c r="VSN44" s="468"/>
      <c r="VSO44" s="468"/>
      <c r="VSP44" s="468"/>
      <c r="VSQ44" s="468"/>
      <c r="VSR44" s="468"/>
      <c r="VSS44" s="468"/>
      <c r="VST44" s="468"/>
      <c r="VSU44" s="468"/>
      <c r="VSV44" s="468"/>
      <c r="VSW44" s="468"/>
      <c r="VSX44" s="468"/>
      <c r="VSY44" s="468"/>
      <c r="VSZ44" s="468"/>
      <c r="VTA44" s="468"/>
      <c r="VTB44" s="468"/>
      <c r="VTC44" s="468"/>
      <c r="VTD44" s="468"/>
      <c r="VTE44" s="468"/>
      <c r="VTF44" s="468"/>
      <c r="VTG44" s="468"/>
      <c r="VTH44" s="468"/>
      <c r="VTI44" s="468"/>
      <c r="VTJ44" s="468"/>
      <c r="VTK44" s="468"/>
      <c r="VTL44" s="468"/>
      <c r="VTM44" s="468"/>
      <c r="VTN44" s="468"/>
      <c r="VTO44" s="468"/>
      <c r="VTP44" s="468"/>
      <c r="VTQ44" s="468"/>
      <c r="VTR44" s="468"/>
      <c r="VTS44" s="468"/>
      <c r="VTT44" s="468"/>
      <c r="VTU44" s="468"/>
      <c r="VTV44" s="468"/>
      <c r="VTW44" s="468"/>
      <c r="VTX44" s="468"/>
      <c r="VTY44" s="468"/>
      <c r="VTZ44" s="468"/>
      <c r="VUA44" s="468"/>
      <c r="VUB44" s="468"/>
      <c r="VUC44" s="468"/>
      <c r="VUD44" s="468"/>
      <c r="VUE44" s="468"/>
      <c r="VUF44" s="468"/>
      <c r="VUG44" s="468"/>
      <c r="VUH44" s="468"/>
      <c r="VUI44" s="468"/>
      <c r="VUJ44" s="468"/>
      <c r="VUK44" s="468"/>
      <c r="VUL44" s="468"/>
      <c r="VUM44" s="468"/>
      <c r="VUN44" s="468"/>
      <c r="VUO44" s="468"/>
      <c r="VUP44" s="468"/>
      <c r="VUQ44" s="468"/>
      <c r="VUR44" s="468"/>
      <c r="VUS44" s="468"/>
      <c r="VUT44" s="468"/>
      <c r="VUU44" s="468"/>
      <c r="VUV44" s="468"/>
      <c r="VUW44" s="468"/>
      <c r="VUX44" s="468"/>
      <c r="VUY44" s="468"/>
      <c r="VUZ44" s="468"/>
      <c r="VVA44" s="468"/>
      <c r="VVB44" s="468"/>
      <c r="VVC44" s="468"/>
      <c r="VVD44" s="468"/>
      <c r="VVE44" s="468"/>
      <c r="VVF44" s="468"/>
      <c r="VVG44" s="468"/>
      <c r="VVH44" s="468"/>
      <c r="VVI44" s="468"/>
      <c r="VVJ44" s="468"/>
      <c r="VVK44" s="468"/>
      <c r="VVL44" s="468"/>
      <c r="VVM44" s="468"/>
      <c r="VVN44" s="468"/>
      <c r="VVO44" s="468"/>
      <c r="VVP44" s="468"/>
      <c r="VVQ44" s="468"/>
      <c r="VVR44" s="468"/>
      <c r="VVS44" s="468"/>
      <c r="VVT44" s="468"/>
      <c r="VVU44" s="468"/>
      <c r="VVV44" s="468"/>
      <c r="VVW44" s="468"/>
      <c r="VVX44" s="468"/>
      <c r="VVY44" s="468"/>
      <c r="VVZ44" s="468"/>
      <c r="VWA44" s="468"/>
      <c r="VWB44" s="468"/>
      <c r="VWC44" s="468"/>
      <c r="VWD44" s="468"/>
      <c r="VWE44" s="468"/>
      <c r="VWF44" s="468"/>
      <c r="VWG44" s="468"/>
      <c r="VWH44" s="468"/>
      <c r="VWI44" s="468"/>
      <c r="VWJ44" s="468"/>
      <c r="VWK44" s="468"/>
      <c r="VWL44" s="468"/>
      <c r="VWM44" s="468"/>
      <c r="VWN44" s="468"/>
      <c r="VWO44" s="468"/>
      <c r="VWP44" s="468"/>
      <c r="VWQ44" s="468"/>
      <c r="VWR44" s="468"/>
      <c r="VWS44" s="468"/>
      <c r="VWT44" s="468"/>
      <c r="VWU44" s="468"/>
      <c r="VWV44" s="468"/>
      <c r="VWW44" s="468"/>
      <c r="VWX44" s="468"/>
      <c r="VWY44" s="468"/>
      <c r="VWZ44" s="468"/>
      <c r="VXA44" s="468"/>
      <c r="VXB44" s="468"/>
      <c r="VXC44" s="468"/>
      <c r="VXD44" s="468"/>
      <c r="VXE44" s="468"/>
      <c r="VXF44" s="468"/>
      <c r="VXG44" s="468"/>
      <c r="VXH44" s="468"/>
      <c r="VXI44" s="468"/>
      <c r="VXJ44" s="468"/>
      <c r="VXK44" s="468"/>
      <c r="VXL44" s="468"/>
      <c r="VXM44" s="468"/>
      <c r="VXN44" s="468"/>
      <c r="VXO44" s="468"/>
      <c r="VXP44" s="468"/>
      <c r="VXQ44" s="468"/>
      <c r="VXR44" s="468"/>
      <c r="VXS44" s="468"/>
      <c r="VXT44" s="468"/>
      <c r="VXU44" s="468"/>
      <c r="VXV44" s="468"/>
      <c r="VXW44" s="468"/>
      <c r="VXX44" s="468"/>
      <c r="VXY44" s="468"/>
      <c r="VXZ44" s="468"/>
      <c r="VYA44" s="468"/>
      <c r="VYB44" s="468"/>
      <c r="VYC44" s="468"/>
      <c r="VYD44" s="468"/>
      <c r="VYE44" s="468"/>
      <c r="VYF44" s="468"/>
      <c r="VYG44" s="468"/>
      <c r="VYH44" s="468"/>
      <c r="VYI44" s="468"/>
      <c r="VYJ44" s="468"/>
      <c r="VYK44" s="468"/>
      <c r="VYL44" s="468"/>
      <c r="VYM44" s="468"/>
      <c r="VYN44" s="468"/>
      <c r="VYO44" s="468"/>
      <c r="VYP44" s="468"/>
      <c r="VYQ44" s="468"/>
      <c r="VYR44" s="468"/>
      <c r="VYS44" s="468"/>
      <c r="VYT44" s="468"/>
      <c r="VYU44" s="468"/>
      <c r="VYV44" s="468"/>
      <c r="VYW44" s="468"/>
      <c r="VYX44" s="468"/>
      <c r="VYY44" s="468"/>
      <c r="VYZ44" s="468"/>
      <c r="VZA44" s="468"/>
      <c r="VZB44" s="468"/>
      <c r="VZC44" s="468"/>
      <c r="VZD44" s="468"/>
      <c r="VZE44" s="468"/>
      <c r="VZF44" s="468"/>
      <c r="VZG44" s="468"/>
      <c r="VZH44" s="468"/>
      <c r="VZI44" s="468"/>
      <c r="VZJ44" s="468"/>
      <c r="VZK44" s="468"/>
      <c r="VZL44" s="468"/>
      <c r="VZM44" s="468"/>
      <c r="VZN44" s="468"/>
      <c r="VZO44" s="468"/>
      <c r="VZP44" s="468"/>
      <c r="VZQ44" s="468"/>
      <c r="VZR44" s="468"/>
      <c r="VZS44" s="468"/>
      <c r="VZT44" s="468"/>
      <c r="VZU44" s="468"/>
      <c r="VZV44" s="468"/>
      <c r="VZW44" s="468"/>
      <c r="VZX44" s="468"/>
      <c r="VZY44" s="468"/>
      <c r="VZZ44" s="468"/>
      <c r="WAA44" s="468"/>
      <c r="WAB44" s="468"/>
      <c r="WAC44" s="468"/>
      <c r="WAD44" s="468"/>
      <c r="WAE44" s="468"/>
      <c r="WAF44" s="468"/>
      <c r="WAG44" s="468"/>
      <c r="WAH44" s="468"/>
      <c r="WAI44" s="468"/>
      <c r="WAJ44" s="468"/>
      <c r="WAK44" s="468"/>
      <c r="WAL44" s="468"/>
      <c r="WAM44" s="468"/>
      <c r="WAN44" s="468"/>
      <c r="WAO44" s="468"/>
      <c r="WAP44" s="468"/>
      <c r="WAQ44" s="468"/>
      <c r="WAR44" s="468"/>
      <c r="WAS44" s="468"/>
      <c r="WAT44" s="468"/>
      <c r="WAU44" s="468"/>
      <c r="WAV44" s="468"/>
      <c r="WAW44" s="468"/>
      <c r="WAX44" s="468"/>
      <c r="WAY44" s="468"/>
      <c r="WAZ44" s="468"/>
      <c r="WBA44" s="468"/>
      <c r="WBB44" s="468"/>
      <c r="WBC44" s="468"/>
      <c r="WBD44" s="468"/>
      <c r="WBE44" s="468"/>
      <c r="WBF44" s="468"/>
      <c r="WBG44" s="468"/>
      <c r="WBH44" s="468"/>
      <c r="WBI44" s="468"/>
      <c r="WBJ44" s="468"/>
      <c r="WBK44" s="468"/>
      <c r="WBL44" s="468"/>
      <c r="WBM44" s="468"/>
      <c r="WBN44" s="468"/>
      <c r="WBO44" s="468"/>
      <c r="WBP44" s="468"/>
      <c r="WBQ44" s="468"/>
      <c r="WBR44" s="468"/>
      <c r="WBS44" s="468"/>
      <c r="WBT44" s="468"/>
      <c r="WBU44" s="468"/>
      <c r="WBV44" s="468"/>
      <c r="WBW44" s="468"/>
      <c r="WBX44" s="468"/>
      <c r="WBY44" s="468"/>
      <c r="WBZ44" s="468"/>
      <c r="WCA44" s="468"/>
      <c r="WCB44" s="468"/>
      <c r="WCC44" s="468"/>
      <c r="WCD44" s="468"/>
      <c r="WCE44" s="468"/>
      <c r="WCF44" s="468"/>
      <c r="WCG44" s="468"/>
      <c r="WCH44" s="468"/>
      <c r="WCI44" s="468"/>
      <c r="WCJ44" s="468"/>
      <c r="WCK44" s="468"/>
      <c r="WCL44" s="468"/>
      <c r="WCM44" s="468"/>
      <c r="WCN44" s="468"/>
      <c r="WCO44" s="468"/>
      <c r="WCP44" s="468"/>
      <c r="WCQ44" s="468"/>
      <c r="WCR44" s="468"/>
      <c r="WCS44" s="468"/>
      <c r="WCT44" s="468"/>
      <c r="WCU44" s="468"/>
      <c r="WCV44" s="468"/>
      <c r="WCW44" s="468"/>
      <c r="WCX44" s="468"/>
      <c r="WCY44" s="468"/>
      <c r="WCZ44" s="468"/>
      <c r="WDA44" s="468"/>
      <c r="WDB44" s="468"/>
      <c r="WDC44" s="468"/>
      <c r="WDD44" s="468"/>
      <c r="WDE44" s="468"/>
      <c r="WDF44" s="468"/>
      <c r="WDG44" s="468"/>
      <c r="WDH44" s="468"/>
      <c r="WDI44" s="468"/>
      <c r="WDJ44" s="468"/>
      <c r="WDK44" s="468"/>
      <c r="WDL44" s="468"/>
      <c r="WDM44" s="468"/>
      <c r="WDN44" s="468"/>
      <c r="WDO44" s="468"/>
      <c r="WDP44" s="468"/>
      <c r="WDQ44" s="468"/>
      <c r="WDR44" s="468"/>
      <c r="WDS44" s="468"/>
      <c r="WDT44" s="468"/>
      <c r="WDU44" s="468"/>
      <c r="WDV44" s="468"/>
      <c r="WDW44" s="468"/>
      <c r="WDX44" s="468"/>
      <c r="WDY44" s="468"/>
      <c r="WDZ44" s="468"/>
      <c r="WEA44" s="468"/>
      <c r="WEB44" s="468"/>
      <c r="WEC44" s="468"/>
      <c r="WED44" s="468"/>
      <c r="WEE44" s="468"/>
      <c r="WEF44" s="468"/>
      <c r="WEG44" s="468"/>
      <c r="WEH44" s="468"/>
      <c r="WEI44" s="468"/>
      <c r="WEJ44" s="468"/>
      <c r="WEK44" s="468"/>
      <c r="WEL44" s="468"/>
      <c r="WEM44" s="468"/>
      <c r="WEN44" s="468"/>
      <c r="WEO44" s="468"/>
      <c r="WEP44" s="468"/>
      <c r="WEQ44" s="468"/>
      <c r="WER44" s="468"/>
      <c r="WES44" s="468"/>
      <c r="WET44" s="468"/>
      <c r="WEU44" s="468"/>
      <c r="WEV44" s="468"/>
      <c r="WEW44" s="468"/>
      <c r="WEX44" s="468"/>
      <c r="WEY44" s="468"/>
      <c r="WEZ44" s="468"/>
      <c r="WFA44" s="468"/>
      <c r="WFB44" s="468"/>
      <c r="WFC44" s="468"/>
      <c r="WFD44" s="468"/>
      <c r="WFE44" s="468"/>
      <c r="WFF44" s="468"/>
      <c r="WFG44" s="468"/>
      <c r="WFH44" s="468"/>
      <c r="WFI44" s="468"/>
      <c r="WFJ44" s="468"/>
      <c r="WFK44" s="468"/>
      <c r="WFL44" s="468"/>
      <c r="WFM44" s="468"/>
      <c r="WFN44" s="468"/>
      <c r="WFO44" s="468"/>
      <c r="WFP44" s="468"/>
      <c r="WFQ44" s="468"/>
      <c r="WFR44" s="468"/>
      <c r="WFS44" s="468"/>
      <c r="WFT44" s="468"/>
      <c r="WFU44" s="468"/>
      <c r="WFV44" s="468"/>
      <c r="WFW44" s="468"/>
      <c r="WFX44" s="468"/>
      <c r="WFY44" s="468"/>
      <c r="WFZ44" s="468"/>
      <c r="WGA44" s="468"/>
      <c r="WGB44" s="468"/>
      <c r="WGC44" s="468"/>
      <c r="WGD44" s="468"/>
      <c r="WGE44" s="468"/>
      <c r="WGF44" s="468"/>
      <c r="WGG44" s="468"/>
      <c r="WGH44" s="468"/>
      <c r="WGI44" s="468"/>
      <c r="WGJ44" s="468"/>
      <c r="WGK44" s="468"/>
      <c r="WGL44" s="468"/>
      <c r="WGM44" s="468"/>
      <c r="WGN44" s="468"/>
      <c r="WGO44" s="468"/>
      <c r="WGP44" s="468"/>
      <c r="WGQ44" s="468"/>
      <c r="WGR44" s="468"/>
      <c r="WGS44" s="468"/>
      <c r="WGT44" s="468"/>
      <c r="WGU44" s="468"/>
      <c r="WGV44" s="468"/>
      <c r="WGW44" s="468"/>
      <c r="WGX44" s="468"/>
      <c r="WGY44" s="468"/>
      <c r="WGZ44" s="468"/>
      <c r="WHA44" s="468"/>
      <c r="WHB44" s="468"/>
      <c r="WHC44" s="468"/>
      <c r="WHD44" s="468"/>
      <c r="WHE44" s="468"/>
      <c r="WHF44" s="468"/>
      <c r="WHG44" s="468"/>
      <c r="WHH44" s="468"/>
      <c r="WHI44" s="468"/>
      <c r="WHJ44" s="468"/>
      <c r="WHK44" s="468"/>
      <c r="WHL44" s="468"/>
      <c r="WHM44" s="468"/>
      <c r="WHN44" s="468"/>
      <c r="WHO44" s="468"/>
      <c r="WHP44" s="468"/>
      <c r="WHQ44" s="468"/>
      <c r="WHR44" s="468"/>
      <c r="WHS44" s="468"/>
      <c r="WHT44" s="468"/>
      <c r="WHU44" s="468"/>
      <c r="WHV44" s="468"/>
      <c r="WHW44" s="468"/>
      <c r="WHX44" s="468"/>
      <c r="WHY44" s="468"/>
      <c r="WHZ44" s="468"/>
      <c r="WIA44" s="468"/>
      <c r="WIB44" s="468"/>
      <c r="WIC44" s="468"/>
      <c r="WID44" s="468"/>
      <c r="WIE44" s="468"/>
      <c r="WIF44" s="468"/>
      <c r="WIG44" s="468"/>
      <c r="WIH44" s="468"/>
      <c r="WII44" s="468"/>
      <c r="WIJ44" s="468"/>
      <c r="WIK44" s="468"/>
      <c r="WIL44" s="468"/>
      <c r="WIM44" s="468"/>
      <c r="WIN44" s="468"/>
      <c r="WIO44" s="468"/>
      <c r="WIP44" s="468"/>
      <c r="WIQ44" s="468"/>
      <c r="WIR44" s="468"/>
      <c r="WIS44" s="468"/>
      <c r="WIT44" s="468"/>
      <c r="WIU44" s="468"/>
      <c r="WIV44" s="468"/>
      <c r="WIW44" s="468"/>
      <c r="WIX44" s="468"/>
      <c r="WIY44" s="468"/>
      <c r="WIZ44" s="468"/>
      <c r="WJA44" s="468"/>
      <c r="WJB44" s="468"/>
      <c r="WJC44" s="468"/>
      <c r="WJD44" s="468"/>
      <c r="WJE44" s="468"/>
      <c r="WJF44" s="468"/>
      <c r="WJG44" s="468"/>
      <c r="WJH44" s="468"/>
      <c r="WJI44" s="468"/>
      <c r="WJJ44" s="468"/>
      <c r="WJK44" s="468"/>
      <c r="WJL44" s="468"/>
      <c r="WJM44" s="468"/>
      <c r="WJN44" s="468"/>
      <c r="WJO44" s="468"/>
      <c r="WJP44" s="468"/>
      <c r="WJQ44" s="468"/>
      <c r="WJR44" s="468"/>
      <c r="WJS44" s="468"/>
      <c r="WJT44" s="468"/>
      <c r="WJU44" s="468"/>
      <c r="WJV44" s="468"/>
      <c r="WJW44" s="468"/>
      <c r="WJX44" s="468"/>
      <c r="WJY44" s="468"/>
      <c r="WJZ44" s="468"/>
      <c r="WKA44" s="468"/>
      <c r="WKB44" s="468"/>
      <c r="WKC44" s="468"/>
      <c r="WKD44" s="468"/>
      <c r="WKE44" s="468"/>
      <c r="WKF44" s="468"/>
      <c r="WKG44" s="468"/>
      <c r="WKH44" s="468"/>
      <c r="WKI44" s="468"/>
      <c r="WKJ44" s="468"/>
      <c r="WKK44" s="468"/>
      <c r="WKL44" s="468"/>
      <c r="WKM44" s="468"/>
      <c r="WKN44" s="468"/>
      <c r="WKO44" s="468"/>
      <c r="WKP44" s="468"/>
      <c r="WKQ44" s="468"/>
      <c r="WKR44" s="468"/>
      <c r="WKS44" s="468"/>
      <c r="WKT44" s="468"/>
      <c r="WKU44" s="468"/>
      <c r="WKV44" s="468"/>
      <c r="WKW44" s="468"/>
      <c r="WKX44" s="468"/>
      <c r="WKY44" s="468"/>
      <c r="WKZ44" s="468"/>
      <c r="WLA44" s="468"/>
      <c r="WLB44" s="468"/>
      <c r="WLC44" s="468"/>
      <c r="WLD44" s="468"/>
      <c r="WLE44" s="468"/>
      <c r="WLF44" s="468"/>
      <c r="WLG44" s="468"/>
      <c r="WLH44" s="468"/>
      <c r="WLI44" s="468"/>
      <c r="WLJ44" s="468"/>
      <c r="WLK44" s="468"/>
      <c r="WLL44" s="468"/>
      <c r="WLM44" s="468"/>
      <c r="WLN44" s="468"/>
      <c r="WLO44" s="468"/>
      <c r="WLP44" s="468"/>
      <c r="WLQ44" s="468"/>
      <c r="WLR44" s="468"/>
      <c r="WLS44" s="468"/>
      <c r="WLT44" s="468"/>
      <c r="WLU44" s="468"/>
      <c r="WLV44" s="468"/>
      <c r="WLW44" s="468"/>
      <c r="WLX44" s="468"/>
      <c r="WLY44" s="468"/>
      <c r="WLZ44" s="468"/>
      <c r="WMA44" s="468"/>
      <c r="WMB44" s="468"/>
      <c r="WMC44" s="468"/>
      <c r="WMD44" s="468"/>
      <c r="WME44" s="468"/>
      <c r="WMF44" s="468"/>
      <c r="WMG44" s="468"/>
      <c r="WMH44" s="468"/>
      <c r="WMI44" s="468"/>
      <c r="WMJ44" s="468"/>
      <c r="WMK44" s="468"/>
      <c r="WML44" s="468"/>
      <c r="WMM44" s="468"/>
      <c r="WMN44" s="468"/>
      <c r="WMO44" s="468"/>
      <c r="WMP44" s="468"/>
      <c r="WMQ44" s="468"/>
      <c r="WMR44" s="468"/>
      <c r="WMS44" s="468"/>
      <c r="WMT44" s="468"/>
      <c r="WMU44" s="468"/>
      <c r="WMV44" s="468"/>
      <c r="WMW44" s="468"/>
      <c r="WMX44" s="468"/>
      <c r="WMY44" s="468"/>
      <c r="WMZ44" s="468"/>
      <c r="WNA44" s="468"/>
      <c r="WNB44" s="468"/>
      <c r="WNC44" s="468"/>
      <c r="WND44" s="468"/>
      <c r="WNE44" s="468"/>
      <c r="WNF44" s="468"/>
      <c r="WNG44" s="468"/>
      <c r="WNH44" s="468"/>
      <c r="WNI44" s="468"/>
      <c r="WNJ44" s="468"/>
      <c r="WNK44" s="468"/>
      <c r="WNL44" s="468"/>
      <c r="WNM44" s="468"/>
      <c r="WNN44" s="468"/>
      <c r="WNO44" s="468"/>
      <c r="WNP44" s="468"/>
      <c r="WNQ44" s="468"/>
      <c r="WNR44" s="468"/>
      <c r="WNS44" s="468"/>
      <c r="WNT44" s="468"/>
      <c r="WNU44" s="468"/>
      <c r="WNV44" s="468"/>
      <c r="WNW44" s="468"/>
      <c r="WNX44" s="468"/>
      <c r="WNY44" s="468"/>
      <c r="WNZ44" s="468"/>
      <c r="WOA44" s="468"/>
      <c r="WOB44" s="468"/>
      <c r="WOC44" s="468"/>
      <c r="WOD44" s="468"/>
      <c r="WOE44" s="468"/>
      <c r="WOF44" s="468"/>
      <c r="WOG44" s="468"/>
      <c r="WOH44" s="468"/>
      <c r="WOI44" s="468"/>
      <c r="WOJ44" s="468"/>
      <c r="WOK44" s="468"/>
      <c r="WOL44" s="468"/>
      <c r="WOM44" s="468"/>
      <c r="WON44" s="468"/>
      <c r="WOO44" s="468"/>
      <c r="WOP44" s="468"/>
      <c r="WOQ44" s="468"/>
      <c r="WOR44" s="468"/>
      <c r="WOS44" s="468"/>
      <c r="WOT44" s="468"/>
      <c r="WOU44" s="468"/>
      <c r="WOV44" s="468"/>
      <c r="WOW44" s="468"/>
      <c r="WOX44" s="468"/>
      <c r="WOY44" s="468"/>
      <c r="WOZ44" s="468"/>
      <c r="WPA44" s="468"/>
      <c r="WPB44" s="468"/>
      <c r="WPC44" s="468"/>
      <c r="WPD44" s="468"/>
      <c r="WPE44" s="468"/>
      <c r="WPF44" s="468"/>
      <c r="WPG44" s="468"/>
      <c r="WPH44" s="468"/>
      <c r="WPI44" s="468"/>
      <c r="WPJ44" s="468"/>
      <c r="WPK44" s="468"/>
      <c r="WPL44" s="468"/>
      <c r="WPM44" s="468"/>
      <c r="WPN44" s="468"/>
      <c r="WPO44" s="468"/>
      <c r="WPP44" s="468"/>
      <c r="WPQ44" s="468"/>
      <c r="WPR44" s="468"/>
      <c r="WPS44" s="468"/>
      <c r="WPT44" s="468"/>
      <c r="WPU44" s="468"/>
      <c r="WPV44" s="468"/>
      <c r="WPW44" s="468"/>
      <c r="WPX44" s="468"/>
      <c r="WPY44" s="468"/>
      <c r="WPZ44" s="468"/>
      <c r="WQA44" s="468"/>
      <c r="WQB44" s="468"/>
      <c r="WQC44" s="468"/>
      <c r="WQD44" s="468"/>
      <c r="WQE44" s="468"/>
      <c r="WQF44" s="468"/>
      <c r="WQG44" s="468"/>
      <c r="WQH44" s="468"/>
      <c r="WQI44" s="468"/>
      <c r="WQJ44" s="468"/>
      <c r="WQK44" s="468"/>
      <c r="WQL44" s="468"/>
      <c r="WQM44" s="468"/>
      <c r="WQN44" s="468"/>
      <c r="WQO44" s="468"/>
      <c r="WQP44" s="468"/>
      <c r="WQQ44" s="468"/>
      <c r="WQR44" s="468"/>
      <c r="WQS44" s="468"/>
      <c r="WQT44" s="468"/>
      <c r="WQU44" s="468"/>
      <c r="WQV44" s="468"/>
      <c r="WQW44" s="468"/>
      <c r="WQX44" s="468"/>
      <c r="WQY44" s="468"/>
      <c r="WQZ44" s="468"/>
      <c r="WRA44" s="468"/>
      <c r="WRB44" s="468"/>
      <c r="WRC44" s="468"/>
      <c r="WRD44" s="468"/>
      <c r="WRE44" s="468"/>
      <c r="WRF44" s="468"/>
      <c r="WRG44" s="468"/>
      <c r="WRH44" s="468"/>
      <c r="WRI44" s="468"/>
      <c r="WRJ44" s="468"/>
      <c r="WRK44" s="468"/>
      <c r="WRL44" s="468"/>
      <c r="WRM44" s="468"/>
      <c r="WRN44" s="468"/>
      <c r="WRO44" s="468"/>
      <c r="WRP44" s="468"/>
      <c r="WRQ44" s="468"/>
      <c r="WRR44" s="468"/>
      <c r="WRS44" s="468"/>
      <c r="WRT44" s="468"/>
      <c r="WRU44" s="468"/>
      <c r="WRV44" s="468"/>
      <c r="WRW44" s="468"/>
      <c r="WRX44" s="468"/>
      <c r="WRY44" s="468"/>
      <c r="WRZ44" s="468"/>
      <c r="WSA44" s="468"/>
      <c r="WSB44" s="468"/>
      <c r="WSC44" s="468"/>
      <c r="WSD44" s="468"/>
      <c r="WSE44" s="468"/>
      <c r="WSF44" s="468"/>
      <c r="WSG44" s="468"/>
      <c r="WSH44" s="468"/>
      <c r="WSI44" s="468"/>
      <c r="WSJ44" s="468"/>
      <c r="WSK44" s="468"/>
      <c r="WSL44" s="468"/>
      <c r="WSM44" s="468"/>
      <c r="WSN44" s="468"/>
      <c r="WSO44" s="468"/>
      <c r="WSP44" s="468"/>
      <c r="WSQ44" s="468"/>
      <c r="WSR44" s="468"/>
      <c r="WSS44" s="468"/>
      <c r="WST44" s="468"/>
      <c r="WSU44" s="468"/>
      <c r="WSV44" s="468"/>
      <c r="WSW44" s="468"/>
      <c r="WSX44" s="468"/>
      <c r="WSY44" s="468"/>
      <c r="WSZ44" s="468"/>
      <c r="WTA44" s="468"/>
      <c r="WTB44" s="468"/>
      <c r="WTC44" s="468"/>
      <c r="WTD44" s="468"/>
      <c r="WTE44" s="468"/>
      <c r="WTF44" s="468"/>
      <c r="WTG44" s="468"/>
      <c r="WTH44" s="468"/>
      <c r="WTI44" s="468"/>
      <c r="WTJ44" s="468"/>
      <c r="WTK44" s="468"/>
      <c r="WTL44" s="468"/>
      <c r="WTM44" s="468"/>
      <c r="WTN44" s="468"/>
      <c r="WTO44" s="468"/>
      <c r="WTP44" s="468"/>
      <c r="WTQ44" s="468"/>
      <c r="WTR44" s="468"/>
      <c r="WTS44" s="468"/>
      <c r="WTT44" s="468"/>
      <c r="WTU44" s="468"/>
      <c r="WTV44" s="468"/>
      <c r="WTW44" s="468"/>
      <c r="WTX44" s="468"/>
      <c r="WTY44" s="468"/>
      <c r="WTZ44" s="468"/>
      <c r="WUA44" s="468"/>
      <c r="WUB44" s="468"/>
      <c r="WUC44" s="468"/>
      <c r="WUD44" s="468"/>
      <c r="WUE44" s="468"/>
      <c r="WUF44" s="468"/>
      <c r="WUG44" s="468"/>
      <c r="WUH44" s="468"/>
      <c r="WUI44" s="468"/>
      <c r="WUJ44" s="468"/>
      <c r="WUK44" s="468"/>
      <c r="WUL44" s="468"/>
      <c r="WUM44" s="468"/>
      <c r="WUN44" s="468"/>
      <c r="WUO44" s="468"/>
      <c r="WUP44" s="468"/>
      <c r="WUQ44" s="468"/>
      <c r="WUR44" s="468"/>
      <c r="WUS44" s="468"/>
      <c r="WUT44" s="468"/>
      <c r="WUU44" s="468"/>
      <c r="WUV44" s="468"/>
      <c r="WUW44" s="468"/>
      <c r="WUX44" s="468"/>
      <c r="WUY44" s="468"/>
      <c r="WUZ44" s="468"/>
      <c r="WVA44" s="468"/>
      <c r="WVB44" s="468"/>
      <c r="WVC44" s="468"/>
      <c r="WVD44" s="468"/>
      <c r="WVE44" s="468"/>
      <c r="WVF44" s="468"/>
      <c r="WVG44" s="468"/>
      <c r="WVH44" s="468"/>
      <c r="WVI44" s="468"/>
      <c r="WVJ44" s="468"/>
      <c r="WVK44" s="468"/>
      <c r="WVL44" s="468"/>
      <c r="WVM44" s="468"/>
      <c r="WVN44" s="468"/>
      <c r="WVO44" s="468"/>
      <c r="WVP44" s="468"/>
      <c r="WVQ44" s="468"/>
      <c r="WVR44" s="468"/>
      <c r="WVS44" s="468"/>
      <c r="WVT44" s="468"/>
      <c r="WVU44" s="468"/>
      <c r="WVV44" s="468"/>
      <c r="WVW44" s="468"/>
      <c r="WVX44" s="468"/>
      <c r="WVY44" s="468"/>
      <c r="WVZ44" s="468"/>
      <c r="WWA44" s="468"/>
      <c r="WWB44" s="468"/>
      <c r="WWC44" s="468"/>
      <c r="WWD44" s="468"/>
      <c r="WWE44" s="468"/>
      <c r="WWF44" s="468"/>
      <c r="WWG44" s="468"/>
      <c r="WWH44" s="468"/>
      <c r="WWI44" s="468"/>
      <c r="WWJ44" s="468"/>
      <c r="WWK44" s="468"/>
      <c r="WWL44" s="468"/>
      <c r="WWM44" s="468"/>
      <c r="WWN44" s="468"/>
      <c r="WWO44" s="468"/>
      <c r="WWP44" s="468"/>
      <c r="WWQ44" s="468"/>
      <c r="WWR44" s="468"/>
      <c r="WWS44" s="468"/>
      <c r="WWT44" s="468"/>
      <c r="WWU44" s="468"/>
      <c r="WWV44" s="468"/>
      <c r="WWW44" s="468"/>
      <c r="WWX44" s="468"/>
      <c r="WWY44" s="468"/>
      <c r="WWZ44" s="468"/>
      <c r="WXA44" s="468"/>
      <c r="WXB44" s="468"/>
      <c r="WXC44" s="468"/>
      <c r="WXD44" s="468"/>
      <c r="WXE44" s="468"/>
      <c r="WXF44" s="468"/>
      <c r="WXG44" s="468"/>
      <c r="WXH44" s="468"/>
      <c r="WXI44" s="468"/>
      <c r="WXJ44" s="468"/>
      <c r="WXK44" s="468"/>
      <c r="WXL44" s="468"/>
      <c r="WXM44" s="468"/>
      <c r="WXN44" s="468"/>
      <c r="WXO44" s="468"/>
      <c r="WXP44" s="468"/>
      <c r="WXQ44" s="468"/>
      <c r="WXR44" s="468"/>
      <c r="WXS44" s="468"/>
      <c r="WXT44" s="468"/>
      <c r="WXU44" s="468"/>
      <c r="WXV44" s="468"/>
      <c r="WXW44" s="468"/>
      <c r="WXX44" s="468"/>
      <c r="WXY44" s="468"/>
      <c r="WXZ44" s="468"/>
      <c r="WYA44" s="468"/>
      <c r="WYB44" s="468"/>
      <c r="WYC44" s="468"/>
      <c r="WYD44" s="468"/>
      <c r="WYE44" s="468"/>
      <c r="WYF44" s="468"/>
      <c r="WYG44" s="468"/>
      <c r="WYH44" s="468"/>
      <c r="WYI44" s="468"/>
      <c r="WYJ44" s="468"/>
      <c r="WYK44" s="468"/>
      <c r="WYL44" s="468"/>
      <c r="WYM44" s="468"/>
      <c r="WYN44" s="468"/>
      <c r="WYO44" s="468"/>
      <c r="WYP44" s="468"/>
      <c r="WYQ44" s="468"/>
      <c r="WYR44" s="468"/>
      <c r="WYS44" s="468"/>
      <c r="WYT44" s="468"/>
      <c r="WYU44" s="468"/>
      <c r="WYV44" s="468"/>
      <c r="WYW44" s="468"/>
      <c r="WYX44" s="468"/>
      <c r="WYY44" s="468"/>
      <c r="WYZ44" s="468"/>
      <c r="WZA44" s="468"/>
      <c r="WZB44" s="468"/>
      <c r="WZC44" s="468"/>
      <c r="WZD44" s="468"/>
      <c r="WZE44" s="468"/>
      <c r="WZF44" s="468"/>
      <c r="WZG44" s="468"/>
      <c r="WZH44" s="468"/>
      <c r="WZI44" s="468"/>
      <c r="WZJ44" s="468"/>
      <c r="WZK44" s="468"/>
      <c r="WZL44" s="468"/>
      <c r="WZM44" s="468"/>
      <c r="WZN44" s="468"/>
      <c r="WZO44" s="468"/>
      <c r="WZP44" s="468"/>
      <c r="WZQ44" s="468"/>
      <c r="WZR44" s="468"/>
      <c r="WZS44" s="468"/>
      <c r="WZT44" s="468"/>
      <c r="WZU44" s="468"/>
      <c r="WZV44" s="468"/>
      <c r="WZW44" s="468"/>
      <c r="WZX44" s="468"/>
      <c r="WZY44" s="468"/>
      <c r="WZZ44" s="468"/>
      <c r="XAA44" s="468"/>
      <c r="XAB44" s="468"/>
      <c r="XAC44" s="468"/>
      <c r="XAD44" s="468"/>
      <c r="XAE44" s="468"/>
      <c r="XAF44" s="468"/>
      <c r="XAG44" s="468"/>
      <c r="XAH44" s="468"/>
      <c r="XAI44" s="468"/>
      <c r="XAJ44" s="468"/>
      <c r="XAK44" s="468"/>
      <c r="XAL44" s="468"/>
      <c r="XAM44" s="468"/>
      <c r="XAN44" s="468"/>
      <c r="XAO44" s="468"/>
      <c r="XAP44" s="468"/>
      <c r="XAQ44" s="468"/>
      <c r="XAR44" s="468"/>
      <c r="XAS44" s="468"/>
      <c r="XAT44" s="468"/>
      <c r="XAU44" s="468"/>
      <c r="XAV44" s="468"/>
      <c r="XAW44" s="468"/>
      <c r="XAX44" s="468"/>
      <c r="XAY44" s="468"/>
      <c r="XAZ44" s="468"/>
      <c r="XBA44" s="468"/>
      <c r="XBB44" s="468"/>
      <c r="XBC44" s="468"/>
      <c r="XBD44" s="468"/>
      <c r="XBE44" s="468"/>
      <c r="XBF44" s="468"/>
      <c r="XBG44" s="468"/>
      <c r="XBH44" s="468"/>
      <c r="XBI44" s="468"/>
      <c r="XBJ44" s="468"/>
      <c r="XBK44" s="468"/>
      <c r="XBL44" s="468"/>
      <c r="XBM44" s="468"/>
      <c r="XBN44" s="468"/>
      <c r="XBO44" s="468"/>
      <c r="XBP44" s="468"/>
      <c r="XBQ44" s="468"/>
      <c r="XBR44" s="468"/>
      <c r="XBS44" s="468"/>
      <c r="XBT44" s="468"/>
      <c r="XBU44" s="468"/>
      <c r="XBV44" s="468"/>
      <c r="XBW44" s="468"/>
      <c r="XBX44" s="468"/>
      <c r="XBY44" s="468"/>
      <c r="XBZ44" s="468"/>
      <c r="XCA44" s="468"/>
      <c r="XCB44" s="468"/>
      <c r="XCC44" s="468"/>
      <c r="XCD44" s="468"/>
      <c r="XCE44" s="468"/>
      <c r="XCF44" s="468"/>
      <c r="XCG44" s="468"/>
      <c r="XCH44" s="468"/>
      <c r="XCI44" s="468"/>
      <c r="XCJ44" s="468"/>
      <c r="XCK44" s="468"/>
      <c r="XCL44" s="468"/>
      <c r="XCM44" s="468"/>
      <c r="XCN44" s="468"/>
      <c r="XCO44" s="468"/>
      <c r="XCP44" s="468"/>
      <c r="XCQ44" s="468"/>
      <c r="XCR44" s="468"/>
      <c r="XCS44" s="468"/>
      <c r="XCT44" s="468"/>
      <c r="XCU44" s="468"/>
      <c r="XCV44" s="468"/>
      <c r="XCW44" s="468"/>
      <c r="XCX44" s="468"/>
      <c r="XCY44" s="468"/>
      <c r="XCZ44" s="468"/>
      <c r="XDA44" s="468"/>
      <c r="XDB44" s="468"/>
      <c r="XDC44" s="468"/>
      <c r="XDD44" s="468"/>
      <c r="XDE44" s="468"/>
      <c r="XDF44" s="468"/>
      <c r="XDG44" s="468"/>
      <c r="XDH44" s="468"/>
      <c r="XDI44" s="468"/>
      <c r="XDJ44" s="468"/>
      <c r="XDK44" s="468"/>
      <c r="XDL44" s="468"/>
      <c r="XDM44" s="468"/>
      <c r="XDN44" s="468"/>
      <c r="XDO44" s="468"/>
      <c r="XDP44" s="468"/>
      <c r="XDQ44" s="468"/>
      <c r="XDR44" s="468"/>
      <c r="XDS44" s="468"/>
      <c r="XDT44" s="468"/>
      <c r="XDU44" s="468"/>
      <c r="XDV44" s="468"/>
      <c r="XDW44" s="468"/>
      <c r="XDX44" s="468"/>
      <c r="XDY44" s="468"/>
      <c r="XDZ44" s="468"/>
      <c r="XEA44" s="468"/>
      <c r="XEB44" s="468"/>
      <c r="XEC44" s="468"/>
      <c r="XED44" s="468"/>
      <c r="XEE44" s="468"/>
      <c r="XEF44" s="468"/>
      <c r="XEG44" s="468"/>
      <c r="XEH44" s="468"/>
      <c r="XEI44" s="468"/>
      <c r="XEJ44" s="468"/>
      <c r="XEK44" s="468"/>
      <c r="XEL44" s="468"/>
      <c r="XEM44" s="468"/>
      <c r="XEN44" s="468"/>
      <c r="XEO44" s="468"/>
      <c r="XEP44" s="468"/>
      <c r="XEQ44" s="468"/>
      <c r="XER44" s="468"/>
      <c r="XES44" s="468"/>
      <c r="XET44" s="468"/>
      <c r="XEU44" s="468"/>
    </row>
    <row r="45" spans="1:16375" ht="15.6" x14ac:dyDescent="0.3">
      <c r="A45" s="508" t="s">
        <v>1166</v>
      </c>
      <c r="B45" s="468">
        <v>76774</v>
      </c>
      <c r="C45" s="467" t="s">
        <v>1263</v>
      </c>
      <c r="D45" s="508">
        <v>4512922514</v>
      </c>
      <c r="E45" s="469">
        <v>46140</v>
      </c>
      <c r="F45" s="468" t="s">
        <v>1264</v>
      </c>
      <c r="G45" s="468" t="s">
        <v>1168</v>
      </c>
      <c r="H45" s="468" t="s">
        <v>1169</v>
      </c>
      <c r="I45" s="468" t="s">
        <v>1170</v>
      </c>
      <c r="J45" s="468" t="s">
        <v>456</v>
      </c>
      <c r="K45" s="509">
        <v>2146.42</v>
      </c>
      <c r="L45" s="468"/>
      <c r="M45" s="471">
        <v>3670</v>
      </c>
      <c r="N45" s="471">
        <v>660.6</v>
      </c>
      <c r="O45" s="471">
        <v>4330.6000000000004</v>
      </c>
      <c r="P45" s="471" t="e">
        <f>+O45*#REF!</f>
        <v>#REF!</v>
      </c>
      <c r="Q45" s="468" t="s">
        <v>1254</v>
      </c>
      <c r="R45" s="469"/>
      <c r="S45" s="468"/>
      <c r="T45" s="468"/>
      <c r="U45" s="468"/>
      <c r="V45" s="468"/>
      <c r="W45" s="468"/>
      <c r="X45" s="468"/>
      <c r="Y45" s="468"/>
      <c r="Z45" s="468"/>
      <c r="AA45" s="468" t="s">
        <v>1265</v>
      </c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8"/>
      <c r="DF45" s="468"/>
      <c r="DG45" s="468"/>
      <c r="DH45" s="468"/>
      <c r="DI45" s="468"/>
      <c r="DJ45" s="468"/>
      <c r="DK45" s="468"/>
      <c r="DL45" s="468"/>
      <c r="DM45" s="468"/>
      <c r="DN45" s="468"/>
      <c r="DO45" s="468"/>
      <c r="DP45" s="468"/>
      <c r="DQ45" s="468"/>
      <c r="DR45" s="468"/>
      <c r="DS45" s="468"/>
      <c r="DT45" s="468"/>
      <c r="DU45" s="468"/>
      <c r="DV45" s="468"/>
      <c r="DW45" s="468"/>
      <c r="DX45" s="468"/>
      <c r="DY45" s="468"/>
      <c r="DZ45" s="468"/>
      <c r="EA45" s="468"/>
      <c r="EB45" s="468"/>
      <c r="EC45" s="468"/>
      <c r="ED45" s="468"/>
      <c r="EE45" s="468"/>
      <c r="EF45" s="468"/>
      <c r="EG45" s="468"/>
      <c r="EH45" s="468"/>
      <c r="EI45" s="468"/>
      <c r="EJ45" s="468"/>
      <c r="EK45" s="468"/>
      <c r="EL45" s="468"/>
      <c r="EM45" s="468"/>
      <c r="EN45" s="468"/>
      <c r="EO45" s="468"/>
      <c r="EP45" s="468"/>
      <c r="EQ45" s="468"/>
      <c r="ER45" s="468"/>
      <c r="ES45" s="468"/>
      <c r="ET45" s="468"/>
      <c r="EU45" s="468"/>
      <c r="EV45" s="468"/>
      <c r="EW45" s="468"/>
      <c r="EX45" s="468"/>
      <c r="EY45" s="468"/>
      <c r="EZ45" s="468"/>
      <c r="FA45" s="468"/>
      <c r="FB45" s="468"/>
      <c r="FC45" s="468"/>
      <c r="FD45" s="468"/>
      <c r="FE45" s="468"/>
      <c r="FF45" s="468"/>
      <c r="FG45" s="468"/>
      <c r="FH45" s="468"/>
      <c r="FI45" s="468"/>
      <c r="FJ45" s="468"/>
      <c r="FK45" s="468"/>
      <c r="FL45" s="468"/>
      <c r="FM45" s="468"/>
      <c r="FN45" s="468"/>
      <c r="FO45" s="468"/>
      <c r="FP45" s="468"/>
      <c r="FQ45" s="468"/>
      <c r="FR45" s="468"/>
      <c r="FS45" s="468"/>
      <c r="FT45" s="468"/>
      <c r="FU45" s="468"/>
      <c r="FV45" s="468"/>
      <c r="FW45" s="468"/>
      <c r="FX45" s="468"/>
      <c r="FY45" s="468"/>
      <c r="FZ45" s="468"/>
      <c r="GA45" s="468"/>
      <c r="GB45" s="468"/>
      <c r="GC45" s="468"/>
      <c r="GD45" s="468"/>
      <c r="GE45" s="468"/>
      <c r="GF45" s="468"/>
      <c r="GG45" s="468"/>
      <c r="GH45" s="468"/>
      <c r="GI45" s="468"/>
      <c r="GJ45" s="468"/>
      <c r="GK45" s="468"/>
      <c r="GL45" s="468"/>
      <c r="GM45" s="468"/>
      <c r="GN45" s="468"/>
      <c r="GO45" s="468"/>
      <c r="GP45" s="468"/>
      <c r="GQ45" s="468"/>
      <c r="GR45" s="468"/>
      <c r="GS45" s="468"/>
      <c r="GT45" s="468"/>
      <c r="GU45" s="468"/>
      <c r="GV45" s="468"/>
      <c r="GW45" s="468"/>
      <c r="GX45" s="468"/>
      <c r="GY45" s="468"/>
      <c r="GZ45" s="468"/>
      <c r="HA45" s="468"/>
      <c r="HB45" s="468"/>
      <c r="HC45" s="468"/>
      <c r="HD45" s="468"/>
      <c r="HE45" s="468"/>
      <c r="HF45" s="468"/>
      <c r="HG45" s="468"/>
      <c r="HH45" s="468"/>
      <c r="HI45" s="468"/>
      <c r="HJ45" s="468"/>
      <c r="HK45" s="468"/>
      <c r="HL45" s="468"/>
      <c r="HM45" s="468"/>
      <c r="HN45" s="468"/>
      <c r="HO45" s="468"/>
      <c r="HP45" s="468"/>
      <c r="HQ45" s="468"/>
      <c r="HR45" s="468"/>
      <c r="HS45" s="468"/>
      <c r="HT45" s="468"/>
      <c r="HU45" s="468"/>
      <c r="HV45" s="468"/>
      <c r="HW45" s="468"/>
      <c r="HX45" s="468"/>
      <c r="HY45" s="468"/>
      <c r="HZ45" s="468"/>
      <c r="IA45" s="468"/>
      <c r="IB45" s="468"/>
      <c r="IC45" s="468"/>
      <c r="ID45" s="468"/>
      <c r="IE45" s="468"/>
      <c r="IF45" s="468"/>
      <c r="IG45" s="468"/>
      <c r="IH45" s="468"/>
      <c r="II45" s="468"/>
      <c r="IJ45" s="468"/>
      <c r="IK45" s="468"/>
      <c r="IL45" s="468"/>
      <c r="IM45" s="468"/>
      <c r="IN45" s="468"/>
      <c r="IO45" s="468"/>
      <c r="IP45" s="468"/>
      <c r="IQ45" s="468"/>
      <c r="IR45" s="468"/>
      <c r="IS45" s="468"/>
      <c r="IT45" s="468"/>
      <c r="IU45" s="468"/>
      <c r="IV45" s="468"/>
      <c r="IW45" s="468"/>
      <c r="IX45" s="468"/>
      <c r="IY45" s="468"/>
      <c r="IZ45" s="468"/>
      <c r="JA45" s="468"/>
      <c r="JB45" s="468"/>
      <c r="JC45" s="468"/>
      <c r="JD45" s="468"/>
      <c r="JE45" s="468"/>
      <c r="JF45" s="468"/>
      <c r="JG45" s="468"/>
      <c r="JH45" s="468"/>
      <c r="JI45" s="468"/>
      <c r="JJ45" s="468"/>
      <c r="JK45" s="468"/>
      <c r="JL45" s="468"/>
      <c r="JM45" s="468"/>
      <c r="JN45" s="468"/>
      <c r="JO45" s="468"/>
      <c r="JP45" s="468"/>
      <c r="JQ45" s="468"/>
      <c r="JR45" s="468"/>
      <c r="JS45" s="468"/>
      <c r="JT45" s="468"/>
      <c r="JU45" s="468"/>
      <c r="JV45" s="468"/>
      <c r="JW45" s="468"/>
      <c r="JX45" s="468"/>
      <c r="JY45" s="468"/>
      <c r="JZ45" s="468"/>
      <c r="KA45" s="468"/>
      <c r="KB45" s="468"/>
      <c r="KC45" s="468"/>
      <c r="KD45" s="468"/>
      <c r="KE45" s="468"/>
      <c r="KF45" s="468"/>
      <c r="KG45" s="468"/>
      <c r="KH45" s="468"/>
      <c r="KI45" s="468"/>
      <c r="KJ45" s="468"/>
      <c r="KK45" s="468"/>
      <c r="KL45" s="468"/>
      <c r="KM45" s="468"/>
      <c r="KN45" s="468"/>
      <c r="KO45" s="468"/>
      <c r="KP45" s="468"/>
      <c r="KQ45" s="468"/>
      <c r="KR45" s="468"/>
      <c r="KS45" s="468"/>
      <c r="KT45" s="468"/>
      <c r="KU45" s="468"/>
      <c r="KV45" s="468"/>
      <c r="KW45" s="468"/>
      <c r="KX45" s="468"/>
      <c r="KY45" s="468"/>
      <c r="KZ45" s="468"/>
      <c r="LA45" s="468"/>
      <c r="LB45" s="468"/>
      <c r="LC45" s="468"/>
      <c r="LD45" s="468"/>
      <c r="LE45" s="468"/>
      <c r="LF45" s="468"/>
      <c r="LG45" s="468"/>
      <c r="LH45" s="468"/>
      <c r="LI45" s="468"/>
      <c r="LJ45" s="468"/>
      <c r="LK45" s="468"/>
      <c r="LL45" s="468"/>
      <c r="LM45" s="468"/>
      <c r="LN45" s="468"/>
      <c r="LO45" s="468"/>
      <c r="LP45" s="468"/>
      <c r="LQ45" s="468"/>
      <c r="LR45" s="468"/>
      <c r="LS45" s="468"/>
      <c r="LT45" s="468"/>
      <c r="LU45" s="468"/>
      <c r="LV45" s="468"/>
      <c r="LW45" s="468"/>
      <c r="LX45" s="468"/>
      <c r="LY45" s="468"/>
      <c r="LZ45" s="468"/>
      <c r="MA45" s="468"/>
      <c r="MB45" s="468"/>
      <c r="MC45" s="468"/>
      <c r="MD45" s="468"/>
      <c r="ME45" s="468"/>
      <c r="MF45" s="468"/>
      <c r="MG45" s="468"/>
      <c r="MH45" s="468"/>
      <c r="MI45" s="468"/>
      <c r="MJ45" s="468"/>
      <c r="MK45" s="468"/>
      <c r="ML45" s="468"/>
      <c r="MM45" s="468"/>
      <c r="MN45" s="468"/>
      <c r="MO45" s="468"/>
      <c r="MP45" s="468"/>
      <c r="MQ45" s="468"/>
      <c r="MR45" s="468"/>
      <c r="MS45" s="468"/>
      <c r="MT45" s="468"/>
      <c r="MU45" s="468"/>
      <c r="MV45" s="468"/>
      <c r="MW45" s="468"/>
      <c r="MX45" s="468"/>
      <c r="MY45" s="468"/>
      <c r="MZ45" s="468"/>
      <c r="NA45" s="468"/>
      <c r="NB45" s="468"/>
      <c r="NC45" s="468"/>
      <c r="ND45" s="468"/>
      <c r="NE45" s="468"/>
      <c r="NF45" s="468"/>
      <c r="NG45" s="468"/>
      <c r="NH45" s="468"/>
      <c r="NI45" s="468"/>
      <c r="NJ45" s="468"/>
      <c r="NK45" s="468"/>
      <c r="NL45" s="468"/>
      <c r="NM45" s="468"/>
      <c r="NN45" s="468"/>
      <c r="NO45" s="468"/>
      <c r="NP45" s="468"/>
      <c r="NQ45" s="468"/>
      <c r="NR45" s="468"/>
      <c r="NS45" s="468"/>
      <c r="NT45" s="468"/>
      <c r="NU45" s="468"/>
      <c r="NV45" s="468"/>
      <c r="NW45" s="468"/>
      <c r="NX45" s="468"/>
      <c r="NY45" s="468"/>
      <c r="NZ45" s="468"/>
      <c r="OA45" s="468"/>
      <c r="OB45" s="468"/>
      <c r="OC45" s="468"/>
      <c r="OD45" s="468"/>
      <c r="OE45" s="468"/>
      <c r="OF45" s="468"/>
      <c r="OG45" s="468"/>
      <c r="OH45" s="468"/>
      <c r="OI45" s="468"/>
      <c r="OJ45" s="468"/>
      <c r="OK45" s="468"/>
      <c r="OL45" s="468"/>
      <c r="OM45" s="468"/>
      <c r="ON45" s="468"/>
      <c r="OO45" s="468"/>
      <c r="OP45" s="468"/>
      <c r="OQ45" s="468"/>
      <c r="OR45" s="468"/>
      <c r="OS45" s="468"/>
      <c r="OT45" s="468"/>
      <c r="OU45" s="468"/>
      <c r="OV45" s="468"/>
      <c r="OW45" s="468"/>
      <c r="OX45" s="468"/>
      <c r="OY45" s="468"/>
      <c r="OZ45" s="468"/>
      <c r="PA45" s="468"/>
      <c r="PB45" s="468"/>
      <c r="PC45" s="468"/>
      <c r="PD45" s="468"/>
      <c r="PE45" s="468"/>
      <c r="PF45" s="468"/>
      <c r="PG45" s="468"/>
      <c r="PH45" s="468"/>
      <c r="PI45" s="468"/>
      <c r="PJ45" s="468"/>
      <c r="PK45" s="468"/>
      <c r="PL45" s="468"/>
      <c r="PM45" s="468"/>
      <c r="PN45" s="468"/>
      <c r="PO45" s="468"/>
      <c r="PP45" s="468"/>
      <c r="PQ45" s="468"/>
      <c r="PR45" s="468"/>
      <c r="PS45" s="468"/>
      <c r="PT45" s="468"/>
      <c r="PU45" s="468"/>
      <c r="PV45" s="468"/>
      <c r="PW45" s="468"/>
      <c r="PX45" s="468"/>
      <c r="PY45" s="468"/>
      <c r="PZ45" s="468"/>
      <c r="QA45" s="468"/>
      <c r="QB45" s="468"/>
      <c r="QC45" s="468"/>
      <c r="QD45" s="468"/>
      <c r="QE45" s="468"/>
      <c r="QF45" s="468"/>
      <c r="QG45" s="468"/>
      <c r="QH45" s="468"/>
      <c r="QI45" s="468"/>
      <c r="QJ45" s="468"/>
      <c r="QK45" s="468"/>
      <c r="QL45" s="468"/>
      <c r="QM45" s="468"/>
      <c r="QN45" s="468"/>
      <c r="QO45" s="468"/>
      <c r="QP45" s="468"/>
      <c r="QQ45" s="468"/>
      <c r="QR45" s="468"/>
      <c r="QS45" s="468"/>
      <c r="QT45" s="468"/>
      <c r="QU45" s="468"/>
      <c r="QV45" s="468"/>
      <c r="QW45" s="468"/>
      <c r="QX45" s="468"/>
      <c r="QY45" s="468"/>
      <c r="QZ45" s="468"/>
      <c r="RA45" s="468"/>
      <c r="RB45" s="468"/>
      <c r="RC45" s="468"/>
      <c r="RD45" s="468"/>
      <c r="RE45" s="468"/>
      <c r="RF45" s="468"/>
      <c r="RG45" s="468"/>
      <c r="RH45" s="468"/>
      <c r="RI45" s="468"/>
      <c r="RJ45" s="468"/>
      <c r="RK45" s="468"/>
      <c r="RL45" s="468"/>
      <c r="RM45" s="468"/>
      <c r="RN45" s="468"/>
      <c r="RO45" s="468"/>
      <c r="RP45" s="468"/>
      <c r="RQ45" s="468"/>
      <c r="RR45" s="468"/>
      <c r="RS45" s="468"/>
      <c r="RT45" s="468"/>
      <c r="RU45" s="468"/>
      <c r="RV45" s="468"/>
      <c r="RW45" s="468"/>
      <c r="RX45" s="468"/>
      <c r="RY45" s="468"/>
      <c r="RZ45" s="468"/>
      <c r="SA45" s="468"/>
      <c r="SB45" s="468"/>
      <c r="SC45" s="468"/>
      <c r="SD45" s="468"/>
      <c r="SE45" s="468"/>
      <c r="SF45" s="468"/>
      <c r="SG45" s="468"/>
      <c r="SH45" s="468"/>
      <c r="SI45" s="468"/>
      <c r="SJ45" s="468"/>
      <c r="SK45" s="468"/>
      <c r="SL45" s="468"/>
      <c r="SM45" s="468"/>
      <c r="SN45" s="468"/>
      <c r="SO45" s="468"/>
      <c r="SP45" s="468"/>
      <c r="SQ45" s="468"/>
      <c r="SR45" s="468"/>
      <c r="SS45" s="468"/>
      <c r="ST45" s="468"/>
      <c r="SU45" s="468"/>
      <c r="SV45" s="468"/>
      <c r="SW45" s="468"/>
      <c r="SX45" s="468"/>
      <c r="SY45" s="468"/>
      <c r="SZ45" s="468"/>
      <c r="TA45" s="468"/>
      <c r="TB45" s="468"/>
      <c r="TC45" s="468"/>
      <c r="TD45" s="468"/>
      <c r="TE45" s="468"/>
      <c r="TF45" s="468"/>
      <c r="TG45" s="468"/>
      <c r="TH45" s="468"/>
      <c r="TI45" s="468"/>
      <c r="TJ45" s="468"/>
      <c r="TK45" s="468"/>
      <c r="TL45" s="468"/>
      <c r="TM45" s="468"/>
      <c r="TN45" s="468"/>
      <c r="TO45" s="468"/>
      <c r="TP45" s="468"/>
      <c r="TQ45" s="468"/>
      <c r="TR45" s="468"/>
      <c r="TS45" s="468"/>
      <c r="TT45" s="468"/>
      <c r="TU45" s="468"/>
      <c r="TV45" s="468"/>
      <c r="TW45" s="468"/>
      <c r="TX45" s="468"/>
      <c r="TY45" s="468"/>
      <c r="TZ45" s="468"/>
      <c r="UA45" s="468"/>
      <c r="UB45" s="468"/>
      <c r="UC45" s="468"/>
      <c r="UD45" s="468"/>
      <c r="UE45" s="468"/>
      <c r="UF45" s="468"/>
      <c r="UG45" s="468"/>
      <c r="UH45" s="468"/>
      <c r="UI45" s="468"/>
      <c r="UJ45" s="468"/>
      <c r="UK45" s="468"/>
      <c r="UL45" s="468"/>
      <c r="UM45" s="468"/>
      <c r="UN45" s="468"/>
      <c r="UO45" s="468"/>
      <c r="UP45" s="468"/>
      <c r="UQ45" s="468"/>
      <c r="UR45" s="468"/>
      <c r="US45" s="468"/>
      <c r="UT45" s="468"/>
      <c r="UU45" s="468"/>
      <c r="UV45" s="468"/>
      <c r="UW45" s="468"/>
      <c r="UX45" s="468"/>
      <c r="UY45" s="468"/>
      <c r="UZ45" s="468"/>
      <c r="VA45" s="468"/>
      <c r="VB45" s="468"/>
      <c r="VC45" s="468"/>
      <c r="VD45" s="468"/>
      <c r="VE45" s="468"/>
      <c r="VF45" s="468"/>
      <c r="VG45" s="468"/>
      <c r="VH45" s="468"/>
      <c r="VI45" s="468"/>
      <c r="VJ45" s="468"/>
      <c r="VK45" s="468"/>
      <c r="VL45" s="468"/>
      <c r="VM45" s="468"/>
      <c r="VN45" s="468"/>
      <c r="VO45" s="468"/>
      <c r="VP45" s="468"/>
      <c r="VQ45" s="468"/>
      <c r="VR45" s="468"/>
      <c r="VS45" s="468"/>
      <c r="VT45" s="468"/>
      <c r="VU45" s="468"/>
      <c r="VV45" s="468"/>
      <c r="VW45" s="468"/>
      <c r="VX45" s="468"/>
      <c r="VY45" s="468"/>
      <c r="VZ45" s="468"/>
      <c r="WA45" s="468"/>
      <c r="WB45" s="468"/>
      <c r="WC45" s="468"/>
      <c r="WD45" s="468"/>
      <c r="WE45" s="468"/>
      <c r="WF45" s="468"/>
      <c r="WG45" s="468"/>
      <c r="WH45" s="468"/>
      <c r="WI45" s="468"/>
      <c r="WJ45" s="468"/>
      <c r="WK45" s="468"/>
      <c r="WL45" s="468"/>
      <c r="WM45" s="468"/>
      <c r="WN45" s="468"/>
      <c r="WO45" s="468"/>
      <c r="WP45" s="468"/>
      <c r="WQ45" s="468"/>
      <c r="WR45" s="468"/>
      <c r="WS45" s="468"/>
      <c r="WT45" s="468"/>
      <c r="WU45" s="468"/>
      <c r="WV45" s="468"/>
      <c r="WW45" s="468"/>
      <c r="WX45" s="468"/>
      <c r="WY45" s="468"/>
      <c r="WZ45" s="468"/>
      <c r="XA45" s="468"/>
      <c r="XB45" s="468"/>
      <c r="XC45" s="468"/>
      <c r="XD45" s="468"/>
      <c r="XE45" s="468"/>
      <c r="XF45" s="468"/>
      <c r="XG45" s="468"/>
      <c r="XH45" s="468"/>
      <c r="XI45" s="468"/>
      <c r="XJ45" s="468"/>
      <c r="XK45" s="468"/>
      <c r="XL45" s="468"/>
      <c r="XM45" s="468"/>
      <c r="XN45" s="468"/>
      <c r="XO45" s="468"/>
      <c r="XP45" s="468"/>
      <c r="XQ45" s="468"/>
      <c r="XR45" s="468"/>
      <c r="XS45" s="468"/>
      <c r="XT45" s="468"/>
      <c r="XU45" s="468"/>
      <c r="XV45" s="468"/>
      <c r="XW45" s="468"/>
      <c r="XX45" s="468"/>
      <c r="XY45" s="468"/>
      <c r="XZ45" s="468"/>
      <c r="YA45" s="468"/>
      <c r="YB45" s="468"/>
      <c r="YC45" s="468"/>
      <c r="YD45" s="468"/>
      <c r="YE45" s="468"/>
      <c r="YF45" s="468"/>
      <c r="YG45" s="468"/>
      <c r="YH45" s="468"/>
      <c r="YI45" s="468"/>
      <c r="YJ45" s="468"/>
      <c r="YK45" s="468"/>
      <c r="YL45" s="468"/>
      <c r="YM45" s="468"/>
      <c r="YN45" s="468"/>
      <c r="YO45" s="468"/>
      <c r="YP45" s="468"/>
      <c r="YQ45" s="468"/>
      <c r="YR45" s="468"/>
      <c r="YS45" s="468"/>
      <c r="YT45" s="468"/>
      <c r="YU45" s="468"/>
      <c r="YV45" s="468"/>
      <c r="YW45" s="468"/>
      <c r="YX45" s="468"/>
      <c r="YY45" s="468"/>
      <c r="YZ45" s="468"/>
      <c r="ZA45" s="468"/>
      <c r="ZB45" s="468"/>
      <c r="ZC45" s="468"/>
      <c r="ZD45" s="468"/>
      <c r="ZE45" s="468"/>
      <c r="ZF45" s="468"/>
      <c r="ZG45" s="468"/>
      <c r="ZH45" s="468"/>
      <c r="ZI45" s="468"/>
      <c r="ZJ45" s="468"/>
      <c r="ZK45" s="468"/>
      <c r="ZL45" s="468"/>
      <c r="ZM45" s="468"/>
      <c r="ZN45" s="468"/>
      <c r="ZO45" s="468"/>
      <c r="ZP45" s="468"/>
      <c r="ZQ45" s="468"/>
      <c r="ZR45" s="468"/>
      <c r="ZS45" s="468"/>
      <c r="ZT45" s="468"/>
      <c r="ZU45" s="468"/>
      <c r="ZV45" s="468"/>
      <c r="ZW45" s="468"/>
      <c r="ZX45" s="468"/>
      <c r="ZY45" s="468"/>
      <c r="ZZ45" s="468"/>
      <c r="AAA45" s="468"/>
      <c r="AAB45" s="468"/>
      <c r="AAC45" s="468"/>
      <c r="AAD45" s="468"/>
      <c r="AAE45" s="468"/>
      <c r="AAF45" s="468"/>
      <c r="AAG45" s="468"/>
      <c r="AAH45" s="468"/>
      <c r="AAI45" s="468"/>
      <c r="AAJ45" s="468"/>
      <c r="AAK45" s="468"/>
      <c r="AAL45" s="468"/>
      <c r="AAM45" s="468"/>
      <c r="AAN45" s="468"/>
      <c r="AAO45" s="468"/>
      <c r="AAP45" s="468"/>
      <c r="AAQ45" s="468"/>
      <c r="AAR45" s="468"/>
      <c r="AAS45" s="468"/>
      <c r="AAT45" s="468"/>
      <c r="AAU45" s="468"/>
      <c r="AAV45" s="468"/>
      <c r="AAW45" s="468"/>
      <c r="AAX45" s="468"/>
      <c r="AAY45" s="468"/>
      <c r="AAZ45" s="468"/>
      <c r="ABA45" s="468"/>
      <c r="ABB45" s="468"/>
      <c r="ABC45" s="468"/>
      <c r="ABD45" s="468"/>
      <c r="ABE45" s="468"/>
      <c r="ABF45" s="468"/>
      <c r="ABG45" s="468"/>
      <c r="ABH45" s="468"/>
      <c r="ABI45" s="468"/>
      <c r="ABJ45" s="468"/>
      <c r="ABK45" s="468"/>
      <c r="ABL45" s="468"/>
      <c r="ABM45" s="468"/>
      <c r="ABN45" s="468"/>
      <c r="ABO45" s="468"/>
      <c r="ABP45" s="468"/>
      <c r="ABQ45" s="468"/>
      <c r="ABR45" s="468"/>
      <c r="ABS45" s="468"/>
      <c r="ABT45" s="468"/>
      <c r="ABU45" s="468"/>
      <c r="ABV45" s="468"/>
      <c r="ABW45" s="468"/>
      <c r="ABX45" s="468"/>
      <c r="ABY45" s="468"/>
      <c r="ABZ45" s="468"/>
      <c r="ACA45" s="468"/>
      <c r="ACB45" s="468"/>
      <c r="ACC45" s="468"/>
      <c r="ACD45" s="468"/>
      <c r="ACE45" s="468"/>
      <c r="ACF45" s="468"/>
      <c r="ACG45" s="468"/>
      <c r="ACH45" s="468"/>
      <c r="ACI45" s="468"/>
      <c r="ACJ45" s="468"/>
      <c r="ACK45" s="468"/>
      <c r="ACL45" s="468"/>
      <c r="ACM45" s="468"/>
      <c r="ACN45" s="468"/>
      <c r="ACO45" s="468"/>
      <c r="ACP45" s="468"/>
      <c r="ACQ45" s="468"/>
      <c r="ACR45" s="468"/>
      <c r="ACS45" s="468"/>
      <c r="ACT45" s="468"/>
      <c r="ACU45" s="468"/>
      <c r="ACV45" s="468"/>
      <c r="ACW45" s="468"/>
      <c r="ACX45" s="468"/>
      <c r="ACY45" s="468"/>
      <c r="ACZ45" s="468"/>
      <c r="ADA45" s="468"/>
      <c r="ADB45" s="468"/>
      <c r="ADC45" s="468"/>
      <c r="ADD45" s="468"/>
      <c r="ADE45" s="468"/>
      <c r="ADF45" s="468"/>
      <c r="ADG45" s="468"/>
      <c r="ADH45" s="468"/>
      <c r="ADI45" s="468"/>
      <c r="ADJ45" s="468"/>
      <c r="ADK45" s="468"/>
      <c r="ADL45" s="468"/>
      <c r="ADM45" s="468"/>
      <c r="ADN45" s="468"/>
      <c r="ADO45" s="468"/>
      <c r="ADP45" s="468"/>
      <c r="ADQ45" s="468"/>
      <c r="ADR45" s="468"/>
      <c r="ADS45" s="468"/>
      <c r="ADT45" s="468"/>
      <c r="ADU45" s="468"/>
      <c r="ADV45" s="468"/>
      <c r="ADW45" s="468"/>
      <c r="ADX45" s="468"/>
      <c r="ADY45" s="468"/>
      <c r="ADZ45" s="468"/>
      <c r="AEA45" s="468"/>
      <c r="AEB45" s="468"/>
      <c r="AEC45" s="468"/>
      <c r="AED45" s="468"/>
      <c r="AEE45" s="468"/>
      <c r="AEF45" s="468"/>
      <c r="AEG45" s="468"/>
      <c r="AEH45" s="468"/>
      <c r="AEI45" s="468"/>
      <c r="AEJ45" s="468"/>
      <c r="AEK45" s="468"/>
      <c r="AEL45" s="468"/>
      <c r="AEM45" s="468"/>
      <c r="AEN45" s="468"/>
      <c r="AEO45" s="468"/>
      <c r="AEP45" s="468"/>
      <c r="AEQ45" s="468"/>
      <c r="AER45" s="468"/>
      <c r="AES45" s="468"/>
      <c r="AET45" s="468"/>
      <c r="AEU45" s="468"/>
      <c r="AEV45" s="468"/>
      <c r="AEW45" s="468"/>
      <c r="AEX45" s="468"/>
      <c r="AEY45" s="468"/>
      <c r="AEZ45" s="468"/>
      <c r="AFA45" s="468"/>
      <c r="AFB45" s="468"/>
      <c r="AFC45" s="468"/>
      <c r="AFD45" s="468"/>
      <c r="AFE45" s="468"/>
      <c r="AFF45" s="468"/>
      <c r="AFG45" s="468"/>
      <c r="AFH45" s="468"/>
      <c r="AFI45" s="468"/>
      <c r="AFJ45" s="468"/>
      <c r="AFK45" s="468"/>
      <c r="AFL45" s="468"/>
      <c r="AFM45" s="468"/>
      <c r="AFN45" s="468"/>
      <c r="AFO45" s="468"/>
      <c r="AFP45" s="468"/>
      <c r="AFQ45" s="468"/>
      <c r="AFR45" s="468"/>
      <c r="AFS45" s="468"/>
      <c r="AFT45" s="468"/>
      <c r="AFU45" s="468"/>
      <c r="AFV45" s="468"/>
      <c r="AFW45" s="468"/>
      <c r="AFX45" s="468"/>
      <c r="AFY45" s="468"/>
      <c r="AFZ45" s="468"/>
      <c r="AGA45" s="468"/>
      <c r="AGB45" s="468"/>
      <c r="AGC45" s="468"/>
      <c r="AGD45" s="468"/>
      <c r="AGE45" s="468"/>
      <c r="AGF45" s="468"/>
      <c r="AGG45" s="468"/>
      <c r="AGH45" s="468"/>
      <c r="AGI45" s="468"/>
      <c r="AGJ45" s="468"/>
      <c r="AGK45" s="468"/>
      <c r="AGL45" s="468"/>
      <c r="AGM45" s="468"/>
      <c r="AGN45" s="468"/>
      <c r="AGO45" s="468"/>
      <c r="AGP45" s="468"/>
      <c r="AGQ45" s="468"/>
      <c r="AGR45" s="468"/>
      <c r="AGS45" s="468"/>
      <c r="AGT45" s="468"/>
      <c r="AGU45" s="468"/>
      <c r="AGV45" s="468"/>
      <c r="AGW45" s="468"/>
      <c r="AGX45" s="468"/>
      <c r="AGY45" s="468"/>
      <c r="AGZ45" s="468"/>
      <c r="AHA45" s="468"/>
      <c r="AHB45" s="468"/>
      <c r="AHC45" s="468"/>
      <c r="AHD45" s="468"/>
      <c r="AHE45" s="468"/>
      <c r="AHF45" s="468"/>
      <c r="AHG45" s="468"/>
      <c r="AHH45" s="468"/>
      <c r="AHI45" s="468"/>
      <c r="AHJ45" s="468"/>
      <c r="AHK45" s="468"/>
      <c r="AHL45" s="468"/>
      <c r="AHM45" s="468"/>
      <c r="AHN45" s="468"/>
      <c r="AHO45" s="468"/>
      <c r="AHP45" s="468"/>
      <c r="AHQ45" s="468"/>
      <c r="AHR45" s="468"/>
      <c r="AHS45" s="468"/>
      <c r="AHT45" s="468"/>
      <c r="AHU45" s="468"/>
      <c r="AHV45" s="468"/>
      <c r="AHW45" s="468"/>
      <c r="AHX45" s="468"/>
      <c r="AHY45" s="468"/>
      <c r="AHZ45" s="468"/>
      <c r="AIA45" s="468"/>
      <c r="AIB45" s="468"/>
      <c r="AIC45" s="468"/>
      <c r="AID45" s="468"/>
      <c r="AIE45" s="468"/>
      <c r="AIF45" s="468"/>
      <c r="AIG45" s="468"/>
      <c r="AIH45" s="468"/>
      <c r="AII45" s="468"/>
      <c r="AIJ45" s="468"/>
      <c r="AIK45" s="468"/>
      <c r="AIL45" s="468"/>
      <c r="AIM45" s="468"/>
      <c r="AIN45" s="468"/>
      <c r="AIO45" s="468"/>
      <c r="AIP45" s="468"/>
      <c r="AIQ45" s="468"/>
      <c r="AIR45" s="468"/>
      <c r="AIS45" s="468"/>
      <c r="AIT45" s="468"/>
      <c r="AIU45" s="468"/>
      <c r="AIV45" s="468"/>
      <c r="AIW45" s="468"/>
      <c r="AIX45" s="468"/>
      <c r="AIY45" s="468"/>
      <c r="AIZ45" s="468"/>
      <c r="AJA45" s="468"/>
      <c r="AJB45" s="468"/>
      <c r="AJC45" s="468"/>
      <c r="AJD45" s="468"/>
      <c r="AJE45" s="468"/>
      <c r="AJF45" s="468"/>
      <c r="AJG45" s="468"/>
      <c r="AJH45" s="468"/>
      <c r="AJI45" s="468"/>
      <c r="AJJ45" s="468"/>
      <c r="AJK45" s="468"/>
      <c r="AJL45" s="468"/>
      <c r="AJM45" s="468"/>
      <c r="AJN45" s="468"/>
      <c r="AJO45" s="468"/>
      <c r="AJP45" s="468"/>
      <c r="AJQ45" s="468"/>
      <c r="AJR45" s="468"/>
      <c r="AJS45" s="468"/>
      <c r="AJT45" s="468"/>
      <c r="AJU45" s="468"/>
      <c r="AJV45" s="468"/>
      <c r="AJW45" s="468"/>
      <c r="AJX45" s="468"/>
      <c r="AJY45" s="468"/>
      <c r="AJZ45" s="468"/>
      <c r="AKA45" s="468"/>
      <c r="AKB45" s="468"/>
      <c r="AKC45" s="468"/>
      <c r="AKD45" s="468"/>
      <c r="AKE45" s="468"/>
      <c r="AKF45" s="468"/>
      <c r="AKG45" s="468"/>
      <c r="AKH45" s="468"/>
      <c r="AKI45" s="468"/>
      <c r="AKJ45" s="468"/>
      <c r="AKK45" s="468"/>
      <c r="AKL45" s="468"/>
      <c r="AKM45" s="468"/>
      <c r="AKN45" s="468"/>
      <c r="AKO45" s="468"/>
      <c r="AKP45" s="468"/>
      <c r="AKQ45" s="468"/>
      <c r="AKR45" s="468"/>
      <c r="AKS45" s="468"/>
      <c r="AKT45" s="468"/>
      <c r="AKU45" s="468"/>
      <c r="AKV45" s="468"/>
      <c r="AKW45" s="468"/>
      <c r="AKX45" s="468"/>
      <c r="AKY45" s="468"/>
      <c r="AKZ45" s="468"/>
      <c r="ALA45" s="468"/>
      <c r="ALB45" s="468"/>
      <c r="ALC45" s="468"/>
      <c r="ALD45" s="468"/>
      <c r="ALE45" s="468"/>
      <c r="ALF45" s="468"/>
      <c r="ALG45" s="468"/>
      <c r="ALH45" s="468"/>
      <c r="ALI45" s="468"/>
      <c r="ALJ45" s="468"/>
      <c r="ALK45" s="468"/>
      <c r="ALL45" s="468"/>
      <c r="ALM45" s="468"/>
      <c r="ALN45" s="468"/>
      <c r="ALO45" s="468"/>
      <c r="ALP45" s="468"/>
      <c r="ALQ45" s="468"/>
      <c r="ALR45" s="468"/>
      <c r="ALS45" s="468"/>
      <c r="ALT45" s="468"/>
      <c r="ALU45" s="468"/>
      <c r="ALV45" s="468"/>
      <c r="ALW45" s="468"/>
      <c r="ALX45" s="468"/>
      <c r="ALY45" s="468"/>
      <c r="ALZ45" s="468"/>
      <c r="AMA45" s="468"/>
      <c r="AMB45" s="468"/>
      <c r="AMC45" s="468"/>
      <c r="AMD45" s="468"/>
      <c r="AME45" s="468"/>
      <c r="AMF45" s="468"/>
      <c r="AMG45" s="468"/>
      <c r="AMH45" s="468"/>
      <c r="AMI45" s="468"/>
      <c r="AMJ45" s="468"/>
      <c r="AMK45" s="468"/>
      <c r="AML45" s="468"/>
      <c r="AMM45" s="468"/>
      <c r="AMN45" s="468"/>
      <c r="AMO45" s="468"/>
      <c r="AMP45" s="468"/>
      <c r="AMQ45" s="468"/>
      <c r="AMR45" s="468"/>
      <c r="AMS45" s="468"/>
      <c r="AMT45" s="468"/>
      <c r="AMU45" s="468"/>
      <c r="AMV45" s="468"/>
      <c r="AMW45" s="468"/>
      <c r="AMX45" s="468"/>
      <c r="AMY45" s="468"/>
      <c r="AMZ45" s="468"/>
      <c r="ANA45" s="468"/>
      <c r="ANB45" s="468"/>
      <c r="ANC45" s="468"/>
      <c r="AND45" s="468"/>
      <c r="ANE45" s="468"/>
      <c r="ANF45" s="468"/>
      <c r="ANG45" s="468"/>
      <c r="ANH45" s="468"/>
      <c r="ANI45" s="468"/>
      <c r="ANJ45" s="468"/>
      <c r="ANK45" s="468"/>
      <c r="ANL45" s="468"/>
      <c r="ANM45" s="468"/>
      <c r="ANN45" s="468"/>
      <c r="ANO45" s="468"/>
      <c r="ANP45" s="468"/>
      <c r="ANQ45" s="468"/>
      <c r="ANR45" s="468"/>
      <c r="ANS45" s="468"/>
      <c r="ANT45" s="468"/>
      <c r="ANU45" s="468"/>
      <c r="ANV45" s="468"/>
      <c r="ANW45" s="468"/>
      <c r="ANX45" s="468"/>
      <c r="ANY45" s="468"/>
      <c r="ANZ45" s="468"/>
      <c r="AOA45" s="468"/>
      <c r="AOB45" s="468"/>
      <c r="AOC45" s="468"/>
      <c r="AOD45" s="468"/>
      <c r="AOE45" s="468"/>
      <c r="AOF45" s="468"/>
      <c r="AOG45" s="468"/>
      <c r="AOH45" s="468"/>
      <c r="AOI45" s="468"/>
      <c r="AOJ45" s="468"/>
      <c r="AOK45" s="468"/>
      <c r="AOL45" s="468"/>
      <c r="AOM45" s="468"/>
      <c r="AON45" s="468"/>
      <c r="AOO45" s="468"/>
      <c r="AOP45" s="468"/>
      <c r="AOQ45" s="468"/>
      <c r="AOR45" s="468"/>
      <c r="AOS45" s="468"/>
      <c r="AOT45" s="468"/>
      <c r="AOU45" s="468"/>
      <c r="AOV45" s="468"/>
      <c r="AOW45" s="468"/>
      <c r="AOX45" s="468"/>
      <c r="AOY45" s="468"/>
      <c r="AOZ45" s="468"/>
      <c r="APA45" s="468"/>
      <c r="APB45" s="468"/>
      <c r="APC45" s="468"/>
      <c r="APD45" s="468"/>
      <c r="APE45" s="468"/>
      <c r="APF45" s="468"/>
      <c r="APG45" s="468"/>
      <c r="APH45" s="468"/>
      <c r="API45" s="468"/>
      <c r="APJ45" s="468"/>
      <c r="APK45" s="468"/>
      <c r="APL45" s="468"/>
      <c r="APM45" s="468"/>
      <c r="APN45" s="468"/>
      <c r="APO45" s="468"/>
      <c r="APP45" s="468"/>
      <c r="APQ45" s="468"/>
      <c r="APR45" s="468"/>
      <c r="APS45" s="468"/>
      <c r="APT45" s="468"/>
      <c r="APU45" s="468"/>
      <c r="APV45" s="468"/>
      <c r="APW45" s="468"/>
      <c r="APX45" s="468"/>
      <c r="APY45" s="468"/>
      <c r="APZ45" s="468"/>
      <c r="AQA45" s="468"/>
      <c r="AQB45" s="468"/>
      <c r="AQC45" s="468"/>
      <c r="AQD45" s="468"/>
      <c r="AQE45" s="468"/>
      <c r="AQF45" s="468"/>
      <c r="AQG45" s="468"/>
      <c r="AQH45" s="468"/>
      <c r="AQI45" s="468"/>
      <c r="AQJ45" s="468"/>
      <c r="AQK45" s="468"/>
      <c r="AQL45" s="468"/>
      <c r="AQM45" s="468"/>
      <c r="AQN45" s="468"/>
      <c r="AQO45" s="468"/>
      <c r="AQP45" s="468"/>
      <c r="AQQ45" s="468"/>
      <c r="AQR45" s="468"/>
      <c r="AQS45" s="468"/>
      <c r="AQT45" s="468"/>
      <c r="AQU45" s="468"/>
      <c r="AQV45" s="468"/>
      <c r="AQW45" s="468"/>
      <c r="AQX45" s="468"/>
      <c r="AQY45" s="468"/>
      <c r="AQZ45" s="468"/>
      <c r="ARA45" s="468"/>
      <c r="ARB45" s="468"/>
      <c r="ARC45" s="468"/>
      <c r="ARD45" s="468"/>
      <c r="ARE45" s="468"/>
      <c r="ARF45" s="468"/>
      <c r="ARG45" s="468"/>
      <c r="ARH45" s="468"/>
      <c r="ARI45" s="468"/>
      <c r="ARJ45" s="468"/>
      <c r="ARK45" s="468"/>
      <c r="ARL45" s="468"/>
      <c r="ARM45" s="468"/>
      <c r="ARN45" s="468"/>
      <c r="ARO45" s="468"/>
      <c r="ARP45" s="468"/>
      <c r="ARQ45" s="468"/>
      <c r="ARR45" s="468"/>
      <c r="ARS45" s="468"/>
      <c r="ART45" s="468"/>
      <c r="ARU45" s="468"/>
      <c r="ARV45" s="468"/>
      <c r="ARW45" s="468"/>
      <c r="ARX45" s="468"/>
      <c r="ARY45" s="468"/>
      <c r="ARZ45" s="468"/>
      <c r="ASA45" s="468"/>
      <c r="ASB45" s="468"/>
      <c r="ASC45" s="468"/>
      <c r="ASD45" s="468"/>
      <c r="ASE45" s="468"/>
      <c r="ASF45" s="468"/>
      <c r="ASG45" s="468"/>
      <c r="ASH45" s="468"/>
      <c r="ASI45" s="468"/>
      <c r="ASJ45" s="468"/>
      <c r="ASK45" s="468"/>
      <c r="ASL45" s="468"/>
      <c r="ASM45" s="468"/>
      <c r="ASN45" s="468"/>
      <c r="ASO45" s="468"/>
      <c r="ASP45" s="468"/>
      <c r="ASQ45" s="468"/>
      <c r="ASR45" s="468"/>
      <c r="ASS45" s="468"/>
      <c r="AST45" s="468"/>
      <c r="ASU45" s="468"/>
      <c r="ASV45" s="468"/>
      <c r="ASW45" s="468"/>
      <c r="ASX45" s="468"/>
      <c r="ASY45" s="468"/>
      <c r="ASZ45" s="468"/>
      <c r="ATA45" s="468"/>
      <c r="ATB45" s="468"/>
      <c r="ATC45" s="468"/>
      <c r="ATD45" s="468"/>
      <c r="ATE45" s="468"/>
      <c r="ATF45" s="468"/>
      <c r="ATG45" s="468"/>
      <c r="ATH45" s="468"/>
      <c r="ATI45" s="468"/>
      <c r="ATJ45" s="468"/>
      <c r="ATK45" s="468"/>
      <c r="ATL45" s="468"/>
      <c r="ATM45" s="468"/>
      <c r="ATN45" s="468"/>
      <c r="ATO45" s="468"/>
      <c r="ATP45" s="468"/>
      <c r="ATQ45" s="468"/>
      <c r="ATR45" s="468"/>
      <c r="ATS45" s="468"/>
      <c r="ATT45" s="468"/>
      <c r="ATU45" s="468"/>
      <c r="ATV45" s="468"/>
      <c r="ATW45" s="468"/>
      <c r="ATX45" s="468"/>
      <c r="ATY45" s="468"/>
      <c r="ATZ45" s="468"/>
      <c r="AUA45" s="468"/>
      <c r="AUB45" s="468"/>
      <c r="AUC45" s="468"/>
      <c r="AUD45" s="468"/>
      <c r="AUE45" s="468"/>
      <c r="AUF45" s="468"/>
      <c r="AUG45" s="468"/>
      <c r="AUH45" s="468"/>
      <c r="AUI45" s="468"/>
      <c r="AUJ45" s="468"/>
      <c r="AUK45" s="468"/>
      <c r="AUL45" s="468"/>
      <c r="AUM45" s="468"/>
      <c r="AUN45" s="468"/>
      <c r="AUO45" s="468"/>
      <c r="AUP45" s="468"/>
      <c r="AUQ45" s="468"/>
      <c r="AUR45" s="468"/>
      <c r="AUS45" s="468"/>
      <c r="AUT45" s="468"/>
      <c r="AUU45" s="468"/>
      <c r="AUV45" s="468"/>
      <c r="AUW45" s="468"/>
      <c r="AUX45" s="468"/>
      <c r="AUY45" s="468"/>
      <c r="AUZ45" s="468"/>
      <c r="AVA45" s="468"/>
      <c r="AVB45" s="468"/>
      <c r="AVC45" s="468"/>
      <c r="AVD45" s="468"/>
      <c r="AVE45" s="468"/>
      <c r="AVF45" s="468"/>
      <c r="AVG45" s="468"/>
      <c r="AVH45" s="468"/>
      <c r="AVI45" s="468"/>
      <c r="AVJ45" s="468"/>
      <c r="AVK45" s="468"/>
      <c r="AVL45" s="468"/>
      <c r="AVM45" s="468"/>
      <c r="AVN45" s="468"/>
      <c r="AVO45" s="468"/>
      <c r="AVP45" s="468"/>
      <c r="AVQ45" s="468"/>
      <c r="AVR45" s="468"/>
      <c r="AVS45" s="468"/>
      <c r="AVT45" s="468"/>
      <c r="AVU45" s="468"/>
      <c r="AVV45" s="468"/>
      <c r="AVW45" s="468"/>
      <c r="AVX45" s="468"/>
      <c r="AVY45" s="468"/>
      <c r="AVZ45" s="468"/>
      <c r="AWA45" s="468"/>
      <c r="AWB45" s="468"/>
      <c r="AWC45" s="468"/>
      <c r="AWD45" s="468"/>
      <c r="AWE45" s="468"/>
      <c r="AWF45" s="468"/>
      <c r="AWG45" s="468"/>
      <c r="AWH45" s="468"/>
      <c r="AWI45" s="468"/>
      <c r="AWJ45" s="468"/>
      <c r="AWK45" s="468"/>
      <c r="AWL45" s="468"/>
      <c r="AWM45" s="468"/>
      <c r="AWN45" s="468"/>
      <c r="AWO45" s="468"/>
      <c r="AWP45" s="468"/>
      <c r="AWQ45" s="468"/>
      <c r="AWR45" s="468"/>
      <c r="AWS45" s="468"/>
      <c r="AWT45" s="468"/>
      <c r="AWU45" s="468"/>
      <c r="AWV45" s="468"/>
      <c r="AWW45" s="468"/>
      <c r="AWX45" s="468"/>
      <c r="AWY45" s="468"/>
      <c r="AWZ45" s="468"/>
      <c r="AXA45" s="468"/>
      <c r="AXB45" s="468"/>
      <c r="AXC45" s="468"/>
      <c r="AXD45" s="468"/>
      <c r="AXE45" s="468"/>
      <c r="AXF45" s="468"/>
      <c r="AXG45" s="468"/>
      <c r="AXH45" s="468"/>
      <c r="AXI45" s="468"/>
      <c r="AXJ45" s="468"/>
      <c r="AXK45" s="468"/>
      <c r="AXL45" s="468"/>
      <c r="AXM45" s="468"/>
      <c r="AXN45" s="468"/>
      <c r="AXO45" s="468"/>
      <c r="AXP45" s="468"/>
      <c r="AXQ45" s="468"/>
      <c r="AXR45" s="468"/>
      <c r="AXS45" s="468"/>
      <c r="AXT45" s="468"/>
      <c r="AXU45" s="468"/>
      <c r="AXV45" s="468"/>
      <c r="AXW45" s="468"/>
      <c r="AXX45" s="468"/>
      <c r="AXY45" s="468"/>
      <c r="AXZ45" s="468"/>
      <c r="AYA45" s="468"/>
      <c r="AYB45" s="468"/>
      <c r="AYC45" s="468"/>
      <c r="AYD45" s="468"/>
      <c r="AYE45" s="468"/>
      <c r="AYF45" s="468"/>
      <c r="AYG45" s="468"/>
      <c r="AYH45" s="468"/>
      <c r="AYI45" s="468"/>
      <c r="AYJ45" s="468"/>
      <c r="AYK45" s="468"/>
      <c r="AYL45" s="468"/>
      <c r="AYM45" s="468"/>
      <c r="AYN45" s="468"/>
      <c r="AYO45" s="468"/>
      <c r="AYP45" s="468"/>
      <c r="AYQ45" s="468"/>
      <c r="AYR45" s="468"/>
      <c r="AYS45" s="468"/>
      <c r="AYT45" s="468"/>
      <c r="AYU45" s="468"/>
      <c r="AYV45" s="468"/>
      <c r="AYW45" s="468"/>
      <c r="AYX45" s="468"/>
      <c r="AYY45" s="468"/>
      <c r="AYZ45" s="468"/>
      <c r="AZA45" s="468"/>
      <c r="AZB45" s="468"/>
      <c r="AZC45" s="468"/>
      <c r="AZD45" s="468"/>
      <c r="AZE45" s="468"/>
      <c r="AZF45" s="468"/>
      <c r="AZG45" s="468"/>
      <c r="AZH45" s="468"/>
      <c r="AZI45" s="468"/>
      <c r="AZJ45" s="468"/>
      <c r="AZK45" s="468"/>
      <c r="AZL45" s="468"/>
      <c r="AZM45" s="468"/>
      <c r="AZN45" s="468"/>
      <c r="AZO45" s="468"/>
      <c r="AZP45" s="468"/>
      <c r="AZQ45" s="468"/>
      <c r="AZR45" s="468"/>
      <c r="AZS45" s="468"/>
      <c r="AZT45" s="468"/>
      <c r="AZU45" s="468"/>
      <c r="AZV45" s="468"/>
      <c r="AZW45" s="468"/>
      <c r="AZX45" s="468"/>
      <c r="AZY45" s="468"/>
      <c r="AZZ45" s="468"/>
      <c r="BAA45" s="468"/>
      <c r="BAB45" s="468"/>
      <c r="BAC45" s="468"/>
      <c r="BAD45" s="468"/>
      <c r="BAE45" s="468"/>
      <c r="BAF45" s="468"/>
      <c r="BAG45" s="468"/>
      <c r="BAH45" s="468"/>
      <c r="BAI45" s="468"/>
      <c r="BAJ45" s="468"/>
      <c r="BAK45" s="468"/>
      <c r="BAL45" s="468"/>
      <c r="BAM45" s="468"/>
      <c r="BAN45" s="468"/>
      <c r="BAO45" s="468"/>
      <c r="BAP45" s="468"/>
      <c r="BAQ45" s="468"/>
      <c r="BAR45" s="468"/>
      <c r="BAS45" s="468"/>
      <c r="BAT45" s="468"/>
      <c r="BAU45" s="468"/>
      <c r="BAV45" s="468"/>
      <c r="BAW45" s="468"/>
      <c r="BAX45" s="468"/>
      <c r="BAY45" s="468"/>
      <c r="BAZ45" s="468"/>
      <c r="BBA45" s="468"/>
      <c r="BBB45" s="468"/>
      <c r="BBC45" s="468"/>
      <c r="BBD45" s="468"/>
      <c r="BBE45" s="468"/>
      <c r="BBF45" s="468"/>
      <c r="BBG45" s="468"/>
      <c r="BBH45" s="468"/>
      <c r="BBI45" s="468"/>
      <c r="BBJ45" s="468"/>
      <c r="BBK45" s="468"/>
      <c r="BBL45" s="468"/>
      <c r="BBM45" s="468"/>
      <c r="BBN45" s="468"/>
      <c r="BBO45" s="468"/>
      <c r="BBP45" s="468"/>
      <c r="BBQ45" s="468"/>
      <c r="BBR45" s="468"/>
      <c r="BBS45" s="468"/>
      <c r="BBT45" s="468"/>
      <c r="BBU45" s="468"/>
      <c r="BBV45" s="468"/>
      <c r="BBW45" s="468"/>
      <c r="BBX45" s="468"/>
      <c r="BBY45" s="468"/>
      <c r="BBZ45" s="468"/>
      <c r="BCA45" s="468"/>
      <c r="BCB45" s="468"/>
      <c r="BCC45" s="468"/>
      <c r="BCD45" s="468"/>
      <c r="BCE45" s="468"/>
      <c r="BCF45" s="468"/>
      <c r="BCG45" s="468"/>
      <c r="BCH45" s="468"/>
      <c r="BCI45" s="468"/>
      <c r="BCJ45" s="468"/>
      <c r="BCK45" s="468"/>
      <c r="BCL45" s="468"/>
      <c r="BCM45" s="468"/>
      <c r="BCN45" s="468"/>
      <c r="BCO45" s="468"/>
      <c r="BCP45" s="468"/>
      <c r="BCQ45" s="468"/>
      <c r="BCR45" s="468"/>
      <c r="BCS45" s="468"/>
      <c r="BCT45" s="468"/>
      <c r="BCU45" s="468"/>
      <c r="BCV45" s="468"/>
      <c r="BCW45" s="468"/>
      <c r="BCX45" s="468"/>
      <c r="BCY45" s="468"/>
      <c r="BCZ45" s="468"/>
      <c r="BDA45" s="468"/>
      <c r="BDB45" s="468"/>
      <c r="BDC45" s="468"/>
      <c r="BDD45" s="468"/>
      <c r="BDE45" s="468"/>
      <c r="BDF45" s="468"/>
      <c r="BDG45" s="468"/>
      <c r="BDH45" s="468"/>
      <c r="BDI45" s="468"/>
      <c r="BDJ45" s="468"/>
      <c r="BDK45" s="468"/>
      <c r="BDL45" s="468"/>
      <c r="BDM45" s="468"/>
      <c r="BDN45" s="468"/>
      <c r="BDO45" s="468"/>
      <c r="BDP45" s="468"/>
      <c r="BDQ45" s="468"/>
      <c r="BDR45" s="468"/>
      <c r="BDS45" s="468"/>
      <c r="BDT45" s="468"/>
      <c r="BDU45" s="468"/>
      <c r="BDV45" s="468"/>
      <c r="BDW45" s="468"/>
      <c r="BDX45" s="468"/>
      <c r="BDY45" s="468"/>
      <c r="BDZ45" s="468"/>
      <c r="BEA45" s="468"/>
      <c r="BEB45" s="468"/>
      <c r="BEC45" s="468"/>
      <c r="BED45" s="468"/>
      <c r="BEE45" s="468"/>
      <c r="BEF45" s="468"/>
      <c r="BEG45" s="468"/>
      <c r="BEH45" s="468"/>
      <c r="BEI45" s="468"/>
      <c r="BEJ45" s="468"/>
      <c r="BEK45" s="468"/>
      <c r="BEL45" s="468"/>
      <c r="BEM45" s="468"/>
      <c r="BEN45" s="468"/>
      <c r="BEO45" s="468"/>
      <c r="BEP45" s="468"/>
      <c r="BEQ45" s="468"/>
      <c r="BER45" s="468"/>
      <c r="BES45" s="468"/>
      <c r="BET45" s="468"/>
      <c r="BEU45" s="468"/>
      <c r="BEV45" s="468"/>
      <c r="BEW45" s="468"/>
      <c r="BEX45" s="468"/>
      <c r="BEY45" s="468"/>
      <c r="BEZ45" s="468"/>
      <c r="BFA45" s="468"/>
      <c r="BFB45" s="468"/>
      <c r="BFC45" s="468"/>
      <c r="BFD45" s="468"/>
      <c r="BFE45" s="468"/>
      <c r="BFF45" s="468"/>
      <c r="BFG45" s="468"/>
      <c r="BFH45" s="468"/>
      <c r="BFI45" s="468"/>
      <c r="BFJ45" s="468"/>
      <c r="BFK45" s="468"/>
      <c r="BFL45" s="468"/>
      <c r="BFM45" s="468"/>
      <c r="BFN45" s="468"/>
      <c r="BFO45" s="468"/>
      <c r="BFP45" s="468"/>
      <c r="BFQ45" s="468"/>
      <c r="BFR45" s="468"/>
      <c r="BFS45" s="468"/>
      <c r="BFT45" s="468"/>
      <c r="BFU45" s="468"/>
      <c r="BFV45" s="468"/>
      <c r="BFW45" s="468"/>
      <c r="BFX45" s="468"/>
      <c r="BFY45" s="468"/>
      <c r="BFZ45" s="468"/>
      <c r="BGA45" s="468"/>
      <c r="BGB45" s="468"/>
      <c r="BGC45" s="468"/>
      <c r="BGD45" s="468"/>
      <c r="BGE45" s="468"/>
      <c r="BGF45" s="468"/>
      <c r="BGG45" s="468"/>
      <c r="BGH45" s="468"/>
      <c r="BGI45" s="468"/>
      <c r="BGJ45" s="468"/>
      <c r="BGK45" s="468"/>
      <c r="BGL45" s="468"/>
      <c r="BGM45" s="468"/>
      <c r="BGN45" s="468"/>
      <c r="BGO45" s="468"/>
      <c r="BGP45" s="468"/>
      <c r="BGQ45" s="468"/>
      <c r="BGR45" s="468"/>
      <c r="BGS45" s="468"/>
      <c r="BGT45" s="468"/>
      <c r="BGU45" s="468"/>
      <c r="BGV45" s="468"/>
      <c r="BGW45" s="468"/>
      <c r="BGX45" s="468"/>
      <c r="BGY45" s="468"/>
      <c r="BGZ45" s="468"/>
      <c r="BHA45" s="468"/>
      <c r="BHB45" s="468"/>
      <c r="BHC45" s="468"/>
      <c r="BHD45" s="468"/>
      <c r="BHE45" s="468"/>
      <c r="BHF45" s="468"/>
      <c r="BHG45" s="468"/>
      <c r="BHH45" s="468"/>
      <c r="BHI45" s="468"/>
      <c r="BHJ45" s="468"/>
      <c r="BHK45" s="468"/>
      <c r="BHL45" s="468"/>
      <c r="BHM45" s="468"/>
      <c r="BHN45" s="468"/>
      <c r="BHO45" s="468"/>
      <c r="BHP45" s="468"/>
      <c r="BHQ45" s="468"/>
      <c r="BHR45" s="468"/>
      <c r="BHS45" s="468"/>
      <c r="BHT45" s="468"/>
      <c r="BHU45" s="468"/>
      <c r="BHV45" s="468"/>
      <c r="BHW45" s="468"/>
      <c r="BHX45" s="468"/>
      <c r="BHY45" s="468"/>
      <c r="BHZ45" s="468"/>
      <c r="BIA45" s="468"/>
      <c r="BIB45" s="468"/>
      <c r="BIC45" s="468"/>
      <c r="BID45" s="468"/>
      <c r="BIE45" s="468"/>
      <c r="BIF45" s="468"/>
      <c r="BIG45" s="468"/>
      <c r="BIH45" s="468"/>
      <c r="BII45" s="468"/>
      <c r="BIJ45" s="468"/>
      <c r="BIK45" s="468"/>
      <c r="BIL45" s="468"/>
      <c r="BIM45" s="468"/>
      <c r="BIN45" s="468"/>
      <c r="BIO45" s="468"/>
      <c r="BIP45" s="468"/>
      <c r="BIQ45" s="468"/>
      <c r="BIR45" s="468"/>
      <c r="BIS45" s="468"/>
      <c r="BIT45" s="468"/>
      <c r="BIU45" s="468"/>
      <c r="BIV45" s="468"/>
      <c r="BIW45" s="468"/>
      <c r="BIX45" s="468"/>
      <c r="BIY45" s="468"/>
      <c r="BIZ45" s="468"/>
      <c r="BJA45" s="468"/>
      <c r="BJB45" s="468"/>
      <c r="BJC45" s="468"/>
      <c r="BJD45" s="468"/>
      <c r="BJE45" s="468"/>
      <c r="BJF45" s="468"/>
      <c r="BJG45" s="468"/>
      <c r="BJH45" s="468"/>
      <c r="BJI45" s="468"/>
      <c r="BJJ45" s="468"/>
      <c r="BJK45" s="468"/>
      <c r="BJL45" s="468"/>
      <c r="BJM45" s="468"/>
      <c r="BJN45" s="468"/>
      <c r="BJO45" s="468"/>
      <c r="BJP45" s="468"/>
      <c r="BJQ45" s="468"/>
      <c r="BJR45" s="468"/>
      <c r="BJS45" s="468"/>
      <c r="BJT45" s="468"/>
      <c r="BJU45" s="468"/>
      <c r="BJV45" s="468"/>
      <c r="BJW45" s="468"/>
      <c r="BJX45" s="468"/>
      <c r="BJY45" s="468"/>
      <c r="BJZ45" s="468"/>
      <c r="BKA45" s="468"/>
      <c r="BKB45" s="468"/>
      <c r="BKC45" s="468"/>
      <c r="BKD45" s="468"/>
      <c r="BKE45" s="468"/>
      <c r="BKF45" s="468"/>
      <c r="BKG45" s="468"/>
      <c r="BKH45" s="468"/>
      <c r="BKI45" s="468"/>
      <c r="BKJ45" s="468"/>
      <c r="BKK45" s="468"/>
      <c r="BKL45" s="468"/>
      <c r="BKM45" s="468"/>
      <c r="BKN45" s="468"/>
      <c r="BKO45" s="468"/>
      <c r="BKP45" s="468"/>
      <c r="BKQ45" s="468"/>
      <c r="BKR45" s="468"/>
      <c r="BKS45" s="468"/>
      <c r="BKT45" s="468"/>
      <c r="BKU45" s="468"/>
      <c r="BKV45" s="468"/>
      <c r="BKW45" s="468"/>
      <c r="BKX45" s="468"/>
      <c r="BKY45" s="468"/>
      <c r="BKZ45" s="468"/>
      <c r="BLA45" s="468"/>
      <c r="BLB45" s="468"/>
      <c r="BLC45" s="468"/>
      <c r="BLD45" s="468"/>
      <c r="BLE45" s="468"/>
      <c r="BLF45" s="468"/>
      <c r="BLG45" s="468"/>
      <c r="BLH45" s="468"/>
      <c r="BLI45" s="468"/>
      <c r="BLJ45" s="468"/>
      <c r="BLK45" s="468"/>
      <c r="BLL45" s="468"/>
      <c r="BLM45" s="468"/>
      <c r="BLN45" s="468"/>
      <c r="BLO45" s="468"/>
      <c r="BLP45" s="468"/>
      <c r="BLQ45" s="468"/>
      <c r="BLR45" s="468"/>
      <c r="BLS45" s="468"/>
      <c r="BLT45" s="468"/>
      <c r="BLU45" s="468"/>
      <c r="BLV45" s="468"/>
      <c r="BLW45" s="468"/>
      <c r="BLX45" s="468"/>
      <c r="BLY45" s="468"/>
      <c r="BLZ45" s="468"/>
      <c r="BMA45" s="468"/>
      <c r="BMB45" s="468"/>
      <c r="BMC45" s="468"/>
      <c r="BMD45" s="468"/>
      <c r="BME45" s="468"/>
      <c r="BMF45" s="468"/>
      <c r="BMG45" s="468"/>
      <c r="BMH45" s="468"/>
      <c r="BMI45" s="468"/>
      <c r="BMJ45" s="468"/>
      <c r="BMK45" s="468"/>
      <c r="BML45" s="468"/>
      <c r="BMM45" s="468"/>
      <c r="BMN45" s="468"/>
      <c r="BMO45" s="468"/>
      <c r="BMP45" s="468"/>
      <c r="BMQ45" s="468"/>
      <c r="BMR45" s="468"/>
      <c r="BMS45" s="468"/>
      <c r="BMT45" s="468"/>
      <c r="BMU45" s="468"/>
      <c r="BMV45" s="468"/>
      <c r="BMW45" s="468"/>
      <c r="BMX45" s="468"/>
      <c r="BMY45" s="468"/>
      <c r="BMZ45" s="468"/>
      <c r="BNA45" s="468"/>
      <c r="BNB45" s="468"/>
      <c r="BNC45" s="468"/>
      <c r="BND45" s="468"/>
      <c r="BNE45" s="468"/>
      <c r="BNF45" s="468"/>
      <c r="BNG45" s="468"/>
      <c r="BNH45" s="468"/>
      <c r="BNI45" s="468"/>
      <c r="BNJ45" s="468"/>
      <c r="BNK45" s="468"/>
      <c r="BNL45" s="468"/>
      <c r="BNM45" s="468"/>
      <c r="BNN45" s="468"/>
      <c r="BNO45" s="468"/>
      <c r="BNP45" s="468"/>
      <c r="BNQ45" s="468"/>
      <c r="BNR45" s="468"/>
      <c r="BNS45" s="468"/>
      <c r="BNT45" s="468"/>
      <c r="BNU45" s="468"/>
      <c r="BNV45" s="468"/>
      <c r="BNW45" s="468"/>
      <c r="BNX45" s="468"/>
      <c r="BNY45" s="468"/>
      <c r="BNZ45" s="468"/>
      <c r="BOA45" s="468"/>
      <c r="BOB45" s="468"/>
      <c r="BOC45" s="468"/>
      <c r="BOD45" s="468"/>
      <c r="BOE45" s="468"/>
      <c r="BOF45" s="468"/>
      <c r="BOG45" s="468"/>
      <c r="BOH45" s="468"/>
      <c r="BOI45" s="468"/>
      <c r="BOJ45" s="468"/>
      <c r="BOK45" s="468"/>
      <c r="BOL45" s="468"/>
      <c r="BOM45" s="468"/>
      <c r="BON45" s="468"/>
      <c r="BOO45" s="468"/>
      <c r="BOP45" s="468"/>
      <c r="BOQ45" s="468"/>
      <c r="BOR45" s="468"/>
      <c r="BOS45" s="468"/>
      <c r="BOT45" s="468"/>
      <c r="BOU45" s="468"/>
      <c r="BOV45" s="468"/>
      <c r="BOW45" s="468"/>
      <c r="BOX45" s="468"/>
      <c r="BOY45" s="468"/>
      <c r="BOZ45" s="468"/>
      <c r="BPA45" s="468"/>
      <c r="BPB45" s="468"/>
      <c r="BPC45" s="468"/>
      <c r="BPD45" s="468"/>
      <c r="BPE45" s="468"/>
      <c r="BPF45" s="468"/>
      <c r="BPG45" s="468"/>
      <c r="BPH45" s="468"/>
      <c r="BPI45" s="468"/>
      <c r="BPJ45" s="468"/>
      <c r="BPK45" s="468"/>
      <c r="BPL45" s="468"/>
      <c r="BPM45" s="468"/>
      <c r="BPN45" s="468"/>
      <c r="BPO45" s="468"/>
      <c r="BPP45" s="468"/>
      <c r="BPQ45" s="468"/>
      <c r="BPR45" s="468"/>
      <c r="BPS45" s="468"/>
      <c r="BPT45" s="468"/>
      <c r="BPU45" s="468"/>
      <c r="BPV45" s="468"/>
      <c r="BPW45" s="468"/>
      <c r="BPX45" s="468"/>
      <c r="BPY45" s="468"/>
      <c r="BPZ45" s="468"/>
      <c r="BQA45" s="468"/>
      <c r="BQB45" s="468"/>
      <c r="BQC45" s="468"/>
      <c r="BQD45" s="468"/>
      <c r="BQE45" s="468"/>
      <c r="BQF45" s="468"/>
      <c r="BQG45" s="468"/>
      <c r="BQH45" s="468"/>
      <c r="BQI45" s="468"/>
      <c r="BQJ45" s="468"/>
      <c r="BQK45" s="468"/>
      <c r="BQL45" s="468"/>
      <c r="BQM45" s="468"/>
      <c r="BQN45" s="468"/>
      <c r="BQO45" s="468"/>
      <c r="BQP45" s="468"/>
      <c r="BQQ45" s="468"/>
      <c r="BQR45" s="468"/>
      <c r="BQS45" s="468"/>
      <c r="BQT45" s="468"/>
      <c r="BQU45" s="468"/>
      <c r="BQV45" s="468"/>
      <c r="BQW45" s="468"/>
      <c r="BQX45" s="468"/>
      <c r="BQY45" s="468"/>
      <c r="BQZ45" s="468"/>
      <c r="BRA45" s="468"/>
      <c r="BRB45" s="468"/>
      <c r="BRC45" s="468"/>
      <c r="BRD45" s="468"/>
      <c r="BRE45" s="468"/>
      <c r="BRF45" s="468"/>
      <c r="BRG45" s="468"/>
      <c r="BRH45" s="468"/>
      <c r="BRI45" s="468"/>
      <c r="BRJ45" s="468"/>
      <c r="BRK45" s="468"/>
      <c r="BRL45" s="468"/>
      <c r="BRM45" s="468"/>
      <c r="BRN45" s="468"/>
      <c r="BRO45" s="468"/>
      <c r="BRP45" s="468"/>
      <c r="BRQ45" s="468"/>
      <c r="BRR45" s="468"/>
      <c r="BRS45" s="468"/>
      <c r="BRT45" s="468"/>
      <c r="BRU45" s="468"/>
      <c r="BRV45" s="468"/>
      <c r="BRW45" s="468"/>
      <c r="BRX45" s="468"/>
      <c r="BRY45" s="468"/>
      <c r="BRZ45" s="468"/>
      <c r="BSA45" s="468"/>
      <c r="BSB45" s="468"/>
      <c r="BSC45" s="468"/>
      <c r="BSD45" s="468"/>
      <c r="BSE45" s="468"/>
      <c r="BSF45" s="468"/>
      <c r="BSG45" s="468"/>
      <c r="BSH45" s="468"/>
      <c r="BSI45" s="468"/>
      <c r="BSJ45" s="468"/>
      <c r="BSK45" s="468"/>
      <c r="BSL45" s="468"/>
      <c r="BSM45" s="468"/>
      <c r="BSN45" s="468"/>
      <c r="BSO45" s="468"/>
      <c r="BSP45" s="468"/>
      <c r="BSQ45" s="468"/>
      <c r="BSR45" s="468"/>
      <c r="BSS45" s="468"/>
      <c r="BST45" s="468"/>
      <c r="BSU45" s="468"/>
      <c r="BSV45" s="468"/>
      <c r="BSW45" s="468"/>
      <c r="BSX45" s="468"/>
      <c r="BSY45" s="468"/>
      <c r="BSZ45" s="468"/>
      <c r="BTA45" s="468"/>
      <c r="BTB45" s="468"/>
      <c r="BTC45" s="468"/>
      <c r="BTD45" s="468"/>
      <c r="BTE45" s="468"/>
      <c r="BTF45" s="468"/>
      <c r="BTG45" s="468"/>
      <c r="BTH45" s="468"/>
      <c r="BTI45" s="468"/>
      <c r="BTJ45" s="468"/>
      <c r="BTK45" s="468"/>
      <c r="BTL45" s="468"/>
      <c r="BTM45" s="468"/>
      <c r="BTN45" s="468"/>
      <c r="BTO45" s="468"/>
      <c r="BTP45" s="468"/>
      <c r="BTQ45" s="468"/>
      <c r="BTR45" s="468"/>
      <c r="BTS45" s="468"/>
      <c r="BTT45" s="468"/>
      <c r="BTU45" s="468"/>
      <c r="BTV45" s="468"/>
      <c r="BTW45" s="468"/>
      <c r="BTX45" s="468"/>
      <c r="BTY45" s="468"/>
      <c r="BTZ45" s="468"/>
      <c r="BUA45" s="468"/>
      <c r="BUB45" s="468"/>
      <c r="BUC45" s="468"/>
      <c r="BUD45" s="468"/>
      <c r="BUE45" s="468"/>
      <c r="BUF45" s="468"/>
      <c r="BUG45" s="468"/>
      <c r="BUH45" s="468"/>
      <c r="BUI45" s="468"/>
      <c r="BUJ45" s="468"/>
      <c r="BUK45" s="468"/>
      <c r="BUL45" s="468"/>
      <c r="BUM45" s="468"/>
      <c r="BUN45" s="468"/>
      <c r="BUO45" s="468"/>
      <c r="BUP45" s="468"/>
      <c r="BUQ45" s="468"/>
      <c r="BUR45" s="468"/>
      <c r="BUS45" s="468"/>
      <c r="BUT45" s="468"/>
      <c r="BUU45" s="468"/>
      <c r="BUV45" s="468"/>
      <c r="BUW45" s="468"/>
      <c r="BUX45" s="468"/>
      <c r="BUY45" s="468"/>
      <c r="BUZ45" s="468"/>
      <c r="BVA45" s="468"/>
      <c r="BVB45" s="468"/>
      <c r="BVC45" s="468"/>
      <c r="BVD45" s="468"/>
      <c r="BVE45" s="468"/>
      <c r="BVF45" s="468"/>
      <c r="BVG45" s="468"/>
      <c r="BVH45" s="468"/>
      <c r="BVI45" s="468"/>
      <c r="BVJ45" s="468"/>
      <c r="BVK45" s="468"/>
      <c r="BVL45" s="468"/>
      <c r="BVM45" s="468"/>
      <c r="BVN45" s="468"/>
      <c r="BVO45" s="468"/>
      <c r="BVP45" s="468"/>
      <c r="BVQ45" s="468"/>
      <c r="BVR45" s="468"/>
      <c r="BVS45" s="468"/>
      <c r="BVT45" s="468"/>
      <c r="BVU45" s="468"/>
      <c r="BVV45" s="468"/>
      <c r="BVW45" s="468"/>
      <c r="BVX45" s="468"/>
      <c r="BVY45" s="468"/>
      <c r="BVZ45" s="468"/>
      <c r="BWA45" s="468"/>
      <c r="BWB45" s="468"/>
      <c r="BWC45" s="468"/>
      <c r="BWD45" s="468"/>
      <c r="BWE45" s="468"/>
      <c r="BWF45" s="468"/>
      <c r="BWG45" s="468"/>
      <c r="BWH45" s="468"/>
      <c r="BWI45" s="468"/>
      <c r="BWJ45" s="468"/>
      <c r="BWK45" s="468"/>
      <c r="BWL45" s="468"/>
      <c r="BWM45" s="468"/>
      <c r="BWN45" s="468"/>
      <c r="BWO45" s="468"/>
      <c r="BWP45" s="468"/>
      <c r="BWQ45" s="468"/>
      <c r="BWR45" s="468"/>
      <c r="BWS45" s="468"/>
      <c r="BWT45" s="468"/>
      <c r="BWU45" s="468"/>
      <c r="BWV45" s="468"/>
      <c r="BWW45" s="468"/>
      <c r="BWX45" s="468"/>
      <c r="BWY45" s="468"/>
      <c r="BWZ45" s="468"/>
      <c r="BXA45" s="468"/>
      <c r="BXB45" s="468"/>
      <c r="BXC45" s="468"/>
      <c r="BXD45" s="468"/>
      <c r="BXE45" s="468"/>
      <c r="BXF45" s="468"/>
      <c r="BXG45" s="468"/>
      <c r="BXH45" s="468"/>
      <c r="BXI45" s="468"/>
      <c r="BXJ45" s="468"/>
      <c r="BXK45" s="468"/>
      <c r="BXL45" s="468"/>
      <c r="BXM45" s="468"/>
      <c r="BXN45" s="468"/>
      <c r="BXO45" s="468"/>
      <c r="BXP45" s="468"/>
      <c r="BXQ45" s="468"/>
      <c r="BXR45" s="468"/>
      <c r="BXS45" s="468"/>
      <c r="BXT45" s="468"/>
      <c r="BXU45" s="468"/>
      <c r="BXV45" s="468"/>
      <c r="BXW45" s="468"/>
      <c r="BXX45" s="468"/>
      <c r="BXY45" s="468"/>
      <c r="BXZ45" s="468"/>
      <c r="BYA45" s="468"/>
      <c r="BYB45" s="468"/>
      <c r="BYC45" s="468"/>
      <c r="BYD45" s="468"/>
      <c r="BYE45" s="468"/>
      <c r="BYF45" s="468"/>
      <c r="BYG45" s="468"/>
      <c r="BYH45" s="468"/>
      <c r="BYI45" s="468"/>
      <c r="BYJ45" s="468"/>
      <c r="BYK45" s="468"/>
      <c r="BYL45" s="468"/>
      <c r="BYM45" s="468"/>
      <c r="BYN45" s="468"/>
      <c r="BYO45" s="468"/>
      <c r="BYP45" s="468"/>
      <c r="BYQ45" s="468"/>
      <c r="BYR45" s="468"/>
      <c r="BYS45" s="468"/>
      <c r="BYT45" s="468"/>
      <c r="BYU45" s="468"/>
      <c r="BYV45" s="468"/>
      <c r="BYW45" s="468"/>
      <c r="BYX45" s="468"/>
      <c r="BYY45" s="468"/>
      <c r="BYZ45" s="468"/>
      <c r="BZA45" s="468"/>
      <c r="BZB45" s="468"/>
      <c r="BZC45" s="468"/>
      <c r="BZD45" s="468"/>
      <c r="BZE45" s="468"/>
      <c r="BZF45" s="468"/>
      <c r="BZG45" s="468"/>
      <c r="BZH45" s="468"/>
      <c r="BZI45" s="468"/>
      <c r="BZJ45" s="468"/>
      <c r="BZK45" s="468"/>
      <c r="BZL45" s="468"/>
      <c r="BZM45" s="468"/>
      <c r="BZN45" s="468"/>
      <c r="BZO45" s="468"/>
      <c r="BZP45" s="468"/>
      <c r="BZQ45" s="468"/>
      <c r="BZR45" s="468"/>
      <c r="BZS45" s="468"/>
      <c r="BZT45" s="468"/>
      <c r="BZU45" s="468"/>
      <c r="BZV45" s="468"/>
      <c r="BZW45" s="468"/>
      <c r="BZX45" s="468"/>
      <c r="BZY45" s="468"/>
      <c r="BZZ45" s="468"/>
      <c r="CAA45" s="468"/>
      <c r="CAB45" s="468"/>
      <c r="CAC45" s="468"/>
      <c r="CAD45" s="468"/>
      <c r="CAE45" s="468"/>
      <c r="CAF45" s="468"/>
      <c r="CAG45" s="468"/>
      <c r="CAH45" s="468"/>
      <c r="CAI45" s="468"/>
      <c r="CAJ45" s="468"/>
      <c r="CAK45" s="468"/>
      <c r="CAL45" s="468"/>
      <c r="CAM45" s="468"/>
      <c r="CAN45" s="468"/>
      <c r="CAO45" s="468"/>
      <c r="CAP45" s="468"/>
      <c r="CAQ45" s="468"/>
      <c r="CAR45" s="468"/>
      <c r="CAS45" s="468"/>
      <c r="CAT45" s="468"/>
      <c r="CAU45" s="468"/>
      <c r="CAV45" s="468"/>
      <c r="CAW45" s="468"/>
      <c r="CAX45" s="468"/>
      <c r="CAY45" s="468"/>
      <c r="CAZ45" s="468"/>
      <c r="CBA45" s="468"/>
      <c r="CBB45" s="468"/>
      <c r="CBC45" s="468"/>
      <c r="CBD45" s="468"/>
      <c r="CBE45" s="468"/>
      <c r="CBF45" s="468"/>
      <c r="CBG45" s="468"/>
      <c r="CBH45" s="468"/>
      <c r="CBI45" s="468"/>
      <c r="CBJ45" s="468"/>
      <c r="CBK45" s="468"/>
      <c r="CBL45" s="468"/>
      <c r="CBM45" s="468"/>
      <c r="CBN45" s="468"/>
      <c r="CBO45" s="468"/>
      <c r="CBP45" s="468"/>
      <c r="CBQ45" s="468"/>
      <c r="CBR45" s="468"/>
      <c r="CBS45" s="468"/>
      <c r="CBT45" s="468"/>
      <c r="CBU45" s="468"/>
      <c r="CBV45" s="468"/>
      <c r="CBW45" s="468"/>
      <c r="CBX45" s="468"/>
      <c r="CBY45" s="468"/>
      <c r="CBZ45" s="468"/>
      <c r="CCA45" s="468"/>
      <c r="CCB45" s="468"/>
      <c r="CCC45" s="468"/>
      <c r="CCD45" s="468"/>
      <c r="CCE45" s="468"/>
      <c r="CCF45" s="468"/>
      <c r="CCG45" s="468"/>
      <c r="CCH45" s="468"/>
      <c r="CCI45" s="468"/>
      <c r="CCJ45" s="468"/>
      <c r="CCK45" s="468"/>
      <c r="CCL45" s="468"/>
      <c r="CCM45" s="468"/>
      <c r="CCN45" s="468"/>
      <c r="CCO45" s="468"/>
      <c r="CCP45" s="468"/>
      <c r="CCQ45" s="468"/>
      <c r="CCR45" s="468"/>
      <c r="CCS45" s="468"/>
      <c r="CCT45" s="468"/>
      <c r="CCU45" s="468"/>
      <c r="CCV45" s="468"/>
      <c r="CCW45" s="468"/>
      <c r="CCX45" s="468"/>
      <c r="CCY45" s="468"/>
      <c r="CCZ45" s="468"/>
      <c r="CDA45" s="468"/>
      <c r="CDB45" s="468"/>
      <c r="CDC45" s="468"/>
      <c r="CDD45" s="468"/>
      <c r="CDE45" s="468"/>
      <c r="CDF45" s="468"/>
      <c r="CDG45" s="468"/>
      <c r="CDH45" s="468"/>
      <c r="CDI45" s="468"/>
      <c r="CDJ45" s="468"/>
      <c r="CDK45" s="468"/>
      <c r="CDL45" s="468"/>
      <c r="CDM45" s="468"/>
      <c r="CDN45" s="468"/>
      <c r="CDO45" s="468"/>
      <c r="CDP45" s="468"/>
      <c r="CDQ45" s="468"/>
      <c r="CDR45" s="468"/>
      <c r="CDS45" s="468"/>
      <c r="CDT45" s="468"/>
      <c r="CDU45" s="468"/>
      <c r="CDV45" s="468"/>
      <c r="CDW45" s="468"/>
      <c r="CDX45" s="468"/>
      <c r="CDY45" s="468"/>
      <c r="CDZ45" s="468"/>
      <c r="CEA45" s="468"/>
      <c r="CEB45" s="468"/>
      <c r="CEC45" s="468"/>
      <c r="CED45" s="468"/>
      <c r="CEE45" s="468"/>
      <c r="CEF45" s="468"/>
      <c r="CEG45" s="468"/>
      <c r="CEH45" s="468"/>
      <c r="CEI45" s="468"/>
      <c r="CEJ45" s="468"/>
      <c r="CEK45" s="468"/>
      <c r="CEL45" s="468"/>
      <c r="CEM45" s="468"/>
      <c r="CEN45" s="468"/>
      <c r="CEO45" s="468"/>
      <c r="CEP45" s="468"/>
      <c r="CEQ45" s="468"/>
      <c r="CER45" s="468"/>
      <c r="CES45" s="468"/>
      <c r="CET45" s="468"/>
      <c r="CEU45" s="468"/>
      <c r="CEV45" s="468"/>
      <c r="CEW45" s="468"/>
      <c r="CEX45" s="468"/>
      <c r="CEY45" s="468"/>
      <c r="CEZ45" s="468"/>
      <c r="CFA45" s="468"/>
      <c r="CFB45" s="468"/>
      <c r="CFC45" s="468"/>
      <c r="CFD45" s="468"/>
      <c r="CFE45" s="468"/>
      <c r="CFF45" s="468"/>
      <c r="CFG45" s="468"/>
      <c r="CFH45" s="468"/>
      <c r="CFI45" s="468"/>
      <c r="CFJ45" s="468"/>
      <c r="CFK45" s="468"/>
      <c r="CFL45" s="468"/>
      <c r="CFM45" s="468"/>
      <c r="CFN45" s="468"/>
      <c r="CFO45" s="468"/>
      <c r="CFP45" s="468"/>
      <c r="CFQ45" s="468"/>
      <c r="CFR45" s="468"/>
      <c r="CFS45" s="468"/>
      <c r="CFT45" s="468"/>
      <c r="CFU45" s="468"/>
      <c r="CFV45" s="468"/>
      <c r="CFW45" s="468"/>
      <c r="CFX45" s="468"/>
      <c r="CFY45" s="468"/>
      <c r="CFZ45" s="468"/>
      <c r="CGA45" s="468"/>
      <c r="CGB45" s="468"/>
      <c r="CGC45" s="468"/>
      <c r="CGD45" s="468"/>
      <c r="CGE45" s="468"/>
      <c r="CGF45" s="468"/>
      <c r="CGG45" s="468"/>
      <c r="CGH45" s="468"/>
      <c r="CGI45" s="468"/>
      <c r="CGJ45" s="468"/>
      <c r="CGK45" s="468"/>
      <c r="CGL45" s="468"/>
      <c r="CGM45" s="468"/>
      <c r="CGN45" s="468"/>
      <c r="CGO45" s="468"/>
      <c r="CGP45" s="468"/>
      <c r="CGQ45" s="468"/>
      <c r="CGR45" s="468"/>
      <c r="CGS45" s="468"/>
      <c r="CGT45" s="468"/>
      <c r="CGU45" s="468"/>
      <c r="CGV45" s="468"/>
      <c r="CGW45" s="468"/>
      <c r="CGX45" s="468"/>
      <c r="CGY45" s="468"/>
      <c r="CGZ45" s="468"/>
      <c r="CHA45" s="468"/>
      <c r="CHB45" s="468"/>
      <c r="CHC45" s="468"/>
      <c r="CHD45" s="468"/>
      <c r="CHE45" s="468"/>
      <c r="CHF45" s="468"/>
      <c r="CHG45" s="468"/>
      <c r="CHH45" s="468"/>
      <c r="CHI45" s="468"/>
      <c r="CHJ45" s="468"/>
      <c r="CHK45" s="468"/>
      <c r="CHL45" s="468"/>
      <c r="CHM45" s="468"/>
      <c r="CHN45" s="468"/>
      <c r="CHO45" s="468"/>
      <c r="CHP45" s="468"/>
      <c r="CHQ45" s="468"/>
      <c r="CHR45" s="468"/>
      <c r="CHS45" s="468"/>
      <c r="CHT45" s="468"/>
      <c r="CHU45" s="468"/>
      <c r="CHV45" s="468"/>
      <c r="CHW45" s="468"/>
      <c r="CHX45" s="468"/>
      <c r="CHY45" s="468"/>
      <c r="CHZ45" s="468"/>
      <c r="CIA45" s="468"/>
      <c r="CIB45" s="468"/>
      <c r="CIC45" s="468"/>
      <c r="CID45" s="468"/>
      <c r="CIE45" s="468"/>
      <c r="CIF45" s="468"/>
      <c r="CIG45" s="468"/>
      <c r="CIH45" s="468"/>
      <c r="CII45" s="468"/>
      <c r="CIJ45" s="468"/>
      <c r="CIK45" s="468"/>
      <c r="CIL45" s="468"/>
      <c r="CIM45" s="468"/>
      <c r="CIN45" s="468"/>
      <c r="CIO45" s="468"/>
      <c r="CIP45" s="468"/>
      <c r="CIQ45" s="468"/>
      <c r="CIR45" s="468"/>
      <c r="CIS45" s="468"/>
      <c r="CIT45" s="468"/>
      <c r="CIU45" s="468"/>
      <c r="CIV45" s="468"/>
      <c r="CIW45" s="468"/>
      <c r="CIX45" s="468"/>
      <c r="CIY45" s="468"/>
      <c r="CIZ45" s="468"/>
      <c r="CJA45" s="468"/>
      <c r="CJB45" s="468"/>
      <c r="CJC45" s="468"/>
      <c r="CJD45" s="468"/>
      <c r="CJE45" s="468"/>
      <c r="CJF45" s="468"/>
      <c r="CJG45" s="468"/>
      <c r="CJH45" s="468"/>
      <c r="CJI45" s="468"/>
      <c r="CJJ45" s="468"/>
      <c r="CJK45" s="468"/>
      <c r="CJL45" s="468"/>
      <c r="CJM45" s="468"/>
      <c r="CJN45" s="468"/>
      <c r="CJO45" s="468"/>
      <c r="CJP45" s="468"/>
      <c r="CJQ45" s="468"/>
      <c r="CJR45" s="468"/>
      <c r="CJS45" s="468"/>
      <c r="CJT45" s="468"/>
      <c r="CJU45" s="468"/>
      <c r="CJV45" s="468"/>
      <c r="CJW45" s="468"/>
      <c r="CJX45" s="468"/>
      <c r="CJY45" s="468"/>
      <c r="CJZ45" s="468"/>
      <c r="CKA45" s="468"/>
      <c r="CKB45" s="468"/>
      <c r="CKC45" s="468"/>
      <c r="CKD45" s="468"/>
      <c r="CKE45" s="468"/>
      <c r="CKF45" s="468"/>
      <c r="CKG45" s="468"/>
      <c r="CKH45" s="468"/>
      <c r="CKI45" s="468"/>
      <c r="CKJ45" s="468"/>
      <c r="CKK45" s="468"/>
      <c r="CKL45" s="468"/>
      <c r="CKM45" s="468"/>
      <c r="CKN45" s="468"/>
      <c r="CKO45" s="468"/>
      <c r="CKP45" s="468"/>
      <c r="CKQ45" s="468"/>
      <c r="CKR45" s="468"/>
      <c r="CKS45" s="468"/>
      <c r="CKT45" s="468"/>
      <c r="CKU45" s="468"/>
      <c r="CKV45" s="468"/>
      <c r="CKW45" s="468"/>
      <c r="CKX45" s="468"/>
      <c r="CKY45" s="468"/>
      <c r="CKZ45" s="468"/>
      <c r="CLA45" s="468"/>
      <c r="CLB45" s="468"/>
      <c r="CLC45" s="468"/>
      <c r="CLD45" s="468"/>
      <c r="CLE45" s="468"/>
      <c r="CLF45" s="468"/>
      <c r="CLG45" s="468"/>
      <c r="CLH45" s="468"/>
      <c r="CLI45" s="468"/>
      <c r="CLJ45" s="468"/>
      <c r="CLK45" s="468"/>
      <c r="CLL45" s="468"/>
      <c r="CLM45" s="468"/>
      <c r="CLN45" s="468"/>
      <c r="CLO45" s="468"/>
      <c r="CLP45" s="468"/>
      <c r="CLQ45" s="468"/>
      <c r="CLR45" s="468"/>
      <c r="CLS45" s="468"/>
      <c r="CLT45" s="468"/>
      <c r="CLU45" s="468"/>
      <c r="CLV45" s="468"/>
      <c r="CLW45" s="468"/>
      <c r="CLX45" s="468"/>
      <c r="CLY45" s="468"/>
      <c r="CLZ45" s="468"/>
      <c r="CMA45" s="468"/>
      <c r="CMB45" s="468"/>
      <c r="CMC45" s="468"/>
      <c r="CMD45" s="468"/>
      <c r="CME45" s="468"/>
      <c r="CMF45" s="468"/>
      <c r="CMG45" s="468"/>
      <c r="CMH45" s="468"/>
      <c r="CMI45" s="468"/>
      <c r="CMJ45" s="468"/>
      <c r="CMK45" s="468"/>
      <c r="CML45" s="468"/>
      <c r="CMM45" s="468"/>
      <c r="CMN45" s="468"/>
      <c r="CMO45" s="468"/>
      <c r="CMP45" s="468"/>
      <c r="CMQ45" s="468"/>
      <c r="CMR45" s="468"/>
      <c r="CMS45" s="468"/>
      <c r="CMT45" s="468"/>
      <c r="CMU45" s="468"/>
      <c r="CMV45" s="468"/>
      <c r="CMW45" s="468"/>
      <c r="CMX45" s="468"/>
      <c r="CMY45" s="468"/>
      <c r="CMZ45" s="468"/>
      <c r="CNA45" s="468"/>
      <c r="CNB45" s="468"/>
      <c r="CNC45" s="468"/>
      <c r="CND45" s="468"/>
      <c r="CNE45" s="468"/>
      <c r="CNF45" s="468"/>
      <c r="CNG45" s="468"/>
      <c r="CNH45" s="468"/>
      <c r="CNI45" s="468"/>
      <c r="CNJ45" s="468"/>
      <c r="CNK45" s="468"/>
      <c r="CNL45" s="468"/>
      <c r="CNM45" s="468"/>
      <c r="CNN45" s="468"/>
      <c r="CNO45" s="468"/>
      <c r="CNP45" s="468"/>
      <c r="CNQ45" s="468"/>
      <c r="CNR45" s="468"/>
      <c r="CNS45" s="468"/>
      <c r="CNT45" s="468"/>
      <c r="CNU45" s="468"/>
      <c r="CNV45" s="468"/>
      <c r="CNW45" s="468"/>
      <c r="CNX45" s="468"/>
      <c r="CNY45" s="468"/>
      <c r="CNZ45" s="468"/>
      <c r="COA45" s="468"/>
      <c r="COB45" s="468"/>
      <c r="COC45" s="468"/>
      <c r="COD45" s="468"/>
      <c r="COE45" s="468"/>
      <c r="COF45" s="468"/>
      <c r="COG45" s="468"/>
      <c r="COH45" s="468"/>
      <c r="COI45" s="468"/>
      <c r="COJ45" s="468"/>
      <c r="COK45" s="468"/>
      <c r="COL45" s="468"/>
      <c r="COM45" s="468"/>
      <c r="CON45" s="468"/>
      <c r="COO45" s="468"/>
      <c r="COP45" s="468"/>
      <c r="COQ45" s="468"/>
      <c r="COR45" s="468"/>
      <c r="COS45" s="468"/>
      <c r="COT45" s="468"/>
      <c r="COU45" s="468"/>
      <c r="COV45" s="468"/>
      <c r="COW45" s="468"/>
      <c r="COX45" s="468"/>
      <c r="COY45" s="468"/>
      <c r="COZ45" s="468"/>
      <c r="CPA45" s="468"/>
      <c r="CPB45" s="468"/>
      <c r="CPC45" s="468"/>
      <c r="CPD45" s="468"/>
      <c r="CPE45" s="468"/>
      <c r="CPF45" s="468"/>
      <c r="CPG45" s="468"/>
      <c r="CPH45" s="468"/>
      <c r="CPI45" s="468"/>
      <c r="CPJ45" s="468"/>
      <c r="CPK45" s="468"/>
      <c r="CPL45" s="468"/>
      <c r="CPM45" s="468"/>
      <c r="CPN45" s="468"/>
      <c r="CPO45" s="468"/>
      <c r="CPP45" s="468"/>
      <c r="CPQ45" s="468"/>
      <c r="CPR45" s="468"/>
      <c r="CPS45" s="468"/>
      <c r="CPT45" s="468"/>
      <c r="CPU45" s="468"/>
      <c r="CPV45" s="468"/>
      <c r="CPW45" s="468"/>
      <c r="CPX45" s="468"/>
      <c r="CPY45" s="468"/>
      <c r="CPZ45" s="468"/>
      <c r="CQA45" s="468"/>
      <c r="CQB45" s="468"/>
      <c r="CQC45" s="468"/>
      <c r="CQD45" s="468"/>
      <c r="CQE45" s="468"/>
      <c r="CQF45" s="468"/>
      <c r="CQG45" s="468"/>
      <c r="CQH45" s="468"/>
      <c r="CQI45" s="468"/>
      <c r="CQJ45" s="468"/>
      <c r="CQK45" s="468"/>
      <c r="CQL45" s="468"/>
      <c r="CQM45" s="468"/>
      <c r="CQN45" s="468"/>
      <c r="CQO45" s="468"/>
      <c r="CQP45" s="468"/>
      <c r="CQQ45" s="468"/>
      <c r="CQR45" s="468"/>
      <c r="CQS45" s="468"/>
      <c r="CQT45" s="468"/>
      <c r="CQU45" s="468"/>
      <c r="CQV45" s="468"/>
      <c r="CQW45" s="468"/>
      <c r="CQX45" s="468"/>
      <c r="CQY45" s="468"/>
      <c r="CQZ45" s="468"/>
      <c r="CRA45" s="468"/>
      <c r="CRB45" s="468"/>
      <c r="CRC45" s="468"/>
      <c r="CRD45" s="468"/>
      <c r="CRE45" s="468"/>
      <c r="CRF45" s="468"/>
      <c r="CRG45" s="468"/>
      <c r="CRH45" s="468"/>
      <c r="CRI45" s="468"/>
      <c r="CRJ45" s="468"/>
      <c r="CRK45" s="468"/>
      <c r="CRL45" s="468"/>
      <c r="CRM45" s="468"/>
      <c r="CRN45" s="468"/>
      <c r="CRO45" s="468"/>
      <c r="CRP45" s="468"/>
      <c r="CRQ45" s="468"/>
      <c r="CRR45" s="468"/>
      <c r="CRS45" s="468"/>
      <c r="CRT45" s="468"/>
      <c r="CRU45" s="468"/>
      <c r="CRV45" s="468"/>
      <c r="CRW45" s="468"/>
      <c r="CRX45" s="468"/>
      <c r="CRY45" s="468"/>
      <c r="CRZ45" s="468"/>
      <c r="CSA45" s="468"/>
      <c r="CSB45" s="468"/>
      <c r="CSC45" s="468"/>
      <c r="CSD45" s="468"/>
      <c r="CSE45" s="468"/>
      <c r="CSF45" s="468"/>
      <c r="CSG45" s="468"/>
      <c r="CSH45" s="468"/>
      <c r="CSI45" s="468"/>
      <c r="CSJ45" s="468"/>
      <c r="CSK45" s="468"/>
      <c r="CSL45" s="468"/>
      <c r="CSM45" s="468"/>
      <c r="CSN45" s="468"/>
      <c r="CSO45" s="468"/>
      <c r="CSP45" s="468"/>
      <c r="CSQ45" s="468"/>
      <c r="CSR45" s="468"/>
      <c r="CSS45" s="468"/>
      <c r="CST45" s="468"/>
      <c r="CSU45" s="468"/>
      <c r="CSV45" s="468"/>
      <c r="CSW45" s="468"/>
      <c r="CSX45" s="468"/>
      <c r="CSY45" s="468"/>
      <c r="CSZ45" s="468"/>
      <c r="CTA45" s="468"/>
      <c r="CTB45" s="468"/>
      <c r="CTC45" s="468"/>
      <c r="CTD45" s="468"/>
      <c r="CTE45" s="468"/>
      <c r="CTF45" s="468"/>
      <c r="CTG45" s="468"/>
      <c r="CTH45" s="468"/>
      <c r="CTI45" s="468"/>
      <c r="CTJ45" s="468"/>
      <c r="CTK45" s="468"/>
      <c r="CTL45" s="468"/>
      <c r="CTM45" s="468"/>
      <c r="CTN45" s="468"/>
      <c r="CTO45" s="468"/>
      <c r="CTP45" s="468"/>
      <c r="CTQ45" s="468"/>
      <c r="CTR45" s="468"/>
      <c r="CTS45" s="468"/>
      <c r="CTT45" s="468"/>
      <c r="CTU45" s="468"/>
      <c r="CTV45" s="468"/>
      <c r="CTW45" s="468"/>
      <c r="CTX45" s="468"/>
      <c r="CTY45" s="468"/>
      <c r="CTZ45" s="468"/>
      <c r="CUA45" s="468"/>
      <c r="CUB45" s="468"/>
      <c r="CUC45" s="468"/>
      <c r="CUD45" s="468"/>
      <c r="CUE45" s="468"/>
      <c r="CUF45" s="468"/>
      <c r="CUG45" s="468"/>
      <c r="CUH45" s="468"/>
      <c r="CUI45" s="468"/>
      <c r="CUJ45" s="468"/>
      <c r="CUK45" s="468"/>
      <c r="CUL45" s="468"/>
      <c r="CUM45" s="468"/>
      <c r="CUN45" s="468"/>
      <c r="CUO45" s="468"/>
      <c r="CUP45" s="468"/>
      <c r="CUQ45" s="468"/>
      <c r="CUR45" s="468"/>
      <c r="CUS45" s="468"/>
      <c r="CUT45" s="468"/>
      <c r="CUU45" s="468"/>
      <c r="CUV45" s="468"/>
      <c r="CUW45" s="468"/>
      <c r="CUX45" s="468"/>
      <c r="CUY45" s="468"/>
      <c r="CUZ45" s="468"/>
      <c r="CVA45" s="468"/>
      <c r="CVB45" s="468"/>
      <c r="CVC45" s="468"/>
      <c r="CVD45" s="468"/>
      <c r="CVE45" s="468"/>
      <c r="CVF45" s="468"/>
      <c r="CVG45" s="468"/>
      <c r="CVH45" s="468"/>
      <c r="CVI45" s="468"/>
      <c r="CVJ45" s="468"/>
      <c r="CVK45" s="468"/>
      <c r="CVL45" s="468"/>
      <c r="CVM45" s="468"/>
      <c r="CVN45" s="468"/>
      <c r="CVO45" s="468"/>
      <c r="CVP45" s="468"/>
      <c r="CVQ45" s="468"/>
      <c r="CVR45" s="468"/>
      <c r="CVS45" s="468"/>
      <c r="CVT45" s="468"/>
      <c r="CVU45" s="468"/>
      <c r="CVV45" s="468"/>
      <c r="CVW45" s="468"/>
      <c r="CVX45" s="468"/>
      <c r="CVY45" s="468"/>
      <c r="CVZ45" s="468"/>
      <c r="CWA45" s="468"/>
      <c r="CWB45" s="468"/>
      <c r="CWC45" s="468"/>
      <c r="CWD45" s="468"/>
      <c r="CWE45" s="468"/>
      <c r="CWF45" s="468"/>
      <c r="CWG45" s="468"/>
      <c r="CWH45" s="468"/>
      <c r="CWI45" s="468"/>
      <c r="CWJ45" s="468"/>
      <c r="CWK45" s="468"/>
      <c r="CWL45" s="468"/>
      <c r="CWM45" s="468"/>
      <c r="CWN45" s="468"/>
      <c r="CWO45" s="468"/>
      <c r="CWP45" s="468"/>
      <c r="CWQ45" s="468"/>
      <c r="CWR45" s="468"/>
      <c r="CWS45" s="468"/>
      <c r="CWT45" s="468"/>
      <c r="CWU45" s="468"/>
      <c r="CWV45" s="468"/>
      <c r="CWW45" s="468"/>
      <c r="CWX45" s="468"/>
      <c r="CWY45" s="468"/>
      <c r="CWZ45" s="468"/>
      <c r="CXA45" s="468"/>
      <c r="CXB45" s="468"/>
      <c r="CXC45" s="468"/>
      <c r="CXD45" s="468"/>
      <c r="CXE45" s="468"/>
      <c r="CXF45" s="468"/>
      <c r="CXG45" s="468"/>
      <c r="CXH45" s="468"/>
      <c r="CXI45" s="468"/>
      <c r="CXJ45" s="468"/>
      <c r="CXK45" s="468"/>
      <c r="CXL45" s="468"/>
      <c r="CXM45" s="468"/>
      <c r="CXN45" s="468"/>
      <c r="CXO45" s="468"/>
      <c r="CXP45" s="468"/>
      <c r="CXQ45" s="468"/>
      <c r="CXR45" s="468"/>
      <c r="CXS45" s="468"/>
      <c r="CXT45" s="468"/>
      <c r="CXU45" s="468"/>
      <c r="CXV45" s="468"/>
      <c r="CXW45" s="468"/>
      <c r="CXX45" s="468"/>
      <c r="CXY45" s="468"/>
      <c r="CXZ45" s="468"/>
      <c r="CYA45" s="468"/>
      <c r="CYB45" s="468"/>
      <c r="CYC45" s="468"/>
      <c r="CYD45" s="468"/>
      <c r="CYE45" s="468"/>
      <c r="CYF45" s="468"/>
      <c r="CYG45" s="468"/>
      <c r="CYH45" s="468"/>
      <c r="CYI45" s="468"/>
      <c r="CYJ45" s="468"/>
      <c r="CYK45" s="468"/>
      <c r="CYL45" s="468"/>
      <c r="CYM45" s="468"/>
      <c r="CYN45" s="468"/>
      <c r="CYO45" s="468"/>
      <c r="CYP45" s="468"/>
      <c r="CYQ45" s="468"/>
      <c r="CYR45" s="468"/>
      <c r="CYS45" s="468"/>
      <c r="CYT45" s="468"/>
      <c r="CYU45" s="468"/>
      <c r="CYV45" s="468"/>
      <c r="CYW45" s="468"/>
      <c r="CYX45" s="468"/>
      <c r="CYY45" s="468"/>
      <c r="CYZ45" s="468"/>
      <c r="CZA45" s="468"/>
      <c r="CZB45" s="468"/>
      <c r="CZC45" s="468"/>
      <c r="CZD45" s="468"/>
      <c r="CZE45" s="468"/>
      <c r="CZF45" s="468"/>
      <c r="CZG45" s="468"/>
      <c r="CZH45" s="468"/>
      <c r="CZI45" s="468"/>
      <c r="CZJ45" s="468"/>
      <c r="CZK45" s="468"/>
      <c r="CZL45" s="468"/>
      <c r="CZM45" s="468"/>
      <c r="CZN45" s="468"/>
      <c r="CZO45" s="468"/>
      <c r="CZP45" s="468"/>
      <c r="CZQ45" s="468"/>
      <c r="CZR45" s="468"/>
      <c r="CZS45" s="468"/>
      <c r="CZT45" s="468"/>
      <c r="CZU45" s="468"/>
      <c r="CZV45" s="468"/>
      <c r="CZW45" s="468"/>
      <c r="CZX45" s="468"/>
      <c r="CZY45" s="468"/>
      <c r="CZZ45" s="468"/>
      <c r="DAA45" s="468"/>
      <c r="DAB45" s="468"/>
      <c r="DAC45" s="468"/>
      <c r="DAD45" s="468"/>
      <c r="DAE45" s="468"/>
      <c r="DAF45" s="468"/>
      <c r="DAG45" s="468"/>
      <c r="DAH45" s="468"/>
      <c r="DAI45" s="468"/>
      <c r="DAJ45" s="468"/>
      <c r="DAK45" s="468"/>
      <c r="DAL45" s="468"/>
      <c r="DAM45" s="468"/>
      <c r="DAN45" s="468"/>
      <c r="DAO45" s="468"/>
      <c r="DAP45" s="468"/>
      <c r="DAQ45" s="468"/>
      <c r="DAR45" s="468"/>
      <c r="DAS45" s="468"/>
      <c r="DAT45" s="468"/>
      <c r="DAU45" s="468"/>
      <c r="DAV45" s="468"/>
      <c r="DAW45" s="468"/>
      <c r="DAX45" s="468"/>
      <c r="DAY45" s="468"/>
      <c r="DAZ45" s="468"/>
      <c r="DBA45" s="468"/>
      <c r="DBB45" s="468"/>
      <c r="DBC45" s="468"/>
      <c r="DBD45" s="468"/>
      <c r="DBE45" s="468"/>
      <c r="DBF45" s="468"/>
      <c r="DBG45" s="468"/>
      <c r="DBH45" s="468"/>
      <c r="DBI45" s="468"/>
      <c r="DBJ45" s="468"/>
      <c r="DBK45" s="468"/>
      <c r="DBL45" s="468"/>
      <c r="DBM45" s="468"/>
      <c r="DBN45" s="468"/>
      <c r="DBO45" s="468"/>
      <c r="DBP45" s="468"/>
      <c r="DBQ45" s="468"/>
      <c r="DBR45" s="468"/>
      <c r="DBS45" s="468"/>
      <c r="DBT45" s="468"/>
      <c r="DBU45" s="468"/>
      <c r="DBV45" s="468"/>
      <c r="DBW45" s="468"/>
      <c r="DBX45" s="468"/>
      <c r="DBY45" s="468"/>
      <c r="DBZ45" s="468"/>
      <c r="DCA45" s="468"/>
      <c r="DCB45" s="468"/>
      <c r="DCC45" s="468"/>
      <c r="DCD45" s="468"/>
      <c r="DCE45" s="468"/>
      <c r="DCF45" s="468"/>
      <c r="DCG45" s="468"/>
      <c r="DCH45" s="468"/>
      <c r="DCI45" s="468"/>
      <c r="DCJ45" s="468"/>
      <c r="DCK45" s="468"/>
      <c r="DCL45" s="468"/>
      <c r="DCM45" s="468"/>
      <c r="DCN45" s="468"/>
      <c r="DCO45" s="468"/>
      <c r="DCP45" s="468"/>
      <c r="DCQ45" s="468"/>
      <c r="DCR45" s="468"/>
      <c r="DCS45" s="468"/>
      <c r="DCT45" s="468"/>
      <c r="DCU45" s="468"/>
      <c r="DCV45" s="468"/>
      <c r="DCW45" s="468"/>
      <c r="DCX45" s="468"/>
      <c r="DCY45" s="468"/>
      <c r="DCZ45" s="468"/>
      <c r="DDA45" s="468"/>
      <c r="DDB45" s="468"/>
      <c r="DDC45" s="468"/>
      <c r="DDD45" s="468"/>
      <c r="DDE45" s="468"/>
      <c r="DDF45" s="468"/>
      <c r="DDG45" s="468"/>
      <c r="DDH45" s="468"/>
      <c r="DDI45" s="468"/>
      <c r="DDJ45" s="468"/>
      <c r="DDK45" s="468"/>
      <c r="DDL45" s="468"/>
      <c r="DDM45" s="468"/>
      <c r="DDN45" s="468"/>
      <c r="DDO45" s="468"/>
      <c r="DDP45" s="468"/>
      <c r="DDQ45" s="468"/>
      <c r="DDR45" s="468"/>
      <c r="DDS45" s="468"/>
      <c r="DDT45" s="468"/>
      <c r="DDU45" s="468"/>
      <c r="DDV45" s="468"/>
      <c r="DDW45" s="468"/>
      <c r="DDX45" s="468"/>
      <c r="DDY45" s="468"/>
      <c r="DDZ45" s="468"/>
      <c r="DEA45" s="468"/>
      <c r="DEB45" s="468"/>
      <c r="DEC45" s="468"/>
      <c r="DED45" s="468"/>
      <c r="DEE45" s="468"/>
      <c r="DEF45" s="468"/>
      <c r="DEG45" s="468"/>
      <c r="DEH45" s="468"/>
      <c r="DEI45" s="468"/>
      <c r="DEJ45" s="468"/>
      <c r="DEK45" s="468"/>
      <c r="DEL45" s="468"/>
      <c r="DEM45" s="468"/>
      <c r="DEN45" s="468"/>
      <c r="DEO45" s="468"/>
      <c r="DEP45" s="468"/>
      <c r="DEQ45" s="468"/>
      <c r="DER45" s="468"/>
      <c r="DES45" s="468"/>
      <c r="DET45" s="468"/>
      <c r="DEU45" s="468"/>
      <c r="DEV45" s="468"/>
      <c r="DEW45" s="468"/>
      <c r="DEX45" s="468"/>
      <c r="DEY45" s="468"/>
      <c r="DEZ45" s="468"/>
      <c r="DFA45" s="468"/>
      <c r="DFB45" s="468"/>
      <c r="DFC45" s="468"/>
      <c r="DFD45" s="468"/>
      <c r="DFE45" s="468"/>
      <c r="DFF45" s="468"/>
      <c r="DFG45" s="468"/>
      <c r="DFH45" s="468"/>
      <c r="DFI45" s="468"/>
      <c r="DFJ45" s="468"/>
      <c r="DFK45" s="468"/>
      <c r="DFL45" s="468"/>
      <c r="DFM45" s="468"/>
      <c r="DFN45" s="468"/>
      <c r="DFO45" s="468"/>
      <c r="DFP45" s="468"/>
      <c r="DFQ45" s="468"/>
      <c r="DFR45" s="468"/>
      <c r="DFS45" s="468"/>
      <c r="DFT45" s="468"/>
      <c r="DFU45" s="468"/>
      <c r="DFV45" s="468"/>
      <c r="DFW45" s="468"/>
      <c r="DFX45" s="468"/>
      <c r="DFY45" s="468"/>
      <c r="DFZ45" s="468"/>
      <c r="DGA45" s="468"/>
      <c r="DGB45" s="468"/>
      <c r="DGC45" s="468"/>
      <c r="DGD45" s="468"/>
      <c r="DGE45" s="468"/>
      <c r="DGF45" s="468"/>
      <c r="DGG45" s="468"/>
      <c r="DGH45" s="468"/>
      <c r="DGI45" s="468"/>
      <c r="DGJ45" s="468"/>
      <c r="DGK45" s="468"/>
      <c r="DGL45" s="468"/>
      <c r="DGM45" s="468"/>
      <c r="DGN45" s="468"/>
      <c r="DGO45" s="468"/>
      <c r="DGP45" s="468"/>
      <c r="DGQ45" s="468"/>
      <c r="DGR45" s="468"/>
      <c r="DGS45" s="468"/>
      <c r="DGT45" s="468"/>
      <c r="DGU45" s="468"/>
      <c r="DGV45" s="468"/>
      <c r="DGW45" s="468"/>
      <c r="DGX45" s="468"/>
      <c r="DGY45" s="468"/>
      <c r="DGZ45" s="468"/>
      <c r="DHA45" s="468"/>
      <c r="DHB45" s="468"/>
      <c r="DHC45" s="468"/>
      <c r="DHD45" s="468"/>
      <c r="DHE45" s="468"/>
      <c r="DHF45" s="468"/>
      <c r="DHG45" s="468"/>
      <c r="DHH45" s="468"/>
      <c r="DHI45" s="468"/>
      <c r="DHJ45" s="468"/>
      <c r="DHK45" s="468"/>
      <c r="DHL45" s="468"/>
      <c r="DHM45" s="468"/>
      <c r="DHN45" s="468"/>
      <c r="DHO45" s="468"/>
      <c r="DHP45" s="468"/>
      <c r="DHQ45" s="468"/>
      <c r="DHR45" s="468"/>
      <c r="DHS45" s="468"/>
      <c r="DHT45" s="468"/>
      <c r="DHU45" s="468"/>
      <c r="DHV45" s="468"/>
      <c r="DHW45" s="468"/>
      <c r="DHX45" s="468"/>
      <c r="DHY45" s="468"/>
      <c r="DHZ45" s="468"/>
      <c r="DIA45" s="468"/>
      <c r="DIB45" s="468"/>
      <c r="DIC45" s="468"/>
      <c r="DID45" s="468"/>
      <c r="DIE45" s="468"/>
      <c r="DIF45" s="468"/>
      <c r="DIG45" s="468"/>
      <c r="DIH45" s="468"/>
      <c r="DII45" s="468"/>
      <c r="DIJ45" s="468"/>
      <c r="DIK45" s="468"/>
      <c r="DIL45" s="468"/>
      <c r="DIM45" s="468"/>
      <c r="DIN45" s="468"/>
      <c r="DIO45" s="468"/>
      <c r="DIP45" s="468"/>
      <c r="DIQ45" s="468"/>
      <c r="DIR45" s="468"/>
      <c r="DIS45" s="468"/>
      <c r="DIT45" s="468"/>
      <c r="DIU45" s="468"/>
      <c r="DIV45" s="468"/>
      <c r="DIW45" s="468"/>
      <c r="DIX45" s="468"/>
      <c r="DIY45" s="468"/>
      <c r="DIZ45" s="468"/>
      <c r="DJA45" s="468"/>
      <c r="DJB45" s="468"/>
      <c r="DJC45" s="468"/>
      <c r="DJD45" s="468"/>
      <c r="DJE45" s="468"/>
      <c r="DJF45" s="468"/>
      <c r="DJG45" s="468"/>
      <c r="DJH45" s="468"/>
      <c r="DJI45" s="468"/>
      <c r="DJJ45" s="468"/>
      <c r="DJK45" s="468"/>
      <c r="DJL45" s="468"/>
      <c r="DJM45" s="468"/>
      <c r="DJN45" s="468"/>
      <c r="DJO45" s="468"/>
      <c r="DJP45" s="468"/>
      <c r="DJQ45" s="468"/>
      <c r="DJR45" s="468"/>
      <c r="DJS45" s="468"/>
      <c r="DJT45" s="468"/>
      <c r="DJU45" s="468"/>
      <c r="DJV45" s="468"/>
      <c r="DJW45" s="468"/>
      <c r="DJX45" s="468"/>
      <c r="DJY45" s="468"/>
      <c r="DJZ45" s="468"/>
      <c r="DKA45" s="468"/>
      <c r="DKB45" s="468"/>
      <c r="DKC45" s="468"/>
      <c r="DKD45" s="468"/>
      <c r="DKE45" s="468"/>
      <c r="DKF45" s="468"/>
      <c r="DKG45" s="468"/>
      <c r="DKH45" s="468"/>
      <c r="DKI45" s="468"/>
      <c r="DKJ45" s="468"/>
      <c r="DKK45" s="468"/>
      <c r="DKL45" s="468"/>
      <c r="DKM45" s="468"/>
      <c r="DKN45" s="468"/>
      <c r="DKO45" s="468"/>
      <c r="DKP45" s="468"/>
      <c r="DKQ45" s="468"/>
      <c r="DKR45" s="468"/>
      <c r="DKS45" s="468"/>
      <c r="DKT45" s="468"/>
      <c r="DKU45" s="468"/>
      <c r="DKV45" s="468"/>
      <c r="DKW45" s="468"/>
      <c r="DKX45" s="468"/>
      <c r="DKY45" s="468"/>
      <c r="DKZ45" s="468"/>
      <c r="DLA45" s="468"/>
      <c r="DLB45" s="468"/>
      <c r="DLC45" s="468"/>
      <c r="DLD45" s="468"/>
      <c r="DLE45" s="468"/>
      <c r="DLF45" s="468"/>
      <c r="DLG45" s="468"/>
      <c r="DLH45" s="468"/>
      <c r="DLI45" s="468"/>
      <c r="DLJ45" s="468"/>
      <c r="DLK45" s="468"/>
      <c r="DLL45" s="468"/>
      <c r="DLM45" s="468"/>
      <c r="DLN45" s="468"/>
      <c r="DLO45" s="468"/>
      <c r="DLP45" s="468"/>
      <c r="DLQ45" s="468"/>
      <c r="DLR45" s="468"/>
      <c r="DLS45" s="468"/>
      <c r="DLT45" s="468"/>
      <c r="DLU45" s="468"/>
      <c r="DLV45" s="468"/>
      <c r="DLW45" s="468"/>
      <c r="DLX45" s="468"/>
      <c r="DLY45" s="468"/>
      <c r="DLZ45" s="468"/>
      <c r="DMA45" s="468"/>
      <c r="DMB45" s="468"/>
      <c r="DMC45" s="468"/>
      <c r="DMD45" s="468"/>
      <c r="DME45" s="468"/>
      <c r="DMF45" s="468"/>
      <c r="DMG45" s="468"/>
      <c r="DMH45" s="468"/>
      <c r="DMI45" s="468"/>
      <c r="DMJ45" s="468"/>
      <c r="DMK45" s="468"/>
      <c r="DML45" s="468"/>
      <c r="DMM45" s="468"/>
      <c r="DMN45" s="468"/>
      <c r="DMO45" s="468"/>
      <c r="DMP45" s="468"/>
      <c r="DMQ45" s="468"/>
      <c r="DMR45" s="468"/>
      <c r="DMS45" s="468"/>
      <c r="DMT45" s="468"/>
      <c r="DMU45" s="468"/>
      <c r="DMV45" s="468"/>
      <c r="DMW45" s="468"/>
      <c r="DMX45" s="468"/>
      <c r="DMY45" s="468"/>
      <c r="DMZ45" s="468"/>
      <c r="DNA45" s="468"/>
      <c r="DNB45" s="468"/>
      <c r="DNC45" s="468"/>
      <c r="DND45" s="468"/>
      <c r="DNE45" s="468"/>
      <c r="DNF45" s="468"/>
      <c r="DNG45" s="468"/>
      <c r="DNH45" s="468"/>
      <c r="DNI45" s="468"/>
      <c r="DNJ45" s="468"/>
      <c r="DNK45" s="468"/>
      <c r="DNL45" s="468"/>
      <c r="DNM45" s="468"/>
      <c r="DNN45" s="468"/>
      <c r="DNO45" s="468"/>
      <c r="DNP45" s="468"/>
      <c r="DNQ45" s="468"/>
      <c r="DNR45" s="468"/>
      <c r="DNS45" s="468"/>
      <c r="DNT45" s="468"/>
      <c r="DNU45" s="468"/>
      <c r="DNV45" s="468"/>
      <c r="DNW45" s="468"/>
      <c r="DNX45" s="468"/>
      <c r="DNY45" s="468"/>
      <c r="DNZ45" s="468"/>
      <c r="DOA45" s="468"/>
      <c r="DOB45" s="468"/>
      <c r="DOC45" s="468"/>
      <c r="DOD45" s="468"/>
      <c r="DOE45" s="468"/>
      <c r="DOF45" s="468"/>
      <c r="DOG45" s="468"/>
      <c r="DOH45" s="468"/>
      <c r="DOI45" s="468"/>
      <c r="DOJ45" s="468"/>
      <c r="DOK45" s="468"/>
      <c r="DOL45" s="468"/>
      <c r="DOM45" s="468"/>
      <c r="DON45" s="468"/>
      <c r="DOO45" s="468"/>
      <c r="DOP45" s="468"/>
      <c r="DOQ45" s="468"/>
      <c r="DOR45" s="468"/>
      <c r="DOS45" s="468"/>
      <c r="DOT45" s="468"/>
      <c r="DOU45" s="468"/>
      <c r="DOV45" s="468"/>
      <c r="DOW45" s="468"/>
      <c r="DOX45" s="468"/>
      <c r="DOY45" s="468"/>
      <c r="DOZ45" s="468"/>
      <c r="DPA45" s="468"/>
      <c r="DPB45" s="468"/>
      <c r="DPC45" s="468"/>
      <c r="DPD45" s="468"/>
      <c r="DPE45" s="468"/>
      <c r="DPF45" s="468"/>
      <c r="DPG45" s="468"/>
      <c r="DPH45" s="468"/>
      <c r="DPI45" s="468"/>
      <c r="DPJ45" s="468"/>
      <c r="DPK45" s="468"/>
      <c r="DPL45" s="468"/>
      <c r="DPM45" s="468"/>
      <c r="DPN45" s="468"/>
      <c r="DPO45" s="468"/>
      <c r="DPP45" s="468"/>
      <c r="DPQ45" s="468"/>
      <c r="DPR45" s="468"/>
      <c r="DPS45" s="468"/>
      <c r="DPT45" s="468"/>
      <c r="DPU45" s="468"/>
      <c r="DPV45" s="468"/>
      <c r="DPW45" s="468"/>
      <c r="DPX45" s="468"/>
      <c r="DPY45" s="468"/>
      <c r="DPZ45" s="468"/>
      <c r="DQA45" s="468"/>
      <c r="DQB45" s="468"/>
      <c r="DQC45" s="468"/>
      <c r="DQD45" s="468"/>
      <c r="DQE45" s="468"/>
      <c r="DQF45" s="468"/>
      <c r="DQG45" s="468"/>
      <c r="DQH45" s="468"/>
      <c r="DQI45" s="468"/>
      <c r="DQJ45" s="468"/>
      <c r="DQK45" s="468"/>
      <c r="DQL45" s="468"/>
      <c r="DQM45" s="468"/>
      <c r="DQN45" s="468"/>
      <c r="DQO45" s="468"/>
      <c r="DQP45" s="468"/>
      <c r="DQQ45" s="468"/>
      <c r="DQR45" s="468"/>
      <c r="DQS45" s="468"/>
      <c r="DQT45" s="468"/>
      <c r="DQU45" s="468"/>
      <c r="DQV45" s="468"/>
      <c r="DQW45" s="468"/>
      <c r="DQX45" s="468"/>
      <c r="DQY45" s="468"/>
      <c r="DQZ45" s="468"/>
      <c r="DRA45" s="468"/>
      <c r="DRB45" s="468"/>
      <c r="DRC45" s="468"/>
      <c r="DRD45" s="468"/>
      <c r="DRE45" s="468"/>
      <c r="DRF45" s="468"/>
      <c r="DRG45" s="468"/>
      <c r="DRH45" s="468"/>
      <c r="DRI45" s="468"/>
      <c r="DRJ45" s="468"/>
      <c r="DRK45" s="468"/>
      <c r="DRL45" s="468"/>
      <c r="DRM45" s="468"/>
      <c r="DRN45" s="468"/>
      <c r="DRO45" s="468"/>
      <c r="DRP45" s="468"/>
      <c r="DRQ45" s="468"/>
      <c r="DRR45" s="468"/>
      <c r="DRS45" s="468"/>
      <c r="DRT45" s="468"/>
      <c r="DRU45" s="468"/>
      <c r="DRV45" s="468"/>
      <c r="DRW45" s="468"/>
      <c r="DRX45" s="468"/>
      <c r="DRY45" s="468"/>
      <c r="DRZ45" s="468"/>
      <c r="DSA45" s="468"/>
      <c r="DSB45" s="468"/>
      <c r="DSC45" s="468"/>
      <c r="DSD45" s="468"/>
      <c r="DSE45" s="468"/>
      <c r="DSF45" s="468"/>
      <c r="DSG45" s="468"/>
      <c r="DSH45" s="468"/>
      <c r="DSI45" s="468"/>
      <c r="DSJ45" s="468"/>
      <c r="DSK45" s="468"/>
      <c r="DSL45" s="468"/>
      <c r="DSM45" s="468"/>
      <c r="DSN45" s="468"/>
      <c r="DSO45" s="468"/>
      <c r="DSP45" s="468"/>
      <c r="DSQ45" s="468"/>
      <c r="DSR45" s="468"/>
      <c r="DSS45" s="468"/>
      <c r="DST45" s="468"/>
      <c r="DSU45" s="468"/>
      <c r="DSV45" s="468"/>
      <c r="DSW45" s="468"/>
      <c r="DSX45" s="468"/>
      <c r="DSY45" s="468"/>
      <c r="DSZ45" s="468"/>
      <c r="DTA45" s="468"/>
      <c r="DTB45" s="468"/>
      <c r="DTC45" s="468"/>
      <c r="DTD45" s="468"/>
      <c r="DTE45" s="468"/>
      <c r="DTF45" s="468"/>
      <c r="DTG45" s="468"/>
      <c r="DTH45" s="468"/>
      <c r="DTI45" s="468"/>
      <c r="DTJ45" s="468"/>
      <c r="DTK45" s="468"/>
      <c r="DTL45" s="468"/>
      <c r="DTM45" s="468"/>
      <c r="DTN45" s="468"/>
      <c r="DTO45" s="468"/>
      <c r="DTP45" s="468"/>
      <c r="DTQ45" s="468"/>
      <c r="DTR45" s="468"/>
      <c r="DTS45" s="468"/>
      <c r="DTT45" s="468"/>
      <c r="DTU45" s="468"/>
      <c r="DTV45" s="468"/>
      <c r="DTW45" s="468"/>
      <c r="DTX45" s="468"/>
      <c r="DTY45" s="468"/>
      <c r="DTZ45" s="468"/>
      <c r="DUA45" s="468"/>
      <c r="DUB45" s="468"/>
      <c r="DUC45" s="468"/>
      <c r="DUD45" s="468"/>
      <c r="DUE45" s="468"/>
      <c r="DUF45" s="468"/>
      <c r="DUG45" s="468"/>
      <c r="DUH45" s="468"/>
      <c r="DUI45" s="468"/>
      <c r="DUJ45" s="468"/>
      <c r="DUK45" s="468"/>
      <c r="DUL45" s="468"/>
      <c r="DUM45" s="468"/>
      <c r="DUN45" s="468"/>
      <c r="DUO45" s="468"/>
      <c r="DUP45" s="468"/>
      <c r="DUQ45" s="468"/>
      <c r="DUR45" s="468"/>
      <c r="DUS45" s="468"/>
      <c r="DUT45" s="468"/>
      <c r="DUU45" s="468"/>
      <c r="DUV45" s="468"/>
      <c r="DUW45" s="468"/>
      <c r="DUX45" s="468"/>
      <c r="DUY45" s="468"/>
      <c r="DUZ45" s="468"/>
      <c r="DVA45" s="468"/>
      <c r="DVB45" s="468"/>
      <c r="DVC45" s="468"/>
      <c r="DVD45" s="468"/>
      <c r="DVE45" s="468"/>
      <c r="DVF45" s="468"/>
      <c r="DVG45" s="468"/>
      <c r="DVH45" s="468"/>
      <c r="DVI45" s="468"/>
      <c r="DVJ45" s="468"/>
      <c r="DVK45" s="468"/>
      <c r="DVL45" s="468"/>
      <c r="DVM45" s="468"/>
      <c r="DVN45" s="468"/>
      <c r="DVO45" s="468"/>
      <c r="DVP45" s="468"/>
      <c r="DVQ45" s="468"/>
      <c r="DVR45" s="468"/>
      <c r="DVS45" s="468"/>
      <c r="DVT45" s="468"/>
      <c r="DVU45" s="468"/>
      <c r="DVV45" s="468"/>
      <c r="DVW45" s="468"/>
      <c r="DVX45" s="468"/>
      <c r="DVY45" s="468"/>
      <c r="DVZ45" s="468"/>
      <c r="DWA45" s="468"/>
      <c r="DWB45" s="468"/>
      <c r="DWC45" s="468"/>
      <c r="DWD45" s="468"/>
      <c r="DWE45" s="468"/>
      <c r="DWF45" s="468"/>
      <c r="DWG45" s="468"/>
      <c r="DWH45" s="468"/>
      <c r="DWI45" s="468"/>
      <c r="DWJ45" s="468"/>
      <c r="DWK45" s="468"/>
      <c r="DWL45" s="468"/>
      <c r="DWM45" s="468"/>
      <c r="DWN45" s="468"/>
      <c r="DWO45" s="468"/>
      <c r="DWP45" s="468"/>
      <c r="DWQ45" s="468"/>
      <c r="DWR45" s="468"/>
      <c r="DWS45" s="468"/>
      <c r="DWT45" s="468"/>
      <c r="DWU45" s="468"/>
      <c r="DWV45" s="468"/>
      <c r="DWW45" s="468"/>
      <c r="DWX45" s="468"/>
      <c r="DWY45" s="468"/>
      <c r="DWZ45" s="468"/>
      <c r="DXA45" s="468"/>
      <c r="DXB45" s="468"/>
      <c r="DXC45" s="468"/>
      <c r="DXD45" s="468"/>
      <c r="DXE45" s="468"/>
      <c r="DXF45" s="468"/>
      <c r="DXG45" s="468"/>
      <c r="DXH45" s="468"/>
      <c r="DXI45" s="468"/>
      <c r="DXJ45" s="468"/>
      <c r="DXK45" s="468"/>
      <c r="DXL45" s="468"/>
      <c r="DXM45" s="468"/>
      <c r="DXN45" s="468"/>
      <c r="DXO45" s="468"/>
      <c r="DXP45" s="468"/>
      <c r="DXQ45" s="468"/>
      <c r="DXR45" s="468"/>
      <c r="DXS45" s="468"/>
      <c r="DXT45" s="468"/>
      <c r="DXU45" s="468"/>
      <c r="DXV45" s="468"/>
      <c r="DXW45" s="468"/>
      <c r="DXX45" s="468"/>
      <c r="DXY45" s="468"/>
      <c r="DXZ45" s="468"/>
      <c r="DYA45" s="468"/>
      <c r="DYB45" s="468"/>
      <c r="DYC45" s="468"/>
      <c r="DYD45" s="468"/>
      <c r="DYE45" s="468"/>
      <c r="DYF45" s="468"/>
      <c r="DYG45" s="468"/>
      <c r="DYH45" s="468"/>
      <c r="DYI45" s="468"/>
      <c r="DYJ45" s="468"/>
      <c r="DYK45" s="468"/>
      <c r="DYL45" s="468"/>
      <c r="DYM45" s="468"/>
      <c r="DYN45" s="468"/>
      <c r="DYO45" s="468"/>
      <c r="DYP45" s="468"/>
      <c r="DYQ45" s="468"/>
      <c r="DYR45" s="468"/>
      <c r="DYS45" s="468"/>
      <c r="DYT45" s="468"/>
      <c r="DYU45" s="468"/>
      <c r="DYV45" s="468"/>
      <c r="DYW45" s="468"/>
      <c r="DYX45" s="468"/>
      <c r="DYY45" s="468"/>
      <c r="DYZ45" s="468"/>
      <c r="DZA45" s="468"/>
      <c r="DZB45" s="468"/>
      <c r="DZC45" s="468"/>
      <c r="DZD45" s="468"/>
      <c r="DZE45" s="468"/>
      <c r="DZF45" s="468"/>
      <c r="DZG45" s="468"/>
      <c r="DZH45" s="468"/>
      <c r="DZI45" s="468"/>
      <c r="DZJ45" s="468"/>
      <c r="DZK45" s="468"/>
      <c r="DZL45" s="468"/>
      <c r="DZM45" s="468"/>
      <c r="DZN45" s="468"/>
      <c r="DZO45" s="468"/>
      <c r="DZP45" s="468"/>
      <c r="DZQ45" s="468"/>
      <c r="DZR45" s="468"/>
      <c r="DZS45" s="468"/>
      <c r="DZT45" s="468"/>
      <c r="DZU45" s="468"/>
      <c r="DZV45" s="468"/>
      <c r="DZW45" s="468"/>
      <c r="DZX45" s="468"/>
      <c r="DZY45" s="468"/>
      <c r="DZZ45" s="468"/>
      <c r="EAA45" s="468"/>
      <c r="EAB45" s="468"/>
      <c r="EAC45" s="468"/>
      <c r="EAD45" s="468"/>
      <c r="EAE45" s="468"/>
      <c r="EAF45" s="468"/>
      <c r="EAG45" s="468"/>
      <c r="EAH45" s="468"/>
      <c r="EAI45" s="468"/>
      <c r="EAJ45" s="468"/>
      <c r="EAK45" s="468"/>
      <c r="EAL45" s="468"/>
      <c r="EAM45" s="468"/>
      <c r="EAN45" s="468"/>
      <c r="EAO45" s="468"/>
      <c r="EAP45" s="468"/>
      <c r="EAQ45" s="468"/>
      <c r="EAR45" s="468"/>
      <c r="EAS45" s="468"/>
      <c r="EAT45" s="468"/>
      <c r="EAU45" s="468"/>
      <c r="EAV45" s="468"/>
      <c r="EAW45" s="468"/>
      <c r="EAX45" s="468"/>
      <c r="EAY45" s="468"/>
      <c r="EAZ45" s="468"/>
      <c r="EBA45" s="468"/>
      <c r="EBB45" s="468"/>
      <c r="EBC45" s="468"/>
      <c r="EBD45" s="468"/>
      <c r="EBE45" s="468"/>
      <c r="EBF45" s="468"/>
      <c r="EBG45" s="468"/>
      <c r="EBH45" s="468"/>
      <c r="EBI45" s="468"/>
      <c r="EBJ45" s="468"/>
      <c r="EBK45" s="468"/>
      <c r="EBL45" s="468"/>
      <c r="EBM45" s="468"/>
      <c r="EBN45" s="468"/>
      <c r="EBO45" s="468"/>
      <c r="EBP45" s="468"/>
      <c r="EBQ45" s="468"/>
      <c r="EBR45" s="468"/>
      <c r="EBS45" s="468"/>
      <c r="EBT45" s="468"/>
      <c r="EBU45" s="468"/>
      <c r="EBV45" s="468"/>
      <c r="EBW45" s="468"/>
      <c r="EBX45" s="468"/>
      <c r="EBY45" s="468"/>
      <c r="EBZ45" s="468"/>
      <c r="ECA45" s="468"/>
      <c r="ECB45" s="468"/>
      <c r="ECC45" s="468"/>
      <c r="ECD45" s="468"/>
      <c r="ECE45" s="468"/>
      <c r="ECF45" s="468"/>
      <c r="ECG45" s="468"/>
      <c r="ECH45" s="468"/>
      <c r="ECI45" s="468"/>
      <c r="ECJ45" s="468"/>
      <c r="ECK45" s="468"/>
      <c r="ECL45" s="468"/>
      <c r="ECM45" s="468"/>
      <c r="ECN45" s="468"/>
      <c r="ECO45" s="468"/>
      <c r="ECP45" s="468"/>
      <c r="ECQ45" s="468"/>
      <c r="ECR45" s="468"/>
      <c r="ECS45" s="468"/>
      <c r="ECT45" s="468"/>
      <c r="ECU45" s="468"/>
      <c r="ECV45" s="468"/>
      <c r="ECW45" s="468"/>
      <c r="ECX45" s="468"/>
      <c r="ECY45" s="468"/>
      <c r="ECZ45" s="468"/>
      <c r="EDA45" s="468"/>
      <c r="EDB45" s="468"/>
      <c r="EDC45" s="468"/>
      <c r="EDD45" s="468"/>
      <c r="EDE45" s="468"/>
      <c r="EDF45" s="468"/>
      <c r="EDG45" s="468"/>
      <c r="EDH45" s="468"/>
      <c r="EDI45" s="468"/>
      <c r="EDJ45" s="468"/>
      <c r="EDK45" s="468"/>
      <c r="EDL45" s="468"/>
      <c r="EDM45" s="468"/>
      <c r="EDN45" s="468"/>
      <c r="EDO45" s="468"/>
      <c r="EDP45" s="468"/>
      <c r="EDQ45" s="468"/>
      <c r="EDR45" s="468"/>
      <c r="EDS45" s="468"/>
      <c r="EDT45" s="468"/>
      <c r="EDU45" s="468"/>
      <c r="EDV45" s="468"/>
      <c r="EDW45" s="468"/>
      <c r="EDX45" s="468"/>
      <c r="EDY45" s="468"/>
      <c r="EDZ45" s="468"/>
      <c r="EEA45" s="468"/>
      <c r="EEB45" s="468"/>
      <c r="EEC45" s="468"/>
      <c r="EED45" s="468"/>
      <c r="EEE45" s="468"/>
      <c r="EEF45" s="468"/>
      <c r="EEG45" s="468"/>
      <c r="EEH45" s="468"/>
      <c r="EEI45" s="468"/>
      <c r="EEJ45" s="468"/>
      <c r="EEK45" s="468"/>
      <c r="EEL45" s="468"/>
      <c r="EEM45" s="468"/>
      <c r="EEN45" s="468"/>
      <c r="EEO45" s="468"/>
      <c r="EEP45" s="468"/>
      <c r="EEQ45" s="468"/>
      <c r="EER45" s="468"/>
      <c r="EES45" s="468"/>
      <c r="EET45" s="468"/>
      <c r="EEU45" s="468"/>
      <c r="EEV45" s="468"/>
      <c r="EEW45" s="468"/>
      <c r="EEX45" s="468"/>
      <c r="EEY45" s="468"/>
      <c r="EEZ45" s="468"/>
      <c r="EFA45" s="468"/>
      <c r="EFB45" s="468"/>
      <c r="EFC45" s="468"/>
      <c r="EFD45" s="468"/>
      <c r="EFE45" s="468"/>
      <c r="EFF45" s="468"/>
      <c r="EFG45" s="468"/>
      <c r="EFH45" s="468"/>
      <c r="EFI45" s="468"/>
      <c r="EFJ45" s="468"/>
      <c r="EFK45" s="468"/>
      <c r="EFL45" s="468"/>
      <c r="EFM45" s="468"/>
      <c r="EFN45" s="468"/>
      <c r="EFO45" s="468"/>
      <c r="EFP45" s="468"/>
      <c r="EFQ45" s="468"/>
      <c r="EFR45" s="468"/>
      <c r="EFS45" s="468"/>
      <c r="EFT45" s="468"/>
      <c r="EFU45" s="468"/>
      <c r="EFV45" s="468"/>
      <c r="EFW45" s="468"/>
      <c r="EFX45" s="468"/>
      <c r="EFY45" s="468"/>
      <c r="EFZ45" s="468"/>
      <c r="EGA45" s="468"/>
      <c r="EGB45" s="468"/>
      <c r="EGC45" s="468"/>
      <c r="EGD45" s="468"/>
      <c r="EGE45" s="468"/>
      <c r="EGF45" s="468"/>
      <c r="EGG45" s="468"/>
      <c r="EGH45" s="468"/>
      <c r="EGI45" s="468"/>
      <c r="EGJ45" s="468"/>
      <c r="EGK45" s="468"/>
      <c r="EGL45" s="468"/>
      <c r="EGM45" s="468"/>
      <c r="EGN45" s="468"/>
      <c r="EGO45" s="468"/>
      <c r="EGP45" s="468"/>
      <c r="EGQ45" s="468"/>
      <c r="EGR45" s="468"/>
      <c r="EGS45" s="468"/>
      <c r="EGT45" s="468"/>
      <c r="EGU45" s="468"/>
      <c r="EGV45" s="468"/>
      <c r="EGW45" s="468"/>
      <c r="EGX45" s="468"/>
      <c r="EGY45" s="468"/>
      <c r="EGZ45" s="468"/>
      <c r="EHA45" s="468"/>
      <c r="EHB45" s="468"/>
      <c r="EHC45" s="468"/>
      <c r="EHD45" s="468"/>
      <c r="EHE45" s="468"/>
      <c r="EHF45" s="468"/>
      <c r="EHG45" s="468"/>
      <c r="EHH45" s="468"/>
      <c r="EHI45" s="468"/>
      <c r="EHJ45" s="468"/>
      <c r="EHK45" s="468"/>
      <c r="EHL45" s="468"/>
      <c r="EHM45" s="468"/>
      <c r="EHN45" s="468"/>
      <c r="EHO45" s="468"/>
      <c r="EHP45" s="468"/>
      <c r="EHQ45" s="468"/>
      <c r="EHR45" s="468"/>
      <c r="EHS45" s="468"/>
      <c r="EHT45" s="468"/>
      <c r="EHU45" s="468"/>
      <c r="EHV45" s="468"/>
      <c r="EHW45" s="468"/>
      <c r="EHX45" s="468"/>
      <c r="EHY45" s="468"/>
      <c r="EHZ45" s="468"/>
      <c r="EIA45" s="468"/>
      <c r="EIB45" s="468"/>
      <c r="EIC45" s="468"/>
      <c r="EID45" s="468"/>
      <c r="EIE45" s="468"/>
      <c r="EIF45" s="468"/>
      <c r="EIG45" s="468"/>
      <c r="EIH45" s="468"/>
      <c r="EII45" s="468"/>
      <c r="EIJ45" s="468"/>
      <c r="EIK45" s="468"/>
      <c r="EIL45" s="468"/>
      <c r="EIM45" s="468"/>
      <c r="EIN45" s="468"/>
      <c r="EIO45" s="468"/>
      <c r="EIP45" s="468"/>
      <c r="EIQ45" s="468"/>
      <c r="EIR45" s="468"/>
      <c r="EIS45" s="468"/>
      <c r="EIT45" s="468"/>
      <c r="EIU45" s="468"/>
      <c r="EIV45" s="468"/>
      <c r="EIW45" s="468"/>
      <c r="EIX45" s="468"/>
      <c r="EIY45" s="468"/>
      <c r="EIZ45" s="468"/>
      <c r="EJA45" s="468"/>
      <c r="EJB45" s="468"/>
      <c r="EJC45" s="468"/>
      <c r="EJD45" s="468"/>
      <c r="EJE45" s="468"/>
      <c r="EJF45" s="468"/>
      <c r="EJG45" s="468"/>
      <c r="EJH45" s="468"/>
      <c r="EJI45" s="468"/>
      <c r="EJJ45" s="468"/>
      <c r="EJK45" s="468"/>
      <c r="EJL45" s="468"/>
      <c r="EJM45" s="468"/>
      <c r="EJN45" s="468"/>
      <c r="EJO45" s="468"/>
      <c r="EJP45" s="468"/>
      <c r="EJQ45" s="468"/>
      <c r="EJR45" s="468"/>
      <c r="EJS45" s="468"/>
      <c r="EJT45" s="468"/>
      <c r="EJU45" s="468"/>
      <c r="EJV45" s="468"/>
      <c r="EJW45" s="468"/>
      <c r="EJX45" s="468"/>
      <c r="EJY45" s="468"/>
      <c r="EJZ45" s="468"/>
      <c r="EKA45" s="468"/>
      <c r="EKB45" s="468"/>
      <c r="EKC45" s="468"/>
      <c r="EKD45" s="468"/>
      <c r="EKE45" s="468"/>
      <c r="EKF45" s="468"/>
      <c r="EKG45" s="468"/>
      <c r="EKH45" s="468"/>
      <c r="EKI45" s="468"/>
      <c r="EKJ45" s="468"/>
      <c r="EKK45" s="468"/>
      <c r="EKL45" s="468"/>
      <c r="EKM45" s="468"/>
      <c r="EKN45" s="468"/>
      <c r="EKO45" s="468"/>
      <c r="EKP45" s="468"/>
      <c r="EKQ45" s="468"/>
      <c r="EKR45" s="468"/>
      <c r="EKS45" s="468"/>
      <c r="EKT45" s="468"/>
      <c r="EKU45" s="468"/>
      <c r="EKV45" s="468"/>
      <c r="EKW45" s="468"/>
      <c r="EKX45" s="468"/>
      <c r="EKY45" s="468"/>
      <c r="EKZ45" s="468"/>
      <c r="ELA45" s="468"/>
      <c r="ELB45" s="468"/>
      <c r="ELC45" s="468"/>
      <c r="ELD45" s="468"/>
      <c r="ELE45" s="468"/>
      <c r="ELF45" s="468"/>
      <c r="ELG45" s="468"/>
      <c r="ELH45" s="468"/>
      <c r="ELI45" s="468"/>
      <c r="ELJ45" s="468"/>
      <c r="ELK45" s="468"/>
      <c r="ELL45" s="468"/>
      <c r="ELM45" s="468"/>
      <c r="ELN45" s="468"/>
      <c r="ELO45" s="468"/>
      <c r="ELP45" s="468"/>
      <c r="ELQ45" s="468"/>
      <c r="ELR45" s="468"/>
      <c r="ELS45" s="468"/>
      <c r="ELT45" s="468"/>
      <c r="ELU45" s="468"/>
      <c r="ELV45" s="468"/>
      <c r="ELW45" s="468"/>
      <c r="ELX45" s="468"/>
      <c r="ELY45" s="468"/>
      <c r="ELZ45" s="468"/>
      <c r="EMA45" s="468"/>
      <c r="EMB45" s="468"/>
      <c r="EMC45" s="468"/>
      <c r="EMD45" s="468"/>
      <c r="EME45" s="468"/>
      <c r="EMF45" s="468"/>
      <c r="EMG45" s="468"/>
      <c r="EMH45" s="468"/>
      <c r="EMI45" s="468"/>
      <c r="EMJ45" s="468"/>
      <c r="EMK45" s="468"/>
      <c r="EML45" s="468"/>
      <c r="EMM45" s="468"/>
      <c r="EMN45" s="468"/>
      <c r="EMO45" s="468"/>
      <c r="EMP45" s="468"/>
      <c r="EMQ45" s="468"/>
      <c r="EMR45" s="468"/>
      <c r="EMS45" s="468"/>
      <c r="EMT45" s="468"/>
      <c r="EMU45" s="468"/>
      <c r="EMV45" s="468"/>
      <c r="EMW45" s="468"/>
      <c r="EMX45" s="468"/>
      <c r="EMY45" s="468"/>
      <c r="EMZ45" s="468"/>
      <c r="ENA45" s="468"/>
      <c r="ENB45" s="468"/>
      <c r="ENC45" s="468"/>
      <c r="END45" s="468"/>
      <c r="ENE45" s="468"/>
      <c r="ENF45" s="468"/>
      <c r="ENG45" s="468"/>
      <c r="ENH45" s="468"/>
      <c r="ENI45" s="468"/>
      <c r="ENJ45" s="468"/>
      <c r="ENK45" s="468"/>
      <c r="ENL45" s="468"/>
      <c r="ENM45" s="468"/>
      <c r="ENN45" s="468"/>
      <c r="ENO45" s="468"/>
      <c r="ENP45" s="468"/>
      <c r="ENQ45" s="468"/>
      <c r="ENR45" s="468"/>
      <c r="ENS45" s="468"/>
      <c r="ENT45" s="468"/>
      <c r="ENU45" s="468"/>
      <c r="ENV45" s="468"/>
      <c r="ENW45" s="468"/>
      <c r="ENX45" s="468"/>
      <c r="ENY45" s="468"/>
      <c r="ENZ45" s="468"/>
      <c r="EOA45" s="468"/>
      <c r="EOB45" s="468"/>
      <c r="EOC45" s="468"/>
      <c r="EOD45" s="468"/>
      <c r="EOE45" s="468"/>
      <c r="EOF45" s="468"/>
      <c r="EOG45" s="468"/>
      <c r="EOH45" s="468"/>
      <c r="EOI45" s="468"/>
      <c r="EOJ45" s="468"/>
      <c r="EOK45" s="468"/>
      <c r="EOL45" s="468"/>
      <c r="EOM45" s="468"/>
      <c r="EON45" s="468"/>
      <c r="EOO45" s="468"/>
      <c r="EOP45" s="468"/>
      <c r="EOQ45" s="468"/>
      <c r="EOR45" s="468"/>
      <c r="EOS45" s="468"/>
      <c r="EOT45" s="468"/>
      <c r="EOU45" s="468"/>
      <c r="EOV45" s="468"/>
      <c r="EOW45" s="468"/>
      <c r="EOX45" s="468"/>
      <c r="EOY45" s="468"/>
      <c r="EOZ45" s="468"/>
      <c r="EPA45" s="468"/>
      <c r="EPB45" s="468"/>
      <c r="EPC45" s="468"/>
      <c r="EPD45" s="468"/>
      <c r="EPE45" s="468"/>
      <c r="EPF45" s="468"/>
      <c r="EPG45" s="468"/>
      <c r="EPH45" s="468"/>
      <c r="EPI45" s="468"/>
      <c r="EPJ45" s="468"/>
      <c r="EPK45" s="468"/>
      <c r="EPL45" s="468"/>
      <c r="EPM45" s="468"/>
      <c r="EPN45" s="468"/>
      <c r="EPO45" s="468"/>
      <c r="EPP45" s="468"/>
      <c r="EPQ45" s="468"/>
      <c r="EPR45" s="468"/>
      <c r="EPS45" s="468"/>
      <c r="EPT45" s="468"/>
      <c r="EPU45" s="468"/>
      <c r="EPV45" s="468"/>
      <c r="EPW45" s="468"/>
      <c r="EPX45" s="468"/>
      <c r="EPY45" s="468"/>
      <c r="EPZ45" s="468"/>
      <c r="EQA45" s="468"/>
      <c r="EQB45" s="468"/>
      <c r="EQC45" s="468"/>
      <c r="EQD45" s="468"/>
      <c r="EQE45" s="468"/>
      <c r="EQF45" s="468"/>
      <c r="EQG45" s="468"/>
      <c r="EQH45" s="468"/>
      <c r="EQI45" s="468"/>
      <c r="EQJ45" s="468"/>
      <c r="EQK45" s="468"/>
      <c r="EQL45" s="468"/>
      <c r="EQM45" s="468"/>
      <c r="EQN45" s="468"/>
      <c r="EQO45" s="468"/>
      <c r="EQP45" s="468"/>
      <c r="EQQ45" s="468"/>
      <c r="EQR45" s="468"/>
      <c r="EQS45" s="468"/>
      <c r="EQT45" s="468"/>
      <c r="EQU45" s="468"/>
      <c r="EQV45" s="468"/>
      <c r="EQW45" s="468"/>
      <c r="EQX45" s="468"/>
      <c r="EQY45" s="468"/>
      <c r="EQZ45" s="468"/>
      <c r="ERA45" s="468"/>
      <c r="ERB45" s="468"/>
      <c r="ERC45" s="468"/>
      <c r="ERD45" s="468"/>
      <c r="ERE45" s="468"/>
      <c r="ERF45" s="468"/>
      <c r="ERG45" s="468"/>
      <c r="ERH45" s="468"/>
      <c r="ERI45" s="468"/>
      <c r="ERJ45" s="468"/>
      <c r="ERK45" s="468"/>
      <c r="ERL45" s="468"/>
      <c r="ERM45" s="468"/>
      <c r="ERN45" s="468"/>
      <c r="ERO45" s="468"/>
      <c r="ERP45" s="468"/>
      <c r="ERQ45" s="468"/>
      <c r="ERR45" s="468"/>
      <c r="ERS45" s="468"/>
      <c r="ERT45" s="468"/>
      <c r="ERU45" s="468"/>
      <c r="ERV45" s="468"/>
      <c r="ERW45" s="468"/>
      <c r="ERX45" s="468"/>
      <c r="ERY45" s="468"/>
      <c r="ERZ45" s="468"/>
      <c r="ESA45" s="468"/>
      <c r="ESB45" s="468"/>
      <c r="ESC45" s="468"/>
      <c r="ESD45" s="468"/>
      <c r="ESE45" s="468"/>
      <c r="ESF45" s="468"/>
      <c r="ESG45" s="468"/>
      <c r="ESH45" s="468"/>
      <c r="ESI45" s="468"/>
      <c r="ESJ45" s="468"/>
      <c r="ESK45" s="468"/>
      <c r="ESL45" s="468"/>
      <c r="ESM45" s="468"/>
      <c r="ESN45" s="468"/>
      <c r="ESO45" s="468"/>
      <c r="ESP45" s="468"/>
      <c r="ESQ45" s="468"/>
      <c r="ESR45" s="468"/>
      <c r="ESS45" s="468"/>
      <c r="EST45" s="468"/>
      <c r="ESU45" s="468"/>
      <c r="ESV45" s="468"/>
      <c r="ESW45" s="468"/>
      <c r="ESX45" s="468"/>
      <c r="ESY45" s="468"/>
      <c r="ESZ45" s="468"/>
      <c r="ETA45" s="468"/>
      <c r="ETB45" s="468"/>
      <c r="ETC45" s="468"/>
      <c r="ETD45" s="468"/>
      <c r="ETE45" s="468"/>
      <c r="ETF45" s="468"/>
      <c r="ETG45" s="468"/>
      <c r="ETH45" s="468"/>
      <c r="ETI45" s="468"/>
      <c r="ETJ45" s="468"/>
      <c r="ETK45" s="468"/>
      <c r="ETL45" s="468"/>
      <c r="ETM45" s="468"/>
      <c r="ETN45" s="468"/>
      <c r="ETO45" s="468"/>
      <c r="ETP45" s="468"/>
      <c r="ETQ45" s="468"/>
      <c r="ETR45" s="468"/>
      <c r="ETS45" s="468"/>
      <c r="ETT45" s="468"/>
      <c r="ETU45" s="468"/>
      <c r="ETV45" s="468"/>
      <c r="ETW45" s="468"/>
      <c r="ETX45" s="468"/>
      <c r="ETY45" s="468"/>
      <c r="ETZ45" s="468"/>
      <c r="EUA45" s="468"/>
      <c r="EUB45" s="468"/>
      <c r="EUC45" s="468"/>
      <c r="EUD45" s="468"/>
      <c r="EUE45" s="468"/>
      <c r="EUF45" s="468"/>
      <c r="EUG45" s="468"/>
      <c r="EUH45" s="468"/>
      <c r="EUI45" s="468"/>
      <c r="EUJ45" s="468"/>
      <c r="EUK45" s="468"/>
      <c r="EUL45" s="468"/>
      <c r="EUM45" s="468"/>
      <c r="EUN45" s="468"/>
      <c r="EUO45" s="468"/>
      <c r="EUP45" s="468"/>
      <c r="EUQ45" s="468"/>
      <c r="EUR45" s="468"/>
      <c r="EUS45" s="468"/>
      <c r="EUT45" s="468"/>
      <c r="EUU45" s="468"/>
      <c r="EUV45" s="468"/>
      <c r="EUW45" s="468"/>
      <c r="EUX45" s="468"/>
      <c r="EUY45" s="468"/>
      <c r="EUZ45" s="468"/>
      <c r="EVA45" s="468"/>
      <c r="EVB45" s="468"/>
      <c r="EVC45" s="468"/>
      <c r="EVD45" s="468"/>
      <c r="EVE45" s="468"/>
      <c r="EVF45" s="468"/>
      <c r="EVG45" s="468"/>
      <c r="EVH45" s="468"/>
      <c r="EVI45" s="468"/>
      <c r="EVJ45" s="468"/>
      <c r="EVK45" s="468"/>
      <c r="EVL45" s="468"/>
      <c r="EVM45" s="468"/>
      <c r="EVN45" s="468"/>
      <c r="EVO45" s="468"/>
      <c r="EVP45" s="468"/>
      <c r="EVQ45" s="468"/>
      <c r="EVR45" s="468"/>
      <c r="EVS45" s="468"/>
      <c r="EVT45" s="468"/>
      <c r="EVU45" s="468"/>
      <c r="EVV45" s="468"/>
      <c r="EVW45" s="468"/>
      <c r="EVX45" s="468"/>
      <c r="EVY45" s="468"/>
      <c r="EVZ45" s="468"/>
      <c r="EWA45" s="468"/>
      <c r="EWB45" s="468"/>
      <c r="EWC45" s="468"/>
      <c r="EWD45" s="468"/>
      <c r="EWE45" s="468"/>
      <c r="EWF45" s="468"/>
      <c r="EWG45" s="468"/>
      <c r="EWH45" s="468"/>
      <c r="EWI45" s="468"/>
      <c r="EWJ45" s="468"/>
      <c r="EWK45" s="468"/>
      <c r="EWL45" s="468"/>
      <c r="EWM45" s="468"/>
      <c r="EWN45" s="468"/>
      <c r="EWO45" s="468"/>
      <c r="EWP45" s="468"/>
      <c r="EWQ45" s="468"/>
      <c r="EWR45" s="468"/>
      <c r="EWS45" s="468"/>
      <c r="EWT45" s="468"/>
      <c r="EWU45" s="468"/>
      <c r="EWV45" s="468"/>
      <c r="EWW45" s="468"/>
      <c r="EWX45" s="468"/>
      <c r="EWY45" s="468"/>
      <c r="EWZ45" s="468"/>
      <c r="EXA45" s="468"/>
      <c r="EXB45" s="468"/>
      <c r="EXC45" s="468"/>
      <c r="EXD45" s="468"/>
      <c r="EXE45" s="468"/>
      <c r="EXF45" s="468"/>
      <c r="EXG45" s="468"/>
      <c r="EXH45" s="468"/>
      <c r="EXI45" s="468"/>
      <c r="EXJ45" s="468"/>
      <c r="EXK45" s="468"/>
      <c r="EXL45" s="468"/>
      <c r="EXM45" s="468"/>
      <c r="EXN45" s="468"/>
      <c r="EXO45" s="468"/>
      <c r="EXP45" s="468"/>
      <c r="EXQ45" s="468"/>
      <c r="EXR45" s="468"/>
      <c r="EXS45" s="468"/>
      <c r="EXT45" s="468"/>
      <c r="EXU45" s="468"/>
      <c r="EXV45" s="468"/>
      <c r="EXW45" s="468"/>
      <c r="EXX45" s="468"/>
      <c r="EXY45" s="468"/>
      <c r="EXZ45" s="468"/>
      <c r="EYA45" s="468"/>
      <c r="EYB45" s="468"/>
      <c r="EYC45" s="468"/>
      <c r="EYD45" s="468"/>
      <c r="EYE45" s="468"/>
      <c r="EYF45" s="468"/>
      <c r="EYG45" s="468"/>
      <c r="EYH45" s="468"/>
      <c r="EYI45" s="468"/>
      <c r="EYJ45" s="468"/>
      <c r="EYK45" s="468"/>
      <c r="EYL45" s="468"/>
      <c r="EYM45" s="468"/>
      <c r="EYN45" s="468"/>
      <c r="EYO45" s="468"/>
      <c r="EYP45" s="468"/>
      <c r="EYQ45" s="468"/>
      <c r="EYR45" s="468"/>
      <c r="EYS45" s="468"/>
      <c r="EYT45" s="468"/>
      <c r="EYU45" s="468"/>
      <c r="EYV45" s="468"/>
      <c r="EYW45" s="468"/>
      <c r="EYX45" s="468"/>
      <c r="EYY45" s="468"/>
      <c r="EYZ45" s="468"/>
      <c r="EZA45" s="468"/>
      <c r="EZB45" s="468"/>
      <c r="EZC45" s="468"/>
      <c r="EZD45" s="468"/>
      <c r="EZE45" s="468"/>
      <c r="EZF45" s="468"/>
      <c r="EZG45" s="468"/>
      <c r="EZH45" s="468"/>
      <c r="EZI45" s="468"/>
      <c r="EZJ45" s="468"/>
      <c r="EZK45" s="468"/>
      <c r="EZL45" s="468"/>
      <c r="EZM45" s="468"/>
      <c r="EZN45" s="468"/>
      <c r="EZO45" s="468"/>
      <c r="EZP45" s="468"/>
      <c r="EZQ45" s="468"/>
      <c r="EZR45" s="468"/>
      <c r="EZS45" s="468"/>
      <c r="EZT45" s="468"/>
      <c r="EZU45" s="468"/>
      <c r="EZV45" s="468"/>
      <c r="EZW45" s="468"/>
      <c r="EZX45" s="468"/>
      <c r="EZY45" s="468"/>
      <c r="EZZ45" s="468"/>
      <c r="FAA45" s="468"/>
      <c r="FAB45" s="468"/>
      <c r="FAC45" s="468"/>
      <c r="FAD45" s="468"/>
      <c r="FAE45" s="468"/>
      <c r="FAF45" s="468"/>
      <c r="FAG45" s="468"/>
      <c r="FAH45" s="468"/>
      <c r="FAI45" s="468"/>
      <c r="FAJ45" s="468"/>
      <c r="FAK45" s="468"/>
      <c r="FAL45" s="468"/>
      <c r="FAM45" s="468"/>
      <c r="FAN45" s="468"/>
      <c r="FAO45" s="468"/>
      <c r="FAP45" s="468"/>
      <c r="FAQ45" s="468"/>
      <c r="FAR45" s="468"/>
      <c r="FAS45" s="468"/>
      <c r="FAT45" s="468"/>
      <c r="FAU45" s="468"/>
      <c r="FAV45" s="468"/>
      <c r="FAW45" s="468"/>
      <c r="FAX45" s="468"/>
      <c r="FAY45" s="468"/>
      <c r="FAZ45" s="468"/>
      <c r="FBA45" s="468"/>
      <c r="FBB45" s="468"/>
      <c r="FBC45" s="468"/>
      <c r="FBD45" s="468"/>
      <c r="FBE45" s="468"/>
      <c r="FBF45" s="468"/>
      <c r="FBG45" s="468"/>
      <c r="FBH45" s="468"/>
      <c r="FBI45" s="468"/>
      <c r="FBJ45" s="468"/>
      <c r="FBK45" s="468"/>
      <c r="FBL45" s="468"/>
      <c r="FBM45" s="468"/>
      <c r="FBN45" s="468"/>
      <c r="FBO45" s="468"/>
      <c r="FBP45" s="468"/>
      <c r="FBQ45" s="468"/>
      <c r="FBR45" s="468"/>
      <c r="FBS45" s="468"/>
      <c r="FBT45" s="468"/>
      <c r="FBU45" s="468"/>
      <c r="FBV45" s="468"/>
      <c r="FBW45" s="468"/>
      <c r="FBX45" s="468"/>
      <c r="FBY45" s="468"/>
      <c r="FBZ45" s="468"/>
      <c r="FCA45" s="468"/>
      <c r="FCB45" s="468"/>
      <c r="FCC45" s="468"/>
      <c r="FCD45" s="468"/>
      <c r="FCE45" s="468"/>
      <c r="FCF45" s="468"/>
      <c r="FCG45" s="468"/>
      <c r="FCH45" s="468"/>
      <c r="FCI45" s="468"/>
      <c r="FCJ45" s="468"/>
      <c r="FCK45" s="468"/>
      <c r="FCL45" s="468"/>
      <c r="FCM45" s="468"/>
      <c r="FCN45" s="468"/>
      <c r="FCO45" s="468"/>
      <c r="FCP45" s="468"/>
      <c r="FCQ45" s="468"/>
      <c r="FCR45" s="468"/>
      <c r="FCS45" s="468"/>
      <c r="FCT45" s="468"/>
      <c r="FCU45" s="468"/>
      <c r="FCV45" s="468"/>
      <c r="FCW45" s="468"/>
      <c r="FCX45" s="468"/>
      <c r="FCY45" s="468"/>
      <c r="FCZ45" s="468"/>
      <c r="FDA45" s="468"/>
      <c r="FDB45" s="468"/>
      <c r="FDC45" s="468"/>
      <c r="FDD45" s="468"/>
      <c r="FDE45" s="468"/>
      <c r="FDF45" s="468"/>
      <c r="FDG45" s="468"/>
      <c r="FDH45" s="468"/>
      <c r="FDI45" s="468"/>
      <c r="FDJ45" s="468"/>
      <c r="FDK45" s="468"/>
      <c r="FDL45" s="468"/>
      <c r="FDM45" s="468"/>
      <c r="FDN45" s="468"/>
      <c r="FDO45" s="468"/>
      <c r="FDP45" s="468"/>
      <c r="FDQ45" s="468"/>
      <c r="FDR45" s="468"/>
      <c r="FDS45" s="468"/>
      <c r="FDT45" s="468"/>
      <c r="FDU45" s="468"/>
      <c r="FDV45" s="468"/>
      <c r="FDW45" s="468"/>
      <c r="FDX45" s="468"/>
      <c r="FDY45" s="468"/>
      <c r="FDZ45" s="468"/>
      <c r="FEA45" s="468"/>
      <c r="FEB45" s="468"/>
      <c r="FEC45" s="468"/>
      <c r="FED45" s="468"/>
      <c r="FEE45" s="468"/>
      <c r="FEF45" s="468"/>
      <c r="FEG45" s="468"/>
      <c r="FEH45" s="468"/>
      <c r="FEI45" s="468"/>
      <c r="FEJ45" s="468"/>
      <c r="FEK45" s="468"/>
      <c r="FEL45" s="468"/>
      <c r="FEM45" s="468"/>
      <c r="FEN45" s="468"/>
      <c r="FEO45" s="468"/>
      <c r="FEP45" s="468"/>
      <c r="FEQ45" s="468"/>
      <c r="FER45" s="468"/>
      <c r="FES45" s="468"/>
      <c r="FET45" s="468"/>
      <c r="FEU45" s="468"/>
      <c r="FEV45" s="468"/>
      <c r="FEW45" s="468"/>
      <c r="FEX45" s="468"/>
      <c r="FEY45" s="468"/>
      <c r="FEZ45" s="468"/>
      <c r="FFA45" s="468"/>
      <c r="FFB45" s="468"/>
      <c r="FFC45" s="468"/>
      <c r="FFD45" s="468"/>
      <c r="FFE45" s="468"/>
      <c r="FFF45" s="468"/>
      <c r="FFG45" s="468"/>
      <c r="FFH45" s="468"/>
      <c r="FFI45" s="468"/>
      <c r="FFJ45" s="468"/>
      <c r="FFK45" s="468"/>
      <c r="FFL45" s="468"/>
      <c r="FFM45" s="468"/>
      <c r="FFN45" s="468"/>
      <c r="FFO45" s="468"/>
      <c r="FFP45" s="468"/>
      <c r="FFQ45" s="468"/>
      <c r="FFR45" s="468"/>
      <c r="FFS45" s="468"/>
      <c r="FFT45" s="468"/>
      <c r="FFU45" s="468"/>
      <c r="FFV45" s="468"/>
      <c r="FFW45" s="468"/>
      <c r="FFX45" s="468"/>
      <c r="FFY45" s="468"/>
      <c r="FFZ45" s="468"/>
      <c r="FGA45" s="468"/>
      <c r="FGB45" s="468"/>
      <c r="FGC45" s="468"/>
      <c r="FGD45" s="468"/>
      <c r="FGE45" s="468"/>
      <c r="FGF45" s="468"/>
      <c r="FGG45" s="468"/>
      <c r="FGH45" s="468"/>
      <c r="FGI45" s="468"/>
      <c r="FGJ45" s="468"/>
      <c r="FGK45" s="468"/>
      <c r="FGL45" s="468"/>
      <c r="FGM45" s="468"/>
      <c r="FGN45" s="468"/>
      <c r="FGO45" s="468"/>
      <c r="FGP45" s="468"/>
      <c r="FGQ45" s="468"/>
      <c r="FGR45" s="468"/>
      <c r="FGS45" s="468"/>
      <c r="FGT45" s="468"/>
      <c r="FGU45" s="468"/>
      <c r="FGV45" s="468"/>
      <c r="FGW45" s="468"/>
      <c r="FGX45" s="468"/>
      <c r="FGY45" s="468"/>
      <c r="FGZ45" s="468"/>
      <c r="FHA45" s="468"/>
      <c r="FHB45" s="468"/>
      <c r="FHC45" s="468"/>
      <c r="FHD45" s="468"/>
      <c r="FHE45" s="468"/>
      <c r="FHF45" s="468"/>
      <c r="FHG45" s="468"/>
      <c r="FHH45" s="468"/>
      <c r="FHI45" s="468"/>
      <c r="FHJ45" s="468"/>
      <c r="FHK45" s="468"/>
      <c r="FHL45" s="468"/>
      <c r="FHM45" s="468"/>
      <c r="FHN45" s="468"/>
      <c r="FHO45" s="468"/>
      <c r="FHP45" s="468"/>
      <c r="FHQ45" s="468"/>
      <c r="FHR45" s="468"/>
      <c r="FHS45" s="468"/>
      <c r="FHT45" s="468"/>
      <c r="FHU45" s="468"/>
      <c r="FHV45" s="468"/>
      <c r="FHW45" s="468"/>
      <c r="FHX45" s="468"/>
      <c r="FHY45" s="468"/>
      <c r="FHZ45" s="468"/>
      <c r="FIA45" s="468"/>
      <c r="FIB45" s="468"/>
      <c r="FIC45" s="468"/>
      <c r="FID45" s="468"/>
      <c r="FIE45" s="468"/>
      <c r="FIF45" s="468"/>
      <c r="FIG45" s="468"/>
      <c r="FIH45" s="468"/>
      <c r="FII45" s="468"/>
      <c r="FIJ45" s="468"/>
      <c r="FIK45" s="468"/>
      <c r="FIL45" s="468"/>
      <c r="FIM45" s="468"/>
      <c r="FIN45" s="468"/>
      <c r="FIO45" s="468"/>
      <c r="FIP45" s="468"/>
      <c r="FIQ45" s="468"/>
      <c r="FIR45" s="468"/>
      <c r="FIS45" s="468"/>
      <c r="FIT45" s="468"/>
      <c r="FIU45" s="468"/>
      <c r="FIV45" s="468"/>
      <c r="FIW45" s="468"/>
      <c r="FIX45" s="468"/>
      <c r="FIY45" s="468"/>
      <c r="FIZ45" s="468"/>
      <c r="FJA45" s="468"/>
      <c r="FJB45" s="468"/>
      <c r="FJC45" s="468"/>
      <c r="FJD45" s="468"/>
      <c r="FJE45" s="468"/>
      <c r="FJF45" s="468"/>
      <c r="FJG45" s="468"/>
      <c r="FJH45" s="468"/>
      <c r="FJI45" s="468"/>
      <c r="FJJ45" s="468"/>
      <c r="FJK45" s="468"/>
      <c r="FJL45" s="468"/>
      <c r="FJM45" s="468"/>
      <c r="FJN45" s="468"/>
      <c r="FJO45" s="468"/>
      <c r="FJP45" s="468"/>
      <c r="FJQ45" s="468"/>
      <c r="FJR45" s="468"/>
      <c r="FJS45" s="468"/>
      <c r="FJT45" s="468"/>
      <c r="FJU45" s="468"/>
      <c r="FJV45" s="468"/>
      <c r="FJW45" s="468"/>
      <c r="FJX45" s="468"/>
      <c r="FJY45" s="468"/>
      <c r="FJZ45" s="468"/>
      <c r="FKA45" s="468"/>
      <c r="FKB45" s="468"/>
      <c r="FKC45" s="468"/>
      <c r="FKD45" s="468"/>
      <c r="FKE45" s="468"/>
      <c r="FKF45" s="468"/>
      <c r="FKG45" s="468"/>
      <c r="FKH45" s="468"/>
      <c r="FKI45" s="468"/>
      <c r="FKJ45" s="468"/>
      <c r="FKK45" s="468"/>
      <c r="FKL45" s="468"/>
      <c r="FKM45" s="468"/>
      <c r="FKN45" s="468"/>
      <c r="FKO45" s="468"/>
      <c r="FKP45" s="468"/>
      <c r="FKQ45" s="468"/>
      <c r="FKR45" s="468"/>
      <c r="FKS45" s="468"/>
      <c r="FKT45" s="468"/>
      <c r="FKU45" s="468"/>
      <c r="FKV45" s="468"/>
      <c r="FKW45" s="468"/>
      <c r="FKX45" s="468"/>
      <c r="FKY45" s="468"/>
      <c r="FKZ45" s="468"/>
      <c r="FLA45" s="468"/>
      <c r="FLB45" s="468"/>
      <c r="FLC45" s="468"/>
      <c r="FLD45" s="468"/>
      <c r="FLE45" s="468"/>
      <c r="FLF45" s="468"/>
      <c r="FLG45" s="468"/>
      <c r="FLH45" s="468"/>
      <c r="FLI45" s="468"/>
      <c r="FLJ45" s="468"/>
      <c r="FLK45" s="468"/>
      <c r="FLL45" s="468"/>
      <c r="FLM45" s="468"/>
      <c r="FLN45" s="468"/>
      <c r="FLO45" s="468"/>
      <c r="FLP45" s="468"/>
      <c r="FLQ45" s="468"/>
      <c r="FLR45" s="468"/>
      <c r="FLS45" s="468"/>
      <c r="FLT45" s="468"/>
      <c r="FLU45" s="468"/>
      <c r="FLV45" s="468"/>
      <c r="FLW45" s="468"/>
      <c r="FLX45" s="468"/>
      <c r="FLY45" s="468"/>
      <c r="FLZ45" s="468"/>
      <c r="FMA45" s="468"/>
      <c r="FMB45" s="468"/>
      <c r="FMC45" s="468"/>
      <c r="FMD45" s="468"/>
      <c r="FME45" s="468"/>
      <c r="FMF45" s="468"/>
      <c r="FMG45" s="468"/>
      <c r="FMH45" s="468"/>
      <c r="FMI45" s="468"/>
      <c r="FMJ45" s="468"/>
      <c r="FMK45" s="468"/>
      <c r="FML45" s="468"/>
      <c r="FMM45" s="468"/>
      <c r="FMN45" s="468"/>
      <c r="FMO45" s="468"/>
      <c r="FMP45" s="468"/>
      <c r="FMQ45" s="468"/>
      <c r="FMR45" s="468"/>
      <c r="FMS45" s="468"/>
      <c r="FMT45" s="468"/>
      <c r="FMU45" s="468"/>
      <c r="FMV45" s="468"/>
      <c r="FMW45" s="468"/>
      <c r="FMX45" s="468"/>
      <c r="FMY45" s="468"/>
      <c r="FMZ45" s="468"/>
      <c r="FNA45" s="468"/>
      <c r="FNB45" s="468"/>
      <c r="FNC45" s="468"/>
      <c r="FND45" s="468"/>
      <c r="FNE45" s="468"/>
      <c r="FNF45" s="468"/>
      <c r="FNG45" s="468"/>
      <c r="FNH45" s="468"/>
      <c r="FNI45" s="468"/>
      <c r="FNJ45" s="468"/>
      <c r="FNK45" s="468"/>
      <c r="FNL45" s="468"/>
      <c r="FNM45" s="468"/>
      <c r="FNN45" s="468"/>
      <c r="FNO45" s="468"/>
      <c r="FNP45" s="468"/>
      <c r="FNQ45" s="468"/>
      <c r="FNR45" s="468"/>
      <c r="FNS45" s="468"/>
      <c r="FNT45" s="468"/>
      <c r="FNU45" s="468"/>
      <c r="FNV45" s="468"/>
      <c r="FNW45" s="468"/>
      <c r="FNX45" s="468"/>
      <c r="FNY45" s="468"/>
      <c r="FNZ45" s="468"/>
      <c r="FOA45" s="468"/>
      <c r="FOB45" s="468"/>
      <c r="FOC45" s="468"/>
      <c r="FOD45" s="468"/>
      <c r="FOE45" s="468"/>
      <c r="FOF45" s="468"/>
      <c r="FOG45" s="468"/>
      <c r="FOH45" s="468"/>
      <c r="FOI45" s="468"/>
      <c r="FOJ45" s="468"/>
      <c r="FOK45" s="468"/>
      <c r="FOL45" s="468"/>
      <c r="FOM45" s="468"/>
      <c r="FON45" s="468"/>
      <c r="FOO45" s="468"/>
      <c r="FOP45" s="468"/>
      <c r="FOQ45" s="468"/>
      <c r="FOR45" s="468"/>
      <c r="FOS45" s="468"/>
      <c r="FOT45" s="468"/>
      <c r="FOU45" s="468"/>
      <c r="FOV45" s="468"/>
      <c r="FOW45" s="468"/>
      <c r="FOX45" s="468"/>
      <c r="FOY45" s="468"/>
      <c r="FOZ45" s="468"/>
      <c r="FPA45" s="468"/>
      <c r="FPB45" s="468"/>
      <c r="FPC45" s="468"/>
      <c r="FPD45" s="468"/>
      <c r="FPE45" s="468"/>
      <c r="FPF45" s="468"/>
      <c r="FPG45" s="468"/>
      <c r="FPH45" s="468"/>
      <c r="FPI45" s="468"/>
      <c r="FPJ45" s="468"/>
      <c r="FPK45" s="468"/>
      <c r="FPL45" s="468"/>
      <c r="FPM45" s="468"/>
      <c r="FPN45" s="468"/>
      <c r="FPO45" s="468"/>
      <c r="FPP45" s="468"/>
      <c r="FPQ45" s="468"/>
      <c r="FPR45" s="468"/>
      <c r="FPS45" s="468"/>
      <c r="FPT45" s="468"/>
      <c r="FPU45" s="468"/>
      <c r="FPV45" s="468"/>
      <c r="FPW45" s="468"/>
      <c r="FPX45" s="468"/>
      <c r="FPY45" s="468"/>
      <c r="FPZ45" s="468"/>
      <c r="FQA45" s="468"/>
      <c r="FQB45" s="468"/>
      <c r="FQC45" s="468"/>
      <c r="FQD45" s="468"/>
      <c r="FQE45" s="468"/>
      <c r="FQF45" s="468"/>
      <c r="FQG45" s="468"/>
      <c r="FQH45" s="468"/>
      <c r="FQI45" s="468"/>
      <c r="FQJ45" s="468"/>
      <c r="FQK45" s="468"/>
      <c r="FQL45" s="468"/>
      <c r="FQM45" s="468"/>
      <c r="FQN45" s="468"/>
      <c r="FQO45" s="468"/>
      <c r="FQP45" s="468"/>
      <c r="FQQ45" s="468"/>
      <c r="FQR45" s="468"/>
      <c r="FQS45" s="468"/>
      <c r="FQT45" s="468"/>
      <c r="FQU45" s="468"/>
      <c r="FQV45" s="468"/>
      <c r="FQW45" s="468"/>
      <c r="FQX45" s="468"/>
      <c r="FQY45" s="468"/>
      <c r="FQZ45" s="468"/>
      <c r="FRA45" s="468"/>
      <c r="FRB45" s="468"/>
      <c r="FRC45" s="468"/>
      <c r="FRD45" s="468"/>
      <c r="FRE45" s="468"/>
      <c r="FRF45" s="468"/>
      <c r="FRG45" s="468"/>
      <c r="FRH45" s="468"/>
      <c r="FRI45" s="468"/>
      <c r="FRJ45" s="468"/>
      <c r="FRK45" s="468"/>
      <c r="FRL45" s="468"/>
      <c r="FRM45" s="468"/>
      <c r="FRN45" s="468"/>
      <c r="FRO45" s="468"/>
      <c r="FRP45" s="468"/>
      <c r="FRQ45" s="468"/>
      <c r="FRR45" s="468"/>
      <c r="FRS45" s="468"/>
      <c r="FRT45" s="468"/>
      <c r="FRU45" s="468"/>
      <c r="FRV45" s="468"/>
      <c r="FRW45" s="468"/>
      <c r="FRX45" s="468"/>
      <c r="FRY45" s="468"/>
      <c r="FRZ45" s="468"/>
      <c r="FSA45" s="468"/>
      <c r="FSB45" s="468"/>
      <c r="FSC45" s="468"/>
      <c r="FSD45" s="468"/>
      <c r="FSE45" s="468"/>
      <c r="FSF45" s="468"/>
      <c r="FSG45" s="468"/>
      <c r="FSH45" s="468"/>
      <c r="FSI45" s="468"/>
      <c r="FSJ45" s="468"/>
      <c r="FSK45" s="468"/>
      <c r="FSL45" s="468"/>
      <c r="FSM45" s="468"/>
      <c r="FSN45" s="468"/>
      <c r="FSO45" s="468"/>
      <c r="FSP45" s="468"/>
      <c r="FSQ45" s="468"/>
      <c r="FSR45" s="468"/>
      <c r="FSS45" s="468"/>
      <c r="FST45" s="468"/>
      <c r="FSU45" s="468"/>
      <c r="FSV45" s="468"/>
      <c r="FSW45" s="468"/>
      <c r="FSX45" s="468"/>
      <c r="FSY45" s="468"/>
      <c r="FSZ45" s="468"/>
      <c r="FTA45" s="468"/>
      <c r="FTB45" s="468"/>
      <c r="FTC45" s="468"/>
      <c r="FTD45" s="468"/>
      <c r="FTE45" s="468"/>
      <c r="FTF45" s="468"/>
      <c r="FTG45" s="468"/>
      <c r="FTH45" s="468"/>
      <c r="FTI45" s="468"/>
      <c r="FTJ45" s="468"/>
      <c r="FTK45" s="468"/>
      <c r="FTL45" s="468"/>
      <c r="FTM45" s="468"/>
      <c r="FTN45" s="468"/>
      <c r="FTO45" s="468"/>
      <c r="FTP45" s="468"/>
      <c r="FTQ45" s="468"/>
      <c r="FTR45" s="468"/>
      <c r="FTS45" s="468"/>
      <c r="FTT45" s="468"/>
      <c r="FTU45" s="468"/>
      <c r="FTV45" s="468"/>
      <c r="FTW45" s="468"/>
      <c r="FTX45" s="468"/>
      <c r="FTY45" s="468"/>
      <c r="FTZ45" s="468"/>
      <c r="FUA45" s="468"/>
      <c r="FUB45" s="468"/>
      <c r="FUC45" s="468"/>
      <c r="FUD45" s="468"/>
      <c r="FUE45" s="468"/>
      <c r="FUF45" s="468"/>
      <c r="FUG45" s="468"/>
      <c r="FUH45" s="468"/>
      <c r="FUI45" s="468"/>
      <c r="FUJ45" s="468"/>
      <c r="FUK45" s="468"/>
      <c r="FUL45" s="468"/>
      <c r="FUM45" s="468"/>
      <c r="FUN45" s="468"/>
      <c r="FUO45" s="468"/>
      <c r="FUP45" s="468"/>
      <c r="FUQ45" s="468"/>
      <c r="FUR45" s="468"/>
      <c r="FUS45" s="468"/>
      <c r="FUT45" s="468"/>
      <c r="FUU45" s="468"/>
      <c r="FUV45" s="468"/>
      <c r="FUW45" s="468"/>
      <c r="FUX45" s="468"/>
      <c r="FUY45" s="468"/>
      <c r="FUZ45" s="468"/>
      <c r="FVA45" s="468"/>
      <c r="FVB45" s="468"/>
      <c r="FVC45" s="468"/>
      <c r="FVD45" s="468"/>
      <c r="FVE45" s="468"/>
      <c r="FVF45" s="468"/>
      <c r="FVG45" s="468"/>
      <c r="FVH45" s="468"/>
      <c r="FVI45" s="468"/>
      <c r="FVJ45" s="468"/>
      <c r="FVK45" s="468"/>
      <c r="FVL45" s="468"/>
      <c r="FVM45" s="468"/>
      <c r="FVN45" s="468"/>
      <c r="FVO45" s="468"/>
      <c r="FVP45" s="468"/>
      <c r="FVQ45" s="468"/>
      <c r="FVR45" s="468"/>
      <c r="FVS45" s="468"/>
      <c r="FVT45" s="468"/>
      <c r="FVU45" s="468"/>
      <c r="FVV45" s="468"/>
      <c r="FVW45" s="468"/>
      <c r="FVX45" s="468"/>
      <c r="FVY45" s="468"/>
      <c r="FVZ45" s="468"/>
      <c r="FWA45" s="468"/>
      <c r="FWB45" s="468"/>
      <c r="FWC45" s="468"/>
      <c r="FWD45" s="468"/>
      <c r="FWE45" s="468"/>
      <c r="FWF45" s="468"/>
      <c r="FWG45" s="468"/>
      <c r="FWH45" s="468"/>
      <c r="FWI45" s="468"/>
      <c r="FWJ45" s="468"/>
      <c r="FWK45" s="468"/>
      <c r="FWL45" s="468"/>
      <c r="FWM45" s="468"/>
      <c r="FWN45" s="468"/>
      <c r="FWO45" s="468"/>
      <c r="FWP45" s="468"/>
      <c r="FWQ45" s="468"/>
      <c r="FWR45" s="468"/>
      <c r="FWS45" s="468"/>
      <c r="FWT45" s="468"/>
      <c r="FWU45" s="468"/>
      <c r="FWV45" s="468"/>
      <c r="FWW45" s="468"/>
      <c r="FWX45" s="468"/>
      <c r="FWY45" s="468"/>
      <c r="FWZ45" s="468"/>
      <c r="FXA45" s="468"/>
      <c r="FXB45" s="468"/>
      <c r="FXC45" s="468"/>
      <c r="FXD45" s="468"/>
      <c r="FXE45" s="468"/>
      <c r="FXF45" s="468"/>
      <c r="FXG45" s="468"/>
      <c r="FXH45" s="468"/>
      <c r="FXI45" s="468"/>
      <c r="FXJ45" s="468"/>
      <c r="FXK45" s="468"/>
      <c r="FXL45" s="468"/>
      <c r="FXM45" s="468"/>
      <c r="FXN45" s="468"/>
      <c r="FXO45" s="468"/>
      <c r="FXP45" s="468"/>
      <c r="FXQ45" s="468"/>
      <c r="FXR45" s="468"/>
      <c r="FXS45" s="468"/>
      <c r="FXT45" s="468"/>
      <c r="FXU45" s="468"/>
      <c r="FXV45" s="468"/>
      <c r="FXW45" s="468"/>
      <c r="FXX45" s="468"/>
      <c r="FXY45" s="468"/>
      <c r="FXZ45" s="468"/>
      <c r="FYA45" s="468"/>
      <c r="FYB45" s="468"/>
      <c r="FYC45" s="468"/>
      <c r="FYD45" s="468"/>
      <c r="FYE45" s="468"/>
      <c r="FYF45" s="468"/>
      <c r="FYG45" s="468"/>
      <c r="FYH45" s="468"/>
      <c r="FYI45" s="468"/>
      <c r="FYJ45" s="468"/>
      <c r="FYK45" s="468"/>
      <c r="FYL45" s="468"/>
      <c r="FYM45" s="468"/>
      <c r="FYN45" s="468"/>
      <c r="FYO45" s="468"/>
      <c r="FYP45" s="468"/>
      <c r="FYQ45" s="468"/>
      <c r="FYR45" s="468"/>
      <c r="FYS45" s="468"/>
      <c r="FYT45" s="468"/>
      <c r="FYU45" s="468"/>
      <c r="FYV45" s="468"/>
      <c r="FYW45" s="468"/>
      <c r="FYX45" s="468"/>
      <c r="FYY45" s="468"/>
      <c r="FYZ45" s="468"/>
      <c r="FZA45" s="468"/>
      <c r="FZB45" s="468"/>
      <c r="FZC45" s="468"/>
      <c r="FZD45" s="468"/>
      <c r="FZE45" s="468"/>
      <c r="FZF45" s="468"/>
      <c r="FZG45" s="468"/>
      <c r="FZH45" s="468"/>
      <c r="FZI45" s="468"/>
      <c r="FZJ45" s="468"/>
      <c r="FZK45" s="468"/>
      <c r="FZL45" s="468"/>
      <c r="FZM45" s="468"/>
      <c r="FZN45" s="468"/>
      <c r="FZO45" s="468"/>
      <c r="FZP45" s="468"/>
      <c r="FZQ45" s="468"/>
      <c r="FZR45" s="468"/>
      <c r="FZS45" s="468"/>
      <c r="FZT45" s="468"/>
      <c r="FZU45" s="468"/>
      <c r="FZV45" s="468"/>
      <c r="FZW45" s="468"/>
      <c r="FZX45" s="468"/>
      <c r="FZY45" s="468"/>
      <c r="FZZ45" s="468"/>
      <c r="GAA45" s="468"/>
      <c r="GAB45" s="468"/>
      <c r="GAC45" s="468"/>
      <c r="GAD45" s="468"/>
      <c r="GAE45" s="468"/>
      <c r="GAF45" s="468"/>
      <c r="GAG45" s="468"/>
      <c r="GAH45" s="468"/>
      <c r="GAI45" s="468"/>
      <c r="GAJ45" s="468"/>
      <c r="GAK45" s="468"/>
      <c r="GAL45" s="468"/>
      <c r="GAM45" s="468"/>
      <c r="GAN45" s="468"/>
      <c r="GAO45" s="468"/>
      <c r="GAP45" s="468"/>
      <c r="GAQ45" s="468"/>
      <c r="GAR45" s="468"/>
      <c r="GAS45" s="468"/>
      <c r="GAT45" s="468"/>
      <c r="GAU45" s="468"/>
      <c r="GAV45" s="468"/>
      <c r="GAW45" s="468"/>
      <c r="GAX45" s="468"/>
      <c r="GAY45" s="468"/>
      <c r="GAZ45" s="468"/>
      <c r="GBA45" s="468"/>
      <c r="GBB45" s="468"/>
      <c r="GBC45" s="468"/>
      <c r="GBD45" s="468"/>
      <c r="GBE45" s="468"/>
      <c r="GBF45" s="468"/>
      <c r="GBG45" s="468"/>
      <c r="GBH45" s="468"/>
      <c r="GBI45" s="468"/>
      <c r="GBJ45" s="468"/>
      <c r="GBK45" s="468"/>
      <c r="GBL45" s="468"/>
      <c r="GBM45" s="468"/>
      <c r="GBN45" s="468"/>
      <c r="GBO45" s="468"/>
      <c r="GBP45" s="468"/>
      <c r="GBQ45" s="468"/>
      <c r="GBR45" s="468"/>
      <c r="GBS45" s="468"/>
      <c r="GBT45" s="468"/>
      <c r="GBU45" s="468"/>
      <c r="GBV45" s="468"/>
      <c r="GBW45" s="468"/>
      <c r="GBX45" s="468"/>
      <c r="GBY45" s="468"/>
      <c r="GBZ45" s="468"/>
      <c r="GCA45" s="468"/>
      <c r="GCB45" s="468"/>
      <c r="GCC45" s="468"/>
      <c r="GCD45" s="468"/>
      <c r="GCE45" s="468"/>
      <c r="GCF45" s="468"/>
      <c r="GCG45" s="468"/>
      <c r="GCH45" s="468"/>
      <c r="GCI45" s="468"/>
      <c r="GCJ45" s="468"/>
      <c r="GCK45" s="468"/>
      <c r="GCL45" s="468"/>
      <c r="GCM45" s="468"/>
      <c r="GCN45" s="468"/>
      <c r="GCO45" s="468"/>
      <c r="GCP45" s="468"/>
      <c r="GCQ45" s="468"/>
      <c r="GCR45" s="468"/>
      <c r="GCS45" s="468"/>
      <c r="GCT45" s="468"/>
      <c r="GCU45" s="468"/>
      <c r="GCV45" s="468"/>
      <c r="GCW45" s="468"/>
      <c r="GCX45" s="468"/>
      <c r="GCY45" s="468"/>
      <c r="GCZ45" s="468"/>
      <c r="GDA45" s="468"/>
      <c r="GDB45" s="468"/>
      <c r="GDC45" s="468"/>
      <c r="GDD45" s="468"/>
      <c r="GDE45" s="468"/>
      <c r="GDF45" s="468"/>
      <c r="GDG45" s="468"/>
      <c r="GDH45" s="468"/>
      <c r="GDI45" s="468"/>
      <c r="GDJ45" s="468"/>
      <c r="GDK45" s="468"/>
      <c r="GDL45" s="468"/>
      <c r="GDM45" s="468"/>
      <c r="GDN45" s="468"/>
      <c r="GDO45" s="468"/>
      <c r="GDP45" s="468"/>
      <c r="GDQ45" s="468"/>
      <c r="GDR45" s="468"/>
      <c r="GDS45" s="468"/>
      <c r="GDT45" s="468"/>
      <c r="GDU45" s="468"/>
      <c r="GDV45" s="468"/>
      <c r="GDW45" s="468"/>
      <c r="GDX45" s="468"/>
      <c r="GDY45" s="468"/>
      <c r="GDZ45" s="468"/>
      <c r="GEA45" s="468"/>
      <c r="GEB45" s="468"/>
      <c r="GEC45" s="468"/>
      <c r="GED45" s="468"/>
      <c r="GEE45" s="468"/>
      <c r="GEF45" s="468"/>
      <c r="GEG45" s="468"/>
      <c r="GEH45" s="468"/>
      <c r="GEI45" s="468"/>
      <c r="GEJ45" s="468"/>
      <c r="GEK45" s="468"/>
      <c r="GEL45" s="468"/>
      <c r="GEM45" s="468"/>
      <c r="GEN45" s="468"/>
      <c r="GEO45" s="468"/>
      <c r="GEP45" s="468"/>
      <c r="GEQ45" s="468"/>
      <c r="GER45" s="468"/>
      <c r="GES45" s="468"/>
      <c r="GET45" s="468"/>
      <c r="GEU45" s="468"/>
      <c r="GEV45" s="468"/>
      <c r="GEW45" s="468"/>
      <c r="GEX45" s="468"/>
      <c r="GEY45" s="468"/>
      <c r="GEZ45" s="468"/>
      <c r="GFA45" s="468"/>
      <c r="GFB45" s="468"/>
      <c r="GFC45" s="468"/>
      <c r="GFD45" s="468"/>
      <c r="GFE45" s="468"/>
      <c r="GFF45" s="468"/>
      <c r="GFG45" s="468"/>
      <c r="GFH45" s="468"/>
      <c r="GFI45" s="468"/>
      <c r="GFJ45" s="468"/>
      <c r="GFK45" s="468"/>
      <c r="GFL45" s="468"/>
      <c r="GFM45" s="468"/>
      <c r="GFN45" s="468"/>
      <c r="GFO45" s="468"/>
      <c r="GFP45" s="468"/>
      <c r="GFQ45" s="468"/>
      <c r="GFR45" s="468"/>
      <c r="GFS45" s="468"/>
      <c r="GFT45" s="468"/>
      <c r="GFU45" s="468"/>
      <c r="GFV45" s="468"/>
      <c r="GFW45" s="468"/>
      <c r="GFX45" s="468"/>
      <c r="GFY45" s="468"/>
      <c r="GFZ45" s="468"/>
      <c r="GGA45" s="468"/>
      <c r="GGB45" s="468"/>
      <c r="GGC45" s="468"/>
      <c r="GGD45" s="468"/>
      <c r="GGE45" s="468"/>
      <c r="GGF45" s="468"/>
      <c r="GGG45" s="468"/>
      <c r="GGH45" s="468"/>
      <c r="GGI45" s="468"/>
      <c r="GGJ45" s="468"/>
      <c r="GGK45" s="468"/>
      <c r="GGL45" s="468"/>
      <c r="GGM45" s="468"/>
      <c r="GGN45" s="468"/>
      <c r="GGO45" s="468"/>
      <c r="GGP45" s="468"/>
      <c r="GGQ45" s="468"/>
      <c r="GGR45" s="468"/>
      <c r="GGS45" s="468"/>
      <c r="GGT45" s="468"/>
      <c r="GGU45" s="468"/>
      <c r="GGV45" s="468"/>
      <c r="GGW45" s="468"/>
      <c r="GGX45" s="468"/>
      <c r="GGY45" s="468"/>
      <c r="GGZ45" s="468"/>
      <c r="GHA45" s="468"/>
      <c r="GHB45" s="468"/>
      <c r="GHC45" s="468"/>
      <c r="GHD45" s="468"/>
      <c r="GHE45" s="468"/>
      <c r="GHF45" s="468"/>
      <c r="GHG45" s="468"/>
      <c r="GHH45" s="468"/>
      <c r="GHI45" s="468"/>
      <c r="GHJ45" s="468"/>
      <c r="GHK45" s="468"/>
      <c r="GHL45" s="468"/>
      <c r="GHM45" s="468"/>
      <c r="GHN45" s="468"/>
      <c r="GHO45" s="468"/>
      <c r="GHP45" s="468"/>
      <c r="GHQ45" s="468"/>
      <c r="GHR45" s="468"/>
      <c r="GHS45" s="468"/>
      <c r="GHT45" s="468"/>
      <c r="GHU45" s="468"/>
      <c r="GHV45" s="468"/>
      <c r="GHW45" s="468"/>
      <c r="GHX45" s="468"/>
      <c r="GHY45" s="468"/>
      <c r="GHZ45" s="468"/>
      <c r="GIA45" s="468"/>
      <c r="GIB45" s="468"/>
      <c r="GIC45" s="468"/>
      <c r="GID45" s="468"/>
      <c r="GIE45" s="468"/>
      <c r="GIF45" s="468"/>
      <c r="GIG45" s="468"/>
      <c r="GIH45" s="468"/>
      <c r="GII45" s="468"/>
      <c r="GIJ45" s="468"/>
      <c r="GIK45" s="468"/>
      <c r="GIL45" s="468"/>
      <c r="GIM45" s="468"/>
      <c r="GIN45" s="468"/>
      <c r="GIO45" s="468"/>
      <c r="GIP45" s="468"/>
      <c r="GIQ45" s="468"/>
      <c r="GIR45" s="468"/>
      <c r="GIS45" s="468"/>
      <c r="GIT45" s="468"/>
      <c r="GIU45" s="468"/>
      <c r="GIV45" s="468"/>
      <c r="GIW45" s="468"/>
      <c r="GIX45" s="468"/>
      <c r="GIY45" s="468"/>
      <c r="GIZ45" s="468"/>
      <c r="GJA45" s="468"/>
      <c r="GJB45" s="468"/>
      <c r="GJC45" s="468"/>
      <c r="GJD45" s="468"/>
      <c r="GJE45" s="468"/>
      <c r="GJF45" s="468"/>
      <c r="GJG45" s="468"/>
      <c r="GJH45" s="468"/>
      <c r="GJI45" s="468"/>
      <c r="GJJ45" s="468"/>
      <c r="GJK45" s="468"/>
      <c r="GJL45" s="468"/>
      <c r="GJM45" s="468"/>
      <c r="GJN45" s="468"/>
      <c r="GJO45" s="468"/>
      <c r="GJP45" s="468"/>
      <c r="GJQ45" s="468"/>
      <c r="GJR45" s="468"/>
      <c r="GJS45" s="468"/>
      <c r="GJT45" s="468"/>
      <c r="GJU45" s="468"/>
      <c r="GJV45" s="468"/>
      <c r="GJW45" s="468"/>
      <c r="GJX45" s="468"/>
      <c r="GJY45" s="468"/>
      <c r="GJZ45" s="468"/>
      <c r="GKA45" s="468"/>
      <c r="GKB45" s="468"/>
      <c r="GKC45" s="468"/>
      <c r="GKD45" s="468"/>
      <c r="GKE45" s="468"/>
      <c r="GKF45" s="468"/>
      <c r="GKG45" s="468"/>
      <c r="GKH45" s="468"/>
      <c r="GKI45" s="468"/>
      <c r="GKJ45" s="468"/>
      <c r="GKK45" s="468"/>
      <c r="GKL45" s="468"/>
      <c r="GKM45" s="468"/>
      <c r="GKN45" s="468"/>
      <c r="GKO45" s="468"/>
      <c r="GKP45" s="468"/>
      <c r="GKQ45" s="468"/>
      <c r="GKR45" s="468"/>
      <c r="GKS45" s="468"/>
      <c r="GKT45" s="468"/>
      <c r="GKU45" s="468"/>
      <c r="GKV45" s="468"/>
      <c r="GKW45" s="468"/>
      <c r="GKX45" s="468"/>
      <c r="GKY45" s="468"/>
      <c r="GKZ45" s="468"/>
      <c r="GLA45" s="468"/>
      <c r="GLB45" s="468"/>
      <c r="GLC45" s="468"/>
      <c r="GLD45" s="468"/>
      <c r="GLE45" s="468"/>
      <c r="GLF45" s="468"/>
      <c r="GLG45" s="468"/>
      <c r="GLH45" s="468"/>
      <c r="GLI45" s="468"/>
      <c r="GLJ45" s="468"/>
      <c r="GLK45" s="468"/>
      <c r="GLL45" s="468"/>
      <c r="GLM45" s="468"/>
      <c r="GLN45" s="468"/>
      <c r="GLO45" s="468"/>
      <c r="GLP45" s="468"/>
      <c r="GLQ45" s="468"/>
      <c r="GLR45" s="468"/>
      <c r="GLS45" s="468"/>
      <c r="GLT45" s="468"/>
      <c r="GLU45" s="468"/>
      <c r="GLV45" s="468"/>
      <c r="GLW45" s="468"/>
      <c r="GLX45" s="468"/>
      <c r="GLY45" s="468"/>
      <c r="GLZ45" s="468"/>
      <c r="GMA45" s="468"/>
      <c r="GMB45" s="468"/>
      <c r="GMC45" s="468"/>
      <c r="GMD45" s="468"/>
      <c r="GME45" s="468"/>
      <c r="GMF45" s="468"/>
      <c r="GMG45" s="468"/>
      <c r="GMH45" s="468"/>
      <c r="GMI45" s="468"/>
      <c r="GMJ45" s="468"/>
      <c r="GMK45" s="468"/>
      <c r="GML45" s="468"/>
      <c r="GMM45" s="468"/>
      <c r="GMN45" s="468"/>
      <c r="GMO45" s="468"/>
      <c r="GMP45" s="468"/>
      <c r="GMQ45" s="468"/>
      <c r="GMR45" s="468"/>
      <c r="GMS45" s="468"/>
      <c r="GMT45" s="468"/>
      <c r="GMU45" s="468"/>
      <c r="GMV45" s="468"/>
      <c r="GMW45" s="468"/>
      <c r="GMX45" s="468"/>
      <c r="GMY45" s="468"/>
      <c r="GMZ45" s="468"/>
      <c r="GNA45" s="468"/>
      <c r="GNB45" s="468"/>
      <c r="GNC45" s="468"/>
      <c r="GND45" s="468"/>
      <c r="GNE45" s="468"/>
      <c r="GNF45" s="468"/>
      <c r="GNG45" s="468"/>
      <c r="GNH45" s="468"/>
      <c r="GNI45" s="468"/>
      <c r="GNJ45" s="468"/>
      <c r="GNK45" s="468"/>
      <c r="GNL45" s="468"/>
      <c r="GNM45" s="468"/>
      <c r="GNN45" s="468"/>
      <c r="GNO45" s="468"/>
      <c r="GNP45" s="468"/>
      <c r="GNQ45" s="468"/>
      <c r="GNR45" s="468"/>
      <c r="GNS45" s="468"/>
      <c r="GNT45" s="468"/>
      <c r="GNU45" s="468"/>
      <c r="GNV45" s="468"/>
      <c r="GNW45" s="468"/>
      <c r="GNX45" s="468"/>
      <c r="GNY45" s="468"/>
      <c r="GNZ45" s="468"/>
      <c r="GOA45" s="468"/>
      <c r="GOB45" s="468"/>
      <c r="GOC45" s="468"/>
      <c r="GOD45" s="468"/>
      <c r="GOE45" s="468"/>
      <c r="GOF45" s="468"/>
      <c r="GOG45" s="468"/>
      <c r="GOH45" s="468"/>
      <c r="GOI45" s="468"/>
      <c r="GOJ45" s="468"/>
      <c r="GOK45" s="468"/>
      <c r="GOL45" s="468"/>
      <c r="GOM45" s="468"/>
      <c r="GON45" s="468"/>
      <c r="GOO45" s="468"/>
      <c r="GOP45" s="468"/>
      <c r="GOQ45" s="468"/>
      <c r="GOR45" s="468"/>
      <c r="GOS45" s="468"/>
      <c r="GOT45" s="468"/>
      <c r="GOU45" s="468"/>
      <c r="GOV45" s="468"/>
      <c r="GOW45" s="468"/>
      <c r="GOX45" s="468"/>
      <c r="GOY45" s="468"/>
      <c r="GOZ45" s="468"/>
      <c r="GPA45" s="468"/>
      <c r="GPB45" s="468"/>
      <c r="GPC45" s="468"/>
      <c r="GPD45" s="468"/>
      <c r="GPE45" s="468"/>
      <c r="GPF45" s="468"/>
      <c r="GPG45" s="468"/>
      <c r="GPH45" s="468"/>
      <c r="GPI45" s="468"/>
      <c r="GPJ45" s="468"/>
      <c r="GPK45" s="468"/>
      <c r="GPL45" s="468"/>
      <c r="GPM45" s="468"/>
      <c r="GPN45" s="468"/>
      <c r="GPO45" s="468"/>
      <c r="GPP45" s="468"/>
      <c r="GPQ45" s="468"/>
      <c r="GPR45" s="468"/>
      <c r="GPS45" s="468"/>
      <c r="GPT45" s="468"/>
      <c r="GPU45" s="468"/>
      <c r="GPV45" s="468"/>
      <c r="GPW45" s="468"/>
      <c r="GPX45" s="468"/>
      <c r="GPY45" s="468"/>
      <c r="GPZ45" s="468"/>
      <c r="GQA45" s="468"/>
      <c r="GQB45" s="468"/>
      <c r="GQC45" s="468"/>
      <c r="GQD45" s="468"/>
      <c r="GQE45" s="468"/>
      <c r="GQF45" s="468"/>
      <c r="GQG45" s="468"/>
      <c r="GQH45" s="468"/>
      <c r="GQI45" s="468"/>
      <c r="GQJ45" s="468"/>
      <c r="GQK45" s="468"/>
      <c r="GQL45" s="468"/>
      <c r="GQM45" s="468"/>
      <c r="GQN45" s="468"/>
      <c r="GQO45" s="468"/>
      <c r="GQP45" s="468"/>
      <c r="GQQ45" s="468"/>
      <c r="GQR45" s="468"/>
      <c r="GQS45" s="468"/>
      <c r="GQT45" s="468"/>
      <c r="GQU45" s="468"/>
      <c r="GQV45" s="468"/>
      <c r="GQW45" s="468"/>
      <c r="GQX45" s="468"/>
      <c r="GQY45" s="468"/>
      <c r="GQZ45" s="468"/>
      <c r="GRA45" s="468"/>
      <c r="GRB45" s="468"/>
      <c r="GRC45" s="468"/>
      <c r="GRD45" s="468"/>
      <c r="GRE45" s="468"/>
      <c r="GRF45" s="468"/>
      <c r="GRG45" s="468"/>
      <c r="GRH45" s="468"/>
      <c r="GRI45" s="468"/>
      <c r="GRJ45" s="468"/>
      <c r="GRK45" s="468"/>
      <c r="GRL45" s="468"/>
      <c r="GRM45" s="468"/>
      <c r="GRN45" s="468"/>
      <c r="GRO45" s="468"/>
      <c r="GRP45" s="468"/>
      <c r="GRQ45" s="468"/>
      <c r="GRR45" s="468"/>
      <c r="GRS45" s="468"/>
      <c r="GRT45" s="468"/>
      <c r="GRU45" s="468"/>
      <c r="GRV45" s="468"/>
      <c r="GRW45" s="468"/>
      <c r="GRX45" s="468"/>
      <c r="GRY45" s="468"/>
      <c r="GRZ45" s="468"/>
      <c r="GSA45" s="468"/>
      <c r="GSB45" s="468"/>
      <c r="GSC45" s="468"/>
      <c r="GSD45" s="468"/>
      <c r="GSE45" s="468"/>
      <c r="GSF45" s="468"/>
      <c r="GSG45" s="468"/>
      <c r="GSH45" s="468"/>
      <c r="GSI45" s="468"/>
      <c r="GSJ45" s="468"/>
      <c r="GSK45" s="468"/>
      <c r="GSL45" s="468"/>
      <c r="GSM45" s="468"/>
      <c r="GSN45" s="468"/>
      <c r="GSO45" s="468"/>
      <c r="GSP45" s="468"/>
      <c r="GSQ45" s="468"/>
      <c r="GSR45" s="468"/>
      <c r="GSS45" s="468"/>
      <c r="GST45" s="468"/>
      <c r="GSU45" s="468"/>
      <c r="GSV45" s="468"/>
      <c r="GSW45" s="468"/>
      <c r="GSX45" s="468"/>
      <c r="GSY45" s="468"/>
      <c r="GSZ45" s="468"/>
      <c r="GTA45" s="468"/>
      <c r="GTB45" s="468"/>
      <c r="GTC45" s="468"/>
      <c r="GTD45" s="468"/>
      <c r="GTE45" s="468"/>
      <c r="GTF45" s="468"/>
      <c r="GTG45" s="468"/>
      <c r="GTH45" s="468"/>
      <c r="GTI45" s="468"/>
      <c r="GTJ45" s="468"/>
      <c r="GTK45" s="468"/>
      <c r="GTL45" s="468"/>
      <c r="GTM45" s="468"/>
      <c r="GTN45" s="468"/>
      <c r="GTO45" s="468"/>
      <c r="GTP45" s="468"/>
      <c r="GTQ45" s="468"/>
      <c r="GTR45" s="468"/>
      <c r="GTS45" s="468"/>
      <c r="GTT45" s="468"/>
      <c r="GTU45" s="468"/>
      <c r="GTV45" s="468"/>
      <c r="GTW45" s="468"/>
      <c r="GTX45" s="468"/>
      <c r="GTY45" s="468"/>
      <c r="GTZ45" s="468"/>
      <c r="GUA45" s="468"/>
      <c r="GUB45" s="468"/>
      <c r="GUC45" s="468"/>
      <c r="GUD45" s="468"/>
      <c r="GUE45" s="468"/>
      <c r="GUF45" s="468"/>
      <c r="GUG45" s="468"/>
      <c r="GUH45" s="468"/>
      <c r="GUI45" s="468"/>
      <c r="GUJ45" s="468"/>
      <c r="GUK45" s="468"/>
      <c r="GUL45" s="468"/>
      <c r="GUM45" s="468"/>
      <c r="GUN45" s="468"/>
      <c r="GUO45" s="468"/>
      <c r="GUP45" s="468"/>
      <c r="GUQ45" s="468"/>
      <c r="GUR45" s="468"/>
      <c r="GUS45" s="468"/>
      <c r="GUT45" s="468"/>
      <c r="GUU45" s="468"/>
      <c r="GUV45" s="468"/>
      <c r="GUW45" s="468"/>
      <c r="GUX45" s="468"/>
      <c r="GUY45" s="468"/>
      <c r="GUZ45" s="468"/>
      <c r="GVA45" s="468"/>
      <c r="GVB45" s="468"/>
      <c r="GVC45" s="468"/>
      <c r="GVD45" s="468"/>
      <c r="GVE45" s="468"/>
      <c r="GVF45" s="468"/>
      <c r="GVG45" s="468"/>
      <c r="GVH45" s="468"/>
      <c r="GVI45" s="468"/>
      <c r="GVJ45" s="468"/>
      <c r="GVK45" s="468"/>
      <c r="GVL45" s="468"/>
      <c r="GVM45" s="468"/>
      <c r="GVN45" s="468"/>
      <c r="GVO45" s="468"/>
      <c r="GVP45" s="468"/>
      <c r="GVQ45" s="468"/>
      <c r="GVR45" s="468"/>
      <c r="GVS45" s="468"/>
      <c r="GVT45" s="468"/>
      <c r="GVU45" s="468"/>
      <c r="GVV45" s="468"/>
      <c r="GVW45" s="468"/>
      <c r="GVX45" s="468"/>
      <c r="GVY45" s="468"/>
      <c r="GVZ45" s="468"/>
      <c r="GWA45" s="468"/>
      <c r="GWB45" s="468"/>
      <c r="GWC45" s="468"/>
      <c r="GWD45" s="468"/>
      <c r="GWE45" s="468"/>
      <c r="GWF45" s="468"/>
      <c r="GWG45" s="468"/>
      <c r="GWH45" s="468"/>
      <c r="GWI45" s="468"/>
      <c r="GWJ45" s="468"/>
      <c r="GWK45" s="468"/>
      <c r="GWL45" s="468"/>
      <c r="GWM45" s="468"/>
      <c r="GWN45" s="468"/>
      <c r="GWO45" s="468"/>
      <c r="GWP45" s="468"/>
      <c r="GWQ45" s="468"/>
      <c r="GWR45" s="468"/>
      <c r="GWS45" s="468"/>
      <c r="GWT45" s="468"/>
      <c r="GWU45" s="468"/>
      <c r="GWV45" s="468"/>
      <c r="GWW45" s="468"/>
      <c r="GWX45" s="468"/>
      <c r="GWY45" s="468"/>
      <c r="GWZ45" s="468"/>
      <c r="GXA45" s="468"/>
      <c r="GXB45" s="468"/>
      <c r="GXC45" s="468"/>
      <c r="GXD45" s="468"/>
      <c r="GXE45" s="468"/>
      <c r="GXF45" s="468"/>
      <c r="GXG45" s="468"/>
      <c r="GXH45" s="468"/>
      <c r="GXI45" s="468"/>
      <c r="GXJ45" s="468"/>
      <c r="GXK45" s="468"/>
      <c r="GXL45" s="468"/>
      <c r="GXM45" s="468"/>
      <c r="GXN45" s="468"/>
      <c r="GXO45" s="468"/>
      <c r="GXP45" s="468"/>
      <c r="GXQ45" s="468"/>
      <c r="GXR45" s="468"/>
      <c r="GXS45" s="468"/>
      <c r="GXT45" s="468"/>
      <c r="GXU45" s="468"/>
      <c r="GXV45" s="468"/>
      <c r="GXW45" s="468"/>
      <c r="GXX45" s="468"/>
      <c r="GXY45" s="468"/>
      <c r="GXZ45" s="468"/>
      <c r="GYA45" s="468"/>
      <c r="GYB45" s="468"/>
      <c r="GYC45" s="468"/>
      <c r="GYD45" s="468"/>
      <c r="GYE45" s="468"/>
      <c r="GYF45" s="468"/>
      <c r="GYG45" s="468"/>
      <c r="GYH45" s="468"/>
      <c r="GYI45" s="468"/>
      <c r="GYJ45" s="468"/>
      <c r="GYK45" s="468"/>
      <c r="GYL45" s="468"/>
      <c r="GYM45" s="468"/>
      <c r="GYN45" s="468"/>
      <c r="GYO45" s="468"/>
      <c r="GYP45" s="468"/>
      <c r="GYQ45" s="468"/>
      <c r="GYR45" s="468"/>
      <c r="GYS45" s="468"/>
      <c r="GYT45" s="468"/>
      <c r="GYU45" s="468"/>
      <c r="GYV45" s="468"/>
      <c r="GYW45" s="468"/>
      <c r="GYX45" s="468"/>
      <c r="GYY45" s="468"/>
      <c r="GYZ45" s="468"/>
      <c r="GZA45" s="468"/>
      <c r="GZB45" s="468"/>
      <c r="GZC45" s="468"/>
      <c r="GZD45" s="468"/>
      <c r="GZE45" s="468"/>
      <c r="GZF45" s="468"/>
      <c r="GZG45" s="468"/>
      <c r="GZH45" s="468"/>
      <c r="GZI45" s="468"/>
      <c r="GZJ45" s="468"/>
      <c r="GZK45" s="468"/>
      <c r="GZL45" s="468"/>
      <c r="GZM45" s="468"/>
      <c r="GZN45" s="468"/>
      <c r="GZO45" s="468"/>
      <c r="GZP45" s="468"/>
      <c r="GZQ45" s="468"/>
      <c r="GZR45" s="468"/>
      <c r="GZS45" s="468"/>
      <c r="GZT45" s="468"/>
      <c r="GZU45" s="468"/>
      <c r="GZV45" s="468"/>
      <c r="GZW45" s="468"/>
      <c r="GZX45" s="468"/>
      <c r="GZY45" s="468"/>
      <c r="GZZ45" s="468"/>
      <c r="HAA45" s="468"/>
      <c r="HAB45" s="468"/>
      <c r="HAC45" s="468"/>
      <c r="HAD45" s="468"/>
      <c r="HAE45" s="468"/>
      <c r="HAF45" s="468"/>
      <c r="HAG45" s="468"/>
      <c r="HAH45" s="468"/>
      <c r="HAI45" s="468"/>
      <c r="HAJ45" s="468"/>
      <c r="HAK45" s="468"/>
      <c r="HAL45" s="468"/>
      <c r="HAM45" s="468"/>
      <c r="HAN45" s="468"/>
      <c r="HAO45" s="468"/>
      <c r="HAP45" s="468"/>
      <c r="HAQ45" s="468"/>
      <c r="HAR45" s="468"/>
      <c r="HAS45" s="468"/>
      <c r="HAT45" s="468"/>
      <c r="HAU45" s="468"/>
      <c r="HAV45" s="468"/>
      <c r="HAW45" s="468"/>
      <c r="HAX45" s="468"/>
      <c r="HAY45" s="468"/>
      <c r="HAZ45" s="468"/>
      <c r="HBA45" s="468"/>
      <c r="HBB45" s="468"/>
      <c r="HBC45" s="468"/>
      <c r="HBD45" s="468"/>
      <c r="HBE45" s="468"/>
      <c r="HBF45" s="468"/>
      <c r="HBG45" s="468"/>
      <c r="HBH45" s="468"/>
      <c r="HBI45" s="468"/>
      <c r="HBJ45" s="468"/>
      <c r="HBK45" s="468"/>
      <c r="HBL45" s="468"/>
      <c r="HBM45" s="468"/>
      <c r="HBN45" s="468"/>
      <c r="HBO45" s="468"/>
      <c r="HBP45" s="468"/>
      <c r="HBQ45" s="468"/>
      <c r="HBR45" s="468"/>
      <c r="HBS45" s="468"/>
      <c r="HBT45" s="468"/>
      <c r="HBU45" s="468"/>
      <c r="HBV45" s="468"/>
      <c r="HBW45" s="468"/>
      <c r="HBX45" s="468"/>
      <c r="HBY45" s="468"/>
      <c r="HBZ45" s="468"/>
      <c r="HCA45" s="468"/>
      <c r="HCB45" s="468"/>
      <c r="HCC45" s="468"/>
      <c r="HCD45" s="468"/>
      <c r="HCE45" s="468"/>
      <c r="HCF45" s="468"/>
      <c r="HCG45" s="468"/>
      <c r="HCH45" s="468"/>
      <c r="HCI45" s="468"/>
      <c r="HCJ45" s="468"/>
      <c r="HCK45" s="468"/>
      <c r="HCL45" s="468"/>
      <c r="HCM45" s="468"/>
      <c r="HCN45" s="468"/>
      <c r="HCO45" s="468"/>
      <c r="HCP45" s="468"/>
      <c r="HCQ45" s="468"/>
      <c r="HCR45" s="468"/>
      <c r="HCS45" s="468"/>
      <c r="HCT45" s="468"/>
      <c r="HCU45" s="468"/>
      <c r="HCV45" s="468"/>
      <c r="HCW45" s="468"/>
      <c r="HCX45" s="468"/>
      <c r="HCY45" s="468"/>
      <c r="HCZ45" s="468"/>
      <c r="HDA45" s="468"/>
      <c r="HDB45" s="468"/>
      <c r="HDC45" s="468"/>
      <c r="HDD45" s="468"/>
      <c r="HDE45" s="468"/>
      <c r="HDF45" s="468"/>
      <c r="HDG45" s="468"/>
      <c r="HDH45" s="468"/>
      <c r="HDI45" s="468"/>
      <c r="HDJ45" s="468"/>
      <c r="HDK45" s="468"/>
      <c r="HDL45" s="468"/>
      <c r="HDM45" s="468"/>
      <c r="HDN45" s="468"/>
      <c r="HDO45" s="468"/>
      <c r="HDP45" s="468"/>
      <c r="HDQ45" s="468"/>
      <c r="HDR45" s="468"/>
      <c r="HDS45" s="468"/>
      <c r="HDT45" s="468"/>
      <c r="HDU45" s="468"/>
      <c r="HDV45" s="468"/>
      <c r="HDW45" s="468"/>
      <c r="HDX45" s="468"/>
      <c r="HDY45" s="468"/>
      <c r="HDZ45" s="468"/>
      <c r="HEA45" s="468"/>
      <c r="HEB45" s="468"/>
      <c r="HEC45" s="468"/>
      <c r="HED45" s="468"/>
      <c r="HEE45" s="468"/>
      <c r="HEF45" s="468"/>
      <c r="HEG45" s="468"/>
      <c r="HEH45" s="468"/>
      <c r="HEI45" s="468"/>
      <c r="HEJ45" s="468"/>
      <c r="HEK45" s="468"/>
      <c r="HEL45" s="468"/>
      <c r="HEM45" s="468"/>
      <c r="HEN45" s="468"/>
      <c r="HEO45" s="468"/>
      <c r="HEP45" s="468"/>
      <c r="HEQ45" s="468"/>
      <c r="HER45" s="468"/>
      <c r="HES45" s="468"/>
      <c r="HET45" s="468"/>
      <c r="HEU45" s="468"/>
      <c r="HEV45" s="468"/>
      <c r="HEW45" s="468"/>
      <c r="HEX45" s="468"/>
      <c r="HEY45" s="468"/>
      <c r="HEZ45" s="468"/>
      <c r="HFA45" s="468"/>
      <c r="HFB45" s="468"/>
      <c r="HFC45" s="468"/>
      <c r="HFD45" s="468"/>
      <c r="HFE45" s="468"/>
      <c r="HFF45" s="468"/>
      <c r="HFG45" s="468"/>
      <c r="HFH45" s="468"/>
      <c r="HFI45" s="468"/>
      <c r="HFJ45" s="468"/>
      <c r="HFK45" s="468"/>
      <c r="HFL45" s="468"/>
      <c r="HFM45" s="468"/>
      <c r="HFN45" s="468"/>
      <c r="HFO45" s="468"/>
      <c r="HFP45" s="468"/>
      <c r="HFQ45" s="468"/>
      <c r="HFR45" s="468"/>
      <c r="HFS45" s="468"/>
      <c r="HFT45" s="468"/>
      <c r="HFU45" s="468"/>
      <c r="HFV45" s="468"/>
      <c r="HFW45" s="468"/>
      <c r="HFX45" s="468"/>
      <c r="HFY45" s="468"/>
      <c r="HFZ45" s="468"/>
      <c r="HGA45" s="468"/>
      <c r="HGB45" s="468"/>
      <c r="HGC45" s="468"/>
      <c r="HGD45" s="468"/>
      <c r="HGE45" s="468"/>
      <c r="HGF45" s="468"/>
      <c r="HGG45" s="468"/>
      <c r="HGH45" s="468"/>
      <c r="HGI45" s="468"/>
      <c r="HGJ45" s="468"/>
      <c r="HGK45" s="468"/>
      <c r="HGL45" s="468"/>
      <c r="HGM45" s="468"/>
      <c r="HGN45" s="468"/>
      <c r="HGO45" s="468"/>
      <c r="HGP45" s="468"/>
      <c r="HGQ45" s="468"/>
      <c r="HGR45" s="468"/>
      <c r="HGS45" s="468"/>
      <c r="HGT45" s="468"/>
      <c r="HGU45" s="468"/>
      <c r="HGV45" s="468"/>
      <c r="HGW45" s="468"/>
      <c r="HGX45" s="468"/>
      <c r="HGY45" s="468"/>
      <c r="HGZ45" s="468"/>
      <c r="HHA45" s="468"/>
      <c r="HHB45" s="468"/>
      <c r="HHC45" s="468"/>
      <c r="HHD45" s="468"/>
      <c r="HHE45" s="468"/>
      <c r="HHF45" s="468"/>
      <c r="HHG45" s="468"/>
      <c r="HHH45" s="468"/>
      <c r="HHI45" s="468"/>
      <c r="HHJ45" s="468"/>
      <c r="HHK45" s="468"/>
      <c r="HHL45" s="468"/>
      <c r="HHM45" s="468"/>
      <c r="HHN45" s="468"/>
      <c r="HHO45" s="468"/>
      <c r="HHP45" s="468"/>
      <c r="HHQ45" s="468"/>
      <c r="HHR45" s="468"/>
      <c r="HHS45" s="468"/>
      <c r="HHT45" s="468"/>
      <c r="HHU45" s="468"/>
      <c r="HHV45" s="468"/>
      <c r="HHW45" s="468"/>
      <c r="HHX45" s="468"/>
      <c r="HHY45" s="468"/>
      <c r="HHZ45" s="468"/>
      <c r="HIA45" s="468"/>
      <c r="HIB45" s="468"/>
      <c r="HIC45" s="468"/>
      <c r="HID45" s="468"/>
      <c r="HIE45" s="468"/>
      <c r="HIF45" s="468"/>
      <c r="HIG45" s="468"/>
      <c r="HIH45" s="468"/>
      <c r="HII45" s="468"/>
      <c r="HIJ45" s="468"/>
      <c r="HIK45" s="468"/>
      <c r="HIL45" s="468"/>
      <c r="HIM45" s="468"/>
      <c r="HIN45" s="468"/>
      <c r="HIO45" s="468"/>
      <c r="HIP45" s="468"/>
      <c r="HIQ45" s="468"/>
      <c r="HIR45" s="468"/>
      <c r="HIS45" s="468"/>
      <c r="HIT45" s="468"/>
      <c r="HIU45" s="468"/>
      <c r="HIV45" s="468"/>
      <c r="HIW45" s="468"/>
      <c r="HIX45" s="468"/>
      <c r="HIY45" s="468"/>
      <c r="HIZ45" s="468"/>
      <c r="HJA45" s="468"/>
      <c r="HJB45" s="468"/>
      <c r="HJC45" s="468"/>
      <c r="HJD45" s="468"/>
      <c r="HJE45" s="468"/>
      <c r="HJF45" s="468"/>
      <c r="HJG45" s="468"/>
      <c r="HJH45" s="468"/>
      <c r="HJI45" s="468"/>
      <c r="HJJ45" s="468"/>
      <c r="HJK45" s="468"/>
      <c r="HJL45" s="468"/>
      <c r="HJM45" s="468"/>
      <c r="HJN45" s="468"/>
      <c r="HJO45" s="468"/>
      <c r="HJP45" s="468"/>
      <c r="HJQ45" s="468"/>
      <c r="HJR45" s="468"/>
      <c r="HJS45" s="468"/>
      <c r="HJT45" s="468"/>
      <c r="HJU45" s="468"/>
      <c r="HJV45" s="468"/>
      <c r="HJW45" s="468"/>
      <c r="HJX45" s="468"/>
      <c r="HJY45" s="468"/>
      <c r="HJZ45" s="468"/>
      <c r="HKA45" s="468"/>
      <c r="HKB45" s="468"/>
      <c r="HKC45" s="468"/>
      <c r="HKD45" s="468"/>
      <c r="HKE45" s="468"/>
      <c r="HKF45" s="468"/>
      <c r="HKG45" s="468"/>
      <c r="HKH45" s="468"/>
      <c r="HKI45" s="468"/>
      <c r="HKJ45" s="468"/>
      <c r="HKK45" s="468"/>
      <c r="HKL45" s="468"/>
      <c r="HKM45" s="468"/>
      <c r="HKN45" s="468"/>
      <c r="HKO45" s="468"/>
      <c r="HKP45" s="468"/>
      <c r="HKQ45" s="468"/>
      <c r="HKR45" s="468"/>
      <c r="HKS45" s="468"/>
      <c r="HKT45" s="468"/>
      <c r="HKU45" s="468"/>
      <c r="HKV45" s="468"/>
      <c r="HKW45" s="468"/>
      <c r="HKX45" s="468"/>
      <c r="HKY45" s="468"/>
      <c r="HKZ45" s="468"/>
      <c r="HLA45" s="468"/>
      <c r="HLB45" s="468"/>
      <c r="HLC45" s="468"/>
      <c r="HLD45" s="468"/>
      <c r="HLE45" s="468"/>
      <c r="HLF45" s="468"/>
      <c r="HLG45" s="468"/>
      <c r="HLH45" s="468"/>
      <c r="HLI45" s="468"/>
      <c r="HLJ45" s="468"/>
      <c r="HLK45" s="468"/>
      <c r="HLL45" s="468"/>
      <c r="HLM45" s="468"/>
      <c r="HLN45" s="468"/>
      <c r="HLO45" s="468"/>
      <c r="HLP45" s="468"/>
      <c r="HLQ45" s="468"/>
      <c r="HLR45" s="468"/>
      <c r="HLS45" s="468"/>
      <c r="HLT45" s="468"/>
      <c r="HLU45" s="468"/>
      <c r="HLV45" s="468"/>
      <c r="HLW45" s="468"/>
      <c r="HLX45" s="468"/>
      <c r="HLY45" s="468"/>
      <c r="HLZ45" s="468"/>
      <c r="HMA45" s="468"/>
      <c r="HMB45" s="468"/>
      <c r="HMC45" s="468"/>
      <c r="HMD45" s="468"/>
      <c r="HME45" s="468"/>
      <c r="HMF45" s="468"/>
      <c r="HMG45" s="468"/>
      <c r="HMH45" s="468"/>
      <c r="HMI45" s="468"/>
      <c r="HMJ45" s="468"/>
      <c r="HMK45" s="468"/>
      <c r="HML45" s="468"/>
      <c r="HMM45" s="468"/>
      <c r="HMN45" s="468"/>
      <c r="HMO45" s="468"/>
      <c r="HMP45" s="468"/>
      <c r="HMQ45" s="468"/>
      <c r="HMR45" s="468"/>
      <c r="HMS45" s="468"/>
      <c r="HMT45" s="468"/>
      <c r="HMU45" s="468"/>
      <c r="HMV45" s="468"/>
      <c r="HMW45" s="468"/>
      <c r="HMX45" s="468"/>
      <c r="HMY45" s="468"/>
      <c r="HMZ45" s="468"/>
      <c r="HNA45" s="468"/>
      <c r="HNB45" s="468"/>
      <c r="HNC45" s="468"/>
      <c r="HND45" s="468"/>
      <c r="HNE45" s="468"/>
      <c r="HNF45" s="468"/>
      <c r="HNG45" s="468"/>
      <c r="HNH45" s="468"/>
      <c r="HNI45" s="468"/>
      <c r="HNJ45" s="468"/>
      <c r="HNK45" s="468"/>
      <c r="HNL45" s="468"/>
      <c r="HNM45" s="468"/>
      <c r="HNN45" s="468"/>
      <c r="HNO45" s="468"/>
      <c r="HNP45" s="468"/>
      <c r="HNQ45" s="468"/>
      <c r="HNR45" s="468"/>
      <c r="HNS45" s="468"/>
      <c r="HNT45" s="468"/>
      <c r="HNU45" s="468"/>
      <c r="HNV45" s="468"/>
      <c r="HNW45" s="468"/>
      <c r="HNX45" s="468"/>
      <c r="HNY45" s="468"/>
      <c r="HNZ45" s="468"/>
      <c r="HOA45" s="468"/>
      <c r="HOB45" s="468"/>
      <c r="HOC45" s="468"/>
      <c r="HOD45" s="468"/>
      <c r="HOE45" s="468"/>
      <c r="HOF45" s="468"/>
      <c r="HOG45" s="468"/>
      <c r="HOH45" s="468"/>
      <c r="HOI45" s="468"/>
      <c r="HOJ45" s="468"/>
      <c r="HOK45" s="468"/>
      <c r="HOL45" s="468"/>
      <c r="HOM45" s="468"/>
      <c r="HON45" s="468"/>
      <c r="HOO45" s="468"/>
      <c r="HOP45" s="468"/>
      <c r="HOQ45" s="468"/>
      <c r="HOR45" s="468"/>
      <c r="HOS45" s="468"/>
      <c r="HOT45" s="468"/>
      <c r="HOU45" s="468"/>
      <c r="HOV45" s="468"/>
      <c r="HOW45" s="468"/>
      <c r="HOX45" s="468"/>
      <c r="HOY45" s="468"/>
      <c r="HOZ45" s="468"/>
      <c r="HPA45" s="468"/>
      <c r="HPB45" s="468"/>
      <c r="HPC45" s="468"/>
      <c r="HPD45" s="468"/>
      <c r="HPE45" s="468"/>
      <c r="HPF45" s="468"/>
      <c r="HPG45" s="468"/>
      <c r="HPH45" s="468"/>
      <c r="HPI45" s="468"/>
      <c r="HPJ45" s="468"/>
      <c r="HPK45" s="468"/>
      <c r="HPL45" s="468"/>
      <c r="HPM45" s="468"/>
      <c r="HPN45" s="468"/>
      <c r="HPO45" s="468"/>
      <c r="HPP45" s="468"/>
      <c r="HPQ45" s="468"/>
      <c r="HPR45" s="468"/>
      <c r="HPS45" s="468"/>
      <c r="HPT45" s="468"/>
      <c r="HPU45" s="468"/>
      <c r="HPV45" s="468"/>
      <c r="HPW45" s="468"/>
      <c r="HPX45" s="468"/>
      <c r="HPY45" s="468"/>
      <c r="HPZ45" s="468"/>
      <c r="HQA45" s="468"/>
      <c r="HQB45" s="468"/>
      <c r="HQC45" s="468"/>
      <c r="HQD45" s="468"/>
      <c r="HQE45" s="468"/>
      <c r="HQF45" s="468"/>
      <c r="HQG45" s="468"/>
      <c r="HQH45" s="468"/>
      <c r="HQI45" s="468"/>
      <c r="HQJ45" s="468"/>
      <c r="HQK45" s="468"/>
      <c r="HQL45" s="468"/>
      <c r="HQM45" s="468"/>
      <c r="HQN45" s="468"/>
      <c r="HQO45" s="468"/>
      <c r="HQP45" s="468"/>
      <c r="HQQ45" s="468"/>
      <c r="HQR45" s="468"/>
      <c r="HQS45" s="468"/>
      <c r="HQT45" s="468"/>
      <c r="HQU45" s="468"/>
      <c r="HQV45" s="468"/>
      <c r="HQW45" s="468"/>
      <c r="HQX45" s="468"/>
      <c r="HQY45" s="468"/>
      <c r="HQZ45" s="468"/>
      <c r="HRA45" s="468"/>
      <c r="HRB45" s="468"/>
      <c r="HRC45" s="468"/>
      <c r="HRD45" s="468"/>
      <c r="HRE45" s="468"/>
      <c r="HRF45" s="468"/>
      <c r="HRG45" s="468"/>
      <c r="HRH45" s="468"/>
      <c r="HRI45" s="468"/>
      <c r="HRJ45" s="468"/>
      <c r="HRK45" s="468"/>
      <c r="HRL45" s="468"/>
      <c r="HRM45" s="468"/>
      <c r="HRN45" s="468"/>
      <c r="HRO45" s="468"/>
      <c r="HRP45" s="468"/>
      <c r="HRQ45" s="468"/>
      <c r="HRR45" s="468"/>
      <c r="HRS45" s="468"/>
      <c r="HRT45" s="468"/>
      <c r="HRU45" s="468"/>
      <c r="HRV45" s="468"/>
      <c r="HRW45" s="468"/>
      <c r="HRX45" s="468"/>
      <c r="HRY45" s="468"/>
      <c r="HRZ45" s="468"/>
      <c r="HSA45" s="468"/>
      <c r="HSB45" s="468"/>
      <c r="HSC45" s="468"/>
      <c r="HSD45" s="468"/>
      <c r="HSE45" s="468"/>
      <c r="HSF45" s="468"/>
      <c r="HSG45" s="468"/>
      <c r="HSH45" s="468"/>
      <c r="HSI45" s="468"/>
      <c r="HSJ45" s="468"/>
      <c r="HSK45" s="468"/>
      <c r="HSL45" s="468"/>
      <c r="HSM45" s="468"/>
      <c r="HSN45" s="468"/>
      <c r="HSO45" s="468"/>
      <c r="HSP45" s="468"/>
      <c r="HSQ45" s="468"/>
      <c r="HSR45" s="468"/>
      <c r="HSS45" s="468"/>
      <c r="HST45" s="468"/>
      <c r="HSU45" s="468"/>
      <c r="HSV45" s="468"/>
      <c r="HSW45" s="468"/>
      <c r="HSX45" s="468"/>
      <c r="HSY45" s="468"/>
      <c r="HSZ45" s="468"/>
      <c r="HTA45" s="468"/>
      <c r="HTB45" s="468"/>
      <c r="HTC45" s="468"/>
      <c r="HTD45" s="468"/>
      <c r="HTE45" s="468"/>
      <c r="HTF45" s="468"/>
      <c r="HTG45" s="468"/>
      <c r="HTH45" s="468"/>
      <c r="HTI45" s="468"/>
      <c r="HTJ45" s="468"/>
      <c r="HTK45" s="468"/>
      <c r="HTL45" s="468"/>
      <c r="HTM45" s="468"/>
      <c r="HTN45" s="468"/>
      <c r="HTO45" s="468"/>
      <c r="HTP45" s="468"/>
      <c r="HTQ45" s="468"/>
      <c r="HTR45" s="468"/>
      <c r="HTS45" s="468"/>
      <c r="HTT45" s="468"/>
      <c r="HTU45" s="468"/>
      <c r="HTV45" s="468"/>
      <c r="HTW45" s="468"/>
      <c r="HTX45" s="468"/>
      <c r="HTY45" s="468"/>
      <c r="HTZ45" s="468"/>
      <c r="HUA45" s="468"/>
      <c r="HUB45" s="468"/>
      <c r="HUC45" s="468"/>
      <c r="HUD45" s="468"/>
      <c r="HUE45" s="468"/>
      <c r="HUF45" s="468"/>
      <c r="HUG45" s="468"/>
      <c r="HUH45" s="468"/>
      <c r="HUI45" s="468"/>
      <c r="HUJ45" s="468"/>
      <c r="HUK45" s="468"/>
      <c r="HUL45" s="468"/>
      <c r="HUM45" s="468"/>
      <c r="HUN45" s="468"/>
      <c r="HUO45" s="468"/>
      <c r="HUP45" s="468"/>
      <c r="HUQ45" s="468"/>
      <c r="HUR45" s="468"/>
      <c r="HUS45" s="468"/>
      <c r="HUT45" s="468"/>
      <c r="HUU45" s="468"/>
      <c r="HUV45" s="468"/>
      <c r="HUW45" s="468"/>
      <c r="HUX45" s="468"/>
      <c r="HUY45" s="468"/>
      <c r="HUZ45" s="468"/>
      <c r="HVA45" s="468"/>
      <c r="HVB45" s="468"/>
      <c r="HVC45" s="468"/>
      <c r="HVD45" s="468"/>
      <c r="HVE45" s="468"/>
      <c r="HVF45" s="468"/>
      <c r="HVG45" s="468"/>
      <c r="HVH45" s="468"/>
      <c r="HVI45" s="468"/>
      <c r="HVJ45" s="468"/>
      <c r="HVK45" s="468"/>
      <c r="HVL45" s="468"/>
      <c r="HVM45" s="468"/>
      <c r="HVN45" s="468"/>
      <c r="HVO45" s="468"/>
      <c r="HVP45" s="468"/>
      <c r="HVQ45" s="468"/>
      <c r="HVR45" s="468"/>
      <c r="HVS45" s="468"/>
      <c r="HVT45" s="468"/>
      <c r="HVU45" s="468"/>
      <c r="HVV45" s="468"/>
      <c r="HVW45" s="468"/>
      <c r="HVX45" s="468"/>
      <c r="HVY45" s="468"/>
      <c r="HVZ45" s="468"/>
      <c r="HWA45" s="468"/>
      <c r="HWB45" s="468"/>
      <c r="HWC45" s="468"/>
      <c r="HWD45" s="468"/>
      <c r="HWE45" s="468"/>
      <c r="HWF45" s="468"/>
      <c r="HWG45" s="468"/>
      <c r="HWH45" s="468"/>
      <c r="HWI45" s="468"/>
      <c r="HWJ45" s="468"/>
      <c r="HWK45" s="468"/>
      <c r="HWL45" s="468"/>
      <c r="HWM45" s="468"/>
      <c r="HWN45" s="468"/>
      <c r="HWO45" s="468"/>
      <c r="HWP45" s="468"/>
      <c r="HWQ45" s="468"/>
      <c r="HWR45" s="468"/>
      <c r="HWS45" s="468"/>
      <c r="HWT45" s="468"/>
      <c r="HWU45" s="468"/>
      <c r="HWV45" s="468"/>
      <c r="HWW45" s="468"/>
      <c r="HWX45" s="468"/>
      <c r="HWY45" s="468"/>
      <c r="HWZ45" s="468"/>
      <c r="HXA45" s="468"/>
      <c r="HXB45" s="468"/>
      <c r="HXC45" s="468"/>
      <c r="HXD45" s="468"/>
      <c r="HXE45" s="468"/>
      <c r="HXF45" s="468"/>
      <c r="HXG45" s="468"/>
      <c r="HXH45" s="468"/>
      <c r="HXI45" s="468"/>
      <c r="HXJ45" s="468"/>
      <c r="HXK45" s="468"/>
      <c r="HXL45" s="468"/>
      <c r="HXM45" s="468"/>
      <c r="HXN45" s="468"/>
      <c r="HXO45" s="468"/>
      <c r="HXP45" s="468"/>
      <c r="HXQ45" s="468"/>
      <c r="HXR45" s="468"/>
      <c r="HXS45" s="468"/>
      <c r="HXT45" s="468"/>
      <c r="HXU45" s="468"/>
      <c r="HXV45" s="468"/>
      <c r="HXW45" s="468"/>
      <c r="HXX45" s="468"/>
      <c r="HXY45" s="468"/>
      <c r="HXZ45" s="468"/>
      <c r="HYA45" s="468"/>
      <c r="HYB45" s="468"/>
      <c r="HYC45" s="468"/>
      <c r="HYD45" s="468"/>
      <c r="HYE45" s="468"/>
      <c r="HYF45" s="468"/>
      <c r="HYG45" s="468"/>
      <c r="HYH45" s="468"/>
      <c r="HYI45" s="468"/>
      <c r="HYJ45" s="468"/>
      <c r="HYK45" s="468"/>
      <c r="HYL45" s="468"/>
      <c r="HYM45" s="468"/>
      <c r="HYN45" s="468"/>
      <c r="HYO45" s="468"/>
      <c r="HYP45" s="468"/>
      <c r="HYQ45" s="468"/>
      <c r="HYR45" s="468"/>
      <c r="HYS45" s="468"/>
      <c r="HYT45" s="468"/>
      <c r="HYU45" s="468"/>
      <c r="HYV45" s="468"/>
      <c r="HYW45" s="468"/>
      <c r="HYX45" s="468"/>
      <c r="HYY45" s="468"/>
      <c r="HYZ45" s="468"/>
      <c r="HZA45" s="468"/>
      <c r="HZB45" s="468"/>
      <c r="HZC45" s="468"/>
      <c r="HZD45" s="468"/>
      <c r="HZE45" s="468"/>
      <c r="HZF45" s="468"/>
      <c r="HZG45" s="468"/>
      <c r="HZH45" s="468"/>
      <c r="HZI45" s="468"/>
      <c r="HZJ45" s="468"/>
      <c r="HZK45" s="468"/>
      <c r="HZL45" s="468"/>
      <c r="HZM45" s="468"/>
      <c r="HZN45" s="468"/>
      <c r="HZO45" s="468"/>
      <c r="HZP45" s="468"/>
      <c r="HZQ45" s="468"/>
      <c r="HZR45" s="468"/>
      <c r="HZS45" s="468"/>
      <c r="HZT45" s="468"/>
      <c r="HZU45" s="468"/>
      <c r="HZV45" s="468"/>
      <c r="HZW45" s="468"/>
      <c r="HZX45" s="468"/>
      <c r="HZY45" s="468"/>
      <c r="HZZ45" s="468"/>
      <c r="IAA45" s="468"/>
      <c r="IAB45" s="468"/>
      <c r="IAC45" s="468"/>
      <c r="IAD45" s="468"/>
      <c r="IAE45" s="468"/>
      <c r="IAF45" s="468"/>
      <c r="IAG45" s="468"/>
      <c r="IAH45" s="468"/>
      <c r="IAI45" s="468"/>
      <c r="IAJ45" s="468"/>
      <c r="IAK45" s="468"/>
      <c r="IAL45" s="468"/>
      <c r="IAM45" s="468"/>
      <c r="IAN45" s="468"/>
      <c r="IAO45" s="468"/>
      <c r="IAP45" s="468"/>
      <c r="IAQ45" s="468"/>
      <c r="IAR45" s="468"/>
      <c r="IAS45" s="468"/>
      <c r="IAT45" s="468"/>
      <c r="IAU45" s="468"/>
      <c r="IAV45" s="468"/>
      <c r="IAW45" s="468"/>
      <c r="IAX45" s="468"/>
      <c r="IAY45" s="468"/>
      <c r="IAZ45" s="468"/>
      <c r="IBA45" s="468"/>
      <c r="IBB45" s="468"/>
      <c r="IBC45" s="468"/>
      <c r="IBD45" s="468"/>
      <c r="IBE45" s="468"/>
      <c r="IBF45" s="468"/>
      <c r="IBG45" s="468"/>
      <c r="IBH45" s="468"/>
      <c r="IBI45" s="468"/>
      <c r="IBJ45" s="468"/>
      <c r="IBK45" s="468"/>
      <c r="IBL45" s="468"/>
      <c r="IBM45" s="468"/>
      <c r="IBN45" s="468"/>
      <c r="IBO45" s="468"/>
      <c r="IBP45" s="468"/>
      <c r="IBQ45" s="468"/>
      <c r="IBR45" s="468"/>
      <c r="IBS45" s="468"/>
      <c r="IBT45" s="468"/>
      <c r="IBU45" s="468"/>
      <c r="IBV45" s="468"/>
      <c r="IBW45" s="468"/>
      <c r="IBX45" s="468"/>
      <c r="IBY45" s="468"/>
      <c r="IBZ45" s="468"/>
      <c r="ICA45" s="468"/>
      <c r="ICB45" s="468"/>
      <c r="ICC45" s="468"/>
      <c r="ICD45" s="468"/>
      <c r="ICE45" s="468"/>
      <c r="ICF45" s="468"/>
      <c r="ICG45" s="468"/>
      <c r="ICH45" s="468"/>
      <c r="ICI45" s="468"/>
      <c r="ICJ45" s="468"/>
      <c r="ICK45" s="468"/>
      <c r="ICL45" s="468"/>
      <c r="ICM45" s="468"/>
      <c r="ICN45" s="468"/>
      <c r="ICO45" s="468"/>
      <c r="ICP45" s="468"/>
      <c r="ICQ45" s="468"/>
      <c r="ICR45" s="468"/>
      <c r="ICS45" s="468"/>
      <c r="ICT45" s="468"/>
      <c r="ICU45" s="468"/>
      <c r="ICV45" s="468"/>
      <c r="ICW45" s="468"/>
      <c r="ICX45" s="468"/>
      <c r="ICY45" s="468"/>
      <c r="ICZ45" s="468"/>
      <c r="IDA45" s="468"/>
      <c r="IDB45" s="468"/>
      <c r="IDC45" s="468"/>
      <c r="IDD45" s="468"/>
      <c r="IDE45" s="468"/>
      <c r="IDF45" s="468"/>
      <c r="IDG45" s="468"/>
      <c r="IDH45" s="468"/>
      <c r="IDI45" s="468"/>
      <c r="IDJ45" s="468"/>
      <c r="IDK45" s="468"/>
      <c r="IDL45" s="468"/>
      <c r="IDM45" s="468"/>
      <c r="IDN45" s="468"/>
      <c r="IDO45" s="468"/>
      <c r="IDP45" s="468"/>
      <c r="IDQ45" s="468"/>
      <c r="IDR45" s="468"/>
      <c r="IDS45" s="468"/>
      <c r="IDT45" s="468"/>
      <c r="IDU45" s="468"/>
      <c r="IDV45" s="468"/>
      <c r="IDW45" s="468"/>
      <c r="IDX45" s="468"/>
      <c r="IDY45" s="468"/>
      <c r="IDZ45" s="468"/>
      <c r="IEA45" s="468"/>
      <c r="IEB45" s="468"/>
      <c r="IEC45" s="468"/>
      <c r="IED45" s="468"/>
      <c r="IEE45" s="468"/>
      <c r="IEF45" s="468"/>
      <c r="IEG45" s="468"/>
      <c r="IEH45" s="468"/>
      <c r="IEI45" s="468"/>
      <c r="IEJ45" s="468"/>
      <c r="IEK45" s="468"/>
      <c r="IEL45" s="468"/>
      <c r="IEM45" s="468"/>
      <c r="IEN45" s="468"/>
      <c r="IEO45" s="468"/>
      <c r="IEP45" s="468"/>
      <c r="IEQ45" s="468"/>
      <c r="IER45" s="468"/>
      <c r="IES45" s="468"/>
      <c r="IET45" s="468"/>
      <c r="IEU45" s="468"/>
      <c r="IEV45" s="468"/>
      <c r="IEW45" s="468"/>
      <c r="IEX45" s="468"/>
      <c r="IEY45" s="468"/>
      <c r="IEZ45" s="468"/>
      <c r="IFA45" s="468"/>
      <c r="IFB45" s="468"/>
      <c r="IFC45" s="468"/>
      <c r="IFD45" s="468"/>
      <c r="IFE45" s="468"/>
      <c r="IFF45" s="468"/>
      <c r="IFG45" s="468"/>
      <c r="IFH45" s="468"/>
      <c r="IFI45" s="468"/>
      <c r="IFJ45" s="468"/>
      <c r="IFK45" s="468"/>
      <c r="IFL45" s="468"/>
      <c r="IFM45" s="468"/>
      <c r="IFN45" s="468"/>
      <c r="IFO45" s="468"/>
      <c r="IFP45" s="468"/>
      <c r="IFQ45" s="468"/>
      <c r="IFR45" s="468"/>
      <c r="IFS45" s="468"/>
      <c r="IFT45" s="468"/>
      <c r="IFU45" s="468"/>
      <c r="IFV45" s="468"/>
      <c r="IFW45" s="468"/>
      <c r="IFX45" s="468"/>
      <c r="IFY45" s="468"/>
      <c r="IFZ45" s="468"/>
      <c r="IGA45" s="468"/>
      <c r="IGB45" s="468"/>
      <c r="IGC45" s="468"/>
      <c r="IGD45" s="468"/>
      <c r="IGE45" s="468"/>
      <c r="IGF45" s="468"/>
      <c r="IGG45" s="468"/>
      <c r="IGH45" s="468"/>
      <c r="IGI45" s="468"/>
      <c r="IGJ45" s="468"/>
      <c r="IGK45" s="468"/>
      <c r="IGL45" s="468"/>
      <c r="IGM45" s="468"/>
      <c r="IGN45" s="468"/>
      <c r="IGO45" s="468"/>
      <c r="IGP45" s="468"/>
      <c r="IGQ45" s="468"/>
      <c r="IGR45" s="468"/>
      <c r="IGS45" s="468"/>
      <c r="IGT45" s="468"/>
      <c r="IGU45" s="468"/>
      <c r="IGV45" s="468"/>
      <c r="IGW45" s="468"/>
      <c r="IGX45" s="468"/>
      <c r="IGY45" s="468"/>
      <c r="IGZ45" s="468"/>
      <c r="IHA45" s="468"/>
      <c r="IHB45" s="468"/>
      <c r="IHC45" s="468"/>
      <c r="IHD45" s="468"/>
      <c r="IHE45" s="468"/>
      <c r="IHF45" s="468"/>
      <c r="IHG45" s="468"/>
      <c r="IHH45" s="468"/>
      <c r="IHI45" s="468"/>
      <c r="IHJ45" s="468"/>
      <c r="IHK45" s="468"/>
      <c r="IHL45" s="468"/>
      <c r="IHM45" s="468"/>
      <c r="IHN45" s="468"/>
      <c r="IHO45" s="468"/>
      <c r="IHP45" s="468"/>
      <c r="IHQ45" s="468"/>
      <c r="IHR45" s="468"/>
      <c r="IHS45" s="468"/>
      <c r="IHT45" s="468"/>
      <c r="IHU45" s="468"/>
      <c r="IHV45" s="468"/>
      <c r="IHW45" s="468"/>
      <c r="IHX45" s="468"/>
      <c r="IHY45" s="468"/>
      <c r="IHZ45" s="468"/>
      <c r="IIA45" s="468"/>
      <c r="IIB45" s="468"/>
      <c r="IIC45" s="468"/>
      <c r="IID45" s="468"/>
      <c r="IIE45" s="468"/>
      <c r="IIF45" s="468"/>
      <c r="IIG45" s="468"/>
      <c r="IIH45" s="468"/>
      <c r="III45" s="468"/>
      <c r="IIJ45" s="468"/>
      <c r="IIK45" s="468"/>
      <c r="IIL45" s="468"/>
      <c r="IIM45" s="468"/>
      <c r="IIN45" s="468"/>
      <c r="IIO45" s="468"/>
      <c r="IIP45" s="468"/>
      <c r="IIQ45" s="468"/>
      <c r="IIR45" s="468"/>
      <c r="IIS45" s="468"/>
      <c r="IIT45" s="468"/>
      <c r="IIU45" s="468"/>
      <c r="IIV45" s="468"/>
      <c r="IIW45" s="468"/>
      <c r="IIX45" s="468"/>
      <c r="IIY45" s="468"/>
      <c r="IIZ45" s="468"/>
      <c r="IJA45" s="468"/>
      <c r="IJB45" s="468"/>
      <c r="IJC45" s="468"/>
      <c r="IJD45" s="468"/>
      <c r="IJE45" s="468"/>
      <c r="IJF45" s="468"/>
      <c r="IJG45" s="468"/>
      <c r="IJH45" s="468"/>
      <c r="IJI45" s="468"/>
      <c r="IJJ45" s="468"/>
      <c r="IJK45" s="468"/>
      <c r="IJL45" s="468"/>
      <c r="IJM45" s="468"/>
      <c r="IJN45" s="468"/>
      <c r="IJO45" s="468"/>
      <c r="IJP45" s="468"/>
      <c r="IJQ45" s="468"/>
      <c r="IJR45" s="468"/>
      <c r="IJS45" s="468"/>
      <c r="IJT45" s="468"/>
      <c r="IJU45" s="468"/>
      <c r="IJV45" s="468"/>
      <c r="IJW45" s="468"/>
      <c r="IJX45" s="468"/>
      <c r="IJY45" s="468"/>
      <c r="IJZ45" s="468"/>
      <c r="IKA45" s="468"/>
      <c r="IKB45" s="468"/>
      <c r="IKC45" s="468"/>
      <c r="IKD45" s="468"/>
      <c r="IKE45" s="468"/>
      <c r="IKF45" s="468"/>
      <c r="IKG45" s="468"/>
      <c r="IKH45" s="468"/>
      <c r="IKI45" s="468"/>
      <c r="IKJ45" s="468"/>
      <c r="IKK45" s="468"/>
      <c r="IKL45" s="468"/>
      <c r="IKM45" s="468"/>
      <c r="IKN45" s="468"/>
      <c r="IKO45" s="468"/>
      <c r="IKP45" s="468"/>
      <c r="IKQ45" s="468"/>
      <c r="IKR45" s="468"/>
      <c r="IKS45" s="468"/>
      <c r="IKT45" s="468"/>
      <c r="IKU45" s="468"/>
      <c r="IKV45" s="468"/>
      <c r="IKW45" s="468"/>
      <c r="IKX45" s="468"/>
      <c r="IKY45" s="468"/>
      <c r="IKZ45" s="468"/>
      <c r="ILA45" s="468"/>
      <c r="ILB45" s="468"/>
      <c r="ILC45" s="468"/>
      <c r="ILD45" s="468"/>
      <c r="ILE45" s="468"/>
      <c r="ILF45" s="468"/>
      <c r="ILG45" s="468"/>
      <c r="ILH45" s="468"/>
      <c r="ILI45" s="468"/>
      <c r="ILJ45" s="468"/>
      <c r="ILK45" s="468"/>
      <c r="ILL45" s="468"/>
      <c r="ILM45" s="468"/>
      <c r="ILN45" s="468"/>
      <c r="ILO45" s="468"/>
      <c r="ILP45" s="468"/>
      <c r="ILQ45" s="468"/>
      <c r="ILR45" s="468"/>
      <c r="ILS45" s="468"/>
      <c r="ILT45" s="468"/>
      <c r="ILU45" s="468"/>
      <c r="ILV45" s="468"/>
      <c r="ILW45" s="468"/>
      <c r="ILX45" s="468"/>
      <c r="ILY45" s="468"/>
      <c r="ILZ45" s="468"/>
      <c r="IMA45" s="468"/>
      <c r="IMB45" s="468"/>
      <c r="IMC45" s="468"/>
      <c r="IMD45" s="468"/>
      <c r="IME45" s="468"/>
      <c r="IMF45" s="468"/>
      <c r="IMG45" s="468"/>
      <c r="IMH45" s="468"/>
      <c r="IMI45" s="468"/>
      <c r="IMJ45" s="468"/>
      <c r="IMK45" s="468"/>
      <c r="IML45" s="468"/>
      <c r="IMM45" s="468"/>
      <c r="IMN45" s="468"/>
      <c r="IMO45" s="468"/>
      <c r="IMP45" s="468"/>
      <c r="IMQ45" s="468"/>
      <c r="IMR45" s="468"/>
      <c r="IMS45" s="468"/>
      <c r="IMT45" s="468"/>
      <c r="IMU45" s="468"/>
      <c r="IMV45" s="468"/>
      <c r="IMW45" s="468"/>
      <c r="IMX45" s="468"/>
      <c r="IMY45" s="468"/>
      <c r="IMZ45" s="468"/>
      <c r="INA45" s="468"/>
      <c r="INB45" s="468"/>
      <c r="INC45" s="468"/>
      <c r="IND45" s="468"/>
      <c r="INE45" s="468"/>
      <c r="INF45" s="468"/>
      <c r="ING45" s="468"/>
      <c r="INH45" s="468"/>
      <c r="INI45" s="468"/>
      <c r="INJ45" s="468"/>
      <c r="INK45" s="468"/>
      <c r="INL45" s="468"/>
      <c r="INM45" s="468"/>
      <c r="INN45" s="468"/>
      <c r="INO45" s="468"/>
      <c r="INP45" s="468"/>
      <c r="INQ45" s="468"/>
      <c r="INR45" s="468"/>
      <c r="INS45" s="468"/>
      <c r="INT45" s="468"/>
      <c r="INU45" s="468"/>
      <c r="INV45" s="468"/>
      <c r="INW45" s="468"/>
      <c r="INX45" s="468"/>
      <c r="INY45" s="468"/>
      <c r="INZ45" s="468"/>
      <c r="IOA45" s="468"/>
      <c r="IOB45" s="468"/>
      <c r="IOC45" s="468"/>
      <c r="IOD45" s="468"/>
      <c r="IOE45" s="468"/>
      <c r="IOF45" s="468"/>
      <c r="IOG45" s="468"/>
      <c r="IOH45" s="468"/>
      <c r="IOI45" s="468"/>
      <c r="IOJ45" s="468"/>
      <c r="IOK45" s="468"/>
      <c r="IOL45" s="468"/>
      <c r="IOM45" s="468"/>
      <c r="ION45" s="468"/>
      <c r="IOO45" s="468"/>
      <c r="IOP45" s="468"/>
      <c r="IOQ45" s="468"/>
      <c r="IOR45" s="468"/>
      <c r="IOS45" s="468"/>
      <c r="IOT45" s="468"/>
      <c r="IOU45" s="468"/>
      <c r="IOV45" s="468"/>
      <c r="IOW45" s="468"/>
      <c r="IOX45" s="468"/>
      <c r="IOY45" s="468"/>
      <c r="IOZ45" s="468"/>
      <c r="IPA45" s="468"/>
      <c r="IPB45" s="468"/>
      <c r="IPC45" s="468"/>
      <c r="IPD45" s="468"/>
      <c r="IPE45" s="468"/>
      <c r="IPF45" s="468"/>
      <c r="IPG45" s="468"/>
      <c r="IPH45" s="468"/>
      <c r="IPI45" s="468"/>
      <c r="IPJ45" s="468"/>
      <c r="IPK45" s="468"/>
      <c r="IPL45" s="468"/>
      <c r="IPM45" s="468"/>
      <c r="IPN45" s="468"/>
      <c r="IPO45" s="468"/>
      <c r="IPP45" s="468"/>
      <c r="IPQ45" s="468"/>
      <c r="IPR45" s="468"/>
      <c r="IPS45" s="468"/>
      <c r="IPT45" s="468"/>
      <c r="IPU45" s="468"/>
      <c r="IPV45" s="468"/>
      <c r="IPW45" s="468"/>
      <c r="IPX45" s="468"/>
      <c r="IPY45" s="468"/>
      <c r="IPZ45" s="468"/>
      <c r="IQA45" s="468"/>
      <c r="IQB45" s="468"/>
      <c r="IQC45" s="468"/>
      <c r="IQD45" s="468"/>
      <c r="IQE45" s="468"/>
      <c r="IQF45" s="468"/>
      <c r="IQG45" s="468"/>
      <c r="IQH45" s="468"/>
      <c r="IQI45" s="468"/>
      <c r="IQJ45" s="468"/>
      <c r="IQK45" s="468"/>
      <c r="IQL45" s="468"/>
      <c r="IQM45" s="468"/>
      <c r="IQN45" s="468"/>
      <c r="IQO45" s="468"/>
      <c r="IQP45" s="468"/>
      <c r="IQQ45" s="468"/>
      <c r="IQR45" s="468"/>
      <c r="IQS45" s="468"/>
      <c r="IQT45" s="468"/>
      <c r="IQU45" s="468"/>
      <c r="IQV45" s="468"/>
      <c r="IQW45" s="468"/>
      <c r="IQX45" s="468"/>
      <c r="IQY45" s="468"/>
      <c r="IQZ45" s="468"/>
      <c r="IRA45" s="468"/>
      <c r="IRB45" s="468"/>
      <c r="IRC45" s="468"/>
      <c r="IRD45" s="468"/>
      <c r="IRE45" s="468"/>
      <c r="IRF45" s="468"/>
      <c r="IRG45" s="468"/>
      <c r="IRH45" s="468"/>
      <c r="IRI45" s="468"/>
      <c r="IRJ45" s="468"/>
      <c r="IRK45" s="468"/>
      <c r="IRL45" s="468"/>
      <c r="IRM45" s="468"/>
      <c r="IRN45" s="468"/>
      <c r="IRO45" s="468"/>
      <c r="IRP45" s="468"/>
      <c r="IRQ45" s="468"/>
      <c r="IRR45" s="468"/>
      <c r="IRS45" s="468"/>
      <c r="IRT45" s="468"/>
      <c r="IRU45" s="468"/>
      <c r="IRV45" s="468"/>
      <c r="IRW45" s="468"/>
      <c r="IRX45" s="468"/>
      <c r="IRY45" s="468"/>
      <c r="IRZ45" s="468"/>
      <c r="ISA45" s="468"/>
      <c r="ISB45" s="468"/>
      <c r="ISC45" s="468"/>
      <c r="ISD45" s="468"/>
      <c r="ISE45" s="468"/>
      <c r="ISF45" s="468"/>
      <c r="ISG45" s="468"/>
      <c r="ISH45" s="468"/>
      <c r="ISI45" s="468"/>
      <c r="ISJ45" s="468"/>
      <c r="ISK45" s="468"/>
      <c r="ISL45" s="468"/>
      <c r="ISM45" s="468"/>
      <c r="ISN45" s="468"/>
      <c r="ISO45" s="468"/>
      <c r="ISP45" s="468"/>
      <c r="ISQ45" s="468"/>
      <c r="ISR45" s="468"/>
      <c r="ISS45" s="468"/>
      <c r="IST45" s="468"/>
      <c r="ISU45" s="468"/>
      <c r="ISV45" s="468"/>
      <c r="ISW45" s="468"/>
      <c r="ISX45" s="468"/>
      <c r="ISY45" s="468"/>
      <c r="ISZ45" s="468"/>
      <c r="ITA45" s="468"/>
      <c r="ITB45" s="468"/>
      <c r="ITC45" s="468"/>
      <c r="ITD45" s="468"/>
      <c r="ITE45" s="468"/>
      <c r="ITF45" s="468"/>
      <c r="ITG45" s="468"/>
      <c r="ITH45" s="468"/>
      <c r="ITI45" s="468"/>
      <c r="ITJ45" s="468"/>
      <c r="ITK45" s="468"/>
      <c r="ITL45" s="468"/>
      <c r="ITM45" s="468"/>
      <c r="ITN45" s="468"/>
      <c r="ITO45" s="468"/>
      <c r="ITP45" s="468"/>
      <c r="ITQ45" s="468"/>
      <c r="ITR45" s="468"/>
      <c r="ITS45" s="468"/>
      <c r="ITT45" s="468"/>
      <c r="ITU45" s="468"/>
      <c r="ITV45" s="468"/>
      <c r="ITW45" s="468"/>
      <c r="ITX45" s="468"/>
      <c r="ITY45" s="468"/>
      <c r="ITZ45" s="468"/>
      <c r="IUA45" s="468"/>
      <c r="IUB45" s="468"/>
      <c r="IUC45" s="468"/>
      <c r="IUD45" s="468"/>
      <c r="IUE45" s="468"/>
      <c r="IUF45" s="468"/>
      <c r="IUG45" s="468"/>
      <c r="IUH45" s="468"/>
      <c r="IUI45" s="468"/>
      <c r="IUJ45" s="468"/>
      <c r="IUK45" s="468"/>
      <c r="IUL45" s="468"/>
      <c r="IUM45" s="468"/>
      <c r="IUN45" s="468"/>
      <c r="IUO45" s="468"/>
      <c r="IUP45" s="468"/>
      <c r="IUQ45" s="468"/>
      <c r="IUR45" s="468"/>
      <c r="IUS45" s="468"/>
      <c r="IUT45" s="468"/>
      <c r="IUU45" s="468"/>
      <c r="IUV45" s="468"/>
      <c r="IUW45" s="468"/>
      <c r="IUX45" s="468"/>
      <c r="IUY45" s="468"/>
      <c r="IUZ45" s="468"/>
      <c r="IVA45" s="468"/>
      <c r="IVB45" s="468"/>
      <c r="IVC45" s="468"/>
      <c r="IVD45" s="468"/>
      <c r="IVE45" s="468"/>
      <c r="IVF45" s="468"/>
      <c r="IVG45" s="468"/>
      <c r="IVH45" s="468"/>
      <c r="IVI45" s="468"/>
      <c r="IVJ45" s="468"/>
      <c r="IVK45" s="468"/>
      <c r="IVL45" s="468"/>
      <c r="IVM45" s="468"/>
      <c r="IVN45" s="468"/>
      <c r="IVO45" s="468"/>
      <c r="IVP45" s="468"/>
      <c r="IVQ45" s="468"/>
      <c r="IVR45" s="468"/>
      <c r="IVS45" s="468"/>
      <c r="IVT45" s="468"/>
      <c r="IVU45" s="468"/>
      <c r="IVV45" s="468"/>
      <c r="IVW45" s="468"/>
      <c r="IVX45" s="468"/>
      <c r="IVY45" s="468"/>
      <c r="IVZ45" s="468"/>
      <c r="IWA45" s="468"/>
      <c r="IWB45" s="468"/>
      <c r="IWC45" s="468"/>
      <c r="IWD45" s="468"/>
      <c r="IWE45" s="468"/>
      <c r="IWF45" s="468"/>
      <c r="IWG45" s="468"/>
      <c r="IWH45" s="468"/>
      <c r="IWI45" s="468"/>
      <c r="IWJ45" s="468"/>
      <c r="IWK45" s="468"/>
      <c r="IWL45" s="468"/>
      <c r="IWM45" s="468"/>
      <c r="IWN45" s="468"/>
      <c r="IWO45" s="468"/>
      <c r="IWP45" s="468"/>
      <c r="IWQ45" s="468"/>
      <c r="IWR45" s="468"/>
      <c r="IWS45" s="468"/>
      <c r="IWT45" s="468"/>
      <c r="IWU45" s="468"/>
      <c r="IWV45" s="468"/>
      <c r="IWW45" s="468"/>
      <c r="IWX45" s="468"/>
      <c r="IWY45" s="468"/>
      <c r="IWZ45" s="468"/>
      <c r="IXA45" s="468"/>
      <c r="IXB45" s="468"/>
      <c r="IXC45" s="468"/>
      <c r="IXD45" s="468"/>
      <c r="IXE45" s="468"/>
      <c r="IXF45" s="468"/>
      <c r="IXG45" s="468"/>
      <c r="IXH45" s="468"/>
      <c r="IXI45" s="468"/>
      <c r="IXJ45" s="468"/>
      <c r="IXK45" s="468"/>
      <c r="IXL45" s="468"/>
      <c r="IXM45" s="468"/>
      <c r="IXN45" s="468"/>
      <c r="IXO45" s="468"/>
      <c r="IXP45" s="468"/>
      <c r="IXQ45" s="468"/>
      <c r="IXR45" s="468"/>
      <c r="IXS45" s="468"/>
      <c r="IXT45" s="468"/>
      <c r="IXU45" s="468"/>
      <c r="IXV45" s="468"/>
      <c r="IXW45" s="468"/>
      <c r="IXX45" s="468"/>
      <c r="IXY45" s="468"/>
      <c r="IXZ45" s="468"/>
      <c r="IYA45" s="468"/>
      <c r="IYB45" s="468"/>
      <c r="IYC45" s="468"/>
      <c r="IYD45" s="468"/>
      <c r="IYE45" s="468"/>
      <c r="IYF45" s="468"/>
      <c r="IYG45" s="468"/>
      <c r="IYH45" s="468"/>
      <c r="IYI45" s="468"/>
      <c r="IYJ45" s="468"/>
      <c r="IYK45" s="468"/>
      <c r="IYL45" s="468"/>
      <c r="IYM45" s="468"/>
      <c r="IYN45" s="468"/>
      <c r="IYO45" s="468"/>
      <c r="IYP45" s="468"/>
      <c r="IYQ45" s="468"/>
      <c r="IYR45" s="468"/>
      <c r="IYS45" s="468"/>
      <c r="IYT45" s="468"/>
      <c r="IYU45" s="468"/>
      <c r="IYV45" s="468"/>
      <c r="IYW45" s="468"/>
      <c r="IYX45" s="468"/>
      <c r="IYY45" s="468"/>
      <c r="IYZ45" s="468"/>
      <c r="IZA45" s="468"/>
      <c r="IZB45" s="468"/>
      <c r="IZC45" s="468"/>
      <c r="IZD45" s="468"/>
      <c r="IZE45" s="468"/>
      <c r="IZF45" s="468"/>
      <c r="IZG45" s="468"/>
      <c r="IZH45" s="468"/>
      <c r="IZI45" s="468"/>
      <c r="IZJ45" s="468"/>
      <c r="IZK45" s="468"/>
      <c r="IZL45" s="468"/>
      <c r="IZM45" s="468"/>
      <c r="IZN45" s="468"/>
      <c r="IZO45" s="468"/>
      <c r="IZP45" s="468"/>
      <c r="IZQ45" s="468"/>
      <c r="IZR45" s="468"/>
      <c r="IZS45" s="468"/>
      <c r="IZT45" s="468"/>
      <c r="IZU45" s="468"/>
      <c r="IZV45" s="468"/>
      <c r="IZW45" s="468"/>
      <c r="IZX45" s="468"/>
      <c r="IZY45" s="468"/>
      <c r="IZZ45" s="468"/>
      <c r="JAA45" s="468"/>
      <c r="JAB45" s="468"/>
      <c r="JAC45" s="468"/>
      <c r="JAD45" s="468"/>
      <c r="JAE45" s="468"/>
      <c r="JAF45" s="468"/>
      <c r="JAG45" s="468"/>
      <c r="JAH45" s="468"/>
      <c r="JAI45" s="468"/>
      <c r="JAJ45" s="468"/>
      <c r="JAK45" s="468"/>
      <c r="JAL45" s="468"/>
      <c r="JAM45" s="468"/>
      <c r="JAN45" s="468"/>
      <c r="JAO45" s="468"/>
      <c r="JAP45" s="468"/>
      <c r="JAQ45" s="468"/>
      <c r="JAR45" s="468"/>
      <c r="JAS45" s="468"/>
      <c r="JAT45" s="468"/>
      <c r="JAU45" s="468"/>
      <c r="JAV45" s="468"/>
      <c r="JAW45" s="468"/>
      <c r="JAX45" s="468"/>
      <c r="JAY45" s="468"/>
      <c r="JAZ45" s="468"/>
      <c r="JBA45" s="468"/>
      <c r="JBB45" s="468"/>
      <c r="JBC45" s="468"/>
      <c r="JBD45" s="468"/>
      <c r="JBE45" s="468"/>
      <c r="JBF45" s="468"/>
      <c r="JBG45" s="468"/>
      <c r="JBH45" s="468"/>
      <c r="JBI45" s="468"/>
      <c r="JBJ45" s="468"/>
      <c r="JBK45" s="468"/>
      <c r="JBL45" s="468"/>
      <c r="JBM45" s="468"/>
      <c r="JBN45" s="468"/>
      <c r="JBO45" s="468"/>
      <c r="JBP45" s="468"/>
      <c r="JBQ45" s="468"/>
      <c r="JBR45" s="468"/>
      <c r="JBS45" s="468"/>
      <c r="JBT45" s="468"/>
      <c r="JBU45" s="468"/>
      <c r="JBV45" s="468"/>
      <c r="JBW45" s="468"/>
      <c r="JBX45" s="468"/>
      <c r="JBY45" s="468"/>
      <c r="JBZ45" s="468"/>
      <c r="JCA45" s="468"/>
      <c r="JCB45" s="468"/>
      <c r="JCC45" s="468"/>
      <c r="JCD45" s="468"/>
      <c r="JCE45" s="468"/>
      <c r="JCF45" s="468"/>
      <c r="JCG45" s="468"/>
      <c r="JCH45" s="468"/>
      <c r="JCI45" s="468"/>
      <c r="JCJ45" s="468"/>
      <c r="JCK45" s="468"/>
      <c r="JCL45" s="468"/>
      <c r="JCM45" s="468"/>
      <c r="JCN45" s="468"/>
      <c r="JCO45" s="468"/>
      <c r="JCP45" s="468"/>
      <c r="JCQ45" s="468"/>
      <c r="JCR45" s="468"/>
      <c r="JCS45" s="468"/>
      <c r="JCT45" s="468"/>
      <c r="JCU45" s="468"/>
      <c r="JCV45" s="468"/>
      <c r="JCW45" s="468"/>
      <c r="JCX45" s="468"/>
      <c r="JCY45" s="468"/>
      <c r="JCZ45" s="468"/>
      <c r="JDA45" s="468"/>
      <c r="JDB45" s="468"/>
      <c r="JDC45" s="468"/>
      <c r="JDD45" s="468"/>
      <c r="JDE45" s="468"/>
      <c r="JDF45" s="468"/>
      <c r="JDG45" s="468"/>
      <c r="JDH45" s="468"/>
      <c r="JDI45" s="468"/>
      <c r="JDJ45" s="468"/>
      <c r="JDK45" s="468"/>
      <c r="JDL45" s="468"/>
      <c r="JDM45" s="468"/>
      <c r="JDN45" s="468"/>
      <c r="JDO45" s="468"/>
      <c r="JDP45" s="468"/>
      <c r="JDQ45" s="468"/>
      <c r="JDR45" s="468"/>
      <c r="JDS45" s="468"/>
      <c r="JDT45" s="468"/>
      <c r="JDU45" s="468"/>
      <c r="JDV45" s="468"/>
      <c r="JDW45" s="468"/>
      <c r="JDX45" s="468"/>
      <c r="JDY45" s="468"/>
      <c r="JDZ45" s="468"/>
      <c r="JEA45" s="468"/>
      <c r="JEB45" s="468"/>
      <c r="JEC45" s="468"/>
      <c r="JED45" s="468"/>
      <c r="JEE45" s="468"/>
      <c r="JEF45" s="468"/>
      <c r="JEG45" s="468"/>
      <c r="JEH45" s="468"/>
      <c r="JEI45" s="468"/>
      <c r="JEJ45" s="468"/>
      <c r="JEK45" s="468"/>
      <c r="JEL45" s="468"/>
      <c r="JEM45" s="468"/>
      <c r="JEN45" s="468"/>
      <c r="JEO45" s="468"/>
      <c r="JEP45" s="468"/>
      <c r="JEQ45" s="468"/>
      <c r="JER45" s="468"/>
      <c r="JES45" s="468"/>
      <c r="JET45" s="468"/>
      <c r="JEU45" s="468"/>
      <c r="JEV45" s="468"/>
      <c r="JEW45" s="468"/>
      <c r="JEX45" s="468"/>
      <c r="JEY45" s="468"/>
      <c r="JEZ45" s="468"/>
      <c r="JFA45" s="468"/>
      <c r="JFB45" s="468"/>
      <c r="JFC45" s="468"/>
      <c r="JFD45" s="468"/>
      <c r="JFE45" s="468"/>
      <c r="JFF45" s="468"/>
      <c r="JFG45" s="468"/>
      <c r="JFH45" s="468"/>
      <c r="JFI45" s="468"/>
      <c r="JFJ45" s="468"/>
      <c r="JFK45" s="468"/>
      <c r="JFL45" s="468"/>
      <c r="JFM45" s="468"/>
      <c r="JFN45" s="468"/>
      <c r="JFO45" s="468"/>
      <c r="JFP45" s="468"/>
      <c r="JFQ45" s="468"/>
      <c r="JFR45" s="468"/>
      <c r="JFS45" s="468"/>
      <c r="JFT45" s="468"/>
      <c r="JFU45" s="468"/>
      <c r="JFV45" s="468"/>
      <c r="JFW45" s="468"/>
      <c r="JFX45" s="468"/>
      <c r="JFY45" s="468"/>
      <c r="JFZ45" s="468"/>
      <c r="JGA45" s="468"/>
      <c r="JGB45" s="468"/>
      <c r="JGC45" s="468"/>
      <c r="JGD45" s="468"/>
      <c r="JGE45" s="468"/>
      <c r="JGF45" s="468"/>
      <c r="JGG45" s="468"/>
      <c r="JGH45" s="468"/>
      <c r="JGI45" s="468"/>
      <c r="JGJ45" s="468"/>
      <c r="JGK45" s="468"/>
      <c r="JGL45" s="468"/>
      <c r="JGM45" s="468"/>
      <c r="JGN45" s="468"/>
      <c r="JGO45" s="468"/>
      <c r="JGP45" s="468"/>
      <c r="JGQ45" s="468"/>
      <c r="JGR45" s="468"/>
      <c r="JGS45" s="468"/>
      <c r="JGT45" s="468"/>
      <c r="JGU45" s="468"/>
      <c r="JGV45" s="468"/>
      <c r="JGW45" s="468"/>
      <c r="JGX45" s="468"/>
      <c r="JGY45" s="468"/>
      <c r="JGZ45" s="468"/>
      <c r="JHA45" s="468"/>
      <c r="JHB45" s="468"/>
      <c r="JHC45" s="468"/>
      <c r="JHD45" s="468"/>
      <c r="JHE45" s="468"/>
      <c r="JHF45" s="468"/>
      <c r="JHG45" s="468"/>
      <c r="JHH45" s="468"/>
      <c r="JHI45" s="468"/>
      <c r="JHJ45" s="468"/>
      <c r="JHK45" s="468"/>
      <c r="JHL45" s="468"/>
      <c r="JHM45" s="468"/>
      <c r="JHN45" s="468"/>
      <c r="JHO45" s="468"/>
      <c r="JHP45" s="468"/>
      <c r="JHQ45" s="468"/>
      <c r="JHR45" s="468"/>
      <c r="JHS45" s="468"/>
      <c r="JHT45" s="468"/>
      <c r="JHU45" s="468"/>
      <c r="JHV45" s="468"/>
      <c r="JHW45" s="468"/>
      <c r="JHX45" s="468"/>
      <c r="JHY45" s="468"/>
      <c r="JHZ45" s="468"/>
      <c r="JIA45" s="468"/>
      <c r="JIB45" s="468"/>
      <c r="JIC45" s="468"/>
      <c r="JID45" s="468"/>
      <c r="JIE45" s="468"/>
      <c r="JIF45" s="468"/>
      <c r="JIG45" s="468"/>
      <c r="JIH45" s="468"/>
      <c r="JII45" s="468"/>
      <c r="JIJ45" s="468"/>
      <c r="JIK45" s="468"/>
      <c r="JIL45" s="468"/>
      <c r="JIM45" s="468"/>
      <c r="JIN45" s="468"/>
      <c r="JIO45" s="468"/>
      <c r="JIP45" s="468"/>
      <c r="JIQ45" s="468"/>
      <c r="JIR45" s="468"/>
      <c r="JIS45" s="468"/>
      <c r="JIT45" s="468"/>
      <c r="JIU45" s="468"/>
      <c r="JIV45" s="468"/>
      <c r="JIW45" s="468"/>
      <c r="JIX45" s="468"/>
      <c r="JIY45" s="468"/>
      <c r="JIZ45" s="468"/>
      <c r="JJA45" s="468"/>
      <c r="JJB45" s="468"/>
      <c r="JJC45" s="468"/>
      <c r="JJD45" s="468"/>
      <c r="JJE45" s="468"/>
      <c r="JJF45" s="468"/>
      <c r="JJG45" s="468"/>
      <c r="JJH45" s="468"/>
      <c r="JJI45" s="468"/>
      <c r="JJJ45" s="468"/>
      <c r="JJK45" s="468"/>
      <c r="JJL45" s="468"/>
      <c r="JJM45" s="468"/>
      <c r="JJN45" s="468"/>
      <c r="JJO45" s="468"/>
      <c r="JJP45" s="468"/>
      <c r="JJQ45" s="468"/>
      <c r="JJR45" s="468"/>
      <c r="JJS45" s="468"/>
      <c r="JJT45" s="468"/>
      <c r="JJU45" s="468"/>
      <c r="JJV45" s="468"/>
      <c r="JJW45" s="468"/>
      <c r="JJX45" s="468"/>
      <c r="JJY45" s="468"/>
      <c r="JJZ45" s="468"/>
      <c r="JKA45" s="468"/>
      <c r="JKB45" s="468"/>
      <c r="JKC45" s="468"/>
      <c r="JKD45" s="468"/>
      <c r="JKE45" s="468"/>
      <c r="JKF45" s="468"/>
      <c r="JKG45" s="468"/>
      <c r="JKH45" s="468"/>
      <c r="JKI45" s="468"/>
      <c r="JKJ45" s="468"/>
      <c r="JKK45" s="468"/>
      <c r="JKL45" s="468"/>
      <c r="JKM45" s="468"/>
      <c r="JKN45" s="468"/>
      <c r="JKO45" s="468"/>
      <c r="JKP45" s="468"/>
      <c r="JKQ45" s="468"/>
      <c r="JKR45" s="468"/>
      <c r="JKS45" s="468"/>
      <c r="JKT45" s="468"/>
      <c r="JKU45" s="468"/>
      <c r="JKV45" s="468"/>
      <c r="JKW45" s="468"/>
      <c r="JKX45" s="468"/>
      <c r="JKY45" s="468"/>
      <c r="JKZ45" s="468"/>
      <c r="JLA45" s="468"/>
      <c r="JLB45" s="468"/>
      <c r="JLC45" s="468"/>
      <c r="JLD45" s="468"/>
      <c r="JLE45" s="468"/>
      <c r="JLF45" s="468"/>
      <c r="JLG45" s="468"/>
      <c r="JLH45" s="468"/>
      <c r="JLI45" s="468"/>
      <c r="JLJ45" s="468"/>
      <c r="JLK45" s="468"/>
      <c r="JLL45" s="468"/>
      <c r="JLM45" s="468"/>
      <c r="JLN45" s="468"/>
      <c r="JLO45" s="468"/>
      <c r="JLP45" s="468"/>
      <c r="JLQ45" s="468"/>
      <c r="JLR45" s="468"/>
      <c r="JLS45" s="468"/>
      <c r="JLT45" s="468"/>
      <c r="JLU45" s="468"/>
      <c r="JLV45" s="468"/>
      <c r="JLW45" s="468"/>
      <c r="JLX45" s="468"/>
      <c r="JLY45" s="468"/>
      <c r="JLZ45" s="468"/>
      <c r="JMA45" s="468"/>
      <c r="JMB45" s="468"/>
      <c r="JMC45" s="468"/>
      <c r="JMD45" s="468"/>
      <c r="JME45" s="468"/>
      <c r="JMF45" s="468"/>
      <c r="JMG45" s="468"/>
      <c r="JMH45" s="468"/>
      <c r="JMI45" s="468"/>
      <c r="JMJ45" s="468"/>
      <c r="JMK45" s="468"/>
      <c r="JML45" s="468"/>
      <c r="JMM45" s="468"/>
      <c r="JMN45" s="468"/>
      <c r="JMO45" s="468"/>
      <c r="JMP45" s="468"/>
      <c r="JMQ45" s="468"/>
      <c r="JMR45" s="468"/>
      <c r="JMS45" s="468"/>
      <c r="JMT45" s="468"/>
      <c r="JMU45" s="468"/>
      <c r="JMV45" s="468"/>
      <c r="JMW45" s="468"/>
      <c r="JMX45" s="468"/>
      <c r="JMY45" s="468"/>
      <c r="JMZ45" s="468"/>
      <c r="JNA45" s="468"/>
      <c r="JNB45" s="468"/>
      <c r="JNC45" s="468"/>
      <c r="JND45" s="468"/>
      <c r="JNE45" s="468"/>
      <c r="JNF45" s="468"/>
      <c r="JNG45" s="468"/>
      <c r="JNH45" s="468"/>
      <c r="JNI45" s="468"/>
      <c r="JNJ45" s="468"/>
      <c r="JNK45" s="468"/>
      <c r="JNL45" s="468"/>
      <c r="JNM45" s="468"/>
      <c r="JNN45" s="468"/>
      <c r="JNO45" s="468"/>
      <c r="JNP45" s="468"/>
      <c r="JNQ45" s="468"/>
      <c r="JNR45" s="468"/>
      <c r="JNS45" s="468"/>
      <c r="JNT45" s="468"/>
      <c r="JNU45" s="468"/>
      <c r="JNV45" s="468"/>
      <c r="JNW45" s="468"/>
      <c r="JNX45" s="468"/>
      <c r="JNY45" s="468"/>
      <c r="JNZ45" s="468"/>
      <c r="JOA45" s="468"/>
      <c r="JOB45" s="468"/>
      <c r="JOC45" s="468"/>
      <c r="JOD45" s="468"/>
      <c r="JOE45" s="468"/>
      <c r="JOF45" s="468"/>
      <c r="JOG45" s="468"/>
      <c r="JOH45" s="468"/>
      <c r="JOI45" s="468"/>
      <c r="JOJ45" s="468"/>
      <c r="JOK45" s="468"/>
      <c r="JOL45" s="468"/>
      <c r="JOM45" s="468"/>
      <c r="JON45" s="468"/>
      <c r="JOO45" s="468"/>
      <c r="JOP45" s="468"/>
      <c r="JOQ45" s="468"/>
      <c r="JOR45" s="468"/>
      <c r="JOS45" s="468"/>
      <c r="JOT45" s="468"/>
      <c r="JOU45" s="468"/>
      <c r="JOV45" s="468"/>
      <c r="JOW45" s="468"/>
      <c r="JOX45" s="468"/>
      <c r="JOY45" s="468"/>
      <c r="JOZ45" s="468"/>
      <c r="JPA45" s="468"/>
      <c r="JPB45" s="468"/>
      <c r="JPC45" s="468"/>
      <c r="JPD45" s="468"/>
      <c r="JPE45" s="468"/>
      <c r="JPF45" s="468"/>
      <c r="JPG45" s="468"/>
      <c r="JPH45" s="468"/>
      <c r="JPI45" s="468"/>
      <c r="JPJ45" s="468"/>
      <c r="JPK45" s="468"/>
      <c r="JPL45" s="468"/>
      <c r="JPM45" s="468"/>
      <c r="JPN45" s="468"/>
      <c r="JPO45" s="468"/>
      <c r="JPP45" s="468"/>
      <c r="JPQ45" s="468"/>
      <c r="JPR45" s="468"/>
      <c r="JPS45" s="468"/>
      <c r="JPT45" s="468"/>
      <c r="JPU45" s="468"/>
      <c r="JPV45" s="468"/>
      <c r="JPW45" s="468"/>
      <c r="JPX45" s="468"/>
      <c r="JPY45" s="468"/>
      <c r="JPZ45" s="468"/>
      <c r="JQA45" s="468"/>
      <c r="JQB45" s="468"/>
      <c r="JQC45" s="468"/>
      <c r="JQD45" s="468"/>
      <c r="JQE45" s="468"/>
      <c r="JQF45" s="468"/>
      <c r="JQG45" s="468"/>
      <c r="JQH45" s="468"/>
      <c r="JQI45" s="468"/>
      <c r="JQJ45" s="468"/>
      <c r="JQK45" s="468"/>
      <c r="JQL45" s="468"/>
      <c r="JQM45" s="468"/>
      <c r="JQN45" s="468"/>
      <c r="JQO45" s="468"/>
      <c r="JQP45" s="468"/>
      <c r="JQQ45" s="468"/>
      <c r="JQR45" s="468"/>
      <c r="JQS45" s="468"/>
      <c r="JQT45" s="468"/>
      <c r="JQU45" s="468"/>
      <c r="JQV45" s="468"/>
      <c r="JQW45" s="468"/>
      <c r="JQX45" s="468"/>
      <c r="JQY45" s="468"/>
      <c r="JQZ45" s="468"/>
      <c r="JRA45" s="468"/>
      <c r="JRB45" s="468"/>
      <c r="JRC45" s="468"/>
      <c r="JRD45" s="468"/>
      <c r="JRE45" s="468"/>
      <c r="JRF45" s="468"/>
      <c r="JRG45" s="468"/>
      <c r="JRH45" s="468"/>
      <c r="JRI45" s="468"/>
      <c r="JRJ45" s="468"/>
      <c r="JRK45" s="468"/>
      <c r="JRL45" s="468"/>
      <c r="JRM45" s="468"/>
      <c r="JRN45" s="468"/>
      <c r="JRO45" s="468"/>
      <c r="JRP45" s="468"/>
      <c r="JRQ45" s="468"/>
      <c r="JRR45" s="468"/>
      <c r="JRS45" s="468"/>
      <c r="JRT45" s="468"/>
      <c r="JRU45" s="468"/>
      <c r="JRV45" s="468"/>
      <c r="JRW45" s="468"/>
      <c r="JRX45" s="468"/>
      <c r="JRY45" s="468"/>
      <c r="JRZ45" s="468"/>
      <c r="JSA45" s="468"/>
      <c r="JSB45" s="468"/>
      <c r="JSC45" s="468"/>
      <c r="JSD45" s="468"/>
      <c r="JSE45" s="468"/>
      <c r="JSF45" s="468"/>
      <c r="JSG45" s="468"/>
      <c r="JSH45" s="468"/>
      <c r="JSI45" s="468"/>
      <c r="JSJ45" s="468"/>
      <c r="JSK45" s="468"/>
      <c r="JSL45" s="468"/>
      <c r="JSM45" s="468"/>
      <c r="JSN45" s="468"/>
      <c r="JSO45" s="468"/>
      <c r="JSP45" s="468"/>
      <c r="JSQ45" s="468"/>
      <c r="JSR45" s="468"/>
      <c r="JSS45" s="468"/>
      <c r="JST45" s="468"/>
      <c r="JSU45" s="468"/>
      <c r="JSV45" s="468"/>
      <c r="JSW45" s="468"/>
      <c r="JSX45" s="468"/>
      <c r="JSY45" s="468"/>
      <c r="JSZ45" s="468"/>
      <c r="JTA45" s="468"/>
      <c r="JTB45" s="468"/>
      <c r="JTC45" s="468"/>
      <c r="JTD45" s="468"/>
      <c r="JTE45" s="468"/>
      <c r="JTF45" s="468"/>
      <c r="JTG45" s="468"/>
      <c r="JTH45" s="468"/>
      <c r="JTI45" s="468"/>
      <c r="JTJ45" s="468"/>
      <c r="JTK45" s="468"/>
      <c r="JTL45" s="468"/>
      <c r="JTM45" s="468"/>
      <c r="JTN45" s="468"/>
      <c r="JTO45" s="468"/>
      <c r="JTP45" s="468"/>
      <c r="JTQ45" s="468"/>
      <c r="JTR45" s="468"/>
      <c r="JTS45" s="468"/>
      <c r="JTT45" s="468"/>
      <c r="JTU45" s="468"/>
      <c r="JTV45" s="468"/>
      <c r="JTW45" s="468"/>
      <c r="JTX45" s="468"/>
      <c r="JTY45" s="468"/>
      <c r="JTZ45" s="468"/>
      <c r="JUA45" s="468"/>
      <c r="JUB45" s="468"/>
      <c r="JUC45" s="468"/>
      <c r="JUD45" s="468"/>
      <c r="JUE45" s="468"/>
      <c r="JUF45" s="468"/>
      <c r="JUG45" s="468"/>
      <c r="JUH45" s="468"/>
      <c r="JUI45" s="468"/>
      <c r="JUJ45" s="468"/>
      <c r="JUK45" s="468"/>
      <c r="JUL45" s="468"/>
      <c r="JUM45" s="468"/>
      <c r="JUN45" s="468"/>
      <c r="JUO45" s="468"/>
      <c r="JUP45" s="468"/>
      <c r="JUQ45" s="468"/>
      <c r="JUR45" s="468"/>
      <c r="JUS45" s="468"/>
      <c r="JUT45" s="468"/>
      <c r="JUU45" s="468"/>
      <c r="JUV45" s="468"/>
      <c r="JUW45" s="468"/>
      <c r="JUX45" s="468"/>
      <c r="JUY45" s="468"/>
      <c r="JUZ45" s="468"/>
      <c r="JVA45" s="468"/>
      <c r="JVB45" s="468"/>
      <c r="JVC45" s="468"/>
      <c r="JVD45" s="468"/>
      <c r="JVE45" s="468"/>
      <c r="JVF45" s="468"/>
      <c r="JVG45" s="468"/>
      <c r="JVH45" s="468"/>
      <c r="JVI45" s="468"/>
      <c r="JVJ45" s="468"/>
      <c r="JVK45" s="468"/>
      <c r="JVL45" s="468"/>
      <c r="JVM45" s="468"/>
      <c r="JVN45" s="468"/>
      <c r="JVO45" s="468"/>
      <c r="JVP45" s="468"/>
      <c r="JVQ45" s="468"/>
      <c r="JVR45" s="468"/>
      <c r="JVS45" s="468"/>
      <c r="JVT45" s="468"/>
      <c r="JVU45" s="468"/>
      <c r="JVV45" s="468"/>
      <c r="JVW45" s="468"/>
      <c r="JVX45" s="468"/>
      <c r="JVY45" s="468"/>
      <c r="JVZ45" s="468"/>
      <c r="JWA45" s="468"/>
      <c r="JWB45" s="468"/>
      <c r="JWC45" s="468"/>
      <c r="JWD45" s="468"/>
      <c r="JWE45" s="468"/>
      <c r="JWF45" s="468"/>
      <c r="JWG45" s="468"/>
      <c r="JWH45" s="468"/>
      <c r="JWI45" s="468"/>
      <c r="JWJ45" s="468"/>
      <c r="JWK45" s="468"/>
      <c r="JWL45" s="468"/>
      <c r="JWM45" s="468"/>
      <c r="JWN45" s="468"/>
      <c r="JWO45" s="468"/>
      <c r="JWP45" s="468"/>
      <c r="JWQ45" s="468"/>
      <c r="JWR45" s="468"/>
      <c r="JWS45" s="468"/>
      <c r="JWT45" s="468"/>
      <c r="JWU45" s="468"/>
      <c r="JWV45" s="468"/>
      <c r="JWW45" s="468"/>
      <c r="JWX45" s="468"/>
      <c r="JWY45" s="468"/>
      <c r="JWZ45" s="468"/>
      <c r="JXA45" s="468"/>
      <c r="JXB45" s="468"/>
      <c r="JXC45" s="468"/>
      <c r="JXD45" s="468"/>
      <c r="JXE45" s="468"/>
      <c r="JXF45" s="468"/>
      <c r="JXG45" s="468"/>
      <c r="JXH45" s="468"/>
      <c r="JXI45" s="468"/>
      <c r="JXJ45" s="468"/>
      <c r="JXK45" s="468"/>
      <c r="JXL45" s="468"/>
      <c r="JXM45" s="468"/>
      <c r="JXN45" s="468"/>
      <c r="JXO45" s="468"/>
      <c r="JXP45" s="468"/>
      <c r="JXQ45" s="468"/>
      <c r="JXR45" s="468"/>
      <c r="JXS45" s="468"/>
      <c r="JXT45" s="468"/>
      <c r="JXU45" s="468"/>
      <c r="JXV45" s="468"/>
      <c r="JXW45" s="468"/>
      <c r="JXX45" s="468"/>
      <c r="JXY45" s="468"/>
      <c r="JXZ45" s="468"/>
      <c r="JYA45" s="468"/>
      <c r="JYB45" s="468"/>
      <c r="JYC45" s="468"/>
      <c r="JYD45" s="468"/>
      <c r="JYE45" s="468"/>
      <c r="JYF45" s="468"/>
      <c r="JYG45" s="468"/>
      <c r="JYH45" s="468"/>
      <c r="JYI45" s="468"/>
      <c r="JYJ45" s="468"/>
      <c r="JYK45" s="468"/>
      <c r="JYL45" s="468"/>
      <c r="JYM45" s="468"/>
      <c r="JYN45" s="468"/>
      <c r="JYO45" s="468"/>
      <c r="JYP45" s="468"/>
      <c r="JYQ45" s="468"/>
      <c r="JYR45" s="468"/>
      <c r="JYS45" s="468"/>
      <c r="JYT45" s="468"/>
      <c r="JYU45" s="468"/>
      <c r="JYV45" s="468"/>
      <c r="JYW45" s="468"/>
      <c r="JYX45" s="468"/>
      <c r="JYY45" s="468"/>
      <c r="JYZ45" s="468"/>
      <c r="JZA45" s="468"/>
      <c r="JZB45" s="468"/>
      <c r="JZC45" s="468"/>
      <c r="JZD45" s="468"/>
      <c r="JZE45" s="468"/>
      <c r="JZF45" s="468"/>
      <c r="JZG45" s="468"/>
      <c r="JZH45" s="468"/>
      <c r="JZI45" s="468"/>
      <c r="JZJ45" s="468"/>
      <c r="JZK45" s="468"/>
      <c r="JZL45" s="468"/>
      <c r="JZM45" s="468"/>
      <c r="JZN45" s="468"/>
      <c r="JZO45" s="468"/>
      <c r="JZP45" s="468"/>
      <c r="JZQ45" s="468"/>
      <c r="JZR45" s="468"/>
      <c r="JZS45" s="468"/>
      <c r="JZT45" s="468"/>
      <c r="JZU45" s="468"/>
      <c r="JZV45" s="468"/>
      <c r="JZW45" s="468"/>
      <c r="JZX45" s="468"/>
      <c r="JZY45" s="468"/>
      <c r="JZZ45" s="468"/>
      <c r="KAA45" s="468"/>
      <c r="KAB45" s="468"/>
      <c r="KAC45" s="468"/>
      <c r="KAD45" s="468"/>
      <c r="KAE45" s="468"/>
      <c r="KAF45" s="468"/>
      <c r="KAG45" s="468"/>
      <c r="KAH45" s="468"/>
      <c r="KAI45" s="468"/>
      <c r="KAJ45" s="468"/>
      <c r="KAK45" s="468"/>
      <c r="KAL45" s="468"/>
      <c r="KAM45" s="468"/>
      <c r="KAN45" s="468"/>
      <c r="KAO45" s="468"/>
      <c r="KAP45" s="468"/>
      <c r="KAQ45" s="468"/>
      <c r="KAR45" s="468"/>
      <c r="KAS45" s="468"/>
      <c r="KAT45" s="468"/>
      <c r="KAU45" s="468"/>
      <c r="KAV45" s="468"/>
      <c r="KAW45" s="468"/>
      <c r="KAX45" s="468"/>
      <c r="KAY45" s="468"/>
      <c r="KAZ45" s="468"/>
      <c r="KBA45" s="468"/>
      <c r="KBB45" s="468"/>
      <c r="KBC45" s="468"/>
      <c r="KBD45" s="468"/>
      <c r="KBE45" s="468"/>
      <c r="KBF45" s="468"/>
      <c r="KBG45" s="468"/>
      <c r="KBH45" s="468"/>
      <c r="KBI45" s="468"/>
      <c r="KBJ45" s="468"/>
      <c r="KBK45" s="468"/>
      <c r="KBL45" s="468"/>
      <c r="KBM45" s="468"/>
      <c r="KBN45" s="468"/>
      <c r="KBO45" s="468"/>
      <c r="KBP45" s="468"/>
      <c r="KBQ45" s="468"/>
      <c r="KBR45" s="468"/>
      <c r="KBS45" s="468"/>
      <c r="KBT45" s="468"/>
      <c r="KBU45" s="468"/>
      <c r="KBV45" s="468"/>
      <c r="KBW45" s="468"/>
      <c r="KBX45" s="468"/>
      <c r="KBY45" s="468"/>
      <c r="KBZ45" s="468"/>
      <c r="KCA45" s="468"/>
      <c r="KCB45" s="468"/>
      <c r="KCC45" s="468"/>
      <c r="KCD45" s="468"/>
      <c r="KCE45" s="468"/>
      <c r="KCF45" s="468"/>
      <c r="KCG45" s="468"/>
      <c r="KCH45" s="468"/>
      <c r="KCI45" s="468"/>
      <c r="KCJ45" s="468"/>
      <c r="KCK45" s="468"/>
      <c r="KCL45" s="468"/>
      <c r="KCM45" s="468"/>
      <c r="KCN45" s="468"/>
      <c r="KCO45" s="468"/>
      <c r="KCP45" s="468"/>
      <c r="KCQ45" s="468"/>
      <c r="KCR45" s="468"/>
      <c r="KCS45" s="468"/>
      <c r="KCT45" s="468"/>
      <c r="KCU45" s="468"/>
      <c r="KCV45" s="468"/>
      <c r="KCW45" s="468"/>
      <c r="KCX45" s="468"/>
      <c r="KCY45" s="468"/>
      <c r="KCZ45" s="468"/>
      <c r="KDA45" s="468"/>
      <c r="KDB45" s="468"/>
      <c r="KDC45" s="468"/>
      <c r="KDD45" s="468"/>
      <c r="KDE45" s="468"/>
      <c r="KDF45" s="468"/>
      <c r="KDG45" s="468"/>
      <c r="KDH45" s="468"/>
      <c r="KDI45" s="468"/>
      <c r="KDJ45" s="468"/>
      <c r="KDK45" s="468"/>
      <c r="KDL45" s="468"/>
      <c r="KDM45" s="468"/>
      <c r="KDN45" s="468"/>
      <c r="KDO45" s="468"/>
      <c r="KDP45" s="468"/>
      <c r="KDQ45" s="468"/>
      <c r="KDR45" s="468"/>
      <c r="KDS45" s="468"/>
      <c r="KDT45" s="468"/>
      <c r="KDU45" s="468"/>
      <c r="KDV45" s="468"/>
      <c r="KDW45" s="468"/>
      <c r="KDX45" s="468"/>
      <c r="KDY45" s="468"/>
      <c r="KDZ45" s="468"/>
      <c r="KEA45" s="468"/>
      <c r="KEB45" s="468"/>
      <c r="KEC45" s="468"/>
      <c r="KED45" s="468"/>
      <c r="KEE45" s="468"/>
      <c r="KEF45" s="468"/>
      <c r="KEG45" s="468"/>
      <c r="KEH45" s="468"/>
      <c r="KEI45" s="468"/>
      <c r="KEJ45" s="468"/>
      <c r="KEK45" s="468"/>
      <c r="KEL45" s="468"/>
      <c r="KEM45" s="468"/>
      <c r="KEN45" s="468"/>
      <c r="KEO45" s="468"/>
      <c r="KEP45" s="468"/>
      <c r="KEQ45" s="468"/>
      <c r="KER45" s="468"/>
      <c r="KES45" s="468"/>
      <c r="KET45" s="468"/>
      <c r="KEU45" s="468"/>
      <c r="KEV45" s="468"/>
      <c r="KEW45" s="468"/>
      <c r="KEX45" s="468"/>
      <c r="KEY45" s="468"/>
      <c r="KEZ45" s="468"/>
      <c r="KFA45" s="468"/>
      <c r="KFB45" s="468"/>
      <c r="KFC45" s="468"/>
      <c r="KFD45" s="468"/>
      <c r="KFE45" s="468"/>
      <c r="KFF45" s="468"/>
      <c r="KFG45" s="468"/>
      <c r="KFH45" s="468"/>
      <c r="KFI45" s="468"/>
      <c r="KFJ45" s="468"/>
      <c r="KFK45" s="468"/>
      <c r="KFL45" s="468"/>
      <c r="KFM45" s="468"/>
      <c r="KFN45" s="468"/>
      <c r="KFO45" s="468"/>
      <c r="KFP45" s="468"/>
      <c r="KFQ45" s="468"/>
      <c r="KFR45" s="468"/>
      <c r="KFS45" s="468"/>
      <c r="KFT45" s="468"/>
      <c r="KFU45" s="468"/>
      <c r="KFV45" s="468"/>
      <c r="KFW45" s="468"/>
      <c r="KFX45" s="468"/>
      <c r="KFY45" s="468"/>
      <c r="KFZ45" s="468"/>
      <c r="KGA45" s="468"/>
      <c r="KGB45" s="468"/>
      <c r="KGC45" s="468"/>
      <c r="KGD45" s="468"/>
      <c r="KGE45" s="468"/>
      <c r="KGF45" s="468"/>
      <c r="KGG45" s="468"/>
      <c r="KGH45" s="468"/>
      <c r="KGI45" s="468"/>
      <c r="KGJ45" s="468"/>
      <c r="KGK45" s="468"/>
      <c r="KGL45" s="468"/>
      <c r="KGM45" s="468"/>
      <c r="KGN45" s="468"/>
      <c r="KGO45" s="468"/>
      <c r="KGP45" s="468"/>
      <c r="KGQ45" s="468"/>
      <c r="KGR45" s="468"/>
      <c r="KGS45" s="468"/>
      <c r="KGT45" s="468"/>
      <c r="KGU45" s="468"/>
      <c r="KGV45" s="468"/>
      <c r="KGW45" s="468"/>
      <c r="KGX45" s="468"/>
      <c r="KGY45" s="468"/>
      <c r="KGZ45" s="468"/>
      <c r="KHA45" s="468"/>
      <c r="KHB45" s="468"/>
      <c r="KHC45" s="468"/>
      <c r="KHD45" s="468"/>
      <c r="KHE45" s="468"/>
      <c r="KHF45" s="468"/>
      <c r="KHG45" s="468"/>
      <c r="KHH45" s="468"/>
      <c r="KHI45" s="468"/>
      <c r="KHJ45" s="468"/>
      <c r="KHK45" s="468"/>
      <c r="KHL45" s="468"/>
      <c r="KHM45" s="468"/>
      <c r="KHN45" s="468"/>
      <c r="KHO45" s="468"/>
      <c r="KHP45" s="468"/>
      <c r="KHQ45" s="468"/>
      <c r="KHR45" s="468"/>
      <c r="KHS45" s="468"/>
      <c r="KHT45" s="468"/>
      <c r="KHU45" s="468"/>
      <c r="KHV45" s="468"/>
      <c r="KHW45" s="468"/>
      <c r="KHX45" s="468"/>
      <c r="KHY45" s="468"/>
      <c r="KHZ45" s="468"/>
      <c r="KIA45" s="468"/>
      <c r="KIB45" s="468"/>
      <c r="KIC45" s="468"/>
      <c r="KID45" s="468"/>
      <c r="KIE45" s="468"/>
      <c r="KIF45" s="468"/>
      <c r="KIG45" s="468"/>
      <c r="KIH45" s="468"/>
      <c r="KII45" s="468"/>
      <c r="KIJ45" s="468"/>
      <c r="KIK45" s="468"/>
      <c r="KIL45" s="468"/>
      <c r="KIM45" s="468"/>
      <c r="KIN45" s="468"/>
      <c r="KIO45" s="468"/>
      <c r="KIP45" s="468"/>
      <c r="KIQ45" s="468"/>
      <c r="KIR45" s="468"/>
      <c r="KIS45" s="468"/>
      <c r="KIT45" s="468"/>
      <c r="KIU45" s="468"/>
      <c r="KIV45" s="468"/>
      <c r="KIW45" s="468"/>
      <c r="KIX45" s="468"/>
      <c r="KIY45" s="468"/>
      <c r="KIZ45" s="468"/>
      <c r="KJA45" s="468"/>
      <c r="KJB45" s="468"/>
      <c r="KJC45" s="468"/>
      <c r="KJD45" s="468"/>
      <c r="KJE45" s="468"/>
      <c r="KJF45" s="468"/>
      <c r="KJG45" s="468"/>
      <c r="KJH45" s="468"/>
      <c r="KJI45" s="468"/>
      <c r="KJJ45" s="468"/>
      <c r="KJK45" s="468"/>
      <c r="KJL45" s="468"/>
      <c r="KJM45" s="468"/>
      <c r="KJN45" s="468"/>
      <c r="KJO45" s="468"/>
      <c r="KJP45" s="468"/>
      <c r="KJQ45" s="468"/>
      <c r="KJR45" s="468"/>
      <c r="KJS45" s="468"/>
      <c r="KJT45" s="468"/>
      <c r="KJU45" s="468"/>
      <c r="KJV45" s="468"/>
      <c r="KJW45" s="468"/>
      <c r="KJX45" s="468"/>
      <c r="KJY45" s="468"/>
      <c r="KJZ45" s="468"/>
      <c r="KKA45" s="468"/>
      <c r="KKB45" s="468"/>
      <c r="KKC45" s="468"/>
      <c r="KKD45" s="468"/>
      <c r="KKE45" s="468"/>
      <c r="KKF45" s="468"/>
      <c r="KKG45" s="468"/>
      <c r="KKH45" s="468"/>
      <c r="KKI45" s="468"/>
      <c r="KKJ45" s="468"/>
      <c r="KKK45" s="468"/>
      <c r="KKL45" s="468"/>
      <c r="KKM45" s="468"/>
      <c r="KKN45" s="468"/>
      <c r="KKO45" s="468"/>
      <c r="KKP45" s="468"/>
      <c r="KKQ45" s="468"/>
      <c r="KKR45" s="468"/>
      <c r="KKS45" s="468"/>
      <c r="KKT45" s="468"/>
      <c r="KKU45" s="468"/>
      <c r="KKV45" s="468"/>
      <c r="KKW45" s="468"/>
      <c r="KKX45" s="468"/>
      <c r="KKY45" s="468"/>
      <c r="KKZ45" s="468"/>
      <c r="KLA45" s="468"/>
      <c r="KLB45" s="468"/>
      <c r="KLC45" s="468"/>
      <c r="KLD45" s="468"/>
      <c r="KLE45" s="468"/>
      <c r="KLF45" s="468"/>
      <c r="KLG45" s="468"/>
      <c r="KLH45" s="468"/>
      <c r="KLI45" s="468"/>
      <c r="KLJ45" s="468"/>
      <c r="KLK45" s="468"/>
      <c r="KLL45" s="468"/>
      <c r="KLM45" s="468"/>
      <c r="KLN45" s="468"/>
      <c r="KLO45" s="468"/>
      <c r="KLP45" s="468"/>
      <c r="KLQ45" s="468"/>
      <c r="KLR45" s="468"/>
      <c r="KLS45" s="468"/>
      <c r="KLT45" s="468"/>
      <c r="KLU45" s="468"/>
      <c r="KLV45" s="468"/>
      <c r="KLW45" s="468"/>
      <c r="KLX45" s="468"/>
      <c r="KLY45" s="468"/>
      <c r="KLZ45" s="468"/>
      <c r="KMA45" s="468"/>
      <c r="KMB45" s="468"/>
      <c r="KMC45" s="468"/>
      <c r="KMD45" s="468"/>
      <c r="KME45" s="468"/>
      <c r="KMF45" s="468"/>
      <c r="KMG45" s="468"/>
      <c r="KMH45" s="468"/>
      <c r="KMI45" s="468"/>
      <c r="KMJ45" s="468"/>
      <c r="KMK45" s="468"/>
      <c r="KML45" s="468"/>
      <c r="KMM45" s="468"/>
      <c r="KMN45" s="468"/>
      <c r="KMO45" s="468"/>
      <c r="KMP45" s="468"/>
      <c r="KMQ45" s="468"/>
      <c r="KMR45" s="468"/>
      <c r="KMS45" s="468"/>
      <c r="KMT45" s="468"/>
      <c r="KMU45" s="468"/>
      <c r="KMV45" s="468"/>
      <c r="KMW45" s="468"/>
      <c r="KMX45" s="468"/>
      <c r="KMY45" s="468"/>
      <c r="KMZ45" s="468"/>
      <c r="KNA45" s="468"/>
      <c r="KNB45" s="468"/>
      <c r="KNC45" s="468"/>
      <c r="KND45" s="468"/>
      <c r="KNE45" s="468"/>
      <c r="KNF45" s="468"/>
      <c r="KNG45" s="468"/>
      <c r="KNH45" s="468"/>
      <c r="KNI45" s="468"/>
      <c r="KNJ45" s="468"/>
      <c r="KNK45" s="468"/>
      <c r="KNL45" s="468"/>
      <c r="KNM45" s="468"/>
      <c r="KNN45" s="468"/>
      <c r="KNO45" s="468"/>
      <c r="KNP45" s="468"/>
      <c r="KNQ45" s="468"/>
      <c r="KNR45" s="468"/>
      <c r="KNS45" s="468"/>
      <c r="KNT45" s="468"/>
      <c r="KNU45" s="468"/>
      <c r="KNV45" s="468"/>
      <c r="KNW45" s="468"/>
      <c r="KNX45" s="468"/>
      <c r="KNY45" s="468"/>
      <c r="KNZ45" s="468"/>
      <c r="KOA45" s="468"/>
      <c r="KOB45" s="468"/>
      <c r="KOC45" s="468"/>
      <c r="KOD45" s="468"/>
      <c r="KOE45" s="468"/>
      <c r="KOF45" s="468"/>
      <c r="KOG45" s="468"/>
      <c r="KOH45" s="468"/>
      <c r="KOI45" s="468"/>
      <c r="KOJ45" s="468"/>
      <c r="KOK45" s="468"/>
      <c r="KOL45" s="468"/>
      <c r="KOM45" s="468"/>
      <c r="KON45" s="468"/>
      <c r="KOO45" s="468"/>
      <c r="KOP45" s="468"/>
      <c r="KOQ45" s="468"/>
      <c r="KOR45" s="468"/>
      <c r="KOS45" s="468"/>
      <c r="KOT45" s="468"/>
      <c r="KOU45" s="468"/>
      <c r="KOV45" s="468"/>
      <c r="KOW45" s="468"/>
      <c r="KOX45" s="468"/>
      <c r="KOY45" s="468"/>
      <c r="KOZ45" s="468"/>
      <c r="KPA45" s="468"/>
      <c r="KPB45" s="468"/>
      <c r="KPC45" s="468"/>
      <c r="KPD45" s="468"/>
      <c r="KPE45" s="468"/>
      <c r="KPF45" s="468"/>
      <c r="KPG45" s="468"/>
      <c r="KPH45" s="468"/>
      <c r="KPI45" s="468"/>
      <c r="KPJ45" s="468"/>
      <c r="KPK45" s="468"/>
      <c r="KPL45" s="468"/>
      <c r="KPM45" s="468"/>
      <c r="KPN45" s="468"/>
      <c r="KPO45" s="468"/>
      <c r="KPP45" s="468"/>
      <c r="KPQ45" s="468"/>
      <c r="KPR45" s="468"/>
      <c r="KPS45" s="468"/>
      <c r="KPT45" s="468"/>
      <c r="KPU45" s="468"/>
      <c r="KPV45" s="468"/>
      <c r="KPW45" s="468"/>
      <c r="KPX45" s="468"/>
      <c r="KPY45" s="468"/>
      <c r="KPZ45" s="468"/>
      <c r="KQA45" s="468"/>
      <c r="KQB45" s="468"/>
      <c r="KQC45" s="468"/>
      <c r="KQD45" s="468"/>
      <c r="KQE45" s="468"/>
      <c r="KQF45" s="468"/>
      <c r="KQG45" s="468"/>
      <c r="KQH45" s="468"/>
      <c r="KQI45" s="468"/>
      <c r="KQJ45" s="468"/>
      <c r="KQK45" s="468"/>
      <c r="KQL45" s="468"/>
      <c r="KQM45" s="468"/>
      <c r="KQN45" s="468"/>
      <c r="KQO45" s="468"/>
      <c r="KQP45" s="468"/>
      <c r="KQQ45" s="468"/>
      <c r="KQR45" s="468"/>
      <c r="KQS45" s="468"/>
      <c r="KQT45" s="468"/>
      <c r="KQU45" s="468"/>
      <c r="KQV45" s="468"/>
      <c r="KQW45" s="468"/>
      <c r="KQX45" s="468"/>
      <c r="KQY45" s="468"/>
      <c r="KQZ45" s="468"/>
      <c r="KRA45" s="468"/>
      <c r="KRB45" s="468"/>
      <c r="KRC45" s="468"/>
      <c r="KRD45" s="468"/>
      <c r="KRE45" s="468"/>
      <c r="KRF45" s="468"/>
      <c r="KRG45" s="468"/>
      <c r="KRH45" s="468"/>
      <c r="KRI45" s="468"/>
      <c r="KRJ45" s="468"/>
      <c r="KRK45" s="468"/>
      <c r="KRL45" s="468"/>
      <c r="KRM45" s="468"/>
      <c r="KRN45" s="468"/>
      <c r="KRO45" s="468"/>
      <c r="KRP45" s="468"/>
      <c r="KRQ45" s="468"/>
      <c r="KRR45" s="468"/>
      <c r="KRS45" s="468"/>
      <c r="KRT45" s="468"/>
      <c r="KRU45" s="468"/>
      <c r="KRV45" s="468"/>
      <c r="KRW45" s="468"/>
      <c r="KRX45" s="468"/>
      <c r="KRY45" s="468"/>
      <c r="KRZ45" s="468"/>
      <c r="KSA45" s="468"/>
      <c r="KSB45" s="468"/>
      <c r="KSC45" s="468"/>
      <c r="KSD45" s="468"/>
      <c r="KSE45" s="468"/>
      <c r="KSF45" s="468"/>
      <c r="KSG45" s="468"/>
      <c r="KSH45" s="468"/>
      <c r="KSI45" s="468"/>
      <c r="KSJ45" s="468"/>
      <c r="KSK45" s="468"/>
      <c r="KSL45" s="468"/>
      <c r="KSM45" s="468"/>
      <c r="KSN45" s="468"/>
      <c r="KSO45" s="468"/>
      <c r="KSP45" s="468"/>
      <c r="KSQ45" s="468"/>
      <c r="KSR45" s="468"/>
      <c r="KSS45" s="468"/>
      <c r="KST45" s="468"/>
      <c r="KSU45" s="468"/>
      <c r="KSV45" s="468"/>
      <c r="KSW45" s="468"/>
      <c r="KSX45" s="468"/>
      <c r="KSY45" s="468"/>
      <c r="KSZ45" s="468"/>
      <c r="KTA45" s="468"/>
      <c r="KTB45" s="468"/>
      <c r="KTC45" s="468"/>
      <c r="KTD45" s="468"/>
      <c r="KTE45" s="468"/>
      <c r="KTF45" s="468"/>
      <c r="KTG45" s="468"/>
      <c r="KTH45" s="468"/>
      <c r="KTI45" s="468"/>
      <c r="KTJ45" s="468"/>
      <c r="KTK45" s="468"/>
      <c r="KTL45" s="468"/>
      <c r="KTM45" s="468"/>
      <c r="KTN45" s="468"/>
      <c r="KTO45" s="468"/>
      <c r="KTP45" s="468"/>
      <c r="KTQ45" s="468"/>
      <c r="KTR45" s="468"/>
      <c r="KTS45" s="468"/>
      <c r="KTT45" s="468"/>
      <c r="KTU45" s="468"/>
      <c r="KTV45" s="468"/>
      <c r="KTW45" s="468"/>
      <c r="KTX45" s="468"/>
      <c r="KTY45" s="468"/>
      <c r="KTZ45" s="468"/>
      <c r="KUA45" s="468"/>
      <c r="KUB45" s="468"/>
      <c r="KUC45" s="468"/>
      <c r="KUD45" s="468"/>
      <c r="KUE45" s="468"/>
      <c r="KUF45" s="468"/>
      <c r="KUG45" s="468"/>
      <c r="KUH45" s="468"/>
      <c r="KUI45" s="468"/>
      <c r="KUJ45" s="468"/>
      <c r="KUK45" s="468"/>
      <c r="KUL45" s="468"/>
      <c r="KUM45" s="468"/>
      <c r="KUN45" s="468"/>
      <c r="KUO45" s="468"/>
      <c r="KUP45" s="468"/>
      <c r="KUQ45" s="468"/>
      <c r="KUR45" s="468"/>
      <c r="KUS45" s="468"/>
      <c r="KUT45" s="468"/>
      <c r="KUU45" s="468"/>
      <c r="KUV45" s="468"/>
      <c r="KUW45" s="468"/>
      <c r="KUX45" s="468"/>
      <c r="KUY45" s="468"/>
      <c r="KUZ45" s="468"/>
      <c r="KVA45" s="468"/>
      <c r="KVB45" s="468"/>
      <c r="KVC45" s="468"/>
      <c r="KVD45" s="468"/>
      <c r="KVE45" s="468"/>
      <c r="KVF45" s="468"/>
      <c r="KVG45" s="468"/>
      <c r="KVH45" s="468"/>
      <c r="KVI45" s="468"/>
      <c r="KVJ45" s="468"/>
      <c r="KVK45" s="468"/>
      <c r="KVL45" s="468"/>
      <c r="KVM45" s="468"/>
      <c r="KVN45" s="468"/>
      <c r="KVO45" s="468"/>
      <c r="KVP45" s="468"/>
      <c r="KVQ45" s="468"/>
      <c r="KVR45" s="468"/>
      <c r="KVS45" s="468"/>
      <c r="KVT45" s="468"/>
      <c r="KVU45" s="468"/>
      <c r="KVV45" s="468"/>
      <c r="KVW45" s="468"/>
      <c r="KVX45" s="468"/>
      <c r="KVY45" s="468"/>
      <c r="KVZ45" s="468"/>
      <c r="KWA45" s="468"/>
      <c r="KWB45" s="468"/>
      <c r="KWC45" s="468"/>
      <c r="KWD45" s="468"/>
      <c r="KWE45" s="468"/>
      <c r="KWF45" s="468"/>
      <c r="KWG45" s="468"/>
      <c r="KWH45" s="468"/>
      <c r="KWI45" s="468"/>
      <c r="KWJ45" s="468"/>
      <c r="KWK45" s="468"/>
      <c r="KWL45" s="468"/>
      <c r="KWM45" s="468"/>
      <c r="KWN45" s="468"/>
      <c r="KWO45" s="468"/>
      <c r="KWP45" s="468"/>
      <c r="KWQ45" s="468"/>
      <c r="KWR45" s="468"/>
      <c r="KWS45" s="468"/>
      <c r="KWT45" s="468"/>
      <c r="KWU45" s="468"/>
      <c r="KWV45" s="468"/>
      <c r="KWW45" s="468"/>
      <c r="KWX45" s="468"/>
      <c r="KWY45" s="468"/>
      <c r="KWZ45" s="468"/>
      <c r="KXA45" s="468"/>
      <c r="KXB45" s="468"/>
      <c r="KXC45" s="468"/>
      <c r="KXD45" s="468"/>
      <c r="KXE45" s="468"/>
      <c r="KXF45" s="468"/>
      <c r="KXG45" s="468"/>
      <c r="KXH45" s="468"/>
      <c r="KXI45" s="468"/>
      <c r="KXJ45" s="468"/>
      <c r="KXK45" s="468"/>
      <c r="KXL45" s="468"/>
      <c r="KXM45" s="468"/>
      <c r="KXN45" s="468"/>
      <c r="KXO45" s="468"/>
      <c r="KXP45" s="468"/>
      <c r="KXQ45" s="468"/>
      <c r="KXR45" s="468"/>
      <c r="KXS45" s="468"/>
      <c r="KXT45" s="468"/>
      <c r="KXU45" s="468"/>
      <c r="KXV45" s="468"/>
      <c r="KXW45" s="468"/>
      <c r="KXX45" s="468"/>
      <c r="KXY45" s="468"/>
      <c r="KXZ45" s="468"/>
      <c r="KYA45" s="468"/>
      <c r="KYB45" s="468"/>
      <c r="KYC45" s="468"/>
      <c r="KYD45" s="468"/>
      <c r="KYE45" s="468"/>
      <c r="KYF45" s="468"/>
      <c r="KYG45" s="468"/>
      <c r="KYH45" s="468"/>
      <c r="KYI45" s="468"/>
      <c r="KYJ45" s="468"/>
      <c r="KYK45" s="468"/>
      <c r="KYL45" s="468"/>
      <c r="KYM45" s="468"/>
      <c r="KYN45" s="468"/>
      <c r="KYO45" s="468"/>
      <c r="KYP45" s="468"/>
      <c r="KYQ45" s="468"/>
      <c r="KYR45" s="468"/>
      <c r="KYS45" s="468"/>
      <c r="KYT45" s="468"/>
      <c r="KYU45" s="468"/>
      <c r="KYV45" s="468"/>
      <c r="KYW45" s="468"/>
      <c r="KYX45" s="468"/>
      <c r="KYY45" s="468"/>
      <c r="KYZ45" s="468"/>
      <c r="KZA45" s="468"/>
      <c r="KZB45" s="468"/>
      <c r="KZC45" s="468"/>
      <c r="KZD45" s="468"/>
      <c r="KZE45" s="468"/>
      <c r="KZF45" s="468"/>
      <c r="KZG45" s="468"/>
      <c r="KZH45" s="468"/>
      <c r="KZI45" s="468"/>
      <c r="KZJ45" s="468"/>
      <c r="KZK45" s="468"/>
      <c r="KZL45" s="468"/>
      <c r="KZM45" s="468"/>
      <c r="KZN45" s="468"/>
      <c r="KZO45" s="468"/>
      <c r="KZP45" s="468"/>
      <c r="KZQ45" s="468"/>
      <c r="KZR45" s="468"/>
      <c r="KZS45" s="468"/>
      <c r="KZT45" s="468"/>
      <c r="KZU45" s="468"/>
      <c r="KZV45" s="468"/>
      <c r="KZW45" s="468"/>
      <c r="KZX45" s="468"/>
      <c r="KZY45" s="468"/>
      <c r="KZZ45" s="468"/>
      <c r="LAA45" s="468"/>
      <c r="LAB45" s="468"/>
      <c r="LAC45" s="468"/>
      <c r="LAD45" s="468"/>
      <c r="LAE45" s="468"/>
      <c r="LAF45" s="468"/>
      <c r="LAG45" s="468"/>
      <c r="LAH45" s="468"/>
      <c r="LAI45" s="468"/>
      <c r="LAJ45" s="468"/>
      <c r="LAK45" s="468"/>
      <c r="LAL45" s="468"/>
      <c r="LAM45" s="468"/>
      <c r="LAN45" s="468"/>
      <c r="LAO45" s="468"/>
      <c r="LAP45" s="468"/>
      <c r="LAQ45" s="468"/>
      <c r="LAR45" s="468"/>
      <c r="LAS45" s="468"/>
      <c r="LAT45" s="468"/>
      <c r="LAU45" s="468"/>
      <c r="LAV45" s="468"/>
      <c r="LAW45" s="468"/>
      <c r="LAX45" s="468"/>
      <c r="LAY45" s="468"/>
      <c r="LAZ45" s="468"/>
      <c r="LBA45" s="468"/>
      <c r="LBB45" s="468"/>
      <c r="LBC45" s="468"/>
      <c r="LBD45" s="468"/>
      <c r="LBE45" s="468"/>
      <c r="LBF45" s="468"/>
      <c r="LBG45" s="468"/>
      <c r="LBH45" s="468"/>
      <c r="LBI45" s="468"/>
      <c r="LBJ45" s="468"/>
      <c r="LBK45" s="468"/>
      <c r="LBL45" s="468"/>
      <c r="LBM45" s="468"/>
      <c r="LBN45" s="468"/>
      <c r="LBO45" s="468"/>
      <c r="LBP45" s="468"/>
      <c r="LBQ45" s="468"/>
      <c r="LBR45" s="468"/>
      <c r="LBS45" s="468"/>
      <c r="LBT45" s="468"/>
      <c r="LBU45" s="468"/>
      <c r="LBV45" s="468"/>
      <c r="LBW45" s="468"/>
      <c r="LBX45" s="468"/>
      <c r="LBY45" s="468"/>
      <c r="LBZ45" s="468"/>
      <c r="LCA45" s="468"/>
      <c r="LCB45" s="468"/>
      <c r="LCC45" s="468"/>
      <c r="LCD45" s="468"/>
      <c r="LCE45" s="468"/>
      <c r="LCF45" s="468"/>
      <c r="LCG45" s="468"/>
      <c r="LCH45" s="468"/>
      <c r="LCI45" s="468"/>
      <c r="LCJ45" s="468"/>
      <c r="LCK45" s="468"/>
      <c r="LCL45" s="468"/>
      <c r="LCM45" s="468"/>
      <c r="LCN45" s="468"/>
      <c r="LCO45" s="468"/>
      <c r="LCP45" s="468"/>
      <c r="LCQ45" s="468"/>
      <c r="LCR45" s="468"/>
      <c r="LCS45" s="468"/>
      <c r="LCT45" s="468"/>
      <c r="LCU45" s="468"/>
      <c r="LCV45" s="468"/>
      <c r="LCW45" s="468"/>
      <c r="LCX45" s="468"/>
      <c r="LCY45" s="468"/>
      <c r="LCZ45" s="468"/>
      <c r="LDA45" s="468"/>
      <c r="LDB45" s="468"/>
      <c r="LDC45" s="468"/>
      <c r="LDD45" s="468"/>
      <c r="LDE45" s="468"/>
      <c r="LDF45" s="468"/>
      <c r="LDG45" s="468"/>
      <c r="LDH45" s="468"/>
      <c r="LDI45" s="468"/>
      <c r="LDJ45" s="468"/>
      <c r="LDK45" s="468"/>
      <c r="LDL45" s="468"/>
      <c r="LDM45" s="468"/>
      <c r="LDN45" s="468"/>
      <c r="LDO45" s="468"/>
      <c r="LDP45" s="468"/>
      <c r="LDQ45" s="468"/>
      <c r="LDR45" s="468"/>
      <c r="LDS45" s="468"/>
      <c r="LDT45" s="468"/>
      <c r="LDU45" s="468"/>
      <c r="LDV45" s="468"/>
      <c r="LDW45" s="468"/>
      <c r="LDX45" s="468"/>
      <c r="LDY45" s="468"/>
      <c r="LDZ45" s="468"/>
      <c r="LEA45" s="468"/>
      <c r="LEB45" s="468"/>
      <c r="LEC45" s="468"/>
      <c r="LED45" s="468"/>
      <c r="LEE45" s="468"/>
      <c r="LEF45" s="468"/>
      <c r="LEG45" s="468"/>
      <c r="LEH45" s="468"/>
      <c r="LEI45" s="468"/>
      <c r="LEJ45" s="468"/>
      <c r="LEK45" s="468"/>
      <c r="LEL45" s="468"/>
      <c r="LEM45" s="468"/>
      <c r="LEN45" s="468"/>
      <c r="LEO45" s="468"/>
      <c r="LEP45" s="468"/>
      <c r="LEQ45" s="468"/>
      <c r="LER45" s="468"/>
      <c r="LES45" s="468"/>
      <c r="LET45" s="468"/>
      <c r="LEU45" s="468"/>
      <c r="LEV45" s="468"/>
      <c r="LEW45" s="468"/>
      <c r="LEX45" s="468"/>
      <c r="LEY45" s="468"/>
      <c r="LEZ45" s="468"/>
      <c r="LFA45" s="468"/>
      <c r="LFB45" s="468"/>
      <c r="LFC45" s="468"/>
      <c r="LFD45" s="468"/>
      <c r="LFE45" s="468"/>
      <c r="LFF45" s="468"/>
      <c r="LFG45" s="468"/>
      <c r="LFH45" s="468"/>
      <c r="LFI45" s="468"/>
      <c r="LFJ45" s="468"/>
      <c r="LFK45" s="468"/>
      <c r="LFL45" s="468"/>
      <c r="LFM45" s="468"/>
      <c r="LFN45" s="468"/>
      <c r="LFO45" s="468"/>
      <c r="LFP45" s="468"/>
      <c r="LFQ45" s="468"/>
      <c r="LFR45" s="468"/>
      <c r="LFS45" s="468"/>
      <c r="LFT45" s="468"/>
      <c r="LFU45" s="468"/>
      <c r="LFV45" s="468"/>
      <c r="LFW45" s="468"/>
      <c r="LFX45" s="468"/>
      <c r="LFY45" s="468"/>
      <c r="LFZ45" s="468"/>
      <c r="LGA45" s="468"/>
      <c r="LGB45" s="468"/>
      <c r="LGC45" s="468"/>
      <c r="LGD45" s="468"/>
      <c r="LGE45" s="468"/>
      <c r="LGF45" s="468"/>
      <c r="LGG45" s="468"/>
      <c r="LGH45" s="468"/>
      <c r="LGI45" s="468"/>
      <c r="LGJ45" s="468"/>
      <c r="LGK45" s="468"/>
      <c r="LGL45" s="468"/>
      <c r="LGM45" s="468"/>
      <c r="LGN45" s="468"/>
      <c r="LGO45" s="468"/>
      <c r="LGP45" s="468"/>
      <c r="LGQ45" s="468"/>
      <c r="LGR45" s="468"/>
      <c r="LGS45" s="468"/>
      <c r="LGT45" s="468"/>
      <c r="LGU45" s="468"/>
      <c r="LGV45" s="468"/>
      <c r="LGW45" s="468"/>
      <c r="LGX45" s="468"/>
      <c r="LGY45" s="468"/>
      <c r="LGZ45" s="468"/>
      <c r="LHA45" s="468"/>
      <c r="LHB45" s="468"/>
      <c r="LHC45" s="468"/>
      <c r="LHD45" s="468"/>
      <c r="LHE45" s="468"/>
      <c r="LHF45" s="468"/>
      <c r="LHG45" s="468"/>
      <c r="LHH45" s="468"/>
      <c r="LHI45" s="468"/>
      <c r="LHJ45" s="468"/>
      <c r="LHK45" s="468"/>
      <c r="LHL45" s="468"/>
      <c r="LHM45" s="468"/>
      <c r="LHN45" s="468"/>
      <c r="LHO45" s="468"/>
      <c r="LHP45" s="468"/>
      <c r="LHQ45" s="468"/>
      <c r="LHR45" s="468"/>
      <c r="LHS45" s="468"/>
      <c r="LHT45" s="468"/>
      <c r="LHU45" s="468"/>
      <c r="LHV45" s="468"/>
      <c r="LHW45" s="468"/>
      <c r="LHX45" s="468"/>
      <c r="LHY45" s="468"/>
      <c r="LHZ45" s="468"/>
      <c r="LIA45" s="468"/>
      <c r="LIB45" s="468"/>
      <c r="LIC45" s="468"/>
      <c r="LID45" s="468"/>
      <c r="LIE45" s="468"/>
      <c r="LIF45" s="468"/>
      <c r="LIG45" s="468"/>
      <c r="LIH45" s="468"/>
      <c r="LII45" s="468"/>
      <c r="LIJ45" s="468"/>
      <c r="LIK45" s="468"/>
      <c r="LIL45" s="468"/>
      <c r="LIM45" s="468"/>
      <c r="LIN45" s="468"/>
      <c r="LIO45" s="468"/>
      <c r="LIP45" s="468"/>
      <c r="LIQ45" s="468"/>
      <c r="LIR45" s="468"/>
      <c r="LIS45" s="468"/>
      <c r="LIT45" s="468"/>
      <c r="LIU45" s="468"/>
      <c r="LIV45" s="468"/>
      <c r="LIW45" s="468"/>
      <c r="LIX45" s="468"/>
      <c r="LIY45" s="468"/>
      <c r="LIZ45" s="468"/>
      <c r="LJA45" s="468"/>
      <c r="LJB45" s="468"/>
      <c r="LJC45" s="468"/>
      <c r="LJD45" s="468"/>
      <c r="LJE45" s="468"/>
      <c r="LJF45" s="468"/>
      <c r="LJG45" s="468"/>
      <c r="LJH45" s="468"/>
      <c r="LJI45" s="468"/>
      <c r="LJJ45" s="468"/>
      <c r="LJK45" s="468"/>
      <c r="LJL45" s="468"/>
      <c r="LJM45" s="468"/>
      <c r="LJN45" s="468"/>
      <c r="LJO45" s="468"/>
      <c r="LJP45" s="468"/>
      <c r="LJQ45" s="468"/>
      <c r="LJR45" s="468"/>
      <c r="LJS45" s="468"/>
      <c r="LJT45" s="468"/>
      <c r="LJU45" s="468"/>
      <c r="LJV45" s="468"/>
      <c r="LJW45" s="468"/>
      <c r="LJX45" s="468"/>
      <c r="LJY45" s="468"/>
      <c r="LJZ45" s="468"/>
      <c r="LKA45" s="468"/>
      <c r="LKB45" s="468"/>
      <c r="LKC45" s="468"/>
      <c r="LKD45" s="468"/>
      <c r="LKE45" s="468"/>
      <c r="LKF45" s="468"/>
      <c r="LKG45" s="468"/>
      <c r="LKH45" s="468"/>
      <c r="LKI45" s="468"/>
      <c r="LKJ45" s="468"/>
      <c r="LKK45" s="468"/>
      <c r="LKL45" s="468"/>
      <c r="LKM45" s="468"/>
      <c r="LKN45" s="468"/>
      <c r="LKO45" s="468"/>
      <c r="LKP45" s="468"/>
      <c r="LKQ45" s="468"/>
      <c r="LKR45" s="468"/>
      <c r="LKS45" s="468"/>
      <c r="LKT45" s="468"/>
      <c r="LKU45" s="468"/>
      <c r="LKV45" s="468"/>
      <c r="LKW45" s="468"/>
      <c r="LKX45" s="468"/>
      <c r="LKY45" s="468"/>
      <c r="LKZ45" s="468"/>
      <c r="LLA45" s="468"/>
      <c r="LLB45" s="468"/>
      <c r="LLC45" s="468"/>
      <c r="LLD45" s="468"/>
      <c r="LLE45" s="468"/>
      <c r="LLF45" s="468"/>
      <c r="LLG45" s="468"/>
      <c r="LLH45" s="468"/>
      <c r="LLI45" s="468"/>
      <c r="LLJ45" s="468"/>
      <c r="LLK45" s="468"/>
      <c r="LLL45" s="468"/>
      <c r="LLM45" s="468"/>
      <c r="LLN45" s="468"/>
      <c r="LLO45" s="468"/>
      <c r="LLP45" s="468"/>
      <c r="LLQ45" s="468"/>
      <c r="LLR45" s="468"/>
      <c r="LLS45" s="468"/>
      <c r="LLT45" s="468"/>
      <c r="LLU45" s="468"/>
      <c r="LLV45" s="468"/>
      <c r="LLW45" s="468"/>
      <c r="LLX45" s="468"/>
      <c r="LLY45" s="468"/>
      <c r="LLZ45" s="468"/>
      <c r="LMA45" s="468"/>
      <c r="LMB45" s="468"/>
      <c r="LMC45" s="468"/>
      <c r="LMD45" s="468"/>
      <c r="LME45" s="468"/>
      <c r="LMF45" s="468"/>
      <c r="LMG45" s="468"/>
      <c r="LMH45" s="468"/>
      <c r="LMI45" s="468"/>
      <c r="LMJ45" s="468"/>
      <c r="LMK45" s="468"/>
      <c r="LML45" s="468"/>
      <c r="LMM45" s="468"/>
      <c r="LMN45" s="468"/>
      <c r="LMO45" s="468"/>
      <c r="LMP45" s="468"/>
      <c r="LMQ45" s="468"/>
      <c r="LMR45" s="468"/>
      <c r="LMS45" s="468"/>
      <c r="LMT45" s="468"/>
      <c r="LMU45" s="468"/>
      <c r="LMV45" s="468"/>
      <c r="LMW45" s="468"/>
      <c r="LMX45" s="468"/>
      <c r="LMY45" s="468"/>
      <c r="LMZ45" s="468"/>
      <c r="LNA45" s="468"/>
      <c r="LNB45" s="468"/>
      <c r="LNC45" s="468"/>
      <c r="LND45" s="468"/>
      <c r="LNE45" s="468"/>
      <c r="LNF45" s="468"/>
      <c r="LNG45" s="468"/>
      <c r="LNH45" s="468"/>
      <c r="LNI45" s="468"/>
      <c r="LNJ45" s="468"/>
      <c r="LNK45" s="468"/>
      <c r="LNL45" s="468"/>
      <c r="LNM45" s="468"/>
      <c r="LNN45" s="468"/>
      <c r="LNO45" s="468"/>
      <c r="LNP45" s="468"/>
      <c r="LNQ45" s="468"/>
      <c r="LNR45" s="468"/>
      <c r="LNS45" s="468"/>
      <c r="LNT45" s="468"/>
      <c r="LNU45" s="468"/>
      <c r="LNV45" s="468"/>
      <c r="LNW45" s="468"/>
      <c r="LNX45" s="468"/>
      <c r="LNY45" s="468"/>
      <c r="LNZ45" s="468"/>
      <c r="LOA45" s="468"/>
      <c r="LOB45" s="468"/>
      <c r="LOC45" s="468"/>
      <c r="LOD45" s="468"/>
      <c r="LOE45" s="468"/>
      <c r="LOF45" s="468"/>
      <c r="LOG45" s="468"/>
      <c r="LOH45" s="468"/>
      <c r="LOI45" s="468"/>
      <c r="LOJ45" s="468"/>
      <c r="LOK45" s="468"/>
      <c r="LOL45" s="468"/>
      <c r="LOM45" s="468"/>
      <c r="LON45" s="468"/>
      <c r="LOO45" s="468"/>
      <c r="LOP45" s="468"/>
      <c r="LOQ45" s="468"/>
      <c r="LOR45" s="468"/>
      <c r="LOS45" s="468"/>
      <c r="LOT45" s="468"/>
      <c r="LOU45" s="468"/>
      <c r="LOV45" s="468"/>
      <c r="LOW45" s="468"/>
      <c r="LOX45" s="468"/>
      <c r="LOY45" s="468"/>
      <c r="LOZ45" s="468"/>
      <c r="LPA45" s="468"/>
      <c r="LPB45" s="468"/>
      <c r="LPC45" s="468"/>
      <c r="LPD45" s="468"/>
      <c r="LPE45" s="468"/>
      <c r="LPF45" s="468"/>
      <c r="LPG45" s="468"/>
      <c r="LPH45" s="468"/>
      <c r="LPI45" s="468"/>
      <c r="LPJ45" s="468"/>
      <c r="LPK45" s="468"/>
      <c r="LPL45" s="468"/>
      <c r="LPM45" s="468"/>
      <c r="LPN45" s="468"/>
      <c r="LPO45" s="468"/>
      <c r="LPP45" s="468"/>
      <c r="LPQ45" s="468"/>
      <c r="LPR45" s="468"/>
      <c r="LPS45" s="468"/>
      <c r="LPT45" s="468"/>
      <c r="LPU45" s="468"/>
      <c r="LPV45" s="468"/>
      <c r="LPW45" s="468"/>
      <c r="LPX45" s="468"/>
      <c r="LPY45" s="468"/>
      <c r="LPZ45" s="468"/>
      <c r="LQA45" s="468"/>
      <c r="LQB45" s="468"/>
      <c r="LQC45" s="468"/>
      <c r="LQD45" s="468"/>
      <c r="LQE45" s="468"/>
      <c r="LQF45" s="468"/>
      <c r="LQG45" s="468"/>
      <c r="LQH45" s="468"/>
      <c r="LQI45" s="468"/>
      <c r="LQJ45" s="468"/>
      <c r="LQK45" s="468"/>
      <c r="LQL45" s="468"/>
      <c r="LQM45" s="468"/>
      <c r="LQN45" s="468"/>
      <c r="LQO45" s="468"/>
      <c r="LQP45" s="468"/>
      <c r="LQQ45" s="468"/>
      <c r="LQR45" s="468"/>
      <c r="LQS45" s="468"/>
      <c r="LQT45" s="468"/>
      <c r="LQU45" s="468"/>
      <c r="LQV45" s="468"/>
      <c r="LQW45" s="468"/>
      <c r="LQX45" s="468"/>
      <c r="LQY45" s="468"/>
      <c r="LQZ45" s="468"/>
      <c r="LRA45" s="468"/>
      <c r="LRB45" s="468"/>
      <c r="LRC45" s="468"/>
      <c r="LRD45" s="468"/>
      <c r="LRE45" s="468"/>
      <c r="LRF45" s="468"/>
      <c r="LRG45" s="468"/>
      <c r="LRH45" s="468"/>
      <c r="LRI45" s="468"/>
      <c r="LRJ45" s="468"/>
      <c r="LRK45" s="468"/>
      <c r="LRL45" s="468"/>
      <c r="LRM45" s="468"/>
      <c r="LRN45" s="468"/>
      <c r="LRO45" s="468"/>
      <c r="LRP45" s="468"/>
      <c r="LRQ45" s="468"/>
      <c r="LRR45" s="468"/>
      <c r="LRS45" s="468"/>
      <c r="LRT45" s="468"/>
      <c r="LRU45" s="468"/>
      <c r="LRV45" s="468"/>
      <c r="LRW45" s="468"/>
      <c r="LRX45" s="468"/>
      <c r="LRY45" s="468"/>
      <c r="LRZ45" s="468"/>
      <c r="LSA45" s="468"/>
      <c r="LSB45" s="468"/>
      <c r="LSC45" s="468"/>
      <c r="LSD45" s="468"/>
      <c r="LSE45" s="468"/>
      <c r="LSF45" s="468"/>
      <c r="LSG45" s="468"/>
      <c r="LSH45" s="468"/>
      <c r="LSI45" s="468"/>
      <c r="LSJ45" s="468"/>
      <c r="LSK45" s="468"/>
      <c r="LSL45" s="468"/>
      <c r="LSM45" s="468"/>
      <c r="LSN45" s="468"/>
      <c r="LSO45" s="468"/>
      <c r="LSP45" s="468"/>
      <c r="LSQ45" s="468"/>
      <c r="LSR45" s="468"/>
      <c r="LSS45" s="468"/>
      <c r="LST45" s="468"/>
      <c r="LSU45" s="468"/>
      <c r="LSV45" s="468"/>
      <c r="LSW45" s="468"/>
      <c r="LSX45" s="468"/>
      <c r="LSY45" s="468"/>
      <c r="LSZ45" s="468"/>
      <c r="LTA45" s="468"/>
      <c r="LTB45" s="468"/>
      <c r="LTC45" s="468"/>
      <c r="LTD45" s="468"/>
      <c r="LTE45" s="468"/>
      <c r="LTF45" s="468"/>
      <c r="LTG45" s="468"/>
      <c r="LTH45" s="468"/>
      <c r="LTI45" s="468"/>
      <c r="LTJ45" s="468"/>
      <c r="LTK45" s="468"/>
      <c r="LTL45" s="468"/>
      <c r="LTM45" s="468"/>
      <c r="LTN45" s="468"/>
      <c r="LTO45" s="468"/>
      <c r="LTP45" s="468"/>
      <c r="LTQ45" s="468"/>
      <c r="LTR45" s="468"/>
      <c r="LTS45" s="468"/>
      <c r="LTT45" s="468"/>
      <c r="LTU45" s="468"/>
      <c r="LTV45" s="468"/>
      <c r="LTW45" s="468"/>
      <c r="LTX45" s="468"/>
      <c r="LTY45" s="468"/>
      <c r="LTZ45" s="468"/>
      <c r="LUA45" s="468"/>
      <c r="LUB45" s="468"/>
      <c r="LUC45" s="468"/>
      <c r="LUD45" s="468"/>
      <c r="LUE45" s="468"/>
      <c r="LUF45" s="468"/>
      <c r="LUG45" s="468"/>
      <c r="LUH45" s="468"/>
      <c r="LUI45" s="468"/>
      <c r="LUJ45" s="468"/>
      <c r="LUK45" s="468"/>
      <c r="LUL45" s="468"/>
      <c r="LUM45" s="468"/>
      <c r="LUN45" s="468"/>
      <c r="LUO45" s="468"/>
      <c r="LUP45" s="468"/>
      <c r="LUQ45" s="468"/>
      <c r="LUR45" s="468"/>
      <c r="LUS45" s="468"/>
      <c r="LUT45" s="468"/>
      <c r="LUU45" s="468"/>
      <c r="LUV45" s="468"/>
      <c r="LUW45" s="468"/>
      <c r="LUX45" s="468"/>
      <c r="LUY45" s="468"/>
      <c r="LUZ45" s="468"/>
      <c r="LVA45" s="468"/>
      <c r="LVB45" s="468"/>
      <c r="LVC45" s="468"/>
      <c r="LVD45" s="468"/>
      <c r="LVE45" s="468"/>
      <c r="LVF45" s="468"/>
      <c r="LVG45" s="468"/>
      <c r="LVH45" s="468"/>
      <c r="LVI45" s="468"/>
      <c r="LVJ45" s="468"/>
      <c r="LVK45" s="468"/>
      <c r="LVL45" s="468"/>
      <c r="LVM45" s="468"/>
      <c r="LVN45" s="468"/>
      <c r="LVO45" s="468"/>
      <c r="LVP45" s="468"/>
      <c r="LVQ45" s="468"/>
      <c r="LVR45" s="468"/>
      <c r="LVS45" s="468"/>
      <c r="LVT45" s="468"/>
      <c r="LVU45" s="468"/>
      <c r="LVV45" s="468"/>
      <c r="LVW45" s="468"/>
      <c r="LVX45" s="468"/>
      <c r="LVY45" s="468"/>
      <c r="LVZ45" s="468"/>
      <c r="LWA45" s="468"/>
      <c r="LWB45" s="468"/>
      <c r="LWC45" s="468"/>
      <c r="LWD45" s="468"/>
      <c r="LWE45" s="468"/>
      <c r="LWF45" s="468"/>
      <c r="LWG45" s="468"/>
      <c r="LWH45" s="468"/>
      <c r="LWI45" s="468"/>
      <c r="LWJ45" s="468"/>
      <c r="LWK45" s="468"/>
      <c r="LWL45" s="468"/>
      <c r="LWM45" s="468"/>
      <c r="LWN45" s="468"/>
      <c r="LWO45" s="468"/>
      <c r="LWP45" s="468"/>
      <c r="LWQ45" s="468"/>
      <c r="LWR45" s="468"/>
      <c r="LWS45" s="468"/>
      <c r="LWT45" s="468"/>
      <c r="LWU45" s="468"/>
      <c r="LWV45" s="468"/>
      <c r="LWW45" s="468"/>
      <c r="LWX45" s="468"/>
      <c r="LWY45" s="468"/>
      <c r="LWZ45" s="468"/>
      <c r="LXA45" s="468"/>
      <c r="LXB45" s="468"/>
      <c r="LXC45" s="468"/>
      <c r="LXD45" s="468"/>
      <c r="LXE45" s="468"/>
      <c r="LXF45" s="468"/>
      <c r="LXG45" s="468"/>
      <c r="LXH45" s="468"/>
      <c r="LXI45" s="468"/>
      <c r="LXJ45" s="468"/>
      <c r="LXK45" s="468"/>
      <c r="LXL45" s="468"/>
      <c r="LXM45" s="468"/>
      <c r="LXN45" s="468"/>
      <c r="LXO45" s="468"/>
      <c r="LXP45" s="468"/>
      <c r="LXQ45" s="468"/>
      <c r="LXR45" s="468"/>
      <c r="LXS45" s="468"/>
      <c r="LXT45" s="468"/>
      <c r="LXU45" s="468"/>
      <c r="LXV45" s="468"/>
      <c r="LXW45" s="468"/>
      <c r="LXX45" s="468"/>
      <c r="LXY45" s="468"/>
      <c r="LXZ45" s="468"/>
      <c r="LYA45" s="468"/>
      <c r="LYB45" s="468"/>
      <c r="LYC45" s="468"/>
      <c r="LYD45" s="468"/>
      <c r="LYE45" s="468"/>
      <c r="LYF45" s="468"/>
      <c r="LYG45" s="468"/>
      <c r="LYH45" s="468"/>
      <c r="LYI45" s="468"/>
      <c r="LYJ45" s="468"/>
      <c r="LYK45" s="468"/>
      <c r="LYL45" s="468"/>
      <c r="LYM45" s="468"/>
      <c r="LYN45" s="468"/>
      <c r="LYO45" s="468"/>
      <c r="LYP45" s="468"/>
      <c r="LYQ45" s="468"/>
      <c r="LYR45" s="468"/>
      <c r="LYS45" s="468"/>
      <c r="LYT45" s="468"/>
      <c r="LYU45" s="468"/>
      <c r="LYV45" s="468"/>
      <c r="LYW45" s="468"/>
      <c r="LYX45" s="468"/>
      <c r="LYY45" s="468"/>
      <c r="LYZ45" s="468"/>
      <c r="LZA45" s="468"/>
      <c r="LZB45" s="468"/>
      <c r="LZC45" s="468"/>
      <c r="LZD45" s="468"/>
      <c r="LZE45" s="468"/>
      <c r="LZF45" s="468"/>
      <c r="LZG45" s="468"/>
      <c r="LZH45" s="468"/>
      <c r="LZI45" s="468"/>
      <c r="LZJ45" s="468"/>
      <c r="LZK45" s="468"/>
      <c r="LZL45" s="468"/>
      <c r="LZM45" s="468"/>
      <c r="LZN45" s="468"/>
      <c r="LZO45" s="468"/>
      <c r="LZP45" s="468"/>
      <c r="LZQ45" s="468"/>
      <c r="LZR45" s="468"/>
      <c r="LZS45" s="468"/>
      <c r="LZT45" s="468"/>
      <c r="LZU45" s="468"/>
      <c r="LZV45" s="468"/>
      <c r="LZW45" s="468"/>
      <c r="LZX45" s="468"/>
      <c r="LZY45" s="468"/>
      <c r="LZZ45" s="468"/>
      <c r="MAA45" s="468"/>
      <c r="MAB45" s="468"/>
      <c r="MAC45" s="468"/>
      <c r="MAD45" s="468"/>
      <c r="MAE45" s="468"/>
      <c r="MAF45" s="468"/>
      <c r="MAG45" s="468"/>
      <c r="MAH45" s="468"/>
      <c r="MAI45" s="468"/>
      <c r="MAJ45" s="468"/>
      <c r="MAK45" s="468"/>
      <c r="MAL45" s="468"/>
      <c r="MAM45" s="468"/>
      <c r="MAN45" s="468"/>
      <c r="MAO45" s="468"/>
      <c r="MAP45" s="468"/>
      <c r="MAQ45" s="468"/>
      <c r="MAR45" s="468"/>
      <c r="MAS45" s="468"/>
      <c r="MAT45" s="468"/>
      <c r="MAU45" s="468"/>
      <c r="MAV45" s="468"/>
      <c r="MAW45" s="468"/>
      <c r="MAX45" s="468"/>
      <c r="MAY45" s="468"/>
      <c r="MAZ45" s="468"/>
      <c r="MBA45" s="468"/>
      <c r="MBB45" s="468"/>
      <c r="MBC45" s="468"/>
      <c r="MBD45" s="468"/>
      <c r="MBE45" s="468"/>
      <c r="MBF45" s="468"/>
      <c r="MBG45" s="468"/>
      <c r="MBH45" s="468"/>
      <c r="MBI45" s="468"/>
      <c r="MBJ45" s="468"/>
      <c r="MBK45" s="468"/>
      <c r="MBL45" s="468"/>
      <c r="MBM45" s="468"/>
      <c r="MBN45" s="468"/>
      <c r="MBO45" s="468"/>
      <c r="MBP45" s="468"/>
      <c r="MBQ45" s="468"/>
      <c r="MBR45" s="468"/>
      <c r="MBS45" s="468"/>
      <c r="MBT45" s="468"/>
      <c r="MBU45" s="468"/>
      <c r="MBV45" s="468"/>
      <c r="MBW45" s="468"/>
      <c r="MBX45" s="468"/>
      <c r="MBY45" s="468"/>
      <c r="MBZ45" s="468"/>
      <c r="MCA45" s="468"/>
      <c r="MCB45" s="468"/>
      <c r="MCC45" s="468"/>
      <c r="MCD45" s="468"/>
      <c r="MCE45" s="468"/>
      <c r="MCF45" s="468"/>
      <c r="MCG45" s="468"/>
      <c r="MCH45" s="468"/>
      <c r="MCI45" s="468"/>
      <c r="MCJ45" s="468"/>
      <c r="MCK45" s="468"/>
      <c r="MCL45" s="468"/>
      <c r="MCM45" s="468"/>
      <c r="MCN45" s="468"/>
      <c r="MCO45" s="468"/>
      <c r="MCP45" s="468"/>
      <c r="MCQ45" s="468"/>
      <c r="MCR45" s="468"/>
      <c r="MCS45" s="468"/>
      <c r="MCT45" s="468"/>
      <c r="MCU45" s="468"/>
      <c r="MCV45" s="468"/>
      <c r="MCW45" s="468"/>
      <c r="MCX45" s="468"/>
      <c r="MCY45" s="468"/>
      <c r="MCZ45" s="468"/>
      <c r="MDA45" s="468"/>
      <c r="MDB45" s="468"/>
      <c r="MDC45" s="468"/>
      <c r="MDD45" s="468"/>
      <c r="MDE45" s="468"/>
      <c r="MDF45" s="468"/>
      <c r="MDG45" s="468"/>
      <c r="MDH45" s="468"/>
      <c r="MDI45" s="468"/>
      <c r="MDJ45" s="468"/>
      <c r="MDK45" s="468"/>
      <c r="MDL45" s="468"/>
      <c r="MDM45" s="468"/>
      <c r="MDN45" s="468"/>
      <c r="MDO45" s="468"/>
      <c r="MDP45" s="468"/>
      <c r="MDQ45" s="468"/>
      <c r="MDR45" s="468"/>
      <c r="MDS45" s="468"/>
      <c r="MDT45" s="468"/>
      <c r="MDU45" s="468"/>
      <c r="MDV45" s="468"/>
      <c r="MDW45" s="468"/>
      <c r="MDX45" s="468"/>
      <c r="MDY45" s="468"/>
      <c r="MDZ45" s="468"/>
      <c r="MEA45" s="468"/>
      <c r="MEB45" s="468"/>
      <c r="MEC45" s="468"/>
      <c r="MED45" s="468"/>
      <c r="MEE45" s="468"/>
      <c r="MEF45" s="468"/>
      <c r="MEG45" s="468"/>
      <c r="MEH45" s="468"/>
      <c r="MEI45" s="468"/>
      <c r="MEJ45" s="468"/>
      <c r="MEK45" s="468"/>
      <c r="MEL45" s="468"/>
      <c r="MEM45" s="468"/>
      <c r="MEN45" s="468"/>
      <c r="MEO45" s="468"/>
      <c r="MEP45" s="468"/>
      <c r="MEQ45" s="468"/>
      <c r="MER45" s="468"/>
      <c r="MES45" s="468"/>
      <c r="MET45" s="468"/>
      <c r="MEU45" s="468"/>
      <c r="MEV45" s="468"/>
      <c r="MEW45" s="468"/>
      <c r="MEX45" s="468"/>
      <c r="MEY45" s="468"/>
      <c r="MEZ45" s="468"/>
      <c r="MFA45" s="468"/>
      <c r="MFB45" s="468"/>
      <c r="MFC45" s="468"/>
      <c r="MFD45" s="468"/>
      <c r="MFE45" s="468"/>
      <c r="MFF45" s="468"/>
      <c r="MFG45" s="468"/>
      <c r="MFH45" s="468"/>
      <c r="MFI45" s="468"/>
      <c r="MFJ45" s="468"/>
      <c r="MFK45" s="468"/>
      <c r="MFL45" s="468"/>
      <c r="MFM45" s="468"/>
      <c r="MFN45" s="468"/>
      <c r="MFO45" s="468"/>
      <c r="MFP45" s="468"/>
      <c r="MFQ45" s="468"/>
      <c r="MFR45" s="468"/>
      <c r="MFS45" s="468"/>
      <c r="MFT45" s="468"/>
      <c r="MFU45" s="468"/>
      <c r="MFV45" s="468"/>
      <c r="MFW45" s="468"/>
      <c r="MFX45" s="468"/>
      <c r="MFY45" s="468"/>
      <c r="MFZ45" s="468"/>
      <c r="MGA45" s="468"/>
      <c r="MGB45" s="468"/>
      <c r="MGC45" s="468"/>
      <c r="MGD45" s="468"/>
      <c r="MGE45" s="468"/>
      <c r="MGF45" s="468"/>
      <c r="MGG45" s="468"/>
      <c r="MGH45" s="468"/>
      <c r="MGI45" s="468"/>
      <c r="MGJ45" s="468"/>
      <c r="MGK45" s="468"/>
      <c r="MGL45" s="468"/>
      <c r="MGM45" s="468"/>
      <c r="MGN45" s="468"/>
      <c r="MGO45" s="468"/>
      <c r="MGP45" s="468"/>
      <c r="MGQ45" s="468"/>
      <c r="MGR45" s="468"/>
      <c r="MGS45" s="468"/>
      <c r="MGT45" s="468"/>
      <c r="MGU45" s="468"/>
      <c r="MGV45" s="468"/>
      <c r="MGW45" s="468"/>
      <c r="MGX45" s="468"/>
      <c r="MGY45" s="468"/>
      <c r="MGZ45" s="468"/>
      <c r="MHA45" s="468"/>
      <c r="MHB45" s="468"/>
      <c r="MHC45" s="468"/>
      <c r="MHD45" s="468"/>
      <c r="MHE45" s="468"/>
      <c r="MHF45" s="468"/>
      <c r="MHG45" s="468"/>
      <c r="MHH45" s="468"/>
      <c r="MHI45" s="468"/>
      <c r="MHJ45" s="468"/>
      <c r="MHK45" s="468"/>
      <c r="MHL45" s="468"/>
      <c r="MHM45" s="468"/>
      <c r="MHN45" s="468"/>
      <c r="MHO45" s="468"/>
      <c r="MHP45" s="468"/>
      <c r="MHQ45" s="468"/>
      <c r="MHR45" s="468"/>
      <c r="MHS45" s="468"/>
      <c r="MHT45" s="468"/>
      <c r="MHU45" s="468"/>
      <c r="MHV45" s="468"/>
      <c r="MHW45" s="468"/>
      <c r="MHX45" s="468"/>
      <c r="MHY45" s="468"/>
      <c r="MHZ45" s="468"/>
      <c r="MIA45" s="468"/>
      <c r="MIB45" s="468"/>
      <c r="MIC45" s="468"/>
      <c r="MID45" s="468"/>
      <c r="MIE45" s="468"/>
      <c r="MIF45" s="468"/>
      <c r="MIG45" s="468"/>
      <c r="MIH45" s="468"/>
      <c r="MII45" s="468"/>
      <c r="MIJ45" s="468"/>
      <c r="MIK45" s="468"/>
      <c r="MIL45" s="468"/>
      <c r="MIM45" s="468"/>
      <c r="MIN45" s="468"/>
      <c r="MIO45" s="468"/>
      <c r="MIP45" s="468"/>
      <c r="MIQ45" s="468"/>
      <c r="MIR45" s="468"/>
      <c r="MIS45" s="468"/>
      <c r="MIT45" s="468"/>
      <c r="MIU45" s="468"/>
      <c r="MIV45" s="468"/>
      <c r="MIW45" s="468"/>
      <c r="MIX45" s="468"/>
      <c r="MIY45" s="468"/>
      <c r="MIZ45" s="468"/>
      <c r="MJA45" s="468"/>
      <c r="MJB45" s="468"/>
      <c r="MJC45" s="468"/>
      <c r="MJD45" s="468"/>
      <c r="MJE45" s="468"/>
      <c r="MJF45" s="468"/>
      <c r="MJG45" s="468"/>
      <c r="MJH45" s="468"/>
      <c r="MJI45" s="468"/>
      <c r="MJJ45" s="468"/>
      <c r="MJK45" s="468"/>
      <c r="MJL45" s="468"/>
      <c r="MJM45" s="468"/>
      <c r="MJN45" s="468"/>
      <c r="MJO45" s="468"/>
      <c r="MJP45" s="468"/>
      <c r="MJQ45" s="468"/>
      <c r="MJR45" s="468"/>
      <c r="MJS45" s="468"/>
      <c r="MJT45" s="468"/>
      <c r="MJU45" s="468"/>
      <c r="MJV45" s="468"/>
      <c r="MJW45" s="468"/>
      <c r="MJX45" s="468"/>
      <c r="MJY45" s="468"/>
      <c r="MJZ45" s="468"/>
      <c r="MKA45" s="468"/>
      <c r="MKB45" s="468"/>
      <c r="MKC45" s="468"/>
      <c r="MKD45" s="468"/>
      <c r="MKE45" s="468"/>
      <c r="MKF45" s="468"/>
      <c r="MKG45" s="468"/>
      <c r="MKH45" s="468"/>
      <c r="MKI45" s="468"/>
      <c r="MKJ45" s="468"/>
      <c r="MKK45" s="468"/>
      <c r="MKL45" s="468"/>
      <c r="MKM45" s="468"/>
      <c r="MKN45" s="468"/>
      <c r="MKO45" s="468"/>
      <c r="MKP45" s="468"/>
      <c r="MKQ45" s="468"/>
      <c r="MKR45" s="468"/>
      <c r="MKS45" s="468"/>
      <c r="MKT45" s="468"/>
      <c r="MKU45" s="468"/>
      <c r="MKV45" s="468"/>
      <c r="MKW45" s="468"/>
      <c r="MKX45" s="468"/>
      <c r="MKY45" s="468"/>
      <c r="MKZ45" s="468"/>
      <c r="MLA45" s="468"/>
      <c r="MLB45" s="468"/>
      <c r="MLC45" s="468"/>
      <c r="MLD45" s="468"/>
      <c r="MLE45" s="468"/>
      <c r="MLF45" s="468"/>
      <c r="MLG45" s="468"/>
      <c r="MLH45" s="468"/>
      <c r="MLI45" s="468"/>
      <c r="MLJ45" s="468"/>
      <c r="MLK45" s="468"/>
      <c r="MLL45" s="468"/>
      <c r="MLM45" s="468"/>
      <c r="MLN45" s="468"/>
      <c r="MLO45" s="468"/>
      <c r="MLP45" s="468"/>
      <c r="MLQ45" s="468"/>
      <c r="MLR45" s="468"/>
      <c r="MLS45" s="468"/>
      <c r="MLT45" s="468"/>
      <c r="MLU45" s="468"/>
      <c r="MLV45" s="468"/>
      <c r="MLW45" s="468"/>
      <c r="MLX45" s="468"/>
      <c r="MLY45" s="468"/>
      <c r="MLZ45" s="468"/>
      <c r="MMA45" s="468"/>
      <c r="MMB45" s="468"/>
      <c r="MMC45" s="468"/>
      <c r="MMD45" s="468"/>
      <c r="MME45" s="468"/>
      <c r="MMF45" s="468"/>
      <c r="MMG45" s="468"/>
      <c r="MMH45" s="468"/>
      <c r="MMI45" s="468"/>
      <c r="MMJ45" s="468"/>
      <c r="MMK45" s="468"/>
      <c r="MML45" s="468"/>
      <c r="MMM45" s="468"/>
      <c r="MMN45" s="468"/>
      <c r="MMO45" s="468"/>
      <c r="MMP45" s="468"/>
      <c r="MMQ45" s="468"/>
      <c r="MMR45" s="468"/>
      <c r="MMS45" s="468"/>
      <c r="MMT45" s="468"/>
      <c r="MMU45" s="468"/>
      <c r="MMV45" s="468"/>
      <c r="MMW45" s="468"/>
      <c r="MMX45" s="468"/>
      <c r="MMY45" s="468"/>
      <c r="MMZ45" s="468"/>
      <c r="MNA45" s="468"/>
      <c r="MNB45" s="468"/>
      <c r="MNC45" s="468"/>
      <c r="MND45" s="468"/>
      <c r="MNE45" s="468"/>
      <c r="MNF45" s="468"/>
      <c r="MNG45" s="468"/>
      <c r="MNH45" s="468"/>
      <c r="MNI45" s="468"/>
      <c r="MNJ45" s="468"/>
      <c r="MNK45" s="468"/>
      <c r="MNL45" s="468"/>
      <c r="MNM45" s="468"/>
      <c r="MNN45" s="468"/>
      <c r="MNO45" s="468"/>
      <c r="MNP45" s="468"/>
      <c r="MNQ45" s="468"/>
      <c r="MNR45" s="468"/>
      <c r="MNS45" s="468"/>
      <c r="MNT45" s="468"/>
      <c r="MNU45" s="468"/>
      <c r="MNV45" s="468"/>
      <c r="MNW45" s="468"/>
      <c r="MNX45" s="468"/>
      <c r="MNY45" s="468"/>
      <c r="MNZ45" s="468"/>
      <c r="MOA45" s="468"/>
      <c r="MOB45" s="468"/>
      <c r="MOC45" s="468"/>
      <c r="MOD45" s="468"/>
      <c r="MOE45" s="468"/>
      <c r="MOF45" s="468"/>
      <c r="MOG45" s="468"/>
      <c r="MOH45" s="468"/>
      <c r="MOI45" s="468"/>
      <c r="MOJ45" s="468"/>
      <c r="MOK45" s="468"/>
      <c r="MOL45" s="468"/>
      <c r="MOM45" s="468"/>
      <c r="MON45" s="468"/>
      <c r="MOO45" s="468"/>
      <c r="MOP45" s="468"/>
      <c r="MOQ45" s="468"/>
      <c r="MOR45" s="468"/>
      <c r="MOS45" s="468"/>
      <c r="MOT45" s="468"/>
      <c r="MOU45" s="468"/>
      <c r="MOV45" s="468"/>
      <c r="MOW45" s="468"/>
      <c r="MOX45" s="468"/>
      <c r="MOY45" s="468"/>
      <c r="MOZ45" s="468"/>
      <c r="MPA45" s="468"/>
      <c r="MPB45" s="468"/>
      <c r="MPC45" s="468"/>
      <c r="MPD45" s="468"/>
      <c r="MPE45" s="468"/>
      <c r="MPF45" s="468"/>
      <c r="MPG45" s="468"/>
      <c r="MPH45" s="468"/>
      <c r="MPI45" s="468"/>
      <c r="MPJ45" s="468"/>
      <c r="MPK45" s="468"/>
      <c r="MPL45" s="468"/>
      <c r="MPM45" s="468"/>
      <c r="MPN45" s="468"/>
      <c r="MPO45" s="468"/>
      <c r="MPP45" s="468"/>
      <c r="MPQ45" s="468"/>
      <c r="MPR45" s="468"/>
      <c r="MPS45" s="468"/>
      <c r="MPT45" s="468"/>
      <c r="MPU45" s="468"/>
      <c r="MPV45" s="468"/>
      <c r="MPW45" s="468"/>
      <c r="MPX45" s="468"/>
      <c r="MPY45" s="468"/>
      <c r="MPZ45" s="468"/>
      <c r="MQA45" s="468"/>
      <c r="MQB45" s="468"/>
      <c r="MQC45" s="468"/>
      <c r="MQD45" s="468"/>
      <c r="MQE45" s="468"/>
      <c r="MQF45" s="468"/>
      <c r="MQG45" s="468"/>
      <c r="MQH45" s="468"/>
      <c r="MQI45" s="468"/>
      <c r="MQJ45" s="468"/>
      <c r="MQK45" s="468"/>
      <c r="MQL45" s="468"/>
      <c r="MQM45" s="468"/>
      <c r="MQN45" s="468"/>
      <c r="MQO45" s="468"/>
      <c r="MQP45" s="468"/>
      <c r="MQQ45" s="468"/>
      <c r="MQR45" s="468"/>
      <c r="MQS45" s="468"/>
      <c r="MQT45" s="468"/>
      <c r="MQU45" s="468"/>
      <c r="MQV45" s="468"/>
      <c r="MQW45" s="468"/>
      <c r="MQX45" s="468"/>
      <c r="MQY45" s="468"/>
      <c r="MQZ45" s="468"/>
      <c r="MRA45" s="468"/>
      <c r="MRB45" s="468"/>
      <c r="MRC45" s="468"/>
      <c r="MRD45" s="468"/>
      <c r="MRE45" s="468"/>
      <c r="MRF45" s="468"/>
      <c r="MRG45" s="468"/>
      <c r="MRH45" s="468"/>
      <c r="MRI45" s="468"/>
      <c r="MRJ45" s="468"/>
      <c r="MRK45" s="468"/>
      <c r="MRL45" s="468"/>
      <c r="MRM45" s="468"/>
      <c r="MRN45" s="468"/>
      <c r="MRO45" s="468"/>
      <c r="MRP45" s="468"/>
      <c r="MRQ45" s="468"/>
      <c r="MRR45" s="468"/>
      <c r="MRS45" s="468"/>
      <c r="MRT45" s="468"/>
      <c r="MRU45" s="468"/>
      <c r="MRV45" s="468"/>
      <c r="MRW45" s="468"/>
      <c r="MRX45" s="468"/>
      <c r="MRY45" s="468"/>
      <c r="MRZ45" s="468"/>
      <c r="MSA45" s="468"/>
      <c r="MSB45" s="468"/>
      <c r="MSC45" s="468"/>
      <c r="MSD45" s="468"/>
      <c r="MSE45" s="468"/>
      <c r="MSF45" s="468"/>
      <c r="MSG45" s="468"/>
      <c r="MSH45" s="468"/>
      <c r="MSI45" s="468"/>
      <c r="MSJ45" s="468"/>
      <c r="MSK45" s="468"/>
      <c r="MSL45" s="468"/>
      <c r="MSM45" s="468"/>
      <c r="MSN45" s="468"/>
      <c r="MSO45" s="468"/>
      <c r="MSP45" s="468"/>
      <c r="MSQ45" s="468"/>
      <c r="MSR45" s="468"/>
      <c r="MSS45" s="468"/>
      <c r="MST45" s="468"/>
      <c r="MSU45" s="468"/>
      <c r="MSV45" s="468"/>
      <c r="MSW45" s="468"/>
      <c r="MSX45" s="468"/>
      <c r="MSY45" s="468"/>
      <c r="MSZ45" s="468"/>
      <c r="MTA45" s="468"/>
      <c r="MTB45" s="468"/>
      <c r="MTC45" s="468"/>
      <c r="MTD45" s="468"/>
      <c r="MTE45" s="468"/>
      <c r="MTF45" s="468"/>
      <c r="MTG45" s="468"/>
      <c r="MTH45" s="468"/>
      <c r="MTI45" s="468"/>
      <c r="MTJ45" s="468"/>
      <c r="MTK45" s="468"/>
      <c r="MTL45" s="468"/>
      <c r="MTM45" s="468"/>
      <c r="MTN45" s="468"/>
      <c r="MTO45" s="468"/>
      <c r="MTP45" s="468"/>
      <c r="MTQ45" s="468"/>
      <c r="MTR45" s="468"/>
      <c r="MTS45" s="468"/>
      <c r="MTT45" s="468"/>
      <c r="MTU45" s="468"/>
      <c r="MTV45" s="468"/>
      <c r="MTW45" s="468"/>
      <c r="MTX45" s="468"/>
      <c r="MTY45" s="468"/>
      <c r="MTZ45" s="468"/>
      <c r="MUA45" s="468"/>
      <c r="MUB45" s="468"/>
      <c r="MUC45" s="468"/>
      <c r="MUD45" s="468"/>
      <c r="MUE45" s="468"/>
      <c r="MUF45" s="468"/>
      <c r="MUG45" s="468"/>
      <c r="MUH45" s="468"/>
      <c r="MUI45" s="468"/>
      <c r="MUJ45" s="468"/>
      <c r="MUK45" s="468"/>
      <c r="MUL45" s="468"/>
      <c r="MUM45" s="468"/>
      <c r="MUN45" s="468"/>
      <c r="MUO45" s="468"/>
      <c r="MUP45" s="468"/>
      <c r="MUQ45" s="468"/>
      <c r="MUR45" s="468"/>
      <c r="MUS45" s="468"/>
      <c r="MUT45" s="468"/>
      <c r="MUU45" s="468"/>
      <c r="MUV45" s="468"/>
      <c r="MUW45" s="468"/>
      <c r="MUX45" s="468"/>
      <c r="MUY45" s="468"/>
      <c r="MUZ45" s="468"/>
      <c r="MVA45" s="468"/>
      <c r="MVB45" s="468"/>
      <c r="MVC45" s="468"/>
      <c r="MVD45" s="468"/>
      <c r="MVE45" s="468"/>
      <c r="MVF45" s="468"/>
      <c r="MVG45" s="468"/>
      <c r="MVH45" s="468"/>
      <c r="MVI45" s="468"/>
      <c r="MVJ45" s="468"/>
      <c r="MVK45" s="468"/>
      <c r="MVL45" s="468"/>
      <c r="MVM45" s="468"/>
      <c r="MVN45" s="468"/>
      <c r="MVO45" s="468"/>
      <c r="MVP45" s="468"/>
      <c r="MVQ45" s="468"/>
      <c r="MVR45" s="468"/>
      <c r="MVS45" s="468"/>
      <c r="MVT45" s="468"/>
      <c r="MVU45" s="468"/>
      <c r="MVV45" s="468"/>
      <c r="MVW45" s="468"/>
      <c r="MVX45" s="468"/>
      <c r="MVY45" s="468"/>
      <c r="MVZ45" s="468"/>
      <c r="MWA45" s="468"/>
      <c r="MWB45" s="468"/>
      <c r="MWC45" s="468"/>
      <c r="MWD45" s="468"/>
      <c r="MWE45" s="468"/>
      <c r="MWF45" s="468"/>
      <c r="MWG45" s="468"/>
      <c r="MWH45" s="468"/>
      <c r="MWI45" s="468"/>
      <c r="MWJ45" s="468"/>
      <c r="MWK45" s="468"/>
      <c r="MWL45" s="468"/>
      <c r="MWM45" s="468"/>
      <c r="MWN45" s="468"/>
      <c r="MWO45" s="468"/>
      <c r="MWP45" s="468"/>
      <c r="MWQ45" s="468"/>
      <c r="MWR45" s="468"/>
      <c r="MWS45" s="468"/>
      <c r="MWT45" s="468"/>
      <c r="MWU45" s="468"/>
      <c r="MWV45" s="468"/>
      <c r="MWW45" s="468"/>
      <c r="MWX45" s="468"/>
      <c r="MWY45" s="468"/>
      <c r="MWZ45" s="468"/>
      <c r="MXA45" s="468"/>
      <c r="MXB45" s="468"/>
      <c r="MXC45" s="468"/>
      <c r="MXD45" s="468"/>
      <c r="MXE45" s="468"/>
      <c r="MXF45" s="468"/>
      <c r="MXG45" s="468"/>
      <c r="MXH45" s="468"/>
      <c r="MXI45" s="468"/>
      <c r="MXJ45" s="468"/>
      <c r="MXK45" s="468"/>
      <c r="MXL45" s="468"/>
      <c r="MXM45" s="468"/>
      <c r="MXN45" s="468"/>
      <c r="MXO45" s="468"/>
      <c r="MXP45" s="468"/>
      <c r="MXQ45" s="468"/>
      <c r="MXR45" s="468"/>
      <c r="MXS45" s="468"/>
      <c r="MXT45" s="468"/>
      <c r="MXU45" s="468"/>
      <c r="MXV45" s="468"/>
      <c r="MXW45" s="468"/>
      <c r="MXX45" s="468"/>
      <c r="MXY45" s="468"/>
      <c r="MXZ45" s="468"/>
      <c r="MYA45" s="468"/>
      <c r="MYB45" s="468"/>
      <c r="MYC45" s="468"/>
      <c r="MYD45" s="468"/>
      <c r="MYE45" s="468"/>
      <c r="MYF45" s="468"/>
      <c r="MYG45" s="468"/>
      <c r="MYH45" s="468"/>
      <c r="MYI45" s="468"/>
      <c r="MYJ45" s="468"/>
      <c r="MYK45" s="468"/>
      <c r="MYL45" s="468"/>
      <c r="MYM45" s="468"/>
      <c r="MYN45" s="468"/>
      <c r="MYO45" s="468"/>
      <c r="MYP45" s="468"/>
      <c r="MYQ45" s="468"/>
      <c r="MYR45" s="468"/>
      <c r="MYS45" s="468"/>
      <c r="MYT45" s="468"/>
      <c r="MYU45" s="468"/>
      <c r="MYV45" s="468"/>
      <c r="MYW45" s="468"/>
      <c r="MYX45" s="468"/>
      <c r="MYY45" s="468"/>
      <c r="MYZ45" s="468"/>
      <c r="MZA45" s="468"/>
      <c r="MZB45" s="468"/>
      <c r="MZC45" s="468"/>
      <c r="MZD45" s="468"/>
      <c r="MZE45" s="468"/>
      <c r="MZF45" s="468"/>
      <c r="MZG45" s="468"/>
      <c r="MZH45" s="468"/>
      <c r="MZI45" s="468"/>
      <c r="MZJ45" s="468"/>
      <c r="MZK45" s="468"/>
      <c r="MZL45" s="468"/>
      <c r="MZM45" s="468"/>
      <c r="MZN45" s="468"/>
      <c r="MZO45" s="468"/>
      <c r="MZP45" s="468"/>
      <c r="MZQ45" s="468"/>
      <c r="MZR45" s="468"/>
      <c r="MZS45" s="468"/>
      <c r="MZT45" s="468"/>
      <c r="MZU45" s="468"/>
      <c r="MZV45" s="468"/>
      <c r="MZW45" s="468"/>
      <c r="MZX45" s="468"/>
      <c r="MZY45" s="468"/>
      <c r="MZZ45" s="468"/>
      <c r="NAA45" s="468"/>
      <c r="NAB45" s="468"/>
      <c r="NAC45" s="468"/>
      <c r="NAD45" s="468"/>
      <c r="NAE45" s="468"/>
      <c r="NAF45" s="468"/>
      <c r="NAG45" s="468"/>
      <c r="NAH45" s="468"/>
      <c r="NAI45" s="468"/>
      <c r="NAJ45" s="468"/>
      <c r="NAK45" s="468"/>
      <c r="NAL45" s="468"/>
      <c r="NAM45" s="468"/>
      <c r="NAN45" s="468"/>
      <c r="NAO45" s="468"/>
      <c r="NAP45" s="468"/>
      <c r="NAQ45" s="468"/>
      <c r="NAR45" s="468"/>
      <c r="NAS45" s="468"/>
      <c r="NAT45" s="468"/>
      <c r="NAU45" s="468"/>
      <c r="NAV45" s="468"/>
      <c r="NAW45" s="468"/>
      <c r="NAX45" s="468"/>
      <c r="NAY45" s="468"/>
      <c r="NAZ45" s="468"/>
      <c r="NBA45" s="468"/>
      <c r="NBB45" s="468"/>
      <c r="NBC45" s="468"/>
      <c r="NBD45" s="468"/>
      <c r="NBE45" s="468"/>
      <c r="NBF45" s="468"/>
      <c r="NBG45" s="468"/>
      <c r="NBH45" s="468"/>
      <c r="NBI45" s="468"/>
      <c r="NBJ45" s="468"/>
      <c r="NBK45" s="468"/>
      <c r="NBL45" s="468"/>
      <c r="NBM45" s="468"/>
      <c r="NBN45" s="468"/>
      <c r="NBO45" s="468"/>
      <c r="NBP45" s="468"/>
      <c r="NBQ45" s="468"/>
      <c r="NBR45" s="468"/>
      <c r="NBS45" s="468"/>
      <c r="NBT45" s="468"/>
      <c r="NBU45" s="468"/>
      <c r="NBV45" s="468"/>
      <c r="NBW45" s="468"/>
      <c r="NBX45" s="468"/>
      <c r="NBY45" s="468"/>
      <c r="NBZ45" s="468"/>
      <c r="NCA45" s="468"/>
      <c r="NCB45" s="468"/>
      <c r="NCC45" s="468"/>
      <c r="NCD45" s="468"/>
      <c r="NCE45" s="468"/>
      <c r="NCF45" s="468"/>
      <c r="NCG45" s="468"/>
      <c r="NCH45" s="468"/>
      <c r="NCI45" s="468"/>
      <c r="NCJ45" s="468"/>
      <c r="NCK45" s="468"/>
      <c r="NCL45" s="468"/>
      <c r="NCM45" s="468"/>
      <c r="NCN45" s="468"/>
      <c r="NCO45" s="468"/>
      <c r="NCP45" s="468"/>
      <c r="NCQ45" s="468"/>
      <c r="NCR45" s="468"/>
      <c r="NCS45" s="468"/>
      <c r="NCT45" s="468"/>
      <c r="NCU45" s="468"/>
      <c r="NCV45" s="468"/>
      <c r="NCW45" s="468"/>
      <c r="NCX45" s="468"/>
      <c r="NCY45" s="468"/>
      <c r="NCZ45" s="468"/>
      <c r="NDA45" s="468"/>
      <c r="NDB45" s="468"/>
      <c r="NDC45" s="468"/>
      <c r="NDD45" s="468"/>
      <c r="NDE45" s="468"/>
      <c r="NDF45" s="468"/>
      <c r="NDG45" s="468"/>
      <c r="NDH45" s="468"/>
      <c r="NDI45" s="468"/>
      <c r="NDJ45" s="468"/>
      <c r="NDK45" s="468"/>
      <c r="NDL45" s="468"/>
      <c r="NDM45" s="468"/>
      <c r="NDN45" s="468"/>
      <c r="NDO45" s="468"/>
      <c r="NDP45" s="468"/>
      <c r="NDQ45" s="468"/>
      <c r="NDR45" s="468"/>
      <c r="NDS45" s="468"/>
      <c r="NDT45" s="468"/>
      <c r="NDU45" s="468"/>
      <c r="NDV45" s="468"/>
      <c r="NDW45" s="468"/>
      <c r="NDX45" s="468"/>
      <c r="NDY45" s="468"/>
      <c r="NDZ45" s="468"/>
      <c r="NEA45" s="468"/>
      <c r="NEB45" s="468"/>
      <c r="NEC45" s="468"/>
      <c r="NED45" s="468"/>
      <c r="NEE45" s="468"/>
      <c r="NEF45" s="468"/>
      <c r="NEG45" s="468"/>
      <c r="NEH45" s="468"/>
      <c r="NEI45" s="468"/>
      <c r="NEJ45" s="468"/>
      <c r="NEK45" s="468"/>
      <c r="NEL45" s="468"/>
      <c r="NEM45" s="468"/>
      <c r="NEN45" s="468"/>
      <c r="NEO45" s="468"/>
      <c r="NEP45" s="468"/>
      <c r="NEQ45" s="468"/>
      <c r="NER45" s="468"/>
      <c r="NES45" s="468"/>
      <c r="NET45" s="468"/>
      <c r="NEU45" s="468"/>
      <c r="NEV45" s="468"/>
      <c r="NEW45" s="468"/>
      <c r="NEX45" s="468"/>
      <c r="NEY45" s="468"/>
      <c r="NEZ45" s="468"/>
      <c r="NFA45" s="468"/>
      <c r="NFB45" s="468"/>
      <c r="NFC45" s="468"/>
      <c r="NFD45" s="468"/>
      <c r="NFE45" s="468"/>
      <c r="NFF45" s="468"/>
      <c r="NFG45" s="468"/>
      <c r="NFH45" s="468"/>
      <c r="NFI45" s="468"/>
      <c r="NFJ45" s="468"/>
      <c r="NFK45" s="468"/>
      <c r="NFL45" s="468"/>
      <c r="NFM45" s="468"/>
      <c r="NFN45" s="468"/>
      <c r="NFO45" s="468"/>
      <c r="NFP45" s="468"/>
      <c r="NFQ45" s="468"/>
      <c r="NFR45" s="468"/>
      <c r="NFS45" s="468"/>
      <c r="NFT45" s="468"/>
      <c r="NFU45" s="468"/>
      <c r="NFV45" s="468"/>
      <c r="NFW45" s="468"/>
      <c r="NFX45" s="468"/>
      <c r="NFY45" s="468"/>
      <c r="NFZ45" s="468"/>
      <c r="NGA45" s="468"/>
      <c r="NGB45" s="468"/>
      <c r="NGC45" s="468"/>
      <c r="NGD45" s="468"/>
      <c r="NGE45" s="468"/>
      <c r="NGF45" s="468"/>
      <c r="NGG45" s="468"/>
      <c r="NGH45" s="468"/>
      <c r="NGI45" s="468"/>
      <c r="NGJ45" s="468"/>
      <c r="NGK45" s="468"/>
      <c r="NGL45" s="468"/>
      <c r="NGM45" s="468"/>
      <c r="NGN45" s="468"/>
      <c r="NGO45" s="468"/>
      <c r="NGP45" s="468"/>
      <c r="NGQ45" s="468"/>
      <c r="NGR45" s="468"/>
      <c r="NGS45" s="468"/>
      <c r="NGT45" s="468"/>
      <c r="NGU45" s="468"/>
      <c r="NGV45" s="468"/>
      <c r="NGW45" s="468"/>
      <c r="NGX45" s="468"/>
      <c r="NGY45" s="468"/>
      <c r="NGZ45" s="468"/>
      <c r="NHA45" s="468"/>
      <c r="NHB45" s="468"/>
      <c r="NHC45" s="468"/>
      <c r="NHD45" s="468"/>
      <c r="NHE45" s="468"/>
      <c r="NHF45" s="468"/>
      <c r="NHG45" s="468"/>
      <c r="NHH45" s="468"/>
      <c r="NHI45" s="468"/>
      <c r="NHJ45" s="468"/>
      <c r="NHK45" s="468"/>
      <c r="NHL45" s="468"/>
      <c r="NHM45" s="468"/>
      <c r="NHN45" s="468"/>
      <c r="NHO45" s="468"/>
      <c r="NHP45" s="468"/>
      <c r="NHQ45" s="468"/>
      <c r="NHR45" s="468"/>
      <c r="NHS45" s="468"/>
      <c r="NHT45" s="468"/>
      <c r="NHU45" s="468"/>
      <c r="NHV45" s="468"/>
      <c r="NHW45" s="468"/>
      <c r="NHX45" s="468"/>
      <c r="NHY45" s="468"/>
      <c r="NHZ45" s="468"/>
      <c r="NIA45" s="468"/>
      <c r="NIB45" s="468"/>
      <c r="NIC45" s="468"/>
      <c r="NID45" s="468"/>
      <c r="NIE45" s="468"/>
      <c r="NIF45" s="468"/>
      <c r="NIG45" s="468"/>
      <c r="NIH45" s="468"/>
      <c r="NII45" s="468"/>
      <c r="NIJ45" s="468"/>
      <c r="NIK45" s="468"/>
      <c r="NIL45" s="468"/>
      <c r="NIM45" s="468"/>
      <c r="NIN45" s="468"/>
      <c r="NIO45" s="468"/>
      <c r="NIP45" s="468"/>
      <c r="NIQ45" s="468"/>
      <c r="NIR45" s="468"/>
      <c r="NIS45" s="468"/>
      <c r="NIT45" s="468"/>
      <c r="NIU45" s="468"/>
      <c r="NIV45" s="468"/>
      <c r="NIW45" s="468"/>
      <c r="NIX45" s="468"/>
      <c r="NIY45" s="468"/>
      <c r="NIZ45" s="468"/>
      <c r="NJA45" s="468"/>
      <c r="NJB45" s="468"/>
      <c r="NJC45" s="468"/>
      <c r="NJD45" s="468"/>
      <c r="NJE45" s="468"/>
      <c r="NJF45" s="468"/>
      <c r="NJG45" s="468"/>
      <c r="NJH45" s="468"/>
      <c r="NJI45" s="468"/>
      <c r="NJJ45" s="468"/>
      <c r="NJK45" s="468"/>
      <c r="NJL45" s="468"/>
      <c r="NJM45" s="468"/>
      <c r="NJN45" s="468"/>
      <c r="NJO45" s="468"/>
      <c r="NJP45" s="468"/>
      <c r="NJQ45" s="468"/>
      <c r="NJR45" s="468"/>
      <c r="NJS45" s="468"/>
      <c r="NJT45" s="468"/>
      <c r="NJU45" s="468"/>
      <c r="NJV45" s="468"/>
      <c r="NJW45" s="468"/>
      <c r="NJX45" s="468"/>
      <c r="NJY45" s="468"/>
      <c r="NJZ45" s="468"/>
      <c r="NKA45" s="468"/>
      <c r="NKB45" s="468"/>
      <c r="NKC45" s="468"/>
      <c r="NKD45" s="468"/>
      <c r="NKE45" s="468"/>
      <c r="NKF45" s="468"/>
      <c r="NKG45" s="468"/>
      <c r="NKH45" s="468"/>
      <c r="NKI45" s="468"/>
      <c r="NKJ45" s="468"/>
      <c r="NKK45" s="468"/>
      <c r="NKL45" s="468"/>
      <c r="NKM45" s="468"/>
      <c r="NKN45" s="468"/>
      <c r="NKO45" s="468"/>
      <c r="NKP45" s="468"/>
      <c r="NKQ45" s="468"/>
      <c r="NKR45" s="468"/>
      <c r="NKS45" s="468"/>
      <c r="NKT45" s="468"/>
      <c r="NKU45" s="468"/>
      <c r="NKV45" s="468"/>
      <c r="NKW45" s="468"/>
      <c r="NKX45" s="468"/>
      <c r="NKY45" s="468"/>
      <c r="NKZ45" s="468"/>
      <c r="NLA45" s="468"/>
      <c r="NLB45" s="468"/>
      <c r="NLC45" s="468"/>
      <c r="NLD45" s="468"/>
      <c r="NLE45" s="468"/>
      <c r="NLF45" s="468"/>
      <c r="NLG45" s="468"/>
      <c r="NLH45" s="468"/>
      <c r="NLI45" s="468"/>
      <c r="NLJ45" s="468"/>
      <c r="NLK45" s="468"/>
      <c r="NLL45" s="468"/>
      <c r="NLM45" s="468"/>
      <c r="NLN45" s="468"/>
      <c r="NLO45" s="468"/>
      <c r="NLP45" s="468"/>
      <c r="NLQ45" s="468"/>
      <c r="NLR45" s="468"/>
      <c r="NLS45" s="468"/>
      <c r="NLT45" s="468"/>
      <c r="NLU45" s="468"/>
      <c r="NLV45" s="468"/>
      <c r="NLW45" s="468"/>
      <c r="NLX45" s="468"/>
      <c r="NLY45" s="468"/>
      <c r="NLZ45" s="468"/>
      <c r="NMA45" s="468"/>
      <c r="NMB45" s="468"/>
      <c r="NMC45" s="468"/>
      <c r="NMD45" s="468"/>
      <c r="NME45" s="468"/>
      <c r="NMF45" s="468"/>
      <c r="NMG45" s="468"/>
      <c r="NMH45" s="468"/>
      <c r="NMI45" s="468"/>
      <c r="NMJ45" s="468"/>
      <c r="NMK45" s="468"/>
      <c r="NML45" s="468"/>
      <c r="NMM45" s="468"/>
      <c r="NMN45" s="468"/>
      <c r="NMO45" s="468"/>
      <c r="NMP45" s="468"/>
      <c r="NMQ45" s="468"/>
      <c r="NMR45" s="468"/>
      <c r="NMS45" s="468"/>
      <c r="NMT45" s="468"/>
      <c r="NMU45" s="468"/>
      <c r="NMV45" s="468"/>
      <c r="NMW45" s="468"/>
      <c r="NMX45" s="468"/>
      <c r="NMY45" s="468"/>
      <c r="NMZ45" s="468"/>
      <c r="NNA45" s="468"/>
      <c r="NNB45" s="468"/>
      <c r="NNC45" s="468"/>
      <c r="NND45" s="468"/>
      <c r="NNE45" s="468"/>
      <c r="NNF45" s="468"/>
      <c r="NNG45" s="468"/>
      <c r="NNH45" s="468"/>
      <c r="NNI45" s="468"/>
      <c r="NNJ45" s="468"/>
      <c r="NNK45" s="468"/>
      <c r="NNL45" s="468"/>
      <c r="NNM45" s="468"/>
      <c r="NNN45" s="468"/>
      <c r="NNO45" s="468"/>
      <c r="NNP45" s="468"/>
      <c r="NNQ45" s="468"/>
      <c r="NNR45" s="468"/>
      <c r="NNS45" s="468"/>
      <c r="NNT45" s="468"/>
      <c r="NNU45" s="468"/>
      <c r="NNV45" s="468"/>
      <c r="NNW45" s="468"/>
      <c r="NNX45" s="468"/>
      <c r="NNY45" s="468"/>
      <c r="NNZ45" s="468"/>
      <c r="NOA45" s="468"/>
      <c r="NOB45" s="468"/>
      <c r="NOC45" s="468"/>
      <c r="NOD45" s="468"/>
      <c r="NOE45" s="468"/>
      <c r="NOF45" s="468"/>
      <c r="NOG45" s="468"/>
      <c r="NOH45" s="468"/>
      <c r="NOI45" s="468"/>
      <c r="NOJ45" s="468"/>
      <c r="NOK45" s="468"/>
      <c r="NOL45" s="468"/>
      <c r="NOM45" s="468"/>
      <c r="NON45" s="468"/>
      <c r="NOO45" s="468"/>
      <c r="NOP45" s="468"/>
      <c r="NOQ45" s="468"/>
      <c r="NOR45" s="468"/>
      <c r="NOS45" s="468"/>
      <c r="NOT45" s="468"/>
      <c r="NOU45" s="468"/>
      <c r="NOV45" s="468"/>
      <c r="NOW45" s="468"/>
      <c r="NOX45" s="468"/>
      <c r="NOY45" s="468"/>
      <c r="NOZ45" s="468"/>
      <c r="NPA45" s="468"/>
      <c r="NPB45" s="468"/>
      <c r="NPC45" s="468"/>
      <c r="NPD45" s="468"/>
      <c r="NPE45" s="468"/>
      <c r="NPF45" s="468"/>
      <c r="NPG45" s="468"/>
      <c r="NPH45" s="468"/>
      <c r="NPI45" s="468"/>
      <c r="NPJ45" s="468"/>
      <c r="NPK45" s="468"/>
      <c r="NPL45" s="468"/>
      <c r="NPM45" s="468"/>
      <c r="NPN45" s="468"/>
      <c r="NPO45" s="468"/>
      <c r="NPP45" s="468"/>
      <c r="NPQ45" s="468"/>
      <c r="NPR45" s="468"/>
      <c r="NPS45" s="468"/>
      <c r="NPT45" s="468"/>
      <c r="NPU45" s="468"/>
      <c r="NPV45" s="468"/>
      <c r="NPW45" s="468"/>
      <c r="NPX45" s="468"/>
      <c r="NPY45" s="468"/>
      <c r="NPZ45" s="468"/>
      <c r="NQA45" s="468"/>
      <c r="NQB45" s="468"/>
      <c r="NQC45" s="468"/>
      <c r="NQD45" s="468"/>
      <c r="NQE45" s="468"/>
      <c r="NQF45" s="468"/>
      <c r="NQG45" s="468"/>
      <c r="NQH45" s="468"/>
      <c r="NQI45" s="468"/>
      <c r="NQJ45" s="468"/>
      <c r="NQK45" s="468"/>
      <c r="NQL45" s="468"/>
      <c r="NQM45" s="468"/>
      <c r="NQN45" s="468"/>
      <c r="NQO45" s="468"/>
      <c r="NQP45" s="468"/>
      <c r="NQQ45" s="468"/>
      <c r="NQR45" s="468"/>
      <c r="NQS45" s="468"/>
      <c r="NQT45" s="468"/>
      <c r="NQU45" s="468"/>
      <c r="NQV45" s="468"/>
      <c r="NQW45" s="468"/>
      <c r="NQX45" s="468"/>
      <c r="NQY45" s="468"/>
      <c r="NQZ45" s="468"/>
      <c r="NRA45" s="468"/>
      <c r="NRB45" s="468"/>
      <c r="NRC45" s="468"/>
      <c r="NRD45" s="468"/>
      <c r="NRE45" s="468"/>
      <c r="NRF45" s="468"/>
      <c r="NRG45" s="468"/>
      <c r="NRH45" s="468"/>
      <c r="NRI45" s="468"/>
      <c r="NRJ45" s="468"/>
      <c r="NRK45" s="468"/>
      <c r="NRL45" s="468"/>
      <c r="NRM45" s="468"/>
      <c r="NRN45" s="468"/>
      <c r="NRO45" s="468"/>
      <c r="NRP45" s="468"/>
      <c r="NRQ45" s="468"/>
      <c r="NRR45" s="468"/>
      <c r="NRS45" s="468"/>
      <c r="NRT45" s="468"/>
      <c r="NRU45" s="468"/>
      <c r="NRV45" s="468"/>
      <c r="NRW45" s="468"/>
      <c r="NRX45" s="468"/>
      <c r="NRY45" s="468"/>
      <c r="NRZ45" s="468"/>
      <c r="NSA45" s="468"/>
      <c r="NSB45" s="468"/>
      <c r="NSC45" s="468"/>
      <c r="NSD45" s="468"/>
      <c r="NSE45" s="468"/>
      <c r="NSF45" s="468"/>
      <c r="NSG45" s="468"/>
      <c r="NSH45" s="468"/>
      <c r="NSI45" s="468"/>
      <c r="NSJ45" s="468"/>
      <c r="NSK45" s="468"/>
      <c r="NSL45" s="468"/>
      <c r="NSM45" s="468"/>
      <c r="NSN45" s="468"/>
      <c r="NSO45" s="468"/>
      <c r="NSP45" s="468"/>
      <c r="NSQ45" s="468"/>
      <c r="NSR45" s="468"/>
      <c r="NSS45" s="468"/>
      <c r="NST45" s="468"/>
      <c r="NSU45" s="468"/>
      <c r="NSV45" s="468"/>
      <c r="NSW45" s="468"/>
      <c r="NSX45" s="468"/>
      <c r="NSY45" s="468"/>
      <c r="NSZ45" s="468"/>
      <c r="NTA45" s="468"/>
      <c r="NTB45" s="468"/>
      <c r="NTC45" s="468"/>
      <c r="NTD45" s="468"/>
      <c r="NTE45" s="468"/>
      <c r="NTF45" s="468"/>
      <c r="NTG45" s="468"/>
      <c r="NTH45" s="468"/>
      <c r="NTI45" s="468"/>
      <c r="NTJ45" s="468"/>
      <c r="NTK45" s="468"/>
      <c r="NTL45" s="468"/>
      <c r="NTM45" s="468"/>
      <c r="NTN45" s="468"/>
      <c r="NTO45" s="468"/>
      <c r="NTP45" s="468"/>
      <c r="NTQ45" s="468"/>
      <c r="NTR45" s="468"/>
      <c r="NTS45" s="468"/>
      <c r="NTT45" s="468"/>
      <c r="NTU45" s="468"/>
      <c r="NTV45" s="468"/>
      <c r="NTW45" s="468"/>
      <c r="NTX45" s="468"/>
      <c r="NTY45" s="468"/>
      <c r="NTZ45" s="468"/>
      <c r="NUA45" s="468"/>
      <c r="NUB45" s="468"/>
      <c r="NUC45" s="468"/>
      <c r="NUD45" s="468"/>
      <c r="NUE45" s="468"/>
      <c r="NUF45" s="468"/>
      <c r="NUG45" s="468"/>
      <c r="NUH45" s="468"/>
      <c r="NUI45" s="468"/>
      <c r="NUJ45" s="468"/>
      <c r="NUK45" s="468"/>
      <c r="NUL45" s="468"/>
      <c r="NUM45" s="468"/>
      <c r="NUN45" s="468"/>
      <c r="NUO45" s="468"/>
      <c r="NUP45" s="468"/>
      <c r="NUQ45" s="468"/>
      <c r="NUR45" s="468"/>
      <c r="NUS45" s="468"/>
      <c r="NUT45" s="468"/>
      <c r="NUU45" s="468"/>
      <c r="NUV45" s="468"/>
      <c r="NUW45" s="468"/>
      <c r="NUX45" s="468"/>
      <c r="NUY45" s="468"/>
      <c r="NUZ45" s="468"/>
      <c r="NVA45" s="468"/>
      <c r="NVB45" s="468"/>
      <c r="NVC45" s="468"/>
      <c r="NVD45" s="468"/>
      <c r="NVE45" s="468"/>
      <c r="NVF45" s="468"/>
      <c r="NVG45" s="468"/>
      <c r="NVH45" s="468"/>
      <c r="NVI45" s="468"/>
      <c r="NVJ45" s="468"/>
      <c r="NVK45" s="468"/>
      <c r="NVL45" s="468"/>
      <c r="NVM45" s="468"/>
      <c r="NVN45" s="468"/>
      <c r="NVO45" s="468"/>
      <c r="NVP45" s="468"/>
      <c r="NVQ45" s="468"/>
      <c r="NVR45" s="468"/>
      <c r="NVS45" s="468"/>
      <c r="NVT45" s="468"/>
      <c r="NVU45" s="468"/>
      <c r="NVV45" s="468"/>
      <c r="NVW45" s="468"/>
      <c r="NVX45" s="468"/>
      <c r="NVY45" s="468"/>
      <c r="NVZ45" s="468"/>
      <c r="NWA45" s="468"/>
      <c r="NWB45" s="468"/>
      <c r="NWC45" s="468"/>
      <c r="NWD45" s="468"/>
      <c r="NWE45" s="468"/>
      <c r="NWF45" s="468"/>
      <c r="NWG45" s="468"/>
      <c r="NWH45" s="468"/>
      <c r="NWI45" s="468"/>
      <c r="NWJ45" s="468"/>
      <c r="NWK45" s="468"/>
      <c r="NWL45" s="468"/>
      <c r="NWM45" s="468"/>
      <c r="NWN45" s="468"/>
      <c r="NWO45" s="468"/>
      <c r="NWP45" s="468"/>
      <c r="NWQ45" s="468"/>
      <c r="NWR45" s="468"/>
      <c r="NWS45" s="468"/>
      <c r="NWT45" s="468"/>
      <c r="NWU45" s="468"/>
      <c r="NWV45" s="468"/>
      <c r="NWW45" s="468"/>
      <c r="NWX45" s="468"/>
      <c r="NWY45" s="468"/>
      <c r="NWZ45" s="468"/>
      <c r="NXA45" s="468"/>
      <c r="NXB45" s="468"/>
      <c r="NXC45" s="468"/>
      <c r="NXD45" s="468"/>
      <c r="NXE45" s="468"/>
      <c r="NXF45" s="468"/>
      <c r="NXG45" s="468"/>
      <c r="NXH45" s="468"/>
      <c r="NXI45" s="468"/>
      <c r="NXJ45" s="468"/>
      <c r="NXK45" s="468"/>
      <c r="NXL45" s="468"/>
      <c r="NXM45" s="468"/>
      <c r="NXN45" s="468"/>
      <c r="NXO45" s="468"/>
      <c r="NXP45" s="468"/>
      <c r="NXQ45" s="468"/>
      <c r="NXR45" s="468"/>
      <c r="NXS45" s="468"/>
      <c r="NXT45" s="468"/>
      <c r="NXU45" s="468"/>
      <c r="NXV45" s="468"/>
      <c r="NXW45" s="468"/>
      <c r="NXX45" s="468"/>
      <c r="NXY45" s="468"/>
      <c r="NXZ45" s="468"/>
      <c r="NYA45" s="468"/>
      <c r="NYB45" s="468"/>
      <c r="NYC45" s="468"/>
      <c r="NYD45" s="468"/>
      <c r="NYE45" s="468"/>
      <c r="NYF45" s="468"/>
      <c r="NYG45" s="468"/>
      <c r="NYH45" s="468"/>
      <c r="NYI45" s="468"/>
      <c r="NYJ45" s="468"/>
      <c r="NYK45" s="468"/>
      <c r="NYL45" s="468"/>
      <c r="NYM45" s="468"/>
      <c r="NYN45" s="468"/>
      <c r="NYO45" s="468"/>
      <c r="NYP45" s="468"/>
      <c r="NYQ45" s="468"/>
      <c r="NYR45" s="468"/>
      <c r="NYS45" s="468"/>
      <c r="NYT45" s="468"/>
      <c r="NYU45" s="468"/>
      <c r="NYV45" s="468"/>
      <c r="NYW45" s="468"/>
      <c r="NYX45" s="468"/>
      <c r="NYY45" s="468"/>
      <c r="NYZ45" s="468"/>
      <c r="NZA45" s="468"/>
      <c r="NZB45" s="468"/>
      <c r="NZC45" s="468"/>
      <c r="NZD45" s="468"/>
      <c r="NZE45" s="468"/>
      <c r="NZF45" s="468"/>
      <c r="NZG45" s="468"/>
      <c r="NZH45" s="468"/>
      <c r="NZI45" s="468"/>
      <c r="NZJ45" s="468"/>
      <c r="NZK45" s="468"/>
      <c r="NZL45" s="468"/>
      <c r="NZM45" s="468"/>
      <c r="NZN45" s="468"/>
      <c r="NZO45" s="468"/>
      <c r="NZP45" s="468"/>
      <c r="NZQ45" s="468"/>
      <c r="NZR45" s="468"/>
      <c r="NZS45" s="468"/>
      <c r="NZT45" s="468"/>
      <c r="NZU45" s="468"/>
      <c r="NZV45" s="468"/>
      <c r="NZW45" s="468"/>
      <c r="NZX45" s="468"/>
      <c r="NZY45" s="468"/>
      <c r="NZZ45" s="468"/>
      <c r="OAA45" s="468"/>
      <c r="OAB45" s="468"/>
      <c r="OAC45" s="468"/>
      <c r="OAD45" s="468"/>
      <c r="OAE45" s="468"/>
      <c r="OAF45" s="468"/>
      <c r="OAG45" s="468"/>
      <c r="OAH45" s="468"/>
      <c r="OAI45" s="468"/>
      <c r="OAJ45" s="468"/>
      <c r="OAK45" s="468"/>
      <c r="OAL45" s="468"/>
      <c r="OAM45" s="468"/>
      <c r="OAN45" s="468"/>
      <c r="OAO45" s="468"/>
      <c r="OAP45" s="468"/>
      <c r="OAQ45" s="468"/>
      <c r="OAR45" s="468"/>
      <c r="OAS45" s="468"/>
      <c r="OAT45" s="468"/>
      <c r="OAU45" s="468"/>
      <c r="OAV45" s="468"/>
      <c r="OAW45" s="468"/>
      <c r="OAX45" s="468"/>
      <c r="OAY45" s="468"/>
      <c r="OAZ45" s="468"/>
      <c r="OBA45" s="468"/>
      <c r="OBB45" s="468"/>
      <c r="OBC45" s="468"/>
      <c r="OBD45" s="468"/>
      <c r="OBE45" s="468"/>
      <c r="OBF45" s="468"/>
      <c r="OBG45" s="468"/>
      <c r="OBH45" s="468"/>
      <c r="OBI45" s="468"/>
      <c r="OBJ45" s="468"/>
      <c r="OBK45" s="468"/>
      <c r="OBL45" s="468"/>
      <c r="OBM45" s="468"/>
      <c r="OBN45" s="468"/>
      <c r="OBO45" s="468"/>
      <c r="OBP45" s="468"/>
      <c r="OBQ45" s="468"/>
      <c r="OBR45" s="468"/>
      <c r="OBS45" s="468"/>
      <c r="OBT45" s="468"/>
      <c r="OBU45" s="468"/>
      <c r="OBV45" s="468"/>
      <c r="OBW45" s="468"/>
      <c r="OBX45" s="468"/>
      <c r="OBY45" s="468"/>
      <c r="OBZ45" s="468"/>
      <c r="OCA45" s="468"/>
      <c r="OCB45" s="468"/>
      <c r="OCC45" s="468"/>
      <c r="OCD45" s="468"/>
      <c r="OCE45" s="468"/>
      <c r="OCF45" s="468"/>
      <c r="OCG45" s="468"/>
      <c r="OCH45" s="468"/>
      <c r="OCI45" s="468"/>
      <c r="OCJ45" s="468"/>
      <c r="OCK45" s="468"/>
      <c r="OCL45" s="468"/>
      <c r="OCM45" s="468"/>
      <c r="OCN45" s="468"/>
      <c r="OCO45" s="468"/>
      <c r="OCP45" s="468"/>
      <c r="OCQ45" s="468"/>
      <c r="OCR45" s="468"/>
      <c r="OCS45" s="468"/>
      <c r="OCT45" s="468"/>
      <c r="OCU45" s="468"/>
      <c r="OCV45" s="468"/>
      <c r="OCW45" s="468"/>
      <c r="OCX45" s="468"/>
      <c r="OCY45" s="468"/>
      <c r="OCZ45" s="468"/>
      <c r="ODA45" s="468"/>
      <c r="ODB45" s="468"/>
      <c r="ODC45" s="468"/>
      <c r="ODD45" s="468"/>
      <c r="ODE45" s="468"/>
      <c r="ODF45" s="468"/>
      <c r="ODG45" s="468"/>
      <c r="ODH45" s="468"/>
      <c r="ODI45" s="468"/>
      <c r="ODJ45" s="468"/>
      <c r="ODK45" s="468"/>
      <c r="ODL45" s="468"/>
      <c r="ODM45" s="468"/>
      <c r="ODN45" s="468"/>
      <c r="ODO45" s="468"/>
      <c r="ODP45" s="468"/>
      <c r="ODQ45" s="468"/>
      <c r="ODR45" s="468"/>
      <c r="ODS45" s="468"/>
      <c r="ODT45" s="468"/>
      <c r="ODU45" s="468"/>
      <c r="ODV45" s="468"/>
      <c r="ODW45" s="468"/>
      <c r="ODX45" s="468"/>
      <c r="ODY45" s="468"/>
      <c r="ODZ45" s="468"/>
      <c r="OEA45" s="468"/>
      <c r="OEB45" s="468"/>
      <c r="OEC45" s="468"/>
      <c r="OED45" s="468"/>
      <c r="OEE45" s="468"/>
      <c r="OEF45" s="468"/>
      <c r="OEG45" s="468"/>
      <c r="OEH45" s="468"/>
      <c r="OEI45" s="468"/>
      <c r="OEJ45" s="468"/>
      <c r="OEK45" s="468"/>
      <c r="OEL45" s="468"/>
      <c r="OEM45" s="468"/>
      <c r="OEN45" s="468"/>
      <c r="OEO45" s="468"/>
      <c r="OEP45" s="468"/>
      <c r="OEQ45" s="468"/>
      <c r="OER45" s="468"/>
      <c r="OES45" s="468"/>
      <c r="OET45" s="468"/>
      <c r="OEU45" s="468"/>
      <c r="OEV45" s="468"/>
      <c r="OEW45" s="468"/>
      <c r="OEX45" s="468"/>
      <c r="OEY45" s="468"/>
      <c r="OEZ45" s="468"/>
      <c r="OFA45" s="468"/>
      <c r="OFB45" s="468"/>
      <c r="OFC45" s="468"/>
      <c r="OFD45" s="468"/>
      <c r="OFE45" s="468"/>
      <c r="OFF45" s="468"/>
      <c r="OFG45" s="468"/>
      <c r="OFH45" s="468"/>
      <c r="OFI45" s="468"/>
      <c r="OFJ45" s="468"/>
      <c r="OFK45" s="468"/>
      <c r="OFL45" s="468"/>
      <c r="OFM45" s="468"/>
      <c r="OFN45" s="468"/>
      <c r="OFO45" s="468"/>
      <c r="OFP45" s="468"/>
      <c r="OFQ45" s="468"/>
      <c r="OFR45" s="468"/>
      <c r="OFS45" s="468"/>
      <c r="OFT45" s="468"/>
      <c r="OFU45" s="468"/>
      <c r="OFV45" s="468"/>
      <c r="OFW45" s="468"/>
      <c r="OFX45" s="468"/>
      <c r="OFY45" s="468"/>
      <c r="OFZ45" s="468"/>
      <c r="OGA45" s="468"/>
      <c r="OGB45" s="468"/>
      <c r="OGC45" s="468"/>
      <c r="OGD45" s="468"/>
      <c r="OGE45" s="468"/>
      <c r="OGF45" s="468"/>
      <c r="OGG45" s="468"/>
      <c r="OGH45" s="468"/>
      <c r="OGI45" s="468"/>
      <c r="OGJ45" s="468"/>
      <c r="OGK45" s="468"/>
      <c r="OGL45" s="468"/>
      <c r="OGM45" s="468"/>
      <c r="OGN45" s="468"/>
      <c r="OGO45" s="468"/>
      <c r="OGP45" s="468"/>
      <c r="OGQ45" s="468"/>
      <c r="OGR45" s="468"/>
      <c r="OGS45" s="468"/>
      <c r="OGT45" s="468"/>
      <c r="OGU45" s="468"/>
      <c r="OGV45" s="468"/>
      <c r="OGW45" s="468"/>
      <c r="OGX45" s="468"/>
      <c r="OGY45" s="468"/>
      <c r="OGZ45" s="468"/>
      <c r="OHA45" s="468"/>
      <c r="OHB45" s="468"/>
      <c r="OHC45" s="468"/>
      <c r="OHD45" s="468"/>
      <c r="OHE45" s="468"/>
      <c r="OHF45" s="468"/>
      <c r="OHG45" s="468"/>
      <c r="OHH45" s="468"/>
      <c r="OHI45" s="468"/>
      <c r="OHJ45" s="468"/>
      <c r="OHK45" s="468"/>
      <c r="OHL45" s="468"/>
      <c r="OHM45" s="468"/>
      <c r="OHN45" s="468"/>
      <c r="OHO45" s="468"/>
      <c r="OHP45" s="468"/>
      <c r="OHQ45" s="468"/>
      <c r="OHR45" s="468"/>
      <c r="OHS45" s="468"/>
      <c r="OHT45" s="468"/>
      <c r="OHU45" s="468"/>
      <c r="OHV45" s="468"/>
      <c r="OHW45" s="468"/>
      <c r="OHX45" s="468"/>
      <c r="OHY45" s="468"/>
      <c r="OHZ45" s="468"/>
      <c r="OIA45" s="468"/>
      <c r="OIB45" s="468"/>
      <c r="OIC45" s="468"/>
      <c r="OID45" s="468"/>
      <c r="OIE45" s="468"/>
      <c r="OIF45" s="468"/>
      <c r="OIG45" s="468"/>
      <c r="OIH45" s="468"/>
      <c r="OII45" s="468"/>
      <c r="OIJ45" s="468"/>
      <c r="OIK45" s="468"/>
      <c r="OIL45" s="468"/>
      <c r="OIM45" s="468"/>
      <c r="OIN45" s="468"/>
      <c r="OIO45" s="468"/>
      <c r="OIP45" s="468"/>
      <c r="OIQ45" s="468"/>
      <c r="OIR45" s="468"/>
      <c r="OIS45" s="468"/>
      <c r="OIT45" s="468"/>
      <c r="OIU45" s="468"/>
      <c r="OIV45" s="468"/>
      <c r="OIW45" s="468"/>
      <c r="OIX45" s="468"/>
      <c r="OIY45" s="468"/>
      <c r="OIZ45" s="468"/>
      <c r="OJA45" s="468"/>
      <c r="OJB45" s="468"/>
      <c r="OJC45" s="468"/>
      <c r="OJD45" s="468"/>
      <c r="OJE45" s="468"/>
      <c r="OJF45" s="468"/>
      <c r="OJG45" s="468"/>
      <c r="OJH45" s="468"/>
      <c r="OJI45" s="468"/>
      <c r="OJJ45" s="468"/>
      <c r="OJK45" s="468"/>
      <c r="OJL45" s="468"/>
      <c r="OJM45" s="468"/>
      <c r="OJN45" s="468"/>
      <c r="OJO45" s="468"/>
      <c r="OJP45" s="468"/>
      <c r="OJQ45" s="468"/>
      <c r="OJR45" s="468"/>
      <c r="OJS45" s="468"/>
      <c r="OJT45" s="468"/>
      <c r="OJU45" s="468"/>
      <c r="OJV45" s="468"/>
      <c r="OJW45" s="468"/>
      <c r="OJX45" s="468"/>
      <c r="OJY45" s="468"/>
      <c r="OJZ45" s="468"/>
      <c r="OKA45" s="468"/>
      <c r="OKB45" s="468"/>
      <c r="OKC45" s="468"/>
      <c r="OKD45" s="468"/>
      <c r="OKE45" s="468"/>
      <c r="OKF45" s="468"/>
      <c r="OKG45" s="468"/>
      <c r="OKH45" s="468"/>
      <c r="OKI45" s="468"/>
      <c r="OKJ45" s="468"/>
      <c r="OKK45" s="468"/>
      <c r="OKL45" s="468"/>
      <c r="OKM45" s="468"/>
      <c r="OKN45" s="468"/>
      <c r="OKO45" s="468"/>
      <c r="OKP45" s="468"/>
      <c r="OKQ45" s="468"/>
      <c r="OKR45" s="468"/>
      <c r="OKS45" s="468"/>
      <c r="OKT45" s="468"/>
      <c r="OKU45" s="468"/>
      <c r="OKV45" s="468"/>
      <c r="OKW45" s="468"/>
      <c r="OKX45" s="468"/>
      <c r="OKY45" s="468"/>
      <c r="OKZ45" s="468"/>
      <c r="OLA45" s="468"/>
      <c r="OLB45" s="468"/>
      <c r="OLC45" s="468"/>
      <c r="OLD45" s="468"/>
      <c r="OLE45" s="468"/>
      <c r="OLF45" s="468"/>
      <c r="OLG45" s="468"/>
      <c r="OLH45" s="468"/>
      <c r="OLI45" s="468"/>
      <c r="OLJ45" s="468"/>
      <c r="OLK45" s="468"/>
      <c r="OLL45" s="468"/>
      <c r="OLM45" s="468"/>
      <c r="OLN45" s="468"/>
      <c r="OLO45" s="468"/>
      <c r="OLP45" s="468"/>
      <c r="OLQ45" s="468"/>
      <c r="OLR45" s="468"/>
      <c r="OLS45" s="468"/>
      <c r="OLT45" s="468"/>
      <c r="OLU45" s="468"/>
      <c r="OLV45" s="468"/>
      <c r="OLW45" s="468"/>
      <c r="OLX45" s="468"/>
      <c r="OLY45" s="468"/>
      <c r="OLZ45" s="468"/>
      <c r="OMA45" s="468"/>
      <c r="OMB45" s="468"/>
      <c r="OMC45" s="468"/>
      <c r="OMD45" s="468"/>
      <c r="OME45" s="468"/>
      <c r="OMF45" s="468"/>
      <c r="OMG45" s="468"/>
      <c r="OMH45" s="468"/>
      <c r="OMI45" s="468"/>
      <c r="OMJ45" s="468"/>
      <c r="OMK45" s="468"/>
      <c r="OML45" s="468"/>
      <c r="OMM45" s="468"/>
      <c r="OMN45" s="468"/>
      <c r="OMO45" s="468"/>
      <c r="OMP45" s="468"/>
      <c r="OMQ45" s="468"/>
      <c r="OMR45" s="468"/>
      <c r="OMS45" s="468"/>
      <c r="OMT45" s="468"/>
      <c r="OMU45" s="468"/>
      <c r="OMV45" s="468"/>
      <c r="OMW45" s="468"/>
      <c r="OMX45" s="468"/>
      <c r="OMY45" s="468"/>
      <c r="OMZ45" s="468"/>
      <c r="ONA45" s="468"/>
      <c r="ONB45" s="468"/>
      <c r="ONC45" s="468"/>
      <c r="OND45" s="468"/>
      <c r="ONE45" s="468"/>
      <c r="ONF45" s="468"/>
      <c r="ONG45" s="468"/>
      <c r="ONH45" s="468"/>
      <c r="ONI45" s="468"/>
      <c r="ONJ45" s="468"/>
      <c r="ONK45" s="468"/>
      <c r="ONL45" s="468"/>
      <c r="ONM45" s="468"/>
      <c r="ONN45" s="468"/>
      <c r="ONO45" s="468"/>
      <c r="ONP45" s="468"/>
      <c r="ONQ45" s="468"/>
      <c r="ONR45" s="468"/>
      <c r="ONS45" s="468"/>
      <c r="ONT45" s="468"/>
      <c r="ONU45" s="468"/>
      <c r="ONV45" s="468"/>
      <c r="ONW45" s="468"/>
      <c r="ONX45" s="468"/>
      <c r="ONY45" s="468"/>
      <c r="ONZ45" s="468"/>
      <c r="OOA45" s="468"/>
      <c r="OOB45" s="468"/>
      <c r="OOC45" s="468"/>
      <c r="OOD45" s="468"/>
      <c r="OOE45" s="468"/>
      <c r="OOF45" s="468"/>
      <c r="OOG45" s="468"/>
      <c r="OOH45" s="468"/>
      <c r="OOI45" s="468"/>
      <c r="OOJ45" s="468"/>
      <c r="OOK45" s="468"/>
      <c r="OOL45" s="468"/>
      <c r="OOM45" s="468"/>
      <c r="OON45" s="468"/>
      <c r="OOO45" s="468"/>
      <c r="OOP45" s="468"/>
      <c r="OOQ45" s="468"/>
      <c r="OOR45" s="468"/>
      <c r="OOS45" s="468"/>
      <c r="OOT45" s="468"/>
      <c r="OOU45" s="468"/>
      <c r="OOV45" s="468"/>
      <c r="OOW45" s="468"/>
      <c r="OOX45" s="468"/>
      <c r="OOY45" s="468"/>
      <c r="OOZ45" s="468"/>
      <c r="OPA45" s="468"/>
      <c r="OPB45" s="468"/>
      <c r="OPC45" s="468"/>
      <c r="OPD45" s="468"/>
      <c r="OPE45" s="468"/>
      <c r="OPF45" s="468"/>
      <c r="OPG45" s="468"/>
      <c r="OPH45" s="468"/>
      <c r="OPI45" s="468"/>
      <c r="OPJ45" s="468"/>
      <c r="OPK45" s="468"/>
      <c r="OPL45" s="468"/>
      <c r="OPM45" s="468"/>
      <c r="OPN45" s="468"/>
      <c r="OPO45" s="468"/>
      <c r="OPP45" s="468"/>
      <c r="OPQ45" s="468"/>
      <c r="OPR45" s="468"/>
      <c r="OPS45" s="468"/>
      <c r="OPT45" s="468"/>
      <c r="OPU45" s="468"/>
      <c r="OPV45" s="468"/>
      <c r="OPW45" s="468"/>
      <c r="OPX45" s="468"/>
      <c r="OPY45" s="468"/>
      <c r="OPZ45" s="468"/>
      <c r="OQA45" s="468"/>
      <c r="OQB45" s="468"/>
      <c r="OQC45" s="468"/>
      <c r="OQD45" s="468"/>
      <c r="OQE45" s="468"/>
      <c r="OQF45" s="468"/>
      <c r="OQG45" s="468"/>
      <c r="OQH45" s="468"/>
      <c r="OQI45" s="468"/>
      <c r="OQJ45" s="468"/>
      <c r="OQK45" s="468"/>
      <c r="OQL45" s="468"/>
      <c r="OQM45" s="468"/>
      <c r="OQN45" s="468"/>
      <c r="OQO45" s="468"/>
      <c r="OQP45" s="468"/>
      <c r="OQQ45" s="468"/>
      <c r="OQR45" s="468"/>
      <c r="OQS45" s="468"/>
      <c r="OQT45" s="468"/>
      <c r="OQU45" s="468"/>
      <c r="OQV45" s="468"/>
      <c r="OQW45" s="468"/>
      <c r="OQX45" s="468"/>
      <c r="OQY45" s="468"/>
      <c r="OQZ45" s="468"/>
      <c r="ORA45" s="468"/>
      <c r="ORB45" s="468"/>
      <c r="ORC45" s="468"/>
      <c r="ORD45" s="468"/>
      <c r="ORE45" s="468"/>
      <c r="ORF45" s="468"/>
      <c r="ORG45" s="468"/>
      <c r="ORH45" s="468"/>
      <c r="ORI45" s="468"/>
      <c r="ORJ45" s="468"/>
      <c r="ORK45" s="468"/>
      <c r="ORL45" s="468"/>
      <c r="ORM45" s="468"/>
      <c r="ORN45" s="468"/>
      <c r="ORO45" s="468"/>
      <c r="ORP45" s="468"/>
      <c r="ORQ45" s="468"/>
      <c r="ORR45" s="468"/>
      <c r="ORS45" s="468"/>
      <c r="ORT45" s="468"/>
      <c r="ORU45" s="468"/>
      <c r="ORV45" s="468"/>
      <c r="ORW45" s="468"/>
      <c r="ORX45" s="468"/>
      <c r="ORY45" s="468"/>
      <c r="ORZ45" s="468"/>
      <c r="OSA45" s="468"/>
      <c r="OSB45" s="468"/>
      <c r="OSC45" s="468"/>
      <c r="OSD45" s="468"/>
      <c r="OSE45" s="468"/>
      <c r="OSF45" s="468"/>
      <c r="OSG45" s="468"/>
      <c r="OSH45" s="468"/>
      <c r="OSI45" s="468"/>
      <c r="OSJ45" s="468"/>
      <c r="OSK45" s="468"/>
      <c r="OSL45" s="468"/>
      <c r="OSM45" s="468"/>
      <c r="OSN45" s="468"/>
      <c r="OSO45" s="468"/>
      <c r="OSP45" s="468"/>
      <c r="OSQ45" s="468"/>
      <c r="OSR45" s="468"/>
      <c r="OSS45" s="468"/>
      <c r="OST45" s="468"/>
      <c r="OSU45" s="468"/>
      <c r="OSV45" s="468"/>
      <c r="OSW45" s="468"/>
      <c r="OSX45" s="468"/>
      <c r="OSY45" s="468"/>
      <c r="OSZ45" s="468"/>
      <c r="OTA45" s="468"/>
      <c r="OTB45" s="468"/>
      <c r="OTC45" s="468"/>
      <c r="OTD45" s="468"/>
      <c r="OTE45" s="468"/>
      <c r="OTF45" s="468"/>
      <c r="OTG45" s="468"/>
      <c r="OTH45" s="468"/>
      <c r="OTI45" s="468"/>
      <c r="OTJ45" s="468"/>
      <c r="OTK45" s="468"/>
      <c r="OTL45" s="468"/>
      <c r="OTM45" s="468"/>
      <c r="OTN45" s="468"/>
      <c r="OTO45" s="468"/>
      <c r="OTP45" s="468"/>
      <c r="OTQ45" s="468"/>
      <c r="OTR45" s="468"/>
      <c r="OTS45" s="468"/>
      <c r="OTT45" s="468"/>
      <c r="OTU45" s="468"/>
      <c r="OTV45" s="468"/>
      <c r="OTW45" s="468"/>
      <c r="OTX45" s="468"/>
      <c r="OTY45" s="468"/>
      <c r="OTZ45" s="468"/>
      <c r="OUA45" s="468"/>
      <c r="OUB45" s="468"/>
      <c r="OUC45" s="468"/>
      <c r="OUD45" s="468"/>
      <c r="OUE45" s="468"/>
      <c r="OUF45" s="468"/>
      <c r="OUG45" s="468"/>
      <c r="OUH45" s="468"/>
      <c r="OUI45" s="468"/>
      <c r="OUJ45" s="468"/>
      <c r="OUK45" s="468"/>
      <c r="OUL45" s="468"/>
      <c r="OUM45" s="468"/>
      <c r="OUN45" s="468"/>
      <c r="OUO45" s="468"/>
      <c r="OUP45" s="468"/>
      <c r="OUQ45" s="468"/>
      <c r="OUR45" s="468"/>
      <c r="OUS45" s="468"/>
      <c r="OUT45" s="468"/>
      <c r="OUU45" s="468"/>
      <c r="OUV45" s="468"/>
      <c r="OUW45" s="468"/>
      <c r="OUX45" s="468"/>
      <c r="OUY45" s="468"/>
      <c r="OUZ45" s="468"/>
      <c r="OVA45" s="468"/>
      <c r="OVB45" s="468"/>
      <c r="OVC45" s="468"/>
      <c r="OVD45" s="468"/>
      <c r="OVE45" s="468"/>
      <c r="OVF45" s="468"/>
      <c r="OVG45" s="468"/>
      <c r="OVH45" s="468"/>
      <c r="OVI45" s="468"/>
      <c r="OVJ45" s="468"/>
      <c r="OVK45" s="468"/>
      <c r="OVL45" s="468"/>
      <c r="OVM45" s="468"/>
      <c r="OVN45" s="468"/>
      <c r="OVO45" s="468"/>
      <c r="OVP45" s="468"/>
      <c r="OVQ45" s="468"/>
      <c r="OVR45" s="468"/>
      <c r="OVS45" s="468"/>
      <c r="OVT45" s="468"/>
      <c r="OVU45" s="468"/>
      <c r="OVV45" s="468"/>
      <c r="OVW45" s="468"/>
      <c r="OVX45" s="468"/>
      <c r="OVY45" s="468"/>
      <c r="OVZ45" s="468"/>
      <c r="OWA45" s="468"/>
      <c r="OWB45" s="468"/>
      <c r="OWC45" s="468"/>
      <c r="OWD45" s="468"/>
      <c r="OWE45" s="468"/>
      <c r="OWF45" s="468"/>
      <c r="OWG45" s="468"/>
      <c r="OWH45" s="468"/>
      <c r="OWI45" s="468"/>
      <c r="OWJ45" s="468"/>
      <c r="OWK45" s="468"/>
      <c r="OWL45" s="468"/>
      <c r="OWM45" s="468"/>
      <c r="OWN45" s="468"/>
      <c r="OWO45" s="468"/>
      <c r="OWP45" s="468"/>
      <c r="OWQ45" s="468"/>
      <c r="OWR45" s="468"/>
      <c r="OWS45" s="468"/>
      <c r="OWT45" s="468"/>
      <c r="OWU45" s="468"/>
      <c r="OWV45" s="468"/>
      <c r="OWW45" s="468"/>
      <c r="OWX45" s="468"/>
      <c r="OWY45" s="468"/>
      <c r="OWZ45" s="468"/>
      <c r="OXA45" s="468"/>
      <c r="OXB45" s="468"/>
      <c r="OXC45" s="468"/>
      <c r="OXD45" s="468"/>
      <c r="OXE45" s="468"/>
      <c r="OXF45" s="468"/>
      <c r="OXG45" s="468"/>
      <c r="OXH45" s="468"/>
      <c r="OXI45" s="468"/>
      <c r="OXJ45" s="468"/>
      <c r="OXK45" s="468"/>
      <c r="OXL45" s="468"/>
      <c r="OXM45" s="468"/>
      <c r="OXN45" s="468"/>
      <c r="OXO45" s="468"/>
      <c r="OXP45" s="468"/>
      <c r="OXQ45" s="468"/>
      <c r="OXR45" s="468"/>
      <c r="OXS45" s="468"/>
      <c r="OXT45" s="468"/>
      <c r="OXU45" s="468"/>
      <c r="OXV45" s="468"/>
      <c r="OXW45" s="468"/>
      <c r="OXX45" s="468"/>
      <c r="OXY45" s="468"/>
      <c r="OXZ45" s="468"/>
      <c r="OYA45" s="468"/>
      <c r="OYB45" s="468"/>
      <c r="OYC45" s="468"/>
      <c r="OYD45" s="468"/>
      <c r="OYE45" s="468"/>
      <c r="OYF45" s="468"/>
      <c r="OYG45" s="468"/>
      <c r="OYH45" s="468"/>
      <c r="OYI45" s="468"/>
      <c r="OYJ45" s="468"/>
      <c r="OYK45" s="468"/>
      <c r="OYL45" s="468"/>
      <c r="OYM45" s="468"/>
      <c r="OYN45" s="468"/>
      <c r="OYO45" s="468"/>
      <c r="OYP45" s="468"/>
      <c r="OYQ45" s="468"/>
      <c r="OYR45" s="468"/>
      <c r="OYS45" s="468"/>
      <c r="OYT45" s="468"/>
      <c r="OYU45" s="468"/>
      <c r="OYV45" s="468"/>
      <c r="OYW45" s="468"/>
      <c r="OYX45" s="468"/>
      <c r="OYY45" s="468"/>
      <c r="OYZ45" s="468"/>
      <c r="OZA45" s="468"/>
      <c r="OZB45" s="468"/>
      <c r="OZC45" s="468"/>
      <c r="OZD45" s="468"/>
      <c r="OZE45" s="468"/>
      <c r="OZF45" s="468"/>
      <c r="OZG45" s="468"/>
      <c r="OZH45" s="468"/>
      <c r="OZI45" s="468"/>
      <c r="OZJ45" s="468"/>
      <c r="OZK45" s="468"/>
      <c r="OZL45" s="468"/>
      <c r="OZM45" s="468"/>
      <c r="OZN45" s="468"/>
      <c r="OZO45" s="468"/>
      <c r="OZP45" s="468"/>
      <c r="OZQ45" s="468"/>
      <c r="OZR45" s="468"/>
      <c r="OZS45" s="468"/>
      <c r="OZT45" s="468"/>
      <c r="OZU45" s="468"/>
      <c r="OZV45" s="468"/>
      <c r="OZW45" s="468"/>
      <c r="OZX45" s="468"/>
      <c r="OZY45" s="468"/>
      <c r="OZZ45" s="468"/>
      <c r="PAA45" s="468"/>
      <c r="PAB45" s="468"/>
      <c r="PAC45" s="468"/>
      <c r="PAD45" s="468"/>
      <c r="PAE45" s="468"/>
      <c r="PAF45" s="468"/>
      <c r="PAG45" s="468"/>
      <c r="PAH45" s="468"/>
      <c r="PAI45" s="468"/>
      <c r="PAJ45" s="468"/>
      <c r="PAK45" s="468"/>
      <c r="PAL45" s="468"/>
      <c r="PAM45" s="468"/>
      <c r="PAN45" s="468"/>
      <c r="PAO45" s="468"/>
      <c r="PAP45" s="468"/>
      <c r="PAQ45" s="468"/>
      <c r="PAR45" s="468"/>
      <c r="PAS45" s="468"/>
      <c r="PAT45" s="468"/>
      <c r="PAU45" s="468"/>
      <c r="PAV45" s="468"/>
      <c r="PAW45" s="468"/>
      <c r="PAX45" s="468"/>
      <c r="PAY45" s="468"/>
      <c r="PAZ45" s="468"/>
      <c r="PBA45" s="468"/>
      <c r="PBB45" s="468"/>
      <c r="PBC45" s="468"/>
      <c r="PBD45" s="468"/>
      <c r="PBE45" s="468"/>
      <c r="PBF45" s="468"/>
      <c r="PBG45" s="468"/>
      <c r="PBH45" s="468"/>
      <c r="PBI45" s="468"/>
      <c r="PBJ45" s="468"/>
      <c r="PBK45" s="468"/>
      <c r="PBL45" s="468"/>
      <c r="PBM45" s="468"/>
      <c r="PBN45" s="468"/>
      <c r="PBO45" s="468"/>
      <c r="PBP45" s="468"/>
      <c r="PBQ45" s="468"/>
      <c r="PBR45" s="468"/>
      <c r="PBS45" s="468"/>
      <c r="PBT45" s="468"/>
      <c r="PBU45" s="468"/>
      <c r="PBV45" s="468"/>
      <c r="PBW45" s="468"/>
      <c r="PBX45" s="468"/>
      <c r="PBY45" s="468"/>
      <c r="PBZ45" s="468"/>
      <c r="PCA45" s="468"/>
      <c r="PCB45" s="468"/>
      <c r="PCC45" s="468"/>
      <c r="PCD45" s="468"/>
      <c r="PCE45" s="468"/>
      <c r="PCF45" s="468"/>
      <c r="PCG45" s="468"/>
      <c r="PCH45" s="468"/>
      <c r="PCI45" s="468"/>
      <c r="PCJ45" s="468"/>
      <c r="PCK45" s="468"/>
      <c r="PCL45" s="468"/>
      <c r="PCM45" s="468"/>
      <c r="PCN45" s="468"/>
      <c r="PCO45" s="468"/>
      <c r="PCP45" s="468"/>
      <c r="PCQ45" s="468"/>
      <c r="PCR45" s="468"/>
      <c r="PCS45" s="468"/>
      <c r="PCT45" s="468"/>
      <c r="PCU45" s="468"/>
      <c r="PCV45" s="468"/>
      <c r="PCW45" s="468"/>
      <c r="PCX45" s="468"/>
      <c r="PCY45" s="468"/>
      <c r="PCZ45" s="468"/>
      <c r="PDA45" s="468"/>
      <c r="PDB45" s="468"/>
      <c r="PDC45" s="468"/>
      <c r="PDD45" s="468"/>
      <c r="PDE45" s="468"/>
      <c r="PDF45" s="468"/>
      <c r="PDG45" s="468"/>
      <c r="PDH45" s="468"/>
      <c r="PDI45" s="468"/>
      <c r="PDJ45" s="468"/>
      <c r="PDK45" s="468"/>
      <c r="PDL45" s="468"/>
      <c r="PDM45" s="468"/>
      <c r="PDN45" s="468"/>
      <c r="PDO45" s="468"/>
      <c r="PDP45" s="468"/>
      <c r="PDQ45" s="468"/>
      <c r="PDR45" s="468"/>
      <c r="PDS45" s="468"/>
      <c r="PDT45" s="468"/>
      <c r="PDU45" s="468"/>
      <c r="PDV45" s="468"/>
      <c r="PDW45" s="468"/>
      <c r="PDX45" s="468"/>
      <c r="PDY45" s="468"/>
      <c r="PDZ45" s="468"/>
      <c r="PEA45" s="468"/>
      <c r="PEB45" s="468"/>
      <c r="PEC45" s="468"/>
      <c r="PED45" s="468"/>
      <c r="PEE45" s="468"/>
      <c r="PEF45" s="468"/>
      <c r="PEG45" s="468"/>
      <c r="PEH45" s="468"/>
      <c r="PEI45" s="468"/>
      <c r="PEJ45" s="468"/>
      <c r="PEK45" s="468"/>
      <c r="PEL45" s="468"/>
      <c r="PEM45" s="468"/>
      <c r="PEN45" s="468"/>
      <c r="PEO45" s="468"/>
      <c r="PEP45" s="468"/>
      <c r="PEQ45" s="468"/>
      <c r="PER45" s="468"/>
      <c r="PES45" s="468"/>
      <c r="PET45" s="468"/>
      <c r="PEU45" s="468"/>
      <c r="PEV45" s="468"/>
      <c r="PEW45" s="468"/>
      <c r="PEX45" s="468"/>
      <c r="PEY45" s="468"/>
      <c r="PEZ45" s="468"/>
      <c r="PFA45" s="468"/>
      <c r="PFB45" s="468"/>
      <c r="PFC45" s="468"/>
      <c r="PFD45" s="468"/>
      <c r="PFE45" s="468"/>
      <c r="PFF45" s="468"/>
      <c r="PFG45" s="468"/>
      <c r="PFH45" s="468"/>
      <c r="PFI45" s="468"/>
      <c r="PFJ45" s="468"/>
      <c r="PFK45" s="468"/>
      <c r="PFL45" s="468"/>
      <c r="PFM45" s="468"/>
      <c r="PFN45" s="468"/>
      <c r="PFO45" s="468"/>
      <c r="PFP45" s="468"/>
      <c r="PFQ45" s="468"/>
      <c r="PFR45" s="468"/>
      <c r="PFS45" s="468"/>
      <c r="PFT45" s="468"/>
      <c r="PFU45" s="468"/>
      <c r="PFV45" s="468"/>
      <c r="PFW45" s="468"/>
      <c r="PFX45" s="468"/>
      <c r="PFY45" s="468"/>
      <c r="PFZ45" s="468"/>
      <c r="PGA45" s="468"/>
      <c r="PGB45" s="468"/>
      <c r="PGC45" s="468"/>
      <c r="PGD45" s="468"/>
      <c r="PGE45" s="468"/>
      <c r="PGF45" s="468"/>
      <c r="PGG45" s="468"/>
      <c r="PGH45" s="468"/>
      <c r="PGI45" s="468"/>
      <c r="PGJ45" s="468"/>
      <c r="PGK45" s="468"/>
      <c r="PGL45" s="468"/>
      <c r="PGM45" s="468"/>
      <c r="PGN45" s="468"/>
      <c r="PGO45" s="468"/>
      <c r="PGP45" s="468"/>
      <c r="PGQ45" s="468"/>
      <c r="PGR45" s="468"/>
      <c r="PGS45" s="468"/>
      <c r="PGT45" s="468"/>
      <c r="PGU45" s="468"/>
      <c r="PGV45" s="468"/>
      <c r="PGW45" s="468"/>
      <c r="PGX45" s="468"/>
      <c r="PGY45" s="468"/>
      <c r="PGZ45" s="468"/>
      <c r="PHA45" s="468"/>
      <c r="PHB45" s="468"/>
      <c r="PHC45" s="468"/>
      <c r="PHD45" s="468"/>
      <c r="PHE45" s="468"/>
      <c r="PHF45" s="468"/>
      <c r="PHG45" s="468"/>
      <c r="PHH45" s="468"/>
      <c r="PHI45" s="468"/>
      <c r="PHJ45" s="468"/>
      <c r="PHK45" s="468"/>
      <c r="PHL45" s="468"/>
      <c r="PHM45" s="468"/>
      <c r="PHN45" s="468"/>
      <c r="PHO45" s="468"/>
      <c r="PHP45" s="468"/>
      <c r="PHQ45" s="468"/>
      <c r="PHR45" s="468"/>
      <c r="PHS45" s="468"/>
      <c r="PHT45" s="468"/>
      <c r="PHU45" s="468"/>
      <c r="PHV45" s="468"/>
      <c r="PHW45" s="468"/>
      <c r="PHX45" s="468"/>
      <c r="PHY45" s="468"/>
      <c r="PHZ45" s="468"/>
      <c r="PIA45" s="468"/>
      <c r="PIB45" s="468"/>
      <c r="PIC45" s="468"/>
      <c r="PID45" s="468"/>
      <c r="PIE45" s="468"/>
      <c r="PIF45" s="468"/>
      <c r="PIG45" s="468"/>
      <c r="PIH45" s="468"/>
      <c r="PII45" s="468"/>
      <c r="PIJ45" s="468"/>
      <c r="PIK45" s="468"/>
      <c r="PIL45" s="468"/>
      <c r="PIM45" s="468"/>
      <c r="PIN45" s="468"/>
      <c r="PIO45" s="468"/>
      <c r="PIP45" s="468"/>
      <c r="PIQ45" s="468"/>
      <c r="PIR45" s="468"/>
      <c r="PIS45" s="468"/>
      <c r="PIT45" s="468"/>
      <c r="PIU45" s="468"/>
      <c r="PIV45" s="468"/>
      <c r="PIW45" s="468"/>
      <c r="PIX45" s="468"/>
      <c r="PIY45" s="468"/>
      <c r="PIZ45" s="468"/>
      <c r="PJA45" s="468"/>
      <c r="PJB45" s="468"/>
      <c r="PJC45" s="468"/>
      <c r="PJD45" s="468"/>
      <c r="PJE45" s="468"/>
      <c r="PJF45" s="468"/>
      <c r="PJG45" s="468"/>
      <c r="PJH45" s="468"/>
      <c r="PJI45" s="468"/>
      <c r="PJJ45" s="468"/>
      <c r="PJK45" s="468"/>
      <c r="PJL45" s="468"/>
      <c r="PJM45" s="468"/>
      <c r="PJN45" s="468"/>
      <c r="PJO45" s="468"/>
      <c r="PJP45" s="468"/>
      <c r="PJQ45" s="468"/>
      <c r="PJR45" s="468"/>
      <c r="PJS45" s="468"/>
      <c r="PJT45" s="468"/>
      <c r="PJU45" s="468"/>
      <c r="PJV45" s="468"/>
      <c r="PJW45" s="468"/>
      <c r="PJX45" s="468"/>
      <c r="PJY45" s="468"/>
      <c r="PJZ45" s="468"/>
      <c r="PKA45" s="468"/>
      <c r="PKB45" s="468"/>
      <c r="PKC45" s="468"/>
      <c r="PKD45" s="468"/>
      <c r="PKE45" s="468"/>
      <c r="PKF45" s="468"/>
      <c r="PKG45" s="468"/>
      <c r="PKH45" s="468"/>
      <c r="PKI45" s="468"/>
      <c r="PKJ45" s="468"/>
      <c r="PKK45" s="468"/>
      <c r="PKL45" s="468"/>
      <c r="PKM45" s="468"/>
      <c r="PKN45" s="468"/>
      <c r="PKO45" s="468"/>
      <c r="PKP45" s="468"/>
      <c r="PKQ45" s="468"/>
      <c r="PKR45" s="468"/>
      <c r="PKS45" s="468"/>
      <c r="PKT45" s="468"/>
      <c r="PKU45" s="468"/>
      <c r="PKV45" s="468"/>
      <c r="PKW45" s="468"/>
      <c r="PKX45" s="468"/>
      <c r="PKY45" s="468"/>
      <c r="PKZ45" s="468"/>
      <c r="PLA45" s="468"/>
      <c r="PLB45" s="468"/>
      <c r="PLC45" s="468"/>
      <c r="PLD45" s="468"/>
      <c r="PLE45" s="468"/>
      <c r="PLF45" s="468"/>
      <c r="PLG45" s="468"/>
      <c r="PLH45" s="468"/>
      <c r="PLI45" s="468"/>
      <c r="PLJ45" s="468"/>
      <c r="PLK45" s="468"/>
      <c r="PLL45" s="468"/>
      <c r="PLM45" s="468"/>
      <c r="PLN45" s="468"/>
      <c r="PLO45" s="468"/>
      <c r="PLP45" s="468"/>
      <c r="PLQ45" s="468"/>
      <c r="PLR45" s="468"/>
      <c r="PLS45" s="468"/>
      <c r="PLT45" s="468"/>
      <c r="PLU45" s="468"/>
      <c r="PLV45" s="468"/>
      <c r="PLW45" s="468"/>
      <c r="PLX45" s="468"/>
      <c r="PLY45" s="468"/>
      <c r="PLZ45" s="468"/>
      <c r="PMA45" s="468"/>
      <c r="PMB45" s="468"/>
      <c r="PMC45" s="468"/>
      <c r="PMD45" s="468"/>
      <c r="PME45" s="468"/>
      <c r="PMF45" s="468"/>
      <c r="PMG45" s="468"/>
      <c r="PMH45" s="468"/>
      <c r="PMI45" s="468"/>
      <c r="PMJ45" s="468"/>
      <c r="PMK45" s="468"/>
      <c r="PML45" s="468"/>
      <c r="PMM45" s="468"/>
      <c r="PMN45" s="468"/>
      <c r="PMO45" s="468"/>
      <c r="PMP45" s="468"/>
      <c r="PMQ45" s="468"/>
      <c r="PMR45" s="468"/>
      <c r="PMS45" s="468"/>
      <c r="PMT45" s="468"/>
      <c r="PMU45" s="468"/>
      <c r="PMV45" s="468"/>
      <c r="PMW45" s="468"/>
      <c r="PMX45" s="468"/>
      <c r="PMY45" s="468"/>
      <c r="PMZ45" s="468"/>
      <c r="PNA45" s="468"/>
      <c r="PNB45" s="468"/>
      <c r="PNC45" s="468"/>
      <c r="PND45" s="468"/>
      <c r="PNE45" s="468"/>
      <c r="PNF45" s="468"/>
      <c r="PNG45" s="468"/>
      <c r="PNH45" s="468"/>
      <c r="PNI45" s="468"/>
      <c r="PNJ45" s="468"/>
      <c r="PNK45" s="468"/>
      <c r="PNL45" s="468"/>
      <c r="PNM45" s="468"/>
      <c r="PNN45" s="468"/>
      <c r="PNO45" s="468"/>
      <c r="PNP45" s="468"/>
      <c r="PNQ45" s="468"/>
      <c r="PNR45" s="468"/>
      <c r="PNS45" s="468"/>
      <c r="PNT45" s="468"/>
      <c r="PNU45" s="468"/>
      <c r="PNV45" s="468"/>
      <c r="PNW45" s="468"/>
      <c r="PNX45" s="468"/>
      <c r="PNY45" s="468"/>
      <c r="PNZ45" s="468"/>
      <c r="POA45" s="468"/>
      <c r="POB45" s="468"/>
      <c r="POC45" s="468"/>
      <c r="POD45" s="468"/>
      <c r="POE45" s="468"/>
      <c r="POF45" s="468"/>
      <c r="POG45" s="468"/>
      <c r="POH45" s="468"/>
      <c r="POI45" s="468"/>
      <c r="POJ45" s="468"/>
      <c r="POK45" s="468"/>
      <c r="POL45" s="468"/>
      <c r="POM45" s="468"/>
      <c r="PON45" s="468"/>
      <c r="POO45" s="468"/>
      <c r="POP45" s="468"/>
      <c r="POQ45" s="468"/>
      <c r="POR45" s="468"/>
      <c r="POS45" s="468"/>
      <c r="POT45" s="468"/>
      <c r="POU45" s="468"/>
      <c r="POV45" s="468"/>
      <c r="POW45" s="468"/>
      <c r="POX45" s="468"/>
      <c r="POY45" s="468"/>
      <c r="POZ45" s="468"/>
      <c r="PPA45" s="468"/>
      <c r="PPB45" s="468"/>
      <c r="PPC45" s="468"/>
      <c r="PPD45" s="468"/>
      <c r="PPE45" s="468"/>
      <c r="PPF45" s="468"/>
      <c r="PPG45" s="468"/>
      <c r="PPH45" s="468"/>
      <c r="PPI45" s="468"/>
      <c r="PPJ45" s="468"/>
      <c r="PPK45" s="468"/>
      <c r="PPL45" s="468"/>
      <c r="PPM45" s="468"/>
      <c r="PPN45" s="468"/>
      <c r="PPO45" s="468"/>
      <c r="PPP45" s="468"/>
      <c r="PPQ45" s="468"/>
      <c r="PPR45" s="468"/>
      <c r="PPS45" s="468"/>
      <c r="PPT45" s="468"/>
      <c r="PPU45" s="468"/>
      <c r="PPV45" s="468"/>
      <c r="PPW45" s="468"/>
      <c r="PPX45" s="468"/>
      <c r="PPY45" s="468"/>
      <c r="PPZ45" s="468"/>
      <c r="PQA45" s="468"/>
      <c r="PQB45" s="468"/>
      <c r="PQC45" s="468"/>
      <c r="PQD45" s="468"/>
      <c r="PQE45" s="468"/>
      <c r="PQF45" s="468"/>
      <c r="PQG45" s="468"/>
      <c r="PQH45" s="468"/>
      <c r="PQI45" s="468"/>
      <c r="PQJ45" s="468"/>
      <c r="PQK45" s="468"/>
      <c r="PQL45" s="468"/>
      <c r="PQM45" s="468"/>
      <c r="PQN45" s="468"/>
      <c r="PQO45" s="468"/>
      <c r="PQP45" s="468"/>
      <c r="PQQ45" s="468"/>
      <c r="PQR45" s="468"/>
      <c r="PQS45" s="468"/>
      <c r="PQT45" s="468"/>
      <c r="PQU45" s="468"/>
      <c r="PQV45" s="468"/>
      <c r="PQW45" s="468"/>
      <c r="PQX45" s="468"/>
      <c r="PQY45" s="468"/>
      <c r="PQZ45" s="468"/>
      <c r="PRA45" s="468"/>
      <c r="PRB45" s="468"/>
      <c r="PRC45" s="468"/>
      <c r="PRD45" s="468"/>
      <c r="PRE45" s="468"/>
      <c r="PRF45" s="468"/>
      <c r="PRG45" s="468"/>
      <c r="PRH45" s="468"/>
      <c r="PRI45" s="468"/>
      <c r="PRJ45" s="468"/>
      <c r="PRK45" s="468"/>
      <c r="PRL45" s="468"/>
      <c r="PRM45" s="468"/>
      <c r="PRN45" s="468"/>
      <c r="PRO45" s="468"/>
      <c r="PRP45" s="468"/>
      <c r="PRQ45" s="468"/>
      <c r="PRR45" s="468"/>
      <c r="PRS45" s="468"/>
      <c r="PRT45" s="468"/>
      <c r="PRU45" s="468"/>
      <c r="PRV45" s="468"/>
      <c r="PRW45" s="468"/>
      <c r="PRX45" s="468"/>
      <c r="PRY45" s="468"/>
      <c r="PRZ45" s="468"/>
      <c r="PSA45" s="468"/>
      <c r="PSB45" s="468"/>
      <c r="PSC45" s="468"/>
      <c r="PSD45" s="468"/>
      <c r="PSE45" s="468"/>
      <c r="PSF45" s="468"/>
      <c r="PSG45" s="468"/>
      <c r="PSH45" s="468"/>
      <c r="PSI45" s="468"/>
      <c r="PSJ45" s="468"/>
      <c r="PSK45" s="468"/>
      <c r="PSL45" s="468"/>
      <c r="PSM45" s="468"/>
      <c r="PSN45" s="468"/>
      <c r="PSO45" s="468"/>
      <c r="PSP45" s="468"/>
      <c r="PSQ45" s="468"/>
      <c r="PSR45" s="468"/>
      <c r="PSS45" s="468"/>
      <c r="PST45" s="468"/>
      <c r="PSU45" s="468"/>
      <c r="PSV45" s="468"/>
      <c r="PSW45" s="468"/>
      <c r="PSX45" s="468"/>
      <c r="PSY45" s="468"/>
      <c r="PSZ45" s="468"/>
      <c r="PTA45" s="468"/>
      <c r="PTB45" s="468"/>
      <c r="PTC45" s="468"/>
      <c r="PTD45" s="468"/>
      <c r="PTE45" s="468"/>
      <c r="PTF45" s="468"/>
      <c r="PTG45" s="468"/>
      <c r="PTH45" s="468"/>
      <c r="PTI45" s="468"/>
      <c r="PTJ45" s="468"/>
      <c r="PTK45" s="468"/>
      <c r="PTL45" s="468"/>
      <c r="PTM45" s="468"/>
      <c r="PTN45" s="468"/>
      <c r="PTO45" s="468"/>
      <c r="PTP45" s="468"/>
      <c r="PTQ45" s="468"/>
      <c r="PTR45" s="468"/>
      <c r="PTS45" s="468"/>
      <c r="PTT45" s="468"/>
      <c r="PTU45" s="468"/>
      <c r="PTV45" s="468"/>
      <c r="PTW45" s="468"/>
      <c r="PTX45" s="468"/>
      <c r="PTY45" s="468"/>
      <c r="PTZ45" s="468"/>
      <c r="PUA45" s="468"/>
      <c r="PUB45" s="468"/>
      <c r="PUC45" s="468"/>
      <c r="PUD45" s="468"/>
      <c r="PUE45" s="468"/>
      <c r="PUF45" s="468"/>
      <c r="PUG45" s="468"/>
      <c r="PUH45" s="468"/>
      <c r="PUI45" s="468"/>
      <c r="PUJ45" s="468"/>
      <c r="PUK45" s="468"/>
      <c r="PUL45" s="468"/>
      <c r="PUM45" s="468"/>
      <c r="PUN45" s="468"/>
      <c r="PUO45" s="468"/>
      <c r="PUP45" s="468"/>
      <c r="PUQ45" s="468"/>
      <c r="PUR45" s="468"/>
      <c r="PUS45" s="468"/>
      <c r="PUT45" s="468"/>
      <c r="PUU45" s="468"/>
      <c r="PUV45" s="468"/>
      <c r="PUW45" s="468"/>
      <c r="PUX45" s="468"/>
      <c r="PUY45" s="468"/>
      <c r="PUZ45" s="468"/>
      <c r="PVA45" s="468"/>
      <c r="PVB45" s="468"/>
      <c r="PVC45" s="468"/>
      <c r="PVD45" s="468"/>
      <c r="PVE45" s="468"/>
      <c r="PVF45" s="468"/>
      <c r="PVG45" s="468"/>
      <c r="PVH45" s="468"/>
      <c r="PVI45" s="468"/>
      <c r="PVJ45" s="468"/>
      <c r="PVK45" s="468"/>
      <c r="PVL45" s="468"/>
      <c r="PVM45" s="468"/>
      <c r="PVN45" s="468"/>
      <c r="PVO45" s="468"/>
      <c r="PVP45" s="468"/>
      <c r="PVQ45" s="468"/>
      <c r="PVR45" s="468"/>
      <c r="PVS45" s="468"/>
      <c r="PVT45" s="468"/>
      <c r="PVU45" s="468"/>
      <c r="PVV45" s="468"/>
      <c r="PVW45" s="468"/>
      <c r="PVX45" s="468"/>
      <c r="PVY45" s="468"/>
      <c r="PVZ45" s="468"/>
      <c r="PWA45" s="468"/>
      <c r="PWB45" s="468"/>
      <c r="PWC45" s="468"/>
      <c r="PWD45" s="468"/>
      <c r="PWE45" s="468"/>
      <c r="PWF45" s="468"/>
      <c r="PWG45" s="468"/>
      <c r="PWH45" s="468"/>
      <c r="PWI45" s="468"/>
      <c r="PWJ45" s="468"/>
      <c r="PWK45" s="468"/>
      <c r="PWL45" s="468"/>
      <c r="PWM45" s="468"/>
      <c r="PWN45" s="468"/>
      <c r="PWO45" s="468"/>
      <c r="PWP45" s="468"/>
      <c r="PWQ45" s="468"/>
      <c r="PWR45" s="468"/>
      <c r="PWS45" s="468"/>
      <c r="PWT45" s="468"/>
      <c r="PWU45" s="468"/>
      <c r="PWV45" s="468"/>
      <c r="PWW45" s="468"/>
      <c r="PWX45" s="468"/>
      <c r="PWY45" s="468"/>
      <c r="PWZ45" s="468"/>
      <c r="PXA45" s="468"/>
      <c r="PXB45" s="468"/>
      <c r="PXC45" s="468"/>
      <c r="PXD45" s="468"/>
      <c r="PXE45" s="468"/>
      <c r="PXF45" s="468"/>
      <c r="PXG45" s="468"/>
      <c r="PXH45" s="468"/>
      <c r="PXI45" s="468"/>
      <c r="PXJ45" s="468"/>
      <c r="PXK45" s="468"/>
      <c r="PXL45" s="468"/>
      <c r="PXM45" s="468"/>
      <c r="PXN45" s="468"/>
      <c r="PXO45" s="468"/>
      <c r="PXP45" s="468"/>
      <c r="PXQ45" s="468"/>
      <c r="PXR45" s="468"/>
      <c r="PXS45" s="468"/>
      <c r="PXT45" s="468"/>
      <c r="PXU45" s="468"/>
      <c r="PXV45" s="468"/>
      <c r="PXW45" s="468"/>
      <c r="PXX45" s="468"/>
      <c r="PXY45" s="468"/>
      <c r="PXZ45" s="468"/>
      <c r="PYA45" s="468"/>
      <c r="PYB45" s="468"/>
      <c r="PYC45" s="468"/>
      <c r="PYD45" s="468"/>
      <c r="PYE45" s="468"/>
      <c r="PYF45" s="468"/>
      <c r="PYG45" s="468"/>
      <c r="PYH45" s="468"/>
      <c r="PYI45" s="468"/>
      <c r="PYJ45" s="468"/>
      <c r="PYK45" s="468"/>
      <c r="PYL45" s="468"/>
      <c r="PYM45" s="468"/>
      <c r="PYN45" s="468"/>
      <c r="PYO45" s="468"/>
      <c r="PYP45" s="468"/>
      <c r="PYQ45" s="468"/>
      <c r="PYR45" s="468"/>
      <c r="PYS45" s="468"/>
      <c r="PYT45" s="468"/>
      <c r="PYU45" s="468"/>
      <c r="PYV45" s="468"/>
      <c r="PYW45" s="468"/>
      <c r="PYX45" s="468"/>
      <c r="PYY45" s="468"/>
      <c r="PYZ45" s="468"/>
      <c r="PZA45" s="468"/>
      <c r="PZB45" s="468"/>
      <c r="PZC45" s="468"/>
      <c r="PZD45" s="468"/>
      <c r="PZE45" s="468"/>
      <c r="PZF45" s="468"/>
      <c r="PZG45" s="468"/>
      <c r="PZH45" s="468"/>
      <c r="PZI45" s="468"/>
      <c r="PZJ45" s="468"/>
      <c r="PZK45" s="468"/>
      <c r="PZL45" s="468"/>
      <c r="PZM45" s="468"/>
      <c r="PZN45" s="468"/>
      <c r="PZO45" s="468"/>
      <c r="PZP45" s="468"/>
      <c r="PZQ45" s="468"/>
      <c r="PZR45" s="468"/>
      <c r="PZS45" s="468"/>
      <c r="PZT45" s="468"/>
      <c r="PZU45" s="468"/>
      <c r="PZV45" s="468"/>
      <c r="PZW45" s="468"/>
      <c r="PZX45" s="468"/>
      <c r="PZY45" s="468"/>
      <c r="PZZ45" s="468"/>
      <c r="QAA45" s="468"/>
      <c r="QAB45" s="468"/>
      <c r="QAC45" s="468"/>
      <c r="QAD45" s="468"/>
      <c r="QAE45" s="468"/>
      <c r="QAF45" s="468"/>
      <c r="QAG45" s="468"/>
      <c r="QAH45" s="468"/>
      <c r="QAI45" s="468"/>
      <c r="QAJ45" s="468"/>
      <c r="QAK45" s="468"/>
      <c r="QAL45" s="468"/>
      <c r="QAM45" s="468"/>
      <c r="QAN45" s="468"/>
      <c r="QAO45" s="468"/>
      <c r="QAP45" s="468"/>
      <c r="QAQ45" s="468"/>
      <c r="QAR45" s="468"/>
      <c r="QAS45" s="468"/>
      <c r="QAT45" s="468"/>
      <c r="QAU45" s="468"/>
      <c r="QAV45" s="468"/>
      <c r="QAW45" s="468"/>
      <c r="QAX45" s="468"/>
      <c r="QAY45" s="468"/>
      <c r="QAZ45" s="468"/>
      <c r="QBA45" s="468"/>
      <c r="QBB45" s="468"/>
      <c r="QBC45" s="468"/>
      <c r="QBD45" s="468"/>
      <c r="QBE45" s="468"/>
      <c r="QBF45" s="468"/>
      <c r="QBG45" s="468"/>
      <c r="QBH45" s="468"/>
      <c r="QBI45" s="468"/>
      <c r="QBJ45" s="468"/>
      <c r="QBK45" s="468"/>
      <c r="QBL45" s="468"/>
      <c r="QBM45" s="468"/>
      <c r="QBN45" s="468"/>
      <c r="QBO45" s="468"/>
      <c r="QBP45" s="468"/>
      <c r="QBQ45" s="468"/>
      <c r="QBR45" s="468"/>
      <c r="QBS45" s="468"/>
      <c r="QBT45" s="468"/>
      <c r="QBU45" s="468"/>
      <c r="QBV45" s="468"/>
      <c r="QBW45" s="468"/>
      <c r="QBX45" s="468"/>
      <c r="QBY45" s="468"/>
      <c r="QBZ45" s="468"/>
      <c r="QCA45" s="468"/>
      <c r="QCB45" s="468"/>
      <c r="QCC45" s="468"/>
      <c r="QCD45" s="468"/>
      <c r="QCE45" s="468"/>
      <c r="QCF45" s="468"/>
      <c r="QCG45" s="468"/>
      <c r="QCH45" s="468"/>
      <c r="QCI45" s="468"/>
      <c r="QCJ45" s="468"/>
      <c r="QCK45" s="468"/>
      <c r="QCL45" s="468"/>
      <c r="QCM45" s="468"/>
      <c r="QCN45" s="468"/>
      <c r="QCO45" s="468"/>
      <c r="QCP45" s="468"/>
      <c r="QCQ45" s="468"/>
      <c r="QCR45" s="468"/>
      <c r="QCS45" s="468"/>
      <c r="QCT45" s="468"/>
      <c r="QCU45" s="468"/>
      <c r="QCV45" s="468"/>
      <c r="QCW45" s="468"/>
      <c r="QCX45" s="468"/>
      <c r="QCY45" s="468"/>
      <c r="QCZ45" s="468"/>
      <c r="QDA45" s="468"/>
      <c r="QDB45" s="468"/>
      <c r="QDC45" s="468"/>
      <c r="QDD45" s="468"/>
      <c r="QDE45" s="468"/>
      <c r="QDF45" s="468"/>
      <c r="QDG45" s="468"/>
      <c r="QDH45" s="468"/>
      <c r="QDI45" s="468"/>
      <c r="QDJ45" s="468"/>
      <c r="QDK45" s="468"/>
      <c r="QDL45" s="468"/>
      <c r="QDM45" s="468"/>
      <c r="QDN45" s="468"/>
      <c r="QDO45" s="468"/>
      <c r="QDP45" s="468"/>
      <c r="QDQ45" s="468"/>
      <c r="QDR45" s="468"/>
      <c r="QDS45" s="468"/>
      <c r="QDT45" s="468"/>
      <c r="QDU45" s="468"/>
      <c r="QDV45" s="468"/>
      <c r="QDW45" s="468"/>
      <c r="QDX45" s="468"/>
      <c r="QDY45" s="468"/>
      <c r="QDZ45" s="468"/>
      <c r="QEA45" s="468"/>
      <c r="QEB45" s="468"/>
      <c r="QEC45" s="468"/>
      <c r="QED45" s="468"/>
      <c r="QEE45" s="468"/>
      <c r="QEF45" s="468"/>
      <c r="QEG45" s="468"/>
      <c r="QEH45" s="468"/>
      <c r="QEI45" s="468"/>
      <c r="QEJ45" s="468"/>
      <c r="QEK45" s="468"/>
      <c r="QEL45" s="468"/>
      <c r="QEM45" s="468"/>
      <c r="QEN45" s="468"/>
      <c r="QEO45" s="468"/>
      <c r="QEP45" s="468"/>
      <c r="QEQ45" s="468"/>
      <c r="QER45" s="468"/>
      <c r="QES45" s="468"/>
      <c r="QET45" s="468"/>
      <c r="QEU45" s="468"/>
      <c r="QEV45" s="468"/>
      <c r="QEW45" s="468"/>
      <c r="QEX45" s="468"/>
      <c r="QEY45" s="468"/>
      <c r="QEZ45" s="468"/>
      <c r="QFA45" s="468"/>
      <c r="QFB45" s="468"/>
      <c r="QFC45" s="468"/>
      <c r="QFD45" s="468"/>
      <c r="QFE45" s="468"/>
      <c r="QFF45" s="468"/>
      <c r="QFG45" s="468"/>
      <c r="QFH45" s="468"/>
      <c r="QFI45" s="468"/>
      <c r="QFJ45" s="468"/>
      <c r="QFK45" s="468"/>
      <c r="QFL45" s="468"/>
      <c r="QFM45" s="468"/>
      <c r="QFN45" s="468"/>
      <c r="QFO45" s="468"/>
      <c r="QFP45" s="468"/>
      <c r="QFQ45" s="468"/>
      <c r="QFR45" s="468"/>
      <c r="QFS45" s="468"/>
      <c r="QFT45" s="468"/>
      <c r="QFU45" s="468"/>
      <c r="QFV45" s="468"/>
      <c r="QFW45" s="468"/>
      <c r="QFX45" s="468"/>
      <c r="QFY45" s="468"/>
      <c r="QFZ45" s="468"/>
      <c r="QGA45" s="468"/>
      <c r="QGB45" s="468"/>
      <c r="QGC45" s="468"/>
      <c r="QGD45" s="468"/>
      <c r="QGE45" s="468"/>
      <c r="QGF45" s="468"/>
      <c r="QGG45" s="468"/>
      <c r="QGH45" s="468"/>
      <c r="QGI45" s="468"/>
      <c r="QGJ45" s="468"/>
      <c r="QGK45" s="468"/>
      <c r="QGL45" s="468"/>
      <c r="QGM45" s="468"/>
      <c r="QGN45" s="468"/>
      <c r="QGO45" s="468"/>
      <c r="QGP45" s="468"/>
      <c r="QGQ45" s="468"/>
      <c r="QGR45" s="468"/>
      <c r="QGS45" s="468"/>
      <c r="QGT45" s="468"/>
      <c r="QGU45" s="468"/>
      <c r="QGV45" s="468"/>
      <c r="QGW45" s="468"/>
      <c r="QGX45" s="468"/>
      <c r="QGY45" s="468"/>
      <c r="QGZ45" s="468"/>
      <c r="QHA45" s="468"/>
      <c r="QHB45" s="468"/>
      <c r="QHC45" s="468"/>
      <c r="QHD45" s="468"/>
      <c r="QHE45" s="468"/>
      <c r="QHF45" s="468"/>
      <c r="QHG45" s="468"/>
      <c r="QHH45" s="468"/>
      <c r="QHI45" s="468"/>
      <c r="QHJ45" s="468"/>
      <c r="QHK45" s="468"/>
      <c r="QHL45" s="468"/>
      <c r="QHM45" s="468"/>
      <c r="QHN45" s="468"/>
      <c r="QHO45" s="468"/>
      <c r="QHP45" s="468"/>
      <c r="QHQ45" s="468"/>
      <c r="QHR45" s="468"/>
      <c r="QHS45" s="468"/>
      <c r="QHT45" s="468"/>
      <c r="QHU45" s="468"/>
      <c r="QHV45" s="468"/>
      <c r="QHW45" s="468"/>
      <c r="QHX45" s="468"/>
      <c r="QHY45" s="468"/>
      <c r="QHZ45" s="468"/>
      <c r="QIA45" s="468"/>
      <c r="QIB45" s="468"/>
      <c r="QIC45" s="468"/>
      <c r="QID45" s="468"/>
      <c r="QIE45" s="468"/>
      <c r="QIF45" s="468"/>
      <c r="QIG45" s="468"/>
      <c r="QIH45" s="468"/>
      <c r="QII45" s="468"/>
      <c r="QIJ45" s="468"/>
      <c r="QIK45" s="468"/>
      <c r="QIL45" s="468"/>
      <c r="QIM45" s="468"/>
      <c r="QIN45" s="468"/>
      <c r="QIO45" s="468"/>
      <c r="QIP45" s="468"/>
      <c r="QIQ45" s="468"/>
      <c r="QIR45" s="468"/>
      <c r="QIS45" s="468"/>
      <c r="QIT45" s="468"/>
      <c r="QIU45" s="468"/>
      <c r="QIV45" s="468"/>
      <c r="QIW45" s="468"/>
      <c r="QIX45" s="468"/>
      <c r="QIY45" s="468"/>
      <c r="QIZ45" s="468"/>
      <c r="QJA45" s="468"/>
      <c r="QJB45" s="468"/>
      <c r="QJC45" s="468"/>
      <c r="QJD45" s="468"/>
      <c r="QJE45" s="468"/>
      <c r="QJF45" s="468"/>
      <c r="QJG45" s="468"/>
      <c r="QJH45" s="468"/>
      <c r="QJI45" s="468"/>
      <c r="QJJ45" s="468"/>
      <c r="QJK45" s="468"/>
      <c r="QJL45" s="468"/>
      <c r="QJM45" s="468"/>
      <c r="QJN45" s="468"/>
      <c r="QJO45" s="468"/>
      <c r="QJP45" s="468"/>
      <c r="QJQ45" s="468"/>
      <c r="QJR45" s="468"/>
      <c r="QJS45" s="468"/>
      <c r="QJT45" s="468"/>
      <c r="QJU45" s="468"/>
      <c r="QJV45" s="468"/>
      <c r="QJW45" s="468"/>
      <c r="QJX45" s="468"/>
      <c r="QJY45" s="468"/>
      <c r="QJZ45" s="468"/>
      <c r="QKA45" s="468"/>
      <c r="QKB45" s="468"/>
      <c r="QKC45" s="468"/>
      <c r="QKD45" s="468"/>
      <c r="QKE45" s="468"/>
      <c r="QKF45" s="468"/>
      <c r="QKG45" s="468"/>
      <c r="QKH45" s="468"/>
      <c r="QKI45" s="468"/>
      <c r="QKJ45" s="468"/>
      <c r="QKK45" s="468"/>
      <c r="QKL45" s="468"/>
      <c r="QKM45" s="468"/>
      <c r="QKN45" s="468"/>
      <c r="QKO45" s="468"/>
      <c r="QKP45" s="468"/>
      <c r="QKQ45" s="468"/>
      <c r="QKR45" s="468"/>
      <c r="QKS45" s="468"/>
      <c r="QKT45" s="468"/>
      <c r="QKU45" s="468"/>
      <c r="QKV45" s="468"/>
      <c r="QKW45" s="468"/>
      <c r="QKX45" s="468"/>
      <c r="QKY45" s="468"/>
      <c r="QKZ45" s="468"/>
      <c r="QLA45" s="468"/>
      <c r="QLB45" s="468"/>
      <c r="QLC45" s="468"/>
      <c r="QLD45" s="468"/>
      <c r="QLE45" s="468"/>
      <c r="QLF45" s="468"/>
      <c r="QLG45" s="468"/>
      <c r="QLH45" s="468"/>
      <c r="QLI45" s="468"/>
      <c r="QLJ45" s="468"/>
      <c r="QLK45" s="468"/>
      <c r="QLL45" s="468"/>
      <c r="QLM45" s="468"/>
      <c r="QLN45" s="468"/>
      <c r="QLO45" s="468"/>
      <c r="QLP45" s="468"/>
      <c r="QLQ45" s="468"/>
      <c r="QLR45" s="468"/>
      <c r="QLS45" s="468"/>
      <c r="QLT45" s="468"/>
      <c r="QLU45" s="468"/>
      <c r="QLV45" s="468"/>
      <c r="QLW45" s="468"/>
      <c r="QLX45" s="468"/>
      <c r="QLY45" s="468"/>
      <c r="QLZ45" s="468"/>
      <c r="QMA45" s="468"/>
      <c r="QMB45" s="468"/>
      <c r="QMC45" s="468"/>
      <c r="QMD45" s="468"/>
      <c r="QME45" s="468"/>
      <c r="QMF45" s="468"/>
      <c r="QMG45" s="468"/>
      <c r="QMH45" s="468"/>
      <c r="QMI45" s="468"/>
      <c r="QMJ45" s="468"/>
      <c r="QMK45" s="468"/>
      <c r="QML45" s="468"/>
      <c r="QMM45" s="468"/>
      <c r="QMN45" s="468"/>
      <c r="QMO45" s="468"/>
      <c r="QMP45" s="468"/>
      <c r="QMQ45" s="468"/>
      <c r="QMR45" s="468"/>
      <c r="QMS45" s="468"/>
      <c r="QMT45" s="468"/>
      <c r="QMU45" s="468"/>
      <c r="QMV45" s="468"/>
      <c r="QMW45" s="468"/>
      <c r="QMX45" s="468"/>
      <c r="QMY45" s="468"/>
      <c r="QMZ45" s="468"/>
      <c r="QNA45" s="468"/>
      <c r="QNB45" s="468"/>
      <c r="QNC45" s="468"/>
      <c r="QND45" s="468"/>
      <c r="QNE45" s="468"/>
      <c r="QNF45" s="468"/>
      <c r="QNG45" s="468"/>
      <c r="QNH45" s="468"/>
      <c r="QNI45" s="468"/>
      <c r="QNJ45" s="468"/>
      <c r="QNK45" s="468"/>
      <c r="QNL45" s="468"/>
      <c r="QNM45" s="468"/>
      <c r="QNN45" s="468"/>
      <c r="QNO45" s="468"/>
      <c r="QNP45" s="468"/>
      <c r="QNQ45" s="468"/>
      <c r="QNR45" s="468"/>
      <c r="QNS45" s="468"/>
      <c r="QNT45" s="468"/>
      <c r="QNU45" s="468"/>
      <c r="QNV45" s="468"/>
      <c r="QNW45" s="468"/>
      <c r="QNX45" s="468"/>
      <c r="QNY45" s="468"/>
      <c r="QNZ45" s="468"/>
      <c r="QOA45" s="468"/>
      <c r="QOB45" s="468"/>
      <c r="QOC45" s="468"/>
      <c r="QOD45" s="468"/>
      <c r="QOE45" s="468"/>
      <c r="QOF45" s="468"/>
      <c r="QOG45" s="468"/>
      <c r="QOH45" s="468"/>
      <c r="QOI45" s="468"/>
      <c r="QOJ45" s="468"/>
      <c r="QOK45" s="468"/>
      <c r="QOL45" s="468"/>
      <c r="QOM45" s="468"/>
      <c r="QON45" s="468"/>
      <c r="QOO45" s="468"/>
      <c r="QOP45" s="468"/>
      <c r="QOQ45" s="468"/>
      <c r="QOR45" s="468"/>
      <c r="QOS45" s="468"/>
      <c r="QOT45" s="468"/>
      <c r="QOU45" s="468"/>
      <c r="QOV45" s="468"/>
      <c r="QOW45" s="468"/>
      <c r="QOX45" s="468"/>
      <c r="QOY45" s="468"/>
      <c r="QOZ45" s="468"/>
      <c r="QPA45" s="468"/>
      <c r="QPB45" s="468"/>
      <c r="QPC45" s="468"/>
      <c r="QPD45" s="468"/>
      <c r="QPE45" s="468"/>
      <c r="QPF45" s="468"/>
      <c r="QPG45" s="468"/>
      <c r="QPH45" s="468"/>
      <c r="QPI45" s="468"/>
      <c r="QPJ45" s="468"/>
      <c r="QPK45" s="468"/>
      <c r="QPL45" s="468"/>
      <c r="QPM45" s="468"/>
      <c r="QPN45" s="468"/>
      <c r="QPO45" s="468"/>
      <c r="QPP45" s="468"/>
      <c r="QPQ45" s="468"/>
      <c r="QPR45" s="468"/>
      <c r="QPS45" s="468"/>
      <c r="QPT45" s="468"/>
      <c r="QPU45" s="468"/>
      <c r="QPV45" s="468"/>
      <c r="QPW45" s="468"/>
      <c r="QPX45" s="468"/>
      <c r="QPY45" s="468"/>
      <c r="QPZ45" s="468"/>
      <c r="QQA45" s="468"/>
      <c r="QQB45" s="468"/>
      <c r="QQC45" s="468"/>
      <c r="QQD45" s="468"/>
      <c r="QQE45" s="468"/>
      <c r="QQF45" s="468"/>
      <c r="QQG45" s="468"/>
      <c r="QQH45" s="468"/>
      <c r="QQI45" s="468"/>
      <c r="QQJ45" s="468"/>
      <c r="QQK45" s="468"/>
      <c r="QQL45" s="468"/>
      <c r="QQM45" s="468"/>
      <c r="QQN45" s="468"/>
      <c r="QQO45" s="468"/>
      <c r="QQP45" s="468"/>
      <c r="QQQ45" s="468"/>
      <c r="QQR45" s="468"/>
      <c r="QQS45" s="468"/>
      <c r="QQT45" s="468"/>
      <c r="QQU45" s="468"/>
      <c r="QQV45" s="468"/>
      <c r="QQW45" s="468"/>
      <c r="QQX45" s="468"/>
      <c r="QQY45" s="468"/>
      <c r="QQZ45" s="468"/>
      <c r="QRA45" s="468"/>
      <c r="QRB45" s="468"/>
      <c r="QRC45" s="468"/>
      <c r="QRD45" s="468"/>
      <c r="QRE45" s="468"/>
      <c r="QRF45" s="468"/>
      <c r="QRG45" s="468"/>
      <c r="QRH45" s="468"/>
      <c r="QRI45" s="468"/>
      <c r="QRJ45" s="468"/>
      <c r="QRK45" s="468"/>
      <c r="QRL45" s="468"/>
      <c r="QRM45" s="468"/>
      <c r="QRN45" s="468"/>
      <c r="QRO45" s="468"/>
      <c r="QRP45" s="468"/>
      <c r="QRQ45" s="468"/>
      <c r="QRR45" s="468"/>
      <c r="QRS45" s="468"/>
      <c r="QRT45" s="468"/>
      <c r="QRU45" s="468"/>
      <c r="QRV45" s="468"/>
      <c r="QRW45" s="468"/>
      <c r="QRX45" s="468"/>
      <c r="QRY45" s="468"/>
      <c r="QRZ45" s="468"/>
      <c r="QSA45" s="468"/>
      <c r="QSB45" s="468"/>
      <c r="QSC45" s="468"/>
      <c r="QSD45" s="468"/>
      <c r="QSE45" s="468"/>
      <c r="QSF45" s="468"/>
      <c r="QSG45" s="468"/>
      <c r="QSH45" s="468"/>
      <c r="QSI45" s="468"/>
      <c r="QSJ45" s="468"/>
      <c r="QSK45" s="468"/>
      <c r="QSL45" s="468"/>
      <c r="QSM45" s="468"/>
      <c r="QSN45" s="468"/>
      <c r="QSO45" s="468"/>
      <c r="QSP45" s="468"/>
      <c r="QSQ45" s="468"/>
      <c r="QSR45" s="468"/>
      <c r="QSS45" s="468"/>
      <c r="QST45" s="468"/>
      <c r="QSU45" s="468"/>
      <c r="QSV45" s="468"/>
      <c r="QSW45" s="468"/>
      <c r="QSX45" s="468"/>
      <c r="QSY45" s="468"/>
      <c r="QSZ45" s="468"/>
      <c r="QTA45" s="468"/>
      <c r="QTB45" s="468"/>
      <c r="QTC45" s="468"/>
      <c r="QTD45" s="468"/>
      <c r="QTE45" s="468"/>
      <c r="QTF45" s="468"/>
      <c r="QTG45" s="468"/>
      <c r="QTH45" s="468"/>
      <c r="QTI45" s="468"/>
      <c r="QTJ45" s="468"/>
      <c r="QTK45" s="468"/>
      <c r="QTL45" s="468"/>
      <c r="QTM45" s="468"/>
      <c r="QTN45" s="468"/>
      <c r="QTO45" s="468"/>
      <c r="QTP45" s="468"/>
      <c r="QTQ45" s="468"/>
      <c r="QTR45" s="468"/>
      <c r="QTS45" s="468"/>
      <c r="QTT45" s="468"/>
      <c r="QTU45" s="468"/>
      <c r="QTV45" s="468"/>
      <c r="QTW45" s="468"/>
      <c r="QTX45" s="468"/>
      <c r="QTY45" s="468"/>
      <c r="QTZ45" s="468"/>
      <c r="QUA45" s="468"/>
      <c r="QUB45" s="468"/>
      <c r="QUC45" s="468"/>
      <c r="QUD45" s="468"/>
      <c r="QUE45" s="468"/>
      <c r="QUF45" s="468"/>
      <c r="QUG45" s="468"/>
      <c r="QUH45" s="468"/>
      <c r="QUI45" s="468"/>
      <c r="QUJ45" s="468"/>
      <c r="QUK45" s="468"/>
      <c r="QUL45" s="468"/>
      <c r="QUM45" s="468"/>
      <c r="QUN45" s="468"/>
      <c r="QUO45" s="468"/>
      <c r="QUP45" s="468"/>
      <c r="QUQ45" s="468"/>
      <c r="QUR45" s="468"/>
      <c r="QUS45" s="468"/>
      <c r="QUT45" s="468"/>
      <c r="QUU45" s="468"/>
      <c r="QUV45" s="468"/>
      <c r="QUW45" s="468"/>
      <c r="QUX45" s="468"/>
      <c r="QUY45" s="468"/>
      <c r="QUZ45" s="468"/>
      <c r="QVA45" s="468"/>
      <c r="QVB45" s="468"/>
      <c r="QVC45" s="468"/>
      <c r="QVD45" s="468"/>
      <c r="QVE45" s="468"/>
      <c r="QVF45" s="468"/>
      <c r="QVG45" s="468"/>
      <c r="QVH45" s="468"/>
      <c r="QVI45" s="468"/>
      <c r="QVJ45" s="468"/>
      <c r="QVK45" s="468"/>
      <c r="QVL45" s="468"/>
      <c r="QVM45" s="468"/>
      <c r="QVN45" s="468"/>
      <c r="QVO45" s="468"/>
      <c r="QVP45" s="468"/>
      <c r="QVQ45" s="468"/>
      <c r="QVR45" s="468"/>
      <c r="QVS45" s="468"/>
      <c r="QVT45" s="468"/>
      <c r="QVU45" s="468"/>
      <c r="QVV45" s="468"/>
      <c r="QVW45" s="468"/>
      <c r="QVX45" s="468"/>
      <c r="QVY45" s="468"/>
      <c r="QVZ45" s="468"/>
      <c r="QWA45" s="468"/>
      <c r="QWB45" s="468"/>
      <c r="QWC45" s="468"/>
      <c r="QWD45" s="468"/>
      <c r="QWE45" s="468"/>
      <c r="QWF45" s="468"/>
      <c r="QWG45" s="468"/>
      <c r="QWH45" s="468"/>
      <c r="QWI45" s="468"/>
      <c r="QWJ45" s="468"/>
      <c r="QWK45" s="468"/>
      <c r="QWL45" s="468"/>
      <c r="QWM45" s="468"/>
      <c r="QWN45" s="468"/>
      <c r="QWO45" s="468"/>
      <c r="QWP45" s="468"/>
      <c r="QWQ45" s="468"/>
      <c r="QWR45" s="468"/>
      <c r="QWS45" s="468"/>
      <c r="QWT45" s="468"/>
      <c r="QWU45" s="468"/>
      <c r="QWV45" s="468"/>
      <c r="QWW45" s="468"/>
      <c r="QWX45" s="468"/>
      <c r="QWY45" s="468"/>
      <c r="QWZ45" s="468"/>
      <c r="QXA45" s="468"/>
      <c r="QXB45" s="468"/>
      <c r="QXC45" s="468"/>
      <c r="QXD45" s="468"/>
      <c r="QXE45" s="468"/>
      <c r="QXF45" s="468"/>
      <c r="QXG45" s="468"/>
      <c r="QXH45" s="468"/>
      <c r="QXI45" s="468"/>
      <c r="QXJ45" s="468"/>
      <c r="QXK45" s="468"/>
      <c r="QXL45" s="468"/>
      <c r="QXM45" s="468"/>
      <c r="QXN45" s="468"/>
      <c r="QXO45" s="468"/>
      <c r="QXP45" s="468"/>
      <c r="QXQ45" s="468"/>
      <c r="QXR45" s="468"/>
      <c r="QXS45" s="468"/>
      <c r="QXT45" s="468"/>
      <c r="QXU45" s="468"/>
      <c r="QXV45" s="468"/>
      <c r="QXW45" s="468"/>
      <c r="QXX45" s="468"/>
      <c r="QXY45" s="468"/>
      <c r="QXZ45" s="468"/>
      <c r="QYA45" s="468"/>
      <c r="QYB45" s="468"/>
      <c r="QYC45" s="468"/>
      <c r="QYD45" s="468"/>
      <c r="QYE45" s="468"/>
      <c r="QYF45" s="468"/>
      <c r="QYG45" s="468"/>
      <c r="QYH45" s="468"/>
      <c r="QYI45" s="468"/>
      <c r="QYJ45" s="468"/>
      <c r="QYK45" s="468"/>
      <c r="QYL45" s="468"/>
      <c r="QYM45" s="468"/>
      <c r="QYN45" s="468"/>
      <c r="QYO45" s="468"/>
      <c r="QYP45" s="468"/>
      <c r="QYQ45" s="468"/>
      <c r="QYR45" s="468"/>
      <c r="QYS45" s="468"/>
      <c r="QYT45" s="468"/>
      <c r="QYU45" s="468"/>
      <c r="QYV45" s="468"/>
      <c r="QYW45" s="468"/>
      <c r="QYX45" s="468"/>
      <c r="QYY45" s="468"/>
      <c r="QYZ45" s="468"/>
      <c r="QZA45" s="468"/>
      <c r="QZB45" s="468"/>
      <c r="QZC45" s="468"/>
      <c r="QZD45" s="468"/>
      <c r="QZE45" s="468"/>
      <c r="QZF45" s="468"/>
      <c r="QZG45" s="468"/>
      <c r="QZH45" s="468"/>
      <c r="QZI45" s="468"/>
      <c r="QZJ45" s="468"/>
      <c r="QZK45" s="468"/>
      <c r="QZL45" s="468"/>
      <c r="QZM45" s="468"/>
      <c r="QZN45" s="468"/>
      <c r="QZO45" s="468"/>
      <c r="QZP45" s="468"/>
      <c r="QZQ45" s="468"/>
      <c r="QZR45" s="468"/>
      <c r="QZS45" s="468"/>
      <c r="QZT45" s="468"/>
      <c r="QZU45" s="468"/>
      <c r="QZV45" s="468"/>
      <c r="QZW45" s="468"/>
      <c r="QZX45" s="468"/>
      <c r="QZY45" s="468"/>
      <c r="QZZ45" s="468"/>
      <c r="RAA45" s="468"/>
      <c r="RAB45" s="468"/>
      <c r="RAC45" s="468"/>
      <c r="RAD45" s="468"/>
      <c r="RAE45" s="468"/>
      <c r="RAF45" s="468"/>
      <c r="RAG45" s="468"/>
      <c r="RAH45" s="468"/>
      <c r="RAI45" s="468"/>
      <c r="RAJ45" s="468"/>
      <c r="RAK45" s="468"/>
      <c r="RAL45" s="468"/>
      <c r="RAM45" s="468"/>
      <c r="RAN45" s="468"/>
      <c r="RAO45" s="468"/>
      <c r="RAP45" s="468"/>
      <c r="RAQ45" s="468"/>
      <c r="RAR45" s="468"/>
      <c r="RAS45" s="468"/>
      <c r="RAT45" s="468"/>
      <c r="RAU45" s="468"/>
      <c r="RAV45" s="468"/>
      <c r="RAW45" s="468"/>
      <c r="RAX45" s="468"/>
      <c r="RAY45" s="468"/>
      <c r="RAZ45" s="468"/>
      <c r="RBA45" s="468"/>
      <c r="RBB45" s="468"/>
      <c r="RBC45" s="468"/>
      <c r="RBD45" s="468"/>
      <c r="RBE45" s="468"/>
      <c r="RBF45" s="468"/>
      <c r="RBG45" s="468"/>
      <c r="RBH45" s="468"/>
      <c r="RBI45" s="468"/>
      <c r="RBJ45" s="468"/>
      <c r="RBK45" s="468"/>
      <c r="RBL45" s="468"/>
      <c r="RBM45" s="468"/>
      <c r="RBN45" s="468"/>
      <c r="RBO45" s="468"/>
      <c r="RBP45" s="468"/>
      <c r="RBQ45" s="468"/>
      <c r="RBR45" s="468"/>
      <c r="RBS45" s="468"/>
      <c r="RBT45" s="468"/>
      <c r="RBU45" s="468"/>
      <c r="RBV45" s="468"/>
      <c r="RBW45" s="468"/>
      <c r="RBX45" s="468"/>
      <c r="RBY45" s="468"/>
      <c r="RBZ45" s="468"/>
      <c r="RCA45" s="468"/>
      <c r="RCB45" s="468"/>
      <c r="RCC45" s="468"/>
      <c r="RCD45" s="468"/>
      <c r="RCE45" s="468"/>
      <c r="RCF45" s="468"/>
      <c r="RCG45" s="468"/>
      <c r="RCH45" s="468"/>
      <c r="RCI45" s="468"/>
      <c r="RCJ45" s="468"/>
      <c r="RCK45" s="468"/>
      <c r="RCL45" s="468"/>
      <c r="RCM45" s="468"/>
      <c r="RCN45" s="468"/>
      <c r="RCO45" s="468"/>
      <c r="RCP45" s="468"/>
      <c r="RCQ45" s="468"/>
      <c r="RCR45" s="468"/>
      <c r="RCS45" s="468"/>
      <c r="RCT45" s="468"/>
      <c r="RCU45" s="468"/>
      <c r="RCV45" s="468"/>
      <c r="RCW45" s="468"/>
      <c r="RCX45" s="468"/>
      <c r="RCY45" s="468"/>
      <c r="RCZ45" s="468"/>
      <c r="RDA45" s="468"/>
      <c r="RDB45" s="468"/>
      <c r="RDC45" s="468"/>
      <c r="RDD45" s="468"/>
      <c r="RDE45" s="468"/>
      <c r="RDF45" s="468"/>
      <c r="RDG45" s="468"/>
      <c r="RDH45" s="468"/>
      <c r="RDI45" s="468"/>
      <c r="RDJ45" s="468"/>
      <c r="RDK45" s="468"/>
      <c r="RDL45" s="468"/>
      <c r="RDM45" s="468"/>
      <c r="RDN45" s="468"/>
      <c r="RDO45" s="468"/>
      <c r="RDP45" s="468"/>
      <c r="RDQ45" s="468"/>
      <c r="RDR45" s="468"/>
      <c r="RDS45" s="468"/>
      <c r="RDT45" s="468"/>
      <c r="RDU45" s="468"/>
      <c r="RDV45" s="468"/>
      <c r="RDW45" s="468"/>
      <c r="RDX45" s="468"/>
      <c r="RDY45" s="468"/>
      <c r="RDZ45" s="468"/>
      <c r="REA45" s="468"/>
      <c r="REB45" s="468"/>
      <c r="REC45" s="468"/>
      <c r="RED45" s="468"/>
      <c r="REE45" s="468"/>
      <c r="REF45" s="468"/>
      <c r="REG45" s="468"/>
      <c r="REH45" s="468"/>
      <c r="REI45" s="468"/>
      <c r="REJ45" s="468"/>
      <c r="REK45" s="468"/>
      <c r="REL45" s="468"/>
      <c r="REM45" s="468"/>
      <c r="REN45" s="468"/>
      <c r="REO45" s="468"/>
      <c r="REP45" s="468"/>
      <c r="REQ45" s="468"/>
      <c r="RER45" s="468"/>
      <c r="RES45" s="468"/>
      <c r="RET45" s="468"/>
      <c r="REU45" s="468"/>
      <c r="REV45" s="468"/>
      <c r="REW45" s="468"/>
      <c r="REX45" s="468"/>
      <c r="REY45" s="468"/>
      <c r="REZ45" s="468"/>
      <c r="RFA45" s="468"/>
      <c r="RFB45" s="468"/>
      <c r="RFC45" s="468"/>
      <c r="RFD45" s="468"/>
      <c r="RFE45" s="468"/>
      <c r="RFF45" s="468"/>
      <c r="RFG45" s="468"/>
      <c r="RFH45" s="468"/>
      <c r="RFI45" s="468"/>
      <c r="RFJ45" s="468"/>
      <c r="RFK45" s="468"/>
      <c r="RFL45" s="468"/>
      <c r="RFM45" s="468"/>
      <c r="RFN45" s="468"/>
      <c r="RFO45" s="468"/>
      <c r="RFP45" s="468"/>
      <c r="RFQ45" s="468"/>
      <c r="RFR45" s="468"/>
      <c r="RFS45" s="468"/>
      <c r="RFT45" s="468"/>
      <c r="RFU45" s="468"/>
      <c r="RFV45" s="468"/>
      <c r="RFW45" s="468"/>
      <c r="RFX45" s="468"/>
      <c r="RFY45" s="468"/>
      <c r="RFZ45" s="468"/>
      <c r="RGA45" s="468"/>
      <c r="RGB45" s="468"/>
      <c r="RGC45" s="468"/>
      <c r="RGD45" s="468"/>
      <c r="RGE45" s="468"/>
      <c r="RGF45" s="468"/>
      <c r="RGG45" s="468"/>
      <c r="RGH45" s="468"/>
      <c r="RGI45" s="468"/>
      <c r="RGJ45" s="468"/>
      <c r="RGK45" s="468"/>
      <c r="RGL45" s="468"/>
      <c r="RGM45" s="468"/>
      <c r="RGN45" s="468"/>
      <c r="RGO45" s="468"/>
      <c r="RGP45" s="468"/>
      <c r="RGQ45" s="468"/>
      <c r="RGR45" s="468"/>
      <c r="RGS45" s="468"/>
      <c r="RGT45" s="468"/>
      <c r="RGU45" s="468"/>
      <c r="RGV45" s="468"/>
      <c r="RGW45" s="468"/>
      <c r="RGX45" s="468"/>
      <c r="RGY45" s="468"/>
      <c r="RGZ45" s="468"/>
      <c r="RHA45" s="468"/>
      <c r="RHB45" s="468"/>
      <c r="RHC45" s="468"/>
      <c r="RHD45" s="468"/>
      <c r="RHE45" s="468"/>
      <c r="RHF45" s="468"/>
      <c r="RHG45" s="468"/>
      <c r="RHH45" s="468"/>
      <c r="RHI45" s="468"/>
      <c r="RHJ45" s="468"/>
      <c r="RHK45" s="468"/>
      <c r="RHL45" s="468"/>
      <c r="RHM45" s="468"/>
      <c r="RHN45" s="468"/>
      <c r="RHO45" s="468"/>
      <c r="RHP45" s="468"/>
      <c r="RHQ45" s="468"/>
      <c r="RHR45" s="468"/>
      <c r="RHS45" s="468"/>
      <c r="RHT45" s="468"/>
      <c r="RHU45" s="468"/>
      <c r="RHV45" s="468"/>
      <c r="RHW45" s="468"/>
      <c r="RHX45" s="468"/>
      <c r="RHY45" s="468"/>
      <c r="RHZ45" s="468"/>
      <c r="RIA45" s="468"/>
      <c r="RIB45" s="468"/>
      <c r="RIC45" s="468"/>
      <c r="RID45" s="468"/>
      <c r="RIE45" s="468"/>
      <c r="RIF45" s="468"/>
      <c r="RIG45" s="468"/>
      <c r="RIH45" s="468"/>
      <c r="RII45" s="468"/>
      <c r="RIJ45" s="468"/>
      <c r="RIK45" s="468"/>
      <c r="RIL45" s="468"/>
      <c r="RIM45" s="468"/>
      <c r="RIN45" s="468"/>
      <c r="RIO45" s="468"/>
      <c r="RIP45" s="468"/>
      <c r="RIQ45" s="468"/>
      <c r="RIR45" s="468"/>
      <c r="RIS45" s="468"/>
      <c r="RIT45" s="468"/>
      <c r="RIU45" s="468"/>
      <c r="RIV45" s="468"/>
      <c r="RIW45" s="468"/>
      <c r="RIX45" s="468"/>
      <c r="RIY45" s="468"/>
      <c r="RIZ45" s="468"/>
      <c r="RJA45" s="468"/>
      <c r="RJB45" s="468"/>
      <c r="RJC45" s="468"/>
      <c r="RJD45" s="468"/>
      <c r="RJE45" s="468"/>
      <c r="RJF45" s="468"/>
      <c r="RJG45" s="468"/>
      <c r="RJH45" s="468"/>
      <c r="RJI45" s="468"/>
      <c r="RJJ45" s="468"/>
      <c r="RJK45" s="468"/>
      <c r="RJL45" s="468"/>
      <c r="RJM45" s="468"/>
      <c r="RJN45" s="468"/>
      <c r="RJO45" s="468"/>
      <c r="RJP45" s="468"/>
      <c r="RJQ45" s="468"/>
      <c r="RJR45" s="468"/>
      <c r="RJS45" s="468"/>
      <c r="RJT45" s="468"/>
      <c r="RJU45" s="468"/>
      <c r="RJV45" s="468"/>
      <c r="RJW45" s="468"/>
      <c r="RJX45" s="468"/>
      <c r="RJY45" s="468"/>
      <c r="RJZ45" s="468"/>
      <c r="RKA45" s="468"/>
      <c r="RKB45" s="468"/>
      <c r="RKC45" s="468"/>
      <c r="RKD45" s="468"/>
      <c r="RKE45" s="468"/>
      <c r="RKF45" s="468"/>
      <c r="RKG45" s="468"/>
      <c r="RKH45" s="468"/>
      <c r="RKI45" s="468"/>
      <c r="RKJ45" s="468"/>
      <c r="RKK45" s="468"/>
      <c r="RKL45" s="468"/>
      <c r="RKM45" s="468"/>
      <c r="RKN45" s="468"/>
      <c r="RKO45" s="468"/>
      <c r="RKP45" s="468"/>
      <c r="RKQ45" s="468"/>
      <c r="RKR45" s="468"/>
      <c r="RKS45" s="468"/>
      <c r="RKT45" s="468"/>
      <c r="RKU45" s="468"/>
      <c r="RKV45" s="468"/>
      <c r="RKW45" s="468"/>
      <c r="RKX45" s="468"/>
      <c r="RKY45" s="468"/>
      <c r="RKZ45" s="468"/>
      <c r="RLA45" s="468"/>
      <c r="RLB45" s="468"/>
      <c r="RLC45" s="468"/>
      <c r="RLD45" s="468"/>
      <c r="RLE45" s="468"/>
      <c r="RLF45" s="468"/>
      <c r="RLG45" s="468"/>
      <c r="RLH45" s="468"/>
      <c r="RLI45" s="468"/>
      <c r="RLJ45" s="468"/>
      <c r="RLK45" s="468"/>
      <c r="RLL45" s="468"/>
      <c r="RLM45" s="468"/>
      <c r="RLN45" s="468"/>
      <c r="RLO45" s="468"/>
      <c r="RLP45" s="468"/>
      <c r="RLQ45" s="468"/>
      <c r="RLR45" s="468"/>
      <c r="RLS45" s="468"/>
      <c r="RLT45" s="468"/>
      <c r="RLU45" s="468"/>
      <c r="RLV45" s="468"/>
      <c r="RLW45" s="468"/>
      <c r="RLX45" s="468"/>
      <c r="RLY45" s="468"/>
      <c r="RLZ45" s="468"/>
      <c r="RMA45" s="468"/>
      <c r="RMB45" s="468"/>
      <c r="RMC45" s="468"/>
      <c r="RMD45" s="468"/>
      <c r="RME45" s="468"/>
      <c r="RMF45" s="468"/>
      <c r="RMG45" s="468"/>
      <c r="RMH45" s="468"/>
      <c r="RMI45" s="468"/>
      <c r="RMJ45" s="468"/>
      <c r="RMK45" s="468"/>
      <c r="RML45" s="468"/>
      <c r="RMM45" s="468"/>
      <c r="RMN45" s="468"/>
      <c r="RMO45" s="468"/>
      <c r="RMP45" s="468"/>
      <c r="RMQ45" s="468"/>
      <c r="RMR45" s="468"/>
      <c r="RMS45" s="468"/>
      <c r="RMT45" s="468"/>
      <c r="RMU45" s="468"/>
      <c r="RMV45" s="468"/>
      <c r="RMW45" s="468"/>
      <c r="RMX45" s="468"/>
      <c r="RMY45" s="468"/>
      <c r="RMZ45" s="468"/>
      <c r="RNA45" s="468"/>
      <c r="RNB45" s="468"/>
      <c r="RNC45" s="468"/>
      <c r="RND45" s="468"/>
      <c r="RNE45" s="468"/>
      <c r="RNF45" s="468"/>
      <c r="RNG45" s="468"/>
      <c r="RNH45" s="468"/>
      <c r="RNI45" s="468"/>
      <c r="RNJ45" s="468"/>
      <c r="RNK45" s="468"/>
      <c r="RNL45" s="468"/>
      <c r="RNM45" s="468"/>
      <c r="RNN45" s="468"/>
      <c r="RNO45" s="468"/>
      <c r="RNP45" s="468"/>
      <c r="RNQ45" s="468"/>
      <c r="RNR45" s="468"/>
      <c r="RNS45" s="468"/>
      <c r="RNT45" s="468"/>
      <c r="RNU45" s="468"/>
      <c r="RNV45" s="468"/>
      <c r="RNW45" s="468"/>
      <c r="RNX45" s="468"/>
      <c r="RNY45" s="468"/>
      <c r="RNZ45" s="468"/>
      <c r="ROA45" s="468"/>
      <c r="ROB45" s="468"/>
      <c r="ROC45" s="468"/>
      <c r="ROD45" s="468"/>
      <c r="ROE45" s="468"/>
      <c r="ROF45" s="468"/>
      <c r="ROG45" s="468"/>
      <c r="ROH45" s="468"/>
      <c r="ROI45" s="468"/>
      <c r="ROJ45" s="468"/>
      <c r="ROK45" s="468"/>
      <c r="ROL45" s="468"/>
      <c r="ROM45" s="468"/>
      <c r="RON45" s="468"/>
      <c r="ROO45" s="468"/>
      <c r="ROP45" s="468"/>
      <c r="ROQ45" s="468"/>
      <c r="ROR45" s="468"/>
      <c r="ROS45" s="468"/>
      <c r="ROT45" s="468"/>
      <c r="ROU45" s="468"/>
      <c r="ROV45" s="468"/>
      <c r="ROW45" s="468"/>
      <c r="ROX45" s="468"/>
      <c r="ROY45" s="468"/>
      <c r="ROZ45" s="468"/>
      <c r="RPA45" s="468"/>
      <c r="RPB45" s="468"/>
      <c r="RPC45" s="468"/>
      <c r="RPD45" s="468"/>
      <c r="RPE45" s="468"/>
      <c r="RPF45" s="468"/>
      <c r="RPG45" s="468"/>
      <c r="RPH45" s="468"/>
      <c r="RPI45" s="468"/>
      <c r="RPJ45" s="468"/>
      <c r="RPK45" s="468"/>
      <c r="RPL45" s="468"/>
      <c r="RPM45" s="468"/>
      <c r="RPN45" s="468"/>
      <c r="RPO45" s="468"/>
      <c r="RPP45" s="468"/>
      <c r="RPQ45" s="468"/>
      <c r="RPR45" s="468"/>
      <c r="RPS45" s="468"/>
      <c r="RPT45" s="468"/>
      <c r="RPU45" s="468"/>
      <c r="RPV45" s="468"/>
      <c r="RPW45" s="468"/>
      <c r="RPX45" s="468"/>
      <c r="RPY45" s="468"/>
      <c r="RPZ45" s="468"/>
      <c r="RQA45" s="468"/>
      <c r="RQB45" s="468"/>
      <c r="RQC45" s="468"/>
      <c r="RQD45" s="468"/>
      <c r="RQE45" s="468"/>
      <c r="RQF45" s="468"/>
      <c r="RQG45" s="468"/>
      <c r="RQH45" s="468"/>
      <c r="RQI45" s="468"/>
      <c r="RQJ45" s="468"/>
      <c r="RQK45" s="468"/>
      <c r="RQL45" s="468"/>
      <c r="RQM45" s="468"/>
      <c r="RQN45" s="468"/>
      <c r="RQO45" s="468"/>
      <c r="RQP45" s="468"/>
      <c r="RQQ45" s="468"/>
      <c r="RQR45" s="468"/>
      <c r="RQS45" s="468"/>
      <c r="RQT45" s="468"/>
      <c r="RQU45" s="468"/>
      <c r="RQV45" s="468"/>
      <c r="RQW45" s="468"/>
      <c r="RQX45" s="468"/>
      <c r="RQY45" s="468"/>
      <c r="RQZ45" s="468"/>
      <c r="RRA45" s="468"/>
      <c r="RRB45" s="468"/>
      <c r="RRC45" s="468"/>
      <c r="RRD45" s="468"/>
      <c r="RRE45" s="468"/>
      <c r="RRF45" s="468"/>
      <c r="RRG45" s="468"/>
      <c r="RRH45" s="468"/>
      <c r="RRI45" s="468"/>
      <c r="RRJ45" s="468"/>
      <c r="RRK45" s="468"/>
      <c r="RRL45" s="468"/>
      <c r="RRM45" s="468"/>
      <c r="RRN45" s="468"/>
      <c r="RRO45" s="468"/>
      <c r="RRP45" s="468"/>
      <c r="RRQ45" s="468"/>
      <c r="RRR45" s="468"/>
      <c r="RRS45" s="468"/>
      <c r="RRT45" s="468"/>
      <c r="RRU45" s="468"/>
      <c r="RRV45" s="468"/>
      <c r="RRW45" s="468"/>
      <c r="RRX45" s="468"/>
      <c r="RRY45" s="468"/>
      <c r="RRZ45" s="468"/>
      <c r="RSA45" s="468"/>
      <c r="RSB45" s="468"/>
      <c r="RSC45" s="468"/>
      <c r="RSD45" s="468"/>
      <c r="RSE45" s="468"/>
      <c r="RSF45" s="468"/>
      <c r="RSG45" s="468"/>
      <c r="RSH45" s="468"/>
      <c r="RSI45" s="468"/>
      <c r="RSJ45" s="468"/>
      <c r="RSK45" s="468"/>
      <c r="RSL45" s="468"/>
      <c r="RSM45" s="468"/>
      <c r="RSN45" s="468"/>
      <c r="RSO45" s="468"/>
      <c r="RSP45" s="468"/>
      <c r="RSQ45" s="468"/>
      <c r="RSR45" s="468"/>
      <c r="RSS45" s="468"/>
      <c r="RST45" s="468"/>
      <c r="RSU45" s="468"/>
      <c r="RSV45" s="468"/>
      <c r="RSW45" s="468"/>
      <c r="RSX45" s="468"/>
      <c r="RSY45" s="468"/>
      <c r="RSZ45" s="468"/>
      <c r="RTA45" s="468"/>
      <c r="RTB45" s="468"/>
      <c r="RTC45" s="468"/>
      <c r="RTD45" s="468"/>
      <c r="RTE45" s="468"/>
      <c r="RTF45" s="468"/>
      <c r="RTG45" s="468"/>
      <c r="RTH45" s="468"/>
      <c r="RTI45" s="468"/>
      <c r="RTJ45" s="468"/>
      <c r="RTK45" s="468"/>
      <c r="RTL45" s="468"/>
      <c r="RTM45" s="468"/>
      <c r="RTN45" s="468"/>
      <c r="RTO45" s="468"/>
      <c r="RTP45" s="468"/>
      <c r="RTQ45" s="468"/>
      <c r="RTR45" s="468"/>
      <c r="RTS45" s="468"/>
      <c r="RTT45" s="468"/>
      <c r="RTU45" s="468"/>
      <c r="RTV45" s="468"/>
      <c r="RTW45" s="468"/>
      <c r="RTX45" s="468"/>
      <c r="RTY45" s="468"/>
      <c r="RTZ45" s="468"/>
      <c r="RUA45" s="468"/>
      <c r="RUB45" s="468"/>
      <c r="RUC45" s="468"/>
      <c r="RUD45" s="468"/>
      <c r="RUE45" s="468"/>
      <c r="RUF45" s="468"/>
      <c r="RUG45" s="468"/>
      <c r="RUH45" s="468"/>
      <c r="RUI45" s="468"/>
      <c r="RUJ45" s="468"/>
      <c r="RUK45" s="468"/>
      <c r="RUL45" s="468"/>
      <c r="RUM45" s="468"/>
      <c r="RUN45" s="468"/>
      <c r="RUO45" s="468"/>
      <c r="RUP45" s="468"/>
      <c r="RUQ45" s="468"/>
      <c r="RUR45" s="468"/>
      <c r="RUS45" s="468"/>
      <c r="RUT45" s="468"/>
      <c r="RUU45" s="468"/>
      <c r="RUV45" s="468"/>
      <c r="RUW45" s="468"/>
      <c r="RUX45" s="468"/>
      <c r="RUY45" s="468"/>
      <c r="RUZ45" s="468"/>
      <c r="RVA45" s="468"/>
      <c r="RVB45" s="468"/>
      <c r="RVC45" s="468"/>
      <c r="RVD45" s="468"/>
      <c r="RVE45" s="468"/>
      <c r="RVF45" s="468"/>
      <c r="RVG45" s="468"/>
      <c r="RVH45" s="468"/>
      <c r="RVI45" s="468"/>
      <c r="RVJ45" s="468"/>
      <c r="RVK45" s="468"/>
      <c r="RVL45" s="468"/>
      <c r="RVM45" s="468"/>
      <c r="RVN45" s="468"/>
      <c r="RVO45" s="468"/>
      <c r="RVP45" s="468"/>
      <c r="RVQ45" s="468"/>
      <c r="RVR45" s="468"/>
      <c r="RVS45" s="468"/>
      <c r="RVT45" s="468"/>
      <c r="RVU45" s="468"/>
      <c r="RVV45" s="468"/>
      <c r="RVW45" s="468"/>
      <c r="RVX45" s="468"/>
      <c r="RVY45" s="468"/>
      <c r="RVZ45" s="468"/>
      <c r="RWA45" s="468"/>
      <c r="RWB45" s="468"/>
      <c r="RWC45" s="468"/>
      <c r="RWD45" s="468"/>
      <c r="RWE45" s="468"/>
      <c r="RWF45" s="468"/>
      <c r="RWG45" s="468"/>
      <c r="RWH45" s="468"/>
      <c r="RWI45" s="468"/>
      <c r="RWJ45" s="468"/>
      <c r="RWK45" s="468"/>
      <c r="RWL45" s="468"/>
      <c r="RWM45" s="468"/>
      <c r="RWN45" s="468"/>
      <c r="RWO45" s="468"/>
      <c r="RWP45" s="468"/>
      <c r="RWQ45" s="468"/>
      <c r="RWR45" s="468"/>
      <c r="RWS45" s="468"/>
      <c r="RWT45" s="468"/>
      <c r="RWU45" s="468"/>
      <c r="RWV45" s="468"/>
      <c r="RWW45" s="468"/>
      <c r="RWX45" s="468"/>
      <c r="RWY45" s="468"/>
      <c r="RWZ45" s="468"/>
      <c r="RXA45" s="468"/>
      <c r="RXB45" s="468"/>
      <c r="RXC45" s="468"/>
      <c r="RXD45" s="468"/>
      <c r="RXE45" s="468"/>
      <c r="RXF45" s="468"/>
      <c r="RXG45" s="468"/>
      <c r="RXH45" s="468"/>
      <c r="RXI45" s="468"/>
      <c r="RXJ45" s="468"/>
      <c r="RXK45" s="468"/>
      <c r="RXL45" s="468"/>
      <c r="RXM45" s="468"/>
      <c r="RXN45" s="468"/>
      <c r="RXO45" s="468"/>
      <c r="RXP45" s="468"/>
      <c r="RXQ45" s="468"/>
      <c r="RXR45" s="468"/>
      <c r="RXS45" s="468"/>
      <c r="RXT45" s="468"/>
      <c r="RXU45" s="468"/>
      <c r="RXV45" s="468"/>
      <c r="RXW45" s="468"/>
      <c r="RXX45" s="468"/>
      <c r="RXY45" s="468"/>
      <c r="RXZ45" s="468"/>
      <c r="RYA45" s="468"/>
      <c r="RYB45" s="468"/>
      <c r="RYC45" s="468"/>
      <c r="RYD45" s="468"/>
      <c r="RYE45" s="468"/>
      <c r="RYF45" s="468"/>
      <c r="RYG45" s="468"/>
      <c r="RYH45" s="468"/>
      <c r="RYI45" s="468"/>
      <c r="RYJ45" s="468"/>
      <c r="RYK45" s="468"/>
      <c r="RYL45" s="468"/>
      <c r="RYM45" s="468"/>
      <c r="RYN45" s="468"/>
      <c r="RYO45" s="468"/>
      <c r="RYP45" s="468"/>
      <c r="RYQ45" s="468"/>
      <c r="RYR45" s="468"/>
      <c r="RYS45" s="468"/>
      <c r="RYT45" s="468"/>
      <c r="RYU45" s="468"/>
      <c r="RYV45" s="468"/>
      <c r="RYW45" s="468"/>
      <c r="RYX45" s="468"/>
      <c r="RYY45" s="468"/>
      <c r="RYZ45" s="468"/>
      <c r="RZA45" s="468"/>
      <c r="RZB45" s="468"/>
      <c r="RZC45" s="468"/>
      <c r="RZD45" s="468"/>
      <c r="RZE45" s="468"/>
      <c r="RZF45" s="468"/>
      <c r="RZG45" s="468"/>
      <c r="RZH45" s="468"/>
      <c r="RZI45" s="468"/>
      <c r="RZJ45" s="468"/>
      <c r="RZK45" s="468"/>
      <c r="RZL45" s="468"/>
      <c r="RZM45" s="468"/>
      <c r="RZN45" s="468"/>
      <c r="RZO45" s="468"/>
      <c r="RZP45" s="468"/>
      <c r="RZQ45" s="468"/>
      <c r="RZR45" s="468"/>
      <c r="RZS45" s="468"/>
      <c r="RZT45" s="468"/>
      <c r="RZU45" s="468"/>
      <c r="RZV45" s="468"/>
      <c r="RZW45" s="468"/>
      <c r="RZX45" s="468"/>
      <c r="RZY45" s="468"/>
      <c r="RZZ45" s="468"/>
      <c r="SAA45" s="468"/>
      <c r="SAB45" s="468"/>
      <c r="SAC45" s="468"/>
      <c r="SAD45" s="468"/>
      <c r="SAE45" s="468"/>
      <c r="SAF45" s="468"/>
      <c r="SAG45" s="468"/>
      <c r="SAH45" s="468"/>
      <c r="SAI45" s="468"/>
      <c r="SAJ45" s="468"/>
      <c r="SAK45" s="468"/>
      <c r="SAL45" s="468"/>
      <c r="SAM45" s="468"/>
      <c r="SAN45" s="468"/>
      <c r="SAO45" s="468"/>
      <c r="SAP45" s="468"/>
      <c r="SAQ45" s="468"/>
      <c r="SAR45" s="468"/>
      <c r="SAS45" s="468"/>
      <c r="SAT45" s="468"/>
      <c r="SAU45" s="468"/>
      <c r="SAV45" s="468"/>
      <c r="SAW45" s="468"/>
      <c r="SAX45" s="468"/>
      <c r="SAY45" s="468"/>
      <c r="SAZ45" s="468"/>
      <c r="SBA45" s="468"/>
      <c r="SBB45" s="468"/>
      <c r="SBC45" s="468"/>
      <c r="SBD45" s="468"/>
      <c r="SBE45" s="468"/>
      <c r="SBF45" s="468"/>
      <c r="SBG45" s="468"/>
      <c r="SBH45" s="468"/>
      <c r="SBI45" s="468"/>
      <c r="SBJ45" s="468"/>
      <c r="SBK45" s="468"/>
      <c r="SBL45" s="468"/>
      <c r="SBM45" s="468"/>
      <c r="SBN45" s="468"/>
      <c r="SBO45" s="468"/>
      <c r="SBP45" s="468"/>
      <c r="SBQ45" s="468"/>
      <c r="SBR45" s="468"/>
      <c r="SBS45" s="468"/>
      <c r="SBT45" s="468"/>
      <c r="SBU45" s="468"/>
      <c r="SBV45" s="468"/>
      <c r="SBW45" s="468"/>
      <c r="SBX45" s="468"/>
      <c r="SBY45" s="468"/>
      <c r="SBZ45" s="468"/>
      <c r="SCA45" s="468"/>
      <c r="SCB45" s="468"/>
      <c r="SCC45" s="468"/>
      <c r="SCD45" s="468"/>
      <c r="SCE45" s="468"/>
      <c r="SCF45" s="468"/>
      <c r="SCG45" s="468"/>
      <c r="SCH45" s="468"/>
      <c r="SCI45" s="468"/>
      <c r="SCJ45" s="468"/>
      <c r="SCK45" s="468"/>
      <c r="SCL45" s="468"/>
      <c r="SCM45" s="468"/>
      <c r="SCN45" s="468"/>
      <c r="SCO45" s="468"/>
      <c r="SCP45" s="468"/>
      <c r="SCQ45" s="468"/>
      <c r="SCR45" s="468"/>
      <c r="SCS45" s="468"/>
      <c r="SCT45" s="468"/>
      <c r="SCU45" s="468"/>
      <c r="SCV45" s="468"/>
      <c r="SCW45" s="468"/>
      <c r="SCX45" s="468"/>
      <c r="SCY45" s="468"/>
      <c r="SCZ45" s="468"/>
      <c r="SDA45" s="468"/>
      <c r="SDB45" s="468"/>
      <c r="SDC45" s="468"/>
      <c r="SDD45" s="468"/>
      <c r="SDE45" s="468"/>
      <c r="SDF45" s="468"/>
      <c r="SDG45" s="468"/>
      <c r="SDH45" s="468"/>
      <c r="SDI45" s="468"/>
      <c r="SDJ45" s="468"/>
      <c r="SDK45" s="468"/>
      <c r="SDL45" s="468"/>
      <c r="SDM45" s="468"/>
      <c r="SDN45" s="468"/>
      <c r="SDO45" s="468"/>
      <c r="SDP45" s="468"/>
      <c r="SDQ45" s="468"/>
      <c r="SDR45" s="468"/>
      <c r="SDS45" s="468"/>
      <c r="SDT45" s="468"/>
      <c r="SDU45" s="468"/>
      <c r="SDV45" s="468"/>
      <c r="SDW45" s="468"/>
      <c r="SDX45" s="468"/>
      <c r="SDY45" s="468"/>
      <c r="SDZ45" s="468"/>
      <c r="SEA45" s="468"/>
      <c r="SEB45" s="468"/>
      <c r="SEC45" s="468"/>
      <c r="SED45" s="468"/>
      <c r="SEE45" s="468"/>
      <c r="SEF45" s="468"/>
      <c r="SEG45" s="468"/>
      <c r="SEH45" s="468"/>
      <c r="SEI45" s="468"/>
      <c r="SEJ45" s="468"/>
      <c r="SEK45" s="468"/>
      <c r="SEL45" s="468"/>
      <c r="SEM45" s="468"/>
      <c r="SEN45" s="468"/>
      <c r="SEO45" s="468"/>
      <c r="SEP45" s="468"/>
      <c r="SEQ45" s="468"/>
      <c r="SER45" s="468"/>
      <c r="SES45" s="468"/>
      <c r="SET45" s="468"/>
      <c r="SEU45" s="468"/>
      <c r="SEV45" s="468"/>
      <c r="SEW45" s="468"/>
      <c r="SEX45" s="468"/>
      <c r="SEY45" s="468"/>
      <c r="SEZ45" s="468"/>
      <c r="SFA45" s="468"/>
      <c r="SFB45" s="468"/>
      <c r="SFC45" s="468"/>
      <c r="SFD45" s="468"/>
      <c r="SFE45" s="468"/>
      <c r="SFF45" s="468"/>
      <c r="SFG45" s="468"/>
      <c r="SFH45" s="468"/>
      <c r="SFI45" s="468"/>
      <c r="SFJ45" s="468"/>
      <c r="SFK45" s="468"/>
      <c r="SFL45" s="468"/>
      <c r="SFM45" s="468"/>
      <c r="SFN45" s="468"/>
      <c r="SFO45" s="468"/>
      <c r="SFP45" s="468"/>
      <c r="SFQ45" s="468"/>
      <c r="SFR45" s="468"/>
      <c r="SFS45" s="468"/>
      <c r="SFT45" s="468"/>
      <c r="SFU45" s="468"/>
      <c r="SFV45" s="468"/>
      <c r="SFW45" s="468"/>
      <c r="SFX45" s="468"/>
      <c r="SFY45" s="468"/>
      <c r="SFZ45" s="468"/>
      <c r="SGA45" s="468"/>
      <c r="SGB45" s="468"/>
      <c r="SGC45" s="468"/>
      <c r="SGD45" s="468"/>
      <c r="SGE45" s="468"/>
      <c r="SGF45" s="468"/>
      <c r="SGG45" s="468"/>
      <c r="SGH45" s="468"/>
      <c r="SGI45" s="468"/>
      <c r="SGJ45" s="468"/>
      <c r="SGK45" s="468"/>
      <c r="SGL45" s="468"/>
      <c r="SGM45" s="468"/>
      <c r="SGN45" s="468"/>
      <c r="SGO45" s="468"/>
      <c r="SGP45" s="468"/>
      <c r="SGQ45" s="468"/>
      <c r="SGR45" s="468"/>
      <c r="SGS45" s="468"/>
      <c r="SGT45" s="468"/>
      <c r="SGU45" s="468"/>
      <c r="SGV45" s="468"/>
      <c r="SGW45" s="468"/>
      <c r="SGX45" s="468"/>
      <c r="SGY45" s="468"/>
      <c r="SGZ45" s="468"/>
      <c r="SHA45" s="468"/>
      <c r="SHB45" s="468"/>
      <c r="SHC45" s="468"/>
      <c r="SHD45" s="468"/>
      <c r="SHE45" s="468"/>
      <c r="SHF45" s="468"/>
      <c r="SHG45" s="468"/>
      <c r="SHH45" s="468"/>
      <c r="SHI45" s="468"/>
      <c r="SHJ45" s="468"/>
      <c r="SHK45" s="468"/>
      <c r="SHL45" s="468"/>
      <c r="SHM45" s="468"/>
      <c r="SHN45" s="468"/>
      <c r="SHO45" s="468"/>
      <c r="SHP45" s="468"/>
      <c r="SHQ45" s="468"/>
      <c r="SHR45" s="468"/>
      <c r="SHS45" s="468"/>
      <c r="SHT45" s="468"/>
      <c r="SHU45" s="468"/>
      <c r="SHV45" s="468"/>
      <c r="SHW45" s="468"/>
      <c r="SHX45" s="468"/>
      <c r="SHY45" s="468"/>
      <c r="SHZ45" s="468"/>
      <c r="SIA45" s="468"/>
      <c r="SIB45" s="468"/>
      <c r="SIC45" s="468"/>
      <c r="SID45" s="468"/>
      <c r="SIE45" s="468"/>
      <c r="SIF45" s="468"/>
      <c r="SIG45" s="468"/>
      <c r="SIH45" s="468"/>
      <c r="SII45" s="468"/>
      <c r="SIJ45" s="468"/>
      <c r="SIK45" s="468"/>
      <c r="SIL45" s="468"/>
      <c r="SIM45" s="468"/>
      <c r="SIN45" s="468"/>
      <c r="SIO45" s="468"/>
      <c r="SIP45" s="468"/>
      <c r="SIQ45" s="468"/>
      <c r="SIR45" s="468"/>
      <c r="SIS45" s="468"/>
      <c r="SIT45" s="468"/>
      <c r="SIU45" s="468"/>
      <c r="SIV45" s="468"/>
      <c r="SIW45" s="468"/>
      <c r="SIX45" s="468"/>
      <c r="SIY45" s="468"/>
      <c r="SIZ45" s="468"/>
      <c r="SJA45" s="468"/>
      <c r="SJB45" s="468"/>
      <c r="SJC45" s="468"/>
      <c r="SJD45" s="468"/>
      <c r="SJE45" s="468"/>
      <c r="SJF45" s="468"/>
      <c r="SJG45" s="468"/>
      <c r="SJH45" s="468"/>
      <c r="SJI45" s="468"/>
      <c r="SJJ45" s="468"/>
      <c r="SJK45" s="468"/>
      <c r="SJL45" s="468"/>
      <c r="SJM45" s="468"/>
      <c r="SJN45" s="468"/>
      <c r="SJO45" s="468"/>
      <c r="SJP45" s="468"/>
      <c r="SJQ45" s="468"/>
      <c r="SJR45" s="468"/>
      <c r="SJS45" s="468"/>
      <c r="SJT45" s="468"/>
      <c r="SJU45" s="468"/>
      <c r="SJV45" s="468"/>
      <c r="SJW45" s="468"/>
      <c r="SJX45" s="468"/>
      <c r="SJY45" s="468"/>
      <c r="SJZ45" s="468"/>
      <c r="SKA45" s="468"/>
      <c r="SKB45" s="468"/>
      <c r="SKC45" s="468"/>
      <c r="SKD45" s="468"/>
      <c r="SKE45" s="468"/>
      <c r="SKF45" s="468"/>
      <c r="SKG45" s="468"/>
      <c r="SKH45" s="468"/>
      <c r="SKI45" s="468"/>
      <c r="SKJ45" s="468"/>
      <c r="SKK45" s="468"/>
      <c r="SKL45" s="468"/>
      <c r="SKM45" s="468"/>
      <c r="SKN45" s="468"/>
      <c r="SKO45" s="468"/>
      <c r="SKP45" s="468"/>
      <c r="SKQ45" s="468"/>
      <c r="SKR45" s="468"/>
      <c r="SKS45" s="468"/>
      <c r="SKT45" s="468"/>
      <c r="SKU45" s="468"/>
      <c r="SKV45" s="468"/>
      <c r="SKW45" s="468"/>
      <c r="SKX45" s="468"/>
      <c r="SKY45" s="468"/>
      <c r="SKZ45" s="468"/>
      <c r="SLA45" s="468"/>
      <c r="SLB45" s="468"/>
      <c r="SLC45" s="468"/>
      <c r="SLD45" s="468"/>
      <c r="SLE45" s="468"/>
      <c r="SLF45" s="468"/>
      <c r="SLG45" s="468"/>
      <c r="SLH45" s="468"/>
      <c r="SLI45" s="468"/>
      <c r="SLJ45" s="468"/>
      <c r="SLK45" s="468"/>
      <c r="SLL45" s="468"/>
      <c r="SLM45" s="468"/>
      <c r="SLN45" s="468"/>
      <c r="SLO45" s="468"/>
      <c r="SLP45" s="468"/>
      <c r="SLQ45" s="468"/>
      <c r="SLR45" s="468"/>
      <c r="SLS45" s="468"/>
      <c r="SLT45" s="468"/>
      <c r="SLU45" s="468"/>
      <c r="SLV45" s="468"/>
      <c r="SLW45" s="468"/>
      <c r="SLX45" s="468"/>
      <c r="SLY45" s="468"/>
      <c r="SLZ45" s="468"/>
      <c r="SMA45" s="468"/>
      <c r="SMB45" s="468"/>
      <c r="SMC45" s="468"/>
      <c r="SMD45" s="468"/>
      <c r="SME45" s="468"/>
      <c r="SMF45" s="468"/>
      <c r="SMG45" s="468"/>
      <c r="SMH45" s="468"/>
      <c r="SMI45" s="468"/>
      <c r="SMJ45" s="468"/>
      <c r="SMK45" s="468"/>
      <c r="SML45" s="468"/>
      <c r="SMM45" s="468"/>
      <c r="SMN45" s="468"/>
      <c r="SMO45" s="468"/>
      <c r="SMP45" s="468"/>
      <c r="SMQ45" s="468"/>
      <c r="SMR45" s="468"/>
      <c r="SMS45" s="468"/>
      <c r="SMT45" s="468"/>
      <c r="SMU45" s="468"/>
      <c r="SMV45" s="468"/>
      <c r="SMW45" s="468"/>
      <c r="SMX45" s="468"/>
      <c r="SMY45" s="468"/>
      <c r="SMZ45" s="468"/>
      <c r="SNA45" s="468"/>
      <c r="SNB45" s="468"/>
      <c r="SNC45" s="468"/>
      <c r="SND45" s="468"/>
      <c r="SNE45" s="468"/>
      <c r="SNF45" s="468"/>
      <c r="SNG45" s="468"/>
      <c r="SNH45" s="468"/>
      <c r="SNI45" s="468"/>
      <c r="SNJ45" s="468"/>
      <c r="SNK45" s="468"/>
      <c r="SNL45" s="468"/>
      <c r="SNM45" s="468"/>
      <c r="SNN45" s="468"/>
      <c r="SNO45" s="468"/>
      <c r="SNP45" s="468"/>
      <c r="SNQ45" s="468"/>
      <c r="SNR45" s="468"/>
      <c r="SNS45" s="468"/>
      <c r="SNT45" s="468"/>
      <c r="SNU45" s="468"/>
      <c r="SNV45" s="468"/>
      <c r="SNW45" s="468"/>
      <c r="SNX45" s="468"/>
      <c r="SNY45" s="468"/>
      <c r="SNZ45" s="468"/>
      <c r="SOA45" s="468"/>
      <c r="SOB45" s="468"/>
      <c r="SOC45" s="468"/>
      <c r="SOD45" s="468"/>
      <c r="SOE45" s="468"/>
      <c r="SOF45" s="468"/>
      <c r="SOG45" s="468"/>
      <c r="SOH45" s="468"/>
      <c r="SOI45" s="468"/>
      <c r="SOJ45" s="468"/>
      <c r="SOK45" s="468"/>
      <c r="SOL45" s="468"/>
      <c r="SOM45" s="468"/>
      <c r="SON45" s="468"/>
      <c r="SOO45" s="468"/>
      <c r="SOP45" s="468"/>
      <c r="SOQ45" s="468"/>
      <c r="SOR45" s="468"/>
      <c r="SOS45" s="468"/>
      <c r="SOT45" s="468"/>
      <c r="SOU45" s="468"/>
      <c r="SOV45" s="468"/>
      <c r="SOW45" s="468"/>
      <c r="SOX45" s="468"/>
      <c r="SOY45" s="468"/>
      <c r="SOZ45" s="468"/>
      <c r="SPA45" s="468"/>
      <c r="SPB45" s="468"/>
      <c r="SPC45" s="468"/>
      <c r="SPD45" s="468"/>
      <c r="SPE45" s="468"/>
      <c r="SPF45" s="468"/>
      <c r="SPG45" s="468"/>
      <c r="SPH45" s="468"/>
      <c r="SPI45" s="468"/>
      <c r="SPJ45" s="468"/>
      <c r="SPK45" s="468"/>
      <c r="SPL45" s="468"/>
      <c r="SPM45" s="468"/>
      <c r="SPN45" s="468"/>
      <c r="SPO45" s="468"/>
      <c r="SPP45" s="468"/>
      <c r="SPQ45" s="468"/>
      <c r="SPR45" s="468"/>
      <c r="SPS45" s="468"/>
      <c r="SPT45" s="468"/>
      <c r="SPU45" s="468"/>
      <c r="SPV45" s="468"/>
      <c r="SPW45" s="468"/>
      <c r="SPX45" s="468"/>
      <c r="SPY45" s="468"/>
      <c r="SPZ45" s="468"/>
      <c r="SQA45" s="468"/>
      <c r="SQB45" s="468"/>
      <c r="SQC45" s="468"/>
      <c r="SQD45" s="468"/>
      <c r="SQE45" s="468"/>
      <c r="SQF45" s="468"/>
      <c r="SQG45" s="468"/>
      <c r="SQH45" s="468"/>
      <c r="SQI45" s="468"/>
      <c r="SQJ45" s="468"/>
      <c r="SQK45" s="468"/>
      <c r="SQL45" s="468"/>
      <c r="SQM45" s="468"/>
      <c r="SQN45" s="468"/>
      <c r="SQO45" s="468"/>
      <c r="SQP45" s="468"/>
      <c r="SQQ45" s="468"/>
      <c r="SQR45" s="468"/>
      <c r="SQS45" s="468"/>
      <c r="SQT45" s="468"/>
      <c r="SQU45" s="468"/>
      <c r="SQV45" s="468"/>
      <c r="SQW45" s="468"/>
      <c r="SQX45" s="468"/>
      <c r="SQY45" s="468"/>
      <c r="SQZ45" s="468"/>
      <c r="SRA45" s="468"/>
      <c r="SRB45" s="468"/>
      <c r="SRC45" s="468"/>
      <c r="SRD45" s="468"/>
      <c r="SRE45" s="468"/>
      <c r="SRF45" s="468"/>
      <c r="SRG45" s="468"/>
      <c r="SRH45" s="468"/>
      <c r="SRI45" s="468"/>
      <c r="SRJ45" s="468"/>
      <c r="SRK45" s="468"/>
      <c r="SRL45" s="468"/>
      <c r="SRM45" s="468"/>
      <c r="SRN45" s="468"/>
      <c r="SRO45" s="468"/>
      <c r="SRP45" s="468"/>
      <c r="SRQ45" s="468"/>
      <c r="SRR45" s="468"/>
      <c r="SRS45" s="468"/>
      <c r="SRT45" s="468"/>
      <c r="SRU45" s="468"/>
      <c r="SRV45" s="468"/>
      <c r="SRW45" s="468"/>
      <c r="SRX45" s="468"/>
      <c r="SRY45" s="468"/>
      <c r="SRZ45" s="468"/>
      <c r="SSA45" s="468"/>
      <c r="SSB45" s="468"/>
      <c r="SSC45" s="468"/>
      <c r="SSD45" s="468"/>
      <c r="SSE45" s="468"/>
      <c r="SSF45" s="468"/>
      <c r="SSG45" s="468"/>
      <c r="SSH45" s="468"/>
      <c r="SSI45" s="468"/>
      <c r="SSJ45" s="468"/>
      <c r="SSK45" s="468"/>
      <c r="SSL45" s="468"/>
      <c r="SSM45" s="468"/>
      <c r="SSN45" s="468"/>
      <c r="SSO45" s="468"/>
      <c r="SSP45" s="468"/>
      <c r="SSQ45" s="468"/>
      <c r="SSR45" s="468"/>
      <c r="SSS45" s="468"/>
      <c r="SST45" s="468"/>
      <c r="SSU45" s="468"/>
      <c r="SSV45" s="468"/>
      <c r="SSW45" s="468"/>
      <c r="SSX45" s="468"/>
      <c r="SSY45" s="468"/>
      <c r="SSZ45" s="468"/>
      <c r="STA45" s="468"/>
      <c r="STB45" s="468"/>
      <c r="STC45" s="468"/>
      <c r="STD45" s="468"/>
      <c r="STE45" s="468"/>
      <c r="STF45" s="468"/>
      <c r="STG45" s="468"/>
      <c r="STH45" s="468"/>
      <c r="STI45" s="468"/>
      <c r="STJ45" s="468"/>
      <c r="STK45" s="468"/>
      <c r="STL45" s="468"/>
      <c r="STM45" s="468"/>
      <c r="STN45" s="468"/>
      <c r="STO45" s="468"/>
      <c r="STP45" s="468"/>
      <c r="STQ45" s="468"/>
      <c r="STR45" s="468"/>
      <c r="STS45" s="468"/>
      <c r="STT45" s="468"/>
      <c r="STU45" s="468"/>
      <c r="STV45" s="468"/>
      <c r="STW45" s="468"/>
      <c r="STX45" s="468"/>
      <c r="STY45" s="468"/>
      <c r="STZ45" s="468"/>
      <c r="SUA45" s="468"/>
      <c r="SUB45" s="468"/>
      <c r="SUC45" s="468"/>
      <c r="SUD45" s="468"/>
      <c r="SUE45" s="468"/>
      <c r="SUF45" s="468"/>
      <c r="SUG45" s="468"/>
      <c r="SUH45" s="468"/>
      <c r="SUI45" s="468"/>
      <c r="SUJ45" s="468"/>
      <c r="SUK45" s="468"/>
      <c r="SUL45" s="468"/>
      <c r="SUM45" s="468"/>
      <c r="SUN45" s="468"/>
      <c r="SUO45" s="468"/>
      <c r="SUP45" s="468"/>
      <c r="SUQ45" s="468"/>
      <c r="SUR45" s="468"/>
      <c r="SUS45" s="468"/>
      <c r="SUT45" s="468"/>
      <c r="SUU45" s="468"/>
      <c r="SUV45" s="468"/>
      <c r="SUW45" s="468"/>
      <c r="SUX45" s="468"/>
      <c r="SUY45" s="468"/>
      <c r="SUZ45" s="468"/>
      <c r="SVA45" s="468"/>
      <c r="SVB45" s="468"/>
      <c r="SVC45" s="468"/>
      <c r="SVD45" s="468"/>
      <c r="SVE45" s="468"/>
      <c r="SVF45" s="468"/>
      <c r="SVG45" s="468"/>
      <c r="SVH45" s="468"/>
      <c r="SVI45" s="468"/>
      <c r="SVJ45" s="468"/>
      <c r="SVK45" s="468"/>
      <c r="SVL45" s="468"/>
      <c r="SVM45" s="468"/>
      <c r="SVN45" s="468"/>
      <c r="SVO45" s="468"/>
      <c r="SVP45" s="468"/>
      <c r="SVQ45" s="468"/>
      <c r="SVR45" s="468"/>
      <c r="SVS45" s="468"/>
      <c r="SVT45" s="468"/>
      <c r="SVU45" s="468"/>
      <c r="SVV45" s="468"/>
      <c r="SVW45" s="468"/>
      <c r="SVX45" s="468"/>
      <c r="SVY45" s="468"/>
      <c r="SVZ45" s="468"/>
      <c r="SWA45" s="468"/>
      <c r="SWB45" s="468"/>
      <c r="SWC45" s="468"/>
      <c r="SWD45" s="468"/>
      <c r="SWE45" s="468"/>
      <c r="SWF45" s="468"/>
      <c r="SWG45" s="468"/>
      <c r="SWH45" s="468"/>
      <c r="SWI45" s="468"/>
      <c r="SWJ45" s="468"/>
      <c r="SWK45" s="468"/>
      <c r="SWL45" s="468"/>
      <c r="SWM45" s="468"/>
      <c r="SWN45" s="468"/>
      <c r="SWO45" s="468"/>
      <c r="SWP45" s="468"/>
      <c r="SWQ45" s="468"/>
      <c r="SWR45" s="468"/>
      <c r="SWS45" s="468"/>
      <c r="SWT45" s="468"/>
      <c r="SWU45" s="468"/>
      <c r="SWV45" s="468"/>
      <c r="SWW45" s="468"/>
      <c r="SWX45" s="468"/>
      <c r="SWY45" s="468"/>
      <c r="SWZ45" s="468"/>
      <c r="SXA45" s="468"/>
      <c r="SXB45" s="468"/>
      <c r="SXC45" s="468"/>
      <c r="SXD45" s="468"/>
      <c r="SXE45" s="468"/>
      <c r="SXF45" s="468"/>
      <c r="SXG45" s="468"/>
      <c r="SXH45" s="468"/>
      <c r="SXI45" s="468"/>
      <c r="SXJ45" s="468"/>
      <c r="SXK45" s="468"/>
      <c r="SXL45" s="468"/>
      <c r="SXM45" s="468"/>
      <c r="SXN45" s="468"/>
      <c r="SXO45" s="468"/>
      <c r="SXP45" s="468"/>
      <c r="SXQ45" s="468"/>
      <c r="SXR45" s="468"/>
      <c r="SXS45" s="468"/>
      <c r="SXT45" s="468"/>
      <c r="SXU45" s="468"/>
      <c r="SXV45" s="468"/>
      <c r="SXW45" s="468"/>
      <c r="SXX45" s="468"/>
      <c r="SXY45" s="468"/>
      <c r="SXZ45" s="468"/>
      <c r="SYA45" s="468"/>
      <c r="SYB45" s="468"/>
      <c r="SYC45" s="468"/>
      <c r="SYD45" s="468"/>
      <c r="SYE45" s="468"/>
      <c r="SYF45" s="468"/>
      <c r="SYG45" s="468"/>
      <c r="SYH45" s="468"/>
      <c r="SYI45" s="468"/>
      <c r="SYJ45" s="468"/>
      <c r="SYK45" s="468"/>
      <c r="SYL45" s="468"/>
      <c r="SYM45" s="468"/>
      <c r="SYN45" s="468"/>
      <c r="SYO45" s="468"/>
      <c r="SYP45" s="468"/>
      <c r="SYQ45" s="468"/>
      <c r="SYR45" s="468"/>
      <c r="SYS45" s="468"/>
      <c r="SYT45" s="468"/>
      <c r="SYU45" s="468"/>
      <c r="SYV45" s="468"/>
      <c r="SYW45" s="468"/>
      <c r="SYX45" s="468"/>
      <c r="SYY45" s="468"/>
      <c r="SYZ45" s="468"/>
      <c r="SZA45" s="468"/>
      <c r="SZB45" s="468"/>
      <c r="SZC45" s="468"/>
      <c r="SZD45" s="468"/>
      <c r="SZE45" s="468"/>
      <c r="SZF45" s="468"/>
      <c r="SZG45" s="468"/>
      <c r="SZH45" s="468"/>
      <c r="SZI45" s="468"/>
      <c r="SZJ45" s="468"/>
      <c r="SZK45" s="468"/>
      <c r="SZL45" s="468"/>
      <c r="SZM45" s="468"/>
      <c r="SZN45" s="468"/>
      <c r="SZO45" s="468"/>
      <c r="SZP45" s="468"/>
      <c r="SZQ45" s="468"/>
      <c r="SZR45" s="468"/>
      <c r="SZS45" s="468"/>
      <c r="SZT45" s="468"/>
      <c r="SZU45" s="468"/>
      <c r="SZV45" s="468"/>
      <c r="SZW45" s="468"/>
      <c r="SZX45" s="468"/>
      <c r="SZY45" s="468"/>
      <c r="SZZ45" s="468"/>
      <c r="TAA45" s="468"/>
      <c r="TAB45" s="468"/>
      <c r="TAC45" s="468"/>
      <c r="TAD45" s="468"/>
      <c r="TAE45" s="468"/>
      <c r="TAF45" s="468"/>
      <c r="TAG45" s="468"/>
      <c r="TAH45" s="468"/>
      <c r="TAI45" s="468"/>
      <c r="TAJ45" s="468"/>
      <c r="TAK45" s="468"/>
      <c r="TAL45" s="468"/>
      <c r="TAM45" s="468"/>
      <c r="TAN45" s="468"/>
      <c r="TAO45" s="468"/>
      <c r="TAP45" s="468"/>
      <c r="TAQ45" s="468"/>
      <c r="TAR45" s="468"/>
      <c r="TAS45" s="468"/>
      <c r="TAT45" s="468"/>
      <c r="TAU45" s="468"/>
      <c r="TAV45" s="468"/>
      <c r="TAW45" s="468"/>
      <c r="TAX45" s="468"/>
      <c r="TAY45" s="468"/>
      <c r="TAZ45" s="468"/>
      <c r="TBA45" s="468"/>
      <c r="TBB45" s="468"/>
      <c r="TBC45" s="468"/>
      <c r="TBD45" s="468"/>
      <c r="TBE45" s="468"/>
      <c r="TBF45" s="468"/>
      <c r="TBG45" s="468"/>
      <c r="TBH45" s="468"/>
      <c r="TBI45" s="468"/>
      <c r="TBJ45" s="468"/>
      <c r="TBK45" s="468"/>
      <c r="TBL45" s="468"/>
      <c r="TBM45" s="468"/>
      <c r="TBN45" s="468"/>
      <c r="TBO45" s="468"/>
      <c r="TBP45" s="468"/>
      <c r="TBQ45" s="468"/>
      <c r="TBR45" s="468"/>
      <c r="TBS45" s="468"/>
      <c r="TBT45" s="468"/>
      <c r="TBU45" s="468"/>
      <c r="TBV45" s="468"/>
      <c r="TBW45" s="468"/>
      <c r="TBX45" s="468"/>
      <c r="TBY45" s="468"/>
      <c r="TBZ45" s="468"/>
      <c r="TCA45" s="468"/>
      <c r="TCB45" s="468"/>
      <c r="TCC45" s="468"/>
      <c r="TCD45" s="468"/>
      <c r="TCE45" s="468"/>
      <c r="TCF45" s="468"/>
      <c r="TCG45" s="468"/>
      <c r="TCH45" s="468"/>
      <c r="TCI45" s="468"/>
      <c r="TCJ45" s="468"/>
      <c r="TCK45" s="468"/>
      <c r="TCL45" s="468"/>
      <c r="TCM45" s="468"/>
      <c r="TCN45" s="468"/>
      <c r="TCO45" s="468"/>
      <c r="TCP45" s="468"/>
      <c r="TCQ45" s="468"/>
      <c r="TCR45" s="468"/>
      <c r="TCS45" s="468"/>
      <c r="TCT45" s="468"/>
      <c r="TCU45" s="468"/>
      <c r="TCV45" s="468"/>
      <c r="TCW45" s="468"/>
      <c r="TCX45" s="468"/>
      <c r="TCY45" s="468"/>
      <c r="TCZ45" s="468"/>
      <c r="TDA45" s="468"/>
      <c r="TDB45" s="468"/>
      <c r="TDC45" s="468"/>
      <c r="TDD45" s="468"/>
      <c r="TDE45" s="468"/>
      <c r="TDF45" s="468"/>
      <c r="TDG45" s="468"/>
      <c r="TDH45" s="468"/>
      <c r="TDI45" s="468"/>
      <c r="TDJ45" s="468"/>
      <c r="TDK45" s="468"/>
      <c r="TDL45" s="468"/>
      <c r="TDM45" s="468"/>
      <c r="TDN45" s="468"/>
      <c r="TDO45" s="468"/>
      <c r="TDP45" s="468"/>
      <c r="TDQ45" s="468"/>
      <c r="TDR45" s="468"/>
      <c r="TDS45" s="468"/>
      <c r="TDT45" s="468"/>
      <c r="TDU45" s="468"/>
      <c r="TDV45" s="468"/>
      <c r="TDW45" s="468"/>
      <c r="TDX45" s="468"/>
      <c r="TDY45" s="468"/>
      <c r="TDZ45" s="468"/>
      <c r="TEA45" s="468"/>
      <c r="TEB45" s="468"/>
      <c r="TEC45" s="468"/>
      <c r="TED45" s="468"/>
      <c r="TEE45" s="468"/>
      <c r="TEF45" s="468"/>
      <c r="TEG45" s="468"/>
      <c r="TEH45" s="468"/>
      <c r="TEI45" s="468"/>
      <c r="TEJ45" s="468"/>
      <c r="TEK45" s="468"/>
      <c r="TEL45" s="468"/>
      <c r="TEM45" s="468"/>
      <c r="TEN45" s="468"/>
      <c r="TEO45" s="468"/>
      <c r="TEP45" s="468"/>
      <c r="TEQ45" s="468"/>
      <c r="TER45" s="468"/>
      <c r="TES45" s="468"/>
      <c r="TET45" s="468"/>
      <c r="TEU45" s="468"/>
      <c r="TEV45" s="468"/>
      <c r="TEW45" s="468"/>
      <c r="TEX45" s="468"/>
      <c r="TEY45" s="468"/>
      <c r="TEZ45" s="468"/>
      <c r="TFA45" s="468"/>
      <c r="TFB45" s="468"/>
      <c r="TFC45" s="468"/>
      <c r="TFD45" s="468"/>
      <c r="TFE45" s="468"/>
      <c r="TFF45" s="468"/>
      <c r="TFG45" s="468"/>
      <c r="TFH45" s="468"/>
      <c r="TFI45" s="468"/>
      <c r="TFJ45" s="468"/>
      <c r="TFK45" s="468"/>
      <c r="TFL45" s="468"/>
      <c r="TFM45" s="468"/>
      <c r="TFN45" s="468"/>
      <c r="TFO45" s="468"/>
      <c r="TFP45" s="468"/>
      <c r="TFQ45" s="468"/>
      <c r="TFR45" s="468"/>
      <c r="TFS45" s="468"/>
      <c r="TFT45" s="468"/>
      <c r="TFU45" s="468"/>
      <c r="TFV45" s="468"/>
      <c r="TFW45" s="468"/>
      <c r="TFX45" s="468"/>
      <c r="TFY45" s="468"/>
      <c r="TFZ45" s="468"/>
      <c r="TGA45" s="468"/>
      <c r="TGB45" s="468"/>
      <c r="TGC45" s="468"/>
      <c r="TGD45" s="468"/>
      <c r="TGE45" s="468"/>
      <c r="TGF45" s="468"/>
      <c r="TGG45" s="468"/>
      <c r="TGH45" s="468"/>
      <c r="TGI45" s="468"/>
      <c r="TGJ45" s="468"/>
      <c r="TGK45" s="468"/>
      <c r="TGL45" s="468"/>
      <c r="TGM45" s="468"/>
      <c r="TGN45" s="468"/>
      <c r="TGO45" s="468"/>
      <c r="TGP45" s="468"/>
      <c r="TGQ45" s="468"/>
      <c r="TGR45" s="468"/>
      <c r="TGS45" s="468"/>
      <c r="TGT45" s="468"/>
      <c r="TGU45" s="468"/>
      <c r="TGV45" s="468"/>
      <c r="TGW45" s="468"/>
      <c r="TGX45" s="468"/>
      <c r="TGY45" s="468"/>
      <c r="TGZ45" s="468"/>
      <c r="THA45" s="468"/>
      <c r="THB45" s="468"/>
      <c r="THC45" s="468"/>
      <c r="THD45" s="468"/>
      <c r="THE45" s="468"/>
      <c r="THF45" s="468"/>
      <c r="THG45" s="468"/>
      <c r="THH45" s="468"/>
      <c r="THI45" s="468"/>
      <c r="THJ45" s="468"/>
      <c r="THK45" s="468"/>
      <c r="THL45" s="468"/>
      <c r="THM45" s="468"/>
      <c r="THN45" s="468"/>
      <c r="THO45" s="468"/>
      <c r="THP45" s="468"/>
      <c r="THQ45" s="468"/>
      <c r="THR45" s="468"/>
      <c r="THS45" s="468"/>
      <c r="THT45" s="468"/>
      <c r="THU45" s="468"/>
      <c r="THV45" s="468"/>
      <c r="THW45" s="468"/>
      <c r="THX45" s="468"/>
      <c r="THY45" s="468"/>
      <c r="THZ45" s="468"/>
      <c r="TIA45" s="468"/>
      <c r="TIB45" s="468"/>
      <c r="TIC45" s="468"/>
      <c r="TID45" s="468"/>
      <c r="TIE45" s="468"/>
      <c r="TIF45" s="468"/>
      <c r="TIG45" s="468"/>
      <c r="TIH45" s="468"/>
      <c r="TII45" s="468"/>
      <c r="TIJ45" s="468"/>
      <c r="TIK45" s="468"/>
      <c r="TIL45" s="468"/>
      <c r="TIM45" s="468"/>
      <c r="TIN45" s="468"/>
      <c r="TIO45" s="468"/>
      <c r="TIP45" s="468"/>
      <c r="TIQ45" s="468"/>
      <c r="TIR45" s="468"/>
      <c r="TIS45" s="468"/>
      <c r="TIT45" s="468"/>
      <c r="TIU45" s="468"/>
      <c r="TIV45" s="468"/>
      <c r="TIW45" s="468"/>
      <c r="TIX45" s="468"/>
      <c r="TIY45" s="468"/>
      <c r="TIZ45" s="468"/>
      <c r="TJA45" s="468"/>
      <c r="TJB45" s="468"/>
      <c r="TJC45" s="468"/>
      <c r="TJD45" s="468"/>
      <c r="TJE45" s="468"/>
      <c r="TJF45" s="468"/>
      <c r="TJG45" s="468"/>
      <c r="TJH45" s="468"/>
      <c r="TJI45" s="468"/>
      <c r="TJJ45" s="468"/>
      <c r="TJK45" s="468"/>
      <c r="TJL45" s="468"/>
      <c r="TJM45" s="468"/>
      <c r="TJN45" s="468"/>
      <c r="TJO45" s="468"/>
      <c r="TJP45" s="468"/>
      <c r="TJQ45" s="468"/>
      <c r="TJR45" s="468"/>
      <c r="TJS45" s="468"/>
      <c r="TJT45" s="468"/>
      <c r="TJU45" s="468"/>
      <c r="TJV45" s="468"/>
      <c r="TJW45" s="468"/>
      <c r="TJX45" s="468"/>
      <c r="TJY45" s="468"/>
      <c r="TJZ45" s="468"/>
      <c r="TKA45" s="468"/>
      <c r="TKB45" s="468"/>
      <c r="TKC45" s="468"/>
      <c r="TKD45" s="468"/>
      <c r="TKE45" s="468"/>
      <c r="TKF45" s="468"/>
      <c r="TKG45" s="468"/>
      <c r="TKH45" s="468"/>
      <c r="TKI45" s="468"/>
      <c r="TKJ45" s="468"/>
      <c r="TKK45" s="468"/>
      <c r="TKL45" s="468"/>
      <c r="TKM45" s="468"/>
      <c r="TKN45" s="468"/>
      <c r="TKO45" s="468"/>
      <c r="TKP45" s="468"/>
      <c r="TKQ45" s="468"/>
      <c r="TKR45" s="468"/>
      <c r="TKS45" s="468"/>
      <c r="TKT45" s="468"/>
      <c r="TKU45" s="468"/>
      <c r="TKV45" s="468"/>
      <c r="TKW45" s="468"/>
      <c r="TKX45" s="468"/>
      <c r="TKY45" s="468"/>
      <c r="TKZ45" s="468"/>
      <c r="TLA45" s="468"/>
      <c r="TLB45" s="468"/>
      <c r="TLC45" s="468"/>
      <c r="TLD45" s="468"/>
      <c r="TLE45" s="468"/>
      <c r="TLF45" s="468"/>
      <c r="TLG45" s="468"/>
      <c r="TLH45" s="468"/>
      <c r="TLI45" s="468"/>
      <c r="TLJ45" s="468"/>
      <c r="TLK45" s="468"/>
      <c r="TLL45" s="468"/>
      <c r="TLM45" s="468"/>
      <c r="TLN45" s="468"/>
      <c r="TLO45" s="468"/>
      <c r="TLP45" s="468"/>
      <c r="TLQ45" s="468"/>
      <c r="TLR45" s="468"/>
      <c r="TLS45" s="468"/>
      <c r="TLT45" s="468"/>
      <c r="TLU45" s="468"/>
      <c r="TLV45" s="468"/>
      <c r="TLW45" s="468"/>
      <c r="TLX45" s="468"/>
      <c r="TLY45" s="468"/>
      <c r="TLZ45" s="468"/>
      <c r="TMA45" s="468"/>
      <c r="TMB45" s="468"/>
      <c r="TMC45" s="468"/>
      <c r="TMD45" s="468"/>
      <c r="TME45" s="468"/>
      <c r="TMF45" s="468"/>
      <c r="TMG45" s="468"/>
      <c r="TMH45" s="468"/>
      <c r="TMI45" s="468"/>
      <c r="TMJ45" s="468"/>
      <c r="TMK45" s="468"/>
      <c r="TML45" s="468"/>
      <c r="TMM45" s="468"/>
      <c r="TMN45" s="468"/>
      <c r="TMO45" s="468"/>
      <c r="TMP45" s="468"/>
      <c r="TMQ45" s="468"/>
      <c r="TMR45" s="468"/>
      <c r="TMS45" s="468"/>
      <c r="TMT45" s="468"/>
      <c r="TMU45" s="468"/>
      <c r="TMV45" s="468"/>
      <c r="TMW45" s="468"/>
      <c r="TMX45" s="468"/>
      <c r="TMY45" s="468"/>
      <c r="TMZ45" s="468"/>
      <c r="TNA45" s="468"/>
      <c r="TNB45" s="468"/>
      <c r="TNC45" s="468"/>
      <c r="TND45" s="468"/>
      <c r="TNE45" s="468"/>
      <c r="TNF45" s="468"/>
      <c r="TNG45" s="468"/>
      <c r="TNH45" s="468"/>
      <c r="TNI45" s="468"/>
      <c r="TNJ45" s="468"/>
      <c r="TNK45" s="468"/>
      <c r="TNL45" s="468"/>
      <c r="TNM45" s="468"/>
      <c r="TNN45" s="468"/>
      <c r="TNO45" s="468"/>
      <c r="TNP45" s="468"/>
      <c r="TNQ45" s="468"/>
      <c r="TNR45" s="468"/>
      <c r="TNS45" s="468"/>
      <c r="TNT45" s="468"/>
      <c r="TNU45" s="468"/>
      <c r="TNV45" s="468"/>
      <c r="TNW45" s="468"/>
      <c r="TNX45" s="468"/>
      <c r="TNY45" s="468"/>
      <c r="TNZ45" s="468"/>
      <c r="TOA45" s="468"/>
      <c r="TOB45" s="468"/>
      <c r="TOC45" s="468"/>
      <c r="TOD45" s="468"/>
      <c r="TOE45" s="468"/>
      <c r="TOF45" s="468"/>
      <c r="TOG45" s="468"/>
      <c r="TOH45" s="468"/>
      <c r="TOI45" s="468"/>
      <c r="TOJ45" s="468"/>
      <c r="TOK45" s="468"/>
      <c r="TOL45" s="468"/>
      <c r="TOM45" s="468"/>
      <c r="TON45" s="468"/>
      <c r="TOO45" s="468"/>
      <c r="TOP45" s="468"/>
      <c r="TOQ45" s="468"/>
      <c r="TOR45" s="468"/>
      <c r="TOS45" s="468"/>
      <c r="TOT45" s="468"/>
      <c r="TOU45" s="468"/>
      <c r="TOV45" s="468"/>
      <c r="TOW45" s="468"/>
      <c r="TOX45" s="468"/>
      <c r="TOY45" s="468"/>
      <c r="TOZ45" s="468"/>
      <c r="TPA45" s="468"/>
      <c r="TPB45" s="468"/>
      <c r="TPC45" s="468"/>
      <c r="TPD45" s="468"/>
      <c r="TPE45" s="468"/>
      <c r="TPF45" s="468"/>
      <c r="TPG45" s="468"/>
      <c r="TPH45" s="468"/>
      <c r="TPI45" s="468"/>
      <c r="TPJ45" s="468"/>
      <c r="TPK45" s="468"/>
      <c r="TPL45" s="468"/>
      <c r="TPM45" s="468"/>
      <c r="TPN45" s="468"/>
      <c r="TPO45" s="468"/>
      <c r="TPP45" s="468"/>
      <c r="TPQ45" s="468"/>
      <c r="TPR45" s="468"/>
      <c r="TPS45" s="468"/>
      <c r="TPT45" s="468"/>
      <c r="TPU45" s="468"/>
      <c r="TPV45" s="468"/>
      <c r="TPW45" s="468"/>
      <c r="TPX45" s="468"/>
      <c r="TPY45" s="468"/>
      <c r="TPZ45" s="468"/>
      <c r="TQA45" s="468"/>
      <c r="TQB45" s="468"/>
      <c r="TQC45" s="468"/>
      <c r="TQD45" s="468"/>
      <c r="TQE45" s="468"/>
      <c r="TQF45" s="468"/>
      <c r="TQG45" s="468"/>
      <c r="TQH45" s="468"/>
      <c r="TQI45" s="468"/>
      <c r="TQJ45" s="468"/>
      <c r="TQK45" s="468"/>
      <c r="TQL45" s="468"/>
      <c r="TQM45" s="468"/>
      <c r="TQN45" s="468"/>
      <c r="TQO45" s="468"/>
      <c r="TQP45" s="468"/>
      <c r="TQQ45" s="468"/>
      <c r="TQR45" s="468"/>
      <c r="TQS45" s="468"/>
      <c r="TQT45" s="468"/>
      <c r="TQU45" s="468"/>
      <c r="TQV45" s="468"/>
      <c r="TQW45" s="468"/>
      <c r="TQX45" s="468"/>
      <c r="TQY45" s="468"/>
      <c r="TQZ45" s="468"/>
      <c r="TRA45" s="468"/>
      <c r="TRB45" s="468"/>
      <c r="TRC45" s="468"/>
      <c r="TRD45" s="468"/>
      <c r="TRE45" s="468"/>
      <c r="TRF45" s="468"/>
      <c r="TRG45" s="468"/>
      <c r="TRH45" s="468"/>
      <c r="TRI45" s="468"/>
      <c r="TRJ45" s="468"/>
      <c r="TRK45" s="468"/>
      <c r="TRL45" s="468"/>
      <c r="TRM45" s="468"/>
      <c r="TRN45" s="468"/>
      <c r="TRO45" s="468"/>
      <c r="TRP45" s="468"/>
      <c r="TRQ45" s="468"/>
      <c r="TRR45" s="468"/>
      <c r="TRS45" s="468"/>
      <c r="TRT45" s="468"/>
      <c r="TRU45" s="468"/>
      <c r="TRV45" s="468"/>
      <c r="TRW45" s="468"/>
      <c r="TRX45" s="468"/>
      <c r="TRY45" s="468"/>
      <c r="TRZ45" s="468"/>
      <c r="TSA45" s="468"/>
      <c r="TSB45" s="468"/>
      <c r="TSC45" s="468"/>
      <c r="TSD45" s="468"/>
      <c r="TSE45" s="468"/>
      <c r="TSF45" s="468"/>
      <c r="TSG45" s="468"/>
      <c r="TSH45" s="468"/>
      <c r="TSI45" s="468"/>
      <c r="TSJ45" s="468"/>
      <c r="TSK45" s="468"/>
      <c r="TSL45" s="468"/>
      <c r="TSM45" s="468"/>
      <c r="TSN45" s="468"/>
      <c r="TSO45" s="468"/>
      <c r="TSP45" s="468"/>
      <c r="TSQ45" s="468"/>
      <c r="TSR45" s="468"/>
      <c r="TSS45" s="468"/>
      <c r="TST45" s="468"/>
      <c r="TSU45" s="468"/>
      <c r="TSV45" s="468"/>
      <c r="TSW45" s="468"/>
      <c r="TSX45" s="468"/>
      <c r="TSY45" s="468"/>
      <c r="TSZ45" s="468"/>
      <c r="TTA45" s="468"/>
      <c r="TTB45" s="468"/>
      <c r="TTC45" s="468"/>
      <c r="TTD45" s="468"/>
      <c r="TTE45" s="468"/>
      <c r="TTF45" s="468"/>
      <c r="TTG45" s="468"/>
      <c r="TTH45" s="468"/>
      <c r="TTI45" s="468"/>
      <c r="TTJ45" s="468"/>
      <c r="TTK45" s="468"/>
      <c r="TTL45" s="468"/>
      <c r="TTM45" s="468"/>
      <c r="TTN45" s="468"/>
      <c r="TTO45" s="468"/>
      <c r="TTP45" s="468"/>
      <c r="TTQ45" s="468"/>
      <c r="TTR45" s="468"/>
      <c r="TTS45" s="468"/>
      <c r="TTT45" s="468"/>
      <c r="TTU45" s="468"/>
      <c r="TTV45" s="468"/>
      <c r="TTW45" s="468"/>
      <c r="TTX45" s="468"/>
      <c r="TTY45" s="468"/>
      <c r="TTZ45" s="468"/>
      <c r="TUA45" s="468"/>
      <c r="TUB45" s="468"/>
      <c r="TUC45" s="468"/>
      <c r="TUD45" s="468"/>
      <c r="TUE45" s="468"/>
      <c r="TUF45" s="468"/>
      <c r="TUG45" s="468"/>
      <c r="TUH45" s="468"/>
      <c r="TUI45" s="468"/>
      <c r="TUJ45" s="468"/>
      <c r="TUK45" s="468"/>
      <c r="TUL45" s="468"/>
      <c r="TUM45" s="468"/>
      <c r="TUN45" s="468"/>
      <c r="TUO45" s="468"/>
      <c r="TUP45" s="468"/>
      <c r="TUQ45" s="468"/>
      <c r="TUR45" s="468"/>
      <c r="TUS45" s="468"/>
      <c r="TUT45" s="468"/>
      <c r="TUU45" s="468"/>
      <c r="TUV45" s="468"/>
      <c r="TUW45" s="468"/>
      <c r="TUX45" s="468"/>
      <c r="TUY45" s="468"/>
      <c r="TUZ45" s="468"/>
      <c r="TVA45" s="468"/>
      <c r="TVB45" s="468"/>
      <c r="TVC45" s="468"/>
      <c r="TVD45" s="468"/>
      <c r="TVE45" s="468"/>
      <c r="TVF45" s="468"/>
      <c r="TVG45" s="468"/>
      <c r="TVH45" s="468"/>
      <c r="TVI45" s="468"/>
      <c r="TVJ45" s="468"/>
      <c r="TVK45" s="468"/>
      <c r="TVL45" s="468"/>
      <c r="TVM45" s="468"/>
      <c r="TVN45" s="468"/>
      <c r="TVO45" s="468"/>
      <c r="TVP45" s="468"/>
      <c r="TVQ45" s="468"/>
      <c r="TVR45" s="468"/>
      <c r="TVS45" s="468"/>
      <c r="TVT45" s="468"/>
      <c r="TVU45" s="468"/>
      <c r="TVV45" s="468"/>
      <c r="TVW45" s="468"/>
      <c r="TVX45" s="468"/>
      <c r="TVY45" s="468"/>
      <c r="TVZ45" s="468"/>
      <c r="TWA45" s="468"/>
      <c r="TWB45" s="468"/>
      <c r="TWC45" s="468"/>
      <c r="TWD45" s="468"/>
      <c r="TWE45" s="468"/>
      <c r="TWF45" s="468"/>
      <c r="TWG45" s="468"/>
      <c r="TWH45" s="468"/>
      <c r="TWI45" s="468"/>
      <c r="TWJ45" s="468"/>
      <c r="TWK45" s="468"/>
      <c r="TWL45" s="468"/>
      <c r="TWM45" s="468"/>
      <c r="TWN45" s="468"/>
      <c r="TWO45" s="468"/>
      <c r="TWP45" s="468"/>
      <c r="TWQ45" s="468"/>
      <c r="TWR45" s="468"/>
      <c r="TWS45" s="468"/>
      <c r="TWT45" s="468"/>
      <c r="TWU45" s="468"/>
      <c r="TWV45" s="468"/>
      <c r="TWW45" s="468"/>
      <c r="TWX45" s="468"/>
      <c r="TWY45" s="468"/>
      <c r="TWZ45" s="468"/>
      <c r="TXA45" s="468"/>
      <c r="TXB45" s="468"/>
      <c r="TXC45" s="468"/>
      <c r="TXD45" s="468"/>
      <c r="TXE45" s="468"/>
      <c r="TXF45" s="468"/>
      <c r="TXG45" s="468"/>
      <c r="TXH45" s="468"/>
      <c r="TXI45" s="468"/>
      <c r="TXJ45" s="468"/>
      <c r="TXK45" s="468"/>
      <c r="TXL45" s="468"/>
      <c r="TXM45" s="468"/>
      <c r="TXN45" s="468"/>
      <c r="TXO45" s="468"/>
      <c r="TXP45" s="468"/>
      <c r="TXQ45" s="468"/>
      <c r="TXR45" s="468"/>
      <c r="TXS45" s="468"/>
      <c r="TXT45" s="468"/>
      <c r="TXU45" s="468"/>
      <c r="TXV45" s="468"/>
      <c r="TXW45" s="468"/>
      <c r="TXX45" s="468"/>
      <c r="TXY45" s="468"/>
      <c r="TXZ45" s="468"/>
      <c r="TYA45" s="468"/>
      <c r="TYB45" s="468"/>
      <c r="TYC45" s="468"/>
      <c r="TYD45" s="468"/>
      <c r="TYE45" s="468"/>
      <c r="TYF45" s="468"/>
      <c r="TYG45" s="468"/>
      <c r="TYH45" s="468"/>
      <c r="TYI45" s="468"/>
      <c r="TYJ45" s="468"/>
      <c r="TYK45" s="468"/>
      <c r="TYL45" s="468"/>
      <c r="TYM45" s="468"/>
      <c r="TYN45" s="468"/>
      <c r="TYO45" s="468"/>
      <c r="TYP45" s="468"/>
      <c r="TYQ45" s="468"/>
      <c r="TYR45" s="468"/>
      <c r="TYS45" s="468"/>
      <c r="TYT45" s="468"/>
      <c r="TYU45" s="468"/>
      <c r="TYV45" s="468"/>
      <c r="TYW45" s="468"/>
      <c r="TYX45" s="468"/>
      <c r="TYY45" s="468"/>
      <c r="TYZ45" s="468"/>
      <c r="TZA45" s="468"/>
      <c r="TZB45" s="468"/>
      <c r="TZC45" s="468"/>
      <c r="TZD45" s="468"/>
      <c r="TZE45" s="468"/>
      <c r="TZF45" s="468"/>
      <c r="TZG45" s="468"/>
      <c r="TZH45" s="468"/>
      <c r="TZI45" s="468"/>
      <c r="TZJ45" s="468"/>
      <c r="TZK45" s="468"/>
      <c r="TZL45" s="468"/>
      <c r="TZM45" s="468"/>
      <c r="TZN45" s="468"/>
      <c r="TZO45" s="468"/>
      <c r="TZP45" s="468"/>
      <c r="TZQ45" s="468"/>
      <c r="TZR45" s="468"/>
      <c r="TZS45" s="468"/>
      <c r="TZT45" s="468"/>
      <c r="TZU45" s="468"/>
      <c r="TZV45" s="468"/>
      <c r="TZW45" s="468"/>
      <c r="TZX45" s="468"/>
      <c r="TZY45" s="468"/>
      <c r="TZZ45" s="468"/>
      <c r="UAA45" s="468"/>
      <c r="UAB45" s="468"/>
      <c r="UAC45" s="468"/>
      <c r="UAD45" s="468"/>
      <c r="UAE45" s="468"/>
      <c r="UAF45" s="468"/>
      <c r="UAG45" s="468"/>
      <c r="UAH45" s="468"/>
      <c r="UAI45" s="468"/>
      <c r="UAJ45" s="468"/>
      <c r="UAK45" s="468"/>
      <c r="UAL45" s="468"/>
      <c r="UAM45" s="468"/>
      <c r="UAN45" s="468"/>
      <c r="UAO45" s="468"/>
      <c r="UAP45" s="468"/>
      <c r="UAQ45" s="468"/>
      <c r="UAR45" s="468"/>
      <c r="UAS45" s="468"/>
      <c r="UAT45" s="468"/>
      <c r="UAU45" s="468"/>
      <c r="UAV45" s="468"/>
      <c r="UAW45" s="468"/>
      <c r="UAX45" s="468"/>
      <c r="UAY45" s="468"/>
      <c r="UAZ45" s="468"/>
      <c r="UBA45" s="468"/>
      <c r="UBB45" s="468"/>
      <c r="UBC45" s="468"/>
      <c r="UBD45" s="468"/>
      <c r="UBE45" s="468"/>
      <c r="UBF45" s="468"/>
      <c r="UBG45" s="468"/>
      <c r="UBH45" s="468"/>
      <c r="UBI45" s="468"/>
      <c r="UBJ45" s="468"/>
      <c r="UBK45" s="468"/>
      <c r="UBL45" s="468"/>
      <c r="UBM45" s="468"/>
      <c r="UBN45" s="468"/>
      <c r="UBO45" s="468"/>
      <c r="UBP45" s="468"/>
      <c r="UBQ45" s="468"/>
      <c r="UBR45" s="468"/>
      <c r="UBS45" s="468"/>
      <c r="UBT45" s="468"/>
      <c r="UBU45" s="468"/>
      <c r="UBV45" s="468"/>
      <c r="UBW45" s="468"/>
      <c r="UBX45" s="468"/>
      <c r="UBY45" s="468"/>
      <c r="UBZ45" s="468"/>
      <c r="UCA45" s="468"/>
      <c r="UCB45" s="468"/>
      <c r="UCC45" s="468"/>
      <c r="UCD45" s="468"/>
      <c r="UCE45" s="468"/>
      <c r="UCF45" s="468"/>
      <c r="UCG45" s="468"/>
      <c r="UCH45" s="468"/>
      <c r="UCI45" s="468"/>
      <c r="UCJ45" s="468"/>
      <c r="UCK45" s="468"/>
      <c r="UCL45" s="468"/>
      <c r="UCM45" s="468"/>
      <c r="UCN45" s="468"/>
      <c r="UCO45" s="468"/>
      <c r="UCP45" s="468"/>
      <c r="UCQ45" s="468"/>
      <c r="UCR45" s="468"/>
      <c r="UCS45" s="468"/>
      <c r="UCT45" s="468"/>
      <c r="UCU45" s="468"/>
      <c r="UCV45" s="468"/>
      <c r="UCW45" s="468"/>
      <c r="UCX45" s="468"/>
      <c r="UCY45" s="468"/>
      <c r="UCZ45" s="468"/>
      <c r="UDA45" s="468"/>
      <c r="UDB45" s="468"/>
      <c r="UDC45" s="468"/>
      <c r="UDD45" s="468"/>
      <c r="UDE45" s="468"/>
      <c r="UDF45" s="468"/>
      <c r="UDG45" s="468"/>
      <c r="UDH45" s="468"/>
      <c r="UDI45" s="468"/>
      <c r="UDJ45" s="468"/>
      <c r="UDK45" s="468"/>
      <c r="UDL45" s="468"/>
      <c r="UDM45" s="468"/>
      <c r="UDN45" s="468"/>
      <c r="UDO45" s="468"/>
      <c r="UDP45" s="468"/>
      <c r="UDQ45" s="468"/>
      <c r="UDR45" s="468"/>
      <c r="UDS45" s="468"/>
      <c r="UDT45" s="468"/>
      <c r="UDU45" s="468"/>
      <c r="UDV45" s="468"/>
      <c r="UDW45" s="468"/>
      <c r="UDX45" s="468"/>
      <c r="UDY45" s="468"/>
      <c r="UDZ45" s="468"/>
      <c r="UEA45" s="468"/>
      <c r="UEB45" s="468"/>
      <c r="UEC45" s="468"/>
      <c r="UED45" s="468"/>
      <c r="UEE45" s="468"/>
      <c r="UEF45" s="468"/>
      <c r="UEG45" s="468"/>
      <c r="UEH45" s="468"/>
      <c r="UEI45" s="468"/>
      <c r="UEJ45" s="468"/>
      <c r="UEK45" s="468"/>
      <c r="UEL45" s="468"/>
      <c r="UEM45" s="468"/>
      <c r="UEN45" s="468"/>
      <c r="UEO45" s="468"/>
      <c r="UEP45" s="468"/>
      <c r="UEQ45" s="468"/>
      <c r="UER45" s="468"/>
      <c r="UES45" s="468"/>
      <c r="UET45" s="468"/>
      <c r="UEU45" s="468"/>
      <c r="UEV45" s="468"/>
      <c r="UEW45" s="468"/>
      <c r="UEX45" s="468"/>
      <c r="UEY45" s="468"/>
      <c r="UEZ45" s="468"/>
      <c r="UFA45" s="468"/>
      <c r="UFB45" s="468"/>
      <c r="UFC45" s="468"/>
      <c r="UFD45" s="468"/>
      <c r="UFE45" s="468"/>
      <c r="UFF45" s="468"/>
      <c r="UFG45" s="468"/>
      <c r="UFH45" s="468"/>
      <c r="UFI45" s="468"/>
      <c r="UFJ45" s="468"/>
      <c r="UFK45" s="468"/>
      <c r="UFL45" s="468"/>
      <c r="UFM45" s="468"/>
      <c r="UFN45" s="468"/>
      <c r="UFO45" s="468"/>
      <c r="UFP45" s="468"/>
      <c r="UFQ45" s="468"/>
      <c r="UFR45" s="468"/>
      <c r="UFS45" s="468"/>
      <c r="UFT45" s="468"/>
      <c r="UFU45" s="468"/>
      <c r="UFV45" s="468"/>
      <c r="UFW45" s="468"/>
      <c r="UFX45" s="468"/>
      <c r="UFY45" s="468"/>
      <c r="UFZ45" s="468"/>
      <c r="UGA45" s="468"/>
      <c r="UGB45" s="468"/>
      <c r="UGC45" s="468"/>
      <c r="UGD45" s="468"/>
      <c r="UGE45" s="468"/>
      <c r="UGF45" s="468"/>
      <c r="UGG45" s="468"/>
      <c r="UGH45" s="468"/>
      <c r="UGI45" s="468"/>
      <c r="UGJ45" s="468"/>
      <c r="UGK45" s="468"/>
      <c r="UGL45" s="468"/>
      <c r="UGM45" s="468"/>
      <c r="UGN45" s="468"/>
      <c r="UGO45" s="468"/>
      <c r="UGP45" s="468"/>
      <c r="UGQ45" s="468"/>
      <c r="UGR45" s="468"/>
      <c r="UGS45" s="468"/>
      <c r="UGT45" s="468"/>
      <c r="UGU45" s="468"/>
      <c r="UGV45" s="468"/>
      <c r="UGW45" s="468"/>
      <c r="UGX45" s="468"/>
      <c r="UGY45" s="468"/>
      <c r="UGZ45" s="468"/>
      <c r="UHA45" s="468"/>
      <c r="UHB45" s="468"/>
      <c r="UHC45" s="468"/>
      <c r="UHD45" s="468"/>
      <c r="UHE45" s="468"/>
      <c r="UHF45" s="468"/>
      <c r="UHG45" s="468"/>
      <c r="UHH45" s="468"/>
      <c r="UHI45" s="468"/>
      <c r="UHJ45" s="468"/>
      <c r="UHK45" s="468"/>
      <c r="UHL45" s="468"/>
      <c r="UHM45" s="468"/>
      <c r="UHN45" s="468"/>
      <c r="UHO45" s="468"/>
      <c r="UHP45" s="468"/>
      <c r="UHQ45" s="468"/>
      <c r="UHR45" s="468"/>
      <c r="UHS45" s="468"/>
      <c r="UHT45" s="468"/>
      <c r="UHU45" s="468"/>
      <c r="UHV45" s="468"/>
      <c r="UHW45" s="468"/>
      <c r="UHX45" s="468"/>
      <c r="UHY45" s="468"/>
      <c r="UHZ45" s="468"/>
      <c r="UIA45" s="468"/>
      <c r="UIB45" s="468"/>
      <c r="UIC45" s="468"/>
      <c r="UID45" s="468"/>
      <c r="UIE45" s="468"/>
      <c r="UIF45" s="468"/>
      <c r="UIG45" s="468"/>
      <c r="UIH45" s="468"/>
      <c r="UII45" s="468"/>
      <c r="UIJ45" s="468"/>
      <c r="UIK45" s="468"/>
      <c r="UIL45" s="468"/>
      <c r="UIM45" s="468"/>
      <c r="UIN45" s="468"/>
      <c r="UIO45" s="468"/>
      <c r="UIP45" s="468"/>
      <c r="UIQ45" s="468"/>
      <c r="UIR45" s="468"/>
      <c r="UIS45" s="468"/>
      <c r="UIT45" s="468"/>
      <c r="UIU45" s="468"/>
      <c r="UIV45" s="468"/>
      <c r="UIW45" s="468"/>
      <c r="UIX45" s="468"/>
      <c r="UIY45" s="468"/>
      <c r="UIZ45" s="468"/>
      <c r="UJA45" s="468"/>
      <c r="UJB45" s="468"/>
      <c r="UJC45" s="468"/>
      <c r="UJD45" s="468"/>
      <c r="UJE45" s="468"/>
      <c r="UJF45" s="468"/>
      <c r="UJG45" s="468"/>
      <c r="UJH45" s="468"/>
      <c r="UJI45" s="468"/>
      <c r="UJJ45" s="468"/>
      <c r="UJK45" s="468"/>
      <c r="UJL45" s="468"/>
      <c r="UJM45" s="468"/>
      <c r="UJN45" s="468"/>
      <c r="UJO45" s="468"/>
      <c r="UJP45" s="468"/>
      <c r="UJQ45" s="468"/>
      <c r="UJR45" s="468"/>
      <c r="UJS45" s="468"/>
      <c r="UJT45" s="468"/>
      <c r="UJU45" s="468"/>
      <c r="UJV45" s="468"/>
      <c r="UJW45" s="468"/>
      <c r="UJX45" s="468"/>
      <c r="UJY45" s="468"/>
      <c r="UJZ45" s="468"/>
      <c r="UKA45" s="468"/>
      <c r="UKB45" s="468"/>
      <c r="UKC45" s="468"/>
      <c r="UKD45" s="468"/>
      <c r="UKE45" s="468"/>
      <c r="UKF45" s="468"/>
      <c r="UKG45" s="468"/>
      <c r="UKH45" s="468"/>
      <c r="UKI45" s="468"/>
      <c r="UKJ45" s="468"/>
      <c r="UKK45" s="468"/>
      <c r="UKL45" s="468"/>
      <c r="UKM45" s="468"/>
      <c r="UKN45" s="468"/>
      <c r="UKO45" s="468"/>
      <c r="UKP45" s="468"/>
      <c r="UKQ45" s="468"/>
      <c r="UKR45" s="468"/>
      <c r="UKS45" s="468"/>
      <c r="UKT45" s="468"/>
      <c r="UKU45" s="468"/>
      <c r="UKV45" s="468"/>
      <c r="UKW45" s="468"/>
      <c r="UKX45" s="468"/>
      <c r="UKY45" s="468"/>
      <c r="UKZ45" s="468"/>
      <c r="ULA45" s="468"/>
      <c r="ULB45" s="468"/>
      <c r="ULC45" s="468"/>
      <c r="ULD45" s="468"/>
      <c r="ULE45" s="468"/>
      <c r="ULF45" s="468"/>
      <c r="ULG45" s="468"/>
      <c r="ULH45" s="468"/>
      <c r="ULI45" s="468"/>
      <c r="ULJ45" s="468"/>
      <c r="ULK45" s="468"/>
      <c r="ULL45" s="468"/>
      <c r="ULM45" s="468"/>
      <c r="ULN45" s="468"/>
      <c r="ULO45" s="468"/>
      <c r="ULP45" s="468"/>
      <c r="ULQ45" s="468"/>
      <c r="ULR45" s="468"/>
      <c r="ULS45" s="468"/>
      <c r="ULT45" s="468"/>
      <c r="ULU45" s="468"/>
      <c r="ULV45" s="468"/>
      <c r="ULW45" s="468"/>
      <c r="ULX45" s="468"/>
      <c r="ULY45" s="468"/>
      <c r="ULZ45" s="468"/>
      <c r="UMA45" s="468"/>
      <c r="UMB45" s="468"/>
      <c r="UMC45" s="468"/>
      <c r="UMD45" s="468"/>
      <c r="UME45" s="468"/>
      <c r="UMF45" s="468"/>
      <c r="UMG45" s="468"/>
      <c r="UMH45" s="468"/>
      <c r="UMI45" s="468"/>
      <c r="UMJ45" s="468"/>
      <c r="UMK45" s="468"/>
      <c r="UML45" s="468"/>
      <c r="UMM45" s="468"/>
      <c r="UMN45" s="468"/>
      <c r="UMO45" s="468"/>
      <c r="UMP45" s="468"/>
      <c r="UMQ45" s="468"/>
      <c r="UMR45" s="468"/>
      <c r="UMS45" s="468"/>
      <c r="UMT45" s="468"/>
      <c r="UMU45" s="468"/>
      <c r="UMV45" s="468"/>
      <c r="UMW45" s="468"/>
      <c r="UMX45" s="468"/>
      <c r="UMY45" s="468"/>
      <c r="UMZ45" s="468"/>
      <c r="UNA45" s="468"/>
      <c r="UNB45" s="468"/>
      <c r="UNC45" s="468"/>
      <c r="UND45" s="468"/>
      <c r="UNE45" s="468"/>
      <c r="UNF45" s="468"/>
      <c r="UNG45" s="468"/>
      <c r="UNH45" s="468"/>
      <c r="UNI45" s="468"/>
      <c r="UNJ45" s="468"/>
      <c r="UNK45" s="468"/>
      <c r="UNL45" s="468"/>
      <c r="UNM45" s="468"/>
      <c r="UNN45" s="468"/>
      <c r="UNO45" s="468"/>
      <c r="UNP45" s="468"/>
      <c r="UNQ45" s="468"/>
      <c r="UNR45" s="468"/>
      <c r="UNS45" s="468"/>
      <c r="UNT45" s="468"/>
      <c r="UNU45" s="468"/>
      <c r="UNV45" s="468"/>
      <c r="UNW45" s="468"/>
      <c r="UNX45" s="468"/>
      <c r="UNY45" s="468"/>
      <c r="UNZ45" s="468"/>
      <c r="UOA45" s="468"/>
      <c r="UOB45" s="468"/>
      <c r="UOC45" s="468"/>
      <c r="UOD45" s="468"/>
      <c r="UOE45" s="468"/>
      <c r="UOF45" s="468"/>
      <c r="UOG45" s="468"/>
      <c r="UOH45" s="468"/>
      <c r="UOI45" s="468"/>
      <c r="UOJ45" s="468"/>
      <c r="UOK45" s="468"/>
      <c r="UOL45" s="468"/>
      <c r="UOM45" s="468"/>
      <c r="UON45" s="468"/>
      <c r="UOO45" s="468"/>
      <c r="UOP45" s="468"/>
      <c r="UOQ45" s="468"/>
      <c r="UOR45" s="468"/>
      <c r="UOS45" s="468"/>
      <c r="UOT45" s="468"/>
      <c r="UOU45" s="468"/>
      <c r="UOV45" s="468"/>
      <c r="UOW45" s="468"/>
      <c r="UOX45" s="468"/>
      <c r="UOY45" s="468"/>
      <c r="UOZ45" s="468"/>
      <c r="UPA45" s="468"/>
      <c r="UPB45" s="468"/>
      <c r="UPC45" s="468"/>
      <c r="UPD45" s="468"/>
      <c r="UPE45" s="468"/>
      <c r="UPF45" s="468"/>
      <c r="UPG45" s="468"/>
      <c r="UPH45" s="468"/>
      <c r="UPI45" s="468"/>
      <c r="UPJ45" s="468"/>
      <c r="UPK45" s="468"/>
      <c r="UPL45" s="468"/>
      <c r="UPM45" s="468"/>
      <c r="UPN45" s="468"/>
      <c r="UPO45" s="468"/>
      <c r="UPP45" s="468"/>
      <c r="UPQ45" s="468"/>
      <c r="UPR45" s="468"/>
      <c r="UPS45" s="468"/>
      <c r="UPT45" s="468"/>
      <c r="UPU45" s="468"/>
      <c r="UPV45" s="468"/>
      <c r="UPW45" s="468"/>
      <c r="UPX45" s="468"/>
      <c r="UPY45" s="468"/>
      <c r="UPZ45" s="468"/>
      <c r="UQA45" s="468"/>
      <c r="UQB45" s="468"/>
      <c r="UQC45" s="468"/>
      <c r="UQD45" s="468"/>
      <c r="UQE45" s="468"/>
      <c r="UQF45" s="468"/>
      <c r="UQG45" s="468"/>
      <c r="UQH45" s="468"/>
      <c r="UQI45" s="468"/>
      <c r="UQJ45" s="468"/>
      <c r="UQK45" s="468"/>
      <c r="UQL45" s="468"/>
      <c r="UQM45" s="468"/>
      <c r="UQN45" s="468"/>
      <c r="UQO45" s="468"/>
      <c r="UQP45" s="468"/>
      <c r="UQQ45" s="468"/>
      <c r="UQR45" s="468"/>
      <c r="UQS45" s="468"/>
      <c r="UQT45" s="468"/>
      <c r="UQU45" s="468"/>
      <c r="UQV45" s="468"/>
      <c r="UQW45" s="468"/>
      <c r="UQX45" s="468"/>
      <c r="UQY45" s="468"/>
      <c r="UQZ45" s="468"/>
      <c r="URA45" s="468"/>
      <c r="URB45" s="468"/>
      <c r="URC45" s="468"/>
      <c r="URD45" s="468"/>
      <c r="URE45" s="468"/>
      <c r="URF45" s="468"/>
      <c r="URG45" s="468"/>
      <c r="URH45" s="468"/>
      <c r="URI45" s="468"/>
      <c r="URJ45" s="468"/>
      <c r="URK45" s="468"/>
      <c r="URL45" s="468"/>
      <c r="URM45" s="468"/>
      <c r="URN45" s="468"/>
      <c r="URO45" s="468"/>
      <c r="URP45" s="468"/>
      <c r="URQ45" s="468"/>
      <c r="URR45" s="468"/>
      <c r="URS45" s="468"/>
      <c r="URT45" s="468"/>
      <c r="URU45" s="468"/>
      <c r="URV45" s="468"/>
      <c r="URW45" s="468"/>
      <c r="URX45" s="468"/>
      <c r="URY45" s="468"/>
      <c r="URZ45" s="468"/>
      <c r="USA45" s="468"/>
      <c r="USB45" s="468"/>
      <c r="USC45" s="468"/>
      <c r="USD45" s="468"/>
      <c r="USE45" s="468"/>
      <c r="USF45" s="468"/>
      <c r="USG45" s="468"/>
      <c r="USH45" s="468"/>
      <c r="USI45" s="468"/>
      <c r="USJ45" s="468"/>
      <c r="USK45" s="468"/>
      <c r="USL45" s="468"/>
      <c r="USM45" s="468"/>
      <c r="USN45" s="468"/>
      <c r="USO45" s="468"/>
      <c r="USP45" s="468"/>
      <c r="USQ45" s="468"/>
      <c r="USR45" s="468"/>
      <c r="USS45" s="468"/>
      <c r="UST45" s="468"/>
      <c r="USU45" s="468"/>
      <c r="USV45" s="468"/>
      <c r="USW45" s="468"/>
      <c r="USX45" s="468"/>
      <c r="USY45" s="468"/>
      <c r="USZ45" s="468"/>
      <c r="UTA45" s="468"/>
      <c r="UTB45" s="468"/>
      <c r="UTC45" s="468"/>
      <c r="UTD45" s="468"/>
      <c r="UTE45" s="468"/>
      <c r="UTF45" s="468"/>
      <c r="UTG45" s="468"/>
      <c r="UTH45" s="468"/>
      <c r="UTI45" s="468"/>
      <c r="UTJ45" s="468"/>
      <c r="UTK45" s="468"/>
      <c r="UTL45" s="468"/>
      <c r="UTM45" s="468"/>
      <c r="UTN45" s="468"/>
      <c r="UTO45" s="468"/>
      <c r="UTP45" s="468"/>
      <c r="UTQ45" s="468"/>
      <c r="UTR45" s="468"/>
      <c r="UTS45" s="468"/>
      <c r="UTT45" s="468"/>
      <c r="UTU45" s="468"/>
      <c r="UTV45" s="468"/>
      <c r="UTW45" s="468"/>
      <c r="UTX45" s="468"/>
      <c r="UTY45" s="468"/>
      <c r="UTZ45" s="468"/>
      <c r="UUA45" s="468"/>
      <c r="UUB45" s="468"/>
      <c r="UUC45" s="468"/>
      <c r="UUD45" s="468"/>
      <c r="UUE45" s="468"/>
      <c r="UUF45" s="468"/>
      <c r="UUG45" s="468"/>
      <c r="UUH45" s="468"/>
      <c r="UUI45" s="468"/>
      <c r="UUJ45" s="468"/>
      <c r="UUK45" s="468"/>
      <c r="UUL45" s="468"/>
      <c r="UUM45" s="468"/>
      <c r="UUN45" s="468"/>
      <c r="UUO45" s="468"/>
      <c r="UUP45" s="468"/>
      <c r="UUQ45" s="468"/>
      <c r="UUR45" s="468"/>
      <c r="UUS45" s="468"/>
      <c r="UUT45" s="468"/>
      <c r="UUU45" s="468"/>
      <c r="UUV45" s="468"/>
      <c r="UUW45" s="468"/>
      <c r="UUX45" s="468"/>
      <c r="UUY45" s="468"/>
      <c r="UUZ45" s="468"/>
      <c r="UVA45" s="468"/>
      <c r="UVB45" s="468"/>
      <c r="UVC45" s="468"/>
      <c r="UVD45" s="468"/>
      <c r="UVE45" s="468"/>
      <c r="UVF45" s="468"/>
      <c r="UVG45" s="468"/>
      <c r="UVH45" s="468"/>
      <c r="UVI45" s="468"/>
      <c r="UVJ45" s="468"/>
      <c r="UVK45" s="468"/>
      <c r="UVL45" s="468"/>
      <c r="UVM45" s="468"/>
      <c r="UVN45" s="468"/>
      <c r="UVO45" s="468"/>
      <c r="UVP45" s="468"/>
      <c r="UVQ45" s="468"/>
      <c r="UVR45" s="468"/>
      <c r="UVS45" s="468"/>
      <c r="UVT45" s="468"/>
      <c r="UVU45" s="468"/>
      <c r="UVV45" s="468"/>
      <c r="UVW45" s="468"/>
      <c r="UVX45" s="468"/>
      <c r="UVY45" s="468"/>
      <c r="UVZ45" s="468"/>
      <c r="UWA45" s="468"/>
      <c r="UWB45" s="468"/>
      <c r="UWC45" s="468"/>
      <c r="UWD45" s="468"/>
      <c r="UWE45" s="468"/>
      <c r="UWF45" s="468"/>
      <c r="UWG45" s="468"/>
      <c r="UWH45" s="468"/>
      <c r="UWI45" s="468"/>
      <c r="UWJ45" s="468"/>
      <c r="UWK45" s="468"/>
      <c r="UWL45" s="468"/>
      <c r="UWM45" s="468"/>
      <c r="UWN45" s="468"/>
      <c r="UWO45" s="468"/>
      <c r="UWP45" s="468"/>
      <c r="UWQ45" s="468"/>
      <c r="UWR45" s="468"/>
      <c r="UWS45" s="468"/>
      <c r="UWT45" s="468"/>
      <c r="UWU45" s="468"/>
      <c r="UWV45" s="468"/>
      <c r="UWW45" s="468"/>
      <c r="UWX45" s="468"/>
      <c r="UWY45" s="468"/>
      <c r="UWZ45" s="468"/>
      <c r="UXA45" s="468"/>
      <c r="UXB45" s="468"/>
      <c r="UXC45" s="468"/>
      <c r="UXD45" s="468"/>
      <c r="UXE45" s="468"/>
      <c r="UXF45" s="468"/>
      <c r="UXG45" s="468"/>
      <c r="UXH45" s="468"/>
      <c r="UXI45" s="468"/>
      <c r="UXJ45" s="468"/>
      <c r="UXK45" s="468"/>
      <c r="UXL45" s="468"/>
      <c r="UXM45" s="468"/>
      <c r="UXN45" s="468"/>
      <c r="UXO45" s="468"/>
      <c r="UXP45" s="468"/>
      <c r="UXQ45" s="468"/>
      <c r="UXR45" s="468"/>
      <c r="UXS45" s="468"/>
      <c r="UXT45" s="468"/>
      <c r="UXU45" s="468"/>
      <c r="UXV45" s="468"/>
      <c r="UXW45" s="468"/>
      <c r="UXX45" s="468"/>
      <c r="UXY45" s="468"/>
      <c r="UXZ45" s="468"/>
      <c r="UYA45" s="468"/>
      <c r="UYB45" s="468"/>
      <c r="UYC45" s="468"/>
      <c r="UYD45" s="468"/>
      <c r="UYE45" s="468"/>
      <c r="UYF45" s="468"/>
      <c r="UYG45" s="468"/>
      <c r="UYH45" s="468"/>
      <c r="UYI45" s="468"/>
      <c r="UYJ45" s="468"/>
      <c r="UYK45" s="468"/>
      <c r="UYL45" s="468"/>
      <c r="UYM45" s="468"/>
      <c r="UYN45" s="468"/>
      <c r="UYO45" s="468"/>
      <c r="UYP45" s="468"/>
      <c r="UYQ45" s="468"/>
      <c r="UYR45" s="468"/>
      <c r="UYS45" s="468"/>
      <c r="UYT45" s="468"/>
      <c r="UYU45" s="468"/>
      <c r="UYV45" s="468"/>
      <c r="UYW45" s="468"/>
      <c r="UYX45" s="468"/>
      <c r="UYY45" s="468"/>
      <c r="UYZ45" s="468"/>
      <c r="UZA45" s="468"/>
      <c r="UZB45" s="468"/>
      <c r="UZC45" s="468"/>
      <c r="UZD45" s="468"/>
      <c r="UZE45" s="468"/>
      <c r="UZF45" s="468"/>
      <c r="UZG45" s="468"/>
      <c r="UZH45" s="468"/>
      <c r="UZI45" s="468"/>
      <c r="UZJ45" s="468"/>
      <c r="UZK45" s="468"/>
      <c r="UZL45" s="468"/>
      <c r="UZM45" s="468"/>
      <c r="UZN45" s="468"/>
      <c r="UZO45" s="468"/>
      <c r="UZP45" s="468"/>
      <c r="UZQ45" s="468"/>
      <c r="UZR45" s="468"/>
      <c r="UZS45" s="468"/>
      <c r="UZT45" s="468"/>
      <c r="UZU45" s="468"/>
      <c r="UZV45" s="468"/>
      <c r="UZW45" s="468"/>
      <c r="UZX45" s="468"/>
      <c r="UZY45" s="468"/>
      <c r="UZZ45" s="468"/>
      <c r="VAA45" s="468"/>
      <c r="VAB45" s="468"/>
      <c r="VAC45" s="468"/>
      <c r="VAD45" s="468"/>
      <c r="VAE45" s="468"/>
      <c r="VAF45" s="468"/>
      <c r="VAG45" s="468"/>
      <c r="VAH45" s="468"/>
      <c r="VAI45" s="468"/>
      <c r="VAJ45" s="468"/>
      <c r="VAK45" s="468"/>
      <c r="VAL45" s="468"/>
      <c r="VAM45" s="468"/>
      <c r="VAN45" s="468"/>
      <c r="VAO45" s="468"/>
      <c r="VAP45" s="468"/>
      <c r="VAQ45" s="468"/>
      <c r="VAR45" s="468"/>
      <c r="VAS45" s="468"/>
      <c r="VAT45" s="468"/>
      <c r="VAU45" s="468"/>
      <c r="VAV45" s="468"/>
      <c r="VAW45" s="468"/>
      <c r="VAX45" s="468"/>
      <c r="VAY45" s="468"/>
      <c r="VAZ45" s="468"/>
      <c r="VBA45" s="468"/>
      <c r="VBB45" s="468"/>
      <c r="VBC45" s="468"/>
      <c r="VBD45" s="468"/>
      <c r="VBE45" s="468"/>
      <c r="VBF45" s="468"/>
      <c r="VBG45" s="468"/>
      <c r="VBH45" s="468"/>
      <c r="VBI45" s="468"/>
      <c r="VBJ45" s="468"/>
      <c r="VBK45" s="468"/>
      <c r="VBL45" s="468"/>
      <c r="VBM45" s="468"/>
      <c r="VBN45" s="468"/>
      <c r="VBO45" s="468"/>
      <c r="VBP45" s="468"/>
      <c r="VBQ45" s="468"/>
      <c r="VBR45" s="468"/>
      <c r="VBS45" s="468"/>
      <c r="VBT45" s="468"/>
      <c r="VBU45" s="468"/>
      <c r="VBV45" s="468"/>
      <c r="VBW45" s="468"/>
      <c r="VBX45" s="468"/>
      <c r="VBY45" s="468"/>
      <c r="VBZ45" s="468"/>
      <c r="VCA45" s="468"/>
      <c r="VCB45" s="468"/>
      <c r="VCC45" s="468"/>
      <c r="VCD45" s="468"/>
      <c r="VCE45" s="468"/>
      <c r="VCF45" s="468"/>
      <c r="VCG45" s="468"/>
      <c r="VCH45" s="468"/>
      <c r="VCI45" s="468"/>
      <c r="VCJ45" s="468"/>
      <c r="VCK45" s="468"/>
      <c r="VCL45" s="468"/>
      <c r="VCM45" s="468"/>
      <c r="VCN45" s="468"/>
      <c r="VCO45" s="468"/>
      <c r="VCP45" s="468"/>
      <c r="VCQ45" s="468"/>
      <c r="VCR45" s="468"/>
      <c r="VCS45" s="468"/>
      <c r="VCT45" s="468"/>
      <c r="VCU45" s="468"/>
      <c r="VCV45" s="468"/>
      <c r="VCW45" s="468"/>
      <c r="VCX45" s="468"/>
      <c r="VCY45" s="468"/>
      <c r="VCZ45" s="468"/>
      <c r="VDA45" s="468"/>
      <c r="VDB45" s="468"/>
      <c r="VDC45" s="468"/>
      <c r="VDD45" s="468"/>
      <c r="VDE45" s="468"/>
      <c r="VDF45" s="468"/>
      <c r="VDG45" s="468"/>
      <c r="VDH45" s="468"/>
      <c r="VDI45" s="468"/>
      <c r="VDJ45" s="468"/>
      <c r="VDK45" s="468"/>
      <c r="VDL45" s="468"/>
      <c r="VDM45" s="468"/>
      <c r="VDN45" s="468"/>
      <c r="VDO45" s="468"/>
      <c r="VDP45" s="468"/>
      <c r="VDQ45" s="468"/>
      <c r="VDR45" s="468"/>
      <c r="VDS45" s="468"/>
      <c r="VDT45" s="468"/>
      <c r="VDU45" s="468"/>
      <c r="VDV45" s="468"/>
      <c r="VDW45" s="468"/>
      <c r="VDX45" s="468"/>
      <c r="VDY45" s="468"/>
      <c r="VDZ45" s="468"/>
      <c r="VEA45" s="468"/>
      <c r="VEB45" s="468"/>
      <c r="VEC45" s="468"/>
      <c r="VED45" s="468"/>
      <c r="VEE45" s="468"/>
      <c r="VEF45" s="468"/>
      <c r="VEG45" s="468"/>
      <c r="VEH45" s="468"/>
      <c r="VEI45" s="468"/>
      <c r="VEJ45" s="468"/>
      <c r="VEK45" s="468"/>
      <c r="VEL45" s="468"/>
      <c r="VEM45" s="468"/>
      <c r="VEN45" s="468"/>
      <c r="VEO45" s="468"/>
      <c r="VEP45" s="468"/>
      <c r="VEQ45" s="468"/>
      <c r="VER45" s="468"/>
      <c r="VES45" s="468"/>
      <c r="VET45" s="468"/>
      <c r="VEU45" s="468"/>
      <c r="VEV45" s="468"/>
      <c r="VEW45" s="468"/>
      <c r="VEX45" s="468"/>
      <c r="VEY45" s="468"/>
      <c r="VEZ45" s="468"/>
      <c r="VFA45" s="468"/>
      <c r="VFB45" s="468"/>
      <c r="VFC45" s="468"/>
      <c r="VFD45" s="468"/>
      <c r="VFE45" s="468"/>
      <c r="VFF45" s="468"/>
      <c r="VFG45" s="468"/>
      <c r="VFH45" s="468"/>
      <c r="VFI45" s="468"/>
      <c r="VFJ45" s="468"/>
      <c r="VFK45" s="468"/>
      <c r="VFL45" s="468"/>
      <c r="VFM45" s="468"/>
      <c r="VFN45" s="468"/>
      <c r="VFO45" s="468"/>
      <c r="VFP45" s="468"/>
      <c r="VFQ45" s="468"/>
      <c r="VFR45" s="468"/>
      <c r="VFS45" s="468"/>
      <c r="VFT45" s="468"/>
      <c r="VFU45" s="468"/>
      <c r="VFV45" s="468"/>
      <c r="VFW45" s="468"/>
      <c r="VFX45" s="468"/>
      <c r="VFY45" s="468"/>
      <c r="VFZ45" s="468"/>
      <c r="VGA45" s="468"/>
      <c r="VGB45" s="468"/>
      <c r="VGC45" s="468"/>
      <c r="VGD45" s="468"/>
      <c r="VGE45" s="468"/>
      <c r="VGF45" s="468"/>
      <c r="VGG45" s="468"/>
      <c r="VGH45" s="468"/>
      <c r="VGI45" s="468"/>
      <c r="VGJ45" s="468"/>
      <c r="VGK45" s="468"/>
      <c r="VGL45" s="468"/>
      <c r="VGM45" s="468"/>
      <c r="VGN45" s="468"/>
      <c r="VGO45" s="468"/>
      <c r="VGP45" s="468"/>
      <c r="VGQ45" s="468"/>
      <c r="VGR45" s="468"/>
      <c r="VGS45" s="468"/>
      <c r="VGT45" s="468"/>
      <c r="VGU45" s="468"/>
      <c r="VGV45" s="468"/>
      <c r="VGW45" s="468"/>
      <c r="VGX45" s="468"/>
      <c r="VGY45" s="468"/>
      <c r="VGZ45" s="468"/>
      <c r="VHA45" s="468"/>
      <c r="VHB45" s="468"/>
      <c r="VHC45" s="468"/>
      <c r="VHD45" s="468"/>
      <c r="VHE45" s="468"/>
      <c r="VHF45" s="468"/>
      <c r="VHG45" s="468"/>
      <c r="VHH45" s="468"/>
      <c r="VHI45" s="468"/>
      <c r="VHJ45" s="468"/>
      <c r="VHK45" s="468"/>
      <c r="VHL45" s="468"/>
      <c r="VHM45" s="468"/>
      <c r="VHN45" s="468"/>
      <c r="VHO45" s="468"/>
      <c r="VHP45" s="468"/>
      <c r="VHQ45" s="468"/>
      <c r="VHR45" s="468"/>
      <c r="VHS45" s="468"/>
      <c r="VHT45" s="468"/>
      <c r="VHU45" s="468"/>
      <c r="VHV45" s="468"/>
      <c r="VHW45" s="468"/>
      <c r="VHX45" s="468"/>
      <c r="VHY45" s="468"/>
      <c r="VHZ45" s="468"/>
      <c r="VIA45" s="468"/>
      <c r="VIB45" s="468"/>
      <c r="VIC45" s="468"/>
      <c r="VID45" s="468"/>
      <c r="VIE45" s="468"/>
      <c r="VIF45" s="468"/>
      <c r="VIG45" s="468"/>
      <c r="VIH45" s="468"/>
      <c r="VII45" s="468"/>
      <c r="VIJ45" s="468"/>
      <c r="VIK45" s="468"/>
      <c r="VIL45" s="468"/>
      <c r="VIM45" s="468"/>
      <c r="VIN45" s="468"/>
      <c r="VIO45" s="468"/>
      <c r="VIP45" s="468"/>
      <c r="VIQ45" s="468"/>
      <c r="VIR45" s="468"/>
      <c r="VIS45" s="468"/>
      <c r="VIT45" s="468"/>
      <c r="VIU45" s="468"/>
      <c r="VIV45" s="468"/>
      <c r="VIW45" s="468"/>
      <c r="VIX45" s="468"/>
      <c r="VIY45" s="468"/>
      <c r="VIZ45" s="468"/>
      <c r="VJA45" s="468"/>
      <c r="VJB45" s="468"/>
      <c r="VJC45" s="468"/>
      <c r="VJD45" s="468"/>
      <c r="VJE45" s="468"/>
      <c r="VJF45" s="468"/>
      <c r="VJG45" s="468"/>
      <c r="VJH45" s="468"/>
      <c r="VJI45" s="468"/>
      <c r="VJJ45" s="468"/>
      <c r="VJK45" s="468"/>
      <c r="VJL45" s="468"/>
      <c r="VJM45" s="468"/>
      <c r="VJN45" s="468"/>
      <c r="VJO45" s="468"/>
      <c r="VJP45" s="468"/>
      <c r="VJQ45" s="468"/>
      <c r="VJR45" s="468"/>
      <c r="VJS45" s="468"/>
      <c r="VJT45" s="468"/>
      <c r="VJU45" s="468"/>
      <c r="VJV45" s="468"/>
      <c r="VJW45" s="468"/>
      <c r="VJX45" s="468"/>
      <c r="VJY45" s="468"/>
      <c r="VJZ45" s="468"/>
      <c r="VKA45" s="468"/>
      <c r="VKB45" s="468"/>
      <c r="VKC45" s="468"/>
      <c r="VKD45" s="468"/>
      <c r="VKE45" s="468"/>
      <c r="VKF45" s="468"/>
      <c r="VKG45" s="468"/>
      <c r="VKH45" s="468"/>
      <c r="VKI45" s="468"/>
      <c r="VKJ45" s="468"/>
      <c r="VKK45" s="468"/>
      <c r="VKL45" s="468"/>
      <c r="VKM45" s="468"/>
      <c r="VKN45" s="468"/>
      <c r="VKO45" s="468"/>
      <c r="VKP45" s="468"/>
      <c r="VKQ45" s="468"/>
      <c r="VKR45" s="468"/>
      <c r="VKS45" s="468"/>
      <c r="VKT45" s="468"/>
      <c r="VKU45" s="468"/>
      <c r="VKV45" s="468"/>
      <c r="VKW45" s="468"/>
      <c r="VKX45" s="468"/>
      <c r="VKY45" s="468"/>
      <c r="VKZ45" s="468"/>
      <c r="VLA45" s="468"/>
      <c r="VLB45" s="468"/>
      <c r="VLC45" s="468"/>
      <c r="VLD45" s="468"/>
      <c r="VLE45" s="468"/>
      <c r="VLF45" s="468"/>
      <c r="VLG45" s="468"/>
      <c r="VLH45" s="468"/>
      <c r="VLI45" s="468"/>
      <c r="VLJ45" s="468"/>
      <c r="VLK45" s="468"/>
      <c r="VLL45" s="468"/>
      <c r="VLM45" s="468"/>
      <c r="VLN45" s="468"/>
      <c r="VLO45" s="468"/>
      <c r="VLP45" s="468"/>
      <c r="VLQ45" s="468"/>
      <c r="VLR45" s="468"/>
      <c r="VLS45" s="468"/>
      <c r="VLT45" s="468"/>
      <c r="VLU45" s="468"/>
      <c r="VLV45" s="468"/>
      <c r="VLW45" s="468"/>
      <c r="VLX45" s="468"/>
      <c r="VLY45" s="468"/>
      <c r="VLZ45" s="468"/>
      <c r="VMA45" s="468"/>
      <c r="VMB45" s="468"/>
      <c r="VMC45" s="468"/>
      <c r="VMD45" s="468"/>
      <c r="VME45" s="468"/>
      <c r="VMF45" s="468"/>
      <c r="VMG45" s="468"/>
      <c r="VMH45" s="468"/>
      <c r="VMI45" s="468"/>
      <c r="VMJ45" s="468"/>
      <c r="VMK45" s="468"/>
      <c r="VML45" s="468"/>
      <c r="VMM45" s="468"/>
      <c r="VMN45" s="468"/>
      <c r="VMO45" s="468"/>
      <c r="VMP45" s="468"/>
      <c r="VMQ45" s="468"/>
      <c r="VMR45" s="468"/>
      <c r="VMS45" s="468"/>
      <c r="VMT45" s="468"/>
      <c r="VMU45" s="468"/>
      <c r="VMV45" s="468"/>
      <c r="VMW45" s="468"/>
      <c r="VMX45" s="468"/>
      <c r="VMY45" s="468"/>
      <c r="VMZ45" s="468"/>
      <c r="VNA45" s="468"/>
      <c r="VNB45" s="468"/>
      <c r="VNC45" s="468"/>
      <c r="VND45" s="468"/>
      <c r="VNE45" s="468"/>
      <c r="VNF45" s="468"/>
      <c r="VNG45" s="468"/>
      <c r="VNH45" s="468"/>
      <c r="VNI45" s="468"/>
      <c r="VNJ45" s="468"/>
      <c r="VNK45" s="468"/>
      <c r="VNL45" s="468"/>
      <c r="VNM45" s="468"/>
      <c r="VNN45" s="468"/>
      <c r="VNO45" s="468"/>
      <c r="VNP45" s="468"/>
      <c r="VNQ45" s="468"/>
      <c r="VNR45" s="468"/>
      <c r="VNS45" s="468"/>
      <c r="VNT45" s="468"/>
      <c r="VNU45" s="468"/>
      <c r="VNV45" s="468"/>
      <c r="VNW45" s="468"/>
      <c r="VNX45" s="468"/>
      <c r="VNY45" s="468"/>
      <c r="VNZ45" s="468"/>
      <c r="VOA45" s="468"/>
      <c r="VOB45" s="468"/>
      <c r="VOC45" s="468"/>
      <c r="VOD45" s="468"/>
      <c r="VOE45" s="468"/>
      <c r="VOF45" s="468"/>
      <c r="VOG45" s="468"/>
      <c r="VOH45" s="468"/>
      <c r="VOI45" s="468"/>
      <c r="VOJ45" s="468"/>
      <c r="VOK45" s="468"/>
      <c r="VOL45" s="468"/>
      <c r="VOM45" s="468"/>
      <c r="VON45" s="468"/>
      <c r="VOO45" s="468"/>
      <c r="VOP45" s="468"/>
      <c r="VOQ45" s="468"/>
      <c r="VOR45" s="468"/>
      <c r="VOS45" s="468"/>
      <c r="VOT45" s="468"/>
      <c r="VOU45" s="468"/>
      <c r="VOV45" s="468"/>
      <c r="VOW45" s="468"/>
      <c r="VOX45" s="468"/>
      <c r="VOY45" s="468"/>
      <c r="VOZ45" s="468"/>
      <c r="VPA45" s="468"/>
      <c r="VPB45" s="468"/>
      <c r="VPC45" s="468"/>
      <c r="VPD45" s="468"/>
      <c r="VPE45" s="468"/>
      <c r="VPF45" s="468"/>
      <c r="VPG45" s="468"/>
      <c r="VPH45" s="468"/>
      <c r="VPI45" s="468"/>
      <c r="VPJ45" s="468"/>
      <c r="VPK45" s="468"/>
      <c r="VPL45" s="468"/>
      <c r="VPM45" s="468"/>
      <c r="VPN45" s="468"/>
      <c r="VPO45" s="468"/>
      <c r="VPP45" s="468"/>
      <c r="VPQ45" s="468"/>
      <c r="VPR45" s="468"/>
      <c r="VPS45" s="468"/>
      <c r="VPT45" s="468"/>
      <c r="VPU45" s="468"/>
      <c r="VPV45" s="468"/>
      <c r="VPW45" s="468"/>
      <c r="VPX45" s="468"/>
      <c r="VPY45" s="468"/>
      <c r="VPZ45" s="468"/>
      <c r="VQA45" s="468"/>
      <c r="VQB45" s="468"/>
      <c r="VQC45" s="468"/>
      <c r="VQD45" s="468"/>
      <c r="VQE45" s="468"/>
      <c r="VQF45" s="468"/>
      <c r="VQG45" s="468"/>
      <c r="VQH45" s="468"/>
      <c r="VQI45" s="468"/>
      <c r="VQJ45" s="468"/>
      <c r="VQK45" s="468"/>
      <c r="VQL45" s="468"/>
      <c r="VQM45" s="468"/>
      <c r="VQN45" s="468"/>
      <c r="VQO45" s="468"/>
      <c r="VQP45" s="468"/>
      <c r="VQQ45" s="468"/>
      <c r="VQR45" s="468"/>
      <c r="VQS45" s="468"/>
      <c r="VQT45" s="468"/>
      <c r="VQU45" s="468"/>
      <c r="VQV45" s="468"/>
      <c r="VQW45" s="468"/>
      <c r="VQX45" s="468"/>
      <c r="VQY45" s="468"/>
      <c r="VQZ45" s="468"/>
      <c r="VRA45" s="468"/>
      <c r="VRB45" s="468"/>
      <c r="VRC45" s="468"/>
      <c r="VRD45" s="468"/>
      <c r="VRE45" s="468"/>
      <c r="VRF45" s="468"/>
      <c r="VRG45" s="468"/>
      <c r="VRH45" s="468"/>
      <c r="VRI45" s="468"/>
      <c r="VRJ45" s="468"/>
      <c r="VRK45" s="468"/>
      <c r="VRL45" s="468"/>
      <c r="VRM45" s="468"/>
      <c r="VRN45" s="468"/>
      <c r="VRO45" s="468"/>
      <c r="VRP45" s="468"/>
      <c r="VRQ45" s="468"/>
      <c r="VRR45" s="468"/>
      <c r="VRS45" s="468"/>
      <c r="VRT45" s="468"/>
      <c r="VRU45" s="468"/>
      <c r="VRV45" s="468"/>
      <c r="VRW45" s="468"/>
      <c r="VRX45" s="468"/>
      <c r="VRY45" s="468"/>
      <c r="VRZ45" s="468"/>
      <c r="VSA45" s="468"/>
      <c r="VSB45" s="468"/>
      <c r="VSC45" s="468"/>
      <c r="VSD45" s="468"/>
      <c r="VSE45" s="468"/>
      <c r="VSF45" s="468"/>
      <c r="VSG45" s="468"/>
      <c r="VSH45" s="468"/>
      <c r="VSI45" s="468"/>
      <c r="VSJ45" s="468"/>
      <c r="VSK45" s="468"/>
      <c r="VSL45" s="468"/>
      <c r="VSM45" s="468"/>
      <c r="VSN45" s="468"/>
      <c r="VSO45" s="468"/>
      <c r="VSP45" s="468"/>
      <c r="VSQ45" s="468"/>
      <c r="VSR45" s="468"/>
      <c r="VSS45" s="468"/>
      <c r="VST45" s="468"/>
      <c r="VSU45" s="468"/>
      <c r="VSV45" s="468"/>
      <c r="VSW45" s="468"/>
      <c r="VSX45" s="468"/>
      <c r="VSY45" s="468"/>
      <c r="VSZ45" s="468"/>
      <c r="VTA45" s="468"/>
      <c r="VTB45" s="468"/>
      <c r="VTC45" s="468"/>
      <c r="VTD45" s="468"/>
      <c r="VTE45" s="468"/>
      <c r="VTF45" s="468"/>
      <c r="VTG45" s="468"/>
      <c r="VTH45" s="468"/>
      <c r="VTI45" s="468"/>
      <c r="VTJ45" s="468"/>
      <c r="VTK45" s="468"/>
      <c r="VTL45" s="468"/>
      <c r="VTM45" s="468"/>
      <c r="VTN45" s="468"/>
      <c r="VTO45" s="468"/>
      <c r="VTP45" s="468"/>
      <c r="VTQ45" s="468"/>
      <c r="VTR45" s="468"/>
      <c r="VTS45" s="468"/>
      <c r="VTT45" s="468"/>
      <c r="VTU45" s="468"/>
      <c r="VTV45" s="468"/>
      <c r="VTW45" s="468"/>
      <c r="VTX45" s="468"/>
      <c r="VTY45" s="468"/>
      <c r="VTZ45" s="468"/>
      <c r="VUA45" s="468"/>
      <c r="VUB45" s="468"/>
      <c r="VUC45" s="468"/>
      <c r="VUD45" s="468"/>
      <c r="VUE45" s="468"/>
      <c r="VUF45" s="468"/>
      <c r="VUG45" s="468"/>
      <c r="VUH45" s="468"/>
      <c r="VUI45" s="468"/>
      <c r="VUJ45" s="468"/>
      <c r="VUK45" s="468"/>
      <c r="VUL45" s="468"/>
      <c r="VUM45" s="468"/>
      <c r="VUN45" s="468"/>
      <c r="VUO45" s="468"/>
      <c r="VUP45" s="468"/>
      <c r="VUQ45" s="468"/>
      <c r="VUR45" s="468"/>
      <c r="VUS45" s="468"/>
      <c r="VUT45" s="468"/>
      <c r="VUU45" s="468"/>
      <c r="VUV45" s="468"/>
      <c r="VUW45" s="468"/>
      <c r="VUX45" s="468"/>
      <c r="VUY45" s="468"/>
      <c r="VUZ45" s="468"/>
      <c r="VVA45" s="468"/>
      <c r="VVB45" s="468"/>
      <c r="VVC45" s="468"/>
      <c r="VVD45" s="468"/>
      <c r="VVE45" s="468"/>
      <c r="VVF45" s="468"/>
      <c r="VVG45" s="468"/>
      <c r="VVH45" s="468"/>
      <c r="VVI45" s="468"/>
      <c r="VVJ45" s="468"/>
      <c r="VVK45" s="468"/>
      <c r="VVL45" s="468"/>
      <c r="VVM45" s="468"/>
      <c r="VVN45" s="468"/>
      <c r="VVO45" s="468"/>
      <c r="VVP45" s="468"/>
      <c r="VVQ45" s="468"/>
      <c r="VVR45" s="468"/>
      <c r="VVS45" s="468"/>
      <c r="VVT45" s="468"/>
      <c r="VVU45" s="468"/>
      <c r="VVV45" s="468"/>
      <c r="VVW45" s="468"/>
      <c r="VVX45" s="468"/>
      <c r="VVY45" s="468"/>
      <c r="VVZ45" s="468"/>
      <c r="VWA45" s="468"/>
      <c r="VWB45" s="468"/>
      <c r="VWC45" s="468"/>
      <c r="VWD45" s="468"/>
      <c r="VWE45" s="468"/>
      <c r="VWF45" s="468"/>
      <c r="VWG45" s="468"/>
      <c r="VWH45" s="468"/>
      <c r="VWI45" s="468"/>
      <c r="VWJ45" s="468"/>
      <c r="VWK45" s="468"/>
      <c r="VWL45" s="468"/>
      <c r="VWM45" s="468"/>
      <c r="VWN45" s="468"/>
      <c r="VWO45" s="468"/>
      <c r="VWP45" s="468"/>
      <c r="VWQ45" s="468"/>
      <c r="VWR45" s="468"/>
      <c r="VWS45" s="468"/>
      <c r="VWT45" s="468"/>
      <c r="VWU45" s="468"/>
      <c r="VWV45" s="468"/>
      <c r="VWW45" s="468"/>
      <c r="VWX45" s="468"/>
      <c r="VWY45" s="468"/>
      <c r="VWZ45" s="468"/>
      <c r="VXA45" s="468"/>
      <c r="VXB45" s="468"/>
      <c r="VXC45" s="468"/>
      <c r="VXD45" s="468"/>
      <c r="VXE45" s="468"/>
      <c r="VXF45" s="468"/>
      <c r="VXG45" s="468"/>
      <c r="VXH45" s="468"/>
      <c r="VXI45" s="468"/>
      <c r="VXJ45" s="468"/>
      <c r="VXK45" s="468"/>
      <c r="VXL45" s="468"/>
      <c r="VXM45" s="468"/>
      <c r="VXN45" s="468"/>
      <c r="VXO45" s="468"/>
      <c r="VXP45" s="468"/>
      <c r="VXQ45" s="468"/>
      <c r="VXR45" s="468"/>
      <c r="VXS45" s="468"/>
      <c r="VXT45" s="468"/>
      <c r="VXU45" s="468"/>
      <c r="VXV45" s="468"/>
      <c r="VXW45" s="468"/>
      <c r="VXX45" s="468"/>
      <c r="VXY45" s="468"/>
      <c r="VXZ45" s="468"/>
      <c r="VYA45" s="468"/>
      <c r="VYB45" s="468"/>
      <c r="VYC45" s="468"/>
      <c r="VYD45" s="468"/>
      <c r="VYE45" s="468"/>
      <c r="VYF45" s="468"/>
      <c r="VYG45" s="468"/>
      <c r="VYH45" s="468"/>
      <c r="VYI45" s="468"/>
      <c r="VYJ45" s="468"/>
      <c r="VYK45" s="468"/>
      <c r="VYL45" s="468"/>
      <c r="VYM45" s="468"/>
      <c r="VYN45" s="468"/>
      <c r="VYO45" s="468"/>
      <c r="VYP45" s="468"/>
      <c r="VYQ45" s="468"/>
      <c r="VYR45" s="468"/>
      <c r="VYS45" s="468"/>
      <c r="VYT45" s="468"/>
      <c r="VYU45" s="468"/>
      <c r="VYV45" s="468"/>
      <c r="VYW45" s="468"/>
      <c r="VYX45" s="468"/>
      <c r="VYY45" s="468"/>
      <c r="VYZ45" s="468"/>
      <c r="VZA45" s="468"/>
      <c r="VZB45" s="468"/>
      <c r="VZC45" s="468"/>
      <c r="VZD45" s="468"/>
      <c r="VZE45" s="468"/>
      <c r="VZF45" s="468"/>
      <c r="VZG45" s="468"/>
      <c r="VZH45" s="468"/>
      <c r="VZI45" s="468"/>
      <c r="VZJ45" s="468"/>
      <c r="VZK45" s="468"/>
      <c r="VZL45" s="468"/>
      <c r="VZM45" s="468"/>
      <c r="VZN45" s="468"/>
      <c r="VZO45" s="468"/>
      <c r="VZP45" s="468"/>
      <c r="VZQ45" s="468"/>
      <c r="VZR45" s="468"/>
      <c r="VZS45" s="468"/>
      <c r="VZT45" s="468"/>
      <c r="VZU45" s="468"/>
      <c r="VZV45" s="468"/>
      <c r="VZW45" s="468"/>
      <c r="VZX45" s="468"/>
      <c r="VZY45" s="468"/>
      <c r="VZZ45" s="468"/>
      <c r="WAA45" s="468"/>
      <c r="WAB45" s="468"/>
      <c r="WAC45" s="468"/>
      <c r="WAD45" s="468"/>
      <c r="WAE45" s="468"/>
      <c r="WAF45" s="468"/>
      <c r="WAG45" s="468"/>
      <c r="WAH45" s="468"/>
      <c r="WAI45" s="468"/>
      <c r="WAJ45" s="468"/>
      <c r="WAK45" s="468"/>
      <c r="WAL45" s="468"/>
      <c r="WAM45" s="468"/>
      <c r="WAN45" s="468"/>
      <c r="WAO45" s="468"/>
      <c r="WAP45" s="468"/>
      <c r="WAQ45" s="468"/>
      <c r="WAR45" s="468"/>
      <c r="WAS45" s="468"/>
      <c r="WAT45" s="468"/>
      <c r="WAU45" s="468"/>
      <c r="WAV45" s="468"/>
      <c r="WAW45" s="468"/>
      <c r="WAX45" s="468"/>
      <c r="WAY45" s="468"/>
      <c r="WAZ45" s="468"/>
      <c r="WBA45" s="468"/>
      <c r="WBB45" s="468"/>
      <c r="WBC45" s="468"/>
      <c r="WBD45" s="468"/>
      <c r="WBE45" s="468"/>
      <c r="WBF45" s="468"/>
      <c r="WBG45" s="468"/>
      <c r="WBH45" s="468"/>
      <c r="WBI45" s="468"/>
      <c r="WBJ45" s="468"/>
      <c r="WBK45" s="468"/>
      <c r="WBL45" s="468"/>
      <c r="WBM45" s="468"/>
      <c r="WBN45" s="468"/>
      <c r="WBO45" s="468"/>
      <c r="WBP45" s="468"/>
      <c r="WBQ45" s="468"/>
      <c r="WBR45" s="468"/>
      <c r="WBS45" s="468"/>
      <c r="WBT45" s="468"/>
      <c r="WBU45" s="468"/>
      <c r="WBV45" s="468"/>
      <c r="WBW45" s="468"/>
      <c r="WBX45" s="468"/>
      <c r="WBY45" s="468"/>
      <c r="WBZ45" s="468"/>
      <c r="WCA45" s="468"/>
      <c r="WCB45" s="468"/>
      <c r="WCC45" s="468"/>
      <c r="WCD45" s="468"/>
      <c r="WCE45" s="468"/>
      <c r="WCF45" s="468"/>
      <c r="WCG45" s="468"/>
      <c r="WCH45" s="468"/>
      <c r="WCI45" s="468"/>
      <c r="WCJ45" s="468"/>
      <c r="WCK45" s="468"/>
      <c r="WCL45" s="468"/>
      <c r="WCM45" s="468"/>
      <c r="WCN45" s="468"/>
      <c r="WCO45" s="468"/>
      <c r="WCP45" s="468"/>
      <c r="WCQ45" s="468"/>
      <c r="WCR45" s="468"/>
      <c r="WCS45" s="468"/>
      <c r="WCT45" s="468"/>
      <c r="WCU45" s="468"/>
      <c r="WCV45" s="468"/>
      <c r="WCW45" s="468"/>
      <c r="WCX45" s="468"/>
      <c r="WCY45" s="468"/>
      <c r="WCZ45" s="468"/>
      <c r="WDA45" s="468"/>
      <c r="WDB45" s="468"/>
      <c r="WDC45" s="468"/>
      <c r="WDD45" s="468"/>
      <c r="WDE45" s="468"/>
      <c r="WDF45" s="468"/>
      <c r="WDG45" s="468"/>
      <c r="WDH45" s="468"/>
      <c r="WDI45" s="468"/>
      <c r="WDJ45" s="468"/>
      <c r="WDK45" s="468"/>
      <c r="WDL45" s="468"/>
      <c r="WDM45" s="468"/>
      <c r="WDN45" s="468"/>
      <c r="WDO45" s="468"/>
      <c r="WDP45" s="468"/>
      <c r="WDQ45" s="468"/>
      <c r="WDR45" s="468"/>
      <c r="WDS45" s="468"/>
      <c r="WDT45" s="468"/>
      <c r="WDU45" s="468"/>
      <c r="WDV45" s="468"/>
      <c r="WDW45" s="468"/>
      <c r="WDX45" s="468"/>
      <c r="WDY45" s="468"/>
      <c r="WDZ45" s="468"/>
      <c r="WEA45" s="468"/>
      <c r="WEB45" s="468"/>
      <c r="WEC45" s="468"/>
      <c r="WED45" s="468"/>
      <c r="WEE45" s="468"/>
      <c r="WEF45" s="468"/>
      <c r="WEG45" s="468"/>
      <c r="WEH45" s="468"/>
      <c r="WEI45" s="468"/>
      <c r="WEJ45" s="468"/>
      <c r="WEK45" s="468"/>
      <c r="WEL45" s="468"/>
      <c r="WEM45" s="468"/>
      <c r="WEN45" s="468"/>
      <c r="WEO45" s="468"/>
      <c r="WEP45" s="468"/>
      <c r="WEQ45" s="468"/>
      <c r="WER45" s="468"/>
      <c r="WES45" s="468"/>
      <c r="WET45" s="468"/>
      <c r="WEU45" s="468"/>
      <c r="WEV45" s="468"/>
      <c r="WEW45" s="468"/>
      <c r="WEX45" s="468"/>
      <c r="WEY45" s="468"/>
      <c r="WEZ45" s="468"/>
      <c r="WFA45" s="468"/>
      <c r="WFB45" s="468"/>
      <c r="WFC45" s="468"/>
      <c r="WFD45" s="468"/>
      <c r="WFE45" s="468"/>
      <c r="WFF45" s="468"/>
      <c r="WFG45" s="468"/>
      <c r="WFH45" s="468"/>
      <c r="WFI45" s="468"/>
      <c r="WFJ45" s="468"/>
      <c r="WFK45" s="468"/>
      <c r="WFL45" s="468"/>
      <c r="WFM45" s="468"/>
      <c r="WFN45" s="468"/>
      <c r="WFO45" s="468"/>
      <c r="WFP45" s="468"/>
      <c r="WFQ45" s="468"/>
      <c r="WFR45" s="468"/>
      <c r="WFS45" s="468"/>
      <c r="WFT45" s="468"/>
      <c r="WFU45" s="468"/>
      <c r="WFV45" s="468"/>
      <c r="WFW45" s="468"/>
      <c r="WFX45" s="468"/>
      <c r="WFY45" s="468"/>
      <c r="WFZ45" s="468"/>
      <c r="WGA45" s="468"/>
      <c r="WGB45" s="468"/>
      <c r="WGC45" s="468"/>
      <c r="WGD45" s="468"/>
      <c r="WGE45" s="468"/>
      <c r="WGF45" s="468"/>
      <c r="WGG45" s="468"/>
      <c r="WGH45" s="468"/>
      <c r="WGI45" s="468"/>
      <c r="WGJ45" s="468"/>
      <c r="WGK45" s="468"/>
      <c r="WGL45" s="468"/>
      <c r="WGM45" s="468"/>
      <c r="WGN45" s="468"/>
      <c r="WGO45" s="468"/>
      <c r="WGP45" s="468"/>
      <c r="WGQ45" s="468"/>
      <c r="WGR45" s="468"/>
      <c r="WGS45" s="468"/>
      <c r="WGT45" s="468"/>
      <c r="WGU45" s="468"/>
      <c r="WGV45" s="468"/>
      <c r="WGW45" s="468"/>
      <c r="WGX45" s="468"/>
      <c r="WGY45" s="468"/>
      <c r="WGZ45" s="468"/>
      <c r="WHA45" s="468"/>
      <c r="WHB45" s="468"/>
      <c r="WHC45" s="468"/>
      <c r="WHD45" s="468"/>
      <c r="WHE45" s="468"/>
      <c r="WHF45" s="468"/>
      <c r="WHG45" s="468"/>
      <c r="WHH45" s="468"/>
      <c r="WHI45" s="468"/>
      <c r="WHJ45" s="468"/>
      <c r="WHK45" s="468"/>
      <c r="WHL45" s="468"/>
      <c r="WHM45" s="468"/>
      <c r="WHN45" s="468"/>
      <c r="WHO45" s="468"/>
      <c r="WHP45" s="468"/>
      <c r="WHQ45" s="468"/>
      <c r="WHR45" s="468"/>
      <c r="WHS45" s="468"/>
      <c r="WHT45" s="468"/>
      <c r="WHU45" s="468"/>
      <c r="WHV45" s="468"/>
      <c r="WHW45" s="468"/>
      <c r="WHX45" s="468"/>
      <c r="WHY45" s="468"/>
      <c r="WHZ45" s="468"/>
      <c r="WIA45" s="468"/>
      <c r="WIB45" s="468"/>
      <c r="WIC45" s="468"/>
      <c r="WID45" s="468"/>
      <c r="WIE45" s="468"/>
      <c r="WIF45" s="468"/>
      <c r="WIG45" s="468"/>
      <c r="WIH45" s="468"/>
      <c r="WII45" s="468"/>
      <c r="WIJ45" s="468"/>
      <c r="WIK45" s="468"/>
      <c r="WIL45" s="468"/>
      <c r="WIM45" s="468"/>
      <c r="WIN45" s="468"/>
      <c r="WIO45" s="468"/>
      <c r="WIP45" s="468"/>
      <c r="WIQ45" s="468"/>
      <c r="WIR45" s="468"/>
      <c r="WIS45" s="468"/>
      <c r="WIT45" s="468"/>
      <c r="WIU45" s="468"/>
      <c r="WIV45" s="468"/>
      <c r="WIW45" s="468"/>
      <c r="WIX45" s="468"/>
      <c r="WIY45" s="468"/>
      <c r="WIZ45" s="468"/>
      <c r="WJA45" s="468"/>
      <c r="WJB45" s="468"/>
      <c r="WJC45" s="468"/>
      <c r="WJD45" s="468"/>
      <c r="WJE45" s="468"/>
      <c r="WJF45" s="468"/>
      <c r="WJG45" s="468"/>
      <c r="WJH45" s="468"/>
      <c r="WJI45" s="468"/>
      <c r="WJJ45" s="468"/>
      <c r="WJK45" s="468"/>
      <c r="WJL45" s="468"/>
      <c r="WJM45" s="468"/>
      <c r="WJN45" s="468"/>
      <c r="WJO45" s="468"/>
      <c r="WJP45" s="468"/>
      <c r="WJQ45" s="468"/>
      <c r="WJR45" s="468"/>
      <c r="WJS45" s="468"/>
      <c r="WJT45" s="468"/>
      <c r="WJU45" s="468"/>
      <c r="WJV45" s="468"/>
      <c r="WJW45" s="468"/>
      <c r="WJX45" s="468"/>
      <c r="WJY45" s="468"/>
      <c r="WJZ45" s="468"/>
      <c r="WKA45" s="468"/>
      <c r="WKB45" s="468"/>
      <c r="WKC45" s="468"/>
      <c r="WKD45" s="468"/>
      <c r="WKE45" s="468"/>
      <c r="WKF45" s="468"/>
      <c r="WKG45" s="468"/>
      <c r="WKH45" s="468"/>
      <c r="WKI45" s="468"/>
      <c r="WKJ45" s="468"/>
      <c r="WKK45" s="468"/>
      <c r="WKL45" s="468"/>
      <c r="WKM45" s="468"/>
      <c r="WKN45" s="468"/>
      <c r="WKO45" s="468"/>
      <c r="WKP45" s="468"/>
      <c r="WKQ45" s="468"/>
      <c r="WKR45" s="468"/>
      <c r="WKS45" s="468"/>
      <c r="WKT45" s="468"/>
      <c r="WKU45" s="468"/>
      <c r="WKV45" s="468"/>
      <c r="WKW45" s="468"/>
      <c r="WKX45" s="468"/>
      <c r="WKY45" s="468"/>
      <c r="WKZ45" s="468"/>
      <c r="WLA45" s="468"/>
      <c r="WLB45" s="468"/>
      <c r="WLC45" s="468"/>
      <c r="WLD45" s="468"/>
      <c r="WLE45" s="468"/>
      <c r="WLF45" s="468"/>
      <c r="WLG45" s="468"/>
      <c r="WLH45" s="468"/>
      <c r="WLI45" s="468"/>
      <c r="WLJ45" s="468"/>
      <c r="WLK45" s="468"/>
      <c r="WLL45" s="468"/>
      <c r="WLM45" s="468"/>
      <c r="WLN45" s="468"/>
      <c r="WLO45" s="468"/>
      <c r="WLP45" s="468"/>
      <c r="WLQ45" s="468"/>
      <c r="WLR45" s="468"/>
      <c r="WLS45" s="468"/>
      <c r="WLT45" s="468"/>
      <c r="WLU45" s="468"/>
      <c r="WLV45" s="468"/>
      <c r="WLW45" s="468"/>
      <c r="WLX45" s="468"/>
      <c r="WLY45" s="468"/>
      <c r="WLZ45" s="468"/>
      <c r="WMA45" s="468"/>
      <c r="WMB45" s="468"/>
      <c r="WMC45" s="468"/>
      <c r="WMD45" s="468"/>
      <c r="WME45" s="468"/>
      <c r="WMF45" s="468"/>
      <c r="WMG45" s="468"/>
      <c r="WMH45" s="468"/>
      <c r="WMI45" s="468"/>
      <c r="WMJ45" s="468"/>
      <c r="WMK45" s="468"/>
      <c r="WML45" s="468"/>
      <c r="WMM45" s="468"/>
      <c r="WMN45" s="468"/>
      <c r="WMO45" s="468"/>
      <c r="WMP45" s="468"/>
      <c r="WMQ45" s="468"/>
      <c r="WMR45" s="468"/>
      <c r="WMS45" s="468"/>
      <c r="WMT45" s="468"/>
      <c r="WMU45" s="468"/>
      <c r="WMV45" s="468"/>
      <c r="WMW45" s="468"/>
      <c r="WMX45" s="468"/>
      <c r="WMY45" s="468"/>
      <c r="WMZ45" s="468"/>
      <c r="WNA45" s="468"/>
      <c r="WNB45" s="468"/>
      <c r="WNC45" s="468"/>
      <c r="WND45" s="468"/>
      <c r="WNE45" s="468"/>
      <c r="WNF45" s="468"/>
      <c r="WNG45" s="468"/>
      <c r="WNH45" s="468"/>
      <c r="WNI45" s="468"/>
      <c r="WNJ45" s="468"/>
      <c r="WNK45" s="468"/>
      <c r="WNL45" s="468"/>
      <c r="WNM45" s="468"/>
      <c r="WNN45" s="468"/>
      <c r="WNO45" s="468"/>
      <c r="WNP45" s="468"/>
      <c r="WNQ45" s="468"/>
      <c r="WNR45" s="468"/>
      <c r="WNS45" s="468"/>
      <c r="WNT45" s="468"/>
      <c r="WNU45" s="468"/>
      <c r="WNV45" s="468"/>
      <c r="WNW45" s="468"/>
      <c r="WNX45" s="468"/>
      <c r="WNY45" s="468"/>
      <c r="WNZ45" s="468"/>
      <c r="WOA45" s="468"/>
      <c r="WOB45" s="468"/>
      <c r="WOC45" s="468"/>
      <c r="WOD45" s="468"/>
      <c r="WOE45" s="468"/>
      <c r="WOF45" s="468"/>
      <c r="WOG45" s="468"/>
      <c r="WOH45" s="468"/>
      <c r="WOI45" s="468"/>
      <c r="WOJ45" s="468"/>
      <c r="WOK45" s="468"/>
      <c r="WOL45" s="468"/>
      <c r="WOM45" s="468"/>
      <c r="WON45" s="468"/>
      <c r="WOO45" s="468"/>
      <c r="WOP45" s="468"/>
      <c r="WOQ45" s="468"/>
      <c r="WOR45" s="468"/>
      <c r="WOS45" s="468"/>
      <c r="WOT45" s="468"/>
      <c r="WOU45" s="468"/>
      <c r="WOV45" s="468"/>
      <c r="WOW45" s="468"/>
      <c r="WOX45" s="468"/>
      <c r="WOY45" s="468"/>
      <c r="WOZ45" s="468"/>
      <c r="WPA45" s="468"/>
      <c r="WPB45" s="468"/>
      <c r="WPC45" s="468"/>
      <c r="WPD45" s="468"/>
      <c r="WPE45" s="468"/>
      <c r="WPF45" s="468"/>
      <c r="WPG45" s="468"/>
      <c r="WPH45" s="468"/>
      <c r="WPI45" s="468"/>
      <c r="WPJ45" s="468"/>
      <c r="WPK45" s="468"/>
      <c r="WPL45" s="468"/>
      <c r="WPM45" s="468"/>
      <c r="WPN45" s="468"/>
      <c r="WPO45" s="468"/>
      <c r="WPP45" s="468"/>
      <c r="WPQ45" s="468"/>
      <c r="WPR45" s="468"/>
      <c r="WPS45" s="468"/>
      <c r="WPT45" s="468"/>
      <c r="WPU45" s="468"/>
      <c r="WPV45" s="468"/>
      <c r="WPW45" s="468"/>
      <c r="WPX45" s="468"/>
      <c r="WPY45" s="468"/>
      <c r="WPZ45" s="468"/>
      <c r="WQA45" s="468"/>
      <c r="WQB45" s="468"/>
      <c r="WQC45" s="468"/>
      <c r="WQD45" s="468"/>
      <c r="WQE45" s="468"/>
      <c r="WQF45" s="468"/>
      <c r="WQG45" s="468"/>
      <c r="WQH45" s="468"/>
      <c r="WQI45" s="468"/>
      <c r="WQJ45" s="468"/>
      <c r="WQK45" s="468"/>
      <c r="WQL45" s="468"/>
      <c r="WQM45" s="468"/>
      <c r="WQN45" s="468"/>
      <c r="WQO45" s="468"/>
      <c r="WQP45" s="468"/>
      <c r="WQQ45" s="468"/>
      <c r="WQR45" s="468"/>
      <c r="WQS45" s="468"/>
      <c r="WQT45" s="468"/>
      <c r="WQU45" s="468"/>
      <c r="WQV45" s="468"/>
      <c r="WQW45" s="468"/>
      <c r="WQX45" s="468"/>
      <c r="WQY45" s="468"/>
      <c r="WQZ45" s="468"/>
      <c r="WRA45" s="468"/>
      <c r="WRB45" s="468"/>
      <c r="WRC45" s="468"/>
      <c r="WRD45" s="468"/>
      <c r="WRE45" s="468"/>
      <c r="WRF45" s="468"/>
      <c r="WRG45" s="468"/>
      <c r="WRH45" s="468"/>
      <c r="WRI45" s="468"/>
      <c r="WRJ45" s="468"/>
      <c r="WRK45" s="468"/>
      <c r="WRL45" s="468"/>
      <c r="WRM45" s="468"/>
      <c r="WRN45" s="468"/>
      <c r="WRO45" s="468"/>
      <c r="WRP45" s="468"/>
      <c r="WRQ45" s="468"/>
      <c r="WRR45" s="468"/>
      <c r="WRS45" s="468"/>
      <c r="WRT45" s="468"/>
      <c r="WRU45" s="468"/>
      <c r="WRV45" s="468"/>
      <c r="WRW45" s="468"/>
      <c r="WRX45" s="468"/>
      <c r="WRY45" s="468"/>
      <c r="WRZ45" s="468"/>
      <c r="WSA45" s="468"/>
      <c r="WSB45" s="468"/>
      <c r="WSC45" s="468"/>
      <c r="WSD45" s="468"/>
      <c r="WSE45" s="468"/>
      <c r="WSF45" s="468"/>
      <c r="WSG45" s="468"/>
      <c r="WSH45" s="468"/>
      <c r="WSI45" s="468"/>
      <c r="WSJ45" s="468"/>
      <c r="WSK45" s="468"/>
      <c r="WSL45" s="468"/>
      <c r="WSM45" s="468"/>
      <c r="WSN45" s="468"/>
      <c r="WSO45" s="468"/>
      <c r="WSP45" s="468"/>
      <c r="WSQ45" s="468"/>
      <c r="WSR45" s="468"/>
      <c r="WSS45" s="468"/>
      <c r="WST45" s="468"/>
      <c r="WSU45" s="468"/>
      <c r="WSV45" s="468"/>
      <c r="WSW45" s="468"/>
      <c r="WSX45" s="468"/>
      <c r="WSY45" s="468"/>
      <c r="WSZ45" s="468"/>
      <c r="WTA45" s="468"/>
      <c r="WTB45" s="468"/>
      <c r="WTC45" s="468"/>
      <c r="WTD45" s="468"/>
      <c r="WTE45" s="468"/>
      <c r="WTF45" s="468"/>
      <c r="WTG45" s="468"/>
      <c r="WTH45" s="468"/>
      <c r="WTI45" s="468"/>
      <c r="WTJ45" s="468"/>
      <c r="WTK45" s="468"/>
      <c r="WTL45" s="468"/>
      <c r="WTM45" s="468"/>
      <c r="WTN45" s="468"/>
      <c r="WTO45" s="468"/>
      <c r="WTP45" s="468"/>
      <c r="WTQ45" s="468"/>
      <c r="WTR45" s="468"/>
      <c r="WTS45" s="468"/>
      <c r="WTT45" s="468"/>
      <c r="WTU45" s="468"/>
      <c r="WTV45" s="468"/>
      <c r="WTW45" s="468"/>
      <c r="WTX45" s="468"/>
      <c r="WTY45" s="468"/>
      <c r="WTZ45" s="468"/>
      <c r="WUA45" s="468"/>
      <c r="WUB45" s="468"/>
      <c r="WUC45" s="468"/>
      <c r="WUD45" s="468"/>
      <c r="WUE45" s="468"/>
      <c r="WUF45" s="468"/>
      <c r="WUG45" s="468"/>
      <c r="WUH45" s="468"/>
      <c r="WUI45" s="468"/>
      <c r="WUJ45" s="468"/>
      <c r="WUK45" s="468"/>
      <c r="WUL45" s="468"/>
      <c r="WUM45" s="468"/>
      <c r="WUN45" s="468"/>
      <c r="WUO45" s="468"/>
      <c r="WUP45" s="468"/>
      <c r="WUQ45" s="468"/>
      <c r="WUR45" s="468"/>
      <c r="WUS45" s="468"/>
      <c r="WUT45" s="468"/>
      <c r="WUU45" s="468"/>
      <c r="WUV45" s="468"/>
      <c r="WUW45" s="468"/>
      <c r="WUX45" s="468"/>
      <c r="WUY45" s="468"/>
      <c r="WUZ45" s="468"/>
      <c r="WVA45" s="468"/>
      <c r="WVB45" s="468"/>
      <c r="WVC45" s="468"/>
      <c r="WVD45" s="468"/>
      <c r="WVE45" s="468"/>
      <c r="WVF45" s="468"/>
      <c r="WVG45" s="468"/>
      <c r="WVH45" s="468"/>
      <c r="WVI45" s="468"/>
      <c r="WVJ45" s="468"/>
      <c r="WVK45" s="468"/>
      <c r="WVL45" s="468"/>
      <c r="WVM45" s="468"/>
      <c r="WVN45" s="468"/>
      <c r="WVO45" s="468"/>
      <c r="WVP45" s="468"/>
      <c r="WVQ45" s="468"/>
      <c r="WVR45" s="468"/>
      <c r="WVS45" s="468"/>
      <c r="WVT45" s="468"/>
      <c r="WVU45" s="468"/>
      <c r="WVV45" s="468"/>
      <c r="WVW45" s="468"/>
      <c r="WVX45" s="468"/>
      <c r="WVY45" s="468"/>
      <c r="WVZ45" s="468"/>
      <c r="WWA45" s="468"/>
      <c r="WWB45" s="468"/>
      <c r="WWC45" s="468"/>
      <c r="WWD45" s="468"/>
      <c r="WWE45" s="468"/>
      <c r="WWF45" s="468"/>
      <c r="WWG45" s="468"/>
      <c r="WWH45" s="468"/>
      <c r="WWI45" s="468"/>
      <c r="WWJ45" s="468"/>
      <c r="WWK45" s="468"/>
      <c r="WWL45" s="468"/>
      <c r="WWM45" s="468"/>
      <c r="WWN45" s="468"/>
      <c r="WWO45" s="468"/>
      <c r="WWP45" s="468"/>
      <c r="WWQ45" s="468"/>
      <c r="WWR45" s="468"/>
      <c r="WWS45" s="468"/>
      <c r="WWT45" s="468"/>
      <c r="WWU45" s="468"/>
      <c r="WWV45" s="468"/>
      <c r="WWW45" s="468"/>
      <c r="WWX45" s="468"/>
      <c r="WWY45" s="468"/>
      <c r="WWZ45" s="468"/>
      <c r="WXA45" s="468"/>
      <c r="WXB45" s="468"/>
      <c r="WXC45" s="468"/>
      <c r="WXD45" s="468"/>
      <c r="WXE45" s="468"/>
      <c r="WXF45" s="468"/>
      <c r="WXG45" s="468"/>
      <c r="WXH45" s="468"/>
      <c r="WXI45" s="468"/>
      <c r="WXJ45" s="468"/>
      <c r="WXK45" s="468"/>
      <c r="WXL45" s="468"/>
      <c r="WXM45" s="468"/>
      <c r="WXN45" s="468"/>
      <c r="WXO45" s="468"/>
      <c r="WXP45" s="468"/>
      <c r="WXQ45" s="468"/>
      <c r="WXR45" s="468"/>
      <c r="WXS45" s="468"/>
      <c r="WXT45" s="468"/>
      <c r="WXU45" s="468"/>
      <c r="WXV45" s="468"/>
      <c r="WXW45" s="468"/>
      <c r="WXX45" s="468"/>
      <c r="WXY45" s="468"/>
      <c r="WXZ45" s="468"/>
      <c r="WYA45" s="468"/>
      <c r="WYB45" s="468"/>
      <c r="WYC45" s="468"/>
      <c r="WYD45" s="468"/>
      <c r="WYE45" s="468"/>
      <c r="WYF45" s="468"/>
      <c r="WYG45" s="468"/>
      <c r="WYH45" s="468"/>
      <c r="WYI45" s="468"/>
      <c r="WYJ45" s="468"/>
      <c r="WYK45" s="468"/>
      <c r="WYL45" s="468"/>
      <c r="WYM45" s="468"/>
      <c r="WYN45" s="468"/>
      <c r="WYO45" s="468"/>
      <c r="WYP45" s="468"/>
      <c r="WYQ45" s="468"/>
      <c r="WYR45" s="468"/>
      <c r="WYS45" s="468"/>
      <c r="WYT45" s="468"/>
      <c r="WYU45" s="468"/>
      <c r="WYV45" s="468"/>
      <c r="WYW45" s="468"/>
      <c r="WYX45" s="468"/>
      <c r="WYY45" s="468"/>
      <c r="WYZ45" s="468"/>
      <c r="WZA45" s="468"/>
      <c r="WZB45" s="468"/>
      <c r="WZC45" s="468"/>
      <c r="WZD45" s="468"/>
      <c r="WZE45" s="468"/>
      <c r="WZF45" s="468"/>
      <c r="WZG45" s="468"/>
      <c r="WZH45" s="468"/>
      <c r="WZI45" s="468"/>
      <c r="WZJ45" s="468"/>
      <c r="WZK45" s="468"/>
      <c r="WZL45" s="468"/>
      <c r="WZM45" s="468"/>
      <c r="WZN45" s="468"/>
      <c r="WZO45" s="468"/>
      <c r="WZP45" s="468"/>
      <c r="WZQ45" s="468"/>
      <c r="WZR45" s="468"/>
      <c r="WZS45" s="468"/>
      <c r="WZT45" s="468"/>
      <c r="WZU45" s="468"/>
      <c r="WZV45" s="468"/>
      <c r="WZW45" s="468"/>
      <c r="WZX45" s="468"/>
      <c r="WZY45" s="468"/>
      <c r="WZZ45" s="468"/>
      <c r="XAA45" s="468"/>
      <c r="XAB45" s="468"/>
      <c r="XAC45" s="468"/>
      <c r="XAD45" s="468"/>
      <c r="XAE45" s="468"/>
      <c r="XAF45" s="468"/>
      <c r="XAG45" s="468"/>
      <c r="XAH45" s="468"/>
      <c r="XAI45" s="468"/>
      <c r="XAJ45" s="468"/>
      <c r="XAK45" s="468"/>
      <c r="XAL45" s="468"/>
      <c r="XAM45" s="468"/>
      <c r="XAN45" s="468"/>
      <c r="XAO45" s="468"/>
      <c r="XAP45" s="468"/>
      <c r="XAQ45" s="468"/>
      <c r="XAR45" s="468"/>
      <c r="XAS45" s="468"/>
      <c r="XAT45" s="468"/>
      <c r="XAU45" s="468"/>
      <c r="XAV45" s="468"/>
      <c r="XAW45" s="468"/>
      <c r="XAX45" s="468"/>
      <c r="XAY45" s="468"/>
      <c r="XAZ45" s="468"/>
      <c r="XBA45" s="468"/>
      <c r="XBB45" s="468"/>
      <c r="XBC45" s="468"/>
      <c r="XBD45" s="468"/>
      <c r="XBE45" s="468"/>
      <c r="XBF45" s="468"/>
      <c r="XBG45" s="468"/>
      <c r="XBH45" s="468"/>
      <c r="XBI45" s="468"/>
      <c r="XBJ45" s="468"/>
      <c r="XBK45" s="468"/>
      <c r="XBL45" s="468"/>
      <c r="XBM45" s="468"/>
      <c r="XBN45" s="468"/>
      <c r="XBO45" s="468"/>
      <c r="XBP45" s="468"/>
      <c r="XBQ45" s="468"/>
      <c r="XBR45" s="468"/>
      <c r="XBS45" s="468"/>
      <c r="XBT45" s="468"/>
      <c r="XBU45" s="468"/>
      <c r="XBV45" s="468"/>
      <c r="XBW45" s="468"/>
      <c r="XBX45" s="468"/>
      <c r="XBY45" s="468"/>
      <c r="XBZ45" s="468"/>
      <c r="XCA45" s="468"/>
      <c r="XCB45" s="468"/>
      <c r="XCC45" s="468"/>
      <c r="XCD45" s="468"/>
      <c r="XCE45" s="468"/>
      <c r="XCF45" s="468"/>
      <c r="XCG45" s="468"/>
      <c r="XCH45" s="468"/>
      <c r="XCI45" s="468"/>
      <c r="XCJ45" s="468"/>
      <c r="XCK45" s="468"/>
      <c r="XCL45" s="468"/>
      <c r="XCM45" s="468"/>
      <c r="XCN45" s="468"/>
      <c r="XCO45" s="468"/>
      <c r="XCP45" s="468"/>
      <c r="XCQ45" s="468"/>
      <c r="XCR45" s="468"/>
      <c r="XCS45" s="468"/>
      <c r="XCT45" s="468"/>
      <c r="XCU45" s="468"/>
      <c r="XCV45" s="468"/>
      <c r="XCW45" s="468"/>
      <c r="XCX45" s="468"/>
      <c r="XCY45" s="468"/>
      <c r="XCZ45" s="468"/>
      <c r="XDA45" s="468"/>
      <c r="XDB45" s="468"/>
      <c r="XDC45" s="468"/>
      <c r="XDD45" s="468"/>
      <c r="XDE45" s="468"/>
      <c r="XDF45" s="468"/>
      <c r="XDG45" s="468"/>
      <c r="XDH45" s="468"/>
      <c r="XDI45" s="468"/>
      <c r="XDJ45" s="468"/>
      <c r="XDK45" s="468"/>
      <c r="XDL45" s="468"/>
      <c r="XDM45" s="468"/>
      <c r="XDN45" s="468"/>
      <c r="XDO45" s="468"/>
      <c r="XDP45" s="468"/>
      <c r="XDQ45" s="468"/>
      <c r="XDR45" s="468"/>
      <c r="XDS45" s="468"/>
      <c r="XDT45" s="468"/>
      <c r="XDU45" s="468"/>
      <c r="XDV45" s="468"/>
      <c r="XDW45" s="468"/>
      <c r="XDX45" s="468"/>
      <c r="XDY45" s="468"/>
      <c r="XDZ45" s="468"/>
      <c r="XEA45" s="468"/>
      <c r="XEB45" s="468"/>
      <c r="XEC45" s="468"/>
      <c r="XED45" s="468"/>
      <c r="XEE45" s="468"/>
      <c r="XEF45" s="468"/>
      <c r="XEG45" s="468"/>
      <c r="XEH45" s="468"/>
      <c r="XEI45" s="468"/>
      <c r="XEJ45" s="468"/>
      <c r="XEK45" s="468"/>
      <c r="XEL45" s="468"/>
      <c r="XEM45" s="468"/>
      <c r="XEN45" s="468"/>
      <c r="XEO45" s="468"/>
      <c r="XEP45" s="468"/>
      <c r="XEQ45" s="468"/>
      <c r="XER45" s="468"/>
      <c r="XES45" s="468"/>
      <c r="XET45" s="468"/>
      <c r="XEU45" s="468"/>
    </row>
    <row r="46" spans="1:16375" ht="15.6" x14ac:dyDescent="0.3">
      <c r="A46" s="508" t="s">
        <v>1166</v>
      </c>
      <c r="B46" s="468">
        <v>77122</v>
      </c>
      <c r="C46" s="467" t="s">
        <v>1266</v>
      </c>
      <c r="D46" s="508">
        <v>4512581646</v>
      </c>
      <c r="E46" s="469">
        <v>45855</v>
      </c>
      <c r="F46" s="468" t="s">
        <v>1240</v>
      </c>
      <c r="G46" s="468" t="s">
        <v>1168</v>
      </c>
      <c r="H46" s="468" t="s">
        <v>1169</v>
      </c>
      <c r="I46" s="468" t="s">
        <v>1177</v>
      </c>
      <c r="J46" s="468" t="s">
        <v>581</v>
      </c>
      <c r="K46" s="509">
        <v>624159.14</v>
      </c>
      <c r="L46" s="468"/>
      <c r="M46" s="505">
        <f>K46-L46</f>
        <v>624159.14</v>
      </c>
      <c r="N46" s="505">
        <f t="shared" ref="N46" si="18">M46*0.18</f>
        <v>112348.6452</v>
      </c>
      <c r="O46" s="505">
        <f t="shared" ref="O46" si="19">M46+N46</f>
        <v>736507.78520000004</v>
      </c>
      <c r="P46" s="471">
        <f>+O46</f>
        <v>736507.78520000004</v>
      </c>
      <c r="Q46" s="468" t="s">
        <v>1267</v>
      </c>
      <c r="R46" s="469"/>
      <c r="S46" s="468"/>
      <c r="T46" s="468"/>
      <c r="U46" s="468"/>
      <c r="V46" s="468"/>
      <c r="W46" s="468"/>
      <c r="X46" s="468"/>
      <c r="Y46" s="468"/>
      <c r="Z46" s="468"/>
      <c r="AA46" s="468" t="s">
        <v>1268</v>
      </c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8"/>
      <c r="DF46" s="468"/>
      <c r="DG46" s="468"/>
      <c r="DH46" s="468"/>
      <c r="DI46" s="468"/>
      <c r="DJ46" s="468"/>
      <c r="DK46" s="468"/>
      <c r="DL46" s="468"/>
      <c r="DM46" s="468"/>
      <c r="DN46" s="468"/>
      <c r="DO46" s="468"/>
      <c r="DP46" s="468"/>
      <c r="DQ46" s="468"/>
      <c r="DR46" s="468"/>
      <c r="DS46" s="468"/>
      <c r="DT46" s="468"/>
      <c r="DU46" s="468"/>
      <c r="DV46" s="468"/>
      <c r="DW46" s="468"/>
      <c r="DX46" s="468"/>
      <c r="DY46" s="468"/>
      <c r="DZ46" s="468"/>
      <c r="EA46" s="468"/>
      <c r="EB46" s="468"/>
      <c r="EC46" s="468"/>
      <c r="ED46" s="468"/>
      <c r="EE46" s="468"/>
      <c r="EF46" s="468"/>
      <c r="EG46" s="468"/>
      <c r="EH46" s="468"/>
      <c r="EI46" s="468"/>
      <c r="EJ46" s="468"/>
      <c r="EK46" s="468"/>
      <c r="EL46" s="468"/>
      <c r="EM46" s="468"/>
      <c r="EN46" s="468"/>
      <c r="EO46" s="468"/>
      <c r="EP46" s="468"/>
      <c r="EQ46" s="468"/>
      <c r="ER46" s="468"/>
      <c r="ES46" s="468"/>
      <c r="ET46" s="468"/>
      <c r="EU46" s="468"/>
      <c r="EV46" s="468"/>
      <c r="EW46" s="468"/>
      <c r="EX46" s="468"/>
      <c r="EY46" s="468"/>
      <c r="EZ46" s="468"/>
      <c r="FA46" s="468"/>
      <c r="FB46" s="468"/>
      <c r="FC46" s="468"/>
      <c r="FD46" s="468"/>
      <c r="FE46" s="468"/>
      <c r="FF46" s="468"/>
      <c r="FG46" s="468"/>
      <c r="FH46" s="468"/>
      <c r="FI46" s="468"/>
      <c r="FJ46" s="468"/>
      <c r="FK46" s="468"/>
      <c r="FL46" s="468"/>
      <c r="FM46" s="468"/>
      <c r="FN46" s="468"/>
      <c r="FO46" s="468"/>
      <c r="FP46" s="468"/>
      <c r="FQ46" s="468"/>
      <c r="FR46" s="468"/>
      <c r="FS46" s="468"/>
      <c r="FT46" s="468"/>
      <c r="FU46" s="468"/>
      <c r="FV46" s="468"/>
      <c r="FW46" s="468"/>
      <c r="FX46" s="468"/>
      <c r="FY46" s="468"/>
      <c r="FZ46" s="468"/>
      <c r="GA46" s="468"/>
      <c r="GB46" s="468"/>
      <c r="GC46" s="468"/>
      <c r="GD46" s="468"/>
      <c r="GE46" s="468"/>
      <c r="GF46" s="468"/>
      <c r="GG46" s="468"/>
      <c r="GH46" s="468"/>
      <c r="GI46" s="468"/>
      <c r="GJ46" s="468"/>
      <c r="GK46" s="468"/>
      <c r="GL46" s="468"/>
      <c r="GM46" s="468"/>
      <c r="GN46" s="468"/>
      <c r="GO46" s="468"/>
      <c r="GP46" s="468"/>
      <c r="GQ46" s="468"/>
      <c r="GR46" s="468"/>
      <c r="GS46" s="468"/>
      <c r="GT46" s="468"/>
      <c r="GU46" s="468"/>
      <c r="GV46" s="468"/>
      <c r="GW46" s="468"/>
      <c r="GX46" s="468"/>
      <c r="GY46" s="468"/>
      <c r="GZ46" s="468"/>
      <c r="HA46" s="468"/>
      <c r="HB46" s="468"/>
      <c r="HC46" s="468"/>
      <c r="HD46" s="468"/>
      <c r="HE46" s="468"/>
      <c r="HF46" s="468"/>
      <c r="HG46" s="468"/>
      <c r="HH46" s="468"/>
      <c r="HI46" s="468"/>
      <c r="HJ46" s="468"/>
      <c r="HK46" s="468"/>
      <c r="HL46" s="468"/>
      <c r="HM46" s="468"/>
      <c r="HN46" s="468"/>
      <c r="HO46" s="468"/>
      <c r="HP46" s="468"/>
      <c r="HQ46" s="468"/>
      <c r="HR46" s="468"/>
      <c r="HS46" s="468"/>
      <c r="HT46" s="468"/>
      <c r="HU46" s="468"/>
      <c r="HV46" s="468"/>
      <c r="HW46" s="468"/>
      <c r="HX46" s="468"/>
      <c r="HY46" s="468"/>
      <c r="HZ46" s="468"/>
      <c r="IA46" s="468"/>
      <c r="IB46" s="468"/>
      <c r="IC46" s="468"/>
      <c r="ID46" s="468"/>
      <c r="IE46" s="468"/>
      <c r="IF46" s="468"/>
      <c r="IG46" s="468"/>
      <c r="IH46" s="468"/>
      <c r="II46" s="468"/>
      <c r="IJ46" s="468"/>
      <c r="IK46" s="468"/>
      <c r="IL46" s="468"/>
      <c r="IM46" s="468"/>
      <c r="IN46" s="468"/>
      <c r="IO46" s="468"/>
      <c r="IP46" s="468"/>
      <c r="IQ46" s="468"/>
      <c r="IR46" s="468"/>
      <c r="IS46" s="468"/>
      <c r="IT46" s="468"/>
      <c r="IU46" s="468"/>
      <c r="IV46" s="468"/>
      <c r="IW46" s="468"/>
      <c r="IX46" s="468"/>
      <c r="IY46" s="468"/>
      <c r="IZ46" s="468"/>
      <c r="JA46" s="468"/>
      <c r="JB46" s="468"/>
      <c r="JC46" s="468"/>
      <c r="JD46" s="468"/>
      <c r="JE46" s="468"/>
      <c r="JF46" s="468"/>
      <c r="JG46" s="468"/>
      <c r="JH46" s="468"/>
      <c r="JI46" s="468"/>
      <c r="JJ46" s="468"/>
      <c r="JK46" s="468"/>
      <c r="JL46" s="468"/>
      <c r="JM46" s="468"/>
      <c r="JN46" s="468"/>
      <c r="JO46" s="468"/>
      <c r="JP46" s="468"/>
      <c r="JQ46" s="468"/>
      <c r="JR46" s="468"/>
      <c r="JS46" s="468"/>
      <c r="JT46" s="468"/>
      <c r="JU46" s="468"/>
      <c r="JV46" s="468"/>
      <c r="JW46" s="468"/>
      <c r="JX46" s="468"/>
      <c r="JY46" s="468"/>
      <c r="JZ46" s="468"/>
      <c r="KA46" s="468"/>
      <c r="KB46" s="468"/>
      <c r="KC46" s="468"/>
      <c r="KD46" s="468"/>
      <c r="KE46" s="468"/>
      <c r="KF46" s="468"/>
      <c r="KG46" s="468"/>
      <c r="KH46" s="468"/>
      <c r="KI46" s="468"/>
      <c r="KJ46" s="468"/>
      <c r="KK46" s="468"/>
      <c r="KL46" s="468"/>
      <c r="KM46" s="468"/>
      <c r="KN46" s="468"/>
      <c r="KO46" s="468"/>
      <c r="KP46" s="468"/>
      <c r="KQ46" s="468"/>
      <c r="KR46" s="468"/>
      <c r="KS46" s="468"/>
      <c r="KT46" s="468"/>
      <c r="KU46" s="468"/>
      <c r="KV46" s="468"/>
      <c r="KW46" s="468"/>
      <c r="KX46" s="468"/>
      <c r="KY46" s="468"/>
      <c r="KZ46" s="468"/>
      <c r="LA46" s="468"/>
      <c r="LB46" s="468"/>
      <c r="LC46" s="468"/>
      <c r="LD46" s="468"/>
      <c r="LE46" s="468"/>
      <c r="LF46" s="468"/>
      <c r="LG46" s="468"/>
      <c r="LH46" s="468"/>
      <c r="LI46" s="468"/>
      <c r="LJ46" s="468"/>
      <c r="LK46" s="468"/>
      <c r="LL46" s="468"/>
      <c r="LM46" s="468"/>
      <c r="LN46" s="468"/>
      <c r="LO46" s="468"/>
      <c r="LP46" s="468"/>
      <c r="LQ46" s="468"/>
      <c r="LR46" s="468"/>
      <c r="LS46" s="468"/>
      <c r="LT46" s="468"/>
      <c r="LU46" s="468"/>
      <c r="LV46" s="468"/>
      <c r="LW46" s="468"/>
      <c r="LX46" s="468"/>
      <c r="LY46" s="468"/>
      <c r="LZ46" s="468"/>
      <c r="MA46" s="468"/>
      <c r="MB46" s="468"/>
      <c r="MC46" s="468"/>
      <c r="MD46" s="468"/>
      <c r="ME46" s="468"/>
      <c r="MF46" s="468"/>
      <c r="MG46" s="468"/>
      <c r="MH46" s="468"/>
      <c r="MI46" s="468"/>
      <c r="MJ46" s="468"/>
      <c r="MK46" s="468"/>
      <c r="ML46" s="468"/>
      <c r="MM46" s="468"/>
      <c r="MN46" s="468"/>
      <c r="MO46" s="468"/>
      <c r="MP46" s="468"/>
      <c r="MQ46" s="468"/>
      <c r="MR46" s="468"/>
      <c r="MS46" s="468"/>
      <c r="MT46" s="468"/>
      <c r="MU46" s="468"/>
      <c r="MV46" s="468"/>
      <c r="MW46" s="468"/>
      <c r="MX46" s="468"/>
      <c r="MY46" s="468"/>
      <c r="MZ46" s="468"/>
      <c r="NA46" s="468"/>
      <c r="NB46" s="468"/>
      <c r="NC46" s="468"/>
      <c r="ND46" s="468"/>
      <c r="NE46" s="468"/>
      <c r="NF46" s="468"/>
      <c r="NG46" s="468"/>
      <c r="NH46" s="468"/>
      <c r="NI46" s="468"/>
      <c r="NJ46" s="468"/>
      <c r="NK46" s="468"/>
      <c r="NL46" s="468"/>
      <c r="NM46" s="468"/>
      <c r="NN46" s="468"/>
      <c r="NO46" s="468"/>
      <c r="NP46" s="468"/>
      <c r="NQ46" s="468"/>
      <c r="NR46" s="468"/>
      <c r="NS46" s="468"/>
      <c r="NT46" s="468"/>
      <c r="NU46" s="468"/>
      <c r="NV46" s="468"/>
      <c r="NW46" s="468"/>
      <c r="NX46" s="468"/>
      <c r="NY46" s="468"/>
      <c r="NZ46" s="468"/>
      <c r="OA46" s="468"/>
      <c r="OB46" s="468"/>
      <c r="OC46" s="468"/>
      <c r="OD46" s="468"/>
      <c r="OE46" s="468"/>
      <c r="OF46" s="468"/>
      <c r="OG46" s="468"/>
      <c r="OH46" s="468"/>
      <c r="OI46" s="468"/>
      <c r="OJ46" s="468"/>
      <c r="OK46" s="468"/>
      <c r="OL46" s="468"/>
      <c r="OM46" s="468"/>
      <c r="ON46" s="468"/>
      <c r="OO46" s="468"/>
      <c r="OP46" s="468"/>
      <c r="OQ46" s="468"/>
      <c r="OR46" s="468"/>
      <c r="OS46" s="468"/>
      <c r="OT46" s="468"/>
      <c r="OU46" s="468"/>
      <c r="OV46" s="468"/>
      <c r="OW46" s="468"/>
      <c r="OX46" s="468"/>
      <c r="OY46" s="468"/>
      <c r="OZ46" s="468"/>
      <c r="PA46" s="468"/>
      <c r="PB46" s="468"/>
      <c r="PC46" s="468"/>
      <c r="PD46" s="468"/>
      <c r="PE46" s="468"/>
      <c r="PF46" s="468"/>
      <c r="PG46" s="468"/>
      <c r="PH46" s="468"/>
      <c r="PI46" s="468"/>
      <c r="PJ46" s="468"/>
      <c r="PK46" s="468"/>
      <c r="PL46" s="468"/>
      <c r="PM46" s="468"/>
      <c r="PN46" s="468"/>
      <c r="PO46" s="468"/>
      <c r="PP46" s="468"/>
      <c r="PQ46" s="468"/>
      <c r="PR46" s="468"/>
      <c r="PS46" s="468"/>
      <c r="PT46" s="468"/>
      <c r="PU46" s="468"/>
      <c r="PV46" s="468"/>
      <c r="PW46" s="468"/>
      <c r="PX46" s="468"/>
      <c r="PY46" s="468"/>
      <c r="PZ46" s="468"/>
      <c r="QA46" s="468"/>
      <c r="QB46" s="468"/>
      <c r="QC46" s="468"/>
      <c r="QD46" s="468"/>
      <c r="QE46" s="468"/>
      <c r="QF46" s="468"/>
      <c r="QG46" s="468"/>
      <c r="QH46" s="468"/>
      <c r="QI46" s="468"/>
      <c r="QJ46" s="468"/>
      <c r="QK46" s="468"/>
      <c r="QL46" s="468"/>
      <c r="QM46" s="468"/>
      <c r="QN46" s="468"/>
      <c r="QO46" s="468"/>
      <c r="QP46" s="468"/>
      <c r="QQ46" s="468"/>
      <c r="QR46" s="468"/>
      <c r="QS46" s="468"/>
      <c r="QT46" s="468"/>
      <c r="QU46" s="468"/>
      <c r="QV46" s="468"/>
      <c r="QW46" s="468"/>
      <c r="QX46" s="468"/>
      <c r="QY46" s="468"/>
      <c r="QZ46" s="468"/>
      <c r="RA46" s="468"/>
      <c r="RB46" s="468"/>
      <c r="RC46" s="468"/>
      <c r="RD46" s="468"/>
      <c r="RE46" s="468"/>
      <c r="RF46" s="468"/>
      <c r="RG46" s="468"/>
      <c r="RH46" s="468"/>
      <c r="RI46" s="468"/>
      <c r="RJ46" s="468"/>
      <c r="RK46" s="468"/>
      <c r="RL46" s="468"/>
      <c r="RM46" s="468"/>
      <c r="RN46" s="468"/>
      <c r="RO46" s="468"/>
      <c r="RP46" s="468"/>
      <c r="RQ46" s="468"/>
      <c r="RR46" s="468"/>
      <c r="RS46" s="468"/>
      <c r="RT46" s="468"/>
      <c r="RU46" s="468"/>
      <c r="RV46" s="468"/>
      <c r="RW46" s="468"/>
      <c r="RX46" s="468"/>
      <c r="RY46" s="468"/>
      <c r="RZ46" s="468"/>
      <c r="SA46" s="468"/>
      <c r="SB46" s="468"/>
      <c r="SC46" s="468"/>
      <c r="SD46" s="468"/>
      <c r="SE46" s="468"/>
      <c r="SF46" s="468"/>
      <c r="SG46" s="468"/>
      <c r="SH46" s="468"/>
      <c r="SI46" s="468"/>
      <c r="SJ46" s="468"/>
      <c r="SK46" s="468"/>
      <c r="SL46" s="468"/>
      <c r="SM46" s="468"/>
      <c r="SN46" s="468"/>
      <c r="SO46" s="468"/>
      <c r="SP46" s="468"/>
      <c r="SQ46" s="468"/>
      <c r="SR46" s="468"/>
      <c r="SS46" s="468"/>
      <c r="ST46" s="468"/>
      <c r="SU46" s="468"/>
      <c r="SV46" s="468"/>
      <c r="SW46" s="468"/>
      <c r="SX46" s="468"/>
      <c r="SY46" s="468"/>
      <c r="SZ46" s="468"/>
      <c r="TA46" s="468"/>
      <c r="TB46" s="468"/>
      <c r="TC46" s="468"/>
      <c r="TD46" s="468"/>
      <c r="TE46" s="468"/>
      <c r="TF46" s="468"/>
      <c r="TG46" s="468"/>
      <c r="TH46" s="468"/>
      <c r="TI46" s="468"/>
      <c r="TJ46" s="468"/>
      <c r="TK46" s="468"/>
      <c r="TL46" s="468"/>
      <c r="TM46" s="468"/>
      <c r="TN46" s="468"/>
      <c r="TO46" s="468"/>
      <c r="TP46" s="468"/>
      <c r="TQ46" s="468"/>
      <c r="TR46" s="468"/>
      <c r="TS46" s="468"/>
      <c r="TT46" s="468"/>
      <c r="TU46" s="468"/>
      <c r="TV46" s="468"/>
      <c r="TW46" s="468"/>
      <c r="TX46" s="468"/>
      <c r="TY46" s="468"/>
      <c r="TZ46" s="468"/>
      <c r="UA46" s="468"/>
      <c r="UB46" s="468"/>
      <c r="UC46" s="468"/>
      <c r="UD46" s="468"/>
      <c r="UE46" s="468"/>
      <c r="UF46" s="468"/>
      <c r="UG46" s="468"/>
      <c r="UH46" s="468"/>
      <c r="UI46" s="468"/>
      <c r="UJ46" s="468"/>
      <c r="UK46" s="468"/>
      <c r="UL46" s="468"/>
      <c r="UM46" s="468"/>
      <c r="UN46" s="468"/>
      <c r="UO46" s="468"/>
      <c r="UP46" s="468"/>
      <c r="UQ46" s="468"/>
      <c r="UR46" s="468"/>
      <c r="US46" s="468"/>
      <c r="UT46" s="468"/>
      <c r="UU46" s="468"/>
      <c r="UV46" s="468"/>
      <c r="UW46" s="468"/>
      <c r="UX46" s="468"/>
      <c r="UY46" s="468"/>
      <c r="UZ46" s="468"/>
      <c r="VA46" s="468"/>
      <c r="VB46" s="468"/>
      <c r="VC46" s="468"/>
      <c r="VD46" s="468"/>
      <c r="VE46" s="468"/>
      <c r="VF46" s="468"/>
      <c r="VG46" s="468"/>
      <c r="VH46" s="468"/>
      <c r="VI46" s="468"/>
      <c r="VJ46" s="468"/>
      <c r="VK46" s="468"/>
      <c r="VL46" s="468"/>
      <c r="VM46" s="468"/>
      <c r="VN46" s="468"/>
      <c r="VO46" s="468"/>
      <c r="VP46" s="468"/>
      <c r="VQ46" s="468"/>
      <c r="VR46" s="468"/>
      <c r="VS46" s="468"/>
      <c r="VT46" s="468"/>
      <c r="VU46" s="468"/>
      <c r="VV46" s="468"/>
      <c r="VW46" s="468"/>
      <c r="VX46" s="468"/>
      <c r="VY46" s="468"/>
      <c r="VZ46" s="468"/>
      <c r="WA46" s="468"/>
      <c r="WB46" s="468"/>
      <c r="WC46" s="468"/>
      <c r="WD46" s="468"/>
      <c r="WE46" s="468"/>
      <c r="WF46" s="468"/>
      <c r="WG46" s="468"/>
      <c r="WH46" s="468"/>
      <c r="WI46" s="468"/>
      <c r="WJ46" s="468"/>
      <c r="WK46" s="468"/>
      <c r="WL46" s="468"/>
      <c r="WM46" s="468"/>
      <c r="WN46" s="468"/>
      <c r="WO46" s="468"/>
      <c r="WP46" s="468"/>
      <c r="WQ46" s="468"/>
      <c r="WR46" s="468"/>
      <c r="WS46" s="468"/>
      <c r="WT46" s="468"/>
      <c r="WU46" s="468"/>
      <c r="WV46" s="468"/>
      <c r="WW46" s="468"/>
      <c r="WX46" s="468"/>
      <c r="WY46" s="468"/>
      <c r="WZ46" s="468"/>
      <c r="XA46" s="468"/>
      <c r="XB46" s="468"/>
      <c r="XC46" s="468"/>
      <c r="XD46" s="468"/>
      <c r="XE46" s="468"/>
      <c r="XF46" s="468"/>
      <c r="XG46" s="468"/>
      <c r="XH46" s="468"/>
      <c r="XI46" s="468"/>
      <c r="XJ46" s="468"/>
      <c r="XK46" s="468"/>
      <c r="XL46" s="468"/>
      <c r="XM46" s="468"/>
      <c r="XN46" s="468"/>
      <c r="XO46" s="468"/>
      <c r="XP46" s="468"/>
      <c r="XQ46" s="468"/>
      <c r="XR46" s="468"/>
      <c r="XS46" s="468"/>
      <c r="XT46" s="468"/>
      <c r="XU46" s="468"/>
      <c r="XV46" s="468"/>
      <c r="XW46" s="468"/>
      <c r="XX46" s="468"/>
      <c r="XY46" s="468"/>
      <c r="XZ46" s="468"/>
      <c r="YA46" s="468"/>
      <c r="YB46" s="468"/>
      <c r="YC46" s="468"/>
      <c r="YD46" s="468"/>
      <c r="YE46" s="468"/>
      <c r="YF46" s="468"/>
      <c r="YG46" s="468"/>
      <c r="YH46" s="468"/>
      <c r="YI46" s="468"/>
      <c r="YJ46" s="468"/>
      <c r="YK46" s="468"/>
      <c r="YL46" s="468"/>
      <c r="YM46" s="468"/>
      <c r="YN46" s="468"/>
      <c r="YO46" s="468"/>
      <c r="YP46" s="468"/>
      <c r="YQ46" s="468"/>
      <c r="YR46" s="468"/>
      <c r="YS46" s="468"/>
      <c r="YT46" s="468"/>
      <c r="YU46" s="468"/>
      <c r="YV46" s="468"/>
      <c r="YW46" s="468"/>
      <c r="YX46" s="468"/>
      <c r="YY46" s="468"/>
      <c r="YZ46" s="468"/>
      <c r="ZA46" s="468"/>
      <c r="ZB46" s="468"/>
      <c r="ZC46" s="468"/>
      <c r="ZD46" s="468"/>
      <c r="ZE46" s="468"/>
      <c r="ZF46" s="468"/>
      <c r="ZG46" s="468"/>
      <c r="ZH46" s="468"/>
      <c r="ZI46" s="468"/>
      <c r="ZJ46" s="468"/>
      <c r="ZK46" s="468"/>
      <c r="ZL46" s="468"/>
      <c r="ZM46" s="468"/>
      <c r="ZN46" s="468"/>
      <c r="ZO46" s="468"/>
      <c r="ZP46" s="468"/>
      <c r="ZQ46" s="468"/>
      <c r="ZR46" s="468"/>
      <c r="ZS46" s="468"/>
      <c r="ZT46" s="468"/>
      <c r="ZU46" s="468"/>
      <c r="ZV46" s="468"/>
      <c r="ZW46" s="468"/>
      <c r="ZX46" s="468"/>
      <c r="ZY46" s="468"/>
      <c r="ZZ46" s="468"/>
      <c r="AAA46" s="468"/>
      <c r="AAB46" s="468"/>
      <c r="AAC46" s="468"/>
      <c r="AAD46" s="468"/>
      <c r="AAE46" s="468"/>
      <c r="AAF46" s="468"/>
      <c r="AAG46" s="468"/>
      <c r="AAH46" s="468"/>
      <c r="AAI46" s="468"/>
      <c r="AAJ46" s="468"/>
      <c r="AAK46" s="468"/>
      <c r="AAL46" s="468"/>
      <c r="AAM46" s="468"/>
      <c r="AAN46" s="468"/>
      <c r="AAO46" s="468"/>
      <c r="AAP46" s="468"/>
      <c r="AAQ46" s="468"/>
      <c r="AAR46" s="468"/>
      <c r="AAS46" s="468"/>
      <c r="AAT46" s="468"/>
      <c r="AAU46" s="468"/>
      <c r="AAV46" s="468"/>
      <c r="AAW46" s="468"/>
      <c r="AAX46" s="468"/>
      <c r="AAY46" s="468"/>
      <c r="AAZ46" s="468"/>
      <c r="ABA46" s="468"/>
      <c r="ABB46" s="468"/>
      <c r="ABC46" s="468"/>
      <c r="ABD46" s="468"/>
      <c r="ABE46" s="468"/>
      <c r="ABF46" s="468"/>
      <c r="ABG46" s="468"/>
      <c r="ABH46" s="468"/>
      <c r="ABI46" s="468"/>
      <c r="ABJ46" s="468"/>
      <c r="ABK46" s="468"/>
      <c r="ABL46" s="468"/>
      <c r="ABM46" s="468"/>
      <c r="ABN46" s="468"/>
      <c r="ABO46" s="468"/>
      <c r="ABP46" s="468"/>
      <c r="ABQ46" s="468"/>
      <c r="ABR46" s="468"/>
      <c r="ABS46" s="468"/>
      <c r="ABT46" s="468"/>
      <c r="ABU46" s="468"/>
      <c r="ABV46" s="468"/>
      <c r="ABW46" s="468"/>
      <c r="ABX46" s="468"/>
      <c r="ABY46" s="468"/>
      <c r="ABZ46" s="468"/>
      <c r="ACA46" s="468"/>
      <c r="ACB46" s="468"/>
      <c r="ACC46" s="468"/>
      <c r="ACD46" s="468"/>
      <c r="ACE46" s="468"/>
      <c r="ACF46" s="468"/>
      <c r="ACG46" s="468"/>
      <c r="ACH46" s="468"/>
      <c r="ACI46" s="468"/>
      <c r="ACJ46" s="468"/>
      <c r="ACK46" s="468"/>
      <c r="ACL46" s="468"/>
      <c r="ACM46" s="468"/>
      <c r="ACN46" s="468"/>
      <c r="ACO46" s="468"/>
      <c r="ACP46" s="468"/>
      <c r="ACQ46" s="468"/>
      <c r="ACR46" s="468"/>
      <c r="ACS46" s="468"/>
      <c r="ACT46" s="468"/>
      <c r="ACU46" s="468"/>
      <c r="ACV46" s="468"/>
      <c r="ACW46" s="468"/>
      <c r="ACX46" s="468"/>
      <c r="ACY46" s="468"/>
      <c r="ACZ46" s="468"/>
      <c r="ADA46" s="468"/>
      <c r="ADB46" s="468"/>
      <c r="ADC46" s="468"/>
      <c r="ADD46" s="468"/>
      <c r="ADE46" s="468"/>
      <c r="ADF46" s="468"/>
      <c r="ADG46" s="468"/>
      <c r="ADH46" s="468"/>
      <c r="ADI46" s="468"/>
      <c r="ADJ46" s="468"/>
      <c r="ADK46" s="468"/>
      <c r="ADL46" s="468"/>
      <c r="ADM46" s="468"/>
      <c r="ADN46" s="468"/>
      <c r="ADO46" s="468"/>
      <c r="ADP46" s="468"/>
      <c r="ADQ46" s="468"/>
      <c r="ADR46" s="468"/>
      <c r="ADS46" s="468"/>
      <c r="ADT46" s="468"/>
      <c r="ADU46" s="468"/>
      <c r="ADV46" s="468"/>
      <c r="ADW46" s="468"/>
      <c r="ADX46" s="468"/>
      <c r="ADY46" s="468"/>
      <c r="ADZ46" s="468"/>
      <c r="AEA46" s="468"/>
      <c r="AEB46" s="468"/>
      <c r="AEC46" s="468"/>
      <c r="AED46" s="468"/>
      <c r="AEE46" s="468"/>
      <c r="AEF46" s="468"/>
      <c r="AEG46" s="468"/>
      <c r="AEH46" s="468"/>
      <c r="AEI46" s="468"/>
      <c r="AEJ46" s="468"/>
      <c r="AEK46" s="468"/>
      <c r="AEL46" s="468"/>
      <c r="AEM46" s="468"/>
      <c r="AEN46" s="468"/>
      <c r="AEO46" s="468"/>
      <c r="AEP46" s="468"/>
      <c r="AEQ46" s="468"/>
      <c r="AER46" s="468"/>
      <c r="AES46" s="468"/>
      <c r="AET46" s="468"/>
      <c r="AEU46" s="468"/>
      <c r="AEV46" s="468"/>
      <c r="AEW46" s="468"/>
      <c r="AEX46" s="468"/>
      <c r="AEY46" s="468"/>
      <c r="AEZ46" s="468"/>
      <c r="AFA46" s="468"/>
      <c r="AFB46" s="468"/>
      <c r="AFC46" s="468"/>
      <c r="AFD46" s="468"/>
      <c r="AFE46" s="468"/>
      <c r="AFF46" s="468"/>
      <c r="AFG46" s="468"/>
      <c r="AFH46" s="468"/>
      <c r="AFI46" s="468"/>
      <c r="AFJ46" s="468"/>
      <c r="AFK46" s="468"/>
      <c r="AFL46" s="468"/>
      <c r="AFM46" s="468"/>
      <c r="AFN46" s="468"/>
      <c r="AFO46" s="468"/>
      <c r="AFP46" s="468"/>
      <c r="AFQ46" s="468"/>
      <c r="AFR46" s="468"/>
      <c r="AFS46" s="468"/>
      <c r="AFT46" s="468"/>
      <c r="AFU46" s="468"/>
      <c r="AFV46" s="468"/>
      <c r="AFW46" s="468"/>
      <c r="AFX46" s="468"/>
      <c r="AFY46" s="468"/>
      <c r="AFZ46" s="468"/>
      <c r="AGA46" s="468"/>
      <c r="AGB46" s="468"/>
      <c r="AGC46" s="468"/>
      <c r="AGD46" s="468"/>
      <c r="AGE46" s="468"/>
      <c r="AGF46" s="468"/>
      <c r="AGG46" s="468"/>
      <c r="AGH46" s="468"/>
      <c r="AGI46" s="468"/>
      <c r="AGJ46" s="468"/>
      <c r="AGK46" s="468"/>
      <c r="AGL46" s="468"/>
      <c r="AGM46" s="468"/>
      <c r="AGN46" s="468"/>
      <c r="AGO46" s="468"/>
      <c r="AGP46" s="468"/>
      <c r="AGQ46" s="468"/>
      <c r="AGR46" s="468"/>
      <c r="AGS46" s="468"/>
      <c r="AGT46" s="468"/>
      <c r="AGU46" s="468"/>
      <c r="AGV46" s="468"/>
      <c r="AGW46" s="468"/>
      <c r="AGX46" s="468"/>
      <c r="AGY46" s="468"/>
      <c r="AGZ46" s="468"/>
      <c r="AHA46" s="468"/>
      <c r="AHB46" s="468"/>
      <c r="AHC46" s="468"/>
      <c r="AHD46" s="468"/>
      <c r="AHE46" s="468"/>
      <c r="AHF46" s="468"/>
      <c r="AHG46" s="468"/>
      <c r="AHH46" s="468"/>
      <c r="AHI46" s="468"/>
      <c r="AHJ46" s="468"/>
      <c r="AHK46" s="468"/>
      <c r="AHL46" s="468"/>
      <c r="AHM46" s="468"/>
      <c r="AHN46" s="468"/>
      <c r="AHO46" s="468"/>
      <c r="AHP46" s="468"/>
      <c r="AHQ46" s="468"/>
      <c r="AHR46" s="468"/>
      <c r="AHS46" s="468"/>
      <c r="AHT46" s="468"/>
      <c r="AHU46" s="468"/>
      <c r="AHV46" s="468"/>
      <c r="AHW46" s="468"/>
      <c r="AHX46" s="468"/>
      <c r="AHY46" s="468"/>
      <c r="AHZ46" s="468"/>
      <c r="AIA46" s="468"/>
      <c r="AIB46" s="468"/>
      <c r="AIC46" s="468"/>
      <c r="AID46" s="468"/>
      <c r="AIE46" s="468"/>
      <c r="AIF46" s="468"/>
      <c r="AIG46" s="468"/>
      <c r="AIH46" s="468"/>
      <c r="AII46" s="468"/>
      <c r="AIJ46" s="468"/>
      <c r="AIK46" s="468"/>
      <c r="AIL46" s="468"/>
      <c r="AIM46" s="468"/>
      <c r="AIN46" s="468"/>
      <c r="AIO46" s="468"/>
      <c r="AIP46" s="468"/>
      <c r="AIQ46" s="468"/>
      <c r="AIR46" s="468"/>
      <c r="AIS46" s="468"/>
      <c r="AIT46" s="468"/>
      <c r="AIU46" s="468"/>
      <c r="AIV46" s="468"/>
      <c r="AIW46" s="468"/>
      <c r="AIX46" s="468"/>
      <c r="AIY46" s="468"/>
      <c r="AIZ46" s="468"/>
      <c r="AJA46" s="468"/>
      <c r="AJB46" s="468"/>
      <c r="AJC46" s="468"/>
      <c r="AJD46" s="468"/>
      <c r="AJE46" s="468"/>
      <c r="AJF46" s="468"/>
      <c r="AJG46" s="468"/>
      <c r="AJH46" s="468"/>
      <c r="AJI46" s="468"/>
      <c r="AJJ46" s="468"/>
      <c r="AJK46" s="468"/>
      <c r="AJL46" s="468"/>
      <c r="AJM46" s="468"/>
      <c r="AJN46" s="468"/>
      <c r="AJO46" s="468"/>
      <c r="AJP46" s="468"/>
      <c r="AJQ46" s="468"/>
      <c r="AJR46" s="468"/>
      <c r="AJS46" s="468"/>
      <c r="AJT46" s="468"/>
      <c r="AJU46" s="468"/>
      <c r="AJV46" s="468"/>
      <c r="AJW46" s="468"/>
      <c r="AJX46" s="468"/>
      <c r="AJY46" s="468"/>
      <c r="AJZ46" s="468"/>
      <c r="AKA46" s="468"/>
      <c r="AKB46" s="468"/>
      <c r="AKC46" s="468"/>
      <c r="AKD46" s="468"/>
      <c r="AKE46" s="468"/>
      <c r="AKF46" s="468"/>
      <c r="AKG46" s="468"/>
      <c r="AKH46" s="468"/>
      <c r="AKI46" s="468"/>
      <c r="AKJ46" s="468"/>
      <c r="AKK46" s="468"/>
      <c r="AKL46" s="468"/>
      <c r="AKM46" s="468"/>
      <c r="AKN46" s="468"/>
      <c r="AKO46" s="468"/>
      <c r="AKP46" s="468"/>
      <c r="AKQ46" s="468"/>
      <c r="AKR46" s="468"/>
      <c r="AKS46" s="468"/>
      <c r="AKT46" s="468"/>
      <c r="AKU46" s="468"/>
      <c r="AKV46" s="468"/>
      <c r="AKW46" s="468"/>
      <c r="AKX46" s="468"/>
      <c r="AKY46" s="468"/>
      <c r="AKZ46" s="468"/>
      <c r="ALA46" s="468"/>
      <c r="ALB46" s="468"/>
      <c r="ALC46" s="468"/>
      <c r="ALD46" s="468"/>
      <c r="ALE46" s="468"/>
      <c r="ALF46" s="468"/>
      <c r="ALG46" s="468"/>
      <c r="ALH46" s="468"/>
      <c r="ALI46" s="468"/>
      <c r="ALJ46" s="468"/>
      <c r="ALK46" s="468"/>
      <c r="ALL46" s="468"/>
      <c r="ALM46" s="468"/>
      <c r="ALN46" s="468"/>
      <c r="ALO46" s="468"/>
      <c r="ALP46" s="468"/>
      <c r="ALQ46" s="468"/>
      <c r="ALR46" s="468"/>
      <c r="ALS46" s="468"/>
      <c r="ALT46" s="468"/>
      <c r="ALU46" s="468"/>
      <c r="ALV46" s="468"/>
      <c r="ALW46" s="468"/>
      <c r="ALX46" s="468"/>
      <c r="ALY46" s="468"/>
      <c r="ALZ46" s="468"/>
      <c r="AMA46" s="468"/>
      <c r="AMB46" s="468"/>
      <c r="AMC46" s="468"/>
      <c r="AMD46" s="468"/>
      <c r="AME46" s="468"/>
      <c r="AMF46" s="468"/>
      <c r="AMG46" s="468"/>
      <c r="AMH46" s="468"/>
      <c r="AMI46" s="468"/>
      <c r="AMJ46" s="468"/>
      <c r="AMK46" s="468"/>
      <c r="AML46" s="468"/>
      <c r="AMM46" s="468"/>
      <c r="AMN46" s="468"/>
      <c r="AMO46" s="468"/>
      <c r="AMP46" s="468"/>
      <c r="AMQ46" s="468"/>
      <c r="AMR46" s="468"/>
      <c r="AMS46" s="468"/>
      <c r="AMT46" s="468"/>
      <c r="AMU46" s="468"/>
      <c r="AMV46" s="468"/>
      <c r="AMW46" s="468"/>
      <c r="AMX46" s="468"/>
      <c r="AMY46" s="468"/>
      <c r="AMZ46" s="468"/>
      <c r="ANA46" s="468"/>
      <c r="ANB46" s="468"/>
      <c r="ANC46" s="468"/>
      <c r="AND46" s="468"/>
      <c r="ANE46" s="468"/>
      <c r="ANF46" s="468"/>
      <c r="ANG46" s="468"/>
      <c r="ANH46" s="468"/>
      <c r="ANI46" s="468"/>
      <c r="ANJ46" s="468"/>
      <c r="ANK46" s="468"/>
      <c r="ANL46" s="468"/>
      <c r="ANM46" s="468"/>
      <c r="ANN46" s="468"/>
      <c r="ANO46" s="468"/>
      <c r="ANP46" s="468"/>
      <c r="ANQ46" s="468"/>
      <c r="ANR46" s="468"/>
      <c r="ANS46" s="468"/>
      <c r="ANT46" s="468"/>
      <c r="ANU46" s="468"/>
      <c r="ANV46" s="468"/>
      <c r="ANW46" s="468"/>
      <c r="ANX46" s="468"/>
      <c r="ANY46" s="468"/>
      <c r="ANZ46" s="468"/>
      <c r="AOA46" s="468"/>
      <c r="AOB46" s="468"/>
      <c r="AOC46" s="468"/>
      <c r="AOD46" s="468"/>
      <c r="AOE46" s="468"/>
      <c r="AOF46" s="468"/>
      <c r="AOG46" s="468"/>
      <c r="AOH46" s="468"/>
      <c r="AOI46" s="468"/>
      <c r="AOJ46" s="468"/>
      <c r="AOK46" s="468"/>
      <c r="AOL46" s="468"/>
      <c r="AOM46" s="468"/>
      <c r="AON46" s="468"/>
      <c r="AOO46" s="468"/>
      <c r="AOP46" s="468"/>
      <c r="AOQ46" s="468"/>
      <c r="AOR46" s="468"/>
      <c r="AOS46" s="468"/>
      <c r="AOT46" s="468"/>
      <c r="AOU46" s="468"/>
      <c r="AOV46" s="468"/>
      <c r="AOW46" s="468"/>
      <c r="AOX46" s="468"/>
      <c r="AOY46" s="468"/>
      <c r="AOZ46" s="468"/>
      <c r="APA46" s="468"/>
      <c r="APB46" s="468"/>
      <c r="APC46" s="468"/>
      <c r="APD46" s="468"/>
      <c r="APE46" s="468"/>
      <c r="APF46" s="468"/>
      <c r="APG46" s="468"/>
      <c r="APH46" s="468"/>
      <c r="API46" s="468"/>
      <c r="APJ46" s="468"/>
      <c r="APK46" s="468"/>
      <c r="APL46" s="468"/>
      <c r="APM46" s="468"/>
      <c r="APN46" s="468"/>
      <c r="APO46" s="468"/>
      <c r="APP46" s="468"/>
      <c r="APQ46" s="468"/>
      <c r="APR46" s="468"/>
      <c r="APS46" s="468"/>
      <c r="APT46" s="468"/>
      <c r="APU46" s="468"/>
      <c r="APV46" s="468"/>
      <c r="APW46" s="468"/>
      <c r="APX46" s="468"/>
      <c r="APY46" s="468"/>
      <c r="APZ46" s="468"/>
      <c r="AQA46" s="468"/>
      <c r="AQB46" s="468"/>
      <c r="AQC46" s="468"/>
      <c r="AQD46" s="468"/>
      <c r="AQE46" s="468"/>
      <c r="AQF46" s="468"/>
      <c r="AQG46" s="468"/>
      <c r="AQH46" s="468"/>
      <c r="AQI46" s="468"/>
      <c r="AQJ46" s="468"/>
      <c r="AQK46" s="468"/>
      <c r="AQL46" s="468"/>
      <c r="AQM46" s="468"/>
      <c r="AQN46" s="468"/>
      <c r="AQO46" s="468"/>
      <c r="AQP46" s="468"/>
      <c r="AQQ46" s="468"/>
      <c r="AQR46" s="468"/>
      <c r="AQS46" s="468"/>
      <c r="AQT46" s="468"/>
      <c r="AQU46" s="468"/>
      <c r="AQV46" s="468"/>
      <c r="AQW46" s="468"/>
      <c r="AQX46" s="468"/>
      <c r="AQY46" s="468"/>
      <c r="AQZ46" s="468"/>
      <c r="ARA46" s="468"/>
      <c r="ARB46" s="468"/>
      <c r="ARC46" s="468"/>
      <c r="ARD46" s="468"/>
      <c r="ARE46" s="468"/>
      <c r="ARF46" s="468"/>
      <c r="ARG46" s="468"/>
      <c r="ARH46" s="468"/>
      <c r="ARI46" s="468"/>
      <c r="ARJ46" s="468"/>
      <c r="ARK46" s="468"/>
      <c r="ARL46" s="468"/>
      <c r="ARM46" s="468"/>
      <c r="ARN46" s="468"/>
      <c r="ARO46" s="468"/>
      <c r="ARP46" s="468"/>
      <c r="ARQ46" s="468"/>
      <c r="ARR46" s="468"/>
      <c r="ARS46" s="468"/>
      <c r="ART46" s="468"/>
      <c r="ARU46" s="468"/>
      <c r="ARV46" s="468"/>
      <c r="ARW46" s="468"/>
      <c r="ARX46" s="468"/>
      <c r="ARY46" s="468"/>
      <c r="ARZ46" s="468"/>
      <c r="ASA46" s="468"/>
      <c r="ASB46" s="468"/>
      <c r="ASC46" s="468"/>
      <c r="ASD46" s="468"/>
      <c r="ASE46" s="468"/>
      <c r="ASF46" s="468"/>
      <c r="ASG46" s="468"/>
      <c r="ASH46" s="468"/>
      <c r="ASI46" s="468"/>
      <c r="ASJ46" s="468"/>
      <c r="ASK46" s="468"/>
      <c r="ASL46" s="468"/>
      <c r="ASM46" s="468"/>
      <c r="ASN46" s="468"/>
      <c r="ASO46" s="468"/>
      <c r="ASP46" s="468"/>
      <c r="ASQ46" s="468"/>
      <c r="ASR46" s="468"/>
      <c r="ASS46" s="468"/>
      <c r="AST46" s="468"/>
      <c r="ASU46" s="468"/>
      <c r="ASV46" s="468"/>
      <c r="ASW46" s="468"/>
      <c r="ASX46" s="468"/>
      <c r="ASY46" s="468"/>
      <c r="ASZ46" s="468"/>
      <c r="ATA46" s="468"/>
      <c r="ATB46" s="468"/>
      <c r="ATC46" s="468"/>
      <c r="ATD46" s="468"/>
      <c r="ATE46" s="468"/>
      <c r="ATF46" s="468"/>
      <c r="ATG46" s="468"/>
      <c r="ATH46" s="468"/>
      <c r="ATI46" s="468"/>
      <c r="ATJ46" s="468"/>
      <c r="ATK46" s="468"/>
      <c r="ATL46" s="468"/>
      <c r="ATM46" s="468"/>
      <c r="ATN46" s="468"/>
      <c r="ATO46" s="468"/>
      <c r="ATP46" s="468"/>
      <c r="ATQ46" s="468"/>
      <c r="ATR46" s="468"/>
      <c r="ATS46" s="468"/>
      <c r="ATT46" s="468"/>
      <c r="ATU46" s="468"/>
      <c r="ATV46" s="468"/>
      <c r="ATW46" s="468"/>
      <c r="ATX46" s="468"/>
      <c r="ATY46" s="468"/>
      <c r="ATZ46" s="468"/>
      <c r="AUA46" s="468"/>
      <c r="AUB46" s="468"/>
      <c r="AUC46" s="468"/>
      <c r="AUD46" s="468"/>
      <c r="AUE46" s="468"/>
      <c r="AUF46" s="468"/>
      <c r="AUG46" s="468"/>
      <c r="AUH46" s="468"/>
      <c r="AUI46" s="468"/>
      <c r="AUJ46" s="468"/>
      <c r="AUK46" s="468"/>
      <c r="AUL46" s="468"/>
      <c r="AUM46" s="468"/>
      <c r="AUN46" s="468"/>
      <c r="AUO46" s="468"/>
      <c r="AUP46" s="468"/>
      <c r="AUQ46" s="468"/>
      <c r="AUR46" s="468"/>
      <c r="AUS46" s="468"/>
      <c r="AUT46" s="468"/>
      <c r="AUU46" s="468"/>
      <c r="AUV46" s="468"/>
      <c r="AUW46" s="468"/>
      <c r="AUX46" s="468"/>
      <c r="AUY46" s="468"/>
      <c r="AUZ46" s="468"/>
      <c r="AVA46" s="468"/>
      <c r="AVB46" s="468"/>
      <c r="AVC46" s="468"/>
      <c r="AVD46" s="468"/>
      <c r="AVE46" s="468"/>
      <c r="AVF46" s="468"/>
      <c r="AVG46" s="468"/>
      <c r="AVH46" s="468"/>
      <c r="AVI46" s="468"/>
      <c r="AVJ46" s="468"/>
      <c r="AVK46" s="468"/>
      <c r="AVL46" s="468"/>
      <c r="AVM46" s="468"/>
      <c r="AVN46" s="468"/>
      <c r="AVO46" s="468"/>
      <c r="AVP46" s="468"/>
      <c r="AVQ46" s="468"/>
      <c r="AVR46" s="468"/>
      <c r="AVS46" s="468"/>
      <c r="AVT46" s="468"/>
      <c r="AVU46" s="468"/>
      <c r="AVV46" s="468"/>
      <c r="AVW46" s="468"/>
      <c r="AVX46" s="468"/>
      <c r="AVY46" s="468"/>
      <c r="AVZ46" s="468"/>
      <c r="AWA46" s="468"/>
      <c r="AWB46" s="468"/>
      <c r="AWC46" s="468"/>
      <c r="AWD46" s="468"/>
      <c r="AWE46" s="468"/>
      <c r="AWF46" s="468"/>
      <c r="AWG46" s="468"/>
      <c r="AWH46" s="468"/>
      <c r="AWI46" s="468"/>
      <c r="AWJ46" s="468"/>
      <c r="AWK46" s="468"/>
      <c r="AWL46" s="468"/>
      <c r="AWM46" s="468"/>
      <c r="AWN46" s="468"/>
      <c r="AWO46" s="468"/>
      <c r="AWP46" s="468"/>
      <c r="AWQ46" s="468"/>
      <c r="AWR46" s="468"/>
      <c r="AWS46" s="468"/>
      <c r="AWT46" s="468"/>
      <c r="AWU46" s="468"/>
      <c r="AWV46" s="468"/>
      <c r="AWW46" s="468"/>
      <c r="AWX46" s="468"/>
      <c r="AWY46" s="468"/>
      <c r="AWZ46" s="468"/>
      <c r="AXA46" s="468"/>
      <c r="AXB46" s="468"/>
      <c r="AXC46" s="468"/>
      <c r="AXD46" s="468"/>
      <c r="AXE46" s="468"/>
      <c r="AXF46" s="468"/>
      <c r="AXG46" s="468"/>
      <c r="AXH46" s="468"/>
      <c r="AXI46" s="468"/>
      <c r="AXJ46" s="468"/>
      <c r="AXK46" s="468"/>
      <c r="AXL46" s="468"/>
      <c r="AXM46" s="468"/>
      <c r="AXN46" s="468"/>
      <c r="AXO46" s="468"/>
      <c r="AXP46" s="468"/>
      <c r="AXQ46" s="468"/>
      <c r="AXR46" s="468"/>
      <c r="AXS46" s="468"/>
      <c r="AXT46" s="468"/>
      <c r="AXU46" s="468"/>
      <c r="AXV46" s="468"/>
      <c r="AXW46" s="468"/>
      <c r="AXX46" s="468"/>
      <c r="AXY46" s="468"/>
      <c r="AXZ46" s="468"/>
      <c r="AYA46" s="468"/>
      <c r="AYB46" s="468"/>
      <c r="AYC46" s="468"/>
      <c r="AYD46" s="468"/>
      <c r="AYE46" s="468"/>
      <c r="AYF46" s="468"/>
      <c r="AYG46" s="468"/>
      <c r="AYH46" s="468"/>
      <c r="AYI46" s="468"/>
      <c r="AYJ46" s="468"/>
      <c r="AYK46" s="468"/>
      <c r="AYL46" s="468"/>
      <c r="AYM46" s="468"/>
      <c r="AYN46" s="468"/>
      <c r="AYO46" s="468"/>
      <c r="AYP46" s="468"/>
      <c r="AYQ46" s="468"/>
      <c r="AYR46" s="468"/>
      <c r="AYS46" s="468"/>
      <c r="AYT46" s="468"/>
      <c r="AYU46" s="468"/>
      <c r="AYV46" s="468"/>
      <c r="AYW46" s="468"/>
      <c r="AYX46" s="468"/>
      <c r="AYY46" s="468"/>
      <c r="AYZ46" s="468"/>
      <c r="AZA46" s="468"/>
      <c r="AZB46" s="468"/>
      <c r="AZC46" s="468"/>
      <c r="AZD46" s="468"/>
      <c r="AZE46" s="468"/>
      <c r="AZF46" s="468"/>
      <c r="AZG46" s="468"/>
      <c r="AZH46" s="468"/>
      <c r="AZI46" s="468"/>
      <c r="AZJ46" s="468"/>
      <c r="AZK46" s="468"/>
      <c r="AZL46" s="468"/>
      <c r="AZM46" s="468"/>
      <c r="AZN46" s="468"/>
      <c r="AZO46" s="468"/>
      <c r="AZP46" s="468"/>
      <c r="AZQ46" s="468"/>
      <c r="AZR46" s="468"/>
      <c r="AZS46" s="468"/>
      <c r="AZT46" s="468"/>
      <c r="AZU46" s="468"/>
      <c r="AZV46" s="468"/>
      <c r="AZW46" s="468"/>
      <c r="AZX46" s="468"/>
      <c r="AZY46" s="468"/>
      <c r="AZZ46" s="468"/>
      <c r="BAA46" s="468"/>
      <c r="BAB46" s="468"/>
      <c r="BAC46" s="468"/>
      <c r="BAD46" s="468"/>
      <c r="BAE46" s="468"/>
      <c r="BAF46" s="468"/>
      <c r="BAG46" s="468"/>
      <c r="BAH46" s="468"/>
      <c r="BAI46" s="468"/>
      <c r="BAJ46" s="468"/>
      <c r="BAK46" s="468"/>
      <c r="BAL46" s="468"/>
      <c r="BAM46" s="468"/>
      <c r="BAN46" s="468"/>
      <c r="BAO46" s="468"/>
      <c r="BAP46" s="468"/>
      <c r="BAQ46" s="468"/>
      <c r="BAR46" s="468"/>
      <c r="BAS46" s="468"/>
      <c r="BAT46" s="468"/>
      <c r="BAU46" s="468"/>
      <c r="BAV46" s="468"/>
      <c r="BAW46" s="468"/>
      <c r="BAX46" s="468"/>
      <c r="BAY46" s="468"/>
      <c r="BAZ46" s="468"/>
      <c r="BBA46" s="468"/>
      <c r="BBB46" s="468"/>
      <c r="BBC46" s="468"/>
      <c r="BBD46" s="468"/>
      <c r="BBE46" s="468"/>
      <c r="BBF46" s="468"/>
      <c r="BBG46" s="468"/>
      <c r="BBH46" s="468"/>
      <c r="BBI46" s="468"/>
      <c r="BBJ46" s="468"/>
      <c r="BBK46" s="468"/>
      <c r="BBL46" s="468"/>
      <c r="BBM46" s="468"/>
      <c r="BBN46" s="468"/>
      <c r="BBO46" s="468"/>
      <c r="BBP46" s="468"/>
      <c r="BBQ46" s="468"/>
      <c r="BBR46" s="468"/>
      <c r="BBS46" s="468"/>
      <c r="BBT46" s="468"/>
      <c r="BBU46" s="468"/>
      <c r="BBV46" s="468"/>
      <c r="BBW46" s="468"/>
      <c r="BBX46" s="468"/>
      <c r="BBY46" s="468"/>
      <c r="BBZ46" s="468"/>
      <c r="BCA46" s="468"/>
      <c r="BCB46" s="468"/>
      <c r="BCC46" s="468"/>
      <c r="BCD46" s="468"/>
      <c r="BCE46" s="468"/>
      <c r="BCF46" s="468"/>
      <c r="BCG46" s="468"/>
      <c r="BCH46" s="468"/>
      <c r="BCI46" s="468"/>
      <c r="BCJ46" s="468"/>
      <c r="BCK46" s="468"/>
      <c r="BCL46" s="468"/>
      <c r="BCM46" s="468"/>
      <c r="BCN46" s="468"/>
      <c r="BCO46" s="468"/>
      <c r="BCP46" s="468"/>
      <c r="BCQ46" s="468"/>
      <c r="BCR46" s="468"/>
      <c r="BCS46" s="468"/>
      <c r="BCT46" s="468"/>
      <c r="BCU46" s="468"/>
      <c r="BCV46" s="468"/>
      <c r="BCW46" s="468"/>
      <c r="BCX46" s="468"/>
      <c r="BCY46" s="468"/>
      <c r="BCZ46" s="468"/>
      <c r="BDA46" s="468"/>
      <c r="BDB46" s="468"/>
      <c r="BDC46" s="468"/>
      <c r="BDD46" s="468"/>
      <c r="BDE46" s="468"/>
      <c r="BDF46" s="468"/>
      <c r="BDG46" s="468"/>
      <c r="BDH46" s="468"/>
      <c r="BDI46" s="468"/>
      <c r="BDJ46" s="468"/>
      <c r="BDK46" s="468"/>
      <c r="BDL46" s="468"/>
      <c r="BDM46" s="468"/>
      <c r="BDN46" s="468"/>
      <c r="BDO46" s="468"/>
      <c r="BDP46" s="468"/>
      <c r="BDQ46" s="468"/>
      <c r="BDR46" s="468"/>
      <c r="BDS46" s="468"/>
      <c r="BDT46" s="468"/>
      <c r="BDU46" s="468"/>
      <c r="BDV46" s="468"/>
      <c r="BDW46" s="468"/>
      <c r="BDX46" s="468"/>
      <c r="BDY46" s="468"/>
      <c r="BDZ46" s="468"/>
      <c r="BEA46" s="468"/>
      <c r="BEB46" s="468"/>
      <c r="BEC46" s="468"/>
      <c r="BED46" s="468"/>
      <c r="BEE46" s="468"/>
      <c r="BEF46" s="468"/>
      <c r="BEG46" s="468"/>
      <c r="BEH46" s="468"/>
      <c r="BEI46" s="468"/>
      <c r="BEJ46" s="468"/>
      <c r="BEK46" s="468"/>
      <c r="BEL46" s="468"/>
      <c r="BEM46" s="468"/>
      <c r="BEN46" s="468"/>
      <c r="BEO46" s="468"/>
      <c r="BEP46" s="468"/>
      <c r="BEQ46" s="468"/>
      <c r="BER46" s="468"/>
      <c r="BES46" s="468"/>
      <c r="BET46" s="468"/>
      <c r="BEU46" s="468"/>
      <c r="BEV46" s="468"/>
      <c r="BEW46" s="468"/>
      <c r="BEX46" s="468"/>
      <c r="BEY46" s="468"/>
      <c r="BEZ46" s="468"/>
      <c r="BFA46" s="468"/>
      <c r="BFB46" s="468"/>
      <c r="BFC46" s="468"/>
      <c r="BFD46" s="468"/>
      <c r="BFE46" s="468"/>
      <c r="BFF46" s="468"/>
      <c r="BFG46" s="468"/>
      <c r="BFH46" s="468"/>
      <c r="BFI46" s="468"/>
      <c r="BFJ46" s="468"/>
      <c r="BFK46" s="468"/>
      <c r="BFL46" s="468"/>
      <c r="BFM46" s="468"/>
      <c r="BFN46" s="468"/>
      <c r="BFO46" s="468"/>
      <c r="BFP46" s="468"/>
      <c r="BFQ46" s="468"/>
      <c r="BFR46" s="468"/>
      <c r="BFS46" s="468"/>
      <c r="BFT46" s="468"/>
      <c r="BFU46" s="468"/>
      <c r="BFV46" s="468"/>
      <c r="BFW46" s="468"/>
      <c r="BFX46" s="468"/>
      <c r="BFY46" s="468"/>
      <c r="BFZ46" s="468"/>
      <c r="BGA46" s="468"/>
      <c r="BGB46" s="468"/>
      <c r="BGC46" s="468"/>
      <c r="BGD46" s="468"/>
      <c r="BGE46" s="468"/>
      <c r="BGF46" s="468"/>
      <c r="BGG46" s="468"/>
      <c r="BGH46" s="468"/>
      <c r="BGI46" s="468"/>
      <c r="BGJ46" s="468"/>
      <c r="BGK46" s="468"/>
      <c r="BGL46" s="468"/>
      <c r="BGM46" s="468"/>
      <c r="BGN46" s="468"/>
      <c r="BGO46" s="468"/>
      <c r="BGP46" s="468"/>
      <c r="BGQ46" s="468"/>
      <c r="BGR46" s="468"/>
      <c r="BGS46" s="468"/>
      <c r="BGT46" s="468"/>
      <c r="BGU46" s="468"/>
      <c r="BGV46" s="468"/>
      <c r="BGW46" s="468"/>
      <c r="BGX46" s="468"/>
      <c r="BGY46" s="468"/>
      <c r="BGZ46" s="468"/>
      <c r="BHA46" s="468"/>
      <c r="BHB46" s="468"/>
      <c r="BHC46" s="468"/>
      <c r="BHD46" s="468"/>
      <c r="BHE46" s="468"/>
      <c r="BHF46" s="468"/>
      <c r="BHG46" s="468"/>
      <c r="BHH46" s="468"/>
      <c r="BHI46" s="468"/>
      <c r="BHJ46" s="468"/>
      <c r="BHK46" s="468"/>
      <c r="BHL46" s="468"/>
      <c r="BHM46" s="468"/>
      <c r="BHN46" s="468"/>
      <c r="BHO46" s="468"/>
      <c r="BHP46" s="468"/>
      <c r="BHQ46" s="468"/>
      <c r="BHR46" s="468"/>
      <c r="BHS46" s="468"/>
      <c r="BHT46" s="468"/>
      <c r="BHU46" s="468"/>
      <c r="BHV46" s="468"/>
      <c r="BHW46" s="468"/>
      <c r="BHX46" s="468"/>
      <c r="BHY46" s="468"/>
      <c r="BHZ46" s="468"/>
      <c r="BIA46" s="468"/>
      <c r="BIB46" s="468"/>
      <c r="BIC46" s="468"/>
      <c r="BID46" s="468"/>
      <c r="BIE46" s="468"/>
      <c r="BIF46" s="468"/>
      <c r="BIG46" s="468"/>
      <c r="BIH46" s="468"/>
      <c r="BII46" s="468"/>
      <c r="BIJ46" s="468"/>
      <c r="BIK46" s="468"/>
      <c r="BIL46" s="468"/>
      <c r="BIM46" s="468"/>
      <c r="BIN46" s="468"/>
      <c r="BIO46" s="468"/>
      <c r="BIP46" s="468"/>
      <c r="BIQ46" s="468"/>
      <c r="BIR46" s="468"/>
      <c r="BIS46" s="468"/>
      <c r="BIT46" s="468"/>
      <c r="BIU46" s="468"/>
      <c r="BIV46" s="468"/>
      <c r="BIW46" s="468"/>
      <c r="BIX46" s="468"/>
      <c r="BIY46" s="468"/>
      <c r="BIZ46" s="468"/>
      <c r="BJA46" s="468"/>
      <c r="BJB46" s="468"/>
      <c r="BJC46" s="468"/>
      <c r="BJD46" s="468"/>
      <c r="BJE46" s="468"/>
      <c r="BJF46" s="468"/>
      <c r="BJG46" s="468"/>
      <c r="BJH46" s="468"/>
      <c r="BJI46" s="468"/>
      <c r="BJJ46" s="468"/>
      <c r="BJK46" s="468"/>
      <c r="BJL46" s="468"/>
      <c r="BJM46" s="468"/>
      <c r="BJN46" s="468"/>
      <c r="BJO46" s="468"/>
      <c r="BJP46" s="468"/>
      <c r="BJQ46" s="468"/>
      <c r="BJR46" s="468"/>
      <c r="BJS46" s="468"/>
      <c r="BJT46" s="468"/>
      <c r="BJU46" s="468"/>
      <c r="BJV46" s="468"/>
      <c r="BJW46" s="468"/>
      <c r="BJX46" s="468"/>
      <c r="BJY46" s="468"/>
      <c r="BJZ46" s="468"/>
      <c r="BKA46" s="468"/>
      <c r="BKB46" s="468"/>
      <c r="BKC46" s="468"/>
      <c r="BKD46" s="468"/>
      <c r="BKE46" s="468"/>
      <c r="BKF46" s="468"/>
      <c r="BKG46" s="468"/>
      <c r="BKH46" s="468"/>
      <c r="BKI46" s="468"/>
      <c r="BKJ46" s="468"/>
      <c r="BKK46" s="468"/>
      <c r="BKL46" s="468"/>
      <c r="BKM46" s="468"/>
      <c r="BKN46" s="468"/>
      <c r="BKO46" s="468"/>
      <c r="BKP46" s="468"/>
      <c r="BKQ46" s="468"/>
      <c r="BKR46" s="468"/>
      <c r="BKS46" s="468"/>
      <c r="BKT46" s="468"/>
      <c r="BKU46" s="468"/>
      <c r="BKV46" s="468"/>
      <c r="BKW46" s="468"/>
      <c r="BKX46" s="468"/>
      <c r="BKY46" s="468"/>
      <c r="BKZ46" s="468"/>
      <c r="BLA46" s="468"/>
      <c r="BLB46" s="468"/>
      <c r="BLC46" s="468"/>
      <c r="BLD46" s="468"/>
      <c r="BLE46" s="468"/>
      <c r="BLF46" s="468"/>
      <c r="BLG46" s="468"/>
      <c r="BLH46" s="468"/>
      <c r="BLI46" s="468"/>
      <c r="BLJ46" s="468"/>
      <c r="BLK46" s="468"/>
      <c r="BLL46" s="468"/>
      <c r="BLM46" s="468"/>
      <c r="BLN46" s="468"/>
      <c r="BLO46" s="468"/>
      <c r="BLP46" s="468"/>
      <c r="BLQ46" s="468"/>
      <c r="BLR46" s="468"/>
      <c r="BLS46" s="468"/>
      <c r="BLT46" s="468"/>
      <c r="BLU46" s="468"/>
      <c r="BLV46" s="468"/>
      <c r="BLW46" s="468"/>
      <c r="BLX46" s="468"/>
      <c r="BLY46" s="468"/>
      <c r="BLZ46" s="468"/>
      <c r="BMA46" s="468"/>
      <c r="BMB46" s="468"/>
      <c r="BMC46" s="468"/>
      <c r="BMD46" s="468"/>
      <c r="BME46" s="468"/>
      <c r="BMF46" s="468"/>
      <c r="BMG46" s="468"/>
      <c r="BMH46" s="468"/>
      <c r="BMI46" s="468"/>
      <c r="BMJ46" s="468"/>
      <c r="BMK46" s="468"/>
      <c r="BML46" s="468"/>
      <c r="BMM46" s="468"/>
      <c r="BMN46" s="468"/>
      <c r="BMO46" s="468"/>
      <c r="BMP46" s="468"/>
      <c r="BMQ46" s="468"/>
      <c r="BMR46" s="468"/>
      <c r="BMS46" s="468"/>
      <c r="BMT46" s="468"/>
      <c r="BMU46" s="468"/>
      <c r="BMV46" s="468"/>
      <c r="BMW46" s="468"/>
      <c r="BMX46" s="468"/>
      <c r="BMY46" s="468"/>
      <c r="BMZ46" s="468"/>
      <c r="BNA46" s="468"/>
      <c r="BNB46" s="468"/>
      <c r="BNC46" s="468"/>
      <c r="BND46" s="468"/>
      <c r="BNE46" s="468"/>
      <c r="BNF46" s="468"/>
      <c r="BNG46" s="468"/>
      <c r="BNH46" s="468"/>
      <c r="BNI46" s="468"/>
      <c r="BNJ46" s="468"/>
      <c r="BNK46" s="468"/>
      <c r="BNL46" s="468"/>
      <c r="BNM46" s="468"/>
      <c r="BNN46" s="468"/>
      <c r="BNO46" s="468"/>
      <c r="BNP46" s="468"/>
      <c r="BNQ46" s="468"/>
      <c r="BNR46" s="468"/>
      <c r="BNS46" s="468"/>
      <c r="BNT46" s="468"/>
      <c r="BNU46" s="468"/>
      <c r="BNV46" s="468"/>
      <c r="BNW46" s="468"/>
      <c r="BNX46" s="468"/>
      <c r="BNY46" s="468"/>
      <c r="BNZ46" s="468"/>
      <c r="BOA46" s="468"/>
      <c r="BOB46" s="468"/>
      <c r="BOC46" s="468"/>
      <c r="BOD46" s="468"/>
      <c r="BOE46" s="468"/>
      <c r="BOF46" s="468"/>
      <c r="BOG46" s="468"/>
      <c r="BOH46" s="468"/>
      <c r="BOI46" s="468"/>
      <c r="BOJ46" s="468"/>
      <c r="BOK46" s="468"/>
      <c r="BOL46" s="468"/>
      <c r="BOM46" s="468"/>
      <c r="BON46" s="468"/>
      <c r="BOO46" s="468"/>
      <c r="BOP46" s="468"/>
      <c r="BOQ46" s="468"/>
      <c r="BOR46" s="468"/>
      <c r="BOS46" s="468"/>
      <c r="BOT46" s="468"/>
      <c r="BOU46" s="468"/>
      <c r="BOV46" s="468"/>
      <c r="BOW46" s="468"/>
      <c r="BOX46" s="468"/>
      <c r="BOY46" s="468"/>
      <c r="BOZ46" s="468"/>
      <c r="BPA46" s="468"/>
      <c r="BPB46" s="468"/>
      <c r="BPC46" s="468"/>
      <c r="BPD46" s="468"/>
      <c r="BPE46" s="468"/>
      <c r="BPF46" s="468"/>
      <c r="BPG46" s="468"/>
      <c r="BPH46" s="468"/>
      <c r="BPI46" s="468"/>
      <c r="BPJ46" s="468"/>
      <c r="BPK46" s="468"/>
      <c r="BPL46" s="468"/>
      <c r="BPM46" s="468"/>
      <c r="BPN46" s="468"/>
      <c r="BPO46" s="468"/>
      <c r="BPP46" s="468"/>
      <c r="BPQ46" s="468"/>
      <c r="BPR46" s="468"/>
      <c r="BPS46" s="468"/>
      <c r="BPT46" s="468"/>
      <c r="BPU46" s="468"/>
      <c r="BPV46" s="468"/>
      <c r="BPW46" s="468"/>
      <c r="BPX46" s="468"/>
      <c r="BPY46" s="468"/>
      <c r="BPZ46" s="468"/>
      <c r="BQA46" s="468"/>
      <c r="BQB46" s="468"/>
      <c r="BQC46" s="468"/>
      <c r="BQD46" s="468"/>
      <c r="BQE46" s="468"/>
      <c r="BQF46" s="468"/>
      <c r="BQG46" s="468"/>
      <c r="BQH46" s="468"/>
      <c r="BQI46" s="468"/>
      <c r="BQJ46" s="468"/>
      <c r="BQK46" s="468"/>
      <c r="BQL46" s="468"/>
      <c r="BQM46" s="468"/>
      <c r="BQN46" s="468"/>
      <c r="BQO46" s="468"/>
      <c r="BQP46" s="468"/>
      <c r="BQQ46" s="468"/>
      <c r="BQR46" s="468"/>
      <c r="BQS46" s="468"/>
      <c r="BQT46" s="468"/>
      <c r="BQU46" s="468"/>
      <c r="BQV46" s="468"/>
      <c r="BQW46" s="468"/>
      <c r="BQX46" s="468"/>
      <c r="BQY46" s="468"/>
      <c r="BQZ46" s="468"/>
      <c r="BRA46" s="468"/>
      <c r="BRB46" s="468"/>
      <c r="BRC46" s="468"/>
      <c r="BRD46" s="468"/>
      <c r="BRE46" s="468"/>
      <c r="BRF46" s="468"/>
      <c r="BRG46" s="468"/>
      <c r="BRH46" s="468"/>
      <c r="BRI46" s="468"/>
      <c r="BRJ46" s="468"/>
      <c r="BRK46" s="468"/>
      <c r="BRL46" s="468"/>
      <c r="BRM46" s="468"/>
      <c r="BRN46" s="468"/>
      <c r="BRO46" s="468"/>
      <c r="BRP46" s="468"/>
      <c r="BRQ46" s="468"/>
      <c r="BRR46" s="468"/>
      <c r="BRS46" s="468"/>
      <c r="BRT46" s="468"/>
      <c r="BRU46" s="468"/>
      <c r="BRV46" s="468"/>
      <c r="BRW46" s="468"/>
      <c r="BRX46" s="468"/>
      <c r="BRY46" s="468"/>
      <c r="BRZ46" s="468"/>
      <c r="BSA46" s="468"/>
      <c r="BSB46" s="468"/>
      <c r="BSC46" s="468"/>
      <c r="BSD46" s="468"/>
      <c r="BSE46" s="468"/>
      <c r="BSF46" s="468"/>
      <c r="BSG46" s="468"/>
      <c r="BSH46" s="468"/>
      <c r="BSI46" s="468"/>
      <c r="BSJ46" s="468"/>
      <c r="BSK46" s="468"/>
      <c r="BSL46" s="468"/>
      <c r="BSM46" s="468"/>
      <c r="BSN46" s="468"/>
      <c r="BSO46" s="468"/>
      <c r="BSP46" s="468"/>
      <c r="BSQ46" s="468"/>
      <c r="BSR46" s="468"/>
      <c r="BSS46" s="468"/>
      <c r="BST46" s="468"/>
      <c r="BSU46" s="468"/>
      <c r="BSV46" s="468"/>
      <c r="BSW46" s="468"/>
      <c r="BSX46" s="468"/>
      <c r="BSY46" s="468"/>
      <c r="BSZ46" s="468"/>
      <c r="BTA46" s="468"/>
      <c r="BTB46" s="468"/>
      <c r="BTC46" s="468"/>
      <c r="BTD46" s="468"/>
      <c r="BTE46" s="468"/>
      <c r="BTF46" s="468"/>
      <c r="BTG46" s="468"/>
      <c r="BTH46" s="468"/>
      <c r="BTI46" s="468"/>
      <c r="BTJ46" s="468"/>
      <c r="BTK46" s="468"/>
      <c r="BTL46" s="468"/>
      <c r="BTM46" s="468"/>
      <c r="BTN46" s="468"/>
      <c r="BTO46" s="468"/>
      <c r="BTP46" s="468"/>
      <c r="BTQ46" s="468"/>
      <c r="BTR46" s="468"/>
      <c r="BTS46" s="468"/>
      <c r="BTT46" s="468"/>
      <c r="BTU46" s="468"/>
      <c r="BTV46" s="468"/>
      <c r="BTW46" s="468"/>
      <c r="BTX46" s="468"/>
      <c r="BTY46" s="468"/>
      <c r="BTZ46" s="468"/>
      <c r="BUA46" s="468"/>
      <c r="BUB46" s="468"/>
      <c r="BUC46" s="468"/>
      <c r="BUD46" s="468"/>
      <c r="BUE46" s="468"/>
      <c r="BUF46" s="468"/>
      <c r="BUG46" s="468"/>
      <c r="BUH46" s="468"/>
      <c r="BUI46" s="468"/>
      <c r="BUJ46" s="468"/>
      <c r="BUK46" s="468"/>
      <c r="BUL46" s="468"/>
      <c r="BUM46" s="468"/>
      <c r="BUN46" s="468"/>
      <c r="BUO46" s="468"/>
      <c r="BUP46" s="468"/>
      <c r="BUQ46" s="468"/>
      <c r="BUR46" s="468"/>
      <c r="BUS46" s="468"/>
      <c r="BUT46" s="468"/>
      <c r="BUU46" s="468"/>
      <c r="BUV46" s="468"/>
      <c r="BUW46" s="468"/>
      <c r="BUX46" s="468"/>
      <c r="BUY46" s="468"/>
      <c r="BUZ46" s="468"/>
      <c r="BVA46" s="468"/>
      <c r="BVB46" s="468"/>
      <c r="BVC46" s="468"/>
      <c r="BVD46" s="468"/>
      <c r="BVE46" s="468"/>
      <c r="BVF46" s="468"/>
      <c r="BVG46" s="468"/>
      <c r="BVH46" s="468"/>
      <c r="BVI46" s="468"/>
      <c r="BVJ46" s="468"/>
      <c r="BVK46" s="468"/>
      <c r="BVL46" s="468"/>
      <c r="BVM46" s="468"/>
      <c r="BVN46" s="468"/>
      <c r="BVO46" s="468"/>
      <c r="BVP46" s="468"/>
      <c r="BVQ46" s="468"/>
      <c r="BVR46" s="468"/>
      <c r="BVS46" s="468"/>
      <c r="BVT46" s="468"/>
      <c r="BVU46" s="468"/>
      <c r="BVV46" s="468"/>
      <c r="BVW46" s="468"/>
      <c r="BVX46" s="468"/>
      <c r="BVY46" s="468"/>
      <c r="BVZ46" s="468"/>
      <c r="BWA46" s="468"/>
      <c r="BWB46" s="468"/>
      <c r="BWC46" s="468"/>
      <c r="BWD46" s="468"/>
      <c r="BWE46" s="468"/>
      <c r="BWF46" s="468"/>
      <c r="BWG46" s="468"/>
      <c r="BWH46" s="468"/>
      <c r="BWI46" s="468"/>
      <c r="BWJ46" s="468"/>
      <c r="BWK46" s="468"/>
      <c r="BWL46" s="468"/>
      <c r="BWM46" s="468"/>
      <c r="BWN46" s="468"/>
      <c r="BWO46" s="468"/>
      <c r="BWP46" s="468"/>
      <c r="BWQ46" s="468"/>
      <c r="BWR46" s="468"/>
      <c r="BWS46" s="468"/>
      <c r="BWT46" s="468"/>
      <c r="BWU46" s="468"/>
      <c r="BWV46" s="468"/>
      <c r="BWW46" s="468"/>
      <c r="BWX46" s="468"/>
      <c r="BWY46" s="468"/>
      <c r="BWZ46" s="468"/>
      <c r="BXA46" s="468"/>
      <c r="BXB46" s="468"/>
      <c r="BXC46" s="468"/>
      <c r="BXD46" s="468"/>
      <c r="BXE46" s="468"/>
      <c r="BXF46" s="468"/>
      <c r="BXG46" s="468"/>
      <c r="BXH46" s="468"/>
      <c r="BXI46" s="468"/>
      <c r="BXJ46" s="468"/>
      <c r="BXK46" s="468"/>
      <c r="BXL46" s="468"/>
      <c r="BXM46" s="468"/>
      <c r="BXN46" s="468"/>
      <c r="BXO46" s="468"/>
      <c r="BXP46" s="468"/>
      <c r="BXQ46" s="468"/>
      <c r="BXR46" s="468"/>
      <c r="BXS46" s="468"/>
      <c r="BXT46" s="468"/>
      <c r="BXU46" s="468"/>
      <c r="BXV46" s="468"/>
      <c r="BXW46" s="468"/>
      <c r="BXX46" s="468"/>
      <c r="BXY46" s="468"/>
      <c r="BXZ46" s="468"/>
      <c r="BYA46" s="468"/>
      <c r="BYB46" s="468"/>
      <c r="BYC46" s="468"/>
      <c r="BYD46" s="468"/>
      <c r="BYE46" s="468"/>
      <c r="BYF46" s="468"/>
      <c r="BYG46" s="468"/>
      <c r="BYH46" s="468"/>
      <c r="BYI46" s="468"/>
      <c r="BYJ46" s="468"/>
      <c r="BYK46" s="468"/>
      <c r="BYL46" s="468"/>
      <c r="BYM46" s="468"/>
      <c r="BYN46" s="468"/>
      <c r="BYO46" s="468"/>
      <c r="BYP46" s="468"/>
      <c r="BYQ46" s="468"/>
      <c r="BYR46" s="468"/>
      <c r="BYS46" s="468"/>
      <c r="BYT46" s="468"/>
      <c r="BYU46" s="468"/>
      <c r="BYV46" s="468"/>
      <c r="BYW46" s="468"/>
      <c r="BYX46" s="468"/>
      <c r="BYY46" s="468"/>
      <c r="BYZ46" s="468"/>
      <c r="BZA46" s="468"/>
      <c r="BZB46" s="468"/>
      <c r="BZC46" s="468"/>
      <c r="BZD46" s="468"/>
      <c r="BZE46" s="468"/>
      <c r="BZF46" s="468"/>
      <c r="BZG46" s="468"/>
      <c r="BZH46" s="468"/>
      <c r="BZI46" s="468"/>
      <c r="BZJ46" s="468"/>
      <c r="BZK46" s="468"/>
      <c r="BZL46" s="468"/>
      <c r="BZM46" s="468"/>
      <c r="BZN46" s="468"/>
      <c r="BZO46" s="468"/>
      <c r="BZP46" s="468"/>
      <c r="BZQ46" s="468"/>
      <c r="BZR46" s="468"/>
      <c r="BZS46" s="468"/>
      <c r="BZT46" s="468"/>
      <c r="BZU46" s="468"/>
      <c r="BZV46" s="468"/>
      <c r="BZW46" s="468"/>
      <c r="BZX46" s="468"/>
      <c r="BZY46" s="468"/>
      <c r="BZZ46" s="468"/>
      <c r="CAA46" s="468"/>
      <c r="CAB46" s="468"/>
      <c r="CAC46" s="468"/>
      <c r="CAD46" s="468"/>
      <c r="CAE46" s="468"/>
      <c r="CAF46" s="468"/>
      <c r="CAG46" s="468"/>
      <c r="CAH46" s="468"/>
      <c r="CAI46" s="468"/>
      <c r="CAJ46" s="468"/>
      <c r="CAK46" s="468"/>
      <c r="CAL46" s="468"/>
      <c r="CAM46" s="468"/>
      <c r="CAN46" s="468"/>
      <c r="CAO46" s="468"/>
      <c r="CAP46" s="468"/>
      <c r="CAQ46" s="468"/>
      <c r="CAR46" s="468"/>
      <c r="CAS46" s="468"/>
      <c r="CAT46" s="468"/>
      <c r="CAU46" s="468"/>
      <c r="CAV46" s="468"/>
      <c r="CAW46" s="468"/>
      <c r="CAX46" s="468"/>
      <c r="CAY46" s="468"/>
      <c r="CAZ46" s="468"/>
      <c r="CBA46" s="468"/>
      <c r="CBB46" s="468"/>
      <c r="CBC46" s="468"/>
      <c r="CBD46" s="468"/>
      <c r="CBE46" s="468"/>
      <c r="CBF46" s="468"/>
      <c r="CBG46" s="468"/>
      <c r="CBH46" s="468"/>
      <c r="CBI46" s="468"/>
      <c r="CBJ46" s="468"/>
      <c r="CBK46" s="468"/>
      <c r="CBL46" s="468"/>
      <c r="CBM46" s="468"/>
      <c r="CBN46" s="468"/>
      <c r="CBO46" s="468"/>
      <c r="CBP46" s="468"/>
      <c r="CBQ46" s="468"/>
      <c r="CBR46" s="468"/>
      <c r="CBS46" s="468"/>
      <c r="CBT46" s="468"/>
      <c r="CBU46" s="468"/>
      <c r="CBV46" s="468"/>
      <c r="CBW46" s="468"/>
      <c r="CBX46" s="468"/>
      <c r="CBY46" s="468"/>
      <c r="CBZ46" s="468"/>
      <c r="CCA46" s="468"/>
      <c r="CCB46" s="468"/>
      <c r="CCC46" s="468"/>
      <c r="CCD46" s="468"/>
      <c r="CCE46" s="468"/>
      <c r="CCF46" s="468"/>
      <c r="CCG46" s="468"/>
      <c r="CCH46" s="468"/>
      <c r="CCI46" s="468"/>
      <c r="CCJ46" s="468"/>
      <c r="CCK46" s="468"/>
      <c r="CCL46" s="468"/>
      <c r="CCM46" s="468"/>
      <c r="CCN46" s="468"/>
      <c r="CCO46" s="468"/>
      <c r="CCP46" s="468"/>
      <c r="CCQ46" s="468"/>
      <c r="CCR46" s="468"/>
      <c r="CCS46" s="468"/>
      <c r="CCT46" s="468"/>
      <c r="CCU46" s="468"/>
      <c r="CCV46" s="468"/>
      <c r="CCW46" s="468"/>
      <c r="CCX46" s="468"/>
      <c r="CCY46" s="468"/>
      <c r="CCZ46" s="468"/>
      <c r="CDA46" s="468"/>
      <c r="CDB46" s="468"/>
      <c r="CDC46" s="468"/>
      <c r="CDD46" s="468"/>
      <c r="CDE46" s="468"/>
      <c r="CDF46" s="468"/>
      <c r="CDG46" s="468"/>
      <c r="CDH46" s="468"/>
      <c r="CDI46" s="468"/>
      <c r="CDJ46" s="468"/>
      <c r="CDK46" s="468"/>
      <c r="CDL46" s="468"/>
      <c r="CDM46" s="468"/>
      <c r="CDN46" s="468"/>
      <c r="CDO46" s="468"/>
      <c r="CDP46" s="468"/>
      <c r="CDQ46" s="468"/>
      <c r="CDR46" s="468"/>
      <c r="CDS46" s="468"/>
      <c r="CDT46" s="468"/>
      <c r="CDU46" s="468"/>
      <c r="CDV46" s="468"/>
      <c r="CDW46" s="468"/>
      <c r="CDX46" s="468"/>
      <c r="CDY46" s="468"/>
      <c r="CDZ46" s="468"/>
      <c r="CEA46" s="468"/>
      <c r="CEB46" s="468"/>
      <c r="CEC46" s="468"/>
      <c r="CED46" s="468"/>
      <c r="CEE46" s="468"/>
      <c r="CEF46" s="468"/>
      <c r="CEG46" s="468"/>
      <c r="CEH46" s="468"/>
      <c r="CEI46" s="468"/>
      <c r="CEJ46" s="468"/>
      <c r="CEK46" s="468"/>
      <c r="CEL46" s="468"/>
      <c r="CEM46" s="468"/>
      <c r="CEN46" s="468"/>
      <c r="CEO46" s="468"/>
      <c r="CEP46" s="468"/>
      <c r="CEQ46" s="468"/>
      <c r="CER46" s="468"/>
      <c r="CES46" s="468"/>
      <c r="CET46" s="468"/>
      <c r="CEU46" s="468"/>
      <c r="CEV46" s="468"/>
      <c r="CEW46" s="468"/>
      <c r="CEX46" s="468"/>
      <c r="CEY46" s="468"/>
      <c r="CEZ46" s="468"/>
      <c r="CFA46" s="468"/>
      <c r="CFB46" s="468"/>
      <c r="CFC46" s="468"/>
      <c r="CFD46" s="468"/>
      <c r="CFE46" s="468"/>
      <c r="CFF46" s="468"/>
      <c r="CFG46" s="468"/>
      <c r="CFH46" s="468"/>
      <c r="CFI46" s="468"/>
      <c r="CFJ46" s="468"/>
      <c r="CFK46" s="468"/>
      <c r="CFL46" s="468"/>
      <c r="CFM46" s="468"/>
      <c r="CFN46" s="468"/>
      <c r="CFO46" s="468"/>
      <c r="CFP46" s="468"/>
      <c r="CFQ46" s="468"/>
      <c r="CFR46" s="468"/>
      <c r="CFS46" s="468"/>
      <c r="CFT46" s="468"/>
      <c r="CFU46" s="468"/>
      <c r="CFV46" s="468"/>
      <c r="CFW46" s="468"/>
      <c r="CFX46" s="468"/>
      <c r="CFY46" s="468"/>
      <c r="CFZ46" s="468"/>
      <c r="CGA46" s="468"/>
      <c r="CGB46" s="468"/>
      <c r="CGC46" s="468"/>
      <c r="CGD46" s="468"/>
      <c r="CGE46" s="468"/>
      <c r="CGF46" s="468"/>
      <c r="CGG46" s="468"/>
      <c r="CGH46" s="468"/>
      <c r="CGI46" s="468"/>
      <c r="CGJ46" s="468"/>
      <c r="CGK46" s="468"/>
      <c r="CGL46" s="468"/>
      <c r="CGM46" s="468"/>
      <c r="CGN46" s="468"/>
      <c r="CGO46" s="468"/>
      <c r="CGP46" s="468"/>
      <c r="CGQ46" s="468"/>
      <c r="CGR46" s="468"/>
      <c r="CGS46" s="468"/>
      <c r="CGT46" s="468"/>
      <c r="CGU46" s="468"/>
      <c r="CGV46" s="468"/>
      <c r="CGW46" s="468"/>
      <c r="CGX46" s="468"/>
      <c r="CGY46" s="468"/>
      <c r="CGZ46" s="468"/>
      <c r="CHA46" s="468"/>
      <c r="CHB46" s="468"/>
      <c r="CHC46" s="468"/>
      <c r="CHD46" s="468"/>
      <c r="CHE46" s="468"/>
      <c r="CHF46" s="468"/>
      <c r="CHG46" s="468"/>
      <c r="CHH46" s="468"/>
      <c r="CHI46" s="468"/>
      <c r="CHJ46" s="468"/>
      <c r="CHK46" s="468"/>
      <c r="CHL46" s="468"/>
      <c r="CHM46" s="468"/>
      <c r="CHN46" s="468"/>
      <c r="CHO46" s="468"/>
      <c r="CHP46" s="468"/>
      <c r="CHQ46" s="468"/>
      <c r="CHR46" s="468"/>
      <c r="CHS46" s="468"/>
      <c r="CHT46" s="468"/>
      <c r="CHU46" s="468"/>
      <c r="CHV46" s="468"/>
      <c r="CHW46" s="468"/>
      <c r="CHX46" s="468"/>
      <c r="CHY46" s="468"/>
      <c r="CHZ46" s="468"/>
      <c r="CIA46" s="468"/>
      <c r="CIB46" s="468"/>
      <c r="CIC46" s="468"/>
      <c r="CID46" s="468"/>
      <c r="CIE46" s="468"/>
      <c r="CIF46" s="468"/>
      <c r="CIG46" s="468"/>
      <c r="CIH46" s="468"/>
      <c r="CII46" s="468"/>
      <c r="CIJ46" s="468"/>
      <c r="CIK46" s="468"/>
      <c r="CIL46" s="468"/>
      <c r="CIM46" s="468"/>
      <c r="CIN46" s="468"/>
      <c r="CIO46" s="468"/>
      <c r="CIP46" s="468"/>
      <c r="CIQ46" s="468"/>
      <c r="CIR46" s="468"/>
      <c r="CIS46" s="468"/>
      <c r="CIT46" s="468"/>
      <c r="CIU46" s="468"/>
      <c r="CIV46" s="468"/>
      <c r="CIW46" s="468"/>
      <c r="CIX46" s="468"/>
      <c r="CIY46" s="468"/>
      <c r="CIZ46" s="468"/>
      <c r="CJA46" s="468"/>
      <c r="CJB46" s="468"/>
      <c r="CJC46" s="468"/>
      <c r="CJD46" s="468"/>
      <c r="CJE46" s="468"/>
      <c r="CJF46" s="468"/>
      <c r="CJG46" s="468"/>
      <c r="CJH46" s="468"/>
      <c r="CJI46" s="468"/>
      <c r="CJJ46" s="468"/>
      <c r="CJK46" s="468"/>
      <c r="CJL46" s="468"/>
      <c r="CJM46" s="468"/>
      <c r="CJN46" s="468"/>
      <c r="CJO46" s="468"/>
      <c r="CJP46" s="468"/>
      <c r="CJQ46" s="468"/>
      <c r="CJR46" s="468"/>
      <c r="CJS46" s="468"/>
      <c r="CJT46" s="468"/>
      <c r="CJU46" s="468"/>
      <c r="CJV46" s="468"/>
      <c r="CJW46" s="468"/>
      <c r="CJX46" s="468"/>
      <c r="CJY46" s="468"/>
      <c r="CJZ46" s="468"/>
      <c r="CKA46" s="468"/>
      <c r="CKB46" s="468"/>
      <c r="CKC46" s="468"/>
      <c r="CKD46" s="468"/>
      <c r="CKE46" s="468"/>
      <c r="CKF46" s="468"/>
      <c r="CKG46" s="468"/>
      <c r="CKH46" s="468"/>
      <c r="CKI46" s="468"/>
      <c r="CKJ46" s="468"/>
      <c r="CKK46" s="468"/>
      <c r="CKL46" s="468"/>
      <c r="CKM46" s="468"/>
      <c r="CKN46" s="468"/>
      <c r="CKO46" s="468"/>
      <c r="CKP46" s="468"/>
      <c r="CKQ46" s="468"/>
      <c r="CKR46" s="468"/>
      <c r="CKS46" s="468"/>
      <c r="CKT46" s="468"/>
      <c r="CKU46" s="468"/>
      <c r="CKV46" s="468"/>
      <c r="CKW46" s="468"/>
      <c r="CKX46" s="468"/>
      <c r="CKY46" s="468"/>
      <c r="CKZ46" s="468"/>
      <c r="CLA46" s="468"/>
      <c r="CLB46" s="468"/>
      <c r="CLC46" s="468"/>
      <c r="CLD46" s="468"/>
      <c r="CLE46" s="468"/>
      <c r="CLF46" s="468"/>
      <c r="CLG46" s="468"/>
      <c r="CLH46" s="468"/>
      <c r="CLI46" s="468"/>
      <c r="CLJ46" s="468"/>
      <c r="CLK46" s="468"/>
      <c r="CLL46" s="468"/>
      <c r="CLM46" s="468"/>
      <c r="CLN46" s="468"/>
      <c r="CLO46" s="468"/>
      <c r="CLP46" s="468"/>
      <c r="CLQ46" s="468"/>
      <c r="CLR46" s="468"/>
      <c r="CLS46" s="468"/>
      <c r="CLT46" s="468"/>
      <c r="CLU46" s="468"/>
      <c r="CLV46" s="468"/>
      <c r="CLW46" s="468"/>
      <c r="CLX46" s="468"/>
      <c r="CLY46" s="468"/>
      <c r="CLZ46" s="468"/>
      <c r="CMA46" s="468"/>
      <c r="CMB46" s="468"/>
      <c r="CMC46" s="468"/>
      <c r="CMD46" s="468"/>
      <c r="CME46" s="468"/>
      <c r="CMF46" s="468"/>
      <c r="CMG46" s="468"/>
      <c r="CMH46" s="468"/>
      <c r="CMI46" s="468"/>
      <c r="CMJ46" s="468"/>
      <c r="CMK46" s="468"/>
      <c r="CML46" s="468"/>
      <c r="CMM46" s="468"/>
      <c r="CMN46" s="468"/>
      <c r="CMO46" s="468"/>
      <c r="CMP46" s="468"/>
      <c r="CMQ46" s="468"/>
      <c r="CMR46" s="468"/>
      <c r="CMS46" s="468"/>
      <c r="CMT46" s="468"/>
      <c r="CMU46" s="468"/>
      <c r="CMV46" s="468"/>
      <c r="CMW46" s="468"/>
      <c r="CMX46" s="468"/>
      <c r="CMY46" s="468"/>
      <c r="CMZ46" s="468"/>
      <c r="CNA46" s="468"/>
      <c r="CNB46" s="468"/>
      <c r="CNC46" s="468"/>
      <c r="CND46" s="468"/>
      <c r="CNE46" s="468"/>
      <c r="CNF46" s="468"/>
      <c r="CNG46" s="468"/>
      <c r="CNH46" s="468"/>
      <c r="CNI46" s="468"/>
      <c r="CNJ46" s="468"/>
      <c r="CNK46" s="468"/>
      <c r="CNL46" s="468"/>
      <c r="CNM46" s="468"/>
      <c r="CNN46" s="468"/>
      <c r="CNO46" s="468"/>
      <c r="CNP46" s="468"/>
      <c r="CNQ46" s="468"/>
      <c r="CNR46" s="468"/>
      <c r="CNS46" s="468"/>
      <c r="CNT46" s="468"/>
      <c r="CNU46" s="468"/>
      <c r="CNV46" s="468"/>
      <c r="CNW46" s="468"/>
      <c r="CNX46" s="468"/>
      <c r="CNY46" s="468"/>
      <c r="CNZ46" s="468"/>
      <c r="COA46" s="468"/>
      <c r="COB46" s="468"/>
      <c r="COC46" s="468"/>
      <c r="COD46" s="468"/>
      <c r="COE46" s="468"/>
      <c r="COF46" s="468"/>
      <c r="COG46" s="468"/>
      <c r="COH46" s="468"/>
      <c r="COI46" s="468"/>
      <c r="COJ46" s="468"/>
      <c r="COK46" s="468"/>
      <c r="COL46" s="468"/>
      <c r="COM46" s="468"/>
      <c r="CON46" s="468"/>
      <c r="COO46" s="468"/>
      <c r="COP46" s="468"/>
      <c r="COQ46" s="468"/>
      <c r="COR46" s="468"/>
      <c r="COS46" s="468"/>
      <c r="COT46" s="468"/>
      <c r="COU46" s="468"/>
      <c r="COV46" s="468"/>
      <c r="COW46" s="468"/>
      <c r="COX46" s="468"/>
      <c r="COY46" s="468"/>
      <c r="COZ46" s="468"/>
      <c r="CPA46" s="468"/>
      <c r="CPB46" s="468"/>
      <c r="CPC46" s="468"/>
      <c r="CPD46" s="468"/>
      <c r="CPE46" s="468"/>
      <c r="CPF46" s="468"/>
      <c r="CPG46" s="468"/>
      <c r="CPH46" s="468"/>
      <c r="CPI46" s="468"/>
      <c r="CPJ46" s="468"/>
      <c r="CPK46" s="468"/>
      <c r="CPL46" s="468"/>
      <c r="CPM46" s="468"/>
      <c r="CPN46" s="468"/>
      <c r="CPO46" s="468"/>
      <c r="CPP46" s="468"/>
      <c r="CPQ46" s="468"/>
      <c r="CPR46" s="468"/>
      <c r="CPS46" s="468"/>
      <c r="CPT46" s="468"/>
      <c r="CPU46" s="468"/>
      <c r="CPV46" s="468"/>
      <c r="CPW46" s="468"/>
      <c r="CPX46" s="468"/>
      <c r="CPY46" s="468"/>
      <c r="CPZ46" s="468"/>
      <c r="CQA46" s="468"/>
      <c r="CQB46" s="468"/>
      <c r="CQC46" s="468"/>
      <c r="CQD46" s="468"/>
      <c r="CQE46" s="468"/>
      <c r="CQF46" s="468"/>
      <c r="CQG46" s="468"/>
      <c r="CQH46" s="468"/>
      <c r="CQI46" s="468"/>
      <c r="CQJ46" s="468"/>
      <c r="CQK46" s="468"/>
      <c r="CQL46" s="468"/>
      <c r="CQM46" s="468"/>
      <c r="CQN46" s="468"/>
      <c r="CQO46" s="468"/>
      <c r="CQP46" s="468"/>
      <c r="CQQ46" s="468"/>
      <c r="CQR46" s="468"/>
      <c r="CQS46" s="468"/>
      <c r="CQT46" s="468"/>
      <c r="CQU46" s="468"/>
      <c r="CQV46" s="468"/>
      <c r="CQW46" s="468"/>
      <c r="CQX46" s="468"/>
      <c r="CQY46" s="468"/>
      <c r="CQZ46" s="468"/>
      <c r="CRA46" s="468"/>
      <c r="CRB46" s="468"/>
      <c r="CRC46" s="468"/>
      <c r="CRD46" s="468"/>
      <c r="CRE46" s="468"/>
      <c r="CRF46" s="468"/>
      <c r="CRG46" s="468"/>
      <c r="CRH46" s="468"/>
      <c r="CRI46" s="468"/>
      <c r="CRJ46" s="468"/>
      <c r="CRK46" s="468"/>
      <c r="CRL46" s="468"/>
      <c r="CRM46" s="468"/>
      <c r="CRN46" s="468"/>
      <c r="CRO46" s="468"/>
      <c r="CRP46" s="468"/>
      <c r="CRQ46" s="468"/>
      <c r="CRR46" s="468"/>
      <c r="CRS46" s="468"/>
      <c r="CRT46" s="468"/>
      <c r="CRU46" s="468"/>
      <c r="CRV46" s="468"/>
      <c r="CRW46" s="468"/>
      <c r="CRX46" s="468"/>
      <c r="CRY46" s="468"/>
      <c r="CRZ46" s="468"/>
      <c r="CSA46" s="468"/>
      <c r="CSB46" s="468"/>
      <c r="CSC46" s="468"/>
      <c r="CSD46" s="468"/>
      <c r="CSE46" s="468"/>
      <c r="CSF46" s="468"/>
      <c r="CSG46" s="468"/>
      <c r="CSH46" s="468"/>
      <c r="CSI46" s="468"/>
      <c r="CSJ46" s="468"/>
      <c r="CSK46" s="468"/>
      <c r="CSL46" s="468"/>
      <c r="CSM46" s="468"/>
      <c r="CSN46" s="468"/>
      <c r="CSO46" s="468"/>
      <c r="CSP46" s="468"/>
      <c r="CSQ46" s="468"/>
      <c r="CSR46" s="468"/>
      <c r="CSS46" s="468"/>
      <c r="CST46" s="468"/>
      <c r="CSU46" s="468"/>
      <c r="CSV46" s="468"/>
      <c r="CSW46" s="468"/>
      <c r="CSX46" s="468"/>
      <c r="CSY46" s="468"/>
      <c r="CSZ46" s="468"/>
      <c r="CTA46" s="468"/>
      <c r="CTB46" s="468"/>
      <c r="CTC46" s="468"/>
      <c r="CTD46" s="468"/>
      <c r="CTE46" s="468"/>
      <c r="CTF46" s="468"/>
      <c r="CTG46" s="468"/>
      <c r="CTH46" s="468"/>
      <c r="CTI46" s="468"/>
      <c r="CTJ46" s="468"/>
      <c r="CTK46" s="468"/>
      <c r="CTL46" s="468"/>
      <c r="CTM46" s="468"/>
      <c r="CTN46" s="468"/>
      <c r="CTO46" s="468"/>
      <c r="CTP46" s="468"/>
      <c r="CTQ46" s="468"/>
      <c r="CTR46" s="468"/>
      <c r="CTS46" s="468"/>
      <c r="CTT46" s="468"/>
      <c r="CTU46" s="468"/>
      <c r="CTV46" s="468"/>
      <c r="CTW46" s="468"/>
      <c r="CTX46" s="468"/>
      <c r="CTY46" s="468"/>
      <c r="CTZ46" s="468"/>
      <c r="CUA46" s="468"/>
      <c r="CUB46" s="468"/>
      <c r="CUC46" s="468"/>
      <c r="CUD46" s="468"/>
      <c r="CUE46" s="468"/>
      <c r="CUF46" s="468"/>
      <c r="CUG46" s="468"/>
      <c r="CUH46" s="468"/>
      <c r="CUI46" s="468"/>
      <c r="CUJ46" s="468"/>
      <c r="CUK46" s="468"/>
      <c r="CUL46" s="468"/>
      <c r="CUM46" s="468"/>
      <c r="CUN46" s="468"/>
      <c r="CUO46" s="468"/>
      <c r="CUP46" s="468"/>
      <c r="CUQ46" s="468"/>
      <c r="CUR46" s="468"/>
      <c r="CUS46" s="468"/>
      <c r="CUT46" s="468"/>
      <c r="CUU46" s="468"/>
      <c r="CUV46" s="468"/>
      <c r="CUW46" s="468"/>
      <c r="CUX46" s="468"/>
      <c r="CUY46" s="468"/>
      <c r="CUZ46" s="468"/>
      <c r="CVA46" s="468"/>
      <c r="CVB46" s="468"/>
      <c r="CVC46" s="468"/>
      <c r="CVD46" s="468"/>
      <c r="CVE46" s="468"/>
      <c r="CVF46" s="468"/>
      <c r="CVG46" s="468"/>
      <c r="CVH46" s="468"/>
      <c r="CVI46" s="468"/>
      <c r="CVJ46" s="468"/>
      <c r="CVK46" s="468"/>
      <c r="CVL46" s="468"/>
      <c r="CVM46" s="468"/>
      <c r="CVN46" s="468"/>
      <c r="CVO46" s="468"/>
      <c r="CVP46" s="468"/>
      <c r="CVQ46" s="468"/>
      <c r="CVR46" s="468"/>
      <c r="CVS46" s="468"/>
      <c r="CVT46" s="468"/>
      <c r="CVU46" s="468"/>
      <c r="CVV46" s="468"/>
      <c r="CVW46" s="468"/>
      <c r="CVX46" s="468"/>
      <c r="CVY46" s="468"/>
      <c r="CVZ46" s="468"/>
      <c r="CWA46" s="468"/>
      <c r="CWB46" s="468"/>
      <c r="CWC46" s="468"/>
      <c r="CWD46" s="468"/>
      <c r="CWE46" s="468"/>
      <c r="CWF46" s="468"/>
      <c r="CWG46" s="468"/>
      <c r="CWH46" s="468"/>
      <c r="CWI46" s="468"/>
      <c r="CWJ46" s="468"/>
      <c r="CWK46" s="468"/>
      <c r="CWL46" s="468"/>
      <c r="CWM46" s="468"/>
      <c r="CWN46" s="468"/>
      <c r="CWO46" s="468"/>
      <c r="CWP46" s="468"/>
      <c r="CWQ46" s="468"/>
      <c r="CWR46" s="468"/>
      <c r="CWS46" s="468"/>
      <c r="CWT46" s="468"/>
      <c r="CWU46" s="468"/>
      <c r="CWV46" s="468"/>
      <c r="CWW46" s="468"/>
      <c r="CWX46" s="468"/>
      <c r="CWY46" s="468"/>
      <c r="CWZ46" s="468"/>
      <c r="CXA46" s="468"/>
      <c r="CXB46" s="468"/>
      <c r="CXC46" s="468"/>
      <c r="CXD46" s="468"/>
      <c r="CXE46" s="468"/>
      <c r="CXF46" s="468"/>
      <c r="CXG46" s="468"/>
      <c r="CXH46" s="468"/>
      <c r="CXI46" s="468"/>
      <c r="CXJ46" s="468"/>
      <c r="CXK46" s="468"/>
      <c r="CXL46" s="468"/>
      <c r="CXM46" s="468"/>
      <c r="CXN46" s="468"/>
      <c r="CXO46" s="468"/>
      <c r="CXP46" s="468"/>
      <c r="CXQ46" s="468"/>
      <c r="CXR46" s="468"/>
      <c r="CXS46" s="468"/>
      <c r="CXT46" s="468"/>
      <c r="CXU46" s="468"/>
      <c r="CXV46" s="468"/>
      <c r="CXW46" s="468"/>
      <c r="CXX46" s="468"/>
      <c r="CXY46" s="468"/>
      <c r="CXZ46" s="468"/>
      <c r="CYA46" s="468"/>
      <c r="CYB46" s="468"/>
      <c r="CYC46" s="468"/>
      <c r="CYD46" s="468"/>
      <c r="CYE46" s="468"/>
      <c r="CYF46" s="468"/>
      <c r="CYG46" s="468"/>
      <c r="CYH46" s="468"/>
      <c r="CYI46" s="468"/>
      <c r="CYJ46" s="468"/>
      <c r="CYK46" s="468"/>
      <c r="CYL46" s="468"/>
      <c r="CYM46" s="468"/>
      <c r="CYN46" s="468"/>
      <c r="CYO46" s="468"/>
      <c r="CYP46" s="468"/>
      <c r="CYQ46" s="468"/>
      <c r="CYR46" s="468"/>
      <c r="CYS46" s="468"/>
      <c r="CYT46" s="468"/>
      <c r="CYU46" s="468"/>
      <c r="CYV46" s="468"/>
      <c r="CYW46" s="468"/>
      <c r="CYX46" s="468"/>
      <c r="CYY46" s="468"/>
      <c r="CYZ46" s="468"/>
      <c r="CZA46" s="468"/>
      <c r="CZB46" s="468"/>
      <c r="CZC46" s="468"/>
      <c r="CZD46" s="468"/>
      <c r="CZE46" s="468"/>
      <c r="CZF46" s="468"/>
      <c r="CZG46" s="468"/>
      <c r="CZH46" s="468"/>
      <c r="CZI46" s="468"/>
      <c r="CZJ46" s="468"/>
      <c r="CZK46" s="468"/>
      <c r="CZL46" s="468"/>
      <c r="CZM46" s="468"/>
      <c r="CZN46" s="468"/>
      <c r="CZO46" s="468"/>
      <c r="CZP46" s="468"/>
      <c r="CZQ46" s="468"/>
      <c r="CZR46" s="468"/>
      <c r="CZS46" s="468"/>
      <c r="CZT46" s="468"/>
      <c r="CZU46" s="468"/>
      <c r="CZV46" s="468"/>
      <c r="CZW46" s="468"/>
      <c r="CZX46" s="468"/>
      <c r="CZY46" s="468"/>
      <c r="CZZ46" s="468"/>
      <c r="DAA46" s="468"/>
      <c r="DAB46" s="468"/>
      <c r="DAC46" s="468"/>
      <c r="DAD46" s="468"/>
      <c r="DAE46" s="468"/>
      <c r="DAF46" s="468"/>
      <c r="DAG46" s="468"/>
      <c r="DAH46" s="468"/>
      <c r="DAI46" s="468"/>
      <c r="DAJ46" s="468"/>
      <c r="DAK46" s="468"/>
      <c r="DAL46" s="468"/>
      <c r="DAM46" s="468"/>
      <c r="DAN46" s="468"/>
      <c r="DAO46" s="468"/>
      <c r="DAP46" s="468"/>
      <c r="DAQ46" s="468"/>
      <c r="DAR46" s="468"/>
      <c r="DAS46" s="468"/>
      <c r="DAT46" s="468"/>
      <c r="DAU46" s="468"/>
      <c r="DAV46" s="468"/>
      <c r="DAW46" s="468"/>
      <c r="DAX46" s="468"/>
      <c r="DAY46" s="468"/>
      <c r="DAZ46" s="468"/>
      <c r="DBA46" s="468"/>
      <c r="DBB46" s="468"/>
      <c r="DBC46" s="468"/>
      <c r="DBD46" s="468"/>
      <c r="DBE46" s="468"/>
      <c r="DBF46" s="468"/>
      <c r="DBG46" s="468"/>
      <c r="DBH46" s="468"/>
      <c r="DBI46" s="468"/>
      <c r="DBJ46" s="468"/>
      <c r="DBK46" s="468"/>
      <c r="DBL46" s="468"/>
      <c r="DBM46" s="468"/>
      <c r="DBN46" s="468"/>
      <c r="DBO46" s="468"/>
      <c r="DBP46" s="468"/>
      <c r="DBQ46" s="468"/>
      <c r="DBR46" s="468"/>
      <c r="DBS46" s="468"/>
      <c r="DBT46" s="468"/>
      <c r="DBU46" s="468"/>
      <c r="DBV46" s="468"/>
      <c r="DBW46" s="468"/>
      <c r="DBX46" s="468"/>
      <c r="DBY46" s="468"/>
      <c r="DBZ46" s="468"/>
      <c r="DCA46" s="468"/>
      <c r="DCB46" s="468"/>
      <c r="DCC46" s="468"/>
      <c r="DCD46" s="468"/>
      <c r="DCE46" s="468"/>
      <c r="DCF46" s="468"/>
      <c r="DCG46" s="468"/>
      <c r="DCH46" s="468"/>
      <c r="DCI46" s="468"/>
      <c r="DCJ46" s="468"/>
      <c r="DCK46" s="468"/>
      <c r="DCL46" s="468"/>
      <c r="DCM46" s="468"/>
      <c r="DCN46" s="468"/>
      <c r="DCO46" s="468"/>
      <c r="DCP46" s="468"/>
      <c r="DCQ46" s="468"/>
      <c r="DCR46" s="468"/>
      <c r="DCS46" s="468"/>
      <c r="DCT46" s="468"/>
      <c r="DCU46" s="468"/>
      <c r="DCV46" s="468"/>
      <c r="DCW46" s="468"/>
      <c r="DCX46" s="468"/>
      <c r="DCY46" s="468"/>
      <c r="DCZ46" s="468"/>
      <c r="DDA46" s="468"/>
      <c r="DDB46" s="468"/>
      <c r="DDC46" s="468"/>
      <c r="DDD46" s="468"/>
      <c r="DDE46" s="468"/>
      <c r="DDF46" s="468"/>
      <c r="DDG46" s="468"/>
      <c r="DDH46" s="468"/>
      <c r="DDI46" s="468"/>
      <c r="DDJ46" s="468"/>
      <c r="DDK46" s="468"/>
      <c r="DDL46" s="468"/>
      <c r="DDM46" s="468"/>
      <c r="DDN46" s="468"/>
      <c r="DDO46" s="468"/>
      <c r="DDP46" s="468"/>
      <c r="DDQ46" s="468"/>
      <c r="DDR46" s="468"/>
      <c r="DDS46" s="468"/>
      <c r="DDT46" s="468"/>
      <c r="DDU46" s="468"/>
      <c r="DDV46" s="468"/>
      <c r="DDW46" s="468"/>
      <c r="DDX46" s="468"/>
      <c r="DDY46" s="468"/>
      <c r="DDZ46" s="468"/>
      <c r="DEA46" s="468"/>
      <c r="DEB46" s="468"/>
      <c r="DEC46" s="468"/>
      <c r="DED46" s="468"/>
      <c r="DEE46" s="468"/>
      <c r="DEF46" s="468"/>
      <c r="DEG46" s="468"/>
      <c r="DEH46" s="468"/>
      <c r="DEI46" s="468"/>
      <c r="DEJ46" s="468"/>
      <c r="DEK46" s="468"/>
      <c r="DEL46" s="468"/>
      <c r="DEM46" s="468"/>
      <c r="DEN46" s="468"/>
      <c r="DEO46" s="468"/>
      <c r="DEP46" s="468"/>
      <c r="DEQ46" s="468"/>
      <c r="DER46" s="468"/>
      <c r="DES46" s="468"/>
      <c r="DET46" s="468"/>
      <c r="DEU46" s="468"/>
      <c r="DEV46" s="468"/>
      <c r="DEW46" s="468"/>
      <c r="DEX46" s="468"/>
      <c r="DEY46" s="468"/>
      <c r="DEZ46" s="468"/>
      <c r="DFA46" s="468"/>
      <c r="DFB46" s="468"/>
      <c r="DFC46" s="468"/>
      <c r="DFD46" s="468"/>
      <c r="DFE46" s="468"/>
      <c r="DFF46" s="468"/>
      <c r="DFG46" s="468"/>
      <c r="DFH46" s="468"/>
      <c r="DFI46" s="468"/>
      <c r="DFJ46" s="468"/>
      <c r="DFK46" s="468"/>
      <c r="DFL46" s="468"/>
      <c r="DFM46" s="468"/>
      <c r="DFN46" s="468"/>
      <c r="DFO46" s="468"/>
      <c r="DFP46" s="468"/>
      <c r="DFQ46" s="468"/>
      <c r="DFR46" s="468"/>
      <c r="DFS46" s="468"/>
      <c r="DFT46" s="468"/>
      <c r="DFU46" s="468"/>
      <c r="DFV46" s="468"/>
      <c r="DFW46" s="468"/>
      <c r="DFX46" s="468"/>
      <c r="DFY46" s="468"/>
      <c r="DFZ46" s="468"/>
      <c r="DGA46" s="468"/>
      <c r="DGB46" s="468"/>
      <c r="DGC46" s="468"/>
      <c r="DGD46" s="468"/>
      <c r="DGE46" s="468"/>
      <c r="DGF46" s="468"/>
      <c r="DGG46" s="468"/>
      <c r="DGH46" s="468"/>
      <c r="DGI46" s="468"/>
      <c r="DGJ46" s="468"/>
      <c r="DGK46" s="468"/>
      <c r="DGL46" s="468"/>
      <c r="DGM46" s="468"/>
      <c r="DGN46" s="468"/>
      <c r="DGO46" s="468"/>
      <c r="DGP46" s="468"/>
      <c r="DGQ46" s="468"/>
      <c r="DGR46" s="468"/>
      <c r="DGS46" s="468"/>
      <c r="DGT46" s="468"/>
      <c r="DGU46" s="468"/>
      <c r="DGV46" s="468"/>
      <c r="DGW46" s="468"/>
      <c r="DGX46" s="468"/>
      <c r="DGY46" s="468"/>
      <c r="DGZ46" s="468"/>
      <c r="DHA46" s="468"/>
      <c r="DHB46" s="468"/>
      <c r="DHC46" s="468"/>
      <c r="DHD46" s="468"/>
      <c r="DHE46" s="468"/>
      <c r="DHF46" s="468"/>
      <c r="DHG46" s="468"/>
      <c r="DHH46" s="468"/>
      <c r="DHI46" s="468"/>
      <c r="DHJ46" s="468"/>
      <c r="DHK46" s="468"/>
      <c r="DHL46" s="468"/>
      <c r="DHM46" s="468"/>
      <c r="DHN46" s="468"/>
      <c r="DHO46" s="468"/>
      <c r="DHP46" s="468"/>
      <c r="DHQ46" s="468"/>
      <c r="DHR46" s="468"/>
      <c r="DHS46" s="468"/>
      <c r="DHT46" s="468"/>
      <c r="DHU46" s="468"/>
      <c r="DHV46" s="468"/>
      <c r="DHW46" s="468"/>
      <c r="DHX46" s="468"/>
      <c r="DHY46" s="468"/>
      <c r="DHZ46" s="468"/>
      <c r="DIA46" s="468"/>
      <c r="DIB46" s="468"/>
      <c r="DIC46" s="468"/>
      <c r="DID46" s="468"/>
      <c r="DIE46" s="468"/>
      <c r="DIF46" s="468"/>
      <c r="DIG46" s="468"/>
      <c r="DIH46" s="468"/>
      <c r="DII46" s="468"/>
      <c r="DIJ46" s="468"/>
      <c r="DIK46" s="468"/>
      <c r="DIL46" s="468"/>
      <c r="DIM46" s="468"/>
      <c r="DIN46" s="468"/>
      <c r="DIO46" s="468"/>
      <c r="DIP46" s="468"/>
      <c r="DIQ46" s="468"/>
      <c r="DIR46" s="468"/>
      <c r="DIS46" s="468"/>
      <c r="DIT46" s="468"/>
      <c r="DIU46" s="468"/>
      <c r="DIV46" s="468"/>
      <c r="DIW46" s="468"/>
      <c r="DIX46" s="468"/>
      <c r="DIY46" s="468"/>
      <c r="DIZ46" s="468"/>
      <c r="DJA46" s="468"/>
      <c r="DJB46" s="468"/>
      <c r="DJC46" s="468"/>
      <c r="DJD46" s="468"/>
      <c r="DJE46" s="468"/>
      <c r="DJF46" s="468"/>
      <c r="DJG46" s="468"/>
      <c r="DJH46" s="468"/>
      <c r="DJI46" s="468"/>
      <c r="DJJ46" s="468"/>
      <c r="DJK46" s="468"/>
      <c r="DJL46" s="468"/>
      <c r="DJM46" s="468"/>
      <c r="DJN46" s="468"/>
      <c r="DJO46" s="468"/>
      <c r="DJP46" s="468"/>
      <c r="DJQ46" s="468"/>
      <c r="DJR46" s="468"/>
      <c r="DJS46" s="468"/>
      <c r="DJT46" s="468"/>
      <c r="DJU46" s="468"/>
      <c r="DJV46" s="468"/>
      <c r="DJW46" s="468"/>
      <c r="DJX46" s="468"/>
      <c r="DJY46" s="468"/>
      <c r="DJZ46" s="468"/>
      <c r="DKA46" s="468"/>
      <c r="DKB46" s="468"/>
      <c r="DKC46" s="468"/>
      <c r="DKD46" s="468"/>
      <c r="DKE46" s="468"/>
      <c r="DKF46" s="468"/>
      <c r="DKG46" s="468"/>
      <c r="DKH46" s="468"/>
      <c r="DKI46" s="468"/>
      <c r="DKJ46" s="468"/>
      <c r="DKK46" s="468"/>
      <c r="DKL46" s="468"/>
      <c r="DKM46" s="468"/>
      <c r="DKN46" s="468"/>
      <c r="DKO46" s="468"/>
      <c r="DKP46" s="468"/>
      <c r="DKQ46" s="468"/>
      <c r="DKR46" s="468"/>
      <c r="DKS46" s="468"/>
      <c r="DKT46" s="468"/>
      <c r="DKU46" s="468"/>
      <c r="DKV46" s="468"/>
      <c r="DKW46" s="468"/>
      <c r="DKX46" s="468"/>
      <c r="DKY46" s="468"/>
      <c r="DKZ46" s="468"/>
      <c r="DLA46" s="468"/>
      <c r="DLB46" s="468"/>
      <c r="DLC46" s="468"/>
      <c r="DLD46" s="468"/>
      <c r="DLE46" s="468"/>
      <c r="DLF46" s="468"/>
      <c r="DLG46" s="468"/>
      <c r="DLH46" s="468"/>
      <c r="DLI46" s="468"/>
      <c r="DLJ46" s="468"/>
      <c r="DLK46" s="468"/>
      <c r="DLL46" s="468"/>
      <c r="DLM46" s="468"/>
      <c r="DLN46" s="468"/>
      <c r="DLO46" s="468"/>
      <c r="DLP46" s="468"/>
      <c r="DLQ46" s="468"/>
      <c r="DLR46" s="468"/>
      <c r="DLS46" s="468"/>
      <c r="DLT46" s="468"/>
      <c r="DLU46" s="468"/>
      <c r="DLV46" s="468"/>
      <c r="DLW46" s="468"/>
      <c r="DLX46" s="468"/>
      <c r="DLY46" s="468"/>
      <c r="DLZ46" s="468"/>
      <c r="DMA46" s="468"/>
      <c r="DMB46" s="468"/>
      <c r="DMC46" s="468"/>
      <c r="DMD46" s="468"/>
      <c r="DME46" s="468"/>
      <c r="DMF46" s="468"/>
      <c r="DMG46" s="468"/>
      <c r="DMH46" s="468"/>
      <c r="DMI46" s="468"/>
      <c r="DMJ46" s="468"/>
      <c r="DMK46" s="468"/>
      <c r="DML46" s="468"/>
      <c r="DMM46" s="468"/>
      <c r="DMN46" s="468"/>
      <c r="DMO46" s="468"/>
      <c r="DMP46" s="468"/>
      <c r="DMQ46" s="468"/>
      <c r="DMR46" s="468"/>
      <c r="DMS46" s="468"/>
      <c r="DMT46" s="468"/>
      <c r="DMU46" s="468"/>
      <c r="DMV46" s="468"/>
      <c r="DMW46" s="468"/>
      <c r="DMX46" s="468"/>
      <c r="DMY46" s="468"/>
      <c r="DMZ46" s="468"/>
      <c r="DNA46" s="468"/>
      <c r="DNB46" s="468"/>
      <c r="DNC46" s="468"/>
      <c r="DND46" s="468"/>
      <c r="DNE46" s="468"/>
      <c r="DNF46" s="468"/>
      <c r="DNG46" s="468"/>
      <c r="DNH46" s="468"/>
      <c r="DNI46" s="468"/>
      <c r="DNJ46" s="468"/>
      <c r="DNK46" s="468"/>
      <c r="DNL46" s="468"/>
      <c r="DNM46" s="468"/>
      <c r="DNN46" s="468"/>
      <c r="DNO46" s="468"/>
      <c r="DNP46" s="468"/>
      <c r="DNQ46" s="468"/>
      <c r="DNR46" s="468"/>
      <c r="DNS46" s="468"/>
      <c r="DNT46" s="468"/>
      <c r="DNU46" s="468"/>
      <c r="DNV46" s="468"/>
      <c r="DNW46" s="468"/>
      <c r="DNX46" s="468"/>
      <c r="DNY46" s="468"/>
      <c r="DNZ46" s="468"/>
      <c r="DOA46" s="468"/>
      <c r="DOB46" s="468"/>
      <c r="DOC46" s="468"/>
      <c r="DOD46" s="468"/>
      <c r="DOE46" s="468"/>
      <c r="DOF46" s="468"/>
      <c r="DOG46" s="468"/>
      <c r="DOH46" s="468"/>
      <c r="DOI46" s="468"/>
      <c r="DOJ46" s="468"/>
      <c r="DOK46" s="468"/>
      <c r="DOL46" s="468"/>
      <c r="DOM46" s="468"/>
      <c r="DON46" s="468"/>
      <c r="DOO46" s="468"/>
      <c r="DOP46" s="468"/>
      <c r="DOQ46" s="468"/>
      <c r="DOR46" s="468"/>
      <c r="DOS46" s="468"/>
      <c r="DOT46" s="468"/>
      <c r="DOU46" s="468"/>
      <c r="DOV46" s="468"/>
      <c r="DOW46" s="468"/>
      <c r="DOX46" s="468"/>
      <c r="DOY46" s="468"/>
      <c r="DOZ46" s="468"/>
      <c r="DPA46" s="468"/>
      <c r="DPB46" s="468"/>
      <c r="DPC46" s="468"/>
      <c r="DPD46" s="468"/>
      <c r="DPE46" s="468"/>
      <c r="DPF46" s="468"/>
      <c r="DPG46" s="468"/>
      <c r="DPH46" s="468"/>
      <c r="DPI46" s="468"/>
      <c r="DPJ46" s="468"/>
      <c r="DPK46" s="468"/>
      <c r="DPL46" s="468"/>
      <c r="DPM46" s="468"/>
      <c r="DPN46" s="468"/>
      <c r="DPO46" s="468"/>
      <c r="DPP46" s="468"/>
      <c r="DPQ46" s="468"/>
      <c r="DPR46" s="468"/>
      <c r="DPS46" s="468"/>
      <c r="DPT46" s="468"/>
      <c r="DPU46" s="468"/>
      <c r="DPV46" s="468"/>
      <c r="DPW46" s="468"/>
      <c r="DPX46" s="468"/>
      <c r="DPY46" s="468"/>
      <c r="DPZ46" s="468"/>
      <c r="DQA46" s="468"/>
      <c r="DQB46" s="468"/>
      <c r="DQC46" s="468"/>
      <c r="DQD46" s="468"/>
      <c r="DQE46" s="468"/>
      <c r="DQF46" s="468"/>
      <c r="DQG46" s="468"/>
      <c r="DQH46" s="468"/>
      <c r="DQI46" s="468"/>
      <c r="DQJ46" s="468"/>
      <c r="DQK46" s="468"/>
      <c r="DQL46" s="468"/>
      <c r="DQM46" s="468"/>
      <c r="DQN46" s="468"/>
      <c r="DQO46" s="468"/>
      <c r="DQP46" s="468"/>
      <c r="DQQ46" s="468"/>
      <c r="DQR46" s="468"/>
      <c r="DQS46" s="468"/>
      <c r="DQT46" s="468"/>
      <c r="DQU46" s="468"/>
      <c r="DQV46" s="468"/>
      <c r="DQW46" s="468"/>
      <c r="DQX46" s="468"/>
      <c r="DQY46" s="468"/>
      <c r="DQZ46" s="468"/>
      <c r="DRA46" s="468"/>
      <c r="DRB46" s="468"/>
      <c r="DRC46" s="468"/>
      <c r="DRD46" s="468"/>
      <c r="DRE46" s="468"/>
      <c r="DRF46" s="468"/>
      <c r="DRG46" s="468"/>
      <c r="DRH46" s="468"/>
      <c r="DRI46" s="468"/>
      <c r="DRJ46" s="468"/>
      <c r="DRK46" s="468"/>
      <c r="DRL46" s="468"/>
      <c r="DRM46" s="468"/>
      <c r="DRN46" s="468"/>
      <c r="DRO46" s="468"/>
      <c r="DRP46" s="468"/>
      <c r="DRQ46" s="468"/>
      <c r="DRR46" s="468"/>
      <c r="DRS46" s="468"/>
      <c r="DRT46" s="468"/>
      <c r="DRU46" s="468"/>
      <c r="DRV46" s="468"/>
      <c r="DRW46" s="468"/>
      <c r="DRX46" s="468"/>
      <c r="DRY46" s="468"/>
      <c r="DRZ46" s="468"/>
      <c r="DSA46" s="468"/>
      <c r="DSB46" s="468"/>
      <c r="DSC46" s="468"/>
      <c r="DSD46" s="468"/>
      <c r="DSE46" s="468"/>
      <c r="DSF46" s="468"/>
      <c r="DSG46" s="468"/>
      <c r="DSH46" s="468"/>
      <c r="DSI46" s="468"/>
      <c r="DSJ46" s="468"/>
      <c r="DSK46" s="468"/>
      <c r="DSL46" s="468"/>
      <c r="DSM46" s="468"/>
      <c r="DSN46" s="468"/>
      <c r="DSO46" s="468"/>
      <c r="DSP46" s="468"/>
      <c r="DSQ46" s="468"/>
      <c r="DSR46" s="468"/>
      <c r="DSS46" s="468"/>
      <c r="DST46" s="468"/>
      <c r="DSU46" s="468"/>
      <c r="DSV46" s="468"/>
      <c r="DSW46" s="468"/>
      <c r="DSX46" s="468"/>
      <c r="DSY46" s="468"/>
      <c r="DSZ46" s="468"/>
      <c r="DTA46" s="468"/>
      <c r="DTB46" s="468"/>
      <c r="DTC46" s="468"/>
      <c r="DTD46" s="468"/>
      <c r="DTE46" s="468"/>
      <c r="DTF46" s="468"/>
      <c r="DTG46" s="468"/>
      <c r="DTH46" s="468"/>
      <c r="DTI46" s="468"/>
      <c r="DTJ46" s="468"/>
      <c r="DTK46" s="468"/>
      <c r="DTL46" s="468"/>
      <c r="DTM46" s="468"/>
      <c r="DTN46" s="468"/>
      <c r="DTO46" s="468"/>
      <c r="DTP46" s="468"/>
      <c r="DTQ46" s="468"/>
      <c r="DTR46" s="468"/>
      <c r="DTS46" s="468"/>
      <c r="DTT46" s="468"/>
      <c r="DTU46" s="468"/>
      <c r="DTV46" s="468"/>
      <c r="DTW46" s="468"/>
      <c r="DTX46" s="468"/>
      <c r="DTY46" s="468"/>
      <c r="DTZ46" s="468"/>
      <c r="DUA46" s="468"/>
      <c r="DUB46" s="468"/>
      <c r="DUC46" s="468"/>
      <c r="DUD46" s="468"/>
      <c r="DUE46" s="468"/>
      <c r="DUF46" s="468"/>
      <c r="DUG46" s="468"/>
      <c r="DUH46" s="468"/>
      <c r="DUI46" s="468"/>
      <c r="DUJ46" s="468"/>
      <c r="DUK46" s="468"/>
      <c r="DUL46" s="468"/>
      <c r="DUM46" s="468"/>
      <c r="DUN46" s="468"/>
      <c r="DUO46" s="468"/>
      <c r="DUP46" s="468"/>
      <c r="DUQ46" s="468"/>
      <c r="DUR46" s="468"/>
      <c r="DUS46" s="468"/>
      <c r="DUT46" s="468"/>
      <c r="DUU46" s="468"/>
      <c r="DUV46" s="468"/>
      <c r="DUW46" s="468"/>
      <c r="DUX46" s="468"/>
      <c r="DUY46" s="468"/>
      <c r="DUZ46" s="468"/>
      <c r="DVA46" s="468"/>
      <c r="DVB46" s="468"/>
      <c r="DVC46" s="468"/>
      <c r="DVD46" s="468"/>
      <c r="DVE46" s="468"/>
      <c r="DVF46" s="468"/>
      <c r="DVG46" s="468"/>
      <c r="DVH46" s="468"/>
      <c r="DVI46" s="468"/>
      <c r="DVJ46" s="468"/>
      <c r="DVK46" s="468"/>
      <c r="DVL46" s="468"/>
      <c r="DVM46" s="468"/>
      <c r="DVN46" s="468"/>
      <c r="DVO46" s="468"/>
      <c r="DVP46" s="468"/>
      <c r="DVQ46" s="468"/>
      <c r="DVR46" s="468"/>
      <c r="DVS46" s="468"/>
      <c r="DVT46" s="468"/>
      <c r="DVU46" s="468"/>
      <c r="DVV46" s="468"/>
      <c r="DVW46" s="468"/>
      <c r="DVX46" s="468"/>
      <c r="DVY46" s="468"/>
      <c r="DVZ46" s="468"/>
      <c r="DWA46" s="468"/>
      <c r="DWB46" s="468"/>
      <c r="DWC46" s="468"/>
      <c r="DWD46" s="468"/>
      <c r="DWE46" s="468"/>
      <c r="DWF46" s="468"/>
      <c r="DWG46" s="468"/>
      <c r="DWH46" s="468"/>
      <c r="DWI46" s="468"/>
      <c r="DWJ46" s="468"/>
      <c r="DWK46" s="468"/>
      <c r="DWL46" s="468"/>
      <c r="DWM46" s="468"/>
      <c r="DWN46" s="468"/>
      <c r="DWO46" s="468"/>
      <c r="DWP46" s="468"/>
      <c r="DWQ46" s="468"/>
      <c r="DWR46" s="468"/>
      <c r="DWS46" s="468"/>
      <c r="DWT46" s="468"/>
      <c r="DWU46" s="468"/>
      <c r="DWV46" s="468"/>
      <c r="DWW46" s="468"/>
      <c r="DWX46" s="468"/>
      <c r="DWY46" s="468"/>
      <c r="DWZ46" s="468"/>
      <c r="DXA46" s="468"/>
      <c r="DXB46" s="468"/>
      <c r="DXC46" s="468"/>
      <c r="DXD46" s="468"/>
      <c r="DXE46" s="468"/>
      <c r="DXF46" s="468"/>
      <c r="DXG46" s="468"/>
      <c r="DXH46" s="468"/>
      <c r="DXI46" s="468"/>
      <c r="DXJ46" s="468"/>
      <c r="DXK46" s="468"/>
      <c r="DXL46" s="468"/>
      <c r="DXM46" s="468"/>
      <c r="DXN46" s="468"/>
      <c r="DXO46" s="468"/>
      <c r="DXP46" s="468"/>
      <c r="DXQ46" s="468"/>
      <c r="DXR46" s="468"/>
      <c r="DXS46" s="468"/>
      <c r="DXT46" s="468"/>
      <c r="DXU46" s="468"/>
      <c r="DXV46" s="468"/>
      <c r="DXW46" s="468"/>
      <c r="DXX46" s="468"/>
      <c r="DXY46" s="468"/>
      <c r="DXZ46" s="468"/>
      <c r="DYA46" s="468"/>
      <c r="DYB46" s="468"/>
      <c r="DYC46" s="468"/>
      <c r="DYD46" s="468"/>
      <c r="DYE46" s="468"/>
      <c r="DYF46" s="468"/>
      <c r="DYG46" s="468"/>
      <c r="DYH46" s="468"/>
      <c r="DYI46" s="468"/>
      <c r="DYJ46" s="468"/>
      <c r="DYK46" s="468"/>
      <c r="DYL46" s="468"/>
      <c r="DYM46" s="468"/>
      <c r="DYN46" s="468"/>
      <c r="DYO46" s="468"/>
      <c r="DYP46" s="468"/>
      <c r="DYQ46" s="468"/>
      <c r="DYR46" s="468"/>
      <c r="DYS46" s="468"/>
      <c r="DYT46" s="468"/>
      <c r="DYU46" s="468"/>
      <c r="DYV46" s="468"/>
      <c r="DYW46" s="468"/>
      <c r="DYX46" s="468"/>
      <c r="DYY46" s="468"/>
      <c r="DYZ46" s="468"/>
      <c r="DZA46" s="468"/>
      <c r="DZB46" s="468"/>
      <c r="DZC46" s="468"/>
      <c r="DZD46" s="468"/>
      <c r="DZE46" s="468"/>
      <c r="DZF46" s="468"/>
      <c r="DZG46" s="468"/>
      <c r="DZH46" s="468"/>
      <c r="DZI46" s="468"/>
      <c r="DZJ46" s="468"/>
      <c r="DZK46" s="468"/>
      <c r="DZL46" s="468"/>
      <c r="DZM46" s="468"/>
      <c r="DZN46" s="468"/>
      <c r="DZO46" s="468"/>
      <c r="DZP46" s="468"/>
      <c r="DZQ46" s="468"/>
      <c r="DZR46" s="468"/>
      <c r="DZS46" s="468"/>
      <c r="DZT46" s="468"/>
      <c r="DZU46" s="468"/>
      <c r="DZV46" s="468"/>
      <c r="DZW46" s="468"/>
      <c r="DZX46" s="468"/>
      <c r="DZY46" s="468"/>
      <c r="DZZ46" s="468"/>
      <c r="EAA46" s="468"/>
      <c r="EAB46" s="468"/>
      <c r="EAC46" s="468"/>
      <c r="EAD46" s="468"/>
      <c r="EAE46" s="468"/>
      <c r="EAF46" s="468"/>
      <c r="EAG46" s="468"/>
      <c r="EAH46" s="468"/>
      <c r="EAI46" s="468"/>
      <c r="EAJ46" s="468"/>
      <c r="EAK46" s="468"/>
      <c r="EAL46" s="468"/>
      <c r="EAM46" s="468"/>
      <c r="EAN46" s="468"/>
      <c r="EAO46" s="468"/>
      <c r="EAP46" s="468"/>
      <c r="EAQ46" s="468"/>
      <c r="EAR46" s="468"/>
      <c r="EAS46" s="468"/>
      <c r="EAT46" s="468"/>
      <c r="EAU46" s="468"/>
      <c r="EAV46" s="468"/>
      <c r="EAW46" s="468"/>
      <c r="EAX46" s="468"/>
      <c r="EAY46" s="468"/>
      <c r="EAZ46" s="468"/>
      <c r="EBA46" s="468"/>
      <c r="EBB46" s="468"/>
      <c r="EBC46" s="468"/>
      <c r="EBD46" s="468"/>
      <c r="EBE46" s="468"/>
      <c r="EBF46" s="468"/>
      <c r="EBG46" s="468"/>
      <c r="EBH46" s="468"/>
      <c r="EBI46" s="468"/>
      <c r="EBJ46" s="468"/>
      <c r="EBK46" s="468"/>
      <c r="EBL46" s="468"/>
      <c r="EBM46" s="468"/>
      <c r="EBN46" s="468"/>
      <c r="EBO46" s="468"/>
      <c r="EBP46" s="468"/>
      <c r="EBQ46" s="468"/>
      <c r="EBR46" s="468"/>
      <c r="EBS46" s="468"/>
      <c r="EBT46" s="468"/>
      <c r="EBU46" s="468"/>
      <c r="EBV46" s="468"/>
      <c r="EBW46" s="468"/>
      <c r="EBX46" s="468"/>
      <c r="EBY46" s="468"/>
      <c r="EBZ46" s="468"/>
      <c r="ECA46" s="468"/>
      <c r="ECB46" s="468"/>
      <c r="ECC46" s="468"/>
      <c r="ECD46" s="468"/>
      <c r="ECE46" s="468"/>
      <c r="ECF46" s="468"/>
      <c r="ECG46" s="468"/>
      <c r="ECH46" s="468"/>
      <c r="ECI46" s="468"/>
      <c r="ECJ46" s="468"/>
      <c r="ECK46" s="468"/>
      <c r="ECL46" s="468"/>
      <c r="ECM46" s="468"/>
      <c r="ECN46" s="468"/>
      <c r="ECO46" s="468"/>
      <c r="ECP46" s="468"/>
      <c r="ECQ46" s="468"/>
      <c r="ECR46" s="468"/>
      <c r="ECS46" s="468"/>
      <c r="ECT46" s="468"/>
      <c r="ECU46" s="468"/>
      <c r="ECV46" s="468"/>
      <c r="ECW46" s="468"/>
      <c r="ECX46" s="468"/>
      <c r="ECY46" s="468"/>
      <c r="ECZ46" s="468"/>
      <c r="EDA46" s="468"/>
      <c r="EDB46" s="468"/>
      <c r="EDC46" s="468"/>
      <c r="EDD46" s="468"/>
      <c r="EDE46" s="468"/>
      <c r="EDF46" s="468"/>
      <c r="EDG46" s="468"/>
      <c r="EDH46" s="468"/>
      <c r="EDI46" s="468"/>
      <c r="EDJ46" s="468"/>
      <c r="EDK46" s="468"/>
      <c r="EDL46" s="468"/>
      <c r="EDM46" s="468"/>
      <c r="EDN46" s="468"/>
      <c r="EDO46" s="468"/>
      <c r="EDP46" s="468"/>
      <c r="EDQ46" s="468"/>
      <c r="EDR46" s="468"/>
      <c r="EDS46" s="468"/>
      <c r="EDT46" s="468"/>
      <c r="EDU46" s="468"/>
      <c r="EDV46" s="468"/>
      <c r="EDW46" s="468"/>
      <c r="EDX46" s="468"/>
      <c r="EDY46" s="468"/>
      <c r="EDZ46" s="468"/>
      <c r="EEA46" s="468"/>
      <c r="EEB46" s="468"/>
      <c r="EEC46" s="468"/>
      <c r="EED46" s="468"/>
      <c r="EEE46" s="468"/>
      <c r="EEF46" s="468"/>
      <c r="EEG46" s="468"/>
      <c r="EEH46" s="468"/>
      <c r="EEI46" s="468"/>
      <c r="EEJ46" s="468"/>
      <c r="EEK46" s="468"/>
      <c r="EEL46" s="468"/>
      <c r="EEM46" s="468"/>
      <c r="EEN46" s="468"/>
      <c r="EEO46" s="468"/>
      <c r="EEP46" s="468"/>
      <c r="EEQ46" s="468"/>
      <c r="EER46" s="468"/>
      <c r="EES46" s="468"/>
      <c r="EET46" s="468"/>
      <c r="EEU46" s="468"/>
      <c r="EEV46" s="468"/>
      <c r="EEW46" s="468"/>
      <c r="EEX46" s="468"/>
      <c r="EEY46" s="468"/>
      <c r="EEZ46" s="468"/>
      <c r="EFA46" s="468"/>
      <c r="EFB46" s="468"/>
      <c r="EFC46" s="468"/>
      <c r="EFD46" s="468"/>
      <c r="EFE46" s="468"/>
      <c r="EFF46" s="468"/>
      <c r="EFG46" s="468"/>
      <c r="EFH46" s="468"/>
      <c r="EFI46" s="468"/>
      <c r="EFJ46" s="468"/>
      <c r="EFK46" s="468"/>
      <c r="EFL46" s="468"/>
      <c r="EFM46" s="468"/>
      <c r="EFN46" s="468"/>
      <c r="EFO46" s="468"/>
      <c r="EFP46" s="468"/>
      <c r="EFQ46" s="468"/>
      <c r="EFR46" s="468"/>
      <c r="EFS46" s="468"/>
      <c r="EFT46" s="468"/>
      <c r="EFU46" s="468"/>
      <c r="EFV46" s="468"/>
      <c r="EFW46" s="468"/>
      <c r="EFX46" s="468"/>
      <c r="EFY46" s="468"/>
      <c r="EFZ46" s="468"/>
      <c r="EGA46" s="468"/>
      <c r="EGB46" s="468"/>
      <c r="EGC46" s="468"/>
      <c r="EGD46" s="468"/>
      <c r="EGE46" s="468"/>
      <c r="EGF46" s="468"/>
      <c r="EGG46" s="468"/>
      <c r="EGH46" s="468"/>
      <c r="EGI46" s="468"/>
      <c r="EGJ46" s="468"/>
      <c r="EGK46" s="468"/>
      <c r="EGL46" s="468"/>
      <c r="EGM46" s="468"/>
      <c r="EGN46" s="468"/>
      <c r="EGO46" s="468"/>
      <c r="EGP46" s="468"/>
      <c r="EGQ46" s="468"/>
      <c r="EGR46" s="468"/>
      <c r="EGS46" s="468"/>
      <c r="EGT46" s="468"/>
      <c r="EGU46" s="468"/>
      <c r="EGV46" s="468"/>
      <c r="EGW46" s="468"/>
      <c r="EGX46" s="468"/>
      <c r="EGY46" s="468"/>
      <c r="EGZ46" s="468"/>
      <c r="EHA46" s="468"/>
      <c r="EHB46" s="468"/>
      <c r="EHC46" s="468"/>
      <c r="EHD46" s="468"/>
      <c r="EHE46" s="468"/>
      <c r="EHF46" s="468"/>
      <c r="EHG46" s="468"/>
      <c r="EHH46" s="468"/>
      <c r="EHI46" s="468"/>
      <c r="EHJ46" s="468"/>
      <c r="EHK46" s="468"/>
      <c r="EHL46" s="468"/>
      <c r="EHM46" s="468"/>
      <c r="EHN46" s="468"/>
      <c r="EHO46" s="468"/>
      <c r="EHP46" s="468"/>
      <c r="EHQ46" s="468"/>
      <c r="EHR46" s="468"/>
      <c r="EHS46" s="468"/>
      <c r="EHT46" s="468"/>
      <c r="EHU46" s="468"/>
      <c r="EHV46" s="468"/>
      <c r="EHW46" s="468"/>
      <c r="EHX46" s="468"/>
      <c r="EHY46" s="468"/>
      <c r="EHZ46" s="468"/>
      <c r="EIA46" s="468"/>
      <c r="EIB46" s="468"/>
      <c r="EIC46" s="468"/>
      <c r="EID46" s="468"/>
      <c r="EIE46" s="468"/>
      <c r="EIF46" s="468"/>
      <c r="EIG46" s="468"/>
      <c r="EIH46" s="468"/>
      <c r="EII46" s="468"/>
      <c r="EIJ46" s="468"/>
      <c r="EIK46" s="468"/>
      <c r="EIL46" s="468"/>
      <c r="EIM46" s="468"/>
      <c r="EIN46" s="468"/>
      <c r="EIO46" s="468"/>
      <c r="EIP46" s="468"/>
      <c r="EIQ46" s="468"/>
      <c r="EIR46" s="468"/>
      <c r="EIS46" s="468"/>
      <c r="EIT46" s="468"/>
      <c r="EIU46" s="468"/>
      <c r="EIV46" s="468"/>
      <c r="EIW46" s="468"/>
      <c r="EIX46" s="468"/>
      <c r="EIY46" s="468"/>
      <c r="EIZ46" s="468"/>
      <c r="EJA46" s="468"/>
      <c r="EJB46" s="468"/>
      <c r="EJC46" s="468"/>
      <c r="EJD46" s="468"/>
      <c r="EJE46" s="468"/>
      <c r="EJF46" s="468"/>
      <c r="EJG46" s="468"/>
      <c r="EJH46" s="468"/>
      <c r="EJI46" s="468"/>
      <c r="EJJ46" s="468"/>
      <c r="EJK46" s="468"/>
      <c r="EJL46" s="468"/>
      <c r="EJM46" s="468"/>
      <c r="EJN46" s="468"/>
      <c r="EJO46" s="468"/>
      <c r="EJP46" s="468"/>
      <c r="EJQ46" s="468"/>
      <c r="EJR46" s="468"/>
      <c r="EJS46" s="468"/>
      <c r="EJT46" s="468"/>
      <c r="EJU46" s="468"/>
      <c r="EJV46" s="468"/>
      <c r="EJW46" s="468"/>
      <c r="EJX46" s="468"/>
      <c r="EJY46" s="468"/>
      <c r="EJZ46" s="468"/>
      <c r="EKA46" s="468"/>
      <c r="EKB46" s="468"/>
      <c r="EKC46" s="468"/>
      <c r="EKD46" s="468"/>
      <c r="EKE46" s="468"/>
      <c r="EKF46" s="468"/>
      <c r="EKG46" s="468"/>
      <c r="EKH46" s="468"/>
      <c r="EKI46" s="468"/>
      <c r="EKJ46" s="468"/>
      <c r="EKK46" s="468"/>
      <c r="EKL46" s="468"/>
      <c r="EKM46" s="468"/>
      <c r="EKN46" s="468"/>
      <c r="EKO46" s="468"/>
      <c r="EKP46" s="468"/>
      <c r="EKQ46" s="468"/>
      <c r="EKR46" s="468"/>
      <c r="EKS46" s="468"/>
      <c r="EKT46" s="468"/>
      <c r="EKU46" s="468"/>
      <c r="EKV46" s="468"/>
      <c r="EKW46" s="468"/>
      <c r="EKX46" s="468"/>
      <c r="EKY46" s="468"/>
      <c r="EKZ46" s="468"/>
      <c r="ELA46" s="468"/>
      <c r="ELB46" s="468"/>
      <c r="ELC46" s="468"/>
      <c r="ELD46" s="468"/>
      <c r="ELE46" s="468"/>
      <c r="ELF46" s="468"/>
      <c r="ELG46" s="468"/>
      <c r="ELH46" s="468"/>
      <c r="ELI46" s="468"/>
      <c r="ELJ46" s="468"/>
      <c r="ELK46" s="468"/>
      <c r="ELL46" s="468"/>
      <c r="ELM46" s="468"/>
      <c r="ELN46" s="468"/>
      <c r="ELO46" s="468"/>
      <c r="ELP46" s="468"/>
      <c r="ELQ46" s="468"/>
      <c r="ELR46" s="468"/>
      <c r="ELS46" s="468"/>
      <c r="ELT46" s="468"/>
      <c r="ELU46" s="468"/>
      <c r="ELV46" s="468"/>
      <c r="ELW46" s="468"/>
      <c r="ELX46" s="468"/>
      <c r="ELY46" s="468"/>
      <c r="ELZ46" s="468"/>
      <c r="EMA46" s="468"/>
      <c r="EMB46" s="468"/>
      <c r="EMC46" s="468"/>
      <c r="EMD46" s="468"/>
      <c r="EME46" s="468"/>
      <c r="EMF46" s="468"/>
      <c r="EMG46" s="468"/>
      <c r="EMH46" s="468"/>
      <c r="EMI46" s="468"/>
      <c r="EMJ46" s="468"/>
      <c r="EMK46" s="468"/>
      <c r="EML46" s="468"/>
      <c r="EMM46" s="468"/>
      <c r="EMN46" s="468"/>
      <c r="EMO46" s="468"/>
      <c r="EMP46" s="468"/>
      <c r="EMQ46" s="468"/>
      <c r="EMR46" s="468"/>
      <c r="EMS46" s="468"/>
      <c r="EMT46" s="468"/>
      <c r="EMU46" s="468"/>
      <c r="EMV46" s="468"/>
      <c r="EMW46" s="468"/>
      <c r="EMX46" s="468"/>
      <c r="EMY46" s="468"/>
      <c r="EMZ46" s="468"/>
      <c r="ENA46" s="468"/>
      <c r="ENB46" s="468"/>
      <c r="ENC46" s="468"/>
      <c r="END46" s="468"/>
      <c r="ENE46" s="468"/>
      <c r="ENF46" s="468"/>
      <c r="ENG46" s="468"/>
      <c r="ENH46" s="468"/>
      <c r="ENI46" s="468"/>
      <c r="ENJ46" s="468"/>
      <c r="ENK46" s="468"/>
      <c r="ENL46" s="468"/>
      <c r="ENM46" s="468"/>
      <c r="ENN46" s="468"/>
      <c r="ENO46" s="468"/>
      <c r="ENP46" s="468"/>
      <c r="ENQ46" s="468"/>
      <c r="ENR46" s="468"/>
      <c r="ENS46" s="468"/>
      <c r="ENT46" s="468"/>
      <c r="ENU46" s="468"/>
      <c r="ENV46" s="468"/>
      <c r="ENW46" s="468"/>
      <c r="ENX46" s="468"/>
      <c r="ENY46" s="468"/>
      <c r="ENZ46" s="468"/>
      <c r="EOA46" s="468"/>
      <c r="EOB46" s="468"/>
      <c r="EOC46" s="468"/>
      <c r="EOD46" s="468"/>
      <c r="EOE46" s="468"/>
      <c r="EOF46" s="468"/>
      <c r="EOG46" s="468"/>
      <c r="EOH46" s="468"/>
      <c r="EOI46" s="468"/>
      <c r="EOJ46" s="468"/>
      <c r="EOK46" s="468"/>
      <c r="EOL46" s="468"/>
      <c r="EOM46" s="468"/>
      <c r="EON46" s="468"/>
      <c r="EOO46" s="468"/>
      <c r="EOP46" s="468"/>
      <c r="EOQ46" s="468"/>
      <c r="EOR46" s="468"/>
      <c r="EOS46" s="468"/>
      <c r="EOT46" s="468"/>
      <c r="EOU46" s="468"/>
      <c r="EOV46" s="468"/>
      <c r="EOW46" s="468"/>
      <c r="EOX46" s="468"/>
      <c r="EOY46" s="468"/>
      <c r="EOZ46" s="468"/>
      <c r="EPA46" s="468"/>
      <c r="EPB46" s="468"/>
      <c r="EPC46" s="468"/>
      <c r="EPD46" s="468"/>
      <c r="EPE46" s="468"/>
      <c r="EPF46" s="468"/>
      <c r="EPG46" s="468"/>
      <c r="EPH46" s="468"/>
      <c r="EPI46" s="468"/>
      <c r="EPJ46" s="468"/>
      <c r="EPK46" s="468"/>
      <c r="EPL46" s="468"/>
      <c r="EPM46" s="468"/>
      <c r="EPN46" s="468"/>
      <c r="EPO46" s="468"/>
      <c r="EPP46" s="468"/>
      <c r="EPQ46" s="468"/>
      <c r="EPR46" s="468"/>
      <c r="EPS46" s="468"/>
      <c r="EPT46" s="468"/>
      <c r="EPU46" s="468"/>
      <c r="EPV46" s="468"/>
      <c r="EPW46" s="468"/>
      <c r="EPX46" s="468"/>
      <c r="EPY46" s="468"/>
      <c r="EPZ46" s="468"/>
      <c r="EQA46" s="468"/>
      <c r="EQB46" s="468"/>
      <c r="EQC46" s="468"/>
      <c r="EQD46" s="468"/>
      <c r="EQE46" s="468"/>
      <c r="EQF46" s="468"/>
      <c r="EQG46" s="468"/>
      <c r="EQH46" s="468"/>
      <c r="EQI46" s="468"/>
      <c r="EQJ46" s="468"/>
      <c r="EQK46" s="468"/>
      <c r="EQL46" s="468"/>
      <c r="EQM46" s="468"/>
      <c r="EQN46" s="468"/>
      <c r="EQO46" s="468"/>
      <c r="EQP46" s="468"/>
      <c r="EQQ46" s="468"/>
      <c r="EQR46" s="468"/>
      <c r="EQS46" s="468"/>
      <c r="EQT46" s="468"/>
      <c r="EQU46" s="468"/>
      <c r="EQV46" s="468"/>
      <c r="EQW46" s="468"/>
      <c r="EQX46" s="468"/>
      <c r="EQY46" s="468"/>
      <c r="EQZ46" s="468"/>
      <c r="ERA46" s="468"/>
      <c r="ERB46" s="468"/>
      <c r="ERC46" s="468"/>
      <c r="ERD46" s="468"/>
      <c r="ERE46" s="468"/>
      <c r="ERF46" s="468"/>
      <c r="ERG46" s="468"/>
      <c r="ERH46" s="468"/>
      <c r="ERI46" s="468"/>
      <c r="ERJ46" s="468"/>
      <c r="ERK46" s="468"/>
      <c r="ERL46" s="468"/>
      <c r="ERM46" s="468"/>
      <c r="ERN46" s="468"/>
      <c r="ERO46" s="468"/>
      <c r="ERP46" s="468"/>
      <c r="ERQ46" s="468"/>
      <c r="ERR46" s="468"/>
      <c r="ERS46" s="468"/>
      <c r="ERT46" s="468"/>
      <c r="ERU46" s="468"/>
      <c r="ERV46" s="468"/>
      <c r="ERW46" s="468"/>
      <c r="ERX46" s="468"/>
      <c r="ERY46" s="468"/>
      <c r="ERZ46" s="468"/>
      <c r="ESA46" s="468"/>
      <c r="ESB46" s="468"/>
      <c r="ESC46" s="468"/>
      <c r="ESD46" s="468"/>
      <c r="ESE46" s="468"/>
      <c r="ESF46" s="468"/>
      <c r="ESG46" s="468"/>
      <c r="ESH46" s="468"/>
      <c r="ESI46" s="468"/>
      <c r="ESJ46" s="468"/>
      <c r="ESK46" s="468"/>
      <c r="ESL46" s="468"/>
      <c r="ESM46" s="468"/>
      <c r="ESN46" s="468"/>
      <c r="ESO46" s="468"/>
      <c r="ESP46" s="468"/>
      <c r="ESQ46" s="468"/>
      <c r="ESR46" s="468"/>
      <c r="ESS46" s="468"/>
      <c r="EST46" s="468"/>
      <c r="ESU46" s="468"/>
      <c r="ESV46" s="468"/>
      <c r="ESW46" s="468"/>
      <c r="ESX46" s="468"/>
      <c r="ESY46" s="468"/>
      <c r="ESZ46" s="468"/>
      <c r="ETA46" s="468"/>
      <c r="ETB46" s="468"/>
      <c r="ETC46" s="468"/>
      <c r="ETD46" s="468"/>
      <c r="ETE46" s="468"/>
      <c r="ETF46" s="468"/>
      <c r="ETG46" s="468"/>
      <c r="ETH46" s="468"/>
      <c r="ETI46" s="468"/>
      <c r="ETJ46" s="468"/>
      <c r="ETK46" s="468"/>
      <c r="ETL46" s="468"/>
      <c r="ETM46" s="468"/>
      <c r="ETN46" s="468"/>
      <c r="ETO46" s="468"/>
      <c r="ETP46" s="468"/>
      <c r="ETQ46" s="468"/>
      <c r="ETR46" s="468"/>
      <c r="ETS46" s="468"/>
      <c r="ETT46" s="468"/>
      <c r="ETU46" s="468"/>
      <c r="ETV46" s="468"/>
      <c r="ETW46" s="468"/>
      <c r="ETX46" s="468"/>
      <c r="ETY46" s="468"/>
      <c r="ETZ46" s="468"/>
      <c r="EUA46" s="468"/>
      <c r="EUB46" s="468"/>
      <c r="EUC46" s="468"/>
      <c r="EUD46" s="468"/>
      <c r="EUE46" s="468"/>
      <c r="EUF46" s="468"/>
      <c r="EUG46" s="468"/>
      <c r="EUH46" s="468"/>
      <c r="EUI46" s="468"/>
      <c r="EUJ46" s="468"/>
      <c r="EUK46" s="468"/>
      <c r="EUL46" s="468"/>
      <c r="EUM46" s="468"/>
      <c r="EUN46" s="468"/>
      <c r="EUO46" s="468"/>
      <c r="EUP46" s="468"/>
      <c r="EUQ46" s="468"/>
      <c r="EUR46" s="468"/>
      <c r="EUS46" s="468"/>
      <c r="EUT46" s="468"/>
      <c r="EUU46" s="468"/>
      <c r="EUV46" s="468"/>
      <c r="EUW46" s="468"/>
      <c r="EUX46" s="468"/>
      <c r="EUY46" s="468"/>
      <c r="EUZ46" s="468"/>
      <c r="EVA46" s="468"/>
      <c r="EVB46" s="468"/>
      <c r="EVC46" s="468"/>
      <c r="EVD46" s="468"/>
      <c r="EVE46" s="468"/>
      <c r="EVF46" s="468"/>
      <c r="EVG46" s="468"/>
      <c r="EVH46" s="468"/>
      <c r="EVI46" s="468"/>
      <c r="EVJ46" s="468"/>
      <c r="EVK46" s="468"/>
      <c r="EVL46" s="468"/>
      <c r="EVM46" s="468"/>
      <c r="EVN46" s="468"/>
      <c r="EVO46" s="468"/>
      <c r="EVP46" s="468"/>
      <c r="EVQ46" s="468"/>
      <c r="EVR46" s="468"/>
      <c r="EVS46" s="468"/>
      <c r="EVT46" s="468"/>
      <c r="EVU46" s="468"/>
      <c r="EVV46" s="468"/>
      <c r="EVW46" s="468"/>
      <c r="EVX46" s="468"/>
      <c r="EVY46" s="468"/>
      <c r="EVZ46" s="468"/>
      <c r="EWA46" s="468"/>
      <c r="EWB46" s="468"/>
      <c r="EWC46" s="468"/>
      <c r="EWD46" s="468"/>
      <c r="EWE46" s="468"/>
      <c r="EWF46" s="468"/>
      <c r="EWG46" s="468"/>
      <c r="EWH46" s="468"/>
      <c r="EWI46" s="468"/>
      <c r="EWJ46" s="468"/>
      <c r="EWK46" s="468"/>
      <c r="EWL46" s="468"/>
      <c r="EWM46" s="468"/>
      <c r="EWN46" s="468"/>
      <c r="EWO46" s="468"/>
      <c r="EWP46" s="468"/>
      <c r="EWQ46" s="468"/>
      <c r="EWR46" s="468"/>
      <c r="EWS46" s="468"/>
      <c r="EWT46" s="468"/>
      <c r="EWU46" s="468"/>
      <c r="EWV46" s="468"/>
      <c r="EWW46" s="468"/>
      <c r="EWX46" s="468"/>
      <c r="EWY46" s="468"/>
      <c r="EWZ46" s="468"/>
      <c r="EXA46" s="468"/>
      <c r="EXB46" s="468"/>
      <c r="EXC46" s="468"/>
      <c r="EXD46" s="468"/>
      <c r="EXE46" s="468"/>
      <c r="EXF46" s="468"/>
      <c r="EXG46" s="468"/>
      <c r="EXH46" s="468"/>
      <c r="EXI46" s="468"/>
      <c r="EXJ46" s="468"/>
      <c r="EXK46" s="468"/>
      <c r="EXL46" s="468"/>
      <c r="EXM46" s="468"/>
      <c r="EXN46" s="468"/>
      <c r="EXO46" s="468"/>
      <c r="EXP46" s="468"/>
      <c r="EXQ46" s="468"/>
      <c r="EXR46" s="468"/>
      <c r="EXS46" s="468"/>
      <c r="EXT46" s="468"/>
      <c r="EXU46" s="468"/>
      <c r="EXV46" s="468"/>
      <c r="EXW46" s="468"/>
      <c r="EXX46" s="468"/>
      <c r="EXY46" s="468"/>
      <c r="EXZ46" s="468"/>
      <c r="EYA46" s="468"/>
      <c r="EYB46" s="468"/>
      <c r="EYC46" s="468"/>
      <c r="EYD46" s="468"/>
      <c r="EYE46" s="468"/>
      <c r="EYF46" s="468"/>
      <c r="EYG46" s="468"/>
      <c r="EYH46" s="468"/>
      <c r="EYI46" s="468"/>
      <c r="EYJ46" s="468"/>
      <c r="EYK46" s="468"/>
      <c r="EYL46" s="468"/>
      <c r="EYM46" s="468"/>
      <c r="EYN46" s="468"/>
      <c r="EYO46" s="468"/>
      <c r="EYP46" s="468"/>
      <c r="EYQ46" s="468"/>
      <c r="EYR46" s="468"/>
      <c r="EYS46" s="468"/>
      <c r="EYT46" s="468"/>
      <c r="EYU46" s="468"/>
      <c r="EYV46" s="468"/>
      <c r="EYW46" s="468"/>
      <c r="EYX46" s="468"/>
      <c r="EYY46" s="468"/>
      <c r="EYZ46" s="468"/>
      <c r="EZA46" s="468"/>
      <c r="EZB46" s="468"/>
      <c r="EZC46" s="468"/>
      <c r="EZD46" s="468"/>
      <c r="EZE46" s="468"/>
      <c r="EZF46" s="468"/>
      <c r="EZG46" s="468"/>
      <c r="EZH46" s="468"/>
      <c r="EZI46" s="468"/>
      <c r="EZJ46" s="468"/>
      <c r="EZK46" s="468"/>
      <c r="EZL46" s="468"/>
      <c r="EZM46" s="468"/>
      <c r="EZN46" s="468"/>
      <c r="EZO46" s="468"/>
      <c r="EZP46" s="468"/>
      <c r="EZQ46" s="468"/>
      <c r="EZR46" s="468"/>
      <c r="EZS46" s="468"/>
      <c r="EZT46" s="468"/>
      <c r="EZU46" s="468"/>
      <c r="EZV46" s="468"/>
      <c r="EZW46" s="468"/>
      <c r="EZX46" s="468"/>
      <c r="EZY46" s="468"/>
      <c r="EZZ46" s="468"/>
      <c r="FAA46" s="468"/>
      <c r="FAB46" s="468"/>
      <c r="FAC46" s="468"/>
      <c r="FAD46" s="468"/>
      <c r="FAE46" s="468"/>
      <c r="FAF46" s="468"/>
      <c r="FAG46" s="468"/>
      <c r="FAH46" s="468"/>
      <c r="FAI46" s="468"/>
      <c r="FAJ46" s="468"/>
      <c r="FAK46" s="468"/>
      <c r="FAL46" s="468"/>
      <c r="FAM46" s="468"/>
      <c r="FAN46" s="468"/>
      <c r="FAO46" s="468"/>
      <c r="FAP46" s="468"/>
      <c r="FAQ46" s="468"/>
      <c r="FAR46" s="468"/>
      <c r="FAS46" s="468"/>
      <c r="FAT46" s="468"/>
      <c r="FAU46" s="468"/>
      <c r="FAV46" s="468"/>
      <c r="FAW46" s="468"/>
      <c r="FAX46" s="468"/>
      <c r="FAY46" s="468"/>
      <c r="FAZ46" s="468"/>
      <c r="FBA46" s="468"/>
      <c r="FBB46" s="468"/>
      <c r="FBC46" s="468"/>
      <c r="FBD46" s="468"/>
      <c r="FBE46" s="468"/>
      <c r="FBF46" s="468"/>
      <c r="FBG46" s="468"/>
      <c r="FBH46" s="468"/>
      <c r="FBI46" s="468"/>
      <c r="FBJ46" s="468"/>
      <c r="FBK46" s="468"/>
      <c r="FBL46" s="468"/>
      <c r="FBM46" s="468"/>
      <c r="FBN46" s="468"/>
      <c r="FBO46" s="468"/>
      <c r="FBP46" s="468"/>
      <c r="FBQ46" s="468"/>
      <c r="FBR46" s="468"/>
      <c r="FBS46" s="468"/>
      <c r="FBT46" s="468"/>
      <c r="FBU46" s="468"/>
      <c r="FBV46" s="468"/>
      <c r="FBW46" s="468"/>
      <c r="FBX46" s="468"/>
      <c r="FBY46" s="468"/>
      <c r="FBZ46" s="468"/>
      <c r="FCA46" s="468"/>
      <c r="FCB46" s="468"/>
      <c r="FCC46" s="468"/>
      <c r="FCD46" s="468"/>
      <c r="FCE46" s="468"/>
      <c r="FCF46" s="468"/>
      <c r="FCG46" s="468"/>
      <c r="FCH46" s="468"/>
      <c r="FCI46" s="468"/>
      <c r="FCJ46" s="468"/>
      <c r="FCK46" s="468"/>
      <c r="FCL46" s="468"/>
      <c r="FCM46" s="468"/>
      <c r="FCN46" s="468"/>
      <c r="FCO46" s="468"/>
      <c r="FCP46" s="468"/>
      <c r="FCQ46" s="468"/>
      <c r="FCR46" s="468"/>
      <c r="FCS46" s="468"/>
      <c r="FCT46" s="468"/>
      <c r="FCU46" s="468"/>
      <c r="FCV46" s="468"/>
      <c r="FCW46" s="468"/>
      <c r="FCX46" s="468"/>
      <c r="FCY46" s="468"/>
      <c r="FCZ46" s="468"/>
      <c r="FDA46" s="468"/>
      <c r="FDB46" s="468"/>
      <c r="FDC46" s="468"/>
      <c r="FDD46" s="468"/>
      <c r="FDE46" s="468"/>
      <c r="FDF46" s="468"/>
      <c r="FDG46" s="468"/>
      <c r="FDH46" s="468"/>
      <c r="FDI46" s="468"/>
      <c r="FDJ46" s="468"/>
      <c r="FDK46" s="468"/>
      <c r="FDL46" s="468"/>
      <c r="FDM46" s="468"/>
      <c r="FDN46" s="468"/>
      <c r="FDO46" s="468"/>
      <c r="FDP46" s="468"/>
      <c r="FDQ46" s="468"/>
      <c r="FDR46" s="468"/>
      <c r="FDS46" s="468"/>
      <c r="FDT46" s="468"/>
      <c r="FDU46" s="468"/>
      <c r="FDV46" s="468"/>
      <c r="FDW46" s="468"/>
      <c r="FDX46" s="468"/>
      <c r="FDY46" s="468"/>
      <c r="FDZ46" s="468"/>
      <c r="FEA46" s="468"/>
      <c r="FEB46" s="468"/>
      <c r="FEC46" s="468"/>
      <c r="FED46" s="468"/>
      <c r="FEE46" s="468"/>
      <c r="FEF46" s="468"/>
      <c r="FEG46" s="468"/>
      <c r="FEH46" s="468"/>
      <c r="FEI46" s="468"/>
      <c r="FEJ46" s="468"/>
      <c r="FEK46" s="468"/>
      <c r="FEL46" s="468"/>
      <c r="FEM46" s="468"/>
      <c r="FEN46" s="468"/>
      <c r="FEO46" s="468"/>
      <c r="FEP46" s="468"/>
      <c r="FEQ46" s="468"/>
      <c r="FER46" s="468"/>
      <c r="FES46" s="468"/>
      <c r="FET46" s="468"/>
      <c r="FEU46" s="468"/>
      <c r="FEV46" s="468"/>
      <c r="FEW46" s="468"/>
      <c r="FEX46" s="468"/>
      <c r="FEY46" s="468"/>
      <c r="FEZ46" s="468"/>
      <c r="FFA46" s="468"/>
      <c r="FFB46" s="468"/>
      <c r="FFC46" s="468"/>
      <c r="FFD46" s="468"/>
      <c r="FFE46" s="468"/>
      <c r="FFF46" s="468"/>
      <c r="FFG46" s="468"/>
      <c r="FFH46" s="468"/>
      <c r="FFI46" s="468"/>
      <c r="FFJ46" s="468"/>
      <c r="FFK46" s="468"/>
      <c r="FFL46" s="468"/>
      <c r="FFM46" s="468"/>
      <c r="FFN46" s="468"/>
      <c r="FFO46" s="468"/>
      <c r="FFP46" s="468"/>
      <c r="FFQ46" s="468"/>
      <c r="FFR46" s="468"/>
      <c r="FFS46" s="468"/>
      <c r="FFT46" s="468"/>
      <c r="FFU46" s="468"/>
      <c r="FFV46" s="468"/>
      <c r="FFW46" s="468"/>
      <c r="FFX46" s="468"/>
      <c r="FFY46" s="468"/>
      <c r="FFZ46" s="468"/>
      <c r="FGA46" s="468"/>
      <c r="FGB46" s="468"/>
      <c r="FGC46" s="468"/>
      <c r="FGD46" s="468"/>
      <c r="FGE46" s="468"/>
      <c r="FGF46" s="468"/>
      <c r="FGG46" s="468"/>
      <c r="FGH46" s="468"/>
      <c r="FGI46" s="468"/>
      <c r="FGJ46" s="468"/>
      <c r="FGK46" s="468"/>
      <c r="FGL46" s="468"/>
      <c r="FGM46" s="468"/>
      <c r="FGN46" s="468"/>
      <c r="FGO46" s="468"/>
      <c r="FGP46" s="468"/>
      <c r="FGQ46" s="468"/>
      <c r="FGR46" s="468"/>
      <c r="FGS46" s="468"/>
      <c r="FGT46" s="468"/>
      <c r="FGU46" s="468"/>
      <c r="FGV46" s="468"/>
      <c r="FGW46" s="468"/>
      <c r="FGX46" s="468"/>
      <c r="FGY46" s="468"/>
      <c r="FGZ46" s="468"/>
      <c r="FHA46" s="468"/>
      <c r="FHB46" s="468"/>
      <c r="FHC46" s="468"/>
      <c r="FHD46" s="468"/>
      <c r="FHE46" s="468"/>
      <c r="FHF46" s="468"/>
      <c r="FHG46" s="468"/>
      <c r="FHH46" s="468"/>
      <c r="FHI46" s="468"/>
      <c r="FHJ46" s="468"/>
      <c r="FHK46" s="468"/>
      <c r="FHL46" s="468"/>
      <c r="FHM46" s="468"/>
      <c r="FHN46" s="468"/>
      <c r="FHO46" s="468"/>
      <c r="FHP46" s="468"/>
      <c r="FHQ46" s="468"/>
      <c r="FHR46" s="468"/>
      <c r="FHS46" s="468"/>
      <c r="FHT46" s="468"/>
      <c r="FHU46" s="468"/>
      <c r="FHV46" s="468"/>
      <c r="FHW46" s="468"/>
      <c r="FHX46" s="468"/>
      <c r="FHY46" s="468"/>
      <c r="FHZ46" s="468"/>
      <c r="FIA46" s="468"/>
      <c r="FIB46" s="468"/>
      <c r="FIC46" s="468"/>
      <c r="FID46" s="468"/>
      <c r="FIE46" s="468"/>
      <c r="FIF46" s="468"/>
      <c r="FIG46" s="468"/>
      <c r="FIH46" s="468"/>
      <c r="FII46" s="468"/>
      <c r="FIJ46" s="468"/>
      <c r="FIK46" s="468"/>
      <c r="FIL46" s="468"/>
      <c r="FIM46" s="468"/>
      <c r="FIN46" s="468"/>
      <c r="FIO46" s="468"/>
      <c r="FIP46" s="468"/>
      <c r="FIQ46" s="468"/>
      <c r="FIR46" s="468"/>
      <c r="FIS46" s="468"/>
      <c r="FIT46" s="468"/>
      <c r="FIU46" s="468"/>
      <c r="FIV46" s="468"/>
      <c r="FIW46" s="468"/>
      <c r="FIX46" s="468"/>
      <c r="FIY46" s="468"/>
      <c r="FIZ46" s="468"/>
      <c r="FJA46" s="468"/>
      <c r="FJB46" s="468"/>
      <c r="FJC46" s="468"/>
      <c r="FJD46" s="468"/>
      <c r="FJE46" s="468"/>
      <c r="FJF46" s="468"/>
      <c r="FJG46" s="468"/>
      <c r="FJH46" s="468"/>
      <c r="FJI46" s="468"/>
      <c r="FJJ46" s="468"/>
      <c r="FJK46" s="468"/>
      <c r="FJL46" s="468"/>
      <c r="FJM46" s="468"/>
      <c r="FJN46" s="468"/>
      <c r="FJO46" s="468"/>
      <c r="FJP46" s="468"/>
      <c r="FJQ46" s="468"/>
      <c r="FJR46" s="468"/>
      <c r="FJS46" s="468"/>
      <c r="FJT46" s="468"/>
      <c r="FJU46" s="468"/>
      <c r="FJV46" s="468"/>
      <c r="FJW46" s="468"/>
      <c r="FJX46" s="468"/>
      <c r="FJY46" s="468"/>
      <c r="FJZ46" s="468"/>
      <c r="FKA46" s="468"/>
      <c r="FKB46" s="468"/>
      <c r="FKC46" s="468"/>
      <c r="FKD46" s="468"/>
      <c r="FKE46" s="468"/>
      <c r="FKF46" s="468"/>
      <c r="FKG46" s="468"/>
      <c r="FKH46" s="468"/>
      <c r="FKI46" s="468"/>
      <c r="FKJ46" s="468"/>
      <c r="FKK46" s="468"/>
      <c r="FKL46" s="468"/>
      <c r="FKM46" s="468"/>
      <c r="FKN46" s="468"/>
      <c r="FKO46" s="468"/>
      <c r="FKP46" s="468"/>
      <c r="FKQ46" s="468"/>
      <c r="FKR46" s="468"/>
      <c r="FKS46" s="468"/>
      <c r="FKT46" s="468"/>
      <c r="FKU46" s="468"/>
      <c r="FKV46" s="468"/>
      <c r="FKW46" s="468"/>
      <c r="FKX46" s="468"/>
      <c r="FKY46" s="468"/>
      <c r="FKZ46" s="468"/>
      <c r="FLA46" s="468"/>
      <c r="FLB46" s="468"/>
      <c r="FLC46" s="468"/>
      <c r="FLD46" s="468"/>
      <c r="FLE46" s="468"/>
      <c r="FLF46" s="468"/>
      <c r="FLG46" s="468"/>
      <c r="FLH46" s="468"/>
      <c r="FLI46" s="468"/>
      <c r="FLJ46" s="468"/>
      <c r="FLK46" s="468"/>
      <c r="FLL46" s="468"/>
      <c r="FLM46" s="468"/>
      <c r="FLN46" s="468"/>
      <c r="FLO46" s="468"/>
      <c r="FLP46" s="468"/>
      <c r="FLQ46" s="468"/>
      <c r="FLR46" s="468"/>
      <c r="FLS46" s="468"/>
      <c r="FLT46" s="468"/>
      <c r="FLU46" s="468"/>
      <c r="FLV46" s="468"/>
      <c r="FLW46" s="468"/>
      <c r="FLX46" s="468"/>
      <c r="FLY46" s="468"/>
      <c r="FLZ46" s="468"/>
      <c r="FMA46" s="468"/>
      <c r="FMB46" s="468"/>
      <c r="FMC46" s="468"/>
      <c r="FMD46" s="468"/>
      <c r="FME46" s="468"/>
      <c r="FMF46" s="468"/>
      <c r="FMG46" s="468"/>
      <c r="FMH46" s="468"/>
      <c r="FMI46" s="468"/>
      <c r="FMJ46" s="468"/>
      <c r="FMK46" s="468"/>
      <c r="FML46" s="468"/>
      <c r="FMM46" s="468"/>
      <c r="FMN46" s="468"/>
      <c r="FMO46" s="468"/>
      <c r="FMP46" s="468"/>
      <c r="FMQ46" s="468"/>
      <c r="FMR46" s="468"/>
      <c r="FMS46" s="468"/>
      <c r="FMT46" s="468"/>
      <c r="FMU46" s="468"/>
      <c r="FMV46" s="468"/>
      <c r="FMW46" s="468"/>
      <c r="FMX46" s="468"/>
      <c r="FMY46" s="468"/>
      <c r="FMZ46" s="468"/>
      <c r="FNA46" s="468"/>
      <c r="FNB46" s="468"/>
      <c r="FNC46" s="468"/>
      <c r="FND46" s="468"/>
      <c r="FNE46" s="468"/>
      <c r="FNF46" s="468"/>
      <c r="FNG46" s="468"/>
      <c r="FNH46" s="468"/>
      <c r="FNI46" s="468"/>
      <c r="FNJ46" s="468"/>
      <c r="FNK46" s="468"/>
      <c r="FNL46" s="468"/>
      <c r="FNM46" s="468"/>
      <c r="FNN46" s="468"/>
      <c r="FNO46" s="468"/>
      <c r="FNP46" s="468"/>
      <c r="FNQ46" s="468"/>
      <c r="FNR46" s="468"/>
      <c r="FNS46" s="468"/>
      <c r="FNT46" s="468"/>
      <c r="FNU46" s="468"/>
      <c r="FNV46" s="468"/>
      <c r="FNW46" s="468"/>
      <c r="FNX46" s="468"/>
      <c r="FNY46" s="468"/>
      <c r="FNZ46" s="468"/>
      <c r="FOA46" s="468"/>
      <c r="FOB46" s="468"/>
      <c r="FOC46" s="468"/>
      <c r="FOD46" s="468"/>
      <c r="FOE46" s="468"/>
      <c r="FOF46" s="468"/>
      <c r="FOG46" s="468"/>
      <c r="FOH46" s="468"/>
      <c r="FOI46" s="468"/>
      <c r="FOJ46" s="468"/>
      <c r="FOK46" s="468"/>
      <c r="FOL46" s="468"/>
      <c r="FOM46" s="468"/>
      <c r="FON46" s="468"/>
      <c r="FOO46" s="468"/>
      <c r="FOP46" s="468"/>
      <c r="FOQ46" s="468"/>
      <c r="FOR46" s="468"/>
      <c r="FOS46" s="468"/>
      <c r="FOT46" s="468"/>
      <c r="FOU46" s="468"/>
      <c r="FOV46" s="468"/>
      <c r="FOW46" s="468"/>
      <c r="FOX46" s="468"/>
      <c r="FOY46" s="468"/>
      <c r="FOZ46" s="468"/>
      <c r="FPA46" s="468"/>
      <c r="FPB46" s="468"/>
      <c r="FPC46" s="468"/>
      <c r="FPD46" s="468"/>
      <c r="FPE46" s="468"/>
      <c r="FPF46" s="468"/>
      <c r="FPG46" s="468"/>
      <c r="FPH46" s="468"/>
      <c r="FPI46" s="468"/>
      <c r="FPJ46" s="468"/>
      <c r="FPK46" s="468"/>
      <c r="FPL46" s="468"/>
      <c r="FPM46" s="468"/>
      <c r="FPN46" s="468"/>
      <c r="FPO46" s="468"/>
      <c r="FPP46" s="468"/>
      <c r="FPQ46" s="468"/>
      <c r="FPR46" s="468"/>
      <c r="FPS46" s="468"/>
      <c r="FPT46" s="468"/>
      <c r="FPU46" s="468"/>
      <c r="FPV46" s="468"/>
      <c r="FPW46" s="468"/>
      <c r="FPX46" s="468"/>
      <c r="FPY46" s="468"/>
      <c r="FPZ46" s="468"/>
      <c r="FQA46" s="468"/>
      <c r="FQB46" s="468"/>
      <c r="FQC46" s="468"/>
      <c r="FQD46" s="468"/>
      <c r="FQE46" s="468"/>
      <c r="FQF46" s="468"/>
      <c r="FQG46" s="468"/>
      <c r="FQH46" s="468"/>
      <c r="FQI46" s="468"/>
      <c r="FQJ46" s="468"/>
      <c r="FQK46" s="468"/>
      <c r="FQL46" s="468"/>
      <c r="FQM46" s="468"/>
      <c r="FQN46" s="468"/>
      <c r="FQO46" s="468"/>
      <c r="FQP46" s="468"/>
      <c r="FQQ46" s="468"/>
      <c r="FQR46" s="468"/>
      <c r="FQS46" s="468"/>
      <c r="FQT46" s="468"/>
      <c r="FQU46" s="468"/>
      <c r="FQV46" s="468"/>
      <c r="FQW46" s="468"/>
      <c r="FQX46" s="468"/>
      <c r="FQY46" s="468"/>
      <c r="FQZ46" s="468"/>
      <c r="FRA46" s="468"/>
      <c r="FRB46" s="468"/>
      <c r="FRC46" s="468"/>
      <c r="FRD46" s="468"/>
      <c r="FRE46" s="468"/>
      <c r="FRF46" s="468"/>
      <c r="FRG46" s="468"/>
      <c r="FRH46" s="468"/>
      <c r="FRI46" s="468"/>
      <c r="FRJ46" s="468"/>
      <c r="FRK46" s="468"/>
      <c r="FRL46" s="468"/>
      <c r="FRM46" s="468"/>
      <c r="FRN46" s="468"/>
      <c r="FRO46" s="468"/>
      <c r="FRP46" s="468"/>
      <c r="FRQ46" s="468"/>
      <c r="FRR46" s="468"/>
      <c r="FRS46" s="468"/>
      <c r="FRT46" s="468"/>
      <c r="FRU46" s="468"/>
      <c r="FRV46" s="468"/>
      <c r="FRW46" s="468"/>
      <c r="FRX46" s="468"/>
      <c r="FRY46" s="468"/>
      <c r="FRZ46" s="468"/>
      <c r="FSA46" s="468"/>
      <c r="FSB46" s="468"/>
      <c r="FSC46" s="468"/>
      <c r="FSD46" s="468"/>
      <c r="FSE46" s="468"/>
      <c r="FSF46" s="468"/>
      <c r="FSG46" s="468"/>
      <c r="FSH46" s="468"/>
      <c r="FSI46" s="468"/>
      <c r="FSJ46" s="468"/>
      <c r="FSK46" s="468"/>
      <c r="FSL46" s="468"/>
      <c r="FSM46" s="468"/>
      <c r="FSN46" s="468"/>
      <c r="FSO46" s="468"/>
      <c r="FSP46" s="468"/>
      <c r="FSQ46" s="468"/>
      <c r="FSR46" s="468"/>
      <c r="FSS46" s="468"/>
      <c r="FST46" s="468"/>
      <c r="FSU46" s="468"/>
      <c r="FSV46" s="468"/>
      <c r="FSW46" s="468"/>
      <c r="FSX46" s="468"/>
      <c r="FSY46" s="468"/>
      <c r="FSZ46" s="468"/>
      <c r="FTA46" s="468"/>
      <c r="FTB46" s="468"/>
      <c r="FTC46" s="468"/>
      <c r="FTD46" s="468"/>
      <c r="FTE46" s="468"/>
      <c r="FTF46" s="468"/>
      <c r="FTG46" s="468"/>
      <c r="FTH46" s="468"/>
      <c r="FTI46" s="468"/>
      <c r="FTJ46" s="468"/>
      <c r="FTK46" s="468"/>
      <c r="FTL46" s="468"/>
      <c r="FTM46" s="468"/>
      <c r="FTN46" s="468"/>
      <c r="FTO46" s="468"/>
      <c r="FTP46" s="468"/>
      <c r="FTQ46" s="468"/>
      <c r="FTR46" s="468"/>
      <c r="FTS46" s="468"/>
      <c r="FTT46" s="468"/>
      <c r="FTU46" s="468"/>
      <c r="FTV46" s="468"/>
      <c r="FTW46" s="468"/>
      <c r="FTX46" s="468"/>
      <c r="FTY46" s="468"/>
      <c r="FTZ46" s="468"/>
      <c r="FUA46" s="468"/>
      <c r="FUB46" s="468"/>
      <c r="FUC46" s="468"/>
      <c r="FUD46" s="468"/>
      <c r="FUE46" s="468"/>
      <c r="FUF46" s="468"/>
      <c r="FUG46" s="468"/>
      <c r="FUH46" s="468"/>
      <c r="FUI46" s="468"/>
      <c r="FUJ46" s="468"/>
      <c r="FUK46" s="468"/>
      <c r="FUL46" s="468"/>
      <c r="FUM46" s="468"/>
      <c r="FUN46" s="468"/>
      <c r="FUO46" s="468"/>
      <c r="FUP46" s="468"/>
      <c r="FUQ46" s="468"/>
      <c r="FUR46" s="468"/>
      <c r="FUS46" s="468"/>
      <c r="FUT46" s="468"/>
      <c r="FUU46" s="468"/>
      <c r="FUV46" s="468"/>
      <c r="FUW46" s="468"/>
      <c r="FUX46" s="468"/>
      <c r="FUY46" s="468"/>
      <c r="FUZ46" s="468"/>
      <c r="FVA46" s="468"/>
      <c r="FVB46" s="468"/>
      <c r="FVC46" s="468"/>
      <c r="FVD46" s="468"/>
      <c r="FVE46" s="468"/>
      <c r="FVF46" s="468"/>
      <c r="FVG46" s="468"/>
      <c r="FVH46" s="468"/>
      <c r="FVI46" s="468"/>
      <c r="FVJ46" s="468"/>
      <c r="FVK46" s="468"/>
      <c r="FVL46" s="468"/>
      <c r="FVM46" s="468"/>
      <c r="FVN46" s="468"/>
      <c r="FVO46" s="468"/>
      <c r="FVP46" s="468"/>
      <c r="FVQ46" s="468"/>
      <c r="FVR46" s="468"/>
      <c r="FVS46" s="468"/>
      <c r="FVT46" s="468"/>
      <c r="FVU46" s="468"/>
      <c r="FVV46" s="468"/>
      <c r="FVW46" s="468"/>
      <c r="FVX46" s="468"/>
      <c r="FVY46" s="468"/>
      <c r="FVZ46" s="468"/>
      <c r="FWA46" s="468"/>
      <c r="FWB46" s="468"/>
      <c r="FWC46" s="468"/>
      <c r="FWD46" s="468"/>
      <c r="FWE46" s="468"/>
      <c r="FWF46" s="468"/>
      <c r="FWG46" s="468"/>
      <c r="FWH46" s="468"/>
      <c r="FWI46" s="468"/>
      <c r="FWJ46" s="468"/>
      <c r="FWK46" s="468"/>
      <c r="FWL46" s="468"/>
      <c r="FWM46" s="468"/>
      <c r="FWN46" s="468"/>
      <c r="FWO46" s="468"/>
      <c r="FWP46" s="468"/>
      <c r="FWQ46" s="468"/>
      <c r="FWR46" s="468"/>
      <c r="FWS46" s="468"/>
      <c r="FWT46" s="468"/>
      <c r="FWU46" s="468"/>
      <c r="FWV46" s="468"/>
      <c r="FWW46" s="468"/>
      <c r="FWX46" s="468"/>
      <c r="FWY46" s="468"/>
      <c r="FWZ46" s="468"/>
      <c r="FXA46" s="468"/>
      <c r="FXB46" s="468"/>
      <c r="FXC46" s="468"/>
      <c r="FXD46" s="468"/>
      <c r="FXE46" s="468"/>
      <c r="FXF46" s="468"/>
      <c r="FXG46" s="468"/>
      <c r="FXH46" s="468"/>
      <c r="FXI46" s="468"/>
      <c r="FXJ46" s="468"/>
      <c r="FXK46" s="468"/>
      <c r="FXL46" s="468"/>
      <c r="FXM46" s="468"/>
      <c r="FXN46" s="468"/>
      <c r="FXO46" s="468"/>
      <c r="FXP46" s="468"/>
      <c r="FXQ46" s="468"/>
      <c r="FXR46" s="468"/>
      <c r="FXS46" s="468"/>
      <c r="FXT46" s="468"/>
      <c r="FXU46" s="468"/>
      <c r="FXV46" s="468"/>
      <c r="FXW46" s="468"/>
      <c r="FXX46" s="468"/>
      <c r="FXY46" s="468"/>
      <c r="FXZ46" s="468"/>
      <c r="FYA46" s="468"/>
      <c r="FYB46" s="468"/>
      <c r="FYC46" s="468"/>
      <c r="FYD46" s="468"/>
      <c r="FYE46" s="468"/>
      <c r="FYF46" s="468"/>
      <c r="FYG46" s="468"/>
      <c r="FYH46" s="468"/>
      <c r="FYI46" s="468"/>
      <c r="FYJ46" s="468"/>
      <c r="FYK46" s="468"/>
      <c r="FYL46" s="468"/>
      <c r="FYM46" s="468"/>
      <c r="FYN46" s="468"/>
      <c r="FYO46" s="468"/>
      <c r="FYP46" s="468"/>
      <c r="FYQ46" s="468"/>
      <c r="FYR46" s="468"/>
      <c r="FYS46" s="468"/>
      <c r="FYT46" s="468"/>
      <c r="FYU46" s="468"/>
      <c r="FYV46" s="468"/>
      <c r="FYW46" s="468"/>
      <c r="FYX46" s="468"/>
      <c r="FYY46" s="468"/>
      <c r="FYZ46" s="468"/>
      <c r="FZA46" s="468"/>
      <c r="FZB46" s="468"/>
      <c r="FZC46" s="468"/>
      <c r="FZD46" s="468"/>
      <c r="FZE46" s="468"/>
      <c r="FZF46" s="468"/>
      <c r="FZG46" s="468"/>
      <c r="FZH46" s="468"/>
      <c r="FZI46" s="468"/>
      <c r="FZJ46" s="468"/>
      <c r="FZK46" s="468"/>
      <c r="FZL46" s="468"/>
      <c r="FZM46" s="468"/>
      <c r="FZN46" s="468"/>
      <c r="FZO46" s="468"/>
      <c r="FZP46" s="468"/>
      <c r="FZQ46" s="468"/>
      <c r="FZR46" s="468"/>
      <c r="FZS46" s="468"/>
      <c r="FZT46" s="468"/>
      <c r="FZU46" s="468"/>
      <c r="FZV46" s="468"/>
      <c r="FZW46" s="468"/>
      <c r="FZX46" s="468"/>
      <c r="FZY46" s="468"/>
      <c r="FZZ46" s="468"/>
      <c r="GAA46" s="468"/>
      <c r="GAB46" s="468"/>
      <c r="GAC46" s="468"/>
      <c r="GAD46" s="468"/>
      <c r="GAE46" s="468"/>
      <c r="GAF46" s="468"/>
      <c r="GAG46" s="468"/>
      <c r="GAH46" s="468"/>
      <c r="GAI46" s="468"/>
      <c r="GAJ46" s="468"/>
      <c r="GAK46" s="468"/>
      <c r="GAL46" s="468"/>
      <c r="GAM46" s="468"/>
      <c r="GAN46" s="468"/>
      <c r="GAO46" s="468"/>
      <c r="GAP46" s="468"/>
      <c r="GAQ46" s="468"/>
      <c r="GAR46" s="468"/>
      <c r="GAS46" s="468"/>
      <c r="GAT46" s="468"/>
      <c r="GAU46" s="468"/>
      <c r="GAV46" s="468"/>
      <c r="GAW46" s="468"/>
      <c r="GAX46" s="468"/>
      <c r="GAY46" s="468"/>
      <c r="GAZ46" s="468"/>
      <c r="GBA46" s="468"/>
      <c r="GBB46" s="468"/>
      <c r="GBC46" s="468"/>
      <c r="GBD46" s="468"/>
      <c r="GBE46" s="468"/>
      <c r="GBF46" s="468"/>
      <c r="GBG46" s="468"/>
      <c r="GBH46" s="468"/>
      <c r="GBI46" s="468"/>
      <c r="GBJ46" s="468"/>
      <c r="GBK46" s="468"/>
      <c r="GBL46" s="468"/>
      <c r="GBM46" s="468"/>
      <c r="GBN46" s="468"/>
      <c r="GBO46" s="468"/>
      <c r="GBP46" s="468"/>
      <c r="GBQ46" s="468"/>
      <c r="GBR46" s="468"/>
      <c r="GBS46" s="468"/>
      <c r="GBT46" s="468"/>
      <c r="GBU46" s="468"/>
      <c r="GBV46" s="468"/>
      <c r="GBW46" s="468"/>
      <c r="GBX46" s="468"/>
      <c r="GBY46" s="468"/>
      <c r="GBZ46" s="468"/>
      <c r="GCA46" s="468"/>
      <c r="GCB46" s="468"/>
      <c r="GCC46" s="468"/>
      <c r="GCD46" s="468"/>
      <c r="GCE46" s="468"/>
      <c r="GCF46" s="468"/>
      <c r="GCG46" s="468"/>
      <c r="GCH46" s="468"/>
      <c r="GCI46" s="468"/>
      <c r="GCJ46" s="468"/>
      <c r="GCK46" s="468"/>
      <c r="GCL46" s="468"/>
      <c r="GCM46" s="468"/>
      <c r="GCN46" s="468"/>
      <c r="GCO46" s="468"/>
      <c r="GCP46" s="468"/>
      <c r="GCQ46" s="468"/>
      <c r="GCR46" s="468"/>
      <c r="GCS46" s="468"/>
      <c r="GCT46" s="468"/>
      <c r="GCU46" s="468"/>
      <c r="GCV46" s="468"/>
      <c r="GCW46" s="468"/>
      <c r="GCX46" s="468"/>
      <c r="GCY46" s="468"/>
      <c r="GCZ46" s="468"/>
      <c r="GDA46" s="468"/>
      <c r="GDB46" s="468"/>
      <c r="GDC46" s="468"/>
      <c r="GDD46" s="468"/>
      <c r="GDE46" s="468"/>
      <c r="GDF46" s="468"/>
      <c r="GDG46" s="468"/>
      <c r="GDH46" s="468"/>
      <c r="GDI46" s="468"/>
      <c r="GDJ46" s="468"/>
      <c r="GDK46" s="468"/>
      <c r="GDL46" s="468"/>
      <c r="GDM46" s="468"/>
      <c r="GDN46" s="468"/>
      <c r="GDO46" s="468"/>
      <c r="GDP46" s="468"/>
      <c r="GDQ46" s="468"/>
      <c r="GDR46" s="468"/>
      <c r="GDS46" s="468"/>
      <c r="GDT46" s="468"/>
      <c r="GDU46" s="468"/>
      <c r="GDV46" s="468"/>
      <c r="GDW46" s="468"/>
      <c r="GDX46" s="468"/>
      <c r="GDY46" s="468"/>
      <c r="GDZ46" s="468"/>
      <c r="GEA46" s="468"/>
      <c r="GEB46" s="468"/>
      <c r="GEC46" s="468"/>
      <c r="GED46" s="468"/>
      <c r="GEE46" s="468"/>
      <c r="GEF46" s="468"/>
      <c r="GEG46" s="468"/>
      <c r="GEH46" s="468"/>
      <c r="GEI46" s="468"/>
      <c r="GEJ46" s="468"/>
      <c r="GEK46" s="468"/>
      <c r="GEL46" s="468"/>
      <c r="GEM46" s="468"/>
      <c r="GEN46" s="468"/>
      <c r="GEO46" s="468"/>
      <c r="GEP46" s="468"/>
      <c r="GEQ46" s="468"/>
      <c r="GER46" s="468"/>
      <c r="GES46" s="468"/>
      <c r="GET46" s="468"/>
      <c r="GEU46" s="468"/>
      <c r="GEV46" s="468"/>
      <c r="GEW46" s="468"/>
      <c r="GEX46" s="468"/>
      <c r="GEY46" s="468"/>
      <c r="GEZ46" s="468"/>
      <c r="GFA46" s="468"/>
      <c r="GFB46" s="468"/>
      <c r="GFC46" s="468"/>
      <c r="GFD46" s="468"/>
      <c r="GFE46" s="468"/>
      <c r="GFF46" s="468"/>
      <c r="GFG46" s="468"/>
      <c r="GFH46" s="468"/>
      <c r="GFI46" s="468"/>
      <c r="GFJ46" s="468"/>
      <c r="GFK46" s="468"/>
      <c r="GFL46" s="468"/>
      <c r="GFM46" s="468"/>
      <c r="GFN46" s="468"/>
      <c r="GFO46" s="468"/>
      <c r="GFP46" s="468"/>
      <c r="GFQ46" s="468"/>
      <c r="GFR46" s="468"/>
      <c r="GFS46" s="468"/>
      <c r="GFT46" s="468"/>
      <c r="GFU46" s="468"/>
      <c r="GFV46" s="468"/>
      <c r="GFW46" s="468"/>
      <c r="GFX46" s="468"/>
      <c r="GFY46" s="468"/>
      <c r="GFZ46" s="468"/>
      <c r="GGA46" s="468"/>
      <c r="GGB46" s="468"/>
      <c r="GGC46" s="468"/>
      <c r="GGD46" s="468"/>
      <c r="GGE46" s="468"/>
      <c r="GGF46" s="468"/>
      <c r="GGG46" s="468"/>
      <c r="GGH46" s="468"/>
      <c r="GGI46" s="468"/>
      <c r="GGJ46" s="468"/>
      <c r="GGK46" s="468"/>
      <c r="GGL46" s="468"/>
      <c r="GGM46" s="468"/>
      <c r="GGN46" s="468"/>
      <c r="GGO46" s="468"/>
      <c r="GGP46" s="468"/>
      <c r="GGQ46" s="468"/>
      <c r="GGR46" s="468"/>
      <c r="GGS46" s="468"/>
      <c r="GGT46" s="468"/>
      <c r="GGU46" s="468"/>
      <c r="GGV46" s="468"/>
      <c r="GGW46" s="468"/>
      <c r="GGX46" s="468"/>
      <c r="GGY46" s="468"/>
      <c r="GGZ46" s="468"/>
      <c r="GHA46" s="468"/>
      <c r="GHB46" s="468"/>
      <c r="GHC46" s="468"/>
      <c r="GHD46" s="468"/>
      <c r="GHE46" s="468"/>
      <c r="GHF46" s="468"/>
      <c r="GHG46" s="468"/>
      <c r="GHH46" s="468"/>
      <c r="GHI46" s="468"/>
      <c r="GHJ46" s="468"/>
      <c r="GHK46" s="468"/>
      <c r="GHL46" s="468"/>
      <c r="GHM46" s="468"/>
      <c r="GHN46" s="468"/>
      <c r="GHO46" s="468"/>
      <c r="GHP46" s="468"/>
      <c r="GHQ46" s="468"/>
      <c r="GHR46" s="468"/>
      <c r="GHS46" s="468"/>
      <c r="GHT46" s="468"/>
      <c r="GHU46" s="468"/>
      <c r="GHV46" s="468"/>
      <c r="GHW46" s="468"/>
      <c r="GHX46" s="468"/>
      <c r="GHY46" s="468"/>
      <c r="GHZ46" s="468"/>
      <c r="GIA46" s="468"/>
      <c r="GIB46" s="468"/>
      <c r="GIC46" s="468"/>
      <c r="GID46" s="468"/>
      <c r="GIE46" s="468"/>
      <c r="GIF46" s="468"/>
      <c r="GIG46" s="468"/>
      <c r="GIH46" s="468"/>
      <c r="GII46" s="468"/>
      <c r="GIJ46" s="468"/>
      <c r="GIK46" s="468"/>
      <c r="GIL46" s="468"/>
      <c r="GIM46" s="468"/>
      <c r="GIN46" s="468"/>
      <c r="GIO46" s="468"/>
      <c r="GIP46" s="468"/>
      <c r="GIQ46" s="468"/>
      <c r="GIR46" s="468"/>
      <c r="GIS46" s="468"/>
      <c r="GIT46" s="468"/>
      <c r="GIU46" s="468"/>
      <c r="GIV46" s="468"/>
      <c r="GIW46" s="468"/>
      <c r="GIX46" s="468"/>
      <c r="GIY46" s="468"/>
      <c r="GIZ46" s="468"/>
      <c r="GJA46" s="468"/>
      <c r="GJB46" s="468"/>
      <c r="GJC46" s="468"/>
      <c r="GJD46" s="468"/>
      <c r="GJE46" s="468"/>
      <c r="GJF46" s="468"/>
      <c r="GJG46" s="468"/>
      <c r="GJH46" s="468"/>
      <c r="GJI46" s="468"/>
      <c r="GJJ46" s="468"/>
      <c r="GJK46" s="468"/>
      <c r="GJL46" s="468"/>
      <c r="GJM46" s="468"/>
      <c r="GJN46" s="468"/>
      <c r="GJO46" s="468"/>
      <c r="GJP46" s="468"/>
      <c r="GJQ46" s="468"/>
      <c r="GJR46" s="468"/>
      <c r="GJS46" s="468"/>
      <c r="GJT46" s="468"/>
      <c r="GJU46" s="468"/>
      <c r="GJV46" s="468"/>
      <c r="GJW46" s="468"/>
      <c r="GJX46" s="468"/>
      <c r="GJY46" s="468"/>
      <c r="GJZ46" s="468"/>
      <c r="GKA46" s="468"/>
      <c r="GKB46" s="468"/>
      <c r="GKC46" s="468"/>
      <c r="GKD46" s="468"/>
      <c r="GKE46" s="468"/>
      <c r="GKF46" s="468"/>
      <c r="GKG46" s="468"/>
      <c r="GKH46" s="468"/>
      <c r="GKI46" s="468"/>
      <c r="GKJ46" s="468"/>
      <c r="GKK46" s="468"/>
      <c r="GKL46" s="468"/>
      <c r="GKM46" s="468"/>
      <c r="GKN46" s="468"/>
      <c r="GKO46" s="468"/>
      <c r="GKP46" s="468"/>
      <c r="GKQ46" s="468"/>
      <c r="GKR46" s="468"/>
      <c r="GKS46" s="468"/>
      <c r="GKT46" s="468"/>
      <c r="GKU46" s="468"/>
      <c r="GKV46" s="468"/>
      <c r="GKW46" s="468"/>
      <c r="GKX46" s="468"/>
      <c r="GKY46" s="468"/>
      <c r="GKZ46" s="468"/>
      <c r="GLA46" s="468"/>
      <c r="GLB46" s="468"/>
      <c r="GLC46" s="468"/>
      <c r="GLD46" s="468"/>
      <c r="GLE46" s="468"/>
      <c r="GLF46" s="468"/>
      <c r="GLG46" s="468"/>
      <c r="GLH46" s="468"/>
      <c r="GLI46" s="468"/>
      <c r="GLJ46" s="468"/>
      <c r="GLK46" s="468"/>
      <c r="GLL46" s="468"/>
      <c r="GLM46" s="468"/>
      <c r="GLN46" s="468"/>
      <c r="GLO46" s="468"/>
      <c r="GLP46" s="468"/>
      <c r="GLQ46" s="468"/>
      <c r="GLR46" s="468"/>
      <c r="GLS46" s="468"/>
      <c r="GLT46" s="468"/>
      <c r="GLU46" s="468"/>
      <c r="GLV46" s="468"/>
      <c r="GLW46" s="468"/>
      <c r="GLX46" s="468"/>
      <c r="GLY46" s="468"/>
      <c r="GLZ46" s="468"/>
      <c r="GMA46" s="468"/>
      <c r="GMB46" s="468"/>
      <c r="GMC46" s="468"/>
      <c r="GMD46" s="468"/>
      <c r="GME46" s="468"/>
      <c r="GMF46" s="468"/>
      <c r="GMG46" s="468"/>
      <c r="GMH46" s="468"/>
      <c r="GMI46" s="468"/>
      <c r="GMJ46" s="468"/>
      <c r="GMK46" s="468"/>
      <c r="GML46" s="468"/>
      <c r="GMM46" s="468"/>
      <c r="GMN46" s="468"/>
      <c r="GMO46" s="468"/>
      <c r="GMP46" s="468"/>
      <c r="GMQ46" s="468"/>
      <c r="GMR46" s="468"/>
      <c r="GMS46" s="468"/>
      <c r="GMT46" s="468"/>
      <c r="GMU46" s="468"/>
      <c r="GMV46" s="468"/>
      <c r="GMW46" s="468"/>
      <c r="GMX46" s="468"/>
      <c r="GMY46" s="468"/>
      <c r="GMZ46" s="468"/>
      <c r="GNA46" s="468"/>
      <c r="GNB46" s="468"/>
      <c r="GNC46" s="468"/>
      <c r="GND46" s="468"/>
      <c r="GNE46" s="468"/>
      <c r="GNF46" s="468"/>
      <c r="GNG46" s="468"/>
      <c r="GNH46" s="468"/>
      <c r="GNI46" s="468"/>
      <c r="GNJ46" s="468"/>
      <c r="GNK46" s="468"/>
      <c r="GNL46" s="468"/>
      <c r="GNM46" s="468"/>
      <c r="GNN46" s="468"/>
      <c r="GNO46" s="468"/>
      <c r="GNP46" s="468"/>
      <c r="GNQ46" s="468"/>
      <c r="GNR46" s="468"/>
      <c r="GNS46" s="468"/>
      <c r="GNT46" s="468"/>
      <c r="GNU46" s="468"/>
      <c r="GNV46" s="468"/>
      <c r="GNW46" s="468"/>
      <c r="GNX46" s="468"/>
      <c r="GNY46" s="468"/>
      <c r="GNZ46" s="468"/>
      <c r="GOA46" s="468"/>
      <c r="GOB46" s="468"/>
      <c r="GOC46" s="468"/>
      <c r="GOD46" s="468"/>
      <c r="GOE46" s="468"/>
      <c r="GOF46" s="468"/>
      <c r="GOG46" s="468"/>
      <c r="GOH46" s="468"/>
      <c r="GOI46" s="468"/>
      <c r="GOJ46" s="468"/>
      <c r="GOK46" s="468"/>
      <c r="GOL46" s="468"/>
      <c r="GOM46" s="468"/>
      <c r="GON46" s="468"/>
      <c r="GOO46" s="468"/>
      <c r="GOP46" s="468"/>
      <c r="GOQ46" s="468"/>
      <c r="GOR46" s="468"/>
      <c r="GOS46" s="468"/>
      <c r="GOT46" s="468"/>
      <c r="GOU46" s="468"/>
      <c r="GOV46" s="468"/>
      <c r="GOW46" s="468"/>
      <c r="GOX46" s="468"/>
      <c r="GOY46" s="468"/>
      <c r="GOZ46" s="468"/>
      <c r="GPA46" s="468"/>
      <c r="GPB46" s="468"/>
      <c r="GPC46" s="468"/>
      <c r="GPD46" s="468"/>
      <c r="GPE46" s="468"/>
      <c r="GPF46" s="468"/>
      <c r="GPG46" s="468"/>
      <c r="GPH46" s="468"/>
      <c r="GPI46" s="468"/>
      <c r="GPJ46" s="468"/>
      <c r="GPK46" s="468"/>
      <c r="GPL46" s="468"/>
      <c r="GPM46" s="468"/>
      <c r="GPN46" s="468"/>
      <c r="GPO46" s="468"/>
      <c r="GPP46" s="468"/>
      <c r="GPQ46" s="468"/>
      <c r="GPR46" s="468"/>
      <c r="GPS46" s="468"/>
      <c r="GPT46" s="468"/>
      <c r="GPU46" s="468"/>
      <c r="GPV46" s="468"/>
      <c r="GPW46" s="468"/>
      <c r="GPX46" s="468"/>
      <c r="GPY46" s="468"/>
      <c r="GPZ46" s="468"/>
      <c r="GQA46" s="468"/>
      <c r="GQB46" s="468"/>
      <c r="GQC46" s="468"/>
      <c r="GQD46" s="468"/>
      <c r="GQE46" s="468"/>
      <c r="GQF46" s="468"/>
      <c r="GQG46" s="468"/>
      <c r="GQH46" s="468"/>
      <c r="GQI46" s="468"/>
      <c r="GQJ46" s="468"/>
      <c r="GQK46" s="468"/>
      <c r="GQL46" s="468"/>
      <c r="GQM46" s="468"/>
      <c r="GQN46" s="468"/>
      <c r="GQO46" s="468"/>
      <c r="GQP46" s="468"/>
      <c r="GQQ46" s="468"/>
      <c r="GQR46" s="468"/>
      <c r="GQS46" s="468"/>
      <c r="GQT46" s="468"/>
      <c r="GQU46" s="468"/>
      <c r="GQV46" s="468"/>
      <c r="GQW46" s="468"/>
      <c r="GQX46" s="468"/>
      <c r="GQY46" s="468"/>
      <c r="GQZ46" s="468"/>
      <c r="GRA46" s="468"/>
      <c r="GRB46" s="468"/>
      <c r="GRC46" s="468"/>
      <c r="GRD46" s="468"/>
      <c r="GRE46" s="468"/>
      <c r="GRF46" s="468"/>
      <c r="GRG46" s="468"/>
      <c r="GRH46" s="468"/>
      <c r="GRI46" s="468"/>
      <c r="GRJ46" s="468"/>
      <c r="GRK46" s="468"/>
      <c r="GRL46" s="468"/>
      <c r="GRM46" s="468"/>
      <c r="GRN46" s="468"/>
      <c r="GRO46" s="468"/>
      <c r="GRP46" s="468"/>
      <c r="GRQ46" s="468"/>
      <c r="GRR46" s="468"/>
      <c r="GRS46" s="468"/>
      <c r="GRT46" s="468"/>
      <c r="GRU46" s="468"/>
      <c r="GRV46" s="468"/>
      <c r="GRW46" s="468"/>
      <c r="GRX46" s="468"/>
      <c r="GRY46" s="468"/>
      <c r="GRZ46" s="468"/>
      <c r="GSA46" s="468"/>
      <c r="GSB46" s="468"/>
      <c r="GSC46" s="468"/>
      <c r="GSD46" s="468"/>
      <c r="GSE46" s="468"/>
      <c r="GSF46" s="468"/>
      <c r="GSG46" s="468"/>
      <c r="GSH46" s="468"/>
      <c r="GSI46" s="468"/>
      <c r="GSJ46" s="468"/>
      <c r="GSK46" s="468"/>
      <c r="GSL46" s="468"/>
      <c r="GSM46" s="468"/>
      <c r="GSN46" s="468"/>
      <c r="GSO46" s="468"/>
      <c r="GSP46" s="468"/>
      <c r="GSQ46" s="468"/>
      <c r="GSR46" s="468"/>
      <c r="GSS46" s="468"/>
      <c r="GST46" s="468"/>
      <c r="GSU46" s="468"/>
      <c r="GSV46" s="468"/>
      <c r="GSW46" s="468"/>
      <c r="GSX46" s="468"/>
      <c r="GSY46" s="468"/>
      <c r="GSZ46" s="468"/>
      <c r="GTA46" s="468"/>
      <c r="GTB46" s="468"/>
      <c r="GTC46" s="468"/>
      <c r="GTD46" s="468"/>
      <c r="GTE46" s="468"/>
      <c r="GTF46" s="468"/>
      <c r="GTG46" s="468"/>
      <c r="GTH46" s="468"/>
      <c r="GTI46" s="468"/>
      <c r="GTJ46" s="468"/>
      <c r="GTK46" s="468"/>
      <c r="GTL46" s="468"/>
      <c r="GTM46" s="468"/>
      <c r="GTN46" s="468"/>
      <c r="GTO46" s="468"/>
      <c r="GTP46" s="468"/>
      <c r="GTQ46" s="468"/>
      <c r="GTR46" s="468"/>
      <c r="GTS46" s="468"/>
      <c r="GTT46" s="468"/>
      <c r="GTU46" s="468"/>
      <c r="GTV46" s="468"/>
      <c r="GTW46" s="468"/>
      <c r="GTX46" s="468"/>
      <c r="GTY46" s="468"/>
      <c r="GTZ46" s="468"/>
      <c r="GUA46" s="468"/>
      <c r="GUB46" s="468"/>
      <c r="GUC46" s="468"/>
      <c r="GUD46" s="468"/>
      <c r="GUE46" s="468"/>
      <c r="GUF46" s="468"/>
      <c r="GUG46" s="468"/>
      <c r="GUH46" s="468"/>
      <c r="GUI46" s="468"/>
      <c r="GUJ46" s="468"/>
      <c r="GUK46" s="468"/>
      <c r="GUL46" s="468"/>
      <c r="GUM46" s="468"/>
      <c r="GUN46" s="468"/>
      <c r="GUO46" s="468"/>
      <c r="GUP46" s="468"/>
      <c r="GUQ46" s="468"/>
      <c r="GUR46" s="468"/>
      <c r="GUS46" s="468"/>
      <c r="GUT46" s="468"/>
      <c r="GUU46" s="468"/>
      <c r="GUV46" s="468"/>
      <c r="GUW46" s="468"/>
      <c r="GUX46" s="468"/>
      <c r="GUY46" s="468"/>
      <c r="GUZ46" s="468"/>
      <c r="GVA46" s="468"/>
      <c r="GVB46" s="468"/>
      <c r="GVC46" s="468"/>
      <c r="GVD46" s="468"/>
      <c r="GVE46" s="468"/>
      <c r="GVF46" s="468"/>
      <c r="GVG46" s="468"/>
      <c r="GVH46" s="468"/>
      <c r="GVI46" s="468"/>
      <c r="GVJ46" s="468"/>
      <c r="GVK46" s="468"/>
      <c r="GVL46" s="468"/>
      <c r="GVM46" s="468"/>
      <c r="GVN46" s="468"/>
      <c r="GVO46" s="468"/>
      <c r="GVP46" s="468"/>
      <c r="GVQ46" s="468"/>
      <c r="GVR46" s="468"/>
      <c r="GVS46" s="468"/>
      <c r="GVT46" s="468"/>
      <c r="GVU46" s="468"/>
      <c r="GVV46" s="468"/>
      <c r="GVW46" s="468"/>
      <c r="GVX46" s="468"/>
      <c r="GVY46" s="468"/>
      <c r="GVZ46" s="468"/>
      <c r="GWA46" s="468"/>
      <c r="GWB46" s="468"/>
      <c r="GWC46" s="468"/>
      <c r="GWD46" s="468"/>
      <c r="GWE46" s="468"/>
      <c r="GWF46" s="468"/>
      <c r="GWG46" s="468"/>
      <c r="GWH46" s="468"/>
      <c r="GWI46" s="468"/>
      <c r="GWJ46" s="468"/>
      <c r="GWK46" s="468"/>
      <c r="GWL46" s="468"/>
      <c r="GWM46" s="468"/>
      <c r="GWN46" s="468"/>
      <c r="GWO46" s="468"/>
      <c r="GWP46" s="468"/>
      <c r="GWQ46" s="468"/>
      <c r="GWR46" s="468"/>
      <c r="GWS46" s="468"/>
      <c r="GWT46" s="468"/>
      <c r="GWU46" s="468"/>
      <c r="GWV46" s="468"/>
      <c r="GWW46" s="468"/>
      <c r="GWX46" s="468"/>
      <c r="GWY46" s="468"/>
      <c r="GWZ46" s="468"/>
      <c r="GXA46" s="468"/>
      <c r="GXB46" s="468"/>
      <c r="GXC46" s="468"/>
      <c r="GXD46" s="468"/>
      <c r="GXE46" s="468"/>
      <c r="GXF46" s="468"/>
      <c r="GXG46" s="468"/>
      <c r="GXH46" s="468"/>
      <c r="GXI46" s="468"/>
      <c r="GXJ46" s="468"/>
      <c r="GXK46" s="468"/>
      <c r="GXL46" s="468"/>
      <c r="GXM46" s="468"/>
      <c r="GXN46" s="468"/>
      <c r="GXO46" s="468"/>
      <c r="GXP46" s="468"/>
      <c r="GXQ46" s="468"/>
      <c r="GXR46" s="468"/>
      <c r="GXS46" s="468"/>
      <c r="GXT46" s="468"/>
      <c r="GXU46" s="468"/>
      <c r="GXV46" s="468"/>
      <c r="GXW46" s="468"/>
      <c r="GXX46" s="468"/>
      <c r="GXY46" s="468"/>
      <c r="GXZ46" s="468"/>
      <c r="GYA46" s="468"/>
      <c r="GYB46" s="468"/>
      <c r="GYC46" s="468"/>
      <c r="GYD46" s="468"/>
      <c r="GYE46" s="468"/>
      <c r="GYF46" s="468"/>
      <c r="GYG46" s="468"/>
      <c r="GYH46" s="468"/>
      <c r="GYI46" s="468"/>
      <c r="GYJ46" s="468"/>
      <c r="GYK46" s="468"/>
      <c r="GYL46" s="468"/>
      <c r="GYM46" s="468"/>
      <c r="GYN46" s="468"/>
      <c r="GYO46" s="468"/>
      <c r="GYP46" s="468"/>
      <c r="GYQ46" s="468"/>
      <c r="GYR46" s="468"/>
      <c r="GYS46" s="468"/>
      <c r="GYT46" s="468"/>
      <c r="GYU46" s="468"/>
      <c r="GYV46" s="468"/>
      <c r="GYW46" s="468"/>
      <c r="GYX46" s="468"/>
      <c r="GYY46" s="468"/>
      <c r="GYZ46" s="468"/>
      <c r="GZA46" s="468"/>
      <c r="GZB46" s="468"/>
      <c r="GZC46" s="468"/>
      <c r="GZD46" s="468"/>
      <c r="GZE46" s="468"/>
      <c r="GZF46" s="468"/>
      <c r="GZG46" s="468"/>
      <c r="GZH46" s="468"/>
      <c r="GZI46" s="468"/>
      <c r="GZJ46" s="468"/>
      <c r="GZK46" s="468"/>
      <c r="GZL46" s="468"/>
      <c r="GZM46" s="468"/>
      <c r="GZN46" s="468"/>
      <c r="GZO46" s="468"/>
      <c r="GZP46" s="468"/>
      <c r="GZQ46" s="468"/>
      <c r="GZR46" s="468"/>
      <c r="GZS46" s="468"/>
      <c r="GZT46" s="468"/>
      <c r="GZU46" s="468"/>
      <c r="GZV46" s="468"/>
      <c r="GZW46" s="468"/>
      <c r="GZX46" s="468"/>
      <c r="GZY46" s="468"/>
      <c r="GZZ46" s="468"/>
      <c r="HAA46" s="468"/>
      <c r="HAB46" s="468"/>
      <c r="HAC46" s="468"/>
      <c r="HAD46" s="468"/>
      <c r="HAE46" s="468"/>
      <c r="HAF46" s="468"/>
      <c r="HAG46" s="468"/>
      <c r="HAH46" s="468"/>
      <c r="HAI46" s="468"/>
      <c r="HAJ46" s="468"/>
      <c r="HAK46" s="468"/>
      <c r="HAL46" s="468"/>
      <c r="HAM46" s="468"/>
      <c r="HAN46" s="468"/>
      <c r="HAO46" s="468"/>
      <c r="HAP46" s="468"/>
      <c r="HAQ46" s="468"/>
      <c r="HAR46" s="468"/>
      <c r="HAS46" s="468"/>
      <c r="HAT46" s="468"/>
      <c r="HAU46" s="468"/>
      <c r="HAV46" s="468"/>
      <c r="HAW46" s="468"/>
      <c r="HAX46" s="468"/>
      <c r="HAY46" s="468"/>
      <c r="HAZ46" s="468"/>
      <c r="HBA46" s="468"/>
      <c r="HBB46" s="468"/>
      <c r="HBC46" s="468"/>
      <c r="HBD46" s="468"/>
      <c r="HBE46" s="468"/>
      <c r="HBF46" s="468"/>
      <c r="HBG46" s="468"/>
      <c r="HBH46" s="468"/>
      <c r="HBI46" s="468"/>
      <c r="HBJ46" s="468"/>
      <c r="HBK46" s="468"/>
      <c r="HBL46" s="468"/>
      <c r="HBM46" s="468"/>
      <c r="HBN46" s="468"/>
      <c r="HBO46" s="468"/>
      <c r="HBP46" s="468"/>
      <c r="HBQ46" s="468"/>
      <c r="HBR46" s="468"/>
      <c r="HBS46" s="468"/>
      <c r="HBT46" s="468"/>
      <c r="HBU46" s="468"/>
      <c r="HBV46" s="468"/>
      <c r="HBW46" s="468"/>
      <c r="HBX46" s="468"/>
      <c r="HBY46" s="468"/>
      <c r="HBZ46" s="468"/>
      <c r="HCA46" s="468"/>
      <c r="HCB46" s="468"/>
      <c r="HCC46" s="468"/>
      <c r="HCD46" s="468"/>
      <c r="HCE46" s="468"/>
      <c r="HCF46" s="468"/>
      <c r="HCG46" s="468"/>
      <c r="HCH46" s="468"/>
      <c r="HCI46" s="468"/>
      <c r="HCJ46" s="468"/>
      <c r="HCK46" s="468"/>
      <c r="HCL46" s="468"/>
      <c r="HCM46" s="468"/>
      <c r="HCN46" s="468"/>
      <c r="HCO46" s="468"/>
      <c r="HCP46" s="468"/>
      <c r="HCQ46" s="468"/>
      <c r="HCR46" s="468"/>
      <c r="HCS46" s="468"/>
      <c r="HCT46" s="468"/>
      <c r="HCU46" s="468"/>
      <c r="HCV46" s="468"/>
      <c r="HCW46" s="468"/>
      <c r="HCX46" s="468"/>
      <c r="HCY46" s="468"/>
      <c r="HCZ46" s="468"/>
      <c r="HDA46" s="468"/>
      <c r="HDB46" s="468"/>
      <c r="HDC46" s="468"/>
      <c r="HDD46" s="468"/>
      <c r="HDE46" s="468"/>
      <c r="HDF46" s="468"/>
      <c r="HDG46" s="468"/>
      <c r="HDH46" s="468"/>
      <c r="HDI46" s="468"/>
      <c r="HDJ46" s="468"/>
      <c r="HDK46" s="468"/>
      <c r="HDL46" s="468"/>
      <c r="HDM46" s="468"/>
      <c r="HDN46" s="468"/>
      <c r="HDO46" s="468"/>
      <c r="HDP46" s="468"/>
      <c r="HDQ46" s="468"/>
      <c r="HDR46" s="468"/>
      <c r="HDS46" s="468"/>
      <c r="HDT46" s="468"/>
      <c r="HDU46" s="468"/>
      <c r="HDV46" s="468"/>
      <c r="HDW46" s="468"/>
      <c r="HDX46" s="468"/>
      <c r="HDY46" s="468"/>
      <c r="HDZ46" s="468"/>
      <c r="HEA46" s="468"/>
      <c r="HEB46" s="468"/>
      <c r="HEC46" s="468"/>
      <c r="HED46" s="468"/>
      <c r="HEE46" s="468"/>
      <c r="HEF46" s="468"/>
      <c r="HEG46" s="468"/>
      <c r="HEH46" s="468"/>
      <c r="HEI46" s="468"/>
      <c r="HEJ46" s="468"/>
      <c r="HEK46" s="468"/>
      <c r="HEL46" s="468"/>
      <c r="HEM46" s="468"/>
      <c r="HEN46" s="468"/>
      <c r="HEO46" s="468"/>
      <c r="HEP46" s="468"/>
      <c r="HEQ46" s="468"/>
      <c r="HER46" s="468"/>
      <c r="HES46" s="468"/>
      <c r="HET46" s="468"/>
      <c r="HEU46" s="468"/>
      <c r="HEV46" s="468"/>
      <c r="HEW46" s="468"/>
      <c r="HEX46" s="468"/>
      <c r="HEY46" s="468"/>
      <c r="HEZ46" s="468"/>
      <c r="HFA46" s="468"/>
      <c r="HFB46" s="468"/>
      <c r="HFC46" s="468"/>
      <c r="HFD46" s="468"/>
      <c r="HFE46" s="468"/>
      <c r="HFF46" s="468"/>
      <c r="HFG46" s="468"/>
      <c r="HFH46" s="468"/>
      <c r="HFI46" s="468"/>
      <c r="HFJ46" s="468"/>
      <c r="HFK46" s="468"/>
      <c r="HFL46" s="468"/>
      <c r="HFM46" s="468"/>
      <c r="HFN46" s="468"/>
      <c r="HFO46" s="468"/>
      <c r="HFP46" s="468"/>
      <c r="HFQ46" s="468"/>
      <c r="HFR46" s="468"/>
      <c r="HFS46" s="468"/>
      <c r="HFT46" s="468"/>
      <c r="HFU46" s="468"/>
      <c r="HFV46" s="468"/>
      <c r="HFW46" s="468"/>
      <c r="HFX46" s="468"/>
      <c r="HFY46" s="468"/>
      <c r="HFZ46" s="468"/>
      <c r="HGA46" s="468"/>
      <c r="HGB46" s="468"/>
      <c r="HGC46" s="468"/>
      <c r="HGD46" s="468"/>
      <c r="HGE46" s="468"/>
      <c r="HGF46" s="468"/>
      <c r="HGG46" s="468"/>
      <c r="HGH46" s="468"/>
      <c r="HGI46" s="468"/>
      <c r="HGJ46" s="468"/>
      <c r="HGK46" s="468"/>
      <c r="HGL46" s="468"/>
      <c r="HGM46" s="468"/>
      <c r="HGN46" s="468"/>
      <c r="HGO46" s="468"/>
      <c r="HGP46" s="468"/>
      <c r="HGQ46" s="468"/>
      <c r="HGR46" s="468"/>
      <c r="HGS46" s="468"/>
      <c r="HGT46" s="468"/>
      <c r="HGU46" s="468"/>
      <c r="HGV46" s="468"/>
      <c r="HGW46" s="468"/>
      <c r="HGX46" s="468"/>
      <c r="HGY46" s="468"/>
      <c r="HGZ46" s="468"/>
      <c r="HHA46" s="468"/>
      <c r="HHB46" s="468"/>
      <c r="HHC46" s="468"/>
      <c r="HHD46" s="468"/>
      <c r="HHE46" s="468"/>
      <c r="HHF46" s="468"/>
      <c r="HHG46" s="468"/>
      <c r="HHH46" s="468"/>
      <c r="HHI46" s="468"/>
      <c r="HHJ46" s="468"/>
      <c r="HHK46" s="468"/>
      <c r="HHL46" s="468"/>
      <c r="HHM46" s="468"/>
      <c r="HHN46" s="468"/>
      <c r="HHO46" s="468"/>
      <c r="HHP46" s="468"/>
      <c r="HHQ46" s="468"/>
      <c r="HHR46" s="468"/>
      <c r="HHS46" s="468"/>
      <c r="HHT46" s="468"/>
      <c r="HHU46" s="468"/>
      <c r="HHV46" s="468"/>
      <c r="HHW46" s="468"/>
      <c r="HHX46" s="468"/>
      <c r="HHY46" s="468"/>
      <c r="HHZ46" s="468"/>
      <c r="HIA46" s="468"/>
      <c r="HIB46" s="468"/>
      <c r="HIC46" s="468"/>
      <c r="HID46" s="468"/>
      <c r="HIE46" s="468"/>
      <c r="HIF46" s="468"/>
      <c r="HIG46" s="468"/>
      <c r="HIH46" s="468"/>
      <c r="HII46" s="468"/>
      <c r="HIJ46" s="468"/>
      <c r="HIK46" s="468"/>
      <c r="HIL46" s="468"/>
      <c r="HIM46" s="468"/>
      <c r="HIN46" s="468"/>
      <c r="HIO46" s="468"/>
      <c r="HIP46" s="468"/>
      <c r="HIQ46" s="468"/>
      <c r="HIR46" s="468"/>
      <c r="HIS46" s="468"/>
      <c r="HIT46" s="468"/>
      <c r="HIU46" s="468"/>
      <c r="HIV46" s="468"/>
      <c r="HIW46" s="468"/>
      <c r="HIX46" s="468"/>
      <c r="HIY46" s="468"/>
      <c r="HIZ46" s="468"/>
      <c r="HJA46" s="468"/>
      <c r="HJB46" s="468"/>
      <c r="HJC46" s="468"/>
      <c r="HJD46" s="468"/>
      <c r="HJE46" s="468"/>
      <c r="HJF46" s="468"/>
      <c r="HJG46" s="468"/>
      <c r="HJH46" s="468"/>
      <c r="HJI46" s="468"/>
      <c r="HJJ46" s="468"/>
      <c r="HJK46" s="468"/>
      <c r="HJL46" s="468"/>
      <c r="HJM46" s="468"/>
      <c r="HJN46" s="468"/>
      <c r="HJO46" s="468"/>
      <c r="HJP46" s="468"/>
      <c r="HJQ46" s="468"/>
      <c r="HJR46" s="468"/>
      <c r="HJS46" s="468"/>
      <c r="HJT46" s="468"/>
      <c r="HJU46" s="468"/>
      <c r="HJV46" s="468"/>
      <c r="HJW46" s="468"/>
      <c r="HJX46" s="468"/>
      <c r="HJY46" s="468"/>
      <c r="HJZ46" s="468"/>
      <c r="HKA46" s="468"/>
      <c r="HKB46" s="468"/>
      <c r="HKC46" s="468"/>
      <c r="HKD46" s="468"/>
      <c r="HKE46" s="468"/>
      <c r="HKF46" s="468"/>
      <c r="HKG46" s="468"/>
      <c r="HKH46" s="468"/>
      <c r="HKI46" s="468"/>
      <c r="HKJ46" s="468"/>
      <c r="HKK46" s="468"/>
      <c r="HKL46" s="468"/>
      <c r="HKM46" s="468"/>
      <c r="HKN46" s="468"/>
      <c r="HKO46" s="468"/>
      <c r="HKP46" s="468"/>
      <c r="HKQ46" s="468"/>
      <c r="HKR46" s="468"/>
      <c r="HKS46" s="468"/>
      <c r="HKT46" s="468"/>
      <c r="HKU46" s="468"/>
      <c r="HKV46" s="468"/>
      <c r="HKW46" s="468"/>
      <c r="HKX46" s="468"/>
      <c r="HKY46" s="468"/>
      <c r="HKZ46" s="468"/>
      <c r="HLA46" s="468"/>
      <c r="HLB46" s="468"/>
      <c r="HLC46" s="468"/>
      <c r="HLD46" s="468"/>
      <c r="HLE46" s="468"/>
      <c r="HLF46" s="468"/>
      <c r="HLG46" s="468"/>
      <c r="HLH46" s="468"/>
      <c r="HLI46" s="468"/>
      <c r="HLJ46" s="468"/>
      <c r="HLK46" s="468"/>
      <c r="HLL46" s="468"/>
      <c r="HLM46" s="468"/>
      <c r="HLN46" s="468"/>
      <c r="HLO46" s="468"/>
      <c r="HLP46" s="468"/>
      <c r="HLQ46" s="468"/>
      <c r="HLR46" s="468"/>
      <c r="HLS46" s="468"/>
      <c r="HLT46" s="468"/>
      <c r="HLU46" s="468"/>
      <c r="HLV46" s="468"/>
      <c r="HLW46" s="468"/>
      <c r="HLX46" s="468"/>
      <c r="HLY46" s="468"/>
      <c r="HLZ46" s="468"/>
      <c r="HMA46" s="468"/>
      <c r="HMB46" s="468"/>
      <c r="HMC46" s="468"/>
      <c r="HMD46" s="468"/>
      <c r="HME46" s="468"/>
      <c r="HMF46" s="468"/>
      <c r="HMG46" s="468"/>
      <c r="HMH46" s="468"/>
      <c r="HMI46" s="468"/>
      <c r="HMJ46" s="468"/>
      <c r="HMK46" s="468"/>
      <c r="HML46" s="468"/>
      <c r="HMM46" s="468"/>
      <c r="HMN46" s="468"/>
      <c r="HMO46" s="468"/>
      <c r="HMP46" s="468"/>
      <c r="HMQ46" s="468"/>
      <c r="HMR46" s="468"/>
      <c r="HMS46" s="468"/>
      <c r="HMT46" s="468"/>
      <c r="HMU46" s="468"/>
      <c r="HMV46" s="468"/>
      <c r="HMW46" s="468"/>
      <c r="HMX46" s="468"/>
      <c r="HMY46" s="468"/>
      <c r="HMZ46" s="468"/>
      <c r="HNA46" s="468"/>
      <c r="HNB46" s="468"/>
      <c r="HNC46" s="468"/>
      <c r="HND46" s="468"/>
      <c r="HNE46" s="468"/>
      <c r="HNF46" s="468"/>
      <c r="HNG46" s="468"/>
      <c r="HNH46" s="468"/>
      <c r="HNI46" s="468"/>
      <c r="HNJ46" s="468"/>
      <c r="HNK46" s="468"/>
      <c r="HNL46" s="468"/>
      <c r="HNM46" s="468"/>
      <c r="HNN46" s="468"/>
      <c r="HNO46" s="468"/>
      <c r="HNP46" s="468"/>
      <c r="HNQ46" s="468"/>
      <c r="HNR46" s="468"/>
      <c r="HNS46" s="468"/>
      <c r="HNT46" s="468"/>
      <c r="HNU46" s="468"/>
      <c r="HNV46" s="468"/>
      <c r="HNW46" s="468"/>
      <c r="HNX46" s="468"/>
      <c r="HNY46" s="468"/>
      <c r="HNZ46" s="468"/>
      <c r="HOA46" s="468"/>
      <c r="HOB46" s="468"/>
      <c r="HOC46" s="468"/>
      <c r="HOD46" s="468"/>
      <c r="HOE46" s="468"/>
      <c r="HOF46" s="468"/>
      <c r="HOG46" s="468"/>
      <c r="HOH46" s="468"/>
      <c r="HOI46" s="468"/>
      <c r="HOJ46" s="468"/>
      <c r="HOK46" s="468"/>
      <c r="HOL46" s="468"/>
      <c r="HOM46" s="468"/>
      <c r="HON46" s="468"/>
      <c r="HOO46" s="468"/>
      <c r="HOP46" s="468"/>
      <c r="HOQ46" s="468"/>
      <c r="HOR46" s="468"/>
      <c r="HOS46" s="468"/>
      <c r="HOT46" s="468"/>
      <c r="HOU46" s="468"/>
      <c r="HOV46" s="468"/>
      <c r="HOW46" s="468"/>
      <c r="HOX46" s="468"/>
      <c r="HOY46" s="468"/>
      <c r="HOZ46" s="468"/>
      <c r="HPA46" s="468"/>
      <c r="HPB46" s="468"/>
      <c r="HPC46" s="468"/>
      <c r="HPD46" s="468"/>
      <c r="HPE46" s="468"/>
      <c r="HPF46" s="468"/>
      <c r="HPG46" s="468"/>
      <c r="HPH46" s="468"/>
      <c r="HPI46" s="468"/>
      <c r="HPJ46" s="468"/>
      <c r="HPK46" s="468"/>
      <c r="HPL46" s="468"/>
      <c r="HPM46" s="468"/>
      <c r="HPN46" s="468"/>
      <c r="HPO46" s="468"/>
      <c r="HPP46" s="468"/>
      <c r="HPQ46" s="468"/>
      <c r="HPR46" s="468"/>
      <c r="HPS46" s="468"/>
      <c r="HPT46" s="468"/>
      <c r="HPU46" s="468"/>
      <c r="HPV46" s="468"/>
      <c r="HPW46" s="468"/>
      <c r="HPX46" s="468"/>
      <c r="HPY46" s="468"/>
      <c r="HPZ46" s="468"/>
      <c r="HQA46" s="468"/>
      <c r="HQB46" s="468"/>
      <c r="HQC46" s="468"/>
      <c r="HQD46" s="468"/>
      <c r="HQE46" s="468"/>
      <c r="HQF46" s="468"/>
      <c r="HQG46" s="468"/>
      <c r="HQH46" s="468"/>
      <c r="HQI46" s="468"/>
      <c r="HQJ46" s="468"/>
      <c r="HQK46" s="468"/>
      <c r="HQL46" s="468"/>
      <c r="HQM46" s="468"/>
      <c r="HQN46" s="468"/>
      <c r="HQO46" s="468"/>
      <c r="HQP46" s="468"/>
      <c r="HQQ46" s="468"/>
      <c r="HQR46" s="468"/>
      <c r="HQS46" s="468"/>
      <c r="HQT46" s="468"/>
      <c r="HQU46" s="468"/>
      <c r="HQV46" s="468"/>
      <c r="HQW46" s="468"/>
      <c r="HQX46" s="468"/>
      <c r="HQY46" s="468"/>
      <c r="HQZ46" s="468"/>
      <c r="HRA46" s="468"/>
      <c r="HRB46" s="468"/>
      <c r="HRC46" s="468"/>
      <c r="HRD46" s="468"/>
      <c r="HRE46" s="468"/>
      <c r="HRF46" s="468"/>
      <c r="HRG46" s="468"/>
      <c r="HRH46" s="468"/>
      <c r="HRI46" s="468"/>
      <c r="HRJ46" s="468"/>
      <c r="HRK46" s="468"/>
      <c r="HRL46" s="468"/>
      <c r="HRM46" s="468"/>
      <c r="HRN46" s="468"/>
      <c r="HRO46" s="468"/>
      <c r="HRP46" s="468"/>
      <c r="HRQ46" s="468"/>
      <c r="HRR46" s="468"/>
      <c r="HRS46" s="468"/>
      <c r="HRT46" s="468"/>
      <c r="HRU46" s="468"/>
      <c r="HRV46" s="468"/>
      <c r="HRW46" s="468"/>
      <c r="HRX46" s="468"/>
      <c r="HRY46" s="468"/>
      <c r="HRZ46" s="468"/>
      <c r="HSA46" s="468"/>
      <c r="HSB46" s="468"/>
      <c r="HSC46" s="468"/>
      <c r="HSD46" s="468"/>
      <c r="HSE46" s="468"/>
      <c r="HSF46" s="468"/>
      <c r="HSG46" s="468"/>
      <c r="HSH46" s="468"/>
      <c r="HSI46" s="468"/>
      <c r="HSJ46" s="468"/>
      <c r="HSK46" s="468"/>
      <c r="HSL46" s="468"/>
      <c r="HSM46" s="468"/>
      <c r="HSN46" s="468"/>
      <c r="HSO46" s="468"/>
      <c r="HSP46" s="468"/>
      <c r="HSQ46" s="468"/>
      <c r="HSR46" s="468"/>
      <c r="HSS46" s="468"/>
      <c r="HST46" s="468"/>
      <c r="HSU46" s="468"/>
      <c r="HSV46" s="468"/>
      <c r="HSW46" s="468"/>
      <c r="HSX46" s="468"/>
      <c r="HSY46" s="468"/>
      <c r="HSZ46" s="468"/>
      <c r="HTA46" s="468"/>
      <c r="HTB46" s="468"/>
      <c r="HTC46" s="468"/>
      <c r="HTD46" s="468"/>
      <c r="HTE46" s="468"/>
      <c r="HTF46" s="468"/>
      <c r="HTG46" s="468"/>
      <c r="HTH46" s="468"/>
      <c r="HTI46" s="468"/>
      <c r="HTJ46" s="468"/>
      <c r="HTK46" s="468"/>
      <c r="HTL46" s="468"/>
      <c r="HTM46" s="468"/>
      <c r="HTN46" s="468"/>
      <c r="HTO46" s="468"/>
      <c r="HTP46" s="468"/>
      <c r="HTQ46" s="468"/>
      <c r="HTR46" s="468"/>
      <c r="HTS46" s="468"/>
      <c r="HTT46" s="468"/>
      <c r="HTU46" s="468"/>
      <c r="HTV46" s="468"/>
      <c r="HTW46" s="468"/>
      <c r="HTX46" s="468"/>
      <c r="HTY46" s="468"/>
      <c r="HTZ46" s="468"/>
      <c r="HUA46" s="468"/>
      <c r="HUB46" s="468"/>
      <c r="HUC46" s="468"/>
      <c r="HUD46" s="468"/>
      <c r="HUE46" s="468"/>
      <c r="HUF46" s="468"/>
      <c r="HUG46" s="468"/>
      <c r="HUH46" s="468"/>
      <c r="HUI46" s="468"/>
      <c r="HUJ46" s="468"/>
      <c r="HUK46" s="468"/>
      <c r="HUL46" s="468"/>
      <c r="HUM46" s="468"/>
      <c r="HUN46" s="468"/>
      <c r="HUO46" s="468"/>
      <c r="HUP46" s="468"/>
      <c r="HUQ46" s="468"/>
      <c r="HUR46" s="468"/>
      <c r="HUS46" s="468"/>
      <c r="HUT46" s="468"/>
      <c r="HUU46" s="468"/>
      <c r="HUV46" s="468"/>
      <c r="HUW46" s="468"/>
      <c r="HUX46" s="468"/>
      <c r="HUY46" s="468"/>
      <c r="HUZ46" s="468"/>
      <c r="HVA46" s="468"/>
      <c r="HVB46" s="468"/>
      <c r="HVC46" s="468"/>
      <c r="HVD46" s="468"/>
      <c r="HVE46" s="468"/>
      <c r="HVF46" s="468"/>
      <c r="HVG46" s="468"/>
      <c r="HVH46" s="468"/>
      <c r="HVI46" s="468"/>
      <c r="HVJ46" s="468"/>
      <c r="HVK46" s="468"/>
      <c r="HVL46" s="468"/>
      <c r="HVM46" s="468"/>
      <c r="HVN46" s="468"/>
      <c r="HVO46" s="468"/>
      <c r="HVP46" s="468"/>
      <c r="HVQ46" s="468"/>
      <c r="HVR46" s="468"/>
      <c r="HVS46" s="468"/>
      <c r="HVT46" s="468"/>
      <c r="HVU46" s="468"/>
      <c r="HVV46" s="468"/>
      <c r="HVW46" s="468"/>
      <c r="HVX46" s="468"/>
      <c r="HVY46" s="468"/>
      <c r="HVZ46" s="468"/>
      <c r="HWA46" s="468"/>
      <c r="HWB46" s="468"/>
      <c r="HWC46" s="468"/>
      <c r="HWD46" s="468"/>
      <c r="HWE46" s="468"/>
      <c r="HWF46" s="468"/>
      <c r="HWG46" s="468"/>
      <c r="HWH46" s="468"/>
      <c r="HWI46" s="468"/>
      <c r="HWJ46" s="468"/>
      <c r="HWK46" s="468"/>
      <c r="HWL46" s="468"/>
      <c r="HWM46" s="468"/>
      <c r="HWN46" s="468"/>
      <c r="HWO46" s="468"/>
      <c r="HWP46" s="468"/>
      <c r="HWQ46" s="468"/>
      <c r="HWR46" s="468"/>
      <c r="HWS46" s="468"/>
      <c r="HWT46" s="468"/>
      <c r="HWU46" s="468"/>
      <c r="HWV46" s="468"/>
      <c r="HWW46" s="468"/>
      <c r="HWX46" s="468"/>
      <c r="HWY46" s="468"/>
      <c r="HWZ46" s="468"/>
      <c r="HXA46" s="468"/>
      <c r="HXB46" s="468"/>
      <c r="HXC46" s="468"/>
      <c r="HXD46" s="468"/>
      <c r="HXE46" s="468"/>
      <c r="HXF46" s="468"/>
      <c r="HXG46" s="468"/>
      <c r="HXH46" s="468"/>
      <c r="HXI46" s="468"/>
      <c r="HXJ46" s="468"/>
      <c r="HXK46" s="468"/>
      <c r="HXL46" s="468"/>
      <c r="HXM46" s="468"/>
      <c r="HXN46" s="468"/>
      <c r="HXO46" s="468"/>
      <c r="HXP46" s="468"/>
      <c r="HXQ46" s="468"/>
      <c r="HXR46" s="468"/>
      <c r="HXS46" s="468"/>
      <c r="HXT46" s="468"/>
      <c r="HXU46" s="468"/>
      <c r="HXV46" s="468"/>
      <c r="HXW46" s="468"/>
      <c r="HXX46" s="468"/>
      <c r="HXY46" s="468"/>
      <c r="HXZ46" s="468"/>
      <c r="HYA46" s="468"/>
      <c r="HYB46" s="468"/>
      <c r="HYC46" s="468"/>
      <c r="HYD46" s="468"/>
      <c r="HYE46" s="468"/>
      <c r="HYF46" s="468"/>
      <c r="HYG46" s="468"/>
      <c r="HYH46" s="468"/>
      <c r="HYI46" s="468"/>
      <c r="HYJ46" s="468"/>
      <c r="HYK46" s="468"/>
      <c r="HYL46" s="468"/>
      <c r="HYM46" s="468"/>
      <c r="HYN46" s="468"/>
      <c r="HYO46" s="468"/>
      <c r="HYP46" s="468"/>
      <c r="HYQ46" s="468"/>
      <c r="HYR46" s="468"/>
      <c r="HYS46" s="468"/>
      <c r="HYT46" s="468"/>
      <c r="HYU46" s="468"/>
      <c r="HYV46" s="468"/>
      <c r="HYW46" s="468"/>
      <c r="HYX46" s="468"/>
      <c r="HYY46" s="468"/>
      <c r="HYZ46" s="468"/>
      <c r="HZA46" s="468"/>
      <c r="HZB46" s="468"/>
      <c r="HZC46" s="468"/>
      <c r="HZD46" s="468"/>
      <c r="HZE46" s="468"/>
      <c r="HZF46" s="468"/>
      <c r="HZG46" s="468"/>
      <c r="HZH46" s="468"/>
      <c r="HZI46" s="468"/>
      <c r="HZJ46" s="468"/>
      <c r="HZK46" s="468"/>
      <c r="HZL46" s="468"/>
      <c r="HZM46" s="468"/>
      <c r="HZN46" s="468"/>
      <c r="HZO46" s="468"/>
      <c r="HZP46" s="468"/>
      <c r="HZQ46" s="468"/>
      <c r="HZR46" s="468"/>
      <c r="HZS46" s="468"/>
      <c r="HZT46" s="468"/>
      <c r="HZU46" s="468"/>
      <c r="HZV46" s="468"/>
      <c r="HZW46" s="468"/>
      <c r="HZX46" s="468"/>
      <c r="HZY46" s="468"/>
      <c r="HZZ46" s="468"/>
      <c r="IAA46" s="468"/>
      <c r="IAB46" s="468"/>
      <c r="IAC46" s="468"/>
      <c r="IAD46" s="468"/>
      <c r="IAE46" s="468"/>
      <c r="IAF46" s="468"/>
      <c r="IAG46" s="468"/>
      <c r="IAH46" s="468"/>
      <c r="IAI46" s="468"/>
      <c r="IAJ46" s="468"/>
      <c r="IAK46" s="468"/>
      <c r="IAL46" s="468"/>
      <c r="IAM46" s="468"/>
      <c r="IAN46" s="468"/>
      <c r="IAO46" s="468"/>
      <c r="IAP46" s="468"/>
      <c r="IAQ46" s="468"/>
      <c r="IAR46" s="468"/>
      <c r="IAS46" s="468"/>
      <c r="IAT46" s="468"/>
      <c r="IAU46" s="468"/>
      <c r="IAV46" s="468"/>
      <c r="IAW46" s="468"/>
      <c r="IAX46" s="468"/>
      <c r="IAY46" s="468"/>
      <c r="IAZ46" s="468"/>
      <c r="IBA46" s="468"/>
      <c r="IBB46" s="468"/>
      <c r="IBC46" s="468"/>
      <c r="IBD46" s="468"/>
      <c r="IBE46" s="468"/>
      <c r="IBF46" s="468"/>
      <c r="IBG46" s="468"/>
      <c r="IBH46" s="468"/>
      <c r="IBI46" s="468"/>
      <c r="IBJ46" s="468"/>
      <c r="IBK46" s="468"/>
      <c r="IBL46" s="468"/>
      <c r="IBM46" s="468"/>
      <c r="IBN46" s="468"/>
      <c r="IBO46" s="468"/>
      <c r="IBP46" s="468"/>
      <c r="IBQ46" s="468"/>
      <c r="IBR46" s="468"/>
      <c r="IBS46" s="468"/>
      <c r="IBT46" s="468"/>
      <c r="IBU46" s="468"/>
      <c r="IBV46" s="468"/>
      <c r="IBW46" s="468"/>
      <c r="IBX46" s="468"/>
      <c r="IBY46" s="468"/>
      <c r="IBZ46" s="468"/>
      <c r="ICA46" s="468"/>
      <c r="ICB46" s="468"/>
      <c r="ICC46" s="468"/>
      <c r="ICD46" s="468"/>
      <c r="ICE46" s="468"/>
      <c r="ICF46" s="468"/>
      <c r="ICG46" s="468"/>
      <c r="ICH46" s="468"/>
      <c r="ICI46" s="468"/>
      <c r="ICJ46" s="468"/>
      <c r="ICK46" s="468"/>
      <c r="ICL46" s="468"/>
      <c r="ICM46" s="468"/>
      <c r="ICN46" s="468"/>
      <c r="ICO46" s="468"/>
      <c r="ICP46" s="468"/>
      <c r="ICQ46" s="468"/>
      <c r="ICR46" s="468"/>
      <c r="ICS46" s="468"/>
      <c r="ICT46" s="468"/>
      <c r="ICU46" s="468"/>
      <c r="ICV46" s="468"/>
      <c r="ICW46" s="468"/>
      <c r="ICX46" s="468"/>
      <c r="ICY46" s="468"/>
      <c r="ICZ46" s="468"/>
      <c r="IDA46" s="468"/>
      <c r="IDB46" s="468"/>
      <c r="IDC46" s="468"/>
      <c r="IDD46" s="468"/>
      <c r="IDE46" s="468"/>
      <c r="IDF46" s="468"/>
      <c r="IDG46" s="468"/>
      <c r="IDH46" s="468"/>
      <c r="IDI46" s="468"/>
      <c r="IDJ46" s="468"/>
      <c r="IDK46" s="468"/>
      <c r="IDL46" s="468"/>
      <c r="IDM46" s="468"/>
      <c r="IDN46" s="468"/>
      <c r="IDO46" s="468"/>
      <c r="IDP46" s="468"/>
      <c r="IDQ46" s="468"/>
      <c r="IDR46" s="468"/>
      <c r="IDS46" s="468"/>
      <c r="IDT46" s="468"/>
      <c r="IDU46" s="468"/>
      <c r="IDV46" s="468"/>
      <c r="IDW46" s="468"/>
      <c r="IDX46" s="468"/>
      <c r="IDY46" s="468"/>
      <c r="IDZ46" s="468"/>
      <c r="IEA46" s="468"/>
      <c r="IEB46" s="468"/>
      <c r="IEC46" s="468"/>
      <c r="IED46" s="468"/>
      <c r="IEE46" s="468"/>
      <c r="IEF46" s="468"/>
      <c r="IEG46" s="468"/>
      <c r="IEH46" s="468"/>
      <c r="IEI46" s="468"/>
      <c r="IEJ46" s="468"/>
      <c r="IEK46" s="468"/>
      <c r="IEL46" s="468"/>
      <c r="IEM46" s="468"/>
      <c r="IEN46" s="468"/>
      <c r="IEO46" s="468"/>
      <c r="IEP46" s="468"/>
      <c r="IEQ46" s="468"/>
      <c r="IER46" s="468"/>
      <c r="IES46" s="468"/>
      <c r="IET46" s="468"/>
      <c r="IEU46" s="468"/>
      <c r="IEV46" s="468"/>
      <c r="IEW46" s="468"/>
      <c r="IEX46" s="468"/>
      <c r="IEY46" s="468"/>
      <c r="IEZ46" s="468"/>
      <c r="IFA46" s="468"/>
      <c r="IFB46" s="468"/>
      <c r="IFC46" s="468"/>
      <c r="IFD46" s="468"/>
      <c r="IFE46" s="468"/>
      <c r="IFF46" s="468"/>
      <c r="IFG46" s="468"/>
      <c r="IFH46" s="468"/>
      <c r="IFI46" s="468"/>
      <c r="IFJ46" s="468"/>
      <c r="IFK46" s="468"/>
      <c r="IFL46" s="468"/>
      <c r="IFM46" s="468"/>
      <c r="IFN46" s="468"/>
      <c r="IFO46" s="468"/>
      <c r="IFP46" s="468"/>
      <c r="IFQ46" s="468"/>
      <c r="IFR46" s="468"/>
      <c r="IFS46" s="468"/>
      <c r="IFT46" s="468"/>
      <c r="IFU46" s="468"/>
      <c r="IFV46" s="468"/>
      <c r="IFW46" s="468"/>
      <c r="IFX46" s="468"/>
      <c r="IFY46" s="468"/>
      <c r="IFZ46" s="468"/>
      <c r="IGA46" s="468"/>
      <c r="IGB46" s="468"/>
      <c r="IGC46" s="468"/>
      <c r="IGD46" s="468"/>
      <c r="IGE46" s="468"/>
      <c r="IGF46" s="468"/>
      <c r="IGG46" s="468"/>
      <c r="IGH46" s="468"/>
      <c r="IGI46" s="468"/>
      <c r="IGJ46" s="468"/>
      <c r="IGK46" s="468"/>
      <c r="IGL46" s="468"/>
      <c r="IGM46" s="468"/>
      <c r="IGN46" s="468"/>
      <c r="IGO46" s="468"/>
      <c r="IGP46" s="468"/>
      <c r="IGQ46" s="468"/>
      <c r="IGR46" s="468"/>
      <c r="IGS46" s="468"/>
      <c r="IGT46" s="468"/>
      <c r="IGU46" s="468"/>
      <c r="IGV46" s="468"/>
      <c r="IGW46" s="468"/>
      <c r="IGX46" s="468"/>
      <c r="IGY46" s="468"/>
      <c r="IGZ46" s="468"/>
      <c r="IHA46" s="468"/>
      <c r="IHB46" s="468"/>
      <c r="IHC46" s="468"/>
      <c r="IHD46" s="468"/>
      <c r="IHE46" s="468"/>
      <c r="IHF46" s="468"/>
      <c r="IHG46" s="468"/>
      <c r="IHH46" s="468"/>
      <c r="IHI46" s="468"/>
      <c r="IHJ46" s="468"/>
      <c r="IHK46" s="468"/>
      <c r="IHL46" s="468"/>
      <c r="IHM46" s="468"/>
      <c r="IHN46" s="468"/>
      <c r="IHO46" s="468"/>
      <c r="IHP46" s="468"/>
      <c r="IHQ46" s="468"/>
      <c r="IHR46" s="468"/>
      <c r="IHS46" s="468"/>
      <c r="IHT46" s="468"/>
      <c r="IHU46" s="468"/>
      <c r="IHV46" s="468"/>
      <c r="IHW46" s="468"/>
      <c r="IHX46" s="468"/>
      <c r="IHY46" s="468"/>
      <c r="IHZ46" s="468"/>
      <c r="IIA46" s="468"/>
      <c r="IIB46" s="468"/>
      <c r="IIC46" s="468"/>
      <c r="IID46" s="468"/>
      <c r="IIE46" s="468"/>
      <c r="IIF46" s="468"/>
      <c r="IIG46" s="468"/>
      <c r="IIH46" s="468"/>
      <c r="III46" s="468"/>
      <c r="IIJ46" s="468"/>
      <c r="IIK46" s="468"/>
      <c r="IIL46" s="468"/>
      <c r="IIM46" s="468"/>
      <c r="IIN46" s="468"/>
      <c r="IIO46" s="468"/>
      <c r="IIP46" s="468"/>
      <c r="IIQ46" s="468"/>
      <c r="IIR46" s="468"/>
      <c r="IIS46" s="468"/>
      <c r="IIT46" s="468"/>
      <c r="IIU46" s="468"/>
      <c r="IIV46" s="468"/>
      <c r="IIW46" s="468"/>
      <c r="IIX46" s="468"/>
      <c r="IIY46" s="468"/>
      <c r="IIZ46" s="468"/>
      <c r="IJA46" s="468"/>
      <c r="IJB46" s="468"/>
      <c r="IJC46" s="468"/>
      <c r="IJD46" s="468"/>
      <c r="IJE46" s="468"/>
      <c r="IJF46" s="468"/>
      <c r="IJG46" s="468"/>
      <c r="IJH46" s="468"/>
      <c r="IJI46" s="468"/>
      <c r="IJJ46" s="468"/>
      <c r="IJK46" s="468"/>
      <c r="IJL46" s="468"/>
      <c r="IJM46" s="468"/>
      <c r="IJN46" s="468"/>
      <c r="IJO46" s="468"/>
      <c r="IJP46" s="468"/>
      <c r="IJQ46" s="468"/>
      <c r="IJR46" s="468"/>
      <c r="IJS46" s="468"/>
      <c r="IJT46" s="468"/>
      <c r="IJU46" s="468"/>
      <c r="IJV46" s="468"/>
      <c r="IJW46" s="468"/>
      <c r="IJX46" s="468"/>
      <c r="IJY46" s="468"/>
      <c r="IJZ46" s="468"/>
      <c r="IKA46" s="468"/>
      <c r="IKB46" s="468"/>
      <c r="IKC46" s="468"/>
      <c r="IKD46" s="468"/>
      <c r="IKE46" s="468"/>
      <c r="IKF46" s="468"/>
      <c r="IKG46" s="468"/>
      <c r="IKH46" s="468"/>
      <c r="IKI46" s="468"/>
      <c r="IKJ46" s="468"/>
      <c r="IKK46" s="468"/>
      <c r="IKL46" s="468"/>
      <c r="IKM46" s="468"/>
      <c r="IKN46" s="468"/>
      <c r="IKO46" s="468"/>
      <c r="IKP46" s="468"/>
      <c r="IKQ46" s="468"/>
      <c r="IKR46" s="468"/>
      <c r="IKS46" s="468"/>
      <c r="IKT46" s="468"/>
      <c r="IKU46" s="468"/>
      <c r="IKV46" s="468"/>
      <c r="IKW46" s="468"/>
      <c r="IKX46" s="468"/>
      <c r="IKY46" s="468"/>
      <c r="IKZ46" s="468"/>
      <c r="ILA46" s="468"/>
      <c r="ILB46" s="468"/>
      <c r="ILC46" s="468"/>
      <c r="ILD46" s="468"/>
      <c r="ILE46" s="468"/>
      <c r="ILF46" s="468"/>
      <c r="ILG46" s="468"/>
      <c r="ILH46" s="468"/>
      <c r="ILI46" s="468"/>
      <c r="ILJ46" s="468"/>
      <c r="ILK46" s="468"/>
      <c r="ILL46" s="468"/>
      <c r="ILM46" s="468"/>
      <c r="ILN46" s="468"/>
      <c r="ILO46" s="468"/>
      <c r="ILP46" s="468"/>
      <c r="ILQ46" s="468"/>
      <c r="ILR46" s="468"/>
      <c r="ILS46" s="468"/>
      <c r="ILT46" s="468"/>
      <c r="ILU46" s="468"/>
      <c r="ILV46" s="468"/>
      <c r="ILW46" s="468"/>
      <c r="ILX46" s="468"/>
      <c r="ILY46" s="468"/>
      <c r="ILZ46" s="468"/>
      <c r="IMA46" s="468"/>
      <c r="IMB46" s="468"/>
      <c r="IMC46" s="468"/>
      <c r="IMD46" s="468"/>
      <c r="IME46" s="468"/>
      <c r="IMF46" s="468"/>
      <c r="IMG46" s="468"/>
      <c r="IMH46" s="468"/>
      <c r="IMI46" s="468"/>
      <c r="IMJ46" s="468"/>
      <c r="IMK46" s="468"/>
      <c r="IML46" s="468"/>
      <c r="IMM46" s="468"/>
      <c r="IMN46" s="468"/>
      <c r="IMO46" s="468"/>
      <c r="IMP46" s="468"/>
      <c r="IMQ46" s="468"/>
      <c r="IMR46" s="468"/>
      <c r="IMS46" s="468"/>
      <c r="IMT46" s="468"/>
      <c r="IMU46" s="468"/>
      <c r="IMV46" s="468"/>
      <c r="IMW46" s="468"/>
      <c r="IMX46" s="468"/>
      <c r="IMY46" s="468"/>
      <c r="IMZ46" s="468"/>
      <c r="INA46" s="468"/>
      <c r="INB46" s="468"/>
      <c r="INC46" s="468"/>
      <c r="IND46" s="468"/>
      <c r="INE46" s="468"/>
      <c r="INF46" s="468"/>
      <c r="ING46" s="468"/>
      <c r="INH46" s="468"/>
      <c r="INI46" s="468"/>
      <c r="INJ46" s="468"/>
      <c r="INK46" s="468"/>
      <c r="INL46" s="468"/>
      <c r="INM46" s="468"/>
      <c r="INN46" s="468"/>
      <c r="INO46" s="468"/>
      <c r="INP46" s="468"/>
      <c r="INQ46" s="468"/>
      <c r="INR46" s="468"/>
      <c r="INS46" s="468"/>
      <c r="INT46" s="468"/>
      <c r="INU46" s="468"/>
      <c r="INV46" s="468"/>
      <c r="INW46" s="468"/>
      <c r="INX46" s="468"/>
      <c r="INY46" s="468"/>
      <c r="INZ46" s="468"/>
      <c r="IOA46" s="468"/>
      <c r="IOB46" s="468"/>
      <c r="IOC46" s="468"/>
      <c r="IOD46" s="468"/>
      <c r="IOE46" s="468"/>
      <c r="IOF46" s="468"/>
      <c r="IOG46" s="468"/>
      <c r="IOH46" s="468"/>
      <c r="IOI46" s="468"/>
      <c r="IOJ46" s="468"/>
      <c r="IOK46" s="468"/>
      <c r="IOL46" s="468"/>
      <c r="IOM46" s="468"/>
      <c r="ION46" s="468"/>
      <c r="IOO46" s="468"/>
      <c r="IOP46" s="468"/>
      <c r="IOQ46" s="468"/>
      <c r="IOR46" s="468"/>
      <c r="IOS46" s="468"/>
      <c r="IOT46" s="468"/>
      <c r="IOU46" s="468"/>
      <c r="IOV46" s="468"/>
      <c r="IOW46" s="468"/>
      <c r="IOX46" s="468"/>
      <c r="IOY46" s="468"/>
      <c r="IOZ46" s="468"/>
      <c r="IPA46" s="468"/>
      <c r="IPB46" s="468"/>
      <c r="IPC46" s="468"/>
      <c r="IPD46" s="468"/>
      <c r="IPE46" s="468"/>
      <c r="IPF46" s="468"/>
      <c r="IPG46" s="468"/>
      <c r="IPH46" s="468"/>
      <c r="IPI46" s="468"/>
      <c r="IPJ46" s="468"/>
      <c r="IPK46" s="468"/>
      <c r="IPL46" s="468"/>
      <c r="IPM46" s="468"/>
      <c r="IPN46" s="468"/>
      <c r="IPO46" s="468"/>
      <c r="IPP46" s="468"/>
      <c r="IPQ46" s="468"/>
      <c r="IPR46" s="468"/>
      <c r="IPS46" s="468"/>
      <c r="IPT46" s="468"/>
      <c r="IPU46" s="468"/>
      <c r="IPV46" s="468"/>
      <c r="IPW46" s="468"/>
      <c r="IPX46" s="468"/>
      <c r="IPY46" s="468"/>
      <c r="IPZ46" s="468"/>
      <c r="IQA46" s="468"/>
      <c r="IQB46" s="468"/>
      <c r="IQC46" s="468"/>
      <c r="IQD46" s="468"/>
      <c r="IQE46" s="468"/>
      <c r="IQF46" s="468"/>
      <c r="IQG46" s="468"/>
      <c r="IQH46" s="468"/>
      <c r="IQI46" s="468"/>
      <c r="IQJ46" s="468"/>
      <c r="IQK46" s="468"/>
      <c r="IQL46" s="468"/>
      <c r="IQM46" s="468"/>
      <c r="IQN46" s="468"/>
      <c r="IQO46" s="468"/>
      <c r="IQP46" s="468"/>
      <c r="IQQ46" s="468"/>
      <c r="IQR46" s="468"/>
      <c r="IQS46" s="468"/>
      <c r="IQT46" s="468"/>
      <c r="IQU46" s="468"/>
      <c r="IQV46" s="468"/>
      <c r="IQW46" s="468"/>
      <c r="IQX46" s="468"/>
      <c r="IQY46" s="468"/>
      <c r="IQZ46" s="468"/>
      <c r="IRA46" s="468"/>
      <c r="IRB46" s="468"/>
      <c r="IRC46" s="468"/>
      <c r="IRD46" s="468"/>
      <c r="IRE46" s="468"/>
      <c r="IRF46" s="468"/>
      <c r="IRG46" s="468"/>
      <c r="IRH46" s="468"/>
      <c r="IRI46" s="468"/>
      <c r="IRJ46" s="468"/>
      <c r="IRK46" s="468"/>
      <c r="IRL46" s="468"/>
      <c r="IRM46" s="468"/>
      <c r="IRN46" s="468"/>
      <c r="IRO46" s="468"/>
      <c r="IRP46" s="468"/>
      <c r="IRQ46" s="468"/>
      <c r="IRR46" s="468"/>
      <c r="IRS46" s="468"/>
      <c r="IRT46" s="468"/>
      <c r="IRU46" s="468"/>
      <c r="IRV46" s="468"/>
      <c r="IRW46" s="468"/>
      <c r="IRX46" s="468"/>
      <c r="IRY46" s="468"/>
      <c r="IRZ46" s="468"/>
      <c r="ISA46" s="468"/>
      <c r="ISB46" s="468"/>
      <c r="ISC46" s="468"/>
      <c r="ISD46" s="468"/>
      <c r="ISE46" s="468"/>
      <c r="ISF46" s="468"/>
      <c r="ISG46" s="468"/>
      <c r="ISH46" s="468"/>
      <c r="ISI46" s="468"/>
      <c r="ISJ46" s="468"/>
      <c r="ISK46" s="468"/>
      <c r="ISL46" s="468"/>
      <c r="ISM46" s="468"/>
      <c r="ISN46" s="468"/>
      <c r="ISO46" s="468"/>
      <c r="ISP46" s="468"/>
      <c r="ISQ46" s="468"/>
      <c r="ISR46" s="468"/>
      <c r="ISS46" s="468"/>
      <c r="IST46" s="468"/>
      <c r="ISU46" s="468"/>
      <c r="ISV46" s="468"/>
      <c r="ISW46" s="468"/>
      <c r="ISX46" s="468"/>
      <c r="ISY46" s="468"/>
      <c r="ISZ46" s="468"/>
      <c r="ITA46" s="468"/>
      <c r="ITB46" s="468"/>
      <c r="ITC46" s="468"/>
      <c r="ITD46" s="468"/>
      <c r="ITE46" s="468"/>
      <c r="ITF46" s="468"/>
      <c r="ITG46" s="468"/>
      <c r="ITH46" s="468"/>
      <c r="ITI46" s="468"/>
      <c r="ITJ46" s="468"/>
      <c r="ITK46" s="468"/>
      <c r="ITL46" s="468"/>
      <c r="ITM46" s="468"/>
      <c r="ITN46" s="468"/>
      <c r="ITO46" s="468"/>
      <c r="ITP46" s="468"/>
      <c r="ITQ46" s="468"/>
      <c r="ITR46" s="468"/>
      <c r="ITS46" s="468"/>
      <c r="ITT46" s="468"/>
      <c r="ITU46" s="468"/>
      <c r="ITV46" s="468"/>
      <c r="ITW46" s="468"/>
      <c r="ITX46" s="468"/>
      <c r="ITY46" s="468"/>
      <c r="ITZ46" s="468"/>
      <c r="IUA46" s="468"/>
      <c r="IUB46" s="468"/>
      <c r="IUC46" s="468"/>
      <c r="IUD46" s="468"/>
      <c r="IUE46" s="468"/>
      <c r="IUF46" s="468"/>
      <c r="IUG46" s="468"/>
      <c r="IUH46" s="468"/>
      <c r="IUI46" s="468"/>
      <c r="IUJ46" s="468"/>
      <c r="IUK46" s="468"/>
      <c r="IUL46" s="468"/>
      <c r="IUM46" s="468"/>
      <c r="IUN46" s="468"/>
      <c r="IUO46" s="468"/>
      <c r="IUP46" s="468"/>
      <c r="IUQ46" s="468"/>
      <c r="IUR46" s="468"/>
      <c r="IUS46" s="468"/>
      <c r="IUT46" s="468"/>
      <c r="IUU46" s="468"/>
      <c r="IUV46" s="468"/>
      <c r="IUW46" s="468"/>
      <c r="IUX46" s="468"/>
      <c r="IUY46" s="468"/>
      <c r="IUZ46" s="468"/>
      <c r="IVA46" s="468"/>
      <c r="IVB46" s="468"/>
      <c r="IVC46" s="468"/>
      <c r="IVD46" s="468"/>
      <c r="IVE46" s="468"/>
      <c r="IVF46" s="468"/>
      <c r="IVG46" s="468"/>
      <c r="IVH46" s="468"/>
      <c r="IVI46" s="468"/>
      <c r="IVJ46" s="468"/>
      <c r="IVK46" s="468"/>
      <c r="IVL46" s="468"/>
      <c r="IVM46" s="468"/>
      <c r="IVN46" s="468"/>
      <c r="IVO46" s="468"/>
      <c r="IVP46" s="468"/>
      <c r="IVQ46" s="468"/>
      <c r="IVR46" s="468"/>
      <c r="IVS46" s="468"/>
      <c r="IVT46" s="468"/>
      <c r="IVU46" s="468"/>
      <c r="IVV46" s="468"/>
      <c r="IVW46" s="468"/>
      <c r="IVX46" s="468"/>
      <c r="IVY46" s="468"/>
      <c r="IVZ46" s="468"/>
      <c r="IWA46" s="468"/>
      <c r="IWB46" s="468"/>
      <c r="IWC46" s="468"/>
      <c r="IWD46" s="468"/>
      <c r="IWE46" s="468"/>
      <c r="IWF46" s="468"/>
      <c r="IWG46" s="468"/>
      <c r="IWH46" s="468"/>
      <c r="IWI46" s="468"/>
      <c r="IWJ46" s="468"/>
      <c r="IWK46" s="468"/>
      <c r="IWL46" s="468"/>
      <c r="IWM46" s="468"/>
      <c r="IWN46" s="468"/>
      <c r="IWO46" s="468"/>
      <c r="IWP46" s="468"/>
      <c r="IWQ46" s="468"/>
      <c r="IWR46" s="468"/>
      <c r="IWS46" s="468"/>
      <c r="IWT46" s="468"/>
      <c r="IWU46" s="468"/>
      <c r="IWV46" s="468"/>
      <c r="IWW46" s="468"/>
      <c r="IWX46" s="468"/>
      <c r="IWY46" s="468"/>
      <c r="IWZ46" s="468"/>
      <c r="IXA46" s="468"/>
      <c r="IXB46" s="468"/>
      <c r="IXC46" s="468"/>
      <c r="IXD46" s="468"/>
      <c r="IXE46" s="468"/>
      <c r="IXF46" s="468"/>
      <c r="IXG46" s="468"/>
      <c r="IXH46" s="468"/>
      <c r="IXI46" s="468"/>
      <c r="IXJ46" s="468"/>
      <c r="IXK46" s="468"/>
      <c r="IXL46" s="468"/>
      <c r="IXM46" s="468"/>
      <c r="IXN46" s="468"/>
      <c r="IXO46" s="468"/>
      <c r="IXP46" s="468"/>
      <c r="IXQ46" s="468"/>
      <c r="IXR46" s="468"/>
      <c r="IXS46" s="468"/>
      <c r="IXT46" s="468"/>
      <c r="IXU46" s="468"/>
      <c r="IXV46" s="468"/>
      <c r="IXW46" s="468"/>
      <c r="IXX46" s="468"/>
      <c r="IXY46" s="468"/>
      <c r="IXZ46" s="468"/>
      <c r="IYA46" s="468"/>
      <c r="IYB46" s="468"/>
      <c r="IYC46" s="468"/>
      <c r="IYD46" s="468"/>
      <c r="IYE46" s="468"/>
      <c r="IYF46" s="468"/>
      <c r="IYG46" s="468"/>
      <c r="IYH46" s="468"/>
      <c r="IYI46" s="468"/>
      <c r="IYJ46" s="468"/>
      <c r="IYK46" s="468"/>
      <c r="IYL46" s="468"/>
      <c r="IYM46" s="468"/>
      <c r="IYN46" s="468"/>
      <c r="IYO46" s="468"/>
      <c r="IYP46" s="468"/>
      <c r="IYQ46" s="468"/>
      <c r="IYR46" s="468"/>
      <c r="IYS46" s="468"/>
      <c r="IYT46" s="468"/>
      <c r="IYU46" s="468"/>
      <c r="IYV46" s="468"/>
      <c r="IYW46" s="468"/>
      <c r="IYX46" s="468"/>
      <c r="IYY46" s="468"/>
      <c r="IYZ46" s="468"/>
      <c r="IZA46" s="468"/>
      <c r="IZB46" s="468"/>
      <c r="IZC46" s="468"/>
      <c r="IZD46" s="468"/>
      <c r="IZE46" s="468"/>
      <c r="IZF46" s="468"/>
      <c r="IZG46" s="468"/>
      <c r="IZH46" s="468"/>
      <c r="IZI46" s="468"/>
      <c r="IZJ46" s="468"/>
      <c r="IZK46" s="468"/>
      <c r="IZL46" s="468"/>
      <c r="IZM46" s="468"/>
      <c r="IZN46" s="468"/>
      <c r="IZO46" s="468"/>
      <c r="IZP46" s="468"/>
      <c r="IZQ46" s="468"/>
      <c r="IZR46" s="468"/>
      <c r="IZS46" s="468"/>
      <c r="IZT46" s="468"/>
      <c r="IZU46" s="468"/>
      <c r="IZV46" s="468"/>
      <c r="IZW46" s="468"/>
      <c r="IZX46" s="468"/>
      <c r="IZY46" s="468"/>
      <c r="IZZ46" s="468"/>
      <c r="JAA46" s="468"/>
      <c r="JAB46" s="468"/>
      <c r="JAC46" s="468"/>
      <c r="JAD46" s="468"/>
      <c r="JAE46" s="468"/>
      <c r="JAF46" s="468"/>
      <c r="JAG46" s="468"/>
      <c r="JAH46" s="468"/>
      <c r="JAI46" s="468"/>
      <c r="JAJ46" s="468"/>
      <c r="JAK46" s="468"/>
      <c r="JAL46" s="468"/>
      <c r="JAM46" s="468"/>
      <c r="JAN46" s="468"/>
      <c r="JAO46" s="468"/>
      <c r="JAP46" s="468"/>
      <c r="JAQ46" s="468"/>
      <c r="JAR46" s="468"/>
      <c r="JAS46" s="468"/>
      <c r="JAT46" s="468"/>
      <c r="JAU46" s="468"/>
      <c r="JAV46" s="468"/>
      <c r="JAW46" s="468"/>
      <c r="JAX46" s="468"/>
      <c r="JAY46" s="468"/>
      <c r="JAZ46" s="468"/>
      <c r="JBA46" s="468"/>
      <c r="JBB46" s="468"/>
      <c r="JBC46" s="468"/>
      <c r="JBD46" s="468"/>
      <c r="JBE46" s="468"/>
      <c r="JBF46" s="468"/>
      <c r="JBG46" s="468"/>
      <c r="JBH46" s="468"/>
      <c r="JBI46" s="468"/>
      <c r="JBJ46" s="468"/>
      <c r="JBK46" s="468"/>
      <c r="JBL46" s="468"/>
      <c r="JBM46" s="468"/>
      <c r="JBN46" s="468"/>
      <c r="JBO46" s="468"/>
      <c r="JBP46" s="468"/>
      <c r="JBQ46" s="468"/>
      <c r="JBR46" s="468"/>
      <c r="JBS46" s="468"/>
      <c r="JBT46" s="468"/>
      <c r="JBU46" s="468"/>
      <c r="JBV46" s="468"/>
      <c r="JBW46" s="468"/>
      <c r="JBX46" s="468"/>
      <c r="JBY46" s="468"/>
      <c r="JBZ46" s="468"/>
      <c r="JCA46" s="468"/>
      <c r="JCB46" s="468"/>
      <c r="JCC46" s="468"/>
      <c r="JCD46" s="468"/>
      <c r="JCE46" s="468"/>
      <c r="JCF46" s="468"/>
      <c r="JCG46" s="468"/>
      <c r="JCH46" s="468"/>
      <c r="JCI46" s="468"/>
      <c r="JCJ46" s="468"/>
      <c r="JCK46" s="468"/>
      <c r="JCL46" s="468"/>
      <c r="JCM46" s="468"/>
      <c r="JCN46" s="468"/>
      <c r="JCO46" s="468"/>
      <c r="JCP46" s="468"/>
      <c r="JCQ46" s="468"/>
      <c r="JCR46" s="468"/>
      <c r="JCS46" s="468"/>
      <c r="JCT46" s="468"/>
      <c r="JCU46" s="468"/>
      <c r="JCV46" s="468"/>
      <c r="JCW46" s="468"/>
      <c r="JCX46" s="468"/>
      <c r="JCY46" s="468"/>
      <c r="JCZ46" s="468"/>
      <c r="JDA46" s="468"/>
      <c r="JDB46" s="468"/>
      <c r="JDC46" s="468"/>
      <c r="JDD46" s="468"/>
      <c r="JDE46" s="468"/>
      <c r="JDF46" s="468"/>
      <c r="JDG46" s="468"/>
      <c r="JDH46" s="468"/>
      <c r="JDI46" s="468"/>
      <c r="JDJ46" s="468"/>
      <c r="JDK46" s="468"/>
      <c r="JDL46" s="468"/>
      <c r="JDM46" s="468"/>
      <c r="JDN46" s="468"/>
      <c r="JDO46" s="468"/>
      <c r="JDP46" s="468"/>
      <c r="JDQ46" s="468"/>
      <c r="JDR46" s="468"/>
      <c r="JDS46" s="468"/>
      <c r="JDT46" s="468"/>
      <c r="JDU46" s="468"/>
      <c r="JDV46" s="468"/>
      <c r="JDW46" s="468"/>
      <c r="JDX46" s="468"/>
      <c r="JDY46" s="468"/>
      <c r="JDZ46" s="468"/>
      <c r="JEA46" s="468"/>
      <c r="JEB46" s="468"/>
      <c r="JEC46" s="468"/>
      <c r="JED46" s="468"/>
      <c r="JEE46" s="468"/>
      <c r="JEF46" s="468"/>
      <c r="JEG46" s="468"/>
      <c r="JEH46" s="468"/>
      <c r="JEI46" s="468"/>
      <c r="JEJ46" s="468"/>
      <c r="JEK46" s="468"/>
      <c r="JEL46" s="468"/>
      <c r="JEM46" s="468"/>
      <c r="JEN46" s="468"/>
      <c r="JEO46" s="468"/>
      <c r="JEP46" s="468"/>
      <c r="JEQ46" s="468"/>
      <c r="JER46" s="468"/>
      <c r="JES46" s="468"/>
      <c r="JET46" s="468"/>
      <c r="JEU46" s="468"/>
      <c r="JEV46" s="468"/>
      <c r="JEW46" s="468"/>
      <c r="JEX46" s="468"/>
      <c r="JEY46" s="468"/>
      <c r="JEZ46" s="468"/>
      <c r="JFA46" s="468"/>
      <c r="JFB46" s="468"/>
      <c r="JFC46" s="468"/>
      <c r="JFD46" s="468"/>
      <c r="JFE46" s="468"/>
      <c r="JFF46" s="468"/>
      <c r="JFG46" s="468"/>
      <c r="JFH46" s="468"/>
      <c r="JFI46" s="468"/>
      <c r="JFJ46" s="468"/>
      <c r="JFK46" s="468"/>
      <c r="JFL46" s="468"/>
      <c r="JFM46" s="468"/>
      <c r="JFN46" s="468"/>
      <c r="JFO46" s="468"/>
      <c r="JFP46" s="468"/>
      <c r="JFQ46" s="468"/>
      <c r="JFR46" s="468"/>
      <c r="JFS46" s="468"/>
      <c r="JFT46" s="468"/>
      <c r="JFU46" s="468"/>
      <c r="JFV46" s="468"/>
      <c r="JFW46" s="468"/>
      <c r="JFX46" s="468"/>
      <c r="JFY46" s="468"/>
      <c r="JFZ46" s="468"/>
      <c r="JGA46" s="468"/>
      <c r="JGB46" s="468"/>
      <c r="JGC46" s="468"/>
      <c r="JGD46" s="468"/>
      <c r="JGE46" s="468"/>
      <c r="JGF46" s="468"/>
      <c r="JGG46" s="468"/>
      <c r="JGH46" s="468"/>
      <c r="JGI46" s="468"/>
      <c r="JGJ46" s="468"/>
      <c r="JGK46" s="468"/>
      <c r="JGL46" s="468"/>
      <c r="JGM46" s="468"/>
      <c r="JGN46" s="468"/>
      <c r="JGO46" s="468"/>
      <c r="JGP46" s="468"/>
      <c r="JGQ46" s="468"/>
      <c r="JGR46" s="468"/>
      <c r="JGS46" s="468"/>
      <c r="JGT46" s="468"/>
      <c r="JGU46" s="468"/>
      <c r="JGV46" s="468"/>
      <c r="JGW46" s="468"/>
      <c r="JGX46" s="468"/>
      <c r="JGY46" s="468"/>
      <c r="JGZ46" s="468"/>
      <c r="JHA46" s="468"/>
      <c r="JHB46" s="468"/>
      <c r="JHC46" s="468"/>
      <c r="JHD46" s="468"/>
      <c r="JHE46" s="468"/>
      <c r="JHF46" s="468"/>
      <c r="JHG46" s="468"/>
      <c r="JHH46" s="468"/>
      <c r="JHI46" s="468"/>
      <c r="JHJ46" s="468"/>
      <c r="JHK46" s="468"/>
      <c r="JHL46" s="468"/>
      <c r="JHM46" s="468"/>
      <c r="JHN46" s="468"/>
      <c r="JHO46" s="468"/>
      <c r="JHP46" s="468"/>
      <c r="JHQ46" s="468"/>
      <c r="JHR46" s="468"/>
      <c r="JHS46" s="468"/>
      <c r="JHT46" s="468"/>
      <c r="JHU46" s="468"/>
      <c r="JHV46" s="468"/>
      <c r="JHW46" s="468"/>
      <c r="JHX46" s="468"/>
      <c r="JHY46" s="468"/>
      <c r="JHZ46" s="468"/>
      <c r="JIA46" s="468"/>
      <c r="JIB46" s="468"/>
      <c r="JIC46" s="468"/>
      <c r="JID46" s="468"/>
      <c r="JIE46" s="468"/>
      <c r="JIF46" s="468"/>
      <c r="JIG46" s="468"/>
      <c r="JIH46" s="468"/>
      <c r="JII46" s="468"/>
      <c r="JIJ46" s="468"/>
      <c r="JIK46" s="468"/>
      <c r="JIL46" s="468"/>
      <c r="JIM46" s="468"/>
      <c r="JIN46" s="468"/>
      <c r="JIO46" s="468"/>
      <c r="JIP46" s="468"/>
      <c r="JIQ46" s="468"/>
      <c r="JIR46" s="468"/>
      <c r="JIS46" s="468"/>
      <c r="JIT46" s="468"/>
      <c r="JIU46" s="468"/>
      <c r="JIV46" s="468"/>
      <c r="JIW46" s="468"/>
      <c r="JIX46" s="468"/>
      <c r="JIY46" s="468"/>
      <c r="JIZ46" s="468"/>
      <c r="JJA46" s="468"/>
      <c r="JJB46" s="468"/>
      <c r="JJC46" s="468"/>
      <c r="JJD46" s="468"/>
      <c r="JJE46" s="468"/>
      <c r="JJF46" s="468"/>
      <c r="JJG46" s="468"/>
      <c r="JJH46" s="468"/>
      <c r="JJI46" s="468"/>
      <c r="JJJ46" s="468"/>
      <c r="JJK46" s="468"/>
      <c r="JJL46" s="468"/>
      <c r="JJM46" s="468"/>
      <c r="JJN46" s="468"/>
      <c r="JJO46" s="468"/>
      <c r="JJP46" s="468"/>
      <c r="JJQ46" s="468"/>
      <c r="JJR46" s="468"/>
      <c r="JJS46" s="468"/>
      <c r="JJT46" s="468"/>
      <c r="JJU46" s="468"/>
      <c r="JJV46" s="468"/>
      <c r="JJW46" s="468"/>
      <c r="JJX46" s="468"/>
      <c r="JJY46" s="468"/>
      <c r="JJZ46" s="468"/>
      <c r="JKA46" s="468"/>
      <c r="JKB46" s="468"/>
      <c r="JKC46" s="468"/>
      <c r="JKD46" s="468"/>
      <c r="JKE46" s="468"/>
      <c r="JKF46" s="468"/>
      <c r="JKG46" s="468"/>
      <c r="JKH46" s="468"/>
      <c r="JKI46" s="468"/>
      <c r="JKJ46" s="468"/>
      <c r="JKK46" s="468"/>
      <c r="JKL46" s="468"/>
      <c r="JKM46" s="468"/>
      <c r="JKN46" s="468"/>
      <c r="JKO46" s="468"/>
      <c r="JKP46" s="468"/>
      <c r="JKQ46" s="468"/>
      <c r="JKR46" s="468"/>
      <c r="JKS46" s="468"/>
      <c r="JKT46" s="468"/>
      <c r="JKU46" s="468"/>
      <c r="JKV46" s="468"/>
      <c r="JKW46" s="468"/>
      <c r="JKX46" s="468"/>
      <c r="JKY46" s="468"/>
      <c r="JKZ46" s="468"/>
      <c r="JLA46" s="468"/>
      <c r="JLB46" s="468"/>
      <c r="JLC46" s="468"/>
      <c r="JLD46" s="468"/>
      <c r="JLE46" s="468"/>
      <c r="JLF46" s="468"/>
      <c r="JLG46" s="468"/>
      <c r="JLH46" s="468"/>
      <c r="JLI46" s="468"/>
      <c r="JLJ46" s="468"/>
      <c r="JLK46" s="468"/>
      <c r="JLL46" s="468"/>
      <c r="JLM46" s="468"/>
      <c r="JLN46" s="468"/>
      <c r="JLO46" s="468"/>
      <c r="JLP46" s="468"/>
      <c r="JLQ46" s="468"/>
      <c r="JLR46" s="468"/>
      <c r="JLS46" s="468"/>
      <c r="JLT46" s="468"/>
      <c r="JLU46" s="468"/>
      <c r="JLV46" s="468"/>
      <c r="JLW46" s="468"/>
      <c r="JLX46" s="468"/>
      <c r="JLY46" s="468"/>
      <c r="JLZ46" s="468"/>
      <c r="JMA46" s="468"/>
      <c r="JMB46" s="468"/>
      <c r="JMC46" s="468"/>
      <c r="JMD46" s="468"/>
      <c r="JME46" s="468"/>
      <c r="JMF46" s="468"/>
      <c r="JMG46" s="468"/>
      <c r="JMH46" s="468"/>
      <c r="JMI46" s="468"/>
      <c r="JMJ46" s="468"/>
      <c r="JMK46" s="468"/>
      <c r="JML46" s="468"/>
      <c r="JMM46" s="468"/>
      <c r="JMN46" s="468"/>
      <c r="JMO46" s="468"/>
      <c r="JMP46" s="468"/>
      <c r="JMQ46" s="468"/>
      <c r="JMR46" s="468"/>
      <c r="JMS46" s="468"/>
      <c r="JMT46" s="468"/>
      <c r="JMU46" s="468"/>
      <c r="JMV46" s="468"/>
      <c r="JMW46" s="468"/>
      <c r="JMX46" s="468"/>
      <c r="JMY46" s="468"/>
      <c r="JMZ46" s="468"/>
      <c r="JNA46" s="468"/>
      <c r="JNB46" s="468"/>
      <c r="JNC46" s="468"/>
      <c r="JND46" s="468"/>
      <c r="JNE46" s="468"/>
      <c r="JNF46" s="468"/>
      <c r="JNG46" s="468"/>
      <c r="JNH46" s="468"/>
      <c r="JNI46" s="468"/>
      <c r="JNJ46" s="468"/>
      <c r="JNK46" s="468"/>
      <c r="JNL46" s="468"/>
      <c r="JNM46" s="468"/>
      <c r="JNN46" s="468"/>
      <c r="JNO46" s="468"/>
      <c r="JNP46" s="468"/>
      <c r="JNQ46" s="468"/>
      <c r="JNR46" s="468"/>
      <c r="JNS46" s="468"/>
      <c r="JNT46" s="468"/>
      <c r="JNU46" s="468"/>
      <c r="JNV46" s="468"/>
      <c r="JNW46" s="468"/>
      <c r="JNX46" s="468"/>
      <c r="JNY46" s="468"/>
      <c r="JNZ46" s="468"/>
      <c r="JOA46" s="468"/>
      <c r="JOB46" s="468"/>
      <c r="JOC46" s="468"/>
      <c r="JOD46" s="468"/>
      <c r="JOE46" s="468"/>
      <c r="JOF46" s="468"/>
      <c r="JOG46" s="468"/>
      <c r="JOH46" s="468"/>
      <c r="JOI46" s="468"/>
      <c r="JOJ46" s="468"/>
      <c r="JOK46" s="468"/>
      <c r="JOL46" s="468"/>
      <c r="JOM46" s="468"/>
      <c r="JON46" s="468"/>
      <c r="JOO46" s="468"/>
      <c r="JOP46" s="468"/>
      <c r="JOQ46" s="468"/>
      <c r="JOR46" s="468"/>
      <c r="JOS46" s="468"/>
      <c r="JOT46" s="468"/>
      <c r="JOU46" s="468"/>
      <c r="JOV46" s="468"/>
      <c r="JOW46" s="468"/>
      <c r="JOX46" s="468"/>
      <c r="JOY46" s="468"/>
      <c r="JOZ46" s="468"/>
      <c r="JPA46" s="468"/>
      <c r="JPB46" s="468"/>
      <c r="JPC46" s="468"/>
      <c r="JPD46" s="468"/>
      <c r="JPE46" s="468"/>
      <c r="JPF46" s="468"/>
      <c r="JPG46" s="468"/>
      <c r="JPH46" s="468"/>
      <c r="JPI46" s="468"/>
      <c r="JPJ46" s="468"/>
      <c r="JPK46" s="468"/>
      <c r="JPL46" s="468"/>
      <c r="JPM46" s="468"/>
      <c r="JPN46" s="468"/>
      <c r="JPO46" s="468"/>
      <c r="JPP46" s="468"/>
      <c r="JPQ46" s="468"/>
      <c r="JPR46" s="468"/>
      <c r="JPS46" s="468"/>
      <c r="JPT46" s="468"/>
      <c r="JPU46" s="468"/>
      <c r="JPV46" s="468"/>
      <c r="JPW46" s="468"/>
      <c r="JPX46" s="468"/>
      <c r="JPY46" s="468"/>
      <c r="JPZ46" s="468"/>
      <c r="JQA46" s="468"/>
      <c r="JQB46" s="468"/>
      <c r="JQC46" s="468"/>
      <c r="JQD46" s="468"/>
      <c r="JQE46" s="468"/>
      <c r="JQF46" s="468"/>
      <c r="JQG46" s="468"/>
      <c r="JQH46" s="468"/>
      <c r="JQI46" s="468"/>
      <c r="JQJ46" s="468"/>
      <c r="JQK46" s="468"/>
      <c r="JQL46" s="468"/>
      <c r="JQM46" s="468"/>
      <c r="JQN46" s="468"/>
      <c r="JQO46" s="468"/>
      <c r="JQP46" s="468"/>
      <c r="JQQ46" s="468"/>
      <c r="JQR46" s="468"/>
      <c r="JQS46" s="468"/>
      <c r="JQT46" s="468"/>
      <c r="JQU46" s="468"/>
      <c r="JQV46" s="468"/>
      <c r="JQW46" s="468"/>
      <c r="JQX46" s="468"/>
      <c r="JQY46" s="468"/>
      <c r="JQZ46" s="468"/>
      <c r="JRA46" s="468"/>
      <c r="JRB46" s="468"/>
      <c r="JRC46" s="468"/>
      <c r="JRD46" s="468"/>
      <c r="JRE46" s="468"/>
      <c r="JRF46" s="468"/>
      <c r="JRG46" s="468"/>
      <c r="JRH46" s="468"/>
      <c r="JRI46" s="468"/>
      <c r="JRJ46" s="468"/>
      <c r="JRK46" s="468"/>
      <c r="JRL46" s="468"/>
      <c r="JRM46" s="468"/>
      <c r="JRN46" s="468"/>
      <c r="JRO46" s="468"/>
      <c r="JRP46" s="468"/>
      <c r="JRQ46" s="468"/>
      <c r="JRR46" s="468"/>
      <c r="JRS46" s="468"/>
      <c r="JRT46" s="468"/>
      <c r="JRU46" s="468"/>
      <c r="JRV46" s="468"/>
      <c r="JRW46" s="468"/>
      <c r="JRX46" s="468"/>
      <c r="JRY46" s="468"/>
      <c r="JRZ46" s="468"/>
      <c r="JSA46" s="468"/>
      <c r="JSB46" s="468"/>
      <c r="JSC46" s="468"/>
      <c r="JSD46" s="468"/>
      <c r="JSE46" s="468"/>
      <c r="JSF46" s="468"/>
      <c r="JSG46" s="468"/>
      <c r="JSH46" s="468"/>
      <c r="JSI46" s="468"/>
      <c r="JSJ46" s="468"/>
      <c r="JSK46" s="468"/>
      <c r="JSL46" s="468"/>
      <c r="JSM46" s="468"/>
      <c r="JSN46" s="468"/>
      <c r="JSO46" s="468"/>
      <c r="JSP46" s="468"/>
      <c r="JSQ46" s="468"/>
      <c r="JSR46" s="468"/>
      <c r="JSS46" s="468"/>
      <c r="JST46" s="468"/>
      <c r="JSU46" s="468"/>
      <c r="JSV46" s="468"/>
      <c r="JSW46" s="468"/>
      <c r="JSX46" s="468"/>
      <c r="JSY46" s="468"/>
      <c r="JSZ46" s="468"/>
      <c r="JTA46" s="468"/>
      <c r="JTB46" s="468"/>
      <c r="JTC46" s="468"/>
      <c r="JTD46" s="468"/>
      <c r="JTE46" s="468"/>
      <c r="JTF46" s="468"/>
      <c r="JTG46" s="468"/>
      <c r="JTH46" s="468"/>
      <c r="JTI46" s="468"/>
      <c r="JTJ46" s="468"/>
      <c r="JTK46" s="468"/>
      <c r="JTL46" s="468"/>
      <c r="JTM46" s="468"/>
      <c r="JTN46" s="468"/>
      <c r="JTO46" s="468"/>
      <c r="JTP46" s="468"/>
      <c r="JTQ46" s="468"/>
      <c r="JTR46" s="468"/>
      <c r="JTS46" s="468"/>
      <c r="JTT46" s="468"/>
      <c r="JTU46" s="468"/>
      <c r="JTV46" s="468"/>
      <c r="JTW46" s="468"/>
      <c r="JTX46" s="468"/>
      <c r="JTY46" s="468"/>
      <c r="JTZ46" s="468"/>
      <c r="JUA46" s="468"/>
      <c r="JUB46" s="468"/>
      <c r="JUC46" s="468"/>
      <c r="JUD46" s="468"/>
      <c r="JUE46" s="468"/>
      <c r="JUF46" s="468"/>
      <c r="JUG46" s="468"/>
      <c r="JUH46" s="468"/>
      <c r="JUI46" s="468"/>
      <c r="JUJ46" s="468"/>
      <c r="JUK46" s="468"/>
      <c r="JUL46" s="468"/>
      <c r="JUM46" s="468"/>
      <c r="JUN46" s="468"/>
      <c r="JUO46" s="468"/>
      <c r="JUP46" s="468"/>
      <c r="JUQ46" s="468"/>
      <c r="JUR46" s="468"/>
      <c r="JUS46" s="468"/>
      <c r="JUT46" s="468"/>
      <c r="JUU46" s="468"/>
      <c r="JUV46" s="468"/>
      <c r="JUW46" s="468"/>
      <c r="JUX46" s="468"/>
      <c r="JUY46" s="468"/>
      <c r="JUZ46" s="468"/>
      <c r="JVA46" s="468"/>
      <c r="JVB46" s="468"/>
      <c r="JVC46" s="468"/>
      <c r="JVD46" s="468"/>
      <c r="JVE46" s="468"/>
      <c r="JVF46" s="468"/>
      <c r="JVG46" s="468"/>
      <c r="JVH46" s="468"/>
      <c r="JVI46" s="468"/>
      <c r="JVJ46" s="468"/>
      <c r="JVK46" s="468"/>
      <c r="JVL46" s="468"/>
      <c r="JVM46" s="468"/>
      <c r="JVN46" s="468"/>
      <c r="JVO46" s="468"/>
      <c r="JVP46" s="468"/>
      <c r="JVQ46" s="468"/>
      <c r="JVR46" s="468"/>
      <c r="JVS46" s="468"/>
      <c r="JVT46" s="468"/>
      <c r="JVU46" s="468"/>
      <c r="JVV46" s="468"/>
      <c r="JVW46" s="468"/>
      <c r="JVX46" s="468"/>
      <c r="JVY46" s="468"/>
      <c r="JVZ46" s="468"/>
      <c r="JWA46" s="468"/>
      <c r="JWB46" s="468"/>
      <c r="JWC46" s="468"/>
      <c r="JWD46" s="468"/>
      <c r="JWE46" s="468"/>
      <c r="JWF46" s="468"/>
      <c r="JWG46" s="468"/>
      <c r="JWH46" s="468"/>
      <c r="JWI46" s="468"/>
      <c r="JWJ46" s="468"/>
      <c r="JWK46" s="468"/>
      <c r="JWL46" s="468"/>
      <c r="JWM46" s="468"/>
      <c r="JWN46" s="468"/>
      <c r="JWO46" s="468"/>
      <c r="JWP46" s="468"/>
      <c r="JWQ46" s="468"/>
      <c r="JWR46" s="468"/>
      <c r="JWS46" s="468"/>
      <c r="JWT46" s="468"/>
      <c r="JWU46" s="468"/>
      <c r="JWV46" s="468"/>
      <c r="JWW46" s="468"/>
      <c r="JWX46" s="468"/>
      <c r="JWY46" s="468"/>
      <c r="JWZ46" s="468"/>
      <c r="JXA46" s="468"/>
      <c r="JXB46" s="468"/>
      <c r="JXC46" s="468"/>
      <c r="JXD46" s="468"/>
      <c r="JXE46" s="468"/>
      <c r="JXF46" s="468"/>
      <c r="JXG46" s="468"/>
      <c r="JXH46" s="468"/>
      <c r="JXI46" s="468"/>
      <c r="JXJ46" s="468"/>
      <c r="JXK46" s="468"/>
      <c r="JXL46" s="468"/>
      <c r="JXM46" s="468"/>
      <c r="JXN46" s="468"/>
      <c r="JXO46" s="468"/>
      <c r="JXP46" s="468"/>
      <c r="JXQ46" s="468"/>
      <c r="JXR46" s="468"/>
      <c r="JXS46" s="468"/>
      <c r="JXT46" s="468"/>
      <c r="JXU46" s="468"/>
      <c r="JXV46" s="468"/>
      <c r="JXW46" s="468"/>
      <c r="JXX46" s="468"/>
      <c r="JXY46" s="468"/>
      <c r="JXZ46" s="468"/>
      <c r="JYA46" s="468"/>
      <c r="JYB46" s="468"/>
      <c r="JYC46" s="468"/>
      <c r="JYD46" s="468"/>
      <c r="JYE46" s="468"/>
      <c r="JYF46" s="468"/>
      <c r="JYG46" s="468"/>
      <c r="JYH46" s="468"/>
      <c r="JYI46" s="468"/>
      <c r="JYJ46" s="468"/>
      <c r="JYK46" s="468"/>
      <c r="JYL46" s="468"/>
      <c r="JYM46" s="468"/>
      <c r="JYN46" s="468"/>
      <c r="JYO46" s="468"/>
      <c r="JYP46" s="468"/>
      <c r="JYQ46" s="468"/>
      <c r="JYR46" s="468"/>
      <c r="JYS46" s="468"/>
      <c r="JYT46" s="468"/>
      <c r="JYU46" s="468"/>
      <c r="JYV46" s="468"/>
      <c r="JYW46" s="468"/>
      <c r="JYX46" s="468"/>
      <c r="JYY46" s="468"/>
      <c r="JYZ46" s="468"/>
      <c r="JZA46" s="468"/>
      <c r="JZB46" s="468"/>
      <c r="JZC46" s="468"/>
      <c r="JZD46" s="468"/>
      <c r="JZE46" s="468"/>
      <c r="JZF46" s="468"/>
      <c r="JZG46" s="468"/>
      <c r="JZH46" s="468"/>
      <c r="JZI46" s="468"/>
      <c r="JZJ46" s="468"/>
      <c r="JZK46" s="468"/>
      <c r="JZL46" s="468"/>
      <c r="JZM46" s="468"/>
      <c r="JZN46" s="468"/>
      <c r="JZO46" s="468"/>
      <c r="JZP46" s="468"/>
      <c r="JZQ46" s="468"/>
      <c r="JZR46" s="468"/>
      <c r="JZS46" s="468"/>
      <c r="JZT46" s="468"/>
      <c r="JZU46" s="468"/>
      <c r="JZV46" s="468"/>
      <c r="JZW46" s="468"/>
      <c r="JZX46" s="468"/>
      <c r="JZY46" s="468"/>
      <c r="JZZ46" s="468"/>
      <c r="KAA46" s="468"/>
      <c r="KAB46" s="468"/>
      <c r="KAC46" s="468"/>
      <c r="KAD46" s="468"/>
      <c r="KAE46" s="468"/>
      <c r="KAF46" s="468"/>
      <c r="KAG46" s="468"/>
      <c r="KAH46" s="468"/>
      <c r="KAI46" s="468"/>
      <c r="KAJ46" s="468"/>
      <c r="KAK46" s="468"/>
      <c r="KAL46" s="468"/>
      <c r="KAM46" s="468"/>
      <c r="KAN46" s="468"/>
      <c r="KAO46" s="468"/>
      <c r="KAP46" s="468"/>
      <c r="KAQ46" s="468"/>
      <c r="KAR46" s="468"/>
      <c r="KAS46" s="468"/>
      <c r="KAT46" s="468"/>
      <c r="KAU46" s="468"/>
      <c r="KAV46" s="468"/>
      <c r="KAW46" s="468"/>
      <c r="KAX46" s="468"/>
      <c r="KAY46" s="468"/>
      <c r="KAZ46" s="468"/>
      <c r="KBA46" s="468"/>
      <c r="KBB46" s="468"/>
      <c r="KBC46" s="468"/>
      <c r="KBD46" s="468"/>
      <c r="KBE46" s="468"/>
      <c r="KBF46" s="468"/>
      <c r="KBG46" s="468"/>
      <c r="KBH46" s="468"/>
      <c r="KBI46" s="468"/>
      <c r="KBJ46" s="468"/>
      <c r="KBK46" s="468"/>
      <c r="KBL46" s="468"/>
      <c r="KBM46" s="468"/>
      <c r="KBN46" s="468"/>
      <c r="KBO46" s="468"/>
      <c r="KBP46" s="468"/>
      <c r="KBQ46" s="468"/>
      <c r="KBR46" s="468"/>
      <c r="KBS46" s="468"/>
      <c r="KBT46" s="468"/>
      <c r="KBU46" s="468"/>
      <c r="KBV46" s="468"/>
      <c r="KBW46" s="468"/>
      <c r="KBX46" s="468"/>
      <c r="KBY46" s="468"/>
      <c r="KBZ46" s="468"/>
      <c r="KCA46" s="468"/>
      <c r="KCB46" s="468"/>
      <c r="KCC46" s="468"/>
      <c r="KCD46" s="468"/>
      <c r="KCE46" s="468"/>
      <c r="KCF46" s="468"/>
      <c r="KCG46" s="468"/>
      <c r="KCH46" s="468"/>
      <c r="KCI46" s="468"/>
      <c r="KCJ46" s="468"/>
      <c r="KCK46" s="468"/>
      <c r="KCL46" s="468"/>
      <c r="KCM46" s="468"/>
      <c r="KCN46" s="468"/>
      <c r="KCO46" s="468"/>
      <c r="KCP46" s="468"/>
      <c r="KCQ46" s="468"/>
      <c r="KCR46" s="468"/>
      <c r="KCS46" s="468"/>
      <c r="KCT46" s="468"/>
      <c r="KCU46" s="468"/>
      <c r="KCV46" s="468"/>
      <c r="KCW46" s="468"/>
      <c r="KCX46" s="468"/>
      <c r="KCY46" s="468"/>
      <c r="KCZ46" s="468"/>
      <c r="KDA46" s="468"/>
      <c r="KDB46" s="468"/>
      <c r="KDC46" s="468"/>
      <c r="KDD46" s="468"/>
      <c r="KDE46" s="468"/>
      <c r="KDF46" s="468"/>
      <c r="KDG46" s="468"/>
      <c r="KDH46" s="468"/>
      <c r="KDI46" s="468"/>
      <c r="KDJ46" s="468"/>
      <c r="KDK46" s="468"/>
      <c r="KDL46" s="468"/>
      <c r="KDM46" s="468"/>
      <c r="KDN46" s="468"/>
      <c r="KDO46" s="468"/>
      <c r="KDP46" s="468"/>
      <c r="KDQ46" s="468"/>
      <c r="KDR46" s="468"/>
      <c r="KDS46" s="468"/>
      <c r="KDT46" s="468"/>
      <c r="KDU46" s="468"/>
      <c r="KDV46" s="468"/>
      <c r="KDW46" s="468"/>
      <c r="KDX46" s="468"/>
      <c r="KDY46" s="468"/>
      <c r="KDZ46" s="468"/>
      <c r="KEA46" s="468"/>
      <c r="KEB46" s="468"/>
      <c r="KEC46" s="468"/>
      <c r="KED46" s="468"/>
      <c r="KEE46" s="468"/>
      <c r="KEF46" s="468"/>
      <c r="KEG46" s="468"/>
      <c r="KEH46" s="468"/>
      <c r="KEI46" s="468"/>
      <c r="KEJ46" s="468"/>
      <c r="KEK46" s="468"/>
      <c r="KEL46" s="468"/>
      <c r="KEM46" s="468"/>
      <c r="KEN46" s="468"/>
      <c r="KEO46" s="468"/>
      <c r="KEP46" s="468"/>
      <c r="KEQ46" s="468"/>
      <c r="KER46" s="468"/>
      <c r="KES46" s="468"/>
      <c r="KET46" s="468"/>
      <c r="KEU46" s="468"/>
      <c r="KEV46" s="468"/>
      <c r="KEW46" s="468"/>
      <c r="KEX46" s="468"/>
      <c r="KEY46" s="468"/>
      <c r="KEZ46" s="468"/>
      <c r="KFA46" s="468"/>
      <c r="KFB46" s="468"/>
      <c r="KFC46" s="468"/>
      <c r="KFD46" s="468"/>
      <c r="KFE46" s="468"/>
      <c r="KFF46" s="468"/>
      <c r="KFG46" s="468"/>
      <c r="KFH46" s="468"/>
      <c r="KFI46" s="468"/>
      <c r="KFJ46" s="468"/>
      <c r="KFK46" s="468"/>
      <c r="KFL46" s="468"/>
      <c r="KFM46" s="468"/>
      <c r="KFN46" s="468"/>
      <c r="KFO46" s="468"/>
      <c r="KFP46" s="468"/>
      <c r="KFQ46" s="468"/>
      <c r="KFR46" s="468"/>
      <c r="KFS46" s="468"/>
      <c r="KFT46" s="468"/>
      <c r="KFU46" s="468"/>
      <c r="KFV46" s="468"/>
      <c r="KFW46" s="468"/>
      <c r="KFX46" s="468"/>
      <c r="KFY46" s="468"/>
      <c r="KFZ46" s="468"/>
      <c r="KGA46" s="468"/>
      <c r="KGB46" s="468"/>
      <c r="KGC46" s="468"/>
      <c r="KGD46" s="468"/>
      <c r="KGE46" s="468"/>
      <c r="KGF46" s="468"/>
      <c r="KGG46" s="468"/>
      <c r="KGH46" s="468"/>
      <c r="KGI46" s="468"/>
      <c r="KGJ46" s="468"/>
      <c r="KGK46" s="468"/>
      <c r="KGL46" s="468"/>
      <c r="KGM46" s="468"/>
      <c r="KGN46" s="468"/>
      <c r="KGO46" s="468"/>
      <c r="KGP46" s="468"/>
      <c r="KGQ46" s="468"/>
      <c r="KGR46" s="468"/>
      <c r="KGS46" s="468"/>
      <c r="KGT46" s="468"/>
      <c r="KGU46" s="468"/>
      <c r="KGV46" s="468"/>
      <c r="KGW46" s="468"/>
      <c r="KGX46" s="468"/>
      <c r="KGY46" s="468"/>
      <c r="KGZ46" s="468"/>
      <c r="KHA46" s="468"/>
      <c r="KHB46" s="468"/>
      <c r="KHC46" s="468"/>
      <c r="KHD46" s="468"/>
      <c r="KHE46" s="468"/>
      <c r="KHF46" s="468"/>
      <c r="KHG46" s="468"/>
      <c r="KHH46" s="468"/>
      <c r="KHI46" s="468"/>
      <c r="KHJ46" s="468"/>
      <c r="KHK46" s="468"/>
      <c r="KHL46" s="468"/>
      <c r="KHM46" s="468"/>
      <c r="KHN46" s="468"/>
      <c r="KHO46" s="468"/>
      <c r="KHP46" s="468"/>
      <c r="KHQ46" s="468"/>
      <c r="KHR46" s="468"/>
      <c r="KHS46" s="468"/>
      <c r="KHT46" s="468"/>
      <c r="KHU46" s="468"/>
      <c r="KHV46" s="468"/>
      <c r="KHW46" s="468"/>
      <c r="KHX46" s="468"/>
      <c r="KHY46" s="468"/>
      <c r="KHZ46" s="468"/>
      <c r="KIA46" s="468"/>
      <c r="KIB46" s="468"/>
      <c r="KIC46" s="468"/>
      <c r="KID46" s="468"/>
      <c r="KIE46" s="468"/>
      <c r="KIF46" s="468"/>
      <c r="KIG46" s="468"/>
      <c r="KIH46" s="468"/>
      <c r="KII46" s="468"/>
      <c r="KIJ46" s="468"/>
      <c r="KIK46" s="468"/>
      <c r="KIL46" s="468"/>
      <c r="KIM46" s="468"/>
      <c r="KIN46" s="468"/>
      <c r="KIO46" s="468"/>
      <c r="KIP46" s="468"/>
      <c r="KIQ46" s="468"/>
      <c r="KIR46" s="468"/>
      <c r="KIS46" s="468"/>
      <c r="KIT46" s="468"/>
      <c r="KIU46" s="468"/>
      <c r="KIV46" s="468"/>
      <c r="KIW46" s="468"/>
      <c r="KIX46" s="468"/>
      <c r="KIY46" s="468"/>
      <c r="KIZ46" s="468"/>
      <c r="KJA46" s="468"/>
      <c r="KJB46" s="468"/>
      <c r="KJC46" s="468"/>
      <c r="KJD46" s="468"/>
      <c r="KJE46" s="468"/>
      <c r="KJF46" s="468"/>
      <c r="KJG46" s="468"/>
      <c r="KJH46" s="468"/>
      <c r="KJI46" s="468"/>
      <c r="KJJ46" s="468"/>
      <c r="KJK46" s="468"/>
      <c r="KJL46" s="468"/>
      <c r="KJM46" s="468"/>
      <c r="KJN46" s="468"/>
      <c r="KJO46" s="468"/>
      <c r="KJP46" s="468"/>
      <c r="KJQ46" s="468"/>
      <c r="KJR46" s="468"/>
      <c r="KJS46" s="468"/>
      <c r="KJT46" s="468"/>
      <c r="KJU46" s="468"/>
      <c r="KJV46" s="468"/>
      <c r="KJW46" s="468"/>
      <c r="KJX46" s="468"/>
      <c r="KJY46" s="468"/>
      <c r="KJZ46" s="468"/>
      <c r="KKA46" s="468"/>
      <c r="KKB46" s="468"/>
      <c r="KKC46" s="468"/>
      <c r="KKD46" s="468"/>
      <c r="KKE46" s="468"/>
      <c r="KKF46" s="468"/>
      <c r="KKG46" s="468"/>
      <c r="KKH46" s="468"/>
      <c r="KKI46" s="468"/>
      <c r="KKJ46" s="468"/>
      <c r="KKK46" s="468"/>
      <c r="KKL46" s="468"/>
      <c r="KKM46" s="468"/>
      <c r="KKN46" s="468"/>
      <c r="KKO46" s="468"/>
      <c r="KKP46" s="468"/>
      <c r="KKQ46" s="468"/>
      <c r="KKR46" s="468"/>
      <c r="KKS46" s="468"/>
      <c r="KKT46" s="468"/>
      <c r="KKU46" s="468"/>
      <c r="KKV46" s="468"/>
      <c r="KKW46" s="468"/>
      <c r="KKX46" s="468"/>
      <c r="KKY46" s="468"/>
      <c r="KKZ46" s="468"/>
      <c r="KLA46" s="468"/>
      <c r="KLB46" s="468"/>
      <c r="KLC46" s="468"/>
      <c r="KLD46" s="468"/>
      <c r="KLE46" s="468"/>
      <c r="KLF46" s="468"/>
      <c r="KLG46" s="468"/>
      <c r="KLH46" s="468"/>
      <c r="KLI46" s="468"/>
      <c r="KLJ46" s="468"/>
      <c r="KLK46" s="468"/>
      <c r="KLL46" s="468"/>
      <c r="KLM46" s="468"/>
      <c r="KLN46" s="468"/>
      <c r="KLO46" s="468"/>
      <c r="KLP46" s="468"/>
      <c r="KLQ46" s="468"/>
      <c r="KLR46" s="468"/>
      <c r="KLS46" s="468"/>
      <c r="KLT46" s="468"/>
      <c r="KLU46" s="468"/>
      <c r="KLV46" s="468"/>
      <c r="KLW46" s="468"/>
      <c r="KLX46" s="468"/>
      <c r="KLY46" s="468"/>
      <c r="KLZ46" s="468"/>
      <c r="KMA46" s="468"/>
      <c r="KMB46" s="468"/>
      <c r="KMC46" s="468"/>
      <c r="KMD46" s="468"/>
      <c r="KME46" s="468"/>
      <c r="KMF46" s="468"/>
      <c r="KMG46" s="468"/>
      <c r="KMH46" s="468"/>
      <c r="KMI46" s="468"/>
      <c r="KMJ46" s="468"/>
      <c r="KMK46" s="468"/>
      <c r="KML46" s="468"/>
      <c r="KMM46" s="468"/>
      <c r="KMN46" s="468"/>
      <c r="KMO46" s="468"/>
      <c r="KMP46" s="468"/>
      <c r="KMQ46" s="468"/>
      <c r="KMR46" s="468"/>
      <c r="KMS46" s="468"/>
      <c r="KMT46" s="468"/>
      <c r="KMU46" s="468"/>
      <c r="KMV46" s="468"/>
      <c r="KMW46" s="468"/>
      <c r="KMX46" s="468"/>
      <c r="KMY46" s="468"/>
      <c r="KMZ46" s="468"/>
      <c r="KNA46" s="468"/>
      <c r="KNB46" s="468"/>
      <c r="KNC46" s="468"/>
      <c r="KND46" s="468"/>
      <c r="KNE46" s="468"/>
      <c r="KNF46" s="468"/>
      <c r="KNG46" s="468"/>
      <c r="KNH46" s="468"/>
      <c r="KNI46" s="468"/>
      <c r="KNJ46" s="468"/>
      <c r="KNK46" s="468"/>
      <c r="KNL46" s="468"/>
      <c r="KNM46" s="468"/>
      <c r="KNN46" s="468"/>
      <c r="KNO46" s="468"/>
      <c r="KNP46" s="468"/>
      <c r="KNQ46" s="468"/>
      <c r="KNR46" s="468"/>
      <c r="KNS46" s="468"/>
      <c r="KNT46" s="468"/>
      <c r="KNU46" s="468"/>
      <c r="KNV46" s="468"/>
      <c r="KNW46" s="468"/>
      <c r="KNX46" s="468"/>
      <c r="KNY46" s="468"/>
      <c r="KNZ46" s="468"/>
      <c r="KOA46" s="468"/>
      <c r="KOB46" s="468"/>
      <c r="KOC46" s="468"/>
      <c r="KOD46" s="468"/>
      <c r="KOE46" s="468"/>
      <c r="KOF46" s="468"/>
      <c r="KOG46" s="468"/>
      <c r="KOH46" s="468"/>
      <c r="KOI46" s="468"/>
      <c r="KOJ46" s="468"/>
      <c r="KOK46" s="468"/>
      <c r="KOL46" s="468"/>
      <c r="KOM46" s="468"/>
      <c r="KON46" s="468"/>
      <c r="KOO46" s="468"/>
      <c r="KOP46" s="468"/>
      <c r="KOQ46" s="468"/>
      <c r="KOR46" s="468"/>
      <c r="KOS46" s="468"/>
      <c r="KOT46" s="468"/>
      <c r="KOU46" s="468"/>
      <c r="KOV46" s="468"/>
      <c r="KOW46" s="468"/>
      <c r="KOX46" s="468"/>
      <c r="KOY46" s="468"/>
      <c r="KOZ46" s="468"/>
      <c r="KPA46" s="468"/>
      <c r="KPB46" s="468"/>
      <c r="KPC46" s="468"/>
      <c r="KPD46" s="468"/>
      <c r="KPE46" s="468"/>
      <c r="KPF46" s="468"/>
      <c r="KPG46" s="468"/>
      <c r="KPH46" s="468"/>
      <c r="KPI46" s="468"/>
      <c r="KPJ46" s="468"/>
      <c r="KPK46" s="468"/>
      <c r="KPL46" s="468"/>
      <c r="KPM46" s="468"/>
      <c r="KPN46" s="468"/>
      <c r="KPO46" s="468"/>
      <c r="KPP46" s="468"/>
      <c r="KPQ46" s="468"/>
      <c r="KPR46" s="468"/>
      <c r="KPS46" s="468"/>
      <c r="KPT46" s="468"/>
      <c r="KPU46" s="468"/>
      <c r="KPV46" s="468"/>
      <c r="KPW46" s="468"/>
      <c r="KPX46" s="468"/>
      <c r="KPY46" s="468"/>
      <c r="KPZ46" s="468"/>
      <c r="KQA46" s="468"/>
      <c r="KQB46" s="468"/>
      <c r="KQC46" s="468"/>
      <c r="KQD46" s="468"/>
      <c r="KQE46" s="468"/>
      <c r="KQF46" s="468"/>
      <c r="KQG46" s="468"/>
      <c r="KQH46" s="468"/>
      <c r="KQI46" s="468"/>
      <c r="KQJ46" s="468"/>
      <c r="KQK46" s="468"/>
      <c r="KQL46" s="468"/>
      <c r="KQM46" s="468"/>
      <c r="KQN46" s="468"/>
      <c r="KQO46" s="468"/>
      <c r="KQP46" s="468"/>
      <c r="KQQ46" s="468"/>
      <c r="KQR46" s="468"/>
      <c r="KQS46" s="468"/>
      <c r="KQT46" s="468"/>
      <c r="KQU46" s="468"/>
      <c r="KQV46" s="468"/>
      <c r="KQW46" s="468"/>
      <c r="KQX46" s="468"/>
      <c r="KQY46" s="468"/>
      <c r="KQZ46" s="468"/>
      <c r="KRA46" s="468"/>
      <c r="KRB46" s="468"/>
      <c r="KRC46" s="468"/>
      <c r="KRD46" s="468"/>
      <c r="KRE46" s="468"/>
      <c r="KRF46" s="468"/>
      <c r="KRG46" s="468"/>
      <c r="KRH46" s="468"/>
      <c r="KRI46" s="468"/>
      <c r="KRJ46" s="468"/>
      <c r="KRK46" s="468"/>
      <c r="KRL46" s="468"/>
      <c r="KRM46" s="468"/>
      <c r="KRN46" s="468"/>
      <c r="KRO46" s="468"/>
      <c r="KRP46" s="468"/>
      <c r="KRQ46" s="468"/>
      <c r="KRR46" s="468"/>
      <c r="KRS46" s="468"/>
      <c r="KRT46" s="468"/>
      <c r="KRU46" s="468"/>
      <c r="KRV46" s="468"/>
      <c r="KRW46" s="468"/>
      <c r="KRX46" s="468"/>
      <c r="KRY46" s="468"/>
      <c r="KRZ46" s="468"/>
      <c r="KSA46" s="468"/>
      <c r="KSB46" s="468"/>
      <c r="KSC46" s="468"/>
      <c r="KSD46" s="468"/>
      <c r="KSE46" s="468"/>
      <c r="KSF46" s="468"/>
      <c r="KSG46" s="468"/>
      <c r="KSH46" s="468"/>
      <c r="KSI46" s="468"/>
      <c r="KSJ46" s="468"/>
      <c r="KSK46" s="468"/>
      <c r="KSL46" s="468"/>
      <c r="KSM46" s="468"/>
      <c r="KSN46" s="468"/>
      <c r="KSO46" s="468"/>
      <c r="KSP46" s="468"/>
      <c r="KSQ46" s="468"/>
      <c r="KSR46" s="468"/>
      <c r="KSS46" s="468"/>
      <c r="KST46" s="468"/>
      <c r="KSU46" s="468"/>
      <c r="KSV46" s="468"/>
      <c r="KSW46" s="468"/>
      <c r="KSX46" s="468"/>
      <c r="KSY46" s="468"/>
      <c r="KSZ46" s="468"/>
      <c r="KTA46" s="468"/>
      <c r="KTB46" s="468"/>
      <c r="KTC46" s="468"/>
      <c r="KTD46" s="468"/>
      <c r="KTE46" s="468"/>
      <c r="KTF46" s="468"/>
      <c r="KTG46" s="468"/>
      <c r="KTH46" s="468"/>
      <c r="KTI46" s="468"/>
      <c r="KTJ46" s="468"/>
      <c r="KTK46" s="468"/>
      <c r="KTL46" s="468"/>
      <c r="KTM46" s="468"/>
      <c r="KTN46" s="468"/>
      <c r="KTO46" s="468"/>
      <c r="KTP46" s="468"/>
      <c r="KTQ46" s="468"/>
      <c r="KTR46" s="468"/>
      <c r="KTS46" s="468"/>
      <c r="KTT46" s="468"/>
      <c r="KTU46" s="468"/>
      <c r="KTV46" s="468"/>
      <c r="KTW46" s="468"/>
      <c r="KTX46" s="468"/>
      <c r="KTY46" s="468"/>
      <c r="KTZ46" s="468"/>
      <c r="KUA46" s="468"/>
      <c r="KUB46" s="468"/>
      <c r="KUC46" s="468"/>
      <c r="KUD46" s="468"/>
      <c r="KUE46" s="468"/>
      <c r="KUF46" s="468"/>
      <c r="KUG46" s="468"/>
      <c r="KUH46" s="468"/>
      <c r="KUI46" s="468"/>
      <c r="KUJ46" s="468"/>
      <c r="KUK46" s="468"/>
      <c r="KUL46" s="468"/>
      <c r="KUM46" s="468"/>
      <c r="KUN46" s="468"/>
      <c r="KUO46" s="468"/>
      <c r="KUP46" s="468"/>
      <c r="KUQ46" s="468"/>
      <c r="KUR46" s="468"/>
      <c r="KUS46" s="468"/>
      <c r="KUT46" s="468"/>
      <c r="KUU46" s="468"/>
      <c r="KUV46" s="468"/>
      <c r="KUW46" s="468"/>
      <c r="KUX46" s="468"/>
      <c r="KUY46" s="468"/>
      <c r="KUZ46" s="468"/>
      <c r="KVA46" s="468"/>
      <c r="KVB46" s="468"/>
      <c r="KVC46" s="468"/>
      <c r="KVD46" s="468"/>
      <c r="KVE46" s="468"/>
      <c r="KVF46" s="468"/>
      <c r="KVG46" s="468"/>
      <c r="KVH46" s="468"/>
      <c r="KVI46" s="468"/>
      <c r="KVJ46" s="468"/>
      <c r="KVK46" s="468"/>
      <c r="KVL46" s="468"/>
      <c r="KVM46" s="468"/>
      <c r="KVN46" s="468"/>
      <c r="KVO46" s="468"/>
      <c r="KVP46" s="468"/>
      <c r="KVQ46" s="468"/>
      <c r="KVR46" s="468"/>
      <c r="KVS46" s="468"/>
      <c r="KVT46" s="468"/>
      <c r="KVU46" s="468"/>
      <c r="KVV46" s="468"/>
      <c r="KVW46" s="468"/>
      <c r="KVX46" s="468"/>
      <c r="KVY46" s="468"/>
      <c r="KVZ46" s="468"/>
      <c r="KWA46" s="468"/>
      <c r="KWB46" s="468"/>
      <c r="KWC46" s="468"/>
      <c r="KWD46" s="468"/>
      <c r="KWE46" s="468"/>
      <c r="KWF46" s="468"/>
      <c r="KWG46" s="468"/>
      <c r="KWH46" s="468"/>
      <c r="KWI46" s="468"/>
      <c r="KWJ46" s="468"/>
      <c r="KWK46" s="468"/>
      <c r="KWL46" s="468"/>
      <c r="KWM46" s="468"/>
      <c r="KWN46" s="468"/>
      <c r="KWO46" s="468"/>
      <c r="KWP46" s="468"/>
      <c r="KWQ46" s="468"/>
      <c r="KWR46" s="468"/>
      <c r="KWS46" s="468"/>
      <c r="KWT46" s="468"/>
      <c r="KWU46" s="468"/>
      <c r="KWV46" s="468"/>
      <c r="KWW46" s="468"/>
      <c r="KWX46" s="468"/>
      <c r="KWY46" s="468"/>
      <c r="KWZ46" s="468"/>
      <c r="KXA46" s="468"/>
      <c r="KXB46" s="468"/>
      <c r="KXC46" s="468"/>
      <c r="KXD46" s="468"/>
      <c r="KXE46" s="468"/>
      <c r="KXF46" s="468"/>
      <c r="KXG46" s="468"/>
      <c r="KXH46" s="468"/>
      <c r="KXI46" s="468"/>
      <c r="KXJ46" s="468"/>
      <c r="KXK46" s="468"/>
      <c r="KXL46" s="468"/>
      <c r="KXM46" s="468"/>
      <c r="KXN46" s="468"/>
      <c r="KXO46" s="468"/>
      <c r="KXP46" s="468"/>
      <c r="KXQ46" s="468"/>
      <c r="KXR46" s="468"/>
      <c r="KXS46" s="468"/>
      <c r="KXT46" s="468"/>
      <c r="KXU46" s="468"/>
      <c r="KXV46" s="468"/>
      <c r="KXW46" s="468"/>
      <c r="KXX46" s="468"/>
      <c r="KXY46" s="468"/>
      <c r="KXZ46" s="468"/>
      <c r="KYA46" s="468"/>
      <c r="KYB46" s="468"/>
      <c r="KYC46" s="468"/>
      <c r="KYD46" s="468"/>
      <c r="KYE46" s="468"/>
      <c r="KYF46" s="468"/>
      <c r="KYG46" s="468"/>
      <c r="KYH46" s="468"/>
      <c r="KYI46" s="468"/>
      <c r="KYJ46" s="468"/>
      <c r="KYK46" s="468"/>
      <c r="KYL46" s="468"/>
      <c r="KYM46" s="468"/>
      <c r="KYN46" s="468"/>
      <c r="KYO46" s="468"/>
      <c r="KYP46" s="468"/>
      <c r="KYQ46" s="468"/>
      <c r="KYR46" s="468"/>
      <c r="KYS46" s="468"/>
      <c r="KYT46" s="468"/>
      <c r="KYU46" s="468"/>
      <c r="KYV46" s="468"/>
      <c r="KYW46" s="468"/>
      <c r="KYX46" s="468"/>
      <c r="KYY46" s="468"/>
      <c r="KYZ46" s="468"/>
      <c r="KZA46" s="468"/>
      <c r="KZB46" s="468"/>
      <c r="KZC46" s="468"/>
      <c r="KZD46" s="468"/>
      <c r="KZE46" s="468"/>
      <c r="KZF46" s="468"/>
      <c r="KZG46" s="468"/>
      <c r="KZH46" s="468"/>
      <c r="KZI46" s="468"/>
      <c r="KZJ46" s="468"/>
      <c r="KZK46" s="468"/>
      <c r="KZL46" s="468"/>
      <c r="KZM46" s="468"/>
      <c r="KZN46" s="468"/>
      <c r="KZO46" s="468"/>
      <c r="KZP46" s="468"/>
      <c r="KZQ46" s="468"/>
      <c r="KZR46" s="468"/>
      <c r="KZS46" s="468"/>
      <c r="KZT46" s="468"/>
      <c r="KZU46" s="468"/>
      <c r="KZV46" s="468"/>
      <c r="KZW46" s="468"/>
      <c r="KZX46" s="468"/>
      <c r="KZY46" s="468"/>
      <c r="KZZ46" s="468"/>
      <c r="LAA46" s="468"/>
      <c r="LAB46" s="468"/>
      <c r="LAC46" s="468"/>
      <c r="LAD46" s="468"/>
      <c r="LAE46" s="468"/>
      <c r="LAF46" s="468"/>
      <c r="LAG46" s="468"/>
      <c r="LAH46" s="468"/>
      <c r="LAI46" s="468"/>
      <c r="LAJ46" s="468"/>
      <c r="LAK46" s="468"/>
      <c r="LAL46" s="468"/>
      <c r="LAM46" s="468"/>
      <c r="LAN46" s="468"/>
      <c r="LAO46" s="468"/>
      <c r="LAP46" s="468"/>
      <c r="LAQ46" s="468"/>
      <c r="LAR46" s="468"/>
      <c r="LAS46" s="468"/>
      <c r="LAT46" s="468"/>
      <c r="LAU46" s="468"/>
      <c r="LAV46" s="468"/>
      <c r="LAW46" s="468"/>
      <c r="LAX46" s="468"/>
      <c r="LAY46" s="468"/>
      <c r="LAZ46" s="468"/>
      <c r="LBA46" s="468"/>
      <c r="LBB46" s="468"/>
      <c r="LBC46" s="468"/>
      <c r="LBD46" s="468"/>
      <c r="LBE46" s="468"/>
      <c r="LBF46" s="468"/>
      <c r="LBG46" s="468"/>
      <c r="LBH46" s="468"/>
      <c r="LBI46" s="468"/>
      <c r="LBJ46" s="468"/>
      <c r="LBK46" s="468"/>
      <c r="LBL46" s="468"/>
      <c r="LBM46" s="468"/>
      <c r="LBN46" s="468"/>
      <c r="LBO46" s="468"/>
      <c r="LBP46" s="468"/>
      <c r="LBQ46" s="468"/>
      <c r="LBR46" s="468"/>
      <c r="LBS46" s="468"/>
      <c r="LBT46" s="468"/>
      <c r="LBU46" s="468"/>
      <c r="LBV46" s="468"/>
      <c r="LBW46" s="468"/>
      <c r="LBX46" s="468"/>
      <c r="LBY46" s="468"/>
      <c r="LBZ46" s="468"/>
      <c r="LCA46" s="468"/>
      <c r="LCB46" s="468"/>
      <c r="LCC46" s="468"/>
      <c r="LCD46" s="468"/>
      <c r="LCE46" s="468"/>
      <c r="LCF46" s="468"/>
      <c r="LCG46" s="468"/>
      <c r="LCH46" s="468"/>
      <c r="LCI46" s="468"/>
      <c r="LCJ46" s="468"/>
      <c r="LCK46" s="468"/>
      <c r="LCL46" s="468"/>
      <c r="LCM46" s="468"/>
      <c r="LCN46" s="468"/>
      <c r="LCO46" s="468"/>
      <c r="LCP46" s="468"/>
      <c r="LCQ46" s="468"/>
      <c r="LCR46" s="468"/>
      <c r="LCS46" s="468"/>
      <c r="LCT46" s="468"/>
      <c r="LCU46" s="468"/>
      <c r="LCV46" s="468"/>
      <c r="LCW46" s="468"/>
      <c r="LCX46" s="468"/>
      <c r="LCY46" s="468"/>
      <c r="LCZ46" s="468"/>
      <c r="LDA46" s="468"/>
      <c r="LDB46" s="468"/>
      <c r="LDC46" s="468"/>
      <c r="LDD46" s="468"/>
      <c r="LDE46" s="468"/>
      <c r="LDF46" s="468"/>
      <c r="LDG46" s="468"/>
      <c r="LDH46" s="468"/>
      <c r="LDI46" s="468"/>
      <c r="LDJ46" s="468"/>
      <c r="LDK46" s="468"/>
      <c r="LDL46" s="468"/>
      <c r="LDM46" s="468"/>
      <c r="LDN46" s="468"/>
      <c r="LDO46" s="468"/>
      <c r="LDP46" s="468"/>
      <c r="LDQ46" s="468"/>
      <c r="LDR46" s="468"/>
      <c r="LDS46" s="468"/>
      <c r="LDT46" s="468"/>
      <c r="LDU46" s="468"/>
      <c r="LDV46" s="468"/>
      <c r="LDW46" s="468"/>
      <c r="LDX46" s="468"/>
      <c r="LDY46" s="468"/>
      <c r="LDZ46" s="468"/>
      <c r="LEA46" s="468"/>
      <c r="LEB46" s="468"/>
      <c r="LEC46" s="468"/>
      <c r="LED46" s="468"/>
      <c r="LEE46" s="468"/>
      <c r="LEF46" s="468"/>
      <c r="LEG46" s="468"/>
      <c r="LEH46" s="468"/>
      <c r="LEI46" s="468"/>
      <c r="LEJ46" s="468"/>
      <c r="LEK46" s="468"/>
      <c r="LEL46" s="468"/>
      <c r="LEM46" s="468"/>
      <c r="LEN46" s="468"/>
      <c r="LEO46" s="468"/>
      <c r="LEP46" s="468"/>
      <c r="LEQ46" s="468"/>
      <c r="LER46" s="468"/>
      <c r="LES46" s="468"/>
      <c r="LET46" s="468"/>
      <c r="LEU46" s="468"/>
      <c r="LEV46" s="468"/>
      <c r="LEW46" s="468"/>
      <c r="LEX46" s="468"/>
      <c r="LEY46" s="468"/>
      <c r="LEZ46" s="468"/>
      <c r="LFA46" s="468"/>
      <c r="LFB46" s="468"/>
      <c r="LFC46" s="468"/>
      <c r="LFD46" s="468"/>
      <c r="LFE46" s="468"/>
      <c r="LFF46" s="468"/>
      <c r="LFG46" s="468"/>
      <c r="LFH46" s="468"/>
      <c r="LFI46" s="468"/>
      <c r="LFJ46" s="468"/>
      <c r="LFK46" s="468"/>
      <c r="LFL46" s="468"/>
      <c r="LFM46" s="468"/>
      <c r="LFN46" s="468"/>
      <c r="LFO46" s="468"/>
      <c r="LFP46" s="468"/>
      <c r="LFQ46" s="468"/>
      <c r="LFR46" s="468"/>
      <c r="LFS46" s="468"/>
      <c r="LFT46" s="468"/>
      <c r="LFU46" s="468"/>
      <c r="LFV46" s="468"/>
      <c r="LFW46" s="468"/>
      <c r="LFX46" s="468"/>
      <c r="LFY46" s="468"/>
      <c r="LFZ46" s="468"/>
      <c r="LGA46" s="468"/>
      <c r="LGB46" s="468"/>
      <c r="LGC46" s="468"/>
      <c r="LGD46" s="468"/>
      <c r="LGE46" s="468"/>
      <c r="LGF46" s="468"/>
      <c r="LGG46" s="468"/>
      <c r="LGH46" s="468"/>
      <c r="LGI46" s="468"/>
      <c r="LGJ46" s="468"/>
      <c r="LGK46" s="468"/>
      <c r="LGL46" s="468"/>
      <c r="LGM46" s="468"/>
      <c r="LGN46" s="468"/>
      <c r="LGO46" s="468"/>
      <c r="LGP46" s="468"/>
      <c r="LGQ46" s="468"/>
      <c r="LGR46" s="468"/>
      <c r="LGS46" s="468"/>
      <c r="LGT46" s="468"/>
      <c r="LGU46" s="468"/>
      <c r="LGV46" s="468"/>
      <c r="LGW46" s="468"/>
      <c r="LGX46" s="468"/>
      <c r="LGY46" s="468"/>
      <c r="LGZ46" s="468"/>
      <c r="LHA46" s="468"/>
      <c r="LHB46" s="468"/>
      <c r="LHC46" s="468"/>
      <c r="LHD46" s="468"/>
      <c r="LHE46" s="468"/>
      <c r="LHF46" s="468"/>
      <c r="LHG46" s="468"/>
      <c r="LHH46" s="468"/>
      <c r="LHI46" s="468"/>
      <c r="LHJ46" s="468"/>
      <c r="LHK46" s="468"/>
      <c r="LHL46" s="468"/>
      <c r="LHM46" s="468"/>
      <c r="LHN46" s="468"/>
      <c r="LHO46" s="468"/>
      <c r="LHP46" s="468"/>
      <c r="LHQ46" s="468"/>
      <c r="LHR46" s="468"/>
      <c r="LHS46" s="468"/>
      <c r="LHT46" s="468"/>
      <c r="LHU46" s="468"/>
      <c r="LHV46" s="468"/>
      <c r="LHW46" s="468"/>
      <c r="LHX46" s="468"/>
      <c r="LHY46" s="468"/>
      <c r="LHZ46" s="468"/>
      <c r="LIA46" s="468"/>
      <c r="LIB46" s="468"/>
      <c r="LIC46" s="468"/>
      <c r="LID46" s="468"/>
      <c r="LIE46" s="468"/>
      <c r="LIF46" s="468"/>
      <c r="LIG46" s="468"/>
      <c r="LIH46" s="468"/>
      <c r="LII46" s="468"/>
      <c r="LIJ46" s="468"/>
      <c r="LIK46" s="468"/>
      <c r="LIL46" s="468"/>
      <c r="LIM46" s="468"/>
      <c r="LIN46" s="468"/>
      <c r="LIO46" s="468"/>
      <c r="LIP46" s="468"/>
      <c r="LIQ46" s="468"/>
      <c r="LIR46" s="468"/>
      <c r="LIS46" s="468"/>
      <c r="LIT46" s="468"/>
      <c r="LIU46" s="468"/>
      <c r="LIV46" s="468"/>
      <c r="LIW46" s="468"/>
      <c r="LIX46" s="468"/>
      <c r="LIY46" s="468"/>
      <c r="LIZ46" s="468"/>
      <c r="LJA46" s="468"/>
      <c r="LJB46" s="468"/>
      <c r="LJC46" s="468"/>
      <c r="LJD46" s="468"/>
      <c r="LJE46" s="468"/>
      <c r="LJF46" s="468"/>
      <c r="LJG46" s="468"/>
      <c r="LJH46" s="468"/>
      <c r="LJI46" s="468"/>
      <c r="LJJ46" s="468"/>
      <c r="LJK46" s="468"/>
      <c r="LJL46" s="468"/>
      <c r="LJM46" s="468"/>
      <c r="LJN46" s="468"/>
      <c r="LJO46" s="468"/>
      <c r="LJP46" s="468"/>
      <c r="LJQ46" s="468"/>
      <c r="LJR46" s="468"/>
      <c r="LJS46" s="468"/>
      <c r="LJT46" s="468"/>
      <c r="LJU46" s="468"/>
      <c r="LJV46" s="468"/>
      <c r="LJW46" s="468"/>
      <c r="LJX46" s="468"/>
      <c r="LJY46" s="468"/>
      <c r="LJZ46" s="468"/>
      <c r="LKA46" s="468"/>
      <c r="LKB46" s="468"/>
      <c r="LKC46" s="468"/>
      <c r="LKD46" s="468"/>
      <c r="LKE46" s="468"/>
      <c r="LKF46" s="468"/>
      <c r="LKG46" s="468"/>
      <c r="LKH46" s="468"/>
      <c r="LKI46" s="468"/>
      <c r="LKJ46" s="468"/>
      <c r="LKK46" s="468"/>
      <c r="LKL46" s="468"/>
      <c r="LKM46" s="468"/>
      <c r="LKN46" s="468"/>
      <c r="LKO46" s="468"/>
      <c r="LKP46" s="468"/>
      <c r="LKQ46" s="468"/>
      <c r="LKR46" s="468"/>
      <c r="LKS46" s="468"/>
      <c r="LKT46" s="468"/>
      <c r="LKU46" s="468"/>
      <c r="LKV46" s="468"/>
      <c r="LKW46" s="468"/>
      <c r="LKX46" s="468"/>
      <c r="LKY46" s="468"/>
      <c r="LKZ46" s="468"/>
      <c r="LLA46" s="468"/>
      <c r="LLB46" s="468"/>
      <c r="LLC46" s="468"/>
      <c r="LLD46" s="468"/>
      <c r="LLE46" s="468"/>
      <c r="LLF46" s="468"/>
      <c r="LLG46" s="468"/>
      <c r="LLH46" s="468"/>
      <c r="LLI46" s="468"/>
      <c r="LLJ46" s="468"/>
      <c r="LLK46" s="468"/>
      <c r="LLL46" s="468"/>
      <c r="LLM46" s="468"/>
      <c r="LLN46" s="468"/>
      <c r="LLO46" s="468"/>
      <c r="LLP46" s="468"/>
      <c r="LLQ46" s="468"/>
      <c r="LLR46" s="468"/>
      <c r="LLS46" s="468"/>
      <c r="LLT46" s="468"/>
      <c r="LLU46" s="468"/>
      <c r="LLV46" s="468"/>
      <c r="LLW46" s="468"/>
      <c r="LLX46" s="468"/>
      <c r="LLY46" s="468"/>
      <c r="LLZ46" s="468"/>
      <c r="LMA46" s="468"/>
      <c r="LMB46" s="468"/>
      <c r="LMC46" s="468"/>
      <c r="LMD46" s="468"/>
      <c r="LME46" s="468"/>
      <c r="LMF46" s="468"/>
      <c r="LMG46" s="468"/>
      <c r="LMH46" s="468"/>
      <c r="LMI46" s="468"/>
      <c r="LMJ46" s="468"/>
      <c r="LMK46" s="468"/>
      <c r="LML46" s="468"/>
      <c r="LMM46" s="468"/>
      <c r="LMN46" s="468"/>
      <c r="LMO46" s="468"/>
      <c r="LMP46" s="468"/>
      <c r="LMQ46" s="468"/>
      <c r="LMR46" s="468"/>
      <c r="LMS46" s="468"/>
      <c r="LMT46" s="468"/>
      <c r="LMU46" s="468"/>
      <c r="LMV46" s="468"/>
      <c r="LMW46" s="468"/>
      <c r="LMX46" s="468"/>
      <c r="LMY46" s="468"/>
      <c r="LMZ46" s="468"/>
      <c r="LNA46" s="468"/>
      <c r="LNB46" s="468"/>
      <c r="LNC46" s="468"/>
      <c r="LND46" s="468"/>
      <c r="LNE46" s="468"/>
      <c r="LNF46" s="468"/>
      <c r="LNG46" s="468"/>
      <c r="LNH46" s="468"/>
      <c r="LNI46" s="468"/>
      <c r="LNJ46" s="468"/>
      <c r="LNK46" s="468"/>
      <c r="LNL46" s="468"/>
      <c r="LNM46" s="468"/>
      <c r="LNN46" s="468"/>
      <c r="LNO46" s="468"/>
      <c r="LNP46" s="468"/>
      <c r="LNQ46" s="468"/>
      <c r="LNR46" s="468"/>
      <c r="LNS46" s="468"/>
      <c r="LNT46" s="468"/>
      <c r="LNU46" s="468"/>
      <c r="LNV46" s="468"/>
      <c r="LNW46" s="468"/>
      <c r="LNX46" s="468"/>
      <c r="LNY46" s="468"/>
      <c r="LNZ46" s="468"/>
      <c r="LOA46" s="468"/>
      <c r="LOB46" s="468"/>
      <c r="LOC46" s="468"/>
      <c r="LOD46" s="468"/>
      <c r="LOE46" s="468"/>
      <c r="LOF46" s="468"/>
      <c r="LOG46" s="468"/>
      <c r="LOH46" s="468"/>
      <c r="LOI46" s="468"/>
      <c r="LOJ46" s="468"/>
      <c r="LOK46" s="468"/>
      <c r="LOL46" s="468"/>
      <c r="LOM46" s="468"/>
      <c r="LON46" s="468"/>
      <c r="LOO46" s="468"/>
      <c r="LOP46" s="468"/>
      <c r="LOQ46" s="468"/>
      <c r="LOR46" s="468"/>
      <c r="LOS46" s="468"/>
      <c r="LOT46" s="468"/>
      <c r="LOU46" s="468"/>
      <c r="LOV46" s="468"/>
      <c r="LOW46" s="468"/>
      <c r="LOX46" s="468"/>
      <c r="LOY46" s="468"/>
      <c r="LOZ46" s="468"/>
      <c r="LPA46" s="468"/>
      <c r="LPB46" s="468"/>
      <c r="LPC46" s="468"/>
      <c r="LPD46" s="468"/>
      <c r="LPE46" s="468"/>
      <c r="LPF46" s="468"/>
      <c r="LPG46" s="468"/>
      <c r="LPH46" s="468"/>
      <c r="LPI46" s="468"/>
      <c r="LPJ46" s="468"/>
      <c r="LPK46" s="468"/>
      <c r="LPL46" s="468"/>
      <c r="LPM46" s="468"/>
      <c r="LPN46" s="468"/>
      <c r="LPO46" s="468"/>
      <c r="LPP46" s="468"/>
      <c r="LPQ46" s="468"/>
      <c r="LPR46" s="468"/>
      <c r="LPS46" s="468"/>
      <c r="LPT46" s="468"/>
      <c r="LPU46" s="468"/>
      <c r="LPV46" s="468"/>
      <c r="LPW46" s="468"/>
      <c r="LPX46" s="468"/>
      <c r="LPY46" s="468"/>
      <c r="LPZ46" s="468"/>
      <c r="LQA46" s="468"/>
      <c r="LQB46" s="468"/>
      <c r="LQC46" s="468"/>
      <c r="LQD46" s="468"/>
      <c r="LQE46" s="468"/>
      <c r="LQF46" s="468"/>
      <c r="LQG46" s="468"/>
      <c r="LQH46" s="468"/>
      <c r="LQI46" s="468"/>
      <c r="LQJ46" s="468"/>
      <c r="LQK46" s="468"/>
      <c r="LQL46" s="468"/>
      <c r="LQM46" s="468"/>
      <c r="LQN46" s="468"/>
      <c r="LQO46" s="468"/>
      <c r="LQP46" s="468"/>
      <c r="LQQ46" s="468"/>
      <c r="LQR46" s="468"/>
      <c r="LQS46" s="468"/>
      <c r="LQT46" s="468"/>
      <c r="LQU46" s="468"/>
      <c r="LQV46" s="468"/>
      <c r="LQW46" s="468"/>
      <c r="LQX46" s="468"/>
      <c r="LQY46" s="468"/>
      <c r="LQZ46" s="468"/>
      <c r="LRA46" s="468"/>
      <c r="LRB46" s="468"/>
      <c r="LRC46" s="468"/>
      <c r="LRD46" s="468"/>
      <c r="LRE46" s="468"/>
      <c r="LRF46" s="468"/>
      <c r="LRG46" s="468"/>
      <c r="LRH46" s="468"/>
      <c r="LRI46" s="468"/>
      <c r="LRJ46" s="468"/>
      <c r="LRK46" s="468"/>
      <c r="LRL46" s="468"/>
      <c r="LRM46" s="468"/>
      <c r="LRN46" s="468"/>
      <c r="LRO46" s="468"/>
      <c r="LRP46" s="468"/>
      <c r="LRQ46" s="468"/>
      <c r="LRR46" s="468"/>
      <c r="LRS46" s="468"/>
      <c r="LRT46" s="468"/>
      <c r="LRU46" s="468"/>
      <c r="LRV46" s="468"/>
      <c r="LRW46" s="468"/>
      <c r="LRX46" s="468"/>
      <c r="LRY46" s="468"/>
      <c r="LRZ46" s="468"/>
      <c r="LSA46" s="468"/>
      <c r="LSB46" s="468"/>
      <c r="LSC46" s="468"/>
      <c r="LSD46" s="468"/>
      <c r="LSE46" s="468"/>
      <c r="LSF46" s="468"/>
      <c r="LSG46" s="468"/>
      <c r="LSH46" s="468"/>
      <c r="LSI46" s="468"/>
      <c r="LSJ46" s="468"/>
      <c r="LSK46" s="468"/>
      <c r="LSL46" s="468"/>
      <c r="LSM46" s="468"/>
      <c r="LSN46" s="468"/>
      <c r="LSO46" s="468"/>
      <c r="LSP46" s="468"/>
      <c r="LSQ46" s="468"/>
      <c r="LSR46" s="468"/>
      <c r="LSS46" s="468"/>
      <c r="LST46" s="468"/>
      <c r="LSU46" s="468"/>
      <c r="LSV46" s="468"/>
      <c r="LSW46" s="468"/>
      <c r="LSX46" s="468"/>
      <c r="LSY46" s="468"/>
      <c r="LSZ46" s="468"/>
      <c r="LTA46" s="468"/>
      <c r="LTB46" s="468"/>
      <c r="LTC46" s="468"/>
      <c r="LTD46" s="468"/>
      <c r="LTE46" s="468"/>
      <c r="LTF46" s="468"/>
      <c r="LTG46" s="468"/>
      <c r="LTH46" s="468"/>
      <c r="LTI46" s="468"/>
      <c r="LTJ46" s="468"/>
      <c r="LTK46" s="468"/>
      <c r="LTL46" s="468"/>
      <c r="LTM46" s="468"/>
      <c r="LTN46" s="468"/>
      <c r="LTO46" s="468"/>
      <c r="LTP46" s="468"/>
      <c r="LTQ46" s="468"/>
      <c r="LTR46" s="468"/>
      <c r="LTS46" s="468"/>
      <c r="LTT46" s="468"/>
      <c r="LTU46" s="468"/>
      <c r="LTV46" s="468"/>
      <c r="LTW46" s="468"/>
      <c r="LTX46" s="468"/>
      <c r="LTY46" s="468"/>
      <c r="LTZ46" s="468"/>
      <c r="LUA46" s="468"/>
      <c r="LUB46" s="468"/>
      <c r="LUC46" s="468"/>
      <c r="LUD46" s="468"/>
      <c r="LUE46" s="468"/>
      <c r="LUF46" s="468"/>
      <c r="LUG46" s="468"/>
      <c r="LUH46" s="468"/>
      <c r="LUI46" s="468"/>
      <c r="LUJ46" s="468"/>
      <c r="LUK46" s="468"/>
      <c r="LUL46" s="468"/>
      <c r="LUM46" s="468"/>
      <c r="LUN46" s="468"/>
      <c r="LUO46" s="468"/>
      <c r="LUP46" s="468"/>
      <c r="LUQ46" s="468"/>
      <c r="LUR46" s="468"/>
      <c r="LUS46" s="468"/>
      <c r="LUT46" s="468"/>
      <c r="LUU46" s="468"/>
      <c r="LUV46" s="468"/>
      <c r="LUW46" s="468"/>
      <c r="LUX46" s="468"/>
      <c r="LUY46" s="468"/>
      <c r="LUZ46" s="468"/>
      <c r="LVA46" s="468"/>
      <c r="LVB46" s="468"/>
      <c r="LVC46" s="468"/>
      <c r="LVD46" s="468"/>
      <c r="LVE46" s="468"/>
      <c r="LVF46" s="468"/>
      <c r="LVG46" s="468"/>
      <c r="LVH46" s="468"/>
      <c r="LVI46" s="468"/>
      <c r="LVJ46" s="468"/>
      <c r="LVK46" s="468"/>
      <c r="LVL46" s="468"/>
      <c r="LVM46" s="468"/>
      <c r="LVN46" s="468"/>
      <c r="LVO46" s="468"/>
      <c r="LVP46" s="468"/>
      <c r="LVQ46" s="468"/>
      <c r="LVR46" s="468"/>
      <c r="LVS46" s="468"/>
      <c r="LVT46" s="468"/>
      <c r="LVU46" s="468"/>
      <c r="LVV46" s="468"/>
      <c r="LVW46" s="468"/>
      <c r="LVX46" s="468"/>
      <c r="LVY46" s="468"/>
      <c r="LVZ46" s="468"/>
      <c r="LWA46" s="468"/>
      <c r="LWB46" s="468"/>
      <c r="LWC46" s="468"/>
      <c r="LWD46" s="468"/>
      <c r="LWE46" s="468"/>
      <c r="LWF46" s="468"/>
      <c r="LWG46" s="468"/>
      <c r="LWH46" s="468"/>
      <c r="LWI46" s="468"/>
      <c r="LWJ46" s="468"/>
      <c r="LWK46" s="468"/>
      <c r="LWL46" s="468"/>
      <c r="LWM46" s="468"/>
      <c r="LWN46" s="468"/>
      <c r="LWO46" s="468"/>
      <c r="LWP46" s="468"/>
      <c r="LWQ46" s="468"/>
      <c r="LWR46" s="468"/>
      <c r="LWS46" s="468"/>
      <c r="LWT46" s="468"/>
      <c r="LWU46" s="468"/>
      <c r="LWV46" s="468"/>
      <c r="LWW46" s="468"/>
      <c r="LWX46" s="468"/>
      <c r="LWY46" s="468"/>
      <c r="LWZ46" s="468"/>
      <c r="LXA46" s="468"/>
      <c r="LXB46" s="468"/>
      <c r="LXC46" s="468"/>
      <c r="LXD46" s="468"/>
      <c r="LXE46" s="468"/>
      <c r="LXF46" s="468"/>
      <c r="LXG46" s="468"/>
      <c r="LXH46" s="468"/>
      <c r="LXI46" s="468"/>
      <c r="LXJ46" s="468"/>
      <c r="LXK46" s="468"/>
      <c r="LXL46" s="468"/>
      <c r="LXM46" s="468"/>
      <c r="LXN46" s="468"/>
      <c r="LXO46" s="468"/>
      <c r="LXP46" s="468"/>
      <c r="LXQ46" s="468"/>
      <c r="LXR46" s="468"/>
      <c r="LXS46" s="468"/>
      <c r="LXT46" s="468"/>
      <c r="LXU46" s="468"/>
      <c r="LXV46" s="468"/>
      <c r="LXW46" s="468"/>
      <c r="LXX46" s="468"/>
      <c r="LXY46" s="468"/>
      <c r="LXZ46" s="468"/>
      <c r="LYA46" s="468"/>
      <c r="LYB46" s="468"/>
      <c r="LYC46" s="468"/>
      <c r="LYD46" s="468"/>
      <c r="LYE46" s="468"/>
      <c r="LYF46" s="468"/>
      <c r="LYG46" s="468"/>
      <c r="LYH46" s="468"/>
      <c r="LYI46" s="468"/>
      <c r="LYJ46" s="468"/>
      <c r="LYK46" s="468"/>
      <c r="LYL46" s="468"/>
      <c r="LYM46" s="468"/>
      <c r="LYN46" s="468"/>
      <c r="LYO46" s="468"/>
      <c r="LYP46" s="468"/>
      <c r="LYQ46" s="468"/>
      <c r="LYR46" s="468"/>
      <c r="LYS46" s="468"/>
      <c r="LYT46" s="468"/>
      <c r="LYU46" s="468"/>
      <c r="LYV46" s="468"/>
      <c r="LYW46" s="468"/>
      <c r="LYX46" s="468"/>
      <c r="LYY46" s="468"/>
      <c r="LYZ46" s="468"/>
      <c r="LZA46" s="468"/>
      <c r="LZB46" s="468"/>
      <c r="LZC46" s="468"/>
      <c r="LZD46" s="468"/>
      <c r="LZE46" s="468"/>
      <c r="LZF46" s="468"/>
      <c r="LZG46" s="468"/>
      <c r="LZH46" s="468"/>
      <c r="LZI46" s="468"/>
      <c r="LZJ46" s="468"/>
      <c r="LZK46" s="468"/>
      <c r="LZL46" s="468"/>
      <c r="LZM46" s="468"/>
      <c r="LZN46" s="468"/>
      <c r="LZO46" s="468"/>
      <c r="LZP46" s="468"/>
      <c r="LZQ46" s="468"/>
      <c r="LZR46" s="468"/>
      <c r="LZS46" s="468"/>
      <c r="LZT46" s="468"/>
      <c r="LZU46" s="468"/>
      <c r="LZV46" s="468"/>
      <c r="LZW46" s="468"/>
      <c r="LZX46" s="468"/>
      <c r="LZY46" s="468"/>
      <c r="LZZ46" s="468"/>
      <c r="MAA46" s="468"/>
      <c r="MAB46" s="468"/>
      <c r="MAC46" s="468"/>
      <c r="MAD46" s="468"/>
      <c r="MAE46" s="468"/>
      <c r="MAF46" s="468"/>
      <c r="MAG46" s="468"/>
      <c r="MAH46" s="468"/>
      <c r="MAI46" s="468"/>
      <c r="MAJ46" s="468"/>
      <c r="MAK46" s="468"/>
      <c r="MAL46" s="468"/>
      <c r="MAM46" s="468"/>
      <c r="MAN46" s="468"/>
      <c r="MAO46" s="468"/>
      <c r="MAP46" s="468"/>
      <c r="MAQ46" s="468"/>
      <c r="MAR46" s="468"/>
      <c r="MAS46" s="468"/>
      <c r="MAT46" s="468"/>
      <c r="MAU46" s="468"/>
      <c r="MAV46" s="468"/>
      <c r="MAW46" s="468"/>
      <c r="MAX46" s="468"/>
      <c r="MAY46" s="468"/>
      <c r="MAZ46" s="468"/>
      <c r="MBA46" s="468"/>
      <c r="MBB46" s="468"/>
      <c r="MBC46" s="468"/>
      <c r="MBD46" s="468"/>
      <c r="MBE46" s="468"/>
      <c r="MBF46" s="468"/>
      <c r="MBG46" s="468"/>
      <c r="MBH46" s="468"/>
      <c r="MBI46" s="468"/>
      <c r="MBJ46" s="468"/>
      <c r="MBK46" s="468"/>
      <c r="MBL46" s="468"/>
      <c r="MBM46" s="468"/>
      <c r="MBN46" s="468"/>
      <c r="MBO46" s="468"/>
      <c r="MBP46" s="468"/>
      <c r="MBQ46" s="468"/>
      <c r="MBR46" s="468"/>
      <c r="MBS46" s="468"/>
      <c r="MBT46" s="468"/>
      <c r="MBU46" s="468"/>
      <c r="MBV46" s="468"/>
      <c r="MBW46" s="468"/>
      <c r="MBX46" s="468"/>
      <c r="MBY46" s="468"/>
      <c r="MBZ46" s="468"/>
      <c r="MCA46" s="468"/>
      <c r="MCB46" s="468"/>
      <c r="MCC46" s="468"/>
      <c r="MCD46" s="468"/>
      <c r="MCE46" s="468"/>
      <c r="MCF46" s="468"/>
      <c r="MCG46" s="468"/>
      <c r="MCH46" s="468"/>
      <c r="MCI46" s="468"/>
      <c r="MCJ46" s="468"/>
      <c r="MCK46" s="468"/>
      <c r="MCL46" s="468"/>
      <c r="MCM46" s="468"/>
      <c r="MCN46" s="468"/>
      <c r="MCO46" s="468"/>
      <c r="MCP46" s="468"/>
      <c r="MCQ46" s="468"/>
      <c r="MCR46" s="468"/>
      <c r="MCS46" s="468"/>
      <c r="MCT46" s="468"/>
      <c r="MCU46" s="468"/>
      <c r="MCV46" s="468"/>
      <c r="MCW46" s="468"/>
      <c r="MCX46" s="468"/>
      <c r="MCY46" s="468"/>
      <c r="MCZ46" s="468"/>
      <c r="MDA46" s="468"/>
      <c r="MDB46" s="468"/>
      <c r="MDC46" s="468"/>
      <c r="MDD46" s="468"/>
      <c r="MDE46" s="468"/>
      <c r="MDF46" s="468"/>
      <c r="MDG46" s="468"/>
      <c r="MDH46" s="468"/>
      <c r="MDI46" s="468"/>
      <c r="MDJ46" s="468"/>
      <c r="MDK46" s="468"/>
      <c r="MDL46" s="468"/>
      <c r="MDM46" s="468"/>
      <c r="MDN46" s="468"/>
      <c r="MDO46" s="468"/>
      <c r="MDP46" s="468"/>
      <c r="MDQ46" s="468"/>
      <c r="MDR46" s="468"/>
      <c r="MDS46" s="468"/>
      <c r="MDT46" s="468"/>
      <c r="MDU46" s="468"/>
      <c r="MDV46" s="468"/>
      <c r="MDW46" s="468"/>
      <c r="MDX46" s="468"/>
      <c r="MDY46" s="468"/>
      <c r="MDZ46" s="468"/>
      <c r="MEA46" s="468"/>
      <c r="MEB46" s="468"/>
      <c r="MEC46" s="468"/>
      <c r="MED46" s="468"/>
      <c r="MEE46" s="468"/>
      <c r="MEF46" s="468"/>
      <c r="MEG46" s="468"/>
      <c r="MEH46" s="468"/>
      <c r="MEI46" s="468"/>
      <c r="MEJ46" s="468"/>
      <c r="MEK46" s="468"/>
      <c r="MEL46" s="468"/>
      <c r="MEM46" s="468"/>
      <c r="MEN46" s="468"/>
      <c r="MEO46" s="468"/>
      <c r="MEP46" s="468"/>
      <c r="MEQ46" s="468"/>
      <c r="MER46" s="468"/>
      <c r="MES46" s="468"/>
      <c r="MET46" s="468"/>
      <c r="MEU46" s="468"/>
      <c r="MEV46" s="468"/>
      <c r="MEW46" s="468"/>
      <c r="MEX46" s="468"/>
      <c r="MEY46" s="468"/>
      <c r="MEZ46" s="468"/>
      <c r="MFA46" s="468"/>
      <c r="MFB46" s="468"/>
      <c r="MFC46" s="468"/>
      <c r="MFD46" s="468"/>
      <c r="MFE46" s="468"/>
      <c r="MFF46" s="468"/>
      <c r="MFG46" s="468"/>
      <c r="MFH46" s="468"/>
      <c r="MFI46" s="468"/>
      <c r="MFJ46" s="468"/>
      <c r="MFK46" s="468"/>
      <c r="MFL46" s="468"/>
      <c r="MFM46" s="468"/>
      <c r="MFN46" s="468"/>
      <c r="MFO46" s="468"/>
      <c r="MFP46" s="468"/>
      <c r="MFQ46" s="468"/>
      <c r="MFR46" s="468"/>
      <c r="MFS46" s="468"/>
      <c r="MFT46" s="468"/>
      <c r="MFU46" s="468"/>
      <c r="MFV46" s="468"/>
      <c r="MFW46" s="468"/>
      <c r="MFX46" s="468"/>
      <c r="MFY46" s="468"/>
      <c r="MFZ46" s="468"/>
      <c r="MGA46" s="468"/>
      <c r="MGB46" s="468"/>
      <c r="MGC46" s="468"/>
      <c r="MGD46" s="468"/>
      <c r="MGE46" s="468"/>
      <c r="MGF46" s="468"/>
      <c r="MGG46" s="468"/>
      <c r="MGH46" s="468"/>
      <c r="MGI46" s="468"/>
      <c r="MGJ46" s="468"/>
      <c r="MGK46" s="468"/>
      <c r="MGL46" s="468"/>
      <c r="MGM46" s="468"/>
      <c r="MGN46" s="468"/>
      <c r="MGO46" s="468"/>
      <c r="MGP46" s="468"/>
      <c r="MGQ46" s="468"/>
      <c r="MGR46" s="468"/>
      <c r="MGS46" s="468"/>
      <c r="MGT46" s="468"/>
      <c r="MGU46" s="468"/>
      <c r="MGV46" s="468"/>
      <c r="MGW46" s="468"/>
      <c r="MGX46" s="468"/>
      <c r="MGY46" s="468"/>
      <c r="MGZ46" s="468"/>
      <c r="MHA46" s="468"/>
      <c r="MHB46" s="468"/>
      <c r="MHC46" s="468"/>
      <c r="MHD46" s="468"/>
      <c r="MHE46" s="468"/>
      <c r="MHF46" s="468"/>
      <c r="MHG46" s="468"/>
      <c r="MHH46" s="468"/>
      <c r="MHI46" s="468"/>
      <c r="MHJ46" s="468"/>
      <c r="MHK46" s="468"/>
      <c r="MHL46" s="468"/>
      <c r="MHM46" s="468"/>
      <c r="MHN46" s="468"/>
      <c r="MHO46" s="468"/>
      <c r="MHP46" s="468"/>
      <c r="MHQ46" s="468"/>
      <c r="MHR46" s="468"/>
      <c r="MHS46" s="468"/>
      <c r="MHT46" s="468"/>
      <c r="MHU46" s="468"/>
      <c r="MHV46" s="468"/>
      <c r="MHW46" s="468"/>
      <c r="MHX46" s="468"/>
      <c r="MHY46" s="468"/>
      <c r="MHZ46" s="468"/>
      <c r="MIA46" s="468"/>
      <c r="MIB46" s="468"/>
      <c r="MIC46" s="468"/>
      <c r="MID46" s="468"/>
      <c r="MIE46" s="468"/>
      <c r="MIF46" s="468"/>
      <c r="MIG46" s="468"/>
      <c r="MIH46" s="468"/>
      <c r="MII46" s="468"/>
      <c r="MIJ46" s="468"/>
      <c r="MIK46" s="468"/>
      <c r="MIL46" s="468"/>
      <c r="MIM46" s="468"/>
      <c r="MIN46" s="468"/>
      <c r="MIO46" s="468"/>
      <c r="MIP46" s="468"/>
      <c r="MIQ46" s="468"/>
      <c r="MIR46" s="468"/>
      <c r="MIS46" s="468"/>
      <c r="MIT46" s="468"/>
      <c r="MIU46" s="468"/>
      <c r="MIV46" s="468"/>
      <c r="MIW46" s="468"/>
      <c r="MIX46" s="468"/>
      <c r="MIY46" s="468"/>
      <c r="MIZ46" s="468"/>
      <c r="MJA46" s="468"/>
      <c r="MJB46" s="468"/>
      <c r="MJC46" s="468"/>
      <c r="MJD46" s="468"/>
      <c r="MJE46" s="468"/>
      <c r="MJF46" s="468"/>
      <c r="MJG46" s="468"/>
      <c r="MJH46" s="468"/>
      <c r="MJI46" s="468"/>
      <c r="MJJ46" s="468"/>
      <c r="MJK46" s="468"/>
      <c r="MJL46" s="468"/>
      <c r="MJM46" s="468"/>
      <c r="MJN46" s="468"/>
      <c r="MJO46" s="468"/>
      <c r="MJP46" s="468"/>
      <c r="MJQ46" s="468"/>
      <c r="MJR46" s="468"/>
      <c r="MJS46" s="468"/>
      <c r="MJT46" s="468"/>
      <c r="MJU46" s="468"/>
      <c r="MJV46" s="468"/>
      <c r="MJW46" s="468"/>
      <c r="MJX46" s="468"/>
      <c r="MJY46" s="468"/>
      <c r="MJZ46" s="468"/>
      <c r="MKA46" s="468"/>
      <c r="MKB46" s="468"/>
      <c r="MKC46" s="468"/>
      <c r="MKD46" s="468"/>
      <c r="MKE46" s="468"/>
      <c r="MKF46" s="468"/>
      <c r="MKG46" s="468"/>
      <c r="MKH46" s="468"/>
      <c r="MKI46" s="468"/>
      <c r="MKJ46" s="468"/>
      <c r="MKK46" s="468"/>
      <c r="MKL46" s="468"/>
      <c r="MKM46" s="468"/>
      <c r="MKN46" s="468"/>
      <c r="MKO46" s="468"/>
      <c r="MKP46" s="468"/>
      <c r="MKQ46" s="468"/>
      <c r="MKR46" s="468"/>
      <c r="MKS46" s="468"/>
      <c r="MKT46" s="468"/>
      <c r="MKU46" s="468"/>
      <c r="MKV46" s="468"/>
      <c r="MKW46" s="468"/>
      <c r="MKX46" s="468"/>
      <c r="MKY46" s="468"/>
      <c r="MKZ46" s="468"/>
      <c r="MLA46" s="468"/>
      <c r="MLB46" s="468"/>
      <c r="MLC46" s="468"/>
      <c r="MLD46" s="468"/>
      <c r="MLE46" s="468"/>
      <c r="MLF46" s="468"/>
      <c r="MLG46" s="468"/>
      <c r="MLH46" s="468"/>
      <c r="MLI46" s="468"/>
      <c r="MLJ46" s="468"/>
      <c r="MLK46" s="468"/>
      <c r="MLL46" s="468"/>
      <c r="MLM46" s="468"/>
      <c r="MLN46" s="468"/>
      <c r="MLO46" s="468"/>
      <c r="MLP46" s="468"/>
      <c r="MLQ46" s="468"/>
      <c r="MLR46" s="468"/>
      <c r="MLS46" s="468"/>
      <c r="MLT46" s="468"/>
      <c r="MLU46" s="468"/>
      <c r="MLV46" s="468"/>
      <c r="MLW46" s="468"/>
      <c r="MLX46" s="468"/>
      <c r="MLY46" s="468"/>
      <c r="MLZ46" s="468"/>
      <c r="MMA46" s="468"/>
      <c r="MMB46" s="468"/>
      <c r="MMC46" s="468"/>
      <c r="MMD46" s="468"/>
      <c r="MME46" s="468"/>
      <c r="MMF46" s="468"/>
      <c r="MMG46" s="468"/>
      <c r="MMH46" s="468"/>
      <c r="MMI46" s="468"/>
      <c r="MMJ46" s="468"/>
      <c r="MMK46" s="468"/>
      <c r="MML46" s="468"/>
      <c r="MMM46" s="468"/>
      <c r="MMN46" s="468"/>
      <c r="MMO46" s="468"/>
      <c r="MMP46" s="468"/>
      <c r="MMQ46" s="468"/>
      <c r="MMR46" s="468"/>
      <c r="MMS46" s="468"/>
      <c r="MMT46" s="468"/>
      <c r="MMU46" s="468"/>
      <c r="MMV46" s="468"/>
      <c r="MMW46" s="468"/>
      <c r="MMX46" s="468"/>
      <c r="MMY46" s="468"/>
      <c r="MMZ46" s="468"/>
      <c r="MNA46" s="468"/>
      <c r="MNB46" s="468"/>
      <c r="MNC46" s="468"/>
      <c r="MND46" s="468"/>
      <c r="MNE46" s="468"/>
      <c r="MNF46" s="468"/>
      <c r="MNG46" s="468"/>
      <c r="MNH46" s="468"/>
      <c r="MNI46" s="468"/>
      <c r="MNJ46" s="468"/>
      <c r="MNK46" s="468"/>
      <c r="MNL46" s="468"/>
      <c r="MNM46" s="468"/>
      <c r="MNN46" s="468"/>
      <c r="MNO46" s="468"/>
      <c r="MNP46" s="468"/>
      <c r="MNQ46" s="468"/>
      <c r="MNR46" s="468"/>
      <c r="MNS46" s="468"/>
      <c r="MNT46" s="468"/>
      <c r="MNU46" s="468"/>
      <c r="MNV46" s="468"/>
      <c r="MNW46" s="468"/>
      <c r="MNX46" s="468"/>
      <c r="MNY46" s="468"/>
      <c r="MNZ46" s="468"/>
      <c r="MOA46" s="468"/>
      <c r="MOB46" s="468"/>
      <c r="MOC46" s="468"/>
      <c r="MOD46" s="468"/>
      <c r="MOE46" s="468"/>
      <c r="MOF46" s="468"/>
      <c r="MOG46" s="468"/>
      <c r="MOH46" s="468"/>
      <c r="MOI46" s="468"/>
      <c r="MOJ46" s="468"/>
      <c r="MOK46" s="468"/>
      <c r="MOL46" s="468"/>
      <c r="MOM46" s="468"/>
      <c r="MON46" s="468"/>
      <c r="MOO46" s="468"/>
      <c r="MOP46" s="468"/>
      <c r="MOQ46" s="468"/>
      <c r="MOR46" s="468"/>
      <c r="MOS46" s="468"/>
      <c r="MOT46" s="468"/>
      <c r="MOU46" s="468"/>
      <c r="MOV46" s="468"/>
      <c r="MOW46" s="468"/>
      <c r="MOX46" s="468"/>
      <c r="MOY46" s="468"/>
      <c r="MOZ46" s="468"/>
      <c r="MPA46" s="468"/>
      <c r="MPB46" s="468"/>
      <c r="MPC46" s="468"/>
      <c r="MPD46" s="468"/>
      <c r="MPE46" s="468"/>
      <c r="MPF46" s="468"/>
      <c r="MPG46" s="468"/>
      <c r="MPH46" s="468"/>
      <c r="MPI46" s="468"/>
      <c r="MPJ46" s="468"/>
      <c r="MPK46" s="468"/>
      <c r="MPL46" s="468"/>
      <c r="MPM46" s="468"/>
      <c r="MPN46" s="468"/>
      <c r="MPO46" s="468"/>
      <c r="MPP46" s="468"/>
      <c r="MPQ46" s="468"/>
      <c r="MPR46" s="468"/>
      <c r="MPS46" s="468"/>
      <c r="MPT46" s="468"/>
      <c r="MPU46" s="468"/>
      <c r="MPV46" s="468"/>
      <c r="MPW46" s="468"/>
      <c r="MPX46" s="468"/>
      <c r="MPY46" s="468"/>
      <c r="MPZ46" s="468"/>
      <c r="MQA46" s="468"/>
      <c r="MQB46" s="468"/>
      <c r="MQC46" s="468"/>
      <c r="MQD46" s="468"/>
      <c r="MQE46" s="468"/>
      <c r="MQF46" s="468"/>
      <c r="MQG46" s="468"/>
      <c r="MQH46" s="468"/>
      <c r="MQI46" s="468"/>
      <c r="MQJ46" s="468"/>
      <c r="MQK46" s="468"/>
      <c r="MQL46" s="468"/>
      <c r="MQM46" s="468"/>
      <c r="MQN46" s="468"/>
      <c r="MQO46" s="468"/>
      <c r="MQP46" s="468"/>
      <c r="MQQ46" s="468"/>
      <c r="MQR46" s="468"/>
      <c r="MQS46" s="468"/>
      <c r="MQT46" s="468"/>
      <c r="MQU46" s="468"/>
      <c r="MQV46" s="468"/>
      <c r="MQW46" s="468"/>
      <c r="MQX46" s="468"/>
      <c r="MQY46" s="468"/>
      <c r="MQZ46" s="468"/>
      <c r="MRA46" s="468"/>
      <c r="MRB46" s="468"/>
      <c r="MRC46" s="468"/>
      <c r="MRD46" s="468"/>
      <c r="MRE46" s="468"/>
      <c r="MRF46" s="468"/>
      <c r="MRG46" s="468"/>
      <c r="MRH46" s="468"/>
      <c r="MRI46" s="468"/>
      <c r="MRJ46" s="468"/>
      <c r="MRK46" s="468"/>
      <c r="MRL46" s="468"/>
      <c r="MRM46" s="468"/>
      <c r="MRN46" s="468"/>
      <c r="MRO46" s="468"/>
      <c r="MRP46" s="468"/>
      <c r="MRQ46" s="468"/>
      <c r="MRR46" s="468"/>
      <c r="MRS46" s="468"/>
      <c r="MRT46" s="468"/>
      <c r="MRU46" s="468"/>
      <c r="MRV46" s="468"/>
      <c r="MRW46" s="468"/>
      <c r="MRX46" s="468"/>
      <c r="MRY46" s="468"/>
      <c r="MRZ46" s="468"/>
      <c r="MSA46" s="468"/>
      <c r="MSB46" s="468"/>
      <c r="MSC46" s="468"/>
      <c r="MSD46" s="468"/>
      <c r="MSE46" s="468"/>
      <c r="MSF46" s="468"/>
      <c r="MSG46" s="468"/>
      <c r="MSH46" s="468"/>
      <c r="MSI46" s="468"/>
      <c r="MSJ46" s="468"/>
      <c r="MSK46" s="468"/>
      <c r="MSL46" s="468"/>
      <c r="MSM46" s="468"/>
      <c r="MSN46" s="468"/>
      <c r="MSO46" s="468"/>
      <c r="MSP46" s="468"/>
      <c r="MSQ46" s="468"/>
      <c r="MSR46" s="468"/>
      <c r="MSS46" s="468"/>
      <c r="MST46" s="468"/>
      <c r="MSU46" s="468"/>
      <c r="MSV46" s="468"/>
      <c r="MSW46" s="468"/>
      <c r="MSX46" s="468"/>
      <c r="MSY46" s="468"/>
      <c r="MSZ46" s="468"/>
      <c r="MTA46" s="468"/>
      <c r="MTB46" s="468"/>
      <c r="MTC46" s="468"/>
      <c r="MTD46" s="468"/>
      <c r="MTE46" s="468"/>
      <c r="MTF46" s="468"/>
      <c r="MTG46" s="468"/>
      <c r="MTH46" s="468"/>
      <c r="MTI46" s="468"/>
      <c r="MTJ46" s="468"/>
      <c r="MTK46" s="468"/>
      <c r="MTL46" s="468"/>
      <c r="MTM46" s="468"/>
      <c r="MTN46" s="468"/>
      <c r="MTO46" s="468"/>
      <c r="MTP46" s="468"/>
      <c r="MTQ46" s="468"/>
      <c r="MTR46" s="468"/>
      <c r="MTS46" s="468"/>
      <c r="MTT46" s="468"/>
      <c r="MTU46" s="468"/>
      <c r="MTV46" s="468"/>
      <c r="MTW46" s="468"/>
      <c r="MTX46" s="468"/>
      <c r="MTY46" s="468"/>
      <c r="MTZ46" s="468"/>
      <c r="MUA46" s="468"/>
      <c r="MUB46" s="468"/>
      <c r="MUC46" s="468"/>
      <c r="MUD46" s="468"/>
      <c r="MUE46" s="468"/>
      <c r="MUF46" s="468"/>
      <c r="MUG46" s="468"/>
      <c r="MUH46" s="468"/>
      <c r="MUI46" s="468"/>
      <c r="MUJ46" s="468"/>
      <c r="MUK46" s="468"/>
      <c r="MUL46" s="468"/>
      <c r="MUM46" s="468"/>
      <c r="MUN46" s="468"/>
      <c r="MUO46" s="468"/>
      <c r="MUP46" s="468"/>
      <c r="MUQ46" s="468"/>
      <c r="MUR46" s="468"/>
      <c r="MUS46" s="468"/>
      <c r="MUT46" s="468"/>
      <c r="MUU46" s="468"/>
      <c r="MUV46" s="468"/>
      <c r="MUW46" s="468"/>
      <c r="MUX46" s="468"/>
      <c r="MUY46" s="468"/>
      <c r="MUZ46" s="468"/>
      <c r="MVA46" s="468"/>
      <c r="MVB46" s="468"/>
      <c r="MVC46" s="468"/>
      <c r="MVD46" s="468"/>
      <c r="MVE46" s="468"/>
      <c r="MVF46" s="468"/>
      <c r="MVG46" s="468"/>
      <c r="MVH46" s="468"/>
      <c r="MVI46" s="468"/>
      <c r="MVJ46" s="468"/>
      <c r="MVK46" s="468"/>
      <c r="MVL46" s="468"/>
      <c r="MVM46" s="468"/>
      <c r="MVN46" s="468"/>
      <c r="MVO46" s="468"/>
      <c r="MVP46" s="468"/>
      <c r="MVQ46" s="468"/>
      <c r="MVR46" s="468"/>
      <c r="MVS46" s="468"/>
      <c r="MVT46" s="468"/>
      <c r="MVU46" s="468"/>
      <c r="MVV46" s="468"/>
      <c r="MVW46" s="468"/>
      <c r="MVX46" s="468"/>
      <c r="MVY46" s="468"/>
      <c r="MVZ46" s="468"/>
      <c r="MWA46" s="468"/>
      <c r="MWB46" s="468"/>
      <c r="MWC46" s="468"/>
      <c r="MWD46" s="468"/>
      <c r="MWE46" s="468"/>
      <c r="MWF46" s="468"/>
      <c r="MWG46" s="468"/>
      <c r="MWH46" s="468"/>
      <c r="MWI46" s="468"/>
      <c r="MWJ46" s="468"/>
      <c r="MWK46" s="468"/>
      <c r="MWL46" s="468"/>
      <c r="MWM46" s="468"/>
      <c r="MWN46" s="468"/>
      <c r="MWO46" s="468"/>
      <c r="MWP46" s="468"/>
      <c r="MWQ46" s="468"/>
      <c r="MWR46" s="468"/>
      <c r="MWS46" s="468"/>
      <c r="MWT46" s="468"/>
      <c r="MWU46" s="468"/>
      <c r="MWV46" s="468"/>
      <c r="MWW46" s="468"/>
      <c r="MWX46" s="468"/>
      <c r="MWY46" s="468"/>
      <c r="MWZ46" s="468"/>
      <c r="MXA46" s="468"/>
      <c r="MXB46" s="468"/>
      <c r="MXC46" s="468"/>
      <c r="MXD46" s="468"/>
      <c r="MXE46" s="468"/>
      <c r="MXF46" s="468"/>
      <c r="MXG46" s="468"/>
      <c r="MXH46" s="468"/>
      <c r="MXI46" s="468"/>
      <c r="MXJ46" s="468"/>
      <c r="MXK46" s="468"/>
      <c r="MXL46" s="468"/>
      <c r="MXM46" s="468"/>
      <c r="MXN46" s="468"/>
      <c r="MXO46" s="468"/>
      <c r="MXP46" s="468"/>
      <c r="MXQ46" s="468"/>
      <c r="MXR46" s="468"/>
      <c r="MXS46" s="468"/>
      <c r="MXT46" s="468"/>
      <c r="MXU46" s="468"/>
      <c r="MXV46" s="468"/>
      <c r="MXW46" s="468"/>
      <c r="MXX46" s="468"/>
      <c r="MXY46" s="468"/>
      <c r="MXZ46" s="468"/>
      <c r="MYA46" s="468"/>
      <c r="MYB46" s="468"/>
      <c r="MYC46" s="468"/>
      <c r="MYD46" s="468"/>
      <c r="MYE46" s="468"/>
      <c r="MYF46" s="468"/>
      <c r="MYG46" s="468"/>
      <c r="MYH46" s="468"/>
      <c r="MYI46" s="468"/>
      <c r="MYJ46" s="468"/>
      <c r="MYK46" s="468"/>
      <c r="MYL46" s="468"/>
      <c r="MYM46" s="468"/>
      <c r="MYN46" s="468"/>
      <c r="MYO46" s="468"/>
      <c r="MYP46" s="468"/>
      <c r="MYQ46" s="468"/>
      <c r="MYR46" s="468"/>
      <c r="MYS46" s="468"/>
      <c r="MYT46" s="468"/>
      <c r="MYU46" s="468"/>
      <c r="MYV46" s="468"/>
      <c r="MYW46" s="468"/>
      <c r="MYX46" s="468"/>
      <c r="MYY46" s="468"/>
      <c r="MYZ46" s="468"/>
      <c r="MZA46" s="468"/>
      <c r="MZB46" s="468"/>
      <c r="MZC46" s="468"/>
      <c r="MZD46" s="468"/>
      <c r="MZE46" s="468"/>
      <c r="MZF46" s="468"/>
      <c r="MZG46" s="468"/>
      <c r="MZH46" s="468"/>
      <c r="MZI46" s="468"/>
      <c r="MZJ46" s="468"/>
      <c r="MZK46" s="468"/>
      <c r="MZL46" s="468"/>
      <c r="MZM46" s="468"/>
      <c r="MZN46" s="468"/>
      <c r="MZO46" s="468"/>
      <c r="MZP46" s="468"/>
      <c r="MZQ46" s="468"/>
      <c r="MZR46" s="468"/>
      <c r="MZS46" s="468"/>
      <c r="MZT46" s="468"/>
      <c r="MZU46" s="468"/>
      <c r="MZV46" s="468"/>
      <c r="MZW46" s="468"/>
      <c r="MZX46" s="468"/>
      <c r="MZY46" s="468"/>
      <c r="MZZ46" s="468"/>
      <c r="NAA46" s="468"/>
      <c r="NAB46" s="468"/>
      <c r="NAC46" s="468"/>
      <c r="NAD46" s="468"/>
      <c r="NAE46" s="468"/>
      <c r="NAF46" s="468"/>
      <c r="NAG46" s="468"/>
      <c r="NAH46" s="468"/>
      <c r="NAI46" s="468"/>
      <c r="NAJ46" s="468"/>
      <c r="NAK46" s="468"/>
      <c r="NAL46" s="468"/>
      <c r="NAM46" s="468"/>
      <c r="NAN46" s="468"/>
      <c r="NAO46" s="468"/>
      <c r="NAP46" s="468"/>
      <c r="NAQ46" s="468"/>
      <c r="NAR46" s="468"/>
      <c r="NAS46" s="468"/>
      <c r="NAT46" s="468"/>
      <c r="NAU46" s="468"/>
      <c r="NAV46" s="468"/>
      <c r="NAW46" s="468"/>
      <c r="NAX46" s="468"/>
      <c r="NAY46" s="468"/>
      <c r="NAZ46" s="468"/>
      <c r="NBA46" s="468"/>
      <c r="NBB46" s="468"/>
      <c r="NBC46" s="468"/>
      <c r="NBD46" s="468"/>
      <c r="NBE46" s="468"/>
      <c r="NBF46" s="468"/>
      <c r="NBG46" s="468"/>
      <c r="NBH46" s="468"/>
      <c r="NBI46" s="468"/>
      <c r="NBJ46" s="468"/>
      <c r="NBK46" s="468"/>
      <c r="NBL46" s="468"/>
      <c r="NBM46" s="468"/>
      <c r="NBN46" s="468"/>
      <c r="NBO46" s="468"/>
      <c r="NBP46" s="468"/>
      <c r="NBQ46" s="468"/>
      <c r="NBR46" s="468"/>
      <c r="NBS46" s="468"/>
      <c r="NBT46" s="468"/>
      <c r="NBU46" s="468"/>
      <c r="NBV46" s="468"/>
      <c r="NBW46" s="468"/>
      <c r="NBX46" s="468"/>
      <c r="NBY46" s="468"/>
      <c r="NBZ46" s="468"/>
      <c r="NCA46" s="468"/>
      <c r="NCB46" s="468"/>
      <c r="NCC46" s="468"/>
      <c r="NCD46" s="468"/>
      <c r="NCE46" s="468"/>
      <c r="NCF46" s="468"/>
      <c r="NCG46" s="468"/>
      <c r="NCH46" s="468"/>
      <c r="NCI46" s="468"/>
      <c r="NCJ46" s="468"/>
      <c r="NCK46" s="468"/>
      <c r="NCL46" s="468"/>
      <c r="NCM46" s="468"/>
      <c r="NCN46" s="468"/>
      <c r="NCO46" s="468"/>
      <c r="NCP46" s="468"/>
      <c r="NCQ46" s="468"/>
      <c r="NCR46" s="468"/>
      <c r="NCS46" s="468"/>
      <c r="NCT46" s="468"/>
      <c r="NCU46" s="468"/>
      <c r="NCV46" s="468"/>
      <c r="NCW46" s="468"/>
      <c r="NCX46" s="468"/>
      <c r="NCY46" s="468"/>
      <c r="NCZ46" s="468"/>
      <c r="NDA46" s="468"/>
      <c r="NDB46" s="468"/>
      <c r="NDC46" s="468"/>
      <c r="NDD46" s="468"/>
      <c r="NDE46" s="468"/>
      <c r="NDF46" s="468"/>
      <c r="NDG46" s="468"/>
      <c r="NDH46" s="468"/>
      <c r="NDI46" s="468"/>
      <c r="NDJ46" s="468"/>
      <c r="NDK46" s="468"/>
      <c r="NDL46" s="468"/>
      <c r="NDM46" s="468"/>
      <c r="NDN46" s="468"/>
      <c r="NDO46" s="468"/>
      <c r="NDP46" s="468"/>
      <c r="NDQ46" s="468"/>
      <c r="NDR46" s="468"/>
      <c r="NDS46" s="468"/>
      <c r="NDT46" s="468"/>
      <c r="NDU46" s="468"/>
      <c r="NDV46" s="468"/>
      <c r="NDW46" s="468"/>
      <c r="NDX46" s="468"/>
      <c r="NDY46" s="468"/>
      <c r="NDZ46" s="468"/>
      <c r="NEA46" s="468"/>
      <c r="NEB46" s="468"/>
      <c r="NEC46" s="468"/>
      <c r="NED46" s="468"/>
      <c r="NEE46" s="468"/>
      <c r="NEF46" s="468"/>
      <c r="NEG46" s="468"/>
      <c r="NEH46" s="468"/>
      <c r="NEI46" s="468"/>
      <c r="NEJ46" s="468"/>
      <c r="NEK46" s="468"/>
      <c r="NEL46" s="468"/>
      <c r="NEM46" s="468"/>
      <c r="NEN46" s="468"/>
      <c r="NEO46" s="468"/>
      <c r="NEP46" s="468"/>
      <c r="NEQ46" s="468"/>
      <c r="NER46" s="468"/>
      <c r="NES46" s="468"/>
      <c r="NET46" s="468"/>
      <c r="NEU46" s="468"/>
      <c r="NEV46" s="468"/>
      <c r="NEW46" s="468"/>
      <c r="NEX46" s="468"/>
      <c r="NEY46" s="468"/>
      <c r="NEZ46" s="468"/>
      <c r="NFA46" s="468"/>
      <c r="NFB46" s="468"/>
      <c r="NFC46" s="468"/>
      <c r="NFD46" s="468"/>
      <c r="NFE46" s="468"/>
      <c r="NFF46" s="468"/>
      <c r="NFG46" s="468"/>
      <c r="NFH46" s="468"/>
      <c r="NFI46" s="468"/>
      <c r="NFJ46" s="468"/>
      <c r="NFK46" s="468"/>
      <c r="NFL46" s="468"/>
      <c r="NFM46" s="468"/>
      <c r="NFN46" s="468"/>
      <c r="NFO46" s="468"/>
      <c r="NFP46" s="468"/>
      <c r="NFQ46" s="468"/>
      <c r="NFR46" s="468"/>
      <c r="NFS46" s="468"/>
      <c r="NFT46" s="468"/>
      <c r="NFU46" s="468"/>
      <c r="NFV46" s="468"/>
      <c r="NFW46" s="468"/>
      <c r="NFX46" s="468"/>
      <c r="NFY46" s="468"/>
      <c r="NFZ46" s="468"/>
      <c r="NGA46" s="468"/>
      <c r="NGB46" s="468"/>
      <c r="NGC46" s="468"/>
      <c r="NGD46" s="468"/>
      <c r="NGE46" s="468"/>
      <c r="NGF46" s="468"/>
      <c r="NGG46" s="468"/>
      <c r="NGH46" s="468"/>
      <c r="NGI46" s="468"/>
      <c r="NGJ46" s="468"/>
      <c r="NGK46" s="468"/>
      <c r="NGL46" s="468"/>
      <c r="NGM46" s="468"/>
      <c r="NGN46" s="468"/>
      <c r="NGO46" s="468"/>
      <c r="NGP46" s="468"/>
      <c r="NGQ46" s="468"/>
      <c r="NGR46" s="468"/>
      <c r="NGS46" s="468"/>
      <c r="NGT46" s="468"/>
      <c r="NGU46" s="468"/>
      <c r="NGV46" s="468"/>
      <c r="NGW46" s="468"/>
      <c r="NGX46" s="468"/>
      <c r="NGY46" s="468"/>
      <c r="NGZ46" s="468"/>
      <c r="NHA46" s="468"/>
      <c r="NHB46" s="468"/>
      <c r="NHC46" s="468"/>
      <c r="NHD46" s="468"/>
      <c r="NHE46" s="468"/>
      <c r="NHF46" s="468"/>
      <c r="NHG46" s="468"/>
      <c r="NHH46" s="468"/>
      <c r="NHI46" s="468"/>
      <c r="NHJ46" s="468"/>
      <c r="NHK46" s="468"/>
      <c r="NHL46" s="468"/>
      <c r="NHM46" s="468"/>
      <c r="NHN46" s="468"/>
      <c r="NHO46" s="468"/>
      <c r="NHP46" s="468"/>
      <c r="NHQ46" s="468"/>
      <c r="NHR46" s="468"/>
      <c r="NHS46" s="468"/>
      <c r="NHT46" s="468"/>
      <c r="NHU46" s="468"/>
      <c r="NHV46" s="468"/>
      <c r="NHW46" s="468"/>
      <c r="NHX46" s="468"/>
      <c r="NHY46" s="468"/>
      <c r="NHZ46" s="468"/>
      <c r="NIA46" s="468"/>
      <c r="NIB46" s="468"/>
      <c r="NIC46" s="468"/>
      <c r="NID46" s="468"/>
      <c r="NIE46" s="468"/>
      <c r="NIF46" s="468"/>
      <c r="NIG46" s="468"/>
      <c r="NIH46" s="468"/>
      <c r="NII46" s="468"/>
      <c r="NIJ46" s="468"/>
      <c r="NIK46" s="468"/>
      <c r="NIL46" s="468"/>
      <c r="NIM46" s="468"/>
      <c r="NIN46" s="468"/>
      <c r="NIO46" s="468"/>
      <c r="NIP46" s="468"/>
      <c r="NIQ46" s="468"/>
      <c r="NIR46" s="468"/>
      <c r="NIS46" s="468"/>
      <c r="NIT46" s="468"/>
      <c r="NIU46" s="468"/>
      <c r="NIV46" s="468"/>
      <c r="NIW46" s="468"/>
      <c r="NIX46" s="468"/>
      <c r="NIY46" s="468"/>
      <c r="NIZ46" s="468"/>
      <c r="NJA46" s="468"/>
      <c r="NJB46" s="468"/>
      <c r="NJC46" s="468"/>
      <c r="NJD46" s="468"/>
      <c r="NJE46" s="468"/>
      <c r="NJF46" s="468"/>
      <c r="NJG46" s="468"/>
      <c r="NJH46" s="468"/>
      <c r="NJI46" s="468"/>
      <c r="NJJ46" s="468"/>
      <c r="NJK46" s="468"/>
      <c r="NJL46" s="468"/>
      <c r="NJM46" s="468"/>
      <c r="NJN46" s="468"/>
      <c r="NJO46" s="468"/>
      <c r="NJP46" s="468"/>
      <c r="NJQ46" s="468"/>
      <c r="NJR46" s="468"/>
      <c r="NJS46" s="468"/>
      <c r="NJT46" s="468"/>
      <c r="NJU46" s="468"/>
      <c r="NJV46" s="468"/>
      <c r="NJW46" s="468"/>
      <c r="NJX46" s="468"/>
      <c r="NJY46" s="468"/>
      <c r="NJZ46" s="468"/>
      <c r="NKA46" s="468"/>
      <c r="NKB46" s="468"/>
      <c r="NKC46" s="468"/>
      <c r="NKD46" s="468"/>
      <c r="NKE46" s="468"/>
      <c r="NKF46" s="468"/>
      <c r="NKG46" s="468"/>
      <c r="NKH46" s="468"/>
      <c r="NKI46" s="468"/>
      <c r="NKJ46" s="468"/>
      <c r="NKK46" s="468"/>
      <c r="NKL46" s="468"/>
      <c r="NKM46" s="468"/>
      <c r="NKN46" s="468"/>
      <c r="NKO46" s="468"/>
      <c r="NKP46" s="468"/>
      <c r="NKQ46" s="468"/>
      <c r="NKR46" s="468"/>
      <c r="NKS46" s="468"/>
      <c r="NKT46" s="468"/>
      <c r="NKU46" s="468"/>
      <c r="NKV46" s="468"/>
      <c r="NKW46" s="468"/>
      <c r="NKX46" s="468"/>
      <c r="NKY46" s="468"/>
      <c r="NKZ46" s="468"/>
      <c r="NLA46" s="468"/>
      <c r="NLB46" s="468"/>
      <c r="NLC46" s="468"/>
      <c r="NLD46" s="468"/>
      <c r="NLE46" s="468"/>
      <c r="NLF46" s="468"/>
      <c r="NLG46" s="468"/>
      <c r="NLH46" s="468"/>
      <c r="NLI46" s="468"/>
      <c r="NLJ46" s="468"/>
      <c r="NLK46" s="468"/>
      <c r="NLL46" s="468"/>
      <c r="NLM46" s="468"/>
      <c r="NLN46" s="468"/>
      <c r="NLO46" s="468"/>
      <c r="NLP46" s="468"/>
      <c r="NLQ46" s="468"/>
      <c r="NLR46" s="468"/>
      <c r="NLS46" s="468"/>
      <c r="NLT46" s="468"/>
      <c r="NLU46" s="468"/>
      <c r="NLV46" s="468"/>
      <c r="NLW46" s="468"/>
      <c r="NLX46" s="468"/>
      <c r="NLY46" s="468"/>
      <c r="NLZ46" s="468"/>
      <c r="NMA46" s="468"/>
      <c r="NMB46" s="468"/>
      <c r="NMC46" s="468"/>
      <c r="NMD46" s="468"/>
      <c r="NME46" s="468"/>
      <c r="NMF46" s="468"/>
      <c r="NMG46" s="468"/>
      <c r="NMH46" s="468"/>
      <c r="NMI46" s="468"/>
      <c r="NMJ46" s="468"/>
      <c r="NMK46" s="468"/>
      <c r="NML46" s="468"/>
      <c r="NMM46" s="468"/>
      <c r="NMN46" s="468"/>
      <c r="NMO46" s="468"/>
      <c r="NMP46" s="468"/>
      <c r="NMQ46" s="468"/>
      <c r="NMR46" s="468"/>
      <c r="NMS46" s="468"/>
      <c r="NMT46" s="468"/>
      <c r="NMU46" s="468"/>
      <c r="NMV46" s="468"/>
      <c r="NMW46" s="468"/>
      <c r="NMX46" s="468"/>
      <c r="NMY46" s="468"/>
      <c r="NMZ46" s="468"/>
      <c r="NNA46" s="468"/>
      <c r="NNB46" s="468"/>
      <c r="NNC46" s="468"/>
      <c r="NND46" s="468"/>
      <c r="NNE46" s="468"/>
      <c r="NNF46" s="468"/>
      <c r="NNG46" s="468"/>
      <c r="NNH46" s="468"/>
      <c r="NNI46" s="468"/>
      <c r="NNJ46" s="468"/>
      <c r="NNK46" s="468"/>
      <c r="NNL46" s="468"/>
      <c r="NNM46" s="468"/>
      <c r="NNN46" s="468"/>
      <c r="NNO46" s="468"/>
      <c r="NNP46" s="468"/>
      <c r="NNQ46" s="468"/>
      <c r="NNR46" s="468"/>
      <c r="NNS46" s="468"/>
      <c r="NNT46" s="468"/>
      <c r="NNU46" s="468"/>
      <c r="NNV46" s="468"/>
      <c r="NNW46" s="468"/>
      <c r="NNX46" s="468"/>
      <c r="NNY46" s="468"/>
      <c r="NNZ46" s="468"/>
      <c r="NOA46" s="468"/>
      <c r="NOB46" s="468"/>
      <c r="NOC46" s="468"/>
      <c r="NOD46" s="468"/>
      <c r="NOE46" s="468"/>
      <c r="NOF46" s="468"/>
      <c r="NOG46" s="468"/>
      <c r="NOH46" s="468"/>
      <c r="NOI46" s="468"/>
      <c r="NOJ46" s="468"/>
      <c r="NOK46" s="468"/>
      <c r="NOL46" s="468"/>
      <c r="NOM46" s="468"/>
      <c r="NON46" s="468"/>
      <c r="NOO46" s="468"/>
      <c r="NOP46" s="468"/>
      <c r="NOQ46" s="468"/>
      <c r="NOR46" s="468"/>
      <c r="NOS46" s="468"/>
      <c r="NOT46" s="468"/>
      <c r="NOU46" s="468"/>
      <c r="NOV46" s="468"/>
      <c r="NOW46" s="468"/>
      <c r="NOX46" s="468"/>
      <c r="NOY46" s="468"/>
      <c r="NOZ46" s="468"/>
      <c r="NPA46" s="468"/>
      <c r="NPB46" s="468"/>
      <c r="NPC46" s="468"/>
      <c r="NPD46" s="468"/>
      <c r="NPE46" s="468"/>
      <c r="NPF46" s="468"/>
      <c r="NPG46" s="468"/>
      <c r="NPH46" s="468"/>
      <c r="NPI46" s="468"/>
      <c r="NPJ46" s="468"/>
      <c r="NPK46" s="468"/>
      <c r="NPL46" s="468"/>
      <c r="NPM46" s="468"/>
      <c r="NPN46" s="468"/>
      <c r="NPO46" s="468"/>
      <c r="NPP46" s="468"/>
      <c r="NPQ46" s="468"/>
      <c r="NPR46" s="468"/>
      <c r="NPS46" s="468"/>
      <c r="NPT46" s="468"/>
      <c r="NPU46" s="468"/>
      <c r="NPV46" s="468"/>
      <c r="NPW46" s="468"/>
      <c r="NPX46" s="468"/>
      <c r="NPY46" s="468"/>
      <c r="NPZ46" s="468"/>
      <c r="NQA46" s="468"/>
      <c r="NQB46" s="468"/>
      <c r="NQC46" s="468"/>
      <c r="NQD46" s="468"/>
      <c r="NQE46" s="468"/>
      <c r="NQF46" s="468"/>
      <c r="NQG46" s="468"/>
      <c r="NQH46" s="468"/>
      <c r="NQI46" s="468"/>
      <c r="NQJ46" s="468"/>
      <c r="NQK46" s="468"/>
      <c r="NQL46" s="468"/>
      <c r="NQM46" s="468"/>
      <c r="NQN46" s="468"/>
      <c r="NQO46" s="468"/>
      <c r="NQP46" s="468"/>
      <c r="NQQ46" s="468"/>
      <c r="NQR46" s="468"/>
      <c r="NQS46" s="468"/>
      <c r="NQT46" s="468"/>
      <c r="NQU46" s="468"/>
      <c r="NQV46" s="468"/>
      <c r="NQW46" s="468"/>
      <c r="NQX46" s="468"/>
      <c r="NQY46" s="468"/>
      <c r="NQZ46" s="468"/>
      <c r="NRA46" s="468"/>
      <c r="NRB46" s="468"/>
      <c r="NRC46" s="468"/>
      <c r="NRD46" s="468"/>
      <c r="NRE46" s="468"/>
      <c r="NRF46" s="468"/>
      <c r="NRG46" s="468"/>
      <c r="NRH46" s="468"/>
      <c r="NRI46" s="468"/>
      <c r="NRJ46" s="468"/>
      <c r="NRK46" s="468"/>
      <c r="NRL46" s="468"/>
      <c r="NRM46" s="468"/>
      <c r="NRN46" s="468"/>
      <c r="NRO46" s="468"/>
      <c r="NRP46" s="468"/>
      <c r="NRQ46" s="468"/>
      <c r="NRR46" s="468"/>
      <c r="NRS46" s="468"/>
      <c r="NRT46" s="468"/>
      <c r="NRU46" s="468"/>
      <c r="NRV46" s="468"/>
      <c r="NRW46" s="468"/>
      <c r="NRX46" s="468"/>
      <c r="NRY46" s="468"/>
      <c r="NRZ46" s="468"/>
      <c r="NSA46" s="468"/>
      <c r="NSB46" s="468"/>
      <c r="NSC46" s="468"/>
      <c r="NSD46" s="468"/>
      <c r="NSE46" s="468"/>
      <c r="NSF46" s="468"/>
      <c r="NSG46" s="468"/>
      <c r="NSH46" s="468"/>
      <c r="NSI46" s="468"/>
      <c r="NSJ46" s="468"/>
      <c r="NSK46" s="468"/>
      <c r="NSL46" s="468"/>
      <c r="NSM46" s="468"/>
      <c r="NSN46" s="468"/>
      <c r="NSO46" s="468"/>
      <c r="NSP46" s="468"/>
      <c r="NSQ46" s="468"/>
      <c r="NSR46" s="468"/>
      <c r="NSS46" s="468"/>
      <c r="NST46" s="468"/>
      <c r="NSU46" s="468"/>
      <c r="NSV46" s="468"/>
      <c r="NSW46" s="468"/>
      <c r="NSX46" s="468"/>
      <c r="NSY46" s="468"/>
      <c r="NSZ46" s="468"/>
      <c r="NTA46" s="468"/>
      <c r="NTB46" s="468"/>
      <c r="NTC46" s="468"/>
      <c r="NTD46" s="468"/>
      <c r="NTE46" s="468"/>
      <c r="NTF46" s="468"/>
      <c r="NTG46" s="468"/>
      <c r="NTH46" s="468"/>
      <c r="NTI46" s="468"/>
      <c r="NTJ46" s="468"/>
      <c r="NTK46" s="468"/>
      <c r="NTL46" s="468"/>
      <c r="NTM46" s="468"/>
      <c r="NTN46" s="468"/>
      <c r="NTO46" s="468"/>
      <c r="NTP46" s="468"/>
      <c r="NTQ46" s="468"/>
      <c r="NTR46" s="468"/>
      <c r="NTS46" s="468"/>
      <c r="NTT46" s="468"/>
      <c r="NTU46" s="468"/>
      <c r="NTV46" s="468"/>
      <c r="NTW46" s="468"/>
      <c r="NTX46" s="468"/>
      <c r="NTY46" s="468"/>
      <c r="NTZ46" s="468"/>
      <c r="NUA46" s="468"/>
      <c r="NUB46" s="468"/>
      <c r="NUC46" s="468"/>
      <c r="NUD46" s="468"/>
      <c r="NUE46" s="468"/>
      <c r="NUF46" s="468"/>
      <c r="NUG46" s="468"/>
      <c r="NUH46" s="468"/>
      <c r="NUI46" s="468"/>
      <c r="NUJ46" s="468"/>
      <c r="NUK46" s="468"/>
      <c r="NUL46" s="468"/>
      <c r="NUM46" s="468"/>
      <c r="NUN46" s="468"/>
      <c r="NUO46" s="468"/>
      <c r="NUP46" s="468"/>
      <c r="NUQ46" s="468"/>
      <c r="NUR46" s="468"/>
      <c r="NUS46" s="468"/>
      <c r="NUT46" s="468"/>
      <c r="NUU46" s="468"/>
      <c r="NUV46" s="468"/>
      <c r="NUW46" s="468"/>
      <c r="NUX46" s="468"/>
      <c r="NUY46" s="468"/>
      <c r="NUZ46" s="468"/>
      <c r="NVA46" s="468"/>
      <c r="NVB46" s="468"/>
      <c r="NVC46" s="468"/>
      <c r="NVD46" s="468"/>
      <c r="NVE46" s="468"/>
      <c r="NVF46" s="468"/>
      <c r="NVG46" s="468"/>
      <c r="NVH46" s="468"/>
      <c r="NVI46" s="468"/>
      <c r="NVJ46" s="468"/>
      <c r="NVK46" s="468"/>
      <c r="NVL46" s="468"/>
      <c r="NVM46" s="468"/>
      <c r="NVN46" s="468"/>
      <c r="NVO46" s="468"/>
      <c r="NVP46" s="468"/>
      <c r="NVQ46" s="468"/>
      <c r="NVR46" s="468"/>
      <c r="NVS46" s="468"/>
      <c r="NVT46" s="468"/>
      <c r="NVU46" s="468"/>
      <c r="NVV46" s="468"/>
      <c r="NVW46" s="468"/>
      <c r="NVX46" s="468"/>
      <c r="NVY46" s="468"/>
      <c r="NVZ46" s="468"/>
      <c r="NWA46" s="468"/>
      <c r="NWB46" s="468"/>
      <c r="NWC46" s="468"/>
      <c r="NWD46" s="468"/>
      <c r="NWE46" s="468"/>
      <c r="NWF46" s="468"/>
      <c r="NWG46" s="468"/>
      <c r="NWH46" s="468"/>
      <c r="NWI46" s="468"/>
      <c r="NWJ46" s="468"/>
      <c r="NWK46" s="468"/>
      <c r="NWL46" s="468"/>
      <c r="NWM46" s="468"/>
      <c r="NWN46" s="468"/>
      <c r="NWO46" s="468"/>
      <c r="NWP46" s="468"/>
      <c r="NWQ46" s="468"/>
      <c r="NWR46" s="468"/>
      <c r="NWS46" s="468"/>
      <c r="NWT46" s="468"/>
      <c r="NWU46" s="468"/>
      <c r="NWV46" s="468"/>
      <c r="NWW46" s="468"/>
      <c r="NWX46" s="468"/>
      <c r="NWY46" s="468"/>
      <c r="NWZ46" s="468"/>
      <c r="NXA46" s="468"/>
      <c r="NXB46" s="468"/>
      <c r="NXC46" s="468"/>
      <c r="NXD46" s="468"/>
      <c r="NXE46" s="468"/>
      <c r="NXF46" s="468"/>
      <c r="NXG46" s="468"/>
      <c r="NXH46" s="468"/>
      <c r="NXI46" s="468"/>
      <c r="NXJ46" s="468"/>
      <c r="NXK46" s="468"/>
      <c r="NXL46" s="468"/>
      <c r="NXM46" s="468"/>
      <c r="NXN46" s="468"/>
      <c r="NXO46" s="468"/>
      <c r="NXP46" s="468"/>
      <c r="NXQ46" s="468"/>
      <c r="NXR46" s="468"/>
      <c r="NXS46" s="468"/>
      <c r="NXT46" s="468"/>
      <c r="NXU46" s="468"/>
      <c r="NXV46" s="468"/>
      <c r="NXW46" s="468"/>
      <c r="NXX46" s="468"/>
      <c r="NXY46" s="468"/>
      <c r="NXZ46" s="468"/>
      <c r="NYA46" s="468"/>
      <c r="NYB46" s="468"/>
      <c r="NYC46" s="468"/>
      <c r="NYD46" s="468"/>
      <c r="NYE46" s="468"/>
      <c r="NYF46" s="468"/>
      <c r="NYG46" s="468"/>
      <c r="NYH46" s="468"/>
      <c r="NYI46" s="468"/>
      <c r="NYJ46" s="468"/>
      <c r="NYK46" s="468"/>
      <c r="NYL46" s="468"/>
      <c r="NYM46" s="468"/>
      <c r="NYN46" s="468"/>
      <c r="NYO46" s="468"/>
      <c r="NYP46" s="468"/>
      <c r="NYQ46" s="468"/>
      <c r="NYR46" s="468"/>
      <c r="NYS46" s="468"/>
      <c r="NYT46" s="468"/>
      <c r="NYU46" s="468"/>
      <c r="NYV46" s="468"/>
      <c r="NYW46" s="468"/>
      <c r="NYX46" s="468"/>
      <c r="NYY46" s="468"/>
      <c r="NYZ46" s="468"/>
      <c r="NZA46" s="468"/>
      <c r="NZB46" s="468"/>
      <c r="NZC46" s="468"/>
      <c r="NZD46" s="468"/>
      <c r="NZE46" s="468"/>
      <c r="NZF46" s="468"/>
      <c r="NZG46" s="468"/>
      <c r="NZH46" s="468"/>
      <c r="NZI46" s="468"/>
      <c r="NZJ46" s="468"/>
      <c r="NZK46" s="468"/>
      <c r="NZL46" s="468"/>
      <c r="NZM46" s="468"/>
      <c r="NZN46" s="468"/>
      <c r="NZO46" s="468"/>
      <c r="NZP46" s="468"/>
      <c r="NZQ46" s="468"/>
      <c r="NZR46" s="468"/>
      <c r="NZS46" s="468"/>
      <c r="NZT46" s="468"/>
      <c r="NZU46" s="468"/>
      <c r="NZV46" s="468"/>
      <c r="NZW46" s="468"/>
      <c r="NZX46" s="468"/>
      <c r="NZY46" s="468"/>
      <c r="NZZ46" s="468"/>
      <c r="OAA46" s="468"/>
      <c r="OAB46" s="468"/>
      <c r="OAC46" s="468"/>
      <c r="OAD46" s="468"/>
      <c r="OAE46" s="468"/>
      <c r="OAF46" s="468"/>
      <c r="OAG46" s="468"/>
      <c r="OAH46" s="468"/>
      <c r="OAI46" s="468"/>
      <c r="OAJ46" s="468"/>
      <c r="OAK46" s="468"/>
      <c r="OAL46" s="468"/>
      <c r="OAM46" s="468"/>
      <c r="OAN46" s="468"/>
      <c r="OAO46" s="468"/>
      <c r="OAP46" s="468"/>
      <c r="OAQ46" s="468"/>
      <c r="OAR46" s="468"/>
      <c r="OAS46" s="468"/>
      <c r="OAT46" s="468"/>
      <c r="OAU46" s="468"/>
      <c r="OAV46" s="468"/>
      <c r="OAW46" s="468"/>
      <c r="OAX46" s="468"/>
      <c r="OAY46" s="468"/>
      <c r="OAZ46" s="468"/>
      <c r="OBA46" s="468"/>
      <c r="OBB46" s="468"/>
      <c r="OBC46" s="468"/>
      <c r="OBD46" s="468"/>
      <c r="OBE46" s="468"/>
      <c r="OBF46" s="468"/>
      <c r="OBG46" s="468"/>
      <c r="OBH46" s="468"/>
      <c r="OBI46" s="468"/>
      <c r="OBJ46" s="468"/>
      <c r="OBK46" s="468"/>
      <c r="OBL46" s="468"/>
      <c r="OBM46" s="468"/>
      <c r="OBN46" s="468"/>
      <c r="OBO46" s="468"/>
      <c r="OBP46" s="468"/>
      <c r="OBQ46" s="468"/>
      <c r="OBR46" s="468"/>
      <c r="OBS46" s="468"/>
      <c r="OBT46" s="468"/>
      <c r="OBU46" s="468"/>
      <c r="OBV46" s="468"/>
      <c r="OBW46" s="468"/>
      <c r="OBX46" s="468"/>
      <c r="OBY46" s="468"/>
      <c r="OBZ46" s="468"/>
      <c r="OCA46" s="468"/>
      <c r="OCB46" s="468"/>
      <c r="OCC46" s="468"/>
      <c r="OCD46" s="468"/>
      <c r="OCE46" s="468"/>
      <c r="OCF46" s="468"/>
      <c r="OCG46" s="468"/>
      <c r="OCH46" s="468"/>
      <c r="OCI46" s="468"/>
      <c r="OCJ46" s="468"/>
      <c r="OCK46" s="468"/>
      <c r="OCL46" s="468"/>
      <c r="OCM46" s="468"/>
      <c r="OCN46" s="468"/>
      <c r="OCO46" s="468"/>
      <c r="OCP46" s="468"/>
      <c r="OCQ46" s="468"/>
      <c r="OCR46" s="468"/>
      <c r="OCS46" s="468"/>
      <c r="OCT46" s="468"/>
      <c r="OCU46" s="468"/>
      <c r="OCV46" s="468"/>
      <c r="OCW46" s="468"/>
      <c r="OCX46" s="468"/>
      <c r="OCY46" s="468"/>
      <c r="OCZ46" s="468"/>
      <c r="ODA46" s="468"/>
      <c r="ODB46" s="468"/>
      <c r="ODC46" s="468"/>
      <c r="ODD46" s="468"/>
      <c r="ODE46" s="468"/>
      <c r="ODF46" s="468"/>
      <c r="ODG46" s="468"/>
      <c r="ODH46" s="468"/>
      <c r="ODI46" s="468"/>
      <c r="ODJ46" s="468"/>
      <c r="ODK46" s="468"/>
      <c r="ODL46" s="468"/>
      <c r="ODM46" s="468"/>
      <c r="ODN46" s="468"/>
      <c r="ODO46" s="468"/>
      <c r="ODP46" s="468"/>
      <c r="ODQ46" s="468"/>
      <c r="ODR46" s="468"/>
      <c r="ODS46" s="468"/>
      <c r="ODT46" s="468"/>
      <c r="ODU46" s="468"/>
      <c r="ODV46" s="468"/>
      <c r="ODW46" s="468"/>
      <c r="ODX46" s="468"/>
      <c r="ODY46" s="468"/>
      <c r="ODZ46" s="468"/>
      <c r="OEA46" s="468"/>
      <c r="OEB46" s="468"/>
      <c r="OEC46" s="468"/>
      <c r="OED46" s="468"/>
      <c r="OEE46" s="468"/>
      <c r="OEF46" s="468"/>
      <c r="OEG46" s="468"/>
      <c r="OEH46" s="468"/>
      <c r="OEI46" s="468"/>
      <c r="OEJ46" s="468"/>
      <c r="OEK46" s="468"/>
      <c r="OEL46" s="468"/>
      <c r="OEM46" s="468"/>
      <c r="OEN46" s="468"/>
      <c r="OEO46" s="468"/>
      <c r="OEP46" s="468"/>
      <c r="OEQ46" s="468"/>
      <c r="OER46" s="468"/>
      <c r="OES46" s="468"/>
      <c r="OET46" s="468"/>
      <c r="OEU46" s="468"/>
      <c r="OEV46" s="468"/>
      <c r="OEW46" s="468"/>
      <c r="OEX46" s="468"/>
      <c r="OEY46" s="468"/>
      <c r="OEZ46" s="468"/>
      <c r="OFA46" s="468"/>
      <c r="OFB46" s="468"/>
      <c r="OFC46" s="468"/>
      <c r="OFD46" s="468"/>
      <c r="OFE46" s="468"/>
      <c r="OFF46" s="468"/>
      <c r="OFG46" s="468"/>
      <c r="OFH46" s="468"/>
      <c r="OFI46" s="468"/>
      <c r="OFJ46" s="468"/>
      <c r="OFK46" s="468"/>
      <c r="OFL46" s="468"/>
      <c r="OFM46" s="468"/>
      <c r="OFN46" s="468"/>
      <c r="OFO46" s="468"/>
      <c r="OFP46" s="468"/>
      <c r="OFQ46" s="468"/>
      <c r="OFR46" s="468"/>
      <c r="OFS46" s="468"/>
      <c r="OFT46" s="468"/>
      <c r="OFU46" s="468"/>
      <c r="OFV46" s="468"/>
      <c r="OFW46" s="468"/>
      <c r="OFX46" s="468"/>
      <c r="OFY46" s="468"/>
      <c r="OFZ46" s="468"/>
      <c r="OGA46" s="468"/>
      <c r="OGB46" s="468"/>
      <c r="OGC46" s="468"/>
      <c r="OGD46" s="468"/>
      <c r="OGE46" s="468"/>
      <c r="OGF46" s="468"/>
      <c r="OGG46" s="468"/>
      <c r="OGH46" s="468"/>
      <c r="OGI46" s="468"/>
      <c r="OGJ46" s="468"/>
      <c r="OGK46" s="468"/>
      <c r="OGL46" s="468"/>
      <c r="OGM46" s="468"/>
      <c r="OGN46" s="468"/>
      <c r="OGO46" s="468"/>
      <c r="OGP46" s="468"/>
      <c r="OGQ46" s="468"/>
      <c r="OGR46" s="468"/>
      <c r="OGS46" s="468"/>
      <c r="OGT46" s="468"/>
      <c r="OGU46" s="468"/>
      <c r="OGV46" s="468"/>
      <c r="OGW46" s="468"/>
      <c r="OGX46" s="468"/>
      <c r="OGY46" s="468"/>
      <c r="OGZ46" s="468"/>
      <c r="OHA46" s="468"/>
      <c r="OHB46" s="468"/>
      <c r="OHC46" s="468"/>
      <c r="OHD46" s="468"/>
      <c r="OHE46" s="468"/>
      <c r="OHF46" s="468"/>
      <c r="OHG46" s="468"/>
      <c r="OHH46" s="468"/>
      <c r="OHI46" s="468"/>
      <c r="OHJ46" s="468"/>
      <c r="OHK46" s="468"/>
      <c r="OHL46" s="468"/>
      <c r="OHM46" s="468"/>
      <c r="OHN46" s="468"/>
      <c r="OHO46" s="468"/>
      <c r="OHP46" s="468"/>
      <c r="OHQ46" s="468"/>
      <c r="OHR46" s="468"/>
      <c r="OHS46" s="468"/>
      <c r="OHT46" s="468"/>
      <c r="OHU46" s="468"/>
      <c r="OHV46" s="468"/>
      <c r="OHW46" s="468"/>
      <c r="OHX46" s="468"/>
      <c r="OHY46" s="468"/>
      <c r="OHZ46" s="468"/>
      <c r="OIA46" s="468"/>
      <c r="OIB46" s="468"/>
      <c r="OIC46" s="468"/>
      <c r="OID46" s="468"/>
      <c r="OIE46" s="468"/>
      <c r="OIF46" s="468"/>
      <c r="OIG46" s="468"/>
      <c r="OIH46" s="468"/>
      <c r="OII46" s="468"/>
      <c r="OIJ46" s="468"/>
      <c r="OIK46" s="468"/>
      <c r="OIL46" s="468"/>
      <c r="OIM46" s="468"/>
      <c r="OIN46" s="468"/>
      <c r="OIO46" s="468"/>
      <c r="OIP46" s="468"/>
      <c r="OIQ46" s="468"/>
      <c r="OIR46" s="468"/>
      <c r="OIS46" s="468"/>
      <c r="OIT46" s="468"/>
      <c r="OIU46" s="468"/>
      <c r="OIV46" s="468"/>
      <c r="OIW46" s="468"/>
      <c r="OIX46" s="468"/>
      <c r="OIY46" s="468"/>
      <c r="OIZ46" s="468"/>
      <c r="OJA46" s="468"/>
      <c r="OJB46" s="468"/>
      <c r="OJC46" s="468"/>
      <c r="OJD46" s="468"/>
      <c r="OJE46" s="468"/>
      <c r="OJF46" s="468"/>
      <c r="OJG46" s="468"/>
      <c r="OJH46" s="468"/>
      <c r="OJI46" s="468"/>
      <c r="OJJ46" s="468"/>
      <c r="OJK46" s="468"/>
      <c r="OJL46" s="468"/>
      <c r="OJM46" s="468"/>
      <c r="OJN46" s="468"/>
      <c r="OJO46" s="468"/>
      <c r="OJP46" s="468"/>
      <c r="OJQ46" s="468"/>
      <c r="OJR46" s="468"/>
      <c r="OJS46" s="468"/>
      <c r="OJT46" s="468"/>
      <c r="OJU46" s="468"/>
      <c r="OJV46" s="468"/>
      <c r="OJW46" s="468"/>
      <c r="OJX46" s="468"/>
      <c r="OJY46" s="468"/>
      <c r="OJZ46" s="468"/>
      <c r="OKA46" s="468"/>
      <c r="OKB46" s="468"/>
      <c r="OKC46" s="468"/>
      <c r="OKD46" s="468"/>
      <c r="OKE46" s="468"/>
      <c r="OKF46" s="468"/>
      <c r="OKG46" s="468"/>
      <c r="OKH46" s="468"/>
      <c r="OKI46" s="468"/>
      <c r="OKJ46" s="468"/>
      <c r="OKK46" s="468"/>
      <c r="OKL46" s="468"/>
      <c r="OKM46" s="468"/>
      <c r="OKN46" s="468"/>
      <c r="OKO46" s="468"/>
      <c r="OKP46" s="468"/>
      <c r="OKQ46" s="468"/>
      <c r="OKR46" s="468"/>
      <c r="OKS46" s="468"/>
      <c r="OKT46" s="468"/>
      <c r="OKU46" s="468"/>
      <c r="OKV46" s="468"/>
      <c r="OKW46" s="468"/>
      <c r="OKX46" s="468"/>
      <c r="OKY46" s="468"/>
      <c r="OKZ46" s="468"/>
      <c r="OLA46" s="468"/>
      <c r="OLB46" s="468"/>
      <c r="OLC46" s="468"/>
      <c r="OLD46" s="468"/>
      <c r="OLE46" s="468"/>
      <c r="OLF46" s="468"/>
      <c r="OLG46" s="468"/>
      <c r="OLH46" s="468"/>
      <c r="OLI46" s="468"/>
      <c r="OLJ46" s="468"/>
      <c r="OLK46" s="468"/>
      <c r="OLL46" s="468"/>
      <c r="OLM46" s="468"/>
      <c r="OLN46" s="468"/>
      <c r="OLO46" s="468"/>
      <c r="OLP46" s="468"/>
      <c r="OLQ46" s="468"/>
      <c r="OLR46" s="468"/>
      <c r="OLS46" s="468"/>
      <c r="OLT46" s="468"/>
      <c r="OLU46" s="468"/>
      <c r="OLV46" s="468"/>
      <c r="OLW46" s="468"/>
      <c r="OLX46" s="468"/>
      <c r="OLY46" s="468"/>
      <c r="OLZ46" s="468"/>
      <c r="OMA46" s="468"/>
      <c r="OMB46" s="468"/>
      <c r="OMC46" s="468"/>
      <c r="OMD46" s="468"/>
      <c r="OME46" s="468"/>
      <c r="OMF46" s="468"/>
      <c r="OMG46" s="468"/>
      <c r="OMH46" s="468"/>
      <c r="OMI46" s="468"/>
      <c r="OMJ46" s="468"/>
      <c r="OMK46" s="468"/>
      <c r="OML46" s="468"/>
      <c r="OMM46" s="468"/>
      <c r="OMN46" s="468"/>
      <c r="OMO46" s="468"/>
      <c r="OMP46" s="468"/>
      <c r="OMQ46" s="468"/>
      <c r="OMR46" s="468"/>
      <c r="OMS46" s="468"/>
      <c r="OMT46" s="468"/>
      <c r="OMU46" s="468"/>
      <c r="OMV46" s="468"/>
      <c r="OMW46" s="468"/>
      <c r="OMX46" s="468"/>
      <c r="OMY46" s="468"/>
      <c r="OMZ46" s="468"/>
      <c r="ONA46" s="468"/>
      <c r="ONB46" s="468"/>
      <c r="ONC46" s="468"/>
      <c r="OND46" s="468"/>
      <c r="ONE46" s="468"/>
      <c r="ONF46" s="468"/>
      <c r="ONG46" s="468"/>
      <c r="ONH46" s="468"/>
      <c r="ONI46" s="468"/>
      <c r="ONJ46" s="468"/>
      <c r="ONK46" s="468"/>
      <c r="ONL46" s="468"/>
      <c r="ONM46" s="468"/>
      <c r="ONN46" s="468"/>
      <c r="ONO46" s="468"/>
      <c r="ONP46" s="468"/>
      <c r="ONQ46" s="468"/>
      <c r="ONR46" s="468"/>
      <c r="ONS46" s="468"/>
      <c r="ONT46" s="468"/>
      <c r="ONU46" s="468"/>
      <c r="ONV46" s="468"/>
      <c r="ONW46" s="468"/>
      <c r="ONX46" s="468"/>
      <c r="ONY46" s="468"/>
      <c r="ONZ46" s="468"/>
      <c r="OOA46" s="468"/>
      <c r="OOB46" s="468"/>
      <c r="OOC46" s="468"/>
      <c r="OOD46" s="468"/>
      <c r="OOE46" s="468"/>
      <c r="OOF46" s="468"/>
      <c r="OOG46" s="468"/>
      <c r="OOH46" s="468"/>
      <c r="OOI46" s="468"/>
      <c r="OOJ46" s="468"/>
      <c r="OOK46" s="468"/>
      <c r="OOL46" s="468"/>
      <c r="OOM46" s="468"/>
      <c r="OON46" s="468"/>
      <c r="OOO46" s="468"/>
      <c r="OOP46" s="468"/>
      <c r="OOQ46" s="468"/>
      <c r="OOR46" s="468"/>
      <c r="OOS46" s="468"/>
      <c r="OOT46" s="468"/>
      <c r="OOU46" s="468"/>
      <c r="OOV46" s="468"/>
      <c r="OOW46" s="468"/>
      <c r="OOX46" s="468"/>
      <c r="OOY46" s="468"/>
      <c r="OOZ46" s="468"/>
      <c r="OPA46" s="468"/>
      <c r="OPB46" s="468"/>
      <c r="OPC46" s="468"/>
      <c r="OPD46" s="468"/>
      <c r="OPE46" s="468"/>
      <c r="OPF46" s="468"/>
      <c r="OPG46" s="468"/>
      <c r="OPH46" s="468"/>
      <c r="OPI46" s="468"/>
      <c r="OPJ46" s="468"/>
      <c r="OPK46" s="468"/>
      <c r="OPL46" s="468"/>
      <c r="OPM46" s="468"/>
      <c r="OPN46" s="468"/>
      <c r="OPO46" s="468"/>
      <c r="OPP46" s="468"/>
      <c r="OPQ46" s="468"/>
      <c r="OPR46" s="468"/>
      <c r="OPS46" s="468"/>
      <c r="OPT46" s="468"/>
      <c r="OPU46" s="468"/>
      <c r="OPV46" s="468"/>
      <c r="OPW46" s="468"/>
      <c r="OPX46" s="468"/>
      <c r="OPY46" s="468"/>
      <c r="OPZ46" s="468"/>
      <c r="OQA46" s="468"/>
      <c r="OQB46" s="468"/>
      <c r="OQC46" s="468"/>
      <c r="OQD46" s="468"/>
      <c r="OQE46" s="468"/>
      <c r="OQF46" s="468"/>
      <c r="OQG46" s="468"/>
      <c r="OQH46" s="468"/>
      <c r="OQI46" s="468"/>
      <c r="OQJ46" s="468"/>
      <c r="OQK46" s="468"/>
      <c r="OQL46" s="468"/>
      <c r="OQM46" s="468"/>
      <c r="OQN46" s="468"/>
      <c r="OQO46" s="468"/>
      <c r="OQP46" s="468"/>
      <c r="OQQ46" s="468"/>
      <c r="OQR46" s="468"/>
      <c r="OQS46" s="468"/>
      <c r="OQT46" s="468"/>
      <c r="OQU46" s="468"/>
      <c r="OQV46" s="468"/>
      <c r="OQW46" s="468"/>
      <c r="OQX46" s="468"/>
      <c r="OQY46" s="468"/>
      <c r="OQZ46" s="468"/>
      <c r="ORA46" s="468"/>
      <c r="ORB46" s="468"/>
      <c r="ORC46" s="468"/>
      <c r="ORD46" s="468"/>
      <c r="ORE46" s="468"/>
      <c r="ORF46" s="468"/>
      <c r="ORG46" s="468"/>
      <c r="ORH46" s="468"/>
      <c r="ORI46" s="468"/>
      <c r="ORJ46" s="468"/>
      <c r="ORK46" s="468"/>
      <c r="ORL46" s="468"/>
      <c r="ORM46" s="468"/>
      <c r="ORN46" s="468"/>
      <c r="ORO46" s="468"/>
      <c r="ORP46" s="468"/>
      <c r="ORQ46" s="468"/>
      <c r="ORR46" s="468"/>
      <c r="ORS46" s="468"/>
      <c r="ORT46" s="468"/>
      <c r="ORU46" s="468"/>
      <c r="ORV46" s="468"/>
      <c r="ORW46" s="468"/>
      <c r="ORX46" s="468"/>
      <c r="ORY46" s="468"/>
      <c r="ORZ46" s="468"/>
      <c r="OSA46" s="468"/>
      <c r="OSB46" s="468"/>
      <c r="OSC46" s="468"/>
      <c r="OSD46" s="468"/>
      <c r="OSE46" s="468"/>
      <c r="OSF46" s="468"/>
      <c r="OSG46" s="468"/>
      <c r="OSH46" s="468"/>
      <c r="OSI46" s="468"/>
      <c r="OSJ46" s="468"/>
      <c r="OSK46" s="468"/>
      <c r="OSL46" s="468"/>
      <c r="OSM46" s="468"/>
      <c r="OSN46" s="468"/>
      <c r="OSO46" s="468"/>
      <c r="OSP46" s="468"/>
      <c r="OSQ46" s="468"/>
      <c r="OSR46" s="468"/>
      <c r="OSS46" s="468"/>
      <c r="OST46" s="468"/>
      <c r="OSU46" s="468"/>
      <c r="OSV46" s="468"/>
      <c r="OSW46" s="468"/>
      <c r="OSX46" s="468"/>
      <c r="OSY46" s="468"/>
      <c r="OSZ46" s="468"/>
      <c r="OTA46" s="468"/>
      <c r="OTB46" s="468"/>
      <c r="OTC46" s="468"/>
      <c r="OTD46" s="468"/>
      <c r="OTE46" s="468"/>
      <c r="OTF46" s="468"/>
      <c r="OTG46" s="468"/>
      <c r="OTH46" s="468"/>
      <c r="OTI46" s="468"/>
      <c r="OTJ46" s="468"/>
      <c r="OTK46" s="468"/>
      <c r="OTL46" s="468"/>
      <c r="OTM46" s="468"/>
      <c r="OTN46" s="468"/>
      <c r="OTO46" s="468"/>
      <c r="OTP46" s="468"/>
      <c r="OTQ46" s="468"/>
      <c r="OTR46" s="468"/>
      <c r="OTS46" s="468"/>
      <c r="OTT46" s="468"/>
      <c r="OTU46" s="468"/>
      <c r="OTV46" s="468"/>
      <c r="OTW46" s="468"/>
      <c r="OTX46" s="468"/>
      <c r="OTY46" s="468"/>
      <c r="OTZ46" s="468"/>
      <c r="OUA46" s="468"/>
      <c r="OUB46" s="468"/>
      <c r="OUC46" s="468"/>
      <c r="OUD46" s="468"/>
      <c r="OUE46" s="468"/>
      <c r="OUF46" s="468"/>
      <c r="OUG46" s="468"/>
      <c r="OUH46" s="468"/>
      <c r="OUI46" s="468"/>
      <c r="OUJ46" s="468"/>
      <c r="OUK46" s="468"/>
      <c r="OUL46" s="468"/>
      <c r="OUM46" s="468"/>
      <c r="OUN46" s="468"/>
      <c r="OUO46" s="468"/>
      <c r="OUP46" s="468"/>
      <c r="OUQ46" s="468"/>
      <c r="OUR46" s="468"/>
      <c r="OUS46" s="468"/>
      <c r="OUT46" s="468"/>
      <c r="OUU46" s="468"/>
      <c r="OUV46" s="468"/>
      <c r="OUW46" s="468"/>
      <c r="OUX46" s="468"/>
      <c r="OUY46" s="468"/>
      <c r="OUZ46" s="468"/>
      <c r="OVA46" s="468"/>
      <c r="OVB46" s="468"/>
      <c r="OVC46" s="468"/>
      <c r="OVD46" s="468"/>
      <c r="OVE46" s="468"/>
      <c r="OVF46" s="468"/>
      <c r="OVG46" s="468"/>
      <c r="OVH46" s="468"/>
      <c r="OVI46" s="468"/>
      <c r="OVJ46" s="468"/>
      <c r="OVK46" s="468"/>
      <c r="OVL46" s="468"/>
      <c r="OVM46" s="468"/>
      <c r="OVN46" s="468"/>
      <c r="OVO46" s="468"/>
      <c r="OVP46" s="468"/>
      <c r="OVQ46" s="468"/>
      <c r="OVR46" s="468"/>
      <c r="OVS46" s="468"/>
      <c r="OVT46" s="468"/>
      <c r="OVU46" s="468"/>
      <c r="OVV46" s="468"/>
      <c r="OVW46" s="468"/>
      <c r="OVX46" s="468"/>
      <c r="OVY46" s="468"/>
      <c r="OVZ46" s="468"/>
      <c r="OWA46" s="468"/>
      <c r="OWB46" s="468"/>
      <c r="OWC46" s="468"/>
      <c r="OWD46" s="468"/>
      <c r="OWE46" s="468"/>
      <c r="OWF46" s="468"/>
      <c r="OWG46" s="468"/>
      <c r="OWH46" s="468"/>
      <c r="OWI46" s="468"/>
      <c r="OWJ46" s="468"/>
      <c r="OWK46" s="468"/>
      <c r="OWL46" s="468"/>
      <c r="OWM46" s="468"/>
      <c r="OWN46" s="468"/>
      <c r="OWO46" s="468"/>
      <c r="OWP46" s="468"/>
      <c r="OWQ46" s="468"/>
      <c r="OWR46" s="468"/>
      <c r="OWS46" s="468"/>
      <c r="OWT46" s="468"/>
      <c r="OWU46" s="468"/>
      <c r="OWV46" s="468"/>
      <c r="OWW46" s="468"/>
      <c r="OWX46" s="468"/>
      <c r="OWY46" s="468"/>
      <c r="OWZ46" s="468"/>
      <c r="OXA46" s="468"/>
      <c r="OXB46" s="468"/>
      <c r="OXC46" s="468"/>
      <c r="OXD46" s="468"/>
      <c r="OXE46" s="468"/>
      <c r="OXF46" s="468"/>
      <c r="OXG46" s="468"/>
      <c r="OXH46" s="468"/>
      <c r="OXI46" s="468"/>
      <c r="OXJ46" s="468"/>
      <c r="OXK46" s="468"/>
      <c r="OXL46" s="468"/>
      <c r="OXM46" s="468"/>
      <c r="OXN46" s="468"/>
      <c r="OXO46" s="468"/>
      <c r="OXP46" s="468"/>
      <c r="OXQ46" s="468"/>
      <c r="OXR46" s="468"/>
      <c r="OXS46" s="468"/>
      <c r="OXT46" s="468"/>
      <c r="OXU46" s="468"/>
      <c r="OXV46" s="468"/>
      <c r="OXW46" s="468"/>
      <c r="OXX46" s="468"/>
      <c r="OXY46" s="468"/>
      <c r="OXZ46" s="468"/>
      <c r="OYA46" s="468"/>
      <c r="OYB46" s="468"/>
      <c r="OYC46" s="468"/>
      <c r="OYD46" s="468"/>
      <c r="OYE46" s="468"/>
      <c r="OYF46" s="468"/>
      <c r="OYG46" s="468"/>
      <c r="OYH46" s="468"/>
      <c r="OYI46" s="468"/>
      <c r="OYJ46" s="468"/>
      <c r="OYK46" s="468"/>
      <c r="OYL46" s="468"/>
      <c r="OYM46" s="468"/>
      <c r="OYN46" s="468"/>
      <c r="OYO46" s="468"/>
      <c r="OYP46" s="468"/>
      <c r="OYQ46" s="468"/>
      <c r="OYR46" s="468"/>
      <c r="OYS46" s="468"/>
      <c r="OYT46" s="468"/>
      <c r="OYU46" s="468"/>
      <c r="OYV46" s="468"/>
      <c r="OYW46" s="468"/>
      <c r="OYX46" s="468"/>
      <c r="OYY46" s="468"/>
      <c r="OYZ46" s="468"/>
      <c r="OZA46" s="468"/>
      <c r="OZB46" s="468"/>
      <c r="OZC46" s="468"/>
      <c r="OZD46" s="468"/>
      <c r="OZE46" s="468"/>
      <c r="OZF46" s="468"/>
      <c r="OZG46" s="468"/>
      <c r="OZH46" s="468"/>
      <c r="OZI46" s="468"/>
      <c r="OZJ46" s="468"/>
      <c r="OZK46" s="468"/>
      <c r="OZL46" s="468"/>
      <c r="OZM46" s="468"/>
      <c r="OZN46" s="468"/>
      <c r="OZO46" s="468"/>
      <c r="OZP46" s="468"/>
      <c r="OZQ46" s="468"/>
      <c r="OZR46" s="468"/>
      <c r="OZS46" s="468"/>
      <c r="OZT46" s="468"/>
      <c r="OZU46" s="468"/>
      <c r="OZV46" s="468"/>
      <c r="OZW46" s="468"/>
      <c r="OZX46" s="468"/>
      <c r="OZY46" s="468"/>
      <c r="OZZ46" s="468"/>
      <c r="PAA46" s="468"/>
      <c r="PAB46" s="468"/>
      <c r="PAC46" s="468"/>
      <c r="PAD46" s="468"/>
      <c r="PAE46" s="468"/>
      <c r="PAF46" s="468"/>
      <c r="PAG46" s="468"/>
      <c r="PAH46" s="468"/>
      <c r="PAI46" s="468"/>
      <c r="PAJ46" s="468"/>
      <c r="PAK46" s="468"/>
      <c r="PAL46" s="468"/>
      <c r="PAM46" s="468"/>
      <c r="PAN46" s="468"/>
      <c r="PAO46" s="468"/>
      <c r="PAP46" s="468"/>
      <c r="PAQ46" s="468"/>
      <c r="PAR46" s="468"/>
      <c r="PAS46" s="468"/>
      <c r="PAT46" s="468"/>
      <c r="PAU46" s="468"/>
      <c r="PAV46" s="468"/>
      <c r="PAW46" s="468"/>
      <c r="PAX46" s="468"/>
      <c r="PAY46" s="468"/>
      <c r="PAZ46" s="468"/>
      <c r="PBA46" s="468"/>
      <c r="PBB46" s="468"/>
      <c r="PBC46" s="468"/>
      <c r="PBD46" s="468"/>
      <c r="PBE46" s="468"/>
      <c r="PBF46" s="468"/>
      <c r="PBG46" s="468"/>
      <c r="PBH46" s="468"/>
      <c r="PBI46" s="468"/>
      <c r="PBJ46" s="468"/>
      <c r="PBK46" s="468"/>
      <c r="PBL46" s="468"/>
      <c r="PBM46" s="468"/>
      <c r="PBN46" s="468"/>
      <c r="PBO46" s="468"/>
      <c r="PBP46" s="468"/>
      <c r="PBQ46" s="468"/>
      <c r="PBR46" s="468"/>
      <c r="PBS46" s="468"/>
      <c r="PBT46" s="468"/>
      <c r="PBU46" s="468"/>
      <c r="PBV46" s="468"/>
      <c r="PBW46" s="468"/>
      <c r="PBX46" s="468"/>
      <c r="PBY46" s="468"/>
      <c r="PBZ46" s="468"/>
      <c r="PCA46" s="468"/>
      <c r="PCB46" s="468"/>
      <c r="PCC46" s="468"/>
      <c r="PCD46" s="468"/>
      <c r="PCE46" s="468"/>
      <c r="PCF46" s="468"/>
      <c r="PCG46" s="468"/>
      <c r="PCH46" s="468"/>
      <c r="PCI46" s="468"/>
      <c r="PCJ46" s="468"/>
      <c r="PCK46" s="468"/>
      <c r="PCL46" s="468"/>
      <c r="PCM46" s="468"/>
      <c r="PCN46" s="468"/>
      <c r="PCO46" s="468"/>
      <c r="PCP46" s="468"/>
      <c r="PCQ46" s="468"/>
      <c r="PCR46" s="468"/>
      <c r="PCS46" s="468"/>
      <c r="PCT46" s="468"/>
      <c r="PCU46" s="468"/>
      <c r="PCV46" s="468"/>
      <c r="PCW46" s="468"/>
      <c r="PCX46" s="468"/>
      <c r="PCY46" s="468"/>
      <c r="PCZ46" s="468"/>
      <c r="PDA46" s="468"/>
      <c r="PDB46" s="468"/>
      <c r="PDC46" s="468"/>
      <c r="PDD46" s="468"/>
      <c r="PDE46" s="468"/>
      <c r="PDF46" s="468"/>
      <c r="PDG46" s="468"/>
      <c r="PDH46" s="468"/>
      <c r="PDI46" s="468"/>
      <c r="PDJ46" s="468"/>
      <c r="PDK46" s="468"/>
      <c r="PDL46" s="468"/>
      <c r="PDM46" s="468"/>
      <c r="PDN46" s="468"/>
      <c r="PDO46" s="468"/>
      <c r="PDP46" s="468"/>
      <c r="PDQ46" s="468"/>
      <c r="PDR46" s="468"/>
      <c r="PDS46" s="468"/>
      <c r="PDT46" s="468"/>
      <c r="PDU46" s="468"/>
      <c r="PDV46" s="468"/>
      <c r="PDW46" s="468"/>
      <c r="PDX46" s="468"/>
      <c r="PDY46" s="468"/>
      <c r="PDZ46" s="468"/>
      <c r="PEA46" s="468"/>
      <c r="PEB46" s="468"/>
      <c r="PEC46" s="468"/>
      <c r="PED46" s="468"/>
      <c r="PEE46" s="468"/>
      <c r="PEF46" s="468"/>
      <c r="PEG46" s="468"/>
      <c r="PEH46" s="468"/>
      <c r="PEI46" s="468"/>
      <c r="PEJ46" s="468"/>
      <c r="PEK46" s="468"/>
      <c r="PEL46" s="468"/>
      <c r="PEM46" s="468"/>
      <c r="PEN46" s="468"/>
      <c r="PEO46" s="468"/>
      <c r="PEP46" s="468"/>
      <c r="PEQ46" s="468"/>
      <c r="PER46" s="468"/>
      <c r="PES46" s="468"/>
      <c r="PET46" s="468"/>
      <c r="PEU46" s="468"/>
      <c r="PEV46" s="468"/>
      <c r="PEW46" s="468"/>
      <c r="PEX46" s="468"/>
      <c r="PEY46" s="468"/>
      <c r="PEZ46" s="468"/>
      <c r="PFA46" s="468"/>
      <c r="PFB46" s="468"/>
      <c r="PFC46" s="468"/>
      <c r="PFD46" s="468"/>
      <c r="PFE46" s="468"/>
      <c r="PFF46" s="468"/>
      <c r="PFG46" s="468"/>
      <c r="PFH46" s="468"/>
      <c r="PFI46" s="468"/>
      <c r="PFJ46" s="468"/>
      <c r="PFK46" s="468"/>
      <c r="PFL46" s="468"/>
      <c r="PFM46" s="468"/>
      <c r="PFN46" s="468"/>
      <c r="PFO46" s="468"/>
      <c r="PFP46" s="468"/>
      <c r="PFQ46" s="468"/>
      <c r="PFR46" s="468"/>
      <c r="PFS46" s="468"/>
      <c r="PFT46" s="468"/>
      <c r="PFU46" s="468"/>
      <c r="PFV46" s="468"/>
      <c r="PFW46" s="468"/>
      <c r="PFX46" s="468"/>
      <c r="PFY46" s="468"/>
      <c r="PFZ46" s="468"/>
      <c r="PGA46" s="468"/>
      <c r="PGB46" s="468"/>
      <c r="PGC46" s="468"/>
      <c r="PGD46" s="468"/>
      <c r="PGE46" s="468"/>
      <c r="PGF46" s="468"/>
      <c r="PGG46" s="468"/>
      <c r="PGH46" s="468"/>
      <c r="PGI46" s="468"/>
      <c r="PGJ46" s="468"/>
      <c r="PGK46" s="468"/>
      <c r="PGL46" s="468"/>
      <c r="PGM46" s="468"/>
      <c r="PGN46" s="468"/>
      <c r="PGO46" s="468"/>
      <c r="PGP46" s="468"/>
      <c r="PGQ46" s="468"/>
      <c r="PGR46" s="468"/>
      <c r="PGS46" s="468"/>
      <c r="PGT46" s="468"/>
      <c r="PGU46" s="468"/>
      <c r="PGV46" s="468"/>
      <c r="PGW46" s="468"/>
      <c r="PGX46" s="468"/>
      <c r="PGY46" s="468"/>
      <c r="PGZ46" s="468"/>
      <c r="PHA46" s="468"/>
      <c r="PHB46" s="468"/>
      <c r="PHC46" s="468"/>
      <c r="PHD46" s="468"/>
      <c r="PHE46" s="468"/>
      <c r="PHF46" s="468"/>
      <c r="PHG46" s="468"/>
      <c r="PHH46" s="468"/>
      <c r="PHI46" s="468"/>
      <c r="PHJ46" s="468"/>
      <c r="PHK46" s="468"/>
      <c r="PHL46" s="468"/>
      <c r="PHM46" s="468"/>
      <c r="PHN46" s="468"/>
      <c r="PHO46" s="468"/>
      <c r="PHP46" s="468"/>
      <c r="PHQ46" s="468"/>
      <c r="PHR46" s="468"/>
      <c r="PHS46" s="468"/>
      <c r="PHT46" s="468"/>
      <c r="PHU46" s="468"/>
      <c r="PHV46" s="468"/>
      <c r="PHW46" s="468"/>
      <c r="PHX46" s="468"/>
      <c r="PHY46" s="468"/>
      <c r="PHZ46" s="468"/>
      <c r="PIA46" s="468"/>
      <c r="PIB46" s="468"/>
      <c r="PIC46" s="468"/>
      <c r="PID46" s="468"/>
      <c r="PIE46" s="468"/>
      <c r="PIF46" s="468"/>
      <c r="PIG46" s="468"/>
      <c r="PIH46" s="468"/>
      <c r="PII46" s="468"/>
      <c r="PIJ46" s="468"/>
      <c r="PIK46" s="468"/>
      <c r="PIL46" s="468"/>
      <c r="PIM46" s="468"/>
      <c r="PIN46" s="468"/>
      <c r="PIO46" s="468"/>
      <c r="PIP46" s="468"/>
      <c r="PIQ46" s="468"/>
      <c r="PIR46" s="468"/>
      <c r="PIS46" s="468"/>
      <c r="PIT46" s="468"/>
      <c r="PIU46" s="468"/>
      <c r="PIV46" s="468"/>
      <c r="PIW46" s="468"/>
      <c r="PIX46" s="468"/>
      <c r="PIY46" s="468"/>
      <c r="PIZ46" s="468"/>
      <c r="PJA46" s="468"/>
      <c r="PJB46" s="468"/>
      <c r="PJC46" s="468"/>
      <c r="PJD46" s="468"/>
      <c r="PJE46" s="468"/>
      <c r="PJF46" s="468"/>
      <c r="PJG46" s="468"/>
      <c r="PJH46" s="468"/>
      <c r="PJI46" s="468"/>
      <c r="PJJ46" s="468"/>
      <c r="PJK46" s="468"/>
      <c r="PJL46" s="468"/>
      <c r="PJM46" s="468"/>
      <c r="PJN46" s="468"/>
      <c r="PJO46" s="468"/>
      <c r="PJP46" s="468"/>
      <c r="PJQ46" s="468"/>
      <c r="PJR46" s="468"/>
      <c r="PJS46" s="468"/>
      <c r="PJT46" s="468"/>
      <c r="PJU46" s="468"/>
      <c r="PJV46" s="468"/>
      <c r="PJW46" s="468"/>
      <c r="PJX46" s="468"/>
      <c r="PJY46" s="468"/>
      <c r="PJZ46" s="468"/>
      <c r="PKA46" s="468"/>
      <c r="PKB46" s="468"/>
      <c r="PKC46" s="468"/>
      <c r="PKD46" s="468"/>
      <c r="PKE46" s="468"/>
      <c r="PKF46" s="468"/>
      <c r="PKG46" s="468"/>
      <c r="PKH46" s="468"/>
      <c r="PKI46" s="468"/>
      <c r="PKJ46" s="468"/>
      <c r="PKK46" s="468"/>
      <c r="PKL46" s="468"/>
      <c r="PKM46" s="468"/>
      <c r="PKN46" s="468"/>
      <c r="PKO46" s="468"/>
      <c r="PKP46" s="468"/>
      <c r="PKQ46" s="468"/>
      <c r="PKR46" s="468"/>
      <c r="PKS46" s="468"/>
      <c r="PKT46" s="468"/>
      <c r="PKU46" s="468"/>
      <c r="PKV46" s="468"/>
      <c r="PKW46" s="468"/>
      <c r="PKX46" s="468"/>
      <c r="PKY46" s="468"/>
      <c r="PKZ46" s="468"/>
      <c r="PLA46" s="468"/>
      <c r="PLB46" s="468"/>
      <c r="PLC46" s="468"/>
      <c r="PLD46" s="468"/>
      <c r="PLE46" s="468"/>
      <c r="PLF46" s="468"/>
      <c r="PLG46" s="468"/>
      <c r="PLH46" s="468"/>
      <c r="PLI46" s="468"/>
      <c r="PLJ46" s="468"/>
      <c r="PLK46" s="468"/>
      <c r="PLL46" s="468"/>
      <c r="PLM46" s="468"/>
      <c r="PLN46" s="468"/>
      <c r="PLO46" s="468"/>
      <c r="PLP46" s="468"/>
      <c r="PLQ46" s="468"/>
      <c r="PLR46" s="468"/>
      <c r="PLS46" s="468"/>
      <c r="PLT46" s="468"/>
      <c r="PLU46" s="468"/>
      <c r="PLV46" s="468"/>
      <c r="PLW46" s="468"/>
      <c r="PLX46" s="468"/>
      <c r="PLY46" s="468"/>
      <c r="PLZ46" s="468"/>
      <c r="PMA46" s="468"/>
      <c r="PMB46" s="468"/>
      <c r="PMC46" s="468"/>
      <c r="PMD46" s="468"/>
      <c r="PME46" s="468"/>
      <c r="PMF46" s="468"/>
      <c r="PMG46" s="468"/>
      <c r="PMH46" s="468"/>
      <c r="PMI46" s="468"/>
      <c r="PMJ46" s="468"/>
      <c r="PMK46" s="468"/>
      <c r="PML46" s="468"/>
      <c r="PMM46" s="468"/>
      <c r="PMN46" s="468"/>
      <c r="PMO46" s="468"/>
      <c r="PMP46" s="468"/>
      <c r="PMQ46" s="468"/>
      <c r="PMR46" s="468"/>
      <c r="PMS46" s="468"/>
      <c r="PMT46" s="468"/>
      <c r="PMU46" s="468"/>
      <c r="PMV46" s="468"/>
      <c r="PMW46" s="468"/>
      <c r="PMX46" s="468"/>
      <c r="PMY46" s="468"/>
      <c r="PMZ46" s="468"/>
      <c r="PNA46" s="468"/>
      <c r="PNB46" s="468"/>
      <c r="PNC46" s="468"/>
      <c r="PND46" s="468"/>
      <c r="PNE46" s="468"/>
      <c r="PNF46" s="468"/>
      <c r="PNG46" s="468"/>
      <c r="PNH46" s="468"/>
      <c r="PNI46" s="468"/>
      <c r="PNJ46" s="468"/>
      <c r="PNK46" s="468"/>
      <c r="PNL46" s="468"/>
      <c r="PNM46" s="468"/>
      <c r="PNN46" s="468"/>
      <c r="PNO46" s="468"/>
      <c r="PNP46" s="468"/>
      <c r="PNQ46" s="468"/>
      <c r="PNR46" s="468"/>
      <c r="PNS46" s="468"/>
      <c r="PNT46" s="468"/>
      <c r="PNU46" s="468"/>
      <c r="PNV46" s="468"/>
      <c r="PNW46" s="468"/>
      <c r="PNX46" s="468"/>
      <c r="PNY46" s="468"/>
      <c r="PNZ46" s="468"/>
      <c r="POA46" s="468"/>
      <c r="POB46" s="468"/>
      <c r="POC46" s="468"/>
      <c r="POD46" s="468"/>
      <c r="POE46" s="468"/>
      <c r="POF46" s="468"/>
      <c r="POG46" s="468"/>
      <c r="POH46" s="468"/>
      <c r="POI46" s="468"/>
      <c r="POJ46" s="468"/>
      <c r="POK46" s="468"/>
      <c r="POL46" s="468"/>
      <c r="POM46" s="468"/>
      <c r="PON46" s="468"/>
      <c r="POO46" s="468"/>
      <c r="POP46" s="468"/>
      <c r="POQ46" s="468"/>
      <c r="POR46" s="468"/>
      <c r="POS46" s="468"/>
      <c r="POT46" s="468"/>
      <c r="POU46" s="468"/>
      <c r="POV46" s="468"/>
      <c r="POW46" s="468"/>
      <c r="POX46" s="468"/>
      <c r="POY46" s="468"/>
      <c r="POZ46" s="468"/>
      <c r="PPA46" s="468"/>
      <c r="PPB46" s="468"/>
      <c r="PPC46" s="468"/>
      <c r="PPD46" s="468"/>
      <c r="PPE46" s="468"/>
      <c r="PPF46" s="468"/>
      <c r="PPG46" s="468"/>
      <c r="PPH46" s="468"/>
      <c r="PPI46" s="468"/>
      <c r="PPJ46" s="468"/>
      <c r="PPK46" s="468"/>
      <c r="PPL46" s="468"/>
      <c r="PPM46" s="468"/>
      <c r="PPN46" s="468"/>
      <c r="PPO46" s="468"/>
      <c r="PPP46" s="468"/>
      <c r="PPQ46" s="468"/>
      <c r="PPR46" s="468"/>
      <c r="PPS46" s="468"/>
      <c r="PPT46" s="468"/>
      <c r="PPU46" s="468"/>
      <c r="PPV46" s="468"/>
      <c r="PPW46" s="468"/>
      <c r="PPX46" s="468"/>
      <c r="PPY46" s="468"/>
      <c r="PPZ46" s="468"/>
      <c r="PQA46" s="468"/>
      <c r="PQB46" s="468"/>
      <c r="PQC46" s="468"/>
      <c r="PQD46" s="468"/>
      <c r="PQE46" s="468"/>
      <c r="PQF46" s="468"/>
      <c r="PQG46" s="468"/>
      <c r="PQH46" s="468"/>
      <c r="PQI46" s="468"/>
      <c r="PQJ46" s="468"/>
      <c r="PQK46" s="468"/>
      <c r="PQL46" s="468"/>
      <c r="PQM46" s="468"/>
      <c r="PQN46" s="468"/>
      <c r="PQO46" s="468"/>
      <c r="PQP46" s="468"/>
      <c r="PQQ46" s="468"/>
      <c r="PQR46" s="468"/>
      <c r="PQS46" s="468"/>
      <c r="PQT46" s="468"/>
      <c r="PQU46" s="468"/>
      <c r="PQV46" s="468"/>
      <c r="PQW46" s="468"/>
      <c r="PQX46" s="468"/>
      <c r="PQY46" s="468"/>
      <c r="PQZ46" s="468"/>
      <c r="PRA46" s="468"/>
      <c r="PRB46" s="468"/>
      <c r="PRC46" s="468"/>
      <c r="PRD46" s="468"/>
      <c r="PRE46" s="468"/>
      <c r="PRF46" s="468"/>
      <c r="PRG46" s="468"/>
      <c r="PRH46" s="468"/>
      <c r="PRI46" s="468"/>
      <c r="PRJ46" s="468"/>
      <c r="PRK46" s="468"/>
      <c r="PRL46" s="468"/>
      <c r="PRM46" s="468"/>
      <c r="PRN46" s="468"/>
      <c r="PRO46" s="468"/>
      <c r="PRP46" s="468"/>
      <c r="PRQ46" s="468"/>
      <c r="PRR46" s="468"/>
      <c r="PRS46" s="468"/>
      <c r="PRT46" s="468"/>
      <c r="PRU46" s="468"/>
      <c r="PRV46" s="468"/>
      <c r="PRW46" s="468"/>
      <c r="PRX46" s="468"/>
      <c r="PRY46" s="468"/>
      <c r="PRZ46" s="468"/>
      <c r="PSA46" s="468"/>
      <c r="PSB46" s="468"/>
      <c r="PSC46" s="468"/>
      <c r="PSD46" s="468"/>
      <c r="PSE46" s="468"/>
      <c r="PSF46" s="468"/>
      <c r="PSG46" s="468"/>
      <c r="PSH46" s="468"/>
      <c r="PSI46" s="468"/>
      <c r="PSJ46" s="468"/>
      <c r="PSK46" s="468"/>
      <c r="PSL46" s="468"/>
      <c r="PSM46" s="468"/>
      <c r="PSN46" s="468"/>
      <c r="PSO46" s="468"/>
      <c r="PSP46" s="468"/>
      <c r="PSQ46" s="468"/>
      <c r="PSR46" s="468"/>
      <c r="PSS46" s="468"/>
      <c r="PST46" s="468"/>
      <c r="PSU46" s="468"/>
      <c r="PSV46" s="468"/>
      <c r="PSW46" s="468"/>
      <c r="PSX46" s="468"/>
      <c r="PSY46" s="468"/>
      <c r="PSZ46" s="468"/>
      <c r="PTA46" s="468"/>
      <c r="PTB46" s="468"/>
      <c r="PTC46" s="468"/>
      <c r="PTD46" s="468"/>
      <c r="PTE46" s="468"/>
      <c r="PTF46" s="468"/>
      <c r="PTG46" s="468"/>
      <c r="PTH46" s="468"/>
      <c r="PTI46" s="468"/>
      <c r="PTJ46" s="468"/>
      <c r="PTK46" s="468"/>
      <c r="PTL46" s="468"/>
      <c r="PTM46" s="468"/>
      <c r="PTN46" s="468"/>
      <c r="PTO46" s="468"/>
      <c r="PTP46" s="468"/>
      <c r="PTQ46" s="468"/>
      <c r="PTR46" s="468"/>
      <c r="PTS46" s="468"/>
      <c r="PTT46" s="468"/>
      <c r="PTU46" s="468"/>
      <c r="PTV46" s="468"/>
      <c r="PTW46" s="468"/>
      <c r="PTX46" s="468"/>
      <c r="PTY46" s="468"/>
      <c r="PTZ46" s="468"/>
      <c r="PUA46" s="468"/>
      <c r="PUB46" s="468"/>
      <c r="PUC46" s="468"/>
      <c r="PUD46" s="468"/>
      <c r="PUE46" s="468"/>
      <c r="PUF46" s="468"/>
      <c r="PUG46" s="468"/>
      <c r="PUH46" s="468"/>
      <c r="PUI46" s="468"/>
      <c r="PUJ46" s="468"/>
      <c r="PUK46" s="468"/>
      <c r="PUL46" s="468"/>
      <c r="PUM46" s="468"/>
      <c r="PUN46" s="468"/>
      <c r="PUO46" s="468"/>
      <c r="PUP46" s="468"/>
      <c r="PUQ46" s="468"/>
      <c r="PUR46" s="468"/>
      <c r="PUS46" s="468"/>
      <c r="PUT46" s="468"/>
      <c r="PUU46" s="468"/>
      <c r="PUV46" s="468"/>
      <c r="PUW46" s="468"/>
      <c r="PUX46" s="468"/>
      <c r="PUY46" s="468"/>
      <c r="PUZ46" s="468"/>
      <c r="PVA46" s="468"/>
      <c r="PVB46" s="468"/>
      <c r="PVC46" s="468"/>
      <c r="PVD46" s="468"/>
      <c r="PVE46" s="468"/>
      <c r="PVF46" s="468"/>
      <c r="PVG46" s="468"/>
      <c r="PVH46" s="468"/>
      <c r="PVI46" s="468"/>
      <c r="PVJ46" s="468"/>
      <c r="PVK46" s="468"/>
      <c r="PVL46" s="468"/>
      <c r="PVM46" s="468"/>
      <c r="PVN46" s="468"/>
      <c r="PVO46" s="468"/>
      <c r="PVP46" s="468"/>
      <c r="PVQ46" s="468"/>
      <c r="PVR46" s="468"/>
      <c r="PVS46" s="468"/>
      <c r="PVT46" s="468"/>
      <c r="PVU46" s="468"/>
      <c r="PVV46" s="468"/>
      <c r="PVW46" s="468"/>
      <c r="PVX46" s="468"/>
      <c r="PVY46" s="468"/>
      <c r="PVZ46" s="468"/>
      <c r="PWA46" s="468"/>
      <c r="PWB46" s="468"/>
      <c r="PWC46" s="468"/>
      <c r="PWD46" s="468"/>
      <c r="PWE46" s="468"/>
      <c r="PWF46" s="468"/>
      <c r="PWG46" s="468"/>
      <c r="PWH46" s="468"/>
      <c r="PWI46" s="468"/>
      <c r="PWJ46" s="468"/>
      <c r="PWK46" s="468"/>
      <c r="PWL46" s="468"/>
      <c r="PWM46" s="468"/>
      <c r="PWN46" s="468"/>
      <c r="PWO46" s="468"/>
      <c r="PWP46" s="468"/>
      <c r="PWQ46" s="468"/>
      <c r="PWR46" s="468"/>
      <c r="PWS46" s="468"/>
      <c r="PWT46" s="468"/>
      <c r="PWU46" s="468"/>
      <c r="PWV46" s="468"/>
      <c r="PWW46" s="468"/>
      <c r="PWX46" s="468"/>
      <c r="PWY46" s="468"/>
      <c r="PWZ46" s="468"/>
      <c r="PXA46" s="468"/>
      <c r="PXB46" s="468"/>
      <c r="PXC46" s="468"/>
      <c r="PXD46" s="468"/>
      <c r="PXE46" s="468"/>
      <c r="PXF46" s="468"/>
      <c r="PXG46" s="468"/>
      <c r="PXH46" s="468"/>
      <c r="PXI46" s="468"/>
      <c r="PXJ46" s="468"/>
      <c r="PXK46" s="468"/>
      <c r="PXL46" s="468"/>
      <c r="PXM46" s="468"/>
      <c r="PXN46" s="468"/>
      <c r="PXO46" s="468"/>
      <c r="PXP46" s="468"/>
      <c r="PXQ46" s="468"/>
      <c r="PXR46" s="468"/>
      <c r="PXS46" s="468"/>
      <c r="PXT46" s="468"/>
      <c r="PXU46" s="468"/>
      <c r="PXV46" s="468"/>
      <c r="PXW46" s="468"/>
      <c r="PXX46" s="468"/>
      <c r="PXY46" s="468"/>
      <c r="PXZ46" s="468"/>
      <c r="PYA46" s="468"/>
      <c r="PYB46" s="468"/>
      <c r="PYC46" s="468"/>
      <c r="PYD46" s="468"/>
      <c r="PYE46" s="468"/>
      <c r="PYF46" s="468"/>
      <c r="PYG46" s="468"/>
      <c r="PYH46" s="468"/>
      <c r="PYI46" s="468"/>
      <c r="PYJ46" s="468"/>
      <c r="PYK46" s="468"/>
      <c r="PYL46" s="468"/>
      <c r="PYM46" s="468"/>
      <c r="PYN46" s="468"/>
      <c r="PYO46" s="468"/>
      <c r="PYP46" s="468"/>
      <c r="PYQ46" s="468"/>
      <c r="PYR46" s="468"/>
      <c r="PYS46" s="468"/>
      <c r="PYT46" s="468"/>
      <c r="PYU46" s="468"/>
      <c r="PYV46" s="468"/>
      <c r="PYW46" s="468"/>
      <c r="PYX46" s="468"/>
      <c r="PYY46" s="468"/>
      <c r="PYZ46" s="468"/>
      <c r="PZA46" s="468"/>
      <c r="PZB46" s="468"/>
      <c r="PZC46" s="468"/>
      <c r="PZD46" s="468"/>
      <c r="PZE46" s="468"/>
      <c r="PZF46" s="468"/>
      <c r="PZG46" s="468"/>
      <c r="PZH46" s="468"/>
      <c r="PZI46" s="468"/>
      <c r="PZJ46" s="468"/>
      <c r="PZK46" s="468"/>
      <c r="PZL46" s="468"/>
      <c r="PZM46" s="468"/>
      <c r="PZN46" s="468"/>
      <c r="PZO46" s="468"/>
      <c r="PZP46" s="468"/>
      <c r="PZQ46" s="468"/>
      <c r="PZR46" s="468"/>
      <c r="PZS46" s="468"/>
      <c r="PZT46" s="468"/>
      <c r="PZU46" s="468"/>
      <c r="PZV46" s="468"/>
      <c r="PZW46" s="468"/>
      <c r="PZX46" s="468"/>
      <c r="PZY46" s="468"/>
      <c r="PZZ46" s="468"/>
      <c r="QAA46" s="468"/>
      <c r="QAB46" s="468"/>
      <c r="QAC46" s="468"/>
      <c r="QAD46" s="468"/>
      <c r="QAE46" s="468"/>
      <c r="QAF46" s="468"/>
      <c r="QAG46" s="468"/>
      <c r="QAH46" s="468"/>
      <c r="QAI46" s="468"/>
      <c r="QAJ46" s="468"/>
      <c r="QAK46" s="468"/>
      <c r="QAL46" s="468"/>
      <c r="QAM46" s="468"/>
      <c r="QAN46" s="468"/>
      <c r="QAO46" s="468"/>
      <c r="QAP46" s="468"/>
      <c r="QAQ46" s="468"/>
      <c r="QAR46" s="468"/>
      <c r="QAS46" s="468"/>
      <c r="QAT46" s="468"/>
      <c r="QAU46" s="468"/>
      <c r="QAV46" s="468"/>
      <c r="QAW46" s="468"/>
      <c r="QAX46" s="468"/>
      <c r="QAY46" s="468"/>
      <c r="QAZ46" s="468"/>
      <c r="QBA46" s="468"/>
      <c r="QBB46" s="468"/>
      <c r="QBC46" s="468"/>
      <c r="QBD46" s="468"/>
      <c r="QBE46" s="468"/>
      <c r="QBF46" s="468"/>
      <c r="QBG46" s="468"/>
      <c r="QBH46" s="468"/>
      <c r="QBI46" s="468"/>
      <c r="QBJ46" s="468"/>
      <c r="QBK46" s="468"/>
      <c r="QBL46" s="468"/>
      <c r="QBM46" s="468"/>
      <c r="QBN46" s="468"/>
      <c r="QBO46" s="468"/>
      <c r="QBP46" s="468"/>
      <c r="QBQ46" s="468"/>
      <c r="QBR46" s="468"/>
      <c r="QBS46" s="468"/>
      <c r="QBT46" s="468"/>
      <c r="QBU46" s="468"/>
      <c r="QBV46" s="468"/>
      <c r="QBW46" s="468"/>
      <c r="QBX46" s="468"/>
      <c r="QBY46" s="468"/>
      <c r="QBZ46" s="468"/>
      <c r="QCA46" s="468"/>
      <c r="QCB46" s="468"/>
      <c r="QCC46" s="468"/>
      <c r="QCD46" s="468"/>
      <c r="QCE46" s="468"/>
      <c r="QCF46" s="468"/>
      <c r="QCG46" s="468"/>
      <c r="QCH46" s="468"/>
      <c r="QCI46" s="468"/>
      <c r="QCJ46" s="468"/>
      <c r="QCK46" s="468"/>
      <c r="QCL46" s="468"/>
      <c r="QCM46" s="468"/>
      <c r="QCN46" s="468"/>
      <c r="QCO46" s="468"/>
      <c r="QCP46" s="468"/>
      <c r="QCQ46" s="468"/>
      <c r="QCR46" s="468"/>
      <c r="QCS46" s="468"/>
      <c r="QCT46" s="468"/>
      <c r="QCU46" s="468"/>
      <c r="QCV46" s="468"/>
      <c r="QCW46" s="468"/>
      <c r="QCX46" s="468"/>
      <c r="QCY46" s="468"/>
      <c r="QCZ46" s="468"/>
      <c r="QDA46" s="468"/>
      <c r="QDB46" s="468"/>
      <c r="QDC46" s="468"/>
      <c r="QDD46" s="468"/>
      <c r="QDE46" s="468"/>
      <c r="QDF46" s="468"/>
      <c r="QDG46" s="468"/>
      <c r="QDH46" s="468"/>
      <c r="QDI46" s="468"/>
      <c r="QDJ46" s="468"/>
      <c r="QDK46" s="468"/>
      <c r="QDL46" s="468"/>
      <c r="QDM46" s="468"/>
      <c r="QDN46" s="468"/>
      <c r="QDO46" s="468"/>
      <c r="QDP46" s="468"/>
      <c r="QDQ46" s="468"/>
      <c r="QDR46" s="468"/>
      <c r="QDS46" s="468"/>
      <c r="QDT46" s="468"/>
      <c r="QDU46" s="468"/>
      <c r="QDV46" s="468"/>
      <c r="QDW46" s="468"/>
      <c r="QDX46" s="468"/>
      <c r="QDY46" s="468"/>
      <c r="QDZ46" s="468"/>
      <c r="QEA46" s="468"/>
      <c r="QEB46" s="468"/>
      <c r="QEC46" s="468"/>
      <c r="QED46" s="468"/>
      <c r="QEE46" s="468"/>
      <c r="QEF46" s="468"/>
      <c r="QEG46" s="468"/>
      <c r="QEH46" s="468"/>
      <c r="QEI46" s="468"/>
      <c r="QEJ46" s="468"/>
      <c r="QEK46" s="468"/>
      <c r="QEL46" s="468"/>
      <c r="QEM46" s="468"/>
      <c r="QEN46" s="468"/>
      <c r="QEO46" s="468"/>
      <c r="QEP46" s="468"/>
      <c r="QEQ46" s="468"/>
      <c r="QER46" s="468"/>
      <c r="QES46" s="468"/>
      <c r="QET46" s="468"/>
      <c r="QEU46" s="468"/>
      <c r="QEV46" s="468"/>
      <c r="QEW46" s="468"/>
      <c r="QEX46" s="468"/>
      <c r="QEY46" s="468"/>
      <c r="QEZ46" s="468"/>
      <c r="QFA46" s="468"/>
      <c r="QFB46" s="468"/>
      <c r="QFC46" s="468"/>
      <c r="QFD46" s="468"/>
      <c r="QFE46" s="468"/>
      <c r="QFF46" s="468"/>
      <c r="QFG46" s="468"/>
      <c r="QFH46" s="468"/>
      <c r="QFI46" s="468"/>
      <c r="QFJ46" s="468"/>
      <c r="QFK46" s="468"/>
      <c r="QFL46" s="468"/>
      <c r="QFM46" s="468"/>
      <c r="QFN46" s="468"/>
      <c r="QFO46" s="468"/>
      <c r="QFP46" s="468"/>
      <c r="QFQ46" s="468"/>
      <c r="QFR46" s="468"/>
      <c r="QFS46" s="468"/>
      <c r="QFT46" s="468"/>
      <c r="QFU46" s="468"/>
      <c r="QFV46" s="468"/>
      <c r="QFW46" s="468"/>
      <c r="QFX46" s="468"/>
      <c r="QFY46" s="468"/>
      <c r="QFZ46" s="468"/>
      <c r="QGA46" s="468"/>
      <c r="QGB46" s="468"/>
      <c r="QGC46" s="468"/>
      <c r="QGD46" s="468"/>
      <c r="QGE46" s="468"/>
      <c r="QGF46" s="468"/>
      <c r="QGG46" s="468"/>
      <c r="QGH46" s="468"/>
      <c r="QGI46" s="468"/>
      <c r="QGJ46" s="468"/>
      <c r="QGK46" s="468"/>
      <c r="QGL46" s="468"/>
      <c r="QGM46" s="468"/>
      <c r="QGN46" s="468"/>
      <c r="QGO46" s="468"/>
      <c r="QGP46" s="468"/>
      <c r="QGQ46" s="468"/>
      <c r="QGR46" s="468"/>
      <c r="QGS46" s="468"/>
      <c r="QGT46" s="468"/>
      <c r="QGU46" s="468"/>
      <c r="QGV46" s="468"/>
      <c r="QGW46" s="468"/>
      <c r="QGX46" s="468"/>
      <c r="QGY46" s="468"/>
      <c r="QGZ46" s="468"/>
      <c r="QHA46" s="468"/>
      <c r="QHB46" s="468"/>
      <c r="QHC46" s="468"/>
      <c r="QHD46" s="468"/>
      <c r="QHE46" s="468"/>
      <c r="QHF46" s="468"/>
      <c r="QHG46" s="468"/>
      <c r="QHH46" s="468"/>
      <c r="QHI46" s="468"/>
      <c r="QHJ46" s="468"/>
      <c r="QHK46" s="468"/>
      <c r="QHL46" s="468"/>
      <c r="QHM46" s="468"/>
      <c r="QHN46" s="468"/>
      <c r="QHO46" s="468"/>
      <c r="QHP46" s="468"/>
      <c r="QHQ46" s="468"/>
      <c r="QHR46" s="468"/>
      <c r="QHS46" s="468"/>
      <c r="QHT46" s="468"/>
      <c r="QHU46" s="468"/>
      <c r="QHV46" s="468"/>
      <c r="QHW46" s="468"/>
      <c r="QHX46" s="468"/>
      <c r="QHY46" s="468"/>
      <c r="QHZ46" s="468"/>
      <c r="QIA46" s="468"/>
      <c r="QIB46" s="468"/>
      <c r="QIC46" s="468"/>
      <c r="QID46" s="468"/>
      <c r="QIE46" s="468"/>
      <c r="QIF46" s="468"/>
      <c r="QIG46" s="468"/>
      <c r="QIH46" s="468"/>
      <c r="QII46" s="468"/>
      <c r="QIJ46" s="468"/>
      <c r="QIK46" s="468"/>
      <c r="QIL46" s="468"/>
      <c r="QIM46" s="468"/>
      <c r="QIN46" s="468"/>
      <c r="QIO46" s="468"/>
      <c r="QIP46" s="468"/>
      <c r="QIQ46" s="468"/>
      <c r="QIR46" s="468"/>
      <c r="QIS46" s="468"/>
      <c r="QIT46" s="468"/>
      <c r="QIU46" s="468"/>
      <c r="QIV46" s="468"/>
      <c r="QIW46" s="468"/>
      <c r="QIX46" s="468"/>
      <c r="QIY46" s="468"/>
      <c r="QIZ46" s="468"/>
      <c r="QJA46" s="468"/>
      <c r="QJB46" s="468"/>
      <c r="QJC46" s="468"/>
      <c r="QJD46" s="468"/>
      <c r="QJE46" s="468"/>
      <c r="QJF46" s="468"/>
      <c r="QJG46" s="468"/>
      <c r="QJH46" s="468"/>
      <c r="QJI46" s="468"/>
      <c r="QJJ46" s="468"/>
      <c r="QJK46" s="468"/>
      <c r="QJL46" s="468"/>
      <c r="QJM46" s="468"/>
      <c r="QJN46" s="468"/>
      <c r="QJO46" s="468"/>
      <c r="QJP46" s="468"/>
      <c r="QJQ46" s="468"/>
      <c r="QJR46" s="468"/>
      <c r="QJS46" s="468"/>
      <c r="QJT46" s="468"/>
      <c r="QJU46" s="468"/>
      <c r="QJV46" s="468"/>
      <c r="QJW46" s="468"/>
      <c r="QJX46" s="468"/>
      <c r="QJY46" s="468"/>
      <c r="QJZ46" s="468"/>
      <c r="QKA46" s="468"/>
      <c r="QKB46" s="468"/>
      <c r="QKC46" s="468"/>
      <c r="QKD46" s="468"/>
      <c r="QKE46" s="468"/>
      <c r="QKF46" s="468"/>
      <c r="QKG46" s="468"/>
      <c r="QKH46" s="468"/>
      <c r="QKI46" s="468"/>
      <c r="QKJ46" s="468"/>
      <c r="QKK46" s="468"/>
      <c r="QKL46" s="468"/>
      <c r="QKM46" s="468"/>
      <c r="QKN46" s="468"/>
      <c r="QKO46" s="468"/>
      <c r="QKP46" s="468"/>
      <c r="QKQ46" s="468"/>
      <c r="QKR46" s="468"/>
      <c r="QKS46" s="468"/>
      <c r="QKT46" s="468"/>
      <c r="QKU46" s="468"/>
      <c r="QKV46" s="468"/>
      <c r="QKW46" s="468"/>
      <c r="QKX46" s="468"/>
      <c r="QKY46" s="468"/>
      <c r="QKZ46" s="468"/>
      <c r="QLA46" s="468"/>
      <c r="QLB46" s="468"/>
      <c r="QLC46" s="468"/>
      <c r="QLD46" s="468"/>
      <c r="QLE46" s="468"/>
      <c r="QLF46" s="468"/>
      <c r="QLG46" s="468"/>
      <c r="QLH46" s="468"/>
      <c r="QLI46" s="468"/>
      <c r="QLJ46" s="468"/>
      <c r="QLK46" s="468"/>
      <c r="QLL46" s="468"/>
      <c r="QLM46" s="468"/>
      <c r="QLN46" s="468"/>
      <c r="QLO46" s="468"/>
      <c r="QLP46" s="468"/>
      <c r="QLQ46" s="468"/>
      <c r="QLR46" s="468"/>
      <c r="QLS46" s="468"/>
      <c r="QLT46" s="468"/>
      <c r="QLU46" s="468"/>
      <c r="QLV46" s="468"/>
      <c r="QLW46" s="468"/>
      <c r="QLX46" s="468"/>
      <c r="QLY46" s="468"/>
      <c r="QLZ46" s="468"/>
      <c r="QMA46" s="468"/>
      <c r="QMB46" s="468"/>
      <c r="QMC46" s="468"/>
      <c r="QMD46" s="468"/>
      <c r="QME46" s="468"/>
      <c r="QMF46" s="468"/>
      <c r="QMG46" s="468"/>
      <c r="QMH46" s="468"/>
      <c r="QMI46" s="468"/>
      <c r="QMJ46" s="468"/>
      <c r="QMK46" s="468"/>
      <c r="QML46" s="468"/>
      <c r="QMM46" s="468"/>
      <c r="QMN46" s="468"/>
      <c r="QMO46" s="468"/>
      <c r="QMP46" s="468"/>
      <c r="QMQ46" s="468"/>
      <c r="QMR46" s="468"/>
      <c r="QMS46" s="468"/>
      <c r="QMT46" s="468"/>
      <c r="QMU46" s="468"/>
      <c r="QMV46" s="468"/>
      <c r="QMW46" s="468"/>
      <c r="QMX46" s="468"/>
      <c r="QMY46" s="468"/>
      <c r="QMZ46" s="468"/>
      <c r="QNA46" s="468"/>
      <c r="QNB46" s="468"/>
      <c r="QNC46" s="468"/>
      <c r="QND46" s="468"/>
      <c r="QNE46" s="468"/>
      <c r="QNF46" s="468"/>
      <c r="QNG46" s="468"/>
      <c r="QNH46" s="468"/>
      <c r="QNI46" s="468"/>
      <c r="QNJ46" s="468"/>
      <c r="QNK46" s="468"/>
      <c r="QNL46" s="468"/>
      <c r="QNM46" s="468"/>
      <c r="QNN46" s="468"/>
      <c r="QNO46" s="468"/>
      <c r="QNP46" s="468"/>
      <c r="QNQ46" s="468"/>
      <c r="QNR46" s="468"/>
      <c r="QNS46" s="468"/>
      <c r="QNT46" s="468"/>
      <c r="QNU46" s="468"/>
      <c r="QNV46" s="468"/>
      <c r="QNW46" s="468"/>
      <c r="QNX46" s="468"/>
      <c r="QNY46" s="468"/>
      <c r="QNZ46" s="468"/>
      <c r="QOA46" s="468"/>
      <c r="QOB46" s="468"/>
      <c r="QOC46" s="468"/>
      <c r="QOD46" s="468"/>
      <c r="QOE46" s="468"/>
      <c r="QOF46" s="468"/>
      <c r="QOG46" s="468"/>
      <c r="QOH46" s="468"/>
      <c r="QOI46" s="468"/>
      <c r="QOJ46" s="468"/>
      <c r="QOK46" s="468"/>
      <c r="QOL46" s="468"/>
      <c r="QOM46" s="468"/>
      <c r="QON46" s="468"/>
      <c r="QOO46" s="468"/>
      <c r="QOP46" s="468"/>
      <c r="QOQ46" s="468"/>
      <c r="QOR46" s="468"/>
      <c r="QOS46" s="468"/>
      <c r="QOT46" s="468"/>
      <c r="QOU46" s="468"/>
      <c r="QOV46" s="468"/>
      <c r="QOW46" s="468"/>
      <c r="QOX46" s="468"/>
      <c r="QOY46" s="468"/>
      <c r="QOZ46" s="468"/>
      <c r="QPA46" s="468"/>
      <c r="QPB46" s="468"/>
      <c r="QPC46" s="468"/>
      <c r="QPD46" s="468"/>
      <c r="QPE46" s="468"/>
      <c r="QPF46" s="468"/>
      <c r="QPG46" s="468"/>
      <c r="QPH46" s="468"/>
      <c r="QPI46" s="468"/>
      <c r="QPJ46" s="468"/>
      <c r="QPK46" s="468"/>
      <c r="QPL46" s="468"/>
      <c r="QPM46" s="468"/>
      <c r="QPN46" s="468"/>
      <c r="QPO46" s="468"/>
      <c r="QPP46" s="468"/>
      <c r="QPQ46" s="468"/>
      <c r="QPR46" s="468"/>
      <c r="QPS46" s="468"/>
      <c r="QPT46" s="468"/>
      <c r="QPU46" s="468"/>
      <c r="QPV46" s="468"/>
      <c r="QPW46" s="468"/>
      <c r="QPX46" s="468"/>
      <c r="QPY46" s="468"/>
      <c r="QPZ46" s="468"/>
      <c r="QQA46" s="468"/>
      <c r="QQB46" s="468"/>
      <c r="QQC46" s="468"/>
      <c r="QQD46" s="468"/>
      <c r="QQE46" s="468"/>
      <c r="QQF46" s="468"/>
      <c r="QQG46" s="468"/>
      <c r="QQH46" s="468"/>
      <c r="QQI46" s="468"/>
      <c r="QQJ46" s="468"/>
      <c r="QQK46" s="468"/>
      <c r="QQL46" s="468"/>
      <c r="QQM46" s="468"/>
      <c r="QQN46" s="468"/>
      <c r="QQO46" s="468"/>
      <c r="QQP46" s="468"/>
      <c r="QQQ46" s="468"/>
      <c r="QQR46" s="468"/>
      <c r="QQS46" s="468"/>
      <c r="QQT46" s="468"/>
      <c r="QQU46" s="468"/>
      <c r="QQV46" s="468"/>
      <c r="QQW46" s="468"/>
      <c r="QQX46" s="468"/>
      <c r="QQY46" s="468"/>
      <c r="QQZ46" s="468"/>
      <c r="QRA46" s="468"/>
      <c r="QRB46" s="468"/>
      <c r="QRC46" s="468"/>
      <c r="QRD46" s="468"/>
      <c r="QRE46" s="468"/>
      <c r="QRF46" s="468"/>
      <c r="QRG46" s="468"/>
      <c r="QRH46" s="468"/>
      <c r="QRI46" s="468"/>
      <c r="QRJ46" s="468"/>
      <c r="QRK46" s="468"/>
      <c r="QRL46" s="468"/>
      <c r="QRM46" s="468"/>
      <c r="QRN46" s="468"/>
      <c r="QRO46" s="468"/>
      <c r="QRP46" s="468"/>
      <c r="QRQ46" s="468"/>
      <c r="QRR46" s="468"/>
      <c r="QRS46" s="468"/>
      <c r="QRT46" s="468"/>
      <c r="QRU46" s="468"/>
      <c r="QRV46" s="468"/>
      <c r="QRW46" s="468"/>
      <c r="QRX46" s="468"/>
      <c r="QRY46" s="468"/>
      <c r="QRZ46" s="468"/>
      <c r="QSA46" s="468"/>
      <c r="QSB46" s="468"/>
      <c r="QSC46" s="468"/>
      <c r="QSD46" s="468"/>
      <c r="QSE46" s="468"/>
      <c r="QSF46" s="468"/>
      <c r="QSG46" s="468"/>
      <c r="QSH46" s="468"/>
      <c r="QSI46" s="468"/>
      <c r="QSJ46" s="468"/>
      <c r="QSK46" s="468"/>
      <c r="QSL46" s="468"/>
      <c r="QSM46" s="468"/>
      <c r="QSN46" s="468"/>
      <c r="QSO46" s="468"/>
      <c r="QSP46" s="468"/>
      <c r="QSQ46" s="468"/>
      <c r="QSR46" s="468"/>
      <c r="QSS46" s="468"/>
      <c r="QST46" s="468"/>
      <c r="QSU46" s="468"/>
      <c r="QSV46" s="468"/>
      <c r="QSW46" s="468"/>
      <c r="QSX46" s="468"/>
      <c r="QSY46" s="468"/>
      <c r="QSZ46" s="468"/>
      <c r="QTA46" s="468"/>
      <c r="QTB46" s="468"/>
      <c r="QTC46" s="468"/>
      <c r="QTD46" s="468"/>
      <c r="QTE46" s="468"/>
      <c r="QTF46" s="468"/>
      <c r="QTG46" s="468"/>
      <c r="QTH46" s="468"/>
      <c r="QTI46" s="468"/>
      <c r="QTJ46" s="468"/>
      <c r="QTK46" s="468"/>
      <c r="QTL46" s="468"/>
      <c r="QTM46" s="468"/>
      <c r="QTN46" s="468"/>
      <c r="QTO46" s="468"/>
      <c r="QTP46" s="468"/>
      <c r="QTQ46" s="468"/>
      <c r="QTR46" s="468"/>
      <c r="QTS46" s="468"/>
      <c r="QTT46" s="468"/>
      <c r="QTU46" s="468"/>
      <c r="QTV46" s="468"/>
      <c r="QTW46" s="468"/>
      <c r="QTX46" s="468"/>
      <c r="QTY46" s="468"/>
      <c r="QTZ46" s="468"/>
      <c r="QUA46" s="468"/>
      <c r="QUB46" s="468"/>
      <c r="QUC46" s="468"/>
      <c r="QUD46" s="468"/>
      <c r="QUE46" s="468"/>
      <c r="QUF46" s="468"/>
      <c r="QUG46" s="468"/>
      <c r="QUH46" s="468"/>
      <c r="QUI46" s="468"/>
      <c r="QUJ46" s="468"/>
      <c r="QUK46" s="468"/>
      <c r="QUL46" s="468"/>
      <c r="QUM46" s="468"/>
      <c r="QUN46" s="468"/>
      <c r="QUO46" s="468"/>
      <c r="QUP46" s="468"/>
      <c r="QUQ46" s="468"/>
      <c r="QUR46" s="468"/>
      <c r="QUS46" s="468"/>
      <c r="QUT46" s="468"/>
      <c r="QUU46" s="468"/>
      <c r="QUV46" s="468"/>
      <c r="QUW46" s="468"/>
      <c r="QUX46" s="468"/>
      <c r="QUY46" s="468"/>
      <c r="QUZ46" s="468"/>
      <c r="QVA46" s="468"/>
      <c r="QVB46" s="468"/>
      <c r="QVC46" s="468"/>
      <c r="QVD46" s="468"/>
      <c r="QVE46" s="468"/>
      <c r="QVF46" s="468"/>
      <c r="QVG46" s="468"/>
      <c r="QVH46" s="468"/>
      <c r="QVI46" s="468"/>
      <c r="QVJ46" s="468"/>
      <c r="QVK46" s="468"/>
      <c r="QVL46" s="468"/>
      <c r="QVM46" s="468"/>
      <c r="QVN46" s="468"/>
      <c r="QVO46" s="468"/>
      <c r="QVP46" s="468"/>
      <c r="QVQ46" s="468"/>
      <c r="QVR46" s="468"/>
      <c r="QVS46" s="468"/>
      <c r="QVT46" s="468"/>
      <c r="QVU46" s="468"/>
      <c r="QVV46" s="468"/>
      <c r="QVW46" s="468"/>
      <c r="QVX46" s="468"/>
      <c r="QVY46" s="468"/>
      <c r="QVZ46" s="468"/>
      <c r="QWA46" s="468"/>
      <c r="QWB46" s="468"/>
      <c r="QWC46" s="468"/>
      <c r="QWD46" s="468"/>
      <c r="QWE46" s="468"/>
      <c r="QWF46" s="468"/>
      <c r="QWG46" s="468"/>
      <c r="QWH46" s="468"/>
      <c r="QWI46" s="468"/>
      <c r="QWJ46" s="468"/>
      <c r="QWK46" s="468"/>
      <c r="QWL46" s="468"/>
      <c r="QWM46" s="468"/>
      <c r="QWN46" s="468"/>
      <c r="QWO46" s="468"/>
      <c r="QWP46" s="468"/>
      <c r="QWQ46" s="468"/>
      <c r="QWR46" s="468"/>
      <c r="QWS46" s="468"/>
      <c r="QWT46" s="468"/>
      <c r="QWU46" s="468"/>
      <c r="QWV46" s="468"/>
      <c r="QWW46" s="468"/>
      <c r="QWX46" s="468"/>
      <c r="QWY46" s="468"/>
      <c r="QWZ46" s="468"/>
      <c r="QXA46" s="468"/>
      <c r="QXB46" s="468"/>
      <c r="QXC46" s="468"/>
      <c r="QXD46" s="468"/>
      <c r="QXE46" s="468"/>
      <c r="QXF46" s="468"/>
      <c r="QXG46" s="468"/>
      <c r="QXH46" s="468"/>
      <c r="QXI46" s="468"/>
      <c r="QXJ46" s="468"/>
      <c r="QXK46" s="468"/>
      <c r="QXL46" s="468"/>
      <c r="QXM46" s="468"/>
      <c r="QXN46" s="468"/>
      <c r="QXO46" s="468"/>
      <c r="QXP46" s="468"/>
      <c r="QXQ46" s="468"/>
      <c r="QXR46" s="468"/>
      <c r="QXS46" s="468"/>
      <c r="QXT46" s="468"/>
      <c r="QXU46" s="468"/>
      <c r="QXV46" s="468"/>
      <c r="QXW46" s="468"/>
      <c r="QXX46" s="468"/>
      <c r="QXY46" s="468"/>
      <c r="QXZ46" s="468"/>
      <c r="QYA46" s="468"/>
      <c r="QYB46" s="468"/>
      <c r="QYC46" s="468"/>
      <c r="QYD46" s="468"/>
      <c r="QYE46" s="468"/>
      <c r="QYF46" s="468"/>
      <c r="QYG46" s="468"/>
      <c r="QYH46" s="468"/>
      <c r="QYI46" s="468"/>
      <c r="QYJ46" s="468"/>
      <c r="QYK46" s="468"/>
      <c r="QYL46" s="468"/>
      <c r="QYM46" s="468"/>
      <c r="QYN46" s="468"/>
      <c r="QYO46" s="468"/>
      <c r="QYP46" s="468"/>
      <c r="QYQ46" s="468"/>
      <c r="QYR46" s="468"/>
      <c r="QYS46" s="468"/>
      <c r="QYT46" s="468"/>
      <c r="QYU46" s="468"/>
      <c r="QYV46" s="468"/>
      <c r="QYW46" s="468"/>
      <c r="QYX46" s="468"/>
      <c r="QYY46" s="468"/>
      <c r="QYZ46" s="468"/>
      <c r="QZA46" s="468"/>
      <c r="QZB46" s="468"/>
      <c r="QZC46" s="468"/>
      <c r="QZD46" s="468"/>
      <c r="QZE46" s="468"/>
      <c r="QZF46" s="468"/>
      <c r="QZG46" s="468"/>
      <c r="QZH46" s="468"/>
      <c r="QZI46" s="468"/>
      <c r="QZJ46" s="468"/>
      <c r="QZK46" s="468"/>
      <c r="QZL46" s="468"/>
      <c r="QZM46" s="468"/>
      <c r="QZN46" s="468"/>
      <c r="QZO46" s="468"/>
      <c r="QZP46" s="468"/>
      <c r="QZQ46" s="468"/>
      <c r="QZR46" s="468"/>
      <c r="QZS46" s="468"/>
      <c r="QZT46" s="468"/>
      <c r="QZU46" s="468"/>
      <c r="QZV46" s="468"/>
      <c r="QZW46" s="468"/>
      <c r="QZX46" s="468"/>
      <c r="QZY46" s="468"/>
      <c r="QZZ46" s="468"/>
      <c r="RAA46" s="468"/>
      <c r="RAB46" s="468"/>
      <c r="RAC46" s="468"/>
      <c r="RAD46" s="468"/>
      <c r="RAE46" s="468"/>
      <c r="RAF46" s="468"/>
      <c r="RAG46" s="468"/>
      <c r="RAH46" s="468"/>
      <c r="RAI46" s="468"/>
      <c r="RAJ46" s="468"/>
      <c r="RAK46" s="468"/>
      <c r="RAL46" s="468"/>
      <c r="RAM46" s="468"/>
      <c r="RAN46" s="468"/>
      <c r="RAO46" s="468"/>
      <c r="RAP46" s="468"/>
      <c r="RAQ46" s="468"/>
      <c r="RAR46" s="468"/>
      <c r="RAS46" s="468"/>
      <c r="RAT46" s="468"/>
      <c r="RAU46" s="468"/>
      <c r="RAV46" s="468"/>
      <c r="RAW46" s="468"/>
      <c r="RAX46" s="468"/>
      <c r="RAY46" s="468"/>
      <c r="RAZ46" s="468"/>
      <c r="RBA46" s="468"/>
      <c r="RBB46" s="468"/>
      <c r="RBC46" s="468"/>
      <c r="RBD46" s="468"/>
      <c r="RBE46" s="468"/>
      <c r="RBF46" s="468"/>
      <c r="RBG46" s="468"/>
      <c r="RBH46" s="468"/>
      <c r="RBI46" s="468"/>
      <c r="RBJ46" s="468"/>
      <c r="RBK46" s="468"/>
      <c r="RBL46" s="468"/>
      <c r="RBM46" s="468"/>
      <c r="RBN46" s="468"/>
      <c r="RBO46" s="468"/>
      <c r="RBP46" s="468"/>
      <c r="RBQ46" s="468"/>
      <c r="RBR46" s="468"/>
      <c r="RBS46" s="468"/>
      <c r="RBT46" s="468"/>
      <c r="RBU46" s="468"/>
      <c r="RBV46" s="468"/>
      <c r="RBW46" s="468"/>
      <c r="RBX46" s="468"/>
      <c r="RBY46" s="468"/>
      <c r="RBZ46" s="468"/>
      <c r="RCA46" s="468"/>
      <c r="RCB46" s="468"/>
      <c r="RCC46" s="468"/>
      <c r="RCD46" s="468"/>
      <c r="RCE46" s="468"/>
      <c r="RCF46" s="468"/>
      <c r="RCG46" s="468"/>
      <c r="RCH46" s="468"/>
      <c r="RCI46" s="468"/>
      <c r="RCJ46" s="468"/>
      <c r="RCK46" s="468"/>
      <c r="RCL46" s="468"/>
      <c r="RCM46" s="468"/>
      <c r="RCN46" s="468"/>
      <c r="RCO46" s="468"/>
      <c r="RCP46" s="468"/>
      <c r="RCQ46" s="468"/>
      <c r="RCR46" s="468"/>
      <c r="RCS46" s="468"/>
      <c r="RCT46" s="468"/>
      <c r="RCU46" s="468"/>
      <c r="RCV46" s="468"/>
      <c r="RCW46" s="468"/>
      <c r="RCX46" s="468"/>
      <c r="RCY46" s="468"/>
      <c r="RCZ46" s="468"/>
      <c r="RDA46" s="468"/>
      <c r="RDB46" s="468"/>
      <c r="RDC46" s="468"/>
      <c r="RDD46" s="468"/>
      <c r="RDE46" s="468"/>
      <c r="RDF46" s="468"/>
      <c r="RDG46" s="468"/>
      <c r="RDH46" s="468"/>
      <c r="RDI46" s="468"/>
      <c r="RDJ46" s="468"/>
      <c r="RDK46" s="468"/>
      <c r="RDL46" s="468"/>
      <c r="RDM46" s="468"/>
      <c r="RDN46" s="468"/>
      <c r="RDO46" s="468"/>
      <c r="RDP46" s="468"/>
      <c r="RDQ46" s="468"/>
      <c r="RDR46" s="468"/>
      <c r="RDS46" s="468"/>
      <c r="RDT46" s="468"/>
      <c r="RDU46" s="468"/>
      <c r="RDV46" s="468"/>
      <c r="RDW46" s="468"/>
      <c r="RDX46" s="468"/>
      <c r="RDY46" s="468"/>
      <c r="RDZ46" s="468"/>
      <c r="REA46" s="468"/>
      <c r="REB46" s="468"/>
      <c r="REC46" s="468"/>
      <c r="RED46" s="468"/>
      <c r="REE46" s="468"/>
      <c r="REF46" s="468"/>
      <c r="REG46" s="468"/>
      <c r="REH46" s="468"/>
      <c r="REI46" s="468"/>
      <c r="REJ46" s="468"/>
      <c r="REK46" s="468"/>
      <c r="REL46" s="468"/>
      <c r="REM46" s="468"/>
      <c r="REN46" s="468"/>
      <c r="REO46" s="468"/>
      <c r="REP46" s="468"/>
      <c r="REQ46" s="468"/>
      <c r="RER46" s="468"/>
      <c r="RES46" s="468"/>
      <c r="RET46" s="468"/>
      <c r="REU46" s="468"/>
      <c r="REV46" s="468"/>
      <c r="REW46" s="468"/>
      <c r="REX46" s="468"/>
      <c r="REY46" s="468"/>
      <c r="REZ46" s="468"/>
      <c r="RFA46" s="468"/>
      <c r="RFB46" s="468"/>
      <c r="RFC46" s="468"/>
      <c r="RFD46" s="468"/>
      <c r="RFE46" s="468"/>
      <c r="RFF46" s="468"/>
      <c r="RFG46" s="468"/>
      <c r="RFH46" s="468"/>
      <c r="RFI46" s="468"/>
      <c r="RFJ46" s="468"/>
      <c r="RFK46" s="468"/>
      <c r="RFL46" s="468"/>
      <c r="RFM46" s="468"/>
      <c r="RFN46" s="468"/>
      <c r="RFO46" s="468"/>
      <c r="RFP46" s="468"/>
      <c r="RFQ46" s="468"/>
      <c r="RFR46" s="468"/>
      <c r="RFS46" s="468"/>
      <c r="RFT46" s="468"/>
      <c r="RFU46" s="468"/>
      <c r="RFV46" s="468"/>
      <c r="RFW46" s="468"/>
      <c r="RFX46" s="468"/>
      <c r="RFY46" s="468"/>
      <c r="RFZ46" s="468"/>
      <c r="RGA46" s="468"/>
      <c r="RGB46" s="468"/>
      <c r="RGC46" s="468"/>
      <c r="RGD46" s="468"/>
      <c r="RGE46" s="468"/>
      <c r="RGF46" s="468"/>
      <c r="RGG46" s="468"/>
      <c r="RGH46" s="468"/>
      <c r="RGI46" s="468"/>
      <c r="RGJ46" s="468"/>
      <c r="RGK46" s="468"/>
      <c r="RGL46" s="468"/>
      <c r="RGM46" s="468"/>
      <c r="RGN46" s="468"/>
      <c r="RGO46" s="468"/>
      <c r="RGP46" s="468"/>
      <c r="RGQ46" s="468"/>
      <c r="RGR46" s="468"/>
      <c r="RGS46" s="468"/>
      <c r="RGT46" s="468"/>
      <c r="RGU46" s="468"/>
      <c r="RGV46" s="468"/>
      <c r="RGW46" s="468"/>
      <c r="RGX46" s="468"/>
      <c r="RGY46" s="468"/>
      <c r="RGZ46" s="468"/>
      <c r="RHA46" s="468"/>
      <c r="RHB46" s="468"/>
      <c r="RHC46" s="468"/>
      <c r="RHD46" s="468"/>
      <c r="RHE46" s="468"/>
      <c r="RHF46" s="468"/>
      <c r="RHG46" s="468"/>
      <c r="RHH46" s="468"/>
      <c r="RHI46" s="468"/>
      <c r="RHJ46" s="468"/>
      <c r="RHK46" s="468"/>
      <c r="RHL46" s="468"/>
      <c r="RHM46" s="468"/>
      <c r="RHN46" s="468"/>
      <c r="RHO46" s="468"/>
      <c r="RHP46" s="468"/>
      <c r="RHQ46" s="468"/>
      <c r="RHR46" s="468"/>
      <c r="RHS46" s="468"/>
      <c r="RHT46" s="468"/>
      <c r="RHU46" s="468"/>
      <c r="RHV46" s="468"/>
      <c r="RHW46" s="468"/>
      <c r="RHX46" s="468"/>
      <c r="RHY46" s="468"/>
      <c r="RHZ46" s="468"/>
      <c r="RIA46" s="468"/>
      <c r="RIB46" s="468"/>
      <c r="RIC46" s="468"/>
      <c r="RID46" s="468"/>
      <c r="RIE46" s="468"/>
      <c r="RIF46" s="468"/>
      <c r="RIG46" s="468"/>
      <c r="RIH46" s="468"/>
      <c r="RII46" s="468"/>
      <c r="RIJ46" s="468"/>
      <c r="RIK46" s="468"/>
      <c r="RIL46" s="468"/>
      <c r="RIM46" s="468"/>
      <c r="RIN46" s="468"/>
      <c r="RIO46" s="468"/>
      <c r="RIP46" s="468"/>
      <c r="RIQ46" s="468"/>
      <c r="RIR46" s="468"/>
      <c r="RIS46" s="468"/>
      <c r="RIT46" s="468"/>
      <c r="RIU46" s="468"/>
      <c r="RIV46" s="468"/>
      <c r="RIW46" s="468"/>
      <c r="RIX46" s="468"/>
      <c r="RIY46" s="468"/>
      <c r="RIZ46" s="468"/>
      <c r="RJA46" s="468"/>
      <c r="RJB46" s="468"/>
      <c r="RJC46" s="468"/>
      <c r="RJD46" s="468"/>
      <c r="RJE46" s="468"/>
      <c r="RJF46" s="468"/>
      <c r="RJG46" s="468"/>
      <c r="RJH46" s="468"/>
      <c r="RJI46" s="468"/>
      <c r="RJJ46" s="468"/>
      <c r="RJK46" s="468"/>
      <c r="RJL46" s="468"/>
      <c r="RJM46" s="468"/>
      <c r="RJN46" s="468"/>
      <c r="RJO46" s="468"/>
      <c r="RJP46" s="468"/>
      <c r="RJQ46" s="468"/>
      <c r="RJR46" s="468"/>
      <c r="RJS46" s="468"/>
      <c r="RJT46" s="468"/>
      <c r="RJU46" s="468"/>
      <c r="RJV46" s="468"/>
      <c r="RJW46" s="468"/>
      <c r="RJX46" s="468"/>
      <c r="RJY46" s="468"/>
      <c r="RJZ46" s="468"/>
      <c r="RKA46" s="468"/>
      <c r="RKB46" s="468"/>
      <c r="RKC46" s="468"/>
      <c r="RKD46" s="468"/>
      <c r="RKE46" s="468"/>
      <c r="RKF46" s="468"/>
      <c r="RKG46" s="468"/>
      <c r="RKH46" s="468"/>
      <c r="RKI46" s="468"/>
      <c r="RKJ46" s="468"/>
      <c r="RKK46" s="468"/>
      <c r="RKL46" s="468"/>
      <c r="RKM46" s="468"/>
      <c r="RKN46" s="468"/>
      <c r="RKO46" s="468"/>
      <c r="RKP46" s="468"/>
      <c r="RKQ46" s="468"/>
      <c r="RKR46" s="468"/>
      <c r="RKS46" s="468"/>
      <c r="RKT46" s="468"/>
      <c r="RKU46" s="468"/>
      <c r="RKV46" s="468"/>
      <c r="RKW46" s="468"/>
      <c r="RKX46" s="468"/>
      <c r="RKY46" s="468"/>
      <c r="RKZ46" s="468"/>
      <c r="RLA46" s="468"/>
      <c r="RLB46" s="468"/>
      <c r="RLC46" s="468"/>
      <c r="RLD46" s="468"/>
      <c r="RLE46" s="468"/>
      <c r="RLF46" s="468"/>
      <c r="RLG46" s="468"/>
      <c r="RLH46" s="468"/>
      <c r="RLI46" s="468"/>
      <c r="RLJ46" s="468"/>
      <c r="RLK46" s="468"/>
      <c r="RLL46" s="468"/>
      <c r="RLM46" s="468"/>
      <c r="RLN46" s="468"/>
      <c r="RLO46" s="468"/>
      <c r="RLP46" s="468"/>
      <c r="RLQ46" s="468"/>
      <c r="RLR46" s="468"/>
      <c r="RLS46" s="468"/>
      <c r="RLT46" s="468"/>
      <c r="RLU46" s="468"/>
      <c r="RLV46" s="468"/>
      <c r="RLW46" s="468"/>
      <c r="RLX46" s="468"/>
      <c r="RLY46" s="468"/>
      <c r="RLZ46" s="468"/>
      <c r="RMA46" s="468"/>
      <c r="RMB46" s="468"/>
      <c r="RMC46" s="468"/>
      <c r="RMD46" s="468"/>
      <c r="RME46" s="468"/>
      <c r="RMF46" s="468"/>
      <c r="RMG46" s="468"/>
      <c r="RMH46" s="468"/>
      <c r="RMI46" s="468"/>
      <c r="RMJ46" s="468"/>
      <c r="RMK46" s="468"/>
      <c r="RML46" s="468"/>
      <c r="RMM46" s="468"/>
      <c r="RMN46" s="468"/>
      <c r="RMO46" s="468"/>
      <c r="RMP46" s="468"/>
      <c r="RMQ46" s="468"/>
      <c r="RMR46" s="468"/>
      <c r="RMS46" s="468"/>
      <c r="RMT46" s="468"/>
      <c r="RMU46" s="468"/>
      <c r="RMV46" s="468"/>
      <c r="RMW46" s="468"/>
      <c r="RMX46" s="468"/>
      <c r="RMY46" s="468"/>
      <c r="RMZ46" s="468"/>
      <c r="RNA46" s="468"/>
      <c r="RNB46" s="468"/>
      <c r="RNC46" s="468"/>
      <c r="RND46" s="468"/>
      <c r="RNE46" s="468"/>
      <c r="RNF46" s="468"/>
      <c r="RNG46" s="468"/>
      <c r="RNH46" s="468"/>
      <c r="RNI46" s="468"/>
      <c r="RNJ46" s="468"/>
      <c r="RNK46" s="468"/>
      <c r="RNL46" s="468"/>
      <c r="RNM46" s="468"/>
      <c r="RNN46" s="468"/>
      <c r="RNO46" s="468"/>
      <c r="RNP46" s="468"/>
      <c r="RNQ46" s="468"/>
      <c r="RNR46" s="468"/>
      <c r="RNS46" s="468"/>
      <c r="RNT46" s="468"/>
      <c r="RNU46" s="468"/>
      <c r="RNV46" s="468"/>
      <c r="RNW46" s="468"/>
      <c r="RNX46" s="468"/>
      <c r="RNY46" s="468"/>
      <c r="RNZ46" s="468"/>
      <c r="ROA46" s="468"/>
      <c r="ROB46" s="468"/>
      <c r="ROC46" s="468"/>
      <c r="ROD46" s="468"/>
      <c r="ROE46" s="468"/>
      <c r="ROF46" s="468"/>
      <c r="ROG46" s="468"/>
      <c r="ROH46" s="468"/>
      <c r="ROI46" s="468"/>
      <c r="ROJ46" s="468"/>
      <c r="ROK46" s="468"/>
      <c r="ROL46" s="468"/>
      <c r="ROM46" s="468"/>
      <c r="RON46" s="468"/>
      <c r="ROO46" s="468"/>
      <c r="ROP46" s="468"/>
      <c r="ROQ46" s="468"/>
      <c r="ROR46" s="468"/>
      <c r="ROS46" s="468"/>
      <c r="ROT46" s="468"/>
      <c r="ROU46" s="468"/>
      <c r="ROV46" s="468"/>
      <c r="ROW46" s="468"/>
      <c r="ROX46" s="468"/>
      <c r="ROY46" s="468"/>
      <c r="ROZ46" s="468"/>
      <c r="RPA46" s="468"/>
      <c r="RPB46" s="468"/>
      <c r="RPC46" s="468"/>
      <c r="RPD46" s="468"/>
      <c r="RPE46" s="468"/>
      <c r="RPF46" s="468"/>
      <c r="RPG46" s="468"/>
      <c r="RPH46" s="468"/>
      <c r="RPI46" s="468"/>
      <c r="RPJ46" s="468"/>
      <c r="RPK46" s="468"/>
      <c r="RPL46" s="468"/>
      <c r="RPM46" s="468"/>
      <c r="RPN46" s="468"/>
      <c r="RPO46" s="468"/>
      <c r="RPP46" s="468"/>
      <c r="RPQ46" s="468"/>
      <c r="RPR46" s="468"/>
      <c r="RPS46" s="468"/>
      <c r="RPT46" s="468"/>
      <c r="RPU46" s="468"/>
      <c r="RPV46" s="468"/>
      <c r="RPW46" s="468"/>
      <c r="RPX46" s="468"/>
      <c r="RPY46" s="468"/>
      <c r="RPZ46" s="468"/>
      <c r="RQA46" s="468"/>
      <c r="RQB46" s="468"/>
      <c r="RQC46" s="468"/>
      <c r="RQD46" s="468"/>
      <c r="RQE46" s="468"/>
      <c r="RQF46" s="468"/>
      <c r="RQG46" s="468"/>
      <c r="RQH46" s="468"/>
      <c r="RQI46" s="468"/>
      <c r="RQJ46" s="468"/>
      <c r="RQK46" s="468"/>
      <c r="RQL46" s="468"/>
      <c r="RQM46" s="468"/>
      <c r="RQN46" s="468"/>
      <c r="RQO46" s="468"/>
      <c r="RQP46" s="468"/>
      <c r="RQQ46" s="468"/>
      <c r="RQR46" s="468"/>
      <c r="RQS46" s="468"/>
      <c r="RQT46" s="468"/>
      <c r="RQU46" s="468"/>
      <c r="RQV46" s="468"/>
      <c r="RQW46" s="468"/>
      <c r="RQX46" s="468"/>
      <c r="RQY46" s="468"/>
      <c r="RQZ46" s="468"/>
      <c r="RRA46" s="468"/>
      <c r="RRB46" s="468"/>
      <c r="RRC46" s="468"/>
      <c r="RRD46" s="468"/>
      <c r="RRE46" s="468"/>
      <c r="RRF46" s="468"/>
      <c r="RRG46" s="468"/>
      <c r="RRH46" s="468"/>
      <c r="RRI46" s="468"/>
      <c r="RRJ46" s="468"/>
      <c r="RRK46" s="468"/>
      <c r="RRL46" s="468"/>
      <c r="RRM46" s="468"/>
      <c r="RRN46" s="468"/>
      <c r="RRO46" s="468"/>
      <c r="RRP46" s="468"/>
      <c r="RRQ46" s="468"/>
      <c r="RRR46" s="468"/>
      <c r="RRS46" s="468"/>
      <c r="RRT46" s="468"/>
      <c r="RRU46" s="468"/>
      <c r="RRV46" s="468"/>
      <c r="RRW46" s="468"/>
      <c r="RRX46" s="468"/>
      <c r="RRY46" s="468"/>
      <c r="RRZ46" s="468"/>
      <c r="RSA46" s="468"/>
      <c r="RSB46" s="468"/>
      <c r="RSC46" s="468"/>
      <c r="RSD46" s="468"/>
      <c r="RSE46" s="468"/>
      <c r="RSF46" s="468"/>
      <c r="RSG46" s="468"/>
      <c r="RSH46" s="468"/>
      <c r="RSI46" s="468"/>
      <c r="RSJ46" s="468"/>
      <c r="RSK46" s="468"/>
      <c r="RSL46" s="468"/>
      <c r="RSM46" s="468"/>
      <c r="RSN46" s="468"/>
      <c r="RSO46" s="468"/>
      <c r="RSP46" s="468"/>
      <c r="RSQ46" s="468"/>
      <c r="RSR46" s="468"/>
      <c r="RSS46" s="468"/>
      <c r="RST46" s="468"/>
      <c r="RSU46" s="468"/>
      <c r="RSV46" s="468"/>
      <c r="RSW46" s="468"/>
      <c r="RSX46" s="468"/>
      <c r="RSY46" s="468"/>
      <c r="RSZ46" s="468"/>
      <c r="RTA46" s="468"/>
      <c r="RTB46" s="468"/>
      <c r="RTC46" s="468"/>
      <c r="RTD46" s="468"/>
      <c r="RTE46" s="468"/>
      <c r="RTF46" s="468"/>
      <c r="RTG46" s="468"/>
      <c r="RTH46" s="468"/>
      <c r="RTI46" s="468"/>
      <c r="RTJ46" s="468"/>
      <c r="RTK46" s="468"/>
      <c r="RTL46" s="468"/>
      <c r="RTM46" s="468"/>
      <c r="RTN46" s="468"/>
      <c r="RTO46" s="468"/>
      <c r="RTP46" s="468"/>
      <c r="RTQ46" s="468"/>
      <c r="RTR46" s="468"/>
      <c r="RTS46" s="468"/>
      <c r="RTT46" s="468"/>
      <c r="RTU46" s="468"/>
      <c r="RTV46" s="468"/>
      <c r="RTW46" s="468"/>
      <c r="RTX46" s="468"/>
      <c r="RTY46" s="468"/>
      <c r="RTZ46" s="468"/>
      <c r="RUA46" s="468"/>
      <c r="RUB46" s="468"/>
      <c r="RUC46" s="468"/>
      <c r="RUD46" s="468"/>
      <c r="RUE46" s="468"/>
      <c r="RUF46" s="468"/>
      <c r="RUG46" s="468"/>
      <c r="RUH46" s="468"/>
      <c r="RUI46" s="468"/>
      <c r="RUJ46" s="468"/>
      <c r="RUK46" s="468"/>
      <c r="RUL46" s="468"/>
      <c r="RUM46" s="468"/>
      <c r="RUN46" s="468"/>
      <c r="RUO46" s="468"/>
      <c r="RUP46" s="468"/>
      <c r="RUQ46" s="468"/>
      <c r="RUR46" s="468"/>
      <c r="RUS46" s="468"/>
      <c r="RUT46" s="468"/>
      <c r="RUU46" s="468"/>
      <c r="RUV46" s="468"/>
      <c r="RUW46" s="468"/>
      <c r="RUX46" s="468"/>
      <c r="RUY46" s="468"/>
      <c r="RUZ46" s="468"/>
      <c r="RVA46" s="468"/>
      <c r="RVB46" s="468"/>
      <c r="RVC46" s="468"/>
      <c r="RVD46" s="468"/>
      <c r="RVE46" s="468"/>
      <c r="RVF46" s="468"/>
      <c r="RVG46" s="468"/>
      <c r="RVH46" s="468"/>
      <c r="RVI46" s="468"/>
      <c r="RVJ46" s="468"/>
      <c r="RVK46" s="468"/>
      <c r="RVL46" s="468"/>
      <c r="RVM46" s="468"/>
      <c r="RVN46" s="468"/>
      <c r="RVO46" s="468"/>
      <c r="RVP46" s="468"/>
      <c r="RVQ46" s="468"/>
      <c r="RVR46" s="468"/>
      <c r="RVS46" s="468"/>
      <c r="RVT46" s="468"/>
      <c r="RVU46" s="468"/>
      <c r="RVV46" s="468"/>
      <c r="RVW46" s="468"/>
      <c r="RVX46" s="468"/>
      <c r="RVY46" s="468"/>
      <c r="RVZ46" s="468"/>
      <c r="RWA46" s="468"/>
      <c r="RWB46" s="468"/>
      <c r="RWC46" s="468"/>
      <c r="RWD46" s="468"/>
      <c r="RWE46" s="468"/>
      <c r="RWF46" s="468"/>
      <c r="RWG46" s="468"/>
      <c r="RWH46" s="468"/>
      <c r="RWI46" s="468"/>
      <c r="RWJ46" s="468"/>
      <c r="RWK46" s="468"/>
      <c r="RWL46" s="468"/>
      <c r="RWM46" s="468"/>
      <c r="RWN46" s="468"/>
      <c r="RWO46" s="468"/>
      <c r="RWP46" s="468"/>
      <c r="RWQ46" s="468"/>
      <c r="RWR46" s="468"/>
      <c r="RWS46" s="468"/>
      <c r="RWT46" s="468"/>
      <c r="RWU46" s="468"/>
      <c r="RWV46" s="468"/>
      <c r="RWW46" s="468"/>
      <c r="RWX46" s="468"/>
      <c r="RWY46" s="468"/>
      <c r="RWZ46" s="468"/>
      <c r="RXA46" s="468"/>
      <c r="RXB46" s="468"/>
      <c r="RXC46" s="468"/>
      <c r="RXD46" s="468"/>
      <c r="RXE46" s="468"/>
      <c r="RXF46" s="468"/>
      <c r="RXG46" s="468"/>
      <c r="RXH46" s="468"/>
      <c r="RXI46" s="468"/>
      <c r="RXJ46" s="468"/>
      <c r="RXK46" s="468"/>
      <c r="RXL46" s="468"/>
      <c r="RXM46" s="468"/>
      <c r="RXN46" s="468"/>
      <c r="RXO46" s="468"/>
      <c r="RXP46" s="468"/>
      <c r="RXQ46" s="468"/>
      <c r="RXR46" s="468"/>
      <c r="RXS46" s="468"/>
      <c r="RXT46" s="468"/>
      <c r="RXU46" s="468"/>
      <c r="RXV46" s="468"/>
      <c r="RXW46" s="468"/>
      <c r="RXX46" s="468"/>
      <c r="RXY46" s="468"/>
      <c r="RXZ46" s="468"/>
      <c r="RYA46" s="468"/>
      <c r="RYB46" s="468"/>
      <c r="RYC46" s="468"/>
      <c r="RYD46" s="468"/>
      <c r="RYE46" s="468"/>
      <c r="RYF46" s="468"/>
      <c r="RYG46" s="468"/>
      <c r="RYH46" s="468"/>
      <c r="RYI46" s="468"/>
      <c r="RYJ46" s="468"/>
      <c r="RYK46" s="468"/>
      <c r="RYL46" s="468"/>
      <c r="RYM46" s="468"/>
      <c r="RYN46" s="468"/>
      <c r="RYO46" s="468"/>
      <c r="RYP46" s="468"/>
      <c r="RYQ46" s="468"/>
      <c r="RYR46" s="468"/>
      <c r="RYS46" s="468"/>
      <c r="RYT46" s="468"/>
      <c r="RYU46" s="468"/>
      <c r="RYV46" s="468"/>
      <c r="RYW46" s="468"/>
      <c r="RYX46" s="468"/>
      <c r="RYY46" s="468"/>
      <c r="RYZ46" s="468"/>
      <c r="RZA46" s="468"/>
      <c r="RZB46" s="468"/>
      <c r="RZC46" s="468"/>
      <c r="RZD46" s="468"/>
      <c r="RZE46" s="468"/>
      <c r="RZF46" s="468"/>
      <c r="RZG46" s="468"/>
      <c r="RZH46" s="468"/>
      <c r="RZI46" s="468"/>
      <c r="RZJ46" s="468"/>
      <c r="RZK46" s="468"/>
      <c r="RZL46" s="468"/>
      <c r="RZM46" s="468"/>
      <c r="RZN46" s="468"/>
      <c r="RZO46" s="468"/>
      <c r="RZP46" s="468"/>
      <c r="RZQ46" s="468"/>
      <c r="RZR46" s="468"/>
      <c r="RZS46" s="468"/>
      <c r="RZT46" s="468"/>
      <c r="RZU46" s="468"/>
      <c r="RZV46" s="468"/>
      <c r="RZW46" s="468"/>
      <c r="RZX46" s="468"/>
      <c r="RZY46" s="468"/>
      <c r="RZZ46" s="468"/>
      <c r="SAA46" s="468"/>
      <c r="SAB46" s="468"/>
      <c r="SAC46" s="468"/>
      <c r="SAD46" s="468"/>
      <c r="SAE46" s="468"/>
      <c r="SAF46" s="468"/>
      <c r="SAG46" s="468"/>
      <c r="SAH46" s="468"/>
      <c r="SAI46" s="468"/>
      <c r="SAJ46" s="468"/>
      <c r="SAK46" s="468"/>
      <c r="SAL46" s="468"/>
      <c r="SAM46" s="468"/>
      <c r="SAN46" s="468"/>
      <c r="SAO46" s="468"/>
      <c r="SAP46" s="468"/>
      <c r="SAQ46" s="468"/>
      <c r="SAR46" s="468"/>
      <c r="SAS46" s="468"/>
      <c r="SAT46" s="468"/>
      <c r="SAU46" s="468"/>
      <c r="SAV46" s="468"/>
      <c r="SAW46" s="468"/>
      <c r="SAX46" s="468"/>
      <c r="SAY46" s="468"/>
      <c r="SAZ46" s="468"/>
      <c r="SBA46" s="468"/>
      <c r="SBB46" s="468"/>
      <c r="SBC46" s="468"/>
      <c r="SBD46" s="468"/>
      <c r="SBE46" s="468"/>
      <c r="SBF46" s="468"/>
      <c r="SBG46" s="468"/>
      <c r="SBH46" s="468"/>
      <c r="SBI46" s="468"/>
      <c r="SBJ46" s="468"/>
      <c r="SBK46" s="468"/>
      <c r="SBL46" s="468"/>
      <c r="SBM46" s="468"/>
      <c r="SBN46" s="468"/>
      <c r="SBO46" s="468"/>
      <c r="SBP46" s="468"/>
      <c r="SBQ46" s="468"/>
      <c r="SBR46" s="468"/>
      <c r="SBS46" s="468"/>
      <c r="SBT46" s="468"/>
      <c r="SBU46" s="468"/>
      <c r="SBV46" s="468"/>
      <c r="SBW46" s="468"/>
      <c r="SBX46" s="468"/>
      <c r="SBY46" s="468"/>
      <c r="SBZ46" s="468"/>
      <c r="SCA46" s="468"/>
      <c r="SCB46" s="468"/>
      <c r="SCC46" s="468"/>
      <c r="SCD46" s="468"/>
      <c r="SCE46" s="468"/>
      <c r="SCF46" s="468"/>
      <c r="SCG46" s="468"/>
      <c r="SCH46" s="468"/>
      <c r="SCI46" s="468"/>
      <c r="SCJ46" s="468"/>
      <c r="SCK46" s="468"/>
      <c r="SCL46" s="468"/>
      <c r="SCM46" s="468"/>
      <c r="SCN46" s="468"/>
      <c r="SCO46" s="468"/>
      <c r="SCP46" s="468"/>
      <c r="SCQ46" s="468"/>
      <c r="SCR46" s="468"/>
      <c r="SCS46" s="468"/>
      <c r="SCT46" s="468"/>
      <c r="SCU46" s="468"/>
      <c r="SCV46" s="468"/>
      <c r="SCW46" s="468"/>
      <c r="SCX46" s="468"/>
      <c r="SCY46" s="468"/>
      <c r="SCZ46" s="468"/>
      <c r="SDA46" s="468"/>
      <c r="SDB46" s="468"/>
      <c r="SDC46" s="468"/>
      <c r="SDD46" s="468"/>
      <c r="SDE46" s="468"/>
      <c r="SDF46" s="468"/>
      <c r="SDG46" s="468"/>
      <c r="SDH46" s="468"/>
      <c r="SDI46" s="468"/>
      <c r="SDJ46" s="468"/>
      <c r="SDK46" s="468"/>
      <c r="SDL46" s="468"/>
      <c r="SDM46" s="468"/>
      <c r="SDN46" s="468"/>
      <c r="SDO46" s="468"/>
      <c r="SDP46" s="468"/>
      <c r="SDQ46" s="468"/>
      <c r="SDR46" s="468"/>
      <c r="SDS46" s="468"/>
      <c r="SDT46" s="468"/>
      <c r="SDU46" s="468"/>
      <c r="SDV46" s="468"/>
      <c r="SDW46" s="468"/>
      <c r="SDX46" s="468"/>
      <c r="SDY46" s="468"/>
      <c r="SDZ46" s="468"/>
      <c r="SEA46" s="468"/>
      <c r="SEB46" s="468"/>
      <c r="SEC46" s="468"/>
      <c r="SED46" s="468"/>
      <c r="SEE46" s="468"/>
      <c r="SEF46" s="468"/>
      <c r="SEG46" s="468"/>
      <c r="SEH46" s="468"/>
      <c r="SEI46" s="468"/>
      <c r="SEJ46" s="468"/>
      <c r="SEK46" s="468"/>
      <c r="SEL46" s="468"/>
      <c r="SEM46" s="468"/>
      <c r="SEN46" s="468"/>
      <c r="SEO46" s="468"/>
      <c r="SEP46" s="468"/>
      <c r="SEQ46" s="468"/>
      <c r="SER46" s="468"/>
      <c r="SES46" s="468"/>
      <c r="SET46" s="468"/>
      <c r="SEU46" s="468"/>
      <c r="SEV46" s="468"/>
      <c r="SEW46" s="468"/>
      <c r="SEX46" s="468"/>
      <c r="SEY46" s="468"/>
      <c r="SEZ46" s="468"/>
      <c r="SFA46" s="468"/>
      <c r="SFB46" s="468"/>
      <c r="SFC46" s="468"/>
      <c r="SFD46" s="468"/>
      <c r="SFE46" s="468"/>
      <c r="SFF46" s="468"/>
      <c r="SFG46" s="468"/>
      <c r="SFH46" s="468"/>
      <c r="SFI46" s="468"/>
      <c r="SFJ46" s="468"/>
      <c r="SFK46" s="468"/>
      <c r="SFL46" s="468"/>
      <c r="SFM46" s="468"/>
      <c r="SFN46" s="468"/>
      <c r="SFO46" s="468"/>
      <c r="SFP46" s="468"/>
      <c r="SFQ46" s="468"/>
      <c r="SFR46" s="468"/>
      <c r="SFS46" s="468"/>
      <c r="SFT46" s="468"/>
      <c r="SFU46" s="468"/>
      <c r="SFV46" s="468"/>
      <c r="SFW46" s="468"/>
      <c r="SFX46" s="468"/>
      <c r="SFY46" s="468"/>
      <c r="SFZ46" s="468"/>
      <c r="SGA46" s="468"/>
      <c r="SGB46" s="468"/>
      <c r="SGC46" s="468"/>
      <c r="SGD46" s="468"/>
      <c r="SGE46" s="468"/>
      <c r="SGF46" s="468"/>
      <c r="SGG46" s="468"/>
      <c r="SGH46" s="468"/>
      <c r="SGI46" s="468"/>
      <c r="SGJ46" s="468"/>
      <c r="SGK46" s="468"/>
      <c r="SGL46" s="468"/>
      <c r="SGM46" s="468"/>
      <c r="SGN46" s="468"/>
      <c r="SGO46" s="468"/>
      <c r="SGP46" s="468"/>
      <c r="SGQ46" s="468"/>
      <c r="SGR46" s="468"/>
      <c r="SGS46" s="468"/>
      <c r="SGT46" s="468"/>
      <c r="SGU46" s="468"/>
      <c r="SGV46" s="468"/>
      <c r="SGW46" s="468"/>
      <c r="SGX46" s="468"/>
      <c r="SGY46" s="468"/>
      <c r="SGZ46" s="468"/>
      <c r="SHA46" s="468"/>
      <c r="SHB46" s="468"/>
      <c r="SHC46" s="468"/>
      <c r="SHD46" s="468"/>
      <c r="SHE46" s="468"/>
      <c r="SHF46" s="468"/>
      <c r="SHG46" s="468"/>
      <c r="SHH46" s="468"/>
      <c r="SHI46" s="468"/>
      <c r="SHJ46" s="468"/>
      <c r="SHK46" s="468"/>
      <c r="SHL46" s="468"/>
      <c r="SHM46" s="468"/>
      <c r="SHN46" s="468"/>
      <c r="SHO46" s="468"/>
      <c r="SHP46" s="468"/>
      <c r="SHQ46" s="468"/>
      <c r="SHR46" s="468"/>
      <c r="SHS46" s="468"/>
      <c r="SHT46" s="468"/>
      <c r="SHU46" s="468"/>
      <c r="SHV46" s="468"/>
      <c r="SHW46" s="468"/>
      <c r="SHX46" s="468"/>
      <c r="SHY46" s="468"/>
      <c r="SHZ46" s="468"/>
      <c r="SIA46" s="468"/>
      <c r="SIB46" s="468"/>
      <c r="SIC46" s="468"/>
      <c r="SID46" s="468"/>
      <c r="SIE46" s="468"/>
      <c r="SIF46" s="468"/>
      <c r="SIG46" s="468"/>
      <c r="SIH46" s="468"/>
      <c r="SII46" s="468"/>
      <c r="SIJ46" s="468"/>
      <c r="SIK46" s="468"/>
      <c r="SIL46" s="468"/>
      <c r="SIM46" s="468"/>
      <c r="SIN46" s="468"/>
      <c r="SIO46" s="468"/>
      <c r="SIP46" s="468"/>
      <c r="SIQ46" s="468"/>
      <c r="SIR46" s="468"/>
      <c r="SIS46" s="468"/>
      <c r="SIT46" s="468"/>
      <c r="SIU46" s="468"/>
      <c r="SIV46" s="468"/>
      <c r="SIW46" s="468"/>
      <c r="SIX46" s="468"/>
      <c r="SIY46" s="468"/>
      <c r="SIZ46" s="468"/>
      <c r="SJA46" s="468"/>
      <c r="SJB46" s="468"/>
      <c r="SJC46" s="468"/>
      <c r="SJD46" s="468"/>
      <c r="SJE46" s="468"/>
      <c r="SJF46" s="468"/>
      <c r="SJG46" s="468"/>
      <c r="SJH46" s="468"/>
      <c r="SJI46" s="468"/>
      <c r="SJJ46" s="468"/>
      <c r="SJK46" s="468"/>
      <c r="SJL46" s="468"/>
      <c r="SJM46" s="468"/>
      <c r="SJN46" s="468"/>
      <c r="SJO46" s="468"/>
      <c r="SJP46" s="468"/>
      <c r="SJQ46" s="468"/>
      <c r="SJR46" s="468"/>
      <c r="SJS46" s="468"/>
      <c r="SJT46" s="468"/>
      <c r="SJU46" s="468"/>
      <c r="SJV46" s="468"/>
      <c r="SJW46" s="468"/>
      <c r="SJX46" s="468"/>
      <c r="SJY46" s="468"/>
      <c r="SJZ46" s="468"/>
      <c r="SKA46" s="468"/>
      <c r="SKB46" s="468"/>
      <c r="SKC46" s="468"/>
      <c r="SKD46" s="468"/>
      <c r="SKE46" s="468"/>
      <c r="SKF46" s="468"/>
      <c r="SKG46" s="468"/>
      <c r="SKH46" s="468"/>
      <c r="SKI46" s="468"/>
      <c r="SKJ46" s="468"/>
      <c r="SKK46" s="468"/>
      <c r="SKL46" s="468"/>
      <c r="SKM46" s="468"/>
      <c r="SKN46" s="468"/>
      <c r="SKO46" s="468"/>
      <c r="SKP46" s="468"/>
      <c r="SKQ46" s="468"/>
      <c r="SKR46" s="468"/>
      <c r="SKS46" s="468"/>
      <c r="SKT46" s="468"/>
      <c r="SKU46" s="468"/>
      <c r="SKV46" s="468"/>
      <c r="SKW46" s="468"/>
      <c r="SKX46" s="468"/>
      <c r="SKY46" s="468"/>
      <c r="SKZ46" s="468"/>
      <c r="SLA46" s="468"/>
      <c r="SLB46" s="468"/>
      <c r="SLC46" s="468"/>
      <c r="SLD46" s="468"/>
      <c r="SLE46" s="468"/>
      <c r="SLF46" s="468"/>
      <c r="SLG46" s="468"/>
      <c r="SLH46" s="468"/>
      <c r="SLI46" s="468"/>
      <c r="SLJ46" s="468"/>
      <c r="SLK46" s="468"/>
      <c r="SLL46" s="468"/>
      <c r="SLM46" s="468"/>
      <c r="SLN46" s="468"/>
      <c r="SLO46" s="468"/>
      <c r="SLP46" s="468"/>
      <c r="SLQ46" s="468"/>
      <c r="SLR46" s="468"/>
      <c r="SLS46" s="468"/>
      <c r="SLT46" s="468"/>
      <c r="SLU46" s="468"/>
      <c r="SLV46" s="468"/>
      <c r="SLW46" s="468"/>
      <c r="SLX46" s="468"/>
      <c r="SLY46" s="468"/>
      <c r="SLZ46" s="468"/>
      <c r="SMA46" s="468"/>
      <c r="SMB46" s="468"/>
      <c r="SMC46" s="468"/>
      <c r="SMD46" s="468"/>
      <c r="SME46" s="468"/>
      <c r="SMF46" s="468"/>
      <c r="SMG46" s="468"/>
      <c r="SMH46" s="468"/>
      <c r="SMI46" s="468"/>
      <c r="SMJ46" s="468"/>
      <c r="SMK46" s="468"/>
      <c r="SML46" s="468"/>
      <c r="SMM46" s="468"/>
      <c r="SMN46" s="468"/>
      <c r="SMO46" s="468"/>
      <c r="SMP46" s="468"/>
      <c r="SMQ46" s="468"/>
      <c r="SMR46" s="468"/>
      <c r="SMS46" s="468"/>
      <c r="SMT46" s="468"/>
      <c r="SMU46" s="468"/>
      <c r="SMV46" s="468"/>
      <c r="SMW46" s="468"/>
      <c r="SMX46" s="468"/>
      <c r="SMY46" s="468"/>
      <c r="SMZ46" s="468"/>
      <c r="SNA46" s="468"/>
      <c r="SNB46" s="468"/>
      <c r="SNC46" s="468"/>
      <c r="SND46" s="468"/>
      <c r="SNE46" s="468"/>
      <c r="SNF46" s="468"/>
      <c r="SNG46" s="468"/>
      <c r="SNH46" s="468"/>
      <c r="SNI46" s="468"/>
      <c r="SNJ46" s="468"/>
      <c r="SNK46" s="468"/>
      <c r="SNL46" s="468"/>
      <c r="SNM46" s="468"/>
      <c r="SNN46" s="468"/>
      <c r="SNO46" s="468"/>
      <c r="SNP46" s="468"/>
      <c r="SNQ46" s="468"/>
      <c r="SNR46" s="468"/>
      <c r="SNS46" s="468"/>
      <c r="SNT46" s="468"/>
      <c r="SNU46" s="468"/>
      <c r="SNV46" s="468"/>
      <c r="SNW46" s="468"/>
      <c r="SNX46" s="468"/>
      <c r="SNY46" s="468"/>
      <c r="SNZ46" s="468"/>
      <c r="SOA46" s="468"/>
      <c r="SOB46" s="468"/>
      <c r="SOC46" s="468"/>
      <c r="SOD46" s="468"/>
      <c r="SOE46" s="468"/>
      <c r="SOF46" s="468"/>
      <c r="SOG46" s="468"/>
      <c r="SOH46" s="468"/>
      <c r="SOI46" s="468"/>
      <c r="SOJ46" s="468"/>
      <c r="SOK46" s="468"/>
      <c r="SOL46" s="468"/>
      <c r="SOM46" s="468"/>
      <c r="SON46" s="468"/>
      <c r="SOO46" s="468"/>
      <c r="SOP46" s="468"/>
      <c r="SOQ46" s="468"/>
      <c r="SOR46" s="468"/>
      <c r="SOS46" s="468"/>
      <c r="SOT46" s="468"/>
      <c r="SOU46" s="468"/>
      <c r="SOV46" s="468"/>
      <c r="SOW46" s="468"/>
      <c r="SOX46" s="468"/>
      <c r="SOY46" s="468"/>
      <c r="SOZ46" s="468"/>
      <c r="SPA46" s="468"/>
      <c r="SPB46" s="468"/>
      <c r="SPC46" s="468"/>
      <c r="SPD46" s="468"/>
      <c r="SPE46" s="468"/>
      <c r="SPF46" s="468"/>
      <c r="SPG46" s="468"/>
      <c r="SPH46" s="468"/>
      <c r="SPI46" s="468"/>
      <c r="SPJ46" s="468"/>
      <c r="SPK46" s="468"/>
      <c r="SPL46" s="468"/>
      <c r="SPM46" s="468"/>
      <c r="SPN46" s="468"/>
      <c r="SPO46" s="468"/>
      <c r="SPP46" s="468"/>
      <c r="SPQ46" s="468"/>
      <c r="SPR46" s="468"/>
      <c r="SPS46" s="468"/>
      <c r="SPT46" s="468"/>
      <c r="SPU46" s="468"/>
      <c r="SPV46" s="468"/>
      <c r="SPW46" s="468"/>
      <c r="SPX46" s="468"/>
      <c r="SPY46" s="468"/>
      <c r="SPZ46" s="468"/>
      <c r="SQA46" s="468"/>
      <c r="SQB46" s="468"/>
      <c r="SQC46" s="468"/>
      <c r="SQD46" s="468"/>
      <c r="SQE46" s="468"/>
      <c r="SQF46" s="468"/>
      <c r="SQG46" s="468"/>
      <c r="SQH46" s="468"/>
      <c r="SQI46" s="468"/>
      <c r="SQJ46" s="468"/>
      <c r="SQK46" s="468"/>
      <c r="SQL46" s="468"/>
      <c r="SQM46" s="468"/>
      <c r="SQN46" s="468"/>
      <c r="SQO46" s="468"/>
      <c r="SQP46" s="468"/>
      <c r="SQQ46" s="468"/>
      <c r="SQR46" s="468"/>
      <c r="SQS46" s="468"/>
      <c r="SQT46" s="468"/>
      <c r="SQU46" s="468"/>
      <c r="SQV46" s="468"/>
      <c r="SQW46" s="468"/>
      <c r="SQX46" s="468"/>
      <c r="SQY46" s="468"/>
      <c r="SQZ46" s="468"/>
      <c r="SRA46" s="468"/>
      <c r="SRB46" s="468"/>
      <c r="SRC46" s="468"/>
      <c r="SRD46" s="468"/>
      <c r="SRE46" s="468"/>
      <c r="SRF46" s="468"/>
      <c r="SRG46" s="468"/>
      <c r="SRH46" s="468"/>
      <c r="SRI46" s="468"/>
      <c r="SRJ46" s="468"/>
      <c r="SRK46" s="468"/>
      <c r="SRL46" s="468"/>
      <c r="SRM46" s="468"/>
      <c r="SRN46" s="468"/>
      <c r="SRO46" s="468"/>
      <c r="SRP46" s="468"/>
      <c r="SRQ46" s="468"/>
      <c r="SRR46" s="468"/>
      <c r="SRS46" s="468"/>
      <c r="SRT46" s="468"/>
      <c r="SRU46" s="468"/>
      <c r="SRV46" s="468"/>
      <c r="SRW46" s="468"/>
      <c r="SRX46" s="468"/>
      <c r="SRY46" s="468"/>
      <c r="SRZ46" s="468"/>
      <c r="SSA46" s="468"/>
      <c r="SSB46" s="468"/>
      <c r="SSC46" s="468"/>
      <c r="SSD46" s="468"/>
      <c r="SSE46" s="468"/>
      <c r="SSF46" s="468"/>
      <c r="SSG46" s="468"/>
      <c r="SSH46" s="468"/>
      <c r="SSI46" s="468"/>
      <c r="SSJ46" s="468"/>
      <c r="SSK46" s="468"/>
      <c r="SSL46" s="468"/>
      <c r="SSM46" s="468"/>
      <c r="SSN46" s="468"/>
      <c r="SSO46" s="468"/>
      <c r="SSP46" s="468"/>
      <c r="SSQ46" s="468"/>
      <c r="SSR46" s="468"/>
      <c r="SSS46" s="468"/>
      <c r="SST46" s="468"/>
      <c r="SSU46" s="468"/>
      <c r="SSV46" s="468"/>
      <c r="SSW46" s="468"/>
      <c r="SSX46" s="468"/>
      <c r="SSY46" s="468"/>
      <c r="SSZ46" s="468"/>
      <c r="STA46" s="468"/>
      <c r="STB46" s="468"/>
      <c r="STC46" s="468"/>
      <c r="STD46" s="468"/>
      <c r="STE46" s="468"/>
      <c r="STF46" s="468"/>
      <c r="STG46" s="468"/>
      <c r="STH46" s="468"/>
      <c r="STI46" s="468"/>
      <c r="STJ46" s="468"/>
      <c r="STK46" s="468"/>
      <c r="STL46" s="468"/>
      <c r="STM46" s="468"/>
      <c r="STN46" s="468"/>
      <c r="STO46" s="468"/>
      <c r="STP46" s="468"/>
      <c r="STQ46" s="468"/>
      <c r="STR46" s="468"/>
      <c r="STS46" s="468"/>
      <c r="STT46" s="468"/>
      <c r="STU46" s="468"/>
      <c r="STV46" s="468"/>
      <c r="STW46" s="468"/>
      <c r="STX46" s="468"/>
      <c r="STY46" s="468"/>
      <c r="STZ46" s="468"/>
      <c r="SUA46" s="468"/>
      <c r="SUB46" s="468"/>
      <c r="SUC46" s="468"/>
      <c r="SUD46" s="468"/>
      <c r="SUE46" s="468"/>
      <c r="SUF46" s="468"/>
      <c r="SUG46" s="468"/>
      <c r="SUH46" s="468"/>
      <c r="SUI46" s="468"/>
      <c r="SUJ46" s="468"/>
      <c r="SUK46" s="468"/>
      <c r="SUL46" s="468"/>
      <c r="SUM46" s="468"/>
      <c r="SUN46" s="468"/>
      <c r="SUO46" s="468"/>
      <c r="SUP46" s="468"/>
      <c r="SUQ46" s="468"/>
      <c r="SUR46" s="468"/>
      <c r="SUS46" s="468"/>
      <c r="SUT46" s="468"/>
      <c r="SUU46" s="468"/>
      <c r="SUV46" s="468"/>
      <c r="SUW46" s="468"/>
      <c r="SUX46" s="468"/>
      <c r="SUY46" s="468"/>
      <c r="SUZ46" s="468"/>
      <c r="SVA46" s="468"/>
      <c r="SVB46" s="468"/>
      <c r="SVC46" s="468"/>
      <c r="SVD46" s="468"/>
      <c r="SVE46" s="468"/>
      <c r="SVF46" s="468"/>
      <c r="SVG46" s="468"/>
      <c r="SVH46" s="468"/>
      <c r="SVI46" s="468"/>
      <c r="SVJ46" s="468"/>
      <c r="SVK46" s="468"/>
      <c r="SVL46" s="468"/>
      <c r="SVM46" s="468"/>
      <c r="SVN46" s="468"/>
      <c r="SVO46" s="468"/>
      <c r="SVP46" s="468"/>
      <c r="SVQ46" s="468"/>
      <c r="SVR46" s="468"/>
      <c r="SVS46" s="468"/>
      <c r="SVT46" s="468"/>
      <c r="SVU46" s="468"/>
      <c r="SVV46" s="468"/>
      <c r="SVW46" s="468"/>
      <c r="SVX46" s="468"/>
      <c r="SVY46" s="468"/>
      <c r="SVZ46" s="468"/>
      <c r="SWA46" s="468"/>
      <c r="SWB46" s="468"/>
      <c r="SWC46" s="468"/>
      <c r="SWD46" s="468"/>
      <c r="SWE46" s="468"/>
      <c r="SWF46" s="468"/>
      <c r="SWG46" s="468"/>
      <c r="SWH46" s="468"/>
      <c r="SWI46" s="468"/>
      <c r="SWJ46" s="468"/>
      <c r="SWK46" s="468"/>
      <c r="SWL46" s="468"/>
      <c r="SWM46" s="468"/>
      <c r="SWN46" s="468"/>
      <c r="SWO46" s="468"/>
      <c r="SWP46" s="468"/>
      <c r="SWQ46" s="468"/>
      <c r="SWR46" s="468"/>
      <c r="SWS46" s="468"/>
      <c r="SWT46" s="468"/>
      <c r="SWU46" s="468"/>
      <c r="SWV46" s="468"/>
      <c r="SWW46" s="468"/>
      <c r="SWX46" s="468"/>
      <c r="SWY46" s="468"/>
      <c r="SWZ46" s="468"/>
      <c r="SXA46" s="468"/>
      <c r="SXB46" s="468"/>
      <c r="SXC46" s="468"/>
      <c r="SXD46" s="468"/>
      <c r="SXE46" s="468"/>
      <c r="SXF46" s="468"/>
      <c r="SXG46" s="468"/>
      <c r="SXH46" s="468"/>
      <c r="SXI46" s="468"/>
      <c r="SXJ46" s="468"/>
      <c r="SXK46" s="468"/>
      <c r="SXL46" s="468"/>
      <c r="SXM46" s="468"/>
      <c r="SXN46" s="468"/>
      <c r="SXO46" s="468"/>
      <c r="SXP46" s="468"/>
      <c r="SXQ46" s="468"/>
      <c r="SXR46" s="468"/>
      <c r="SXS46" s="468"/>
      <c r="SXT46" s="468"/>
      <c r="SXU46" s="468"/>
      <c r="SXV46" s="468"/>
      <c r="SXW46" s="468"/>
      <c r="SXX46" s="468"/>
      <c r="SXY46" s="468"/>
      <c r="SXZ46" s="468"/>
      <c r="SYA46" s="468"/>
      <c r="SYB46" s="468"/>
      <c r="SYC46" s="468"/>
      <c r="SYD46" s="468"/>
      <c r="SYE46" s="468"/>
      <c r="SYF46" s="468"/>
      <c r="SYG46" s="468"/>
      <c r="SYH46" s="468"/>
      <c r="SYI46" s="468"/>
      <c r="SYJ46" s="468"/>
      <c r="SYK46" s="468"/>
      <c r="SYL46" s="468"/>
      <c r="SYM46" s="468"/>
      <c r="SYN46" s="468"/>
      <c r="SYO46" s="468"/>
      <c r="SYP46" s="468"/>
      <c r="SYQ46" s="468"/>
      <c r="SYR46" s="468"/>
      <c r="SYS46" s="468"/>
      <c r="SYT46" s="468"/>
      <c r="SYU46" s="468"/>
      <c r="SYV46" s="468"/>
      <c r="SYW46" s="468"/>
      <c r="SYX46" s="468"/>
      <c r="SYY46" s="468"/>
      <c r="SYZ46" s="468"/>
      <c r="SZA46" s="468"/>
      <c r="SZB46" s="468"/>
      <c r="SZC46" s="468"/>
      <c r="SZD46" s="468"/>
      <c r="SZE46" s="468"/>
      <c r="SZF46" s="468"/>
      <c r="SZG46" s="468"/>
      <c r="SZH46" s="468"/>
      <c r="SZI46" s="468"/>
      <c r="SZJ46" s="468"/>
      <c r="SZK46" s="468"/>
      <c r="SZL46" s="468"/>
      <c r="SZM46" s="468"/>
      <c r="SZN46" s="468"/>
      <c r="SZO46" s="468"/>
      <c r="SZP46" s="468"/>
      <c r="SZQ46" s="468"/>
      <c r="SZR46" s="468"/>
      <c r="SZS46" s="468"/>
      <c r="SZT46" s="468"/>
      <c r="SZU46" s="468"/>
      <c r="SZV46" s="468"/>
      <c r="SZW46" s="468"/>
      <c r="SZX46" s="468"/>
      <c r="SZY46" s="468"/>
      <c r="SZZ46" s="468"/>
      <c r="TAA46" s="468"/>
      <c r="TAB46" s="468"/>
      <c r="TAC46" s="468"/>
      <c r="TAD46" s="468"/>
      <c r="TAE46" s="468"/>
      <c r="TAF46" s="468"/>
      <c r="TAG46" s="468"/>
      <c r="TAH46" s="468"/>
      <c r="TAI46" s="468"/>
      <c r="TAJ46" s="468"/>
      <c r="TAK46" s="468"/>
      <c r="TAL46" s="468"/>
      <c r="TAM46" s="468"/>
      <c r="TAN46" s="468"/>
      <c r="TAO46" s="468"/>
      <c r="TAP46" s="468"/>
      <c r="TAQ46" s="468"/>
      <c r="TAR46" s="468"/>
      <c r="TAS46" s="468"/>
      <c r="TAT46" s="468"/>
      <c r="TAU46" s="468"/>
      <c r="TAV46" s="468"/>
      <c r="TAW46" s="468"/>
      <c r="TAX46" s="468"/>
      <c r="TAY46" s="468"/>
      <c r="TAZ46" s="468"/>
      <c r="TBA46" s="468"/>
      <c r="TBB46" s="468"/>
      <c r="TBC46" s="468"/>
      <c r="TBD46" s="468"/>
      <c r="TBE46" s="468"/>
      <c r="TBF46" s="468"/>
      <c r="TBG46" s="468"/>
      <c r="TBH46" s="468"/>
      <c r="TBI46" s="468"/>
      <c r="TBJ46" s="468"/>
      <c r="TBK46" s="468"/>
      <c r="TBL46" s="468"/>
      <c r="TBM46" s="468"/>
      <c r="TBN46" s="468"/>
      <c r="TBO46" s="468"/>
      <c r="TBP46" s="468"/>
      <c r="TBQ46" s="468"/>
      <c r="TBR46" s="468"/>
      <c r="TBS46" s="468"/>
      <c r="TBT46" s="468"/>
      <c r="TBU46" s="468"/>
      <c r="TBV46" s="468"/>
      <c r="TBW46" s="468"/>
      <c r="TBX46" s="468"/>
      <c r="TBY46" s="468"/>
      <c r="TBZ46" s="468"/>
      <c r="TCA46" s="468"/>
      <c r="TCB46" s="468"/>
      <c r="TCC46" s="468"/>
      <c r="TCD46" s="468"/>
      <c r="TCE46" s="468"/>
      <c r="TCF46" s="468"/>
      <c r="TCG46" s="468"/>
      <c r="TCH46" s="468"/>
      <c r="TCI46" s="468"/>
      <c r="TCJ46" s="468"/>
      <c r="TCK46" s="468"/>
      <c r="TCL46" s="468"/>
      <c r="TCM46" s="468"/>
      <c r="TCN46" s="468"/>
      <c r="TCO46" s="468"/>
      <c r="TCP46" s="468"/>
      <c r="TCQ46" s="468"/>
      <c r="TCR46" s="468"/>
      <c r="TCS46" s="468"/>
      <c r="TCT46" s="468"/>
      <c r="TCU46" s="468"/>
      <c r="TCV46" s="468"/>
      <c r="TCW46" s="468"/>
      <c r="TCX46" s="468"/>
      <c r="TCY46" s="468"/>
      <c r="TCZ46" s="468"/>
      <c r="TDA46" s="468"/>
      <c r="TDB46" s="468"/>
      <c r="TDC46" s="468"/>
      <c r="TDD46" s="468"/>
      <c r="TDE46" s="468"/>
      <c r="TDF46" s="468"/>
      <c r="TDG46" s="468"/>
      <c r="TDH46" s="468"/>
      <c r="TDI46" s="468"/>
      <c r="TDJ46" s="468"/>
      <c r="TDK46" s="468"/>
      <c r="TDL46" s="468"/>
      <c r="TDM46" s="468"/>
      <c r="TDN46" s="468"/>
      <c r="TDO46" s="468"/>
      <c r="TDP46" s="468"/>
      <c r="TDQ46" s="468"/>
      <c r="TDR46" s="468"/>
      <c r="TDS46" s="468"/>
      <c r="TDT46" s="468"/>
      <c r="TDU46" s="468"/>
      <c r="TDV46" s="468"/>
      <c r="TDW46" s="468"/>
      <c r="TDX46" s="468"/>
      <c r="TDY46" s="468"/>
      <c r="TDZ46" s="468"/>
      <c r="TEA46" s="468"/>
      <c r="TEB46" s="468"/>
      <c r="TEC46" s="468"/>
      <c r="TED46" s="468"/>
      <c r="TEE46" s="468"/>
      <c r="TEF46" s="468"/>
      <c r="TEG46" s="468"/>
      <c r="TEH46" s="468"/>
      <c r="TEI46" s="468"/>
      <c r="TEJ46" s="468"/>
      <c r="TEK46" s="468"/>
      <c r="TEL46" s="468"/>
      <c r="TEM46" s="468"/>
      <c r="TEN46" s="468"/>
      <c r="TEO46" s="468"/>
      <c r="TEP46" s="468"/>
      <c r="TEQ46" s="468"/>
      <c r="TER46" s="468"/>
      <c r="TES46" s="468"/>
      <c r="TET46" s="468"/>
      <c r="TEU46" s="468"/>
      <c r="TEV46" s="468"/>
      <c r="TEW46" s="468"/>
      <c r="TEX46" s="468"/>
      <c r="TEY46" s="468"/>
      <c r="TEZ46" s="468"/>
      <c r="TFA46" s="468"/>
      <c r="TFB46" s="468"/>
      <c r="TFC46" s="468"/>
      <c r="TFD46" s="468"/>
      <c r="TFE46" s="468"/>
      <c r="TFF46" s="468"/>
      <c r="TFG46" s="468"/>
      <c r="TFH46" s="468"/>
      <c r="TFI46" s="468"/>
      <c r="TFJ46" s="468"/>
      <c r="TFK46" s="468"/>
      <c r="TFL46" s="468"/>
      <c r="TFM46" s="468"/>
      <c r="TFN46" s="468"/>
      <c r="TFO46" s="468"/>
      <c r="TFP46" s="468"/>
      <c r="TFQ46" s="468"/>
      <c r="TFR46" s="468"/>
      <c r="TFS46" s="468"/>
      <c r="TFT46" s="468"/>
      <c r="TFU46" s="468"/>
      <c r="TFV46" s="468"/>
      <c r="TFW46" s="468"/>
      <c r="TFX46" s="468"/>
      <c r="TFY46" s="468"/>
      <c r="TFZ46" s="468"/>
      <c r="TGA46" s="468"/>
      <c r="TGB46" s="468"/>
      <c r="TGC46" s="468"/>
      <c r="TGD46" s="468"/>
      <c r="TGE46" s="468"/>
      <c r="TGF46" s="468"/>
      <c r="TGG46" s="468"/>
      <c r="TGH46" s="468"/>
      <c r="TGI46" s="468"/>
      <c r="TGJ46" s="468"/>
      <c r="TGK46" s="468"/>
      <c r="TGL46" s="468"/>
      <c r="TGM46" s="468"/>
      <c r="TGN46" s="468"/>
      <c r="TGO46" s="468"/>
      <c r="TGP46" s="468"/>
      <c r="TGQ46" s="468"/>
      <c r="TGR46" s="468"/>
      <c r="TGS46" s="468"/>
      <c r="TGT46" s="468"/>
      <c r="TGU46" s="468"/>
      <c r="TGV46" s="468"/>
      <c r="TGW46" s="468"/>
      <c r="TGX46" s="468"/>
      <c r="TGY46" s="468"/>
      <c r="TGZ46" s="468"/>
      <c r="THA46" s="468"/>
      <c r="THB46" s="468"/>
      <c r="THC46" s="468"/>
      <c r="THD46" s="468"/>
      <c r="THE46" s="468"/>
      <c r="THF46" s="468"/>
      <c r="THG46" s="468"/>
      <c r="THH46" s="468"/>
      <c r="THI46" s="468"/>
      <c r="THJ46" s="468"/>
      <c r="THK46" s="468"/>
      <c r="THL46" s="468"/>
      <c r="THM46" s="468"/>
      <c r="THN46" s="468"/>
      <c r="THO46" s="468"/>
      <c r="THP46" s="468"/>
      <c r="THQ46" s="468"/>
      <c r="THR46" s="468"/>
      <c r="THS46" s="468"/>
      <c r="THT46" s="468"/>
      <c r="THU46" s="468"/>
      <c r="THV46" s="468"/>
      <c r="THW46" s="468"/>
      <c r="THX46" s="468"/>
      <c r="THY46" s="468"/>
      <c r="THZ46" s="468"/>
      <c r="TIA46" s="468"/>
      <c r="TIB46" s="468"/>
      <c r="TIC46" s="468"/>
      <c r="TID46" s="468"/>
      <c r="TIE46" s="468"/>
      <c r="TIF46" s="468"/>
      <c r="TIG46" s="468"/>
      <c r="TIH46" s="468"/>
      <c r="TII46" s="468"/>
      <c r="TIJ46" s="468"/>
      <c r="TIK46" s="468"/>
      <c r="TIL46" s="468"/>
      <c r="TIM46" s="468"/>
      <c r="TIN46" s="468"/>
      <c r="TIO46" s="468"/>
      <c r="TIP46" s="468"/>
      <c r="TIQ46" s="468"/>
      <c r="TIR46" s="468"/>
      <c r="TIS46" s="468"/>
      <c r="TIT46" s="468"/>
      <c r="TIU46" s="468"/>
      <c r="TIV46" s="468"/>
      <c r="TIW46" s="468"/>
      <c r="TIX46" s="468"/>
      <c r="TIY46" s="468"/>
      <c r="TIZ46" s="468"/>
      <c r="TJA46" s="468"/>
      <c r="TJB46" s="468"/>
      <c r="TJC46" s="468"/>
      <c r="TJD46" s="468"/>
      <c r="TJE46" s="468"/>
      <c r="TJF46" s="468"/>
      <c r="TJG46" s="468"/>
      <c r="TJH46" s="468"/>
      <c r="TJI46" s="468"/>
      <c r="TJJ46" s="468"/>
      <c r="TJK46" s="468"/>
      <c r="TJL46" s="468"/>
      <c r="TJM46" s="468"/>
      <c r="TJN46" s="468"/>
      <c r="TJO46" s="468"/>
      <c r="TJP46" s="468"/>
      <c r="TJQ46" s="468"/>
      <c r="TJR46" s="468"/>
      <c r="TJS46" s="468"/>
      <c r="TJT46" s="468"/>
      <c r="TJU46" s="468"/>
      <c r="TJV46" s="468"/>
      <c r="TJW46" s="468"/>
      <c r="TJX46" s="468"/>
      <c r="TJY46" s="468"/>
      <c r="TJZ46" s="468"/>
      <c r="TKA46" s="468"/>
      <c r="TKB46" s="468"/>
      <c r="TKC46" s="468"/>
      <c r="TKD46" s="468"/>
      <c r="TKE46" s="468"/>
      <c r="TKF46" s="468"/>
      <c r="TKG46" s="468"/>
      <c r="TKH46" s="468"/>
      <c r="TKI46" s="468"/>
      <c r="TKJ46" s="468"/>
      <c r="TKK46" s="468"/>
      <c r="TKL46" s="468"/>
      <c r="TKM46" s="468"/>
      <c r="TKN46" s="468"/>
      <c r="TKO46" s="468"/>
      <c r="TKP46" s="468"/>
      <c r="TKQ46" s="468"/>
      <c r="TKR46" s="468"/>
      <c r="TKS46" s="468"/>
      <c r="TKT46" s="468"/>
      <c r="TKU46" s="468"/>
      <c r="TKV46" s="468"/>
      <c r="TKW46" s="468"/>
      <c r="TKX46" s="468"/>
      <c r="TKY46" s="468"/>
      <c r="TKZ46" s="468"/>
      <c r="TLA46" s="468"/>
      <c r="TLB46" s="468"/>
      <c r="TLC46" s="468"/>
      <c r="TLD46" s="468"/>
      <c r="TLE46" s="468"/>
      <c r="TLF46" s="468"/>
      <c r="TLG46" s="468"/>
      <c r="TLH46" s="468"/>
      <c r="TLI46" s="468"/>
      <c r="TLJ46" s="468"/>
      <c r="TLK46" s="468"/>
      <c r="TLL46" s="468"/>
      <c r="TLM46" s="468"/>
      <c r="TLN46" s="468"/>
      <c r="TLO46" s="468"/>
      <c r="TLP46" s="468"/>
      <c r="TLQ46" s="468"/>
      <c r="TLR46" s="468"/>
      <c r="TLS46" s="468"/>
      <c r="TLT46" s="468"/>
      <c r="TLU46" s="468"/>
      <c r="TLV46" s="468"/>
      <c r="TLW46" s="468"/>
      <c r="TLX46" s="468"/>
      <c r="TLY46" s="468"/>
      <c r="TLZ46" s="468"/>
      <c r="TMA46" s="468"/>
      <c r="TMB46" s="468"/>
      <c r="TMC46" s="468"/>
      <c r="TMD46" s="468"/>
      <c r="TME46" s="468"/>
      <c r="TMF46" s="468"/>
      <c r="TMG46" s="468"/>
      <c r="TMH46" s="468"/>
      <c r="TMI46" s="468"/>
      <c r="TMJ46" s="468"/>
      <c r="TMK46" s="468"/>
      <c r="TML46" s="468"/>
      <c r="TMM46" s="468"/>
      <c r="TMN46" s="468"/>
      <c r="TMO46" s="468"/>
      <c r="TMP46" s="468"/>
      <c r="TMQ46" s="468"/>
      <c r="TMR46" s="468"/>
      <c r="TMS46" s="468"/>
      <c r="TMT46" s="468"/>
      <c r="TMU46" s="468"/>
      <c r="TMV46" s="468"/>
      <c r="TMW46" s="468"/>
      <c r="TMX46" s="468"/>
      <c r="TMY46" s="468"/>
      <c r="TMZ46" s="468"/>
      <c r="TNA46" s="468"/>
      <c r="TNB46" s="468"/>
      <c r="TNC46" s="468"/>
      <c r="TND46" s="468"/>
      <c r="TNE46" s="468"/>
      <c r="TNF46" s="468"/>
      <c r="TNG46" s="468"/>
      <c r="TNH46" s="468"/>
      <c r="TNI46" s="468"/>
      <c r="TNJ46" s="468"/>
      <c r="TNK46" s="468"/>
      <c r="TNL46" s="468"/>
      <c r="TNM46" s="468"/>
      <c r="TNN46" s="468"/>
      <c r="TNO46" s="468"/>
      <c r="TNP46" s="468"/>
      <c r="TNQ46" s="468"/>
      <c r="TNR46" s="468"/>
      <c r="TNS46" s="468"/>
      <c r="TNT46" s="468"/>
      <c r="TNU46" s="468"/>
      <c r="TNV46" s="468"/>
      <c r="TNW46" s="468"/>
      <c r="TNX46" s="468"/>
      <c r="TNY46" s="468"/>
      <c r="TNZ46" s="468"/>
      <c r="TOA46" s="468"/>
      <c r="TOB46" s="468"/>
      <c r="TOC46" s="468"/>
      <c r="TOD46" s="468"/>
      <c r="TOE46" s="468"/>
      <c r="TOF46" s="468"/>
      <c r="TOG46" s="468"/>
      <c r="TOH46" s="468"/>
      <c r="TOI46" s="468"/>
      <c r="TOJ46" s="468"/>
      <c r="TOK46" s="468"/>
      <c r="TOL46" s="468"/>
      <c r="TOM46" s="468"/>
      <c r="TON46" s="468"/>
      <c r="TOO46" s="468"/>
      <c r="TOP46" s="468"/>
      <c r="TOQ46" s="468"/>
      <c r="TOR46" s="468"/>
      <c r="TOS46" s="468"/>
      <c r="TOT46" s="468"/>
      <c r="TOU46" s="468"/>
      <c r="TOV46" s="468"/>
      <c r="TOW46" s="468"/>
      <c r="TOX46" s="468"/>
      <c r="TOY46" s="468"/>
      <c r="TOZ46" s="468"/>
      <c r="TPA46" s="468"/>
      <c r="TPB46" s="468"/>
      <c r="TPC46" s="468"/>
      <c r="TPD46" s="468"/>
      <c r="TPE46" s="468"/>
      <c r="TPF46" s="468"/>
      <c r="TPG46" s="468"/>
      <c r="TPH46" s="468"/>
      <c r="TPI46" s="468"/>
      <c r="TPJ46" s="468"/>
      <c r="TPK46" s="468"/>
      <c r="TPL46" s="468"/>
      <c r="TPM46" s="468"/>
      <c r="TPN46" s="468"/>
      <c r="TPO46" s="468"/>
      <c r="TPP46" s="468"/>
      <c r="TPQ46" s="468"/>
      <c r="TPR46" s="468"/>
      <c r="TPS46" s="468"/>
      <c r="TPT46" s="468"/>
      <c r="TPU46" s="468"/>
      <c r="TPV46" s="468"/>
      <c r="TPW46" s="468"/>
      <c r="TPX46" s="468"/>
      <c r="TPY46" s="468"/>
      <c r="TPZ46" s="468"/>
      <c r="TQA46" s="468"/>
      <c r="TQB46" s="468"/>
      <c r="TQC46" s="468"/>
      <c r="TQD46" s="468"/>
      <c r="TQE46" s="468"/>
      <c r="TQF46" s="468"/>
      <c r="TQG46" s="468"/>
      <c r="TQH46" s="468"/>
      <c r="TQI46" s="468"/>
      <c r="TQJ46" s="468"/>
      <c r="TQK46" s="468"/>
      <c r="TQL46" s="468"/>
      <c r="TQM46" s="468"/>
      <c r="TQN46" s="468"/>
      <c r="TQO46" s="468"/>
      <c r="TQP46" s="468"/>
      <c r="TQQ46" s="468"/>
      <c r="TQR46" s="468"/>
      <c r="TQS46" s="468"/>
      <c r="TQT46" s="468"/>
      <c r="TQU46" s="468"/>
      <c r="TQV46" s="468"/>
      <c r="TQW46" s="468"/>
      <c r="TQX46" s="468"/>
      <c r="TQY46" s="468"/>
      <c r="TQZ46" s="468"/>
      <c r="TRA46" s="468"/>
      <c r="TRB46" s="468"/>
      <c r="TRC46" s="468"/>
      <c r="TRD46" s="468"/>
      <c r="TRE46" s="468"/>
      <c r="TRF46" s="468"/>
      <c r="TRG46" s="468"/>
      <c r="TRH46" s="468"/>
      <c r="TRI46" s="468"/>
      <c r="TRJ46" s="468"/>
      <c r="TRK46" s="468"/>
      <c r="TRL46" s="468"/>
      <c r="TRM46" s="468"/>
      <c r="TRN46" s="468"/>
      <c r="TRO46" s="468"/>
      <c r="TRP46" s="468"/>
      <c r="TRQ46" s="468"/>
      <c r="TRR46" s="468"/>
      <c r="TRS46" s="468"/>
      <c r="TRT46" s="468"/>
      <c r="TRU46" s="468"/>
      <c r="TRV46" s="468"/>
      <c r="TRW46" s="468"/>
      <c r="TRX46" s="468"/>
      <c r="TRY46" s="468"/>
      <c r="TRZ46" s="468"/>
      <c r="TSA46" s="468"/>
      <c r="TSB46" s="468"/>
      <c r="TSC46" s="468"/>
      <c r="TSD46" s="468"/>
      <c r="TSE46" s="468"/>
      <c r="TSF46" s="468"/>
      <c r="TSG46" s="468"/>
      <c r="TSH46" s="468"/>
      <c r="TSI46" s="468"/>
      <c r="TSJ46" s="468"/>
      <c r="TSK46" s="468"/>
      <c r="TSL46" s="468"/>
      <c r="TSM46" s="468"/>
      <c r="TSN46" s="468"/>
      <c r="TSO46" s="468"/>
      <c r="TSP46" s="468"/>
      <c r="TSQ46" s="468"/>
      <c r="TSR46" s="468"/>
      <c r="TSS46" s="468"/>
      <c r="TST46" s="468"/>
      <c r="TSU46" s="468"/>
      <c r="TSV46" s="468"/>
      <c r="TSW46" s="468"/>
      <c r="TSX46" s="468"/>
      <c r="TSY46" s="468"/>
      <c r="TSZ46" s="468"/>
      <c r="TTA46" s="468"/>
      <c r="TTB46" s="468"/>
      <c r="TTC46" s="468"/>
      <c r="TTD46" s="468"/>
      <c r="TTE46" s="468"/>
      <c r="TTF46" s="468"/>
      <c r="TTG46" s="468"/>
      <c r="TTH46" s="468"/>
      <c r="TTI46" s="468"/>
      <c r="TTJ46" s="468"/>
      <c r="TTK46" s="468"/>
      <c r="TTL46" s="468"/>
      <c r="TTM46" s="468"/>
      <c r="TTN46" s="468"/>
      <c r="TTO46" s="468"/>
      <c r="TTP46" s="468"/>
      <c r="TTQ46" s="468"/>
      <c r="TTR46" s="468"/>
      <c r="TTS46" s="468"/>
      <c r="TTT46" s="468"/>
      <c r="TTU46" s="468"/>
      <c r="TTV46" s="468"/>
      <c r="TTW46" s="468"/>
      <c r="TTX46" s="468"/>
      <c r="TTY46" s="468"/>
      <c r="TTZ46" s="468"/>
      <c r="TUA46" s="468"/>
      <c r="TUB46" s="468"/>
      <c r="TUC46" s="468"/>
      <c r="TUD46" s="468"/>
      <c r="TUE46" s="468"/>
      <c r="TUF46" s="468"/>
      <c r="TUG46" s="468"/>
      <c r="TUH46" s="468"/>
      <c r="TUI46" s="468"/>
      <c r="TUJ46" s="468"/>
      <c r="TUK46" s="468"/>
      <c r="TUL46" s="468"/>
      <c r="TUM46" s="468"/>
      <c r="TUN46" s="468"/>
      <c r="TUO46" s="468"/>
      <c r="TUP46" s="468"/>
      <c r="TUQ46" s="468"/>
      <c r="TUR46" s="468"/>
      <c r="TUS46" s="468"/>
      <c r="TUT46" s="468"/>
      <c r="TUU46" s="468"/>
      <c r="TUV46" s="468"/>
      <c r="TUW46" s="468"/>
      <c r="TUX46" s="468"/>
      <c r="TUY46" s="468"/>
      <c r="TUZ46" s="468"/>
      <c r="TVA46" s="468"/>
      <c r="TVB46" s="468"/>
      <c r="TVC46" s="468"/>
      <c r="TVD46" s="468"/>
      <c r="TVE46" s="468"/>
      <c r="TVF46" s="468"/>
      <c r="TVG46" s="468"/>
      <c r="TVH46" s="468"/>
      <c r="TVI46" s="468"/>
      <c r="TVJ46" s="468"/>
      <c r="TVK46" s="468"/>
      <c r="TVL46" s="468"/>
      <c r="TVM46" s="468"/>
      <c r="TVN46" s="468"/>
      <c r="TVO46" s="468"/>
      <c r="TVP46" s="468"/>
      <c r="TVQ46" s="468"/>
      <c r="TVR46" s="468"/>
      <c r="TVS46" s="468"/>
      <c r="TVT46" s="468"/>
      <c r="TVU46" s="468"/>
      <c r="TVV46" s="468"/>
      <c r="TVW46" s="468"/>
      <c r="TVX46" s="468"/>
      <c r="TVY46" s="468"/>
      <c r="TVZ46" s="468"/>
      <c r="TWA46" s="468"/>
      <c r="TWB46" s="468"/>
      <c r="TWC46" s="468"/>
      <c r="TWD46" s="468"/>
      <c r="TWE46" s="468"/>
      <c r="TWF46" s="468"/>
      <c r="TWG46" s="468"/>
      <c r="TWH46" s="468"/>
      <c r="TWI46" s="468"/>
      <c r="TWJ46" s="468"/>
      <c r="TWK46" s="468"/>
      <c r="TWL46" s="468"/>
      <c r="TWM46" s="468"/>
      <c r="TWN46" s="468"/>
      <c r="TWO46" s="468"/>
      <c r="TWP46" s="468"/>
      <c r="TWQ46" s="468"/>
      <c r="TWR46" s="468"/>
      <c r="TWS46" s="468"/>
      <c r="TWT46" s="468"/>
      <c r="TWU46" s="468"/>
      <c r="TWV46" s="468"/>
      <c r="TWW46" s="468"/>
      <c r="TWX46" s="468"/>
      <c r="TWY46" s="468"/>
      <c r="TWZ46" s="468"/>
      <c r="TXA46" s="468"/>
      <c r="TXB46" s="468"/>
      <c r="TXC46" s="468"/>
      <c r="TXD46" s="468"/>
      <c r="TXE46" s="468"/>
      <c r="TXF46" s="468"/>
      <c r="TXG46" s="468"/>
      <c r="TXH46" s="468"/>
      <c r="TXI46" s="468"/>
      <c r="TXJ46" s="468"/>
      <c r="TXK46" s="468"/>
      <c r="TXL46" s="468"/>
      <c r="TXM46" s="468"/>
      <c r="TXN46" s="468"/>
      <c r="TXO46" s="468"/>
      <c r="TXP46" s="468"/>
      <c r="TXQ46" s="468"/>
      <c r="TXR46" s="468"/>
      <c r="TXS46" s="468"/>
      <c r="TXT46" s="468"/>
      <c r="TXU46" s="468"/>
      <c r="TXV46" s="468"/>
      <c r="TXW46" s="468"/>
      <c r="TXX46" s="468"/>
      <c r="TXY46" s="468"/>
      <c r="TXZ46" s="468"/>
      <c r="TYA46" s="468"/>
      <c r="TYB46" s="468"/>
      <c r="TYC46" s="468"/>
      <c r="TYD46" s="468"/>
      <c r="TYE46" s="468"/>
      <c r="TYF46" s="468"/>
      <c r="TYG46" s="468"/>
      <c r="TYH46" s="468"/>
      <c r="TYI46" s="468"/>
      <c r="TYJ46" s="468"/>
      <c r="TYK46" s="468"/>
      <c r="TYL46" s="468"/>
      <c r="TYM46" s="468"/>
      <c r="TYN46" s="468"/>
      <c r="TYO46" s="468"/>
      <c r="TYP46" s="468"/>
      <c r="TYQ46" s="468"/>
      <c r="TYR46" s="468"/>
      <c r="TYS46" s="468"/>
      <c r="TYT46" s="468"/>
      <c r="TYU46" s="468"/>
      <c r="TYV46" s="468"/>
      <c r="TYW46" s="468"/>
      <c r="TYX46" s="468"/>
      <c r="TYY46" s="468"/>
      <c r="TYZ46" s="468"/>
      <c r="TZA46" s="468"/>
      <c r="TZB46" s="468"/>
      <c r="TZC46" s="468"/>
      <c r="TZD46" s="468"/>
      <c r="TZE46" s="468"/>
      <c r="TZF46" s="468"/>
      <c r="TZG46" s="468"/>
      <c r="TZH46" s="468"/>
      <c r="TZI46" s="468"/>
      <c r="TZJ46" s="468"/>
      <c r="TZK46" s="468"/>
      <c r="TZL46" s="468"/>
      <c r="TZM46" s="468"/>
      <c r="TZN46" s="468"/>
      <c r="TZO46" s="468"/>
      <c r="TZP46" s="468"/>
      <c r="TZQ46" s="468"/>
      <c r="TZR46" s="468"/>
      <c r="TZS46" s="468"/>
      <c r="TZT46" s="468"/>
      <c r="TZU46" s="468"/>
      <c r="TZV46" s="468"/>
      <c r="TZW46" s="468"/>
      <c r="TZX46" s="468"/>
      <c r="TZY46" s="468"/>
      <c r="TZZ46" s="468"/>
      <c r="UAA46" s="468"/>
      <c r="UAB46" s="468"/>
      <c r="UAC46" s="468"/>
      <c r="UAD46" s="468"/>
      <c r="UAE46" s="468"/>
      <c r="UAF46" s="468"/>
      <c r="UAG46" s="468"/>
      <c r="UAH46" s="468"/>
      <c r="UAI46" s="468"/>
      <c r="UAJ46" s="468"/>
      <c r="UAK46" s="468"/>
      <c r="UAL46" s="468"/>
      <c r="UAM46" s="468"/>
      <c r="UAN46" s="468"/>
      <c r="UAO46" s="468"/>
      <c r="UAP46" s="468"/>
      <c r="UAQ46" s="468"/>
      <c r="UAR46" s="468"/>
      <c r="UAS46" s="468"/>
      <c r="UAT46" s="468"/>
      <c r="UAU46" s="468"/>
      <c r="UAV46" s="468"/>
      <c r="UAW46" s="468"/>
      <c r="UAX46" s="468"/>
      <c r="UAY46" s="468"/>
      <c r="UAZ46" s="468"/>
      <c r="UBA46" s="468"/>
      <c r="UBB46" s="468"/>
      <c r="UBC46" s="468"/>
      <c r="UBD46" s="468"/>
      <c r="UBE46" s="468"/>
      <c r="UBF46" s="468"/>
      <c r="UBG46" s="468"/>
      <c r="UBH46" s="468"/>
      <c r="UBI46" s="468"/>
      <c r="UBJ46" s="468"/>
      <c r="UBK46" s="468"/>
      <c r="UBL46" s="468"/>
      <c r="UBM46" s="468"/>
      <c r="UBN46" s="468"/>
      <c r="UBO46" s="468"/>
      <c r="UBP46" s="468"/>
      <c r="UBQ46" s="468"/>
      <c r="UBR46" s="468"/>
      <c r="UBS46" s="468"/>
      <c r="UBT46" s="468"/>
      <c r="UBU46" s="468"/>
      <c r="UBV46" s="468"/>
      <c r="UBW46" s="468"/>
      <c r="UBX46" s="468"/>
      <c r="UBY46" s="468"/>
      <c r="UBZ46" s="468"/>
      <c r="UCA46" s="468"/>
      <c r="UCB46" s="468"/>
      <c r="UCC46" s="468"/>
      <c r="UCD46" s="468"/>
      <c r="UCE46" s="468"/>
      <c r="UCF46" s="468"/>
      <c r="UCG46" s="468"/>
      <c r="UCH46" s="468"/>
      <c r="UCI46" s="468"/>
      <c r="UCJ46" s="468"/>
      <c r="UCK46" s="468"/>
      <c r="UCL46" s="468"/>
      <c r="UCM46" s="468"/>
      <c r="UCN46" s="468"/>
      <c r="UCO46" s="468"/>
      <c r="UCP46" s="468"/>
      <c r="UCQ46" s="468"/>
      <c r="UCR46" s="468"/>
      <c r="UCS46" s="468"/>
      <c r="UCT46" s="468"/>
      <c r="UCU46" s="468"/>
      <c r="UCV46" s="468"/>
      <c r="UCW46" s="468"/>
      <c r="UCX46" s="468"/>
      <c r="UCY46" s="468"/>
      <c r="UCZ46" s="468"/>
      <c r="UDA46" s="468"/>
      <c r="UDB46" s="468"/>
      <c r="UDC46" s="468"/>
      <c r="UDD46" s="468"/>
      <c r="UDE46" s="468"/>
      <c r="UDF46" s="468"/>
      <c r="UDG46" s="468"/>
      <c r="UDH46" s="468"/>
      <c r="UDI46" s="468"/>
      <c r="UDJ46" s="468"/>
      <c r="UDK46" s="468"/>
      <c r="UDL46" s="468"/>
      <c r="UDM46" s="468"/>
      <c r="UDN46" s="468"/>
      <c r="UDO46" s="468"/>
      <c r="UDP46" s="468"/>
      <c r="UDQ46" s="468"/>
      <c r="UDR46" s="468"/>
      <c r="UDS46" s="468"/>
      <c r="UDT46" s="468"/>
      <c r="UDU46" s="468"/>
      <c r="UDV46" s="468"/>
      <c r="UDW46" s="468"/>
      <c r="UDX46" s="468"/>
      <c r="UDY46" s="468"/>
      <c r="UDZ46" s="468"/>
      <c r="UEA46" s="468"/>
      <c r="UEB46" s="468"/>
      <c r="UEC46" s="468"/>
      <c r="UED46" s="468"/>
      <c r="UEE46" s="468"/>
      <c r="UEF46" s="468"/>
      <c r="UEG46" s="468"/>
      <c r="UEH46" s="468"/>
      <c r="UEI46" s="468"/>
      <c r="UEJ46" s="468"/>
      <c r="UEK46" s="468"/>
      <c r="UEL46" s="468"/>
      <c r="UEM46" s="468"/>
      <c r="UEN46" s="468"/>
      <c r="UEO46" s="468"/>
      <c r="UEP46" s="468"/>
      <c r="UEQ46" s="468"/>
      <c r="UER46" s="468"/>
      <c r="UES46" s="468"/>
      <c r="UET46" s="468"/>
      <c r="UEU46" s="468"/>
      <c r="UEV46" s="468"/>
      <c r="UEW46" s="468"/>
      <c r="UEX46" s="468"/>
      <c r="UEY46" s="468"/>
      <c r="UEZ46" s="468"/>
      <c r="UFA46" s="468"/>
      <c r="UFB46" s="468"/>
      <c r="UFC46" s="468"/>
      <c r="UFD46" s="468"/>
      <c r="UFE46" s="468"/>
      <c r="UFF46" s="468"/>
      <c r="UFG46" s="468"/>
      <c r="UFH46" s="468"/>
      <c r="UFI46" s="468"/>
      <c r="UFJ46" s="468"/>
      <c r="UFK46" s="468"/>
      <c r="UFL46" s="468"/>
      <c r="UFM46" s="468"/>
      <c r="UFN46" s="468"/>
      <c r="UFO46" s="468"/>
      <c r="UFP46" s="468"/>
      <c r="UFQ46" s="468"/>
      <c r="UFR46" s="468"/>
      <c r="UFS46" s="468"/>
      <c r="UFT46" s="468"/>
      <c r="UFU46" s="468"/>
      <c r="UFV46" s="468"/>
      <c r="UFW46" s="468"/>
      <c r="UFX46" s="468"/>
      <c r="UFY46" s="468"/>
      <c r="UFZ46" s="468"/>
      <c r="UGA46" s="468"/>
      <c r="UGB46" s="468"/>
      <c r="UGC46" s="468"/>
      <c r="UGD46" s="468"/>
      <c r="UGE46" s="468"/>
      <c r="UGF46" s="468"/>
      <c r="UGG46" s="468"/>
      <c r="UGH46" s="468"/>
      <c r="UGI46" s="468"/>
      <c r="UGJ46" s="468"/>
      <c r="UGK46" s="468"/>
      <c r="UGL46" s="468"/>
      <c r="UGM46" s="468"/>
      <c r="UGN46" s="468"/>
      <c r="UGO46" s="468"/>
      <c r="UGP46" s="468"/>
      <c r="UGQ46" s="468"/>
      <c r="UGR46" s="468"/>
      <c r="UGS46" s="468"/>
      <c r="UGT46" s="468"/>
      <c r="UGU46" s="468"/>
      <c r="UGV46" s="468"/>
      <c r="UGW46" s="468"/>
      <c r="UGX46" s="468"/>
      <c r="UGY46" s="468"/>
      <c r="UGZ46" s="468"/>
      <c r="UHA46" s="468"/>
      <c r="UHB46" s="468"/>
      <c r="UHC46" s="468"/>
      <c r="UHD46" s="468"/>
      <c r="UHE46" s="468"/>
      <c r="UHF46" s="468"/>
      <c r="UHG46" s="468"/>
      <c r="UHH46" s="468"/>
      <c r="UHI46" s="468"/>
      <c r="UHJ46" s="468"/>
      <c r="UHK46" s="468"/>
      <c r="UHL46" s="468"/>
      <c r="UHM46" s="468"/>
      <c r="UHN46" s="468"/>
      <c r="UHO46" s="468"/>
      <c r="UHP46" s="468"/>
      <c r="UHQ46" s="468"/>
      <c r="UHR46" s="468"/>
      <c r="UHS46" s="468"/>
      <c r="UHT46" s="468"/>
      <c r="UHU46" s="468"/>
      <c r="UHV46" s="468"/>
      <c r="UHW46" s="468"/>
      <c r="UHX46" s="468"/>
      <c r="UHY46" s="468"/>
      <c r="UHZ46" s="468"/>
      <c r="UIA46" s="468"/>
      <c r="UIB46" s="468"/>
      <c r="UIC46" s="468"/>
      <c r="UID46" s="468"/>
      <c r="UIE46" s="468"/>
      <c r="UIF46" s="468"/>
      <c r="UIG46" s="468"/>
      <c r="UIH46" s="468"/>
      <c r="UII46" s="468"/>
      <c r="UIJ46" s="468"/>
      <c r="UIK46" s="468"/>
      <c r="UIL46" s="468"/>
      <c r="UIM46" s="468"/>
      <c r="UIN46" s="468"/>
      <c r="UIO46" s="468"/>
      <c r="UIP46" s="468"/>
      <c r="UIQ46" s="468"/>
      <c r="UIR46" s="468"/>
      <c r="UIS46" s="468"/>
      <c r="UIT46" s="468"/>
      <c r="UIU46" s="468"/>
      <c r="UIV46" s="468"/>
      <c r="UIW46" s="468"/>
      <c r="UIX46" s="468"/>
      <c r="UIY46" s="468"/>
      <c r="UIZ46" s="468"/>
      <c r="UJA46" s="468"/>
      <c r="UJB46" s="468"/>
      <c r="UJC46" s="468"/>
      <c r="UJD46" s="468"/>
      <c r="UJE46" s="468"/>
      <c r="UJF46" s="468"/>
      <c r="UJG46" s="468"/>
      <c r="UJH46" s="468"/>
      <c r="UJI46" s="468"/>
      <c r="UJJ46" s="468"/>
      <c r="UJK46" s="468"/>
      <c r="UJL46" s="468"/>
      <c r="UJM46" s="468"/>
      <c r="UJN46" s="468"/>
      <c r="UJO46" s="468"/>
      <c r="UJP46" s="468"/>
      <c r="UJQ46" s="468"/>
      <c r="UJR46" s="468"/>
      <c r="UJS46" s="468"/>
      <c r="UJT46" s="468"/>
      <c r="UJU46" s="468"/>
      <c r="UJV46" s="468"/>
      <c r="UJW46" s="468"/>
      <c r="UJX46" s="468"/>
      <c r="UJY46" s="468"/>
      <c r="UJZ46" s="468"/>
      <c r="UKA46" s="468"/>
      <c r="UKB46" s="468"/>
      <c r="UKC46" s="468"/>
      <c r="UKD46" s="468"/>
      <c r="UKE46" s="468"/>
      <c r="UKF46" s="468"/>
      <c r="UKG46" s="468"/>
      <c r="UKH46" s="468"/>
      <c r="UKI46" s="468"/>
      <c r="UKJ46" s="468"/>
      <c r="UKK46" s="468"/>
      <c r="UKL46" s="468"/>
      <c r="UKM46" s="468"/>
      <c r="UKN46" s="468"/>
      <c r="UKO46" s="468"/>
      <c r="UKP46" s="468"/>
      <c r="UKQ46" s="468"/>
      <c r="UKR46" s="468"/>
      <c r="UKS46" s="468"/>
      <c r="UKT46" s="468"/>
      <c r="UKU46" s="468"/>
      <c r="UKV46" s="468"/>
      <c r="UKW46" s="468"/>
      <c r="UKX46" s="468"/>
      <c r="UKY46" s="468"/>
      <c r="UKZ46" s="468"/>
      <c r="ULA46" s="468"/>
      <c r="ULB46" s="468"/>
      <c r="ULC46" s="468"/>
      <c r="ULD46" s="468"/>
      <c r="ULE46" s="468"/>
      <c r="ULF46" s="468"/>
      <c r="ULG46" s="468"/>
      <c r="ULH46" s="468"/>
      <c r="ULI46" s="468"/>
      <c r="ULJ46" s="468"/>
      <c r="ULK46" s="468"/>
      <c r="ULL46" s="468"/>
      <c r="ULM46" s="468"/>
      <c r="ULN46" s="468"/>
      <c r="ULO46" s="468"/>
      <c r="ULP46" s="468"/>
      <c r="ULQ46" s="468"/>
      <c r="ULR46" s="468"/>
      <c r="ULS46" s="468"/>
      <c r="ULT46" s="468"/>
      <c r="ULU46" s="468"/>
      <c r="ULV46" s="468"/>
      <c r="ULW46" s="468"/>
      <c r="ULX46" s="468"/>
      <c r="ULY46" s="468"/>
      <c r="ULZ46" s="468"/>
      <c r="UMA46" s="468"/>
      <c r="UMB46" s="468"/>
      <c r="UMC46" s="468"/>
      <c r="UMD46" s="468"/>
      <c r="UME46" s="468"/>
      <c r="UMF46" s="468"/>
      <c r="UMG46" s="468"/>
      <c r="UMH46" s="468"/>
      <c r="UMI46" s="468"/>
      <c r="UMJ46" s="468"/>
      <c r="UMK46" s="468"/>
      <c r="UML46" s="468"/>
      <c r="UMM46" s="468"/>
      <c r="UMN46" s="468"/>
      <c r="UMO46" s="468"/>
      <c r="UMP46" s="468"/>
      <c r="UMQ46" s="468"/>
      <c r="UMR46" s="468"/>
      <c r="UMS46" s="468"/>
      <c r="UMT46" s="468"/>
      <c r="UMU46" s="468"/>
      <c r="UMV46" s="468"/>
      <c r="UMW46" s="468"/>
      <c r="UMX46" s="468"/>
      <c r="UMY46" s="468"/>
      <c r="UMZ46" s="468"/>
      <c r="UNA46" s="468"/>
      <c r="UNB46" s="468"/>
      <c r="UNC46" s="468"/>
      <c r="UND46" s="468"/>
      <c r="UNE46" s="468"/>
      <c r="UNF46" s="468"/>
      <c r="UNG46" s="468"/>
      <c r="UNH46" s="468"/>
      <c r="UNI46" s="468"/>
      <c r="UNJ46" s="468"/>
      <c r="UNK46" s="468"/>
      <c r="UNL46" s="468"/>
      <c r="UNM46" s="468"/>
      <c r="UNN46" s="468"/>
      <c r="UNO46" s="468"/>
      <c r="UNP46" s="468"/>
      <c r="UNQ46" s="468"/>
      <c r="UNR46" s="468"/>
      <c r="UNS46" s="468"/>
      <c r="UNT46" s="468"/>
      <c r="UNU46" s="468"/>
      <c r="UNV46" s="468"/>
      <c r="UNW46" s="468"/>
      <c r="UNX46" s="468"/>
      <c r="UNY46" s="468"/>
      <c r="UNZ46" s="468"/>
      <c r="UOA46" s="468"/>
      <c r="UOB46" s="468"/>
      <c r="UOC46" s="468"/>
      <c r="UOD46" s="468"/>
      <c r="UOE46" s="468"/>
      <c r="UOF46" s="468"/>
      <c r="UOG46" s="468"/>
      <c r="UOH46" s="468"/>
      <c r="UOI46" s="468"/>
      <c r="UOJ46" s="468"/>
      <c r="UOK46" s="468"/>
      <c r="UOL46" s="468"/>
      <c r="UOM46" s="468"/>
      <c r="UON46" s="468"/>
      <c r="UOO46" s="468"/>
      <c r="UOP46" s="468"/>
      <c r="UOQ46" s="468"/>
      <c r="UOR46" s="468"/>
      <c r="UOS46" s="468"/>
      <c r="UOT46" s="468"/>
      <c r="UOU46" s="468"/>
      <c r="UOV46" s="468"/>
      <c r="UOW46" s="468"/>
      <c r="UOX46" s="468"/>
      <c r="UOY46" s="468"/>
      <c r="UOZ46" s="468"/>
      <c r="UPA46" s="468"/>
      <c r="UPB46" s="468"/>
      <c r="UPC46" s="468"/>
      <c r="UPD46" s="468"/>
      <c r="UPE46" s="468"/>
      <c r="UPF46" s="468"/>
      <c r="UPG46" s="468"/>
      <c r="UPH46" s="468"/>
      <c r="UPI46" s="468"/>
      <c r="UPJ46" s="468"/>
      <c r="UPK46" s="468"/>
      <c r="UPL46" s="468"/>
      <c r="UPM46" s="468"/>
      <c r="UPN46" s="468"/>
      <c r="UPO46" s="468"/>
      <c r="UPP46" s="468"/>
      <c r="UPQ46" s="468"/>
      <c r="UPR46" s="468"/>
      <c r="UPS46" s="468"/>
      <c r="UPT46" s="468"/>
      <c r="UPU46" s="468"/>
      <c r="UPV46" s="468"/>
      <c r="UPW46" s="468"/>
      <c r="UPX46" s="468"/>
      <c r="UPY46" s="468"/>
      <c r="UPZ46" s="468"/>
      <c r="UQA46" s="468"/>
      <c r="UQB46" s="468"/>
      <c r="UQC46" s="468"/>
      <c r="UQD46" s="468"/>
      <c r="UQE46" s="468"/>
      <c r="UQF46" s="468"/>
      <c r="UQG46" s="468"/>
      <c r="UQH46" s="468"/>
      <c r="UQI46" s="468"/>
      <c r="UQJ46" s="468"/>
      <c r="UQK46" s="468"/>
      <c r="UQL46" s="468"/>
      <c r="UQM46" s="468"/>
      <c r="UQN46" s="468"/>
      <c r="UQO46" s="468"/>
      <c r="UQP46" s="468"/>
      <c r="UQQ46" s="468"/>
      <c r="UQR46" s="468"/>
      <c r="UQS46" s="468"/>
      <c r="UQT46" s="468"/>
      <c r="UQU46" s="468"/>
      <c r="UQV46" s="468"/>
      <c r="UQW46" s="468"/>
      <c r="UQX46" s="468"/>
      <c r="UQY46" s="468"/>
      <c r="UQZ46" s="468"/>
      <c r="URA46" s="468"/>
      <c r="URB46" s="468"/>
      <c r="URC46" s="468"/>
      <c r="URD46" s="468"/>
      <c r="URE46" s="468"/>
      <c r="URF46" s="468"/>
      <c r="URG46" s="468"/>
      <c r="URH46" s="468"/>
      <c r="URI46" s="468"/>
      <c r="URJ46" s="468"/>
      <c r="URK46" s="468"/>
      <c r="URL46" s="468"/>
      <c r="URM46" s="468"/>
      <c r="URN46" s="468"/>
      <c r="URO46" s="468"/>
      <c r="URP46" s="468"/>
      <c r="URQ46" s="468"/>
      <c r="URR46" s="468"/>
      <c r="URS46" s="468"/>
      <c r="URT46" s="468"/>
      <c r="URU46" s="468"/>
      <c r="URV46" s="468"/>
      <c r="URW46" s="468"/>
      <c r="URX46" s="468"/>
      <c r="URY46" s="468"/>
      <c r="URZ46" s="468"/>
      <c r="USA46" s="468"/>
      <c r="USB46" s="468"/>
      <c r="USC46" s="468"/>
      <c r="USD46" s="468"/>
      <c r="USE46" s="468"/>
      <c r="USF46" s="468"/>
      <c r="USG46" s="468"/>
      <c r="USH46" s="468"/>
      <c r="USI46" s="468"/>
      <c r="USJ46" s="468"/>
      <c r="USK46" s="468"/>
      <c r="USL46" s="468"/>
      <c r="USM46" s="468"/>
      <c r="USN46" s="468"/>
      <c r="USO46" s="468"/>
      <c r="USP46" s="468"/>
      <c r="USQ46" s="468"/>
      <c r="USR46" s="468"/>
      <c r="USS46" s="468"/>
      <c r="UST46" s="468"/>
      <c r="USU46" s="468"/>
      <c r="USV46" s="468"/>
      <c r="USW46" s="468"/>
      <c r="USX46" s="468"/>
      <c r="USY46" s="468"/>
      <c r="USZ46" s="468"/>
      <c r="UTA46" s="468"/>
      <c r="UTB46" s="468"/>
      <c r="UTC46" s="468"/>
      <c r="UTD46" s="468"/>
      <c r="UTE46" s="468"/>
      <c r="UTF46" s="468"/>
      <c r="UTG46" s="468"/>
      <c r="UTH46" s="468"/>
      <c r="UTI46" s="468"/>
      <c r="UTJ46" s="468"/>
      <c r="UTK46" s="468"/>
      <c r="UTL46" s="468"/>
      <c r="UTM46" s="468"/>
      <c r="UTN46" s="468"/>
      <c r="UTO46" s="468"/>
      <c r="UTP46" s="468"/>
      <c r="UTQ46" s="468"/>
      <c r="UTR46" s="468"/>
      <c r="UTS46" s="468"/>
      <c r="UTT46" s="468"/>
      <c r="UTU46" s="468"/>
      <c r="UTV46" s="468"/>
      <c r="UTW46" s="468"/>
      <c r="UTX46" s="468"/>
      <c r="UTY46" s="468"/>
      <c r="UTZ46" s="468"/>
      <c r="UUA46" s="468"/>
      <c r="UUB46" s="468"/>
      <c r="UUC46" s="468"/>
      <c r="UUD46" s="468"/>
      <c r="UUE46" s="468"/>
      <c r="UUF46" s="468"/>
      <c r="UUG46" s="468"/>
      <c r="UUH46" s="468"/>
      <c r="UUI46" s="468"/>
      <c r="UUJ46" s="468"/>
      <c r="UUK46" s="468"/>
      <c r="UUL46" s="468"/>
      <c r="UUM46" s="468"/>
      <c r="UUN46" s="468"/>
      <c r="UUO46" s="468"/>
      <c r="UUP46" s="468"/>
      <c r="UUQ46" s="468"/>
      <c r="UUR46" s="468"/>
      <c r="UUS46" s="468"/>
      <c r="UUT46" s="468"/>
      <c r="UUU46" s="468"/>
      <c r="UUV46" s="468"/>
      <c r="UUW46" s="468"/>
      <c r="UUX46" s="468"/>
      <c r="UUY46" s="468"/>
      <c r="UUZ46" s="468"/>
      <c r="UVA46" s="468"/>
      <c r="UVB46" s="468"/>
      <c r="UVC46" s="468"/>
      <c r="UVD46" s="468"/>
      <c r="UVE46" s="468"/>
      <c r="UVF46" s="468"/>
      <c r="UVG46" s="468"/>
      <c r="UVH46" s="468"/>
      <c r="UVI46" s="468"/>
      <c r="UVJ46" s="468"/>
      <c r="UVK46" s="468"/>
      <c r="UVL46" s="468"/>
      <c r="UVM46" s="468"/>
      <c r="UVN46" s="468"/>
      <c r="UVO46" s="468"/>
      <c r="UVP46" s="468"/>
      <c r="UVQ46" s="468"/>
      <c r="UVR46" s="468"/>
      <c r="UVS46" s="468"/>
      <c r="UVT46" s="468"/>
      <c r="UVU46" s="468"/>
      <c r="UVV46" s="468"/>
      <c r="UVW46" s="468"/>
      <c r="UVX46" s="468"/>
      <c r="UVY46" s="468"/>
      <c r="UVZ46" s="468"/>
      <c r="UWA46" s="468"/>
      <c r="UWB46" s="468"/>
      <c r="UWC46" s="468"/>
      <c r="UWD46" s="468"/>
      <c r="UWE46" s="468"/>
      <c r="UWF46" s="468"/>
      <c r="UWG46" s="468"/>
      <c r="UWH46" s="468"/>
      <c r="UWI46" s="468"/>
      <c r="UWJ46" s="468"/>
      <c r="UWK46" s="468"/>
      <c r="UWL46" s="468"/>
      <c r="UWM46" s="468"/>
      <c r="UWN46" s="468"/>
      <c r="UWO46" s="468"/>
      <c r="UWP46" s="468"/>
      <c r="UWQ46" s="468"/>
      <c r="UWR46" s="468"/>
      <c r="UWS46" s="468"/>
      <c r="UWT46" s="468"/>
      <c r="UWU46" s="468"/>
      <c r="UWV46" s="468"/>
      <c r="UWW46" s="468"/>
      <c r="UWX46" s="468"/>
      <c r="UWY46" s="468"/>
      <c r="UWZ46" s="468"/>
      <c r="UXA46" s="468"/>
      <c r="UXB46" s="468"/>
      <c r="UXC46" s="468"/>
      <c r="UXD46" s="468"/>
      <c r="UXE46" s="468"/>
      <c r="UXF46" s="468"/>
      <c r="UXG46" s="468"/>
      <c r="UXH46" s="468"/>
      <c r="UXI46" s="468"/>
      <c r="UXJ46" s="468"/>
      <c r="UXK46" s="468"/>
      <c r="UXL46" s="468"/>
      <c r="UXM46" s="468"/>
      <c r="UXN46" s="468"/>
      <c r="UXO46" s="468"/>
      <c r="UXP46" s="468"/>
      <c r="UXQ46" s="468"/>
      <c r="UXR46" s="468"/>
      <c r="UXS46" s="468"/>
      <c r="UXT46" s="468"/>
      <c r="UXU46" s="468"/>
      <c r="UXV46" s="468"/>
      <c r="UXW46" s="468"/>
      <c r="UXX46" s="468"/>
      <c r="UXY46" s="468"/>
      <c r="UXZ46" s="468"/>
      <c r="UYA46" s="468"/>
      <c r="UYB46" s="468"/>
      <c r="UYC46" s="468"/>
      <c r="UYD46" s="468"/>
      <c r="UYE46" s="468"/>
      <c r="UYF46" s="468"/>
      <c r="UYG46" s="468"/>
      <c r="UYH46" s="468"/>
      <c r="UYI46" s="468"/>
      <c r="UYJ46" s="468"/>
      <c r="UYK46" s="468"/>
      <c r="UYL46" s="468"/>
      <c r="UYM46" s="468"/>
      <c r="UYN46" s="468"/>
      <c r="UYO46" s="468"/>
      <c r="UYP46" s="468"/>
      <c r="UYQ46" s="468"/>
      <c r="UYR46" s="468"/>
      <c r="UYS46" s="468"/>
      <c r="UYT46" s="468"/>
      <c r="UYU46" s="468"/>
      <c r="UYV46" s="468"/>
      <c r="UYW46" s="468"/>
      <c r="UYX46" s="468"/>
      <c r="UYY46" s="468"/>
      <c r="UYZ46" s="468"/>
      <c r="UZA46" s="468"/>
      <c r="UZB46" s="468"/>
      <c r="UZC46" s="468"/>
      <c r="UZD46" s="468"/>
      <c r="UZE46" s="468"/>
      <c r="UZF46" s="468"/>
      <c r="UZG46" s="468"/>
      <c r="UZH46" s="468"/>
      <c r="UZI46" s="468"/>
      <c r="UZJ46" s="468"/>
      <c r="UZK46" s="468"/>
      <c r="UZL46" s="468"/>
      <c r="UZM46" s="468"/>
      <c r="UZN46" s="468"/>
      <c r="UZO46" s="468"/>
      <c r="UZP46" s="468"/>
      <c r="UZQ46" s="468"/>
      <c r="UZR46" s="468"/>
      <c r="UZS46" s="468"/>
      <c r="UZT46" s="468"/>
      <c r="UZU46" s="468"/>
      <c r="UZV46" s="468"/>
      <c r="UZW46" s="468"/>
      <c r="UZX46" s="468"/>
      <c r="UZY46" s="468"/>
      <c r="UZZ46" s="468"/>
      <c r="VAA46" s="468"/>
      <c r="VAB46" s="468"/>
      <c r="VAC46" s="468"/>
      <c r="VAD46" s="468"/>
      <c r="VAE46" s="468"/>
      <c r="VAF46" s="468"/>
      <c r="VAG46" s="468"/>
      <c r="VAH46" s="468"/>
      <c r="VAI46" s="468"/>
      <c r="VAJ46" s="468"/>
      <c r="VAK46" s="468"/>
      <c r="VAL46" s="468"/>
      <c r="VAM46" s="468"/>
      <c r="VAN46" s="468"/>
      <c r="VAO46" s="468"/>
      <c r="VAP46" s="468"/>
      <c r="VAQ46" s="468"/>
      <c r="VAR46" s="468"/>
      <c r="VAS46" s="468"/>
      <c r="VAT46" s="468"/>
      <c r="VAU46" s="468"/>
      <c r="VAV46" s="468"/>
      <c r="VAW46" s="468"/>
      <c r="VAX46" s="468"/>
      <c r="VAY46" s="468"/>
      <c r="VAZ46" s="468"/>
      <c r="VBA46" s="468"/>
      <c r="VBB46" s="468"/>
      <c r="VBC46" s="468"/>
      <c r="VBD46" s="468"/>
      <c r="VBE46" s="468"/>
      <c r="VBF46" s="468"/>
      <c r="VBG46" s="468"/>
      <c r="VBH46" s="468"/>
      <c r="VBI46" s="468"/>
      <c r="VBJ46" s="468"/>
      <c r="VBK46" s="468"/>
      <c r="VBL46" s="468"/>
      <c r="VBM46" s="468"/>
      <c r="VBN46" s="468"/>
      <c r="VBO46" s="468"/>
      <c r="VBP46" s="468"/>
      <c r="VBQ46" s="468"/>
      <c r="VBR46" s="468"/>
      <c r="VBS46" s="468"/>
      <c r="VBT46" s="468"/>
      <c r="VBU46" s="468"/>
      <c r="VBV46" s="468"/>
      <c r="VBW46" s="468"/>
      <c r="VBX46" s="468"/>
      <c r="VBY46" s="468"/>
      <c r="VBZ46" s="468"/>
      <c r="VCA46" s="468"/>
      <c r="VCB46" s="468"/>
      <c r="VCC46" s="468"/>
      <c r="VCD46" s="468"/>
      <c r="VCE46" s="468"/>
      <c r="VCF46" s="468"/>
      <c r="VCG46" s="468"/>
      <c r="VCH46" s="468"/>
      <c r="VCI46" s="468"/>
      <c r="VCJ46" s="468"/>
      <c r="VCK46" s="468"/>
      <c r="VCL46" s="468"/>
      <c r="VCM46" s="468"/>
      <c r="VCN46" s="468"/>
      <c r="VCO46" s="468"/>
      <c r="VCP46" s="468"/>
      <c r="VCQ46" s="468"/>
      <c r="VCR46" s="468"/>
      <c r="VCS46" s="468"/>
      <c r="VCT46" s="468"/>
      <c r="VCU46" s="468"/>
      <c r="VCV46" s="468"/>
      <c r="VCW46" s="468"/>
      <c r="VCX46" s="468"/>
      <c r="VCY46" s="468"/>
      <c r="VCZ46" s="468"/>
      <c r="VDA46" s="468"/>
      <c r="VDB46" s="468"/>
      <c r="VDC46" s="468"/>
      <c r="VDD46" s="468"/>
      <c r="VDE46" s="468"/>
      <c r="VDF46" s="468"/>
      <c r="VDG46" s="468"/>
      <c r="VDH46" s="468"/>
      <c r="VDI46" s="468"/>
      <c r="VDJ46" s="468"/>
      <c r="VDK46" s="468"/>
      <c r="VDL46" s="468"/>
      <c r="VDM46" s="468"/>
      <c r="VDN46" s="468"/>
      <c r="VDO46" s="468"/>
      <c r="VDP46" s="468"/>
      <c r="VDQ46" s="468"/>
      <c r="VDR46" s="468"/>
      <c r="VDS46" s="468"/>
      <c r="VDT46" s="468"/>
      <c r="VDU46" s="468"/>
      <c r="VDV46" s="468"/>
      <c r="VDW46" s="468"/>
      <c r="VDX46" s="468"/>
      <c r="VDY46" s="468"/>
      <c r="VDZ46" s="468"/>
      <c r="VEA46" s="468"/>
      <c r="VEB46" s="468"/>
      <c r="VEC46" s="468"/>
      <c r="VED46" s="468"/>
      <c r="VEE46" s="468"/>
      <c r="VEF46" s="468"/>
      <c r="VEG46" s="468"/>
      <c r="VEH46" s="468"/>
      <c r="VEI46" s="468"/>
      <c r="VEJ46" s="468"/>
      <c r="VEK46" s="468"/>
      <c r="VEL46" s="468"/>
      <c r="VEM46" s="468"/>
      <c r="VEN46" s="468"/>
      <c r="VEO46" s="468"/>
      <c r="VEP46" s="468"/>
      <c r="VEQ46" s="468"/>
      <c r="VER46" s="468"/>
      <c r="VES46" s="468"/>
      <c r="VET46" s="468"/>
      <c r="VEU46" s="468"/>
      <c r="VEV46" s="468"/>
      <c r="VEW46" s="468"/>
      <c r="VEX46" s="468"/>
      <c r="VEY46" s="468"/>
      <c r="VEZ46" s="468"/>
      <c r="VFA46" s="468"/>
      <c r="VFB46" s="468"/>
      <c r="VFC46" s="468"/>
      <c r="VFD46" s="468"/>
      <c r="VFE46" s="468"/>
      <c r="VFF46" s="468"/>
      <c r="VFG46" s="468"/>
      <c r="VFH46" s="468"/>
      <c r="VFI46" s="468"/>
      <c r="VFJ46" s="468"/>
      <c r="VFK46" s="468"/>
      <c r="VFL46" s="468"/>
      <c r="VFM46" s="468"/>
      <c r="VFN46" s="468"/>
      <c r="VFO46" s="468"/>
      <c r="VFP46" s="468"/>
      <c r="VFQ46" s="468"/>
      <c r="VFR46" s="468"/>
      <c r="VFS46" s="468"/>
      <c r="VFT46" s="468"/>
      <c r="VFU46" s="468"/>
      <c r="VFV46" s="468"/>
      <c r="VFW46" s="468"/>
      <c r="VFX46" s="468"/>
      <c r="VFY46" s="468"/>
      <c r="VFZ46" s="468"/>
      <c r="VGA46" s="468"/>
      <c r="VGB46" s="468"/>
      <c r="VGC46" s="468"/>
      <c r="VGD46" s="468"/>
      <c r="VGE46" s="468"/>
      <c r="VGF46" s="468"/>
      <c r="VGG46" s="468"/>
      <c r="VGH46" s="468"/>
      <c r="VGI46" s="468"/>
      <c r="VGJ46" s="468"/>
      <c r="VGK46" s="468"/>
      <c r="VGL46" s="468"/>
      <c r="VGM46" s="468"/>
      <c r="VGN46" s="468"/>
      <c r="VGO46" s="468"/>
      <c r="VGP46" s="468"/>
      <c r="VGQ46" s="468"/>
      <c r="VGR46" s="468"/>
      <c r="VGS46" s="468"/>
      <c r="VGT46" s="468"/>
      <c r="VGU46" s="468"/>
      <c r="VGV46" s="468"/>
      <c r="VGW46" s="468"/>
      <c r="VGX46" s="468"/>
      <c r="VGY46" s="468"/>
      <c r="VGZ46" s="468"/>
      <c r="VHA46" s="468"/>
      <c r="VHB46" s="468"/>
      <c r="VHC46" s="468"/>
      <c r="VHD46" s="468"/>
      <c r="VHE46" s="468"/>
      <c r="VHF46" s="468"/>
      <c r="VHG46" s="468"/>
      <c r="VHH46" s="468"/>
      <c r="VHI46" s="468"/>
      <c r="VHJ46" s="468"/>
      <c r="VHK46" s="468"/>
      <c r="VHL46" s="468"/>
      <c r="VHM46" s="468"/>
      <c r="VHN46" s="468"/>
      <c r="VHO46" s="468"/>
      <c r="VHP46" s="468"/>
      <c r="VHQ46" s="468"/>
      <c r="VHR46" s="468"/>
      <c r="VHS46" s="468"/>
      <c r="VHT46" s="468"/>
      <c r="VHU46" s="468"/>
      <c r="VHV46" s="468"/>
      <c r="VHW46" s="468"/>
      <c r="VHX46" s="468"/>
      <c r="VHY46" s="468"/>
      <c r="VHZ46" s="468"/>
      <c r="VIA46" s="468"/>
      <c r="VIB46" s="468"/>
      <c r="VIC46" s="468"/>
      <c r="VID46" s="468"/>
      <c r="VIE46" s="468"/>
      <c r="VIF46" s="468"/>
      <c r="VIG46" s="468"/>
      <c r="VIH46" s="468"/>
      <c r="VII46" s="468"/>
      <c r="VIJ46" s="468"/>
      <c r="VIK46" s="468"/>
      <c r="VIL46" s="468"/>
      <c r="VIM46" s="468"/>
      <c r="VIN46" s="468"/>
      <c r="VIO46" s="468"/>
      <c r="VIP46" s="468"/>
      <c r="VIQ46" s="468"/>
      <c r="VIR46" s="468"/>
      <c r="VIS46" s="468"/>
      <c r="VIT46" s="468"/>
      <c r="VIU46" s="468"/>
      <c r="VIV46" s="468"/>
      <c r="VIW46" s="468"/>
      <c r="VIX46" s="468"/>
      <c r="VIY46" s="468"/>
      <c r="VIZ46" s="468"/>
      <c r="VJA46" s="468"/>
      <c r="VJB46" s="468"/>
      <c r="VJC46" s="468"/>
      <c r="VJD46" s="468"/>
      <c r="VJE46" s="468"/>
      <c r="VJF46" s="468"/>
      <c r="VJG46" s="468"/>
      <c r="VJH46" s="468"/>
      <c r="VJI46" s="468"/>
      <c r="VJJ46" s="468"/>
      <c r="VJK46" s="468"/>
      <c r="VJL46" s="468"/>
      <c r="VJM46" s="468"/>
      <c r="VJN46" s="468"/>
      <c r="VJO46" s="468"/>
      <c r="VJP46" s="468"/>
      <c r="VJQ46" s="468"/>
      <c r="VJR46" s="468"/>
      <c r="VJS46" s="468"/>
      <c r="VJT46" s="468"/>
      <c r="VJU46" s="468"/>
      <c r="VJV46" s="468"/>
      <c r="VJW46" s="468"/>
      <c r="VJX46" s="468"/>
      <c r="VJY46" s="468"/>
      <c r="VJZ46" s="468"/>
      <c r="VKA46" s="468"/>
      <c r="VKB46" s="468"/>
      <c r="VKC46" s="468"/>
      <c r="VKD46" s="468"/>
      <c r="VKE46" s="468"/>
      <c r="VKF46" s="468"/>
      <c r="VKG46" s="468"/>
      <c r="VKH46" s="468"/>
      <c r="VKI46" s="468"/>
      <c r="VKJ46" s="468"/>
      <c r="VKK46" s="468"/>
      <c r="VKL46" s="468"/>
      <c r="VKM46" s="468"/>
      <c r="VKN46" s="468"/>
      <c r="VKO46" s="468"/>
      <c r="VKP46" s="468"/>
      <c r="VKQ46" s="468"/>
      <c r="VKR46" s="468"/>
      <c r="VKS46" s="468"/>
      <c r="VKT46" s="468"/>
      <c r="VKU46" s="468"/>
      <c r="VKV46" s="468"/>
      <c r="VKW46" s="468"/>
      <c r="VKX46" s="468"/>
      <c r="VKY46" s="468"/>
      <c r="VKZ46" s="468"/>
      <c r="VLA46" s="468"/>
      <c r="VLB46" s="468"/>
      <c r="VLC46" s="468"/>
      <c r="VLD46" s="468"/>
      <c r="VLE46" s="468"/>
      <c r="VLF46" s="468"/>
      <c r="VLG46" s="468"/>
      <c r="VLH46" s="468"/>
      <c r="VLI46" s="468"/>
      <c r="VLJ46" s="468"/>
      <c r="VLK46" s="468"/>
      <c r="VLL46" s="468"/>
      <c r="VLM46" s="468"/>
      <c r="VLN46" s="468"/>
      <c r="VLO46" s="468"/>
      <c r="VLP46" s="468"/>
      <c r="VLQ46" s="468"/>
      <c r="VLR46" s="468"/>
      <c r="VLS46" s="468"/>
      <c r="VLT46" s="468"/>
      <c r="VLU46" s="468"/>
      <c r="VLV46" s="468"/>
      <c r="VLW46" s="468"/>
      <c r="VLX46" s="468"/>
      <c r="VLY46" s="468"/>
      <c r="VLZ46" s="468"/>
      <c r="VMA46" s="468"/>
      <c r="VMB46" s="468"/>
      <c r="VMC46" s="468"/>
      <c r="VMD46" s="468"/>
      <c r="VME46" s="468"/>
      <c r="VMF46" s="468"/>
      <c r="VMG46" s="468"/>
      <c r="VMH46" s="468"/>
      <c r="VMI46" s="468"/>
      <c r="VMJ46" s="468"/>
      <c r="VMK46" s="468"/>
      <c r="VML46" s="468"/>
      <c r="VMM46" s="468"/>
      <c r="VMN46" s="468"/>
      <c r="VMO46" s="468"/>
      <c r="VMP46" s="468"/>
      <c r="VMQ46" s="468"/>
      <c r="VMR46" s="468"/>
      <c r="VMS46" s="468"/>
      <c r="VMT46" s="468"/>
      <c r="VMU46" s="468"/>
      <c r="VMV46" s="468"/>
      <c r="VMW46" s="468"/>
      <c r="VMX46" s="468"/>
      <c r="VMY46" s="468"/>
      <c r="VMZ46" s="468"/>
      <c r="VNA46" s="468"/>
      <c r="VNB46" s="468"/>
      <c r="VNC46" s="468"/>
      <c r="VND46" s="468"/>
      <c r="VNE46" s="468"/>
      <c r="VNF46" s="468"/>
      <c r="VNG46" s="468"/>
      <c r="VNH46" s="468"/>
      <c r="VNI46" s="468"/>
      <c r="VNJ46" s="468"/>
      <c r="VNK46" s="468"/>
      <c r="VNL46" s="468"/>
      <c r="VNM46" s="468"/>
      <c r="VNN46" s="468"/>
      <c r="VNO46" s="468"/>
      <c r="VNP46" s="468"/>
      <c r="VNQ46" s="468"/>
      <c r="VNR46" s="468"/>
      <c r="VNS46" s="468"/>
      <c r="VNT46" s="468"/>
      <c r="VNU46" s="468"/>
      <c r="VNV46" s="468"/>
      <c r="VNW46" s="468"/>
      <c r="VNX46" s="468"/>
      <c r="VNY46" s="468"/>
      <c r="VNZ46" s="468"/>
      <c r="VOA46" s="468"/>
      <c r="VOB46" s="468"/>
      <c r="VOC46" s="468"/>
      <c r="VOD46" s="468"/>
      <c r="VOE46" s="468"/>
      <c r="VOF46" s="468"/>
      <c r="VOG46" s="468"/>
      <c r="VOH46" s="468"/>
      <c r="VOI46" s="468"/>
      <c r="VOJ46" s="468"/>
      <c r="VOK46" s="468"/>
      <c r="VOL46" s="468"/>
      <c r="VOM46" s="468"/>
      <c r="VON46" s="468"/>
      <c r="VOO46" s="468"/>
      <c r="VOP46" s="468"/>
      <c r="VOQ46" s="468"/>
      <c r="VOR46" s="468"/>
      <c r="VOS46" s="468"/>
      <c r="VOT46" s="468"/>
      <c r="VOU46" s="468"/>
      <c r="VOV46" s="468"/>
      <c r="VOW46" s="468"/>
      <c r="VOX46" s="468"/>
      <c r="VOY46" s="468"/>
      <c r="VOZ46" s="468"/>
      <c r="VPA46" s="468"/>
      <c r="VPB46" s="468"/>
      <c r="VPC46" s="468"/>
      <c r="VPD46" s="468"/>
      <c r="VPE46" s="468"/>
      <c r="VPF46" s="468"/>
      <c r="VPG46" s="468"/>
      <c r="VPH46" s="468"/>
      <c r="VPI46" s="468"/>
      <c r="VPJ46" s="468"/>
      <c r="VPK46" s="468"/>
      <c r="VPL46" s="468"/>
      <c r="VPM46" s="468"/>
      <c r="VPN46" s="468"/>
      <c r="VPO46" s="468"/>
      <c r="VPP46" s="468"/>
      <c r="VPQ46" s="468"/>
      <c r="VPR46" s="468"/>
      <c r="VPS46" s="468"/>
      <c r="VPT46" s="468"/>
      <c r="VPU46" s="468"/>
      <c r="VPV46" s="468"/>
      <c r="VPW46" s="468"/>
      <c r="VPX46" s="468"/>
      <c r="VPY46" s="468"/>
      <c r="VPZ46" s="468"/>
      <c r="VQA46" s="468"/>
      <c r="VQB46" s="468"/>
      <c r="VQC46" s="468"/>
      <c r="VQD46" s="468"/>
      <c r="VQE46" s="468"/>
      <c r="VQF46" s="468"/>
      <c r="VQG46" s="468"/>
      <c r="VQH46" s="468"/>
      <c r="VQI46" s="468"/>
      <c r="VQJ46" s="468"/>
      <c r="VQK46" s="468"/>
      <c r="VQL46" s="468"/>
      <c r="VQM46" s="468"/>
      <c r="VQN46" s="468"/>
      <c r="VQO46" s="468"/>
      <c r="VQP46" s="468"/>
      <c r="VQQ46" s="468"/>
      <c r="VQR46" s="468"/>
      <c r="VQS46" s="468"/>
      <c r="VQT46" s="468"/>
      <c r="VQU46" s="468"/>
      <c r="VQV46" s="468"/>
      <c r="VQW46" s="468"/>
      <c r="VQX46" s="468"/>
      <c r="VQY46" s="468"/>
      <c r="VQZ46" s="468"/>
      <c r="VRA46" s="468"/>
      <c r="VRB46" s="468"/>
      <c r="VRC46" s="468"/>
      <c r="VRD46" s="468"/>
      <c r="VRE46" s="468"/>
      <c r="VRF46" s="468"/>
      <c r="VRG46" s="468"/>
      <c r="VRH46" s="468"/>
      <c r="VRI46" s="468"/>
      <c r="VRJ46" s="468"/>
      <c r="VRK46" s="468"/>
      <c r="VRL46" s="468"/>
      <c r="VRM46" s="468"/>
      <c r="VRN46" s="468"/>
      <c r="VRO46" s="468"/>
      <c r="VRP46" s="468"/>
      <c r="VRQ46" s="468"/>
      <c r="VRR46" s="468"/>
      <c r="VRS46" s="468"/>
      <c r="VRT46" s="468"/>
      <c r="VRU46" s="468"/>
      <c r="VRV46" s="468"/>
      <c r="VRW46" s="468"/>
      <c r="VRX46" s="468"/>
      <c r="VRY46" s="468"/>
      <c r="VRZ46" s="468"/>
      <c r="VSA46" s="468"/>
      <c r="VSB46" s="468"/>
      <c r="VSC46" s="468"/>
      <c r="VSD46" s="468"/>
      <c r="VSE46" s="468"/>
      <c r="VSF46" s="468"/>
      <c r="VSG46" s="468"/>
      <c r="VSH46" s="468"/>
      <c r="VSI46" s="468"/>
      <c r="VSJ46" s="468"/>
      <c r="VSK46" s="468"/>
      <c r="VSL46" s="468"/>
      <c r="VSM46" s="468"/>
      <c r="VSN46" s="468"/>
      <c r="VSO46" s="468"/>
      <c r="VSP46" s="468"/>
      <c r="VSQ46" s="468"/>
      <c r="VSR46" s="468"/>
      <c r="VSS46" s="468"/>
      <c r="VST46" s="468"/>
      <c r="VSU46" s="468"/>
      <c r="VSV46" s="468"/>
      <c r="VSW46" s="468"/>
      <c r="VSX46" s="468"/>
      <c r="VSY46" s="468"/>
      <c r="VSZ46" s="468"/>
      <c r="VTA46" s="468"/>
      <c r="VTB46" s="468"/>
      <c r="VTC46" s="468"/>
      <c r="VTD46" s="468"/>
      <c r="VTE46" s="468"/>
      <c r="VTF46" s="468"/>
      <c r="VTG46" s="468"/>
      <c r="VTH46" s="468"/>
      <c r="VTI46" s="468"/>
      <c r="VTJ46" s="468"/>
      <c r="VTK46" s="468"/>
      <c r="VTL46" s="468"/>
      <c r="VTM46" s="468"/>
      <c r="VTN46" s="468"/>
      <c r="VTO46" s="468"/>
      <c r="VTP46" s="468"/>
      <c r="VTQ46" s="468"/>
      <c r="VTR46" s="468"/>
      <c r="VTS46" s="468"/>
      <c r="VTT46" s="468"/>
      <c r="VTU46" s="468"/>
      <c r="VTV46" s="468"/>
      <c r="VTW46" s="468"/>
      <c r="VTX46" s="468"/>
      <c r="VTY46" s="468"/>
      <c r="VTZ46" s="468"/>
      <c r="VUA46" s="468"/>
      <c r="VUB46" s="468"/>
      <c r="VUC46" s="468"/>
      <c r="VUD46" s="468"/>
      <c r="VUE46" s="468"/>
      <c r="VUF46" s="468"/>
      <c r="VUG46" s="468"/>
      <c r="VUH46" s="468"/>
      <c r="VUI46" s="468"/>
      <c r="VUJ46" s="468"/>
      <c r="VUK46" s="468"/>
      <c r="VUL46" s="468"/>
      <c r="VUM46" s="468"/>
      <c r="VUN46" s="468"/>
      <c r="VUO46" s="468"/>
      <c r="VUP46" s="468"/>
      <c r="VUQ46" s="468"/>
      <c r="VUR46" s="468"/>
      <c r="VUS46" s="468"/>
      <c r="VUT46" s="468"/>
      <c r="VUU46" s="468"/>
      <c r="VUV46" s="468"/>
      <c r="VUW46" s="468"/>
      <c r="VUX46" s="468"/>
      <c r="VUY46" s="468"/>
      <c r="VUZ46" s="468"/>
      <c r="VVA46" s="468"/>
      <c r="VVB46" s="468"/>
      <c r="VVC46" s="468"/>
      <c r="VVD46" s="468"/>
      <c r="VVE46" s="468"/>
      <c r="VVF46" s="468"/>
      <c r="VVG46" s="468"/>
      <c r="VVH46" s="468"/>
      <c r="VVI46" s="468"/>
      <c r="VVJ46" s="468"/>
      <c r="VVK46" s="468"/>
      <c r="VVL46" s="468"/>
      <c r="VVM46" s="468"/>
      <c r="VVN46" s="468"/>
      <c r="VVO46" s="468"/>
      <c r="VVP46" s="468"/>
      <c r="VVQ46" s="468"/>
      <c r="VVR46" s="468"/>
      <c r="VVS46" s="468"/>
      <c r="VVT46" s="468"/>
      <c r="VVU46" s="468"/>
      <c r="VVV46" s="468"/>
      <c r="VVW46" s="468"/>
      <c r="VVX46" s="468"/>
      <c r="VVY46" s="468"/>
      <c r="VVZ46" s="468"/>
      <c r="VWA46" s="468"/>
      <c r="VWB46" s="468"/>
      <c r="VWC46" s="468"/>
      <c r="VWD46" s="468"/>
      <c r="VWE46" s="468"/>
      <c r="VWF46" s="468"/>
      <c r="VWG46" s="468"/>
      <c r="VWH46" s="468"/>
      <c r="VWI46" s="468"/>
      <c r="VWJ46" s="468"/>
      <c r="VWK46" s="468"/>
      <c r="VWL46" s="468"/>
      <c r="VWM46" s="468"/>
      <c r="VWN46" s="468"/>
      <c r="VWO46" s="468"/>
      <c r="VWP46" s="468"/>
      <c r="VWQ46" s="468"/>
      <c r="VWR46" s="468"/>
      <c r="VWS46" s="468"/>
      <c r="VWT46" s="468"/>
      <c r="VWU46" s="468"/>
      <c r="VWV46" s="468"/>
      <c r="VWW46" s="468"/>
      <c r="VWX46" s="468"/>
      <c r="VWY46" s="468"/>
      <c r="VWZ46" s="468"/>
      <c r="VXA46" s="468"/>
      <c r="VXB46" s="468"/>
      <c r="VXC46" s="468"/>
      <c r="VXD46" s="468"/>
      <c r="VXE46" s="468"/>
      <c r="VXF46" s="468"/>
      <c r="VXG46" s="468"/>
      <c r="VXH46" s="468"/>
      <c r="VXI46" s="468"/>
      <c r="VXJ46" s="468"/>
      <c r="VXK46" s="468"/>
      <c r="VXL46" s="468"/>
      <c r="VXM46" s="468"/>
      <c r="VXN46" s="468"/>
      <c r="VXO46" s="468"/>
      <c r="VXP46" s="468"/>
      <c r="VXQ46" s="468"/>
      <c r="VXR46" s="468"/>
      <c r="VXS46" s="468"/>
      <c r="VXT46" s="468"/>
      <c r="VXU46" s="468"/>
      <c r="VXV46" s="468"/>
      <c r="VXW46" s="468"/>
      <c r="VXX46" s="468"/>
      <c r="VXY46" s="468"/>
      <c r="VXZ46" s="468"/>
      <c r="VYA46" s="468"/>
      <c r="VYB46" s="468"/>
      <c r="VYC46" s="468"/>
      <c r="VYD46" s="468"/>
      <c r="VYE46" s="468"/>
      <c r="VYF46" s="468"/>
      <c r="VYG46" s="468"/>
      <c r="VYH46" s="468"/>
      <c r="VYI46" s="468"/>
      <c r="VYJ46" s="468"/>
      <c r="VYK46" s="468"/>
      <c r="VYL46" s="468"/>
      <c r="VYM46" s="468"/>
      <c r="VYN46" s="468"/>
      <c r="VYO46" s="468"/>
      <c r="VYP46" s="468"/>
      <c r="VYQ46" s="468"/>
      <c r="VYR46" s="468"/>
      <c r="VYS46" s="468"/>
      <c r="VYT46" s="468"/>
      <c r="VYU46" s="468"/>
      <c r="VYV46" s="468"/>
      <c r="VYW46" s="468"/>
      <c r="VYX46" s="468"/>
      <c r="VYY46" s="468"/>
      <c r="VYZ46" s="468"/>
      <c r="VZA46" s="468"/>
      <c r="VZB46" s="468"/>
      <c r="VZC46" s="468"/>
      <c r="VZD46" s="468"/>
      <c r="VZE46" s="468"/>
      <c r="VZF46" s="468"/>
      <c r="VZG46" s="468"/>
      <c r="VZH46" s="468"/>
      <c r="VZI46" s="468"/>
      <c r="VZJ46" s="468"/>
      <c r="VZK46" s="468"/>
      <c r="VZL46" s="468"/>
      <c r="VZM46" s="468"/>
      <c r="VZN46" s="468"/>
      <c r="VZO46" s="468"/>
      <c r="VZP46" s="468"/>
      <c r="VZQ46" s="468"/>
      <c r="VZR46" s="468"/>
      <c r="VZS46" s="468"/>
      <c r="VZT46" s="468"/>
      <c r="VZU46" s="468"/>
      <c r="VZV46" s="468"/>
      <c r="VZW46" s="468"/>
      <c r="VZX46" s="468"/>
      <c r="VZY46" s="468"/>
      <c r="VZZ46" s="468"/>
      <c r="WAA46" s="468"/>
      <c r="WAB46" s="468"/>
      <c r="WAC46" s="468"/>
      <c r="WAD46" s="468"/>
      <c r="WAE46" s="468"/>
      <c r="WAF46" s="468"/>
      <c r="WAG46" s="468"/>
      <c r="WAH46" s="468"/>
      <c r="WAI46" s="468"/>
      <c r="WAJ46" s="468"/>
      <c r="WAK46" s="468"/>
      <c r="WAL46" s="468"/>
      <c r="WAM46" s="468"/>
      <c r="WAN46" s="468"/>
      <c r="WAO46" s="468"/>
      <c r="WAP46" s="468"/>
      <c r="WAQ46" s="468"/>
      <c r="WAR46" s="468"/>
      <c r="WAS46" s="468"/>
      <c r="WAT46" s="468"/>
      <c r="WAU46" s="468"/>
      <c r="WAV46" s="468"/>
      <c r="WAW46" s="468"/>
      <c r="WAX46" s="468"/>
      <c r="WAY46" s="468"/>
      <c r="WAZ46" s="468"/>
      <c r="WBA46" s="468"/>
      <c r="WBB46" s="468"/>
      <c r="WBC46" s="468"/>
      <c r="WBD46" s="468"/>
      <c r="WBE46" s="468"/>
      <c r="WBF46" s="468"/>
      <c r="WBG46" s="468"/>
      <c r="WBH46" s="468"/>
      <c r="WBI46" s="468"/>
      <c r="WBJ46" s="468"/>
      <c r="WBK46" s="468"/>
      <c r="WBL46" s="468"/>
      <c r="WBM46" s="468"/>
      <c r="WBN46" s="468"/>
      <c r="WBO46" s="468"/>
      <c r="WBP46" s="468"/>
      <c r="WBQ46" s="468"/>
      <c r="WBR46" s="468"/>
      <c r="WBS46" s="468"/>
      <c r="WBT46" s="468"/>
      <c r="WBU46" s="468"/>
      <c r="WBV46" s="468"/>
      <c r="WBW46" s="468"/>
      <c r="WBX46" s="468"/>
      <c r="WBY46" s="468"/>
      <c r="WBZ46" s="468"/>
      <c r="WCA46" s="468"/>
      <c r="WCB46" s="468"/>
      <c r="WCC46" s="468"/>
      <c r="WCD46" s="468"/>
      <c r="WCE46" s="468"/>
      <c r="WCF46" s="468"/>
      <c r="WCG46" s="468"/>
      <c r="WCH46" s="468"/>
      <c r="WCI46" s="468"/>
      <c r="WCJ46" s="468"/>
      <c r="WCK46" s="468"/>
      <c r="WCL46" s="468"/>
      <c r="WCM46" s="468"/>
      <c r="WCN46" s="468"/>
      <c r="WCO46" s="468"/>
      <c r="WCP46" s="468"/>
      <c r="WCQ46" s="468"/>
      <c r="WCR46" s="468"/>
      <c r="WCS46" s="468"/>
      <c r="WCT46" s="468"/>
      <c r="WCU46" s="468"/>
      <c r="WCV46" s="468"/>
      <c r="WCW46" s="468"/>
      <c r="WCX46" s="468"/>
      <c r="WCY46" s="468"/>
      <c r="WCZ46" s="468"/>
      <c r="WDA46" s="468"/>
      <c r="WDB46" s="468"/>
      <c r="WDC46" s="468"/>
      <c r="WDD46" s="468"/>
      <c r="WDE46" s="468"/>
      <c r="WDF46" s="468"/>
      <c r="WDG46" s="468"/>
      <c r="WDH46" s="468"/>
      <c r="WDI46" s="468"/>
      <c r="WDJ46" s="468"/>
      <c r="WDK46" s="468"/>
      <c r="WDL46" s="468"/>
      <c r="WDM46" s="468"/>
      <c r="WDN46" s="468"/>
      <c r="WDO46" s="468"/>
      <c r="WDP46" s="468"/>
      <c r="WDQ46" s="468"/>
      <c r="WDR46" s="468"/>
      <c r="WDS46" s="468"/>
      <c r="WDT46" s="468"/>
      <c r="WDU46" s="468"/>
      <c r="WDV46" s="468"/>
      <c r="WDW46" s="468"/>
      <c r="WDX46" s="468"/>
      <c r="WDY46" s="468"/>
      <c r="WDZ46" s="468"/>
      <c r="WEA46" s="468"/>
      <c r="WEB46" s="468"/>
      <c r="WEC46" s="468"/>
      <c r="WED46" s="468"/>
      <c r="WEE46" s="468"/>
      <c r="WEF46" s="468"/>
      <c r="WEG46" s="468"/>
      <c r="WEH46" s="468"/>
      <c r="WEI46" s="468"/>
      <c r="WEJ46" s="468"/>
      <c r="WEK46" s="468"/>
      <c r="WEL46" s="468"/>
      <c r="WEM46" s="468"/>
      <c r="WEN46" s="468"/>
      <c r="WEO46" s="468"/>
      <c r="WEP46" s="468"/>
      <c r="WEQ46" s="468"/>
      <c r="WER46" s="468"/>
      <c r="WES46" s="468"/>
      <c r="WET46" s="468"/>
      <c r="WEU46" s="468"/>
      <c r="WEV46" s="468"/>
      <c r="WEW46" s="468"/>
      <c r="WEX46" s="468"/>
      <c r="WEY46" s="468"/>
      <c r="WEZ46" s="468"/>
      <c r="WFA46" s="468"/>
      <c r="WFB46" s="468"/>
      <c r="WFC46" s="468"/>
      <c r="WFD46" s="468"/>
      <c r="WFE46" s="468"/>
      <c r="WFF46" s="468"/>
      <c r="WFG46" s="468"/>
      <c r="WFH46" s="468"/>
      <c r="WFI46" s="468"/>
      <c r="WFJ46" s="468"/>
      <c r="WFK46" s="468"/>
      <c r="WFL46" s="468"/>
      <c r="WFM46" s="468"/>
      <c r="WFN46" s="468"/>
      <c r="WFO46" s="468"/>
      <c r="WFP46" s="468"/>
      <c r="WFQ46" s="468"/>
      <c r="WFR46" s="468"/>
      <c r="WFS46" s="468"/>
      <c r="WFT46" s="468"/>
      <c r="WFU46" s="468"/>
      <c r="WFV46" s="468"/>
      <c r="WFW46" s="468"/>
      <c r="WFX46" s="468"/>
      <c r="WFY46" s="468"/>
      <c r="WFZ46" s="468"/>
      <c r="WGA46" s="468"/>
      <c r="WGB46" s="468"/>
      <c r="WGC46" s="468"/>
      <c r="WGD46" s="468"/>
      <c r="WGE46" s="468"/>
      <c r="WGF46" s="468"/>
      <c r="WGG46" s="468"/>
      <c r="WGH46" s="468"/>
      <c r="WGI46" s="468"/>
      <c r="WGJ46" s="468"/>
      <c r="WGK46" s="468"/>
      <c r="WGL46" s="468"/>
      <c r="WGM46" s="468"/>
      <c r="WGN46" s="468"/>
      <c r="WGO46" s="468"/>
      <c r="WGP46" s="468"/>
      <c r="WGQ46" s="468"/>
      <c r="WGR46" s="468"/>
      <c r="WGS46" s="468"/>
      <c r="WGT46" s="468"/>
      <c r="WGU46" s="468"/>
      <c r="WGV46" s="468"/>
      <c r="WGW46" s="468"/>
      <c r="WGX46" s="468"/>
      <c r="WGY46" s="468"/>
      <c r="WGZ46" s="468"/>
      <c r="WHA46" s="468"/>
      <c r="WHB46" s="468"/>
      <c r="WHC46" s="468"/>
      <c r="WHD46" s="468"/>
      <c r="WHE46" s="468"/>
      <c r="WHF46" s="468"/>
      <c r="WHG46" s="468"/>
      <c r="WHH46" s="468"/>
      <c r="WHI46" s="468"/>
      <c r="WHJ46" s="468"/>
      <c r="WHK46" s="468"/>
      <c r="WHL46" s="468"/>
      <c r="WHM46" s="468"/>
      <c r="WHN46" s="468"/>
      <c r="WHO46" s="468"/>
      <c r="WHP46" s="468"/>
      <c r="WHQ46" s="468"/>
      <c r="WHR46" s="468"/>
      <c r="WHS46" s="468"/>
      <c r="WHT46" s="468"/>
      <c r="WHU46" s="468"/>
      <c r="WHV46" s="468"/>
      <c r="WHW46" s="468"/>
      <c r="WHX46" s="468"/>
      <c r="WHY46" s="468"/>
      <c r="WHZ46" s="468"/>
      <c r="WIA46" s="468"/>
      <c r="WIB46" s="468"/>
      <c r="WIC46" s="468"/>
      <c r="WID46" s="468"/>
      <c r="WIE46" s="468"/>
      <c r="WIF46" s="468"/>
      <c r="WIG46" s="468"/>
      <c r="WIH46" s="468"/>
      <c r="WII46" s="468"/>
      <c r="WIJ46" s="468"/>
      <c r="WIK46" s="468"/>
      <c r="WIL46" s="468"/>
      <c r="WIM46" s="468"/>
      <c r="WIN46" s="468"/>
      <c r="WIO46" s="468"/>
      <c r="WIP46" s="468"/>
      <c r="WIQ46" s="468"/>
      <c r="WIR46" s="468"/>
      <c r="WIS46" s="468"/>
      <c r="WIT46" s="468"/>
      <c r="WIU46" s="468"/>
      <c r="WIV46" s="468"/>
      <c r="WIW46" s="468"/>
      <c r="WIX46" s="468"/>
      <c r="WIY46" s="468"/>
      <c r="WIZ46" s="468"/>
      <c r="WJA46" s="468"/>
      <c r="WJB46" s="468"/>
      <c r="WJC46" s="468"/>
      <c r="WJD46" s="468"/>
      <c r="WJE46" s="468"/>
      <c r="WJF46" s="468"/>
      <c r="WJG46" s="468"/>
      <c r="WJH46" s="468"/>
      <c r="WJI46" s="468"/>
      <c r="WJJ46" s="468"/>
      <c r="WJK46" s="468"/>
      <c r="WJL46" s="468"/>
      <c r="WJM46" s="468"/>
      <c r="WJN46" s="468"/>
      <c r="WJO46" s="468"/>
      <c r="WJP46" s="468"/>
      <c r="WJQ46" s="468"/>
      <c r="WJR46" s="468"/>
      <c r="WJS46" s="468"/>
      <c r="WJT46" s="468"/>
      <c r="WJU46" s="468"/>
      <c r="WJV46" s="468"/>
      <c r="WJW46" s="468"/>
      <c r="WJX46" s="468"/>
      <c r="WJY46" s="468"/>
      <c r="WJZ46" s="468"/>
      <c r="WKA46" s="468"/>
      <c r="WKB46" s="468"/>
      <c r="WKC46" s="468"/>
      <c r="WKD46" s="468"/>
      <c r="WKE46" s="468"/>
      <c r="WKF46" s="468"/>
      <c r="WKG46" s="468"/>
      <c r="WKH46" s="468"/>
      <c r="WKI46" s="468"/>
      <c r="WKJ46" s="468"/>
      <c r="WKK46" s="468"/>
      <c r="WKL46" s="468"/>
      <c r="WKM46" s="468"/>
      <c r="WKN46" s="468"/>
      <c r="WKO46" s="468"/>
      <c r="WKP46" s="468"/>
      <c r="WKQ46" s="468"/>
      <c r="WKR46" s="468"/>
      <c r="WKS46" s="468"/>
      <c r="WKT46" s="468"/>
      <c r="WKU46" s="468"/>
      <c r="WKV46" s="468"/>
      <c r="WKW46" s="468"/>
      <c r="WKX46" s="468"/>
      <c r="WKY46" s="468"/>
      <c r="WKZ46" s="468"/>
      <c r="WLA46" s="468"/>
      <c r="WLB46" s="468"/>
      <c r="WLC46" s="468"/>
      <c r="WLD46" s="468"/>
      <c r="WLE46" s="468"/>
      <c r="WLF46" s="468"/>
      <c r="WLG46" s="468"/>
      <c r="WLH46" s="468"/>
      <c r="WLI46" s="468"/>
      <c r="WLJ46" s="468"/>
      <c r="WLK46" s="468"/>
      <c r="WLL46" s="468"/>
      <c r="WLM46" s="468"/>
      <c r="WLN46" s="468"/>
      <c r="WLO46" s="468"/>
      <c r="WLP46" s="468"/>
      <c r="WLQ46" s="468"/>
      <c r="WLR46" s="468"/>
      <c r="WLS46" s="468"/>
      <c r="WLT46" s="468"/>
      <c r="WLU46" s="468"/>
      <c r="WLV46" s="468"/>
      <c r="WLW46" s="468"/>
      <c r="WLX46" s="468"/>
      <c r="WLY46" s="468"/>
      <c r="WLZ46" s="468"/>
      <c r="WMA46" s="468"/>
      <c r="WMB46" s="468"/>
      <c r="WMC46" s="468"/>
      <c r="WMD46" s="468"/>
      <c r="WME46" s="468"/>
      <c r="WMF46" s="468"/>
      <c r="WMG46" s="468"/>
      <c r="WMH46" s="468"/>
      <c r="WMI46" s="468"/>
      <c r="WMJ46" s="468"/>
      <c r="WMK46" s="468"/>
      <c r="WML46" s="468"/>
      <c r="WMM46" s="468"/>
      <c r="WMN46" s="468"/>
      <c r="WMO46" s="468"/>
      <c r="WMP46" s="468"/>
      <c r="WMQ46" s="468"/>
      <c r="WMR46" s="468"/>
      <c r="WMS46" s="468"/>
      <c r="WMT46" s="468"/>
      <c r="WMU46" s="468"/>
      <c r="WMV46" s="468"/>
      <c r="WMW46" s="468"/>
      <c r="WMX46" s="468"/>
      <c r="WMY46" s="468"/>
      <c r="WMZ46" s="468"/>
      <c r="WNA46" s="468"/>
      <c r="WNB46" s="468"/>
      <c r="WNC46" s="468"/>
      <c r="WND46" s="468"/>
      <c r="WNE46" s="468"/>
      <c r="WNF46" s="468"/>
      <c r="WNG46" s="468"/>
      <c r="WNH46" s="468"/>
      <c r="WNI46" s="468"/>
      <c r="WNJ46" s="468"/>
      <c r="WNK46" s="468"/>
      <c r="WNL46" s="468"/>
      <c r="WNM46" s="468"/>
      <c r="WNN46" s="468"/>
      <c r="WNO46" s="468"/>
      <c r="WNP46" s="468"/>
      <c r="WNQ46" s="468"/>
      <c r="WNR46" s="468"/>
      <c r="WNS46" s="468"/>
      <c r="WNT46" s="468"/>
      <c r="WNU46" s="468"/>
      <c r="WNV46" s="468"/>
      <c r="WNW46" s="468"/>
      <c r="WNX46" s="468"/>
      <c r="WNY46" s="468"/>
      <c r="WNZ46" s="468"/>
      <c r="WOA46" s="468"/>
      <c r="WOB46" s="468"/>
      <c r="WOC46" s="468"/>
      <c r="WOD46" s="468"/>
      <c r="WOE46" s="468"/>
      <c r="WOF46" s="468"/>
      <c r="WOG46" s="468"/>
      <c r="WOH46" s="468"/>
      <c r="WOI46" s="468"/>
      <c r="WOJ46" s="468"/>
      <c r="WOK46" s="468"/>
      <c r="WOL46" s="468"/>
      <c r="WOM46" s="468"/>
      <c r="WON46" s="468"/>
      <c r="WOO46" s="468"/>
      <c r="WOP46" s="468"/>
      <c r="WOQ46" s="468"/>
      <c r="WOR46" s="468"/>
      <c r="WOS46" s="468"/>
      <c r="WOT46" s="468"/>
      <c r="WOU46" s="468"/>
      <c r="WOV46" s="468"/>
      <c r="WOW46" s="468"/>
      <c r="WOX46" s="468"/>
      <c r="WOY46" s="468"/>
      <c r="WOZ46" s="468"/>
      <c r="WPA46" s="468"/>
      <c r="WPB46" s="468"/>
      <c r="WPC46" s="468"/>
      <c r="WPD46" s="468"/>
      <c r="WPE46" s="468"/>
      <c r="WPF46" s="468"/>
      <c r="WPG46" s="468"/>
      <c r="WPH46" s="468"/>
      <c r="WPI46" s="468"/>
      <c r="WPJ46" s="468"/>
      <c r="WPK46" s="468"/>
      <c r="WPL46" s="468"/>
      <c r="WPM46" s="468"/>
      <c r="WPN46" s="468"/>
      <c r="WPO46" s="468"/>
      <c r="WPP46" s="468"/>
      <c r="WPQ46" s="468"/>
      <c r="WPR46" s="468"/>
      <c r="WPS46" s="468"/>
      <c r="WPT46" s="468"/>
      <c r="WPU46" s="468"/>
      <c r="WPV46" s="468"/>
      <c r="WPW46" s="468"/>
      <c r="WPX46" s="468"/>
      <c r="WPY46" s="468"/>
      <c r="WPZ46" s="468"/>
      <c r="WQA46" s="468"/>
      <c r="WQB46" s="468"/>
      <c r="WQC46" s="468"/>
      <c r="WQD46" s="468"/>
      <c r="WQE46" s="468"/>
      <c r="WQF46" s="468"/>
      <c r="WQG46" s="468"/>
      <c r="WQH46" s="468"/>
      <c r="WQI46" s="468"/>
      <c r="WQJ46" s="468"/>
      <c r="WQK46" s="468"/>
      <c r="WQL46" s="468"/>
      <c r="WQM46" s="468"/>
      <c r="WQN46" s="468"/>
      <c r="WQO46" s="468"/>
      <c r="WQP46" s="468"/>
      <c r="WQQ46" s="468"/>
      <c r="WQR46" s="468"/>
      <c r="WQS46" s="468"/>
      <c r="WQT46" s="468"/>
      <c r="WQU46" s="468"/>
      <c r="WQV46" s="468"/>
      <c r="WQW46" s="468"/>
      <c r="WQX46" s="468"/>
      <c r="WQY46" s="468"/>
      <c r="WQZ46" s="468"/>
      <c r="WRA46" s="468"/>
      <c r="WRB46" s="468"/>
      <c r="WRC46" s="468"/>
      <c r="WRD46" s="468"/>
      <c r="WRE46" s="468"/>
      <c r="WRF46" s="468"/>
      <c r="WRG46" s="468"/>
      <c r="WRH46" s="468"/>
      <c r="WRI46" s="468"/>
      <c r="WRJ46" s="468"/>
      <c r="WRK46" s="468"/>
      <c r="WRL46" s="468"/>
      <c r="WRM46" s="468"/>
      <c r="WRN46" s="468"/>
      <c r="WRO46" s="468"/>
      <c r="WRP46" s="468"/>
      <c r="WRQ46" s="468"/>
      <c r="WRR46" s="468"/>
      <c r="WRS46" s="468"/>
      <c r="WRT46" s="468"/>
      <c r="WRU46" s="468"/>
      <c r="WRV46" s="468"/>
      <c r="WRW46" s="468"/>
      <c r="WRX46" s="468"/>
      <c r="WRY46" s="468"/>
      <c r="WRZ46" s="468"/>
      <c r="WSA46" s="468"/>
      <c r="WSB46" s="468"/>
      <c r="WSC46" s="468"/>
      <c r="WSD46" s="468"/>
      <c r="WSE46" s="468"/>
      <c r="WSF46" s="468"/>
      <c r="WSG46" s="468"/>
      <c r="WSH46" s="468"/>
      <c r="WSI46" s="468"/>
      <c r="WSJ46" s="468"/>
      <c r="WSK46" s="468"/>
      <c r="WSL46" s="468"/>
      <c r="WSM46" s="468"/>
      <c r="WSN46" s="468"/>
      <c r="WSO46" s="468"/>
      <c r="WSP46" s="468"/>
      <c r="WSQ46" s="468"/>
      <c r="WSR46" s="468"/>
      <c r="WSS46" s="468"/>
      <c r="WST46" s="468"/>
      <c r="WSU46" s="468"/>
      <c r="WSV46" s="468"/>
      <c r="WSW46" s="468"/>
      <c r="WSX46" s="468"/>
      <c r="WSY46" s="468"/>
      <c r="WSZ46" s="468"/>
      <c r="WTA46" s="468"/>
      <c r="WTB46" s="468"/>
      <c r="WTC46" s="468"/>
      <c r="WTD46" s="468"/>
      <c r="WTE46" s="468"/>
      <c r="WTF46" s="468"/>
      <c r="WTG46" s="468"/>
      <c r="WTH46" s="468"/>
      <c r="WTI46" s="468"/>
      <c r="WTJ46" s="468"/>
      <c r="WTK46" s="468"/>
      <c r="WTL46" s="468"/>
      <c r="WTM46" s="468"/>
      <c r="WTN46" s="468"/>
      <c r="WTO46" s="468"/>
      <c r="WTP46" s="468"/>
      <c r="WTQ46" s="468"/>
      <c r="WTR46" s="468"/>
      <c r="WTS46" s="468"/>
      <c r="WTT46" s="468"/>
      <c r="WTU46" s="468"/>
      <c r="WTV46" s="468"/>
      <c r="WTW46" s="468"/>
      <c r="WTX46" s="468"/>
      <c r="WTY46" s="468"/>
      <c r="WTZ46" s="468"/>
      <c r="WUA46" s="468"/>
      <c r="WUB46" s="468"/>
      <c r="WUC46" s="468"/>
      <c r="WUD46" s="468"/>
      <c r="WUE46" s="468"/>
      <c r="WUF46" s="468"/>
      <c r="WUG46" s="468"/>
      <c r="WUH46" s="468"/>
      <c r="WUI46" s="468"/>
      <c r="WUJ46" s="468"/>
      <c r="WUK46" s="468"/>
      <c r="WUL46" s="468"/>
      <c r="WUM46" s="468"/>
      <c r="WUN46" s="468"/>
      <c r="WUO46" s="468"/>
      <c r="WUP46" s="468"/>
      <c r="WUQ46" s="468"/>
      <c r="WUR46" s="468"/>
      <c r="WUS46" s="468"/>
      <c r="WUT46" s="468"/>
      <c r="WUU46" s="468"/>
      <c r="WUV46" s="468"/>
      <c r="WUW46" s="468"/>
      <c r="WUX46" s="468"/>
      <c r="WUY46" s="468"/>
      <c r="WUZ46" s="468"/>
      <c r="WVA46" s="468"/>
      <c r="WVB46" s="468"/>
      <c r="WVC46" s="468"/>
      <c r="WVD46" s="468"/>
      <c r="WVE46" s="468"/>
      <c r="WVF46" s="468"/>
      <c r="WVG46" s="468"/>
      <c r="WVH46" s="468"/>
      <c r="WVI46" s="468"/>
      <c r="WVJ46" s="468"/>
      <c r="WVK46" s="468"/>
      <c r="WVL46" s="468"/>
      <c r="WVM46" s="468"/>
      <c r="WVN46" s="468"/>
      <c r="WVO46" s="468"/>
      <c r="WVP46" s="468"/>
      <c r="WVQ46" s="468"/>
      <c r="WVR46" s="468"/>
      <c r="WVS46" s="468"/>
      <c r="WVT46" s="468"/>
      <c r="WVU46" s="468"/>
      <c r="WVV46" s="468"/>
      <c r="WVW46" s="468"/>
      <c r="WVX46" s="468"/>
      <c r="WVY46" s="468"/>
      <c r="WVZ46" s="468"/>
      <c r="WWA46" s="468"/>
      <c r="WWB46" s="468"/>
      <c r="WWC46" s="468"/>
      <c r="WWD46" s="468"/>
      <c r="WWE46" s="468"/>
      <c r="WWF46" s="468"/>
      <c r="WWG46" s="468"/>
      <c r="WWH46" s="468"/>
      <c r="WWI46" s="468"/>
      <c r="WWJ46" s="468"/>
      <c r="WWK46" s="468"/>
      <c r="WWL46" s="468"/>
      <c r="WWM46" s="468"/>
      <c r="WWN46" s="468"/>
      <c r="WWO46" s="468"/>
      <c r="WWP46" s="468"/>
      <c r="WWQ46" s="468"/>
      <c r="WWR46" s="468"/>
      <c r="WWS46" s="468"/>
      <c r="WWT46" s="468"/>
      <c r="WWU46" s="468"/>
      <c r="WWV46" s="468"/>
      <c r="WWW46" s="468"/>
      <c r="WWX46" s="468"/>
      <c r="WWY46" s="468"/>
      <c r="WWZ46" s="468"/>
      <c r="WXA46" s="468"/>
      <c r="WXB46" s="468"/>
      <c r="WXC46" s="468"/>
      <c r="WXD46" s="468"/>
      <c r="WXE46" s="468"/>
      <c r="WXF46" s="468"/>
      <c r="WXG46" s="468"/>
      <c r="WXH46" s="468"/>
      <c r="WXI46" s="468"/>
      <c r="WXJ46" s="468"/>
      <c r="WXK46" s="468"/>
      <c r="WXL46" s="468"/>
      <c r="WXM46" s="468"/>
      <c r="WXN46" s="468"/>
      <c r="WXO46" s="468"/>
      <c r="WXP46" s="468"/>
      <c r="WXQ46" s="468"/>
      <c r="WXR46" s="468"/>
      <c r="WXS46" s="468"/>
      <c r="WXT46" s="468"/>
      <c r="WXU46" s="468"/>
      <c r="WXV46" s="468"/>
      <c r="WXW46" s="468"/>
      <c r="WXX46" s="468"/>
      <c r="WXY46" s="468"/>
      <c r="WXZ46" s="468"/>
      <c r="WYA46" s="468"/>
      <c r="WYB46" s="468"/>
      <c r="WYC46" s="468"/>
      <c r="WYD46" s="468"/>
      <c r="WYE46" s="468"/>
      <c r="WYF46" s="468"/>
      <c r="WYG46" s="468"/>
      <c r="WYH46" s="468"/>
      <c r="WYI46" s="468"/>
      <c r="WYJ46" s="468"/>
      <c r="WYK46" s="468"/>
      <c r="WYL46" s="468"/>
      <c r="WYM46" s="468"/>
      <c r="WYN46" s="468"/>
      <c r="WYO46" s="468"/>
      <c r="WYP46" s="468"/>
      <c r="WYQ46" s="468"/>
      <c r="WYR46" s="468"/>
      <c r="WYS46" s="468"/>
      <c r="WYT46" s="468"/>
      <c r="WYU46" s="468"/>
      <c r="WYV46" s="468"/>
      <c r="WYW46" s="468"/>
      <c r="WYX46" s="468"/>
      <c r="WYY46" s="468"/>
      <c r="WYZ46" s="468"/>
      <c r="WZA46" s="468"/>
      <c r="WZB46" s="468"/>
      <c r="WZC46" s="468"/>
      <c r="WZD46" s="468"/>
      <c r="WZE46" s="468"/>
      <c r="WZF46" s="468"/>
      <c r="WZG46" s="468"/>
      <c r="WZH46" s="468"/>
      <c r="WZI46" s="468"/>
      <c r="WZJ46" s="468"/>
      <c r="WZK46" s="468"/>
      <c r="WZL46" s="468"/>
      <c r="WZM46" s="468"/>
      <c r="WZN46" s="468"/>
      <c r="WZO46" s="468"/>
      <c r="WZP46" s="468"/>
      <c r="WZQ46" s="468"/>
      <c r="WZR46" s="468"/>
      <c r="WZS46" s="468"/>
      <c r="WZT46" s="468"/>
      <c r="WZU46" s="468"/>
      <c r="WZV46" s="468"/>
      <c r="WZW46" s="468"/>
      <c r="WZX46" s="468"/>
      <c r="WZY46" s="468"/>
      <c r="WZZ46" s="468"/>
      <c r="XAA46" s="468"/>
      <c r="XAB46" s="468"/>
      <c r="XAC46" s="468"/>
      <c r="XAD46" s="468"/>
      <c r="XAE46" s="468"/>
      <c r="XAF46" s="468"/>
      <c r="XAG46" s="468"/>
      <c r="XAH46" s="468"/>
      <c r="XAI46" s="468"/>
      <c r="XAJ46" s="468"/>
      <c r="XAK46" s="468"/>
      <c r="XAL46" s="468"/>
      <c r="XAM46" s="468"/>
      <c r="XAN46" s="468"/>
      <c r="XAO46" s="468"/>
      <c r="XAP46" s="468"/>
      <c r="XAQ46" s="468"/>
      <c r="XAR46" s="468"/>
      <c r="XAS46" s="468"/>
      <c r="XAT46" s="468"/>
      <c r="XAU46" s="468"/>
      <c r="XAV46" s="468"/>
      <c r="XAW46" s="468"/>
      <c r="XAX46" s="468"/>
      <c r="XAY46" s="468"/>
      <c r="XAZ46" s="468"/>
      <c r="XBA46" s="468"/>
      <c r="XBB46" s="468"/>
      <c r="XBC46" s="468"/>
      <c r="XBD46" s="468"/>
      <c r="XBE46" s="468"/>
      <c r="XBF46" s="468"/>
      <c r="XBG46" s="468"/>
      <c r="XBH46" s="468"/>
      <c r="XBI46" s="468"/>
      <c r="XBJ46" s="468"/>
      <c r="XBK46" s="468"/>
      <c r="XBL46" s="468"/>
      <c r="XBM46" s="468"/>
      <c r="XBN46" s="468"/>
      <c r="XBO46" s="468"/>
      <c r="XBP46" s="468"/>
      <c r="XBQ46" s="468"/>
      <c r="XBR46" s="468"/>
      <c r="XBS46" s="468"/>
      <c r="XBT46" s="468"/>
      <c r="XBU46" s="468"/>
      <c r="XBV46" s="468"/>
      <c r="XBW46" s="468"/>
      <c r="XBX46" s="468"/>
      <c r="XBY46" s="468"/>
      <c r="XBZ46" s="468"/>
      <c r="XCA46" s="468"/>
      <c r="XCB46" s="468"/>
      <c r="XCC46" s="468"/>
      <c r="XCD46" s="468"/>
      <c r="XCE46" s="468"/>
      <c r="XCF46" s="468"/>
      <c r="XCG46" s="468"/>
      <c r="XCH46" s="468"/>
      <c r="XCI46" s="468"/>
      <c r="XCJ46" s="468"/>
      <c r="XCK46" s="468"/>
      <c r="XCL46" s="468"/>
      <c r="XCM46" s="468"/>
      <c r="XCN46" s="468"/>
      <c r="XCO46" s="468"/>
      <c r="XCP46" s="468"/>
      <c r="XCQ46" s="468"/>
      <c r="XCR46" s="468"/>
      <c r="XCS46" s="468"/>
      <c r="XCT46" s="468"/>
      <c r="XCU46" s="468"/>
      <c r="XCV46" s="468"/>
      <c r="XCW46" s="468"/>
      <c r="XCX46" s="468"/>
      <c r="XCY46" s="468"/>
      <c r="XCZ46" s="468"/>
      <c r="XDA46" s="468"/>
      <c r="XDB46" s="468"/>
      <c r="XDC46" s="468"/>
      <c r="XDD46" s="468"/>
      <c r="XDE46" s="468"/>
      <c r="XDF46" s="468"/>
      <c r="XDG46" s="468"/>
      <c r="XDH46" s="468"/>
      <c r="XDI46" s="468"/>
      <c r="XDJ46" s="468"/>
      <c r="XDK46" s="468"/>
      <c r="XDL46" s="468"/>
      <c r="XDM46" s="468"/>
      <c r="XDN46" s="468"/>
      <c r="XDO46" s="468"/>
      <c r="XDP46" s="468"/>
      <c r="XDQ46" s="468"/>
      <c r="XDR46" s="468"/>
      <c r="XDS46" s="468"/>
      <c r="XDT46" s="468"/>
      <c r="XDU46" s="468"/>
      <c r="XDV46" s="468"/>
      <c r="XDW46" s="468"/>
      <c r="XDX46" s="468"/>
      <c r="XDY46" s="468"/>
      <c r="XDZ46" s="468"/>
      <c r="XEA46" s="468"/>
      <c r="XEB46" s="468"/>
      <c r="XEC46" s="468"/>
      <c r="XED46" s="468"/>
      <c r="XEE46" s="468"/>
      <c r="XEF46" s="468"/>
      <c r="XEG46" s="468"/>
      <c r="XEH46" s="468"/>
      <c r="XEI46" s="468"/>
      <c r="XEJ46" s="468"/>
      <c r="XEK46" s="468"/>
      <c r="XEL46" s="468"/>
      <c r="XEM46" s="468"/>
      <c r="XEN46" s="468"/>
      <c r="XEO46" s="468"/>
      <c r="XEP46" s="468"/>
      <c r="XEQ46" s="468"/>
      <c r="XER46" s="468"/>
      <c r="XES46" s="468"/>
      <c r="XET46" s="468"/>
      <c r="XEU46" s="468"/>
    </row>
  </sheetData>
  <autoFilter ref="A8:AB46" xr:uid="{860AB2DC-3A1C-4191-A40F-0B23C3F8FED1}"/>
  <mergeCells count="2">
    <mergeCell ref="A1:B1"/>
    <mergeCell ref="C1:AB1"/>
  </mergeCells>
  <phoneticPr fontId="5" type="noConversion"/>
  <conditionalFormatting sqref="R22">
    <cfRule type="expression" dxfId="4" priority="3">
      <formula>"Y(o3&gt;0,k3&lt;hoy())"</formula>
    </cfRule>
    <cfRule type="cellIs" dxfId="3" priority="4" operator="lessThan">
      <formula>TODAY()</formula>
    </cfRule>
  </conditionalFormatting>
  <conditionalFormatting sqref="Z33:Z41">
    <cfRule type="expression" dxfId="2" priority="1">
      <formula>"Y(o3&gt;0,k3&lt;hoy())"</formula>
    </cfRule>
    <cfRule type="cellIs" dxfId="1" priority="2" operator="lessThan">
      <formula>TODAY()</formula>
    </cfRule>
  </conditionalFormatting>
  <conditionalFormatting sqref="AA47:AA1048576">
    <cfRule type="cellIs" dxfId="0" priority="5" operator="greaterThanOrEqual">
      <formula>0</formula>
    </cfRule>
  </conditionalFormatting>
  <dataValidations count="3">
    <dataValidation type="list" allowBlank="1" showInputMessage="1" showErrorMessage="1" sqref="J9:J17 J19:J22 J24:J25 J27:J28 J30:J1048576" xr:uid="{68C01416-77AB-4345-B885-57ECE99B183D}">
      <formula1>"USD, EUR, DOP"</formula1>
    </dataValidation>
    <dataValidation type="list" allowBlank="1" showInputMessage="1" showErrorMessage="1" sqref="H9:H25 H27:H28 H30:H1048576" xr:uid="{4DC61AF9-2212-4415-8F2B-203DDB8A6868}">
      <formula1>"LOCAL (GRSM), IMPORTACION (GRIM)"</formula1>
    </dataValidation>
    <dataValidation type="list" allowBlank="1" showInputMessage="1" showErrorMessage="1" sqref="I9:I28 I30:I1048576" xr:uid="{A8C13C57-C43C-4EC0-BCE9-E6FE1BF9D52C}">
      <formula1>"OBRA, AF01, FCA, FOB, Ex Works, CFR, 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CB80-8A12-4947-9689-81DC24E7C13B}">
  <sheetPr codeName="Hoja14"/>
  <dimension ref="A1:H27"/>
  <sheetViews>
    <sheetView showGridLines="0" workbookViewId="0">
      <selection activeCell="A8" sqref="A8"/>
    </sheetView>
  </sheetViews>
  <sheetFormatPr baseColWidth="10" defaultColWidth="11.44140625" defaultRowHeight="14.4" x14ac:dyDescent="0.3"/>
  <cols>
    <col min="1" max="1" width="72.5546875" customWidth="1"/>
    <col min="2" max="3" width="41.109375" customWidth="1"/>
    <col min="8" max="8" width="14.6640625" bestFit="1" customWidth="1"/>
  </cols>
  <sheetData>
    <row r="1" spans="1:3" x14ac:dyDescent="0.3">
      <c r="A1" t="s">
        <v>1269</v>
      </c>
      <c r="B1" s="355" t="s">
        <v>779</v>
      </c>
      <c r="C1" s="355" t="s">
        <v>573</v>
      </c>
    </row>
    <row r="2" spans="1:3" x14ac:dyDescent="0.3">
      <c r="A2" s="450" t="s">
        <v>1271</v>
      </c>
      <c r="B2" s="453" t="s">
        <v>1270</v>
      </c>
      <c r="C2" s="453"/>
    </row>
    <row r="3" spans="1:3" x14ac:dyDescent="0.3">
      <c r="A3" s="450" t="s">
        <v>1272</v>
      </c>
      <c r="B3" s="453" t="s">
        <v>1338</v>
      </c>
      <c r="C3" s="453" t="s">
        <v>1339</v>
      </c>
    </row>
    <row r="4" spans="1:3" x14ac:dyDescent="0.3">
      <c r="A4" s="450" t="s">
        <v>1335</v>
      </c>
      <c r="B4" s="483" t="s">
        <v>1270</v>
      </c>
      <c r="C4" s="483"/>
    </row>
    <row r="5" spans="1:3" x14ac:dyDescent="0.3">
      <c r="A5" s="450" t="s">
        <v>1273</v>
      </c>
      <c r="B5" s="483" t="s">
        <v>1270</v>
      </c>
      <c r="C5" s="483"/>
    </row>
    <row r="6" spans="1:3" x14ac:dyDescent="0.3">
      <c r="A6" s="450" t="s">
        <v>1274</v>
      </c>
      <c r="B6" s="483" t="s">
        <v>1270</v>
      </c>
      <c r="C6" s="483"/>
    </row>
    <row r="7" spans="1:3" x14ac:dyDescent="0.3">
      <c r="A7" s="450" t="s">
        <v>1323</v>
      </c>
      <c r="B7" s="483" t="s">
        <v>1337</v>
      </c>
      <c r="C7" s="483" t="s">
        <v>1336</v>
      </c>
    </row>
    <row r="8" spans="1:3" x14ac:dyDescent="0.3">
      <c r="A8" s="450" t="s">
        <v>1324</v>
      </c>
      <c r="B8" s="483" t="s">
        <v>1322</v>
      </c>
      <c r="C8" s="483" t="s">
        <v>1321</v>
      </c>
    </row>
    <row r="9" spans="1:3" x14ac:dyDescent="0.3">
      <c r="A9" s="450"/>
      <c r="B9" s="453"/>
      <c r="C9" s="453"/>
    </row>
    <row r="10" spans="1:3" x14ac:dyDescent="0.3">
      <c r="A10" s="450"/>
      <c r="B10" s="453"/>
      <c r="C10" s="453"/>
    </row>
    <row r="11" spans="1:3" x14ac:dyDescent="0.3">
      <c r="A11" s="450"/>
      <c r="B11" s="453"/>
      <c r="C11" s="453"/>
    </row>
    <row r="13" spans="1:3" ht="15" thickBot="1" x14ac:dyDescent="0.35"/>
    <row r="14" spans="1:3" ht="16.2" thickBot="1" x14ac:dyDescent="0.35">
      <c r="A14" s="550" t="s">
        <v>1275</v>
      </c>
      <c r="B14" s="551"/>
    </row>
    <row r="15" spans="1:3" ht="15.6" x14ac:dyDescent="0.3">
      <c r="A15" s="552" t="s">
        <v>1276</v>
      </c>
      <c r="B15" s="553"/>
    </row>
    <row r="16" spans="1:3" ht="15.6" x14ac:dyDescent="0.3">
      <c r="A16" s="546" t="s">
        <v>1277</v>
      </c>
      <c r="B16" s="547"/>
    </row>
    <row r="17" spans="1:8" ht="15.6" x14ac:dyDescent="0.3">
      <c r="A17" s="546" t="s">
        <v>1278</v>
      </c>
      <c r="B17" s="547"/>
    </row>
    <row r="18" spans="1:8" ht="15.6" x14ac:dyDescent="0.3">
      <c r="A18" s="546" t="s">
        <v>1279</v>
      </c>
      <c r="B18" s="547"/>
    </row>
    <row r="19" spans="1:8" ht="15.6" x14ac:dyDescent="0.3">
      <c r="A19" s="546" t="s">
        <v>1280</v>
      </c>
      <c r="B19" s="547"/>
    </row>
    <row r="20" spans="1:8" ht="15.6" x14ac:dyDescent="0.3">
      <c r="A20" s="546" t="s">
        <v>1281</v>
      </c>
      <c r="B20" s="547"/>
    </row>
    <row r="21" spans="1:8" ht="15.6" x14ac:dyDescent="0.3">
      <c r="A21" s="484" t="s">
        <v>1282</v>
      </c>
      <c r="B21" s="485"/>
    </row>
    <row r="22" spans="1:8" ht="16.2" thickBot="1" x14ac:dyDescent="0.35">
      <c r="A22" s="548" t="s">
        <v>1283</v>
      </c>
      <c r="B22" s="549"/>
      <c r="H22">
        <v>59</v>
      </c>
    </row>
    <row r="25" spans="1:8" x14ac:dyDescent="0.3">
      <c r="G25">
        <v>4600080374</v>
      </c>
    </row>
    <row r="26" spans="1:8" x14ac:dyDescent="0.3">
      <c r="G26" s="411">
        <v>209687.91</v>
      </c>
      <c r="H26" s="427">
        <f>+G26*H22</f>
        <v>12371586.689999999</v>
      </c>
    </row>
    <row r="27" spans="1:8" x14ac:dyDescent="0.3">
      <c r="G27">
        <v>265000</v>
      </c>
      <c r="H27" s="427">
        <f>+G27*H22</f>
        <v>15635000</v>
      </c>
    </row>
  </sheetData>
  <mergeCells count="8">
    <mergeCell ref="A20:B20"/>
    <mergeCell ref="A22:B22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23BF-FBCA-488F-BAA7-76443A40BE8C}">
  <sheetPr codeName="Hoja16">
    <tabColor theme="9" tint="-0.249977111117893"/>
  </sheetPr>
  <dimension ref="A1:O27"/>
  <sheetViews>
    <sheetView showGridLines="0" zoomScaleNormal="100" workbookViewId="0">
      <selection activeCell="E16" sqref="E16"/>
    </sheetView>
  </sheetViews>
  <sheetFormatPr baseColWidth="10" defaultColWidth="11.44140625" defaultRowHeight="14.4" x14ac:dyDescent="0.3"/>
  <cols>
    <col min="1" max="1" width="16.5546875" style="54" customWidth="1"/>
    <col min="2" max="2" width="28.44140625" style="54" customWidth="1"/>
    <col min="3" max="3" width="21.44140625" style="55" customWidth="1"/>
    <col min="4" max="4" width="6.44140625" style="54" customWidth="1"/>
    <col min="5" max="5" width="27.5546875" style="54" customWidth="1"/>
    <col min="6" max="6" width="19.5546875" style="54" customWidth="1"/>
    <col min="7" max="7" width="4.5546875" style="54" customWidth="1"/>
    <col min="8" max="8" width="27.5546875" style="54" customWidth="1"/>
    <col min="9" max="9" width="19.44140625" style="54" customWidth="1"/>
    <col min="10" max="10" width="4.44140625" style="54" customWidth="1"/>
    <col min="11" max="11" width="24.5546875" style="54" customWidth="1"/>
    <col min="12" max="12" width="19.5546875" style="54" customWidth="1"/>
    <col min="13" max="13" width="5.5546875" style="54" customWidth="1"/>
    <col min="14" max="14" width="22.44140625" style="54" bestFit="1" customWidth="1"/>
    <col min="15" max="15" width="24.5546875" style="54" customWidth="1"/>
    <col min="16" max="16384" width="11.44140625" style="54"/>
  </cols>
  <sheetData>
    <row r="1" spans="1:15" x14ac:dyDescent="0.3">
      <c r="A1" s="104" t="s">
        <v>528</v>
      </c>
      <c r="B1" s="104" t="s">
        <v>1284</v>
      </c>
      <c r="C1" s="103" t="s">
        <v>1285</v>
      </c>
    </row>
    <row r="2" spans="1:15" s="56" customFormat="1" ht="28.8" x14ac:dyDescent="0.3">
      <c r="A2" s="102"/>
      <c r="B2" s="101" t="s">
        <v>1286</v>
      </c>
      <c r="C2" s="100">
        <v>10000</v>
      </c>
      <c r="E2" s="99" t="s">
        <v>1287</v>
      </c>
      <c r="F2" s="98">
        <v>1</v>
      </c>
    </row>
    <row r="3" spans="1:15" ht="15.6" x14ac:dyDescent="0.3">
      <c r="A3" s="96"/>
      <c r="B3" s="60" t="s">
        <v>1288</v>
      </c>
      <c r="C3" s="94">
        <v>0</v>
      </c>
      <c r="E3" s="60" t="s">
        <v>1289</v>
      </c>
      <c r="F3" s="97">
        <v>1</v>
      </c>
    </row>
    <row r="4" spans="1:15" ht="15.6" x14ac:dyDescent="0.3">
      <c r="A4" s="96"/>
      <c r="B4" s="60" t="s">
        <v>1290</v>
      </c>
      <c r="C4" s="94">
        <v>1000</v>
      </c>
    </row>
    <row r="5" spans="1:15" ht="15.6" x14ac:dyDescent="0.3">
      <c r="A5" s="95">
        <v>57.85</v>
      </c>
      <c r="B5" s="60" t="s">
        <v>1291</v>
      </c>
      <c r="C5" s="94">
        <f>C2+C3+C4</f>
        <v>11000</v>
      </c>
    </row>
    <row r="6" spans="1:15" ht="15.6" x14ac:dyDescent="0.3">
      <c r="A6" s="93"/>
      <c r="C6" s="92"/>
    </row>
    <row r="7" spans="1:15" ht="16.2" thickBot="1" x14ac:dyDescent="0.35">
      <c r="A7" s="93"/>
      <c r="C7" s="92"/>
    </row>
    <row r="8" spans="1:15" s="91" customFormat="1" ht="30" customHeight="1" thickBot="1" x14ac:dyDescent="0.35">
      <c r="B8" s="556" t="s">
        <v>787</v>
      </c>
      <c r="C8" s="557"/>
      <c r="E8" s="556" t="s">
        <v>1292</v>
      </c>
      <c r="F8" s="557"/>
      <c r="H8" s="556" t="s">
        <v>1293</v>
      </c>
      <c r="I8" s="557"/>
      <c r="K8" s="558" t="s">
        <v>1294</v>
      </c>
      <c r="L8" s="559"/>
      <c r="N8" s="558" t="s">
        <v>1200</v>
      </c>
      <c r="O8" s="559"/>
    </row>
    <row r="9" spans="1:15" ht="15" thickBot="1" x14ac:dyDescent="0.35">
      <c r="B9" s="560" t="s">
        <v>1295</v>
      </c>
      <c r="C9" s="561"/>
      <c r="E9" s="560" t="s">
        <v>1295</v>
      </c>
      <c r="F9" s="561"/>
      <c r="H9" s="560" t="s">
        <v>1295</v>
      </c>
      <c r="I9" s="561"/>
      <c r="K9" s="560" t="s">
        <v>1295</v>
      </c>
      <c r="L9" s="561"/>
      <c r="N9" s="560" t="s">
        <v>1295</v>
      </c>
      <c r="O9" s="561"/>
    </row>
    <row r="10" spans="1:15" s="86" customFormat="1" ht="29.25" customHeight="1" x14ac:dyDescent="0.3">
      <c r="A10" s="90" t="s">
        <v>1296</v>
      </c>
      <c r="B10" s="89">
        <v>12500</v>
      </c>
      <c r="C10" s="87">
        <f>(B10*F2)*$A$5</f>
        <v>723125</v>
      </c>
      <c r="E10" s="88">
        <v>9000</v>
      </c>
      <c r="F10" s="87">
        <f>E10*$A$5</f>
        <v>520650</v>
      </c>
      <c r="H10" s="88">
        <v>41855</v>
      </c>
      <c r="I10" s="87">
        <f>H10*$A$5</f>
        <v>2421311.75</v>
      </c>
      <c r="K10" s="88">
        <v>4500</v>
      </c>
      <c r="L10" s="87">
        <f>K10*$A$5</f>
        <v>260325</v>
      </c>
      <c r="N10" s="88">
        <v>1467.67</v>
      </c>
      <c r="O10" s="87">
        <f>N10*$A$5</f>
        <v>84904.709500000012</v>
      </c>
    </row>
    <row r="11" spans="1:15" s="81" customFormat="1" ht="15.75" customHeight="1" x14ac:dyDescent="0.3">
      <c r="B11" s="85">
        <v>0</v>
      </c>
      <c r="C11" s="84">
        <f>B11*$A$5</f>
        <v>0</v>
      </c>
      <c r="E11" s="83"/>
      <c r="F11" s="82"/>
      <c r="H11" s="83"/>
      <c r="I11" s="82"/>
      <c r="K11" s="83"/>
      <c r="L11" s="82"/>
      <c r="N11" s="83"/>
      <c r="O11" s="82"/>
    </row>
    <row r="12" spans="1:15" s="81" customFormat="1" ht="15.75" customHeight="1" x14ac:dyDescent="0.3">
      <c r="B12" s="554" t="s">
        <v>1297</v>
      </c>
      <c r="C12" s="555"/>
      <c r="E12" s="554" t="s">
        <v>1297</v>
      </c>
      <c r="F12" s="555"/>
      <c r="H12" s="554" t="s">
        <v>1297</v>
      </c>
      <c r="I12" s="555"/>
      <c r="K12" s="554" t="s">
        <v>1297</v>
      </c>
      <c r="L12" s="555"/>
      <c r="N12" s="554" t="s">
        <v>1297</v>
      </c>
      <c r="O12" s="555"/>
    </row>
    <row r="13" spans="1:15" ht="15.75" customHeight="1" x14ac:dyDescent="0.3">
      <c r="B13" s="80" t="s">
        <v>1298</v>
      </c>
      <c r="C13" s="73">
        <f>($C$2*0.0025)*$A$5</f>
        <v>1446.25</v>
      </c>
      <c r="E13" s="80" t="s">
        <v>1298</v>
      </c>
      <c r="F13" s="73">
        <f>($C$5*0.0025)*$A$5</f>
        <v>1590.875</v>
      </c>
      <c r="H13" s="80" t="s">
        <v>1298</v>
      </c>
      <c r="I13" s="73">
        <f>($C$5*0.0025)*$A$5</f>
        <v>1590.875</v>
      </c>
      <c r="K13" s="80" t="s">
        <v>1298</v>
      </c>
      <c r="L13" s="73">
        <f>($C$5*0.0025)*$A$5</f>
        <v>1590.875</v>
      </c>
      <c r="N13" s="80" t="s">
        <v>1298</v>
      </c>
      <c r="O13" s="73">
        <f>($C$5*0.0025)*$A$5</f>
        <v>1590.875</v>
      </c>
    </row>
    <row r="14" spans="1:15" x14ac:dyDescent="0.3">
      <c r="B14" s="80" t="s">
        <v>1299</v>
      </c>
      <c r="C14" s="73">
        <f>($C$5*$A$5)+C10+C13</f>
        <v>1360921.25</v>
      </c>
      <c r="E14" s="80" t="s">
        <v>1299</v>
      </c>
      <c r="F14" s="73">
        <f>($C$5*$A$5)+F10+F13</f>
        <v>1158590.875</v>
      </c>
      <c r="H14" s="80" t="s">
        <v>1299</v>
      </c>
      <c r="I14" s="73">
        <f>($C$5*$A$5)+I10+I13</f>
        <v>3059252.625</v>
      </c>
      <c r="K14" s="80" t="s">
        <v>1299</v>
      </c>
      <c r="L14" s="73">
        <f>($C$5*$A$5)+L10+L13</f>
        <v>898265.875</v>
      </c>
      <c r="N14" s="80" t="s">
        <v>1299</v>
      </c>
      <c r="O14" s="73">
        <f>($C$5*$A$5)+O10+O13</f>
        <v>722845.5845</v>
      </c>
    </row>
    <row r="15" spans="1:15" x14ac:dyDescent="0.3">
      <c r="B15" s="79" t="s">
        <v>1300</v>
      </c>
      <c r="C15" s="72">
        <f>C14*20%</f>
        <v>272184.25</v>
      </c>
      <c r="E15" s="79" t="s">
        <v>1301</v>
      </c>
      <c r="F15" s="70">
        <f>F14*14%</f>
        <v>162202.7225</v>
      </c>
      <c r="H15" s="79" t="s">
        <v>1302</v>
      </c>
      <c r="I15" s="70">
        <f>I14*0%</f>
        <v>0</v>
      </c>
      <c r="K15" s="79" t="s">
        <v>1300</v>
      </c>
      <c r="L15" s="70">
        <f>L14*20%</f>
        <v>179653.17500000002</v>
      </c>
      <c r="N15" s="79" t="s">
        <v>1300</v>
      </c>
      <c r="O15" s="70">
        <f>O14*14%</f>
        <v>101198.38183000001</v>
      </c>
    </row>
    <row r="16" spans="1:15" x14ac:dyDescent="0.3">
      <c r="B16" s="79" t="s">
        <v>1303</v>
      </c>
      <c r="C16" s="72">
        <f>C14*18%</f>
        <v>244965.82499999998</v>
      </c>
      <c r="E16" s="79" t="s">
        <v>1303</v>
      </c>
      <c r="F16" s="70">
        <f>F14*18%</f>
        <v>208546.35749999998</v>
      </c>
      <c r="H16" s="79" t="s">
        <v>1303</v>
      </c>
      <c r="I16" s="70">
        <f>I14*18%</f>
        <v>550665.47250000003</v>
      </c>
      <c r="K16" s="79" t="s">
        <v>1303</v>
      </c>
      <c r="L16" s="70">
        <f>L14*18%</f>
        <v>161687.85749999998</v>
      </c>
      <c r="N16" s="79" t="s">
        <v>1303</v>
      </c>
      <c r="O16" s="70">
        <f>O14*18%</f>
        <v>130112.20521</v>
      </c>
    </row>
    <row r="17" spans="2:15" ht="18" customHeight="1" x14ac:dyDescent="0.3">
      <c r="B17" s="77" t="s">
        <v>1304</v>
      </c>
      <c r="C17" s="78">
        <v>8000</v>
      </c>
      <c r="E17" s="77" t="s">
        <v>1304</v>
      </c>
      <c r="F17" s="76">
        <v>8000</v>
      </c>
      <c r="H17" s="77" t="s">
        <v>1304</v>
      </c>
      <c r="I17" s="76">
        <v>8000</v>
      </c>
      <c r="K17" s="77" t="s">
        <v>1304</v>
      </c>
      <c r="L17" s="76">
        <v>8000</v>
      </c>
      <c r="N17" s="77" t="s">
        <v>1304</v>
      </c>
      <c r="O17" s="76">
        <v>8000</v>
      </c>
    </row>
    <row r="18" spans="2:15" x14ac:dyDescent="0.3">
      <c r="B18" s="74" t="s">
        <v>1305</v>
      </c>
      <c r="C18" s="75">
        <v>7000</v>
      </c>
      <c r="E18" s="74" t="s">
        <v>1305</v>
      </c>
      <c r="F18" s="73">
        <v>5800</v>
      </c>
      <c r="H18" s="74" t="s">
        <v>1305</v>
      </c>
      <c r="I18" s="73">
        <v>5800</v>
      </c>
      <c r="K18" s="74" t="s">
        <v>1305</v>
      </c>
      <c r="L18" s="73">
        <v>5800</v>
      </c>
      <c r="N18" s="74" t="s">
        <v>1305</v>
      </c>
      <c r="O18" s="73">
        <v>5800</v>
      </c>
    </row>
    <row r="19" spans="2:15" x14ac:dyDescent="0.3">
      <c r="B19" s="71" t="s">
        <v>1306</v>
      </c>
      <c r="C19" s="72">
        <v>6000</v>
      </c>
      <c r="E19" s="71" t="s">
        <v>1306</v>
      </c>
      <c r="F19" s="70">
        <v>6000</v>
      </c>
      <c r="H19" s="71" t="s">
        <v>1306</v>
      </c>
      <c r="I19" s="70">
        <v>6000</v>
      </c>
      <c r="K19" s="71" t="s">
        <v>1306</v>
      </c>
      <c r="L19" s="70">
        <v>6000</v>
      </c>
      <c r="N19" s="71" t="s">
        <v>1306</v>
      </c>
      <c r="O19" s="70">
        <v>6000</v>
      </c>
    </row>
    <row r="20" spans="2:15" ht="31.5" customHeight="1" thickBot="1" x14ac:dyDescent="0.35">
      <c r="B20" s="68" t="s">
        <v>1307</v>
      </c>
      <c r="C20" s="69">
        <f>(1750+1500+4000)*F2</f>
        <v>7250</v>
      </c>
      <c r="E20" s="68" t="s">
        <v>1307</v>
      </c>
      <c r="F20" s="67">
        <f>1750+1500+4000</f>
        <v>7250</v>
      </c>
      <c r="H20" s="68" t="s">
        <v>1307</v>
      </c>
      <c r="I20" s="67">
        <f>1750+1500+4000</f>
        <v>7250</v>
      </c>
      <c r="K20" s="68" t="s">
        <v>1307</v>
      </c>
      <c r="L20" s="67">
        <f>1750+1500+4000</f>
        <v>7250</v>
      </c>
      <c r="N20" s="68" t="s">
        <v>1307</v>
      </c>
      <c r="O20" s="67">
        <f>1750+1500+4000</f>
        <v>7250</v>
      </c>
    </row>
    <row r="21" spans="2:15" s="64" customFormat="1" ht="36.75" customHeight="1" x14ac:dyDescent="0.3">
      <c r="B21" s="66" t="s">
        <v>1308</v>
      </c>
      <c r="C21" s="65">
        <f>SUM(C14:C20)</f>
        <v>1906321.325</v>
      </c>
      <c r="E21" s="66" t="s">
        <v>1308</v>
      </c>
      <c r="F21" s="65">
        <f>SUM(F14:F20)</f>
        <v>1556389.9549999998</v>
      </c>
      <c r="H21" s="66" t="s">
        <v>1308</v>
      </c>
      <c r="I21" s="65">
        <f>SUM(I14:I20)</f>
        <v>3636968.0975000001</v>
      </c>
      <c r="K21" s="66" t="s">
        <v>1308</v>
      </c>
      <c r="L21" s="65">
        <f>SUM(L14:L20)</f>
        <v>1266656.9075</v>
      </c>
      <c r="N21" s="66" t="s">
        <v>1308</v>
      </c>
      <c r="O21" s="65">
        <f>SUM(O14:O20)</f>
        <v>981206.17154000001</v>
      </c>
    </row>
    <row r="22" spans="2:15" x14ac:dyDescent="0.3">
      <c r="B22" s="60" t="s">
        <v>1309</v>
      </c>
      <c r="C22" s="62">
        <f>C10+C15+C17+C18+C19+C20</f>
        <v>1023559.25</v>
      </c>
      <c r="E22" s="60" t="s">
        <v>1309</v>
      </c>
      <c r="F22" s="62">
        <f>F10+F15+F17+F18+F19+F20</f>
        <v>709902.72250000003</v>
      </c>
      <c r="H22" s="60" t="s">
        <v>1309</v>
      </c>
      <c r="I22" s="62">
        <f>I10+I15+I17+I18+I19+I20</f>
        <v>2448361.75</v>
      </c>
      <c r="K22" s="63" t="s">
        <v>1309</v>
      </c>
      <c r="L22" s="62">
        <f>L10+L15+L17+L18+L19+L20</f>
        <v>467028.17500000005</v>
      </c>
      <c r="N22" s="60" t="s">
        <v>1309</v>
      </c>
      <c r="O22" s="62">
        <f>O10+O15+O17+O18+O19+O20</f>
        <v>213153.09133000002</v>
      </c>
    </row>
    <row r="23" spans="2:15" x14ac:dyDescent="0.3">
      <c r="B23" s="60" t="s">
        <v>1310</v>
      </c>
      <c r="C23" s="62">
        <f>$C$5*$A$5</f>
        <v>636350</v>
      </c>
      <c r="E23" s="60" t="s">
        <v>1310</v>
      </c>
      <c r="F23" s="62">
        <f>$C$5*$A$5</f>
        <v>636350</v>
      </c>
      <c r="H23" s="60" t="s">
        <v>1310</v>
      </c>
      <c r="I23" s="62">
        <f>$C$5*$A$5</f>
        <v>636350</v>
      </c>
      <c r="K23" s="60" t="s">
        <v>1310</v>
      </c>
      <c r="L23" s="62">
        <f>$C$5*$A$5</f>
        <v>636350</v>
      </c>
      <c r="N23" s="60" t="s">
        <v>1310</v>
      </c>
      <c r="O23" s="62">
        <f>$C$5*$A$5</f>
        <v>636350</v>
      </c>
    </row>
    <row r="24" spans="2:15" x14ac:dyDescent="0.3">
      <c r="B24" s="60" t="s">
        <v>1303</v>
      </c>
      <c r="C24" s="61">
        <f>C16</f>
        <v>244965.82499999998</v>
      </c>
      <c r="E24" s="60" t="s">
        <v>1303</v>
      </c>
      <c r="F24" s="61">
        <f>F16</f>
        <v>208546.35749999998</v>
      </c>
      <c r="H24" s="60" t="s">
        <v>1303</v>
      </c>
      <c r="I24" s="61">
        <f>I16</f>
        <v>550665.47250000003</v>
      </c>
      <c r="K24" s="60" t="s">
        <v>1303</v>
      </c>
      <c r="L24" s="61">
        <f>L16</f>
        <v>161687.85749999998</v>
      </c>
      <c r="N24" s="60" t="s">
        <v>1303</v>
      </c>
      <c r="O24" s="61">
        <f>O16</f>
        <v>130112.20521</v>
      </c>
    </row>
    <row r="25" spans="2:15" x14ac:dyDescent="0.3">
      <c r="B25" s="60" t="s">
        <v>1311</v>
      </c>
      <c r="C25" s="59">
        <f>C22/C23</f>
        <v>1.6084847175296613</v>
      </c>
      <c r="E25" s="60" t="s">
        <v>1311</v>
      </c>
      <c r="F25" s="59">
        <f>F22/F23</f>
        <v>1.1155853264712816</v>
      </c>
      <c r="H25" s="60" t="s">
        <v>1311</v>
      </c>
      <c r="I25" s="59">
        <f>I22/I23</f>
        <v>3.8475080537440087</v>
      </c>
      <c r="K25" s="60" t="s">
        <v>1311</v>
      </c>
      <c r="L25" s="59">
        <f>L22/L23</f>
        <v>0.73391714465309976</v>
      </c>
      <c r="N25" s="60" t="s">
        <v>1311</v>
      </c>
      <c r="O25" s="59">
        <f>O22/O23</f>
        <v>0.33496203556219067</v>
      </c>
    </row>
    <row r="26" spans="2:15" x14ac:dyDescent="0.3">
      <c r="B26" s="58" t="s">
        <v>1312</v>
      </c>
      <c r="C26" s="57">
        <f>(C22+C24)/C23</f>
        <v>1.9934392629842068</v>
      </c>
      <c r="E26" s="58" t="s">
        <v>1312</v>
      </c>
      <c r="F26" s="57">
        <f>(F22+F24)/F23</f>
        <v>1.4433080537440088</v>
      </c>
      <c r="H26" s="58" t="s">
        <v>1312</v>
      </c>
      <c r="I26" s="57">
        <f>(I22+I24)/I23</f>
        <v>4.712858053744009</v>
      </c>
      <c r="K26" s="58" t="s">
        <v>1312</v>
      </c>
      <c r="L26" s="57">
        <f>(L22+L24)/L23</f>
        <v>0.98800350828946326</v>
      </c>
      <c r="N26" s="58" t="s">
        <v>1312</v>
      </c>
      <c r="O26" s="57">
        <f>(O22+O24)/O23</f>
        <v>0.53942845374400883</v>
      </c>
    </row>
    <row r="27" spans="2:15" s="56" customFormat="1" ht="59.25" customHeight="1" x14ac:dyDescent="0.3">
      <c r="B27" s="564" t="s">
        <v>1313</v>
      </c>
      <c r="C27" s="564"/>
      <c r="E27" s="564" t="s">
        <v>1314</v>
      </c>
      <c r="F27" s="564"/>
      <c r="H27" s="564" t="s">
        <v>1315</v>
      </c>
      <c r="I27" s="564"/>
      <c r="K27" s="564" t="s">
        <v>1316</v>
      </c>
      <c r="L27" s="564"/>
      <c r="N27" s="562" t="s">
        <v>1316</v>
      </c>
      <c r="O27" s="563"/>
    </row>
  </sheetData>
  <mergeCells count="20">
    <mergeCell ref="B12:C12"/>
    <mergeCell ref="B8:C8"/>
    <mergeCell ref="B9:C9"/>
    <mergeCell ref="E9:F9"/>
    <mergeCell ref="H9:I9"/>
    <mergeCell ref="E12:F12"/>
    <mergeCell ref="H12:I12"/>
    <mergeCell ref="N27:O27"/>
    <mergeCell ref="B27:C27"/>
    <mergeCell ref="E27:F27"/>
    <mergeCell ref="H27:I27"/>
    <mergeCell ref="K27:L27"/>
    <mergeCell ref="K12:L12"/>
    <mergeCell ref="E8:F8"/>
    <mergeCell ref="H8:I8"/>
    <mergeCell ref="K8:L8"/>
    <mergeCell ref="N8:O8"/>
    <mergeCell ref="N9:O9"/>
    <mergeCell ref="K9:L9"/>
    <mergeCell ref="N12:O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63F6649AD307468957A5075F0F351D" ma:contentTypeVersion="20" ma:contentTypeDescription="Crear nuevo documento." ma:contentTypeScope="" ma:versionID="c08624b0f9acfa229d338fae07c77eff">
  <xsd:schema xmlns:xsd="http://www.w3.org/2001/XMLSchema" xmlns:xs="http://www.w3.org/2001/XMLSchema" xmlns:p="http://schemas.microsoft.com/office/2006/metadata/properties" xmlns:ns1="http://schemas.microsoft.com/sharepoint/v3" xmlns:ns2="66e2d49c-54f0-4ad3-9b99-b0d0debbc4b6" xmlns:ns3="bb2fa667-4588-4881-9529-56fb49c453cc" targetNamespace="http://schemas.microsoft.com/office/2006/metadata/properties" ma:root="true" ma:fieldsID="98cf4d67a75678713553abf6f3c1bdfb" ns1:_="" ns2:_="" ns3:_="">
    <xsd:import namespace="http://schemas.microsoft.com/sharepoint/v3"/>
    <xsd:import namespace="66e2d49c-54f0-4ad3-9b99-b0d0debbc4b6"/>
    <xsd:import namespace="bb2fa667-4588-4881-9529-56fb49c45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2d49c-54f0-4ad3-9b99-b0d0debb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507462-83c8-406d-8407-3ee0896308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a667-4588-4881-9529-56fb49c453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3defd7-b99d-4f2d-9e28-6d2d795ea719}" ma:internalName="TaxCatchAll" ma:showField="CatchAllData" ma:web="bb2fa667-4588-4881-9529-56fb49c453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e2d49c-54f0-4ad3-9b99-b0d0debbc4b6">
      <Terms xmlns="http://schemas.microsoft.com/office/infopath/2007/PartnerControls"/>
    </lcf76f155ced4ddcb4097134ff3c332f>
    <TaxCatchAll xmlns="bb2fa667-4588-4881-9529-56fb49c453cc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C924A-19BA-4C77-B981-D3996648B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e2d49c-54f0-4ad3-9b99-b0d0debbc4b6"/>
    <ds:schemaRef ds:uri="bb2fa667-4588-4881-9529-56fb49c453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FEE89B-ED60-4910-B237-042BF30D6ACA}">
  <ds:schemaRefs>
    <ds:schemaRef ds:uri="http://purl.org/dc/elements/1.1/"/>
    <ds:schemaRef ds:uri="66e2d49c-54f0-4ad3-9b99-b0d0debbc4b6"/>
    <ds:schemaRef ds:uri="http://schemas.microsoft.com/sharepoint/v3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b2fa667-4588-4881-9529-56fb49c453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281AE6-55DA-42C1-92D8-53679401B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Actualización</vt:lpstr>
      <vt:lpstr>Plan OI</vt:lpstr>
      <vt:lpstr>Hoja1</vt:lpstr>
      <vt:lpstr>Flujo de Caja</vt:lpstr>
      <vt:lpstr>Presupuesto</vt:lpstr>
      <vt:lpstr>BD Plan Detallado</vt:lpstr>
      <vt:lpstr>Plan trabajo - Seguimiento</vt:lpstr>
      <vt:lpstr>Tiempo-termino Importación</vt:lpstr>
      <vt:lpstr>Cronograma Inverso</vt:lpstr>
      <vt:lpstr>Pressto</vt:lpstr>
      <vt:lpstr>Seguimiento Mao </vt:lpstr>
      <vt:lpstr>Puntos pendientes</vt:lpstr>
      <vt:lpstr>Pre-Liquidar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 Luisa Rosario</dc:creator>
  <cp:keywords/>
  <dc:description/>
  <cp:lastModifiedBy>Yaritza Melendez</cp:lastModifiedBy>
  <cp:revision/>
  <dcterms:created xsi:type="dcterms:W3CDTF">2022-08-02T14:47:06Z</dcterms:created>
  <dcterms:modified xsi:type="dcterms:W3CDTF">2026-09-04T20:43:26Z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6c803-0d12-4084-96d3-26b73f9b324d_Enabled">
    <vt:lpwstr>true</vt:lpwstr>
  </property>
  <property fmtid="{D5CDD505-2E9C-101B-9397-08002B2CF9AE}" pid="3" name="MSIP_Label_66c6c803-0d12-4084-96d3-26b73f9b324d_SetDate">
    <vt:lpwstr>2023-08-18T16:55:19Z</vt:lpwstr>
  </property>
  <property fmtid="{D5CDD505-2E9C-101B-9397-08002B2CF9AE}" pid="4" name="MSIP_Label_66c6c803-0d12-4084-96d3-26b73f9b324d_Method">
    <vt:lpwstr>Standard</vt:lpwstr>
  </property>
  <property fmtid="{D5CDD505-2E9C-101B-9397-08002B2CF9AE}" pid="5" name="MSIP_Label_66c6c803-0d12-4084-96d3-26b73f9b324d_Name">
    <vt:lpwstr>66c6c803-0d12-4084-96d3-26b73f9b324d</vt:lpwstr>
  </property>
  <property fmtid="{D5CDD505-2E9C-101B-9397-08002B2CF9AE}" pid="6" name="MSIP_Label_66c6c803-0d12-4084-96d3-26b73f9b324d_SiteId">
    <vt:lpwstr>a67e2ede-b825-48b9-bbe8-1250eedec66a</vt:lpwstr>
  </property>
  <property fmtid="{D5CDD505-2E9C-101B-9397-08002B2CF9AE}" pid="7" name="MSIP_Label_66c6c803-0d12-4084-96d3-26b73f9b324d_ActionId">
    <vt:lpwstr>2d14c0fd-c7d9-4674-a951-7acbfdea1f4d</vt:lpwstr>
  </property>
  <property fmtid="{D5CDD505-2E9C-101B-9397-08002B2CF9AE}" pid="8" name="MSIP_Label_66c6c803-0d12-4084-96d3-26b73f9b324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0x010100DF63F6649AD307468957A5075F0F351D</vt:lpwstr>
  </property>
</Properties>
</file>