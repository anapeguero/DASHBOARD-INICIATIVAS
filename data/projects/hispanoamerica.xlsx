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gruporamos.sharepoint.com/sites/ComprayControldeActivos/Ger_Compras_Activos_Fijos/Equipo_Compras_de_Activos/Iniciativas Aperturadas/"/>
    </mc:Choice>
  </mc:AlternateContent>
  <xr:revisionPtr revIDLastSave="141" documentId="10_ncr:100_{AFF8FFE0-7FBF-4B7E-AF71-ED11552B4A9B}" xr6:coauthVersionLast="47" xr6:coauthVersionMax="47" xr10:uidLastSave="{F556D225-C105-4894-9DD3-0E4C9BCAED71}"/>
  <bookViews>
    <workbookView xWindow="-108" yWindow="-108" windowWidth="23256" windowHeight="13896" firstSheet="1" activeTab="4" xr2:uid="{51158348-5015-434F-9047-5942B165B60C}"/>
  </bookViews>
  <sheets>
    <sheet name="Consideraciones " sheetId="31" state="hidden" r:id="rId1"/>
    <sheet name="Plan OI" sheetId="4" r:id="rId2"/>
    <sheet name="Flujo de Caja" sheetId="3" r:id="rId3"/>
    <sheet name="Presupuesto" sheetId="9" r:id="rId4"/>
    <sheet name="BD Plan Detallado" sheetId="1" r:id="rId5"/>
    <sheet name="AFEC" sheetId="40" r:id="rId6"/>
    <sheet name="Pressto" sheetId="39" r:id="rId7"/>
    <sheet name="Cronograma Inverso" sheetId="35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\4" localSheetId="7">#REF!</definedName>
    <definedName name="\4">#REF!</definedName>
    <definedName name="\6" localSheetId="7">#REF!</definedName>
    <definedName name="\6">#REF!</definedName>
    <definedName name="\A" localSheetId="7">#REF!</definedName>
    <definedName name="\A">#REF!</definedName>
    <definedName name="\E">#REF!</definedName>
    <definedName name="\I">#REF!</definedName>
    <definedName name="\M">#REF!</definedName>
    <definedName name="\N">#REF!</definedName>
    <definedName name="\O">#REF!</definedName>
    <definedName name="\U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4" hidden="1">'BD Plan Detallado'!$F$368:$H$386</definedName>
    <definedName name="_xlnm._FilterDatabase" localSheetId="7" hidden="1">'Cronograma Inverso'!$A$2:$AF$261</definedName>
    <definedName name="_Key1" localSheetId="7" hidden="1">'[1]ANALISIS STO DGO'!#REF!</definedName>
    <definedName name="_Key1" hidden="1">'[1]ANALISIS STO DGO'!#REF!</definedName>
    <definedName name="_Key2" localSheetId="7" hidden="1">'[1]ANALISIS STO DGO'!#REF!</definedName>
    <definedName name="_Key2" hidden="1">'[1]ANALISIS STO DGO'!#REF!</definedName>
    <definedName name="_Order1" hidden="1">255</definedName>
    <definedName name="_Order2" hidden="1">255</definedName>
    <definedName name="_Sort" localSheetId="7" hidden="1">'[1]ANALISIS STO DGO'!#REF!</definedName>
    <definedName name="_Sort" hidden="1">'[1]ANALISIS STO DGO'!#REF!</definedName>
    <definedName name="ACERO" localSheetId="7">#REF!</definedName>
    <definedName name="ACERO">#REF!</definedName>
    <definedName name="Add_d1" localSheetId="7" hidden="1">#REF!</definedName>
    <definedName name="Add_d1" hidden="1">#REF!</definedName>
    <definedName name="Addvert_2" localSheetId="7" hidden="1">#REF!</definedName>
    <definedName name="Addvert_2" hidden="1">#REF!</definedName>
    <definedName name="adegas">[2]PP!#REF!</definedName>
    <definedName name="adegpressão">[2]PP!#REF!</definedName>
    <definedName name="AGUA" localSheetId="7">#REF!</definedName>
    <definedName name="AGUA">#REF!</definedName>
    <definedName name="ALAMBRE">#REF!</definedName>
    <definedName name="ana_bajante_pluvial_3pulg">[3]ANA!$F$536</definedName>
    <definedName name="ana_caja_inspeccion">[3]ANA!$F$907</definedName>
    <definedName name="ana_codo_pvc_drenaje_2pulgx45">[3]ANA!$F$324</definedName>
    <definedName name="ana_codo_pvc_drenaje_3pulgx45">[3]ANA!$F$331</definedName>
    <definedName name="ana_codo_pvc_drenaje_4pulgx45">[3]ANA!$F$338</definedName>
    <definedName name="ana_codo_pvc_presion_1.5pulg">[3]ANA!$F$275</definedName>
    <definedName name="ana_columna_ventilacion_2pulg">[3]ANA!$F$514</definedName>
    <definedName name="ana_columna_ventilacion_3pulg">[3]ANA!$F$526</definedName>
    <definedName name="ana_coupling_cpvc_1.5pulg">[3]ANA!$F$451</definedName>
    <definedName name="ana_red_pvc_3x2pulg">[3]ANA!$F$429</definedName>
    <definedName name="ana_red_pvc_4x3pulg">[3]ANA!$F$415</definedName>
    <definedName name="ana_red_pvc_presion_1.5x1pulg">[3]ANA!$F$373</definedName>
    <definedName name="ana_tee_pvc_presion_1.5pulg">[3]ANA!$F$190</definedName>
    <definedName name="ana_yee_pvc_drenaje_2pulg">[3]ANA!$F$232</definedName>
    <definedName name="ana_yee_pvc_drenaje_3pulg">[3]ANA!$F$239</definedName>
    <definedName name="ana_yee_pvc_drenaje_4pulg">[3]ANA!$F$246</definedName>
    <definedName name="ANAL_REV.CER" localSheetId="7">#REF!</definedName>
    <definedName name="ANAL_REV.CER">#REF!</definedName>
    <definedName name="APREZIO" localSheetId="7">#REF!</definedName>
    <definedName name="APREZIO">#REF!</definedName>
    <definedName name="Arch_Certification" localSheetId="7" hidden="1">#REF!</definedName>
    <definedName name="Arch_Certification" hidden="1">#REF!</definedName>
    <definedName name="ARENAITABO">#REF!</definedName>
    <definedName name="asdfg" hidden="1">'[1]ANALISIS STO DGO'!#REF!</definedName>
    <definedName name="AUTO_STATUS">OFFSET('[4]5.1'!$T$36:$T$201,,,COUNTA('[4]5.1'!$E$36:$E$201),)</definedName>
    <definedName name="BalancePendPago">[5]Sheet5!$N$31</definedName>
    <definedName name="BalanceToFinish" localSheetId="7">#REF!</definedName>
    <definedName name="BalanceToFinish">#REF!</definedName>
    <definedName name="BaseRetainage" localSheetId="7" hidden="1">#REF!</definedName>
    <definedName name="BaseRetainage" hidden="1">#REF!</definedName>
    <definedName name="BOOLEAN">[6]Lists!$I$2:$I$3</definedName>
    <definedName name="CC_1" localSheetId="7" hidden="1">#REF!</definedName>
    <definedName name="CC_1" hidden="1">#REF!</definedName>
    <definedName name="CC_2" hidden="1">#REF!</definedName>
    <definedName name="CC_3" hidden="1">#REF!</definedName>
    <definedName name="CC_4" hidden="1">#REF!</definedName>
    <definedName name="CC_5" hidden="1">#REF!</definedName>
    <definedName name="CC_6" hidden="1">#REF!</definedName>
    <definedName name="CC_7" hidden="1">#REF!</definedName>
    <definedName name="CC_8" hidden="1">#REF!</definedName>
    <definedName name="CEMENTOGRIS">#REF!</definedName>
    <definedName name="ChangesAdditions" hidden="1">#REF!</definedName>
    <definedName name="ChangesDeletions" hidden="1">#REF!</definedName>
    <definedName name="Clientes">#REF!</definedName>
    <definedName name="Col_Comments1" hidden="1">[7]Detail!#REF!</definedName>
    <definedName name="Cols_Comments" hidden="1">[7]Detail!#REF!</definedName>
    <definedName name="Comments" hidden="1">[7]Detail!#REF!</definedName>
    <definedName name="CompanyName" localSheetId="7" hidden="1">#REF!</definedName>
    <definedName name="CompanyName" hidden="1">#REF!</definedName>
    <definedName name="ContractorName" localSheetId="7" hidden="1">#REF!</definedName>
    <definedName name="ContractorName" hidden="1">#REF!</definedName>
    <definedName name="ContractorsCert" localSheetId="7" hidden="1">#REF!</definedName>
    <definedName name="ContractorsCert" hidden="1">#REF!</definedName>
    <definedName name="ContratoOriginal">[5]Sheet5!$N$15</definedName>
    <definedName name="ContrSignDate" localSheetId="7" hidden="1">#REF!</definedName>
    <definedName name="ContrSignDate" hidden="1">#REF!</definedName>
    <definedName name="CustFields" localSheetId="7" hidden="1">#REF!</definedName>
    <definedName name="CustFields" hidden="1">#REF!</definedName>
    <definedName name="CustFieldsValue" localSheetId="7" hidden="1">#REF!</definedName>
    <definedName name="CustFieldsValue" hidden="1">#REF!</definedName>
    <definedName name="CUSTO_VAR">#REF!</definedName>
    <definedName name="CustomHeadingField" hidden="1">#REF!</definedName>
    <definedName name="CVGQ">#REF!</definedName>
    <definedName name="Datos">#REF!</definedName>
    <definedName name="Datos1">#REF!</definedName>
    <definedName name="Datos2">#REF!</definedName>
    <definedName name="DDD">#REF!</definedName>
    <definedName name="DEPARTMENT">OFFSET([4]Lists!$B$2:$B$400,,,COUNTA([4]Lists!$B$2:$B$400),)</definedName>
    <definedName name="Distribucion">#REF!</definedName>
    <definedName name="Distribution" localSheetId="7" hidden="1">#REF!</definedName>
    <definedName name="Distribution" hidden="1">#REF!</definedName>
    <definedName name="eeee">#REF!</definedName>
    <definedName name="endScrollArea" hidden="1">#REF!</definedName>
    <definedName name="EUR">#REF!</definedName>
    <definedName name="ExcesoPorcentajeCompletado" localSheetId="7">(#REF!=MEDIAN(#REF!,#REF!,#REF!+#REF!)*(#REF!&gt;0))*((#REF!&lt;(INT(#REF!+#REF!*#REF!)))+(#REF!=#REF!))*(#REF!&gt;0)</definedName>
    <definedName name="ExcesoPorcentajeCompletado">(#REF!=MEDIAN(#REF!,#REF!,#REF!+#REF!)*(#REF!&gt;0))*((#REF!&lt;(INT(#REF!+#REF!*#REF!)))+(#REF!=#REF!))*(#REF!&gt;0)</definedName>
    <definedName name="ExcesoReal" localSheetId="7">'Cronograma Inverso'!PeríodoReal*(#REF!&gt;0)</definedName>
    <definedName name="ExcesoReal" localSheetId="6">PeríodoReal*(#REF!&gt;0)</definedName>
    <definedName name="ExcesoReal">PeríodoReal*(#REF!&gt;0)</definedName>
    <definedName name="FazFiltro">[8]!FazFiltro</definedName>
    <definedName name="ffff">#REF!</definedName>
    <definedName name="filtração">[2]PP!#REF!</definedName>
    <definedName name="FromAddress1" localSheetId="7" hidden="1">#REF!</definedName>
    <definedName name="FromAddress1" hidden="1">#REF!</definedName>
    <definedName name="FromAddress2" localSheetId="7" hidden="1">#REF!</definedName>
    <definedName name="FromAddress2" hidden="1">#REF!</definedName>
    <definedName name="FromAddress3" localSheetId="7" hidden="1">#REF!</definedName>
    <definedName name="FromAddress3" hidden="1">#REF!</definedName>
    <definedName name="GENTE">#REF!</definedName>
    <definedName name="GRAMOS">#REF!</definedName>
    <definedName name="GRAVA">#REF!</definedName>
    <definedName name="HeadingArchOrCustom" hidden="1">#REF!</definedName>
    <definedName name="HORMIGONIND">#REF!</definedName>
    <definedName name="Idadep_atual">"[\\Nre00070\c\Controle\Carrao\IDADEP_0204]LIBERADO!$D$4:$G$200"</definedName>
    <definedName name="IMPERM." localSheetId="7">#REF!</definedName>
    <definedName name="IMPERM.">#REF!</definedName>
    <definedName name="Impressao">[9]!Impressao</definedName>
    <definedName name="Impressao2">[10]!Impressao2</definedName>
    <definedName name="Imprimir">[8]!Imprimir</definedName>
    <definedName name="INTEGRACAO">#REF!</definedName>
    <definedName name="iUg">#REF!</definedName>
    <definedName name="Lista">#REF!</definedName>
    <definedName name="Macro">#REF!</definedName>
    <definedName name="MADERA">#REF!</definedName>
    <definedName name="MAT_ACERO">#REF!</definedName>
    <definedName name="MAT_AGREGADOS">#REF!</definedName>
    <definedName name="MAT_BLOQUES">#REF!</definedName>
    <definedName name="MAT_CARP.">#REF!</definedName>
    <definedName name="MAT_CEMENTOS">#REF!</definedName>
    <definedName name="MAT_CERRAJ.">#REF!</definedName>
    <definedName name="MAT_HORM._I">#REF!</definedName>
    <definedName name="MAT_MOVTO_TIERR">#REF!</definedName>
    <definedName name="MAT_PINTURA">#REF!</definedName>
    <definedName name="MAT_PINTURAS">#REF!</definedName>
    <definedName name="MAT_PLAFONES">#REF!</definedName>
    <definedName name="MAT_REVEST.">#REF!</definedName>
    <definedName name="MAT_VENTANAS">#REF!</definedName>
    <definedName name="MaxLogoArea" hidden="1">#REF!</definedName>
    <definedName name="MEASURE">OFFSET([4]Lists!$K$1:$K$40,,,COUNTA([4]Lists!$K$1:$K$40),)</definedName>
    <definedName name="miguel" localSheetId="7">#REF!</definedName>
    <definedName name="miguel">#REF!</definedName>
    <definedName name="Muda_Cor">[9]!Muda_Cor</definedName>
    <definedName name="Muda_Cor2">[10]!Muda_Cor2</definedName>
    <definedName name="mUg">#REF!</definedName>
    <definedName name="NewStatus">'[11]look-up data'!$M$2:$M$6</definedName>
    <definedName name="no" localSheetId="7">#REF!</definedName>
    <definedName name="no">#REF!</definedName>
    <definedName name="Notary_County" localSheetId="7" hidden="1">#REF!</definedName>
    <definedName name="Notary_County" hidden="1">#REF!</definedName>
    <definedName name="Notary_Day" hidden="1">#REF!</definedName>
    <definedName name="Notary_ExpDate" hidden="1">#REF!</definedName>
    <definedName name="Notary_Month" hidden="1">#REF!</definedName>
    <definedName name="Notary_Name" hidden="1">#REF!</definedName>
    <definedName name="Notary_Section" hidden="1">#REF!</definedName>
    <definedName name="Notary_State" hidden="1">#REF!</definedName>
    <definedName name="NotNewLin" hidden="1">FALSE</definedName>
    <definedName name="Numbers">OFFSET('[4]5.1'!$B$57:$B$201,,,COUNTA('[4]5.1'!$B$57:$B$201),)</definedName>
    <definedName name="OBRA_MANO" localSheetId="7">#REF!</definedName>
    <definedName name="OBRA_MANO">#REF!</definedName>
    <definedName name="OBZ">#REF!</definedName>
    <definedName name="OBZGQ">#REF!</definedName>
    <definedName name="OrdenarFábrica">[8]!OrdenarFábrica</definedName>
    <definedName name="OrdenarÍndices">[8]!OrdenarÍndices</definedName>
    <definedName name="OrdenarMelhores">[8]!OrdenarMelhores</definedName>
    <definedName name="OriginalContract" localSheetId="7">#REF!</definedName>
    <definedName name="OriginalContract">#REF!</definedName>
    <definedName name="PACAOMAB">#REF!</definedName>
    <definedName name="pack">[2]PP!#REF!</definedName>
    <definedName name="PagoNeto">[5]Sheet5!$N$28</definedName>
    <definedName name="PaymentDue" localSheetId="7">#REF!</definedName>
    <definedName name="PaymentDue">#REF!</definedName>
    <definedName name="PctRetainageSMs" localSheetId="7" hidden="1">#REF!</definedName>
    <definedName name="PctRetainageSMs" hidden="1">#REF!</definedName>
    <definedName name="PctRetainageWIPs" localSheetId="7" hidden="1">#REF!</definedName>
    <definedName name="PctRetainageWIPs" hidden="1">#REF!</definedName>
    <definedName name="período_seleccionado">#REF!</definedName>
    <definedName name="PeríodoEnPlan" localSheetId="7">#REF!=MEDIAN(#REF!,#REF!,#REF!+#REF!-1)</definedName>
    <definedName name="PeríodoEnPlan">#REF!=MEDIAN(#REF!,#REF!,#REF!+#REF!-1)</definedName>
    <definedName name="PeríodoReal" localSheetId="7">#REF!=MEDIAN(#REF!,#REF!,#REF!+#REF!-1)</definedName>
    <definedName name="PeríodoReal">#REF!=MEDIAN(#REF!,#REF!,#REF!+#REF!-1)</definedName>
    <definedName name="Plan" localSheetId="7">'Cronograma Inverso'!PeríodoEnPlan*(#REF!&gt;0)</definedName>
    <definedName name="Plan" localSheetId="6">PeríodoEnPlan*(#REF!&gt;0)</definedName>
    <definedName name="Plan">PeríodoEnPlan*(#REF!&gt;0)</definedName>
    <definedName name="PLANT">OFFSET([4]Lists!$A$2:$A$300,,,COUNTA([4]Lists!$A$2:$A$300),)</definedName>
    <definedName name="pópalha">[2]PP!#REF!</definedName>
    <definedName name="PorcentajeCompletado" localSheetId="7">'Cronograma Inverso'!ExcesoPorcentajeCompletado*'Cronograma Inverso'!PeríodoEnPlan</definedName>
    <definedName name="PorcentajeCompletado" localSheetId="6">ExcesoPorcentajeCompletado*PeríodoEnPlan</definedName>
    <definedName name="PorcentajeCompletado">ExcesoPorcentajeCompletado*PeríodoEnPlan</definedName>
    <definedName name="PorcentajeMarca">'[12]Seguimiento ALRM'!#REF!</definedName>
    <definedName name="PRES_DESAGUES" localSheetId="7">#REF!</definedName>
    <definedName name="PRES_DESAGUES">#REF!</definedName>
    <definedName name="PRES_ESCALERAS" localSheetId="7">#REF!</definedName>
    <definedName name="PRES_ESCALERAS">#REF!</definedName>
    <definedName name="PRES_FINO" localSheetId="7">#REF!</definedName>
    <definedName name="PRES_FINO">#REF!</definedName>
    <definedName name="PRES_GASTOS">#REF!</definedName>
    <definedName name="PRES_HORMIGON">#REF!</definedName>
    <definedName name="PRES_M._TIERRAS">#REF!</definedName>
    <definedName name="PRES_MISCEL.">#REF!</definedName>
    <definedName name="PRES_MUROS">#REF!</definedName>
    <definedName name="PRES_OTROS">#REF!</definedName>
    <definedName name="PRES_PAÑETE">#REF!</definedName>
    <definedName name="PRES_PINTURAS">#REF!</definedName>
    <definedName name="PRES_PISOS">#REF!</definedName>
    <definedName name="PRES_PLAFONES">#REF!</definedName>
    <definedName name="PRES_REPLANTEO">#REF!</definedName>
    <definedName name="PRES_REVEST.">#REF!</definedName>
    <definedName name="PRES_TOTAL">#REF!</definedName>
    <definedName name="PRES_VENTANAS">#REF!</definedName>
    <definedName name="PrevAppPct" localSheetId="7">[7]Detail!#REF!</definedName>
    <definedName name="PrevAppPct">[7]Detail!#REF!</definedName>
    <definedName name="PrevAppTotalBilled" localSheetId="7">#REF!</definedName>
    <definedName name="PrevAppTotalBilled">#REF!</definedName>
    <definedName name="PrintAreaCC" localSheetId="7" hidden="1">#REF!</definedName>
    <definedName name="PrintAreaCC" hidden="1">#REF!</definedName>
    <definedName name="PrintAreaNoCC" localSheetId="7" hidden="1">#REF!</definedName>
    <definedName name="PrintAreaNoCC" hidden="1">#REF!</definedName>
    <definedName name="processo">[2]PP!#REF!</definedName>
    <definedName name="Processos">#REF!</definedName>
    <definedName name="PRODUTIVIDADE">#REF!</definedName>
    <definedName name="PRODUTIVIDADEQA">#REF!</definedName>
    <definedName name="ProjectName" hidden="1">#REF!</definedName>
    <definedName name="PROMEDIO">#REF!</definedName>
    <definedName name="QUALIDADADEQA">#REF!</definedName>
    <definedName name="QUALIDADE">#REF!</definedName>
    <definedName name="rafa">#REF!</definedName>
    <definedName name="Real" localSheetId="7">('Cronograma Inverso'!PeríodoReal*(#REF!&gt;0))*'Cronograma Inverso'!PeríodoEnPlan</definedName>
    <definedName name="Real" localSheetId="6">(PeríodoReal*(#REF!&gt;0))*PeríodoEnPlan</definedName>
    <definedName name="Real">(PeríodoReal*(#REF!&gt;0))*PeríodoEnPlan</definedName>
    <definedName name="recebmalte">[2]PP!#REF!</definedName>
    <definedName name="Relação">#REF!</definedName>
    <definedName name="RetainageSection" localSheetId="7" hidden="1">#REF!</definedName>
    <definedName name="RetainageSection" hidden="1">#REF!</definedName>
    <definedName name="Retainge_DC" localSheetId="7" hidden="1">#REF!</definedName>
    <definedName name="Retainge_DC" hidden="1">#REF!</definedName>
    <definedName name="RR">#REF!</definedName>
    <definedName name="rrr">#REF!</definedName>
    <definedName name="Sanitaria">#REF!</definedName>
    <definedName name="SavedInExcel10" hidden="1">6832</definedName>
    <definedName name="SavedInExcel11" hidden="1">8169</definedName>
    <definedName name="SavedInExcel9" hidden="1">6627</definedName>
    <definedName name="SavedInExcelV10_6832" hidden="1">"Feb_14_2008"</definedName>
    <definedName name="SavedInExcelV11_8169" hidden="1">"Feb_27_2008"</definedName>
    <definedName name="SavedInExcelV12_6331">"Jan_11_2009"</definedName>
    <definedName name="SavedInExcelV9_6627" hidden="1">"Feb_20_2008"</definedName>
    <definedName name="SetDecPlaces" localSheetId="7" hidden="1">#REF!,#REF!,#REF!,#REF!</definedName>
    <definedName name="SetDecPlaces" hidden="1">#REF!,#REF!,#REF!,#REF!</definedName>
    <definedName name="SMRetainage" localSheetId="7" hidden="1">#REF!</definedName>
    <definedName name="SMRetainage" hidden="1">#REF!</definedName>
    <definedName name="ss" localSheetId="7">#REF!</definedName>
    <definedName name="ss">#REF!</definedName>
    <definedName name="STATUS">[4]Lists!$J$2:$J$6</definedName>
    <definedName name="TEST0">#REF!</definedName>
    <definedName name="TEST1">#REF!</definedName>
    <definedName name="TEST10">[13]BCK!#REF!</definedName>
    <definedName name="TEST11">[13]BCK!#REF!</definedName>
    <definedName name="TEST12">[13]BCK!#REF!</definedName>
    <definedName name="TEST13">[13]BCK!#REF!</definedName>
    <definedName name="TEST14">[13]BCK!#REF!</definedName>
    <definedName name="TEST15">[13]BCK!#REF!</definedName>
    <definedName name="TEST4">[13]BCK!#REF!</definedName>
    <definedName name="TEST5">[13]BCK!#REF!</definedName>
    <definedName name="TEST6">[13]BCK!#REF!</definedName>
    <definedName name="TEST7">[13]BCK!#REF!</definedName>
    <definedName name="TEST8">[13]BCK!#REF!</definedName>
    <definedName name="TEST9">[13]BCK!#REF!</definedName>
    <definedName name="TESTHKEY">#REF!</definedName>
    <definedName name="TESTKEYS">#REF!</definedName>
    <definedName name="TESTVKEY">#REF!</definedName>
    <definedName name="ThisAppPct" localSheetId="7">[7]Detail!#REF!</definedName>
    <definedName name="ThisAppPct">[7]Detail!#REF!</definedName>
    <definedName name="ThisAppPct_ID" localSheetId="7" hidden="1">[7]Detail!#REF!</definedName>
    <definedName name="ThisAppPct_ID" hidden="1">[7]Detail!#REF!</definedName>
    <definedName name="TítuloDeColumna2">[12]!TablaDeCategoríasYEmpleados[[#Headers],[Nombre de categoría]]</definedName>
    <definedName name="ToAddress1" localSheetId="7" hidden="1">#REF!</definedName>
    <definedName name="ToAddress1" hidden="1">#REF!</definedName>
    <definedName name="ToAddress2" localSheetId="7" hidden="1">#REF!</definedName>
    <definedName name="ToAddress2" hidden="1">#REF!</definedName>
    <definedName name="ToAddress3" localSheetId="7" hidden="1">#REF!</definedName>
    <definedName name="ToAddress3" hidden="1">#REF!</definedName>
    <definedName name="ToCompanyName" hidden="1">#REF!</definedName>
    <definedName name="ToFinishPct" localSheetId="7">[7]Detail!#REF!</definedName>
    <definedName name="ToFinishPct">[7]Detail!#REF!</definedName>
    <definedName name="total">[2]PP!#REF!</definedName>
    <definedName name="TotalBilled" localSheetId="7">#REF!</definedName>
    <definedName name="TotalBilled">#REF!</definedName>
    <definedName name="TotalCompletado">[5]Sheet5!$N$18</definedName>
    <definedName name="TotalCompleted" localSheetId="7">#REF!</definedName>
    <definedName name="TotalCompleted">#REF!</definedName>
    <definedName name="TotalContract" localSheetId="7">#REF!</definedName>
    <definedName name="TotalContract">#REF!</definedName>
    <definedName name="TotalContrato">[5]Sheet5!$N$17</definedName>
    <definedName name="TotalDeducciones">[5]Sheet5!$N$22</definedName>
    <definedName name="TotalFacturado">[5]Sheet5!$N$24</definedName>
    <definedName name="TotalFacturadoApPrev">[5]Sheet5!$N$26</definedName>
    <definedName name="TotalRetainage" localSheetId="7">#REF!</definedName>
    <definedName name="TotalRetainage">#REF!</definedName>
    <definedName name="TYPE">OFFSET([4]Lists!$C$2:$C$400,,,COUNTA([4]Lists!$C$2:$C$400),)</definedName>
    <definedName name="UNITS">OFFSET([4]Lists!$G$2:$G$200,0,0,COUNTA([4]Lists!$G$2:$G$200),1)</definedName>
    <definedName name="unlockOnExport" localSheetId="7" hidden="1">#REF!,#REF!,#REF!</definedName>
    <definedName name="unlockOnExport" hidden="1">#REF!,#REF!,#REF!</definedName>
    <definedName name="USD" localSheetId="7">#REF!</definedName>
    <definedName name="USD">#REF!</definedName>
    <definedName name="ValorDeCambios">[5]Sheet5!$N$16</definedName>
    <definedName name="ValueOfChanges" localSheetId="7">#REF!</definedName>
    <definedName name="ValueOfChanges">#REF!</definedName>
    <definedName name="victo" localSheetId="7">#REF!</definedName>
    <definedName name="victo">#REF!</definedName>
    <definedName name="wwww">#REF!</definedName>
    <definedName name="ZAPATA_MONOLITO">[14]VECINA!#REF!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4" l="1"/>
  <c r="K159" i="1" l="1"/>
  <c r="M159" i="1" s="1"/>
  <c r="O159" i="1" s="1"/>
  <c r="E159" i="1"/>
  <c r="C159" i="1"/>
  <c r="U159" i="1" l="1"/>
  <c r="AG159" i="1"/>
  <c r="AD159" i="1"/>
  <c r="AA159" i="1"/>
  <c r="X159" i="1"/>
  <c r="P159" i="1"/>
  <c r="AH159" i="1" l="1"/>
  <c r="AA74" i="3" l="1"/>
  <c r="AA73" i="3"/>
  <c r="AA72" i="3"/>
  <c r="AA71" i="3"/>
  <c r="AA70" i="3"/>
  <c r="AA69" i="3"/>
  <c r="AA63" i="3"/>
  <c r="AA61" i="3"/>
  <c r="AA60" i="3"/>
  <c r="AA58" i="3"/>
  <c r="AA57" i="3"/>
  <c r="AA54" i="3"/>
  <c r="AA53" i="3"/>
  <c r="AA49" i="3"/>
  <c r="AA48" i="3"/>
  <c r="AA47" i="3"/>
  <c r="AA46" i="3"/>
  <c r="AA42" i="3"/>
  <c r="AA39" i="3"/>
  <c r="AA35" i="3"/>
  <c r="AA34" i="3"/>
  <c r="AA32" i="3"/>
  <c r="AA31" i="3"/>
  <c r="AA30" i="3"/>
  <c r="AA27" i="3"/>
  <c r="AA26" i="3"/>
  <c r="AA25" i="3"/>
  <c r="AA23" i="3"/>
  <c r="AA20" i="3"/>
  <c r="AA19" i="3"/>
  <c r="AA18" i="3"/>
  <c r="AA15" i="3"/>
  <c r="AA14" i="3"/>
  <c r="AA13" i="3"/>
  <c r="AA12" i="3"/>
  <c r="AA11" i="3"/>
  <c r="AA10" i="3"/>
  <c r="AA9" i="3"/>
  <c r="AA8" i="3"/>
  <c r="AA7" i="3"/>
  <c r="Z74" i="3"/>
  <c r="Z73" i="3"/>
  <c r="Z72" i="3"/>
  <c r="Z71" i="3"/>
  <c r="Z70" i="3"/>
  <c r="Z69" i="3"/>
  <c r="Z67" i="3"/>
  <c r="Z66" i="3"/>
  <c r="Z65" i="3"/>
  <c r="Z64" i="3"/>
  <c r="Z63" i="3"/>
  <c r="Z62" i="3"/>
  <c r="Z61" i="3"/>
  <c r="Z60" i="3"/>
  <c r="Z58" i="3"/>
  <c r="Z57" i="3"/>
  <c r="Z56" i="3"/>
  <c r="Z55" i="3"/>
  <c r="Z54" i="3"/>
  <c r="Z53" i="3"/>
  <c r="Z52" i="3"/>
  <c r="Z50" i="3"/>
  <c r="Z49" i="3"/>
  <c r="Z48" i="3"/>
  <c r="Z47" i="3"/>
  <c r="Z46" i="3"/>
  <c r="Z44" i="3"/>
  <c r="Z43" i="3"/>
  <c r="Z42" i="3"/>
  <c r="Z41" i="3"/>
  <c r="Z40" i="3"/>
  <c r="Z39" i="3"/>
  <c r="Z38" i="3"/>
  <c r="Z36" i="3"/>
  <c r="Z35" i="3"/>
  <c r="Z34" i="3"/>
  <c r="Z32" i="3"/>
  <c r="Z31" i="3"/>
  <c r="Z30" i="3"/>
  <c r="Z29" i="3"/>
  <c r="Z27" i="3"/>
  <c r="Z26" i="3"/>
  <c r="Z25" i="3"/>
  <c r="Z24" i="3"/>
  <c r="Z23" i="3"/>
  <c r="Z22" i="3"/>
  <c r="Z21" i="3"/>
  <c r="Z20" i="3"/>
  <c r="Z19" i="3"/>
  <c r="Z18" i="3"/>
  <c r="Z17" i="3"/>
  <c r="Z15" i="3"/>
  <c r="Z14" i="3"/>
  <c r="Z13" i="3"/>
  <c r="Z12" i="3"/>
  <c r="Z11" i="3"/>
  <c r="Z10" i="3"/>
  <c r="Z9" i="3"/>
  <c r="Z8" i="3"/>
  <c r="Z7" i="3"/>
  <c r="K162" i="1"/>
  <c r="M162" i="1" s="1"/>
  <c r="O162" i="1" s="1"/>
  <c r="E162" i="1"/>
  <c r="C162" i="1"/>
  <c r="K156" i="1"/>
  <c r="M156" i="1" s="1"/>
  <c r="O156" i="1" s="1"/>
  <c r="E156" i="1"/>
  <c r="C156" i="1"/>
  <c r="K155" i="1"/>
  <c r="E155" i="1"/>
  <c r="C155" i="1"/>
  <c r="K154" i="1"/>
  <c r="M154" i="1" s="1"/>
  <c r="O154" i="1" s="1"/>
  <c r="E154" i="1"/>
  <c r="C154" i="1"/>
  <c r="Z16" i="3" l="1"/>
  <c r="AG162" i="1"/>
  <c r="AD162" i="1"/>
  <c r="AA162" i="1"/>
  <c r="X162" i="1"/>
  <c r="U162" i="1"/>
  <c r="P162" i="1"/>
  <c r="M155" i="1"/>
  <c r="O155" i="1" s="1"/>
  <c r="P155" i="1" s="1"/>
  <c r="AG156" i="1"/>
  <c r="AD156" i="1"/>
  <c r="U156" i="1"/>
  <c r="AA156" i="1"/>
  <c r="P156" i="1"/>
  <c r="X156" i="1"/>
  <c r="AG154" i="1"/>
  <c r="AD154" i="1"/>
  <c r="AA154" i="1"/>
  <c r="X154" i="1"/>
  <c r="U154" i="1"/>
  <c r="P154" i="1"/>
  <c r="AH162" i="1" l="1"/>
  <c r="U155" i="1"/>
  <c r="X155" i="1"/>
  <c r="AA155" i="1"/>
  <c r="AD155" i="1"/>
  <c r="AG155" i="1"/>
  <c r="AH156" i="1"/>
  <c r="AH154" i="1"/>
  <c r="AH155" i="1" l="1"/>
  <c r="C310" i="1"/>
  <c r="E310" i="1"/>
  <c r="K310" i="1"/>
  <c r="M310" i="1" s="1"/>
  <c r="O310" i="1" s="1"/>
  <c r="C296" i="1"/>
  <c r="C297" i="1"/>
  <c r="E296" i="1"/>
  <c r="E297" i="1"/>
  <c r="K296" i="1"/>
  <c r="K297" i="1"/>
  <c r="C5" i="39"/>
  <c r="C6" i="39"/>
  <c r="C7" i="39"/>
  <c r="C8" i="39"/>
  <c r="C9" i="39"/>
  <c r="C10" i="39"/>
  <c r="C11" i="39"/>
  <c r="C12" i="39"/>
  <c r="C13" i="39"/>
  <c r="C14" i="39"/>
  <c r="C15" i="39"/>
  <c r="C16" i="39"/>
  <c r="C17" i="39"/>
  <c r="C18" i="39"/>
  <c r="C19" i="39"/>
  <c r="C20" i="39"/>
  <c r="C21" i="39"/>
  <c r="C22" i="39"/>
  <c r="C23" i="39"/>
  <c r="C24" i="39"/>
  <c r="C25" i="39"/>
  <c r="C26" i="39"/>
  <c r="C27" i="39"/>
  <c r="C28" i="39"/>
  <c r="C29" i="39"/>
  <c r="C30" i="39"/>
  <c r="C31" i="39"/>
  <c r="C32" i="39"/>
  <c r="C33" i="39"/>
  <c r="C34" i="39"/>
  <c r="C35" i="39"/>
  <c r="C36" i="39"/>
  <c r="C37" i="39"/>
  <c r="C38" i="39"/>
  <c r="C39" i="39"/>
  <c r="C40" i="39"/>
  <c r="C41" i="39"/>
  <c r="C42" i="39"/>
  <c r="C43" i="39"/>
  <c r="C44" i="39"/>
  <c r="C45" i="39"/>
  <c r="C46" i="39"/>
  <c r="C47" i="39"/>
  <c r="C48" i="39"/>
  <c r="C49" i="39"/>
  <c r="C50" i="39"/>
  <c r="C51" i="39"/>
  <c r="C52" i="39"/>
  <c r="C53" i="39"/>
  <c r="C54" i="39"/>
  <c r="C55" i="39"/>
  <c r="C56" i="39"/>
  <c r="C57" i="39"/>
  <c r="C58" i="39"/>
  <c r="C59" i="39"/>
  <c r="C60" i="39"/>
  <c r="C61" i="39"/>
  <c r="C62" i="39"/>
  <c r="C63" i="39"/>
  <c r="C64" i="39"/>
  <c r="C65" i="39"/>
  <c r="C66" i="39"/>
  <c r="C67" i="39"/>
  <c r="C68" i="39"/>
  <c r="C69" i="39"/>
  <c r="C70" i="39"/>
  <c r="C71" i="39"/>
  <c r="C72" i="39"/>
  <c r="C73" i="39"/>
  <c r="C74" i="39"/>
  <c r="C75" i="39"/>
  <c r="C76" i="39"/>
  <c r="C77" i="39"/>
  <c r="C78" i="39"/>
  <c r="C79" i="39"/>
  <c r="C80" i="39"/>
  <c r="C81" i="39"/>
  <c r="C82" i="39"/>
  <c r="C83" i="39"/>
  <c r="C84" i="39"/>
  <c r="C85" i="39"/>
  <c r="C86" i="39"/>
  <c r="C87" i="39"/>
  <c r="C88" i="39"/>
  <c r="C89" i="39"/>
  <c r="C277" i="1"/>
  <c r="E64" i="39"/>
  <c r="K64" i="39"/>
  <c r="M64" i="39" s="1"/>
  <c r="C193" i="1"/>
  <c r="E193" i="1"/>
  <c r="K193" i="1"/>
  <c r="K89" i="39"/>
  <c r="M89" i="39" s="1"/>
  <c r="O89" i="39" s="1"/>
  <c r="AH89" i="39" s="1"/>
  <c r="E89" i="39"/>
  <c r="K88" i="39"/>
  <c r="M88" i="39" s="1"/>
  <c r="O88" i="39" s="1"/>
  <c r="AK88" i="39" s="1"/>
  <c r="E88" i="39"/>
  <c r="K87" i="39"/>
  <c r="M87" i="39" s="1"/>
  <c r="O87" i="39" s="1"/>
  <c r="AK87" i="39" s="1"/>
  <c r="E87" i="39"/>
  <c r="K86" i="39"/>
  <c r="M86" i="39" s="1"/>
  <c r="O86" i="39" s="1"/>
  <c r="E86" i="39"/>
  <c r="K85" i="39"/>
  <c r="M85" i="39" s="1"/>
  <c r="O85" i="39" s="1"/>
  <c r="AH85" i="39" s="1"/>
  <c r="E85" i="39"/>
  <c r="K84" i="39"/>
  <c r="M84" i="39" s="1"/>
  <c r="O84" i="39" s="1"/>
  <c r="AB84" i="39" s="1"/>
  <c r="E84" i="39"/>
  <c r="K83" i="39"/>
  <c r="M83" i="39" s="1"/>
  <c r="O83" i="39" s="1"/>
  <c r="AK83" i="39" s="1"/>
  <c r="E83" i="39"/>
  <c r="K82" i="39"/>
  <c r="M82" i="39" s="1"/>
  <c r="O82" i="39" s="1"/>
  <c r="E82" i="39"/>
  <c r="K81" i="39"/>
  <c r="M81" i="39" s="1"/>
  <c r="O81" i="39" s="1"/>
  <c r="AH81" i="39" s="1"/>
  <c r="E81" i="39"/>
  <c r="K80" i="39"/>
  <c r="M80" i="39" s="1"/>
  <c r="O80" i="39" s="1"/>
  <c r="AB80" i="39" s="1"/>
  <c r="E80" i="39"/>
  <c r="K79" i="39"/>
  <c r="M79" i="39" s="1"/>
  <c r="O79" i="39" s="1"/>
  <c r="AK79" i="39" s="1"/>
  <c r="E79" i="39"/>
  <c r="K78" i="39"/>
  <c r="M78" i="39" s="1"/>
  <c r="O78" i="39" s="1"/>
  <c r="P78" i="39" s="1"/>
  <c r="E78" i="39"/>
  <c r="K77" i="39"/>
  <c r="M77" i="39" s="1"/>
  <c r="O77" i="39" s="1"/>
  <c r="AH77" i="39" s="1"/>
  <c r="E77" i="39"/>
  <c r="K76" i="39"/>
  <c r="M76" i="39" s="1"/>
  <c r="O76" i="39" s="1"/>
  <c r="AB76" i="39" s="1"/>
  <c r="E76" i="39"/>
  <c r="K75" i="39"/>
  <c r="M75" i="39" s="1"/>
  <c r="O75" i="39" s="1"/>
  <c r="AK75" i="39" s="1"/>
  <c r="E75" i="39"/>
  <c r="K74" i="39"/>
  <c r="M74" i="39" s="1"/>
  <c r="O74" i="39" s="1"/>
  <c r="E74" i="39"/>
  <c r="K73" i="39"/>
  <c r="M73" i="39" s="1"/>
  <c r="O73" i="39" s="1"/>
  <c r="AH73" i="39" s="1"/>
  <c r="E73" i="39"/>
  <c r="K72" i="39"/>
  <c r="M72" i="39" s="1"/>
  <c r="O72" i="39" s="1"/>
  <c r="AK72" i="39" s="1"/>
  <c r="E72" i="39"/>
  <c r="K71" i="39"/>
  <c r="M71" i="39" s="1"/>
  <c r="O71" i="39" s="1"/>
  <c r="AK71" i="39" s="1"/>
  <c r="E71" i="39"/>
  <c r="K70" i="39"/>
  <c r="M70" i="39" s="1"/>
  <c r="O70" i="39" s="1"/>
  <c r="E70" i="39"/>
  <c r="K69" i="39"/>
  <c r="M69" i="39" s="1"/>
  <c r="O69" i="39" s="1"/>
  <c r="AH69" i="39" s="1"/>
  <c r="E69" i="39"/>
  <c r="K68" i="39"/>
  <c r="M68" i="39" s="1"/>
  <c r="O68" i="39" s="1"/>
  <c r="AH68" i="39" s="1"/>
  <c r="E68" i="39"/>
  <c r="K67" i="39"/>
  <c r="E67" i="39"/>
  <c r="K66" i="39"/>
  <c r="M66" i="39" s="1"/>
  <c r="O66" i="39" s="1"/>
  <c r="AK66" i="39" s="1"/>
  <c r="E66" i="39"/>
  <c r="K65" i="39"/>
  <c r="M65" i="39" s="1"/>
  <c r="O65" i="39" s="1"/>
  <c r="AH65" i="39" s="1"/>
  <c r="E65" i="39"/>
  <c r="K63" i="39"/>
  <c r="M63" i="39" s="1"/>
  <c r="O63" i="39" s="1"/>
  <c r="E63" i="39"/>
  <c r="K62" i="39"/>
  <c r="M62" i="39" s="1"/>
  <c r="O62" i="39" s="1"/>
  <c r="AK62" i="39" s="1"/>
  <c r="E62" i="39"/>
  <c r="K61" i="39"/>
  <c r="M61" i="39" s="1"/>
  <c r="O61" i="39" s="1"/>
  <c r="E61" i="39"/>
  <c r="K60" i="39"/>
  <c r="M60" i="39" s="1"/>
  <c r="O60" i="39" s="1"/>
  <c r="AH60" i="39" s="1"/>
  <c r="E60" i="39"/>
  <c r="K59" i="39"/>
  <c r="M59" i="39" s="1"/>
  <c r="O59" i="39" s="1"/>
  <c r="E59" i="39"/>
  <c r="K58" i="39"/>
  <c r="M58" i="39" s="1"/>
  <c r="O58" i="39" s="1"/>
  <c r="AK58" i="39" s="1"/>
  <c r="E58" i="39"/>
  <c r="K57" i="39"/>
  <c r="M57" i="39" s="1"/>
  <c r="O57" i="39" s="1"/>
  <c r="E57" i="39"/>
  <c r="K56" i="39"/>
  <c r="M56" i="39" s="1"/>
  <c r="O56" i="39" s="1"/>
  <c r="AH56" i="39" s="1"/>
  <c r="E56" i="39"/>
  <c r="K55" i="39"/>
  <c r="M55" i="39" s="1"/>
  <c r="O55" i="39" s="1"/>
  <c r="E55" i="39"/>
  <c r="K54" i="39"/>
  <c r="M54" i="39" s="1"/>
  <c r="O54" i="39" s="1"/>
  <c r="AK54" i="39" s="1"/>
  <c r="E54" i="39"/>
  <c r="K53" i="39"/>
  <c r="M53" i="39" s="1"/>
  <c r="O53" i="39" s="1"/>
  <c r="E53" i="39"/>
  <c r="K52" i="39"/>
  <c r="M52" i="39" s="1"/>
  <c r="O52" i="39" s="1"/>
  <c r="E52" i="39"/>
  <c r="K51" i="39"/>
  <c r="M51" i="39" s="1"/>
  <c r="O51" i="39" s="1"/>
  <c r="E51" i="39"/>
  <c r="K50" i="39"/>
  <c r="M50" i="39" s="1"/>
  <c r="O50" i="39" s="1"/>
  <c r="AE50" i="39" s="1"/>
  <c r="E50" i="39"/>
  <c r="K49" i="39"/>
  <c r="E49" i="39"/>
  <c r="K48" i="39"/>
  <c r="M48" i="39" s="1"/>
  <c r="O48" i="39" s="1"/>
  <c r="E48" i="39"/>
  <c r="K47" i="39"/>
  <c r="M47" i="39" s="1"/>
  <c r="O47" i="39" s="1"/>
  <c r="E47" i="39"/>
  <c r="K46" i="39"/>
  <c r="M46" i="39" s="1"/>
  <c r="O46" i="39" s="1"/>
  <c r="E46" i="39"/>
  <c r="K45" i="39"/>
  <c r="E45" i="39"/>
  <c r="K44" i="39"/>
  <c r="M44" i="39" s="1"/>
  <c r="O44" i="39" s="1"/>
  <c r="AB44" i="39" s="1"/>
  <c r="E44" i="39"/>
  <c r="K43" i="39"/>
  <c r="E43" i="39"/>
  <c r="K42" i="39"/>
  <c r="E42" i="39"/>
  <c r="K41" i="39"/>
  <c r="M41" i="39" s="1"/>
  <c r="O41" i="39" s="1"/>
  <c r="E41" i="39"/>
  <c r="K40" i="39"/>
  <c r="M40" i="39" s="1"/>
  <c r="O40" i="39" s="1"/>
  <c r="AB40" i="39" s="1"/>
  <c r="E40" i="39"/>
  <c r="K39" i="39"/>
  <c r="E39" i="39"/>
  <c r="M38" i="39"/>
  <c r="O38" i="39" s="1"/>
  <c r="Y38" i="39" s="1"/>
  <c r="E38" i="39"/>
  <c r="K37" i="39"/>
  <c r="M37" i="39" s="1"/>
  <c r="E37" i="39"/>
  <c r="K36" i="39"/>
  <c r="M36" i="39" s="1"/>
  <c r="E36" i="39"/>
  <c r="K35" i="39"/>
  <c r="M35" i="39" s="1"/>
  <c r="O35" i="39" s="1"/>
  <c r="E35" i="39"/>
  <c r="K34" i="39"/>
  <c r="M34" i="39" s="1"/>
  <c r="O34" i="39" s="1"/>
  <c r="E34" i="39"/>
  <c r="K33" i="39"/>
  <c r="M33" i="39" s="1"/>
  <c r="E33" i="39"/>
  <c r="K32" i="39"/>
  <c r="M32" i="39" s="1"/>
  <c r="O32" i="39" s="1"/>
  <c r="E32" i="39"/>
  <c r="K31" i="39"/>
  <c r="M31" i="39" s="1"/>
  <c r="E31" i="39"/>
  <c r="K30" i="39"/>
  <c r="M30" i="39" s="1"/>
  <c r="E30" i="39"/>
  <c r="K29" i="39"/>
  <c r="M29" i="39" s="1"/>
  <c r="O29" i="39" s="1"/>
  <c r="E29" i="39"/>
  <c r="K28" i="39"/>
  <c r="M28" i="39" s="1"/>
  <c r="O28" i="39" s="1"/>
  <c r="E28" i="39"/>
  <c r="K27" i="39"/>
  <c r="M27" i="39" s="1"/>
  <c r="E27" i="39"/>
  <c r="K26" i="39"/>
  <c r="M26" i="39" s="1"/>
  <c r="O26" i="39" s="1"/>
  <c r="E26" i="39"/>
  <c r="K25" i="39"/>
  <c r="M25" i="39" s="1"/>
  <c r="E25" i="39"/>
  <c r="K24" i="39"/>
  <c r="M24" i="39" s="1"/>
  <c r="E24" i="39"/>
  <c r="K23" i="39"/>
  <c r="M23" i="39" s="1"/>
  <c r="O23" i="39" s="1"/>
  <c r="E23" i="39"/>
  <c r="K22" i="39"/>
  <c r="M22" i="39" s="1"/>
  <c r="O22" i="39" s="1"/>
  <c r="E22" i="39"/>
  <c r="K21" i="39"/>
  <c r="M21" i="39" s="1"/>
  <c r="E21" i="39"/>
  <c r="K20" i="39"/>
  <c r="M20" i="39" s="1"/>
  <c r="O20" i="39" s="1"/>
  <c r="E20" i="39"/>
  <c r="K19" i="39"/>
  <c r="M19" i="39" s="1"/>
  <c r="E19" i="39"/>
  <c r="K18" i="39"/>
  <c r="M18" i="39" s="1"/>
  <c r="E18" i="39"/>
  <c r="K17" i="39"/>
  <c r="M17" i="39" s="1"/>
  <c r="O17" i="39" s="1"/>
  <c r="E17" i="39"/>
  <c r="K16" i="39"/>
  <c r="M16" i="39" s="1"/>
  <c r="O16" i="39" s="1"/>
  <c r="E16" i="39"/>
  <c r="K15" i="39"/>
  <c r="M15" i="39" s="1"/>
  <c r="E15" i="39"/>
  <c r="K14" i="39"/>
  <c r="M14" i="39" s="1"/>
  <c r="O14" i="39" s="1"/>
  <c r="E14" i="39"/>
  <c r="K13" i="39"/>
  <c r="M13" i="39" s="1"/>
  <c r="E13" i="39"/>
  <c r="K12" i="39"/>
  <c r="M12" i="39" s="1"/>
  <c r="E12" i="39"/>
  <c r="K11" i="39"/>
  <c r="M11" i="39" s="1"/>
  <c r="O11" i="39" s="1"/>
  <c r="E11" i="39"/>
  <c r="K10" i="39"/>
  <c r="M10" i="39" s="1"/>
  <c r="O10" i="39" s="1"/>
  <c r="E10" i="39"/>
  <c r="K9" i="39"/>
  <c r="M9" i="39" s="1"/>
  <c r="E9" i="39"/>
  <c r="K8" i="39"/>
  <c r="M8" i="39" s="1"/>
  <c r="O8" i="39" s="1"/>
  <c r="E8" i="39"/>
  <c r="K7" i="39"/>
  <c r="M7" i="39" s="1"/>
  <c r="E7" i="39"/>
  <c r="K6" i="39"/>
  <c r="M6" i="39" s="1"/>
  <c r="E6" i="39"/>
  <c r="K5" i="39"/>
  <c r="M5" i="39" s="1"/>
  <c r="E5" i="39"/>
  <c r="E90" i="39" l="1"/>
  <c r="AD310" i="1"/>
  <c r="X310" i="1"/>
  <c r="P310" i="1"/>
  <c r="AG310" i="1"/>
  <c r="AA310" i="1"/>
  <c r="U310" i="1"/>
  <c r="M297" i="1"/>
  <c r="O297" i="1" s="1"/>
  <c r="M296" i="1"/>
  <c r="O296" i="1" s="1"/>
  <c r="M67" i="39"/>
  <c r="O67" i="39" s="1"/>
  <c r="AK67" i="39" s="1"/>
  <c r="O64" i="39"/>
  <c r="AH79" i="39"/>
  <c r="AE79" i="39"/>
  <c r="AB79" i="39"/>
  <c r="AK73" i="39"/>
  <c r="AE73" i="39"/>
  <c r="AK89" i="39"/>
  <c r="AE89" i="39"/>
  <c r="AB89" i="39"/>
  <c r="AH87" i="39"/>
  <c r="AE87" i="39"/>
  <c r="AB87" i="39"/>
  <c r="Y87" i="39"/>
  <c r="P87" i="39"/>
  <c r="AK85" i="39"/>
  <c r="AE85" i="39"/>
  <c r="AB85" i="39"/>
  <c r="AH8" i="39"/>
  <c r="AE8" i="39"/>
  <c r="AB8" i="39"/>
  <c r="AK84" i="39"/>
  <c r="AH84" i="39"/>
  <c r="AE84" i="39"/>
  <c r="AH83" i="39"/>
  <c r="AE83" i="39"/>
  <c r="AB83" i="39"/>
  <c r="Y83" i="39"/>
  <c r="P83" i="39"/>
  <c r="AK81" i="39"/>
  <c r="AE81" i="39"/>
  <c r="AB81" i="39"/>
  <c r="AK80" i="39"/>
  <c r="AH80" i="39"/>
  <c r="AE80" i="39"/>
  <c r="O19" i="39"/>
  <c r="Y19" i="39" s="1"/>
  <c r="Y79" i="39"/>
  <c r="P79" i="39"/>
  <c r="AK77" i="39"/>
  <c r="AE77" i="39"/>
  <c r="AB77" i="39"/>
  <c r="AK76" i="39"/>
  <c r="AH76" i="39"/>
  <c r="AE76" i="39"/>
  <c r="AH75" i="39"/>
  <c r="AE75" i="39"/>
  <c r="AB75" i="39"/>
  <c r="Y75" i="39"/>
  <c r="P75" i="39"/>
  <c r="AK60" i="39"/>
  <c r="AE60" i="39"/>
  <c r="AB60" i="39"/>
  <c r="AK55" i="39"/>
  <c r="AH55" i="39"/>
  <c r="M49" i="39"/>
  <c r="O49" i="39" s="1"/>
  <c r="O37" i="39"/>
  <c r="Y37" i="39" s="1"/>
  <c r="O18" i="39"/>
  <c r="P18" i="39" s="1"/>
  <c r="AB73" i="39"/>
  <c r="AH71" i="39"/>
  <c r="AE71" i="39"/>
  <c r="AB71" i="39"/>
  <c r="Y71" i="39"/>
  <c r="P71" i="39"/>
  <c r="AK69" i="39"/>
  <c r="AE69" i="39"/>
  <c r="AB69" i="39"/>
  <c r="AK65" i="39"/>
  <c r="AE65" i="39"/>
  <c r="AB65" i="39"/>
  <c r="AK61" i="39"/>
  <c r="P61" i="39"/>
  <c r="AK57" i="39"/>
  <c r="AK51" i="39"/>
  <c r="AH51" i="39"/>
  <c r="P51" i="39"/>
  <c r="M42" i="39"/>
  <c r="O42" i="39" s="1"/>
  <c r="Y42" i="39" s="1"/>
  <c r="AK59" i="39"/>
  <c r="AH59" i="39"/>
  <c r="AE59" i="39"/>
  <c r="AK56" i="39"/>
  <c r="AE56" i="39"/>
  <c r="AB56" i="39"/>
  <c r="O24" i="39"/>
  <c r="AK24" i="39" s="1"/>
  <c r="AH58" i="39"/>
  <c r="AE58" i="39"/>
  <c r="AB58" i="39"/>
  <c r="Y58" i="39"/>
  <c r="P58" i="39"/>
  <c r="AH54" i="39"/>
  <c r="AE54" i="39"/>
  <c r="AB54" i="39"/>
  <c r="Y54" i="39"/>
  <c r="P54" i="39"/>
  <c r="AH26" i="39"/>
  <c r="AE26" i="39"/>
  <c r="AB26" i="39"/>
  <c r="AK53" i="39"/>
  <c r="P53" i="39"/>
  <c r="O36" i="39"/>
  <c r="AK36" i="39" s="1"/>
  <c r="M45" i="39"/>
  <c r="O45" i="39" s="1"/>
  <c r="M43" i="39"/>
  <c r="O43" i="39" s="1"/>
  <c r="AH14" i="39"/>
  <c r="AE14" i="39"/>
  <c r="AB14" i="39"/>
  <c r="M39" i="39"/>
  <c r="O39" i="39" s="1"/>
  <c r="AK38" i="39"/>
  <c r="AH38" i="39"/>
  <c r="AE38" i="39"/>
  <c r="AB38" i="39"/>
  <c r="O33" i="39"/>
  <c r="AH33" i="39" s="1"/>
  <c r="AH32" i="39"/>
  <c r="AE32" i="39"/>
  <c r="AB32" i="39"/>
  <c r="O27" i="39"/>
  <c r="AH27" i="39" s="1"/>
  <c r="O9" i="39"/>
  <c r="AE9" i="39" s="1"/>
  <c r="O31" i="39"/>
  <c r="AB31" i="39" s="1"/>
  <c r="O30" i="39"/>
  <c r="AH30" i="39" s="1"/>
  <c r="O25" i="39"/>
  <c r="AK25" i="39" s="1"/>
  <c r="O7" i="39"/>
  <c r="P7" i="39" s="1"/>
  <c r="O21" i="39"/>
  <c r="AB21" i="39" s="1"/>
  <c r="AH20" i="39"/>
  <c r="AE20" i="39"/>
  <c r="AB20" i="39"/>
  <c r="O15" i="39"/>
  <c r="AH15" i="39" s="1"/>
  <c r="O13" i="39"/>
  <c r="Y13" i="39" s="1"/>
  <c r="O12" i="39"/>
  <c r="AE12" i="39" s="1"/>
  <c r="O6" i="39"/>
  <c r="AH6" i="39" s="1"/>
  <c r="AH62" i="39"/>
  <c r="AE62" i="39"/>
  <c r="AB62" i="39"/>
  <c r="Y62" i="39"/>
  <c r="P62" i="39"/>
  <c r="M193" i="1"/>
  <c r="O193" i="1" s="1"/>
  <c r="AK47" i="39"/>
  <c r="AE47" i="39"/>
  <c r="AB47" i="39"/>
  <c r="Y47" i="39"/>
  <c r="P47" i="39"/>
  <c r="AH47" i="39"/>
  <c r="AK48" i="39"/>
  <c r="AH48" i="39"/>
  <c r="AE48" i="39"/>
  <c r="AB48" i="39"/>
  <c r="Y48" i="39"/>
  <c r="P48" i="39"/>
  <c r="AK41" i="39"/>
  <c r="AE41" i="39"/>
  <c r="P41" i="39"/>
  <c r="AB41" i="39"/>
  <c r="Y41" i="39"/>
  <c r="AH41" i="39"/>
  <c r="AH70" i="39"/>
  <c r="AE70" i="39"/>
  <c r="AB70" i="39"/>
  <c r="Y70" i="39"/>
  <c r="O5" i="39"/>
  <c r="AK23" i="39"/>
  <c r="AH23" i="39"/>
  <c r="AB23" i="39"/>
  <c r="Y23" i="39"/>
  <c r="P23" i="39"/>
  <c r="AK35" i="39"/>
  <c r="AH35" i="39"/>
  <c r="AB35" i="39"/>
  <c r="Y35" i="39"/>
  <c r="P35" i="39"/>
  <c r="AK52" i="39"/>
  <c r="AH52" i="39"/>
  <c r="AE52" i="39"/>
  <c r="Y52" i="39"/>
  <c r="P52" i="39"/>
  <c r="AB52" i="39"/>
  <c r="Y44" i="39"/>
  <c r="P44" i="39"/>
  <c r="AB68" i="39"/>
  <c r="Y68" i="39"/>
  <c r="P68" i="39"/>
  <c r="AK86" i="39"/>
  <c r="AH86" i="39"/>
  <c r="AE86" i="39"/>
  <c r="Y86" i="39"/>
  <c r="AB86" i="39"/>
  <c r="AK11" i="39"/>
  <c r="AH11" i="39"/>
  <c r="AB11" i="39"/>
  <c r="Y11" i="39"/>
  <c r="P11" i="39"/>
  <c r="AK70" i="39"/>
  <c r="P86" i="39"/>
  <c r="Y50" i="39"/>
  <c r="P50" i="39"/>
  <c r="AH50" i="39"/>
  <c r="AK40" i="39"/>
  <c r="AH40" i="39"/>
  <c r="AE40" i="39"/>
  <c r="Y40" i="39"/>
  <c r="P40" i="39"/>
  <c r="AB63" i="39"/>
  <c r="Y63" i="39"/>
  <c r="P63" i="39"/>
  <c r="AH66" i="39"/>
  <c r="AE66" i="39"/>
  <c r="AB66" i="39"/>
  <c r="Y66" i="39"/>
  <c r="AE44" i="39"/>
  <c r="AH63" i="39"/>
  <c r="AE68" i="39"/>
  <c r="P70" i="39"/>
  <c r="AB72" i="39"/>
  <c r="Y72" i="39"/>
  <c r="P72" i="39"/>
  <c r="AK74" i="39"/>
  <c r="AH74" i="39"/>
  <c r="AE74" i="39"/>
  <c r="AB74" i="39"/>
  <c r="Y74" i="39"/>
  <c r="AK78" i="39"/>
  <c r="AH78" i="39"/>
  <c r="AE78" i="39"/>
  <c r="AB78" i="39"/>
  <c r="Y78" i="39"/>
  <c r="AK82" i="39"/>
  <c r="AH82" i="39"/>
  <c r="AE82" i="39"/>
  <c r="AB82" i="39"/>
  <c r="Y82" i="39"/>
  <c r="AB88" i="39"/>
  <c r="Y88" i="39"/>
  <c r="P88" i="39"/>
  <c r="AK17" i="39"/>
  <c r="AH17" i="39"/>
  <c r="AB17" i="39"/>
  <c r="Y17" i="39"/>
  <c r="P17" i="39"/>
  <c r="AK29" i="39"/>
  <c r="AH29" i="39"/>
  <c r="AB29" i="39"/>
  <c r="Y29" i="39"/>
  <c r="P29" i="39"/>
  <c r="AH44" i="39"/>
  <c r="AK63" i="39"/>
  <c r="AE72" i="39"/>
  <c r="P74" i="39"/>
  <c r="P82" i="39"/>
  <c r="AE88" i="39"/>
  <c r="AE11" i="39"/>
  <c r="AE17" i="39"/>
  <c r="AE23" i="39"/>
  <c r="AE29" i="39"/>
  <c r="AE35" i="39"/>
  <c r="AK44" i="39"/>
  <c r="AK46" i="39"/>
  <c r="AH46" i="39"/>
  <c r="AE46" i="39"/>
  <c r="Y46" i="39"/>
  <c r="P46" i="39"/>
  <c r="AK68" i="39"/>
  <c r="AH72" i="39"/>
  <c r="AH88" i="39"/>
  <c r="AB46" i="39"/>
  <c r="AB50" i="39"/>
  <c r="AK8" i="39"/>
  <c r="P8" i="39"/>
  <c r="AK14" i="39"/>
  <c r="P14" i="39"/>
  <c r="AK20" i="39"/>
  <c r="P20" i="39"/>
  <c r="AK26" i="39"/>
  <c r="P26" i="39"/>
  <c r="AK32" i="39"/>
  <c r="P32" i="39"/>
  <c r="AK50" i="39"/>
  <c r="Y8" i="39"/>
  <c r="Y14" i="39"/>
  <c r="Y20" i="39"/>
  <c r="Y26" i="39"/>
  <c r="Y32" i="39"/>
  <c r="AH53" i="39"/>
  <c r="AE53" i="39"/>
  <c r="Y53" i="39"/>
  <c r="AB53" i="39"/>
  <c r="P66" i="39"/>
  <c r="AK10" i="39"/>
  <c r="AH10" i="39"/>
  <c r="AE10" i="39"/>
  <c r="AB10" i="39"/>
  <c r="P10" i="39"/>
  <c r="AK16" i="39"/>
  <c r="AH16" i="39"/>
  <c r="AE16" i="39"/>
  <c r="AB16" i="39"/>
  <c r="P16" i="39"/>
  <c r="AK22" i="39"/>
  <c r="AH22" i="39"/>
  <c r="AE22" i="39"/>
  <c r="AB22" i="39"/>
  <c r="P22" i="39"/>
  <c r="AK28" i="39"/>
  <c r="AH28" i="39"/>
  <c r="AE28" i="39"/>
  <c r="AB28" i="39"/>
  <c r="P28" i="39"/>
  <c r="AK34" i="39"/>
  <c r="AH34" i="39"/>
  <c r="AE34" i="39"/>
  <c r="AB34" i="39"/>
  <c r="P34" i="39"/>
  <c r="AB55" i="39"/>
  <c r="Y55" i="39"/>
  <c r="P55" i="39"/>
  <c r="AH57" i="39"/>
  <c r="AE57" i="39"/>
  <c r="Y57" i="39"/>
  <c r="AB57" i="39"/>
  <c r="AE63" i="39"/>
  <c r="Y10" i="39"/>
  <c r="Y16" i="39"/>
  <c r="Y22" i="39"/>
  <c r="Y28" i="39"/>
  <c r="Y34" i="39"/>
  <c r="AE51" i="39"/>
  <c r="AB51" i="39"/>
  <c r="Y51" i="39"/>
  <c r="AE55" i="39"/>
  <c r="P57" i="39"/>
  <c r="AB59" i="39"/>
  <c r="Y59" i="39"/>
  <c r="P59" i="39"/>
  <c r="AH61" i="39"/>
  <c r="AE61" i="39"/>
  <c r="AB61" i="39"/>
  <c r="Y61" i="39"/>
  <c r="P56" i="39"/>
  <c r="P60" i="39"/>
  <c r="P65" i="39"/>
  <c r="P69" i="39"/>
  <c r="P73" i="39"/>
  <c r="P77" i="39"/>
  <c r="P81" i="39"/>
  <c r="P85" i="39"/>
  <c r="P89" i="39"/>
  <c r="Y56" i="39"/>
  <c r="Y60" i="39"/>
  <c r="Y65" i="39"/>
  <c r="Y69" i="39"/>
  <c r="Y73" i="39"/>
  <c r="Y77" i="39"/>
  <c r="Y81" i="39"/>
  <c r="Y85" i="39"/>
  <c r="Y89" i="39"/>
  <c r="P76" i="39"/>
  <c r="P80" i="39"/>
  <c r="P84" i="39"/>
  <c r="P38" i="39"/>
  <c r="Y76" i="39"/>
  <c r="Y80" i="39"/>
  <c r="Y84" i="39"/>
  <c r="AB18" i="39" l="1"/>
  <c r="Y18" i="39"/>
  <c r="AE18" i="39"/>
  <c r="AH18" i="39"/>
  <c r="AE21" i="39"/>
  <c r="Y7" i="39"/>
  <c r="AH67" i="39"/>
  <c r="AH21" i="39"/>
  <c r="AK21" i="39"/>
  <c r="AB7" i="39"/>
  <c r="P67" i="39"/>
  <c r="AL71" i="39"/>
  <c r="Y25" i="39"/>
  <c r="P25" i="39"/>
  <c r="AB37" i="39"/>
  <c r="AK30" i="39"/>
  <c r="AB25" i="39"/>
  <c r="P30" i="39"/>
  <c r="AE25" i="39"/>
  <c r="AH25" i="39"/>
  <c r="Y30" i="39"/>
  <c r="P37" i="39"/>
  <c r="Y67" i="39"/>
  <c r="P21" i="39"/>
  <c r="Y12" i="39"/>
  <c r="AB30" i="39"/>
  <c r="AE37" i="39"/>
  <c r="Y21" i="39"/>
  <c r="AE30" i="39"/>
  <c r="AH37" i="39"/>
  <c r="AK37" i="39"/>
  <c r="AH12" i="39"/>
  <c r="P36" i="39"/>
  <c r="Y31" i="39"/>
  <c r="AK15" i="39"/>
  <c r="P12" i="39"/>
  <c r="AE31" i="39"/>
  <c r="Y15" i="39"/>
  <c r="AK31" i="39"/>
  <c r="AH31" i="39"/>
  <c r="AB12" i="39"/>
  <c r="P31" i="39"/>
  <c r="AL56" i="39"/>
  <c r="AB67" i="39"/>
  <c r="P24" i="39"/>
  <c r="P9" i="39"/>
  <c r="Y9" i="39"/>
  <c r="P6" i="39"/>
  <c r="Y24" i="39"/>
  <c r="AK12" i="39"/>
  <c r="AB24" i="39"/>
  <c r="AB9" i="39"/>
  <c r="AB36" i="39"/>
  <c r="AE24" i="39"/>
  <c r="AK9" i="39"/>
  <c r="P13" i="39"/>
  <c r="AL69" i="39"/>
  <c r="AE36" i="39"/>
  <c r="AH24" i="39"/>
  <c r="AH9" i="39"/>
  <c r="AL65" i="39"/>
  <c r="Y36" i="39"/>
  <c r="AH36" i="39"/>
  <c r="AE67" i="39"/>
  <c r="AL60" i="39"/>
  <c r="AB42" i="39"/>
  <c r="AB33" i="39"/>
  <c r="AE42" i="39"/>
  <c r="AH42" i="39"/>
  <c r="AK42" i="39"/>
  <c r="AB13" i="39"/>
  <c r="P42" i="39"/>
  <c r="Y6" i="39"/>
  <c r="M90" i="39"/>
  <c r="AB6" i="39"/>
  <c r="AE27" i="39"/>
  <c r="P27" i="39"/>
  <c r="AL53" i="39"/>
  <c r="AE6" i="39"/>
  <c r="AK6" i="39"/>
  <c r="Y27" i="39"/>
  <c r="AK18" i="39"/>
  <c r="AB27" i="39"/>
  <c r="P33" i="39"/>
  <c r="AK27" i="39"/>
  <c r="AE33" i="39"/>
  <c r="Y33" i="39"/>
  <c r="P15" i="39"/>
  <c r="AK33" i="39"/>
  <c r="AB15" i="39"/>
  <c r="AE15" i="39"/>
  <c r="AH310" i="1"/>
  <c r="AL72" i="39"/>
  <c r="P296" i="1"/>
  <c r="P297" i="1"/>
  <c r="AG297" i="1"/>
  <c r="AD297" i="1"/>
  <c r="AA297" i="1"/>
  <c r="X297" i="1"/>
  <c r="U297" i="1"/>
  <c r="AG296" i="1"/>
  <c r="AD296" i="1"/>
  <c r="AA296" i="1"/>
  <c r="X296" i="1"/>
  <c r="U296" i="1"/>
  <c r="AL82" i="39"/>
  <c r="AK64" i="39"/>
  <c r="P64" i="39"/>
  <c r="AH64" i="39"/>
  <c r="AE64" i="39"/>
  <c r="AB64" i="39"/>
  <c r="Y64" i="39"/>
  <c r="AL51" i="39"/>
  <c r="AL80" i="39"/>
  <c r="AL84" i="39"/>
  <c r="P19" i="39"/>
  <c r="AL14" i="39"/>
  <c r="AL26" i="39"/>
  <c r="AL57" i="39"/>
  <c r="AL76" i="39"/>
  <c r="AL73" i="39"/>
  <c r="P49" i="39"/>
  <c r="Y49" i="39"/>
  <c r="AB49" i="39"/>
  <c r="AE49" i="39"/>
  <c r="AH49" i="39"/>
  <c r="AK49" i="39"/>
  <c r="P45" i="39"/>
  <c r="Y45" i="39"/>
  <c r="AE45" i="39"/>
  <c r="AH45" i="39"/>
  <c r="AK45" i="39"/>
  <c r="AB45" i="39"/>
  <c r="P43" i="39"/>
  <c r="Y43" i="39"/>
  <c r="AB43" i="39"/>
  <c r="AE43" i="39"/>
  <c r="AH43" i="39"/>
  <c r="AK43" i="39"/>
  <c r="P39" i="39"/>
  <c r="Y39" i="39"/>
  <c r="AE39" i="39"/>
  <c r="AH39" i="39"/>
  <c r="AK39" i="39"/>
  <c r="AB39" i="39"/>
  <c r="AL58" i="39"/>
  <c r="AL54" i="39"/>
  <c r="AL38" i="39"/>
  <c r="AL41" i="39"/>
  <c r="AK7" i="39"/>
  <c r="AE7" i="39"/>
  <c r="AH7" i="39"/>
  <c r="AK13" i="39"/>
  <c r="AH13" i="39"/>
  <c r="AE13" i="39"/>
  <c r="AL35" i="39"/>
  <c r="AL75" i="39"/>
  <c r="AL79" i="39"/>
  <c r="AL83" i="39"/>
  <c r="AL87" i="39"/>
  <c r="AL55" i="39"/>
  <c r="AK19" i="39"/>
  <c r="AH19" i="39"/>
  <c r="AE19" i="39"/>
  <c r="AL66" i="39"/>
  <c r="AL88" i="39"/>
  <c r="AB19" i="39"/>
  <c r="AL32" i="39"/>
  <c r="AL59" i="39"/>
  <c r="AL61" i="39"/>
  <c r="AL77" i="39"/>
  <c r="AL81" i="39"/>
  <c r="AL85" i="39"/>
  <c r="AL89" i="39"/>
  <c r="AL62" i="39"/>
  <c r="AG193" i="1"/>
  <c r="AA193" i="1"/>
  <c r="X193" i="1"/>
  <c r="AA29" i="3" s="1"/>
  <c r="P193" i="1"/>
  <c r="AD193" i="1"/>
  <c r="U193" i="1"/>
  <c r="AL20" i="39"/>
  <c r="AL46" i="39"/>
  <c r="AL52" i="39"/>
  <c r="AL48" i="39"/>
  <c r="AL16" i="39"/>
  <c r="AL50" i="39"/>
  <c r="AL8" i="39"/>
  <c r="AL29" i="39"/>
  <c r="AL22" i="39"/>
  <c r="AL44" i="39"/>
  <c r="AL74" i="39"/>
  <c r="AL11" i="39"/>
  <c r="AL78" i="39"/>
  <c r="AL23" i="39"/>
  <c r="AL34" i="39"/>
  <c r="O90" i="39"/>
  <c r="AK5" i="39"/>
  <c r="O3" i="39"/>
  <c r="AH5" i="39"/>
  <c r="AB5" i="39"/>
  <c r="Y5" i="39"/>
  <c r="P5" i="39"/>
  <c r="AE5" i="39"/>
  <c r="AL28" i="39"/>
  <c r="AL40" i="39"/>
  <c r="AL10" i="39"/>
  <c r="AL68" i="39"/>
  <c r="AL63" i="39"/>
  <c r="AL47" i="39"/>
  <c r="AL17" i="39"/>
  <c r="AL70" i="39"/>
  <c r="AL86" i="39"/>
  <c r="AL18" i="39" l="1"/>
  <c r="AL25" i="39"/>
  <c r="AL21" i="39"/>
  <c r="AL30" i="39"/>
  <c r="AL37" i="39"/>
  <c r="AL12" i="39"/>
  <c r="AL9" i="39"/>
  <c r="AL31" i="39"/>
  <c r="AL42" i="39"/>
  <c r="AL67" i="39"/>
  <c r="AL13" i="39"/>
  <c r="AL24" i="39"/>
  <c r="AL36" i="39"/>
  <c r="AL15" i="39"/>
  <c r="AL33" i="39"/>
  <c r="AL27" i="39"/>
  <c r="AL19" i="39"/>
  <c r="AL6" i="39"/>
  <c r="AL43" i="39"/>
  <c r="AH297" i="1"/>
  <c r="AH296" i="1"/>
  <c r="AL64" i="39"/>
  <c r="AL49" i="39"/>
  <c r="AL7" i="39"/>
  <c r="AL45" i="39"/>
  <c r="AL39" i="39"/>
  <c r="AL5" i="39"/>
  <c r="AH193" i="1"/>
  <c r="P90" i="39"/>
  <c r="P3" i="39"/>
  <c r="AL90" i="39" l="1"/>
  <c r="L111" i="1"/>
  <c r="C55" i="1"/>
  <c r="E55" i="1"/>
  <c r="K55" i="1"/>
  <c r="M55" i="1" s="1"/>
  <c r="O55" i="1" s="1"/>
  <c r="C66" i="1"/>
  <c r="E66" i="1"/>
  <c r="K66" i="1"/>
  <c r="M66" i="1" s="1"/>
  <c r="O66" i="1" s="1"/>
  <c r="C341" i="1"/>
  <c r="E341" i="1"/>
  <c r="K341" i="1"/>
  <c r="M341" i="1" s="1"/>
  <c r="O341" i="1" s="1"/>
  <c r="C327" i="1"/>
  <c r="E327" i="1"/>
  <c r="K327" i="1"/>
  <c r="M327" i="1" s="1"/>
  <c r="O327" i="1" s="1"/>
  <c r="C328" i="1"/>
  <c r="E328" i="1"/>
  <c r="K328" i="1"/>
  <c r="M328" i="1" s="1"/>
  <c r="O328" i="1" s="1"/>
  <c r="C329" i="1"/>
  <c r="E329" i="1"/>
  <c r="K329" i="1"/>
  <c r="M329" i="1" s="1"/>
  <c r="O329" i="1" s="1"/>
  <c r="C330" i="1"/>
  <c r="E330" i="1"/>
  <c r="K330" i="1"/>
  <c r="M330" i="1" s="1"/>
  <c r="O330" i="1" s="1"/>
  <c r="C52" i="1"/>
  <c r="E52" i="1"/>
  <c r="K52" i="1"/>
  <c r="M52" i="1" s="1"/>
  <c r="O52" i="1" s="1"/>
  <c r="C53" i="1"/>
  <c r="E53" i="1"/>
  <c r="K53" i="1"/>
  <c r="M53" i="1" s="1"/>
  <c r="O53" i="1" s="1"/>
  <c r="C225" i="1"/>
  <c r="E225" i="1"/>
  <c r="K225" i="1"/>
  <c r="M225" i="1" s="1"/>
  <c r="O225" i="1" s="1"/>
  <c r="C226" i="1"/>
  <c r="E226" i="1"/>
  <c r="K226" i="1"/>
  <c r="M226" i="1" s="1"/>
  <c r="O226" i="1" s="1"/>
  <c r="C227" i="1"/>
  <c r="E227" i="1"/>
  <c r="K227" i="1"/>
  <c r="M227" i="1" s="1"/>
  <c r="O227" i="1" s="1"/>
  <c r="C228" i="1"/>
  <c r="E228" i="1"/>
  <c r="K228" i="1"/>
  <c r="M228" i="1" s="1"/>
  <c r="O228" i="1" s="1"/>
  <c r="C229" i="1"/>
  <c r="E229" i="1"/>
  <c r="K229" i="1"/>
  <c r="M229" i="1" s="1"/>
  <c r="O229" i="1" s="1"/>
  <c r="C230" i="1"/>
  <c r="E230" i="1"/>
  <c r="K230" i="1"/>
  <c r="M230" i="1" s="1"/>
  <c r="O230" i="1" s="1"/>
  <c r="C231" i="1"/>
  <c r="E231" i="1"/>
  <c r="K231" i="1"/>
  <c r="M231" i="1" s="1"/>
  <c r="O231" i="1" s="1"/>
  <c r="P55" i="1" l="1"/>
  <c r="AA55" i="1"/>
  <c r="U55" i="1"/>
  <c r="X55" i="1"/>
  <c r="AD55" i="1"/>
  <c r="AG55" i="1"/>
  <c r="AA66" i="1"/>
  <c r="AD66" i="1"/>
  <c r="AG66" i="1"/>
  <c r="P66" i="1"/>
  <c r="U66" i="1"/>
  <c r="X66" i="1"/>
  <c r="P341" i="1"/>
  <c r="U341" i="1"/>
  <c r="X341" i="1"/>
  <c r="AA341" i="1"/>
  <c r="AD341" i="1"/>
  <c r="AG341" i="1"/>
  <c r="X327" i="1"/>
  <c r="AA327" i="1"/>
  <c r="AD327" i="1"/>
  <c r="AG327" i="1"/>
  <c r="P327" i="1"/>
  <c r="U327" i="1"/>
  <c r="X328" i="1"/>
  <c r="AD328" i="1"/>
  <c r="P328" i="1"/>
  <c r="U328" i="1"/>
  <c r="AA328" i="1"/>
  <c r="AG328" i="1"/>
  <c r="AD329" i="1"/>
  <c r="P329" i="1"/>
  <c r="U329" i="1"/>
  <c r="X329" i="1"/>
  <c r="AA329" i="1"/>
  <c r="AG329" i="1"/>
  <c r="AG330" i="1"/>
  <c r="P330" i="1"/>
  <c r="U330" i="1"/>
  <c r="X330" i="1"/>
  <c r="AA330" i="1"/>
  <c r="AD330" i="1"/>
  <c r="AD52" i="1"/>
  <c r="AG52" i="1"/>
  <c r="P52" i="1"/>
  <c r="U52" i="1"/>
  <c r="X52" i="1"/>
  <c r="AA52" i="1"/>
  <c r="U53" i="1"/>
  <c r="AA53" i="1"/>
  <c r="AG53" i="1"/>
  <c r="P53" i="1"/>
  <c r="X53" i="1"/>
  <c r="AD53" i="1"/>
  <c r="P225" i="1"/>
  <c r="U225" i="1"/>
  <c r="X225" i="1"/>
  <c r="AA225" i="1"/>
  <c r="AD225" i="1"/>
  <c r="AG225" i="1"/>
  <c r="X227" i="1"/>
  <c r="AD227" i="1"/>
  <c r="AA227" i="1"/>
  <c r="AG227" i="1"/>
  <c r="P227" i="1"/>
  <c r="U227" i="1"/>
  <c r="AD228" i="1"/>
  <c r="AG228" i="1"/>
  <c r="X228" i="1"/>
  <c r="AA228" i="1"/>
  <c r="P228" i="1"/>
  <c r="U228" i="1"/>
  <c r="U229" i="1"/>
  <c r="AD229" i="1"/>
  <c r="P229" i="1"/>
  <c r="X229" i="1"/>
  <c r="AA229" i="1"/>
  <c r="AA226" i="1"/>
  <c r="AG226" i="1"/>
  <c r="AD226" i="1"/>
  <c r="P226" i="1"/>
  <c r="U226" i="1"/>
  <c r="X226" i="1"/>
  <c r="AG229" i="1"/>
  <c r="AG230" i="1"/>
  <c r="P230" i="1"/>
  <c r="U230" i="1"/>
  <c r="X230" i="1"/>
  <c r="AA230" i="1"/>
  <c r="AD230" i="1"/>
  <c r="U231" i="1"/>
  <c r="X231" i="1"/>
  <c r="AA231" i="1"/>
  <c r="AD231" i="1"/>
  <c r="AG231" i="1"/>
  <c r="P231" i="1"/>
  <c r="AH55" i="1" l="1"/>
  <c r="AH66" i="1"/>
  <c r="AH341" i="1"/>
  <c r="AH327" i="1"/>
  <c r="AH328" i="1"/>
  <c r="AH329" i="1"/>
  <c r="AH52" i="1"/>
  <c r="AH330" i="1"/>
  <c r="AH53" i="1"/>
  <c r="AH225" i="1"/>
  <c r="AH226" i="1"/>
  <c r="AH229" i="1"/>
  <c r="AH228" i="1"/>
  <c r="AH227" i="1"/>
  <c r="AH230" i="1"/>
  <c r="AH231" i="1"/>
  <c r="M43" i="3" l="1"/>
  <c r="K113" i="1"/>
  <c r="M113" i="1" s="1"/>
  <c r="O113" i="1" s="1"/>
  <c r="AG113" i="1" s="1"/>
  <c r="E113" i="1"/>
  <c r="C113" i="1"/>
  <c r="K110" i="1"/>
  <c r="M110" i="1" s="1"/>
  <c r="O110" i="1" s="1"/>
  <c r="E110" i="1"/>
  <c r="C110" i="1"/>
  <c r="K276" i="1"/>
  <c r="M276" i="1" s="1"/>
  <c r="O276" i="1" s="1"/>
  <c r="E276" i="1"/>
  <c r="C276" i="1"/>
  <c r="K90" i="1"/>
  <c r="M90" i="1" s="1"/>
  <c r="O90" i="1" s="1"/>
  <c r="E90" i="1"/>
  <c r="C90" i="1"/>
  <c r="K91" i="1"/>
  <c r="M91" i="1" s="1"/>
  <c r="O91" i="1" s="1"/>
  <c r="E91" i="1"/>
  <c r="C91" i="1"/>
  <c r="K205" i="1"/>
  <c r="M205" i="1" s="1"/>
  <c r="O205" i="1" s="1"/>
  <c r="E205" i="1"/>
  <c r="C205" i="1"/>
  <c r="U113" i="1" l="1"/>
  <c r="X113" i="1"/>
  <c r="P113" i="1"/>
  <c r="AD113" i="1"/>
  <c r="AA113" i="1"/>
  <c r="AG110" i="1"/>
  <c r="P110" i="1"/>
  <c r="AD110" i="1"/>
  <c r="AA110" i="1"/>
  <c r="X110" i="1"/>
  <c r="U110" i="1"/>
  <c r="P276" i="1"/>
  <c r="AG276" i="1"/>
  <c r="AD276" i="1"/>
  <c r="AA276" i="1"/>
  <c r="X276" i="1"/>
  <c r="U276" i="1"/>
  <c r="AD90" i="1"/>
  <c r="X90" i="1"/>
  <c r="U90" i="1"/>
  <c r="AG90" i="1"/>
  <c r="AA90" i="1"/>
  <c r="P90" i="1"/>
  <c r="P91" i="1"/>
  <c r="AG91" i="1"/>
  <c r="AD91" i="1"/>
  <c r="AA91" i="1"/>
  <c r="X91" i="1"/>
  <c r="U91" i="1"/>
  <c r="AG205" i="1"/>
  <c r="AD205" i="1"/>
  <c r="X205" i="1"/>
  <c r="U205" i="1"/>
  <c r="P205" i="1"/>
  <c r="AA205" i="1"/>
  <c r="AH113" i="1" l="1"/>
  <c r="AH110" i="1"/>
  <c r="AH276" i="1"/>
  <c r="AH90" i="1"/>
  <c r="AH91" i="1"/>
  <c r="AH205" i="1"/>
  <c r="K239" i="1" l="1"/>
  <c r="M239" i="1" s="1"/>
  <c r="O239" i="1" s="1"/>
  <c r="E239" i="1"/>
  <c r="C239" i="1"/>
  <c r="AA239" i="1" l="1"/>
  <c r="AG239" i="1"/>
  <c r="AD239" i="1"/>
  <c r="X239" i="1"/>
  <c r="U239" i="1"/>
  <c r="P239" i="1"/>
  <c r="AH239" i="1" l="1"/>
  <c r="AA79" i="3" l="1"/>
  <c r="Y8" i="3" l="1"/>
  <c r="Y9" i="3"/>
  <c r="Y10" i="3"/>
  <c r="Y11" i="3"/>
  <c r="Y12" i="3"/>
  <c r="Y13" i="3"/>
  <c r="Y14" i="3"/>
  <c r="Y15" i="3"/>
  <c r="W9" i="3"/>
  <c r="Y7" i="3"/>
  <c r="W7" i="3"/>
  <c r="W8" i="3"/>
  <c r="W10" i="3"/>
  <c r="W11" i="3"/>
  <c r="W12" i="3"/>
  <c r="W13" i="3"/>
  <c r="W14" i="3"/>
  <c r="W15" i="3"/>
  <c r="W18" i="3"/>
  <c r="W19" i="3"/>
  <c r="W20" i="3"/>
  <c r="W23" i="3"/>
  <c r="W26" i="3"/>
  <c r="W27" i="3"/>
  <c r="W29" i="3"/>
  <c r="W30" i="3"/>
  <c r="W31" i="3"/>
  <c r="W32" i="3"/>
  <c r="W34" i="3"/>
  <c r="W35" i="3"/>
  <c r="W36" i="3"/>
  <c r="W39" i="3"/>
  <c r="W41" i="3"/>
  <c r="W43" i="3"/>
  <c r="W46" i="3"/>
  <c r="W47" i="3"/>
  <c r="W48" i="3"/>
  <c r="W49" i="3"/>
  <c r="W52" i="3"/>
  <c r="W53" i="3"/>
  <c r="W54" i="3"/>
  <c r="W55" i="3"/>
  <c r="W56" i="3"/>
  <c r="W57" i="3"/>
  <c r="W58" i="3"/>
  <c r="W60" i="3"/>
  <c r="W61" i="3"/>
  <c r="W62" i="3"/>
  <c r="W63" i="3"/>
  <c r="W65" i="3"/>
  <c r="W66" i="3"/>
  <c r="W67" i="3"/>
  <c r="W69" i="3"/>
  <c r="W70" i="3"/>
  <c r="W71" i="3"/>
  <c r="W72" i="3"/>
  <c r="W73" i="3"/>
  <c r="W74" i="3"/>
  <c r="X7" i="3"/>
  <c r="X8" i="3"/>
  <c r="X9" i="3"/>
  <c r="X10" i="3"/>
  <c r="X11" i="3"/>
  <c r="X12" i="3"/>
  <c r="X13" i="3"/>
  <c r="X14" i="3"/>
  <c r="X15" i="3"/>
  <c r="X18" i="3"/>
  <c r="X19" i="3"/>
  <c r="X20" i="3"/>
  <c r="X25" i="3"/>
  <c r="X26" i="3"/>
  <c r="X27" i="3"/>
  <c r="X29" i="3"/>
  <c r="X30" i="3"/>
  <c r="X34" i="3"/>
  <c r="X35" i="3"/>
  <c r="X39" i="3"/>
  <c r="X46" i="3"/>
  <c r="X47" i="3"/>
  <c r="X48" i="3"/>
  <c r="X49" i="3"/>
  <c r="X57" i="3"/>
  <c r="X58" i="3"/>
  <c r="X62" i="3"/>
  <c r="X69" i="3"/>
  <c r="X70" i="3"/>
  <c r="X71" i="3"/>
  <c r="X72" i="3"/>
  <c r="X73" i="3"/>
  <c r="X74" i="3"/>
  <c r="Y17" i="3"/>
  <c r="Y18" i="3"/>
  <c r="Y19" i="3"/>
  <c r="Y20" i="3"/>
  <c r="Y25" i="3"/>
  <c r="Y26" i="3"/>
  <c r="Y27" i="3"/>
  <c r="Y29" i="3"/>
  <c r="Y30" i="3"/>
  <c r="Y35" i="3"/>
  <c r="Y46" i="3"/>
  <c r="Y47" i="3"/>
  <c r="Y48" i="3"/>
  <c r="Y49" i="3"/>
  <c r="Y57" i="3"/>
  <c r="Y58" i="3"/>
  <c r="Y67" i="3"/>
  <c r="Y69" i="3"/>
  <c r="Y70" i="3"/>
  <c r="Y71" i="3"/>
  <c r="Y72" i="3"/>
  <c r="Y73" i="3"/>
  <c r="Y74" i="3"/>
  <c r="V7" i="3"/>
  <c r="V8" i="3"/>
  <c r="V9" i="3"/>
  <c r="V10" i="3"/>
  <c r="V11" i="3"/>
  <c r="V12" i="3"/>
  <c r="V13" i="3"/>
  <c r="V14" i="3"/>
  <c r="V15" i="3"/>
  <c r="V18" i="3"/>
  <c r="V19" i="3"/>
  <c r="V20" i="3"/>
  <c r="V23" i="3"/>
  <c r="V26" i="3"/>
  <c r="V27" i="3"/>
  <c r="V29" i="3"/>
  <c r="V30" i="3"/>
  <c r="V31" i="3"/>
  <c r="V32" i="3"/>
  <c r="V35" i="3"/>
  <c r="V38" i="3"/>
  <c r="V39" i="3"/>
  <c r="V42" i="3"/>
  <c r="V43" i="3"/>
  <c r="V44" i="3"/>
  <c r="V46" i="3"/>
  <c r="V47" i="3"/>
  <c r="V48" i="3"/>
  <c r="V49" i="3"/>
  <c r="V50" i="3"/>
  <c r="V52" i="3"/>
  <c r="V53" i="3"/>
  <c r="V54" i="3"/>
  <c r="V57" i="3"/>
  <c r="V58" i="3"/>
  <c r="V60" i="3"/>
  <c r="V61" i="3"/>
  <c r="V63" i="3"/>
  <c r="V64" i="3"/>
  <c r="V65" i="3"/>
  <c r="V69" i="3"/>
  <c r="V70" i="3"/>
  <c r="V71" i="3"/>
  <c r="V72" i="3"/>
  <c r="V73" i="3"/>
  <c r="V74" i="3"/>
  <c r="U15" i="3"/>
  <c r="U14" i="3"/>
  <c r="U13" i="3"/>
  <c r="U12" i="3"/>
  <c r="U11" i="3"/>
  <c r="U10" i="3"/>
  <c r="U9" i="3"/>
  <c r="U8" i="3"/>
  <c r="U7" i="3"/>
  <c r="AA6" i="3" l="1"/>
  <c r="Z6" i="3"/>
  <c r="Z75" i="3" s="1"/>
  <c r="Z79" i="3" s="1"/>
  <c r="X6" i="3"/>
  <c r="V6" i="3"/>
  <c r="W6" i="3"/>
  <c r="Y6" i="3"/>
  <c r="U6" i="3"/>
  <c r="Y68" i="3"/>
  <c r="W68" i="3"/>
  <c r="V45" i="3"/>
  <c r="W28" i="3"/>
  <c r="V68" i="3"/>
  <c r="X68" i="3"/>
  <c r="W33" i="3"/>
  <c r="V28" i="3"/>
  <c r="W51" i="3"/>
  <c r="C157" i="1" l="1"/>
  <c r="E157" i="1"/>
  <c r="K157" i="1"/>
  <c r="M157" i="1" s="1"/>
  <c r="O157" i="1" s="1"/>
  <c r="C287" i="1"/>
  <c r="E287" i="1"/>
  <c r="K287" i="1"/>
  <c r="M287" i="1" s="1"/>
  <c r="O287" i="1" s="1"/>
  <c r="C288" i="1"/>
  <c r="E288" i="1"/>
  <c r="K288" i="1"/>
  <c r="M288" i="1" s="1"/>
  <c r="O288" i="1" s="1"/>
  <c r="C289" i="1"/>
  <c r="E289" i="1"/>
  <c r="K289" i="1"/>
  <c r="M289" i="1" s="1"/>
  <c r="O289" i="1" s="1"/>
  <c r="C290" i="1"/>
  <c r="E290" i="1"/>
  <c r="K290" i="1"/>
  <c r="M290" i="1" s="1"/>
  <c r="O290" i="1" s="1"/>
  <c r="AD290" i="1" l="1"/>
  <c r="X290" i="1"/>
  <c r="AG290" i="1"/>
  <c r="U290" i="1"/>
  <c r="P290" i="1"/>
  <c r="AA290" i="1"/>
  <c r="P289" i="1"/>
  <c r="U289" i="1"/>
  <c r="X289" i="1"/>
  <c r="AA289" i="1"/>
  <c r="AD289" i="1"/>
  <c r="AG289" i="1"/>
  <c r="AA288" i="1"/>
  <c r="AD288" i="1"/>
  <c r="AG288" i="1"/>
  <c r="X288" i="1"/>
  <c r="U288" i="1"/>
  <c r="P288" i="1"/>
  <c r="P287" i="1"/>
  <c r="U287" i="1"/>
  <c r="X287" i="1"/>
  <c r="AA287" i="1"/>
  <c r="AG287" i="1"/>
  <c r="AD287" i="1"/>
  <c r="AA157" i="1"/>
  <c r="AD157" i="1"/>
  <c r="AG157" i="1"/>
  <c r="U157" i="1"/>
  <c r="X157" i="1"/>
  <c r="P157" i="1"/>
  <c r="K189" i="1"/>
  <c r="M189" i="1" s="1"/>
  <c r="O189" i="1" s="1"/>
  <c r="E189" i="1"/>
  <c r="C189" i="1"/>
  <c r="AH287" i="1" l="1"/>
  <c r="AH288" i="1"/>
  <c r="AH289" i="1"/>
  <c r="AH157" i="1"/>
  <c r="AH290" i="1"/>
  <c r="AG189" i="1"/>
  <c r="AD189" i="1"/>
  <c r="AA189" i="1"/>
  <c r="X189" i="1"/>
  <c r="U189" i="1"/>
  <c r="P189" i="1"/>
  <c r="AH189" i="1" l="1"/>
  <c r="K143" i="1" l="1"/>
  <c r="E143" i="1"/>
  <c r="C143" i="1"/>
  <c r="M143" i="1" l="1"/>
  <c r="O143" i="1" s="1"/>
  <c r="AG143" i="1" l="1"/>
  <c r="X143" i="1"/>
  <c r="P143" i="1"/>
  <c r="AA143" i="1"/>
  <c r="AD143" i="1"/>
  <c r="U143" i="1"/>
  <c r="AH143" i="1" l="1"/>
  <c r="K214" i="1"/>
  <c r="M214" i="1" s="1"/>
  <c r="O214" i="1" s="1"/>
  <c r="E214" i="1"/>
  <c r="C214" i="1"/>
  <c r="C272" i="1"/>
  <c r="E272" i="1"/>
  <c r="K272" i="1"/>
  <c r="M272" i="1" s="1"/>
  <c r="O272" i="1" s="1"/>
  <c r="C273" i="1"/>
  <c r="E273" i="1"/>
  <c r="K273" i="1"/>
  <c r="M273" i="1" s="1"/>
  <c r="O273" i="1" s="1"/>
  <c r="C274" i="1"/>
  <c r="E274" i="1"/>
  <c r="K274" i="1"/>
  <c r="M274" i="1" s="1"/>
  <c r="O274" i="1" s="1"/>
  <c r="C127" i="1"/>
  <c r="E127" i="1"/>
  <c r="K127" i="1"/>
  <c r="M127" i="1" s="1"/>
  <c r="O127" i="1" s="1"/>
  <c r="K128" i="1"/>
  <c r="M128" i="1" s="1"/>
  <c r="O128" i="1" s="1"/>
  <c r="E128" i="1"/>
  <c r="C128" i="1"/>
  <c r="K145" i="1"/>
  <c r="M145" i="1" s="1"/>
  <c r="O145" i="1" s="1"/>
  <c r="E145" i="1"/>
  <c r="C145" i="1"/>
  <c r="AA214" i="1" l="1"/>
  <c r="AG214" i="1"/>
  <c r="AD214" i="1"/>
  <c r="X214" i="1"/>
  <c r="U214" i="1"/>
  <c r="P214" i="1"/>
  <c r="AA272" i="1"/>
  <c r="AD272" i="1"/>
  <c r="U272" i="1"/>
  <c r="AG272" i="1"/>
  <c r="X272" i="1"/>
  <c r="P272" i="1"/>
  <c r="AA273" i="1"/>
  <c r="P273" i="1"/>
  <c r="AD273" i="1"/>
  <c r="U273" i="1"/>
  <c r="AG273" i="1"/>
  <c r="X273" i="1"/>
  <c r="AA274" i="1"/>
  <c r="AD274" i="1"/>
  <c r="AG274" i="1"/>
  <c r="P274" i="1"/>
  <c r="U274" i="1"/>
  <c r="X274" i="1"/>
  <c r="AD127" i="1"/>
  <c r="U127" i="1"/>
  <c r="Y56" i="3" s="1"/>
  <c r="AG127" i="1"/>
  <c r="X127" i="1"/>
  <c r="AA56" i="3" s="1"/>
  <c r="AA127" i="1"/>
  <c r="P127" i="1"/>
  <c r="AD128" i="1"/>
  <c r="AG128" i="1"/>
  <c r="AA128" i="1"/>
  <c r="X128" i="1"/>
  <c r="U128" i="1"/>
  <c r="P128" i="1"/>
  <c r="AG145" i="1"/>
  <c r="AD145" i="1"/>
  <c r="AA145" i="1"/>
  <c r="P145" i="1"/>
  <c r="X145" i="1"/>
  <c r="U145" i="1"/>
  <c r="AH214" i="1" l="1"/>
  <c r="AH272" i="1"/>
  <c r="AH273" i="1"/>
  <c r="AH274" i="1"/>
  <c r="AH127" i="1"/>
  <c r="AH128" i="1"/>
  <c r="AH145" i="1"/>
  <c r="K122" i="1" l="1"/>
  <c r="M122" i="1" s="1"/>
  <c r="O122" i="1" s="1"/>
  <c r="E122" i="1"/>
  <c r="C122" i="1"/>
  <c r="AG122" i="1" l="1"/>
  <c r="AD122" i="1"/>
  <c r="U122" i="1"/>
  <c r="AA122" i="1"/>
  <c r="Y34" i="3" s="1"/>
  <c r="X122" i="1"/>
  <c r="V34" i="3" s="1"/>
  <c r="P122" i="1"/>
  <c r="K187" i="1"/>
  <c r="E187" i="1"/>
  <c r="C187" i="1"/>
  <c r="K186" i="1"/>
  <c r="E186" i="1"/>
  <c r="C186" i="1"/>
  <c r="K292" i="1"/>
  <c r="M292" i="1" s="1"/>
  <c r="O292" i="1" s="1"/>
  <c r="E292" i="1"/>
  <c r="C292" i="1"/>
  <c r="K294" i="1"/>
  <c r="M294" i="1" s="1"/>
  <c r="O294" i="1" s="1"/>
  <c r="E294" i="1"/>
  <c r="C294" i="1"/>
  <c r="M186" i="1" l="1"/>
  <c r="O186" i="1" s="1"/>
  <c r="M187" i="1"/>
  <c r="O187" i="1" s="1"/>
  <c r="AH122" i="1"/>
  <c r="AG292" i="1"/>
  <c r="X292" i="1"/>
  <c r="U292" i="1"/>
  <c r="V22" i="3" s="1"/>
  <c r="P292" i="1"/>
  <c r="AD292" i="1"/>
  <c r="AA292" i="1"/>
  <c r="AG294" i="1"/>
  <c r="AD294" i="1"/>
  <c r="AA294" i="1"/>
  <c r="X294" i="1"/>
  <c r="U294" i="1"/>
  <c r="P294" i="1"/>
  <c r="Y22" i="3" l="1"/>
  <c r="AA22" i="3"/>
  <c r="W22" i="3"/>
  <c r="X22" i="3"/>
  <c r="AG187" i="1"/>
  <c r="AD187" i="1"/>
  <c r="X187" i="1"/>
  <c r="U187" i="1"/>
  <c r="P187" i="1"/>
  <c r="AA187" i="1"/>
  <c r="X186" i="1"/>
  <c r="AA186" i="1"/>
  <c r="U186" i="1"/>
  <c r="AD186" i="1"/>
  <c r="P186" i="1"/>
  <c r="AG186" i="1"/>
  <c r="AH292" i="1"/>
  <c r="AH294" i="1"/>
  <c r="E10" i="4"/>
  <c r="K77" i="1"/>
  <c r="M77" i="1" s="1"/>
  <c r="O77" i="1" s="1"/>
  <c r="E77" i="1"/>
  <c r="C77" i="1"/>
  <c r="K76" i="1"/>
  <c r="M76" i="1" s="1"/>
  <c r="O76" i="1" s="1"/>
  <c r="E76" i="1"/>
  <c r="C76" i="1"/>
  <c r="D16" i="35"/>
  <c r="F16" i="35" s="1"/>
  <c r="H16" i="35" s="1"/>
  <c r="J16" i="35" s="1"/>
  <c r="L16" i="35" s="1"/>
  <c r="N16" i="35" s="1"/>
  <c r="P16" i="35" s="1"/>
  <c r="Q16" i="35"/>
  <c r="V16" i="35"/>
  <c r="U16" i="35" s="1"/>
  <c r="T16" i="35" s="1"/>
  <c r="S16" i="35" s="1"/>
  <c r="D17" i="35"/>
  <c r="F17" i="35" s="1"/>
  <c r="H17" i="35" s="1"/>
  <c r="J17" i="35" s="1"/>
  <c r="L17" i="35" s="1"/>
  <c r="N17" i="35" s="1"/>
  <c r="P17" i="35" s="1"/>
  <c r="Q17" i="35"/>
  <c r="V17" i="35"/>
  <c r="U17" i="35" s="1"/>
  <c r="T17" i="35" s="1"/>
  <c r="S17" i="35" s="1"/>
  <c r="D18" i="35"/>
  <c r="F18" i="35" s="1"/>
  <c r="H18" i="35" s="1"/>
  <c r="J18" i="35" s="1"/>
  <c r="L18" i="35" s="1"/>
  <c r="N18" i="35" s="1"/>
  <c r="P18" i="35" s="1"/>
  <c r="Q18" i="35"/>
  <c r="V18" i="35"/>
  <c r="U18" i="35" s="1"/>
  <c r="T18" i="35" s="1"/>
  <c r="S18" i="35" s="1"/>
  <c r="D19" i="35"/>
  <c r="F19" i="35" s="1"/>
  <c r="H19" i="35" s="1"/>
  <c r="J19" i="35" s="1"/>
  <c r="L19" i="35" s="1"/>
  <c r="N19" i="35" s="1"/>
  <c r="P19" i="35" s="1"/>
  <c r="Q19" i="35"/>
  <c r="V19" i="35"/>
  <c r="U19" i="35" s="1"/>
  <c r="T19" i="35" s="1"/>
  <c r="S19" i="35" s="1"/>
  <c r="D20" i="35"/>
  <c r="F20" i="35" s="1"/>
  <c r="H20" i="35" s="1"/>
  <c r="J20" i="35" s="1"/>
  <c r="L20" i="35" s="1"/>
  <c r="N20" i="35" s="1"/>
  <c r="P20" i="35" s="1"/>
  <c r="Q20" i="35"/>
  <c r="V20" i="35"/>
  <c r="U20" i="35" s="1"/>
  <c r="T20" i="35" s="1"/>
  <c r="S20" i="35" s="1"/>
  <c r="D21" i="35"/>
  <c r="F21" i="35" s="1"/>
  <c r="H21" i="35" s="1"/>
  <c r="J21" i="35" s="1"/>
  <c r="L21" i="35" s="1"/>
  <c r="N21" i="35" s="1"/>
  <c r="P21" i="35" s="1"/>
  <c r="Q21" i="35"/>
  <c r="V21" i="35"/>
  <c r="U21" i="35" s="1"/>
  <c r="T21" i="35" s="1"/>
  <c r="S21" i="35" s="1"/>
  <c r="D22" i="35"/>
  <c r="F22" i="35" s="1"/>
  <c r="H22" i="35" s="1"/>
  <c r="J22" i="35" s="1"/>
  <c r="L22" i="35" s="1"/>
  <c r="N22" i="35" s="1"/>
  <c r="P22" i="35" s="1"/>
  <c r="Q22" i="35"/>
  <c r="V22" i="35"/>
  <c r="U22" i="35" s="1"/>
  <c r="T22" i="35" s="1"/>
  <c r="S22" i="35" s="1"/>
  <c r="D23" i="35"/>
  <c r="F23" i="35" s="1"/>
  <c r="H23" i="35" s="1"/>
  <c r="J23" i="35" s="1"/>
  <c r="L23" i="35" s="1"/>
  <c r="N23" i="35" s="1"/>
  <c r="P23" i="35" s="1"/>
  <c r="Q23" i="35"/>
  <c r="V23" i="35"/>
  <c r="U23" i="35" s="1"/>
  <c r="T23" i="35" s="1"/>
  <c r="S23" i="35" s="1"/>
  <c r="F24" i="35"/>
  <c r="H24" i="35" s="1"/>
  <c r="J24" i="35" s="1"/>
  <c r="L24" i="35" s="1"/>
  <c r="N24" i="35" s="1"/>
  <c r="P24" i="35" s="1"/>
  <c r="Q24" i="35"/>
  <c r="V24" i="35"/>
  <c r="U24" i="35" s="1"/>
  <c r="T24" i="35" s="1"/>
  <c r="S24" i="35" s="1"/>
  <c r="F25" i="35"/>
  <c r="H25" i="35" s="1"/>
  <c r="J25" i="35" s="1"/>
  <c r="L25" i="35" s="1"/>
  <c r="N25" i="35" s="1"/>
  <c r="P25" i="35" s="1"/>
  <c r="Q25" i="35"/>
  <c r="V25" i="35"/>
  <c r="U25" i="35" s="1"/>
  <c r="T25" i="35" s="1"/>
  <c r="S25" i="35" s="1"/>
  <c r="F26" i="35"/>
  <c r="H26" i="35" s="1"/>
  <c r="J26" i="35" s="1"/>
  <c r="L26" i="35" s="1"/>
  <c r="N26" i="35" s="1"/>
  <c r="P26" i="35" s="1"/>
  <c r="Q26" i="35"/>
  <c r="V26" i="35"/>
  <c r="U26" i="35" s="1"/>
  <c r="T26" i="35" s="1"/>
  <c r="S26" i="35" s="1"/>
  <c r="F27" i="35"/>
  <c r="H27" i="35" s="1"/>
  <c r="J27" i="35" s="1"/>
  <c r="K27" i="35"/>
  <c r="Q27" i="35" s="1"/>
  <c r="V27" i="35"/>
  <c r="U27" i="35" s="1"/>
  <c r="T27" i="35" s="1"/>
  <c r="S27" i="35" s="1"/>
  <c r="K28" i="35"/>
  <c r="Q28" i="35" s="1"/>
  <c r="V28" i="35"/>
  <c r="U28" i="35" s="1"/>
  <c r="T28" i="35" s="1"/>
  <c r="S28" i="35" s="1"/>
  <c r="D29" i="35"/>
  <c r="F29" i="35" s="1"/>
  <c r="H29" i="35" s="1"/>
  <c r="J29" i="35" s="1"/>
  <c r="L29" i="35" s="1"/>
  <c r="N29" i="35" s="1"/>
  <c r="P29" i="35" s="1"/>
  <c r="Q29" i="35"/>
  <c r="V29" i="35"/>
  <c r="U29" i="35" s="1"/>
  <c r="T29" i="35" s="1"/>
  <c r="S29" i="35" s="1"/>
  <c r="D31" i="35"/>
  <c r="F31" i="35" s="1"/>
  <c r="H31" i="35" s="1"/>
  <c r="J31" i="35" s="1"/>
  <c r="L31" i="35" s="1"/>
  <c r="N31" i="35" s="1"/>
  <c r="P31" i="35" s="1"/>
  <c r="Q31" i="35"/>
  <c r="V31" i="35"/>
  <c r="U31" i="35" s="1"/>
  <c r="T31" i="35" s="1"/>
  <c r="S31" i="35" s="1"/>
  <c r="D32" i="35"/>
  <c r="F32" i="35" s="1"/>
  <c r="H32" i="35" s="1"/>
  <c r="J32" i="35" s="1"/>
  <c r="L32" i="35" s="1"/>
  <c r="N32" i="35" s="1"/>
  <c r="P32" i="35" s="1"/>
  <c r="Q32" i="35"/>
  <c r="V32" i="35"/>
  <c r="U32" i="35" s="1"/>
  <c r="T32" i="35" s="1"/>
  <c r="S32" i="35" s="1"/>
  <c r="D33" i="35"/>
  <c r="F33" i="35" s="1"/>
  <c r="H33" i="35" s="1"/>
  <c r="J33" i="35" s="1"/>
  <c r="L33" i="35" s="1"/>
  <c r="N33" i="35" s="1"/>
  <c r="P33" i="35" s="1"/>
  <c r="Q33" i="35"/>
  <c r="V33" i="35"/>
  <c r="U33" i="35" s="1"/>
  <c r="T33" i="35" s="1"/>
  <c r="S33" i="35" s="1"/>
  <c r="D35" i="35"/>
  <c r="F35" i="35" s="1"/>
  <c r="H35" i="35" s="1"/>
  <c r="J35" i="35" s="1"/>
  <c r="L35" i="35" s="1"/>
  <c r="N35" i="35" s="1"/>
  <c r="P35" i="35" s="1"/>
  <c r="Q35" i="35"/>
  <c r="V35" i="35"/>
  <c r="U35" i="35" s="1"/>
  <c r="T35" i="35" s="1"/>
  <c r="S35" i="35" s="1"/>
  <c r="D36" i="35"/>
  <c r="F36" i="35" s="1"/>
  <c r="H36" i="35" s="1"/>
  <c r="J36" i="35" s="1"/>
  <c r="L36" i="35" s="1"/>
  <c r="N36" i="35" s="1"/>
  <c r="P36" i="35" s="1"/>
  <c r="Q36" i="35"/>
  <c r="V36" i="35"/>
  <c r="U36" i="35" s="1"/>
  <c r="T36" i="35" s="1"/>
  <c r="S36" i="35" s="1"/>
  <c r="D38" i="35"/>
  <c r="F38" i="35" s="1"/>
  <c r="H38" i="35" s="1"/>
  <c r="J38" i="35" s="1"/>
  <c r="L38" i="35" s="1"/>
  <c r="N38" i="35" s="1"/>
  <c r="P38" i="35" s="1"/>
  <c r="Q38" i="35"/>
  <c r="V38" i="35"/>
  <c r="U38" i="35" s="1"/>
  <c r="T38" i="35" s="1"/>
  <c r="S38" i="35" s="1"/>
  <c r="D39" i="35"/>
  <c r="F39" i="35" s="1"/>
  <c r="H39" i="35" s="1"/>
  <c r="J39" i="35" s="1"/>
  <c r="L39" i="35" s="1"/>
  <c r="N39" i="35" s="1"/>
  <c r="P39" i="35" s="1"/>
  <c r="Q39" i="35"/>
  <c r="V39" i="35"/>
  <c r="U39" i="35" s="1"/>
  <c r="T39" i="35" s="1"/>
  <c r="S39" i="35" s="1"/>
  <c r="D40" i="35"/>
  <c r="F40" i="35" s="1"/>
  <c r="H40" i="35" s="1"/>
  <c r="J40" i="35" s="1"/>
  <c r="L40" i="35" s="1"/>
  <c r="N40" i="35" s="1"/>
  <c r="P40" i="35" s="1"/>
  <c r="Q40" i="35"/>
  <c r="V40" i="35"/>
  <c r="U40" i="35" s="1"/>
  <c r="T40" i="35" s="1"/>
  <c r="S40" i="35" s="1"/>
  <c r="D41" i="35"/>
  <c r="F41" i="35" s="1"/>
  <c r="H41" i="35" s="1"/>
  <c r="J41" i="35" s="1"/>
  <c r="L41" i="35" s="1"/>
  <c r="N41" i="35" s="1"/>
  <c r="P41" i="35" s="1"/>
  <c r="Q41" i="35"/>
  <c r="V41" i="35"/>
  <c r="U41" i="35" s="1"/>
  <c r="T41" i="35" s="1"/>
  <c r="S41" i="35" s="1"/>
  <c r="D42" i="35"/>
  <c r="F42" i="35" s="1"/>
  <c r="H42" i="35" s="1"/>
  <c r="J42" i="35" s="1"/>
  <c r="L42" i="35" s="1"/>
  <c r="N42" i="35" s="1"/>
  <c r="P42" i="35" s="1"/>
  <c r="Q42" i="35"/>
  <c r="V42" i="35"/>
  <c r="U42" i="35" s="1"/>
  <c r="T42" i="35" s="1"/>
  <c r="S42" i="35" s="1"/>
  <c r="D43" i="35"/>
  <c r="F43" i="35" s="1"/>
  <c r="H43" i="35" s="1"/>
  <c r="J43" i="35" s="1"/>
  <c r="L43" i="35" s="1"/>
  <c r="N43" i="35" s="1"/>
  <c r="P43" i="35" s="1"/>
  <c r="Q43" i="35"/>
  <c r="V43" i="35"/>
  <c r="U43" i="35" s="1"/>
  <c r="T43" i="35" s="1"/>
  <c r="S43" i="35" s="1"/>
  <c r="D44" i="35"/>
  <c r="F44" i="35" s="1"/>
  <c r="H44" i="35" s="1"/>
  <c r="J44" i="35" s="1"/>
  <c r="L44" i="35" s="1"/>
  <c r="N44" i="35" s="1"/>
  <c r="P44" i="35" s="1"/>
  <c r="Q44" i="35"/>
  <c r="V44" i="35"/>
  <c r="U44" i="35" s="1"/>
  <c r="T44" i="35" s="1"/>
  <c r="S44" i="35" s="1"/>
  <c r="D45" i="35"/>
  <c r="F45" i="35" s="1"/>
  <c r="H45" i="35" s="1"/>
  <c r="J45" i="35" s="1"/>
  <c r="L45" i="35" s="1"/>
  <c r="N45" i="35" s="1"/>
  <c r="P45" i="35" s="1"/>
  <c r="Q45" i="35"/>
  <c r="V45" i="35"/>
  <c r="U45" i="35" s="1"/>
  <c r="T45" i="35" s="1"/>
  <c r="S45" i="35" s="1"/>
  <c r="F46" i="35"/>
  <c r="H46" i="35" s="1"/>
  <c r="J46" i="35" s="1"/>
  <c r="L46" i="35" s="1"/>
  <c r="N46" i="35" s="1"/>
  <c r="P46" i="35" s="1"/>
  <c r="Q46" i="35"/>
  <c r="V46" i="35"/>
  <c r="U46" i="35" s="1"/>
  <c r="T46" i="35" s="1"/>
  <c r="S46" i="35" s="1"/>
  <c r="F47" i="35"/>
  <c r="H47" i="35" s="1"/>
  <c r="J47" i="35" s="1"/>
  <c r="L47" i="35" s="1"/>
  <c r="N47" i="35" s="1"/>
  <c r="P47" i="35" s="1"/>
  <c r="Q47" i="35"/>
  <c r="V47" i="35"/>
  <c r="U47" i="35" s="1"/>
  <c r="T47" i="35" s="1"/>
  <c r="S47" i="35" s="1"/>
  <c r="F48" i="35"/>
  <c r="H48" i="35" s="1"/>
  <c r="J48" i="35" s="1"/>
  <c r="L48" i="35" s="1"/>
  <c r="N48" i="35" s="1"/>
  <c r="P48" i="35" s="1"/>
  <c r="Q48" i="35"/>
  <c r="V48" i="35"/>
  <c r="U48" i="35" s="1"/>
  <c r="T48" i="35" s="1"/>
  <c r="S48" i="35" s="1"/>
  <c r="F49" i="35"/>
  <c r="H49" i="35" s="1"/>
  <c r="J49" i="35" s="1"/>
  <c r="L49" i="35" s="1"/>
  <c r="N49" i="35" s="1"/>
  <c r="P49" i="35" s="1"/>
  <c r="Q49" i="35"/>
  <c r="V49" i="35"/>
  <c r="U49" i="35" s="1"/>
  <c r="T49" i="35" s="1"/>
  <c r="S49" i="35" s="1"/>
  <c r="D50" i="35"/>
  <c r="F50" i="35" s="1"/>
  <c r="H50" i="35" s="1"/>
  <c r="J50" i="35" s="1"/>
  <c r="L50" i="35" s="1"/>
  <c r="N50" i="35" s="1"/>
  <c r="P50" i="35" s="1"/>
  <c r="Q50" i="35"/>
  <c r="V50" i="35"/>
  <c r="U50" i="35" s="1"/>
  <c r="T50" i="35" s="1"/>
  <c r="S50" i="35" s="1"/>
  <c r="D51" i="35"/>
  <c r="F51" i="35" s="1"/>
  <c r="H51" i="35" s="1"/>
  <c r="J51" i="35" s="1"/>
  <c r="L51" i="35" s="1"/>
  <c r="N51" i="35" s="1"/>
  <c r="P51" i="35" s="1"/>
  <c r="Q51" i="35"/>
  <c r="V51" i="35"/>
  <c r="U51" i="35" s="1"/>
  <c r="T51" i="35" s="1"/>
  <c r="S51" i="35" s="1"/>
  <c r="D52" i="35"/>
  <c r="F52" i="35" s="1"/>
  <c r="H52" i="35" s="1"/>
  <c r="J52" i="35" s="1"/>
  <c r="L52" i="35" s="1"/>
  <c r="N52" i="35" s="1"/>
  <c r="P52" i="35" s="1"/>
  <c r="Q52" i="35"/>
  <c r="V52" i="35"/>
  <c r="U52" i="35" s="1"/>
  <c r="T52" i="35" s="1"/>
  <c r="S52" i="35" s="1"/>
  <c r="D53" i="35"/>
  <c r="F53" i="35" s="1"/>
  <c r="H53" i="35" s="1"/>
  <c r="J53" i="35" s="1"/>
  <c r="L53" i="35" s="1"/>
  <c r="N53" i="35" s="1"/>
  <c r="P53" i="35" s="1"/>
  <c r="Q53" i="35"/>
  <c r="V53" i="35"/>
  <c r="U53" i="35" s="1"/>
  <c r="T53" i="35" s="1"/>
  <c r="S53" i="35" s="1"/>
  <c r="D54" i="35"/>
  <c r="F54" i="35" s="1"/>
  <c r="H54" i="35" s="1"/>
  <c r="J54" i="35" s="1"/>
  <c r="L54" i="35" s="1"/>
  <c r="N54" i="35" s="1"/>
  <c r="P54" i="35" s="1"/>
  <c r="Q54" i="35"/>
  <c r="V54" i="35"/>
  <c r="U54" i="35" s="1"/>
  <c r="T54" i="35" s="1"/>
  <c r="S54" i="35" s="1"/>
  <c r="D55" i="35"/>
  <c r="F55" i="35" s="1"/>
  <c r="H55" i="35" s="1"/>
  <c r="J55" i="35" s="1"/>
  <c r="L55" i="35" s="1"/>
  <c r="N55" i="35" s="1"/>
  <c r="P55" i="35" s="1"/>
  <c r="Q55" i="35"/>
  <c r="V55" i="35"/>
  <c r="U55" i="35" s="1"/>
  <c r="T55" i="35" s="1"/>
  <c r="S55" i="35" s="1"/>
  <c r="D56" i="35"/>
  <c r="F56" i="35" s="1"/>
  <c r="H56" i="35" s="1"/>
  <c r="J56" i="35" s="1"/>
  <c r="L56" i="35" s="1"/>
  <c r="N56" i="35" s="1"/>
  <c r="P56" i="35" s="1"/>
  <c r="Q56" i="35"/>
  <c r="V56" i="35"/>
  <c r="U56" i="35" s="1"/>
  <c r="T56" i="35" s="1"/>
  <c r="S56" i="35" s="1"/>
  <c r="D57" i="35"/>
  <c r="F57" i="35" s="1"/>
  <c r="H57" i="35" s="1"/>
  <c r="J57" i="35" s="1"/>
  <c r="L57" i="35" s="1"/>
  <c r="N57" i="35" s="1"/>
  <c r="P57" i="35" s="1"/>
  <c r="Q57" i="35"/>
  <c r="V57" i="35"/>
  <c r="U57" i="35" s="1"/>
  <c r="T57" i="35" s="1"/>
  <c r="S57" i="35" s="1"/>
  <c r="D58" i="35"/>
  <c r="F58" i="35" s="1"/>
  <c r="H58" i="35" s="1"/>
  <c r="J58" i="35" s="1"/>
  <c r="L58" i="35" s="1"/>
  <c r="N58" i="35" s="1"/>
  <c r="P58" i="35" s="1"/>
  <c r="Q58" i="35"/>
  <c r="V58" i="35"/>
  <c r="U58" i="35" s="1"/>
  <c r="T58" i="35" s="1"/>
  <c r="S58" i="35" s="1"/>
  <c r="D59" i="35"/>
  <c r="F59" i="35" s="1"/>
  <c r="H59" i="35" s="1"/>
  <c r="J59" i="35" s="1"/>
  <c r="L59" i="35" s="1"/>
  <c r="N59" i="35" s="1"/>
  <c r="P59" i="35" s="1"/>
  <c r="Q59" i="35"/>
  <c r="V59" i="35"/>
  <c r="U59" i="35" s="1"/>
  <c r="T59" i="35" s="1"/>
  <c r="S59" i="35" s="1"/>
  <c r="D60" i="35"/>
  <c r="F60" i="35" s="1"/>
  <c r="H60" i="35" s="1"/>
  <c r="J60" i="35" s="1"/>
  <c r="L60" i="35" s="1"/>
  <c r="N60" i="35" s="1"/>
  <c r="P60" i="35" s="1"/>
  <c r="Q60" i="35"/>
  <c r="V60" i="35"/>
  <c r="U60" i="35" s="1"/>
  <c r="T60" i="35" s="1"/>
  <c r="S60" i="35" s="1"/>
  <c r="D61" i="35"/>
  <c r="F61" i="35" s="1"/>
  <c r="H61" i="35" s="1"/>
  <c r="J61" i="35" s="1"/>
  <c r="L61" i="35" s="1"/>
  <c r="N61" i="35" s="1"/>
  <c r="P61" i="35" s="1"/>
  <c r="Q61" i="35"/>
  <c r="V61" i="35"/>
  <c r="U61" i="35" s="1"/>
  <c r="T61" i="35" s="1"/>
  <c r="S61" i="35" s="1"/>
  <c r="D62" i="35"/>
  <c r="F62" i="35" s="1"/>
  <c r="H62" i="35" s="1"/>
  <c r="J62" i="35" s="1"/>
  <c r="L62" i="35" s="1"/>
  <c r="N62" i="35" s="1"/>
  <c r="P62" i="35" s="1"/>
  <c r="Q62" i="35"/>
  <c r="V62" i="35"/>
  <c r="U62" i="35" s="1"/>
  <c r="T62" i="35" s="1"/>
  <c r="S62" i="35" s="1"/>
  <c r="D63" i="35"/>
  <c r="F63" i="35" s="1"/>
  <c r="H63" i="35" s="1"/>
  <c r="J63" i="35" s="1"/>
  <c r="L63" i="35" s="1"/>
  <c r="N63" i="35" s="1"/>
  <c r="P63" i="35" s="1"/>
  <c r="Q63" i="35"/>
  <c r="V63" i="35"/>
  <c r="U63" i="35" s="1"/>
  <c r="T63" i="35" s="1"/>
  <c r="S63" i="35" s="1"/>
  <c r="D64" i="35"/>
  <c r="F64" i="35" s="1"/>
  <c r="H64" i="35" s="1"/>
  <c r="J64" i="35" s="1"/>
  <c r="L64" i="35" s="1"/>
  <c r="N64" i="35" s="1"/>
  <c r="P64" i="35" s="1"/>
  <c r="Q64" i="35"/>
  <c r="V64" i="35"/>
  <c r="U64" i="35" s="1"/>
  <c r="T64" i="35" s="1"/>
  <c r="S64" i="35" s="1"/>
  <c r="D65" i="35"/>
  <c r="F65" i="35" s="1"/>
  <c r="H65" i="35" s="1"/>
  <c r="J65" i="35" s="1"/>
  <c r="L65" i="35" s="1"/>
  <c r="N65" i="35" s="1"/>
  <c r="P65" i="35" s="1"/>
  <c r="Q65" i="35"/>
  <c r="V65" i="35"/>
  <c r="U65" i="35" s="1"/>
  <c r="T65" i="35" s="1"/>
  <c r="S65" i="35" s="1"/>
  <c r="F66" i="35"/>
  <c r="H66" i="35" s="1"/>
  <c r="J66" i="35" s="1"/>
  <c r="L66" i="35" s="1"/>
  <c r="N66" i="35" s="1"/>
  <c r="P66" i="35" s="1"/>
  <c r="Q66" i="35"/>
  <c r="V66" i="35"/>
  <c r="U66" i="35" s="1"/>
  <c r="T66" i="35" s="1"/>
  <c r="S66" i="35" s="1"/>
  <c r="D68" i="35"/>
  <c r="F68" i="35" s="1"/>
  <c r="H68" i="35" s="1"/>
  <c r="J68" i="35" s="1"/>
  <c r="L68" i="35" s="1"/>
  <c r="N68" i="35" s="1"/>
  <c r="P68" i="35" s="1"/>
  <c r="Q68" i="35"/>
  <c r="V68" i="35"/>
  <c r="U68" i="35" s="1"/>
  <c r="T68" i="35" s="1"/>
  <c r="S68" i="35" s="1"/>
  <c r="D69" i="35"/>
  <c r="F69" i="35" s="1"/>
  <c r="H69" i="35" s="1"/>
  <c r="J69" i="35" s="1"/>
  <c r="L69" i="35" s="1"/>
  <c r="N69" i="35" s="1"/>
  <c r="P69" i="35" s="1"/>
  <c r="Q69" i="35"/>
  <c r="V69" i="35"/>
  <c r="U69" i="35" s="1"/>
  <c r="T69" i="35" s="1"/>
  <c r="S69" i="35" s="1"/>
  <c r="D70" i="35"/>
  <c r="F70" i="35" s="1"/>
  <c r="H70" i="35" s="1"/>
  <c r="J70" i="35" s="1"/>
  <c r="L70" i="35" s="1"/>
  <c r="N70" i="35" s="1"/>
  <c r="P70" i="35" s="1"/>
  <c r="Q70" i="35"/>
  <c r="V70" i="35"/>
  <c r="U70" i="35" s="1"/>
  <c r="T70" i="35" s="1"/>
  <c r="S70" i="35" s="1"/>
  <c r="D71" i="35"/>
  <c r="F71" i="35" s="1"/>
  <c r="H71" i="35" s="1"/>
  <c r="J71" i="35" s="1"/>
  <c r="L71" i="35" s="1"/>
  <c r="N71" i="35" s="1"/>
  <c r="P71" i="35" s="1"/>
  <c r="Q71" i="35"/>
  <c r="V71" i="35"/>
  <c r="U71" i="35" s="1"/>
  <c r="T71" i="35" s="1"/>
  <c r="S71" i="35" s="1"/>
  <c r="D72" i="35"/>
  <c r="F72" i="35" s="1"/>
  <c r="H72" i="35" s="1"/>
  <c r="J72" i="35" s="1"/>
  <c r="L72" i="35" s="1"/>
  <c r="N72" i="35" s="1"/>
  <c r="P72" i="35" s="1"/>
  <c r="Q72" i="35"/>
  <c r="V72" i="35"/>
  <c r="U72" i="35" s="1"/>
  <c r="T72" i="35" s="1"/>
  <c r="S72" i="35" s="1"/>
  <c r="D73" i="35"/>
  <c r="F73" i="35" s="1"/>
  <c r="H73" i="35" s="1"/>
  <c r="J73" i="35" s="1"/>
  <c r="L73" i="35" s="1"/>
  <c r="N73" i="35" s="1"/>
  <c r="P73" i="35" s="1"/>
  <c r="Q73" i="35"/>
  <c r="V73" i="35"/>
  <c r="U73" i="35" s="1"/>
  <c r="T73" i="35" s="1"/>
  <c r="S73" i="35" s="1"/>
  <c r="D74" i="35"/>
  <c r="F74" i="35" s="1"/>
  <c r="H74" i="35" s="1"/>
  <c r="J74" i="35" s="1"/>
  <c r="L74" i="35" s="1"/>
  <c r="N74" i="35" s="1"/>
  <c r="P74" i="35" s="1"/>
  <c r="Q74" i="35"/>
  <c r="V74" i="35"/>
  <c r="U74" i="35" s="1"/>
  <c r="T74" i="35" s="1"/>
  <c r="S74" i="35" s="1"/>
  <c r="D75" i="35"/>
  <c r="F75" i="35" s="1"/>
  <c r="H75" i="35" s="1"/>
  <c r="J75" i="35" s="1"/>
  <c r="L75" i="35" s="1"/>
  <c r="N75" i="35" s="1"/>
  <c r="P75" i="35" s="1"/>
  <c r="Q75" i="35"/>
  <c r="V75" i="35"/>
  <c r="U75" i="35" s="1"/>
  <c r="T75" i="35" s="1"/>
  <c r="S75" i="35" s="1"/>
  <c r="D76" i="35"/>
  <c r="F76" i="35" s="1"/>
  <c r="H76" i="35" s="1"/>
  <c r="J76" i="35" s="1"/>
  <c r="L76" i="35" s="1"/>
  <c r="N76" i="35" s="1"/>
  <c r="P76" i="35" s="1"/>
  <c r="Q76" i="35"/>
  <c r="V76" i="35"/>
  <c r="U76" i="35" s="1"/>
  <c r="T76" i="35" s="1"/>
  <c r="S76" i="35" s="1"/>
  <c r="D77" i="35"/>
  <c r="F77" i="35" s="1"/>
  <c r="H77" i="35" s="1"/>
  <c r="J77" i="35" s="1"/>
  <c r="L77" i="35" s="1"/>
  <c r="N77" i="35" s="1"/>
  <c r="P77" i="35" s="1"/>
  <c r="Q77" i="35"/>
  <c r="V77" i="35"/>
  <c r="U77" i="35" s="1"/>
  <c r="T77" i="35" s="1"/>
  <c r="S77" i="35" s="1"/>
  <c r="D78" i="35"/>
  <c r="F78" i="35" s="1"/>
  <c r="H78" i="35" s="1"/>
  <c r="J78" i="35" s="1"/>
  <c r="L78" i="35" s="1"/>
  <c r="N78" i="35" s="1"/>
  <c r="P78" i="35" s="1"/>
  <c r="Q78" i="35"/>
  <c r="V78" i="35"/>
  <c r="U78" i="35" s="1"/>
  <c r="T78" i="35" s="1"/>
  <c r="S78" i="35" s="1"/>
  <c r="D79" i="35"/>
  <c r="F79" i="35" s="1"/>
  <c r="H79" i="35" s="1"/>
  <c r="J79" i="35" s="1"/>
  <c r="L79" i="35" s="1"/>
  <c r="N79" i="35" s="1"/>
  <c r="P79" i="35" s="1"/>
  <c r="Q79" i="35"/>
  <c r="V79" i="35"/>
  <c r="U79" i="35" s="1"/>
  <c r="T79" i="35" s="1"/>
  <c r="S79" i="35" s="1"/>
  <c r="D80" i="35"/>
  <c r="F80" i="35" s="1"/>
  <c r="H80" i="35" s="1"/>
  <c r="J80" i="35" s="1"/>
  <c r="L80" i="35" s="1"/>
  <c r="N80" i="35" s="1"/>
  <c r="P80" i="35" s="1"/>
  <c r="Q80" i="35"/>
  <c r="V80" i="35"/>
  <c r="U80" i="35" s="1"/>
  <c r="T80" i="35" s="1"/>
  <c r="S80" i="35" s="1"/>
  <c r="D81" i="35"/>
  <c r="F81" i="35" s="1"/>
  <c r="H81" i="35" s="1"/>
  <c r="J81" i="35" s="1"/>
  <c r="L81" i="35" s="1"/>
  <c r="N81" i="35" s="1"/>
  <c r="P81" i="35" s="1"/>
  <c r="Q81" i="35"/>
  <c r="V81" i="35"/>
  <c r="U81" i="35" s="1"/>
  <c r="T81" i="35" s="1"/>
  <c r="S81" i="35" s="1"/>
  <c r="D82" i="35"/>
  <c r="F82" i="35" s="1"/>
  <c r="H82" i="35" s="1"/>
  <c r="J82" i="35" s="1"/>
  <c r="L82" i="35" s="1"/>
  <c r="N82" i="35" s="1"/>
  <c r="P82" i="35" s="1"/>
  <c r="Q82" i="35"/>
  <c r="V82" i="35"/>
  <c r="U82" i="35" s="1"/>
  <c r="T82" i="35" s="1"/>
  <c r="S82" i="35" s="1"/>
  <c r="D83" i="35"/>
  <c r="F83" i="35" s="1"/>
  <c r="H83" i="35" s="1"/>
  <c r="J83" i="35" s="1"/>
  <c r="L83" i="35" s="1"/>
  <c r="N83" i="35" s="1"/>
  <c r="P83" i="35" s="1"/>
  <c r="Q83" i="35"/>
  <c r="V83" i="35"/>
  <c r="U83" i="35" s="1"/>
  <c r="T83" i="35" s="1"/>
  <c r="S83" i="35" s="1"/>
  <c r="D84" i="35"/>
  <c r="F84" i="35" s="1"/>
  <c r="H84" i="35" s="1"/>
  <c r="J84" i="35" s="1"/>
  <c r="L84" i="35" s="1"/>
  <c r="N84" i="35" s="1"/>
  <c r="P84" i="35" s="1"/>
  <c r="Q84" i="35"/>
  <c r="V84" i="35"/>
  <c r="U84" i="35" s="1"/>
  <c r="T84" i="35" s="1"/>
  <c r="S84" i="35" s="1"/>
  <c r="D85" i="35"/>
  <c r="F85" i="35" s="1"/>
  <c r="H85" i="35" s="1"/>
  <c r="J85" i="35" s="1"/>
  <c r="L85" i="35" s="1"/>
  <c r="N85" i="35" s="1"/>
  <c r="P85" i="35" s="1"/>
  <c r="Q85" i="35"/>
  <c r="V85" i="35"/>
  <c r="U85" i="35" s="1"/>
  <c r="T85" i="35" s="1"/>
  <c r="S85" i="35" s="1"/>
  <c r="D86" i="35"/>
  <c r="F86" i="35" s="1"/>
  <c r="H86" i="35" s="1"/>
  <c r="J86" i="35" s="1"/>
  <c r="L86" i="35" s="1"/>
  <c r="N86" i="35" s="1"/>
  <c r="P86" i="35" s="1"/>
  <c r="Q86" i="35"/>
  <c r="V86" i="35"/>
  <c r="U86" i="35" s="1"/>
  <c r="T86" i="35" s="1"/>
  <c r="S86" i="35" s="1"/>
  <c r="D87" i="35"/>
  <c r="F87" i="35" s="1"/>
  <c r="H87" i="35" s="1"/>
  <c r="J87" i="35" s="1"/>
  <c r="L87" i="35" s="1"/>
  <c r="N87" i="35" s="1"/>
  <c r="P87" i="35" s="1"/>
  <c r="Q87" i="35"/>
  <c r="V87" i="35"/>
  <c r="U87" i="35" s="1"/>
  <c r="T87" i="35" s="1"/>
  <c r="S87" i="35" s="1"/>
  <c r="D88" i="35"/>
  <c r="F88" i="35" s="1"/>
  <c r="H88" i="35" s="1"/>
  <c r="J88" i="35" s="1"/>
  <c r="L88" i="35" s="1"/>
  <c r="N88" i="35" s="1"/>
  <c r="P88" i="35" s="1"/>
  <c r="Q88" i="35"/>
  <c r="V88" i="35"/>
  <c r="U88" i="35" s="1"/>
  <c r="T88" i="35" s="1"/>
  <c r="S88" i="35" s="1"/>
  <c r="D89" i="35"/>
  <c r="F89" i="35" s="1"/>
  <c r="H89" i="35" s="1"/>
  <c r="J89" i="35" s="1"/>
  <c r="L89" i="35" s="1"/>
  <c r="N89" i="35" s="1"/>
  <c r="P89" i="35" s="1"/>
  <c r="Q89" i="35"/>
  <c r="V89" i="35"/>
  <c r="U89" i="35" s="1"/>
  <c r="T89" i="35" s="1"/>
  <c r="S89" i="35" s="1"/>
  <c r="D90" i="35"/>
  <c r="F90" i="35" s="1"/>
  <c r="H90" i="35" s="1"/>
  <c r="J90" i="35" s="1"/>
  <c r="L90" i="35" s="1"/>
  <c r="N90" i="35" s="1"/>
  <c r="P90" i="35" s="1"/>
  <c r="Q90" i="35"/>
  <c r="V90" i="35"/>
  <c r="U90" i="35" s="1"/>
  <c r="T90" i="35" s="1"/>
  <c r="S90" i="35" s="1"/>
  <c r="D91" i="35"/>
  <c r="F91" i="35" s="1"/>
  <c r="H91" i="35" s="1"/>
  <c r="J91" i="35" s="1"/>
  <c r="L91" i="35" s="1"/>
  <c r="N91" i="35" s="1"/>
  <c r="P91" i="35" s="1"/>
  <c r="Q91" i="35"/>
  <c r="V91" i="35"/>
  <c r="U91" i="35" s="1"/>
  <c r="T91" i="35" s="1"/>
  <c r="S91" i="35" s="1"/>
  <c r="D92" i="35"/>
  <c r="F92" i="35" s="1"/>
  <c r="H92" i="35" s="1"/>
  <c r="J92" i="35" s="1"/>
  <c r="L92" i="35" s="1"/>
  <c r="N92" i="35" s="1"/>
  <c r="P92" i="35" s="1"/>
  <c r="Q92" i="35"/>
  <c r="V92" i="35"/>
  <c r="U92" i="35" s="1"/>
  <c r="T92" i="35" s="1"/>
  <c r="S92" i="35" s="1"/>
  <c r="D93" i="35"/>
  <c r="F93" i="35" s="1"/>
  <c r="H93" i="35" s="1"/>
  <c r="J93" i="35" s="1"/>
  <c r="L93" i="35" s="1"/>
  <c r="N93" i="35" s="1"/>
  <c r="P93" i="35" s="1"/>
  <c r="Q93" i="35"/>
  <c r="V93" i="35"/>
  <c r="U93" i="35" s="1"/>
  <c r="T93" i="35" s="1"/>
  <c r="S93" i="35" s="1"/>
  <c r="D94" i="35"/>
  <c r="F94" i="35" s="1"/>
  <c r="H94" i="35" s="1"/>
  <c r="J94" i="35" s="1"/>
  <c r="L94" i="35" s="1"/>
  <c r="N94" i="35" s="1"/>
  <c r="P94" i="35" s="1"/>
  <c r="Q94" i="35"/>
  <c r="V94" i="35"/>
  <c r="U94" i="35" s="1"/>
  <c r="T94" i="35" s="1"/>
  <c r="S94" i="35" s="1"/>
  <c r="D95" i="35"/>
  <c r="F95" i="35" s="1"/>
  <c r="H95" i="35" s="1"/>
  <c r="J95" i="35" s="1"/>
  <c r="L95" i="35" s="1"/>
  <c r="N95" i="35" s="1"/>
  <c r="P95" i="35" s="1"/>
  <c r="Q95" i="35"/>
  <c r="V95" i="35"/>
  <c r="U95" i="35" s="1"/>
  <c r="T95" i="35" s="1"/>
  <c r="S95" i="35" s="1"/>
  <c r="D96" i="35"/>
  <c r="F96" i="35" s="1"/>
  <c r="H96" i="35" s="1"/>
  <c r="J96" i="35" s="1"/>
  <c r="L96" i="35" s="1"/>
  <c r="N96" i="35" s="1"/>
  <c r="P96" i="35" s="1"/>
  <c r="Q96" i="35"/>
  <c r="V96" i="35"/>
  <c r="U96" i="35" s="1"/>
  <c r="T96" i="35" s="1"/>
  <c r="S96" i="35" s="1"/>
  <c r="D97" i="35"/>
  <c r="F97" i="35" s="1"/>
  <c r="H97" i="35" s="1"/>
  <c r="J97" i="35" s="1"/>
  <c r="L97" i="35" s="1"/>
  <c r="N97" i="35" s="1"/>
  <c r="P97" i="35" s="1"/>
  <c r="Q97" i="35"/>
  <c r="V97" i="35"/>
  <c r="U97" i="35" s="1"/>
  <c r="T97" i="35" s="1"/>
  <c r="S97" i="35" s="1"/>
  <c r="D98" i="35"/>
  <c r="F98" i="35" s="1"/>
  <c r="H98" i="35" s="1"/>
  <c r="J98" i="35" s="1"/>
  <c r="L98" i="35" s="1"/>
  <c r="N98" i="35" s="1"/>
  <c r="P98" i="35" s="1"/>
  <c r="Q98" i="35"/>
  <c r="V98" i="35"/>
  <c r="U98" i="35" s="1"/>
  <c r="T98" i="35" s="1"/>
  <c r="S98" i="35" s="1"/>
  <c r="D99" i="35"/>
  <c r="F99" i="35" s="1"/>
  <c r="H99" i="35" s="1"/>
  <c r="J99" i="35" s="1"/>
  <c r="L99" i="35" s="1"/>
  <c r="N99" i="35" s="1"/>
  <c r="P99" i="35" s="1"/>
  <c r="Q99" i="35"/>
  <c r="V99" i="35"/>
  <c r="U99" i="35" s="1"/>
  <c r="T99" i="35" s="1"/>
  <c r="S99" i="35" s="1"/>
  <c r="D100" i="35"/>
  <c r="F100" i="35" s="1"/>
  <c r="H100" i="35" s="1"/>
  <c r="J100" i="35" s="1"/>
  <c r="L100" i="35" s="1"/>
  <c r="N100" i="35" s="1"/>
  <c r="P100" i="35" s="1"/>
  <c r="Q100" i="35"/>
  <c r="V100" i="35"/>
  <c r="U100" i="35" s="1"/>
  <c r="T100" i="35" s="1"/>
  <c r="S100" i="35" s="1"/>
  <c r="D101" i="35"/>
  <c r="F101" i="35" s="1"/>
  <c r="H101" i="35" s="1"/>
  <c r="J101" i="35" s="1"/>
  <c r="L101" i="35" s="1"/>
  <c r="N101" i="35" s="1"/>
  <c r="P101" i="35" s="1"/>
  <c r="Q101" i="35"/>
  <c r="V101" i="35"/>
  <c r="U101" i="35" s="1"/>
  <c r="T101" i="35" s="1"/>
  <c r="S101" i="35" s="1"/>
  <c r="D102" i="35"/>
  <c r="F102" i="35" s="1"/>
  <c r="H102" i="35" s="1"/>
  <c r="J102" i="35" s="1"/>
  <c r="L102" i="35" s="1"/>
  <c r="N102" i="35" s="1"/>
  <c r="P102" i="35" s="1"/>
  <c r="Q102" i="35"/>
  <c r="V102" i="35"/>
  <c r="U102" i="35" s="1"/>
  <c r="T102" i="35" s="1"/>
  <c r="S102" i="35" s="1"/>
  <c r="D103" i="35"/>
  <c r="F103" i="35" s="1"/>
  <c r="H103" i="35" s="1"/>
  <c r="J103" i="35" s="1"/>
  <c r="L103" i="35" s="1"/>
  <c r="N103" i="35" s="1"/>
  <c r="P103" i="35" s="1"/>
  <c r="Q103" i="35"/>
  <c r="V103" i="35"/>
  <c r="U103" i="35" s="1"/>
  <c r="T103" i="35" s="1"/>
  <c r="S103" i="35" s="1"/>
  <c r="D104" i="35"/>
  <c r="F104" i="35" s="1"/>
  <c r="H104" i="35" s="1"/>
  <c r="J104" i="35" s="1"/>
  <c r="L104" i="35" s="1"/>
  <c r="N104" i="35" s="1"/>
  <c r="P104" i="35" s="1"/>
  <c r="Q104" i="35"/>
  <c r="V104" i="35"/>
  <c r="U104" i="35" s="1"/>
  <c r="T104" i="35" s="1"/>
  <c r="S104" i="35" s="1"/>
  <c r="D105" i="35"/>
  <c r="F105" i="35" s="1"/>
  <c r="H105" i="35" s="1"/>
  <c r="J105" i="35" s="1"/>
  <c r="L105" i="35" s="1"/>
  <c r="N105" i="35" s="1"/>
  <c r="P105" i="35" s="1"/>
  <c r="Q105" i="35"/>
  <c r="V105" i="35"/>
  <c r="U105" i="35" s="1"/>
  <c r="T105" i="35" s="1"/>
  <c r="S105" i="35" s="1"/>
  <c r="D106" i="35"/>
  <c r="F106" i="35" s="1"/>
  <c r="H106" i="35" s="1"/>
  <c r="J106" i="35" s="1"/>
  <c r="L106" i="35" s="1"/>
  <c r="N106" i="35" s="1"/>
  <c r="P106" i="35" s="1"/>
  <c r="Q106" i="35"/>
  <c r="V106" i="35"/>
  <c r="U106" i="35" s="1"/>
  <c r="T106" i="35" s="1"/>
  <c r="S106" i="35" s="1"/>
  <c r="D108" i="35"/>
  <c r="F108" i="35" s="1"/>
  <c r="H108" i="35" s="1"/>
  <c r="J108" i="35" s="1"/>
  <c r="L108" i="35" s="1"/>
  <c r="N108" i="35" s="1"/>
  <c r="P108" i="35" s="1"/>
  <c r="Q108" i="35"/>
  <c r="V108" i="35"/>
  <c r="U108" i="35" s="1"/>
  <c r="T108" i="35" s="1"/>
  <c r="S108" i="35" s="1"/>
  <c r="D109" i="35"/>
  <c r="F109" i="35" s="1"/>
  <c r="H109" i="35" s="1"/>
  <c r="J109" i="35" s="1"/>
  <c r="L109" i="35" s="1"/>
  <c r="N109" i="35" s="1"/>
  <c r="P109" i="35" s="1"/>
  <c r="Q109" i="35"/>
  <c r="V109" i="35"/>
  <c r="U109" i="35" s="1"/>
  <c r="T109" i="35" s="1"/>
  <c r="S109" i="35" s="1"/>
  <c r="D110" i="35"/>
  <c r="F110" i="35" s="1"/>
  <c r="H110" i="35" s="1"/>
  <c r="J110" i="35" s="1"/>
  <c r="L110" i="35" s="1"/>
  <c r="N110" i="35" s="1"/>
  <c r="P110" i="35" s="1"/>
  <c r="Q110" i="35"/>
  <c r="V110" i="35"/>
  <c r="U110" i="35" s="1"/>
  <c r="T110" i="35" s="1"/>
  <c r="S110" i="35" s="1"/>
  <c r="D111" i="35"/>
  <c r="F111" i="35" s="1"/>
  <c r="H111" i="35" s="1"/>
  <c r="J111" i="35" s="1"/>
  <c r="L111" i="35" s="1"/>
  <c r="N111" i="35" s="1"/>
  <c r="P111" i="35" s="1"/>
  <c r="Q111" i="35"/>
  <c r="V111" i="35"/>
  <c r="U111" i="35" s="1"/>
  <c r="T111" i="35" s="1"/>
  <c r="S111" i="35" s="1"/>
  <c r="D112" i="35"/>
  <c r="F112" i="35" s="1"/>
  <c r="H112" i="35" s="1"/>
  <c r="J112" i="35" s="1"/>
  <c r="L112" i="35" s="1"/>
  <c r="N112" i="35" s="1"/>
  <c r="P112" i="35" s="1"/>
  <c r="Q112" i="35"/>
  <c r="V112" i="35"/>
  <c r="U112" i="35" s="1"/>
  <c r="T112" i="35" s="1"/>
  <c r="S112" i="35" s="1"/>
  <c r="D113" i="35"/>
  <c r="F113" i="35" s="1"/>
  <c r="H113" i="35" s="1"/>
  <c r="J113" i="35" s="1"/>
  <c r="L113" i="35" s="1"/>
  <c r="N113" i="35" s="1"/>
  <c r="P113" i="35" s="1"/>
  <c r="Q113" i="35"/>
  <c r="V113" i="35"/>
  <c r="U113" i="35" s="1"/>
  <c r="T113" i="35" s="1"/>
  <c r="S113" i="35" s="1"/>
  <c r="D114" i="35"/>
  <c r="F114" i="35" s="1"/>
  <c r="H114" i="35" s="1"/>
  <c r="J114" i="35" s="1"/>
  <c r="L114" i="35" s="1"/>
  <c r="N114" i="35" s="1"/>
  <c r="P114" i="35" s="1"/>
  <c r="Q114" i="35"/>
  <c r="V114" i="35"/>
  <c r="U114" i="35" s="1"/>
  <c r="T114" i="35" s="1"/>
  <c r="S114" i="35" s="1"/>
  <c r="D115" i="35"/>
  <c r="F115" i="35" s="1"/>
  <c r="H115" i="35" s="1"/>
  <c r="J115" i="35" s="1"/>
  <c r="L115" i="35" s="1"/>
  <c r="N115" i="35" s="1"/>
  <c r="P115" i="35" s="1"/>
  <c r="Q115" i="35"/>
  <c r="V115" i="35"/>
  <c r="U115" i="35" s="1"/>
  <c r="T115" i="35" s="1"/>
  <c r="S115" i="35" s="1"/>
  <c r="D116" i="35"/>
  <c r="F116" i="35" s="1"/>
  <c r="H116" i="35" s="1"/>
  <c r="J116" i="35" s="1"/>
  <c r="L116" i="35" s="1"/>
  <c r="N116" i="35" s="1"/>
  <c r="P116" i="35" s="1"/>
  <c r="Q116" i="35"/>
  <c r="V116" i="35"/>
  <c r="U116" i="35" s="1"/>
  <c r="T116" i="35" s="1"/>
  <c r="S116" i="35" s="1"/>
  <c r="D117" i="35"/>
  <c r="F117" i="35" s="1"/>
  <c r="H117" i="35" s="1"/>
  <c r="J117" i="35" s="1"/>
  <c r="L117" i="35" s="1"/>
  <c r="N117" i="35" s="1"/>
  <c r="P117" i="35" s="1"/>
  <c r="Q117" i="35"/>
  <c r="V117" i="35"/>
  <c r="U117" i="35" s="1"/>
  <c r="T117" i="35" s="1"/>
  <c r="S117" i="35" s="1"/>
  <c r="D118" i="35"/>
  <c r="F118" i="35" s="1"/>
  <c r="H118" i="35" s="1"/>
  <c r="J118" i="35" s="1"/>
  <c r="L118" i="35" s="1"/>
  <c r="N118" i="35" s="1"/>
  <c r="P118" i="35" s="1"/>
  <c r="Q118" i="35"/>
  <c r="V118" i="35"/>
  <c r="U118" i="35" s="1"/>
  <c r="T118" i="35" s="1"/>
  <c r="S118" i="35" s="1"/>
  <c r="D119" i="35"/>
  <c r="F119" i="35" s="1"/>
  <c r="H119" i="35" s="1"/>
  <c r="J119" i="35" s="1"/>
  <c r="L119" i="35" s="1"/>
  <c r="N119" i="35" s="1"/>
  <c r="P119" i="35" s="1"/>
  <c r="Q119" i="35"/>
  <c r="V119" i="35"/>
  <c r="U119" i="35" s="1"/>
  <c r="T119" i="35" s="1"/>
  <c r="S119" i="35" s="1"/>
  <c r="D120" i="35"/>
  <c r="F120" i="35" s="1"/>
  <c r="H120" i="35" s="1"/>
  <c r="J120" i="35" s="1"/>
  <c r="L120" i="35" s="1"/>
  <c r="N120" i="35" s="1"/>
  <c r="P120" i="35" s="1"/>
  <c r="Q120" i="35"/>
  <c r="V120" i="35"/>
  <c r="U120" i="35" s="1"/>
  <c r="T120" i="35" s="1"/>
  <c r="S120" i="35" s="1"/>
  <c r="D121" i="35"/>
  <c r="F121" i="35" s="1"/>
  <c r="H121" i="35" s="1"/>
  <c r="J121" i="35" s="1"/>
  <c r="L121" i="35" s="1"/>
  <c r="N121" i="35" s="1"/>
  <c r="P121" i="35" s="1"/>
  <c r="Q121" i="35"/>
  <c r="V121" i="35"/>
  <c r="U121" i="35" s="1"/>
  <c r="T121" i="35" s="1"/>
  <c r="S121" i="35" s="1"/>
  <c r="D122" i="35"/>
  <c r="F122" i="35" s="1"/>
  <c r="H122" i="35" s="1"/>
  <c r="J122" i="35" s="1"/>
  <c r="L122" i="35" s="1"/>
  <c r="N122" i="35" s="1"/>
  <c r="P122" i="35" s="1"/>
  <c r="Q122" i="35"/>
  <c r="V122" i="35"/>
  <c r="U122" i="35" s="1"/>
  <c r="T122" i="35" s="1"/>
  <c r="S122" i="35" s="1"/>
  <c r="D123" i="35"/>
  <c r="F123" i="35" s="1"/>
  <c r="H123" i="35" s="1"/>
  <c r="J123" i="35" s="1"/>
  <c r="L123" i="35" s="1"/>
  <c r="N123" i="35" s="1"/>
  <c r="P123" i="35" s="1"/>
  <c r="Q123" i="35"/>
  <c r="V123" i="35"/>
  <c r="U123" i="35" s="1"/>
  <c r="T123" i="35" s="1"/>
  <c r="S123" i="35" s="1"/>
  <c r="D124" i="35"/>
  <c r="F124" i="35" s="1"/>
  <c r="H124" i="35" s="1"/>
  <c r="J124" i="35" s="1"/>
  <c r="L124" i="35" s="1"/>
  <c r="N124" i="35" s="1"/>
  <c r="P124" i="35" s="1"/>
  <c r="Q124" i="35"/>
  <c r="V124" i="35"/>
  <c r="U124" i="35" s="1"/>
  <c r="T124" i="35" s="1"/>
  <c r="S124" i="35" s="1"/>
  <c r="D125" i="35"/>
  <c r="F125" i="35" s="1"/>
  <c r="H125" i="35" s="1"/>
  <c r="J125" i="35" s="1"/>
  <c r="L125" i="35" s="1"/>
  <c r="N125" i="35" s="1"/>
  <c r="P125" i="35" s="1"/>
  <c r="Q125" i="35"/>
  <c r="V125" i="35"/>
  <c r="U125" i="35" s="1"/>
  <c r="T125" i="35" s="1"/>
  <c r="S125" i="35" s="1"/>
  <c r="D126" i="35"/>
  <c r="F126" i="35" s="1"/>
  <c r="H126" i="35" s="1"/>
  <c r="J126" i="35" s="1"/>
  <c r="L126" i="35" s="1"/>
  <c r="N126" i="35" s="1"/>
  <c r="P126" i="35" s="1"/>
  <c r="Q126" i="35"/>
  <c r="V126" i="35"/>
  <c r="U126" i="35" s="1"/>
  <c r="T126" i="35" s="1"/>
  <c r="S126" i="35" s="1"/>
  <c r="D127" i="35"/>
  <c r="F127" i="35" s="1"/>
  <c r="H127" i="35" s="1"/>
  <c r="J127" i="35" s="1"/>
  <c r="L127" i="35" s="1"/>
  <c r="N127" i="35" s="1"/>
  <c r="P127" i="35" s="1"/>
  <c r="Q127" i="35"/>
  <c r="V127" i="35"/>
  <c r="U127" i="35" s="1"/>
  <c r="T127" i="35" s="1"/>
  <c r="S127" i="35" s="1"/>
  <c r="D128" i="35"/>
  <c r="F128" i="35" s="1"/>
  <c r="H128" i="35" s="1"/>
  <c r="J128" i="35" s="1"/>
  <c r="L128" i="35" s="1"/>
  <c r="N128" i="35" s="1"/>
  <c r="P128" i="35" s="1"/>
  <c r="Q128" i="35"/>
  <c r="V128" i="35"/>
  <c r="U128" i="35" s="1"/>
  <c r="T128" i="35" s="1"/>
  <c r="S128" i="35" s="1"/>
  <c r="D129" i="35"/>
  <c r="F129" i="35" s="1"/>
  <c r="H129" i="35" s="1"/>
  <c r="J129" i="35" s="1"/>
  <c r="L129" i="35" s="1"/>
  <c r="N129" i="35" s="1"/>
  <c r="P129" i="35" s="1"/>
  <c r="Q129" i="35"/>
  <c r="V129" i="35"/>
  <c r="U129" i="35" s="1"/>
  <c r="T129" i="35" s="1"/>
  <c r="S129" i="35" s="1"/>
  <c r="D130" i="35"/>
  <c r="F130" i="35" s="1"/>
  <c r="H130" i="35" s="1"/>
  <c r="J130" i="35" s="1"/>
  <c r="L130" i="35" s="1"/>
  <c r="N130" i="35" s="1"/>
  <c r="P130" i="35" s="1"/>
  <c r="Q130" i="35"/>
  <c r="V130" i="35"/>
  <c r="U130" i="35" s="1"/>
  <c r="T130" i="35" s="1"/>
  <c r="S130" i="35" s="1"/>
  <c r="D131" i="35"/>
  <c r="F131" i="35" s="1"/>
  <c r="H131" i="35" s="1"/>
  <c r="J131" i="35" s="1"/>
  <c r="L131" i="35" s="1"/>
  <c r="N131" i="35" s="1"/>
  <c r="P131" i="35" s="1"/>
  <c r="Q131" i="35"/>
  <c r="V131" i="35"/>
  <c r="U131" i="35" s="1"/>
  <c r="T131" i="35" s="1"/>
  <c r="S131" i="35" s="1"/>
  <c r="D132" i="35"/>
  <c r="F132" i="35" s="1"/>
  <c r="H132" i="35" s="1"/>
  <c r="J132" i="35" s="1"/>
  <c r="L132" i="35" s="1"/>
  <c r="N132" i="35" s="1"/>
  <c r="P132" i="35" s="1"/>
  <c r="Q132" i="35"/>
  <c r="V132" i="35"/>
  <c r="U132" i="35" s="1"/>
  <c r="T132" i="35" s="1"/>
  <c r="S132" i="35" s="1"/>
  <c r="D133" i="35"/>
  <c r="F133" i="35" s="1"/>
  <c r="H133" i="35" s="1"/>
  <c r="J133" i="35" s="1"/>
  <c r="L133" i="35" s="1"/>
  <c r="N133" i="35" s="1"/>
  <c r="P133" i="35" s="1"/>
  <c r="Q133" i="35"/>
  <c r="V133" i="35"/>
  <c r="U133" i="35" s="1"/>
  <c r="T133" i="35" s="1"/>
  <c r="S133" i="35" s="1"/>
  <c r="D134" i="35"/>
  <c r="F134" i="35" s="1"/>
  <c r="H134" i="35" s="1"/>
  <c r="J134" i="35" s="1"/>
  <c r="L134" i="35" s="1"/>
  <c r="N134" i="35" s="1"/>
  <c r="P134" i="35" s="1"/>
  <c r="Q134" i="35"/>
  <c r="V134" i="35"/>
  <c r="U134" i="35" s="1"/>
  <c r="T134" i="35" s="1"/>
  <c r="S134" i="35" s="1"/>
  <c r="D135" i="35"/>
  <c r="F135" i="35" s="1"/>
  <c r="H135" i="35" s="1"/>
  <c r="J135" i="35" s="1"/>
  <c r="L135" i="35" s="1"/>
  <c r="N135" i="35" s="1"/>
  <c r="P135" i="35" s="1"/>
  <c r="Q135" i="35"/>
  <c r="V135" i="35"/>
  <c r="U135" i="35" s="1"/>
  <c r="T135" i="35" s="1"/>
  <c r="S135" i="35" s="1"/>
  <c r="D136" i="35"/>
  <c r="F136" i="35" s="1"/>
  <c r="H136" i="35" s="1"/>
  <c r="J136" i="35" s="1"/>
  <c r="L136" i="35" s="1"/>
  <c r="N136" i="35" s="1"/>
  <c r="P136" i="35" s="1"/>
  <c r="Q136" i="35"/>
  <c r="V136" i="35"/>
  <c r="U136" i="35" s="1"/>
  <c r="T136" i="35" s="1"/>
  <c r="S136" i="35" s="1"/>
  <c r="D137" i="35"/>
  <c r="F137" i="35" s="1"/>
  <c r="H137" i="35" s="1"/>
  <c r="J137" i="35" s="1"/>
  <c r="L137" i="35" s="1"/>
  <c r="N137" i="35" s="1"/>
  <c r="P137" i="35" s="1"/>
  <c r="Q137" i="35"/>
  <c r="V137" i="35"/>
  <c r="U137" i="35" s="1"/>
  <c r="T137" i="35" s="1"/>
  <c r="S137" i="35" s="1"/>
  <c r="D138" i="35"/>
  <c r="F138" i="35" s="1"/>
  <c r="H138" i="35" s="1"/>
  <c r="J138" i="35" s="1"/>
  <c r="L138" i="35" s="1"/>
  <c r="N138" i="35" s="1"/>
  <c r="P138" i="35" s="1"/>
  <c r="Q138" i="35"/>
  <c r="V138" i="35"/>
  <c r="U138" i="35" s="1"/>
  <c r="T138" i="35" s="1"/>
  <c r="S138" i="35" s="1"/>
  <c r="D139" i="35"/>
  <c r="F139" i="35" s="1"/>
  <c r="H139" i="35" s="1"/>
  <c r="J139" i="35" s="1"/>
  <c r="L139" i="35" s="1"/>
  <c r="N139" i="35" s="1"/>
  <c r="P139" i="35" s="1"/>
  <c r="Q139" i="35"/>
  <c r="V139" i="35"/>
  <c r="U139" i="35" s="1"/>
  <c r="T139" i="35" s="1"/>
  <c r="S139" i="35" s="1"/>
  <c r="D140" i="35"/>
  <c r="F140" i="35" s="1"/>
  <c r="H140" i="35" s="1"/>
  <c r="J140" i="35" s="1"/>
  <c r="L140" i="35" s="1"/>
  <c r="N140" i="35" s="1"/>
  <c r="P140" i="35" s="1"/>
  <c r="Q140" i="35"/>
  <c r="V140" i="35"/>
  <c r="U140" i="35" s="1"/>
  <c r="T140" i="35" s="1"/>
  <c r="S140" i="35" s="1"/>
  <c r="D141" i="35"/>
  <c r="F141" i="35" s="1"/>
  <c r="H141" i="35" s="1"/>
  <c r="J141" i="35" s="1"/>
  <c r="L141" i="35" s="1"/>
  <c r="N141" i="35" s="1"/>
  <c r="P141" i="35" s="1"/>
  <c r="Q141" i="35"/>
  <c r="V141" i="35"/>
  <c r="U141" i="35" s="1"/>
  <c r="T141" i="35" s="1"/>
  <c r="S141" i="35" s="1"/>
  <c r="D142" i="35"/>
  <c r="F142" i="35" s="1"/>
  <c r="H142" i="35" s="1"/>
  <c r="J142" i="35" s="1"/>
  <c r="L142" i="35" s="1"/>
  <c r="N142" i="35" s="1"/>
  <c r="P142" i="35" s="1"/>
  <c r="Q142" i="35"/>
  <c r="V142" i="35"/>
  <c r="U142" i="35" s="1"/>
  <c r="T142" i="35" s="1"/>
  <c r="S142" i="35" s="1"/>
  <c r="D143" i="35"/>
  <c r="F143" i="35" s="1"/>
  <c r="H143" i="35" s="1"/>
  <c r="J143" i="35" s="1"/>
  <c r="L143" i="35" s="1"/>
  <c r="N143" i="35" s="1"/>
  <c r="P143" i="35" s="1"/>
  <c r="Q143" i="35"/>
  <c r="V143" i="35"/>
  <c r="U143" i="35" s="1"/>
  <c r="T143" i="35" s="1"/>
  <c r="S143" i="35" s="1"/>
  <c r="D144" i="35"/>
  <c r="F144" i="35" s="1"/>
  <c r="H144" i="35" s="1"/>
  <c r="J144" i="35" s="1"/>
  <c r="L144" i="35" s="1"/>
  <c r="N144" i="35" s="1"/>
  <c r="P144" i="35" s="1"/>
  <c r="Q144" i="35"/>
  <c r="V144" i="35"/>
  <c r="U144" i="35" s="1"/>
  <c r="T144" i="35" s="1"/>
  <c r="S144" i="35" s="1"/>
  <c r="D145" i="35"/>
  <c r="F145" i="35" s="1"/>
  <c r="H145" i="35" s="1"/>
  <c r="J145" i="35" s="1"/>
  <c r="L145" i="35" s="1"/>
  <c r="N145" i="35" s="1"/>
  <c r="P145" i="35" s="1"/>
  <c r="Q145" i="35"/>
  <c r="V145" i="35"/>
  <c r="U145" i="35" s="1"/>
  <c r="T145" i="35" s="1"/>
  <c r="S145" i="35" s="1"/>
  <c r="D146" i="35"/>
  <c r="F146" i="35" s="1"/>
  <c r="H146" i="35" s="1"/>
  <c r="J146" i="35" s="1"/>
  <c r="L146" i="35" s="1"/>
  <c r="N146" i="35" s="1"/>
  <c r="P146" i="35" s="1"/>
  <c r="Q146" i="35"/>
  <c r="V146" i="35"/>
  <c r="U146" i="35" s="1"/>
  <c r="T146" i="35" s="1"/>
  <c r="S146" i="35" s="1"/>
  <c r="D147" i="35"/>
  <c r="F147" i="35" s="1"/>
  <c r="H147" i="35" s="1"/>
  <c r="J147" i="35" s="1"/>
  <c r="L147" i="35" s="1"/>
  <c r="N147" i="35" s="1"/>
  <c r="P147" i="35" s="1"/>
  <c r="Q147" i="35"/>
  <c r="V147" i="35"/>
  <c r="U147" i="35" s="1"/>
  <c r="T147" i="35" s="1"/>
  <c r="S147" i="35" s="1"/>
  <c r="D148" i="35"/>
  <c r="F148" i="35" s="1"/>
  <c r="H148" i="35" s="1"/>
  <c r="J148" i="35" s="1"/>
  <c r="L148" i="35" s="1"/>
  <c r="N148" i="35" s="1"/>
  <c r="P148" i="35" s="1"/>
  <c r="Q148" i="35"/>
  <c r="V148" i="35"/>
  <c r="U148" i="35" s="1"/>
  <c r="T148" i="35" s="1"/>
  <c r="S148" i="35" s="1"/>
  <c r="D149" i="35"/>
  <c r="F149" i="35" s="1"/>
  <c r="H149" i="35" s="1"/>
  <c r="J149" i="35" s="1"/>
  <c r="L149" i="35" s="1"/>
  <c r="N149" i="35" s="1"/>
  <c r="P149" i="35" s="1"/>
  <c r="Q149" i="35"/>
  <c r="V149" i="35"/>
  <c r="U149" i="35" s="1"/>
  <c r="T149" i="35" s="1"/>
  <c r="S149" i="35" s="1"/>
  <c r="D150" i="35"/>
  <c r="F150" i="35" s="1"/>
  <c r="H150" i="35" s="1"/>
  <c r="J150" i="35" s="1"/>
  <c r="L150" i="35" s="1"/>
  <c r="N150" i="35" s="1"/>
  <c r="P150" i="35" s="1"/>
  <c r="Q150" i="35"/>
  <c r="V150" i="35"/>
  <c r="U150" i="35" s="1"/>
  <c r="T150" i="35" s="1"/>
  <c r="S150" i="35" s="1"/>
  <c r="D151" i="35"/>
  <c r="F151" i="35" s="1"/>
  <c r="H151" i="35" s="1"/>
  <c r="J151" i="35" s="1"/>
  <c r="L151" i="35" s="1"/>
  <c r="N151" i="35" s="1"/>
  <c r="P151" i="35" s="1"/>
  <c r="Q151" i="35"/>
  <c r="V151" i="35"/>
  <c r="U151" i="35" s="1"/>
  <c r="T151" i="35" s="1"/>
  <c r="S151" i="35" s="1"/>
  <c r="D152" i="35"/>
  <c r="F152" i="35" s="1"/>
  <c r="H152" i="35" s="1"/>
  <c r="J152" i="35" s="1"/>
  <c r="L152" i="35" s="1"/>
  <c r="N152" i="35" s="1"/>
  <c r="P152" i="35" s="1"/>
  <c r="Q152" i="35"/>
  <c r="V152" i="35"/>
  <c r="U152" i="35" s="1"/>
  <c r="T152" i="35" s="1"/>
  <c r="S152" i="35" s="1"/>
  <c r="D153" i="35"/>
  <c r="F153" i="35" s="1"/>
  <c r="H153" i="35" s="1"/>
  <c r="J153" i="35" s="1"/>
  <c r="L153" i="35" s="1"/>
  <c r="N153" i="35" s="1"/>
  <c r="P153" i="35" s="1"/>
  <c r="Q153" i="35"/>
  <c r="V153" i="35"/>
  <c r="U153" i="35" s="1"/>
  <c r="T153" i="35" s="1"/>
  <c r="S153" i="35" s="1"/>
  <c r="D154" i="35"/>
  <c r="F154" i="35" s="1"/>
  <c r="H154" i="35" s="1"/>
  <c r="J154" i="35" s="1"/>
  <c r="L154" i="35" s="1"/>
  <c r="N154" i="35" s="1"/>
  <c r="P154" i="35" s="1"/>
  <c r="Q154" i="35"/>
  <c r="V154" i="35"/>
  <c r="U154" i="35" s="1"/>
  <c r="T154" i="35" s="1"/>
  <c r="S154" i="35" s="1"/>
  <c r="D155" i="35"/>
  <c r="F155" i="35" s="1"/>
  <c r="H155" i="35" s="1"/>
  <c r="J155" i="35" s="1"/>
  <c r="L155" i="35" s="1"/>
  <c r="N155" i="35" s="1"/>
  <c r="P155" i="35" s="1"/>
  <c r="Q155" i="35"/>
  <c r="V155" i="35"/>
  <c r="U155" i="35" s="1"/>
  <c r="T155" i="35" s="1"/>
  <c r="S155" i="35" s="1"/>
  <c r="D156" i="35"/>
  <c r="F156" i="35" s="1"/>
  <c r="H156" i="35" s="1"/>
  <c r="J156" i="35" s="1"/>
  <c r="L156" i="35" s="1"/>
  <c r="N156" i="35" s="1"/>
  <c r="P156" i="35" s="1"/>
  <c r="Q156" i="35"/>
  <c r="V156" i="35"/>
  <c r="U156" i="35" s="1"/>
  <c r="T156" i="35" s="1"/>
  <c r="S156" i="35" s="1"/>
  <c r="D157" i="35"/>
  <c r="F157" i="35" s="1"/>
  <c r="H157" i="35" s="1"/>
  <c r="J157" i="35" s="1"/>
  <c r="L157" i="35" s="1"/>
  <c r="N157" i="35" s="1"/>
  <c r="P157" i="35" s="1"/>
  <c r="Q157" i="35"/>
  <c r="V157" i="35"/>
  <c r="U157" i="35" s="1"/>
  <c r="T157" i="35" s="1"/>
  <c r="S157" i="35" s="1"/>
  <c r="D158" i="35"/>
  <c r="F158" i="35" s="1"/>
  <c r="H158" i="35" s="1"/>
  <c r="J158" i="35" s="1"/>
  <c r="L158" i="35" s="1"/>
  <c r="N158" i="35" s="1"/>
  <c r="P158" i="35" s="1"/>
  <c r="Q158" i="35"/>
  <c r="V158" i="35"/>
  <c r="U158" i="35" s="1"/>
  <c r="T158" i="35" s="1"/>
  <c r="S158" i="35" s="1"/>
  <c r="D159" i="35"/>
  <c r="F159" i="35" s="1"/>
  <c r="H159" i="35" s="1"/>
  <c r="J159" i="35" s="1"/>
  <c r="L159" i="35" s="1"/>
  <c r="N159" i="35" s="1"/>
  <c r="P159" i="35" s="1"/>
  <c r="Q159" i="35"/>
  <c r="V159" i="35"/>
  <c r="U159" i="35" s="1"/>
  <c r="T159" i="35" s="1"/>
  <c r="S159" i="35" s="1"/>
  <c r="D160" i="35"/>
  <c r="F160" i="35" s="1"/>
  <c r="H160" i="35" s="1"/>
  <c r="J160" i="35" s="1"/>
  <c r="L160" i="35" s="1"/>
  <c r="N160" i="35" s="1"/>
  <c r="P160" i="35" s="1"/>
  <c r="Q160" i="35"/>
  <c r="V160" i="35"/>
  <c r="U160" i="35" s="1"/>
  <c r="T160" i="35" s="1"/>
  <c r="S160" i="35" s="1"/>
  <c r="D161" i="35"/>
  <c r="F161" i="35" s="1"/>
  <c r="H161" i="35" s="1"/>
  <c r="J161" i="35" s="1"/>
  <c r="L161" i="35" s="1"/>
  <c r="N161" i="35" s="1"/>
  <c r="P161" i="35" s="1"/>
  <c r="Q161" i="35"/>
  <c r="V161" i="35"/>
  <c r="U161" i="35" s="1"/>
  <c r="T161" i="35" s="1"/>
  <c r="S161" i="35" s="1"/>
  <c r="D162" i="35"/>
  <c r="F162" i="35" s="1"/>
  <c r="H162" i="35" s="1"/>
  <c r="J162" i="35" s="1"/>
  <c r="L162" i="35" s="1"/>
  <c r="N162" i="35" s="1"/>
  <c r="P162" i="35" s="1"/>
  <c r="Q162" i="35"/>
  <c r="V162" i="35"/>
  <c r="U162" i="35" s="1"/>
  <c r="T162" i="35" s="1"/>
  <c r="S162" i="35" s="1"/>
  <c r="D163" i="35"/>
  <c r="F163" i="35" s="1"/>
  <c r="H163" i="35" s="1"/>
  <c r="J163" i="35" s="1"/>
  <c r="L163" i="35" s="1"/>
  <c r="N163" i="35" s="1"/>
  <c r="P163" i="35" s="1"/>
  <c r="Q163" i="35"/>
  <c r="V163" i="35"/>
  <c r="U163" i="35" s="1"/>
  <c r="T163" i="35" s="1"/>
  <c r="S163" i="35" s="1"/>
  <c r="D164" i="35"/>
  <c r="F164" i="35" s="1"/>
  <c r="H164" i="35" s="1"/>
  <c r="J164" i="35" s="1"/>
  <c r="L164" i="35" s="1"/>
  <c r="N164" i="35" s="1"/>
  <c r="P164" i="35" s="1"/>
  <c r="Q164" i="35"/>
  <c r="V164" i="35"/>
  <c r="U164" i="35" s="1"/>
  <c r="T164" i="35" s="1"/>
  <c r="S164" i="35" s="1"/>
  <c r="D165" i="35"/>
  <c r="F165" i="35" s="1"/>
  <c r="H165" i="35" s="1"/>
  <c r="J165" i="35" s="1"/>
  <c r="L165" i="35" s="1"/>
  <c r="N165" i="35" s="1"/>
  <c r="P165" i="35" s="1"/>
  <c r="Q165" i="35"/>
  <c r="V165" i="35"/>
  <c r="U165" i="35" s="1"/>
  <c r="T165" i="35" s="1"/>
  <c r="S165" i="35" s="1"/>
  <c r="D166" i="35"/>
  <c r="F166" i="35" s="1"/>
  <c r="H166" i="35" s="1"/>
  <c r="J166" i="35" s="1"/>
  <c r="L166" i="35" s="1"/>
  <c r="N166" i="35" s="1"/>
  <c r="P166" i="35" s="1"/>
  <c r="Q166" i="35"/>
  <c r="V166" i="35"/>
  <c r="U166" i="35" s="1"/>
  <c r="T166" i="35" s="1"/>
  <c r="S166" i="35" s="1"/>
  <c r="D167" i="35"/>
  <c r="F167" i="35" s="1"/>
  <c r="H167" i="35" s="1"/>
  <c r="J167" i="35" s="1"/>
  <c r="L167" i="35" s="1"/>
  <c r="N167" i="35" s="1"/>
  <c r="P167" i="35" s="1"/>
  <c r="Q167" i="35"/>
  <c r="V167" i="35"/>
  <c r="U167" i="35" s="1"/>
  <c r="T167" i="35" s="1"/>
  <c r="S167" i="35" s="1"/>
  <c r="D168" i="35"/>
  <c r="F168" i="35" s="1"/>
  <c r="H168" i="35" s="1"/>
  <c r="J168" i="35" s="1"/>
  <c r="L168" i="35" s="1"/>
  <c r="N168" i="35" s="1"/>
  <c r="P168" i="35" s="1"/>
  <c r="Q168" i="35"/>
  <c r="V168" i="35"/>
  <c r="U168" i="35" s="1"/>
  <c r="T168" i="35" s="1"/>
  <c r="S168" i="35" s="1"/>
  <c r="D169" i="35"/>
  <c r="F169" i="35" s="1"/>
  <c r="H169" i="35" s="1"/>
  <c r="J169" i="35" s="1"/>
  <c r="L169" i="35" s="1"/>
  <c r="N169" i="35" s="1"/>
  <c r="P169" i="35" s="1"/>
  <c r="Q169" i="35"/>
  <c r="V169" i="35"/>
  <c r="U169" i="35" s="1"/>
  <c r="T169" i="35" s="1"/>
  <c r="S169" i="35" s="1"/>
  <c r="D170" i="35"/>
  <c r="F170" i="35" s="1"/>
  <c r="H170" i="35" s="1"/>
  <c r="J170" i="35" s="1"/>
  <c r="L170" i="35" s="1"/>
  <c r="N170" i="35" s="1"/>
  <c r="P170" i="35" s="1"/>
  <c r="Q170" i="35"/>
  <c r="V170" i="35"/>
  <c r="U170" i="35" s="1"/>
  <c r="T170" i="35" s="1"/>
  <c r="S170" i="35" s="1"/>
  <c r="D171" i="35"/>
  <c r="F171" i="35" s="1"/>
  <c r="H171" i="35" s="1"/>
  <c r="J171" i="35" s="1"/>
  <c r="L171" i="35" s="1"/>
  <c r="N171" i="35" s="1"/>
  <c r="P171" i="35" s="1"/>
  <c r="Q171" i="35"/>
  <c r="V171" i="35"/>
  <c r="U171" i="35" s="1"/>
  <c r="T171" i="35" s="1"/>
  <c r="S171" i="35" s="1"/>
  <c r="D172" i="35"/>
  <c r="F172" i="35" s="1"/>
  <c r="H172" i="35" s="1"/>
  <c r="J172" i="35" s="1"/>
  <c r="L172" i="35" s="1"/>
  <c r="N172" i="35" s="1"/>
  <c r="P172" i="35" s="1"/>
  <c r="Q172" i="35"/>
  <c r="V172" i="35"/>
  <c r="U172" i="35" s="1"/>
  <c r="T172" i="35" s="1"/>
  <c r="S172" i="35" s="1"/>
  <c r="D173" i="35"/>
  <c r="F173" i="35" s="1"/>
  <c r="H173" i="35" s="1"/>
  <c r="J173" i="35" s="1"/>
  <c r="L173" i="35" s="1"/>
  <c r="N173" i="35" s="1"/>
  <c r="P173" i="35" s="1"/>
  <c r="Q173" i="35"/>
  <c r="V173" i="35"/>
  <c r="U173" i="35" s="1"/>
  <c r="T173" i="35" s="1"/>
  <c r="S173" i="35" s="1"/>
  <c r="D174" i="35"/>
  <c r="F174" i="35" s="1"/>
  <c r="H174" i="35" s="1"/>
  <c r="J174" i="35" s="1"/>
  <c r="L174" i="35" s="1"/>
  <c r="N174" i="35" s="1"/>
  <c r="P174" i="35" s="1"/>
  <c r="Q174" i="35"/>
  <c r="V174" i="35"/>
  <c r="U174" i="35" s="1"/>
  <c r="T174" i="35" s="1"/>
  <c r="S174" i="35" s="1"/>
  <c r="D175" i="35"/>
  <c r="F175" i="35" s="1"/>
  <c r="H175" i="35" s="1"/>
  <c r="J175" i="35" s="1"/>
  <c r="L175" i="35" s="1"/>
  <c r="N175" i="35" s="1"/>
  <c r="P175" i="35" s="1"/>
  <c r="Q175" i="35"/>
  <c r="V175" i="35"/>
  <c r="U175" i="35" s="1"/>
  <c r="T175" i="35" s="1"/>
  <c r="S175" i="35" s="1"/>
  <c r="D176" i="35"/>
  <c r="F176" i="35" s="1"/>
  <c r="H176" i="35" s="1"/>
  <c r="J176" i="35" s="1"/>
  <c r="L176" i="35" s="1"/>
  <c r="N176" i="35" s="1"/>
  <c r="P176" i="35" s="1"/>
  <c r="Q176" i="35"/>
  <c r="V176" i="35"/>
  <c r="U176" i="35" s="1"/>
  <c r="T176" i="35" s="1"/>
  <c r="S176" i="35" s="1"/>
  <c r="D177" i="35"/>
  <c r="F177" i="35" s="1"/>
  <c r="H177" i="35" s="1"/>
  <c r="J177" i="35" s="1"/>
  <c r="L177" i="35" s="1"/>
  <c r="N177" i="35" s="1"/>
  <c r="P177" i="35" s="1"/>
  <c r="Q177" i="35"/>
  <c r="V177" i="35"/>
  <c r="U177" i="35" s="1"/>
  <c r="T177" i="35" s="1"/>
  <c r="S177" i="35" s="1"/>
  <c r="D178" i="35"/>
  <c r="F178" i="35" s="1"/>
  <c r="H178" i="35" s="1"/>
  <c r="J178" i="35" s="1"/>
  <c r="L178" i="35" s="1"/>
  <c r="N178" i="35" s="1"/>
  <c r="P178" i="35" s="1"/>
  <c r="Q178" i="35"/>
  <c r="V178" i="35"/>
  <c r="U178" i="35" s="1"/>
  <c r="T178" i="35" s="1"/>
  <c r="S178" i="35" s="1"/>
  <c r="D179" i="35"/>
  <c r="F179" i="35" s="1"/>
  <c r="H179" i="35" s="1"/>
  <c r="J179" i="35" s="1"/>
  <c r="L179" i="35" s="1"/>
  <c r="N179" i="35" s="1"/>
  <c r="P179" i="35" s="1"/>
  <c r="Q179" i="35"/>
  <c r="V179" i="35"/>
  <c r="U179" i="35" s="1"/>
  <c r="T179" i="35" s="1"/>
  <c r="S179" i="35" s="1"/>
  <c r="D180" i="35"/>
  <c r="F180" i="35" s="1"/>
  <c r="H180" i="35" s="1"/>
  <c r="J180" i="35" s="1"/>
  <c r="L180" i="35" s="1"/>
  <c r="N180" i="35" s="1"/>
  <c r="P180" i="35" s="1"/>
  <c r="Q180" i="35"/>
  <c r="V180" i="35"/>
  <c r="U180" i="35" s="1"/>
  <c r="T180" i="35" s="1"/>
  <c r="S180" i="35" s="1"/>
  <c r="D181" i="35"/>
  <c r="F181" i="35" s="1"/>
  <c r="H181" i="35" s="1"/>
  <c r="J181" i="35" s="1"/>
  <c r="L181" i="35" s="1"/>
  <c r="N181" i="35" s="1"/>
  <c r="P181" i="35" s="1"/>
  <c r="Q181" i="35"/>
  <c r="V181" i="35"/>
  <c r="U181" i="35" s="1"/>
  <c r="T181" i="35" s="1"/>
  <c r="S181" i="35" s="1"/>
  <c r="D183" i="35"/>
  <c r="F183" i="35" s="1"/>
  <c r="H183" i="35" s="1"/>
  <c r="J183" i="35" s="1"/>
  <c r="L183" i="35" s="1"/>
  <c r="N183" i="35" s="1"/>
  <c r="P183" i="35" s="1"/>
  <c r="Q183" i="35"/>
  <c r="V183" i="35"/>
  <c r="U183" i="35" s="1"/>
  <c r="T183" i="35" s="1"/>
  <c r="S183" i="35" s="1"/>
  <c r="D184" i="35"/>
  <c r="F184" i="35" s="1"/>
  <c r="H184" i="35" s="1"/>
  <c r="J184" i="35" s="1"/>
  <c r="L184" i="35" s="1"/>
  <c r="N184" i="35" s="1"/>
  <c r="P184" i="35" s="1"/>
  <c r="Q184" i="35"/>
  <c r="V184" i="35"/>
  <c r="U184" i="35" s="1"/>
  <c r="T184" i="35" s="1"/>
  <c r="S184" i="35" s="1"/>
  <c r="D185" i="35"/>
  <c r="F185" i="35" s="1"/>
  <c r="H185" i="35" s="1"/>
  <c r="J185" i="35" s="1"/>
  <c r="L185" i="35" s="1"/>
  <c r="N185" i="35" s="1"/>
  <c r="P185" i="35" s="1"/>
  <c r="Q185" i="35"/>
  <c r="V185" i="35"/>
  <c r="U185" i="35" s="1"/>
  <c r="T185" i="35" s="1"/>
  <c r="S185" i="35" s="1"/>
  <c r="D186" i="35"/>
  <c r="F186" i="35" s="1"/>
  <c r="H186" i="35" s="1"/>
  <c r="J186" i="35" s="1"/>
  <c r="L186" i="35" s="1"/>
  <c r="N186" i="35" s="1"/>
  <c r="P186" i="35" s="1"/>
  <c r="Q186" i="35"/>
  <c r="V186" i="35"/>
  <c r="U186" i="35" s="1"/>
  <c r="T186" i="35" s="1"/>
  <c r="S186" i="35" s="1"/>
  <c r="D187" i="35"/>
  <c r="F187" i="35" s="1"/>
  <c r="H187" i="35" s="1"/>
  <c r="J187" i="35" s="1"/>
  <c r="L187" i="35" s="1"/>
  <c r="N187" i="35" s="1"/>
  <c r="P187" i="35" s="1"/>
  <c r="Q187" i="35"/>
  <c r="V187" i="35"/>
  <c r="U187" i="35" s="1"/>
  <c r="T187" i="35" s="1"/>
  <c r="S187" i="35" s="1"/>
  <c r="D188" i="35"/>
  <c r="F188" i="35" s="1"/>
  <c r="H188" i="35" s="1"/>
  <c r="J188" i="35" s="1"/>
  <c r="L188" i="35" s="1"/>
  <c r="N188" i="35" s="1"/>
  <c r="P188" i="35" s="1"/>
  <c r="Q188" i="35"/>
  <c r="V188" i="35"/>
  <c r="U188" i="35" s="1"/>
  <c r="T188" i="35" s="1"/>
  <c r="S188" i="35" s="1"/>
  <c r="D189" i="35"/>
  <c r="F189" i="35" s="1"/>
  <c r="H189" i="35" s="1"/>
  <c r="J189" i="35" s="1"/>
  <c r="L189" i="35" s="1"/>
  <c r="N189" i="35" s="1"/>
  <c r="P189" i="35" s="1"/>
  <c r="Q189" i="35"/>
  <c r="V189" i="35"/>
  <c r="U189" i="35" s="1"/>
  <c r="T189" i="35" s="1"/>
  <c r="S189" i="35" s="1"/>
  <c r="D190" i="35"/>
  <c r="F190" i="35" s="1"/>
  <c r="H190" i="35" s="1"/>
  <c r="J190" i="35" s="1"/>
  <c r="L190" i="35" s="1"/>
  <c r="N190" i="35" s="1"/>
  <c r="P190" i="35" s="1"/>
  <c r="Q190" i="35"/>
  <c r="V190" i="35"/>
  <c r="U190" i="35" s="1"/>
  <c r="T190" i="35" s="1"/>
  <c r="S190" i="35" s="1"/>
  <c r="D191" i="35"/>
  <c r="F191" i="35" s="1"/>
  <c r="H191" i="35" s="1"/>
  <c r="J191" i="35" s="1"/>
  <c r="L191" i="35" s="1"/>
  <c r="N191" i="35" s="1"/>
  <c r="P191" i="35" s="1"/>
  <c r="Q191" i="35"/>
  <c r="V191" i="35"/>
  <c r="U191" i="35" s="1"/>
  <c r="T191" i="35" s="1"/>
  <c r="S191" i="35" s="1"/>
  <c r="D192" i="35"/>
  <c r="F192" i="35" s="1"/>
  <c r="H192" i="35" s="1"/>
  <c r="J192" i="35" s="1"/>
  <c r="L192" i="35" s="1"/>
  <c r="N192" i="35" s="1"/>
  <c r="P192" i="35" s="1"/>
  <c r="Q192" i="35"/>
  <c r="V192" i="35"/>
  <c r="U192" i="35" s="1"/>
  <c r="T192" i="35" s="1"/>
  <c r="S192" i="35" s="1"/>
  <c r="D193" i="35"/>
  <c r="F193" i="35" s="1"/>
  <c r="H193" i="35" s="1"/>
  <c r="J193" i="35" s="1"/>
  <c r="L193" i="35" s="1"/>
  <c r="N193" i="35" s="1"/>
  <c r="P193" i="35" s="1"/>
  <c r="Q193" i="35"/>
  <c r="V193" i="35"/>
  <c r="U193" i="35" s="1"/>
  <c r="T193" i="35" s="1"/>
  <c r="S193" i="35" s="1"/>
  <c r="D194" i="35"/>
  <c r="F194" i="35" s="1"/>
  <c r="H194" i="35" s="1"/>
  <c r="J194" i="35" s="1"/>
  <c r="L194" i="35" s="1"/>
  <c r="N194" i="35" s="1"/>
  <c r="P194" i="35" s="1"/>
  <c r="Q194" i="35"/>
  <c r="V194" i="35"/>
  <c r="U194" i="35" s="1"/>
  <c r="T194" i="35" s="1"/>
  <c r="S194" i="35" s="1"/>
  <c r="D195" i="35"/>
  <c r="F195" i="35" s="1"/>
  <c r="H195" i="35" s="1"/>
  <c r="J195" i="35" s="1"/>
  <c r="L195" i="35" s="1"/>
  <c r="N195" i="35" s="1"/>
  <c r="P195" i="35" s="1"/>
  <c r="Q195" i="35"/>
  <c r="V195" i="35"/>
  <c r="U195" i="35" s="1"/>
  <c r="T195" i="35" s="1"/>
  <c r="S195" i="35" s="1"/>
  <c r="D196" i="35"/>
  <c r="F196" i="35" s="1"/>
  <c r="H196" i="35" s="1"/>
  <c r="J196" i="35" s="1"/>
  <c r="L196" i="35" s="1"/>
  <c r="N196" i="35" s="1"/>
  <c r="P196" i="35" s="1"/>
  <c r="Q196" i="35"/>
  <c r="V196" i="35"/>
  <c r="U196" i="35" s="1"/>
  <c r="T196" i="35" s="1"/>
  <c r="S196" i="35" s="1"/>
  <c r="D197" i="35"/>
  <c r="F197" i="35" s="1"/>
  <c r="H197" i="35" s="1"/>
  <c r="J197" i="35" s="1"/>
  <c r="L197" i="35" s="1"/>
  <c r="N197" i="35" s="1"/>
  <c r="P197" i="35" s="1"/>
  <c r="Q197" i="35"/>
  <c r="V197" i="35"/>
  <c r="U197" i="35" s="1"/>
  <c r="T197" i="35" s="1"/>
  <c r="S197" i="35" s="1"/>
  <c r="D198" i="35"/>
  <c r="F198" i="35" s="1"/>
  <c r="H198" i="35" s="1"/>
  <c r="J198" i="35" s="1"/>
  <c r="L198" i="35" s="1"/>
  <c r="N198" i="35" s="1"/>
  <c r="P198" i="35" s="1"/>
  <c r="Q198" i="35"/>
  <c r="V198" i="35"/>
  <c r="U198" i="35" s="1"/>
  <c r="T198" i="35" s="1"/>
  <c r="S198" i="35" s="1"/>
  <c r="D199" i="35"/>
  <c r="F199" i="35" s="1"/>
  <c r="H199" i="35" s="1"/>
  <c r="J199" i="35" s="1"/>
  <c r="L199" i="35" s="1"/>
  <c r="N199" i="35" s="1"/>
  <c r="P199" i="35" s="1"/>
  <c r="Q199" i="35"/>
  <c r="V199" i="35"/>
  <c r="U199" i="35" s="1"/>
  <c r="T199" i="35" s="1"/>
  <c r="S199" i="35" s="1"/>
  <c r="D200" i="35"/>
  <c r="F200" i="35" s="1"/>
  <c r="H200" i="35" s="1"/>
  <c r="J200" i="35" s="1"/>
  <c r="L200" i="35" s="1"/>
  <c r="N200" i="35" s="1"/>
  <c r="P200" i="35" s="1"/>
  <c r="Q200" i="35"/>
  <c r="V200" i="35"/>
  <c r="U200" i="35" s="1"/>
  <c r="T200" i="35" s="1"/>
  <c r="S200" i="35" s="1"/>
  <c r="D201" i="35"/>
  <c r="F201" i="35" s="1"/>
  <c r="H201" i="35" s="1"/>
  <c r="J201" i="35" s="1"/>
  <c r="L201" i="35" s="1"/>
  <c r="N201" i="35" s="1"/>
  <c r="P201" i="35" s="1"/>
  <c r="Q201" i="35"/>
  <c r="V201" i="35"/>
  <c r="U201" i="35" s="1"/>
  <c r="T201" i="35" s="1"/>
  <c r="S201" i="35" s="1"/>
  <c r="D202" i="35"/>
  <c r="F202" i="35" s="1"/>
  <c r="H202" i="35" s="1"/>
  <c r="J202" i="35" s="1"/>
  <c r="L202" i="35" s="1"/>
  <c r="N202" i="35" s="1"/>
  <c r="P202" i="35" s="1"/>
  <c r="Q202" i="35"/>
  <c r="V202" i="35"/>
  <c r="U202" i="35" s="1"/>
  <c r="T202" i="35" s="1"/>
  <c r="S202" i="35" s="1"/>
  <c r="D203" i="35"/>
  <c r="F203" i="35" s="1"/>
  <c r="H203" i="35" s="1"/>
  <c r="J203" i="35" s="1"/>
  <c r="L203" i="35" s="1"/>
  <c r="N203" i="35" s="1"/>
  <c r="P203" i="35" s="1"/>
  <c r="Q203" i="35"/>
  <c r="V203" i="35"/>
  <c r="U203" i="35" s="1"/>
  <c r="T203" i="35" s="1"/>
  <c r="S203" i="35" s="1"/>
  <c r="D204" i="35"/>
  <c r="F204" i="35" s="1"/>
  <c r="H204" i="35" s="1"/>
  <c r="J204" i="35" s="1"/>
  <c r="L204" i="35" s="1"/>
  <c r="N204" i="35" s="1"/>
  <c r="P204" i="35" s="1"/>
  <c r="Q204" i="35"/>
  <c r="V204" i="35"/>
  <c r="U204" i="35" s="1"/>
  <c r="T204" i="35" s="1"/>
  <c r="S204" i="35" s="1"/>
  <c r="D205" i="35"/>
  <c r="F205" i="35" s="1"/>
  <c r="H205" i="35" s="1"/>
  <c r="J205" i="35" s="1"/>
  <c r="L205" i="35" s="1"/>
  <c r="N205" i="35" s="1"/>
  <c r="P205" i="35" s="1"/>
  <c r="Q205" i="35"/>
  <c r="V205" i="35"/>
  <c r="U205" i="35" s="1"/>
  <c r="T205" i="35" s="1"/>
  <c r="S205" i="35" s="1"/>
  <c r="D206" i="35"/>
  <c r="F206" i="35" s="1"/>
  <c r="H206" i="35" s="1"/>
  <c r="J206" i="35" s="1"/>
  <c r="L206" i="35" s="1"/>
  <c r="N206" i="35" s="1"/>
  <c r="P206" i="35" s="1"/>
  <c r="Q206" i="35"/>
  <c r="V206" i="35"/>
  <c r="U206" i="35" s="1"/>
  <c r="T206" i="35" s="1"/>
  <c r="S206" i="35" s="1"/>
  <c r="D207" i="35"/>
  <c r="F207" i="35" s="1"/>
  <c r="H207" i="35" s="1"/>
  <c r="J207" i="35" s="1"/>
  <c r="L207" i="35" s="1"/>
  <c r="N207" i="35" s="1"/>
  <c r="P207" i="35" s="1"/>
  <c r="Q207" i="35"/>
  <c r="V207" i="35"/>
  <c r="U207" i="35" s="1"/>
  <c r="T207" i="35" s="1"/>
  <c r="S207" i="35" s="1"/>
  <c r="D208" i="35"/>
  <c r="F208" i="35" s="1"/>
  <c r="H208" i="35" s="1"/>
  <c r="J208" i="35" s="1"/>
  <c r="L208" i="35" s="1"/>
  <c r="N208" i="35" s="1"/>
  <c r="P208" i="35" s="1"/>
  <c r="Q208" i="35"/>
  <c r="V208" i="35"/>
  <c r="U208" i="35" s="1"/>
  <c r="T208" i="35" s="1"/>
  <c r="S208" i="35" s="1"/>
  <c r="D209" i="35"/>
  <c r="F209" i="35" s="1"/>
  <c r="H209" i="35" s="1"/>
  <c r="J209" i="35" s="1"/>
  <c r="L209" i="35" s="1"/>
  <c r="N209" i="35" s="1"/>
  <c r="P209" i="35" s="1"/>
  <c r="Q209" i="35"/>
  <c r="V209" i="35"/>
  <c r="U209" i="35" s="1"/>
  <c r="T209" i="35" s="1"/>
  <c r="S209" i="35" s="1"/>
  <c r="D210" i="35"/>
  <c r="F210" i="35" s="1"/>
  <c r="H210" i="35" s="1"/>
  <c r="J210" i="35" s="1"/>
  <c r="L210" i="35" s="1"/>
  <c r="N210" i="35" s="1"/>
  <c r="P210" i="35" s="1"/>
  <c r="Q210" i="35"/>
  <c r="V210" i="35"/>
  <c r="U210" i="35" s="1"/>
  <c r="T210" i="35" s="1"/>
  <c r="S210" i="35" s="1"/>
  <c r="D211" i="35"/>
  <c r="F211" i="35" s="1"/>
  <c r="H211" i="35" s="1"/>
  <c r="J211" i="35" s="1"/>
  <c r="L211" i="35" s="1"/>
  <c r="N211" i="35" s="1"/>
  <c r="P211" i="35" s="1"/>
  <c r="Q211" i="35"/>
  <c r="V211" i="35"/>
  <c r="U211" i="35" s="1"/>
  <c r="T211" i="35" s="1"/>
  <c r="S211" i="35" s="1"/>
  <c r="D212" i="35"/>
  <c r="F212" i="35" s="1"/>
  <c r="H212" i="35" s="1"/>
  <c r="J212" i="35" s="1"/>
  <c r="L212" i="35" s="1"/>
  <c r="N212" i="35" s="1"/>
  <c r="P212" i="35" s="1"/>
  <c r="Q212" i="35"/>
  <c r="V212" i="35"/>
  <c r="U212" i="35" s="1"/>
  <c r="T212" i="35" s="1"/>
  <c r="S212" i="35" s="1"/>
  <c r="D213" i="35"/>
  <c r="F213" i="35" s="1"/>
  <c r="H213" i="35" s="1"/>
  <c r="J213" i="35" s="1"/>
  <c r="L213" i="35" s="1"/>
  <c r="N213" i="35" s="1"/>
  <c r="P213" i="35" s="1"/>
  <c r="Q213" i="35"/>
  <c r="V213" i="35"/>
  <c r="U213" i="35" s="1"/>
  <c r="T213" i="35" s="1"/>
  <c r="S213" i="35" s="1"/>
  <c r="D214" i="35"/>
  <c r="F214" i="35" s="1"/>
  <c r="H214" i="35" s="1"/>
  <c r="J214" i="35" s="1"/>
  <c r="L214" i="35" s="1"/>
  <c r="N214" i="35" s="1"/>
  <c r="P214" i="35" s="1"/>
  <c r="Q214" i="35"/>
  <c r="V214" i="35"/>
  <c r="U214" i="35" s="1"/>
  <c r="T214" i="35" s="1"/>
  <c r="S214" i="35" s="1"/>
  <c r="D215" i="35"/>
  <c r="F215" i="35" s="1"/>
  <c r="H215" i="35" s="1"/>
  <c r="J215" i="35" s="1"/>
  <c r="L215" i="35" s="1"/>
  <c r="N215" i="35" s="1"/>
  <c r="P215" i="35" s="1"/>
  <c r="Q215" i="35"/>
  <c r="V215" i="35"/>
  <c r="U215" i="35" s="1"/>
  <c r="T215" i="35" s="1"/>
  <c r="S215" i="35" s="1"/>
  <c r="D216" i="35"/>
  <c r="F216" i="35" s="1"/>
  <c r="H216" i="35" s="1"/>
  <c r="J216" i="35" s="1"/>
  <c r="L216" i="35" s="1"/>
  <c r="N216" i="35" s="1"/>
  <c r="P216" i="35" s="1"/>
  <c r="Q216" i="35"/>
  <c r="V216" i="35"/>
  <c r="U216" i="35" s="1"/>
  <c r="T216" i="35" s="1"/>
  <c r="S216" i="35" s="1"/>
  <c r="D217" i="35"/>
  <c r="F217" i="35" s="1"/>
  <c r="H217" i="35" s="1"/>
  <c r="J217" i="35" s="1"/>
  <c r="L217" i="35" s="1"/>
  <c r="N217" i="35" s="1"/>
  <c r="P217" i="35" s="1"/>
  <c r="Q217" i="35"/>
  <c r="V217" i="35"/>
  <c r="U217" i="35" s="1"/>
  <c r="T217" i="35" s="1"/>
  <c r="S217" i="35" s="1"/>
  <c r="D218" i="35"/>
  <c r="F218" i="35" s="1"/>
  <c r="H218" i="35" s="1"/>
  <c r="J218" i="35" s="1"/>
  <c r="L218" i="35" s="1"/>
  <c r="N218" i="35" s="1"/>
  <c r="P218" i="35" s="1"/>
  <c r="Q218" i="35"/>
  <c r="V218" i="35"/>
  <c r="U218" i="35" s="1"/>
  <c r="T218" i="35" s="1"/>
  <c r="S218" i="35" s="1"/>
  <c r="D219" i="35"/>
  <c r="F219" i="35" s="1"/>
  <c r="H219" i="35" s="1"/>
  <c r="J219" i="35" s="1"/>
  <c r="L219" i="35" s="1"/>
  <c r="N219" i="35" s="1"/>
  <c r="P219" i="35" s="1"/>
  <c r="Q219" i="35"/>
  <c r="V219" i="35"/>
  <c r="U219" i="35" s="1"/>
  <c r="T219" i="35" s="1"/>
  <c r="S219" i="35" s="1"/>
  <c r="D220" i="35"/>
  <c r="F220" i="35" s="1"/>
  <c r="H220" i="35" s="1"/>
  <c r="J220" i="35" s="1"/>
  <c r="L220" i="35" s="1"/>
  <c r="N220" i="35" s="1"/>
  <c r="P220" i="35" s="1"/>
  <c r="Q220" i="35"/>
  <c r="V220" i="35"/>
  <c r="U220" i="35" s="1"/>
  <c r="T220" i="35" s="1"/>
  <c r="S220" i="35" s="1"/>
  <c r="D221" i="35"/>
  <c r="F221" i="35" s="1"/>
  <c r="H221" i="35" s="1"/>
  <c r="J221" i="35" s="1"/>
  <c r="L221" i="35" s="1"/>
  <c r="N221" i="35" s="1"/>
  <c r="P221" i="35" s="1"/>
  <c r="Q221" i="35"/>
  <c r="V221" i="35"/>
  <c r="U221" i="35" s="1"/>
  <c r="T221" i="35" s="1"/>
  <c r="S221" i="35" s="1"/>
  <c r="D222" i="35"/>
  <c r="F222" i="35" s="1"/>
  <c r="H222" i="35" s="1"/>
  <c r="J222" i="35" s="1"/>
  <c r="L222" i="35" s="1"/>
  <c r="N222" i="35" s="1"/>
  <c r="P222" i="35" s="1"/>
  <c r="Q222" i="35"/>
  <c r="V222" i="35"/>
  <c r="U222" i="35" s="1"/>
  <c r="T222" i="35" s="1"/>
  <c r="S222" i="35" s="1"/>
  <c r="D223" i="35"/>
  <c r="F223" i="35" s="1"/>
  <c r="H223" i="35" s="1"/>
  <c r="J223" i="35" s="1"/>
  <c r="L223" i="35" s="1"/>
  <c r="N223" i="35" s="1"/>
  <c r="P223" i="35" s="1"/>
  <c r="Q223" i="35"/>
  <c r="V223" i="35"/>
  <c r="U223" i="35" s="1"/>
  <c r="T223" i="35" s="1"/>
  <c r="S223" i="35" s="1"/>
  <c r="D224" i="35"/>
  <c r="F224" i="35" s="1"/>
  <c r="H224" i="35" s="1"/>
  <c r="J224" i="35" s="1"/>
  <c r="L224" i="35" s="1"/>
  <c r="N224" i="35" s="1"/>
  <c r="P224" i="35" s="1"/>
  <c r="Q224" i="35"/>
  <c r="V224" i="35"/>
  <c r="U224" i="35" s="1"/>
  <c r="T224" i="35" s="1"/>
  <c r="S224" i="35" s="1"/>
  <c r="D225" i="35"/>
  <c r="F225" i="35" s="1"/>
  <c r="H225" i="35" s="1"/>
  <c r="J225" i="35" s="1"/>
  <c r="L225" i="35" s="1"/>
  <c r="N225" i="35" s="1"/>
  <c r="P225" i="35" s="1"/>
  <c r="Q225" i="35"/>
  <c r="V225" i="35"/>
  <c r="U225" i="35" s="1"/>
  <c r="T225" i="35" s="1"/>
  <c r="S225" i="35" s="1"/>
  <c r="D226" i="35"/>
  <c r="F226" i="35" s="1"/>
  <c r="H226" i="35" s="1"/>
  <c r="J226" i="35" s="1"/>
  <c r="L226" i="35" s="1"/>
  <c r="N226" i="35" s="1"/>
  <c r="P226" i="35" s="1"/>
  <c r="Q226" i="35"/>
  <c r="V226" i="35"/>
  <c r="U226" i="35" s="1"/>
  <c r="T226" i="35" s="1"/>
  <c r="S226" i="35" s="1"/>
  <c r="D227" i="35"/>
  <c r="F227" i="35" s="1"/>
  <c r="H227" i="35" s="1"/>
  <c r="J227" i="35" s="1"/>
  <c r="L227" i="35" s="1"/>
  <c r="N227" i="35" s="1"/>
  <c r="P227" i="35" s="1"/>
  <c r="Q227" i="35"/>
  <c r="V227" i="35"/>
  <c r="U227" i="35" s="1"/>
  <c r="T227" i="35" s="1"/>
  <c r="S227" i="35" s="1"/>
  <c r="D228" i="35"/>
  <c r="F228" i="35" s="1"/>
  <c r="H228" i="35" s="1"/>
  <c r="J228" i="35" s="1"/>
  <c r="L228" i="35" s="1"/>
  <c r="N228" i="35" s="1"/>
  <c r="P228" i="35" s="1"/>
  <c r="Q228" i="35"/>
  <c r="V228" i="35"/>
  <c r="U228" i="35" s="1"/>
  <c r="T228" i="35" s="1"/>
  <c r="S228" i="35" s="1"/>
  <c r="D229" i="35"/>
  <c r="F229" i="35" s="1"/>
  <c r="H229" i="35" s="1"/>
  <c r="J229" i="35" s="1"/>
  <c r="L229" i="35" s="1"/>
  <c r="N229" i="35" s="1"/>
  <c r="P229" i="35" s="1"/>
  <c r="Q229" i="35"/>
  <c r="V229" i="35"/>
  <c r="U229" i="35" s="1"/>
  <c r="T229" i="35" s="1"/>
  <c r="S229" i="35" s="1"/>
  <c r="D230" i="35"/>
  <c r="F230" i="35" s="1"/>
  <c r="H230" i="35" s="1"/>
  <c r="J230" i="35" s="1"/>
  <c r="L230" i="35" s="1"/>
  <c r="N230" i="35" s="1"/>
  <c r="P230" i="35" s="1"/>
  <c r="Q230" i="35"/>
  <c r="V230" i="35"/>
  <c r="U230" i="35" s="1"/>
  <c r="T230" i="35" s="1"/>
  <c r="S230" i="35" s="1"/>
  <c r="D231" i="35"/>
  <c r="F231" i="35" s="1"/>
  <c r="H231" i="35" s="1"/>
  <c r="J231" i="35" s="1"/>
  <c r="L231" i="35" s="1"/>
  <c r="N231" i="35" s="1"/>
  <c r="P231" i="35" s="1"/>
  <c r="Q231" i="35"/>
  <c r="V231" i="35"/>
  <c r="U231" i="35" s="1"/>
  <c r="T231" i="35" s="1"/>
  <c r="S231" i="35" s="1"/>
  <c r="D232" i="35"/>
  <c r="F232" i="35" s="1"/>
  <c r="H232" i="35" s="1"/>
  <c r="J232" i="35" s="1"/>
  <c r="L232" i="35" s="1"/>
  <c r="N232" i="35" s="1"/>
  <c r="P232" i="35" s="1"/>
  <c r="Q232" i="35"/>
  <c r="V232" i="35"/>
  <c r="U232" i="35" s="1"/>
  <c r="T232" i="35" s="1"/>
  <c r="S232" i="35" s="1"/>
  <c r="D233" i="35"/>
  <c r="F233" i="35" s="1"/>
  <c r="H233" i="35" s="1"/>
  <c r="J233" i="35" s="1"/>
  <c r="L233" i="35" s="1"/>
  <c r="N233" i="35" s="1"/>
  <c r="P233" i="35" s="1"/>
  <c r="Q233" i="35"/>
  <c r="V233" i="35"/>
  <c r="U233" i="35" s="1"/>
  <c r="T233" i="35" s="1"/>
  <c r="S233" i="35" s="1"/>
  <c r="D234" i="35"/>
  <c r="F234" i="35" s="1"/>
  <c r="H234" i="35" s="1"/>
  <c r="J234" i="35" s="1"/>
  <c r="L234" i="35" s="1"/>
  <c r="N234" i="35" s="1"/>
  <c r="P234" i="35" s="1"/>
  <c r="Q234" i="35"/>
  <c r="V234" i="35"/>
  <c r="U234" i="35" s="1"/>
  <c r="T234" i="35" s="1"/>
  <c r="S234" i="35" s="1"/>
  <c r="D235" i="35"/>
  <c r="F235" i="35" s="1"/>
  <c r="H235" i="35" s="1"/>
  <c r="J235" i="35" s="1"/>
  <c r="L235" i="35" s="1"/>
  <c r="N235" i="35" s="1"/>
  <c r="P235" i="35" s="1"/>
  <c r="Q235" i="35"/>
  <c r="V235" i="35"/>
  <c r="U235" i="35" s="1"/>
  <c r="T235" i="35" s="1"/>
  <c r="S235" i="35" s="1"/>
  <c r="D236" i="35"/>
  <c r="F236" i="35" s="1"/>
  <c r="H236" i="35" s="1"/>
  <c r="J236" i="35" s="1"/>
  <c r="L236" i="35" s="1"/>
  <c r="N236" i="35" s="1"/>
  <c r="P236" i="35" s="1"/>
  <c r="Q236" i="35"/>
  <c r="V236" i="35"/>
  <c r="U236" i="35" s="1"/>
  <c r="T236" i="35" s="1"/>
  <c r="S236" i="35" s="1"/>
  <c r="D237" i="35"/>
  <c r="F237" i="35" s="1"/>
  <c r="H237" i="35" s="1"/>
  <c r="J237" i="35" s="1"/>
  <c r="L237" i="35" s="1"/>
  <c r="N237" i="35" s="1"/>
  <c r="P237" i="35" s="1"/>
  <c r="Q237" i="35"/>
  <c r="V237" i="35"/>
  <c r="U237" i="35" s="1"/>
  <c r="T237" i="35" s="1"/>
  <c r="S237" i="35" s="1"/>
  <c r="D238" i="35"/>
  <c r="F238" i="35" s="1"/>
  <c r="H238" i="35" s="1"/>
  <c r="J238" i="35" s="1"/>
  <c r="L238" i="35" s="1"/>
  <c r="N238" i="35" s="1"/>
  <c r="P238" i="35" s="1"/>
  <c r="Q238" i="35"/>
  <c r="V238" i="35"/>
  <c r="U238" i="35" s="1"/>
  <c r="T238" i="35" s="1"/>
  <c r="S238" i="35" s="1"/>
  <c r="D239" i="35"/>
  <c r="F239" i="35" s="1"/>
  <c r="H239" i="35" s="1"/>
  <c r="J239" i="35" s="1"/>
  <c r="L239" i="35" s="1"/>
  <c r="N239" i="35" s="1"/>
  <c r="P239" i="35" s="1"/>
  <c r="Q239" i="35"/>
  <c r="V239" i="35"/>
  <c r="U239" i="35" s="1"/>
  <c r="T239" i="35" s="1"/>
  <c r="S239" i="35" s="1"/>
  <c r="D240" i="35"/>
  <c r="F240" i="35" s="1"/>
  <c r="H240" i="35" s="1"/>
  <c r="J240" i="35" s="1"/>
  <c r="L240" i="35" s="1"/>
  <c r="N240" i="35" s="1"/>
  <c r="P240" i="35" s="1"/>
  <c r="Q240" i="35"/>
  <c r="V240" i="35"/>
  <c r="U240" i="35" s="1"/>
  <c r="T240" i="35" s="1"/>
  <c r="S240" i="35" s="1"/>
  <c r="D241" i="35"/>
  <c r="F241" i="35" s="1"/>
  <c r="H241" i="35" s="1"/>
  <c r="J241" i="35" s="1"/>
  <c r="L241" i="35" s="1"/>
  <c r="N241" i="35" s="1"/>
  <c r="P241" i="35" s="1"/>
  <c r="Q241" i="35"/>
  <c r="V241" i="35"/>
  <c r="U241" i="35" s="1"/>
  <c r="T241" i="35" s="1"/>
  <c r="S241" i="35" s="1"/>
  <c r="D242" i="35"/>
  <c r="F242" i="35" s="1"/>
  <c r="H242" i="35" s="1"/>
  <c r="J242" i="35" s="1"/>
  <c r="L242" i="35" s="1"/>
  <c r="N242" i="35" s="1"/>
  <c r="P242" i="35" s="1"/>
  <c r="Q242" i="35"/>
  <c r="V242" i="35"/>
  <c r="U242" i="35" s="1"/>
  <c r="T242" i="35" s="1"/>
  <c r="S242" i="35" s="1"/>
  <c r="D243" i="35"/>
  <c r="F243" i="35" s="1"/>
  <c r="H243" i="35" s="1"/>
  <c r="J243" i="35" s="1"/>
  <c r="L243" i="35" s="1"/>
  <c r="N243" i="35" s="1"/>
  <c r="P243" i="35" s="1"/>
  <c r="Q243" i="35"/>
  <c r="V243" i="35"/>
  <c r="U243" i="35" s="1"/>
  <c r="T243" i="35" s="1"/>
  <c r="S243" i="35" s="1"/>
  <c r="D244" i="35"/>
  <c r="F244" i="35" s="1"/>
  <c r="H244" i="35" s="1"/>
  <c r="J244" i="35" s="1"/>
  <c r="L244" i="35" s="1"/>
  <c r="N244" i="35" s="1"/>
  <c r="P244" i="35" s="1"/>
  <c r="Q244" i="35"/>
  <c r="V244" i="35"/>
  <c r="U244" i="35" s="1"/>
  <c r="T244" i="35" s="1"/>
  <c r="S244" i="35" s="1"/>
  <c r="D245" i="35"/>
  <c r="F245" i="35" s="1"/>
  <c r="H245" i="35" s="1"/>
  <c r="J245" i="35" s="1"/>
  <c r="L245" i="35" s="1"/>
  <c r="N245" i="35" s="1"/>
  <c r="P245" i="35" s="1"/>
  <c r="Q245" i="35"/>
  <c r="V245" i="35"/>
  <c r="U245" i="35" s="1"/>
  <c r="T245" i="35" s="1"/>
  <c r="S245" i="35" s="1"/>
  <c r="D246" i="35"/>
  <c r="F246" i="35" s="1"/>
  <c r="H246" i="35" s="1"/>
  <c r="J246" i="35" s="1"/>
  <c r="L246" i="35" s="1"/>
  <c r="N246" i="35" s="1"/>
  <c r="P246" i="35" s="1"/>
  <c r="Q246" i="35"/>
  <c r="V246" i="35"/>
  <c r="U246" i="35" s="1"/>
  <c r="T246" i="35" s="1"/>
  <c r="S246" i="35" s="1"/>
  <c r="D247" i="35"/>
  <c r="F247" i="35" s="1"/>
  <c r="H247" i="35" s="1"/>
  <c r="J247" i="35" s="1"/>
  <c r="L247" i="35" s="1"/>
  <c r="N247" i="35" s="1"/>
  <c r="P247" i="35" s="1"/>
  <c r="Q247" i="35"/>
  <c r="V247" i="35"/>
  <c r="U247" i="35" s="1"/>
  <c r="T247" i="35" s="1"/>
  <c r="S247" i="35" s="1"/>
  <c r="D248" i="35"/>
  <c r="F248" i="35" s="1"/>
  <c r="H248" i="35" s="1"/>
  <c r="J248" i="35" s="1"/>
  <c r="L248" i="35" s="1"/>
  <c r="N248" i="35" s="1"/>
  <c r="P248" i="35" s="1"/>
  <c r="Q248" i="35"/>
  <c r="V248" i="35"/>
  <c r="U248" i="35" s="1"/>
  <c r="T248" i="35" s="1"/>
  <c r="S248" i="35" s="1"/>
  <c r="D249" i="35"/>
  <c r="F249" i="35" s="1"/>
  <c r="H249" i="35" s="1"/>
  <c r="J249" i="35" s="1"/>
  <c r="L249" i="35" s="1"/>
  <c r="N249" i="35" s="1"/>
  <c r="P249" i="35" s="1"/>
  <c r="Q249" i="35"/>
  <c r="V249" i="35"/>
  <c r="U249" i="35" s="1"/>
  <c r="T249" i="35" s="1"/>
  <c r="S249" i="35" s="1"/>
  <c r="D250" i="35"/>
  <c r="F250" i="35" s="1"/>
  <c r="H250" i="35" s="1"/>
  <c r="J250" i="35" s="1"/>
  <c r="L250" i="35" s="1"/>
  <c r="N250" i="35" s="1"/>
  <c r="P250" i="35" s="1"/>
  <c r="Q250" i="35"/>
  <c r="V250" i="35"/>
  <c r="U250" i="35" s="1"/>
  <c r="T250" i="35" s="1"/>
  <c r="S250" i="35" s="1"/>
  <c r="D251" i="35"/>
  <c r="F251" i="35" s="1"/>
  <c r="H251" i="35" s="1"/>
  <c r="J251" i="35" s="1"/>
  <c r="L251" i="35" s="1"/>
  <c r="N251" i="35" s="1"/>
  <c r="P251" i="35" s="1"/>
  <c r="Q251" i="35"/>
  <c r="V251" i="35"/>
  <c r="U251" i="35" s="1"/>
  <c r="T251" i="35" s="1"/>
  <c r="S251" i="35" s="1"/>
  <c r="D252" i="35"/>
  <c r="F252" i="35" s="1"/>
  <c r="H252" i="35" s="1"/>
  <c r="J252" i="35" s="1"/>
  <c r="L252" i="35" s="1"/>
  <c r="N252" i="35" s="1"/>
  <c r="P252" i="35" s="1"/>
  <c r="Q252" i="35"/>
  <c r="V252" i="35"/>
  <c r="U252" i="35" s="1"/>
  <c r="T252" i="35" s="1"/>
  <c r="S252" i="35" s="1"/>
  <c r="D253" i="35"/>
  <c r="F253" i="35" s="1"/>
  <c r="H253" i="35" s="1"/>
  <c r="J253" i="35" s="1"/>
  <c r="L253" i="35" s="1"/>
  <c r="N253" i="35" s="1"/>
  <c r="P253" i="35" s="1"/>
  <c r="Q253" i="35"/>
  <c r="V253" i="35"/>
  <c r="U253" i="35" s="1"/>
  <c r="T253" i="35" s="1"/>
  <c r="S253" i="35" s="1"/>
  <c r="D254" i="35"/>
  <c r="F254" i="35" s="1"/>
  <c r="H254" i="35" s="1"/>
  <c r="J254" i="35" s="1"/>
  <c r="L254" i="35" s="1"/>
  <c r="N254" i="35" s="1"/>
  <c r="P254" i="35" s="1"/>
  <c r="Q254" i="35"/>
  <c r="V254" i="35"/>
  <c r="U254" i="35" s="1"/>
  <c r="T254" i="35" s="1"/>
  <c r="S254" i="35" s="1"/>
  <c r="D255" i="35"/>
  <c r="F255" i="35" s="1"/>
  <c r="H255" i="35" s="1"/>
  <c r="J255" i="35" s="1"/>
  <c r="L255" i="35" s="1"/>
  <c r="N255" i="35" s="1"/>
  <c r="P255" i="35" s="1"/>
  <c r="Q255" i="35"/>
  <c r="V255" i="35"/>
  <c r="U255" i="35" s="1"/>
  <c r="T255" i="35" s="1"/>
  <c r="S255" i="35" s="1"/>
  <c r="D256" i="35"/>
  <c r="F256" i="35" s="1"/>
  <c r="H256" i="35" s="1"/>
  <c r="J256" i="35" s="1"/>
  <c r="L256" i="35" s="1"/>
  <c r="N256" i="35" s="1"/>
  <c r="P256" i="35" s="1"/>
  <c r="Q256" i="35"/>
  <c r="V256" i="35"/>
  <c r="U256" i="35" s="1"/>
  <c r="T256" i="35" s="1"/>
  <c r="S256" i="35" s="1"/>
  <c r="D257" i="35"/>
  <c r="F257" i="35" s="1"/>
  <c r="H257" i="35" s="1"/>
  <c r="J257" i="35" s="1"/>
  <c r="L257" i="35" s="1"/>
  <c r="N257" i="35" s="1"/>
  <c r="P257" i="35" s="1"/>
  <c r="Q257" i="35"/>
  <c r="V257" i="35"/>
  <c r="U257" i="35" s="1"/>
  <c r="T257" i="35" s="1"/>
  <c r="S257" i="35" s="1"/>
  <c r="D258" i="35"/>
  <c r="F258" i="35" s="1"/>
  <c r="H258" i="35" s="1"/>
  <c r="J258" i="35" s="1"/>
  <c r="L258" i="35" s="1"/>
  <c r="N258" i="35" s="1"/>
  <c r="P258" i="35" s="1"/>
  <c r="Q258" i="35"/>
  <c r="V258" i="35"/>
  <c r="U258" i="35" s="1"/>
  <c r="T258" i="35" s="1"/>
  <c r="S258" i="35" s="1"/>
  <c r="D259" i="35"/>
  <c r="F259" i="35" s="1"/>
  <c r="H259" i="35" s="1"/>
  <c r="J259" i="35" s="1"/>
  <c r="L259" i="35" s="1"/>
  <c r="N259" i="35" s="1"/>
  <c r="P259" i="35" s="1"/>
  <c r="Q259" i="35"/>
  <c r="V259" i="35"/>
  <c r="U259" i="35" s="1"/>
  <c r="T259" i="35" s="1"/>
  <c r="S259" i="35" s="1"/>
  <c r="D260" i="35"/>
  <c r="F260" i="35" s="1"/>
  <c r="H260" i="35" s="1"/>
  <c r="J260" i="35" s="1"/>
  <c r="L260" i="35" s="1"/>
  <c r="N260" i="35" s="1"/>
  <c r="P260" i="35" s="1"/>
  <c r="Q260" i="35"/>
  <c r="V260" i="35"/>
  <c r="U260" i="35" s="1"/>
  <c r="T260" i="35" s="1"/>
  <c r="S260" i="35" s="1"/>
  <c r="D261" i="35"/>
  <c r="F261" i="35" s="1"/>
  <c r="H261" i="35" s="1"/>
  <c r="J261" i="35" s="1"/>
  <c r="L261" i="35" s="1"/>
  <c r="N261" i="35" s="1"/>
  <c r="P261" i="35" s="1"/>
  <c r="Q261" i="35"/>
  <c r="V261" i="35"/>
  <c r="U261" i="35" s="1"/>
  <c r="T261" i="35" s="1"/>
  <c r="S261" i="35" s="1"/>
  <c r="D28" i="35" l="1"/>
  <c r="F28" i="35" s="1"/>
  <c r="H28" i="35" s="1"/>
  <c r="J28" i="35" s="1"/>
  <c r="L28" i="35" s="1"/>
  <c r="N28" i="35" s="1"/>
  <c r="P28" i="35" s="1"/>
  <c r="L27" i="35"/>
  <c r="N27" i="35" s="1"/>
  <c r="P27" i="35" s="1"/>
  <c r="AH186" i="1"/>
  <c r="AH187" i="1"/>
  <c r="AG77" i="1"/>
  <c r="AD77" i="1"/>
  <c r="P77" i="1"/>
  <c r="AA77" i="1"/>
  <c r="X77" i="1"/>
  <c r="U77" i="1"/>
  <c r="AG76" i="1"/>
  <c r="AD76" i="1"/>
  <c r="AA76" i="1"/>
  <c r="X76" i="1"/>
  <c r="U76" i="1"/>
  <c r="P76" i="1"/>
  <c r="D10" i="4"/>
  <c r="D9" i="4"/>
  <c r="E88" i="4"/>
  <c r="E87" i="4" s="1"/>
  <c r="E86" i="4" s="1"/>
  <c r="E85" i="4" s="1"/>
  <c r="E84" i="4" s="1"/>
  <c r="E83" i="4" s="1"/>
  <c r="E82" i="4" s="1"/>
  <c r="E59" i="4"/>
  <c r="E51" i="4"/>
  <c r="E47" i="4"/>
  <c r="E42" i="4"/>
  <c r="E30" i="4"/>
  <c r="E20" i="4"/>
  <c r="W64" i="3" l="1"/>
  <c r="W59" i="3" s="1"/>
  <c r="AH77" i="1"/>
  <c r="AH76" i="1"/>
  <c r="C342" i="1" l="1"/>
  <c r="E342" i="1"/>
  <c r="K342" i="1"/>
  <c r="M342" i="1" s="1"/>
  <c r="O342" i="1" s="1"/>
  <c r="K146" i="1"/>
  <c r="M146" i="1" s="1"/>
  <c r="O146" i="1" s="1"/>
  <c r="E146" i="1"/>
  <c r="C146" i="1"/>
  <c r="AA342" i="1" l="1"/>
  <c r="AD342" i="1"/>
  <c r="AG342" i="1"/>
  <c r="P342" i="1"/>
  <c r="U342" i="1"/>
  <c r="X342" i="1"/>
  <c r="AG146" i="1"/>
  <c r="AD146" i="1"/>
  <c r="AA146" i="1"/>
  <c r="X146" i="1"/>
  <c r="U146" i="1"/>
  <c r="P146" i="1"/>
  <c r="AH342" i="1" l="1"/>
  <c r="AH146" i="1"/>
  <c r="C270" i="1" l="1"/>
  <c r="E270" i="1"/>
  <c r="K270" i="1"/>
  <c r="M270" i="1" s="1"/>
  <c r="O270" i="1" s="1"/>
  <c r="C8" i="1"/>
  <c r="E8" i="1"/>
  <c r="K8" i="1"/>
  <c r="M8" i="1" s="1"/>
  <c r="O8" i="1" s="1"/>
  <c r="C213" i="1"/>
  <c r="E213" i="1"/>
  <c r="K213" i="1"/>
  <c r="M213" i="1" s="1"/>
  <c r="O213" i="1" s="1"/>
  <c r="C208" i="1"/>
  <c r="E208" i="1"/>
  <c r="K208" i="1"/>
  <c r="M208" i="1" s="1"/>
  <c r="O208" i="1" s="1"/>
  <c r="E139" i="1"/>
  <c r="D73" i="4"/>
  <c r="D65" i="4"/>
  <c r="D59" i="4"/>
  <c r="D51" i="4"/>
  <c r="D47" i="4"/>
  <c r="D42" i="4"/>
  <c r="D30" i="4"/>
  <c r="C271" i="1"/>
  <c r="E271" i="1"/>
  <c r="K271" i="1"/>
  <c r="M271" i="1" s="1"/>
  <c r="O271" i="1" s="1"/>
  <c r="AA270" i="1" l="1"/>
  <c r="AD270" i="1"/>
  <c r="AG270" i="1"/>
  <c r="P270" i="1"/>
  <c r="U270" i="1"/>
  <c r="X270" i="1"/>
  <c r="AA8" i="1"/>
  <c r="AD8" i="1"/>
  <c r="AG8" i="1"/>
  <c r="P8" i="1"/>
  <c r="U8" i="1"/>
  <c r="X8" i="1"/>
  <c r="AD213" i="1"/>
  <c r="AG213" i="1"/>
  <c r="AA213" i="1"/>
  <c r="P213" i="1"/>
  <c r="U213" i="1"/>
  <c r="X213" i="1"/>
  <c r="AA208" i="1"/>
  <c r="AD208" i="1"/>
  <c r="AG208" i="1"/>
  <c r="P208" i="1"/>
  <c r="U208" i="1"/>
  <c r="V25" i="3" s="1"/>
  <c r="X208" i="1"/>
  <c r="W25" i="3" s="1"/>
  <c r="D6" i="4"/>
  <c r="AA271" i="1"/>
  <c r="AG271" i="1"/>
  <c r="P271" i="1"/>
  <c r="X271" i="1"/>
  <c r="AD271" i="1"/>
  <c r="U271" i="1"/>
  <c r="X42" i="3" l="1"/>
  <c r="W42" i="3"/>
  <c r="AH270" i="1"/>
  <c r="AH8" i="1"/>
  <c r="AH213" i="1"/>
  <c r="AH208" i="1"/>
  <c r="AH271" i="1"/>
  <c r="C7" i="1" l="1"/>
  <c r="E7" i="1"/>
  <c r="K7" i="1"/>
  <c r="M7" i="1" s="1"/>
  <c r="O7" i="1" s="1"/>
  <c r="P7" i="1" l="1"/>
  <c r="AA7" i="1"/>
  <c r="AD7" i="1"/>
  <c r="U7" i="1"/>
  <c r="X7" i="1"/>
  <c r="AG7" i="1"/>
  <c r="AH7" i="1" l="1"/>
  <c r="K132" i="1" l="1"/>
  <c r="M132" i="1" s="1"/>
  <c r="O132" i="1" s="1"/>
  <c r="E132" i="1"/>
  <c r="C132" i="1"/>
  <c r="M365" i="1"/>
  <c r="AA132" i="1" l="1"/>
  <c r="AG132" i="1"/>
  <c r="AD132" i="1"/>
  <c r="U132" i="1"/>
  <c r="P132" i="1"/>
  <c r="X132" i="1"/>
  <c r="K209" i="1"/>
  <c r="AH132" i="1" l="1"/>
  <c r="C161" i="1"/>
  <c r="E161" i="1"/>
  <c r="K161" i="1"/>
  <c r="M161" i="1" s="1"/>
  <c r="O161" i="1" s="1"/>
  <c r="P161" i="1" s="1"/>
  <c r="C158" i="1"/>
  <c r="C160" i="1"/>
  <c r="E158" i="1"/>
  <c r="E160" i="1"/>
  <c r="K158" i="1"/>
  <c r="M158" i="1" s="1"/>
  <c r="O158" i="1" s="1"/>
  <c r="K160" i="1"/>
  <c r="M160" i="1" s="1"/>
  <c r="O160" i="1" s="1"/>
  <c r="C194" i="1"/>
  <c r="E194" i="1"/>
  <c r="K194" i="1"/>
  <c r="M194" i="1" s="1"/>
  <c r="O194" i="1" s="1"/>
  <c r="C275" i="1"/>
  <c r="E275" i="1"/>
  <c r="K275" i="1"/>
  <c r="M275" i="1" s="1"/>
  <c r="O275" i="1" s="1"/>
  <c r="K107" i="1"/>
  <c r="M107" i="1" s="1"/>
  <c r="O107" i="1" s="1"/>
  <c r="E107" i="1"/>
  <c r="C107" i="1"/>
  <c r="K249" i="1"/>
  <c r="M249" i="1" s="1"/>
  <c r="O249" i="1" s="1"/>
  <c r="E249" i="1"/>
  <c r="C249" i="1"/>
  <c r="C142" i="1"/>
  <c r="E142" i="1"/>
  <c r="K142" i="1"/>
  <c r="M142" i="1" s="1"/>
  <c r="O142" i="1" s="1"/>
  <c r="AA161" i="1" l="1"/>
  <c r="X161" i="1"/>
  <c r="AG161" i="1"/>
  <c r="AD161" i="1"/>
  <c r="U161" i="1"/>
  <c r="X160" i="1"/>
  <c r="AA160" i="1"/>
  <c r="P160" i="1"/>
  <c r="AD160" i="1"/>
  <c r="U160" i="1"/>
  <c r="AG160" i="1"/>
  <c r="AA158" i="1"/>
  <c r="P158" i="1"/>
  <c r="AD158" i="1"/>
  <c r="AG158" i="1"/>
  <c r="U158" i="1"/>
  <c r="X17" i="3" s="1"/>
  <c r="X158" i="1"/>
  <c r="AA17" i="3" s="1"/>
  <c r="AD194" i="1"/>
  <c r="AG194" i="1"/>
  <c r="AA194" i="1"/>
  <c r="P194" i="1"/>
  <c r="U194" i="1"/>
  <c r="X194" i="1"/>
  <c r="X275" i="1"/>
  <c r="AA41" i="3" s="1"/>
  <c r="U275" i="1"/>
  <c r="AG275" i="1"/>
  <c r="P275" i="1"/>
  <c r="AD275" i="1"/>
  <c r="AA275" i="1"/>
  <c r="AG107" i="1"/>
  <c r="AD107" i="1"/>
  <c r="AA107" i="1"/>
  <c r="X107" i="1"/>
  <c r="U107" i="1"/>
  <c r="P107" i="1"/>
  <c r="AG249" i="1"/>
  <c r="AD249" i="1"/>
  <c r="AA249" i="1"/>
  <c r="X249" i="1"/>
  <c r="U249" i="1"/>
  <c r="P249" i="1"/>
  <c r="AD142" i="1"/>
  <c r="AG142" i="1"/>
  <c r="X142" i="1"/>
  <c r="AA142" i="1"/>
  <c r="P142" i="1"/>
  <c r="U142" i="1"/>
  <c r="W17" i="3" l="1"/>
  <c r="V17" i="3"/>
  <c r="X41" i="3"/>
  <c r="Y41" i="3"/>
  <c r="AH161" i="1"/>
  <c r="AH160" i="1"/>
  <c r="AH158" i="1"/>
  <c r="AH194" i="1"/>
  <c r="AH275" i="1"/>
  <c r="AH107" i="1"/>
  <c r="AH249" i="1"/>
  <c r="AH142" i="1"/>
  <c r="C206" i="1" l="1"/>
  <c r="C5" i="1"/>
  <c r="C349" i="1"/>
  <c r="C350" i="1"/>
  <c r="C207" i="1"/>
  <c r="C196" i="1"/>
  <c r="C93" i="1"/>
  <c r="C94" i="1"/>
  <c r="C95" i="1"/>
  <c r="C96" i="1"/>
  <c r="C97" i="1"/>
  <c r="C98" i="1"/>
  <c r="C99" i="1"/>
  <c r="C100" i="1"/>
  <c r="C101" i="1"/>
  <c r="C102" i="1"/>
  <c r="C103" i="1"/>
  <c r="C104" i="1"/>
  <c r="C137" i="1"/>
  <c r="C105" i="1"/>
  <c r="C121" i="1"/>
  <c r="C92" i="1"/>
  <c r="C195" i="1"/>
  <c r="C6" i="1"/>
  <c r="C38" i="1"/>
  <c r="C64" i="1"/>
  <c r="C108" i="1"/>
  <c r="C109" i="1"/>
  <c r="C72" i="1"/>
  <c r="C73" i="1"/>
  <c r="C111" i="1"/>
  <c r="C112" i="1"/>
  <c r="C114" i="1"/>
  <c r="C115" i="1"/>
  <c r="C116" i="1"/>
  <c r="C80" i="1"/>
  <c r="E206" i="1"/>
  <c r="E5" i="1"/>
  <c r="E349" i="1"/>
  <c r="E350" i="1"/>
  <c r="E207" i="1"/>
  <c r="E196" i="1"/>
  <c r="E93" i="1"/>
  <c r="E94" i="1"/>
  <c r="E95" i="1"/>
  <c r="E96" i="1"/>
  <c r="E97" i="1"/>
  <c r="E98" i="1"/>
  <c r="E99" i="1"/>
  <c r="E100" i="1"/>
  <c r="E101" i="1"/>
  <c r="E102" i="1"/>
  <c r="E103" i="1"/>
  <c r="E104" i="1"/>
  <c r="E137" i="1"/>
  <c r="E105" i="1"/>
  <c r="E121" i="1"/>
  <c r="E92" i="1"/>
  <c r="E195" i="1"/>
  <c r="E6" i="1"/>
  <c r="E38" i="1"/>
  <c r="E64" i="1"/>
  <c r="E108" i="1"/>
  <c r="E109" i="1"/>
  <c r="E72" i="1"/>
  <c r="E73" i="1"/>
  <c r="E111" i="1"/>
  <c r="E112" i="1"/>
  <c r="E114" i="1"/>
  <c r="E115" i="1"/>
  <c r="E116" i="1"/>
  <c r="E80" i="1"/>
  <c r="K206" i="1"/>
  <c r="M206" i="1" s="1"/>
  <c r="O206" i="1" s="1"/>
  <c r="K5" i="1"/>
  <c r="M5" i="1" s="1"/>
  <c r="K349" i="1"/>
  <c r="M349" i="1" s="1"/>
  <c r="O349" i="1" s="1"/>
  <c r="K350" i="1"/>
  <c r="M350" i="1" s="1"/>
  <c r="O350" i="1" s="1"/>
  <c r="P350" i="1" s="1"/>
  <c r="K207" i="1"/>
  <c r="M207" i="1" s="1"/>
  <c r="O207" i="1" s="1"/>
  <c r="K196" i="1"/>
  <c r="M196" i="1" s="1"/>
  <c r="O196" i="1" s="1"/>
  <c r="AA196" i="1" s="1"/>
  <c r="K93" i="1"/>
  <c r="M93" i="1" s="1"/>
  <c r="O93" i="1" s="1"/>
  <c r="K94" i="1"/>
  <c r="M94" i="1" s="1"/>
  <c r="O94" i="1" s="1"/>
  <c r="K95" i="1"/>
  <c r="M95" i="1" s="1"/>
  <c r="O95" i="1" s="1"/>
  <c r="U95" i="1" s="1"/>
  <c r="K96" i="1"/>
  <c r="M96" i="1" s="1"/>
  <c r="O96" i="1" s="1"/>
  <c r="K97" i="1"/>
  <c r="M97" i="1" s="1"/>
  <c r="O97" i="1" s="1"/>
  <c r="X97" i="1" s="1"/>
  <c r="K98" i="1"/>
  <c r="M98" i="1" s="1"/>
  <c r="O98" i="1" s="1"/>
  <c r="P98" i="1" s="1"/>
  <c r="K99" i="1"/>
  <c r="M99" i="1" s="1"/>
  <c r="O99" i="1" s="1"/>
  <c r="U99" i="1" s="1"/>
  <c r="K100" i="1"/>
  <c r="M100" i="1" s="1"/>
  <c r="O100" i="1" s="1"/>
  <c r="X100" i="1" s="1"/>
  <c r="K101" i="1"/>
  <c r="M101" i="1" s="1"/>
  <c r="O101" i="1" s="1"/>
  <c r="AA101" i="1" s="1"/>
  <c r="K102" i="1"/>
  <c r="M102" i="1" s="1"/>
  <c r="O102" i="1" s="1"/>
  <c r="K103" i="1"/>
  <c r="M103" i="1" s="1"/>
  <c r="O103" i="1" s="1"/>
  <c r="P103" i="1" s="1"/>
  <c r="K104" i="1"/>
  <c r="M104" i="1" s="1"/>
  <c r="O104" i="1" s="1"/>
  <c r="K137" i="1"/>
  <c r="M137" i="1" s="1"/>
  <c r="O137" i="1" s="1"/>
  <c r="AG137" i="1" s="1"/>
  <c r="K105" i="1"/>
  <c r="M105" i="1" s="1"/>
  <c r="O105" i="1" s="1"/>
  <c r="K121" i="1"/>
  <c r="M121" i="1" s="1"/>
  <c r="O121" i="1" s="1"/>
  <c r="K92" i="1"/>
  <c r="M92" i="1" s="1"/>
  <c r="O92" i="1" s="1"/>
  <c r="AG92" i="1" s="1"/>
  <c r="K195" i="1"/>
  <c r="M195" i="1" s="1"/>
  <c r="O195" i="1" s="1"/>
  <c r="AA195" i="1" s="1"/>
  <c r="K6" i="1"/>
  <c r="M6" i="1" s="1"/>
  <c r="O6" i="1" s="1"/>
  <c r="K38" i="1"/>
  <c r="M38" i="1" s="1"/>
  <c r="O38" i="1" s="1"/>
  <c r="P38" i="1" s="1"/>
  <c r="K64" i="1"/>
  <c r="M64" i="1" s="1"/>
  <c r="O64" i="1" s="1"/>
  <c r="K108" i="1"/>
  <c r="M108" i="1" s="1"/>
  <c r="O108" i="1" s="1"/>
  <c r="K109" i="1"/>
  <c r="M109" i="1" s="1"/>
  <c r="O109" i="1" s="1"/>
  <c r="U109" i="1" s="1"/>
  <c r="K72" i="1"/>
  <c r="M72" i="1" s="1"/>
  <c r="O72" i="1" s="1"/>
  <c r="K73" i="1"/>
  <c r="M73" i="1" s="1"/>
  <c r="O73" i="1" s="1"/>
  <c r="X73" i="1" s="1"/>
  <c r="K111" i="1"/>
  <c r="M111" i="1" s="1"/>
  <c r="O111" i="1" s="1"/>
  <c r="AD111" i="1" s="1"/>
  <c r="K112" i="1"/>
  <c r="M112" i="1" s="1"/>
  <c r="O112" i="1" s="1"/>
  <c r="U112" i="1" s="1"/>
  <c r="K114" i="1"/>
  <c r="M114" i="1" s="1"/>
  <c r="O114" i="1" s="1"/>
  <c r="K115" i="1"/>
  <c r="M115" i="1" s="1"/>
  <c r="O115" i="1" s="1"/>
  <c r="K116" i="1"/>
  <c r="M116" i="1" s="1"/>
  <c r="O116" i="1" s="1"/>
  <c r="AA116" i="1" s="1"/>
  <c r="K80" i="1"/>
  <c r="M80" i="1" s="1"/>
  <c r="O80" i="1" s="1"/>
  <c r="C61" i="1"/>
  <c r="C85" i="1"/>
  <c r="C62" i="1"/>
  <c r="C63" i="1"/>
  <c r="C191" i="1"/>
  <c r="C81" i="1"/>
  <c r="C106" i="1"/>
  <c r="C192" i="1"/>
  <c r="C86" i="1"/>
  <c r="C87" i="1"/>
  <c r="C88" i="1"/>
  <c r="C74" i="1"/>
  <c r="C57" i="1"/>
  <c r="C58" i="1"/>
  <c r="C89" i="1"/>
  <c r="C56" i="1"/>
  <c r="E61" i="1"/>
  <c r="E85" i="1"/>
  <c r="E62" i="1"/>
  <c r="E63" i="1"/>
  <c r="E191" i="1"/>
  <c r="E81" i="1"/>
  <c r="E106" i="1"/>
  <c r="E192" i="1"/>
  <c r="E86" i="1"/>
  <c r="E87" i="1"/>
  <c r="E88" i="1"/>
  <c r="E74" i="1"/>
  <c r="E57" i="1"/>
  <c r="E58" i="1"/>
  <c r="E89" i="1"/>
  <c r="E56" i="1"/>
  <c r="K61" i="1"/>
  <c r="M61" i="1" s="1"/>
  <c r="O61" i="1" s="1"/>
  <c r="K85" i="1"/>
  <c r="M85" i="1" s="1"/>
  <c r="O85" i="1" s="1"/>
  <c r="K62" i="1"/>
  <c r="M62" i="1" s="1"/>
  <c r="O62" i="1" s="1"/>
  <c r="U62" i="1" s="1"/>
  <c r="K63" i="1"/>
  <c r="M63" i="1" s="1"/>
  <c r="O63" i="1" s="1"/>
  <c r="AG63" i="1" s="1"/>
  <c r="K191" i="1"/>
  <c r="M191" i="1" s="1"/>
  <c r="O191" i="1" s="1"/>
  <c r="K81" i="1"/>
  <c r="M81" i="1" s="1"/>
  <c r="O81" i="1" s="1"/>
  <c r="X81" i="1" s="1"/>
  <c r="K106" i="1"/>
  <c r="M106" i="1" s="1"/>
  <c r="O106" i="1" s="1"/>
  <c r="K192" i="1"/>
  <c r="M192" i="1" s="1"/>
  <c r="O192" i="1" s="1"/>
  <c r="K86" i="1"/>
  <c r="M86" i="1" s="1"/>
  <c r="O86" i="1" s="1"/>
  <c r="AA86" i="1" s="1"/>
  <c r="K87" i="1"/>
  <c r="M87" i="1" s="1"/>
  <c r="O87" i="1" s="1"/>
  <c r="K88" i="1"/>
  <c r="M88" i="1" s="1"/>
  <c r="O88" i="1" s="1"/>
  <c r="K74" i="1"/>
  <c r="M74" i="1" s="1"/>
  <c r="O74" i="1" s="1"/>
  <c r="K57" i="1"/>
  <c r="M57" i="1" s="1"/>
  <c r="O57" i="1" s="1"/>
  <c r="K58" i="1"/>
  <c r="M58" i="1" s="1"/>
  <c r="O58" i="1" s="1"/>
  <c r="K89" i="1"/>
  <c r="M89" i="1" s="1"/>
  <c r="O89" i="1" s="1"/>
  <c r="K56" i="1"/>
  <c r="M56" i="1" s="1"/>
  <c r="O56" i="1" s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67" i="1"/>
  <c r="C173" i="1"/>
  <c r="C174" i="1"/>
  <c r="C175" i="1"/>
  <c r="C176" i="1"/>
  <c r="C177" i="1"/>
  <c r="C178" i="1"/>
  <c r="C179" i="1"/>
  <c r="C151" i="1"/>
  <c r="C68" i="1"/>
  <c r="C130" i="1"/>
  <c r="C69" i="1"/>
  <c r="C70" i="1"/>
  <c r="C199" i="1"/>
  <c r="C200" i="1"/>
  <c r="C201" i="1"/>
  <c r="C54" i="1"/>
  <c r="C202" i="1"/>
  <c r="C203" i="1"/>
  <c r="C204" i="1"/>
  <c r="C152" i="1"/>
  <c r="C153" i="1"/>
  <c r="C78" i="1"/>
  <c r="C79" i="1"/>
  <c r="C147" i="1"/>
  <c r="C82" i="1"/>
  <c r="C83" i="1"/>
  <c r="C84" i="1"/>
  <c r="C148" i="1"/>
  <c r="C149" i="1"/>
  <c r="C150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67" i="1"/>
  <c r="E173" i="1"/>
  <c r="E174" i="1"/>
  <c r="E175" i="1"/>
  <c r="E176" i="1"/>
  <c r="E177" i="1"/>
  <c r="E178" i="1"/>
  <c r="E179" i="1"/>
  <c r="E151" i="1"/>
  <c r="E68" i="1"/>
  <c r="E130" i="1"/>
  <c r="E69" i="1"/>
  <c r="E70" i="1"/>
  <c r="E199" i="1"/>
  <c r="E200" i="1"/>
  <c r="E201" i="1"/>
  <c r="E54" i="1"/>
  <c r="E202" i="1"/>
  <c r="E203" i="1"/>
  <c r="E204" i="1"/>
  <c r="E152" i="1"/>
  <c r="E153" i="1"/>
  <c r="E78" i="1"/>
  <c r="E79" i="1"/>
  <c r="E147" i="1"/>
  <c r="E82" i="1"/>
  <c r="E83" i="1"/>
  <c r="E84" i="1"/>
  <c r="E148" i="1"/>
  <c r="E149" i="1"/>
  <c r="E150" i="1"/>
  <c r="K25" i="1"/>
  <c r="M25" i="1" s="1"/>
  <c r="O25" i="1" s="1"/>
  <c r="K26" i="1"/>
  <c r="M26" i="1" s="1"/>
  <c r="O26" i="1" s="1"/>
  <c r="K27" i="1"/>
  <c r="M27" i="1" s="1"/>
  <c r="O27" i="1" s="1"/>
  <c r="AG27" i="1" s="1"/>
  <c r="K28" i="1"/>
  <c r="M28" i="1" s="1"/>
  <c r="O28" i="1" s="1"/>
  <c r="K29" i="1"/>
  <c r="M29" i="1" s="1"/>
  <c r="O29" i="1" s="1"/>
  <c r="AA29" i="1" s="1"/>
  <c r="K30" i="1"/>
  <c r="M30" i="1" s="1"/>
  <c r="O30" i="1" s="1"/>
  <c r="K31" i="1"/>
  <c r="M31" i="1" s="1"/>
  <c r="O31" i="1" s="1"/>
  <c r="K32" i="1"/>
  <c r="M32" i="1" s="1"/>
  <c r="O32" i="1" s="1"/>
  <c r="K33" i="1"/>
  <c r="M33" i="1" s="1"/>
  <c r="O33" i="1" s="1"/>
  <c r="K34" i="1"/>
  <c r="M34" i="1" s="1"/>
  <c r="O34" i="1" s="1"/>
  <c r="K35" i="1"/>
  <c r="M35" i="1" s="1"/>
  <c r="O35" i="1" s="1"/>
  <c r="AG35" i="1" s="1"/>
  <c r="K36" i="1"/>
  <c r="M36" i="1" s="1"/>
  <c r="O36" i="1" s="1"/>
  <c r="K37" i="1"/>
  <c r="M37" i="1" s="1"/>
  <c r="O37" i="1" s="1"/>
  <c r="K67" i="1"/>
  <c r="M67" i="1" s="1"/>
  <c r="O67" i="1" s="1"/>
  <c r="AD67" i="1" s="1"/>
  <c r="K173" i="1"/>
  <c r="M173" i="1" s="1"/>
  <c r="O173" i="1" s="1"/>
  <c r="K174" i="1"/>
  <c r="M174" i="1" s="1"/>
  <c r="O174" i="1" s="1"/>
  <c r="K175" i="1"/>
  <c r="M175" i="1" s="1"/>
  <c r="O175" i="1" s="1"/>
  <c r="AG175" i="1" s="1"/>
  <c r="K176" i="1"/>
  <c r="M176" i="1" s="1"/>
  <c r="O176" i="1" s="1"/>
  <c r="AG176" i="1" s="1"/>
  <c r="K177" i="1"/>
  <c r="M177" i="1" s="1"/>
  <c r="O177" i="1" s="1"/>
  <c r="K178" i="1"/>
  <c r="M178" i="1" s="1"/>
  <c r="O178" i="1" s="1"/>
  <c r="K179" i="1"/>
  <c r="M179" i="1" s="1"/>
  <c r="O179" i="1" s="1"/>
  <c r="K151" i="1"/>
  <c r="M151" i="1" s="1"/>
  <c r="O151" i="1" s="1"/>
  <c r="K68" i="1"/>
  <c r="M68" i="1" s="1"/>
  <c r="O68" i="1" s="1"/>
  <c r="K130" i="1"/>
  <c r="M130" i="1" s="1"/>
  <c r="O130" i="1" s="1"/>
  <c r="AG130" i="1" s="1"/>
  <c r="K69" i="1"/>
  <c r="M69" i="1" s="1"/>
  <c r="O69" i="1" s="1"/>
  <c r="AD69" i="1" s="1"/>
  <c r="K70" i="1"/>
  <c r="M70" i="1" s="1"/>
  <c r="O70" i="1" s="1"/>
  <c r="K199" i="1"/>
  <c r="M199" i="1" s="1"/>
  <c r="O199" i="1" s="1"/>
  <c r="AD199" i="1" s="1"/>
  <c r="K200" i="1"/>
  <c r="M200" i="1" s="1"/>
  <c r="O200" i="1" s="1"/>
  <c r="K201" i="1"/>
  <c r="M201" i="1" s="1"/>
  <c r="O201" i="1" s="1"/>
  <c r="K54" i="1"/>
  <c r="M54" i="1" s="1"/>
  <c r="O54" i="1" s="1"/>
  <c r="K202" i="1"/>
  <c r="M202" i="1" s="1"/>
  <c r="O202" i="1" s="1"/>
  <c r="K203" i="1"/>
  <c r="M203" i="1" s="1"/>
  <c r="O203" i="1" s="1"/>
  <c r="AG203" i="1" s="1"/>
  <c r="K204" i="1"/>
  <c r="M204" i="1" s="1"/>
  <c r="O204" i="1" s="1"/>
  <c r="AG204" i="1" s="1"/>
  <c r="K152" i="1"/>
  <c r="M152" i="1" s="1"/>
  <c r="O152" i="1" s="1"/>
  <c r="K153" i="1"/>
  <c r="M153" i="1" s="1"/>
  <c r="O153" i="1" s="1"/>
  <c r="U153" i="1" s="1"/>
  <c r="K78" i="1"/>
  <c r="M78" i="1" s="1"/>
  <c r="O78" i="1" s="1"/>
  <c r="K79" i="1"/>
  <c r="M79" i="1" s="1"/>
  <c r="O79" i="1" s="1"/>
  <c r="K147" i="1"/>
  <c r="M147" i="1" s="1"/>
  <c r="O147" i="1" s="1"/>
  <c r="K82" i="1"/>
  <c r="M82" i="1" s="1"/>
  <c r="O82" i="1" s="1"/>
  <c r="K83" i="1"/>
  <c r="M83" i="1" s="1"/>
  <c r="O83" i="1" s="1"/>
  <c r="K84" i="1"/>
  <c r="M84" i="1" s="1"/>
  <c r="O84" i="1" s="1"/>
  <c r="K148" i="1"/>
  <c r="M148" i="1" s="1"/>
  <c r="O148" i="1" s="1"/>
  <c r="AG148" i="1" s="1"/>
  <c r="K149" i="1"/>
  <c r="M149" i="1" s="1"/>
  <c r="O149" i="1" s="1"/>
  <c r="AD149" i="1" s="1"/>
  <c r="K150" i="1"/>
  <c r="M150" i="1" s="1"/>
  <c r="O150" i="1" s="1"/>
  <c r="K256" i="1"/>
  <c r="M256" i="1" s="1"/>
  <c r="O256" i="1" s="1"/>
  <c r="K257" i="1"/>
  <c r="M257" i="1" s="1"/>
  <c r="O257" i="1" s="1"/>
  <c r="K59" i="1"/>
  <c r="M59" i="1" s="1"/>
  <c r="O59" i="1" s="1"/>
  <c r="K60" i="1"/>
  <c r="M60" i="1" s="1"/>
  <c r="O60" i="1" s="1"/>
  <c r="K171" i="1"/>
  <c r="M171" i="1" s="1"/>
  <c r="O171" i="1" s="1"/>
  <c r="K169" i="1"/>
  <c r="M169" i="1" s="1"/>
  <c r="O169" i="1" s="1"/>
  <c r="K170" i="1"/>
  <c r="M170" i="1" s="1"/>
  <c r="O170" i="1" s="1"/>
  <c r="K180" i="1"/>
  <c r="M180" i="1" s="1"/>
  <c r="O180" i="1" s="1"/>
  <c r="U180" i="1" s="1"/>
  <c r="K172" i="1"/>
  <c r="M172" i="1" s="1"/>
  <c r="O172" i="1" s="1"/>
  <c r="K75" i="1"/>
  <c r="M75" i="1" s="1"/>
  <c r="O75" i="1" s="1"/>
  <c r="K120" i="1"/>
  <c r="M120" i="1" s="1"/>
  <c r="O120" i="1" s="1"/>
  <c r="K18" i="1"/>
  <c r="M18" i="1" s="1"/>
  <c r="O18" i="1" s="1"/>
  <c r="X18" i="1" s="1"/>
  <c r="K19" i="1"/>
  <c r="M19" i="1" s="1"/>
  <c r="O19" i="1" s="1"/>
  <c r="K20" i="1"/>
  <c r="M20" i="1" s="1"/>
  <c r="O20" i="1" s="1"/>
  <c r="K21" i="1"/>
  <c r="M21" i="1" s="1"/>
  <c r="O21" i="1" s="1"/>
  <c r="K22" i="1"/>
  <c r="M22" i="1" s="1"/>
  <c r="O22" i="1" s="1"/>
  <c r="K23" i="1"/>
  <c r="M23" i="1" s="1"/>
  <c r="O23" i="1" s="1"/>
  <c r="K24" i="1"/>
  <c r="M24" i="1" s="1"/>
  <c r="O24" i="1" s="1"/>
  <c r="C39" i="1"/>
  <c r="C232" i="1"/>
  <c r="C129" i="1"/>
  <c r="C135" i="1"/>
  <c r="C136" i="1"/>
  <c r="C256" i="1"/>
  <c r="C257" i="1"/>
  <c r="C59" i="1"/>
  <c r="C60" i="1"/>
  <c r="C171" i="1"/>
  <c r="C169" i="1"/>
  <c r="C170" i="1"/>
  <c r="C180" i="1"/>
  <c r="C172" i="1"/>
  <c r="C75" i="1"/>
  <c r="C120" i="1"/>
  <c r="C18" i="1"/>
  <c r="C19" i="1"/>
  <c r="C20" i="1"/>
  <c r="C21" i="1"/>
  <c r="C22" i="1"/>
  <c r="C23" i="1"/>
  <c r="C24" i="1"/>
  <c r="E39" i="1"/>
  <c r="E232" i="1"/>
  <c r="E129" i="1"/>
  <c r="E135" i="1"/>
  <c r="E136" i="1"/>
  <c r="E256" i="1"/>
  <c r="E257" i="1"/>
  <c r="E59" i="1"/>
  <c r="E60" i="1"/>
  <c r="E171" i="1"/>
  <c r="E169" i="1"/>
  <c r="E170" i="1"/>
  <c r="E180" i="1"/>
  <c r="E172" i="1"/>
  <c r="E75" i="1"/>
  <c r="E120" i="1"/>
  <c r="E18" i="1"/>
  <c r="E19" i="1"/>
  <c r="E20" i="1"/>
  <c r="E21" i="1"/>
  <c r="E22" i="1"/>
  <c r="E23" i="1"/>
  <c r="E24" i="1"/>
  <c r="K39" i="1"/>
  <c r="M39" i="1" s="1"/>
  <c r="O39" i="1" s="1"/>
  <c r="K232" i="1"/>
  <c r="M232" i="1" s="1"/>
  <c r="O232" i="1" s="1"/>
  <c r="K129" i="1"/>
  <c r="M129" i="1" s="1"/>
  <c r="O129" i="1" s="1"/>
  <c r="K135" i="1"/>
  <c r="M135" i="1" s="1"/>
  <c r="O135" i="1" s="1"/>
  <c r="K136" i="1"/>
  <c r="M136" i="1" s="1"/>
  <c r="O136" i="1" s="1"/>
  <c r="C255" i="1"/>
  <c r="E255" i="1"/>
  <c r="K255" i="1"/>
  <c r="M255" i="1" s="1"/>
  <c r="O255" i="1" s="1"/>
  <c r="C253" i="1"/>
  <c r="C254" i="1"/>
  <c r="E253" i="1"/>
  <c r="E254" i="1"/>
  <c r="K253" i="1"/>
  <c r="M253" i="1" s="1"/>
  <c r="O253" i="1" s="1"/>
  <c r="K254" i="1"/>
  <c r="M254" i="1" s="1"/>
  <c r="O254" i="1" s="1"/>
  <c r="C233" i="1"/>
  <c r="C12" i="1"/>
  <c r="C13" i="1"/>
  <c r="C16" i="1"/>
  <c r="C17" i="1"/>
  <c r="C134" i="1"/>
  <c r="C40" i="1"/>
  <c r="C241" i="1"/>
  <c r="C41" i="1"/>
  <c r="C333" i="1"/>
  <c r="C334" i="1"/>
  <c r="C335" i="1"/>
  <c r="C336" i="1"/>
  <c r="C337" i="1"/>
  <c r="C338" i="1"/>
  <c r="C43" i="1"/>
  <c r="C44" i="1"/>
  <c r="C45" i="1"/>
  <c r="C46" i="1"/>
  <c r="C47" i="1"/>
  <c r="C48" i="1"/>
  <c r="C49" i="1"/>
  <c r="C50" i="1"/>
  <c r="C51" i="1"/>
  <c r="C323" i="1"/>
  <c r="C324" i="1"/>
  <c r="C325" i="1"/>
  <c r="C326" i="1"/>
  <c r="C331" i="1"/>
  <c r="C14" i="1"/>
  <c r="C42" i="1"/>
  <c r="C15" i="1"/>
  <c r="C251" i="1"/>
  <c r="C252" i="1"/>
  <c r="E233" i="1"/>
  <c r="E12" i="1"/>
  <c r="E13" i="1"/>
  <c r="E16" i="1"/>
  <c r="E17" i="1"/>
  <c r="E134" i="1"/>
  <c r="E40" i="1"/>
  <c r="E241" i="1"/>
  <c r="E41" i="1"/>
  <c r="E333" i="1"/>
  <c r="E334" i="1"/>
  <c r="E335" i="1"/>
  <c r="E336" i="1"/>
  <c r="E337" i="1"/>
  <c r="E338" i="1"/>
  <c r="E43" i="1"/>
  <c r="E44" i="1"/>
  <c r="E45" i="1"/>
  <c r="E46" i="1"/>
  <c r="E47" i="1"/>
  <c r="E48" i="1"/>
  <c r="E49" i="1"/>
  <c r="E50" i="1"/>
  <c r="E51" i="1"/>
  <c r="E323" i="1"/>
  <c r="E324" i="1"/>
  <c r="E325" i="1"/>
  <c r="E326" i="1"/>
  <c r="E331" i="1"/>
  <c r="E14" i="1"/>
  <c r="E42" i="1"/>
  <c r="E15" i="1"/>
  <c r="E251" i="1"/>
  <c r="E252" i="1"/>
  <c r="K233" i="1"/>
  <c r="M233" i="1" s="1"/>
  <c r="O233" i="1" s="1"/>
  <c r="K12" i="1"/>
  <c r="M12" i="1" s="1"/>
  <c r="O12" i="1" s="1"/>
  <c r="K13" i="1"/>
  <c r="M13" i="1" s="1"/>
  <c r="O13" i="1" s="1"/>
  <c r="K16" i="1"/>
  <c r="M16" i="1" s="1"/>
  <c r="O16" i="1" s="1"/>
  <c r="K17" i="1"/>
  <c r="M17" i="1" s="1"/>
  <c r="O17" i="1" s="1"/>
  <c r="K134" i="1"/>
  <c r="M134" i="1" s="1"/>
  <c r="O134" i="1" s="1"/>
  <c r="K40" i="1"/>
  <c r="M40" i="1" s="1"/>
  <c r="O40" i="1" s="1"/>
  <c r="K241" i="1"/>
  <c r="M241" i="1" s="1"/>
  <c r="O241" i="1" s="1"/>
  <c r="K41" i="1"/>
  <c r="M41" i="1" s="1"/>
  <c r="O41" i="1" s="1"/>
  <c r="K333" i="1"/>
  <c r="M333" i="1" s="1"/>
  <c r="O333" i="1" s="1"/>
  <c r="K334" i="1"/>
  <c r="M334" i="1" s="1"/>
  <c r="O334" i="1" s="1"/>
  <c r="K335" i="1"/>
  <c r="M335" i="1" s="1"/>
  <c r="O335" i="1" s="1"/>
  <c r="K336" i="1"/>
  <c r="M336" i="1" s="1"/>
  <c r="O336" i="1" s="1"/>
  <c r="K337" i="1"/>
  <c r="M337" i="1" s="1"/>
  <c r="O337" i="1" s="1"/>
  <c r="K338" i="1"/>
  <c r="M338" i="1" s="1"/>
  <c r="O338" i="1" s="1"/>
  <c r="K43" i="1"/>
  <c r="M43" i="1" s="1"/>
  <c r="O43" i="1" s="1"/>
  <c r="K44" i="1"/>
  <c r="M44" i="1" s="1"/>
  <c r="O44" i="1" s="1"/>
  <c r="K45" i="1"/>
  <c r="M45" i="1" s="1"/>
  <c r="O45" i="1" s="1"/>
  <c r="K46" i="1"/>
  <c r="M46" i="1" s="1"/>
  <c r="O46" i="1" s="1"/>
  <c r="K47" i="1"/>
  <c r="M47" i="1" s="1"/>
  <c r="O47" i="1" s="1"/>
  <c r="K48" i="1"/>
  <c r="M48" i="1" s="1"/>
  <c r="O48" i="1" s="1"/>
  <c r="K49" i="1"/>
  <c r="M49" i="1" s="1"/>
  <c r="O49" i="1" s="1"/>
  <c r="K50" i="1"/>
  <c r="M50" i="1" s="1"/>
  <c r="O50" i="1" s="1"/>
  <c r="K51" i="1"/>
  <c r="M51" i="1" s="1"/>
  <c r="O51" i="1" s="1"/>
  <c r="K323" i="1"/>
  <c r="M323" i="1" s="1"/>
  <c r="O323" i="1" s="1"/>
  <c r="K324" i="1"/>
  <c r="M324" i="1" s="1"/>
  <c r="O324" i="1" s="1"/>
  <c r="K325" i="1"/>
  <c r="M325" i="1" s="1"/>
  <c r="O325" i="1" s="1"/>
  <c r="K326" i="1"/>
  <c r="M326" i="1" s="1"/>
  <c r="O326" i="1" s="1"/>
  <c r="K331" i="1"/>
  <c r="M331" i="1" s="1"/>
  <c r="O331" i="1" s="1"/>
  <c r="K14" i="1"/>
  <c r="M14" i="1" s="1"/>
  <c r="O14" i="1" s="1"/>
  <c r="K42" i="1"/>
  <c r="M42" i="1" s="1"/>
  <c r="O42" i="1" s="1"/>
  <c r="K15" i="1"/>
  <c r="M15" i="1" s="1"/>
  <c r="O15" i="1" s="1"/>
  <c r="K251" i="1"/>
  <c r="M251" i="1" s="1"/>
  <c r="O251" i="1" s="1"/>
  <c r="K252" i="1"/>
  <c r="M252" i="1" s="1"/>
  <c r="O252" i="1" s="1"/>
  <c r="C190" i="1"/>
  <c r="C240" i="1"/>
  <c r="C242" i="1"/>
  <c r="C243" i="1"/>
  <c r="C244" i="1"/>
  <c r="C245" i="1"/>
  <c r="C246" i="1"/>
  <c r="C247" i="1"/>
  <c r="C248" i="1"/>
  <c r="C250" i="1"/>
  <c r="C9" i="1"/>
  <c r="C10" i="1"/>
  <c r="C11" i="1"/>
  <c r="E190" i="1"/>
  <c r="E240" i="1"/>
  <c r="E242" i="1"/>
  <c r="E243" i="1"/>
  <c r="E244" i="1"/>
  <c r="E245" i="1"/>
  <c r="E246" i="1"/>
  <c r="E247" i="1"/>
  <c r="E248" i="1"/>
  <c r="E250" i="1"/>
  <c r="E9" i="1"/>
  <c r="E10" i="1"/>
  <c r="E11" i="1"/>
  <c r="K190" i="1"/>
  <c r="M190" i="1" s="1"/>
  <c r="O190" i="1" s="1"/>
  <c r="K240" i="1"/>
  <c r="M240" i="1" s="1"/>
  <c r="O240" i="1" s="1"/>
  <c r="K242" i="1"/>
  <c r="M242" i="1" s="1"/>
  <c r="O242" i="1" s="1"/>
  <c r="P242" i="1" s="1"/>
  <c r="K243" i="1"/>
  <c r="M243" i="1" s="1"/>
  <c r="O243" i="1" s="1"/>
  <c r="K244" i="1"/>
  <c r="M244" i="1" s="1"/>
  <c r="O244" i="1" s="1"/>
  <c r="K245" i="1"/>
  <c r="M245" i="1" s="1"/>
  <c r="O245" i="1" s="1"/>
  <c r="K246" i="1"/>
  <c r="M246" i="1" s="1"/>
  <c r="O246" i="1" s="1"/>
  <c r="K247" i="1"/>
  <c r="M247" i="1" s="1"/>
  <c r="O247" i="1" s="1"/>
  <c r="K248" i="1"/>
  <c r="M248" i="1" s="1"/>
  <c r="O248" i="1" s="1"/>
  <c r="K250" i="1"/>
  <c r="M250" i="1" s="1"/>
  <c r="O250" i="1" s="1"/>
  <c r="K9" i="1"/>
  <c r="M9" i="1" s="1"/>
  <c r="O9" i="1" s="1"/>
  <c r="X9" i="1" s="1"/>
  <c r="K10" i="1"/>
  <c r="M10" i="1" s="1"/>
  <c r="O10" i="1" s="1"/>
  <c r="K11" i="1"/>
  <c r="M11" i="1" s="1"/>
  <c r="O11" i="1" s="1"/>
  <c r="U11" i="1" s="1"/>
  <c r="C124" i="1"/>
  <c r="C71" i="1"/>
  <c r="C163" i="1"/>
  <c r="C164" i="1"/>
  <c r="C167" i="1"/>
  <c r="C168" i="1"/>
  <c r="C125" i="1"/>
  <c r="C126" i="1"/>
  <c r="C117" i="1"/>
  <c r="C118" i="1"/>
  <c r="C119" i="1"/>
  <c r="C166" i="1"/>
  <c r="C165" i="1"/>
  <c r="C258" i="1"/>
  <c r="C259" i="1"/>
  <c r="C260" i="1"/>
  <c r="C261" i="1"/>
  <c r="C262" i="1"/>
  <c r="C263" i="1"/>
  <c r="C264" i="1"/>
  <c r="C265" i="1"/>
  <c r="C266" i="1"/>
  <c r="C215" i="1"/>
  <c r="C216" i="1"/>
  <c r="C217" i="1"/>
  <c r="C218" i="1"/>
  <c r="C219" i="1"/>
  <c r="C220" i="1"/>
  <c r="C221" i="1"/>
  <c r="C222" i="1"/>
  <c r="C223" i="1"/>
  <c r="C224" i="1"/>
  <c r="E124" i="1"/>
  <c r="E71" i="1"/>
  <c r="E163" i="1"/>
  <c r="E164" i="1"/>
  <c r="E167" i="1"/>
  <c r="E168" i="1"/>
  <c r="E125" i="1"/>
  <c r="E126" i="1"/>
  <c r="E117" i="1"/>
  <c r="E118" i="1"/>
  <c r="E119" i="1"/>
  <c r="E166" i="1"/>
  <c r="E165" i="1"/>
  <c r="E258" i="1"/>
  <c r="E259" i="1"/>
  <c r="E260" i="1"/>
  <c r="E261" i="1"/>
  <c r="E262" i="1"/>
  <c r="E263" i="1"/>
  <c r="E264" i="1"/>
  <c r="E265" i="1"/>
  <c r="E266" i="1"/>
  <c r="E215" i="1"/>
  <c r="E216" i="1"/>
  <c r="E217" i="1"/>
  <c r="E218" i="1"/>
  <c r="E219" i="1"/>
  <c r="E220" i="1"/>
  <c r="E221" i="1"/>
  <c r="E222" i="1"/>
  <c r="E223" i="1"/>
  <c r="E224" i="1"/>
  <c r="K124" i="1"/>
  <c r="M124" i="1" s="1"/>
  <c r="O124" i="1" s="1"/>
  <c r="K71" i="1"/>
  <c r="M71" i="1" s="1"/>
  <c r="O71" i="1" s="1"/>
  <c r="K163" i="1"/>
  <c r="M163" i="1" s="1"/>
  <c r="O163" i="1" s="1"/>
  <c r="AG163" i="1" s="1"/>
  <c r="K164" i="1"/>
  <c r="M164" i="1" s="1"/>
  <c r="O164" i="1" s="1"/>
  <c r="K167" i="1"/>
  <c r="M167" i="1" s="1"/>
  <c r="O167" i="1" s="1"/>
  <c r="K168" i="1"/>
  <c r="M168" i="1" s="1"/>
  <c r="O168" i="1" s="1"/>
  <c r="K125" i="1"/>
  <c r="M125" i="1" s="1"/>
  <c r="O125" i="1" s="1"/>
  <c r="K126" i="1"/>
  <c r="M126" i="1" s="1"/>
  <c r="O126" i="1" s="1"/>
  <c r="K117" i="1"/>
  <c r="M117" i="1" s="1"/>
  <c r="O117" i="1" s="1"/>
  <c r="K118" i="1"/>
  <c r="M118" i="1" s="1"/>
  <c r="O118" i="1" s="1"/>
  <c r="K119" i="1"/>
  <c r="M119" i="1" s="1"/>
  <c r="O119" i="1" s="1"/>
  <c r="K166" i="1"/>
  <c r="M166" i="1" s="1"/>
  <c r="O166" i="1" s="1"/>
  <c r="K165" i="1"/>
  <c r="M165" i="1" s="1"/>
  <c r="O165" i="1" s="1"/>
  <c r="K258" i="1"/>
  <c r="M258" i="1" s="1"/>
  <c r="O258" i="1" s="1"/>
  <c r="AG258" i="1" s="1"/>
  <c r="K259" i="1"/>
  <c r="M259" i="1" s="1"/>
  <c r="O259" i="1" s="1"/>
  <c r="P259" i="1" s="1"/>
  <c r="K260" i="1"/>
  <c r="M260" i="1" s="1"/>
  <c r="O260" i="1" s="1"/>
  <c r="K261" i="1"/>
  <c r="M261" i="1" s="1"/>
  <c r="O261" i="1" s="1"/>
  <c r="K262" i="1"/>
  <c r="M262" i="1" s="1"/>
  <c r="O262" i="1" s="1"/>
  <c r="K263" i="1"/>
  <c r="M263" i="1" s="1"/>
  <c r="O263" i="1" s="1"/>
  <c r="K264" i="1"/>
  <c r="M264" i="1" s="1"/>
  <c r="O264" i="1" s="1"/>
  <c r="K265" i="1"/>
  <c r="M265" i="1" s="1"/>
  <c r="O265" i="1" s="1"/>
  <c r="K266" i="1"/>
  <c r="M266" i="1" s="1"/>
  <c r="O266" i="1" s="1"/>
  <c r="K215" i="1"/>
  <c r="M215" i="1" s="1"/>
  <c r="O215" i="1" s="1"/>
  <c r="K216" i="1"/>
  <c r="M216" i="1" s="1"/>
  <c r="O216" i="1" s="1"/>
  <c r="K217" i="1"/>
  <c r="M217" i="1" s="1"/>
  <c r="O217" i="1" s="1"/>
  <c r="X217" i="1" s="1"/>
  <c r="K218" i="1"/>
  <c r="M218" i="1" s="1"/>
  <c r="O218" i="1" s="1"/>
  <c r="K219" i="1"/>
  <c r="M219" i="1" s="1"/>
  <c r="O219" i="1" s="1"/>
  <c r="K220" i="1"/>
  <c r="M220" i="1" s="1"/>
  <c r="O220" i="1" s="1"/>
  <c r="K221" i="1"/>
  <c r="M221" i="1" s="1"/>
  <c r="O221" i="1" s="1"/>
  <c r="AG221" i="1" s="1"/>
  <c r="K222" i="1"/>
  <c r="M222" i="1" s="1"/>
  <c r="O222" i="1" s="1"/>
  <c r="K223" i="1"/>
  <c r="M223" i="1" s="1"/>
  <c r="O223" i="1" s="1"/>
  <c r="K224" i="1"/>
  <c r="M224" i="1" s="1"/>
  <c r="O224" i="1" s="1"/>
  <c r="C209" i="1"/>
  <c r="C210" i="1"/>
  <c r="C211" i="1"/>
  <c r="C212" i="1"/>
  <c r="E209" i="1"/>
  <c r="E210" i="1"/>
  <c r="E211" i="1"/>
  <c r="E212" i="1"/>
  <c r="M209" i="1"/>
  <c r="O209" i="1" s="1"/>
  <c r="K210" i="1"/>
  <c r="M210" i="1" s="1"/>
  <c r="O210" i="1" s="1"/>
  <c r="K211" i="1"/>
  <c r="M211" i="1" s="1"/>
  <c r="O211" i="1" s="1"/>
  <c r="K212" i="1"/>
  <c r="M212" i="1" s="1"/>
  <c r="O212" i="1" s="1"/>
  <c r="C144" i="1"/>
  <c r="C268" i="1"/>
  <c r="C269" i="1"/>
  <c r="E144" i="1"/>
  <c r="E268" i="1"/>
  <c r="E269" i="1"/>
  <c r="K144" i="1"/>
  <c r="M144" i="1" s="1"/>
  <c r="O144" i="1" s="1"/>
  <c r="K268" i="1"/>
  <c r="M268" i="1" s="1"/>
  <c r="O268" i="1" s="1"/>
  <c r="K269" i="1"/>
  <c r="M269" i="1" s="1"/>
  <c r="O269" i="1" s="1"/>
  <c r="C267" i="1"/>
  <c r="C139" i="1"/>
  <c r="E267" i="1"/>
  <c r="K267" i="1"/>
  <c r="M267" i="1" s="1"/>
  <c r="O267" i="1" s="1"/>
  <c r="K139" i="1"/>
  <c r="M139" i="1" l="1"/>
  <c r="O139" i="1" s="1"/>
  <c r="O5" i="1"/>
  <c r="X5" i="1" s="1"/>
  <c r="P92" i="1"/>
  <c r="AA349" i="1"/>
  <c r="AG349" i="1"/>
  <c r="AD349" i="1"/>
  <c r="AG103" i="1"/>
  <c r="AG100" i="1"/>
  <c r="P64" i="1"/>
  <c r="X64" i="1"/>
  <c r="X349" i="1"/>
  <c r="P109" i="1"/>
  <c r="P349" i="1"/>
  <c r="U349" i="1"/>
  <c r="AG112" i="1"/>
  <c r="AD112" i="1"/>
  <c r="AD99" i="1"/>
  <c r="P95" i="1"/>
  <c r="AD121" i="1"/>
  <c r="AG121" i="1"/>
  <c r="U121" i="1"/>
  <c r="X121" i="1"/>
  <c r="AA121" i="1"/>
  <c r="P121" i="1"/>
  <c r="U38" i="1"/>
  <c r="U92" i="1"/>
  <c r="U100" i="1"/>
  <c r="AD137" i="1"/>
  <c r="P102" i="1"/>
  <c r="AG102" i="1"/>
  <c r="AA102" i="1"/>
  <c r="X102" i="1"/>
  <c r="AD102" i="1"/>
  <c r="U102" i="1"/>
  <c r="AG114" i="1"/>
  <c r="X114" i="1"/>
  <c r="U114" i="1"/>
  <c r="P6" i="1"/>
  <c r="X6" i="1"/>
  <c r="AA6" i="1"/>
  <c r="AG6" i="1"/>
  <c r="U6" i="1"/>
  <c r="AD6" i="1"/>
  <c r="X94" i="1"/>
  <c r="AD94" i="1"/>
  <c r="U94" i="1"/>
  <c r="AG94" i="1"/>
  <c r="P94" i="1"/>
  <c r="AA94" i="1"/>
  <c r="AG109" i="1"/>
  <c r="AG99" i="1"/>
  <c r="X137" i="1"/>
  <c r="AG95" i="1"/>
  <c r="P196" i="1"/>
  <c r="AG38" i="1"/>
  <c r="U350" i="1"/>
  <c r="U103" i="1"/>
  <c r="P73" i="1"/>
  <c r="AA206" i="1"/>
  <c r="P206" i="1"/>
  <c r="X206" i="1"/>
  <c r="AG206" i="1"/>
  <c r="AG64" i="1"/>
  <c r="AA64" i="1"/>
  <c r="X196" i="1"/>
  <c r="U116" i="1"/>
  <c r="AG116" i="1"/>
  <c r="AD116" i="1"/>
  <c r="AG196" i="1"/>
  <c r="AG350" i="1"/>
  <c r="X116" i="1"/>
  <c r="P97" i="1"/>
  <c r="AG101" i="1"/>
  <c r="P116" i="1"/>
  <c r="AD101" i="1"/>
  <c r="P111" i="1"/>
  <c r="P72" i="1"/>
  <c r="U72" i="1"/>
  <c r="Y66" i="3" s="1"/>
  <c r="AD72" i="1"/>
  <c r="X72" i="1"/>
  <c r="AA72" i="1"/>
  <c r="AG72" i="1"/>
  <c r="P104" i="1"/>
  <c r="U104" i="1"/>
  <c r="AD104" i="1"/>
  <c r="AA104" i="1"/>
  <c r="AG104" i="1"/>
  <c r="X104" i="1"/>
  <c r="P96" i="1"/>
  <c r="U96" i="1"/>
  <c r="AD96" i="1"/>
  <c r="X96" i="1"/>
  <c r="AA96" i="1"/>
  <c r="AG96" i="1"/>
  <c r="U108" i="1"/>
  <c r="V66" i="3" s="1"/>
  <c r="X108" i="1"/>
  <c r="AA66" i="3" s="1"/>
  <c r="P108" i="1"/>
  <c r="AG108" i="1"/>
  <c r="AA108" i="1"/>
  <c r="AD108" i="1"/>
  <c r="P207" i="1"/>
  <c r="U207" i="1"/>
  <c r="AD207" i="1"/>
  <c r="AA207" i="1"/>
  <c r="X207" i="1"/>
  <c r="AG207" i="1"/>
  <c r="U115" i="1"/>
  <c r="X115" i="1"/>
  <c r="P115" i="1"/>
  <c r="AD115" i="1"/>
  <c r="AG115" i="1"/>
  <c r="AA115" i="1"/>
  <c r="AD105" i="1"/>
  <c r="P105" i="1"/>
  <c r="AA105" i="1"/>
  <c r="X105" i="1"/>
  <c r="AG105" i="1"/>
  <c r="U105" i="1"/>
  <c r="U93" i="1"/>
  <c r="X93" i="1"/>
  <c r="P93" i="1"/>
  <c r="AG93" i="1"/>
  <c r="AA93" i="1"/>
  <c r="AD93" i="1"/>
  <c r="X80" i="1"/>
  <c r="AA64" i="3" s="1"/>
  <c r="AA80" i="1"/>
  <c r="U80" i="1"/>
  <c r="P80" i="1"/>
  <c r="AD80" i="1"/>
  <c r="AG80" i="1"/>
  <c r="AG111" i="1"/>
  <c r="AG98" i="1"/>
  <c r="AD98" i="1"/>
  <c r="X112" i="1"/>
  <c r="U64" i="1"/>
  <c r="AD64" i="1"/>
  <c r="AA109" i="1"/>
  <c r="AD109" i="1"/>
  <c r="X109" i="1"/>
  <c r="AA95" i="1"/>
  <c r="AD95" i="1"/>
  <c r="X95" i="1"/>
  <c r="AG73" i="1"/>
  <c r="AG97" i="1"/>
  <c r="AA73" i="1"/>
  <c r="AA97" i="1"/>
  <c r="AD114" i="1"/>
  <c r="P114" i="1"/>
  <c r="AA114" i="1"/>
  <c r="U206" i="1"/>
  <c r="AD206" i="1"/>
  <c r="AG195" i="1"/>
  <c r="X111" i="1"/>
  <c r="AA111" i="1"/>
  <c r="U111" i="1"/>
  <c r="AA103" i="1"/>
  <c r="AD103" i="1"/>
  <c r="X103" i="1"/>
  <c r="U73" i="1"/>
  <c r="AD73" i="1"/>
  <c r="P195" i="1"/>
  <c r="U195" i="1"/>
  <c r="AD195" i="1"/>
  <c r="P112" i="1"/>
  <c r="AA112" i="1"/>
  <c r="P137" i="1"/>
  <c r="AA137" i="1"/>
  <c r="P99" i="1"/>
  <c r="AA99" i="1"/>
  <c r="X195" i="1"/>
  <c r="X99" i="1"/>
  <c r="U101" i="1"/>
  <c r="X101" i="1"/>
  <c r="P101" i="1"/>
  <c r="U196" i="1"/>
  <c r="AD196" i="1"/>
  <c r="AA92" i="1"/>
  <c r="AD92" i="1"/>
  <c r="X92" i="1"/>
  <c r="U137" i="1"/>
  <c r="AD100" i="1"/>
  <c r="P100" i="1"/>
  <c r="AA100" i="1"/>
  <c r="X98" i="1"/>
  <c r="AA98" i="1"/>
  <c r="U98" i="1"/>
  <c r="AA38" i="1"/>
  <c r="AD38" i="1"/>
  <c r="X38" i="1"/>
  <c r="AA350" i="1"/>
  <c r="AD350" i="1"/>
  <c r="X350" i="1"/>
  <c r="U97" i="1"/>
  <c r="AD97" i="1"/>
  <c r="X57" i="1"/>
  <c r="AD57" i="1"/>
  <c r="U32" i="1"/>
  <c r="AD32" i="1"/>
  <c r="P32" i="1"/>
  <c r="X61" i="1"/>
  <c r="AG61" i="1"/>
  <c r="P61" i="1"/>
  <c r="P88" i="1"/>
  <c r="AG88" i="1"/>
  <c r="U81" i="1"/>
  <c r="AD81" i="1"/>
  <c r="P81" i="1"/>
  <c r="AA81" i="1"/>
  <c r="AG81" i="1"/>
  <c r="U57" i="1"/>
  <c r="X106" i="1"/>
  <c r="AD106" i="1"/>
  <c r="AD63" i="1"/>
  <c r="X63" i="1"/>
  <c r="AA63" i="1"/>
  <c r="AD88" i="1"/>
  <c r="X88" i="1"/>
  <c r="U63" i="1"/>
  <c r="X86" i="1"/>
  <c r="AG57" i="1"/>
  <c r="P63" i="1"/>
  <c r="AD74" i="1"/>
  <c r="X74" i="1"/>
  <c r="U74" i="1"/>
  <c r="AG74" i="1"/>
  <c r="P74" i="1"/>
  <c r="AA74" i="1"/>
  <c r="X87" i="1"/>
  <c r="AA87" i="1"/>
  <c r="U89" i="1"/>
  <c r="P89" i="1"/>
  <c r="AD89" i="1"/>
  <c r="AA89" i="1"/>
  <c r="X89" i="1"/>
  <c r="AG89" i="1"/>
  <c r="AA85" i="1"/>
  <c r="AG85" i="1"/>
  <c r="AD86" i="1"/>
  <c r="AA57" i="1"/>
  <c r="U88" i="1"/>
  <c r="P57" i="1"/>
  <c r="P62" i="1"/>
  <c r="AG62" i="1"/>
  <c r="U86" i="1"/>
  <c r="AA88" i="1"/>
  <c r="AA62" i="1"/>
  <c r="P86" i="1"/>
  <c r="AG86" i="1"/>
  <c r="X62" i="1"/>
  <c r="AD62" i="1"/>
  <c r="AD61" i="1"/>
  <c r="AA106" i="1"/>
  <c r="AA61" i="1"/>
  <c r="AG106" i="1"/>
  <c r="U85" i="1"/>
  <c r="P106" i="1"/>
  <c r="P85" i="1"/>
  <c r="U61" i="1"/>
  <c r="X85" i="1"/>
  <c r="U106" i="1"/>
  <c r="AD85" i="1"/>
  <c r="U192" i="1"/>
  <c r="AG192" i="1"/>
  <c r="P192" i="1"/>
  <c r="AD192" i="1"/>
  <c r="AA192" i="1"/>
  <c r="X192" i="1"/>
  <c r="U56" i="1"/>
  <c r="AG56" i="1"/>
  <c r="X56" i="1"/>
  <c r="P56" i="1"/>
  <c r="AD56" i="1"/>
  <c r="AA56" i="1"/>
  <c r="P58" i="1"/>
  <c r="AD58" i="1"/>
  <c r="AA58" i="1"/>
  <c r="X58" i="1"/>
  <c r="U58" i="1"/>
  <c r="AG58" i="1"/>
  <c r="U191" i="1"/>
  <c r="AG191" i="1"/>
  <c r="P191" i="1"/>
  <c r="AD191" i="1"/>
  <c r="X191" i="1"/>
  <c r="AA191" i="1"/>
  <c r="U149" i="1"/>
  <c r="AA149" i="1"/>
  <c r="U148" i="1"/>
  <c r="AD87" i="1"/>
  <c r="P87" i="1"/>
  <c r="AA148" i="1"/>
  <c r="P149" i="1"/>
  <c r="AG87" i="1"/>
  <c r="U87" i="1"/>
  <c r="AG149" i="1"/>
  <c r="X149" i="1"/>
  <c r="AG199" i="1"/>
  <c r="U151" i="1"/>
  <c r="AG151" i="1"/>
  <c r="X151" i="1"/>
  <c r="AD151" i="1"/>
  <c r="P151" i="1"/>
  <c r="AA151" i="1"/>
  <c r="P67" i="1"/>
  <c r="AA67" i="1"/>
  <c r="AG67" i="1"/>
  <c r="U67" i="1"/>
  <c r="X67" i="1"/>
  <c r="AD30" i="1"/>
  <c r="AG30" i="1"/>
  <c r="X32" i="1"/>
  <c r="AA32" i="1"/>
  <c r="AG32" i="1"/>
  <c r="AD201" i="1"/>
  <c r="X201" i="1"/>
  <c r="AA201" i="1"/>
  <c r="U201" i="1"/>
  <c r="P201" i="1"/>
  <c r="AG201" i="1"/>
  <c r="AG28" i="1"/>
  <c r="P28" i="1"/>
  <c r="P37" i="1"/>
  <c r="AA37" i="1"/>
  <c r="U37" i="1"/>
  <c r="AG37" i="1"/>
  <c r="P150" i="1"/>
  <c r="X150" i="1"/>
  <c r="AA150" i="1"/>
  <c r="U150" i="1"/>
  <c r="AG150" i="1"/>
  <c r="AD150" i="1"/>
  <c r="AD179" i="1"/>
  <c r="U179" i="1"/>
  <c r="AG179" i="1"/>
  <c r="AD31" i="1"/>
  <c r="U31" i="1"/>
  <c r="AG31" i="1"/>
  <c r="P31" i="1"/>
  <c r="P152" i="1"/>
  <c r="AD152" i="1"/>
  <c r="X152" i="1"/>
  <c r="AA152" i="1"/>
  <c r="U152" i="1"/>
  <c r="AG152" i="1"/>
  <c r="P178" i="1"/>
  <c r="U178" i="1"/>
  <c r="AA178" i="1"/>
  <c r="AD178" i="1"/>
  <c r="AG178" i="1"/>
  <c r="X178" i="1"/>
  <c r="AD82" i="1"/>
  <c r="AG82" i="1"/>
  <c r="P82" i="1"/>
  <c r="P69" i="1"/>
  <c r="AG69" i="1"/>
  <c r="U69" i="1"/>
  <c r="AA69" i="1"/>
  <c r="X69" i="1"/>
  <c r="P176" i="1"/>
  <c r="P204" i="1"/>
  <c r="P78" i="1"/>
  <c r="AA78" i="1"/>
  <c r="AG36" i="1"/>
  <c r="P36" i="1"/>
  <c r="P177" i="1"/>
  <c r="U177" i="1"/>
  <c r="AA177" i="1"/>
  <c r="AG177" i="1"/>
  <c r="X177" i="1"/>
  <c r="AD177" i="1"/>
  <c r="AD200" i="1"/>
  <c r="U200" i="1"/>
  <c r="AG200" i="1"/>
  <c r="X153" i="1"/>
  <c r="U82" i="1"/>
  <c r="AG29" i="1"/>
  <c r="AD29" i="1"/>
  <c r="AA153" i="1"/>
  <c r="P153" i="1"/>
  <c r="P179" i="1"/>
  <c r="P148" i="1"/>
  <c r="AD78" i="1"/>
  <c r="AG78" i="1"/>
  <c r="AD153" i="1"/>
  <c r="X148" i="1"/>
  <c r="X37" i="1"/>
  <c r="P30" i="1"/>
  <c r="AG153" i="1"/>
  <c r="P29" i="1"/>
  <c r="AD148" i="1"/>
  <c r="AD37" i="1"/>
  <c r="X82" i="1"/>
  <c r="X200" i="1"/>
  <c r="X179" i="1"/>
  <c r="X31" i="1"/>
  <c r="U199" i="1"/>
  <c r="U30" i="1"/>
  <c r="AA82" i="1"/>
  <c r="AA200" i="1"/>
  <c r="AA179" i="1"/>
  <c r="AA31" i="1"/>
  <c r="X199" i="1"/>
  <c r="X30" i="1"/>
  <c r="U29" i="1"/>
  <c r="P200" i="1"/>
  <c r="AA199" i="1"/>
  <c r="AA30" i="1"/>
  <c r="X29" i="1"/>
  <c r="U78" i="1"/>
  <c r="P199" i="1"/>
  <c r="X78" i="1"/>
  <c r="AD147" i="1"/>
  <c r="AA147" i="1"/>
  <c r="X147" i="1"/>
  <c r="U147" i="1"/>
  <c r="P147" i="1"/>
  <c r="AG147" i="1"/>
  <c r="AD84" i="1"/>
  <c r="AA84" i="1"/>
  <c r="X84" i="1"/>
  <c r="U84" i="1"/>
  <c r="P84" i="1"/>
  <c r="AG84" i="1"/>
  <c r="AA79" i="1"/>
  <c r="X79" i="1"/>
  <c r="U79" i="1"/>
  <c r="AG79" i="1"/>
  <c r="P79" i="1"/>
  <c r="AD79" i="1"/>
  <c r="AA54" i="1"/>
  <c r="X54" i="1"/>
  <c r="U54" i="1"/>
  <c r="P54" i="1"/>
  <c r="AG54" i="1"/>
  <c r="AD54" i="1"/>
  <c r="AA70" i="1"/>
  <c r="X70" i="1"/>
  <c r="U70" i="1"/>
  <c r="P70" i="1"/>
  <c r="AG70" i="1"/>
  <c r="AD70" i="1"/>
  <c r="AA68" i="1"/>
  <c r="X68" i="1"/>
  <c r="U68" i="1"/>
  <c r="P68" i="1"/>
  <c r="AG68" i="1"/>
  <c r="AD68" i="1"/>
  <c r="AA173" i="1"/>
  <c r="X173" i="1"/>
  <c r="AG173" i="1"/>
  <c r="U173" i="1"/>
  <c r="P173" i="1"/>
  <c r="AD173" i="1"/>
  <c r="AA33" i="1"/>
  <c r="AG33" i="1"/>
  <c r="X33" i="1"/>
  <c r="U33" i="1"/>
  <c r="P33" i="1"/>
  <c r="AD33" i="1"/>
  <c r="AA25" i="1"/>
  <c r="X25" i="1"/>
  <c r="U25" i="1"/>
  <c r="AG25" i="1"/>
  <c r="P25" i="1"/>
  <c r="AD25" i="1"/>
  <c r="AA83" i="1"/>
  <c r="X83" i="1"/>
  <c r="AG83" i="1"/>
  <c r="U83" i="1"/>
  <c r="P83" i="1"/>
  <c r="AD83" i="1"/>
  <c r="AD26" i="1"/>
  <c r="AA26" i="1"/>
  <c r="X26" i="1"/>
  <c r="U26" i="1"/>
  <c r="P26" i="1"/>
  <c r="AG26" i="1"/>
  <c r="AD34" i="1"/>
  <c r="AA34" i="1"/>
  <c r="X34" i="1"/>
  <c r="U34" i="1"/>
  <c r="P34" i="1"/>
  <c r="AG34" i="1"/>
  <c r="AD174" i="1"/>
  <c r="AA174" i="1"/>
  <c r="X174" i="1"/>
  <c r="U174" i="1"/>
  <c r="P174" i="1"/>
  <c r="AG174" i="1"/>
  <c r="AD202" i="1"/>
  <c r="AA202" i="1"/>
  <c r="X202" i="1"/>
  <c r="U202" i="1"/>
  <c r="P202" i="1"/>
  <c r="AG202" i="1"/>
  <c r="U204" i="1"/>
  <c r="U176" i="1"/>
  <c r="U36" i="1"/>
  <c r="U28" i="1"/>
  <c r="P203" i="1"/>
  <c r="P130" i="1"/>
  <c r="P175" i="1"/>
  <c r="P35" i="1"/>
  <c r="P27" i="1"/>
  <c r="X204" i="1"/>
  <c r="X176" i="1"/>
  <c r="X36" i="1"/>
  <c r="X28" i="1"/>
  <c r="U203" i="1"/>
  <c r="U130" i="1"/>
  <c r="U175" i="1"/>
  <c r="U35" i="1"/>
  <c r="U27" i="1"/>
  <c r="AA204" i="1"/>
  <c r="AA176" i="1"/>
  <c r="AA36" i="1"/>
  <c r="AA28" i="1"/>
  <c r="X203" i="1"/>
  <c r="X130" i="1"/>
  <c r="X175" i="1"/>
  <c r="X35" i="1"/>
  <c r="X27" i="1"/>
  <c r="AD204" i="1"/>
  <c r="AD176" i="1"/>
  <c r="AD36" i="1"/>
  <c r="AD28" i="1"/>
  <c r="AA203" i="1"/>
  <c r="AA130" i="1"/>
  <c r="AA175" i="1"/>
  <c r="AA35" i="1"/>
  <c r="AA27" i="1"/>
  <c r="AD203" i="1"/>
  <c r="AD130" i="1"/>
  <c r="AD175" i="1"/>
  <c r="AD35" i="1"/>
  <c r="AD27" i="1"/>
  <c r="P172" i="1"/>
  <c r="AA172" i="1"/>
  <c r="U20" i="1"/>
  <c r="P20" i="1"/>
  <c r="AA20" i="1"/>
  <c r="X20" i="1"/>
  <c r="AD20" i="1"/>
  <c r="P21" i="1"/>
  <c r="AA21" i="1"/>
  <c r="X169" i="1"/>
  <c r="AA169" i="1"/>
  <c r="P129" i="1"/>
  <c r="AA129" i="1"/>
  <c r="P180" i="1"/>
  <c r="AA18" i="1"/>
  <c r="AA180" i="1"/>
  <c r="AD180" i="1"/>
  <c r="X180" i="1"/>
  <c r="U60" i="1"/>
  <c r="AG60" i="1"/>
  <c r="P60" i="1"/>
  <c r="AD60" i="1"/>
  <c r="AA60" i="1"/>
  <c r="X60" i="1"/>
  <c r="V56" i="3" s="1"/>
  <c r="AA19" i="1"/>
  <c r="X19" i="1"/>
  <c r="U19" i="1"/>
  <c r="AG19" i="1"/>
  <c r="P19" i="1"/>
  <c r="AD19" i="1"/>
  <c r="P22" i="1"/>
  <c r="AD22" i="1"/>
  <c r="AA22" i="1"/>
  <c r="X22" i="1"/>
  <c r="AG22" i="1"/>
  <c r="U22" i="1"/>
  <c r="P135" i="1"/>
  <c r="AD135" i="1"/>
  <c r="AA135" i="1"/>
  <c r="X135" i="1"/>
  <c r="U135" i="1"/>
  <c r="AG135" i="1"/>
  <c r="U23" i="1"/>
  <c r="AG23" i="1"/>
  <c r="AD23" i="1"/>
  <c r="P23" i="1"/>
  <c r="AA23" i="1"/>
  <c r="X23" i="1"/>
  <c r="U136" i="1"/>
  <c r="AG136" i="1"/>
  <c r="P136" i="1"/>
  <c r="AD136" i="1"/>
  <c r="AA136" i="1"/>
  <c r="X136" i="1"/>
  <c r="P59" i="1"/>
  <c r="AD59" i="1"/>
  <c r="AA59" i="1"/>
  <c r="X59" i="1"/>
  <c r="U59" i="1"/>
  <c r="AG59" i="1"/>
  <c r="X232" i="1"/>
  <c r="AG232" i="1"/>
  <c r="U232" i="1"/>
  <c r="P232" i="1"/>
  <c r="AD232" i="1"/>
  <c r="AA232" i="1"/>
  <c r="P75" i="1"/>
  <c r="AD75" i="1"/>
  <c r="AA75" i="1"/>
  <c r="AG75" i="1"/>
  <c r="X75" i="1"/>
  <c r="U75" i="1"/>
  <c r="U120" i="1"/>
  <c r="AG120" i="1"/>
  <c r="P120" i="1"/>
  <c r="AD120" i="1"/>
  <c r="AA120" i="1"/>
  <c r="X120" i="1"/>
  <c r="U39" i="1"/>
  <c r="AG39" i="1"/>
  <c r="P39" i="1"/>
  <c r="AD39" i="1"/>
  <c r="AA39" i="1"/>
  <c r="X39" i="1"/>
  <c r="U256" i="1"/>
  <c r="AG256" i="1"/>
  <c r="P256" i="1"/>
  <c r="AD256" i="1"/>
  <c r="AA256" i="1"/>
  <c r="X256" i="1"/>
  <c r="U24" i="1"/>
  <c r="AG24" i="1"/>
  <c r="P24" i="1"/>
  <c r="AD24" i="1"/>
  <c r="AA24" i="1"/>
  <c r="X24" i="1"/>
  <c r="AA170" i="1"/>
  <c r="X170" i="1"/>
  <c r="U170" i="1"/>
  <c r="AG170" i="1"/>
  <c r="P170" i="1"/>
  <c r="AD170" i="1"/>
  <c r="X171" i="1"/>
  <c r="AG171" i="1"/>
  <c r="U171" i="1"/>
  <c r="P171" i="1"/>
  <c r="AD171" i="1"/>
  <c r="AA171" i="1"/>
  <c r="X257" i="1"/>
  <c r="U257" i="1"/>
  <c r="AG257" i="1"/>
  <c r="P257" i="1"/>
  <c r="AD257" i="1"/>
  <c r="AA257" i="1"/>
  <c r="AG21" i="1"/>
  <c r="AG172" i="1"/>
  <c r="AG129" i="1"/>
  <c r="U21" i="1"/>
  <c r="U172" i="1"/>
  <c r="U129" i="1"/>
  <c r="AG20" i="1"/>
  <c r="AG180" i="1"/>
  <c r="AD18" i="1"/>
  <c r="AD169" i="1"/>
  <c r="P18" i="1"/>
  <c r="P169" i="1"/>
  <c r="X21" i="1"/>
  <c r="X172" i="1"/>
  <c r="X129" i="1"/>
  <c r="AG18" i="1"/>
  <c r="AG169" i="1"/>
  <c r="U18" i="1"/>
  <c r="U169" i="1"/>
  <c r="AD21" i="1"/>
  <c r="AD172" i="1"/>
  <c r="AD129" i="1"/>
  <c r="AA255" i="1"/>
  <c r="AD255" i="1"/>
  <c r="X255" i="1"/>
  <c r="AG255" i="1"/>
  <c r="U255" i="1"/>
  <c r="P255" i="1"/>
  <c r="AA254" i="1"/>
  <c r="X254" i="1"/>
  <c r="P254" i="1"/>
  <c r="AD254" i="1"/>
  <c r="U254" i="1"/>
  <c r="AG254" i="1"/>
  <c r="AA253" i="1"/>
  <c r="AG253" i="1"/>
  <c r="P253" i="1"/>
  <c r="AD253" i="1"/>
  <c r="U253" i="1"/>
  <c r="X253" i="1"/>
  <c r="AA9" i="1"/>
  <c r="X16" i="1"/>
  <c r="U16" i="1"/>
  <c r="AA16" i="1"/>
  <c r="P16" i="1"/>
  <c r="AD16" i="1"/>
  <c r="AG16" i="1"/>
  <c r="AA12" i="1"/>
  <c r="X12" i="1"/>
  <c r="P12" i="1"/>
  <c r="AD12" i="1"/>
  <c r="U12" i="1"/>
  <c r="AG12" i="1"/>
  <c r="AG335" i="1"/>
  <c r="X335" i="1"/>
  <c r="AA335" i="1"/>
  <c r="P335" i="1"/>
  <c r="AD335" i="1"/>
  <c r="U335" i="1"/>
  <c r="AA251" i="1"/>
  <c r="X251" i="1"/>
  <c r="P251" i="1"/>
  <c r="AD251" i="1"/>
  <c r="U251" i="1"/>
  <c r="AG251" i="1"/>
  <c r="AA44" i="1"/>
  <c r="P44" i="1"/>
  <c r="AD44" i="1"/>
  <c r="U44" i="1"/>
  <c r="AG44" i="1"/>
  <c r="X44" i="1"/>
  <c r="AA233" i="1"/>
  <c r="X233" i="1"/>
  <c r="P233" i="1"/>
  <c r="AD233" i="1"/>
  <c r="U233" i="1"/>
  <c r="AG233" i="1"/>
  <c r="X325" i="1"/>
  <c r="AA325" i="1"/>
  <c r="U325" i="1"/>
  <c r="P325" i="1"/>
  <c r="AD325" i="1"/>
  <c r="AG325" i="1"/>
  <c r="X46" i="1"/>
  <c r="AG46" i="1"/>
  <c r="AA46" i="1"/>
  <c r="P46" i="1"/>
  <c r="AD46" i="1"/>
  <c r="U46" i="1"/>
  <c r="X334" i="1"/>
  <c r="U334" i="1"/>
  <c r="AA334" i="1"/>
  <c r="AG334" i="1"/>
  <c r="P334" i="1"/>
  <c r="AD334" i="1"/>
  <c r="X13" i="1"/>
  <c r="AA13" i="1"/>
  <c r="AG13" i="1"/>
  <c r="P13" i="1"/>
  <c r="AD13" i="1"/>
  <c r="U13" i="1"/>
  <c r="U14" i="1"/>
  <c r="AG14" i="1"/>
  <c r="X14" i="1"/>
  <c r="P14" i="1"/>
  <c r="AD14" i="1"/>
  <c r="AA14" i="1"/>
  <c r="U337" i="1"/>
  <c r="AG337" i="1"/>
  <c r="AD337" i="1"/>
  <c r="X337" i="1"/>
  <c r="AA337" i="1"/>
  <c r="P337" i="1"/>
  <c r="U336" i="1"/>
  <c r="AG336" i="1"/>
  <c r="P336" i="1"/>
  <c r="X336" i="1"/>
  <c r="AD336" i="1"/>
  <c r="AA336" i="1"/>
  <c r="P241" i="1"/>
  <c r="AD241" i="1"/>
  <c r="AA241" i="1"/>
  <c r="U241" i="1"/>
  <c r="AG241" i="1"/>
  <c r="X241" i="1"/>
  <c r="P338" i="1"/>
  <c r="AD338" i="1"/>
  <c r="U338" i="1"/>
  <c r="AG338" i="1"/>
  <c r="X338" i="1"/>
  <c r="AA338" i="1"/>
  <c r="X252" i="1"/>
  <c r="AA252" i="1"/>
  <c r="P252" i="1"/>
  <c r="AD252" i="1"/>
  <c r="U252" i="1"/>
  <c r="AG252" i="1"/>
  <c r="U326" i="1"/>
  <c r="X326" i="1"/>
  <c r="AG326" i="1"/>
  <c r="AA326" i="1"/>
  <c r="P326" i="1"/>
  <c r="AD326" i="1"/>
  <c r="P15" i="1"/>
  <c r="AD15" i="1"/>
  <c r="U15" i="1"/>
  <c r="AG15" i="1"/>
  <c r="AA15" i="1"/>
  <c r="X15" i="1"/>
  <c r="P51" i="1"/>
  <c r="AD51" i="1"/>
  <c r="U51" i="1"/>
  <c r="AG51" i="1"/>
  <c r="X51" i="1"/>
  <c r="AA51" i="1"/>
  <c r="AA323" i="1"/>
  <c r="P323" i="1"/>
  <c r="AD323" i="1"/>
  <c r="U323" i="1"/>
  <c r="AG323" i="1"/>
  <c r="X323" i="1"/>
  <c r="P42" i="1"/>
  <c r="AD42" i="1"/>
  <c r="AA42" i="1"/>
  <c r="U42" i="1"/>
  <c r="AG42" i="1"/>
  <c r="X42" i="1"/>
  <c r="P50" i="1"/>
  <c r="AD50" i="1"/>
  <c r="U50" i="1"/>
  <c r="AG50" i="1"/>
  <c r="X50" i="1"/>
  <c r="AA50" i="1"/>
  <c r="P40" i="1"/>
  <c r="AD40" i="1"/>
  <c r="U40" i="1"/>
  <c r="AG40" i="1"/>
  <c r="AA40" i="1"/>
  <c r="X40" i="1"/>
  <c r="P49" i="1"/>
  <c r="U49" i="1"/>
  <c r="AG49" i="1"/>
  <c r="X49" i="1"/>
  <c r="AA49" i="1"/>
  <c r="AD49" i="1"/>
  <c r="AD134" i="1"/>
  <c r="U134" i="1"/>
  <c r="AG134" i="1"/>
  <c r="P134" i="1"/>
  <c r="X134" i="1"/>
  <c r="AA134" i="1"/>
  <c r="AA45" i="1"/>
  <c r="P45" i="1"/>
  <c r="AD45" i="1"/>
  <c r="X45" i="1"/>
  <c r="U45" i="1"/>
  <c r="AG45" i="1"/>
  <c r="X47" i="1"/>
  <c r="AA47" i="1"/>
  <c r="AG47" i="1"/>
  <c r="U47" i="1"/>
  <c r="P47" i="1"/>
  <c r="AD47" i="1"/>
  <c r="U331" i="1"/>
  <c r="AG331" i="1"/>
  <c r="X331" i="1"/>
  <c r="AA331" i="1"/>
  <c r="AD331" i="1"/>
  <c r="P331" i="1"/>
  <c r="AA324" i="1"/>
  <c r="P324" i="1"/>
  <c r="AD324" i="1"/>
  <c r="X324" i="1"/>
  <c r="U324" i="1"/>
  <c r="AG324" i="1"/>
  <c r="AA333" i="1"/>
  <c r="P333" i="1"/>
  <c r="AD333" i="1"/>
  <c r="U333" i="1"/>
  <c r="AG333" i="1"/>
  <c r="X333" i="1"/>
  <c r="P43" i="1"/>
  <c r="AD43" i="1"/>
  <c r="AA43" i="1"/>
  <c r="U43" i="1"/>
  <c r="AG43" i="1"/>
  <c r="X43" i="1"/>
  <c r="AA41" i="1"/>
  <c r="P41" i="1"/>
  <c r="AD41" i="1"/>
  <c r="U41" i="1"/>
  <c r="AG41" i="1"/>
  <c r="X41" i="1"/>
  <c r="U48" i="1"/>
  <c r="AG48" i="1"/>
  <c r="X48" i="1"/>
  <c r="AA48" i="1"/>
  <c r="P48" i="1"/>
  <c r="AD48" i="1"/>
  <c r="U17" i="1"/>
  <c r="AG17" i="1"/>
  <c r="P17" i="1"/>
  <c r="AD17" i="1"/>
  <c r="X17" i="1"/>
  <c r="AA17" i="1"/>
  <c r="AA242" i="1"/>
  <c r="X245" i="1"/>
  <c r="AG245" i="1"/>
  <c r="P245" i="1"/>
  <c r="AD245" i="1"/>
  <c r="U245" i="1"/>
  <c r="AA245" i="1"/>
  <c r="U10" i="1"/>
  <c r="AG10" i="1"/>
  <c r="P10" i="1"/>
  <c r="AA10" i="1"/>
  <c r="X10" i="1"/>
  <c r="AD10" i="1"/>
  <c r="AG11" i="1"/>
  <c r="AD11" i="1"/>
  <c r="P11" i="1"/>
  <c r="AA11" i="1"/>
  <c r="X11" i="1"/>
  <c r="U244" i="1"/>
  <c r="AG244" i="1"/>
  <c r="P244" i="1"/>
  <c r="AA244" i="1"/>
  <c r="AD244" i="1"/>
  <c r="X244" i="1"/>
  <c r="X248" i="1"/>
  <c r="U248" i="1"/>
  <c r="AG248" i="1"/>
  <c r="P248" i="1"/>
  <c r="AD248" i="1"/>
  <c r="AA248" i="1"/>
  <c r="AA247" i="1"/>
  <c r="X247" i="1"/>
  <c r="U247" i="1"/>
  <c r="AG247" i="1"/>
  <c r="P247" i="1"/>
  <c r="AD247" i="1"/>
  <c r="P250" i="1"/>
  <c r="AD250" i="1"/>
  <c r="X250" i="1"/>
  <c r="U250" i="1"/>
  <c r="AG250" i="1"/>
  <c r="AA250" i="1"/>
  <c r="P240" i="1"/>
  <c r="AD240" i="1"/>
  <c r="AA240" i="1"/>
  <c r="X240" i="1"/>
  <c r="U240" i="1"/>
  <c r="AG240" i="1"/>
  <c r="U243" i="1"/>
  <c r="AG243" i="1"/>
  <c r="AD243" i="1"/>
  <c r="AA243" i="1"/>
  <c r="X243" i="1"/>
  <c r="P243" i="1"/>
  <c r="AA190" i="1"/>
  <c r="X190" i="1"/>
  <c r="U190" i="1"/>
  <c r="AG190" i="1"/>
  <c r="P190" i="1"/>
  <c r="AD190" i="1"/>
  <c r="U246" i="1"/>
  <c r="P246" i="1"/>
  <c r="AD246" i="1"/>
  <c r="AG246" i="1"/>
  <c r="AA246" i="1"/>
  <c r="X246" i="1"/>
  <c r="AD9" i="1"/>
  <c r="P9" i="1"/>
  <c r="AG9" i="1"/>
  <c r="AG242" i="1"/>
  <c r="U9" i="1"/>
  <c r="U242" i="1"/>
  <c r="X242" i="1"/>
  <c r="AD242" i="1"/>
  <c r="Y42" i="3"/>
  <c r="P222" i="1"/>
  <c r="X222" i="1"/>
  <c r="AD217" i="1"/>
  <c r="AD118" i="1"/>
  <c r="AA118" i="1"/>
  <c r="AG118" i="1"/>
  <c r="U118" i="1"/>
  <c r="X266" i="1"/>
  <c r="AD266" i="1"/>
  <c r="U217" i="1"/>
  <c r="AA217" i="1"/>
  <c r="P165" i="1"/>
  <c r="AA165" i="1"/>
  <c r="X165" i="1"/>
  <c r="AA265" i="1"/>
  <c r="AD265" i="1"/>
  <c r="U265" i="1"/>
  <c r="P265" i="1"/>
  <c r="AG265" i="1"/>
  <c r="X265" i="1"/>
  <c r="U168" i="1"/>
  <c r="X168" i="1"/>
  <c r="AG168" i="1"/>
  <c r="P168" i="1"/>
  <c r="AD168" i="1"/>
  <c r="AA168" i="1"/>
  <c r="AD220" i="1"/>
  <c r="X220" i="1"/>
  <c r="AG220" i="1"/>
  <c r="U220" i="1"/>
  <c r="P125" i="1"/>
  <c r="X125" i="1"/>
  <c r="P262" i="1"/>
  <c r="AA262" i="1"/>
  <c r="AD262" i="1"/>
  <c r="AG262" i="1"/>
  <c r="AG217" i="1"/>
  <c r="P217" i="1"/>
  <c r="X118" i="1"/>
  <c r="P118" i="1"/>
  <c r="X163" i="1"/>
  <c r="P163" i="1"/>
  <c r="U163" i="1"/>
  <c r="AA163" i="1"/>
  <c r="AD163" i="1"/>
  <c r="U262" i="1"/>
  <c r="P220" i="1"/>
  <c r="AD258" i="1"/>
  <c r="U165" i="1"/>
  <c r="AD165" i="1"/>
  <c r="AA220" i="1"/>
  <c r="AG165" i="1"/>
  <c r="AD221" i="1"/>
  <c r="X262" i="1"/>
  <c r="X259" i="1"/>
  <c r="AA216" i="1"/>
  <c r="P216" i="1"/>
  <c r="X216" i="1"/>
  <c r="AD216" i="1"/>
  <c r="U216" i="1"/>
  <c r="AG216" i="1"/>
  <c r="AA117" i="1"/>
  <c r="P117" i="1"/>
  <c r="X117" i="1"/>
  <c r="AD117" i="1"/>
  <c r="AG117" i="1"/>
  <c r="U117" i="1"/>
  <c r="AA215" i="1"/>
  <c r="P215" i="1"/>
  <c r="AG215" i="1"/>
  <c r="AD215" i="1"/>
  <c r="U215" i="1"/>
  <c r="X215" i="1"/>
  <c r="AA124" i="1"/>
  <c r="P124" i="1"/>
  <c r="AG124" i="1"/>
  <c r="AD124" i="1"/>
  <c r="U124" i="1"/>
  <c r="X124" i="1"/>
  <c r="AD164" i="1"/>
  <c r="U164" i="1"/>
  <c r="P164" i="1"/>
  <c r="AG164" i="1"/>
  <c r="X164" i="1"/>
  <c r="AA164" i="1"/>
  <c r="AD166" i="1"/>
  <c r="U166" i="1"/>
  <c r="AA166" i="1"/>
  <c r="P166" i="1"/>
  <c r="AG166" i="1"/>
  <c r="X166" i="1"/>
  <c r="AD219" i="1"/>
  <c r="U219" i="1"/>
  <c r="AA219" i="1"/>
  <c r="P219" i="1"/>
  <c r="AG219" i="1"/>
  <c r="X219" i="1"/>
  <c r="AD263" i="1"/>
  <c r="U263" i="1"/>
  <c r="AA263" i="1"/>
  <c r="P263" i="1"/>
  <c r="AG263" i="1"/>
  <c r="X263" i="1"/>
  <c r="AG224" i="1"/>
  <c r="AA224" i="1"/>
  <c r="P224" i="1"/>
  <c r="X224" i="1"/>
  <c r="AD224" i="1"/>
  <c r="U224" i="1"/>
  <c r="AA261" i="1"/>
  <c r="P261" i="1"/>
  <c r="AG261" i="1"/>
  <c r="X261" i="1"/>
  <c r="AD261" i="1"/>
  <c r="U261" i="1"/>
  <c r="AA71" i="1"/>
  <c r="P71" i="1"/>
  <c r="AG71" i="1"/>
  <c r="X71" i="1"/>
  <c r="AD71" i="1"/>
  <c r="U71" i="1"/>
  <c r="AD218" i="1"/>
  <c r="U218" i="1"/>
  <c r="AA218" i="1"/>
  <c r="P218" i="1"/>
  <c r="AG218" i="1"/>
  <c r="X218" i="1"/>
  <c r="AA223" i="1"/>
  <c r="P223" i="1"/>
  <c r="X223" i="1"/>
  <c r="AG223" i="1"/>
  <c r="AD223" i="1"/>
  <c r="U223" i="1"/>
  <c r="AA260" i="1"/>
  <c r="X260" i="1"/>
  <c r="P260" i="1"/>
  <c r="AD260" i="1"/>
  <c r="U260" i="1"/>
  <c r="AG260" i="1"/>
  <c r="AA126" i="1"/>
  <c r="P126" i="1"/>
  <c r="X126" i="1"/>
  <c r="AD126" i="1"/>
  <c r="U126" i="1"/>
  <c r="AG126" i="1"/>
  <c r="AD167" i="1"/>
  <c r="U167" i="1"/>
  <c r="AA167" i="1"/>
  <c r="P167" i="1"/>
  <c r="AG167" i="1"/>
  <c r="X167" i="1"/>
  <c r="AD119" i="1"/>
  <c r="U119" i="1"/>
  <c r="P119" i="1"/>
  <c r="AG119" i="1"/>
  <c r="X119" i="1"/>
  <c r="AA119" i="1"/>
  <c r="AD264" i="1"/>
  <c r="U264" i="1"/>
  <c r="AA264" i="1"/>
  <c r="P264" i="1"/>
  <c r="AG264" i="1"/>
  <c r="X264" i="1"/>
  <c r="AA222" i="1"/>
  <c r="AA259" i="1"/>
  <c r="AA125" i="1"/>
  <c r="P221" i="1"/>
  <c r="P266" i="1"/>
  <c r="P258" i="1"/>
  <c r="AG266" i="1"/>
  <c r="AA221" i="1"/>
  <c r="AA266" i="1"/>
  <c r="AA258" i="1"/>
  <c r="U222" i="1"/>
  <c r="U259" i="1"/>
  <c r="U125" i="1"/>
  <c r="AD222" i="1"/>
  <c r="AD259" i="1"/>
  <c r="AD125" i="1"/>
  <c r="U221" i="1"/>
  <c r="U266" i="1"/>
  <c r="U258" i="1"/>
  <c r="AG222" i="1"/>
  <c r="AG259" i="1"/>
  <c r="AG125" i="1"/>
  <c r="X221" i="1"/>
  <c r="X258" i="1"/>
  <c r="U212" i="1"/>
  <c r="AD212" i="1"/>
  <c r="AA212" i="1"/>
  <c r="Y39" i="3"/>
  <c r="X210" i="1"/>
  <c r="U210" i="1"/>
  <c r="AD210" i="1"/>
  <c r="AG210" i="1"/>
  <c r="P210" i="1"/>
  <c r="AA210" i="1"/>
  <c r="P212" i="1"/>
  <c r="X212" i="1"/>
  <c r="AG212" i="1"/>
  <c r="X211" i="1"/>
  <c r="AA44" i="3" s="1"/>
  <c r="AD211" i="1"/>
  <c r="P211" i="1"/>
  <c r="U211" i="1"/>
  <c r="W44" i="3" s="1"/>
  <c r="AA211" i="1"/>
  <c r="AG211" i="1"/>
  <c r="U209" i="1"/>
  <c r="AD209" i="1"/>
  <c r="AG209" i="1"/>
  <c r="P209" i="1"/>
  <c r="AA209" i="1"/>
  <c r="X209" i="1"/>
  <c r="AA144" i="1"/>
  <c r="U144" i="1"/>
  <c r="X144" i="1"/>
  <c r="AA40" i="3" s="1"/>
  <c r="AD144" i="1"/>
  <c r="AG144" i="1"/>
  <c r="P144" i="1"/>
  <c r="AA269" i="1"/>
  <c r="X269" i="1"/>
  <c r="P269" i="1"/>
  <c r="AG269" i="1"/>
  <c r="AD269" i="1"/>
  <c r="U269" i="1"/>
  <c r="X267" i="1"/>
  <c r="AD267" i="1"/>
  <c r="AG267" i="1"/>
  <c r="U267" i="1"/>
  <c r="AA267" i="1"/>
  <c r="X268" i="1"/>
  <c r="P268" i="1"/>
  <c r="AA268" i="1"/>
  <c r="U268" i="1"/>
  <c r="AG268" i="1"/>
  <c r="AD268" i="1"/>
  <c r="P267" i="1"/>
  <c r="AA65" i="3" l="1"/>
  <c r="AA62" i="3"/>
  <c r="AA38" i="3"/>
  <c r="AA67" i="3"/>
  <c r="AA52" i="3"/>
  <c r="AA36" i="3"/>
  <c r="AA28" i="3" s="1"/>
  <c r="AA55" i="3"/>
  <c r="AA50" i="3"/>
  <c r="AA45" i="3" s="1"/>
  <c r="W38" i="3"/>
  <c r="Y54" i="3"/>
  <c r="Y62" i="3"/>
  <c r="Y55" i="3"/>
  <c r="W50" i="3"/>
  <c r="W45" i="3" s="1"/>
  <c r="Y36" i="3"/>
  <c r="Y33" i="3" s="1"/>
  <c r="Y60" i="3"/>
  <c r="X61" i="3"/>
  <c r="Y61" i="3"/>
  <c r="V55" i="3"/>
  <c r="V51" i="3" s="1"/>
  <c r="X60" i="3"/>
  <c r="X67" i="3"/>
  <c r="X38" i="3"/>
  <c r="X44" i="3"/>
  <c r="V62" i="3"/>
  <c r="X63" i="3"/>
  <c r="V67" i="3"/>
  <c r="X56" i="3"/>
  <c r="X52" i="3"/>
  <c r="X55" i="3"/>
  <c r="Y63" i="3"/>
  <c r="Y65" i="3"/>
  <c r="Y64" i="3"/>
  <c r="X66" i="3"/>
  <c r="Y52" i="3"/>
  <c r="Y44" i="3"/>
  <c r="Y38" i="3"/>
  <c r="X50" i="3"/>
  <c r="X45" i="3" s="1"/>
  <c r="X65" i="3"/>
  <c r="X64" i="3"/>
  <c r="X54" i="3"/>
  <c r="X36" i="3"/>
  <c r="X33" i="3" s="1"/>
  <c r="V36" i="3"/>
  <c r="V33" i="3" s="1"/>
  <c r="AA5" i="1"/>
  <c r="AH27" i="1"/>
  <c r="X139" i="1"/>
  <c r="U139" i="1"/>
  <c r="W40" i="3" s="1"/>
  <c r="P139" i="1"/>
  <c r="AD139" i="1"/>
  <c r="AG139" i="1"/>
  <c r="AA139" i="1"/>
  <c r="AH35" i="1"/>
  <c r="AG5" i="1"/>
  <c r="U5" i="1"/>
  <c r="X53" i="3" s="1"/>
  <c r="P5" i="1"/>
  <c r="AD5" i="1"/>
  <c r="AH203" i="1"/>
  <c r="AH204" i="1"/>
  <c r="AH36" i="1"/>
  <c r="AH130" i="1"/>
  <c r="AH176" i="1"/>
  <c r="AH349" i="1"/>
  <c r="AH64" i="1"/>
  <c r="AH121" i="1"/>
  <c r="AH94" i="1"/>
  <c r="AH6" i="1"/>
  <c r="AH102" i="1"/>
  <c r="AH109" i="1"/>
  <c r="AH115" i="1"/>
  <c r="AH92" i="1"/>
  <c r="AH101" i="1"/>
  <c r="AH137" i="1"/>
  <c r="AH95" i="1"/>
  <c r="AH206" i="1"/>
  <c r="AH350" i="1"/>
  <c r="AH116" i="1"/>
  <c r="AH38" i="1"/>
  <c r="AH196" i="1"/>
  <c r="AH103" i="1"/>
  <c r="AH99" i="1"/>
  <c r="AH112" i="1"/>
  <c r="AH104" i="1"/>
  <c r="AH100" i="1"/>
  <c r="AH80" i="1"/>
  <c r="AH97" i="1"/>
  <c r="AH105" i="1"/>
  <c r="AH207" i="1"/>
  <c r="AH72" i="1"/>
  <c r="AH195" i="1"/>
  <c r="AH73" i="1"/>
  <c r="AH114" i="1"/>
  <c r="AH98" i="1"/>
  <c r="AH93" i="1"/>
  <c r="AH108" i="1"/>
  <c r="AH111" i="1"/>
  <c r="AH96" i="1"/>
  <c r="AH151" i="1"/>
  <c r="AH81" i="1"/>
  <c r="AH63" i="1"/>
  <c r="AH57" i="1"/>
  <c r="AH74" i="1"/>
  <c r="AH62" i="1"/>
  <c r="AH150" i="1"/>
  <c r="AH149" i="1"/>
  <c r="AH89" i="1"/>
  <c r="AH86" i="1"/>
  <c r="AH61" i="1"/>
  <c r="AH88" i="1"/>
  <c r="AH152" i="1"/>
  <c r="AH106" i="1"/>
  <c r="AH191" i="1"/>
  <c r="AH58" i="1"/>
  <c r="AH85" i="1"/>
  <c r="AH87" i="1"/>
  <c r="AH56" i="1"/>
  <c r="AH192" i="1"/>
  <c r="AH201" i="1"/>
  <c r="AH69" i="1"/>
  <c r="AH67" i="1"/>
  <c r="AH178" i="1"/>
  <c r="AH175" i="1"/>
  <c r="AH177" i="1"/>
  <c r="AH32" i="1"/>
  <c r="AH28" i="1"/>
  <c r="AH37" i="1"/>
  <c r="AH153" i="1"/>
  <c r="AH200" i="1"/>
  <c r="AH82" i="1"/>
  <c r="AH30" i="1"/>
  <c r="AH148" i="1"/>
  <c r="AH25" i="1"/>
  <c r="AH33" i="1"/>
  <c r="AH84" i="1"/>
  <c r="AH26" i="1"/>
  <c r="AH29" i="1"/>
  <c r="AH31" i="1"/>
  <c r="AH199" i="1"/>
  <c r="AH202" i="1"/>
  <c r="AH34" i="1"/>
  <c r="AH179" i="1"/>
  <c r="AH174" i="1"/>
  <c r="AH147" i="1"/>
  <c r="AH78" i="1"/>
  <c r="AH68" i="1"/>
  <c r="AH83" i="1"/>
  <c r="AH79" i="1"/>
  <c r="AH173" i="1"/>
  <c r="AH54" i="1"/>
  <c r="AH70" i="1"/>
  <c r="AH60" i="1"/>
  <c r="AH20" i="1"/>
  <c r="AH39" i="1"/>
  <c r="AH169" i="1"/>
  <c r="AH170" i="1"/>
  <c r="AH18" i="1"/>
  <c r="AH257" i="1"/>
  <c r="AH180" i="1"/>
  <c r="AH75" i="1"/>
  <c r="AH19" i="1"/>
  <c r="AH21" i="1"/>
  <c r="AH256" i="1"/>
  <c r="AH232" i="1"/>
  <c r="AH135" i="1"/>
  <c r="AH171" i="1"/>
  <c r="AH24" i="1"/>
  <c r="AH120" i="1"/>
  <c r="AH59" i="1"/>
  <c r="AH23" i="1"/>
  <c r="AH129" i="1"/>
  <c r="AH136" i="1"/>
  <c r="AH172" i="1"/>
  <c r="AH22" i="1"/>
  <c r="AH255" i="1"/>
  <c r="AH253" i="1"/>
  <c r="AH254" i="1"/>
  <c r="AH47" i="1"/>
  <c r="AH49" i="1"/>
  <c r="AH42" i="1"/>
  <c r="AH44" i="1"/>
  <c r="AH43" i="1"/>
  <c r="AH9" i="1"/>
  <c r="AH17" i="1"/>
  <c r="AH40" i="1"/>
  <c r="AH51" i="1"/>
  <c r="AH252" i="1"/>
  <c r="AH338" i="1"/>
  <c r="AH251" i="1"/>
  <c r="AH41" i="1"/>
  <c r="AH323" i="1"/>
  <c r="AH324" i="1"/>
  <c r="AH14" i="1"/>
  <c r="AH16" i="1"/>
  <c r="AH335" i="1"/>
  <c r="AH45" i="1"/>
  <c r="AH337" i="1"/>
  <c r="AH334" i="1"/>
  <c r="AH46" i="1"/>
  <c r="AH233" i="1"/>
  <c r="AH12" i="1"/>
  <c r="AH333" i="1"/>
  <c r="AH134" i="1"/>
  <c r="AH326" i="1"/>
  <c r="AH241" i="1"/>
  <c r="AH331" i="1"/>
  <c r="AH48" i="1"/>
  <c r="AH50" i="1"/>
  <c r="AH15" i="1"/>
  <c r="AH336" i="1"/>
  <c r="AH325" i="1"/>
  <c r="AH13" i="1"/>
  <c r="AH246" i="1"/>
  <c r="AH240" i="1"/>
  <c r="AH10" i="1"/>
  <c r="AH244" i="1"/>
  <c r="AH190" i="1"/>
  <c r="AH243" i="1"/>
  <c r="AH247" i="1"/>
  <c r="AH245" i="1"/>
  <c r="AH248" i="1"/>
  <c r="AH250" i="1"/>
  <c r="AH242" i="1"/>
  <c r="AH11" i="1"/>
  <c r="AH262" i="1"/>
  <c r="AH220" i="1"/>
  <c r="AH118" i="1"/>
  <c r="AH217" i="1"/>
  <c r="Y50" i="3"/>
  <c r="Y45" i="3" s="1"/>
  <c r="AH168" i="1"/>
  <c r="AH265" i="1"/>
  <c r="AH221" i="1"/>
  <c r="AH163" i="1"/>
  <c r="AH167" i="1"/>
  <c r="AH218" i="1"/>
  <c r="AH71" i="1"/>
  <c r="AH263" i="1"/>
  <c r="AH216" i="1"/>
  <c r="AH165" i="1"/>
  <c r="AH258" i="1"/>
  <c r="AH119" i="1"/>
  <c r="AH260" i="1"/>
  <c r="AH264" i="1"/>
  <c r="AH166" i="1"/>
  <c r="AH124" i="1"/>
  <c r="AH125" i="1"/>
  <c r="AH261" i="1"/>
  <c r="AH224" i="1"/>
  <c r="AH219" i="1"/>
  <c r="AH223" i="1"/>
  <c r="AH126" i="1"/>
  <c r="AH117" i="1"/>
  <c r="AH259" i="1"/>
  <c r="AH266" i="1"/>
  <c r="AH222" i="1"/>
  <c r="AH164" i="1"/>
  <c r="AH215" i="1"/>
  <c r="AH210" i="1"/>
  <c r="AH212" i="1"/>
  <c r="AH144" i="1"/>
  <c r="AH209" i="1"/>
  <c r="AH211" i="1"/>
  <c r="AH267" i="1"/>
  <c r="AH268" i="1"/>
  <c r="AH269" i="1"/>
  <c r="AA59" i="3" l="1"/>
  <c r="AA51" i="3"/>
  <c r="W37" i="3"/>
  <c r="Y53" i="3"/>
  <c r="Y51" i="3" s="1"/>
  <c r="V59" i="3"/>
  <c r="Y59" i="3"/>
  <c r="X59" i="3"/>
  <c r="X51" i="3"/>
  <c r="AH139" i="1"/>
  <c r="AH5" i="1"/>
  <c r="C234" i="1" l="1"/>
  <c r="C235" i="1"/>
  <c r="C236" i="1"/>
  <c r="C237" i="1"/>
  <c r="C238" i="1"/>
  <c r="C198" i="1"/>
  <c r="C197" i="1"/>
  <c r="E234" i="1"/>
  <c r="E235" i="1"/>
  <c r="E236" i="1"/>
  <c r="E237" i="1"/>
  <c r="E238" i="1"/>
  <c r="E198" i="1"/>
  <c r="E197" i="1"/>
  <c r="K234" i="1"/>
  <c r="M234" i="1" s="1"/>
  <c r="O234" i="1" s="1"/>
  <c r="AA234" i="1" s="1"/>
  <c r="K235" i="1"/>
  <c r="M235" i="1" s="1"/>
  <c r="O235" i="1" s="1"/>
  <c r="K236" i="1"/>
  <c r="M236" i="1" s="1"/>
  <c r="O236" i="1" s="1"/>
  <c r="X236" i="1" s="1"/>
  <c r="K237" i="1"/>
  <c r="M237" i="1" s="1"/>
  <c r="O237" i="1" s="1"/>
  <c r="U237" i="1" s="1"/>
  <c r="K238" i="1"/>
  <c r="M238" i="1" s="1"/>
  <c r="O238" i="1" s="1"/>
  <c r="K198" i="1"/>
  <c r="K197" i="1"/>
  <c r="M197" i="1" s="1"/>
  <c r="O197" i="1" s="1"/>
  <c r="C123" i="1"/>
  <c r="C181" i="1"/>
  <c r="C182" i="1"/>
  <c r="C183" i="1"/>
  <c r="C184" i="1"/>
  <c r="C185" i="1"/>
  <c r="C188" i="1"/>
  <c r="E123" i="1"/>
  <c r="E181" i="1"/>
  <c r="E182" i="1"/>
  <c r="E183" i="1"/>
  <c r="E184" i="1"/>
  <c r="E185" i="1"/>
  <c r="E188" i="1"/>
  <c r="K123" i="1"/>
  <c r="M123" i="1" s="1"/>
  <c r="O123" i="1" s="1"/>
  <c r="K181" i="1"/>
  <c r="M181" i="1" s="1"/>
  <c r="K182" i="1"/>
  <c r="K183" i="1"/>
  <c r="K184" i="1"/>
  <c r="K185" i="1"/>
  <c r="K188" i="1"/>
  <c r="C133" i="1"/>
  <c r="C65" i="1"/>
  <c r="E133" i="1"/>
  <c r="E65" i="1"/>
  <c r="K133" i="1"/>
  <c r="M133" i="1" s="1"/>
  <c r="O133" i="1" s="1"/>
  <c r="K65" i="1"/>
  <c r="M65" i="1" s="1"/>
  <c r="O65" i="1" s="1"/>
  <c r="C138" i="1"/>
  <c r="E138" i="1"/>
  <c r="K138" i="1"/>
  <c r="M138" i="1" s="1"/>
  <c r="O138" i="1" s="1"/>
  <c r="B4" i="3"/>
  <c r="C141" i="1"/>
  <c r="C140" i="1"/>
  <c r="E141" i="1"/>
  <c r="E140" i="1"/>
  <c r="K141" i="1"/>
  <c r="M141" i="1" s="1"/>
  <c r="O141" i="1" s="1"/>
  <c r="K140" i="1"/>
  <c r="M140" i="1" s="1"/>
  <c r="O140" i="1" s="1"/>
  <c r="X140" i="1" s="1"/>
  <c r="D88" i="4"/>
  <c r="D87" i="4" s="1"/>
  <c r="D86" i="4" s="1"/>
  <c r="D85" i="4" s="1"/>
  <c r="D84" i="4" s="1"/>
  <c r="D83" i="4" s="1"/>
  <c r="D82" i="4" s="1"/>
  <c r="G19" i="9"/>
  <c r="AA43" i="3" l="1"/>
  <c r="AA37" i="3" s="1"/>
  <c r="M182" i="1"/>
  <c r="O182" i="1" s="1"/>
  <c r="M184" i="1"/>
  <c r="O184" i="1" s="1"/>
  <c r="M188" i="1"/>
  <c r="O188" i="1" s="1"/>
  <c r="M185" i="1"/>
  <c r="O185" i="1" s="1"/>
  <c r="M183" i="1"/>
  <c r="O183" i="1" s="1"/>
  <c r="M198" i="1"/>
  <c r="O198" i="1" s="1"/>
  <c r="O181" i="1"/>
  <c r="AD181" i="1" s="1"/>
  <c r="AA238" i="1"/>
  <c r="AG238" i="1"/>
  <c r="X238" i="1"/>
  <c r="AG237" i="1"/>
  <c r="AD238" i="1"/>
  <c r="U238" i="1"/>
  <c r="U234" i="1"/>
  <c r="P234" i="1"/>
  <c r="X234" i="1"/>
  <c r="P238" i="1"/>
  <c r="AD234" i="1"/>
  <c r="AG234" i="1"/>
  <c r="U197" i="1"/>
  <c r="AG197" i="1"/>
  <c r="X197" i="1"/>
  <c r="AA197" i="1"/>
  <c r="AD197" i="1"/>
  <c r="P197" i="1"/>
  <c r="X235" i="1"/>
  <c r="AA235" i="1"/>
  <c r="AD235" i="1"/>
  <c r="AG235" i="1"/>
  <c r="P235" i="1"/>
  <c r="U235" i="1"/>
  <c r="AA237" i="1"/>
  <c r="X237" i="1"/>
  <c r="P236" i="1"/>
  <c r="AD236" i="1"/>
  <c r="AA236" i="1"/>
  <c r="AG236" i="1"/>
  <c r="U236" i="1"/>
  <c r="P237" i="1"/>
  <c r="AD237" i="1"/>
  <c r="AA123" i="1"/>
  <c r="U123" i="1"/>
  <c r="V21" i="3" s="1"/>
  <c r="X123" i="1"/>
  <c r="P123" i="1"/>
  <c r="AG123" i="1"/>
  <c r="AD123" i="1"/>
  <c r="AD133" i="1"/>
  <c r="AG133" i="1"/>
  <c r="X133" i="1"/>
  <c r="U133" i="1"/>
  <c r="AA133" i="1"/>
  <c r="P133" i="1"/>
  <c r="P65" i="1"/>
  <c r="AD65" i="1"/>
  <c r="U65" i="1"/>
  <c r="V24" i="3" s="1"/>
  <c r="AG65" i="1"/>
  <c r="X65" i="1"/>
  <c r="AA24" i="3" s="1"/>
  <c r="AA65" i="1"/>
  <c r="AA138" i="1"/>
  <c r="P138" i="1"/>
  <c r="X138" i="1"/>
  <c r="U138" i="1"/>
  <c r="Y31" i="3" s="1"/>
  <c r="AG138" i="1"/>
  <c r="AD138" i="1"/>
  <c r="AG140" i="1"/>
  <c r="P140" i="1"/>
  <c r="AD140" i="1"/>
  <c r="U140" i="1"/>
  <c r="AA140" i="1"/>
  <c r="AD141" i="1"/>
  <c r="X141" i="1"/>
  <c r="U141" i="1"/>
  <c r="AA141" i="1"/>
  <c r="AG141" i="1"/>
  <c r="P141" i="1"/>
  <c r="D20" i="4"/>
  <c r="Y21" i="3" l="1"/>
  <c r="AA21" i="3"/>
  <c r="AA16" i="3" s="1"/>
  <c r="Y43" i="3"/>
  <c r="Y32" i="3"/>
  <c r="Y24" i="3"/>
  <c r="V16" i="3"/>
  <c r="X31" i="3"/>
  <c r="W21" i="3"/>
  <c r="X21" i="3"/>
  <c r="AD183" i="1"/>
  <c r="X183" i="1"/>
  <c r="AA185" i="1"/>
  <c r="X185" i="1"/>
  <c r="U185" i="1"/>
  <c r="AD185" i="1"/>
  <c r="P185" i="1"/>
  <c r="AG185" i="1"/>
  <c r="AD188" i="1"/>
  <c r="AA188" i="1"/>
  <c r="X188" i="1"/>
  <c r="P188" i="1"/>
  <c r="AG188" i="1"/>
  <c r="U188" i="1"/>
  <c r="X184" i="1"/>
  <c r="U184" i="1"/>
  <c r="P184" i="1"/>
  <c r="AG184" i="1"/>
  <c r="AD184" i="1"/>
  <c r="AA184" i="1"/>
  <c r="AG182" i="1"/>
  <c r="AD182" i="1"/>
  <c r="X182" i="1"/>
  <c r="P182" i="1"/>
  <c r="U182" i="1"/>
  <c r="AA182" i="1"/>
  <c r="U183" i="1"/>
  <c r="P183" i="1"/>
  <c r="AA183" i="1"/>
  <c r="AG183" i="1"/>
  <c r="W24" i="3"/>
  <c r="X43" i="3"/>
  <c r="V41" i="3"/>
  <c r="D24" i="3"/>
  <c r="X24" i="3"/>
  <c r="X32" i="3"/>
  <c r="X40" i="3"/>
  <c r="AA198" i="1"/>
  <c r="AG198" i="1"/>
  <c r="AD198" i="1"/>
  <c r="P198" i="1"/>
  <c r="X198" i="1"/>
  <c r="U198" i="1"/>
  <c r="AG181" i="1"/>
  <c r="U181" i="1"/>
  <c r="P181" i="1"/>
  <c r="AA181" i="1"/>
  <c r="X181" i="1"/>
  <c r="AH238" i="1"/>
  <c r="AH234" i="1"/>
  <c r="AH197" i="1"/>
  <c r="AH237" i="1"/>
  <c r="AH236" i="1"/>
  <c r="AH235" i="1"/>
  <c r="AH123" i="1"/>
  <c r="AH133" i="1"/>
  <c r="AH65" i="1"/>
  <c r="AH138" i="1"/>
  <c r="AH141" i="1"/>
  <c r="AH140" i="1"/>
  <c r="Y23" i="3" l="1"/>
  <c r="Y28" i="3"/>
  <c r="V40" i="3"/>
  <c r="Y40" i="3"/>
  <c r="Y37" i="3" s="1"/>
  <c r="X28" i="3"/>
  <c r="W16" i="3"/>
  <c r="W75" i="3" s="1"/>
  <c r="W79" i="3" s="1"/>
  <c r="AH184" i="1"/>
  <c r="AH185" i="1"/>
  <c r="AH182" i="1"/>
  <c r="AH183" i="1"/>
  <c r="AH188" i="1"/>
  <c r="X23" i="3"/>
  <c r="X16" i="3" s="1"/>
  <c r="X37" i="3"/>
  <c r="AH198" i="1"/>
  <c r="AH181" i="1"/>
  <c r="K131" i="1"/>
  <c r="M131" i="1" s="1"/>
  <c r="E131" i="1"/>
  <c r="C131" i="1"/>
  <c r="K277" i="1"/>
  <c r="M277" i="1" s="1"/>
  <c r="K278" i="1"/>
  <c r="M278" i="1" s="1"/>
  <c r="O278" i="1" s="1"/>
  <c r="P278" i="1" s="1"/>
  <c r="K279" i="1"/>
  <c r="M279" i="1" s="1"/>
  <c r="O279" i="1" s="1"/>
  <c r="P279" i="1" s="1"/>
  <c r="K280" i="1"/>
  <c r="M280" i="1" s="1"/>
  <c r="O280" i="1" s="1"/>
  <c r="P280" i="1" s="1"/>
  <c r="K281" i="1"/>
  <c r="M281" i="1" s="1"/>
  <c r="O281" i="1" s="1"/>
  <c r="P281" i="1" s="1"/>
  <c r="K282" i="1"/>
  <c r="M282" i="1" s="1"/>
  <c r="O282" i="1" s="1"/>
  <c r="P282" i="1" s="1"/>
  <c r="K283" i="1"/>
  <c r="M283" i="1" s="1"/>
  <c r="O283" i="1" s="1"/>
  <c r="P283" i="1" s="1"/>
  <c r="K284" i="1"/>
  <c r="M284" i="1" s="1"/>
  <c r="O284" i="1" s="1"/>
  <c r="P284" i="1" s="1"/>
  <c r="K285" i="1"/>
  <c r="M285" i="1" s="1"/>
  <c r="O285" i="1" s="1"/>
  <c r="P285" i="1" s="1"/>
  <c r="K286" i="1"/>
  <c r="M286" i="1" s="1"/>
  <c r="O286" i="1" s="1"/>
  <c r="P286" i="1" s="1"/>
  <c r="K291" i="1"/>
  <c r="M291" i="1" s="1"/>
  <c r="O291" i="1" s="1"/>
  <c r="P291" i="1" s="1"/>
  <c r="K293" i="1"/>
  <c r="M293" i="1" s="1"/>
  <c r="O293" i="1" s="1"/>
  <c r="P293" i="1" s="1"/>
  <c r="K295" i="1"/>
  <c r="M295" i="1" s="1"/>
  <c r="O295" i="1" s="1"/>
  <c r="P295" i="1" s="1"/>
  <c r="K298" i="1"/>
  <c r="M298" i="1" s="1"/>
  <c r="O298" i="1" s="1"/>
  <c r="P298" i="1" s="1"/>
  <c r="K299" i="1"/>
  <c r="M299" i="1" s="1"/>
  <c r="O299" i="1" s="1"/>
  <c r="P299" i="1" s="1"/>
  <c r="K300" i="1"/>
  <c r="M300" i="1" s="1"/>
  <c r="O300" i="1" s="1"/>
  <c r="P300" i="1" s="1"/>
  <c r="K301" i="1"/>
  <c r="M301" i="1" s="1"/>
  <c r="O301" i="1" s="1"/>
  <c r="P301" i="1" s="1"/>
  <c r="K302" i="1"/>
  <c r="M302" i="1" s="1"/>
  <c r="O302" i="1" s="1"/>
  <c r="P302" i="1" s="1"/>
  <c r="K303" i="1"/>
  <c r="M303" i="1" s="1"/>
  <c r="O303" i="1" s="1"/>
  <c r="P303" i="1" s="1"/>
  <c r="K304" i="1"/>
  <c r="M304" i="1" s="1"/>
  <c r="O304" i="1" s="1"/>
  <c r="P304" i="1" s="1"/>
  <c r="K305" i="1"/>
  <c r="M305" i="1" s="1"/>
  <c r="O305" i="1" s="1"/>
  <c r="P305" i="1" s="1"/>
  <c r="K306" i="1"/>
  <c r="M306" i="1" s="1"/>
  <c r="O306" i="1" s="1"/>
  <c r="P306" i="1" s="1"/>
  <c r="K307" i="1"/>
  <c r="M307" i="1" s="1"/>
  <c r="O307" i="1" s="1"/>
  <c r="P307" i="1" s="1"/>
  <c r="K308" i="1"/>
  <c r="M308" i="1" s="1"/>
  <c r="O308" i="1" s="1"/>
  <c r="P308" i="1" s="1"/>
  <c r="K309" i="1"/>
  <c r="M309" i="1" s="1"/>
  <c r="O309" i="1" s="1"/>
  <c r="P309" i="1" s="1"/>
  <c r="K311" i="1"/>
  <c r="M311" i="1" s="1"/>
  <c r="O311" i="1" s="1"/>
  <c r="P311" i="1" s="1"/>
  <c r="K312" i="1"/>
  <c r="M312" i="1" s="1"/>
  <c r="O312" i="1" s="1"/>
  <c r="P312" i="1" s="1"/>
  <c r="K313" i="1"/>
  <c r="M313" i="1" s="1"/>
  <c r="O313" i="1" s="1"/>
  <c r="P313" i="1" s="1"/>
  <c r="K314" i="1"/>
  <c r="M314" i="1" s="1"/>
  <c r="O314" i="1" s="1"/>
  <c r="P314" i="1" s="1"/>
  <c r="K315" i="1"/>
  <c r="M315" i="1" s="1"/>
  <c r="O315" i="1" s="1"/>
  <c r="P315" i="1" s="1"/>
  <c r="K316" i="1"/>
  <c r="M316" i="1" s="1"/>
  <c r="O316" i="1" s="1"/>
  <c r="P316" i="1" s="1"/>
  <c r="K317" i="1"/>
  <c r="M317" i="1" s="1"/>
  <c r="O317" i="1" s="1"/>
  <c r="P317" i="1" s="1"/>
  <c r="K318" i="1"/>
  <c r="M318" i="1" s="1"/>
  <c r="O318" i="1" s="1"/>
  <c r="P318" i="1" s="1"/>
  <c r="K319" i="1"/>
  <c r="M319" i="1" s="1"/>
  <c r="O319" i="1" s="1"/>
  <c r="P319" i="1" s="1"/>
  <c r="K320" i="1"/>
  <c r="M320" i="1" s="1"/>
  <c r="O320" i="1" s="1"/>
  <c r="P320" i="1" s="1"/>
  <c r="K321" i="1"/>
  <c r="M321" i="1" s="1"/>
  <c r="O321" i="1" s="1"/>
  <c r="P321" i="1" s="1"/>
  <c r="K322" i="1"/>
  <c r="M322" i="1" s="1"/>
  <c r="O322" i="1" s="1"/>
  <c r="P322" i="1" s="1"/>
  <c r="K332" i="1"/>
  <c r="M332" i="1" s="1"/>
  <c r="O332" i="1" s="1"/>
  <c r="P332" i="1" s="1"/>
  <c r="K339" i="1"/>
  <c r="M339" i="1" s="1"/>
  <c r="O339" i="1" s="1"/>
  <c r="P339" i="1" s="1"/>
  <c r="K340" i="1"/>
  <c r="M340" i="1" s="1"/>
  <c r="O340" i="1" s="1"/>
  <c r="P340" i="1" s="1"/>
  <c r="K343" i="1"/>
  <c r="M343" i="1" s="1"/>
  <c r="O343" i="1" s="1"/>
  <c r="P343" i="1" s="1"/>
  <c r="K344" i="1"/>
  <c r="M344" i="1" s="1"/>
  <c r="O344" i="1" s="1"/>
  <c r="P344" i="1" s="1"/>
  <c r="K345" i="1"/>
  <c r="M345" i="1" s="1"/>
  <c r="O345" i="1" s="1"/>
  <c r="P345" i="1" s="1"/>
  <c r="K346" i="1"/>
  <c r="M346" i="1" s="1"/>
  <c r="O346" i="1" s="1"/>
  <c r="P346" i="1" s="1"/>
  <c r="K347" i="1"/>
  <c r="M347" i="1" s="1"/>
  <c r="O347" i="1" s="1"/>
  <c r="P347" i="1" s="1"/>
  <c r="K348" i="1"/>
  <c r="M348" i="1" s="1"/>
  <c r="O348" i="1" s="1"/>
  <c r="P348" i="1" s="1"/>
  <c r="K351" i="1"/>
  <c r="M351" i="1" s="1"/>
  <c r="O351" i="1" s="1"/>
  <c r="K352" i="1"/>
  <c r="M352" i="1" s="1"/>
  <c r="O352" i="1" s="1"/>
  <c r="K353" i="1"/>
  <c r="M353" i="1" s="1"/>
  <c r="O353" i="1" s="1"/>
  <c r="P353" i="1" s="1"/>
  <c r="K354" i="1"/>
  <c r="M354" i="1" s="1"/>
  <c r="O354" i="1" s="1"/>
  <c r="P354" i="1" s="1"/>
  <c r="K355" i="1"/>
  <c r="M355" i="1" s="1"/>
  <c r="O355" i="1" s="1"/>
  <c r="P355" i="1" s="1"/>
  <c r="K356" i="1"/>
  <c r="M356" i="1" s="1"/>
  <c r="O356" i="1" s="1"/>
  <c r="P356" i="1" s="1"/>
  <c r="K357" i="1"/>
  <c r="M357" i="1" s="1"/>
  <c r="O357" i="1" s="1"/>
  <c r="P357" i="1" s="1"/>
  <c r="K358" i="1"/>
  <c r="M358" i="1" s="1"/>
  <c r="O358" i="1" s="1"/>
  <c r="P358" i="1" s="1"/>
  <c r="K359" i="1"/>
  <c r="M359" i="1" s="1"/>
  <c r="O359" i="1" s="1"/>
  <c r="P359" i="1" s="1"/>
  <c r="C359" i="1"/>
  <c r="Y16" i="3" l="1"/>
  <c r="Y75" i="3" s="1"/>
  <c r="Y79" i="3" s="1"/>
  <c r="V37" i="3"/>
  <c r="V75" i="3" s="1"/>
  <c r="V79" i="3" s="1"/>
  <c r="X75" i="3"/>
  <c r="X79" i="3" s="1"/>
  <c r="M360" i="1"/>
  <c r="O131" i="1"/>
  <c r="AG131" i="1" s="1"/>
  <c r="O277" i="1"/>
  <c r="U359" i="1"/>
  <c r="U358" i="1"/>
  <c r="U357" i="1"/>
  <c r="P351" i="1"/>
  <c r="P352" i="1"/>
  <c r="O360" i="1" l="1"/>
  <c r="O3" i="1"/>
  <c r="X131" i="1"/>
  <c r="P131" i="1"/>
  <c r="AA131" i="1"/>
  <c r="U131" i="1"/>
  <c r="AD131" i="1"/>
  <c r="P277" i="1"/>
  <c r="H46" i="4"/>
  <c r="K11" i="4"/>
  <c r="J11" i="4"/>
  <c r="K88" i="4"/>
  <c r="J88" i="4"/>
  <c r="K87" i="4"/>
  <c r="J87" i="4"/>
  <c r="K86" i="4"/>
  <c r="J86" i="4"/>
  <c r="K85" i="4"/>
  <c r="J85" i="4"/>
  <c r="K84" i="4"/>
  <c r="J84" i="4"/>
  <c r="K83" i="4"/>
  <c r="J83" i="4"/>
  <c r="K81" i="4"/>
  <c r="K80" i="4"/>
  <c r="K79" i="4"/>
  <c r="K77" i="4"/>
  <c r="K72" i="4"/>
  <c r="K68" i="4"/>
  <c r="K66" i="4"/>
  <c r="K64" i="4"/>
  <c r="K63" i="4"/>
  <c r="J63" i="4"/>
  <c r="K62" i="4"/>
  <c r="J62" i="4"/>
  <c r="K61" i="4"/>
  <c r="J61" i="4"/>
  <c r="K60" i="4"/>
  <c r="J57" i="4"/>
  <c r="J56" i="4"/>
  <c r="J55" i="4"/>
  <c r="J54" i="4"/>
  <c r="K53" i="4"/>
  <c r="K52" i="4"/>
  <c r="K50" i="4"/>
  <c r="K49" i="4"/>
  <c r="J49" i="4"/>
  <c r="K48" i="4"/>
  <c r="J48" i="4"/>
  <c r="K44" i="4"/>
  <c r="J44" i="4"/>
  <c r="K43" i="4"/>
  <c r="J43" i="4"/>
  <c r="K41" i="4"/>
  <c r="J41" i="4"/>
  <c r="K40" i="4"/>
  <c r="J40" i="4"/>
  <c r="K39" i="4"/>
  <c r="K36" i="4"/>
  <c r="J36" i="4"/>
  <c r="K35" i="4"/>
  <c r="K34" i="4"/>
  <c r="J34" i="4"/>
  <c r="K33" i="4"/>
  <c r="J33" i="4"/>
  <c r="K32" i="4"/>
  <c r="J32" i="4"/>
  <c r="K31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K21" i="4"/>
  <c r="J21" i="4"/>
  <c r="H11" i="4"/>
  <c r="G11" i="4"/>
  <c r="H88" i="4"/>
  <c r="H87" i="4"/>
  <c r="H86" i="4"/>
  <c r="H85" i="4"/>
  <c r="H84" i="4"/>
  <c r="H83" i="4"/>
  <c r="H81" i="4"/>
  <c r="H80" i="4"/>
  <c r="H79" i="4"/>
  <c r="H77" i="4"/>
  <c r="H76" i="4"/>
  <c r="H75" i="4"/>
  <c r="H72" i="4"/>
  <c r="H68" i="4"/>
  <c r="H66" i="4"/>
  <c r="H64" i="4"/>
  <c r="H63" i="4"/>
  <c r="H62" i="4"/>
  <c r="H61" i="4"/>
  <c r="H60" i="4"/>
  <c r="H53" i="4"/>
  <c r="H52" i="4"/>
  <c r="H50" i="4"/>
  <c r="H49" i="4"/>
  <c r="H48" i="4"/>
  <c r="H44" i="4"/>
  <c r="H43" i="4"/>
  <c r="H41" i="4"/>
  <c r="H40" i="4"/>
  <c r="H39" i="4"/>
  <c r="H36" i="4"/>
  <c r="H35" i="4"/>
  <c r="H34" i="4"/>
  <c r="H33" i="4"/>
  <c r="H32" i="4"/>
  <c r="H31" i="4"/>
  <c r="H29" i="4"/>
  <c r="H28" i="4"/>
  <c r="H27" i="4"/>
  <c r="H26" i="4"/>
  <c r="H25" i="4"/>
  <c r="H24" i="4"/>
  <c r="H23" i="4"/>
  <c r="H22" i="4"/>
  <c r="H21" i="4"/>
  <c r="P360" i="1" l="1"/>
  <c r="P3" i="1"/>
  <c r="AH131" i="1"/>
  <c r="J45" i="4"/>
  <c r="K12" i="4"/>
  <c r="J12" i="4"/>
  <c r="K82" i="4"/>
  <c r="H82" i="4"/>
  <c r="K59" i="4"/>
  <c r="H12" i="4"/>
  <c r="I11" i="4"/>
  <c r="K20" i="4"/>
  <c r="K47" i="4"/>
  <c r="H20" i="4"/>
  <c r="H47" i="4"/>
  <c r="H59" i="4"/>
  <c r="K75" i="4" l="1"/>
  <c r="K76" i="4"/>
  <c r="K46" i="4"/>
  <c r="J68" i="4"/>
  <c r="E68" i="4" s="1"/>
  <c r="H45" i="4"/>
  <c r="K45" i="4"/>
  <c r="H58" i="4" l="1"/>
  <c r="H69" i="4"/>
  <c r="H71" i="4"/>
  <c r="H74" i="4"/>
  <c r="J35" i="4"/>
  <c r="H70" i="4"/>
  <c r="H78" i="4"/>
  <c r="H67" i="4"/>
  <c r="J46" i="4"/>
  <c r="J52" i="4"/>
  <c r="J58" i="4"/>
  <c r="J81" i="4"/>
  <c r="E81" i="4" s="1"/>
  <c r="J53" i="4"/>
  <c r="K42" i="4"/>
  <c r="H42" i="4"/>
  <c r="J38" i="4" l="1"/>
  <c r="K67" i="4"/>
  <c r="K69" i="4"/>
  <c r="J37" i="4"/>
  <c r="K78" i="4"/>
  <c r="H65" i="4"/>
  <c r="K70" i="4"/>
  <c r="K74" i="4"/>
  <c r="K71" i="4"/>
  <c r="H73" i="4"/>
  <c r="K58" i="4"/>
  <c r="L58" i="4" s="1"/>
  <c r="E71" i="9"/>
  <c r="E322" i="1" s="1"/>
  <c r="E72" i="9"/>
  <c r="E332" i="1" s="1"/>
  <c r="G89" i="9"/>
  <c r="E277" i="1"/>
  <c r="G94" i="9"/>
  <c r="E94" i="9"/>
  <c r="G93" i="9"/>
  <c r="E93" i="9"/>
  <c r="G92" i="9"/>
  <c r="E92" i="9"/>
  <c r="G91" i="9"/>
  <c r="E91" i="9"/>
  <c r="G90" i="9"/>
  <c r="E90" i="9"/>
  <c r="E89" i="9"/>
  <c r="E86" i="9"/>
  <c r="E353" i="1" s="1"/>
  <c r="E85" i="9"/>
  <c r="E352" i="1" s="1"/>
  <c r="E84" i="9"/>
  <c r="E351" i="1" s="1"/>
  <c r="E83" i="9"/>
  <c r="E348" i="1" s="1"/>
  <c r="E82" i="9"/>
  <c r="E347" i="1" s="1"/>
  <c r="E81" i="9"/>
  <c r="E346" i="1" s="1"/>
  <c r="E80" i="9"/>
  <c r="E345" i="1" s="1"/>
  <c r="E79" i="9"/>
  <c r="E344" i="1" s="1"/>
  <c r="E76" i="9"/>
  <c r="E343" i="1" s="1"/>
  <c r="E75" i="9"/>
  <c r="E74" i="9"/>
  <c r="E340" i="1" s="1"/>
  <c r="E73" i="9"/>
  <c r="E339" i="1" s="1"/>
  <c r="E70" i="9"/>
  <c r="E321" i="1" s="1"/>
  <c r="E67" i="9"/>
  <c r="E320" i="1" s="1"/>
  <c r="E66" i="9"/>
  <c r="G66" i="9" s="1"/>
  <c r="E65" i="9"/>
  <c r="G65" i="9" s="1"/>
  <c r="E64" i="9"/>
  <c r="G64" i="9" s="1"/>
  <c r="E63" i="9"/>
  <c r="G63" i="9" s="1"/>
  <c r="E60" i="9"/>
  <c r="E315" i="1" s="1"/>
  <c r="E59" i="9"/>
  <c r="E314" i="1" s="1"/>
  <c r="E58" i="9"/>
  <c r="E313" i="1" s="1"/>
  <c r="E57" i="9"/>
  <c r="E312" i="1" s="1"/>
  <c r="E56" i="9"/>
  <c r="E311" i="1" s="1"/>
  <c r="E55" i="9"/>
  <c r="E309" i="1" s="1"/>
  <c r="E54" i="9"/>
  <c r="E308" i="1" s="1"/>
  <c r="E51" i="9"/>
  <c r="E307" i="1" s="1"/>
  <c r="E50" i="9"/>
  <c r="E306" i="1" s="1"/>
  <c r="E49" i="9"/>
  <c r="E305" i="1" s="1"/>
  <c r="E46" i="9"/>
  <c r="E304" i="1" s="1"/>
  <c r="E45" i="9"/>
  <c r="E303" i="1" s="1"/>
  <c r="E44" i="9"/>
  <c r="E302" i="1" s="1"/>
  <c r="E43" i="9"/>
  <c r="E301" i="1" s="1"/>
  <c r="E40" i="9"/>
  <c r="E300" i="1" s="1"/>
  <c r="E39" i="9"/>
  <c r="E299" i="1" s="1"/>
  <c r="E38" i="9"/>
  <c r="E298" i="1" s="1"/>
  <c r="E37" i="9"/>
  <c r="E295" i="1" s="1"/>
  <c r="E36" i="9"/>
  <c r="E293" i="1" s="1"/>
  <c r="E35" i="9"/>
  <c r="E291" i="1" s="1"/>
  <c r="E34" i="9"/>
  <c r="E33" i="9"/>
  <c r="E32" i="9"/>
  <c r="E31" i="9"/>
  <c r="E30" i="9"/>
  <c r="G27" i="9"/>
  <c r="E27" i="9"/>
  <c r="G26" i="9"/>
  <c r="E26" i="9"/>
  <c r="G25" i="9"/>
  <c r="E25" i="9"/>
  <c r="G24" i="9"/>
  <c r="E24" i="9"/>
  <c r="G23" i="9"/>
  <c r="E23" i="9"/>
  <c r="G22" i="9"/>
  <c r="E22" i="9"/>
  <c r="G21" i="9"/>
  <c r="E21" i="9"/>
  <c r="G20" i="9"/>
  <c r="E20" i="9"/>
  <c r="E19" i="9"/>
  <c r="C278" i="1"/>
  <c r="C279" i="1"/>
  <c r="C280" i="1"/>
  <c r="C281" i="1"/>
  <c r="C282" i="1"/>
  <c r="C283" i="1"/>
  <c r="C284" i="1"/>
  <c r="C285" i="1"/>
  <c r="C286" i="1"/>
  <c r="C291" i="1"/>
  <c r="C293" i="1"/>
  <c r="C295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32" i="1"/>
  <c r="C339" i="1"/>
  <c r="C340" i="1"/>
  <c r="C343" i="1"/>
  <c r="C344" i="1"/>
  <c r="C345" i="1"/>
  <c r="C346" i="1"/>
  <c r="C347" i="1"/>
  <c r="C348" i="1"/>
  <c r="C351" i="1"/>
  <c r="C352" i="1"/>
  <c r="C353" i="1"/>
  <c r="C354" i="1"/>
  <c r="C355" i="1"/>
  <c r="C356" i="1"/>
  <c r="C357" i="1"/>
  <c r="C358" i="1"/>
  <c r="E354" i="1" l="1"/>
  <c r="E316" i="1"/>
  <c r="E317" i="1"/>
  <c r="E281" i="1"/>
  <c r="E318" i="1"/>
  <c r="E319" i="1"/>
  <c r="E359" i="1"/>
  <c r="E355" i="1"/>
  <c r="E284" i="1"/>
  <c r="E283" i="1"/>
  <c r="E356" i="1"/>
  <c r="E280" i="1"/>
  <c r="E357" i="1"/>
  <c r="E285" i="1"/>
  <c r="E282" i="1"/>
  <c r="E358" i="1"/>
  <c r="E279" i="1"/>
  <c r="E278" i="1"/>
  <c r="G10" i="9"/>
  <c r="E286" i="1"/>
  <c r="G29" i="9"/>
  <c r="K73" i="4"/>
  <c r="K65" i="4"/>
  <c r="H55" i="4"/>
  <c r="H38" i="4"/>
  <c r="H54" i="4"/>
  <c r="H37" i="4"/>
  <c r="H57" i="4"/>
  <c r="H56" i="4"/>
  <c r="G84" i="4"/>
  <c r="I84" i="4" s="1"/>
  <c r="L84" i="4"/>
  <c r="G28" i="4"/>
  <c r="I28" i="4" s="1"/>
  <c r="L28" i="4"/>
  <c r="G71" i="4"/>
  <c r="I71" i="4" s="1"/>
  <c r="G43" i="4"/>
  <c r="L85" i="4"/>
  <c r="G85" i="4"/>
  <c r="I85" i="4" s="1"/>
  <c r="G76" i="4"/>
  <c r="I76" i="4" s="1"/>
  <c r="G67" i="4"/>
  <c r="I67" i="4" s="1"/>
  <c r="G57" i="4"/>
  <c r="G48" i="4"/>
  <c r="I48" i="4" s="1"/>
  <c r="G38" i="4"/>
  <c r="G29" i="4"/>
  <c r="I29" i="4" s="1"/>
  <c r="L29" i="4"/>
  <c r="G21" i="4"/>
  <c r="L46" i="4"/>
  <c r="G46" i="4"/>
  <c r="I46" i="4" s="1"/>
  <c r="G56" i="4"/>
  <c r="G74" i="4"/>
  <c r="I74" i="4" s="1"/>
  <c r="G55" i="4"/>
  <c r="L36" i="4"/>
  <c r="G36" i="4"/>
  <c r="I36" i="4" s="1"/>
  <c r="G37" i="4"/>
  <c r="G83" i="4"/>
  <c r="I83" i="4" s="1"/>
  <c r="G64" i="4"/>
  <c r="I64" i="4" s="1"/>
  <c r="L45" i="4"/>
  <c r="G45" i="4"/>
  <c r="I45" i="4" s="1"/>
  <c r="G27" i="4"/>
  <c r="I27" i="4" s="1"/>
  <c r="L27" i="4"/>
  <c r="G81" i="4"/>
  <c r="I81" i="4" s="1"/>
  <c r="L81" i="4"/>
  <c r="G72" i="4"/>
  <c r="I72" i="4" s="1"/>
  <c r="G63" i="4"/>
  <c r="I63" i="4" s="1"/>
  <c r="L63" i="4"/>
  <c r="G54" i="4"/>
  <c r="G44" i="4"/>
  <c r="I44" i="4" s="1"/>
  <c r="L44" i="4"/>
  <c r="G35" i="4"/>
  <c r="I35" i="4" s="1"/>
  <c r="L35" i="4"/>
  <c r="G26" i="4"/>
  <c r="I26" i="4" s="1"/>
  <c r="L26" i="4"/>
  <c r="G75" i="4"/>
  <c r="I75" i="4" s="1"/>
  <c r="L62" i="4"/>
  <c r="G62" i="4"/>
  <c r="I62" i="4" s="1"/>
  <c r="G25" i="4"/>
  <c r="I25" i="4" s="1"/>
  <c r="L25" i="4"/>
  <c r="G88" i="4"/>
  <c r="I88" i="4" s="1"/>
  <c r="L88" i="4"/>
  <c r="G79" i="4"/>
  <c r="I79" i="4" s="1"/>
  <c r="G70" i="4"/>
  <c r="I70" i="4" s="1"/>
  <c r="G61" i="4"/>
  <c r="I61" i="4" s="1"/>
  <c r="L61" i="4"/>
  <c r="G52" i="4"/>
  <c r="I52" i="4" s="1"/>
  <c r="G41" i="4"/>
  <c r="I41" i="4" s="1"/>
  <c r="L41" i="4"/>
  <c r="G33" i="4"/>
  <c r="I33" i="4" s="1"/>
  <c r="L33" i="4"/>
  <c r="G24" i="4"/>
  <c r="I24" i="4" s="1"/>
  <c r="L24" i="4"/>
  <c r="G53" i="4"/>
  <c r="I53" i="4" s="1"/>
  <c r="L53" i="4"/>
  <c r="L87" i="4"/>
  <c r="G87" i="4"/>
  <c r="I87" i="4" s="1"/>
  <c r="G78" i="4"/>
  <c r="I78" i="4" s="1"/>
  <c r="G69" i="4"/>
  <c r="I69" i="4" s="1"/>
  <c r="G60" i="4"/>
  <c r="I60" i="4" s="1"/>
  <c r="G50" i="4"/>
  <c r="I50" i="4" s="1"/>
  <c r="L40" i="4"/>
  <c r="G40" i="4"/>
  <c r="I40" i="4" s="1"/>
  <c r="L32" i="4"/>
  <c r="G32" i="4"/>
  <c r="I32" i="4" s="1"/>
  <c r="L23" i="4"/>
  <c r="G23" i="4"/>
  <c r="I23" i="4" s="1"/>
  <c r="G66" i="4"/>
  <c r="I66" i="4" s="1"/>
  <c r="G80" i="4"/>
  <c r="I80" i="4" s="1"/>
  <c r="G34" i="4"/>
  <c r="I34" i="4" s="1"/>
  <c r="L34" i="4"/>
  <c r="L86" i="4"/>
  <c r="G86" i="4"/>
  <c r="I86" i="4" s="1"/>
  <c r="G77" i="4"/>
  <c r="I77" i="4" s="1"/>
  <c r="G68" i="4"/>
  <c r="I68" i="4" s="1"/>
  <c r="L68" i="4"/>
  <c r="G58" i="4"/>
  <c r="I58" i="4" s="1"/>
  <c r="G49" i="4"/>
  <c r="I49" i="4" s="1"/>
  <c r="L49" i="4"/>
  <c r="G39" i="4"/>
  <c r="I39" i="4" s="1"/>
  <c r="L22" i="4"/>
  <c r="G22" i="4"/>
  <c r="I22" i="4" s="1"/>
  <c r="J77" i="4"/>
  <c r="J71" i="4"/>
  <c r="L71" i="4" s="1"/>
  <c r="J79" i="4"/>
  <c r="J80" i="4"/>
  <c r="K55" i="4"/>
  <c r="L55" i="4" s="1"/>
  <c r="K57" i="4"/>
  <c r="L57" i="4" s="1"/>
  <c r="G42" i="9"/>
  <c r="G88" i="9"/>
  <c r="G18" i="9"/>
  <c r="G78" i="9"/>
  <c r="G48" i="9"/>
  <c r="G62" i="9"/>
  <c r="G69" i="9"/>
  <c r="G53" i="9"/>
  <c r="G11" i="9"/>
  <c r="E360" i="1" l="1"/>
  <c r="L77" i="4"/>
  <c r="E77" i="4"/>
  <c r="E71" i="4"/>
  <c r="L79" i="4"/>
  <c r="E79" i="4"/>
  <c r="L80" i="4"/>
  <c r="E80" i="4"/>
  <c r="G9" i="4"/>
  <c r="H9" i="4"/>
  <c r="H10" i="4"/>
  <c r="I43" i="4"/>
  <c r="G42" i="4"/>
  <c r="I21" i="4"/>
  <c r="G20" i="4"/>
  <c r="I20" i="4" s="1"/>
  <c r="J39" i="4"/>
  <c r="L39" i="4" s="1"/>
  <c r="I56" i="4"/>
  <c r="J75" i="4"/>
  <c r="I57" i="4"/>
  <c r="J76" i="4"/>
  <c r="J50" i="4"/>
  <c r="L50" i="4" s="1"/>
  <c r="J72" i="4"/>
  <c r="J60" i="4"/>
  <c r="L60" i="4" s="1"/>
  <c r="J74" i="4"/>
  <c r="K56" i="4"/>
  <c r="L56" i="4" s="1"/>
  <c r="J67" i="4"/>
  <c r="J78" i="4"/>
  <c r="K37" i="4"/>
  <c r="L37" i="4" s="1"/>
  <c r="K54" i="4"/>
  <c r="J70" i="4"/>
  <c r="I37" i="4"/>
  <c r="J66" i="4"/>
  <c r="I54" i="4"/>
  <c r="I38" i="4"/>
  <c r="K38" i="4"/>
  <c r="L38" i="4" s="1"/>
  <c r="J64" i="4"/>
  <c r="L64" i="4" s="1"/>
  <c r="J69" i="4"/>
  <c r="I55" i="4"/>
  <c r="H51" i="4"/>
  <c r="H30" i="4"/>
  <c r="G12" i="4"/>
  <c r="I12" i="4" s="1"/>
  <c r="J51" i="4"/>
  <c r="L52" i="4"/>
  <c r="L48" i="4"/>
  <c r="J20" i="4"/>
  <c r="L20" i="4" s="1"/>
  <c r="L21" i="4"/>
  <c r="J82" i="4"/>
  <c r="L83" i="4"/>
  <c r="J42" i="4"/>
  <c r="L42" i="4" s="1"/>
  <c r="L43" i="4"/>
  <c r="X277" i="1"/>
  <c r="AD277" i="1"/>
  <c r="AA277" i="1"/>
  <c r="AG277" i="1"/>
  <c r="U277" i="1"/>
  <c r="G7" i="9"/>
  <c r="J9" i="4" l="1"/>
  <c r="L74" i="4"/>
  <c r="E74" i="4"/>
  <c r="L70" i="4"/>
  <c r="E70" i="4"/>
  <c r="L72" i="4"/>
  <c r="E72" i="4"/>
  <c r="L69" i="4"/>
  <c r="E69" i="4"/>
  <c r="L76" i="4"/>
  <c r="E76" i="4"/>
  <c r="L78" i="4"/>
  <c r="E78" i="4"/>
  <c r="L67" i="4"/>
  <c r="E67" i="4"/>
  <c r="L75" i="4"/>
  <c r="E75" i="4"/>
  <c r="L66" i="4"/>
  <c r="E66" i="4"/>
  <c r="I9" i="4"/>
  <c r="L82" i="4"/>
  <c r="X320" i="1"/>
  <c r="AG320" i="1"/>
  <c r="U320" i="1"/>
  <c r="AD320" i="1"/>
  <c r="AA320" i="1"/>
  <c r="X309" i="1"/>
  <c r="AD309" i="1"/>
  <c r="AG309" i="1"/>
  <c r="AA309" i="1"/>
  <c r="U309" i="1"/>
  <c r="AA358" i="1"/>
  <c r="X358" i="1"/>
  <c r="AG358" i="1"/>
  <c r="AD358" i="1"/>
  <c r="AD314" i="1"/>
  <c r="X314" i="1"/>
  <c r="U314" i="1"/>
  <c r="AA314" i="1"/>
  <c r="AG314" i="1"/>
  <c r="AD303" i="1"/>
  <c r="AG303" i="1"/>
  <c r="X303" i="1"/>
  <c r="AA303" i="1"/>
  <c r="U303" i="1"/>
  <c r="AD351" i="1"/>
  <c r="AA351" i="1"/>
  <c r="U351" i="1"/>
  <c r="AG351" i="1"/>
  <c r="X351" i="1"/>
  <c r="X347" i="1"/>
  <c r="AD347" i="1"/>
  <c r="U347" i="1"/>
  <c r="AA347" i="1"/>
  <c r="AG347" i="1"/>
  <c r="AA353" i="1"/>
  <c r="X353" i="1"/>
  <c r="AG353" i="1"/>
  <c r="AD353" i="1"/>
  <c r="U353" i="1"/>
  <c r="AG286" i="1"/>
  <c r="U286" i="1"/>
  <c r="AA286" i="1"/>
  <c r="AD286" i="1"/>
  <c r="X286" i="1"/>
  <c r="AA305" i="1"/>
  <c r="AG305" i="1"/>
  <c r="AD305" i="1"/>
  <c r="U305" i="1"/>
  <c r="X305" i="1"/>
  <c r="X281" i="1"/>
  <c r="AD281" i="1"/>
  <c r="U281" i="1"/>
  <c r="AA281" i="1"/>
  <c r="AG281" i="1"/>
  <c r="AA316" i="1"/>
  <c r="AG316" i="1"/>
  <c r="X316" i="1"/>
  <c r="U316" i="1"/>
  <c r="AD316" i="1"/>
  <c r="X302" i="1"/>
  <c r="U302" i="1"/>
  <c r="AA302" i="1"/>
  <c r="AG302" i="1"/>
  <c r="AD302" i="1"/>
  <c r="X346" i="1"/>
  <c r="AD346" i="1"/>
  <c r="U346" i="1"/>
  <c r="AA346" i="1"/>
  <c r="AG346" i="1"/>
  <c r="AD307" i="1"/>
  <c r="X307" i="1"/>
  <c r="U307" i="1"/>
  <c r="AG307" i="1"/>
  <c r="AA307" i="1"/>
  <c r="AA291" i="1"/>
  <c r="U291" i="1"/>
  <c r="AG291" i="1"/>
  <c r="AD291" i="1"/>
  <c r="X291" i="1"/>
  <c r="U352" i="1"/>
  <c r="AD352" i="1"/>
  <c r="AA352" i="1"/>
  <c r="AG352" i="1"/>
  <c r="X352" i="1"/>
  <c r="AG300" i="1"/>
  <c r="X300" i="1"/>
  <c r="AD300" i="1"/>
  <c r="U300" i="1"/>
  <c r="AA300" i="1"/>
  <c r="AA298" i="1"/>
  <c r="U298" i="1"/>
  <c r="X298" i="1"/>
  <c r="AD298" i="1"/>
  <c r="AG298" i="1"/>
  <c r="X356" i="1"/>
  <c r="AD356" i="1"/>
  <c r="U356" i="1"/>
  <c r="AA356" i="1"/>
  <c r="AG356" i="1"/>
  <c r="X339" i="1"/>
  <c r="AA339" i="1"/>
  <c r="U339" i="1"/>
  <c r="AG339" i="1"/>
  <c r="AD339" i="1"/>
  <c r="AG312" i="1"/>
  <c r="U312" i="1"/>
  <c r="AD312" i="1"/>
  <c r="AA312" i="1"/>
  <c r="X312" i="1"/>
  <c r="AD284" i="1"/>
  <c r="U284" i="1"/>
  <c r="AA284" i="1"/>
  <c r="AG284" i="1"/>
  <c r="X284" i="1"/>
  <c r="U304" i="1"/>
  <c r="AA304" i="1"/>
  <c r="AG304" i="1"/>
  <c r="X304" i="1"/>
  <c r="AD304" i="1"/>
  <c r="AD279" i="1"/>
  <c r="X279" i="1"/>
  <c r="U279" i="1"/>
  <c r="AG279" i="1"/>
  <c r="AA279" i="1"/>
  <c r="X322" i="1"/>
  <c r="AD322" i="1"/>
  <c r="AG322" i="1"/>
  <c r="U322" i="1"/>
  <c r="AA322" i="1"/>
  <c r="AA344" i="1"/>
  <c r="U344" i="1"/>
  <c r="AG344" i="1"/>
  <c r="X344" i="1"/>
  <c r="AD344" i="1"/>
  <c r="AG359" i="1"/>
  <c r="X359" i="1"/>
  <c r="AD359" i="1"/>
  <c r="AA359" i="1"/>
  <c r="AA357" i="1"/>
  <c r="AD357" i="1"/>
  <c r="X357" i="1"/>
  <c r="AG357" i="1"/>
  <c r="AG282" i="1"/>
  <c r="AD282" i="1"/>
  <c r="X282" i="1"/>
  <c r="AA282" i="1"/>
  <c r="U282" i="1"/>
  <c r="AG301" i="1"/>
  <c r="X301" i="1"/>
  <c r="U301" i="1"/>
  <c r="AD301" i="1"/>
  <c r="AA301" i="1"/>
  <c r="AA348" i="1"/>
  <c r="X348" i="1"/>
  <c r="AG348" i="1"/>
  <c r="AD348" i="1"/>
  <c r="U348" i="1"/>
  <c r="X293" i="1"/>
  <c r="AD293" i="1"/>
  <c r="U293" i="1"/>
  <c r="AA293" i="1"/>
  <c r="AG293" i="1"/>
  <c r="AD313" i="1"/>
  <c r="X313" i="1"/>
  <c r="AA313" i="1"/>
  <c r="AG313" i="1"/>
  <c r="U313" i="1"/>
  <c r="AD345" i="1"/>
  <c r="U345" i="1"/>
  <c r="AA345" i="1"/>
  <c r="X345" i="1"/>
  <c r="AG345" i="1"/>
  <c r="AG354" i="1"/>
  <c r="AD354" i="1"/>
  <c r="X354" i="1"/>
  <c r="U354" i="1"/>
  <c r="AA354" i="1"/>
  <c r="X311" i="1"/>
  <c r="AD311" i="1"/>
  <c r="AA311" i="1"/>
  <c r="U311" i="1"/>
  <c r="AG311" i="1"/>
  <c r="AG317" i="1"/>
  <c r="AA317" i="1"/>
  <c r="X317" i="1"/>
  <c r="U317" i="1"/>
  <c r="AD317" i="1"/>
  <c r="U315" i="1"/>
  <c r="AD315" i="1"/>
  <c r="AA315" i="1"/>
  <c r="X315" i="1"/>
  <c r="AG315" i="1"/>
  <c r="X283" i="1"/>
  <c r="U283" i="1"/>
  <c r="AD283" i="1"/>
  <c r="AG283" i="1"/>
  <c r="AA283" i="1"/>
  <c r="U308" i="1"/>
  <c r="AD308" i="1"/>
  <c r="X308" i="1"/>
  <c r="AG308" i="1"/>
  <c r="AA308" i="1"/>
  <c r="X306" i="1"/>
  <c r="U306" i="1"/>
  <c r="AG306" i="1"/>
  <c r="AA306" i="1"/>
  <c r="AD306" i="1"/>
  <c r="X285" i="1"/>
  <c r="AD285" i="1"/>
  <c r="AG285" i="1"/>
  <c r="U285" i="1"/>
  <c r="AA285" i="1"/>
  <c r="AD355" i="1"/>
  <c r="U355" i="1"/>
  <c r="AA355" i="1"/>
  <c r="AG355" i="1"/>
  <c r="X355" i="1"/>
  <c r="AD295" i="1"/>
  <c r="AG295" i="1"/>
  <c r="X295" i="1"/>
  <c r="U295" i="1"/>
  <c r="AA295" i="1"/>
  <c r="AD299" i="1"/>
  <c r="U299" i="1"/>
  <c r="AA299" i="1"/>
  <c r="AG299" i="1"/>
  <c r="X299" i="1"/>
  <c r="U321" i="1"/>
  <c r="AA321" i="1"/>
  <c r="AG321" i="1"/>
  <c r="X321" i="1"/>
  <c r="AD321" i="1"/>
  <c r="AA343" i="1"/>
  <c r="X343" i="1"/>
  <c r="AD343" i="1"/>
  <c r="U343" i="1"/>
  <c r="AG343" i="1"/>
  <c r="X340" i="1"/>
  <c r="AD340" i="1"/>
  <c r="U340" i="1"/>
  <c r="AA340" i="1"/>
  <c r="AG340" i="1"/>
  <c r="X332" i="1"/>
  <c r="U332" i="1"/>
  <c r="AA332" i="1"/>
  <c r="AD332" i="1"/>
  <c r="AG332" i="1"/>
  <c r="AG319" i="1"/>
  <c r="X319" i="1"/>
  <c r="AD319" i="1"/>
  <c r="U319" i="1"/>
  <c r="AA319" i="1"/>
  <c r="U318" i="1"/>
  <c r="AA318" i="1"/>
  <c r="AG318" i="1"/>
  <c r="X318" i="1"/>
  <c r="AD318" i="1"/>
  <c r="AG280" i="1"/>
  <c r="X280" i="1"/>
  <c r="AD280" i="1"/>
  <c r="U280" i="1"/>
  <c r="AA280" i="1"/>
  <c r="AG278" i="1"/>
  <c r="U278" i="1"/>
  <c r="AA278" i="1"/>
  <c r="X278" i="1"/>
  <c r="AD278" i="1"/>
  <c r="J47" i="4"/>
  <c r="L47" i="4" s="1"/>
  <c r="J73" i="4"/>
  <c r="L73" i="4" s="1"/>
  <c r="J59" i="4"/>
  <c r="L59" i="4" s="1"/>
  <c r="K9" i="4"/>
  <c r="L54" i="4"/>
  <c r="K10" i="4"/>
  <c r="K30" i="4"/>
  <c r="J65" i="4"/>
  <c r="L65" i="4" s="1"/>
  <c r="K51" i="4"/>
  <c r="L51" i="4" s="1"/>
  <c r="AH277" i="1"/>
  <c r="D74" i="3"/>
  <c r="D73" i="3"/>
  <c r="D72" i="3"/>
  <c r="D71" i="3"/>
  <c r="D70" i="3"/>
  <c r="D69" i="3"/>
  <c r="D67" i="3"/>
  <c r="D66" i="3"/>
  <c r="D65" i="3"/>
  <c r="D64" i="3"/>
  <c r="D63" i="3"/>
  <c r="D62" i="3"/>
  <c r="D61" i="3"/>
  <c r="D60" i="3"/>
  <c r="D58" i="3"/>
  <c r="D57" i="3"/>
  <c r="D56" i="3"/>
  <c r="D55" i="3"/>
  <c r="D54" i="3"/>
  <c r="D53" i="3"/>
  <c r="D52" i="3"/>
  <c r="D50" i="3"/>
  <c r="D49" i="3"/>
  <c r="D48" i="3"/>
  <c r="D47" i="3"/>
  <c r="D46" i="3"/>
  <c r="D44" i="3"/>
  <c r="D43" i="3"/>
  <c r="D42" i="3"/>
  <c r="D41" i="3"/>
  <c r="D40" i="3"/>
  <c r="D39" i="3"/>
  <c r="D38" i="3"/>
  <c r="D36" i="3"/>
  <c r="D35" i="3"/>
  <c r="D34" i="3"/>
  <c r="D32" i="3"/>
  <c r="D31" i="3"/>
  <c r="D30" i="3"/>
  <c r="D29" i="3"/>
  <c r="D27" i="3"/>
  <c r="D26" i="3"/>
  <c r="D25" i="3"/>
  <c r="D23" i="3"/>
  <c r="D22" i="3"/>
  <c r="D21" i="3"/>
  <c r="D20" i="3"/>
  <c r="D19" i="3"/>
  <c r="D18" i="3"/>
  <c r="D15" i="3"/>
  <c r="D14" i="3"/>
  <c r="D13" i="3"/>
  <c r="D12" i="3"/>
  <c r="D11" i="3"/>
  <c r="D10" i="3"/>
  <c r="D9" i="3"/>
  <c r="D8" i="3"/>
  <c r="D7" i="3"/>
  <c r="E8" i="3"/>
  <c r="C8" i="3"/>
  <c r="C12" i="3"/>
  <c r="C13" i="3"/>
  <c r="C14" i="3"/>
  <c r="C15" i="3"/>
  <c r="C18" i="3"/>
  <c r="C19" i="3"/>
  <c r="C20" i="3"/>
  <c r="C21" i="3"/>
  <c r="C22" i="3"/>
  <c r="C23" i="3"/>
  <c r="C24" i="3"/>
  <c r="C25" i="3"/>
  <c r="C26" i="3"/>
  <c r="C27" i="3"/>
  <c r="C29" i="3"/>
  <c r="C30" i="3"/>
  <c r="C31" i="3"/>
  <c r="C32" i="3"/>
  <c r="C34" i="3"/>
  <c r="C35" i="3"/>
  <c r="C36" i="3"/>
  <c r="C39" i="3"/>
  <c r="C42" i="3"/>
  <c r="C44" i="3"/>
  <c r="C48" i="3"/>
  <c r="C49" i="3"/>
  <c r="C50" i="3"/>
  <c r="C53" i="3"/>
  <c r="C56" i="3"/>
  <c r="C57" i="3"/>
  <c r="C58" i="3"/>
  <c r="C62" i="3"/>
  <c r="C63" i="3"/>
  <c r="C64" i="3"/>
  <c r="C65" i="3"/>
  <c r="C69" i="3"/>
  <c r="C70" i="3"/>
  <c r="C71" i="3"/>
  <c r="C72" i="3"/>
  <c r="C73" i="3"/>
  <c r="C74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E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E43" i="3"/>
  <c r="F43" i="3"/>
  <c r="G43" i="3"/>
  <c r="H43" i="3"/>
  <c r="I43" i="3"/>
  <c r="J43" i="3"/>
  <c r="K43" i="3"/>
  <c r="L43" i="3"/>
  <c r="N43" i="3"/>
  <c r="O43" i="3"/>
  <c r="P43" i="3"/>
  <c r="Q43" i="3"/>
  <c r="R43" i="3"/>
  <c r="S43" i="3"/>
  <c r="T43" i="3"/>
  <c r="U43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AB12" i="3" l="1"/>
  <c r="AB32" i="3"/>
  <c r="AB52" i="3"/>
  <c r="AB70" i="3"/>
  <c r="AB13" i="3"/>
  <c r="AB34" i="3"/>
  <c r="AB53" i="3"/>
  <c r="AB71" i="3"/>
  <c r="AB14" i="3"/>
  <c r="AB35" i="3"/>
  <c r="AB54" i="3"/>
  <c r="AB72" i="3"/>
  <c r="AB15" i="3"/>
  <c r="AB36" i="3"/>
  <c r="AB55" i="3"/>
  <c r="AB73" i="3"/>
  <c r="AB31" i="3"/>
  <c r="AB18" i="3"/>
  <c r="AB38" i="3"/>
  <c r="AB56" i="3"/>
  <c r="AB74" i="3"/>
  <c r="AB19" i="3"/>
  <c r="AB39" i="3"/>
  <c r="AB57" i="3"/>
  <c r="AB20" i="3"/>
  <c r="AB40" i="3"/>
  <c r="AB58" i="3"/>
  <c r="AB11" i="3"/>
  <c r="AB21" i="3"/>
  <c r="AB41" i="3"/>
  <c r="AB60" i="3"/>
  <c r="AB22" i="3"/>
  <c r="AB42" i="3"/>
  <c r="AB61" i="3"/>
  <c r="AB23" i="3"/>
  <c r="AB43" i="3"/>
  <c r="AB62" i="3"/>
  <c r="AB69" i="3"/>
  <c r="AB24" i="3"/>
  <c r="AB25" i="3"/>
  <c r="AB44" i="3"/>
  <c r="AB63" i="3"/>
  <c r="AB7" i="3"/>
  <c r="AB26" i="3"/>
  <c r="AB46" i="3"/>
  <c r="AB64" i="3"/>
  <c r="AB8" i="3"/>
  <c r="AB27" i="3"/>
  <c r="AB47" i="3"/>
  <c r="AB65" i="3"/>
  <c r="AB50" i="3"/>
  <c r="AB9" i="3"/>
  <c r="AB29" i="3"/>
  <c r="AB48" i="3"/>
  <c r="AB66" i="3"/>
  <c r="AB10" i="3"/>
  <c r="AB30" i="3"/>
  <c r="AB49" i="3"/>
  <c r="AB67" i="3"/>
  <c r="S37" i="3"/>
  <c r="U33" i="3"/>
  <c r="U51" i="3"/>
  <c r="U68" i="3"/>
  <c r="U59" i="3"/>
  <c r="U28" i="3"/>
  <c r="U37" i="3"/>
  <c r="U45" i="3"/>
  <c r="U16" i="3"/>
  <c r="T45" i="3"/>
  <c r="T16" i="3"/>
  <c r="T33" i="3"/>
  <c r="T51" i="3"/>
  <c r="T68" i="3"/>
  <c r="T59" i="3"/>
  <c r="T37" i="3"/>
  <c r="T6" i="3"/>
  <c r="L9" i="4"/>
  <c r="E9" i="4"/>
  <c r="E6" i="4" s="1"/>
  <c r="E65" i="4"/>
  <c r="E73" i="4"/>
  <c r="AH345" i="1"/>
  <c r="AH293" i="1"/>
  <c r="AH357" i="1"/>
  <c r="AH359" i="1"/>
  <c r="AH356" i="1"/>
  <c r="AH314" i="1"/>
  <c r="AH278" i="1"/>
  <c r="AH340" i="1"/>
  <c r="AH308" i="1"/>
  <c r="AH283" i="1"/>
  <c r="AH282" i="1"/>
  <c r="AH279" i="1"/>
  <c r="AH284" i="1"/>
  <c r="AH312" i="1"/>
  <c r="AH339" i="1"/>
  <c r="AH346" i="1"/>
  <c r="AH286" i="1"/>
  <c r="AH351" i="1"/>
  <c r="AH285" i="1"/>
  <c r="AH353" i="1"/>
  <c r="AH309" i="1"/>
  <c r="AH321" i="1"/>
  <c r="AH295" i="1"/>
  <c r="AH344" i="1"/>
  <c r="AH291" i="1"/>
  <c r="AH332" i="1"/>
  <c r="AH343" i="1"/>
  <c r="AH315" i="1"/>
  <c r="AH311" i="1"/>
  <c r="AH298" i="1"/>
  <c r="AH316" i="1"/>
  <c r="AH305" i="1"/>
  <c r="AH347" i="1"/>
  <c r="AH280" i="1"/>
  <c r="AH319" i="1"/>
  <c r="AH317" i="1"/>
  <c r="AH354" i="1"/>
  <c r="AH313" i="1"/>
  <c r="AH301" i="1"/>
  <c r="AH300" i="1"/>
  <c r="AH281" i="1"/>
  <c r="AH318" i="1"/>
  <c r="AH299" i="1"/>
  <c r="AH355" i="1"/>
  <c r="AH306" i="1"/>
  <c r="AH322" i="1"/>
  <c r="AH352" i="1"/>
  <c r="AH307" i="1"/>
  <c r="AH302" i="1"/>
  <c r="AH358" i="1"/>
  <c r="AH348" i="1"/>
  <c r="AH304" i="1"/>
  <c r="AH303" i="1"/>
  <c r="AH320" i="1"/>
  <c r="L11" i="4"/>
  <c r="C28" i="3"/>
  <c r="R33" i="3"/>
  <c r="J33" i="3"/>
  <c r="N28" i="3"/>
  <c r="F28" i="3"/>
  <c r="C33" i="3"/>
  <c r="C68" i="3"/>
  <c r="N33" i="3"/>
  <c r="F33" i="3"/>
  <c r="R28" i="3"/>
  <c r="J28" i="3"/>
  <c r="L68" i="3"/>
  <c r="L59" i="3"/>
  <c r="O51" i="3"/>
  <c r="H45" i="3"/>
  <c r="G37" i="3"/>
  <c r="Q16" i="3"/>
  <c r="E16" i="3"/>
  <c r="Q6" i="3"/>
  <c r="E6" i="3"/>
  <c r="S68" i="3"/>
  <c r="O68" i="3"/>
  <c r="K68" i="3"/>
  <c r="G68" i="3"/>
  <c r="S59" i="3"/>
  <c r="O59" i="3"/>
  <c r="K59" i="3"/>
  <c r="G59" i="3"/>
  <c r="R51" i="3"/>
  <c r="N51" i="3"/>
  <c r="J51" i="3"/>
  <c r="F51" i="3"/>
  <c r="S45" i="3"/>
  <c r="O45" i="3"/>
  <c r="K45" i="3"/>
  <c r="G45" i="3"/>
  <c r="R37" i="3"/>
  <c r="N37" i="3"/>
  <c r="J37" i="3"/>
  <c r="F37" i="3"/>
  <c r="Q33" i="3"/>
  <c r="M33" i="3"/>
  <c r="I33" i="3"/>
  <c r="E33" i="3"/>
  <c r="Q28" i="3"/>
  <c r="M28" i="3"/>
  <c r="I28" i="3"/>
  <c r="E28" i="3"/>
  <c r="P16" i="3"/>
  <c r="L16" i="3"/>
  <c r="H16" i="3"/>
  <c r="P6" i="3"/>
  <c r="L6" i="3"/>
  <c r="H6" i="3"/>
  <c r="D33" i="3"/>
  <c r="H59" i="3"/>
  <c r="K51" i="3"/>
  <c r="L45" i="3"/>
  <c r="O37" i="3"/>
  <c r="M16" i="3"/>
  <c r="M6" i="3"/>
  <c r="R68" i="3"/>
  <c r="N68" i="3"/>
  <c r="J68" i="3"/>
  <c r="F68" i="3"/>
  <c r="R59" i="3"/>
  <c r="N59" i="3"/>
  <c r="J59" i="3"/>
  <c r="F59" i="3"/>
  <c r="Q51" i="3"/>
  <c r="M51" i="3"/>
  <c r="I51" i="3"/>
  <c r="E51" i="3"/>
  <c r="R45" i="3"/>
  <c r="N45" i="3"/>
  <c r="J45" i="3"/>
  <c r="F45" i="3"/>
  <c r="Q37" i="3"/>
  <c r="M37" i="3"/>
  <c r="I37" i="3"/>
  <c r="E37" i="3"/>
  <c r="P33" i="3"/>
  <c r="L33" i="3"/>
  <c r="H33" i="3"/>
  <c r="T28" i="3"/>
  <c r="P28" i="3"/>
  <c r="L28" i="3"/>
  <c r="H28" i="3"/>
  <c r="S16" i="3"/>
  <c r="O16" i="3"/>
  <c r="K16" i="3"/>
  <c r="G16" i="3"/>
  <c r="S6" i="3"/>
  <c r="O6" i="3"/>
  <c r="K6" i="3"/>
  <c r="G6" i="3"/>
  <c r="P68" i="3"/>
  <c r="H68" i="3"/>
  <c r="P59" i="3"/>
  <c r="S51" i="3"/>
  <c r="G51" i="3"/>
  <c r="P45" i="3"/>
  <c r="K37" i="3"/>
  <c r="I16" i="3"/>
  <c r="I6" i="3"/>
  <c r="Q68" i="3"/>
  <c r="M68" i="3"/>
  <c r="I68" i="3"/>
  <c r="E68" i="3"/>
  <c r="Q59" i="3"/>
  <c r="M59" i="3"/>
  <c r="I59" i="3"/>
  <c r="E59" i="3"/>
  <c r="P51" i="3"/>
  <c r="L51" i="3"/>
  <c r="H51" i="3"/>
  <c r="Q45" i="3"/>
  <c r="M45" i="3"/>
  <c r="I45" i="3"/>
  <c r="E45" i="3"/>
  <c r="P37" i="3"/>
  <c r="L37" i="3"/>
  <c r="H37" i="3"/>
  <c r="S33" i="3"/>
  <c r="O33" i="3"/>
  <c r="K33" i="3"/>
  <c r="G33" i="3"/>
  <c r="S28" i="3"/>
  <c r="O28" i="3"/>
  <c r="K28" i="3"/>
  <c r="G28" i="3"/>
  <c r="R16" i="3"/>
  <c r="N16" i="3"/>
  <c r="J16" i="3"/>
  <c r="R6" i="3"/>
  <c r="N6" i="3"/>
  <c r="J6" i="3"/>
  <c r="F6" i="3"/>
  <c r="D45" i="3"/>
  <c r="D51" i="3"/>
  <c r="D59" i="3"/>
  <c r="D6" i="3"/>
  <c r="D37" i="3"/>
  <c r="D28" i="3"/>
  <c r="D68" i="3"/>
  <c r="L12" i="4"/>
  <c r="I42" i="4"/>
  <c r="G82" i="4"/>
  <c r="I82" i="4" s="1"/>
  <c r="G47" i="4"/>
  <c r="I47" i="4" s="1"/>
  <c r="AB28" i="3" l="1"/>
  <c r="AB37" i="3"/>
  <c r="AB51" i="3"/>
  <c r="AB45" i="3"/>
  <c r="AB33" i="3"/>
  <c r="AB68" i="3"/>
  <c r="AB59" i="3"/>
  <c r="AB6" i="3"/>
  <c r="T75" i="3"/>
  <c r="T79" i="3" s="1"/>
  <c r="U75" i="3"/>
  <c r="U79" i="3" s="1"/>
  <c r="AH360" i="1"/>
  <c r="L75" i="3"/>
  <c r="L79" i="3" s="1"/>
  <c r="I75" i="3"/>
  <c r="I79" i="3" s="1"/>
  <c r="J75" i="3"/>
  <c r="J79" i="3" s="1"/>
  <c r="G75" i="3"/>
  <c r="G79" i="3" s="1"/>
  <c r="S75" i="3"/>
  <c r="S79" i="3" s="1"/>
  <c r="R75" i="3"/>
  <c r="R79" i="3" s="1"/>
  <c r="M75" i="3"/>
  <c r="M79" i="3" s="1"/>
  <c r="P75" i="3"/>
  <c r="P79" i="3" s="1"/>
  <c r="K75" i="3"/>
  <c r="K79" i="3" s="1"/>
  <c r="E75" i="3"/>
  <c r="E79" i="3" s="1"/>
  <c r="Q75" i="3"/>
  <c r="Q79" i="3" s="1"/>
  <c r="O75" i="3"/>
  <c r="O79" i="3" s="1"/>
  <c r="N75" i="3"/>
  <c r="N79" i="3" s="1"/>
  <c r="H75" i="3"/>
  <c r="H79" i="3" s="1"/>
  <c r="C38" i="3"/>
  <c r="C60" i="3"/>
  <c r="C67" i="3"/>
  <c r="C40" i="3"/>
  <c r="G31" i="4" l="1"/>
  <c r="G10" i="4" s="1"/>
  <c r="C43" i="3"/>
  <c r="C66" i="3"/>
  <c r="C7" i="3"/>
  <c r="C54" i="3"/>
  <c r="C10" i="3"/>
  <c r="C9" i="3"/>
  <c r="C52" i="3"/>
  <c r="C55" i="3"/>
  <c r="C11" i="3"/>
  <c r="C61" i="3"/>
  <c r="C17" i="3"/>
  <c r="C16" i="3" s="1"/>
  <c r="C41" i="3"/>
  <c r="C46" i="3"/>
  <c r="C47" i="3"/>
  <c r="C6" i="3" l="1"/>
  <c r="J31" i="4"/>
  <c r="J10" i="4" s="1"/>
  <c r="L10" i="4" s="1"/>
  <c r="I31" i="4"/>
  <c r="I10" i="4" s="1"/>
  <c r="F17" i="3"/>
  <c r="F16" i="3" s="1"/>
  <c r="F75" i="3" s="1"/>
  <c r="F79" i="3" s="1"/>
  <c r="D17" i="3"/>
  <c r="C59" i="3"/>
  <c r="G30" i="4"/>
  <c r="I30" i="4" s="1"/>
  <c r="C51" i="3"/>
  <c r="C37" i="3"/>
  <c r="C45" i="3"/>
  <c r="G59" i="4"/>
  <c r="I59" i="4" s="1"/>
  <c r="G65" i="4"/>
  <c r="I65" i="4" s="1"/>
  <c r="G73" i="4"/>
  <c r="I73" i="4" s="1"/>
  <c r="G51" i="4"/>
  <c r="I51" i="4" s="1"/>
  <c r="AB17" i="3" l="1"/>
  <c r="D16" i="3"/>
  <c r="AB16" i="3" s="1"/>
  <c r="J6" i="4"/>
  <c r="J30" i="4"/>
  <c r="L30" i="4" s="1"/>
  <c r="L31" i="4"/>
  <c r="C75" i="3"/>
  <c r="C76" i="3" s="1"/>
  <c r="G6" i="4"/>
  <c r="AB75" i="3" l="1"/>
  <c r="AB79" i="3" s="1"/>
  <c r="K6" i="4"/>
  <c r="L6" i="4" s="1"/>
  <c r="C79" i="3"/>
  <c r="C80" i="3" s="1"/>
  <c r="H6" i="4"/>
  <c r="I6" i="4" s="1"/>
  <c r="D75" i="3" l="1"/>
  <c r="D7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  <author>Yaritza Melendez</author>
    <author>Jose Martinez</author>
  </authors>
  <commentList>
    <comment ref="B4" authorId="0" shapeId="0" xr:uid="{4BDA1B61-17E6-47F8-965D-767337A7A931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conextor para presupuestos</t>
        </r>
      </text>
    </comment>
    <comment ref="C4" authorId="0" shapeId="0" xr:uid="{42BCD3D6-2537-4518-9077-ABF2C3737A3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4" authorId="0" shapeId="0" xr:uid="{A6A1A671-44E9-4AA3-8349-1A88C684778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4" authorId="0" shapeId="0" xr:uid="{1E3040DB-0101-481B-BD76-0CE4F1FA1B6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K4" authorId="0" shapeId="0" xr:uid="{715FECCB-6231-4208-AE1B-B9260152A5FB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M4" authorId="0" shapeId="0" xr:uid="{D2E147A9-A7BD-4029-A971-3C7731EDCB0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O4" authorId="0" shapeId="0" xr:uid="{2AD0199A-3F96-4A97-916E-C5C961288F7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  <comment ref="F27" authorId="1" shapeId="0" xr:uid="{8B17830E-414D-40B6-9F60-C42C6EF54148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para revisar estas bandejas con Franklin </t>
        </r>
      </text>
    </comment>
    <comment ref="F105" authorId="1" shapeId="0" xr:uid="{5315CB52-F3EE-412B-AD0D-9C1D488F5CD9}">
      <text>
        <r>
          <rPr>
            <b/>
            <sz val="9"/>
            <color indexed="81"/>
            <rFont val="Tahoma"/>
            <family val="2"/>
          </rPr>
          <t xml:space="preserve">Yaritza Melendez:
Aumentar el monto </t>
        </r>
      </text>
    </comment>
    <comment ref="I192" authorId="1" shapeId="0" xr:uid="{9382AF44-8672-48E7-9915-9FFF89129D63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12 por los 5 purificadores </t>
        </r>
      </text>
    </comment>
    <comment ref="F207" authorId="1" shapeId="0" xr:uid="{0AB7797E-F4C8-45E3-992A-500FEB99DDC5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COLOCAR AL LADO DE LOS LOCKER </t>
        </r>
      </text>
    </comment>
    <comment ref="F258" authorId="2" shapeId="0" xr:uid="{D4209715-F24A-4BDC-AC7D-721CFB795CE3}">
      <text>
        <r>
          <rPr>
            <b/>
            <sz val="9"/>
            <color indexed="81"/>
            <rFont val="Tahoma"/>
            <family val="2"/>
          </rPr>
          <t>Jose Martinez:</t>
        </r>
        <r>
          <rPr>
            <sz val="9"/>
            <color indexed="81"/>
            <rFont val="Tahoma"/>
            <family val="2"/>
          </rPr>
          <t xml:space="preserve">
Confirmar la cantidad de Horno Rational con la Diseñadora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</authors>
  <commentList>
    <comment ref="B4" authorId="0" shapeId="0" xr:uid="{25BE3926-D5A6-4305-99DA-15C0836269D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conextor para presupuestos</t>
        </r>
      </text>
    </comment>
    <comment ref="C4" authorId="0" shapeId="0" xr:uid="{E5F3FC46-0AB7-4F46-BC16-6D3D6131955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4" authorId="0" shapeId="0" xr:uid="{C8E927F5-B335-4F1B-A10B-F2A16590C36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4" authorId="0" shapeId="0" xr:uid="{29EC44C4-3344-4B95-A6D1-ACB1206B3D8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K4" authorId="0" shapeId="0" xr:uid="{0D9B5AAC-426B-4A2F-9876-4657E5EFDE4F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M4" authorId="0" shapeId="0" xr:uid="{D63DDBED-DFAD-400D-8815-A741E47218C9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O4" authorId="0" shapeId="0" xr:uid="{28534351-0E90-47F6-930B-255B377B6A1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</authors>
  <commentList>
    <comment ref="Z27" authorId="0" shapeId="0" xr:uid="{21CAF8D2-E996-488B-8CD9-0B45F856A740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Según ultimas cotizaciones para CD01, en SP06 no fue posible realizar la compra por el tiempo. </t>
        </r>
      </text>
    </comment>
    <comment ref="Z203" authorId="0" shapeId="0" xr:uid="{B5DD03C9-EF86-4A48-B013-881A1542FE81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Según ultimas cotizaciones para CD01, en SP06 no fue posible realizar la compra por el tiempo. </t>
        </r>
      </text>
    </comment>
  </commentList>
</comments>
</file>

<file path=xl/sharedStrings.xml><?xml version="1.0" encoding="utf-8"?>
<sst xmlns="http://schemas.openxmlformats.org/spreadsheetml/2006/main" count="3280" uniqueCount="1135">
  <si>
    <t>Conograma de Insumos de Hispanoamerica</t>
  </si>
  <si>
    <t xml:space="preserve">Fecha </t>
  </si>
  <si>
    <t xml:space="preserve">Detalles </t>
  </si>
  <si>
    <t xml:space="preserve">Presupuesto levantando segun plano de Veron </t>
  </si>
  <si>
    <t xml:space="preserve">Hispano America No se posee plano </t>
  </si>
  <si>
    <t xml:space="preserve">Se considero revestimiento para baños y asistido </t>
  </si>
  <si>
    <t xml:space="preserve">Se considero pisos para baños </t>
  </si>
  <si>
    <t xml:space="preserve">Se considero  250 mts pisos antideslizante </t>
  </si>
  <si>
    <t>Generadores electricos de 500 kW 2 unidades</t>
  </si>
  <si>
    <t>Neveras nuevo lineamiento  Arneg</t>
  </si>
  <si>
    <t xml:space="preserve">Muebles IMS nuevo modelos </t>
  </si>
  <si>
    <t xml:space="preserve">Bomper igual a las americas </t>
  </si>
  <si>
    <t xml:space="preserve">Se considero UN horno Rational </t>
  </si>
  <si>
    <t>Monto de la gondola, tomado de la Forteza segun MC05</t>
  </si>
  <si>
    <t>Visual M esta evauando los maniqui (puede que cambie el monto)</t>
  </si>
  <si>
    <t>Bomba contra incendio considerada de 1,500 vertical</t>
  </si>
  <si>
    <t>Presupuesto Detallado - Propuesta para Sirena Compacta Hispanoamerica</t>
  </si>
  <si>
    <t>Area de Compras de Activos</t>
  </si>
  <si>
    <t>Fecha Version:</t>
  </si>
  <si>
    <t>Alto Nivel</t>
  </si>
  <si>
    <t>Alto Nivel Rev III</t>
  </si>
  <si>
    <t>Plan Detallado DOP</t>
  </si>
  <si>
    <t>Plan Detallado USD</t>
  </si>
  <si>
    <t>Total Presupuesto [USD]</t>
  </si>
  <si>
    <t>Ppto OI [DOP]</t>
  </si>
  <si>
    <t>Ppto Capex [DOP]</t>
  </si>
  <si>
    <t>Total Iniciativa [DOP]</t>
  </si>
  <si>
    <t>Ppto OI [USD]</t>
  </si>
  <si>
    <t>Ppto Capex [USD]</t>
  </si>
  <si>
    <t>Total Iniciativa [USD]</t>
  </si>
  <si>
    <t>TOTAL GENERAL ESTIMADO</t>
  </si>
  <si>
    <t>Resumen de Partidas</t>
  </si>
  <si>
    <t>EQUIPAMIENTO</t>
  </si>
  <si>
    <t>EDIFICACIÓN</t>
  </si>
  <si>
    <t>TERRENO</t>
  </si>
  <si>
    <t>Gasto</t>
  </si>
  <si>
    <t>Área de la Localidad</t>
  </si>
  <si>
    <r>
      <t>M</t>
    </r>
    <r>
      <rPr>
        <b/>
        <sz val="10"/>
        <color theme="1"/>
        <rFont val="Calibri"/>
        <family val="2"/>
      </rPr>
      <t>²</t>
    </r>
    <r>
      <rPr>
        <b/>
        <sz val="10"/>
        <color theme="1"/>
        <rFont val="Calibri"/>
        <family val="2"/>
        <scheme val="minor"/>
      </rPr>
      <t xml:space="preserve"> Construcción</t>
    </r>
  </si>
  <si>
    <t>M² Sala de Ventas</t>
  </si>
  <si>
    <t>M² Terreno</t>
  </si>
  <si>
    <t>OI</t>
  </si>
  <si>
    <t>Capex</t>
  </si>
  <si>
    <t>Part.</t>
  </si>
  <si>
    <t>Gran Part.</t>
  </si>
  <si>
    <t>Edificación, Instalaciones y Equipamientos</t>
  </si>
  <si>
    <t>Total [USD]</t>
  </si>
  <si>
    <t>Total [USD]3</t>
  </si>
  <si>
    <t>Columna2</t>
  </si>
  <si>
    <t>Ppto. OI [DOP]2</t>
  </si>
  <si>
    <t>Ppto. Capex [DOP]</t>
  </si>
  <si>
    <t>Total [DOP]</t>
  </si>
  <si>
    <t>Ppto. OI [USD]</t>
  </si>
  <si>
    <t>Ppto. Capex [USD]</t>
  </si>
  <si>
    <t>Total [USD]2</t>
  </si>
  <si>
    <t>Total [USD]22</t>
  </si>
  <si>
    <t>1.00 Estudios Preliminares</t>
  </si>
  <si>
    <t>Edificación</t>
  </si>
  <si>
    <t>1.01 Diseño arquitectónico</t>
  </si>
  <si>
    <t>1.02 Diseño estructural</t>
  </si>
  <si>
    <t>1.03 Diseño electromecánico</t>
  </si>
  <si>
    <t>1.04 Diseño sanitario</t>
  </si>
  <si>
    <t>1.05 Estudio Geotécnico</t>
  </si>
  <si>
    <t>1.06 Levantamiento topográfico</t>
  </si>
  <si>
    <t>1.07 Permisos</t>
  </si>
  <si>
    <t>1.08 Diseño sistema contra incendios</t>
  </si>
  <si>
    <t>1.09 Diseño sistema gas</t>
  </si>
  <si>
    <t>2.00 Obra Civil</t>
  </si>
  <si>
    <t xml:space="preserve">Adicionales </t>
  </si>
  <si>
    <t xml:space="preserve">2.01 Edificación - Obra Civil </t>
  </si>
  <si>
    <t>2.02 Edificación - Estructura Metálica</t>
  </si>
  <si>
    <t>2.03 Edificación - Techo S.S. y Cerramientos Multipanel</t>
  </si>
  <si>
    <t>2.04 Edificación - Tragaluces "Skylights"</t>
  </si>
  <si>
    <t>2.05 Instalaciones Sanitarias</t>
  </si>
  <si>
    <t>2.06 Instalación de Gas</t>
  </si>
  <si>
    <t xml:space="preserve">2.07 Sistema Contra Incendios </t>
  </si>
  <si>
    <t>2.08 Instalaciones Mecánicas</t>
  </si>
  <si>
    <t>2.09 Rejillas y Sumideros</t>
  </si>
  <si>
    <t xml:space="preserve">Rejillas y sumideros del nuevo proveedor </t>
  </si>
  <si>
    <t>2.10 Supervisión Civil y Sanitaria</t>
  </si>
  <si>
    <t>2.11 Supervisión Arquitectónica</t>
  </si>
  <si>
    <t>3.00 Sistema Eléctrico</t>
  </si>
  <si>
    <t>Equipamiento</t>
  </si>
  <si>
    <t>3.01 Instalaciones Eléctricas</t>
  </si>
  <si>
    <t>3.02 Supervisión Eléctrica</t>
  </si>
  <si>
    <t>3.03 Generadores</t>
  </si>
  <si>
    <t>3.04 Inversor y UPS</t>
  </si>
  <si>
    <t xml:space="preserve">4.00 Sistema de Climatización   </t>
  </si>
  <si>
    <t>4.01 Suministro e instalación de Equipos</t>
  </si>
  <si>
    <t xml:space="preserve">Aires acondicionados </t>
  </si>
  <si>
    <t>4.02 Supervisión Mecánica</t>
  </si>
  <si>
    <t>4.03 Sistema de Extracción cocina</t>
  </si>
  <si>
    <t>5.00 Frio Alimentario</t>
  </si>
  <si>
    <t>5.01 Paneles</t>
  </si>
  <si>
    <t>5.02 FRP y Diamond Plate</t>
  </si>
  <si>
    <t>5.03 Neveras, Centrales y Evaporadores</t>
  </si>
  <si>
    <t>Neveras y centrales R404</t>
  </si>
  <si>
    <t>5.04 Bumpers Mcue/ Rack</t>
  </si>
  <si>
    <t xml:space="preserve">5.05 Trameria Cuarto Frio </t>
  </si>
  <si>
    <t xml:space="preserve">5.06 Instalacion Frio Alimentario </t>
  </si>
  <si>
    <t>5.07 Chase Doors</t>
  </si>
  <si>
    <t>6.00 Tecnología, Seguridad y Tesorería</t>
  </si>
  <si>
    <t>6.01 Sistema de cámaras CCTV</t>
  </si>
  <si>
    <t>6.02 Antenas detección de robo</t>
  </si>
  <si>
    <t>6.03 Puntos de Venta</t>
  </si>
  <si>
    <t>6.04 Instalación de data y voz / Antenas de techo</t>
  </si>
  <si>
    <t>6.05 Otros sum e inst Tecnología y Seguridad Y Tesoreria</t>
  </si>
  <si>
    <t>7.00 Equipamiento Produccion</t>
  </si>
  <si>
    <t xml:space="preserve">7.01 Equipamiento de Acero Inoxidable </t>
  </si>
  <si>
    <t>7.02 Cocina, Patio Comidas y Rostizería</t>
  </si>
  <si>
    <t xml:space="preserve">2 Hornos Rarional </t>
  </si>
  <si>
    <t>7.03 Equipamiento Carniceria, Pescadería y Delicatesen</t>
  </si>
  <si>
    <t>7.04 Equipamiento de Panaderia, Reposteria y Rosticería</t>
  </si>
  <si>
    <t xml:space="preserve">Fermentadora y 2 Hornos dobles de pan </t>
  </si>
  <si>
    <t>7.05 Equipamiento de Frutas y Vegetales</t>
  </si>
  <si>
    <t>7.06 Balanzas</t>
  </si>
  <si>
    <t>7.07 Otros Equipamientos de Producción</t>
  </si>
  <si>
    <t>8.00 Equipamiento Tienda</t>
  </si>
  <si>
    <t>8.01 Gondolas</t>
  </si>
  <si>
    <t>8.02 Checkout</t>
  </si>
  <si>
    <t xml:space="preserve">12 und </t>
  </si>
  <si>
    <t>8.03 Carritos, Canastas y Accesorios</t>
  </si>
  <si>
    <t>8.04 Trameria Almacen</t>
  </si>
  <si>
    <t>8.05 Mobiliario no operacional para Tiendas</t>
  </si>
  <si>
    <t xml:space="preserve">Se estan considerando los mobiliarios de Food Cord </t>
  </si>
  <si>
    <t>8.06 Otros Equipamientos de Tienda</t>
  </si>
  <si>
    <t>8.07 Señalizacion interiores</t>
  </si>
  <si>
    <t>8.08 Señalizacion exteriores</t>
  </si>
  <si>
    <t>9.00 Otros</t>
  </si>
  <si>
    <t>9.01 COMERCIALIZACION</t>
  </si>
  <si>
    <t>9.02 INSUMOS</t>
  </si>
  <si>
    <t>9.03 PUBLICIDAD Y MERCADEO</t>
  </si>
  <si>
    <t>9.04 MONTAJE</t>
  </si>
  <si>
    <t>9.05 DECORACIÓN TEMPORADAS</t>
  </si>
  <si>
    <t>9.06 -</t>
  </si>
  <si>
    <t>Rojo: La sumatoria de pagos no coincide con Ppto.</t>
  </si>
  <si>
    <t>Flujo de Caja Iniciativa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</si>
  <si>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</si>
  <si>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</si>
  <si>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</si>
  <si>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</si>
  <si>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</si>
  <si>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</si>
  <si>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</si>
  <si>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</si>
  <si>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</si>
  <si>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</si>
  <si>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</si>
  <si>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</si>
  <si>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</si>
  <si>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</si>
  <si>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</si>
  <si>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</si>
  <si>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</si>
  <si>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</si>
  <si>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</si>
  <si>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</si>
  <si>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</si>
  <si>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</si>
  <si>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</si>
  <si>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</si>
  <si>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</si>
  <si>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</si>
  <si>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</si>
  <si>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</si>
  <si>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</si>
  <si>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</si>
  <si>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</si>
  <si>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</si>
  <si>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</si>
  <si>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</si>
  <si>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</si>
  <si>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</si>
  <si>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</si>
  <si>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Total Ppto.</t>
  </si>
  <si>
    <t>Total</t>
  </si>
  <si>
    <t>Total - DOP</t>
  </si>
  <si>
    <t>Control=0</t>
  </si>
  <si>
    <t>Tasa USD</t>
  </si>
  <si>
    <t>Flujo - USD</t>
  </si>
  <si>
    <t>Presupuesto Hispanoamerica</t>
  </si>
  <si>
    <t>N/A</t>
  </si>
  <si>
    <t xml:space="preserve">Presupuesto </t>
  </si>
  <si>
    <t>EDIFICACION</t>
  </si>
  <si>
    <t>M2 Construccion</t>
  </si>
  <si>
    <t>M2 Sala de Ventas</t>
  </si>
  <si>
    <t>M2 Terreno</t>
  </si>
  <si>
    <t>Estudios Preliminares</t>
  </si>
  <si>
    <t>Diseño arquitectónico</t>
  </si>
  <si>
    <t>USD</t>
  </si>
  <si>
    <t>Diseño estructural</t>
  </si>
  <si>
    <t>Diseño electromecánico</t>
  </si>
  <si>
    <t>Diseño sanitario</t>
  </si>
  <si>
    <t>Diseño sistema contra incendios</t>
  </si>
  <si>
    <t>Diseño sistema gas</t>
  </si>
  <si>
    <t>Estudio Geotécnico</t>
  </si>
  <si>
    <t>Levantamiento topográfico</t>
  </si>
  <si>
    <t>Permisos</t>
  </si>
  <si>
    <t>Obra Civil</t>
  </si>
  <si>
    <t xml:space="preserve">Edificación - Obra Civil </t>
  </si>
  <si>
    <t>dop</t>
  </si>
  <si>
    <t>Edificación - Estructura Metálica</t>
  </si>
  <si>
    <t>Edificación - Techo S.S. y Cerramientos Multipanel</t>
  </si>
  <si>
    <t>Edificación - Tragaluces "Skylights"</t>
  </si>
  <si>
    <t>Instalaciones Sanitarias</t>
  </si>
  <si>
    <t>Instalación de Gas</t>
  </si>
  <si>
    <t xml:space="preserve">Sistema Contra Incendios </t>
  </si>
  <si>
    <t>Instalaciones Mecánicas</t>
  </si>
  <si>
    <t>Rejillas y Sumideros</t>
  </si>
  <si>
    <t>Supervisión Civil y Sanitaria</t>
  </si>
  <si>
    <t>Supervisión Arquitectónica</t>
  </si>
  <si>
    <t>Sistema Eléctrico</t>
  </si>
  <si>
    <t>Instalaciones Eléctricas</t>
  </si>
  <si>
    <t>Supervisión Eléctrica</t>
  </si>
  <si>
    <t>Generadores</t>
  </si>
  <si>
    <t>Inversor y UPS</t>
  </si>
  <si>
    <r>
      <t xml:space="preserve">Sistema de Climatización  </t>
    </r>
    <r>
      <rPr>
        <b/>
        <sz val="10"/>
        <color rgb="FFFF0000"/>
        <rFont val="Calibri"/>
        <family val="2"/>
        <scheme val="minor"/>
      </rPr>
      <t xml:space="preserve"> </t>
    </r>
  </si>
  <si>
    <t>Suministro e instalación de Equipos</t>
  </si>
  <si>
    <t>Supervisión Mecánica</t>
  </si>
  <si>
    <t>Sistema de Extracción cocina</t>
  </si>
  <si>
    <t>Frio Alimentario</t>
  </si>
  <si>
    <t>Paneles</t>
  </si>
  <si>
    <t>FRP y Diamond Plate</t>
  </si>
  <si>
    <t>Neveras, Centrales y Evaporadores</t>
  </si>
  <si>
    <t>Bumpers Mcue</t>
  </si>
  <si>
    <t xml:space="preserve">Trameria Cuarto Frio </t>
  </si>
  <si>
    <t xml:space="preserve">Instalacion Frio Alimentario </t>
  </si>
  <si>
    <t>Chase Doors</t>
  </si>
  <si>
    <t>Tecnología, Seguridad y Tesorería</t>
  </si>
  <si>
    <t>Sistema de cámaras CCTV</t>
  </si>
  <si>
    <t>Antenas detección de robo</t>
  </si>
  <si>
    <t>Puntos de Venta</t>
  </si>
  <si>
    <t>Instalación de data y voz / Antenas de techo</t>
  </si>
  <si>
    <t xml:space="preserve">Otros sum e inst Tecnología </t>
  </si>
  <si>
    <t>Equipamiento Produccion</t>
  </si>
  <si>
    <t xml:space="preserve">Equipamiento de Acero Inoxidable </t>
  </si>
  <si>
    <t>Cocina, Patio Comidas y Rostizería</t>
  </si>
  <si>
    <t>Equipamiento Carniceria, Pescadería y Delicatesen</t>
  </si>
  <si>
    <t>Equipamiento de Panaderia, Reposteria y Rosticería</t>
  </si>
  <si>
    <t>Equipamiento de Frutas y Vegetales</t>
  </si>
  <si>
    <t>Balanzas</t>
  </si>
  <si>
    <t>Otros Equipamientos de Producción</t>
  </si>
  <si>
    <t>Equipamiento Tienda</t>
  </si>
  <si>
    <t>Gondolas</t>
  </si>
  <si>
    <t>Checkout</t>
  </si>
  <si>
    <t>Carritos, Canastas y Accesorios</t>
  </si>
  <si>
    <t>Trameria Almacen</t>
  </si>
  <si>
    <t>Mobiliario no operacional para Tiendas</t>
  </si>
  <si>
    <t>Otros Equipamientos de Tienda</t>
  </si>
  <si>
    <t>Señalizacion interiores</t>
  </si>
  <si>
    <t>Señalizacion exteriores</t>
  </si>
  <si>
    <t>Otros</t>
  </si>
  <si>
    <t>COMERCIALIZACION</t>
  </si>
  <si>
    <t>INSUMOS</t>
  </si>
  <si>
    <t>PUBLICIDAD Y MERCADEO</t>
  </si>
  <si>
    <t>MONTAJE</t>
  </si>
  <si>
    <t>DECORACIÓN TEMPORADAS</t>
  </si>
  <si>
    <t>-</t>
  </si>
  <si>
    <t xml:space="preserve">Plan Detallado: </t>
  </si>
  <si>
    <t>EUR</t>
  </si>
  <si>
    <t>*** Per.P es igual al numero de mes, iniciando en Mayo 2023 como el mes (1)</t>
  </si>
  <si>
    <t>Tasa</t>
  </si>
  <si>
    <t>Planificación de Pagos por Partida</t>
  </si>
  <si>
    <t>OI / Capex</t>
  </si>
  <si>
    <t>1er Pago</t>
  </si>
  <si>
    <t>2do Pago</t>
  </si>
  <si>
    <t>3er Pago</t>
  </si>
  <si>
    <t>4to Pago</t>
  </si>
  <si>
    <t>5to Pago</t>
  </si>
  <si>
    <t>Pos</t>
  </si>
  <si>
    <t>.</t>
  </si>
  <si>
    <t>Partidas</t>
  </si>
  <si>
    <t>Tipo Ppto</t>
  </si>
  <si>
    <t>Plan</t>
  </si>
  <si>
    <t>Item</t>
  </si>
  <si>
    <t xml:space="preserve">Orden de compra </t>
  </si>
  <si>
    <t>Cant.</t>
  </si>
  <si>
    <t>Mon</t>
  </si>
  <si>
    <t xml:space="preserve"> Tasa </t>
  </si>
  <si>
    <t xml:space="preserve"> Precio Und.</t>
  </si>
  <si>
    <t>Valor Neto [DOP]</t>
  </si>
  <si>
    <t>Liquid. [%]</t>
  </si>
  <si>
    <t>Ppto. Orden Interna [DOP]</t>
  </si>
  <si>
    <t>Ppto. Orden Interna [USD]</t>
  </si>
  <si>
    <t xml:space="preserve">Comentario </t>
  </si>
  <si>
    <t>Notas</t>
  </si>
  <si>
    <t>Documento Contable</t>
  </si>
  <si>
    <t>Orden Interna</t>
  </si>
  <si>
    <t>AFeC</t>
  </si>
  <si>
    <t>Proveedor</t>
  </si>
  <si>
    <t>Per.P1</t>
  </si>
  <si>
    <t>Av.P1 [%]</t>
  </si>
  <si>
    <t>Pago 1</t>
  </si>
  <si>
    <t>Per.P2</t>
  </si>
  <si>
    <t>Av.P2 [%]</t>
  </si>
  <si>
    <t>Pago 2</t>
  </si>
  <si>
    <t>Per.P3</t>
  </si>
  <si>
    <t>Av.P3 [%]</t>
  </si>
  <si>
    <t>Pago 3</t>
  </si>
  <si>
    <t>Per.P4</t>
  </si>
  <si>
    <t>Av.P4 [%]</t>
  </si>
  <si>
    <t>Pago 4</t>
  </si>
  <si>
    <t>Per.P5</t>
  </si>
  <si>
    <t>Av.P5 [%]</t>
  </si>
  <si>
    <t>Pago 5</t>
  </si>
  <si>
    <t>Total Flujo Caja</t>
  </si>
  <si>
    <t>Columna1</t>
  </si>
  <si>
    <t>*</t>
  </si>
  <si>
    <t>MARAZZI RAGNO CONCEPT GRIGIO 30X60CM</t>
  </si>
  <si>
    <t>Pendiente de compras</t>
  </si>
  <si>
    <t xml:space="preserve">EQUIPOS Y MATERIALES </t>
  </si>
  <si>
    <t>MARAZZI PISO PROGRESS ANTHRACITE 30X60MK</t>
  </si>
  <si>
    <t xml:space="preserve">SISTEMA DE PURIFICACION DE AGUA COMPLETO </t>
  </si>
  <si>
    <t xml:space="preserve">Purificador de agua </t>
  </si>
  <si>
    <t>SISTEMA DETECCION GAS COCINA</t>
  </si>
  <si>
    <t>DOP</t>
  </si>
  <si>
    <t xml:space="preserve">Sitema de deteccion de gas </t>
  </si>
  <si>
    <t>19.03.2025</t>
  </si>
  <si>
    <t xml:space="preserve">Bomba cotra incendio </t>
  </si>
  <si>
    <t>INSTALACION BOMBA SCI 1,500 GPM @145 PSI</t>
  </si>
  <si>
    <t>COVER PARA EXTINTOR C02  10-20LBS</t>
  </si>
  <si>
    <t xml:space="preserve">Extintores </t>
  </si>
  <si>
    <t>EXTINTOR ABC HALOTRON AGENTE LIMPIO 11LB</t>
  </si>
  <si>
    <t>EXTINTOR ABC POLVO QUIMICO 10LB</t>
  </si>
  <si>
    <t>EXTINTOR ABC POLVO QUIMICO 20LB</t>
  </si>
  <si>
    <t>EXTINTOR CO2 GAS CARBONICO 10LB</t>
  </si>
  <si>
    <t>EXTINTOR CO2 GAS CARBONICO 15LB</t>
  </si>
  <si>
    <t>EXTINTOR CO2 GAS CARBONICO 5LB</t>
  </si>
  <si>
    <t>GABINETE P/EXTINTOR ABC 20 LB</t>
  </si>
  <si>
    <t>EQUIPCO COMPACTADORA BASURA 30YARDA 10HP</t>
  </si>
  <si>
    <t>13.03.2025</t>
  </si>
  <si>
    <t>Equipos mecanicos</t>
  </si>
  <si>
    <t>IMEQ US</t>
  </si>
  <si>
    <t>COMPACTADORA DE CARTON 3HP 208/3/60HZ</t>
  </si>
  <si>
    <t>RAMPA NIVELADORA 60X80 3000LB GPT3MGWPDG</t>
  </si>
  <si>
    <t>Stock en AF01</t>
  </si>
  <si>
    <t>SELLO PARA RECEPCION DE FRESCO ( GUIA, SEMAFORO)</t>
  </si>
  <si>
    <t>PUERTA AUTOMATICA Y MURO CORTINA COMPLETO</t>
  </si>
  <si>
    <t>DUCHI</t>
  </si>
  <si>
    <t>REJILLAS (CANALETAS CON REJILLA EN ACERO INOX)</t>
  </si>
  <si>
    <t xml:space="preserve">Rejilla y sumidero </t>
  </si>
  <si>
    <t>ACO CARIBE S.A</t>
  </si>
  <si>
    <t>LUMINARIAS</t>
  </si>
  <si>
    <t>GENERDOR ELECTRICO CATERPILLAR,   500KW</t>
  </si>
  <si>
    <t>IMCA</t>
  </si>
  <si>
    <t>GABINETES (GRSM)</t>
  </si>
  <si>
    <t xml:space="preserve">Ups e Inversores </t>
  </si>
  <si>
    <t>75343 :ACH CONTRATISTAS ELECTROMEC</t>
  </si>
  <si>
    <t>UPS TRUE ONLINE  INTREPID TOWER 6KVA</t>
  </si>
  <si>
    <t>UPS 10KVA TRUE ONLINE INTERPID GALLEON</t>
  </si>
  <si>
    <t>RACK METALICO</t>
  </si>
  <si>
    <t>ONDA SENO INVERSOR QUASI-SENOIDAL 3.5KW</t>
  </si>
  <si>
    <t>BATERIA 12VDC (GRSM)</t>
  </si>
  <si>
    <t>AA TIPO ROOFTOP PAQUETE  30 TON</t>
  </si>
  <si>
    <t>05.05.2026</t>
  </si>
  <si>
    <t>AA tipo paquete</t>
  </si>
  <si>
    <t xml:space="preserve">keyter </t>
  </si>
  <si>
    <t>DISEÑO SISTEMA EXTRACCION HUMO Y GRASA</t>
  </si>
  <si>
    <t xml:space="preserve">Sistema de extracion e inteccion </t>
  </si>
  <si>
    <t>75064 TECNICOMSA SRL</t>
  </si>
  <si>
    <t>CAMPANA RECOLECTORA HUMO Y GRASA</t>
  </si>
  <si>
    <t>EXTRACTOR HUMO Y GRASA 3,700 CFM</t>
  </si>
  <si>
    <t>INYECTOR AIRE 6,000CFM</t>
  </si>
  <si>
    <t>CONSTRUCCION E INST. DUCTOS EXTRACCION</t>
  </si>
  <si>
    <t>CONSTRUCCION E INST. DUCTOS INYECCION</t>
  </si>
  <si>
    <t>CONSTRUCCION E INST. BASE EXTRACTOR</t>
  </si>
  <si>
    <t>INST. EQUIPOS Y SUMINISTRO MATERIALES</t>
  </si>
  <si>
    <t>INST. CAMPANA Y SUMINISTRO MATERIALES</t>
  </si>
  <si>
    <t xml:space="preserve">Paneles, Puertas Frp, Dimont Plate </t>
  </si>
  <si>
    <t>76752 ROOFTEC SRL</t>
  </si>
  <si>
    <t xml:space="preserve">PUERTA FRIGORIFICAS/CORREDERA/CONSERVACION/INSTALACION/CORTINAS </t>
  </si>
  <si>
    <t xml:space="preserve">Nevera sala de venta </t>
  </si>
  <si>
    <t>21.05.2026</t>
  </si>
  <si>
    <t>Rack /Evapo</t>
  </si>
  <si>
    <t xml:space="preserve">       </t>
  </si>
  <si>
    <t xml:space="preserve">Muebles ims </t>
  </si>
  <si>
    <t>35455 PRALICCI S.A.</t>
  </si>
  <si>
    <t>FARCO FST-60 MESA REFRIGERADA R290</t>
  </si>
  <si>
    <t>FARCO EXHIBIDOR 40 GL *SIRENA GO*</t>
  </si>
  <si>
    <t>KIT VIDRIOS REPUESTOS NEVERAS IMS</t>
  </si>
  <si>
    <t>MUEBLE SEM MURAL FRIO GRB&amp;GO EQ006</t>
  </si>
  <si>
    <t xml:space="preserve">Bumpers </t>
  </si>
  <si>
    <t>31338 :MCCUE CORPORATION</t>
  </si>
  <si>
    <t>ESTANTERIA 4 NIVELES1065X500MM (GRSM)</t>
  </si>
  <si>
    <t>Estanteria congelado</t>
  </si>
  <si>
    <t>76722 ALMAR INVERPROYECT SRL F</t>
  </si>
  <si>
    <t>ESTANTERIA 4 NIVELES PLASTICA</t>
  </si>
  <si>
    <t>Estanteria Media Temp</t>
  </si>
  <si>
    <t xml:space="preserve">UTECO </t>
  </si>
  <si>
    <t>INSTALACION DE FRIO ALIMENTARIO</t>
  </si>
  <si>
    <t>Supervicion y diseño frio alimentario</t>
  </si>
  <si>
    <t xml:space="preserve">DISEÑO DEL FRIO ALIMENTARIO </t>
  </si>
  <si>
    <t xml:space="preserve">SUPERVICION DEL FRIO ALIMENTARIO </t>
  </si>
  <si>
    <t>MOTOROLA RADIO DEP450 UHF 16 ANA/DIG</t>
  </si>
  <si>
    <t xml:space="preserve">Equipos de Tesoreria </t>
  </si>
  <si>
    <t>DOPEL</t>
  </si>
  <si>
    <t>CDM DETECTORA DE BILLETES FALSOS LD-3</t>
  </si>
  <si>
    <t>CDM CONTADORA DE MONEDAS MOD CDM-15</t>
  </si>
  <si>
    <t>CONTADORA DE MONEDAS RIBAO CS-10S</t>
  </si>
  <si>
    <t>CANDADO MUL-T-LOCK 13 PULG AMESTRADO</t>
  </si>
  <si>
    <t xml:space="preserve">Radios de comunicación </t>
  </si>
  <si>
    <t>RADIO NET</t>
  </si>
  <si>
    <t>AMAESTRAMIENTO POR PROD MUL-T-LOCK</t>
  </si>
  <si>
    <t xml:space="preserve">Camilla de emergencia </t>
  </si>
  <si>
    <t>LENYIRUB</t>
  </si>
  <si>
    <t>DUPLICADO DE LLAVES 237 MTL 600</t>
  </si>
  <si>
    <t>INMOBILIZADOR DE CABEZA P/EMERGENCIA</t>
  </si>
  <si>
    <t>CAMILLA P/EMERGENCIA PLASTICA</t>
  </si>
  <si>
    <t>ARNES P/CAMILLA EMERGENCIA 10 PUNTOS</t>
  </si>
  <si>
    <t>CAJA FUERTE C/FUEGO C/COMB+LLAVE SS-100</t>
  </si>
  <si>
    <t>CAJA SEG. MASTER SS-065 COM C/FUEGO 877X</t>
  </si>
  <si>
    <t>Candado y Amaestramiento de llaves</t>
  </si>
  <si>
    <t xml:space="preserve">  76522 MAGUEN DAVID SRL</t>
  </si>
  <si>
    <t>MAQUINA CONTADORA BILLETES CBM PLUS 401</t>
  </si>
  <si>
    <t>PUERTA BOVEDA CLASE I SENTRY( O CAJA FUERTE)</t>
  </si>
  <si>
    <t>13.05.2025</t>
  </si>
  <si>
    <t>CARRO TRANSPORTE 40X60MM 12NIV</t>
  </si>
  <si>
    <t>Mobiliario acero inox</t>
  </si>
  <si>
    <t>FREGADERO  SIN ESTANTE FD-01</t>
  </si>
  <si>
    <t>FREGADERO DOBLE 2 CUBA FD-02 1.20MT</t>
  </si>
  <si>
    <t xml:space="preserve">INSTALACION Y GRIFERIA </t>
  </si>
  <si>
    <t>LAVAMANO EN ACERO INOX C/PULSADOR</t>
  </si>
  <si>
    <t>MESA DE TRABAJO 1200X700X850MM CON 1/2 TABLA CORTE</t>
  </si>
  <si>
    <t>MESA DE TRABAJO 1200X700X850MM CON TABLA DE CORTE</t>
  </si>
  <si>
    <t>MESA DE TRABAJO 1800X700X850MM CON TABLA DE CORTE</t>
  </si>
  <si>
    <t>MESA DE TRABAJO MURAL 1200X700X850MM</t>
  </si>
  <si>
    <t>MESA DE TRABAJO MURAL 1600X700X850MM</t>
  </si>
  <si>
    <t>MESA DE TRABAJO MURAL 800X700X850MM</t>
  </si>
  <si>
    <t>MESA TRABAJO MURAL 1000X700X850MM</t>
  </si>
  <si>
    <t>MESA TRABAJO MURAL 1400X700X850MM</t>
  </si>
  <si>
    <t>MESA TRABAJO MURAL 1500X700X850MM</t>
  </si>
  <si>
    <t>MESA TRABAJO MURAL 1850X700X850MM</t>
  </si>
  <si>
    <t>MESA TRABAJO MURAL 600X700X850MM</t>
  </si>
  <si>
    <t>MESA TRABAJO MURAL2000X700X850 MM</t>
  </si>
  <si>
    <t>INSTALACION GRIFERIA</t>
  </si>
  <si>
    <t>HORNO RATIONAL ELECTRICO ICP 101 10 BAND</t>
  </si>
  <si>
    <t>09.05.2025</t>
  </si>
  <si>
    <t xml:space="preserve">Equipos de Carniceria </t>
  </si>
  <si>
    <t xml:space="preserve">75272 RENT A EQUIPOS MUESES, </t>
  </si>
  <si>
    <t>MESA PARA HORNO ICOMBI PRO</t>
  </si>
  <si>
    <t>MATERIALES DE INSTALACION</t>
  </si>
  <si>
    <t>SUPERSPIKE PARA POLLOS 1/1 GN</t>
  </si>
  <si>
    <t>PARRILLAS ACERO INOX 1/1 GN</t>
  </si>
  <si>
    <t>BANDEJA/PLANCHA ASAD PANAD 1/1 GN</t>
  </si>
  <si>
    <t>COMBIFRY 1/1 GN</t>
  </si>
  <si>
    <t>BANDEJA DE GRANITO ESMALTADO 20MM</t>
  </si>
  <si>
    <t>SIRMAN PROCESADOR VEGETALES 40752508 TM2</t>
  </si>
  <si>
    <t xml:space="preserve">Bandeja gastronomica </t>
  </si>
  <si>
    <t>76610 CARIBBEAN COPACKERS SODFUM</t>
  </si>
  <si>
    <t>RECIPIENTE DELI OCTAGONAL NEGRO SFG12201</t>
  </si>
  <si>
    <t xml:space="preserve">Horno Rational </t>
  </si>
  <si>
    <t>RECIPIENTE DELI OCTAGONAL NEGRO SFG10151</t>
  </si>
  <si>
    <t>CHICAGO MED BANDEJA DELI 12X18 BRONCE</t>
  </si>
  <si>
    <t>MINI PACK EMPACADORA VACIO MVS-45II 2</t>
  </si>
  <si>
    <t>MICROONDAS TORNADO TMO‐1000E</t>
  </si>
  <si>
    <t>WINCO BROCHA PASTELERA NB-30</t>
  </si>
  <si>
    <t>TABLECRAFT TABLA CORTE CB1520BRA MARRON</t>
  </si>
  <si>
    <t>Utensilios de Cocina</t>
  </si>
  <si>
    <t>TOSCA</t>
  </si>
  <si>
    <t>TABLECRAFT King Steel CB1520GNA VERDE</t>
  </si>
  <si>
    <t>RECIPIENTE KING STEEL 88004</t>
  </si>
  <si>
    <t>Trmometro</t>
  </si>
  <si>
    <t>UTIHOTEL</t>
  </si>
  <si>
    <t>RECIPIENTE KING STEEL 88002</t>
  </si>
  <si>
    <t>Utensiilios de cocina</t>
  </si>
  <si>
    <t>EDLUND ABRIDOR DE LATAS CON BASE MOD 1S</t>
  </si>
  <si>
    <t>DEXTER RUSSELL CUCHILLO COC S145 10T PCP</t>
  </si>
  <si>
    <t>Bandeja gastronomica</t>
  </si>
  <si>
    <t>DEXTER RUSSELL CUCHILLO COC S145 10G GRE</t>
  </si>
  <si>
    <t>CEPILLO SAN JAMAR 1178902</t>
  </si>
  <si>
    <t>CENTRIFUGADORA DE VERDURAS 3GAL</t>
  </si>
  <si>
    <t>CARLISLE RACK 24PULG LARGO ODR‐24N</t>
  </si>
  <si>
    <t>AMERICAN METALCRAFT PINZA HDUT1200</t>
  </si>
  <si>
    <t>ALEGACY TIJERA CORTAR AVES/PESC 1220</t>
  </si>
  <si>
    <t>ALEGACY CUCHARA P/SERVIR 3770</t>
  </si>
  <si>
    <t>TIRADOR DE MANO P/DOLLY FDDOHDL0103</t>
  </si>
  <si>
    <t>CORTADOR DE QUESO Y JAMON CUBE KING</t>
  </si>
  <si>
    <t>BASE PARA CANASTOS DE VEGETALES 1/4</t>
  </si>
  <si>
    <t>CAMBRO BANDEJA RECTANG 6X30X2 6302MT NG</t>
  </si>
  <si>
    <t>CAMBRO BANDEJA RECTANG 10X30X2 10302MTNG</t>
  </si>
  <si>
    <t>CAMBRO BANDEJA RECTANG 8X30X2 83302MTNG</t>
  </si>
  <si>
    <t>DELFIN BANDEJA RECT/HALF 15X6X1 TRC-1561</t>
  </si>
  <si>
    <t>WINHOLT RAPEADORA WHSS-1</t>
  </si>
  <si>
    <t>BANDEJA B/M FULL 12X20X2.5" A/I.</t>
  </si>
  <si>
    <t>RUBBERMAID ESPATULA PLASTICA P/CALOR 16</t>
  </si>
  <si>
    <t>HALCO ESCUDILLA DE A/I 10.5QT 15</t>
  </si>
  <si>
    <t>HALCO BATIDOR DE MANO FRANCES 18</t>
  </si>
  <si>
    <t>CAMBRO TAPA P/RECI 9FC2452</t>
  </si>
  <si>
    <t>CAMBRO RECIPIENTE GAST 1/6X4 NEG</t>
  </si>
  <si>
    <t>pedal neumatico</t>
  </si>
  <si>
    <t>WINCO BROCHA PASTELERA NB-20</t>
  </si>
  <si>
    <t xml:space="preserve">Rapeadora </t>
  </si>
  <si>
    <t>PINZA PLASTICA NEGRA 12 PULG 4712</t>
  </si>
  <si>
    <t>CUCHARA ALTA TEMPERATURA 13"</t>
  </si>
  <si>
    <t>Microonda</t>
  </si>
  <si>
    <t>ALMACENES UNIDOS</t>
  </si>
  <si>
    <t>ALEGACY CUCHARA SOLIDA 21L MOD 4781</t>
  </si>
  <si>
    <t>AGUSTIN LOMBA</t>
  </si>
  <si>
    <t>TABLA P/CORTE 15X20X1/2" VERDE (57361504</t>
  </si>
  <si>
    <t>TABLA CORTE 15X20X3/4 BCA BROWNE</t>
  </si>
  <si>
    <t>PANO DE MICROFIBRA 16X16" 24/1 VERDE</t>
  </si>
  <si>
    <t>HALCO CUCHILLO COCINERO 10 PC12910</t>
  </si>
  <si>
    <t>FORSCHNER CUCHILLO P/QUESO DOBLE 14</t>
  </si>
  <si>
    <t>CUBETA P/DESINFECTAR 5LT ROJA</t>
  </si>
  <si>
    <t>TAZA MEDIDORA PLASTICA 1 TAZA</t>
  </si>
  <si>
    <t>SACA BOLAS #8 GRIS</t>
  </si>
  <si>
    <t xml:space="preserve">UTENCILIOS DELY  </t>
  </si>
  <si>
    <t>PORCIONADOR ALIMENTO PERFORADO AZUL</t>
  </si>
  <si>
    <t>PORCIONADOR ALIMENTO AZUL 8 OZ</t>
  </si>
  <si>
    <t>SIRMAN DISCO REBANADOR 2 -5/64 40751DF02</t>
  </si>
  <si>
    <t>SIRMAN DISCO RALLADOR3 MM 1/8</t>
  </si>
  <si>
    <t>SIRMAN DISCO CUBO 8MM 15/16</t>
  </si>
  <si>
    <t>SIRMAN DISCO CUBO 10-25/64 40751PS10</t>
  </si>
  <si>
    <t>DISCO REBANADOR 10 MM.25</t>
  </si>
  <si>
    <t>FLUKE TERMOMETRO LASER-30A650C 62MAX+12</t>
  </si>
  <si>
    <t xml:space="preserve">UTENCILIOS DE COCINA </t>
  </si>
  <si>
    <t>PEDAL NEUMATICO 6 PIES</t>
  </si>
  <si>
    <t>SIRMAN REBANADORA 15 TIZIANO</t>
  </si>
  <si>
    <t>HOBART REBANADORA HD 13 HS6-1 A/I 120V</t>
  </si>
  <si>
    <t>REBANADORA PALLADIO 13 330 EVO TOP</t>
  </si>
  <si>
    <t>VICTORINOX AMOLADOR 3 PIEDRA 11 1/2F/M/G</t>
  </si>
  <si>
    <t>FILETEO 6¨ RECTO FINO FIBROX NEGRO</t>
  </si>
  <si>
    <t>CHURRASCO 12¨MANGO FIBROX NEGRO</t>
  </si>
  <si>
    <t>CUCHILLO 8 X 2 RECTO ANCHO FIBROX</t>
  </si>
  <si>
    <t>VICTORINOX GUANTES METALICOS LARGE 81504</t>
  </si>
  <si>
    <t>VICTORINOX GUANTES METALICO MIDIUM 81503</t>
  </si>
  <si>
    <t>Canastos frutas y Vegetales</t>
  </si>
  <si>
    <t>SIERRA SIN FIN CARNICERIA 1.5HP BI-22SS</t>
  </si>
  <si>
    <t>Utensilios Carniceria</t>
  </si>
  <si>
    <t>BIRO TENDERIZADORA 3/4 HP 110V 9HD</t>
  </si>
  <si>
    <t>BIRO SIN FIN CARNIC 3HP 208/230 1433FH</t>
  </si>
  <si>
    <t>BIRO MOLINO MEZCLADOR 32 220VAC 3PH</t>
  </si>
  <si>
    <t>MOLINO CARNICERIA 1HP BI-822SS</t>
  </si>
  <si>
    <t>CANASTO PLEGABLE 60X40X11.3 RPC6411</t>
  </si>
  <si>
    <t>CAMARA FERMENTACION 17 CARROS</t>
  </si>
  <si>
    <t xml:space="preserve">molino Rallador </t>
  </si>
  <si>
    <t>75113 EQUIPAN SRL</t>
  </si>
  <si>
    <t>MESA DE REPOSTERIA SECA G03.10</t>
  </si>
  <si>
    <t>03.06.2026</t>
  </si>
  <si>
    <t>MUEBLE EXHIBIDOR BOLLERIA NEUTRA</t>
  </si>
  <si>
    <t>MUEBLE RAMPA P/PAN 3 NIV S/CROSS G03.11</t>
  </si>
  <si>
    <t>MUEBLE RAMPA P/PAN 3NIV CROSS G03.13</t>
  </si>
  <si>
    <t>MUEBLE SEM MURAL CALIENTE GRB&amp;GO EQ006</t>
  </si>
  <si>
    <t>CHICAGO BANDEJA BAGUETTE 4 MOLDE/P 49034</t>
  </si>
  <si>
    <t>CHICAGO BANDEJA BAGUETTE 5 MOLDE/P 49035</t>
  </si>
  <si>
    <t>CHICAGO BANDEJA PAN LISA 18X26X1 40698</t>
  </si>
  <si>
    <t xml:space="preserve">Horno Rotor </t>
  </si>
  <si>
    <t>DANZI FORNI SRL</t>
  </si>
  <si>
    <t>CHICAGO BANDEJA PAN LISA PERFORADA 44690</t>
  </si>
  <si>
    <t>Carro para horno</t>
  </si>
  <si>
    <t>CANASTO PLEGABLE 30X40X16.3 RPC4316</t>
  </si>
  <si>
    <t>Mueble de planta y flores</t>
  </si>
  <si>
    <t>CAYUGA</t>
  </si>
  <si>
    <t>CANASTO PLEGABLE 60X40X16.3 RPC6416</t>
  </si>
  <si>
    <t>MESA CABEZAL VEGETALES C/ESTANTE G02.04</t>
  </si>
  <si>
    <t>MESA T/RAMPA VEGETALES G02.01</t>
  </si>
  <si>
    <t xml:space="preserve">MUEBLES FLORES Y PLANTAS </t>
  </si>
  <si>
    <t>LA INOVACION</t>
  </si>
  <si>
    <t xml:space="preserve">BALANZA PARA FRUTA Y VEGETALES ANALOGA </t>
  </si>
  <si>
    <t xml:space="preserve">GONDOLAS P/TIENDA </t>
  </si>
  <si>
    <t>04.06.2026</t>
  </si>
  <si>
    <t>Imola</t>
  </si>
  <si>
    <t xml:space="preserve">GONDOLAS DE ANTECAJA </t>
  </si>
  <si>
    <t>checkouts Caunter</t>
  </si>
  <si>
    <t>CHECK OUT COUNTER SH-003 IZQ S/CINTA</t>
  </si>
  <si>
    <t>CARRITO P/MINUSVALIDO ELECTRICO XTI12 AM</t>
  </si>
  <si>
    <t xml:space="preserve">Carros de Compra </t>
  </si>
  <si>
    <t xml:space="preserve">ARAVEN </t>
  </si>
  <si>
    <t>CARRO COMPRA GRANDE LOOP 210 AMARILLO</t>
  </si>
  <si>
    <t xml:space="preserve">Silla de Rueda </t>
  </si>
  <si>
    <t>CARRO COMPRA PEQUENO LOOP XS AMARILLO</t>
  </si>
  <si>
    <t>SILLA RUEDAS III P/COMPRAS AMARILLA 2031</t>
  </si>
  <si>
    <t>Silla de bebe</t>
  </si>
  <si>
    <t>SILLAS BEBE P/CARRO LOOP 210L</t>
  </si>
  <si>
    <t>TRAMERIA DE ALMACEN PALETIZADA</t>
  </si>
  <si>
    <t xml:space="preserve">Tramerias de Almacen </t>
  </si>
  <si>
    <t xml:space="preserve">SERVICIO DE INSTALACION TRAMERIAS </t>
  </si>
  <si>
    <t>WINCO TRAMERIA 4NIV 24X36X72 EPOXICA</t>
  </si>
  <si>
    <t>MESA CENTRAL OZ-1221W-12</t>
  </si>
  <si>
    <t xml:space="preserve">COUNTER NUEVO SERVICIO A CLIENTES </t>
  </si>
  <si>
    <t>FAB MESA P/AREA SEGURIDAD 1.86X0.60X100</t>
  </si>
  <si>
    <t xml:space="preserve">TRAMERIAS Y SOL.DE ALMACENAJE </t>
  </si>
  <si>
    <t>FAB. MUEBLE CUADRE GAVETA 2401X0.37X65CM</t>
  </si>
  <si>
    <t xml:space="preserve">MATERIALES INDUSTRIALES </t>
  </si>
  <si>
    <t>FAB.MESA CONTROLADORES 1.86X60X76CM</t>
  </si>
  <si>
    <t>MUEBLES OMAR</t>
  </si>
  <si>
    <t>FAB.MESA POP 60X1.86X100CM</t>
  </si>
  <si>
    <t>FAB. MUEBLE MENUDO 1.50x0.60x0.76 cm</t>
  </si>
  <si>
    <t xml:space="preserve">Mobiliarios de oficina </t>
  </si>
  <si>
    <t>FAB MUEBLE CM MC 1.45X45X1.10 CM</t>
  </si>
  <si>
    <t xml:space="preserve">MA CREACIONES </t>
  </si>
  <si>
    <t>FAB MUEBLE AREA SUM-CUAD-AERE 40X70X1.60</t>
  </si>
  <si>
    <t>TRANSPORTE</t>
  </si>
  <si>
    <t>TABURETE P/OPERARIO LABO 8127 SIN BRAZOS</t>
  </si>
  <si>
    <t xml:space="preserve">Mobiliario serv al cliente </t>
  </si>
  <si>
    <t>FAMEJAO</t>
  </si>
  <si>
    <t>FAB. MUEBLE AEREO 30X1.80X60CM</t>
  </si>
  <si>
    <t>PLANCHA DE VAPOR STEAMBUTLER II ST500</t>
  </si>
  <si>
    <t>INSTALACION</t>
  </si>
  <si>
    <t>MURAL CORPORATIVO 60X40 DISENO MED</t>
  </si>
  <si>
    <t>ACRILICO TRANSPARENTE</t>
  </si>
  <si>
    <t>MUEBLE TIPO BANCO 40X60X50</t>
  </si>
  <si>
    <t xml:space="preserve">TRANSPORTE </t>
  </si>
  <si>
    <t>FAB MESAS P/COLABORADORES 40X1.40X85 CM</t>
  </si>
  <si>
    <t>MUEBLE LOCKER 15 PUERTAS FENOLICO C/MANU</t>
  </si>
  <si>
    <t xml:space="preserve">MOBILIARIOS DE OFICINA </t>
  </si>
  <si>
    <t>LOCKERS 12 PUERTAS 16X40X75 C/MALLA</t>
  </si>
  <si>
    <t>ENTREGA Y ARMADO</t>
  </si>
  <si>
    <t>COWAY PURIFICADOR AGUA CHP 671L A</t>
  </si>
  <si>
    <t>COWAY MEMBRESIA</t>
  </si>
  <si>
    <t xml:space="preserve">Lockers clientes </t>
  </si>
  <si>
    <t>CAFETERA ELECTRICA  CP-40 TAZA PARA COLABORADORES</t>
  </si>
  <si>
    <t>BASE PARA MANIQUI MADERA - FORMICA BLANC</t>
  </si>
  <si>
    <t>MANIQUI BEBE SENTADO BLANCO BRILLO SAM-2</t>
  </si>
  <si>
    <t>MANIQUI DE HOMBRE 3/4 BLANCO MATTE</t>
  </si>
  <si>
    <t>Maniqui</t>
  </si>
  <si>
    <t>DISPLAY INTERNATIONAL</t>
  </si>
  <si>
    <t>MANIQUI HOMBRE PLASTICO BLANCO BRILLO</t>
  </si>
  <si>
    <t>MANIQUI MUJER 3/4 BLANCO MATTE</t>
  </si>
  <si>
    <t>MANIQUI MUJER C/E BLANCO BRILLO DORIS 6</t>
  </si>
  <si>
    <t>MANIQUI MUJER PLASTICO BLANCO BRILLO</t>
  </si>
  <si>
    <t>MANIQUI NIÑO BLANCO BRILLO C/E</t>
  </si>
  <si>
    <t>JUEGO DE MESAS NIDO SEGUN MEDIDAS</t>
  </si>
  <si>
    <t>LINEA EXTENDED COLLECTION - RACK BALLET</t>
  </si>
  <si>
    <t>RACK EXHIB GIRATORIO REDONDO 32 K-54</t>
  </si>
  <si>
    <t xml:space="preserve">VESTIDORES FENOLICOS </t>
  </si>
  <si>
    <t>COUNTER RECEPCION FENOLICO</t>
  </si>
  <si>
    <t xml:space="preserve">Caunter vestidores </t>
  </si>
  <si>
    <t>COSTOS INDIRECTOS</t>
  </si>
  <si>
    <t>BANCOS DE VESTIDORES Y CALZADOS</t>
  </si>
  <si>
    <t xml:space="preserve">Vestidores </t>
  </si>
  <si>
    <t>MILGRID</t>
  </si>
  <si>
    <t>PLASTIFICADORA INDUSTRIAL LAM450</t>
  </si>
  <si>
    <t>ROLLOS PLASTIFICADO 305 MM X 152 MT P/LA</t>
  </si>
  <si>
    <t>RUBBERMAID CAMBIADOR FG781888LPLAT</t>
  </si>
  <si>
    <t>RUE MAX</t>
  </si>
  <si>
    <t xml:space="preserve">MAQUINA DE LAVADO A PRESION </t>
  </si>
  <si>
    <t>CARRO GONDOLERO 2 NIVELES 16X48 GRIS</t>
  </si>
  <si>
    <t>Escalera</t>
  </si>
  <si>
    <t>PAPATERRA</t>
  </si>
  <si>
    <t>TRANSPALETA ELECTRICA MOD. EPL185</t>
  </si>
  <si>
    <t>Escaleras</t>
  </si>
  <si>
    <t>CROWN HAND PALLET JACK PTH50-2748(UNA)</t>
  </si>
  <si>
    <t>ESCALERA METAL 03 NIVELES BLANCA PRETUL</t>
  </si>
  <si>
    <t>ESCALERA FIBRA VIDRIO T/TIJERA 6</t>
  </si>
  <si>
    <t>ESCALERA FIBRA VIDRIO T/TIJERA 12</t>
  </si>
  <si>
    <t xml:space="preserve">Manguera </t>
  </si>
  <si>
    <t>ESCALERA FIBRA VIDRIO T/TIJERA 10</t>
  </si>
  <si>
    <t>TRUPPER PISTOLA P/MANGUERA PR201</t>
  </si>
  <si>
    <t>Zafacon</t>
  </si>
  <si>
    <t>TRUPPER MANGUERA JARDIN CP 5/8</t>
  </si>
  <si>
    <t>RUBBERMAID ZAFACON FG295600BEIG</t>
  </si>
  <si>
    <t>RUBBERMAID TAPA P/ZAF FG306600BLA</t>
  </si>
  <si>
    <t>Guillotina</t>
  </si>
  <si>
    <t>ZAFACON RUBBERMAID 24 GL 1883552</t>
  </si>
  <si>
    <t xml:space="preserve">KIT CLIENTE (JUMPER,CARGADOR,GATO) </t>
  </si>
  <si>
    <t>SWINGLINE GUILLOTINA 18 B/MADERA CL320</t>
  </si>
  <si>
    <t>KIT PARA CLIENTE (JUMPER,CARGADOR,GATO)</t>
  </si>
  <si>
    <t xml:space="preserve">MAERIALES INDUSTRIALES INDUSTRIALES </t>
  </si>
  <si>
    <t>CONO REFLECTIVO P/TRAFICO</t>
  </si>
  <si>
    <t xml:space="preserve">Maquina de lavado </t>
  </si>
  <si>
    <t>CUCHILLA EASY CUT 2000 SC 9701</t>
  </si>
  <si>
    <t>cuchilla Easy cut</t>
  </si>
  <si>
    <t>CHAMPION SECADOR DE MANO HAND-DRYER</t>
  </si>
  <si>
    <t>ZAFACON REDONDO MALLA METALICA PLATEADO</t>
  </si>
  <si>
    <t>zafacon evo 25LT</t>
  </si>
  <si>
    <t>BENIGNO ZAPATERO</t>
  </si>
  <si>
    <t xml:space="preserve">YALE CANDADO 30MM 3 LLAVES GRSM LOCKER </t>
  </si>
  <si>
    <t xml:space="preserve">Plastificadora </t>
  </si>
  <si>
    <t>RIMAX PAPELERA METALIZADA EVO 25LT 11780</t>
  </si>
  <si>
    <t>ALQUILER DE PLATAFORMA ELECTRICA</t>
  </si>
  <si>
    <t>Decoracion int</t>
  </si>
  <si>
    <t>DECORACON INTERIOR SC LANDINI</t>
  </si>
  <si>
    <t xml:space="preserve">Ruta de Evacuacion </t>
  </si>
  <si>
    <t>INSTALACION GENERAL(GRSM)</t>
  </si>
  <si>
    <t xml:space="preserve">SEÑALIZACION RUTA DE EVACUACION </t>
  </si>
  <si>
    <t xml:space="preserve">FABRICACION LETRERO TOTEM + LETREROS </t>
  </si>
  <si>
    <t xml:space="preserve">Decoracion ext </t>
  </si>
  <si>
    <t>INSTALACION Y GASTOS SERVICIO PLATAFORMA</t>
  </si>
  <si>
    <t xml:space="preserve">LETRERO FACHADA ISOLOGO SIRENA </t>
  </si>
  <si>
    <t xml:space="preserve">LETRERO FACHADA PRINCIPAL SIRENA </t>
  </si>
  <si>
    <t xml:space="preserve">LETRERO FACHADA SECUNDARIO SIRENA </t>
  </si>
  <si>
    <t>LETREROS Y SENALIZACIONES DE PARQUEO</t>
  </si>
  <si>
    <t xml:space="preserve">VALLAS + ESTRUCTURA LETRERO IMPRESION EN BANNER </t>
  </si>
  <si>
    <t>CORTINA DE AIRE PARA PUERTA DE ENTRADA</t>
  </si>
  <si>
    <t xml:space="preserve">MURO DE CORTINA FRACHADA </t>
  </si>
  <si>
    <t>Afec</t>
  </si>
  <si>
    <t xml:space="preserve">Orden Interna </t>
  </si>
  <si>
    <t xml:space="preserve">No. Iniciativa </t>
  </si>
  <si>
    <t xml:space="preserve">Descripción </t>
  </si>
  <si>
    <t>NTMC340101</t>
  </si>
  <si>
    <t>Estudios Preliminares Sirena Compacta Santiago Hispanoamerica  MC34</t>
  </si>
  <si>
    <t>NTMC34011</t>
  </si>
  <si>
    <t xml:space="preserve">Proyectos </t>
  </si>
  <si>
    <t>Terreno  Sirena Compacta SANTIAGO HISPANOAMERICANA</t>
  </si>
  <si>
    <t>NTMC340902</t>
  </si>
  <si>
    <t>Obra Civil Aprezio Sirena Compacta Santiago Hispanoamerica MC34</t>
  </si>
  <si>
    <t xml:space="preserve"> NTMC340903</t>
  </si>
  <si>
    <t>Sistema Electrico Sirena Compacta Santiago Hispanoamerica  MC34</t>
  </si>
  <si>
    <t>NTMC340904</t>
  </si>
  <si>
    <t>Sistema de Climatizacion Sirena Compacta Santiago Hispanoamerica MC34</t>
  </si>
  <si>
    <t xml:space="preserve"> NTMC340905</t>
  </si>
  <si>
    <t>Frio Alimentario Sirena Compacta Santiago Hispanoamerica MC34</t>
  </si>
  <si>
    <t>NTMC340906</t>
  </si>
  <si>
    <t>Tecnologia, Seguridad y Tesoreria Sirena Compacta Santiago Hispanoamerica MC34</t>
  </si>
  <si>
    <t>NTMC340907</t>
  </si>
  <si>
    <t>Equipamiento de produccion Sirena Compacta Santiago Hispanoamerica MC34</t>
  </si>
  <si>
    <t>NTMC340908</t>
  </si>
  <si>
    <t>Equipamiento de tienda Sirena Compacta Santiago Hispanoamerica MC34</t>
  </si>
  <si>
    <t>NTMC340909</t>
  </si>
  <si>
    <t>Gastos Pre-apertura Sirena Compacta Santiago Hispanoamerica MC34</t>
  </si>
  <si>
    <t>Plan Detallado: Iniciativa Pressto Hispanoamerica</t>
  </si>
  <si>
    <t>30/05/2025</t>
  </si>
  <si>
    <t>COMPRESOR 1.5 HP -220 MONOFASICO Y PANEL MONOF</t>
  </si>
  <si>
    <t xml:space="preserve">validar con el especialista mecanico </t>
  </si>
  <si>
    <r>
      <t>UPS</t>
    </r>
    <r>
      <rPr>
        <b/>
        <sz val="11"/>
        <color theme="1"/>
        <rFont val="Calibri"/>
        <family val="2"/>
        <scheme val="minor"/>
      </rPr>
      <t xml:space="preserve"> (confirmar capacidad y cantidad)</t>
    </r>
    <r>
      <rPr>
        <sz val="11"/>
        <color theme="1"/>
        <rFont val="Calibri"/>
        <family val="2"/>
        <scheme val="minor"/>
      </rPr>
      <t xml:space="preserve"> 1 kilo</t>
    </r>
  </si>
  <si>
    <t xml:space="preserve">Por definir capacidad y cantidad </t>
  </si>
  <si>
    <t>ACH CONTRATISTAS ELECTROMEC</t>
  </si>
  <si>
    <r>
      <t xml:space="preserve">EXTRACTOR </t>
    </r>
    <r>
      <rPr>
        <b/>
        <sz val="11"/>
        <color theme="1"/>
        <rFont val="Calibri"/>
        <family val="2"/>
        <scheme val="minor"/>
      </rPr>
      <t>(si aplica)</t>
    </r>
  </si>
  <si>
    <t>CARLOS CASTRO</t>
  </si>
  <si>
    <t>AA TIPO ROOFTOP PAQUETE 5 TONELADAS</t>
  </si>
  <si>
    <t>POCHY IEROMASO</t>
  </si>
  <si>
    <r>
      <t xml:space="preserve">EXTINTORES </t>
    </r>
    <r>
      <rPr>
        <b/>
        <sz val="11"/>
        <color theme="1"/>
        <rFont val="Calibri"/>
        <family val="2"/>
        <scheme val="minor"/>
      </rPr>
      <t xml:space="preserve"> (colocar capacidad y cantidad)</t>
    </r>
  </si>
  <si>
    <t>TORIBIO MONES</t>
  </si>
  <si>
    <t>MESA DE PLANCHAR PR5006 (PLANCHA PRO III INCLUIDA)</t>
  </si>
  <si>
    <t>PRESSTO</t>
  </si>
  <si>
    <t>EMBOLSADORA CON BASE MOD EVOLUTION PC</t>
  </si>
  <si>
    <t>SECADORA SP-10 TC2</t>
  </si>
  <si>
    <t>MAQUINA DE COSER JUKI MO-3804 (G EOSOFIA)</t>
  </si>
  <si>
    <t>SIRPRO NETWORK PRO SOLUTIONS SRL</t>
  </si>
  <si>
    <t>MAQUINA OVERLOCK DE CINCO HILOS COMPLETA  (G EOSOFIA)</t>
  </si>
  <si>
    <t xml:space="preserve">Columna  FAGOR 10 kg: Lavadora + secadora mod TC2 E IMC 10KG </t>
  </si>
  <si>
    <t>Kit 6 bombas dosificadoras</t>
  </si>
  <si>
    <t>COLGADORES ACERO INOXIDABLE  FIJOS</t>
  </si>
  <si>
    <t>ALMAR INVERPROYECT SRL/METPRO</t>
  </si>
  <si>
    <t xml:space="preserve">FREGADERO CON MEZCLADORA </t>
  </si>
  <si>
    <t>RACK RCS/ 1-TUBO REDONDO C/RUEDAS</t>
  </si>
  <si>
    <t>MUEBLE MOSTRADOR Y VESTIDOR</t>
  </si>
  <si>
    <t>EPIPHANY SRL</t>
  </si>
  <si>
    <t>MUEBLE EDREDON</t>
  </si>
  <si>
    <t>UTECO</t>
  </si>
  <si>
    <t>SILLON TECNICO (para costurero)</t>
  </si>
  <si>
    <t>SACO TRASLADO DE ROPA</t>
  </si>
  <si>
    <t>ESCALERA 3 PELDAÑO</t>
  </si>
  <si>
    <t>FERRETERIAS</t>
  </si>
  <si>
    <t>HAMPER</t>
  </si>
  <si>
    <t>DESCARGO TIENDA</t>
  </si>
  <si>
    <t>BEBEDERO</t>
  </si>
  <si>
    <t xml:space="preserve">ZAFACON </t>
  </si>
  <si>
    <t>BENIGNO ZAPATERO/AF01</t>
  </si>
  <si>
    <t xml:space="preserve">ASPIRADORA </t>
  </si>
  <si>
    <t xml:space="preserve">DECORACION INTERIOR </t>
  </si>
  <si>
    <t xml:space="preserve">DECORACION EXTERIOR  </t>
  </si>
  <si>
    <r>
      <t>Proyecto:</t>
    </r>
    <r>
      <rPr>
        <u/>
        <sz val="12"/>
        <rFont val="Calibri"/>
        <family val="2"/>
      </rPr>
      <t xml:space="preserve">                     </t>
    </r>
  </si>
  <si>
    <t>Sirena Compacta Mao</t>
  </si>
  <si>
    <t>China</t>
  </si>
  <si>
    <t>Europa Vacaciones</t>
  </si>
  <si>
    <t>Líder Iniciativa</t>
  </si>
  <si>
    <t>Leslyne Heriveaux Melo</t>
  </si>
  <si>
    <t>Febrero  ultimos embarque 15/01</t>
  </si>
  <si>
    <t>Agosto/ sepetiembre</t>
  </si>
  <si>
    <t>Encargado Compras AF</t>
  </si>
  <si>
    <t>Yaritza Melendez</t>
  </si>
  <si>
    <t xml:space="preserve">Fecha Aprobación Plan Detallado                                             </t>
  </si>
  <si>
    <t xml:space="preserve">Recepción De Mercancías:                                       </t>
  </si>
  <si>
    <t xml:space="preserve">Recepción De Frescos:                                       </t>
  </si>
  <si>
    <t xml:space="preserve">Apertura:                           </t>
  </si>
  <si>
    <t>AF</t>
  </si>
  <si>
    <t>VIP</t>
  </si>
  <si>
    <t>Pago</t>
  </si>
  <si>
    <t xml:space="preserve">Importación </t>
  </si>
  <si>
    <t>Almacen</t>
  </si>
  <si>
    <t>Entrega de Diseño (insumos) a Activos Fijos</t>
  </si>
  <si>
    <t>Cotización/Comprar/Seleccionar( Comité)</t>
  </si>
  <si>
    <t xml:space="preserve">Comité / Casos especiales </t>
  </si>
  <si>
    <t>Colocar orden/anticipo</t>
  </si>
  <si>
    <t xml:space="preserve">Fabricacion </t>
  </si>
  <si>
    <t xml:space="preserve">Embarque/Transito </t>
  </si>
  <si>
    <t>Despacho a Obra</t>
  </si>
  <si>
    <t>Grupo Orden</t>
  </si>
  <si>
    <t>Activo Fijo</t>
  </si>
  <si>
    <t xml:space="preserve">Duración </t>
  </si>
  <si>
    <t>Fecha tope ejecutar</t>
  </si>
  <si>
    <t>LT</t>
  </si>
  <si>
    <t>Fecha de Entrega en Obra</t>
  </si>
  <si>
    <t>Colocación de orden</t>
  </si>
  <si>
    <t>Fecha de Llegada al País</t>
  </si>
  <si>
    <t>Estatus</t>
  </si>
  <si>
    <t>Condición</t>
  </si>
  <si>
    <t>Observaciones</t>
  </si>
  <si>
    <t>LT De Equipos</t>
  </si>
  <si>
    <t>Presupuesto Aprobado</t>
  </si>
  <si>
    <t>Moneda</t>
  </si>
  <si>
    <t>Presupuesto Ejecutado</t>
  </si>
  <si>
    <t>Desviación</t>
  </si>
  <si>
    <t xml:space="preserve">Fecha de OC </t>
  </si>
  <si>
    <t>No. OC</t>
  </si>
  <si>
    <t>OBRA CIVIL</t>
  </si>
  <si>
    <t>Pisos de Tienda</t>
  </si>
  <si>
    <t>Revestimiento Atenciones</t>
  </si>
  <si>
    <t>Revestimiento Baños</t>
  </si>
  <si>
    <t>Revestimiento Fachada</t>
  </si>
  <si>
    <t>Revestimientos Sala de Ventas</t>
  </si>
  <si>
    <t>2.02 Instalaciones Sanitarias</t>
  </si>
  <si>
    <t>Equipo Tratamiento de Agua</t>
  </si>
  <si>
    <t xml:space="preserve">2.03 Sistema Contra Incendios </t>
  </si>
  <si>
    <t>Extintores</t>
  </si>
  <si>
    <t>Sistema Detección Incendios</t>
  </si>
  <si>
    <t>2.04 Instalaciones Mecánicas</t>
  </si>
  <si>
    <t>Ascensor</t>
  </si>
  <si>
    <t>Rampa transportadora (Travelator)</t>
  </si>
  <si>
    <t>Escalera Eléctrica</t>
  </si>
  <si>
    <t>Montacargas Almacen</t>
  </si>
  <si>
    <t>Rampa niveladora - Descarga Recepción de Mercancía</t>
  </si>
  <si>
    <t>2.05 Rejillas y Sumideros</t>
  </si>
  <si>
    <t>SISTEMA ELECTRICO</t>
  </si>
  <si>
    <t xml:space="preserve">Generadores Eléctricos </t>
  </si>
  <si>
    <t>UPS + Baterías</t>
  </si>
  <si>
    <t>Inversores + Baterías</t>
  </si>
  <si>
    <t>SISTEMA CLIMATIZACION</t>
  </si>
  <si>
    <t>4.03 Sistema de Extracción Gastronómica</t>
  </si>
  <si>
    <t>Suministro e instalación sistema de inyección y extracción gastronómica</t>
  </si>
  <si>
    <t>Instalación ductos de extracción hornos de pan</t>
  </si>
  <si>
    <t>FRIO ALIMENTARIO</t>
  </si>
  <si>
    <t>Paneles cuartos fríos (Paredes y Techo)</t>
  </si>
  <si>
    <t>Puertas de cámaras (cuartos fríos)</t>
  </si>
  <si>
    <t>Cortinas hawaianas</t>
  </si>
  <si>
    <t>Aislante de Piso (Cuartos Fríos) Galca o Manta de Vapor</t>
  </si>
  <si>
    <t xml:space="preserve">Materiales instalación Paneles </t>
  </si>
  <si>
    <t>Revestimiento FRP Trastienda</t>
  </si>
  <si>
    <t>Revestimiento Diamond Plate</t>
  </si>
  <si>
    <t xml:space="preserve">Revestimiento Acero Inoxidable </t>
  </si>
  <si>
    <t>Marcos Diamond Plate p/ Puertas Vaivén</t>
  </si>
  <si>
    <t>Racks + Comandos Eléctricos Cuartos Fríos</t>
  </si>
  <si>
    <t>Evaporadores</t>
  </si>
  <si>
    <t xml:space="preserve">Neveras Sala de Venta </t>
  </si>
  <si>
    <t>Diseño y Supervisión de Frio Alimentario</t>
  </si>
  <si>
    <t>Grúa para Instalación de Racks / Equipos de Techo</t>
  </si>
  <si>
    <t xml:space="preserve">Neveras Antecajas </t>
  </si>
  <si>
    <t>Puerta tipo Walking Cooler</t>
  </si>
  <si>
    <t xml:space="preserve">5.04 Bumpers Neveras </t>
  </si>
  <si>
    <t>Bumpers Cuartos Fríos</t>
  </si>
  <si>
    <t>Bumpers Neveras y Muebles Frescos</t>
  </si>
  <si>
    <t>Instalación Bumpers Cuartos Fríos</t>
  </si>
  <si>
    <t>Instalación Bumpers Neveras y Muebles Frescos</t>
  </si>
  <si>
    <t>Trameria para Cuarto Frio. Fabricación en Tubo</t>
  </si>
  <si>
    <t>Trameria tipo Estante con pieza móvil.</t>
  </si>
  <si>
    <t xml:space="preserve">5.06 Instalación Frio Alimentario </t>
  </si>
  <si>
    <t>Instalación y Materiales Frio Alimentario</t>
  </si>
  <si>
    <t>Bandejas para tuberías de refrigeración</t>
  </si>
  <si>
    <t xml:space="preserve">Tanques de refrigerante 404ª </t>
  </si>
  <si>
    <t>Galones de aceite copeland Ultra 32 -3maf</t>
  </si>
  <si>
    <t>Puerta Recepción de Mercancía Refrigerada</t>
  </si>
  <si>
    <t>Instalación Puertas Vaivén</t>
  </si>
  <si>
    <t>Puertas Vaivén (tipo Chase Door)</t>
  </si>
  <si>
    <t>SEGURIDAD, TECNOLOGIA Y TESORERIA</t>
  </si>
  <si>
    <t>6.01 Equipos de seguridad</t>
  </si>
  <si>
    <t>Sistema de CCTV</t>
  </si>
  <si>
    <t>Sistema Alarma de Intrusión</t>
  </si>
  <si>
    <t>Aditamentos Puertas de Emergencia</t>
  </si>
  <si>
    <t>Antenas de Seguridad</t>
  </si>
  <si>
    <t>Video Portero Cuadre y Menudo</t>
  </si>
  <si>
    <t>Detección de GLP</t>
  </si>
  <si>
    <t>Control de acceso Cuartos de Data y Controladores</t>
  </si>
  <si>
    <t xml:space="preserve">RADIO COMUNICACION ICOM </t>
  </si>
  <si>
    <t>Manta apaga Fuego</t>
  </si>
  <si>
    <t>6.02 Equipos de tecnología</t>
  </si>
  <si>
    <t>Verificadores de Precio</t>
  </si>
  <si>
    <t>Proyector para Salon de Capacitación + Base</t>
  </si>
  <si>
    <t xml:space="preserve">Controladores </t>
  </si>
  <si>
    <t>Scanner VS-3200</t>
  </si>
  <si>
    <t>Powercart</t>
  </si>
  <si>
    <t>Equipos de Tecnologia Locales</t>
  </si>
  <si>
    <t>6.03 Equipos Redes y Telecomunicaciones</t>
  </si>
  <si>
    <t>Cableado de Redes y Telecomunicaciones</t>
  </si>
  <si>
    <t>Equipos de Redes</t>
  </si>
  <si>
    <t>Maquina Contadora de Billetes</t>
  </si>
  <si>
    <t>6.04 Equipos de tesorería</t>
  </si>
  <si>
    <t>Inversión instalación Bóveda Electrónica</t>
  </si>
  <si>
    <t>Puerta de Bóveda Clase I (Sentry)</t>
  </si>
  <si>
    <t>Verificador de Billetes</t>
  </si>
  <si>
    <t>Gavetas y tapas</t>
  </si>
  <si>
    <t>Valija 9x12 de lona imp. Azul con llavín de seguridad y logo de Grupo Ramos</t>
  </si>
  <si>
    <t>Valija 12x16 imp. Azul con llavín de seguridad y logo de Grupo Ramos</t>
  </si>
  <si>
    <t>Valija tipo Tula azul con ojales y argollas para presillas tamaño 40x17 1/2, con logo de Grupo Ramos</t>
  </si>
  <si>
    <t>Maquina Contadora de Monedas CBM-15</t>
  </si>
  <si>
    <t>Calculadoras Sharp 2630</t>
  </si>
  <si>
    <t>Cajas Chicas Medianas 8"x 10"</t>
  </si>
  <si>
    <t>Cajas Chicas tamaño grande 10"x 12" (de colores diferentes)</t>
  </si>
  <si>
    <t>Balanza Electrónica de Plataforma CS EC 60</t>
  </si>
  <si>
    <t>Trituradora Destroyer IDEAL 2360 MBM</t>
  </si>
  <si>
    <t>Candado Truper CL-40XL (candado con grillete extra largo)</t>
  </si>
  <si>
    <t>Costos indirectos contratista General Puerta de Bóveda</t>
  </si>
  <si>
    <t>Caja Fuerte Bóveda</t>
  </si>
  <si>
    <t>Caja Fuerte Servicio al Cliente</t>
  </si>
  <si>
    <t xml:space="preserve">EQUIPAMIENTO DE PRODUCCION </t>
  </si>
  <si>
    <t>Mesadas</t>
  </si>
  <si>
    <t>Carro para horno de Pan</t>
  </si>
  <si>
    <t xml:space="preserve">Carro para bandejas de Carne </t>
  </si>
  <si>
    <t>Carro para bandera de Deli</t>
  </si>
  <si>
    <t>Diseño, Supervisión e Instalación de Equipamiento Acero Inoxidable</t>
  </si>
  <si>
    <t xml:space="preserve">Fregaderos </t>
  </si>
  <si>
    <t>Lavamanos</t>
  </si>
  <si>
    <t>Mezcladoras Equipos Acero Inoxidable</t>
  </si>
  <si>
    <t>7.02 Cocina, Patio Comidas y Rosticería</t>
  </si>
  <si>
    <t>Hornos Rostizador de pollo (Incluir Varillas adicionales)</t>
  </si>
  <si>
    <t>Horno Gastronómico</t>
  </si>
  <si>
    <t>Exhibidor Comida Caliente</t>
  </si>
  <si>
    <t>Exhibidor comida frio</t>
  </si>
  <si>
    <t>Utensilios Rosticería</t>
  </si>
  <si>
    <t>Carro Térmico Frio/ Caliente</t>
  </si>
  <si>
    <t>Hornillon Cocina</t>
  </si>
  <si>
    <t>Procesador de Alimentos</t>
  </si>
  <si>
    <t>7.03 Equipamiento Carnicería, Pescadería y Delicatesen</t>
  </si>
  <si>
    <t>Utensilios Carnicería</t>
  </si>
  <si>
    <t xml:space="preserve">Molino de Carnes cámara refrigerada </t>
  </si>
  <si>
    <t xml:space="preserve">Sierra </t>
  </si>
  <si>
    <t>Rebanadora</t>
  </si>
  <si>
    <t>Molino de  Carne mesa (Atención Carnes)</t>
  </si>
  <si>
    <t>Tenderizadora de Carnes</t>
  </si>
  <si>
    <t>Rapeadora</t>
  </si>
  <si>
    <t>Empacadora al Vacío</t>
  </si>
  <si>
    <t>Utensilios Deli</t>
  </si>
  <si>
    <t>Procesador de Cremas</t>
  </si>
  <si>
    <t>Utensilios pescadería</t>
  </si>
  <si>
    <t>Maquina Hielo Frape ( Descontinuada)</t>
  </si>
  <si>
    <t>Contenedor de Hielo ( Descontinuada)</t>
  </si>
  <si>
    <t>Mueble p/ almacenaje de Huevos</t>
  </si>
  <si>
    <t>Mueble p/almacenaje Arenque y Bacalao</t>
  </si>
  <si>
    <t>7.04 Equipamiento de Panadería y Repostería</t>
  </si>
  <si>
    <t>Cámara Fermentadora de Pan</t>
  </si>
  <si>
    <t>Muebles de Pan Libre Servicio</t>
  </si>
  <si>
    <t>Exhibidor Asistido Pan (Rampa)</t>
  </si>
  <si>
    <t>Semimural Libre Servicio Refrigerado - Repostería</t>
  </si>
  <si>
    <t>Servicio Asistido Refrigerado - Repostería</t>
  </si>
  <si>
    <t>Mesas Pasillo Repostería (Postres Secos)</t>
  </si>
  <si>
    <t>Exhibidor Vertical - Donuts</t>
  </si>
  <si>
    <t>Exhibidor Vertical - Bollería</t>
  </si>
  <si>
    <t>Nevera Farco 1 pta</t>
  </si>
  <si>
    <t>Molino Rallador de Pan</t>
  </si>
  <si>
    <t>Horno de Pan</t>
  </si>
  <si>
    <t xml:space="preserve">Mueble Barra de Café </t>
  </si>
  <si>
    <t>Bandejas Planas con huecos</t>
  </si>
  <si>
    <t>Bandejas Onduladas  de 4  canales con  huecos</t>
  </si>
  <si>
    <t>Bandejas Onduladas  de 5  canales con  huecos</t>
  </si>
  <si>
    <t>Utensilios Panadería/Repostería</t>
  </si>
  <si>
    <t xml:space="preserve">Horno Industrial </t>
  </si>
  <si>
    <t>Microondas</t>
  </si>
  <si>
    <t>Maquina de Café</t>
  </si>
  <si>
    <t>Molino de Café</t>
  </si>
  <si>
    <t>Mueble exhibidor FFVV - Rampa</t>
  </si>
  <si>
    <t>Tapa Laterales p/ Muebles FFVV</t>
  </si>
  <si>
    <t>Especiero</t>
  </si>
  <si>
    <t>Mesas Auxiliarles (Laterales) FFVV</t>
  </si>
  <si>
    <t>BALANZAS ANALOGAS para clientes</t>
  </si>
  <si>
    <t xml:space="preserve">Porta Fundas en Pedestal </t>
  </si>
  <si>
    <t xml:space="preserve">PORTA PRECIOS FFVV - </t>
  </si>
  <si>
    <t>CANASTOS DE EXHIBICION TEXTURA MADERA</t>
  </si>
  <si>
    <t>Utensilios FFVV</t>
  </si>
  <si>
    <t>Balanzas de Mesa Áreas preparación</t>
  </si>
  <si>
    <t>Porta Balanza Atención</t>
  </si>
  <si>
    <t>Balanza DIGI Atención Cliente</t>
  </si>
  <si>
    <t>Impresora de Turnos DIGI</t>
  </si>
  <si>
    <t xml:space="preserve">Balanza de Piso </t>
  </si>
  <si>
    <t>Balanza Móvil</t>
  </si>
  <si>
    <t>SISTEMAS MICROFILTRACION Y ESTERILIZACION</t>
  </si>
  <si>
    <t xml:space="preserve">MO Instalaciones de Equipos </t>
  </si>
  <si>
    <t xml:space="preserve">Manguera de Limpieza </t>
  </si>
  <si>
    <t>Zafacón Preparaciones</t>
  </si>
  <si>
    <t>Zafacón atenciones</t>
  </si>
  <si>
    <t>Zafacón Cuarto de Basura y Limpieza</t>
  </si>
  <si>
    <t xml:space="preserve">EQUIPAMIENTO DE TIENDA </t>
  </si>
  <si>
    <t>8.01 Góndolas  + Mob. Especial</t>
  </si>
  <si>
    <t xml:space="preserve">Mobiliario especial Bazar y Textil  </t>
  </si>
  <si>
    <t xml:space="preserve">Góndolas Sala de Venta  </t>
  </si>
  <si>
    <t>Instalación Góndolas</t>
  </si>
  <si>
    <t>Pódiums en Madera</t>
  </si>
  <si>
    <t>Maniquíes Textil</t>
  </si>
  <si>
    <t>Counter Electro</t>
  </si>
  <si>
    <t>Ante Cajas</t>
  </si>
  <si>
    <t>Counter para Vestidores</t>
  </si>
  <si>
    <t>Bancos para Vestidores</t>
  </si>
  <si>
    <t xml:space="preserve">8.02 Checkout </t>
  </si>
  <si>
    <t>Carritos para compra simples</t>
  </si>
  <si>
    <t>Carritos Doble Canasto</t>
  </si>
  <si>
    <t xml:space="preserve">Canastos </t>
  </si>
  <si>
    <t>Silla bebe p/carro de compras</t>
  </si>
  <si>
    <t>Carritos de compra niños</t>
  </si>
  <si>
    <t>Carro de compra  Personas Movilidad Reducida</t>
  </si>
  <si>
    <t>Suministro Trameria Almacen</t>
  </si>
  <si>
    <t>Jaulas Almacen</t>
  </si>
  <si>
    <t>Instalación Trameria de Almacen</t>
  </si>
  <si>
    <t>8.05 Mobiliario Almacen, Recepción Mercancías</t>
  </si>
  <si>
    <t>Pallet Jack Manual</t>
  </si>
  <si>
    <t>PALLET JACKS ELECTRICA - WP304545 BATERIA INTEGRADA</t>
  </si>
  <si>
    <t>PALETAS DE MADERA</t>
  </si>
  <si>
    <t>CARRO RECEPCION</t>
  </si>
  <si>
    <t>PATANA DE 2 NIVELES (CARRO GONDOLERO)</t>
  </si>
  <si>
    <t>ESCALERA FIBRA VIDRIO TIPO TIJERA 12 PIES, 300LIB</t>
  </si>
  <si>
    <t>ESCALERA FIBRA VIDRIO TIPO TIJERA 8 PIES VR</t>
  </si>
  <si>
    <t>ESCALERA FIBRAVIDRIO TIPO TIJERA 10 PIES VR</t>
  </si>
  <si>
    <t>Compactadora de Basura IMEQ 30 yd</t>
  </si>
  <si>
    <t>MESA P/RECEPCION RODANTE</t>
  </si>
  <si>
    <t>Paletas de Madera</t>
  </si>
  <si>
    <t>Canastos Plásticos P/surtido</t>
  </si>
  <si>
    <t>8.06 Mobiliario no operacional para Tiendas</t>
  </si>
  <si>
    <t>Stand Acrílico con instalación (Succes Factor)</t>
  </si>
  <si>
    <t>Compra taburete Succes Factor</t>
  </si>
  <si>
    <t>Impresión a color y plástico instructivo Sucees Factor</t>
  </si>
  <si>
    <t>Mobiliario Oficinas, Área de colaboradores</t>
  </si>
  <si>
    <t>SALA EXTRACCION- EXTRACTOR</t>
  </si>
  <si>
    <t>SALA EXTRACCION - TERMOMETRO</t>
  </si>
  <si>
    <t>SALA EXTRACCION - SILLON</t>
  </si>
  <si>
    <t>SALA EXTRACCION - MESA AUXILIAR</t>
  </si>
  <si>
    <t>SALA EXTRACCION - CAMBIADOR DE BEBE</t>
  </si>
  <si>
    <t>SALA EXTRACCION - MUEBLE LAVAMANO</t>
  </si>
  <si>
    <t>SALA EXTRACCION - RELOJ DE PARED</t>
  </si>
  <si>
    <t>SALA EXTRACCION - PIZZARA DE CORCHO</t>
  </si>
  <si>
    <t>SALA EXTRACCION - MESA DE APOYO</t>
  </si>
  <si>
    <t>SALA EXTRACCION - GANCHOS BLANCOS</t>
  </si>
  <si>
    <t>SALA EXTRACCION - NEVERA EJECUTIVA</t>
  </si>
  <si>
    <t>SALA EXTRACCION - FRAMES VARIOS</t>
  </si>
  <si>
    <t>Equipo Ponchador</t>
  </si>
  <si>
    <t>Lockers colaboradores</t>
  </si>
  <si>
    <t>Mobiliario de Madera Otras Áreas de Apoyo</t>
  </si>
  <si>
    <t>Base para TV</t>
  </si>
  <si>
    <t>TV 42"</t>
  </si>
  <si>
    <t xml:space="preserve">MURAL CORPORATIVO </t>
  </si>
  <si>
    <t>Carro de Limpieza</t>
  </si>
  <si>
    <t>8.07 Otros Equipamientos de Tienda</t>
  </si>
  <si>
    <t>Astas de Bandera</t>
  </si>
  <si>
    <t>Secador de Mano</t>
  </si>
  <si>
    <t>Lampara Atrapa Insecto</t>
  </si>
  <si>
    <t>Banco para Clientes</t>
  </si>
  <si>
    <t>Zafacón de malla Áreas de Oficinas</t>
  </si>
  <si>
    <t>Zafacón para Inodoros</t>
  </si>
  <si>
    <t>Zafacón para Lavamanos</t>
  </si>
  <si>
    <t>Zafacón para Entradas</t>
  </si>
  <si>
    <t>Zafacón para áreas de Limpieza</t>
  </si>
  <si>
    <t xml:space="preserve">Lockers Clientes </t>
  </si>
  <si>
    <t>GBC PLASTIFICADORA 5000L FUSION</t>
  </si>
  <si>
    <t>GATO HIDRAULICO TIPO RAMA 2 TON. TWL0180</t>
  </si>
  <si>
    <t>SCHUMACHER JUMPEADOR/ARRANC P/VEH XP750C</t>
  </si>
  <si>
    <t>YALE CANDADO 30MM 3 LLAVES GRSM</t>
  </si>
  <si>
    <t>8.08 Señalización interiores</t>
  </si>
  <si>
    <t xml:space="preserve">Decoración Interior </t>
  </si>
  <si>
    <t>Señalización trastienda y áreas de oficinas</t>
  </si>
  <si>
    <t>Señalización Ruta de Emergencia</t>
  </si>
  <si>
    <t>8.09 Señalización exteriores</t>
  </si>
  <si>
    <t xml:space="preserve">Suministro Totem </t>
  </si>
  <si>
    <t>Instalación Totem</t>
  </si>
  <si>
    <t xml:space="preserve">Suministro Letrero Exterior </t>
  </si>
  <si>
    <t xml:space="preserve">Instalación Letrero Exterior </t>
  </si>
  <si>
    <t>Suministro e Instalación de Vallas de Exterior</t>
  </si>
  <si>
    <t>Señalización Parqueos Especiales, Totems de Entrada y Salida</t>
  </si>
  <si>
    <t>BOMBA SCI 1,500 GPM @145 PSI   4512997291</t>
  </si>
  <si>
    <t>CENTRAL DE FRIO ALTA Y MEDIA TEMPERATURA CO2</t>
  </si>
  <si>
    <t>13.05.2026</t>
  </si>
  <si>
    <t>CARRO NINO LOOP KIDS AMARILLO</t>
  </si>
  <si>
    <t>FRP/DIAMOND/ OTROS/INST PUERTAS/BUMPERS</t>
  </si>
  <si>
    <t>MESA LATERAL OAK P/SALA LACTANCIA 17600 - MIMA</t>
  </si>
  <si>
    <t>SILLON HISPANIOLA P/SALA LACTANCIA 41061 - MIMA</t>
  </si>
  <si>
    <t>SYMPHONY MEDELA EXTRACTOR LECHE 0240108 - MIMA</t>
  </si>
  <si>
    <t>KIT DE LACTANCIA SYMPHONY DOBLE 67116 - MIMA</t>
  </si>
  <si>
    <t>SOFA comerdor</t>
  </si>
  <si>
    <t>26.06.2026</t>
  </si>
  <si>
    <t>NEVERA ANTECAJA</t>
  </si>
  <si>
    <t>05.06.2025</t>
  </si>
  <si>
    <t>NEVERAS REMOTA / CO2 INCLUYE ASISITIDO</t>
  </si>
  <si>
    <r>
      <t>4512975869</t>
    </r>
    <r>
      <rPr>
        <sz val="10"/>
        <color rgb="FF000000"/>
        <rFont val="Aptos"/>
        <family val="2"/>
      </rPr>
      <t> </t>
    </r>
  </si>
  <si>
    <r>
      <t>4512975870</t>
    </r>
    <r>
      <rPr>
        <sz val="10"/>
        <color rgb="FF000000"/>
        <rFont val="Aptos"/>
        <family val="2"/>
      </rPr>
      <t> </t>
    </r>
  </si>
  <si>
    <t>18.06.2025</t>
  </si>
  <si>
    <t>09.06.2026</t>
  </si>
  <si>
    <t xml:space="preserve">WOLKING COOLER </t>
  </si>
  <si>
    <t>17.04.2026</t>
  </si>
  <si>
    <t xml:space="preserve">Mobiiario Joselo </t>
  </si>
  <si>
    <t>EQUIPE REVEST EVOLUTION GRIS 10X40CM SIN BISELADO</t>
  </si>
  <si>
    <t>Revestimiento (Carne,deli,panaderia)</t>
  </si>
  <si>
    <t xml:space="preserve">Piso baño Colaboraores </t>
  </si>
  <si>
    <t>Revestimiento baño Colab</t>
  </si>
  <si>
    <t>Revestimiento Paredes cliente sirena y plaza</t>
  </si>
  <si>
    <t xml:space="preserve">Piso baño Cliente y plaza </t>
  </si>
  <si>
    <t>Baños clientes galeria comercial (revestimientos paredes)</t>
  </si>
  <si>
    <t xml:space="preserve">DERIGO </t>
  </si>
  <si>
    <t xml:space="preserve">PANELES - Y REVESTIMIENTO </t>
  </si>
  <si>
    <t xml:space="preserve">REVESTIMIENTO-FRP Y DIMOND PLATE </t>
  </si>
  <si>
    <t>PUERTAS BATIENTES E INSTALACION 15 PUERTA</t>
  </si>
  <si>
    <t>BUMPERS SALA DE VENTAS/TRANSTIENDA /CARROS</t>
  </si>
  <si>
    <t>4513069540/4513069572/4513068538</t>
  </si>
  <si>
    <t>26.08.2026</t>
  </si>
  <si>
    <t>PUERTA AUTOMATICA SIRENA DO</t>
  </si>
  <si>
    <t xml:space="preserve">Puerta </t>
  </si>
  <si>
    <t xml:space="preserve">puerta </t>
  </si>
  <si>
    <t>Apertura Diciembre 2026</t>
  </si>
  <si>
    <t>CARRO P/ HORNO SIMPLE ELLADE 15T 5070 SC</t>
  </si>
  <si>
    <t>CARRO P/HORNO DOBLE PRISMA S1 8080 SC/P</t>
  </si>
  <si>
    <t xml:space="preserve">Carro de horno </t>
  </si>
  <si>
    <t>HORNO SIMPLE ELLADE 15T 5070 SC/P</t>
  </si>
  <si>
    <t>HORNO DOBLE PRISMA S1 8080 SC/P</t>
  </si>
  <si>
    <t>EQUIPE REVEST EVOLUTION GRIS BR. 10X40CM</t>
  </si>
  <si>
    <t>MARAZZI REVEST. ART ANTHARCITE 60X60CM</t>
  </si>
  <si>
    <t>MARAZZI REV MATERIKA OFF WHITE 40X120MM</t>
  </si>
  <si>
    <t>MARAZZI PROGRESS ANTRACITE MT RECT 60X60</t>
  </si>
  <si>
    <t xml:space="preserve">KEAN GROUP </t>
  </si>
  <si>
    <t>FIREPRO</t>
  </si>
  <si>
    <t xml:space="preserve">DE SOTO TRADING </t>
  </si>
  <si>
    <t>ROOFTEC</t>
  </si>
  <si>
    <t>COOPER</t>
  </si>
  <si>
    <t>FARRCO</t>
  </si>
  <si>
    <t>Mesa farco</t>
  </si>
  <si>
    <t>Nevera ante caja farco</t>
  </si>
  <si>
    <t>Nevera sirena Go Farco</t>
  </si>
  <si>
    <t>Nevera Grab go IMS</t>
  </si>
  <si>
    <t>IMS</t>
  </si>
  <si>
    <t xml:space="preserve">KAPASES </t>
  </si>
  <si>
    <t>Utensilios cocina</t>
  </si>
  <si>
    <t xml:space="preserve">Muebles Flores </t>
  </si>
  <si>
    <t xml:space="preserve">JOSELO </t>
  </si>
  <si>
    <t>RIVECO</t>
  </si>
  <si>
    <t xml:space="preserve">Tramerias cuarto frio </t>
  </si>
  <si>
    <t xml:space="preserve">Lockers colaboladores </t>
  </si>
  <si>
    <t>COWEY</t>
  </si>
  <si>
    <t>TECNYSTAND</t>
  </si>
  <si>
    <t xml:space="preserve">caunter servicio al cliente </t>
  </si>
  <si>
    <t xml:space="preserve">PREMIUMTECH </t>
  </si>
  <si>
    <t>jumper</t>
  </si>
  <si>
    <t>cono</t>
  </si>
  <si>
    <t>Secador</t>
  </si>
  <si>
    <t>candado</t>
  </si>
  <si>
    <t>zafacon de baño</t>
  </si>
  <si>
    <t>LIKE CORP</t>
  </si>
  <si>
    <t>PRINTEO</t>
  </si>
  <si>
    <t xml:space="preserve">RIVECO </t>
  </si>
  <si>
    <t xml:space="preserve">Extractor de leche </t>
  </si>
  <si>
    <t>FRIGGA</t>
  </si>
  <si>
    <t>FRIGA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</si>
</sst>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[$US$-1C0A]* #,##0.00_ ;_-[$US$-1C0A]* \-#,##0.00\ ;_-[$US$-1C0A]* &quot;-&quot;??_ ;_-@_ "/>
    <numFmt numFmtId="168" formatCode="_(&quot;USD&quot;\$* #,##0.00_);_(&quot;USD&quot;\$* \(#,##0.00\);_(&quot;USD&quot;\$* &quot;-&quot;??_);_(@_)"/>
    <numFmt numFmtId="169" formatCode="_([$DOP]\ * #,##0.00_);_([$DOP]\ * \(#,##0.00\);_([$DOP]\ * &quot;-&quot;??_);_(@_)"/>
    <numFmt numFmtId="170" formatCode="[$-1C0A]d&quot; de &quot;mmmm&quot; de &quot;yyyy;@"/>
    <numFmt numFmtId="171" formatCode="&quot;Tasa de referencia: RD$ &quot;0.00&quot; /$US&quot;"/>
    <numFmt numFmtId="172" formatCode="_([$RD$-1C0A]* #,##0.00_);_([$RD$-1C0A]* \(#,##0.00\);_([$RD$-1C0A]* &quot;-&quot;??_);_(@_)"/>
    <numFmt numFmtId="173" formatCode="_(&quot;RD$&quot;* #,##0.00_);_(&quot;RD$&quot;* \(#,##0.00\);_(&quot;RD$&quot;* &quot;-&quot;??_);_(@_)"/>
    <numFmt numFmtId="174" formatCode="#,##0.00&quot; m2&quot;"/>
    <numFmt numFmtId="175" formatCode="_([$$-1C0A]* #,##0.00_);_([$$-1C0A]* \(#,##0.00\);_([$$-1C0A]* &quot;-&quot;??_);_(@_)"/>
    <numFmt numFmtId="176" formatCode="_([$$-409]* #,##0.00_);_([$$-409]* \(#,##0.00\);_([$$-409]* &quot;-&quot;??_);_(@_)"/>
    <numFmt numFmtId="177" formatCode="_(* #,##0_);_(* \(#,##0\);_(* &quot;-&quot;??_);_(@_)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3"/>
      <color theme="1"/>
      <name val="Calibri"/>
      <family val="2"/>
      <scheme val="minor"/>
    </font>
    <font>
      <sz val="2"/>
      <color theme="1"/>
      <name val="Calibri"/>
      <family val="2"/>
      <scheme val="minor"/>
    </font>
    <font>
      <b/>
      <sz val="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3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2"/>
      <color rgb="FFFF0000"/>
      <name val="Calibri"/>
      <family val="2"/>
      <scheme val="minor"/>
    </font>
    <font>
      <sz val="10"/>
      <name val="Calibri Light"/>
      <family val="2"/>
      <scheme val="major"/>
    </font>
    <font>
      <b/>
      <sz val="13"/>
      <color rgb="FFFFFFFF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  <font>
      <u/>
      <sz val="11"/>
      <name val="Calibri"/>
      <family val="2"/>
    </font>
    <font>
      <u/>
      <sz val="12"/>
      <name val="Calibri"/>
      <family val="2"/>
    </font>
    <font>
      <b/>
      <sz val="11"/>
      <name val="Calibri"/>
      <family val="2"/>
    </font>
    <font>
      <sz val="12"/>
      <color theme="0"/>
      <name val="Calibri"/>
      <family val="2"/>
    </font>
    <font>
      <b/>
      <sz val="12"/>
      <color theme="0"/>
      <name val="Calibri"/>
      <family val="2"/>
    </font>
    <font>
      <b/>
      <sz val="12"/>
      <color rgb="FFC00000"/>
      <name val="Calibri"/>
      <family val="2"/>
    </font>
    <font>
      <sz val="11"/>
      <color rgb="FFFF0000"/>
      <name val="Calibri"/>
      <family val="2"/>
    </font>
    <font>
      <sz val="10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14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sz val="24"/>
      <color theme="3"/>
      <name val="Calibri Light"/>
      <family val="2"/>
      <scheme val="major"/>
    </font>
    <font>
      <sz val="11"/>
      <color theme="3" tint="-0.499984740745262"/>
      <name val="Calibri"/>
      <family val="2"/>
      <scheme val="minor"/>
    </font>
    <font>
      <sz val="11"/>
      <color theme="2" tint="-0.89992980742820516"/>
      <name val="Calibri"/>
      <family val="2"/>
      <scheme val="minor"/>
    </font>
    <font>
      <sz val="11"/>
      <color theme="2" tint="-0.89989928891872917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6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 Light"/>
      <family val="2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name val="Calibri Light"/>
      <family val="2"/>
    </font>
    <font>
      <sz val="11"/>
      <color rgb="FF000000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sz val="10"/>
      <color rgb="FF000000"/>
      <name val="Aptos"/>
      <family val="2"/>
    </font>
    <font>
      <sz val="12"/>
      <color rgb="FF000000"/>
      <name val="Calibri Light"/>
      <family val="2"/>
    </font>
    <font>
      <sz val="11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31869B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-0.249977111117893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66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medium">
        <color theme="8" tint="-0.249977111117893"/>
      </top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/>
      </left>
      <right/>
      <top style="medium">
        <color theme="8" tint="-0.249977111117893"/>
      </top>
      <bottom/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/>
      <top/>
      <bottom style="thin">
        <color theme="8" tint="-0.249977111117893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rgb="FF002060"/>
      </left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rgb="FF002060"/>
      </left>
      <right style="thin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2060"/>
      </left>
      <right style="thin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2060"/>
      </left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/>
      <right/>
      <top style="thin">
        <color theme="3" tint="0.59996337778862885"/>
      </top>
      <bottom style="double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theme="3" tint="0.59996337778862885"/>
      </top>
      <bottom style="double">
        <color rgb="FF002060"/>
      </bottom>
      <diagonal/>
    </border>
    <border>
      <left/>
      <right/>
      <top style="double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double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double">
        <color rgb="FF002060"/>
      </top>
      <bottom style="medium">
        <color rgb="FF002060"/>
      </bottom>
      <diagonal/>
    </border>
    <border>
      <left style="medium">
        <color rgb="FF002060"/>
      </left>
      <right style="thin">
        <color rgb="FF002060"/>
      </right>
      <top style="double">
        <color rgb="FF002060"/>
      </top>
      <bottom style="medium">
        <color rgb="FF002060"/>
      </bottom>
      <diagonal/>
    </border>
    <border>
      <left style="thin">
        <color theme="0"/>
      </left>
      <right style="thin">
        <color theme="0"/>
      </right>
      <top/>
      <bottom style="double">
        <color rgb="FF0020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dashed">
        <color auto="1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/>
      <bottom/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 style="medium">
        <color theme="8" tint="-0.499984740745262"/>
      </right>
      <top style="thin">
        <color theme="8" tint="-0.249977111117893"/>
      </top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249977111117893"/>
      </top>
      <bottom/>
      <diagonal/>
    </border>
    <border>
      <left style="medium">
        <color theme="8" tint="-0.499984740745262"/>
      </left>
      <right style="medium">
        <color theme="8" tint="-0.499984740745262"/>
      </right>
      <top/>
      <bottom style="medium">
        <color theme="8" tint="-0.499984740745262"/>
      </bottom>
      <diagonal/>
    </border>
    <border>
      <left style="thin">
        <color theme="0"/>
      </left>
      <right/>
      <top/>
      <bottom/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249977111117893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thin">
        <color theme="8" tint="-0.249977111117893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ck">
        <color theme="0"/>
      </left>
      <right/>
      <top/>
      <bottom/>
      <diagonal/>
    </border>
    <border>
      <left/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/>
      <right style="medium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8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22" fillId="0" borderId="0"/>
    <xf numFmtId="0" fontId="22" fillId="0" borderId="0"/>
    <xf numFmtId="0" fontId="52" fillId="0" borderId="0" applyNumberFormat="0" applyFill="0" applyBorder="0" applyAlignment="0" applyProtection="0"/>
    <xf numFmtId="0" fontId="53" fillId="0" borderId="0">
      <alignment vertical="center"/>
    </xf>
    <xf numFmtId="14" fontId="54" fillId="0" borderId="0" applyFill="0" applyBorder="0" applyProtection="0">
      <alignment horizontal="right" vertical="center" indent="2"/>
    </xf>
    <xf numFmtId="0" fontId="55" fillId="0" borderId="0" applyFill="0" applyBorder="0" applyProtection="0">
      <alignment horizontal="left" vertical="center" wrapText="1" indent="1"/>
    </xf>
    <xf numFmtId="14" fontId="54" fillId="0" borderId="65">
      <alignment horizontal="left" vertical="center" indent="2"/>
    </xf>
    <xf numFmtId="0" fontId="2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2" fillId="0" borderId="0"/>
    <xf numFmtId="166" fontId="1" fillId="0" borderId="0" applyFont="0" applyFill="0" applyBorder="0" applyAlignment="0" applyProtection="0"/>
  </cellStyleXfs>
  <cellXfs count="425">
    <xf numFmtId="0" fontId="0" fillId="0" borderId="0" xfId="0"/>
    <xf numFmtId="0" fontId="8" fillId="5" borderId="9" xfId="0" applyFont="1" applyFill="1" applyBorder="1" applyAlignment="1">
      <alignment horizontal="left" vertical="center"/>
    </xf>
    <xf numFmtId="0" fontId="9" fillId="0" borderId="0" xfId="0" applyFont="1"/>
    <xf numFmtId="0" fontId="10" fillId="6" borderId="0" xfId="0" applyFont="1" applyFill="1"/>
    <xf numFmtId="0" fontId="0" fillId="0" borderId="0" xfId="0" applyAlignment="1">
      <alignment horizontal="left" indent="2"/>
    </xf>
    <xf numFmtId="0" fontId="0" fillId="0" borderId="0" xfId="0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/>
    </xf>
    <xf numFmtId="0" fontId="10" fillId="6" borderId="10" xfId="0" applyFont="1" applyFill="1" applyBorder="1"/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left" indent="2"/>
    </xf>
    <xf numFmtId="0" fontId="6" fillId="0" borderId="0" xfId="0" applyFont="1"/>
    <xf numFmtId="0" fontId="9" fillId="0" borderId="11" xfId="0" applyFont="1" applyBorder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2" fillId="9" borderId="0" xfId="0" applyFont="1" applyFill="1"/>
    <xf numFmtId="0" fontId="2" fillId="9" borderId="16" xfId="0" applyFont="1" applyFill="1" applyBorder="1" applyAlignment="1">
      <alignment horizontal="center"/>
    </xf>
    <xf numFmtId="0" fontId="2" fillId="9" borderId="16" xfId="0" applyFont="1" applyFill="1" applyBorder="1"/>
    <xf numFmtId="0" fontId="0" fillId="0" borderId="17" xfId="0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10" borderId="17" xfId="0" applyFont="1" applyFill="1" applyBorder="1"/>
    <xf numFmtId="0" fontId="0" fillId="0" borderId="17" xfId="0" applyBorder="1" applyAlignment="1">
      <alignment horizontal="left" indent="1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left" indent="1"/>
    </xf>
    <xf numFmtId="0" fontId="0" fillId="0" borderId="27" xfId="0" applyBorder="1" applyAlignment="1">
      <alignment horizontal="center" vertical="center"/>
    </xf>
    <xf numFmtId="166" fontId="6" fillId="10" borderId="19" xfId="0" applyNumberFormat="1" applyFont="1" applyFill="1" applyBorder="1"/>
    <xf numFmtId="166" fontId="0" fillId="0" borderId="19" xfId="1" applyFont="1" applyBorder="1"/>
    <xf numFmtId="166" fontId="0" fillId="0" borderId="24" xfId="1" applyFont="1" applyBorder="1"/>
    <xf numFmtId="166" fontId="0" fillId="0" borderId="20" xfId="0" applyNumberFormat="1" applyBorder="1"/>
    <xf numFmtId="166" fontId="0" fillId="0" borderId="21" xfId="0" applyNumberFormat="1" applyBorder="1"/>
    <xf numFmtId="166" fontId="0" fillId="0" borderId="25" xfId="0" applyNumberFormat="1" applyBorder="1"/>
    <xf numFmtId="166" fontId="0" fillId="0" borderId="26" xfId="0" applyNumberFormat="1" applyBorder="1"/>
    <xf numFmtId="166" fontId="6" fillId="10" borderId="18" xfId="1" applyFont="1" applyFill="1" applyBorder="1"/>
    <xf numFmtId="166" fontId="0" fillId="0" borderId="18" xfId="1" applyFont="1" applyBorder="1"/>
    <xf numFmtId="166" fontId="0" fillId="0" borderId="23" xfId="1" applyFont="1" applyBorder="1"/>
    <xf numFmtId="166" fontId="6" fillId="0" borderId="30" xfId="0" applyNumberFormat="1" applyFont="1" applyBorder="1"/>
    <xf numFmtId="166" fontId="6" fillId="0" borderId="31" xfId="0" applyNumberFormat="1" applyFont="1" applyBorder="1"/>
    <xf numFmtId="166" fontId="6" fillId="0" borderId="28" xfId="0" applyNumberFormat="1" applyFont="1" applyBorder="1"/>
    <xf numFmtId="166" fontId="6" fillId="0" borderId="29" xfId="0" applyNumberFormat="1" applyFont="1" applyBorder="1"/>
    <xf numFmtId="166" fontId="6" fillId="10" borderId="20" xfId="0" applyNumberFormat="1" applyFont="1" applyFill="1" applyBorder="1"/>
    <xf numFmtId="166" fontId="6" fillId="10" borderId="18" xfId="0" applyNumberFormat="1" applyFont="1" applyFill="1" applyBorder="1"/>
    <xf numFmtId="166" fontId="0" fillId="0" borderId="18" xfId="0" applyNumberFormat="1" applyBorder="1"/>
    <xf numFmtId="166" fontId="0" fillId="0" borderId="23" xfId="0" applyNumberFormat="1" applyBorder="1"/>
    <xf numFmtId="0" fontId="6" fillId="0" borderId="27" xfId="0" applyFont="1" applyBorder="1" applyAlignment="1">
      <alignment horizontal="right"/>
    </xf>
    <xf numFmtId="166" fontId="0" fillId="12" borderId="32" xfId="1" applyFont="1" applyFill="1" applyBorder="1"/>
    <xf numFmtId="166" fontId="6" fillId="0" borderId="30" xfId="1" applyFont="1" applyBorder="1"/>
    <xf numFmtId="166" fontId="6" fillId="0" borderId="31" xfId="1" applyFont="1" applyBorder="1"/>
    <xf numFmtId="166" fontId="6" fillId="0" borderId="28" xfId="1" applyFont="1" applyBorder="1"/>
    <xf numFmtId="166" fontId="0" fillId="0" borderId="0" xfId="0" applyNumberFormat="1"/>
    <xf numFmtId="0" fontId="23" fillId="0" borderId="0" xfId="0" applyFont="1"/>
    <xf numFmtId="169" fontId="7" fillId="0" borderId="0" xfId="4" applyFont="1"/>
    <xf numFmtId="166" fontId="7" fillId="0" borderId="0" xfId="4" applyNumberFormat="1" applyFont="1"/>
    <xf numFmtId="2" fontId="7" fillId="0" borderId="0" xfId="4" applyNumberFormat="1" applyFont="1"/>
    <xf numFmtId="169" fontId="7" fillId="0" borderId="0" xfId="4" applyFont="1" applyAlignment="1">
      <alignment horizontal="center"/>
    </xf>
    <xf numFmtId="166" fontId="3" fillId="0" borderId="0" xfId="1" applyFont="1"/>
    <xf numFmtId="169" fontId="3" fillId="0" borderId="0" xfId="1" applyNumberFormat="1" applyFont="1"/>
    <xf numFmtId="169" fontId="25" fillId="0" borderId="0" xfId="4" applyFont="1" applyAlignment="1">
      <alignment horizontal="left" vertical="center"/>
    </xf>
    <xf numFmtId="171" fontId="26" fillId="0" borderId="0" xfId="3" applyNumberFormat="1" applyFont="1" applyAlignment="1">
      <alignment horizontal="left" vertical="center"/>
    </xf>
    <xf numFmtId="2" fontId="8" fillId="5" borderId="37" xfId="4" applyNumberFormat="1" applyFont="1" applyFill="1" applyBorder="1" applyAlignment="1">
      <alignment horizontal="center" vertical="center"/>
    </xf>
    <xf numFmtId="169" fontId="8" fillId="5" borderId="38" xfId="4" applyFont="1" applyFill="1" applyBorder="1" applyAlignment="1">
      <alignment horizontal="center" vertical="center"/>
    </xf>
    <xf numFmtId="166" fontId="8" fillId="5" borderId="38" xfId="1" applyFont="1" applyFill="1" applyBorder="1" applyAlignment="1">
      <alignment horizontal="center" vertical="center"/>
    </xf>
    <xf numFmtId="167" fontId="8" fillId="5" borderId="39" xfId="1" applyNumberFormat="1" applyFont="1" applyFill="1" applyBorder="1" applyAlignment="1">
      <alignment horizontal="center" vertical="center"/>
    </xf>
    <xf numFmtId="0" fontId="7" fillId="0" borderId="0" xfId="3" applyFont="1"/>
    <xf numFmtId="0" fontId="7" fillId="0" borderId="40" xfId="3" applyFont="1" applyBorder="1"/>
    <xf numFmtId="0" fontId="14" fillId="0" borderId="0" xfId="3" applyFont="1"/>
    <xf numFmtId="0" fontId="9" fillId="0" borderId="0" xfId="3" applyFont="1"/>
    <xf numFmtId="172" fontId="9" fillId="0" borderId="0" xfId="3" applyNumberFormat="1" applyFont="1"/>
    <xf numFmtId="169" fontId="27" fillId="5" borderId="0" xfId="4" applyFont="1" applyFill="1"/>
    <xf numFmtId="169" fontId="8" fillId="5" borderId="0" xfId="4" applyFont="1" applyFill="1" applyAlignment="1">
      <alignment horizontal="left" vertical="center"/>
    </xf>
    <xf numFmtId="169" fontId="8" fillId="5" borderId="0" xfId="4" applyFont="1" applyFill="1" applyAlignment="1">
      <alignment horizontal="center" vertical="center"/>
    </xf>
    <xf numFmtId="166" fontId="8" fillId="5" borderId="0" xfId="1" applyFont="1" applyFill="1" applyBorder="1" applyAlignment="1">
      <alignment horizontal="center" vertical="center"/>
    </xf>
    <xf numFmtId="167" fontId="8" fillId="5" borderId="0" xfId="1" applyNumberFormat="1" applyFont="1" applyFill="1" applyBorder="1" applyAlignment="1">
      <alignment horizontal="center" vertical="center"/>
    </xf>
    <xf numFmtId="173" fontId="9" fillId="0" borderId="0" xfId="3" applyNumberFormat="1" applyFont="1"/>
    <xf numFmtId="10" fontId="7" fillId="0" borderId="0" xfId="2" applyNumberFormat="1" applyFont="1" applyBorder="1" applyAlignment="1">
      <alignment horizontal="left"/>
    </xf>
    <xf numFmtId="166" fontId="7" fillId="0" borderId="0" xfId="1" applyFont="1"/>
    <xf numFmtId="167" fontId="9" fillId="0" borderId="0" xfId="3" applyNumberFormat="1" applyFont="1"/>
    <xf numFmtId="169" fontId="27" fillId="6" borderId="13" xfId="4" applyFont="1" applyFill="1" applyBorder="1"/>
    <xf numFmtId="169" fontId="10" fillId="6" borderId="41" xfId="4" applyFont="1" applyFill="1" applyBorder="1"/>
    <xf numFmtId="169" fontId="10" fillId="6" borderId="0" xfId="4" applyFont="1" applyFill="1"/>
    <xf numFmtId="166" fontId="10" fillId="6" borderId="41" xfId="4" applyNumberFormat="1" applyFont="1" applyFill="1" applyBorder="1"/>
    <xf numFmtId="167" fontId="10" fillId="6" borderId="41" xfId="4" applyNumberFormat="1" applyFont="1" applyFill="1" applyBorder="1"/>
    <xf numFmtId="174" fontId="9" fillId="0" borderId="0" xfId="3" applyNumberFormat="1" applyFont="1"/>
    <xf numFmtId="167" fontId="10" fillId="6" borderId="15" xfId="4" applyNumberFormat="1" applyFont="1" applyFill="1" applyBorder="1"/>
    <xf numFmtId="2" fontId="9" fillId="13" borderId="42" xfId="4" applyNumberFormat="1" applyFont="1" applyFill="1" applyBorder="1"/>
    <xf numFmtId="169" fontId="9" fillId="13" borderId="43" xfId="4" applyFont="1" applyFill="1" applyBorder="1"/>
    <xf numFmtId="169" fontId="9" fillId="13" borderId="43" xfId="4" applyFont="1" applyFill="1" applyBorder="1" applyAlignment="1">
      <alignment horizontal="center"/>
    </xf>
    <xf numFmtId="2" fontId="9" fillId="0" borderId="0" xfId="3" applyNumberFormat="1" applyFont="1"/>
    <xf numFmtId="0" fontId="28" fillId="0" borderId="0" xfId="3" applyFont="1" applyAlignment="1">
      <alignment horizontal="left" indent="2"/>
    </xf>
    <xf numFmtId="0" fontId="29" fillId="0" borderId="0" xfId="3" applyFont="1" applyAlignment="1">
      <alignment horizontal="left" indent="2"/>
    </xf>
    <xf numFmtId="0" fontId="28" fillId="0" borderId="0" xfId="3" applyFont="1" applyAlignment="1">
      <alignment horizontal="center"/>
    </xf>
    <xf numFmtId="2" fontId="28" fillId="0" borderId="0" xfId="3" applyNumberFormat="1" applyFont="1" applyAlignment="1">
      <alignment horizontal="center"/>
    </xf>
    <xf numFmtId="175" fontId="4" fillId="0" borderId="0" xfId="1" applyNumberFormat="1" applyFont="1" applyBorder="1"/>
    <xf numFmtId="2" fontId="7" fillId="0" borderId="0" xfId="3" applyNumberFormat="1" applyFont="1"/>
    <xf numFmtId="0" fontId="7" fillId="0" borderId="0" xfId="3" applyFont="1" applyAlignment="1">
      <alignment horizontal="center"/>
    </xf>
    <xf numFmtId="172" fontId="3" fillId="0" borderId="0" xfId="1" applyNumberFormat="1" applyFont="1" applyBorder="1"/>
    <xf numFmtId="0" fontId="29" fillId="0" borderId="0" xfId="3" applyFont="1" applyAlignment="1">
      <alignment horizontal="center"/>
    </xf>
    <xf numFmtId="176" fontId="3" fillId="0" borderId="0" xfId="1" applyNumberFormat="1" applyFont="1" applyBorder="1"/>
    <xf numFmtId="176" fontId="3" fillId="0" borderId="0" xfId="1" applyNumberFormat="1" applyFont="1" applyBorder="1" applyAlignment="1">
      <alignment horizontal="right"/>
    </xf>
    <xf numFmtId="0" fontId="31" fillId="0" borderId="0" xfId="3" applyFont="1" applyAlignment="1">
      <alignment horizontal="left" indent="2"/>
    </xf>
    <xf numFmtId="0" fontId="29" fillId="0" borderId="0" xfId="3" applyFont="1" applyAlignment="1">
      <alignment horizontal="left" indent="5"/>
    </xf>
    <xf numFmtId="2" fontId="29" fillId="0" borderId="0" xfId="3" applyNumberFormat="1" applyFont="1" applyAlignment="1">
      <alignment horizontal="center"/>
    </xf>
    <xf numFmtId="167" fontId="3" fillId="0" borderId="0" xfId="3" applyNumberFormat="1" applyFont="1"/>
    <xf numFmtId="176" fontId="3" fillId="0" borderId="0" xfId="3" applyNumberFormat="1" applyFont="1"/>
    <xf numFmtId="168" fontId="7" fillId="0" borderId="0" xfId="4" applyNumberFormat="1" applyFont="1"/>
    <xf numFmtId="168" fontId="9" fillId="8" borderId="0" xfId="4" applyNumberFormat="1" applyFont="1" applyFill="1" applyAlignment="1">
      <alignment horizontal="center" vertical="center"/>
    </xf>
    <xf numFmtId="168" fontId="8" fillId="5" borderId="39" xfId="1" applyNumberFormat="1" applyFont="1" applyFill="1" applyBorder="1" applyAlignment="1">
      <alignment horizontal="center" vertical="center"/>
    </xf>
    <xf numFmtId="168" fontId="14" fillId="0" borderId="0" xfId="3" applyNumberFormat="1" applyFont="1"/>
    <xf numFmtId="168" fontId="7" fillId="0" borderId="0" xfId="3" applyNumberFormat="1" applyFont="1"/>
    <xf numFmtId="168" fontId="8" fillId="5" borderId="0" xfId="1" applyNumberFormat="1" applyFont="1" applyFill="1" applyBorder="1" applyAlignment="1">
      <alignment horizontal="center" vertical="center"/>
    </xf>
    <xf numFmtId="168" fontId="9" fillId="0" borderId="0" xfId="3" applyNumberFormat="1" applyFont="1"/>
    <xf numFmtId="168" fontId="10" fillId="6" borderId="41" xfId="4" applyNumberFormat="1" applyFont="1" applyFill="1" applyBorder="1"/>
    <xf numFmtId="168" fontId="10" fillId="6" borderId="15" xfId="4" applyNumberFormat="1" applyFont="1" applyFill="1" applyBorder="1"/>
    <xf numFmtId="168" fontId="4" fillId="13" borderId="44" xfId="1" applyNumberFormat="1" applyFont="1" applyFill="1" applyBorder="1"/>
    <xf numFmtId="168" fontId="4" fillId="0" borderId="0" xfId="1" applyNumberFormat="1" applyFont="1" applyBorder="1"/>
    <xf numFmtId="168" fontId="3" fillId="0" borderId="0" xfId="1" applyNumberFormat="1" applyFont="1" applyBorder="1"/>
    <xf numFmtId="168" fontId="3" fillId="0" borderId="0" xfId="1" applyNumberFormat="1" applyFont="1" applyBorder="1" applyAlignment="1">
      <alignment horizontal="right"/>
    </xf>
    <xf numFmtId="168" fontId="4" fillId="0" borderId="0" xfId="3" applyNumberFormat="1" applyFont="1"/>
    <xf numFmtId="168" fontId="3" fillId="0" borderId="0" xfId="3" applyNumberFormat="1" applyFont="1"/>
    <xf numFmtId="0" fontId="6" fillId="13" borderId="0" xfId="0" applyFont="1" applyFill="1" applyAlignment="1">
      <alignment horizontal="left"/>
    </xf>
    <xf numFmtId="0" fontId="6" fillId="0" borderId="0" xfId="0" applyFont="1" applyAlignment="1">
      <alignment horizontal="left" indent="8"/>
    </xf>
    <xf numFmtId="0" fontId="34" fillId="4" borderId="9" xfId="0" applyFont="1" applyFill="1" applyBorder="1" applyAlignment="1">
      <alignment horizontal="center" vertical="center"/>
    </xf>
    <xf numFmtId="0" fontId="34" fillId="4" borderId="59" xfId="0" applyFont="1" applyFill="1" applyBorder="1" applyAlignment="1">
      <alignment horizontal="center" vertical="center"/>
    </xf>
    <xf numFmtId="44" fontId="0" fillId="0" borderId="0" xfId="0" applyNumberFormat="1"/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center" wrapText="1"/>
    </xf>
    <xf numFmtId="0" fontId="36" fillId="0" borderId="0" xfId="0" applyFont="1"/>
    <xf numFmtId="0" fontId="35" fillId="0" borderId="0" xfId="0" applyFont="1" applyAlignment="1">
      <alignment horizontal="left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wrapText="1"/>
    </xf>
    <xf numFmtId="0" fontId="39" fillId="0" borderId="0" xfId="0" applyFont="1" applyAlignment="1">
      <alignment horizontal="left"/>
    </xf>
    <xf numFmtId="0" fontId="39" fillId="0" borderId="0" xfId="0" applyFont="1" applyAlignment="1">
      <alignment horizontal="center"/>
    </xf>
    <xf numFmtId="0" fontId="40" fillId="0" borderId="0" xfId="0" applyFont="1"/>
    <xf numFmtId="0" fontId="39" fillId="0" borderId="1" xfId="0" applyFont="1" applyBorder="1" applyAlignment="1">
      <alignment horizontal="left"/>
    </xf>
    <xf numFmtId="0" fontId="42" fillId="0" borderId="1" xfId="0" applyFont="1" applyBorder="1" applyAlignment="1">
      <alignment horizontal="center"/>
    </xf>
    <xf numFmtId="0" fontId="42" fillId="0" borderId="0" xfId="0" applyFont="1" applyAlignment="1">
      <alignment horizontal="center" wrapText="1"/>
    </xf>
    <xf numFmtId="0" fontId="39" fillId="0" borderId="1" xfId="0" applyFont="1" applyBorder="1"/>
    <xf numFmtId="0" fontId="39" fillId="0" borderId="0" xfId="0" applyFont="1"/>
    <xf numFmtId="0" fontId="36" fillId="0" borderId="0" xfId="0" applyFont="1" applyAlignment="1">
      <alignment horizontal="right"/>
    </xf>
    <xf numFmtId="14" fontId="42" fillId="0" borderId="1" xfId="0" applyNumberFormat="1" applyFont="1" applyBorder="1" applyAlignment="1">
      <alignment horizontal="center"/>
    </xf>
    <xf numFmtId="14" fontId="42" fillId="0" borderId="0" xfId="0" applyNumberFormat="1" applyFont="1" applyAlignment="1">
      <alignment horizontal="center" wrapText="1"/>
    </xf>
    <xf numFmtId="14" fontId="36" fillId="0" borderId="0" xfId="0" applyNumberFormat="1" applyFont="1"/>
    <xf numFmtId="14" fontId="36" fillId="0" borderId="0" xfId="0" applyNumberFormat="1" applyFont="1" applyAlignment="1">
      <alignment wrapText="1"/>
    </xf>
    <xf numFmtId="0" fontId="40" fillId="0" borderId="0" xfId="0" applyFont="1" applyAlignment="1">
      <alignment horizontal="center"/>
    </xf>
    <xf numFmtId="14" fontId="38" fillId="0" borderId="0" xfId="0" applyNumberFormat="1" applyFont="1"/>
    <xf numFmtId="14" fontId="38" fillId="0" borderId="0" xfId="0" applyNumberFormat="1" applyFont="1" applyAlignment="1">
      <alignment wrapText="1"/>
    </xf>
    <xf numFmtId="0" fontId="38" fillId="0" borderId="0" xfId="0" applyFont="1" applyAlignment="1">
      <alignment wrapText="1"/>
    </xf>
    <xf numFmtId="0" fontId="38" fillId="0" borderId="0" xfId="0" applyFont="1" applyAlignment="1">
      <alignment horizontal="center" vertical="center"/>
    </xf>
    <xf numFmtId="0" fontId="38" fillId="0" borderId="0" xfId="0" applyFont="1"/>
    <xf numFmtId="0" fontId="43" fillId="14" borderId="62" xfId="0" applyFont="1" applyFill="1" applyBorder="1" applyAlignment="1">
      <alignment horizontal="center" vertical="center" wrapText="1"/>
    </xf>
    <xf numFmtId="0" fontId="44" fillId="15" borderId="1" xfId="0" applyFont="1" applyFill="1" applyBorder="1" applyAlignment="1">
      <alignment horizontal="center" vertical="center" wrapText="1"/>
    </xf>
    <xf numFmtId="0" fontId="45" fillId="16" borderId="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/>
    <xf numFmtId="0" fontId="36" fillId="0" borderId="1" xfId="0" applyFont="1" applyBorder="1" applyAlignment="1">
      <alignment horizontal="left" vertical="center" wrapText="1"/>
    </xf>
    <xf numFmtId="14" fontId="36" fillId="0" borderId="1" xfId="0" applyNumberFormat="1" applyFont="1" applyBorder="1" applyAlignment="1">
      <alignment horizontal="center" vertical="center" wrapText="1"/>
    </xf>
    <xf numFmtId="43" fontId="36" fillId="0" borderId="1" xfId="0" applyNumberFormat="1" applyFont="1" applyBorder="1" applyAlignment="1">
      <alignment horizontal="center" vertical="center" wrapText="1"/>
    </xf>
    <xf numFmtId="14" fontId="38" fillId="0" borderId="1" xfId="0" applyNumberFormat="1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7" fillId="0" borderId="1" xfId="0" applyFont="1" applyBorder="1" applyAlignment="1" applyProtection="1">
      <alignment horizontal="center" wrapText="1" readingOrder="1"/>
      <protection hidden="1"/>
    </xf>
    <xf numFmtId="0" fontId="35" fillId="0" borderId="33" xfId="0" applyFont="1" applyBorder="1" applyAlignment="1">
      <alignment horizontal="center"/>
    </xf>
    <xf numFmtId="0" fontId="38" fillId="7" borderId="33" xfId="0" applyFont="1" applyFill="1" applyBorder="1" applyAlignment="1">
      <alignment horizontal="center"/>
    </xf>
    <xf numFmtId="1" fontId="38" fillId="0" borderId="1" xfId="0" applyNumberFormat="1" applyFont="1" applyBorder="1" applyAlignment="1">
      <alignment horizontal="center"/>
    </xf>
    <xf numFmtId="177" fontId="38" fillId="0" borderId="1" xfId="1" applyNumberFormat="1" applyFont="1" applyFill="1" applyBorder="1"/>
    <xf numFmtId="1" fontId="38" fillId="0" borderId="1" xfId="0" applyNumberFormat="1" applyFont="1" applyBorder="1"/>
    <xf numFmtId="14" fontId="36" fillId="0" borderId="1" xfId="0" applyNumberFormat="1" applyFont="1" applyBorder="1" applyAlignment="1">
      <alignment horizontal="center"/>
    </xf>
    <xf numFmtId="14" fontId="36" fillId="0" borderId="1" xfId="0" applyNumberFormat="1" applyFont="1" applyBorder="1" applyAlignment="1">
      <alignment horizontal="center" wrapText="1"/>
    </xf>
    <xf numFmtId="0" fontId="36" fillId="0" borderId="1" xfId="0" applyFont="1" applyBorder="1" applyAlignment="1">
      <alignment horizontal="left"/>
    </xf>
    <xf numFmtId="0" fontId="38" fillId="0" borderId="1" xfId="0" applyFont="1" applyBorder="1" applyAlignment="1">
      <alignment wrapText="1"/>
    </xf>
    <xf numFmtId="0" fontId="36" fillId="0" borderId="1" xfId="0" applyFont="1" applyBorder="1" applyAlignment="1">
      <alignment horizontal="left" wrapText="1"/>
    </xf>
    <xf numFmtId="0" fontId="46" fillId="7" borderId="33" xfId="0" applyFont="1" applyFill="1" applyBorder="1" applyAlignment="1">
      <alignment horizontal="center"/>
    </xf>
    <xf numFmtId="0" fontId="38" fillId="0" borderId="1" xfId="0" applyFont="1" applyBorder="1" applyAlignment="1">
      <alignment vertical="center"/>
    </xf>
    <xf numFmtId="0" fontId="36" fillId="0" borderId="33" xfId="0" applyFont="1" applyBorder="1" applyAlignment="1">
      <alignment horizontal="left" vertical="center" wrapText="1"/>
    </xf>
    <xf numFmtId="0" fontId="38" fillId="7" borderId="0" xfId="0" applyFont="1" applyFill="1" applyAlignment="1">
      <alignment horizontal="center"/>
    </xf>
    <xf numFmtId="14" fontId="36" fillId="12" borderId="1" xfId="0" applyNumberFormat="1" applyFont="1" applyFill="1" applyBorder="1" applyAlignment="1">
      <alignment horizontal="center" vertical="center" wrapText="1"/>
    </xf>
    <xf numFmtId="0" fontId="36" fillId="0" borderId="1" xfId="1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175" fontId="4" fillId="7" borderId="0" xfId="1" applyNumberFormat="1" applyFont="1" applyFill="1" applyBorder="1"/>
    <xf numFmtId="44" fontId="0" fillId="0" borderId="0" xfId="0" applyNumberFormat="1" applyAlignment="1">
      <alignment horizontal="left" vertical="center" indent="8"/>
    </xf>
    <xf numFmtId="44" fontId="9" fillId="0" borderId="48" xfId="1" applyNumberFormat="1" applyFont="1" applyBorder="1"/>
    <xf numFmtId="44" fontId="9" fillId="0" borderId="49" xfId="1" applyNumberFormat="1" applyFont="1" applyBorder="1"/>
    <xf numFmtId="44" fontId="10" fillId="6" borderId="12" xfId="1" applyNumberFormat="1" applyFont="1" applyFill="1" applyBorder="1" applyAlignment="1">
      <alignment horizontal="center"/>
    </xf>
    <xf numFmtId="44" fontId="6" fillId="13" borderId="13" xfId="1" applyNumberFormat="1" applyFont="1" applyFill="1" applyBorder="1" applyAlignment="1">
      <alignment horizontal="left"/>
    </xf>
    <xf numFmtId="44" fontId="0" fillId="0" borderId="13" xfId="1" applyNumberFormat="1" applyFont="1" applyBorder="1"/>
    <xf numFmtId="44" fontId="0" fillId="0" borderId="14" xfId="1" applyNumberFormat="1" applyFont="1" applyBorder="1"/>
    <xf numFmtId="44" fontId="0" fillId="0" borderId="58" xfId="0" applyNumberFormat="1" applyBorder="1" applyAlignment="1">
      <alignment horizontal="left" vertical="center" indent="8"/>
    </xf>
    <xf numFmtId="44" fontId="0" fillId="0" borderId="0" xfId="0" applyNumberFormat="1" applyAlignment="1">
      <alignment horizontal="center" vertical="center"/>
    </xf>
    <xf numFmtId="44" fontId="0" fillId="0" borderId="58" xfId="0" applyNumberFormat="1" applyBorder="1" applyAlignment="1">
      <alignment horizontal="center" vertical="center"/>
    </xf>
    <xf numFmtId="44" fontId="34" fillId="4" borderId="60" xfId="1" applyNumberFormat="1" applyFont="1" applyFill="1" applyBorder="1" applyAlignment="1">
      <alignment horizontal="center" vertical="center"/>
    </xf>
    <xf numFmtId="44" fontId="15" fillId="0" borderId="48" xfId="1" applyNumberFormat="1" applyFont="1" applyBorder="1"/>
    <xf numFmtId="44" fontId="14" fillId="8" borderId="53" xfId="1" applyNumberFormat="1" applyFont="1" applyFill="1" applyBorder="1"/>
    <xf numFmtId="44" fontId="15" fillId="0" borderId="51" xfId="1" applyNumberFormat="1" applyFont="1" applyBorder="1"/>
    <xf numFmtId="44" fontId="16" fillId="0" borderId="48" xfId="1" applyNumberFormat="1" applyFont="1" applyBorder="1"/>
    <xf numFmtId="44" fontId="16" fillId="0" borderId="53" xfId="1" applyNumberFormat="1" applyFont="1" applyBorder="1"/>
    <xf numFmtId="44" fontId="16" fillId="0" borderId="51" xfId="1" applyNumberFormat="1" applyFont="1" applyBorder="1"/>
    <xf numFmtId="44" fontId="8" fillId="5" borderId="47" xfId="1" applyNumberFormat="1" applyFont="1" applyFill="1" applyBorder="1" applyAlignment="1">
      <alignment horizontal="center" vertical="center"/>
    </xf>
    <xf numFmtId="44" fontId="8" fillId="5" borderId="54" xfId="1" applyNumberFormat="1" applyFont="1" applyFill="1" applyBorder="1" applyAlignment="1">
      <alignment horizontal="center" vertical="center"/>
    </xf>
    <xf numFmtId="44" fontId="8" fillId="5" borderId="50" xfId="1" applyNumberFormat="1" applyFont="1" applyFill="1" applyBorder="1" applyAlignment="1">
      <alignment horizontal="center" vertical="center"/>
    </xf>
    <xf numFmtId="44" fontId="9" fillId="8" borderId="53" xfId="1" applyNumberFormat="1" applyFont="1" applyFill="1" applyBorder="1"/>
    <xf numFmtId="44" fontId="9" fillId="0" borderId="51" xfId="1" applyNumberFormat="1" applyFont="1" applyBorder="1"/>
    <xf numFmtId="44" fontId="9" fillId="8" borderId="55" xfId="1" applyNumberFormat="1" applyFont="1" applyFill="1" applyBorder="1"/>
    <xf numFmtId="44" fontId="9" fillId="0" borderId="52" xfId="1" applyNumberFormat="1" applyFont="1" applyBorder="1"/>
    <xf numFmtId="44" fontId="9" fillId="0" borderId="53" xfId="1" applyNumberFormat="1" applyFont="1" applyFill="1" applyBorder="1"/>
    <xf numFmtId="44" fontId="18" fillId="0" borderId="48" xfId="1" applyNumberFormat="1" applyFont="1" applyBorder="1"/>
    <xf numFmtId="44" fontId="18" fillId="0" borderId="53" xfId="1" applyNumberFormat="1" applyFont="1" applyBorder="1"/>
    <xf numFmtId="44" fontId="18" fillId="0" borderId="51" xfId="1" applyNumberFormat="1" applyFont="1" applyBorder="1"/>
    <xf numFmtId="44" fontId="10" fillId="6" borderId="48" xfId="1" applyNumberFormat="1" applyFont="1" applyFill="1" applyBorder="1"/>
    <xf numFmtId="44" fontId="10" fillId="6" borderId="53" xfId="1" applyNumberFormat="1" applyFont="1" applyFill="1" applyBorder="1"/>
    <xf numFmtId="44" fontId="10" fillId="6" borderId="51" xfId="1" applyNumberFormat="1" applyFont="1" applyFill="1" applyBorder="1"/>
    <xf numFmtId="44" fontId="9" fillId="0" borderId="53" xfId="1" applyNumberFormat="1" applyFont="1" applyBorder="1"/>
    <xf numFmtId="44" fontId="32" fillId="0" borderId="48" xfId="1" applyNumberFormat="1" applyFont="1" applyBorder="1" applyAlignment="1">
      <alignment horizontal="center"/>
    </xf>
    <xf numFmtId="44" fontId="32" fillId="0" borderId="51" xfId="1" applyNumberFormat="1" applyFont="1" applyBorder="1" applyAlignment="1">
      <alignment horizontal="center"/>
    </xf>
    <xf numFmtId="44" fontId="10" fillId="6" borderId="56" xfId="1" applyNumberFormat="1" applyFont="1" applyFill="1" applyBorder="1" applyAlignment="1">
      <alignment horizontal="center"/>
    </xf>
    <xf numFmtId="44" fontId="10" fillId="6" borderId="10" xfId="1" applyNumberFormat="1" applyFont="1" applyFill="1" applyBorder="1" applyAlignment="1">
      <alignment horizontal="center"/>
    </xf>
    <xf numFmtId="44" fontId="6" fillId="13" borderId="53" xfId="1" applyNumberFormat="1" applyFont="1" applyFill="1" applyBorder="1" applyAlignment="1">
      <alignment horizontal="left"/>
    </xf>
    <xf numFmtId="44" fontId="6" fillId="13" borderId="0" xfId="1" applyNumberFormat="1" applyFont="1" applyFill="1" applyBorder="1" applyAlignment="1">
      <alignment horizontal="left"/>
    </xf>
    <xf numFmtId="44" fontId="0" fillId="8" borderId="53" xfId="1" applyNumberFormat="1" applyFont="1" applyFill="1" applyBorder="1"/>
    <xf numFmtId="44" fontId="0" fillId="0" borderId="0" xfId="1" applyNumberFormat="1" applyFont="1" applyBorder="1"/>
    <xf numFmtId="44" fontId="0" fillId="8" borderId="57" xfId="1" applyNumberFormat="1" applyFont="1" applyFill="1" applyBorder="1"/>
    <xf numFmtId="44" fontId="0" fillId="0" borderId="11" xfId="1" applyNumberFormat="1" applyFont="1" applyBorder="1"/>
    <xf numFmtId="0" fontId="47" fillId="0" borderId="0" xfId="0" applyFont="1" applyAlignment="1">
      <alignment horizontal="left"/>
    </xf>
    <xf numFmtId="0" fontId="47" fillId="0" borderId="0" xfId="0" applyFont="1"/>
    <xf numFmtId="0" fontId="48" fillId="2" borderId="1" xfId="0" applyFont="1" applyFill="1" applyBorder="1" applyAlignment="1">
      <alignment horizontal="center"/>
    </xf>
    <xf numFmtId="0" fontId="33" fillId="3" borderId="64" xfId="0" applyFont="1" applyFill="1" applyBorder="1" applyAlignment="1">
      <alignment horizontal="center" vertical="center"/>
    </xf>
    <xf numFmtId="0" fontId="47" fillId="0" borderId="0" xfId="0" applyFont="1" applyAlignment="1">
      <alignment horizontal="center"/>
    </xf>
    <xf numFmtId="166" fontId="47" fillId="3" borderId="2" xfId="1" applyFont="1" applyFill="1" applyBorder="1" applyProtection="1"/>
    <xf numFmtId="166" fontId="47" fillId="3" borderId="3" xfId="1" applyFont="1" applyFill="1" applyBorder="1" applyProtection="1"/>
    <xf numFmtId="166" fontId="47" fillId="11" borderId="45" xfId="1" applyFont="1" applyFill="1" applyBorder="1" applyProtection="1"/>
    <xf numFmtId="166" fontId="47" fillId="11" borderId="1" xfId="1" applyFont="1" applyFill="1" applyBorder="1" applyProtection="1"/>
    <xf numFmtId="0" fontId="49" fillId="0" borderId="0" xfId="0" applyFont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 wrapText="1"/>
    </xf>
    <xf numFmtId="0" fontId="49" fillId="0" borderId="4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0" fontId="33" fillId="3" borderId="0" xfId="0" applyFont="1" applyFill="1" applyAlignment="1">
      <alignment horizontal="left" vertical="center"/>
    </xf>
    <xf numFmtId="0" fontId="33" fillId="11" borderId="0" xfId="0" applyFont="1" applyFill="1" applyAlignment="1">
      <alignment horizontal="center" vertical="center"/>
    </xf>
    <xf numFmtId="168" fontId="33" fillId="3" borderId="0" xfId="0" applyNumberFormat="1" applyFont="1" applyFill="1" applyAlignment="1">
      <alignment horizontal="left" vertical="center"/>
    </xf>
    <xf numFmtId="0" fontId="33" fillId="0" borderId="0" xfId="0" applyFont="1" applyAlignment="1">
      <alignment horizontal="left" vertical="center"/>
    </xf>
    <xf numFmtId="166" fontId="33" fillId="11" borderId="0" xfId="1" applyFont="1" applyFill="1" applyAlignment="1" applyProtection="1">
      <alignment horizontal="center" vertical="center"/>
    </xf>
    <xf numFmtId="166" fontId="33" fillId="3" borderId="0" xfId="1" applyFont="1" applyFill="1" applyAlignment="1" applyProtection="1">
      <alignment horizontal="center" vertical="center"/>
    </xf>
    <xf numFmtId="44" fontId="33" fillId="11" borderId="0" xfId="1" applyNumberFormat="1" applyFont="1" applyFill="1" applyProtection="1"/>
    <xf numFmtId="166" fontId="33" fillId="3" borderId="0" xfId="1" applyFont="1" applyFill="1" applyProtection="1"/>
    <xf numFmtId="9" fontId="33" fillId="11" borderId="0" xfId="2" applyFont="1" applyFill="1" applyAlignment="1" applyProtection="1">
      <alignment horizontal="center" vertical="center"/>
    </xf>
    <xf numFmtId="166" fontId="33" fillId="3" borderId="8" xfId="1" applyFont="1" applyFill="1" applyBorder="1" applyProtection="1"/>
    <xf numFmtId="0" fontId="33" fillId="0" borderId="0" xfId="1" applyNumberFormat="1" applyFont="1" applyFill="1" applyAlignment="1" applyProtection="1">
      <alignment horizontal="left" wrapText="1"/>
    </xf>
    <xf numFmtId="0" fontId="33" fillId="0" borderId="4" xfId="0" applyFont="1" applyBorder="1" applyAlignment="1">
      <alignment horizontal="center"/>
    </xf>
    <xf numFmtId="9" fontId="33" fillId="0" borderId="0" xfId="2" applyFont="1" applyAlignment="1" applyProtection="1">
      <alignment horizontal="center"/>
    </xf>
    <xf numFmtId="166" fontId="33" fillId="3" borderId="0" xfId="1" applyFont="1" applyFill="1" applyBorder="1" applyProtection="1"/>
    <xf numFmtId="0" fontId="33" fillId="0" borderId="4" xfId="0" applyFont="1" applyBorder="1"/>
    <xf numFmtId="9" fontId="33" fillId="0" borderId="0" xfId="2" applyFont="1" applyProtection="1"/>
    <xf numFmtId="166" fontId="33" fillId="0" borderId="4" xfId="1" applyFont="1" applyFill="1" applyBorder="1" applyProtection="1"/>
    <xf numFmtId="166" fontId="33" fillId="3" borderId="4" xfId="1" applyFont="1" applyFill="1" applyBorder="1" applyProtection="1"/>
    <xf numFmtId="0" fontId="33" fillId="0" borderId="36" xfId="0" applyFont="1" applyBorder="1" applyAlignment="1">
      <alignment horizontal="left" vertical="center"/>
    </xf>
    <xf numFmtId="166" fontId="33" fillId="3" borderId="36" xfId="1" applyFont="1" applyFill="1" applyBorder="1" applyProtection="1"/>
    <xf numFmtId="0" fontId="33" fillId="0" borderId="0" xfId="0" applyFont="1"/>
    <xf numFmtId="0" fontId="50" fillId="0" borderId="0" xfId="0" applyFont="1"/>
    <xf numFmtId="0" fontId="51" fillId="0" borderId="0" xfId="0" applyFont="1"/>
    <xf numFmtId="0" fontId="51" fillId="3" borderId="0" xfId="0" applyFont="1" applyFill="1"/>
    <xf numFmtId="0" fontId="51" fillId="11" borderId="0" xfId="0" applyFont="1" applyFill="1"/>
    <xf numFmtId="168" fontId="51" fillId="3" borderId="0" xfId="0" applyNumberFormat="1" applyFont="1" applyFill="1"/>
    <xf numFmtId="166" fontId="51" fillId="3" borderId="0" xfId="0" applyNumberFormat="1" applyFont="1" applyFill="1"/>
    <xf numFmtId="0" fontId="51" fillId="0" borderId="0" xfId="0" applyFont="1" applyAlignment="1">
      <alignment horizontal="center" vertical="center"/>
    </xf>
    <xf numFmtId="166" fontId="51" fillId="3" borderId="8" xfId="0" applyNumberFormat="1" applyFont="1" applyFill="1" applyBorder="1"/>
    <xf numFmtId="0" fontId="51" fillId="0" borderId="4" xfId="0" applyFont="1" applyBorder="1"/>
    <xf numFmtId="0" fontId="51" fillId="0" borderId="0" xfId="0" applyFont="1" applyAlignment="1">
      <alignment horizontal="center"/>
    </xf>
    <xf numFmtId="166" fontId="51" fillId="0" borderId="4" xfId="0" applyNumberFormat="1" applyFont="1" applyBorder="1"/>
    <xf numFmtId="0" fontId="0" fillId="0" borderId="0" xfId="0" applyAlignment="1">
      <alignment horizontal="center"/>
    </xf>
    <xf numFmtId="0" fontId="19" fillId="3" borderId="0" xfId="0" applyFont="1" applyFill="1" applyAlignment="1">
      <alignment horizontal="center"/>
    </xf>
    <xf numFmtId="0" fontId="33" fillId="0" borderId="0" xfId="0" applyFont="1" applyAlignment="1">
      <alignment horizontal="left"/>
    </xf>
    <xf numFmtId="14" fontId="33" fillId="0" borderId="0" xfId="0" applyNumberFormat="1" applyFont="1" applyAlignment="1">
      <alignment horizontal="left" vertical="center"/>
    </xf>
    <xf numFmtId="166" fontId="33" fillId="0" borderId="0" xfId="1" applyFont="1" applyFill="1" applyAlignment="1" applyProtection="1">
      <alignment horizontal="center" vertical="center"/>
    </xf>
    <xf numFmtId="44" fontId="33" fillId="0" borderId="0" xfId="1" applyNumberFormat="1" applyFont="1" applyFill="1" applyProtection="1"/>
    <xf numFmtId="9" fontId="33" fillId="0" borderId="0" xfId="2" applyFont="1" applyFill="1" applyAlignment="1" applyProtection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wrapText="1"/>
    </xf>
    <xf numFmtId="0" fontId="57" fillId="0" borderId="0" xfId="0" applyFont="1" applyAlignment="1">
      <alignment horizontal="center" vertical="center"/>
    </xf>
    <xf numFmtId="0" fontId="57" fillId="0" borderId="0" xfId="0" applyFont="1" applyAlignment="1">
      <alignment horizontal="center"/>
    </xf>
    <xf numFmtId="14" fontId="57" fillId="0" borderId="0" xfId="0" applyNumberFormat="1" applyFont="1" applyAlignment="1">
      <alignment horizontal="center"/>
    </xf>
    <xf numFmtId="0" fontId="57" fillId="0" borderId="0" xfId="0" applyFont="1" applyAlignment="1">
      <alignment horizontal="center" wrapText="1"/>
    </xf>
    <xf numFmtId="14" fontId="57" fillId="0" borderId="0" xfId="0" applyNumberFormat="1" applyFont="1" applyAlignment="1">
      <alignment horizontal="center" wrapText="1"/>
    </xf>
    <xf numFmtId="0" fontId="44" fillId="11" borderId="62" xfId="0" applyFont="1" applyFill="1" applyBorder="1" applyAlignment="1">
      <alignment horizontal="center" vertical="center" wrapText="1"/>
    </xf>
    <xf numFmtId="0" fontId="58" fillId="0" borderId="0" xfId="0" applyFont="1" applyAlignment="1">
      <alignment horizontal="center"/>
    </xf>
    <xf numFmtId="0" fontId="36" fillId="7" borderId="1" xfId="0" applyFont="1" applyFill="1" applyBorder="1" applyAlignment="1">
      <alignment horizontal="left" vertical="center" wrapText="1"/>
    </xf>
    <xf numFmtId="0" fontId="3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0" xfId="0" applyFont="1"/>
    <xf numFmtId="0" fontId="6" fillId="0" borderId="0" xfId="0" applyFont="1" applyAlignment="1">
      <alignment horizontal="left"/>
    </xf>
    <xf numFmtId="44" fontId="34" fillId="17" borderId="46" xfId="1" applyNumberFormat="1" applyFont="1" applyFill="1" applyBorder="1" applyAlignment="1">
      <alignment horizontal="center" vertical="center"/>
    </xf>
    <xf numFmtId="44" fontId="34" fillId="18" borderId="46" xfId="1" applyNumberFormat="1" applyFont="1" applyFill="1" applyBorder="1" applyAlignment="1">
      <alignment horizontal="center" vertical="center"/>
    </xf>
    <xf numFmtId="44" fontId="34" fillId="18" borderId="61" xfId="1" applyNumberFormat="1" applyFont="1" applyFill="1" applyBorder="1" applyAlignment="1">
      <alignment horizontal="center" vertical="center"/>
    </xf>
    <xf numFmtId="44" fontId="34" fillId="18" borderId="60" xfId="1" applyNumberFormat="1" applyFont="1" applyFill="1" applyBorder="1" applyAlignment="1">
      <alignment horizontal="center" vertical="center"/>
    </xf>
    <xf numFmtId="44" fontId="34" fillId="17" borderId="60" xfId="1" applyNumberFormat="1" applyFont="1" applyFill="1" applyBorder="1" applyAlignment="1">
      <alignment horizontal="center" vertical="center"/>
    </xf>
    <xf numFmtId="169" fontId="59" fillId="0" borderId="0" xfId="4" applyFont="1"/>
    <xf numFmtId="169" fontId="3" fillId="0" borderId="0" xfId="4" applyFont="1"/>
    <xf numFmtId="0" fontId="60" fillId="0" borderId="0" xfId="0" applyFont="1"/>
    <xf numFmtId="14" fontId="0" fillId="0" borderId="0" xfId="0" applyNumberFormat="1"/>
    <xf numFmtId="0" fontId="33" fillId="0" borderId="0" xfId="12" applyFont="1" applyAlignment="1" applyProtection="1">
      <alignment horizontal="left"/>
      <protection locked="0"/>
    </xf>
    <xf numFmtId="0" fontId="33" fillId="0" borderId="0" xfId="0" applyFont="1" applyAlignment="1">
      <alignment horizontal="left" vertical="top"/>
    </xf>
    <xf numFmtId="0" fontId="33" fillId="0" borderId="0" xfId="0" applyFont="1" applyAlignment="1" applyProtection="1">
      <alignment horizontal="left"/>
      <protection locked="0"/>
    </xf>
    <xf numFmtId="0" fontId="33" fillId="0" borderId="0" xfId="0" applyFont="1" applyAlignment="1" applyProtection="1">
      <alignment horizontal="left" vertical="top"/>
      <protection locked="0"/>
    </xf>
    <xf numFmtId="0" fontId="47" fillId="14" borderId="0" xfId="0" applyFont="1" applyFill="1"/>
    <xf numFmtId="0" fontId="33" fillId="19" borderId="0" xfId="0" applyFont="1" applyFill="1" applyAlignment="1">
      <alignment horizontal="center" vertical="center"/>
    </xf>
    <xf numFmtId="0" fontId="33" fillId="19" borderId="0" xfId="0" applyFont="1" applyFill="1" applyAlignment="1">
      <alignment horizontal="left" vertical="center"/>
    </xf>
    <xf numFmtId="44" fontId="33" fillId="19" borderId="0" xfId="1" applyNumberFormat="1" applyFont="1" applyFill="1" applyProtection="1"/>
    <xf numFmtId="9" fontId="33" fillId="19" borderId="0" xfId="2" applyFont="1" applyFill="1" applyAlignment="1" applyProtection="1">
      <alignment horizontal="center" vertical="center"/>
    </xf>
    <xf numFmtId="0" fontId="33" fillId="19" borderId="36" xfId="0" applyFont="1" applyFill="1" applyBorder="1" applyAlignment="1">
      <alignment horizontal="left" vertical="center"/>
    </xf>
    <xf numFmtId="9" fontId="33" fillId="19" borderId="0" xfId="2" applyFont="1" applyFill="1" applyAlignment="1" applyProtection="1">
      <alignment horizontal="center"/>
    </xf>
    <xf numFmtId="0" fontId="33" fillId="19" borderId="4" xfId="0" applyFont="1" applyFill="1" applyBorder="1"/>
    <xf numFmtId="9" fontId="33" fillId="19" borderId="0" xfId="2" applyFont="1" applyFill="1" applyProtection="1"/>
    <xf numFmtId="166" fontId="33" fillId="19" borderId="4" xfId="1" applyFont="1" applyFill="1" applyBorder="1" applyProtection="1"/>
    <xf numFmtId="0" fontId="47" fillId="19" borderId="0" xfId="0" applyFont="1" applyFill="1"/>
    <xf numFmtId="0" fontId="47" fillId="19" borderId="0" xfId="0" applyFont="1" applyFill="1" applyAlignment="1">
      <alignment horizontal="center" vertical="center"/>
    </xf>
    <xf numFmtId="0" fontId="33" fillId="19" borderId="0" xfId="0" applyFont="1" applyFill="1"/>
    <xf numFmtId="0" fontId="49" fillId="19" borderId="0" xfId="0" applyFont="1" applyFill="1" applyAlignment="1">
      <alignment horizontal="center" vertical="center" wrapText="1"/>
    </xf>
    <xf numFmtId="14" fontId="36" fillId="19" borderId="1" xfId="0" applyNumberFormat="1" applyFont="1" applyFill="1" applyBorder="1" applyAlignment="1">
      <alignment horizontal="center" vertical="center" wrapText="1"/>
    </xf>
    <xf numFmtId="0" fontId="33" fillId="0" borderId="36" xfId="1" applyNumberFormat="1" applyFont="1" applyFill="1" applyBorder="1" applyAlignment="1" applyProtection="1">
      <alignment horizontal="left" wrapText="1"/>
    </xf>
    <xf numFmtId="0" fontId="33" fillId="0" borderId="0" xfId="12" applyFont="1" applyAlignment="1">
      <alignment horizontal="left" vertical="center"/>
    </xf>
    <xf numFmtId="4" fontId="0" fillId="0" borderId="0" xfId="0" applyNumberFormat="1"/>
    <xf numFmtId="43" fontId="47" fillId="0" borderId="0" xfId="0" applyNumberFormat="1" applyFont="1"/>
    <xf numFmtId="4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0" fontId="23" fillId="0" borderId="0" xfId="0" applyFont="1" applyAlignment="1">
      <alignment wrapText="1"/>
    </xf>
    <xf numFmtId="0" fontId="6" fillId="7" borderId="0" xfId="0" applyFont="1" applyFill="1" applyAlignment="1">
      <alignment horizontal="left" indent="8"/>
    </xf>
    <xf numFmtId="44" fontId="6" fillId="0" borderId="0" xfId="0" applyNumberFormat="1" applyFont="1"/>
    <xf numFmtId="44" fontId="0" fillId="14" borderId="0" xfId="0" applyNumberFormat="1" applyFill="1" applyAlignment="1">
      <alignment horizontal="center"/>
    </xf>
    <xf numFmtId="44" fontId="47" fillId="0" borderId="0" xfId="14" applyFont="1"/>
    <xf numFmtId="0" fontId="44" fillId="15" borderId="33" xfId="0" applyFont="1" applyFill="1" applyBorder="1" applyAlignment="1">
      <alignment horizontal="center" vertical="center" wrapText="1"/>
    </xf>
    <xf numFmtId="44" fontId="6" fillId="0" borderId="0" xfId="14" applyFont="1"/>
    <xf numFmtId="0" fontId="24" fillId="0" borderId="0" xfId="0" applyFont="1" applyAlignment="1">
      <alignment wrapText="1"/>
    </xf>
    <xf numFmtId="0" fontId="6" fillId="0" borderId="0" xfId="0" applyFont="1" applyAlignment="1">
      <alignment horizontal="left" vertical="center" indent="1"/>
    </xf>
    <xf numFmtId="14" fontId="23" fillId="0" borderId="0" xfId="0" applyNumberFormat="1" applyFont="1"/>
    <xf numFmtId="0" fontId="47" fillId="19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0" fillId="20" borderId="0" xfId="0" applyFill="1"/>
    <xf numFmtId="0" fontId="33" fillId="0" borderId="0" xfId="1" applyNumberFormat="1" applyFont="1" applyFill="1" applyBorder="1" applyAlignment="1" applyProtection="1">
      <alignment horizontal="left" wrapText="1"/>
    </xf>
    <xf numFmtId="0" fontId="0" fillId="21" borderId="0" xfId="0" applyFill="1"/>
    <xf numFmtId="44" fontId="0" fillId="0" borderId="0" xfId="14" applyFont="1"/>
    <xf numFmtId="166" fontId="33" fillId="0" borderId="0" xfId="1" applyFont="1" applyAlignment="1">
      <alignment horizontal="center" vertical="center"/>
    </xf>
    <xf numFmtId="44" fontId="33" fillId="0" borderId="0" xfId="1" applyNumberFormat="1" applyFont="1"/>
    <xf numFmtId="166" fontId="33" fillId="0" borderId="0" xfId="1" applyFont="1" applyFill="1" applyBorder="1" applyAlignment="1" applyProtection="1">
      <alignment horizontal="center" vertical="center"/>
    </xf>
    <xf numFmtId="44" fontId="33" fillId="0" borderId="0" xfId="1" applyNumberFormat="1" applyFont="1" applyFill="1" applyBorder="1" applyProtection="1"/>
    <xf numFmtId="0" fontId="63" fillId="0" borderId="0" xfId="0" applyFont="1" applyAlignment="1">
      <alignment horizontal="center"/>
    </xf>
    <xf numFmtId="0" fontId="21" fillId="9" borderId="0" xfId="0" applyFont="1" applyFill="1" applyAlignment="1">
      <alignment horizontal="center"/>
    </xf>
    <xf numFmtId="0" fontId="33" fillId="0" borderId="36" xfId="0" applyFont="1" applyBorder="1" applyAlignment="1">
      <alignment horizontal="left" vertical="center" wrapText="1"/>
    </xf>
    <xf numFmtId="166" fontId="0" fillId="0" borderId="66" xfId="0" applyNumberFormat="1" applyBorder="1"/>
    <xf numFmtId="166" fontId="0" fillId="0" borderId="67" xfId="0" applyNumberFormat="1" applyBorder="1"/>
    <xf numFmtId="166" fontId="6" fillId="10" borderId="17" xfId="0" applyNumberFormat="1" applyFont="1" applyFill="1" applyBorder="1"/>
    <xf numFmtId="44" fontId="62" fillId="8" borderId="53" xfId="1" applyNumberFormat="1" applyFont="1" applyFill="1" applyBorder="1"/>
    <xf numFmtId="14" fontId="33" fillId="0" borderId="36" xfId="0" applyNumberFormat="1" applyFont="1" applyBorder="1" applyAlignment="1">
      <alignment horizontal="left" vertical="center"/>
    </xf>
    <xf numFmtId="0" fontId="60" fillId="0" borderId="0" xfId="0" applyFont="1" applyAlignment="1">
      <alignment horizontal="center"/>
    </xf>
    <xf numFmtId="164" fontId="65" fillId="0" borderId="0" xfId="0" applyNumberFormat="1" applyFont="1"/>
    <xf numFmtId="166" fontId="33" fillId="0" borderId="0" xfId="1" applyFont="1" applyFill="1" applyAlignment="1" applyProtection="1">
      <alignment horizontal="right" vertical="center"/>
    </xf>
    <xf numFmtId="44" fontId="33" fillId="0" borderId="1" xfId="1" applyNumberFormat="1" applyFont="1" applyFill="1" applyBorder="1" applyProtection="1"/>
    <xf numFmtId="9" fontId="33" fillId="0" borderId="0" xfId="2" applyFont="1" applyAlignment="1">
      <alignment horizontal="center" vertical="center"/>
    </xf>
    <xf numFmtId="0" fontId="49" fillId="2" borderId="1" xfId="0" applyFont="1" applyFill="1" applyBorder="1" applyAlignment="1">
      <alignment horizontal="center"/>
    </xf>
    <xf numFmtId="0" fontId="64" fillId="0" borderId="33" xfId="0" applyFont="1" applyBorder="1" applyAlignment="1">
      <alignment horizontal="left"/>
    </xf>
    <xf numFmtId="0" fontId="33" fillId="0" borderId="1" xfId="0" applyFont="1" applyBorder="1" applyAlignment="1">
      <alignment horizontal="left" vertical="center"/>
    </xf>
    <xf numFmtId="166" fontId="33" fillId="11" borderId="0" xfId="1" applyFont="1" applyFill="1" applyBorder="1" applyAlignment="1" applyProtection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60" fillId="0" borderId="1" xfId="0" applyFont="1" applyBorder="1" applyAlignment="1">
      <alignment vertical="center" wrapText="1"/>
    </xf>
    <xf numFmtId="0" fontId="0" fillId="0" borderId="36" xfId="0" applyBorder="1" applyAlignment="1">
      <alignment vertical="center"/>
    </xf>
    <xf numFmtId="0" fontId="64" fillId="0" borderId="1" xfId="0" applyFont="1" applyBorder="1"/>
    <xf numFmtId="166" fontId="33" fillId="11" borderId="1" xfId="1" applyFont="1" applyFill="1" applyBorder="1" applyAlignment="1" applyProtection="1">
      <alignment horizontal="center" vertical="center"/>
    </xf>
    <xf numFmtId="0" fontId="33" fillId="0" borderId="1" xfId="1" applyNumberFormat="1" applyFont="1" applyFill="1" applyBorder="1" applyAlignment="1" applyProtection="1">
      <alignment horizontal="left" wrapText="1"/>
    </xf>
    <xf numFmtId="166" fontId="33" fillId="11" borderId="68" xfId="1" applyFont="1" applyFill="1" applyBorder="1" applyAlignment="1" applyProtection="1">
      <alignment horizontal="center" vertical="center"/>
    </xf>
    <xf numFmtId="0" fontId="23" fillId="0" borderId="69" xfId="0" applyFont="1" applyBorder="1" applyAlignment="1">
      <alignment horizontal="center"/>
    </xf>
    <xf numFmtId="0" fontId="23" fillId="0" borderId="69" xfId="0" applyFont="1" applyBorder="1" applyAlignment="1">
      <alignment horizontal="center" vertical="center"/>
    </xf>
    <xf numFmtId="0" fontId="66" fillId="0" borderId="69" xfId="0" applyFont="1" applyBorder="1" applyAlignment="1">
      <alignment horizontal="left" vertical="center" wrapText="1"/>
    </xf>
    <xf numFmtId="1" fontId="66" fillId="22" borderId="69" xfId="0" applyNumberFormat="1" applyFont="1" applyFill="1" applyBorder="1" applyAlignment="1">
      <alignment horizontal="center" vertical="center"/>
    </xf>
    <xf numFmtId="0" fontId="23" fillId="22" borderId="69" xfId="0" applyFont="1" applyFill="1" applyBorder="1" applyAlignment="1">
      <alignment horizontal="center" vertical="center"/>
    </xf>
    <xf numFmtId="0" fontId="66" fillId="22" borderId="69" xfId="0" applyFont="1" applyFill="1" applyBorder="1" applyAlignment="1">
      <alignment horizontal="left" vertical="center" wrapText="1"/>
    </xf>
    <xf numFmtId="1" fontId="23" fillId="0" borderId="69" xfId="0" applyNumberFormat="1" applyFont="1" applyBorder="1" applyAlignment="1">
      <alignment horizontal="center" vertical="center"/>
    </xf>
    <xf numFmtId="0" fontId="23" fillId="0" borderId="69" xfId="0" applyFont="1" applyBorder="1" applyAlignment="1">
      <alignment horizontal="left" vertical="center" wrapText="1"/>
    </xf>
    <xf numFmtId="1" fontId="67" fillId="23" borderId="69" xfId="0" applyNumberFormat="1" applyFont="1" applyFill="1" applyBorder="1" applyAlignment="1">
      <alignment horizontal="center" vertical="center" wrapText="1"/>
    </xf>
    <xf numFmtId="0" fontId="67" fillId="23" borderId="70" xfId="0" applyFont="1" applyFill="1" applyBorder="1" applyAlignment="1">
      <alignment horizontal="center" vertical="center"/>
    </xf>
    <xf numFmtId="0" fontId="67" fillId="23" borderId="70" xfId="0" applyFont="1" applyFill="1" applyBorder="1" applyAlignment="1">
      <alignment horizontal="left" vertical="center" wrapText="1"/>
    </xf>
    <xf numFmtId="0" fontId="47" fillId="0" borderId="0" xfId="0" applyFont="1" applyAlignment="1">
      <alignment horizontal="left" vertical="top"/>
    </xf>
    <xf numFmtId="0" fontId="61" fillId="0" borderId="0" xfId="0" applyFont="1"/>
    <xf numFmtId="4" fontId="61" fillId="0" borderId="0" xfId="0" applyNumberFormat="1" applyFont="1"/>
    <xf numFmtId="0" fontId="65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44" fontId="33" fillId="0" borderId="0" xfId="1" applyNumberFormat="1" applyFont="1" applyFill="1" applyAlignment="1" applyProtection="1">
      <alignment vertical="center"/>
    </xf>
    <xf numFmtId="0" fontId="33" fillId="0" borderId="0" xfId="12" applyFont="1" applyAlignment="1" applyProtection="1">
      <alignment horizontal="left" vertical="center"/>
      <protection locked="0"/>
    </xf>
    <xf numFmtId="0" fontId="47" fillId="0" borderId="0" xfId="12" applyFont="1" applyAlignment="1" applyProtection="1">
      <alignment horizontal="left" vertical="center"/>
      <protection locked="0"/>
    </xf>
    <xf numFmtId="44" fontId="47" fillId="0" borderId="0" xfId="1" applyNumberFormat="1" applyFont="1" applyFill="1" applyAlignment="1" applyProtection="1">
      <alignment vertical="center"/>
    </xf>
    <xf numFmtId="0" fontId="33" fillId="0" borderId="0" xfId="12" applyFont="1"/>
    <xf numFmtId="0" fontId="33" fillId="24" borderId="0" xfId="0" applyFont="1" applyFill="1" applyAlignment="1">
      <alignment horizontal="left" vertical="center"/>
    </xf>
    <xf numFmtId="0" fontId="69" fillId="0" borderId="0" xfId="0" applyFont="1"/>
    <xf numFmtId="4" fontId="47" fillId="0" borderId="0" xfId="0" applyNumberFormat="1" applyFont="1"/>
    <xf numFmtId="44" fontId="47" fillId="0" borderId="0" xfId="0" applyNumberFormat="1" applyFont="1"/>
    <xf numFmtId="4" fontId="70" fillId="0" borderId="0" xfId="0" applyNumberFormat="1" applyFont="1"/>
    <xf numFmtId="0" fontId="47" fillId="0" borderId="0" xfId="0" applyFont="1" applyAlignment="1">
      <alignment horizontal="left" wrapText="1"/>
    </xf>
    <xf numFmtId="0" fontId="49" fillId="2" borderId="6" xfId="0" applyFont="1" applyFill="1" applyBorder="1" applyAlignment="1">
      <alignment horizontal="center"/>
    </xf>
    <xf numFmtId="0" fontId="47" fillId="0" borderId="0" xfId="0" applyFont="1" applyAlignment="1">
      <alignment horizontal="left"/>
    </xf>
    <xf numFmtId="14" fontId="47" fillId="0" borderId="0" xfId="0" applyNumberFormat="1" applyFont="1" applyAlignment="1">
      <alignment horizontal="left"/>
    </xf>
    <xf numFmtId="0" fontId="49" fillId="2" borderId="7" xfId="0" applyFont="1" applyFill="1" applyBorder="1" applyAlignment="1">
      <alignment horizontal="center"/>
    </xf>
    <xf numFmtId="0" fontId="49" fillId="2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0" fillId="0" borderId="0" xfId="0" applyAlignment="1">
      <alignment horizontal="left" vertical="center" indent="14"/>
    </xf>
    <xf numFmtId="170" fontId="0" fillId="0" borderId="0" xfId="0" applyNumberFormat="1" applyAlignment="1">
      <alignment horizontal="left" vertical="center" indent="14"/>
    </xf>
    <xf numFmtId="0" fontId="20" fillId="0" borderId="0" xfId="0" applyFont="1" applyAlignment="1">
      <alignment horizontal="center" vertical="center"/>
    </xf>
    <xf numFmtId="0" fontId="21" fillId="9" borderId="0" xfId="0" applyFont="1" applyFill="1" applyAlignment="1">
      <alignment horizontal="center"/>
    </xf>
    <xf numFmtId="0" fontId="5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169" fontId="59" fillId="0" borderId="0" xfId="4" applyFont="1" applyAlignment="1">
      <alignment horizontal="center"/>
    </xf>
    <xf numFmtId="0" fontId="43" fillId="11" borderId="62" xfId="0" applyFont="1" applyFill="1" applyBorder="1" applyAlignment="1">
      <alignment horizontal="center" vertical="center" wrapText="1"/>
    </xf>
    <xf numFmtId="14" fontId="57" fillId="0" borderId="1" xfId="0" applyNumberFormat="1" applyFont="1" applyBorder="1" applyAlignment="1">
      <alignment horizontal="center" wrapText="1"/>
    </xf>
    <xf numFmtId="0" fontId="42" fillId="8" borderId="33" xfId="0" applyFont="1" applyFill="1" applyBorder="1" applyAlignment="1">
      <alignment horizontal="left"/>
    </xf>
    <xf numFmtId="0" fontId="42" fillId="8" borderId="63" xfId="0" applyFont="1" applyFill="1" applyBorder="1" applyAlignment="1">
      <alignment horizontal="left"/>
    </xf>
    <xf numFmtId="0" fontId="42" fillId="8" borderId="34" xfId="0" applyFont="1" applyFill="1" applyBorder="1" applyAlignment="1">
      <alignment horizontal="left"/>
    </xf>
    <xf numFmtId="0" fontId="44" fillId="15" borderId="33" xfId="0" applyFont="1" applyFill="1" applyBorder="1" applyAlignment="1">
      <alignment horizontal="center" vertical="center" wrapText="1"/>
    </xf>
    <xf numFmtId="0" fontId="44" fillId="15" borderId="34" xfId="0" applyFont="1" applyFill="1" applyBorder="1" applyAlignment="1">
      <alignment horizontal="center" vertical="center" wrapText="1"/>
    </xf>
    <xf numFmtId="0" fontId="42" fillId="8" borderId="33" xfId="0" applyFont="1" applyFill="1" applyBorder="1" applyAlignment="1">
      <alignment horizontal="center"/>
    </xf>
    <xf numFmtId="0" fontId="42" fillId="8" borderId="63" xfId="0" applyFont="1" applyFill="1" applyBorder="1" applyAlignment="1">
      <alignment horizontal="center"/>
    </xf>
    <xf numFmtId="0" fontId="42" fillId="8" borderId="34" xfId="0" applyFont="1" applyFill="1" applyBorder="1" applyAlignment="1">
      <alignment horizontal="center"/>
    </xf>
    <xf numFmtId="0" fontId="44" fillId="15" borderId="35" xfId="0" applyFont="1" applyFill="1" applyBorder="1" applyAlignment="1">
      <alignment horizontal="center" vertical="center" wrapText="1"/>
    </xf>
    <xf numFmtId="0" fontId="44" fillId="15" borderId="3" xfId="0" applyFont="1" applyFill="1" applyBorder="1" applyAlignment="1">
      <alignment horizontal="center" vertical="center" wrapText="1"/>
    </xf>
    <xf numFmtId="0" fontId="33" fillId="0" borderId="0" xfId="0" applyFont="1" applyBorder="1" applyAlignment="1">
      <alignment horizontal="left" vertical="center"/>
    </xf>
  </cellXfs>
  <cellStyles count="18">
    <cellStyle name="Fecha" xfId="9" xr:uid="{A654EAB3-33D3-45BD-BCC6-AAA627CA6AF7}"/>
    <cellStyle name="Inicio real" xfId="11" xr:uid="{0B22972E-2D99-416B-97AC-56568B6140F0}"/>
    <cellStyle name="Millares" xfId="1" builtinId="3"/>
    <cellStyle name="Millares 2" xfId="13" xr:uid="{939A48CB-A4A5-49EA-B239-D826F31D25C5}"/>
    <cellStyle name="Millares 2 5" xfId="17" xr:uid="{B5B35616-EC8A-47E2-A8B8-905968845A2E}"/>
    <cellStyle name="Moneda" xfId="14" builtinId="4"/>
    <cellStyle name="Moneda 2" xfId="15" xr:uid="{5C0E631E-BA50-4EA8-9BF9-E1041D6BCA00}"/>
    <cellStyle name="Normal" xfId="0" builtinId="0"/>
    <cellStyle name="Normal 10" xfId="4" xr:uid="{EF79BC6B-BED5-44E7-AD73-1A34B70CCDBB}"/>
    <cellStyle name="Normal 10 2" xfId="5" xr:uid="{01094107-0C94-4DC3-B615-B5CB9ED06D58}"/>
    <cellStyle name="Normal 11" xfId="6" xr:uid="{BD4C81E5-4D5F-452D-8617-F7D96332CC13}"/>
    <cellStyle name="Normal 2" xfId="8" xr:uid="{88C4E800-6FF6-4557-8E8D-F8B9EEF13081}"/>
    <cellStyle name="Normal 2 2" xfId="16" xr:uid="{5869BB4F-6E6F-4B7D-9504-09222D5C5335}"/>
    <cellStyle name="Normal 4 2" xfId="3" xr:uid="{849594C0-6332-47B5-8664-D5C450FC7F35}"/>
    <cellStyle name="Normal 9" xfId="12" xr:uid="{B49C7BBC-DE63-4677-9220-C81F53C06229}"/>
    <cellStyle name="Porcentaje" xfId="2" builtinId="5"/>
    <cellStyle name="Texto" xfId="10" xr:uid="{77488905-3B86-4BA9-B223-16E102A605F2}"/>
    <cellStyle name="Título 4" xfId="7" xr:uid="{2F64A5C3-9355-4B86-9076-037F1CEC2EA5}"/>
  </cellStyles>
  <dxfs count="38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left/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34" formatCode="_-&quot;$&quot;* #,##0.00_-;\-&quot;$&quot;* #,##0.00_-;_-&quot;$&quot;* &quot;-&quot;??_-;_-@_-"/>
      <fill>
        <patternFill patternType="none">
          <fgColor indexed="64"/>
          <bgColor theme="0" tint="-0.1499984740745262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 style="medium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 style="thin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medium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 style="medium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medium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/>
        <right/>
        <top style="double">
          <color rgb="FF002060"/>
        </top>
        <bottom style="medium">
          <color rgb="FF002060"/>
        </bottom>
      </border>
    </dxf>
    <dxf>
      <border diagonalUp="0" diagonalDown="0">
        <top style="thin">
          <color theme="3" tint="0.59996337778862885"/>
        </top>
        <bottom style="thin">
          <color theme="3" tint="0.59996337778862885"/>
        </bottom>
        <horizontal style="thin">
          <color theme="3" tint="0.59996337778862885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double">
          <color rgb="FF002060"/>
        </top>
        <bottom style="medium">
          <color rgb="FF002060"/>
        </bottom>
      </border>
    </dxf>
    <dxf>
      <alignment horizontal="center" vertical="center" textRotation="0" wrapText="0" indent="0" justifyLastLine="0" shrinkToFit="0" readingOrder="0"/>
      <border diagonalUp="0" diagonalDown="0">
        <top style="thin">
          <color theme="3" tint="0.59996337778862885"/>
        </top>
        <bottom style="thin">
          <color theme="3" tint="0.59996337778862885"/>
        </bottom>
        <horizontal style="thin">
          <color theme="3" tint="0.59996337778862885"/>
        </horizontal>
      </border>
    </dxf>
    <dxf>
      <fill>
        <patternFill patternType="none">
          <fgColor indexed="64"/>
          <bgColor indexed="65"/>
        </patternFill>
      </fill>
    </dxf>
    <dxf>
      <border>
        <top style="double">
          <color rgb="FF002060"/>
        </top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>
        <left style="thin">
          <color rgb="FF002060"/>
        </left>
        <right style="thin">
          <color rgb="FF002060"/>
        </right>
        <top/>
        <bottom/>
        <vertical style="thin">
          <color rgb="FF002060"/>
        </vertical>
        <horizontal style="thin">
          <color rgb="FF002060"/>
        </horizontal>
      </border>
    </dxf>
    <dxf>
      <numFmt numFmtId="34" formatCode="_-&quot;$&quot;* #,##0.00_-;\-&quot;$&quot;* #,##0.00_-;_-&quot;$&quot;* &quot;-&quot;??_-;_-@_-"/>
      <fill>
        <patternFill patternType="solid">
          <fgColor indexed="64"/>
          <bgColor theme="8" tint="0.79998168889431442"/>
        </patternFill>
      </fill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34" formatCode="_-&quot;$&quot;* #,##0.00_-;\-&quot;$&quot;* #,##0.00_-;_-&quot;$&quot;* &quot;-&quot;??_-;_-@_-"/>
      <fill>
        <patternFill patternType="solid">
          <fgColor indexed="64"/>
          <bgColor theme="8" tint="0.79998168889431442"/>
        </patternFill>
      </fill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0" formatCode="General"/>
      <border diagonalUp="0" diagonalDown="0" outline="0">
        <left style="thin">
          <color theme="8"/>
        </left>
        <right/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8"/>
        </left>
        <right/>
        <top/>
        <bottom/>
      </border>
    </dxf>
    <dxf>
      <numFmt numFmtId="0" formatCode="General"/>
      <border diagonalUp="0" diagonalDown="0" outline="0">
        <left style="thin">
          <color theme="8"/>
        </left>
        <right/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8"/>
        </left>
        <right/>
        <top/>
        <bottom/>
      </border>
    </dxf>
    <dxf>
      <numFmt numFmtId="0" formatCode="General"/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0" formatCode="General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0" formatCode="General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34" formatCode="_-&quot;$&quot;* #,##0.00_-;\-&quot;$&quot;* #,##0.00_-;_-&quot;$&quot;* &quot;-&quot;??_-;_-@_-"/>
      <border diagonalUp="0" diagonalDown="0">
        <left style="thin">
          <color theme="8"/>
        </left>
        <right/>
        <top/>
        <bottom/>
        <vertical/>
        <horizontal/>
      </border>
    </dxf>
    <dxf>
      <border diagonalUp="0" diagonalDown="0" outline="0">
        <left/>
        <right style="thin">
          <color theme="8"/>
        </right>
        <top/>
        <bottom/>
      </border>
    </dxf>
    <dxf>
      <fill>
        <patternFill patternType="none">
          <bgColor auto="1"/>
        </patternFill>
      </fill>
      <alignment horizontal="left" vertical="bottom" textRotation="0" wrapText="0" indent="2" justifyLastLine="0" shrinkToFit="0" readingOrder="0"/>
    </dxf>
    <dxf>
      <border diagonalUp="0" diagonalDown="0" outline="0">
        <left/>
        <right style="thin">
          <color theme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* #,##0.00_-;\-&quot;$&quot;* #,##0.00_-;_-&quot;$&quot;* &quot;-&quot;??_-;_-@_-"/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theme="8" tint="-0.499984740745262"/>
        </left>
        <right style="medium">
          <color theme="8" tint="-0.499984740745262"/>
        </right>
        <top/>
        <bottom/>
        <vertical/>
        <horizontal/>
      </border>
    </dxf>
    <dxf>
      <border diagonalUp="0" diagonalDown="0" outline="0">
        <left/>
        <right style="thin">
          <color theme="8"/>
        </right>
        <top/>
        <bottom/>
      </border>
    </dxf>
    <dxf>
      <numFmt numFmtId="34" formatCode="_-&quot;$&quot;* #,##0.00_-;\-&quot;$&quot;* #,##0.00_-;_-&quot;$&quot;* &quot;-&quot;??_-;_-@_-"/>
      <fill>
        <patternFill patternType="solid">
          <fgColor indexed="64"/>
          <bgColor theme="8" tint="0.79998168889431442"/>
        </patternFill>
      </fill>
      <alignment horizontal="left" vertical="bottom" textRotation="0" wrapText="0" indent="2" justifyLastLine="0" shrinkToFit="0" readingOrder="0"/>
      <border diagonalUp="0" diagonalDown="0">
        <left style="medium">
          <color theme="8" tint="-0.499984740745262"/>
        </left>
        <right style="medium">
          <color theme="8" tint="-0.499984740745262"/>
        </right>
        <top/>
        <bottom/>
        <vertical/>
        <horizontal/>
      </border>
    </dxf>
    <dxf>
      <border diagonalUp="0" diagonalDown="0" outline="0">
        <left/>
        <right style="thin">
          <color theme="8"/>
        </right>
        <top/>
        <bottom/>
      </border>
    </dxf>
    <dxf>
      <border outline="0">
        <right style="thin">
          <color theme="8"/>
        </righ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</dxf>
    <dxf>
      <alignment vertical="bottom" textRotation="0" wrapTex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left/>
        <right style="medium">
          <color indexed="64"/>
        </right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34" formatCode="_-&quot;$&quot;* #,##0.00_-;\-&quot;$&quot;* #,##0.00_-;_-&quot;$&quot;* &quot;-&quot;??_-;_-@_-"/>
      <fill>
        <patternFill patternType="none">
          <fgColor indexed="64"/>
          <bgColor theme="0" tint="-0.1499984740745262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FFFF66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0</xdr:rowOff>
    </xdr:from>
    <xdr:to>
      <xdr:col>2</xdr:col>
      <xdr:colOff>496575</xdr:colOff>
      <xdr:row>3</xdr:row>
      <xdr:rowOff>2027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087DBD-3D93-4457-81A4-DE3DF31B4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0"/>
          <a:ext cx="468000" cy="6783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70909</xdr:colOff>
      <xdr:row>0</xdr:row>
      <xdr:rowOff>64557</xdr:rowOff>
    </xdr:from>
    <xdr:to>
      <xdr:col>0</xdr:col>
      <xdr:colOff>643467</xdr:colOff>
      <xdr:row>4</xdr:row>
      <xdr:rowOff>85632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E53C211E-5F62-4EB9-AD0B-E546B7A07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09" y="64557"/>
          <a:ext cx="572558" cy="8677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</xdr:colOff>
      <xdr:row>1</xdr:row>
      <xdr:rowOff>108841</xdr:rowOff>
    </xdr:from>
    <xdr:ext cx="592965" cy="1063533"/>
    <xdr:pic>
      <xdr:nvPicPr>
        <xdr:cNvPr id="2" name="Picture 5">
          <a:extLst>
            <a:ext uri="{FF2B5EF4-FFF2-40B4-BE49-F238E27FC236}">
              <a16:creationId xmlns:a16="http://schemas.microsoft.com/office/drawing/2014/main" id="{94D212BB-8961-4583-8A66-39DA0F1C0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235268" y="527005"/>
          <a:ext cx="1063533" cy="59296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Eva%20L.%20JImenez%20Pagan\My%20Documents\Banco%20Central\Martin%20Fernandez%20-%20Calles\Presup.%20dise&#241;o%20original%20(30-mar-04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usuarios/$$$$$$$$/Perda%20de%20produtividade_INSUM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ingasa\Documents%20and%20Settings\jgonzalez\Local%20Settings\Temporary%20Internet%20Files\OLK63\Car%20Wash%20Santiago%20(con%20analisis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MP%20InBev%20Management%20Pillar\IMP%20Working%20in%20progress\3.%20IMP%20Manage%20to%20Improve\3.3%20IMP%20MTI%20Problem%20Solving\3.3%20IMP%20MTI%20PS%20Supporting%20materials\3.3%20IMP%20MTI%20PS%20PDCA%20Tool\PDCA%20Tool%2007.01%20(13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sharing\Users\FBARRA~1\AppData\Local\Temp\notesBF2340\A-001%20LOS%20ALCARRIZOS\Presupuestos\Cubicaciones\Cubicacion%20Final\Cubicacion%20Aprezio%20Alcarrizos%2026042012%20(Formato%20Rev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e.astsaturova\My%20Documents\Aiesecs\PDCA%20Tool%20+%20PRP\PDCA%20Tool%2007.01%20(13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sharing\Documents%20and%20Settings\macta.GRAMOS\Mis%20documentos\Proyectos\Generales\Docs%20a%20implementar\AIA%20G7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QSNA0\PROJETOS\ENGTO\GPACK\PPFPAC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ENGTO\PADRONIZ\CUSTO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QSNA0\PROJETOS\ENGTO\PADRONIZ\CUSTOS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nts%20and%20Settings/yy99392/Local%20Settings/Temporary%20Internet%20Files/OLKDB/Dependencies%20for%20GOP%20Template%20072209%20(4).XLS" TargetMode="External"/><Relationship Id="rId1" Type="http://schemas.openxmlformats.org/officeDocument/2006/relationships/externalLinkPath" Target="/Documents%20and%20Settings/yy99392/Local%20Settings/Temporary%20Internet%20Files/OLKDB/Dependencies%20for%20GOP%20Template%20072209%20(4).XLS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ersonal/arosario_gruporamos_com/Documents/Informaci&#243;n%20AR/Seguimiento%20de%20tareas%20de%20Equipo%20CAF%20Rev.xlsx" TargetMode="External"/><Relationship Id="rId2" Type="http://schemas.openxmlformats.org/officeDocument/2006/relationships/externalLinkPath" Target="https://gruporamos-my.sharepoint.com/personal/arosario_gruporamos_com/Documents/Informaci&#243;n%20AR/Seguimiento%20de%20tareas%20de%20Equipo%20CAF%20Rev.xlsx" TargetMode="External"/><Relationship Id="rId1" Type="http://schemas.openxmlformats.org/officeDocument/2006/relationships/externalLinkPath" Target="/personal/arosario_gruporamos_com/Documents/Informaci&#243;n%20AR/Seguimiento%20de%20tareas%20de%20Equipo%20CAF%20Rev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~1\pjehp\LOCALS~1\Temp\11\ARC2\Indicadores%20do%20Planejamento%20da%20Manuten&#231;&#227;o_v5%20AC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-MZAFUNWRLPQ/VECINA.xls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gruporamos.sharepoint.com/sites/ComprayControldeActivos/Ger_Compras_Activos_Fijos/Equipo_Compras_de_Activos/A%20-%20INICIATIVAS/Iniciativas%20abiertas/Iniciativa%20Nueva%20Tienda%20Sirena%20Compacta%20Veron/Plantilla%20Plan%20Detallado%20-%20OI%20-%20Veron%2010.06.2025.xlsx" TargetMode="External"/><Relationship Id="rId2" Type="http://schemas.microsoft.com/office/2019/04/relationships/externalLinkLongPath" Target="/sites/ComprayControldeActivos/Ger_Compras_Activos_Fijos/Equipo_Compras_de_Activos/A%20-%20INICIATIVAS/Iniciativas%20abiertas/Iniciativa%20Nueva%20Tienda%20Sirena%20Compacta%20Veron/Plantilla%20Plan%20Detallado%20-%20OI%20-%20Veron%2010.06.2025.xlsx?3EB30F3F" TargetMode="External"/><Relationship Id="rId1" Type="http://schemas.openxmlformats.org/officeDocument/2006/relationships/externalLinkPath" Target="file:///\\3EB30F3F\Plantilla%20Plan%20Detallado%20-%20OI%20-%20Veron%2010.06.2025.xlsx" TargetMode="External"/><Relationship Id="rId4" Type="http://schemas.openxmlformats.org/officeDocument/2006/relationships/externalLinkPath" Target="../A%20-%20INICIATIVAS/Iniciativas%20abiertas/Iniciativa%20Nueva%20Tienda%20Sirena%20Compacta%20Veron/Plantilla%20Plan%20Detallado%20-%20OI%20-%20Veron%2010.06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 STO DGO"/>
      <sheetName val="PRES. BOCA NUEVA"/>
      <sheetName val="ANALISIS_STO_DGO"/>
      <sheetName val="PRES__BOCA_NUEVA"/>
      <sheetName val="CONTRARO SEÑALIZACIONES"/>
      <sheetName val="Senalizacion"/>
      <sheetName val="A"/>
      <sheetName val="ANALISIS_STO_DGO1"/>
      <sheetName val="PRES__BOCA_NUEVA1"/>
      <sheetName val="CONTRARO_SEÑALIZACIONES1"/>
      <sheetName val="CONTRARO_SEÑALIZACIONES"/>
      <sheetName val="Presup"/>
      <sheetName val="EDIFICIO COUNTERS"/>
      <sheetName val="Presup."/>
      <sheetName val="LISTADO INSUMOS DEL 2000"/>
      <sheetName val="Insumos"/>
      <sheetName val="Análisis de Precios"/>
      <sheetName val="Resumen Precio Equipos"/>
      <sheetName val="O.M. y Salarios"/>
      <sheetName val="Materiales"/>
      <sheetName val="PRESUP. HOSPIT. VERON"/>
      <sheetName val="ANALISIS_STO_DGO2"/>
      <sheetName val="PRES__BOCA_NUEVA2"/>
      <sheetName val="CONTRARO_SEÑALIZACIONES2"/>
      <sheetName val="EDIFICIO_COUNTERS"/>
      <sheetName val="LISTADO_INSUMOS_DEL_2000"/>
      <sheetName val="Presup_"/>
      <sheetName val="Análisis_de_Precios"/>
      <sheetName val="Resumen_Precio_Equipos"/>
      <sheetName val="O_M__y_Salarios"/>
      <sheetName val="Resumen"/>
      <sheetName val="Planilla &lt;ENM#5&gt;"/>
      <sheetName val="Resumen Reducciones"/>
      <sheetName val="Planilla..."/>
      <sheetName val="Planilla"/>
      <sheetName val="Amortización"/>
      <sheetName val="Estudios y Diseños"/>
      <sheetName val="&lt;T-0&gt;Sop.Estudios.y.Diseños"/>
      <sheetName val="Otros Indirectos"/>
      <sheetName val="(1)-Trab.Gen"/>
      <sheetName val="1.01"/>
      <sheetName val="1.02"/>
      <sheetName val="1.03"/>
      <sheetName val="1.04"/>
      <sheetName val="1.05"/>
      <sheetName val="(2)-Mov.Tierra"/>
      <sheetName val="2.01"/>
      <sheetName val="2.02"/>
      <sheetName val="2.03"/>
      <sheetName val="&lt;T-1&gt;Sop.Alambradas"/>
      <sheetName val="100.01"/>
      <sheetName val="2.06"/>
      <sheetName val="2.07"/>
      <sheetName val="2.09"/>
      <sheetName val="&lt;T-3&gt;Sop.Exc.Inservible.&amp;.NClas"/>
      <sheetName val="2.10"/>
      <sheetName val="2.11"/>
      <sheetName val="2.12@2.14-116.03"/>
      <sheetName val="Rutas.Acarreo"/>
      <sheetName val="2.15"/>
      <sheetName val="2.16"/>
      <sheetName val="2.17"/>
      <sheetName val="2.18"/>
      <sheetName val="&lt;T-4&gt;Sop.Relleno-(Previo)"/>
      <sheetName val="&lt;T-4&gt;Sop.Relleno-(Acumulado)"/>
      <sheetName val="ajustes de reporte relleno"/>
      <sheetName val="&lt;T-4&gt;Sop.Relleno-(Periodo)"/>
      <sheetName val="&lt;T-5&gt;Sop.Pedraplén"/>
      <sheetName val="2.19"/>
      <sheetName val="2.22"/>
      <sheetName val="PN-2.04"/>
      <sheetName val="&lt;T-7&gt;Sop.Perfilado&amp;Grama"/>
      <sheetName val="2.24"/>
      <sheetName val="2.36"/>
      <sheetName val="Mejoramiento Fundación"/>
      <sheetName val="116.01"/>
      <sheetName val="116.02"/>
      <sheetName val="&lt;T-14&gt;Estabilización.Cal"/>
      <sheetName val="&lt;T-15&gt;Estabilización.Cemento"/>
      <sheetName val="PN-2.06"/>
      <sheetName val="Interferencias-Tuberías"/>
      <sheetName val="128.01"/>
      <sheetName val="&lt;Presup&gt;Tubería.Yuca"/>
      <sheetName val="139.01"/>
      <sheetName val="&lt;Presup&gt;Tub.Haras.Nacionales"/>
      <sheetName val="184.01"/>
      <sheetName val="&lt;Presup&gt;Tubería.Mata.Gorda"/>
      <sheetName val="184.02"/>
      <sheetName val="&lt;Presup&gt;Tubería.El.Aguacate"/>
      <sheetName val="184.03"/>
      <sheetName val="&lt;Presup&gt;Tubería.La.Victoria"/>
      <sheetName val="139.02"/>
      <sheetName val="&lt;Presup&gt;Tubería.Juan.Tomás"/>
      <sheetName val="161.01"/>
      <sheetName val="&lt;Presup&gt;Tubería.Mal.Nombre"/>
      <sheetName val="PN-2.01"/>
      <sheetName val="&lt;Presup&gt;Tubería.Varios.Trabajos"/>
      <sheetName val="(3)-Drenaje"/>
      <sheetName val="Cunetas"/>
      <sheetName val="3.1.02"/>
      <sheetName val="3.1.03"/>
      <sheetName val="150.01"/>
      <sheetName val="150.02"/>
      <sheetName val="162.01"/>
      <sheetName val="Drenaje Subterraneo"/>
      <sheetName val="3.3.01"/>
      <sheetName val="3.3.02"/>
      <sheetName val="Alc.Cajón"/>
      <sheetName val="100.02"/>
      <sheetName val="3.4.1.01"/>
      <sheetName val="3.4.1.02"/>
      <sheetName val="3.4.1.03"/>
      <sheetName val="3.4.1.04"/>
      <sheetName val="3.4.1.05"/>
      <sheetName val="3.4.1.06"/>
      <sheetName val="3.4.1.07"/>
      <sheetName val="3.4.1.08"/>
      <sheetName val="3.4.1.09"/>
      <sheetName val="3.4.1.10"/>
      <sheetName val="3.4.1.11"/>
      <sheetName val="3.4.1.12"/>
      <sheetName val="101.01"/>
      <sheetName val="3.4.1.16"/>
      <sheetName val="3.4.1.17"/>
      <sheetName val="Alc.Tubular"/>
      <sheetName val="3.4.2.01"/>
      <sheetName val="3.4.2.03"/>
      <sheetName val="3.4.2.04"/>
      <sheetName val="3.4.2.06"/>
      <sheetName val="3.4.2.07"/>
      <sheetName val="3.4.2.08"/>
      <sheetName val="3.4.2.09"/>
      <sheetName val="3.4.2.10"/>
      <sheetName val="3.4.2.11"/>
      <sheetName val="3.4.2.12"/>
      <sheetName val="&lt;T-6&gt;Sop.Exc.Rell.Estr.Alcant."/>
      <sheetName val="Colectores"/>
      <sheetName val="119.01"/>
      <sheetName val="119.02"/>
      <sheetName val="119.03"/>
      <sheetName val="119.04"/>
      <sheetName val="119.05"/>
      <sheetName val="119.06"/>
      <sheetName val="119.07"/>
      <sheetName val="119.08"/>
      <sheetName val="119.09"/>
      <sheetName val="129.01"/>
      <sheetName val="&lt;T-8&gt;Sop.Acero.Alcantarillas"/>
      <sheetName val="(4)-Estructuras"/>
      <sheetName val="(Puente)-Mal Nombre"/>
      <sheetName val="4.1.1.01"/>
      <sheetName val="4.1.1.04"/>
      <sheetName val="4.1.1.06"/>
      <sheetName val="4.1.1.08"/>
      <sheetName val="104.01"/>
      <sheetName val="104.02"/>
      <sheetName val="4.1.1.9"/>
      <sheetName val="4.1.1.10"/>
      <sheetName val="4.1.1.11"/>
      <sheetName val="4.1.1.12"/>
      <sheetName val="4.1.1.14"/>
      <sheetName val="4.1.1.15"/>
      <sheetName val="4.1.1.16"/>
      <sheetName val="4.1.1.18"/>
      <sheetName val="4.1.1.21"/>
      <sheetName val="130.01"/>
      <sheetName val="4.1.1.22"/>
      <sheetName val="4.1.1.25"/>
      <sheetName val="4.1.1.26"/>
      <sheetName val="120.01"/>
      <sheetName val="104.03"/>
      <sheetName val="4.1.4.04"/>
      <sheetName val="102.01"/>
      <sheetName val="102.02"/>
      <sheetName val="102.03"/>
      <sheetName val="102.04"/>
      <sheetName val="102.05"/>
      <sheetName val="4.1.4.06"/>
      <sheetName val="4.1.4.08"/>
      <sheetName val="4.1.4.09"/>
      <sheetName val="4.1.4.11"/>
      <sheetName val="4.1.4.18"/>
      <sheetName val="(Puente)-Dajao"/>
      <sheetName val="4.1.4.25"/>
      <sheetName val="106.02"/>
      <sheetName val="113.01"/>
      <sheetName val="113.02"/>
      <sheetName val="113.03"/>
      <sheetName val="106.01"/>
      <sheetName val="121.01"/>
      <sheetName val="121.02"/>
      <sheetName val="131.01"/>
      <sheetName val="131.02"/>
      <sheetName val="140.01"/>
      <sheetName val="140.02"/>
      <sheetName val="145.01"/>
      <sheetName val="145.02"/>
      <sheetName val="145.03"/>
      <sheetName val="145.04"/>
      <sheetName val="145.05"/>
      <sheetName val="163.01"/>
      <sheetName val="(Puente)-Haras Nacionales"/>
      <sheetName val="PN-4.2.2.02"/>
      <sheetName val="151.01"/>
      <sheetName val="4.2.2.02"/>
      <sheetName val="4.2.2.03"/>
      <sheetName val="4.2.2.04"/>
      <sheetName val="4.2.2.10"/>
      <sheetName val="151.02"/>
      <sheetName val="4.2.2.11"/>
      <sheetName val="4.2.2.12"/>
      <sheetName val="4.2.2.13"/>
      <sheetName val="103.01"/>
      <sheetName val="103.02"/>
      <sheetName val="103.03"/>
      <sheetName val="103.04"/>
      <sheetName val="105.01"/>
      <sheetName val="105.02"/>
      <sheetName val="105.03"/>
      <sheetName val="4.2.2.15 "/>
      <sheetName val="4.2.2.16"/>
      <sheetName val="4.2.2.17"/>
      <sheetName val="108.01"/>
      <sheetName val="108.02"/>
      <sheetName val="108.03"/>
      <sheetName val="111.01"/>
      <sheetName val="111.02"/>
      <sheetName val="111.03"/>
      <sheetName val="111.04"/>
      <sheetName val="114.01"/>
      <sheetName val="122.01"/>
      <sheetName val="141.01"/>
      <sheetName val="141.02"/>
      <sheetName val="141.03"/>
      <sheetName val="132.01"/>
      <sheetName val="132.02"/>
      <sheetName val="zapata bordillo-haras"/>
      <sheetName val="(Puente)-Yuca"/>
      <sheetName val="4.1.3.04"/>
      <sheetName val="4.1.3.06"/>
      <sheetName val="4.1.3.07"/>
      <sheetName val="4.1.3.08"/>
      <sheetName val="4.1.3.09"/>
      <sheetName val="112.01"/>
      <sheetName val="112.02"/>
      <sheetName val="112.03"/>
      <sheetName val="112.04"/>
      <sheetName val="112.05"/>
      <sheetName val="112.06"/>
      <sheetName val="112.07"/>
      <sheetName val="4.1.3.01"/>
      <sheetName val="4.1.3.18"/>
      <sheetName val="4.1.3.25"/>
      <sheetName val="123.01"/>
      <sheetName val="123.02"/>
      <sheetName val="123.03"/>
      <sheetName val="133.01"/>
      <sheetName val="142.01"/>
      <sheetName val="142.02"/>
      <sheetName val="146.01"/>
      <sheetName val="146.02"/>
      <sheetName val="146.03"/>
      <sheetName val="146.04"/>
      <sheetName val="152.01"/>
      <sheetName val="152.02"/>
      <sheetName val="164.01"/>
      <sheetName val="zapata.bordillo.losa.Yuca"/>
      <sheetName val="172.01"/>
      <sheetName val="172.02"/>
      <sheetName val="172.03"/>
      <sheetName val="PN-4.1.3.01"/>
      <sheetName val="PN-4.1.3.02"/>
      <sheetName val="PN-4.1.3.03"/>
      <sheetName val="PN-4.1.3.04"/>
      <sheetName val="(Puente)-Cabón"/>
      <sheetName val="4.1.2.06"/>
      <sheetName val="4.1.2.07"/>
      <sheetName val="4.1.2.11"/>
      <sheetName val="4.1.2.18"/>
      <sheetName val="4.1.2.20"/>
      <sheetName val="4.1.2.08"/>
      <sheetName val="4.1.2.25"/>
      <sheetName val="134.01"/>
      <sheetName val="134.02"/>
      <sheetName val="134.03"/>
      <sheetName val="143.01"/>
      <sheetName val="147.01"/>
      <sheetName val="153.01"/>
      <sheetName val="165.01"/>
      <sheetName val="165.02"/>
      <sheetName val="165.03"/>
      <sheetName val="173.01"/>
      <sheetName val="173.02"/>
      <sheetName val="PN-4.1.2.01"/>
      <sheetName val="PN-4.1.2.03"/>
      <sheetName val="PN-4.1.2.04"/>
      <sheetName val="PN-4.1.2.05"/>
      <sheetName val="153.02"/>
      <sheetName val="153.03"/>
      <sheetName val="(Puente)-Tossa"/>
      <sheetName val="4.1.5.04"/>
      <sheetName val="4.1.5.06"/>
      <sheetName val="4.1.5.07"/>
      <sheetName val="4.1.5.08"/>
      <sheetName val="4.1.5.09"/>
      <sheetName val="4.1.5.11"/>
      <sheetName val="154.01"/>
      <sheetName val="154.02"/>
      <sheetName val="135.01"/>
      <sheetName val="135.02"/>
      <sheetName val="135.03"/>
      <sheetName val="135.04"/>
      <sheetName val="135.05"/>
      <sheetName val="166.01"/>
      <sheetName val="174.01"/>
      <sheetName val="174.02"/>
      <sheetName val="174.03"/>
      <sheetName val="PN-4.1.5.03"/>
      <sheetName val="PN-4.1.5.05"/>
      <sheetName val="PN-4.1.5.06"/>
      <sheetName val="PN-4.1.5.07"/>
      <sheetName val="PN-4.1.5.08"/>
      <sheetName val="PN-4.1.5.09"/>
      <sheetName val="PN-4.1.5.11"/>
      <sheetName val="PN-4.1.5.12"/>
      <sheetName val="174.04"/>
      <sheetName val="174.05"/>
      <sheetName val="174.06"/>
      <sheetName val="174.07"/>
      <sheetName val="PN-4.1.5.13"/>
      <sheetName val="(Puente)-Ozama"/>
      <sheetName val="4.1.6.02"/>
      <sheetName val="4.1.6.05"/>
      <sheetName val="4.1.6.07"/>
      <sheetName val="4.1.6.09"/>
      <sheetName val="4.1.6.10"/>
      <sheetName val="&lt;P.U.&gt;Estructura.Puente"/>
      <sheetName val="4.1.6.13"/>
      <sheetName val="4.1.6.17"/>
      <sheetName val="175.01"/>
      <sheetName val="175.02"/>
      <sheetName val="175.03"/>
      <sheetName val="175.04"/>
      <sheetName val="PN-4.1.6.03"/>
      <sheetName val="175.05"/>
      <sheetName val="144.01"/>
      <sheetName val="144.02"/>
      <sheetName val="144.03"/>
      <sheetName val="155.01"/>
      <sheetName val="155.02"/>
      <sheetName val="155.03"/>
      <sheetName val="PN-4.1.6.06"/>
      <sheetName val="PN-4.1.6.09@PN-4.1.6.11"/>
      <sheetName val="PN-4.1.6.14"/>
      <sheetName val="(Puente)-Juan Tomas"/>
      <sheetName val="156.01"/>
      <sheetName val="156.02"/>
      <sheetName val="167.01"/>
      <sheetName val="176.01"/>
      <sheetName val="176.02"/>
      <sheetName val="176.03"/>
      <sheetName val="176.04"/>
      <sheetName val="176.05"/>
      <sheetName val="176.06"/>
      <sheetName val="176.07"/>
      <sheetName val="176.08"/>
      <sheetName val="176.09"/>
      <sheetName val="176.10"/>
      <sheetName val="176.11"/>
      <sheetName val="176.12"/>
      <sheetName val="PN-4.1.7.04"/>
      <sheetName val="PN-4.1.7.05"/>
      <sheetName val="PN-4.1.7.06"/>
      <sheetName val="PN-4.1.7.09"/>
      <sheetName val="PN-4.1.7.10"/>
      <sheetName val="PN-4.1.7.11"/>
      <sheetName val="PN-4.1.7.12"/>
      <sheetName val="PN-4.1.7.14"/>
      <sheetName val="PN-4.1.7.20"/>
      <sheetName val="PN-4.1.7.29"/>
      <sheetName val="(Distribuidor)-Punta-Yamasá"/>
      <sheetName val="4.2.1.05"/>
      <sheetName val="4.2.1.17"/>
      <sheetName val="4.2.1.10 "/>
      <sheetName val="4.2.1.11"/>
      <sheetName val="4.2.1.13"/>
      <sheetName val="115.01"/>
      <sheetName val="115.02"/>
      <sheetName val="115.03"/>
      <sheetName val="115.04"/>
      <sheetName val="115.05"/>
      <sheetName val="115.06"/>
      <sheetName val="115.07"/>
      <sheetName val="115.08"/>
      <sheetName val="124.01"/>
      <sheetName val="124.02"/>
      <sheetName val="124.03"/>
      <sheetName val="124.04"/>
      <sheetName val="124.05"/>
      <sheetName val="148.01"/>
      <sheetName val="148.02"/>
      <sheetName val="157.01"/>
      <sheetName val="157.02"/>
      <sheetName val="PN-4.2.1.03"/>
      <sheetName val="PN-4.2.1.05"/>
      <sheetName val="PN-4.2.1.08"/>
      <sheetName val="4.2.1.16"/>
      <sheetName val="4.2.1.21"/>
      <sheetName val="4.2.1.29"/>
      <sheetName val="4.2.1.30"/>
      <sheetName val="registros punta"/>
      <sheetName val="(Distribuidor)-La Victoria"/>
      <sheetName val="4.2.4.10"/>
      <sheetName val="4.2.4.04"/>
      <sheetName val="4.2.4.11"/>
      <sheetName val="4.2.4.15"/>
      <sheetName val="4.2.4.16"/>
      <sheetName val="4.2.4.13"/>
      <sheetName val="125.01"/>
      <sheetName val="125.02"/>
      <sheetName val="177.01"/>
      <sheetName val="177.02"/>
      <sheetName val="177.03"/>
      <sheetName val="177.04"/>
      <sheetName val="177.05"/>
      <sheetName val="177.06"/>
      <sheetName val="177.07"/>
      <sheetName val="158.01"/>
      <sheetName val="158.02"/>
      <sheetName val="158.03"/>
      <sheetName val="158.04"/>
      <sheetName val="158.05"/>
      <sheetName val="(Distribuidor)-Carre.Samaná"/>
      <sheetName val="4.2.5.01"/>
      <sheetName val="4.2.5.03"/>
      <sheetName val="4.2.5.11"/>
      <sheetName val="4.2.5.12"/>
      <sheetName val="4.2.5.13"/>
      <sheetName val="4.2.5.14"/>
      <sheetName val="178.01"/>
      <sheetName val="178.02"/>
      <sheetName val="178.03"/>
      <sheetName val="178.04"/>
      <sheetName val="178.05"/>
      <sheetName val="PN-4.2.5.04"/>
      <sheetName val="PN-4.2.5.08"/>
      <sheetName val="PN-4.2.5.12"/>
      <sheetName val="PN-4.2.5.15"/>
      <sheetName val="(Paso Inferior)-La Victoria"/>
      <sheetName val="4.3.2.10"/>
      <sheetName val="4.3.2.11"/>
      <sheetName val="4.3.2.12"/>
      <sheetName val="4.3.2.14"/>
      <sheetName val="4.3.2.15"/>
      <sheetName val="4.3.2.18"/>
      <sheetName val="4.3.2.21"/>
      <sheetName val="4.3.2.22"/>
      <sheetName val="(Paso Inferior)-Mata Mamón"/>
      <sheetName val="4.3.3.10"/>
      <sheetName val="4.3.3.11"/>
      <sheetName val="4.3.3.12"/>
      <sheetName val="4.3.3.14"/>
      <sheetName val="4.3.3.18"/>
      <sheetName val="4.3.3.21"/>
      <sheetName val="4.3.3.22"/>
      <sheetName val="(Paso Inferior)-Yabacao"/>
      <sheetName val="136.01"/>
      <sheetName val="136.02"/>
      <sheetName val="136.03"/>
      <sheetName val="136.04"/>
      <sheetName val="149.01"/>
      <sheetName val="136.05"/>
      <sheetName val="(Puente)-Provisional Ozama "/>
      <sheetName val="117.01"/>
      <sheetName val="117.02"/>
      <sheetName val="117.03"/>
      <sheetName val="117.04"/>
      <sheetName val="(Paso Inferior) El Aguacate"/>
      <sheetName val="(Paso Inferior)-Los Rojas"/>
      <sheetName val="159.01"/>
      <sheetName val="159.02"/>
      <sheetName val="159.03"/>
      <sheetName val="159.04"/>
      <sheetName val="168.01"/>
      <sheetName val="168.02"/>
      <sheetName val="168.03"/>
      <sheetName val="179.01"/>
      <sheetName val="PN-4.3.6.06"/>
      <sheetName val="(Paso Inferior)-El Aguacate"/>
      <sheetName val="169.01"/>
      <sheetName val="169.02"/>
      <sheetName val="Aguacate-.01"/>
      <sheetName val="169.03"/>
      <sheetName val="169.04"/>
      <sheetName val="180.01"/>
      <sheetName val="170.01"/>
      <sheetName val="170.02"/>
      <sheetName val="PN-4.3.5.03"/>
      <sheetName val="PN-4.3.5.04"/>
      <sheetName val="PN-4.3.5.05"/>
      <sheetName val="(Paso Inferior)-Mal Nombre"/>
      <sheetName val="170.03"/>
      <sheetName val="170.04"/>
      <sheetName val="181.01"/>
      <sheetName val="181.02"/>
      <sheetName val="117.05"/>
      <sheetName val="117.06"/>
      <sheetName val="126.01"/>
      <sheetName val="126.02"/>
      <sheetName val="137.01"/>
      <sheetName val="&lt;T-12&gt;Sop.Pedrap.Puente.Prov."/>
      <sheetName val="PN-4.3.1.03"/>
      <sheetName val="PN-4.3.1.05"/>
      <sheetName val="PN-4.3.1.07"/>
      <sheetName val="&lt;T-9&gt;Sop.Pilotes"/>
      <sheetName val="&lt;T-10&gt;Sop.Acero.Puentes"/>
      <sheetName val="Misceláneos-Estr."/>
      <sheetName val="182.01"/>
      <sheetName val="&lt;P.U.&gt;Acero.Refuerzo"/>
      <sheetName val="&lt;P.U.&gt;Pretensado.Cable.Acero"/>
      <sheetName val="Wick.Drains-Geopier"/>
      <sheetName val="109.01"/>
      <sheetName val="118.01"/>
      <sheetName val="118.02"/>
      <sheetName val="127.01"/>
      <sheetName val="171.01@171.03"/>
      <sheetName val="127.02"/>
      <sheetName val="127.03"/>
      <sheetName val="138.01"/>
      <sheetName val="&lt;T-13&gt;Drenes.Verticales"/>
      <sheetName val="&lt;T-16&gt;Pre-Perforación.Drenes"/>
      <sheetName val="&lt;T-17&gt;Columna.de.Grava"/>
      <sheetName val="&lt;T-18&gt;Columna.Grava.Terravanza"/>
      <sheetName val="Peaje"/>
      <sheetName val="4.4.02"/>
      <sheetName val="PN-4.4.01"/>
      <sheetName val="PN-4.4.02"/>
      <sheetName val="(5)-Estructura.de.Pavimento"/>
      <sheetName val="5.01"/>
      <sheetName val="5.02"/>
      <sheetName val="5.03@5.06"/>
      <sheetName val="5.07@5.10"/>
      <sheetName val="5.11"/>
      <sheetName val="5.12"/>
      <sheetName val="5.13"/>
      <sheetName val="5.14"/>
      <sheetName val="5.15"/>
      <sheetName val="&lt;T-2&gt;Acopio.Base.Planta.Indio"/>
      <sheetName val="&lt;P.U.&gt;Base.Estabilizada"/>
      <sheetName val="5.16@5.19"/>
      <sheetName val="160.01"/>
      <sheetName val="160.02"/>
      <sheetName val="183.01"/>
      <sheetName val="183.02"/>
      <sheetName val="PN-5.01"/>
      <sheetName val="PN-5.03"/>
      <sheetName val="PN-5.04"/>
      <sheetName val="PN-5.05"/>
      <sheetName val="&lt;T-19&gt;Sop.SubBase"/>
      <sheetName val="&lt;T-20&gt;Sop.Base"/>
      <sheetName val="&lt;T-21&gt;Sop.Asfalto"/>
      <sheetName val="(6)-Terminaciones"/>
      <sheetName val="6.2.01"/>
      <sheetName val="6.3.01"/>
      <sheetName val="6.3.02"/>
      <sheetName val="6.3.03"/>
      <sheetName val="6.3.04"/>
      <sheetName val="6.3.05"/>
      <sheetName val="6.3.19"/>
      <sheetName val="6.3.20"/>
      <sheetName val="6.3.21"/>
      <sheetName val="6.1.01 Contenes"/>
      <sheetName val="6.1.02 Bordillos"/>
      <sheetName val="6.1.03 Aceras Hormigon "/>
      <sheetName val="6.1.04Relleno Acera"/>
      <sheetName val="Paisajismo"/>
      <sheetName val="Iluminacion Vial"/>
      <sheetName val="(7)-Electrificación e ilum."/>
      <sheetName val="7.01"/>
      <sheetName val="7.02"/>
      <sheetName val="(Reembolsables)-Militares"/>
      <sheetName val="107.01"/>
      <sheetName val="185.01"/>
      <sheetName val="&lt;T-11&gt;Sop.Militares"/>
      <sheetName val="(Reembolsables)-Interf.Electric"/>
      <sheetName val="186.01"/>
      <sheetName val="Pres. Interferencia Electrica"/>
      <sheetName val="(110)-Puente.Provisional"/>
      <sheetName val="110.01"/>
      <sheetName val="x1-relleno prueba"/>
      <sheetName val="&lt;x1&gt;Relleno.Prueba.Avenida"/>
      <sheetName val="&lt;Estatus Proyecto&gt;"/>
      <sheetName val="ANALISIS_STO_DGO3"/>
      <sheetName val="PRES__BOCA_NUEVA3"/>
      <sheetName val="CONTRARO_SEÑALIZACIONES3"/>
      <sheetName val="EDIFICIO_COUNTERS1"/>
      <sheetName val="LISTADO_INSUMOS_DEL_20001"/>
      <sheetName val="Presup_1"/>
      <sheetName val="TC-C27"/>
      <sheetName val="EX-V28"/>
      <sheetName val="RV-C13"/>
      <sheetName val="RV-C28"/>
      <sheetName val="EXC. QMC"/>
      <sheetName val="RV-H27"/>
      <sheetName val="EX-C36"/>
      <sheetName val="CF-C12"/>
      <sheetName val="EX-C37"/>
      <sheetName val="EX-C20"/>
      <sheetName val="EX-C24"/>
      <sheetName val="TRACT.MINA"/>
      <sheetName val="EX-C38"/>
      <sheetName val="EX-C27"/>
      <sheetName val="EX-C42"/>
      <sheetName val="% Ralenti CF-C12."/>
      <sheetName val="% Ralenti EXC."/>
      <sheetName val="% Ralenti EXC. (2)"/>
      <sheetName val="REND."/>
      <sheetName val="Produccion"/>
      <sheetName val="trac"/>
      <sheetName val="T. HORA"/>
      <sheetName val="Base de Dato"/>
      <sheetName val="Precio"/>
      <sheetName val="Analisis de precios SURFACE"/>
      <sheetName val="Sheet1"/>
      <sheetName val="Sheet2"/>
      <sheetName val="Sheet3"/>
      <sheetName val="Los Ángeles (Fase II)"/>
      <sheetName val="MANO DE OBRA"/>
      <sheetName val="ANALISIS_STO_DGO4"/>
      <sheetName val="PRES__BOCA_NUEVA4"/>
      <sheetName val="CONTRARO_SEÑALIZACIONES4"/>
      <sheetName val="EDIFICIO_COUNTERS2"/>
      <sheetName val="Presup_2"/>
      <sheetName val="LISTADO_INSUMOS_DEL_20002"/>
      <sheetName val="Análisis_de_Precios1"/>
      <sheetName val="Resumen_Precio_Equipos1"/>
      <sheetName val="O_M__y_Salarios1"/>
      <sheetName val="PRESUP__HOSPIT__VERON"/>
      <sheetName val="Planilla_&lt;ENM#5&gt;"/>
      <sheetName val="Resumen_Reducciones"/>
      <sheetName val="Planilla___"/>
      <sheetName val="Estudios_y_Diseños"/>
      <sheetName val="&lt;T-0&gt;Sop_Estudios_y_Diseños"/>
      <sheetName val="Otros_Indirectos"/>
      <sheetName val="(1)-Trab_Gen"/>
      <sheetName val="1_01"/>
      <sheetName val="1_02"/>
      <sheetName val="1_03"/>
      <sheetName val="1_04"/>
      <sheetName val="1_05"/>
      <sheetName val="(2)-Mov_Tierra"/>
      <sheetName val="2_01"/>
      <sheetName val="2_02"/>
      <sheetName val="2_03"/>
      <sheetName val="&lt;T-1&gt;Sop_Alambradas"/>
      <sheetName val="100_01"/>
      <sheetName val="2_06"/>
      <sheetName val="2_07"/>
      <sheetName val="2_09"/>
      <sheetName val="&lt;T-3&gt;Sop_Exc_Inservible_&amp;_NClas"/>
      <sheetName val="2_10"/>
      <sheetName val="2_11"/>
      <sheetName val="2_12@2_14-116_03"/>
      <sheetName val="Rutas_Acarreo"/>
      <sheetName val="2_15"/>
      <sheetName val="2_16"/>
      <sheetName val="2_17"/>
      <sheetName val="2_18"/>
      <sheetName val="&lt;T-4&gt;Sop_Relleno-(Previo)"/>
      <sheetName val="&lt;T-4&gt;Sop_Relleno-(Acumulado)"/>
      <sheetName val="ajustes_de_reporte_relleno"/>
      <sheetName val="&lt;T-4&gt;Sop_Relleno-(Periodo)"/>
      <sheetName val="&lt;T-5&gt;Sop_Pedraplén"/>
      <sheetName val="2_19"/>
      <sheetName val="2_22"/>
      <sheetName val="PN-2_04"/>
      <sheetName val="&lt;T-7&gt;Sop_Perfilado&amp;Grama"/>
      <sheetName val="2_24"/>
      <sheetName val="2_36"/>
      <sheetName val="Mejoramiento_Fundación"/>
      <sheetName val="116_01"/>
      <sheetName val="116_02"/>
      <sheetName val="&lt;T-14&gt;Estabilización_Cal"/>
      <sheetName val="&lt;T-15&gt;Estabilización_Cemento"/>
      <sheetName val="PN-2_06"/>
      <sheetName val="128_01"/>
      <sheetName val="&lt;Presup&gt;Tubería_Yuca"/>
      <sheetName val="139_01"/>
      <sheetName val="&lt;Presup&gt;Tub_Haras_Nacionales"/>
      <sheetName val="184_01"/>
      <sheetName val="&lt;Presup&gt;Tubería_Mata_Gorda"/>
      <sheetName val="184_02"/>
      <sheetName val="&lt;Presup&gt;Tubería_El_Aguacate"/>
      <sheetName val="184_03"/>
      <sheetName val="&lt;Presup&gt;Tubería_La_Victoria"/>
      <sheetName val="139_02"/>
      <sheetName val="&lt;Presup&gt;Tubería_Juan_Tomás"/>
      <sheetName val="161_01"/>
      <sheetName val="&lt;Presup&gt;Tubería_Mal_Nombre"/>
      <sheetName val="PN-2_01"/>
      <sheetName val="&lt;Presup&gt;Tubería_Varios_Trabajos"/>
      <sheetName val="3_1_02"/>
      <sheetName val="3_1_03"/>
      <sheetName val="150_01"/>
      <sheetName val="150_02"/>
      <sheetName val="162_01"/>
      <sheetName val="Drenaje_Subterraneo"/>
      <sheetName val="3_3_01"/>
      <sheetName val="3_3_02"/>
      <sheetName val="Alc_Cajón"/>
      <sheetName val="100_02"/>
      <sheetName val="3_4_1_01"/>
      <sheetName val="3_4_1_02"/>
      <sheetName val="3_4_1_03"/>
      <sheetName val="3_4_1_04"/>
      <sheetName val="3_4_1_05"/>
      <sheetName val="3_4_1_06"/>
      <sheetName val="3_4_1_07"/>
      <sheetName val="3_4_1_08"/>
      <sheetName val="3_4_1_09"/>
      <sheetName val="3_4_1_10"/>
      <sheetName val="3_4_1_11"/>
      <sheetName val="3_4_1_12"/>
      <sheetName val="101_01"/>
      <sheetName val="3_4_1_16"/>
      <sheetName val="3_4_1_17"/>
      <sheetName val="Alc_Tubular"/>
      <sheetName val="3_4_2_01"/>
      <sheetName val="3_4_2_03"/>
      <sheetName val="3_4_2_04"/>
      <sheetName val="3_4_2_06"/>
      <sheetName val="3_4_2_07"/>
      <sheetName val="3_4_2_08"/>
      <sheetName val="3_4_2_09"/>
      <sheetName val="3_4_2_10"/>
      <sheetName val="3_4_2_11"/>
      <sheetName val="3_4_2_12"/>
      <sheetName val="&lt;T-6&gt;Sop_Exc_Rell_Estr_Alcant_"/>
      <sheetName val="119_01"/>
      <sheetName val="119_02"/>
      <sheetName val="119_03"/>
      <sheetName val="119_04"/>
      <sheetName val="119_05"/>
      <sheetName val="119_06"/>
      <sheetName val="119_07"/>
      <sheetName val="119_08"/>
      <sheetName val="119_09"/>
      <sheetName val="129_01"/>
      <sheetName val="&lt;T-8&gt;Sop_Acero_Alcantarillas"/>
      <sheetName val="(Puente)-Mal_Nombre"/>
      <sheetName val="4_1_1_01"/>
      <sheetName val="4_1_1_04"/>
      <sheetName val="4_1_1_06"/>
      <sheetName val="4_1_1_08"/>
      <sheetName val="104_01"/>
      <sheetName val="104_02"/>
      <sheetName val="4_1_1_9"/>
      <sheetName val="4_1_1_10"/>
      <sheetName val="4_1_1_11"/>
      <sheetName val="4_1_1_12"/>
      <sheetName val="4_1_1_14"/>
      <sheetName val="4_1_1_15"/>
      <sheetName val="4_1_1_16"/>
      <sheetName val="4_1_1_18"/>
      <sheetName val="4_1_1_21"/>
      <sheetName val="130_01"/>
      <sheetName val="4_1_1_22"/>
      <sheetName val="4_1_1_25"/>
      <sheetName val="4_1_1_26"/>
      <sheetName val="120_01"/>
      <sheetName val="104_03"/>
      <sheetName val="4_1_4_04"/>
      <sheetName val="102_01"/>
      <sheetName val="102_02"/>
      <sheetName val="102_03"/>
      <sheetName val="102_04"/>
      <sheetName val="102_05"/>
      <sheetName val="4_1_4_06"/>
      <sheetName val="4_1_4_08"/>
      <sheetName val="4_1_4_09"/>
      <sheetName val="4_1_4_11"/>
      <sheetName val="4_1_4_18"/>
      <sheetName val="4_1_4_25"/>
      <sheetName val="106_02"/>
      <sheetName val="113_01"/>
      <sheetName val="113_02"/>
      <sheetName val="113_03"/>
      <sheetName val="106_01"/>
      <sheetName val="121_01"/>
      <sheetName val="121_02"/>
      <sheetName val="131_01"/>
      <sheetName val="131_02"/>
      <sheetName val="140_01"/>
      <sheetName val="140_02"/>
      <sheetName val="145_01"/>
      <sheetName val="145_02"/>
      <sheetName val="145_03"/>
      <sheetName val="145_04"/>
      <sheetName val="145_05"/>
      <sheetName val="163_01"/>
      <sheetName val="(Puente)-Haras_Nacionales"/>
      <sheetName val="PN-4_2_2_02"/>
      <sheetName val="151_01"/>
      <sheetName val="4_2_2_02"/>
      <sheetName val="4_2_2_03"/>
      <sheetName val="4_2_2_04"/>
      <sheetName val="4_2_2_10"/>
      <sheetName val="151_02"/>
      <sheetName val="4_2_2_11"/>
      <sheetName val="4_2_2_12"/>
      <sheetName val="4_2_2_13"/>
      <sheetName val="103_01"/>
      <sheetName val="103_02"/>
      <sheetName val="103_03"/>
      <sheetName val="103_04"/>
      <sheetName val="105_01"/>
      <sheetName val="105_02"/>
      <sheetName val="105_03"/>
      <sheetName val="4_2_2_15_"/>
      <sheetName val="4_2_2_16"/>
      <sheetName val="4_2_2_17"/>
      <sheetName val="108_01"/>
      <sheetName val="108_02"/>
      <sheetName val="108_03"/>
      <sheetName val="111_01"/>
      <sheetName val="111_02"/>
      <sheetName val="111_03"/>
      <sheetName val="111_04"/>
      <sheetName val="114_01"/>
      <sheetName val="122_01"/>
      <sheetName val="141_01"/>
      <sheetName val="141_02"/>
      <sheetName val="141_03"/>
      <sheetName val="132_01"/>
      <sheetName val="132_02"/>
      <sheetName val="zapata_bordillo-haras"/>
      <sheetName val="4_1_3_04"/>
      <sheetName val="4_1_3_06"/>
      <sheetName val="4_1_3_07"/>
      <sheetName val="4_1_3_08"/>
      <sheetName val="4_1_3_09"/>
      <sheetName val="112_01"/>
      <sheetName val="112_02"/>
      <sheetName val="112_03"/>
      <sheetName val="112_04"/>
      <sheetName val="112_05"/>
      <sheetName val="112_06"/>
      <sheetName val="112_07"/>
      <sheetName val="4_1_3_01"/>
      <sheetName val="4_1_3_18"/>
      <sheetName val="4_1_3_25"/>
      <sheetName val="123_01"/>
      <sheetName val="123_02"/>
      <sheetName val="123_03"/>
      <sheetName val="133_01"/>
      <sheetName val="142_01"/>
      <sheetName val="142_02"/>
      <sheetName val="146_01"/>
      <sheetName val="146_02"/>
      <sheetName val="146_03"/>
      <sheetName val="146_04"/>
      <sheetName val="152_01"/>
      <sheetName val="152_02"/>
      <sheetName val="164_01"/>
      <sheetName val="zapata_bordillo_losa_Yuca"/>
      <sheetName val="172_01"/>
      <sheetName val="172_02"/>
      <sheetName val="172_03"/>
      <sheetName val="PN-4_1_3_01"/>
      <sheetName val="PN-4_1_3_02"/>
      <sheetName val="PN-4_1_3_03"/>
      <sheetName val="PN-4_1_3_04"/>
      <sheetName val="4_1_2_06"/>
      <sheetName val="4_1_2_07"/>
      <sheetName val="4_1_2_11"/>
      <sheetName val="4_1_2_18"/>
      <sheetName val="4_1_2_20"/>
      <sheetName val="4_1_2_08"/>
      <sheetName val="4_1_2_25"/>
      <sheetName val="134_01"/>
      <sheetName val="134_02"/>
      <sheetName val="134_03"/>
      <sheetName val="143_01"/>
      <sheetName val="147_01"/>
      <sheetName val="153_01"/>
      <sheetName val="165_01"/>
      <sheetName val="165_02"/>
      <sheetName val="165_03"/>
      <sheetName val="173_01"/>
      <sheetName val="173_02"/>
      <sheetName val="PN-4_1_2_01"/>
      <sheetName val="PN-4_1_2_03"/>
      <sheetName val="PN-4_1_2_04"/>
      <sheetName val="PN-4_1_2_05"/>
      <sheetName val="153_02"/>
      <sheetName val="153_03"/>
      <sheetName val="4_1_5_04"/>
      <sheetName val="4_1_5_06"/>
      <sheetName val="4_1_5_07"/>
      <sheetName val="4_1_5_08"/>
      <sheetName val="4_1_5_09"/>
      <sheetName val="4_1_5_11"/>
      <sheetName val="154_01"/>
      <sheetName val="154_02"/>
      <sheetName val="135_01"/>
      <sheetName val="135_02"/>
      <sheetName val="135_03"/>
      <sheetName val="135_04"/>
      <sheetName val="135_05"/>
      <sheetName val="166_01"/>
      <sheetName val="174_01"/>
      <sheetName val="174_02"/>
      <sheetName val="174_03"/>
      <sheetName val="PN-4_1_5_03"/>
      <sheetName val="PN-4_1_5_05"/>
      <sheetName val="PN-4_1_5_06"/>
      <sheetName val="PN-4_1_5_07"/>
      <sheetName val="PN-4_1_5_08"/>
      <sheetName val="PN-4_1_5_09"/>
      <sheetName val="PN-4_1_5_11"/>
      <sheetName val="PN-4_1_5_12"/>
      <sheetName val="174_04"/>
      <sheetName val="174_05"/>
      <sheetName val="174_06"/>
      <sheetName val="174_07"/>
      <sheetName val="PN-4_1_5_13"/>
      <sheetName val="4_1_6_02"/>
      <sheetName val="4_1_6_05"/>
      <sheetName val="4_1_6_07"/>
      <sheetName val="4_1_6_09"/>
      <sheetName val="4_1_6_10"/>
      <sheetName val="&lt;P_U_&gt;Estructura_Puente"/>
      <sheetName val="4_1_6_13"/>
      <sheetName val="4_1_6_17"/>
      <sheetName val="175_01"/>
      <sheetName val="175_02"/>
      <sheetName val="175_03"/>
      <sheetName val="175_04"/>
      <sheetName val="PN-4_1_6_03"/>
      <sheetName val="175_05"/>
      <sheetName val="144_01"/>
      <sheetName val="144_02"/>
      <sheetName val="144_03"/>
      <sheetName val="155_01"/>
      <sheetName val="155_02"/>
      <sheetName val="155_03"/>
      <sheetName val="PN-4_1_6_06"/>
      <sheetName val="PN-4_1_6_09@PN-4_1_6_11"/>
      <sheetName val="PN-4_1_6_14"/>
      <sheetName val="(Puente)-Juan_Tomas"/>
      <sheetName val="156_01"/>
      <sheetName val="156_02"/>
      <sheetName val="167_01"/>
      <sheetName val="176_01"/>
      <sheetName val="176_02"/>
      <sheetName val="176_03"/>
      <sheetName val="176_04"/>
      <sheetName val="176_05"/>
      <sheetName val="176_06"/>
      <sheetName val="176_07"/>
      <sheetName val="176_08"/>
      <sheetName val="176_09"/>
      <sheetName val="176_10"/>
      <sheetName val="176_11"/>
      <sheetName val="176_12"/>
      <sheetName val="PN-4_1_7_04"/>
      <sheetName val="PN-4_1_7_05"/>
      <sheetName val="PN-4_1_7_06"/>
      <sheetName val="PN-4_1_7_09"/>
      <sheetName val="PN-4_1_7_10"/>
      <sheetName val="PN-4_1_7_11"/>
      <sheetName val="PN-4_1_7_12"/>
      <sheetName val="PN-4_1_7_14"/>
      <sheetName val="PN-4_1_7_20"/>
      <sheetName val="PN-4_1_7_29"/>
      <sheetName val="4_2_1_05"/>
      <sheetName val="4_2_1_17"/>
      <sheetName val="4_2_1_10_"/>
      <sheetName val="4_2_1_11"/>
      <sheetName val="4_2_1_13"/>
      <sheetName val="115_01"/>
      <sheetName val="115_02"/>
      <sheetName val="115_03"/>
      <sheetName val="115_04"/>
      <sheetName val="115_05"/>
      <sheetName val="115_06"/>
      <sheetName val="115_07"/>
      <sheetName val="115_08"/>
      <sheetName val="124_01"/>
      <sheetName val="124_02"/>
      <sheetName val="124_03"/>
      <sheetName val="124_04"/>
      <sheetName val="124_05"/>
      <sheetName val="148_01"/>
      <sheetName val="148_02"/>
      <sheetName val="157_01"/>
      <sheetName val="157_02"/>
      <sheetName val="PN-4_2_1_03"/>
      <sheetName val="PN-4_2_1_05"/>
      <sheetName val="PN-4_2_1_08"/>
      <sheetName val="4_2_1_16"/>
      <sheetName val="4_2_1_21"/>
      <sheetName val="4_2_1_29"/>
      <sheetName val="4_2_1_30"/>
      <sheetName val="registros_punta"/>
      <sheetName val="(Distribuidor)-La_Victoria"/>
      <sheetName val="4_2_4_10"/>
      <sheetName val="4_2_4_04"/>
      <sheetName val="4_2_4_11"/>
      <sheetName val="4_2_4_15"/>
      <sheetName val="4_2_4_16"/>
      <sheetName val="4_2_4_13"/>
      <sheetName val="125_01"/>
      <sheetName val="125_02"/>
      <sheetName val="177_01"/>
      <sheetName val="177_02"/>
      <sheetName val="177_03"/>
      <sheetName val="177_04"/>
      <sheetName val="177_05"/>
      <sheetName val="177_06"/>
      <sheetName val="177_07"/>
      <sheetName val="158_01"/>
      <sheetName val="158_02"/>
      <sheetName val="158_03"/>
      <sheetName val="158_04"/>
      <sheetName val="158_05"/>
      <sheetName val="(Distribuidor)-Carre_Samaná"/>
      <sheetName val="4_2_5_01"/>
      <sheetName val="4_2_5_03"/>
      <sheetName val="4_2_5_11"/>
      <sheetName val="4_2_5_12"/>
      <sheetName val="4_2_5_13"/>
      <sheetName val="4_2_5_14"/>
      <sheetName val="178_01"/>
      <sheetName val="178_02"/>
      <sheetName val="178_03"/>
      <sheetName val="178_04"/>
      <sheetName val="178_05"/>
      <sheetName val="PN-4_2_5_04"/>
      <sheetName val="PN-4_2_5_08"/>
      <sheetName val="PN-4_2_5_12"/>
      <sheetName val="PN-4_2_5_15"/>
      <sheetName val="(Paso_Inferior)-La_Victoria"/>
      <sheetName val="4_3_2_10"/>
      <sheetName val="4_3_2_11"/>
      <sheetName val="4_3_2_12"/>
      <sheetName val="4_3_2_14"/>
      <sheetName val="4_3_2_15"/>
      <sheetName val="4_3_2_18"/>
      <sheetName val="4_3_2_21"/>
      <sheetName val="4_3_2_22"/>
      <sheetName val="(Paso_Inferior)-Mata_Mamón"/>
      <sheetName val="4_3_3_10"/>
      <sheetName val="4_3_3_11"/>
      <sheetName val="4_3_3_12"/>
      <sheetName val="4_3_3_14"/>
      <sheetName val="4_3_3_18"/>
      <sheetName val="4_3_3_21"/>
      <sheetName val="4_3_3_22"/>
      <sheetName val="(Paso_Inferior)-Yabacao"/>
      <sheetName val="136_01"/>
      <sheetName val="136_02"/>
      <sheetName val="136_03"/>
      <sheetName val="136_04"/>
      <sheetName val="149_01"/>
      <sheetName val="136_05"/>
      <sheetName val="(Puente)-Provisional_Ozama_"/>
      <sheetName val="117_01"/>
      <sheetName val="117_02"/>
      <sheetName val="117_03"/>
      <sheetName val="117_04"/>
      <sheetName val="(Paso_Inferior)_El_Aguacate"/>
      <sheetName val="(Paso_Inferior)-Los_Rojas"/>
      <sheetName val="159_01"/>
      <sheetName val="159_02"/>
      <sheetName val="159_03"/>
      <sheetName val="159_04"/>
      <sheetName val="168_01"/>
      <sheetName val="168_02"/>
      <sheetName val="168_03"/>
      <sheetName val="179_01"/>
      <sheetName val="PN-4_3_6_06"/>
      <sheetName val="(Paso_Inferior)-El_Aguacate"/>
      <sheetName val="169_01"/>
      <sheetName val="169_02"/>
      <sheetName val="Aguacate-_01"/>
      <sheetName val="169_03"/>
      <sheetName val="169_04"/>
      <sheetName val="180_01"/>
      <sheetName val="170_01"/>
      <sheetName val="170_02"/>
      <sheetName val="PN-4_3_5_03"/>
      <sheetName val="PN-4_3_5_04"/>
      <sheetName val="PN-4_3_5_05"/>
      <sheetName val="(Paso_Inferior)-Mal_Nombre"/>
      <sheetName val="170_03"/>
      <sheetName val="170_04"/>
      <sheetName val="181_01"/>
      <sheetName val="181_02"/>
      <sheetName val="117_05"/>
      <sheetName val="117_06"/>
      <sheetName val="126_01"/>
      <sheetName val="126_02"/>
      <sheetName val="137_01"/>
      <sheetName val="&lt;T-12&gt;Sop_Pedrap_Puente_Prov_"/>
      <sheetName val="PN-4_3_1_03"/>
      <sheetName val="PN-4_3_1_05"/>
      <sheetName val="PN-4_3_1_07"/>
      <sheetName val="&lt;T-9&gt;Sop_Pilotes"/>
      <sheetName val="&lt;T-10&gt;Sop_Acero_Puentes"/>
      <sheetName val="Misceláneos-Estr_"/>
      <sheetName val="182_01"/>
      <sheetName val="&lt;P_U_&gt;Acero_Refuerzo"/>
      <sheetName val="&lt;P_U_&gt;Pretensado_Cable_Acero"/>
      <sheetName val="Wick_Drains-Geopier"/>
      <sheetName val="109_01"/>
      <sheetName val="118_01"/>
      <sheetName val="118_02"/>
      <sheetName val="127_01"/>
      <sheetName val="171_01@171_03"/>
      <sheetName val="127_02"/>
      <sheetName val="127_03"/>
      <sheetName val="138_01"/>
      <sheetName val="&lt;T-13&gt;Drenes_Verticales"/>
      <sheetName val="&lt;T-16&gt;Pre-Perforación_Drenes"/>
      <sheetName val="&lt;T-17&gt;Columna_de_Grava"/>
      <sheetName val="&lt;T-18&gt;Columna_Grava_Terravanza"/>
      <sheetName val="4_4_02"/>
      <sheetName val="PN-4_4_01"/>
      <sheetName val="PN-4_4_02"/>
      <sheetName val="(5)-Estructura_de_Pavimento"/>
      <sheetName val="5_01"/>
      <sheetName val="5_02"/>
      <sheetName val="5_03@5_06"/>
      <sheetName val="5_07@5_10"/>
      <sheetName val="5_11"/>
      <sheetName val="5_12"/>
      <sheetName val="5_13"/>
      <sheetName val="5_14"/>
      <sheetName val="5_15"/>
      <sheetName val="&lt;T-2&gt;Acopio_Base_Planta_Indio"/>
      <sheetName val="&lt;P_U_&gt;Base_Estabilizada"/>
      <sheetName val="5_16@5_19"/>
      <sheetName val="160_01"/>
      <sheetName val="160_02"/>
      <sheetName val="183_01"/>
      <sheetName val="183_02"/>
      <sheetName val="PN-5_01"/>
      <sheetName val="PN-5_03"/>
      <sheetName val="PN-5_04"/>
      <sheetName val="PN-5_05"/>
      <sheetName val="&lt;T-19&gt;Sop_SubBase"/>
      <sheetName val="&lt;T-20&gt;Sop_Base"/>
      <sheetName val="&lt;T-21&gt;Sop_Asfalto"/>
      <sheetName val="6_2_01"/>
      <sheetName val="6_3_01"/>
      <sheetName val="6_3_02"/>
      <sheetName val="6_3_03"/>
      <sheetName val="6_3_04"/>
      <sheetName val="6_3_05"/>
      <sheetName val="6_3_19"/>
      <sheetName val="6_3_20"/>
      <sheetName val="6_3_21"/>
      <sheetName val="6_1_01_Contenes"/>
      <sheetName val="6_1_02_Bordillos"/>
      <sheetName val="6_1_03_Aceras_Hormigon_"/>
      <sheetName val="6_1_04Relleno_Acera"/>
      <sheetName val="Iluminacion_Vial"/>
      <sheetName val="(7)-Electrificación_e_ilum_"/>
      <sheetName val="7_01"/>
      <sheetName val="7_02"/>
      <sheetName val="107_01"/>
      <sheetName val="185_01"/>
      <sheetName val="&lt;T-11&gt;Sop_Militares"/>
      <sheetName val="(Reembolsables)-Interf_Electric"/>
      <sheetName val="186_01"/>
      <sheetName val="Pres__Interferencia_Electrica"/>
      <sheetName val="(110)-Puente_Provisional"/>
      <sheetName val="110_01"/>
      <sheetName val="x1-relleno_prueba"/>
      <sheetName val="&lt;x1&gt;Relleno_Prueba_Avenida"/>
      <sheetName val="&lt;Estatus_Proyecto&gt;"/>
      <sheetName val="EXC__QMC"/>
      <sheetName val="TRACT_MINA"/>
      <sheetName val="%_Ralenti_CF-C12_"/>
      <sheetName val="%_Ralenti_EXC_"/>
      <sheetName val="%_Ralenti_EXC__(2)"/>
      <sheetName val="REND_"/>
      <sheetName val="T__HORA"/>
      <sheetName val="Base_de_Dato"/>
      <sheetName val="Analisis_de_precios_SURFACE"/>
      <sheetName val="EyH"/>
      <sheetName val="MO"/>
      <sheetName val="BOQ desglose "/>
      <sheetName val="Análisis"/>
      <sheetName val="Ana"/>
      <sheetName val="insumo"/>
      <sheetName val="Mezcla"/>
      <sheetName val="exteriores"/>
      <sheetName val="Salarios"/>
      <sheetName val="MANT.TRANSITO"/>
      <sheetName val="Analisis de Costos"/>
      <sheetName val="Pu-Sanit."/>
      <sheetName val="Mat"/>
      <sheetName val="Trabajos Generales"/>
      <sheetName val="Incremento Precios"/>
      <sheetName val="PARTIDAS NUEVAS"/>
      <sheetName val="analisis"/>
      <sheetName val="Cubicación"/>
      <sheetName val="INS"/>
      <sheetName val="PRE"/>
      <sheetName val="Rendimientos OM"/>
      <sheetName val="Capilla"/>
      <sheetName val="PU-B-GS"/>
      <sheetName val="GONZALO"/>
      <sheetName val="Col.Amarre"/>
      <sheetName val="Escalera"/>
      <sheetName val="Muros"/>
      <sheetName val="analisis unitarios"/>
      <sheetName val="Cubicacion"/>
      <sheetName val="CUB-10181-3(Rescision)"/>
      <sheetName val="Sheet5"/>
      <sheetName val="caseta de planta"/>
      <sheetName val="Insumos materiales"/>
      <sheetName val="Costos Mano de Obra"/>
      <sheetName val="Ana. Horm mexc mort"/>
      <sheetName val="anal term"/>
      <sheetName val="Anal. horm."/>
      <sheetName val="PU-Elect."/>
      <sheetName val="UASD"/>
      <sheetName val="Jornal"/>
      <sheetName val="Pres. "/>
      <sheetName val="Sheet4"/>
      <sheetName val="V.Tierras A"/>
      <sheetName val="ANALISIS ENTREGABLE"/>
      <sheetName val="analisis1"/>
      <sheetName val="Ins 2"/>
      <sheetName val="ANALISIS_STO_DGO5"/>
      <sheetName val="PRES__BOCA_NUEVA5"/>
      <sheetName val="CONTRARO_SEÑALIZACIONES5"/>
      <sheetName val="EDIFICIO_COUNTERS3"/>
      <sheetName val="LISTADO_INSUMOS_DEL_20003"/>
      <sheetName val="Presup_3"/>
      <sheetName val="PRESUP__HOSPIT__VERON1"/>
      <sheetName val="Análisis_de_Precios2"/>
      <sheetName val="Resumen_Precio_Equipos2"/>
      <sheetName val="O_M__y_Salarios2"/>
      <sheetName val="Planilla_&lt;ENM#5&gt;1"/>
      <sheetName val="Resumen_Reducciones1"/>
      <sheetName val="Planilla___1"/>
      <sheetName val="Estudios_y_Diseños1"/>
      <sheetName val="&lt;T-0&gt;Sop_Estudios_y_Diseños1"/>
      <sheetName val="Otros_Indirectos1"/>
      <sheetName val="(1)-Trab_Gen1"/>
      <sheetName val="1_011"/>
      <sheetName val="1_021"/>
      <sheetName val="1_031"/>
      <sheetName val="1_041"/>
      <sheetName val="1_051"/>
      <sheetName val="(2)-Mov_Tierra1"/>
      <sheetName val="2_011"/>
      <sheetName val="2_021"/>
      <sheetName val="2_031"/>
      <sheetName val="&lt;T-1&gt;Sop_Alambradas1"/>
      <sheetName val="100_011"/>
      <sheetName val="2_061"/>
      <sheetName val="2_071"/>
      <sheetName val="2_091"/>
      <sheetName val="&lt;T-3&gt;Sop_Exc_Inservible_&amp;_NCla1"/>
      <sheetName val="2_101"/>
      <sheetName val="2_111"/>
      <sheetName val="2_12@2_14-116_031"/>
      <sheetName val="Rutas_Acarreo1"/>
      <sheetName val="2_151"/>
      <sheetName val="2_161"/>
      <sheetName val="2_171"/>
      <sheetName val="2_181"/>
      <sheetName val="&lt;T-4&gt;Sop_Relleno-(Previo)1"/>
      <sheetName val="&lt;T-4&gt;Sop_Relleno-(Acumulado)1"/>
      <sheetName val="ajustes_de_reporte_relleno1"/>
      <sheetName val="&lt;T-4&gt;Sop_Relleno-(Periodo)1"/>
      <sheetName val="&lt;T-5&gt;Sop_Pedraplén1"/>
      <sheetName val="2_191"/>
      <sheetName val="2_221"/>
      <sheetName val="PN-2_041"/>
      <sheetName val="&lt;T-7&gt;Sop_Perfilado&amp;Grama1"/>
      <sheetName val="2_241"/>
      <sheetName val="2_361"/>
      <sheetName val="Mejoramiento_Fundación1"/>
      <sheetName val="116_011"/>
      <sheetName val="116_021"/>
      <sheetName val="&lt;T-14&gt;Estabilización_Cal1"/>
      <sheetName val="&lt;T-15&gt;Estabilización_Cemento1"/>
      <sheetName val="PN-2_061"/>
      <sheetName val="128_011"/>
      <sheetName val="&lt;Presup&gt;Tubería_Yuca1"/>
      <sheetName val="139_011"/>
      <sheetName val="&lt;Presup&gt;Tub_Haras_Nacionales1"/>
      <sheetName val="184_011"/>
      <sheetName val="&lt;Presup&gt;Tubería_Mata_Gorda1"/>
      <sheetName val="184_021"/>
      <sheetName val="&lt;Presup&gt;Tubería_El_Aguacate1"/>
      <sheetName val="184_031"/>
      <sheetName val="&lt;Presup&gt;Tubería_La_Victoria1"/>
      <sheetName val="139_021"/>
      <sheetName val="&lt;Presup&gt;Tubería_Juan_Tomás1"/>
      <sheetName val="161_011"/>
      <sheetName val="&lt;Presup&gt;Tubería_Mal_Nombre1"/>
      <sheetName val="PN-2_011"/>
      <sheetName val="&lt;Presup&gt;Tubería_Varios_Trabajo1"/>
      <sheetName val="3_1_021"/>
      <sheetName val="3_1_031"/>
      <sheetName val="150_011"/>
      <sheetName val="150_021"/>
      <sheetName val="162_011"/>
      <sheetName val="Drenaje_Subterraneo1"/>
      <sheetName val="3_3_011"/>
      <sheetName val="3_3_021"/>
      <sheetName val="Alc_Cajón1"/>
      <sheetName val="100_021"/>
      <sheetName val="3_4_1_011"/>
      <sheetName val="3_4_1_021"/>
      <sheetName val="3_4_1_031"/>
      <sheetName val="3_4_1_041"/>
      <sheetName val="3_4_1_051"/>
      <sheetName val="3_4_1_061"/>
      <sheetName val="3_4_1_071"/>
      <sheetName val="3_4_1_081"/>
      <sheetName val="3_4_1_091"/>
      <sheetName val="3_4_1_101"/>
      <sheetName val="3_4_1_111"/>
      <sheetName val="3_4_1_121"/>
      <sheetName val="101_011"/>
      <sheetName val="3_4_1_161"/>
      <sheetName val="3_4_1_171"/>
      <sheetName val="Alc_Tubular1"/>
      <sheetName val="3_4_2_011"/>
      <sheetName val="3_4_2_031"/>
      <sheetName val="3_4_2_041"/>
      <sheetName val="3_4_2_061"/>
      <sheetName val="3_4_2_071"/>
      <sheetName val="3_4_2_081"/>
      <sheetName val="3_4_2_091"/>
      <sheetName val="3_4_2_101"/>
      <sheetName val="3_4_2_111"/>
      <sheetName val="3_4_2_121"/>
      <sheetName val="&lt;T-6&gt;Sop_Exc_Rell_Estr_Alcant_1"/>
      <sheetName val="119_011"/>
      <sheetName val="119_021"/>
      <sheetName val="119_031"/>
      <sheetName val="119_041"/>
      <sheetName val="119_051"/>
      <sheetName val="119_061"/>
      <sheetName val="119_071"/>
      <sheetName val="119_081"/>
      <sheetName val="119_091"/>
      <sheetName val="129_011"/>
      <sheetName val="&lt;T-8&gt;Sop_Acero_Alcantarillas1"/>
      <sheetName val="(Puente)-Mal_Nombre1"/>
      <sheetName val="4_1_1_011"/>
      <sheetName val="4_1_1_041"/>
      <sheetName val="4_1_1_061"/>
      <sheetName val="4_1_1_081"/>
      <sheetName val="104_011"/>
      <sheetName val="104_021"/>
      <sheetName val="4_1_1_91"/>
      <sheetName val="4_1_1_101"/>
      <sheetName val="4_1_1_111"/>
      <sheetName val="4_1_1_121"/>
      <sheetName val="4_1_1_141"/>
      <sheetName val="4_1_1_151"/>
      <sheetName val="4_1_1_161"/>
      <sheetName val="4_1_1_181"/>
      <sheetName val="4_1_1_211"/>
      <sheetName val="130_011"/>
      <sheetName val="4_1_1_221"/>
      <sheetName val="4_1_1_251"/>
      <sheetName val="4_1_1_261"/>
      <sheetName val="120_011"/>
      <sheetName val="104_031"/>
      <sheetName val="4_1_4_041"/>
      <sheetName val="102_011"/>
      <sheetName val="102_021"/>
      <sheetName val="102_031"/>
      <sheetName val="102_041"/>
      <sheetName val="102_051"/>
      <sheetName val="4_1_4_061"/>
      <sheetName val="4_1_4_081"/>
      <sheetName val="4_1_4_091"/>
      <sheetName val="4_1_4_111"/>
      <sheetName val="4_1_4_181"/>
      <sheetName val="4_1_4_251"/>
      <sheetName val="106_021"/>
      <sheetName val="113_011"/>
      <sheetName val="113_021"/>
      <sheetName val="113_031"/>
      <sheetName val="106_011"/>
      <sheetName val="121_011"/>
      <sheetName val="121_021"/>
      <sheetName val="131_011"/>
      <sheetName val="131_021"/>
      <sheetName val="140_011"/>
      <sheetName val="140_021"/>
      <sheetName val="145_011"/>
      <sheetName val="145_021"/>
      <sheetName val="145_031"/>
      <sheetName val="145_041"/>
      <sheetName val="145_051"/>
      <sheetName val="163_011"/>
      <sheetName val="(Puente)-Haras_Nacionales1"/>
      <sheetName val="PN-4_2_2_021"/>
      <sheetName val="151_011"/>
      <sheetName val="4_2_2_021"/>
      <sheetName val="4_2_2_031"/>
      <sheetName val="4_2_2_041"/>
      <sheetName val="4_2_2_101"/>
      <sheetName val="151_021"/>
      <sheetName val="4_2_2_111"/>
      <sheetName val="4_2_2_121"/>
      <sheetName val="4_2_2_131"/>
      <sheetName val="103_011"/>
      <sheetName val="103_021"/>
      <sheetName val="103_031"/>
      <sheetName val="103_041"/>
      <sheetName val="105_011"/>
      <sheetName val="105_021"/>
      <sheetName val="105_031"/>
      <sheetName val="4_2_2_15_1"/>
      <sheetName val="4_2_2_161"/>
      <sheetName val="4_2_2_171"/>
      <sheetName val="108_011"/>
      <sheetName val="108_021"/>
      <sheetName val="108_031"/>
      <sheetName val="111_011"/>
      <sheetName val="111_021"/>
      <sheetName val="111_031"/>
      <sheetName val="111_041"/>
      <sheetName val="114_011"/>
      <sheetName val="122_011"/>
      <sheetName val="141_011"/>
      <sheetName val="141_021"/>
      <sheetName val="141_031"/>
      <sheetName val="132_011"/>
      <sheetName val="132_021"/>
      <sheetName val="zapata_bordillo-haras1"/>
      <sheetName val="4_1_3_041"/>
      <sheetName val="4_1_3_061"/>
      <sheetName val="4_1_3_071"/>
      <sheetName val="4_1_3_081"/>
      <sheetName val="4_1_3_091"/>
      <sheetName val="112_011"/>
      <sheetName val="112_021"/>
      <sheetName val="112_031"/>
      <sheetName val="112_041"/>
      <sheetName val="112_051"/>
      <sheetName val="112_061"/>
      <sheetName val="112_071"/>
      <sheetName val="4_1_3_011"/>
      <sheetName val="4_1_3_181"/>
      <sheetName val="4_1_3_251"/>
      <sheetName val="123_011"/>
      <sheetName val="123_021"/>
      <sheetName val="123_031"/>
      <sheetName val="133_011"/>
      <sheetName val="142_011"/>
      <sheetName val="142_021"/>
      <sheetName val="146_011"/>
      <sheetName val="146_021"/>
      <sheetName val="146_031"/>
      <sheetName val="146_041"/>
      <sheetName val="152_011"/>
      <sheetName val="152_021"/>
      <sheetName val="164_011"/>
      <sheetName val="zapata_bordillo_losa_Yuca1"/>
      <sheetName val="172_011"/>
      <sheetName val="172_021"/>
      <sheetName val="172_031"/>
      <sheetName val="PN-4_1_3_011"/>
      <sheetName val="PN-4_1_3_021"/>
      <sheetName val="PN-4_1_3_031"/>
      <sheetName val="PN-4_1_3_041"/>
      <sheetName val="4_1_2_061"/>
      <sheetName val="4_1_2_071"/>
      <sheetName val="4_1_2_111"/>
      <sheetName val="4_1_2_181"/>
      <sheetName val="4_1_2_201"/>
      <sheetName val="4_1_2_081"/>
      <sheetName val="4_1_2_251"/>
      <sheetName val="134_011"/>
      <sheetName val="134_021"/>
      <sheetName val="134_031"/>
      <sheetName val="143_011"/>
      <sheetName val="147_011"/>
      <sheetName val="153_011"/>
      <sheetName val="165_011"/>
      <sheetName val="165_021"/>
      <sheetName val="165_031"/>
      <sheetName val="173_011"/>
      <sheetName val="173_021"/>
      <sheetName val="PN-4_1_2_011"/>
      <sheetName val="PN-4_1_2_031"/>
      <sheetName val="PN-4_1_2_041"/>
      <sheetName val="PN-4_1_2_051"/>
      <sheetName val="153_021"/>
      <sheetName val="153_031"/>
      <sheetName val="4_1_5_041"/>
      <sheetName val="4_1_5_061"/>
      <sheetName val="4_1_5_071"/>
      <sheetName val="4_1_5_081"/>
      <sheetName val="4_1_5_091"/>
      <sheetName val="4_1_5_111"/>
      <sheetName val="154_011"/>
      <sheetName val="154_021"/>
      <sheetName val="135_011"/>
      <sheetName val="135_021"/>
      <sheetName val="135_031"/>
      <sheetName val="135_041"/>
      <sheetName val="135_051"/>
      <sheetName val="166_011"/>
      <sheetName val="174_011"/>
      <sheetName val="174_021"/>
      <sheetName val="174_031"/>
      <sheetName val="PN-4_1_5_031"/>
      <sheetName val="PN-4_1_5_051"/>
      <sheetName val="PN-4_1_5_061"/>
      <sheetName val="PN-4_1_5_071"/>
      <sheetName val="PN-4_1_5_081"/>
      <sheetName val="PN-4_1_5_091"/>
      <sheetName val="PN-4_1_5_111"/>
      <sheetName val="PN-4_1_5_121"/>
      <sheetName val="174_041"/>
      <sheetName val="174_051"/>
      <sheetName val="174_061"/>
      <sheetName val="174_071"/>
      <sheetName val="PN-4_1_5_131"/>
      <sheetName val="4_1_6_021"/>
      <sheetName val="4_1_6_051"/>
      <sheetName val="4_1_6_071"/>
      <sheetName val="4_1_6_091"/>
      <sheetName val="4_1_6_101"/>
      <sheetName val="&lt;P_U_&gt;Estructura_Puente1"/>
      <sheetName val="4_1_6_131"/>
      <sheetName val="4_1_6_171"/>
      <sheetName val="175_011"/>
      <sheetName val="175_021"/>
      <sheetName val="175_031"/>
      <sheetName val="175_041"/>
      <sheetName val="PN-4_1_6_031"/>
      <sheetName val="175_051"/>
      <sheetName val="144_011"/>
      <sheetName val="144_021"/>
      <sheetName val="144_031"/>
      <sheetName val="155_011"/>
      <sheetName val="155_021"/>
      <sheetName val="155_031"/>
      <sheetName val="PN-4_1_6_061"/>
      <sheetName val="PN-4_1_6_09@PN-4_1_6_111"/>
      <sheetName val="PN-4_1_6_141"/>
      <sheetName val="(Puente)-Juan_Tomas1"/>
      <sheetName val="156_011"/>
      <sheetName val="156_021"/>
      <sheetName val="167_011"/>
      <sheetName val="176_011"/>
      <sheetName val="176_021"/>
      <sheetName val="176_031"/>
      <sheetName val="176_041"/>
      <sheetName val="176_051"/>
      <sheetName val="176_061"/>
      <sheetName val="176_071"/>
      <sheetName val="176_081"/>
      <sheetName val="176_091"/>
      <sheetName val="176_101"/>
      <sheetName val="176_111"/>
      <sheetName val="176_121"/>
      <sheetName val="PN-4_1_7_041"/>
      <sheetName val="PN-4_1_7_051"/>
      <sheetName val="PN-4_1_7_061"/>
      <sheetName val="PN-4_1_7_091"/>
      <sheetName val="PN-4_1_7_101"/>
      <sheetName val="PN-4_1_7_111"/>
      <sheetName val="PN-4_1_7_121"/>
      <sheetName val="PN-4_1_7_141"/>
      <sheetName val="PN-4_1_7_201"/>
      <sheetName val="PN-4_1_7_291"/>
      <sheetName val="4_2_1_051"/>
      <sheetName val="4_2_1_171"/>
      <sheetName val="4_2_1_10_1"/>
      <sheetName val="4_2_1_111"/>
      <sheetName val="4_2_1_131"/>
      <sheetName val="115_011"/>
      <sheetName val="115_021"/>
      <sheetName val="115_031"/>
      <sheetName val="115_041"/>
      <sheetName val="115_051"/>
      <sheetName val="115_061"/>
      <sheetName val="115_071"/>
      <sheetName val="115_081"/>
      <sheetName val="124_011"/>
      <sheetName val="124_021"/>
      <sheetName val="124_031"/>
      <sheetName val="124_041"/>
      <sheetName val="124_051"/>
      <sheetName val="148_011"/>
      <sheetName val="148_021"/>
      <sheetName val="157_011"/>
      <sheetName val="157_021"/>
      <sheetName val="PN-4_2_1_031"/>
      <sheetName val="PN-4_2_1_051"/>
      <sheetName val="PN-4_2_1_081"/>
      <sheetName val="4_2_1_161"/>
      <sheetName val="4_2_1_211"/>
      <sheetName val="4_2_1_291"/>
      <sheetName val="4_2_1_301"/>
      <sheetName val="registros_punta1"/>
      <sheetName val="(Distribuidor)-La_Victoria1"/>
      <sheetName val="4_2_4_101"/>
      <sheetName val="4_2_4_041"/>
      <sheetName val="4_2_4_111"/>
      <sheetName val="4_2_4_151"/>
      <sheetName val="4_2_4_161"/>
      <sheetName val="4_2_4_131"/>
      <sheetName val="125_011"/>
      <sheetName val="125_021"/>
      <sheetName val="177_011"/>
      <sheetName val="177_021"/>
      <sheetName val="177_031"/>
      <sheetName val="177_041"/>
      <sheetName val="177_051"/>
      <sheetName val="177_061"/>
      <sheetName val="177_071"/>
      <sheetName val="158_011"/>
      <sheetName val="158_021"/>
      <sheetName val="158_031"/>
      <sheetName val="158_041"/>
      <sheetName val="158_051"/>
      <sheetName val="(Distribuidor)-Carre_Samaná1"/>
      <sheetName val="4_2_5_011"/>
      <sheetName val="4_2_5_031"/>
      <sheetName val="4_2_5_111"/>
      <sheetName val="4_2_5_121"/>
      <sheetName val="4_2_5_131"/>
      <sheetName val="4_2_5_141"/>
      <sheetName val="178_011"/>
      <sheetName val="178_021"/>
      <sheetName val="178_031"/>
      <sheetName val="178_041"/>
      <sheetName val="178_051"/>
      <sheetName val="PN-4_2_5_041"/>
      <sheetName val="PN-4_2_5_081"/>
      <sheetName val="PN-4_2_5_121"/>
      <sheetName val="PN-4_2_5_151"/>
      <sheetName val="(Paso_Inferior)-La_Victoria1"/>
      <sheetName val="4_3_2_101"/>
      <sheetName val="4_3_2_111"/>
      <sheetName val="4_3_2_121"/>
      <sheetName val="4_3_2_141"/>
      <sheetName val="4_3_2_151"/>
      <sheetName val="4_3_2_181"/>
      <sheetName val="4_3_2_211"/>
      <sheetName val="4_3_2_221"/>
      <sheetName val="(Paso_Inferior)-Mata_Mamón1"/>
      <sheetName val="4_3_3_101"/>
      <sheetName val="4_3_3_111"/>
      <sheetName val="4_3_3_121"/>
      <sheetName val="4_3_3_141"/>
      <sheetName val="4_3_3_181"/>
      <sheetName val="4_3_3_211"/>
      <sheetName val="4_3_3_221"/>
      <sheetName val="(Paso_Inferior)-Yabacao1"/>
      <sheetName val="136_011"/>
      <sheetName val="136_021"/>
      <sheetName val="136_031"/>
      <sheetName val="136_041"/>
      <sheetName val="149_011"/>
      <sheetName val="136_051"/>
      <sheetName val="(Puente)-Provisional_Ozama_1"/>
      <sheetName val="117_011"/>
      <sheetName val="117_021"/>
      <sheetName val="117_031"/>
      <sheetName val="117_041"/>
      <sheetName val="(Paso_Inferior)_El_Aguacate1"/>
      <sheetName val="(Paso_Inferior)-Los_Rojas1"/>
      <sheetName val="159_011"/>
      <sheetName val="159_021"/>
      <sheetName val="159_031"/>
      <sheetName val="159_041"/>
      <sheetName val="168_011"/>
      <sheetName val="168_021"/>
      <sheetName val="168_031"/>
      <sheetName val="179_011"/>
      <sheetName val="PN-4_3_6_061"/>
      <sheetName val="(Paso_Inferior)-El_Aguacate1"/>
      <sheetName val="169_011"/>
      <sheetName val="169_021"/>
      <sheetName val="Aguacate-_011"/>
      <sheetName val="169_031"/>
      <sheetName val="169_041"/>
      <sheetName val="180_011"/>
      <sheetName val="170_011"/>
      <sheetName val="170_021"/>
      <sheetName val="PN-4_3_5_031"/>
      <sheetName val="PN-4_3_5_041"/>
      <sheetName val="PN-4_3_5_051"/>
      <sheetName val="(Paso_Inferior)-Mal_Nombre1"/>
      <sheetName val="170_031"/>
      <sheetName val="170_041"/>
      <sheetName val="181_011"/>
      <sheetName val="181_021"/>
      <sheetName val="117_051"/>
      <sheetName val="117_061"/>
      <sheetName val="126_011"/>
      <sheetName val="126_021"/>
      <sheetName val="137_011"/>
      <sheetName val="&lt;T-12&gt;Sop_Pedrap_Puente_Prov_1"/>
      <sheetName val="PN-4_3_1_031"/>
      <sheetName val="PN-4_3_1_051"/>
      <sheetName val="PN-4_3_1_071"/>
      <sheetName val="&lt;T-9&gt;Sop_Pilotes1"/>
      <sheetName val="&lt;T-10&gt;Sop_Acero_Puentes1"/>
      <sheetName val="Misceláneos-Estr_1"/>
      <sheetName val="182_011"/>
      <sheetName val="&lt;P_U_&gt;Acero_Refuerzo1"/>
      <sheetName val="&lt;P_U_&gt;Pretensado_Cable_Acero1"/>
      <sheetName val="Wick_Drains-Geopier1"/>
      <sheetName val="109_011"/>
      <sheetName val="118_011"/>
      <sheetName val="118_021"/>
      <sheetName val="127_011"/>
      <sheetName val="171_01@171_031"/>
      <sheetName val="127_021"/>
      <sheetName val="127_031"/>
      <sheetName val="138_011"/>
      <sheetName val="&lt;T-13&gt;Drenes_Verticales1"/>
      <sheetName val="&lt;T-16&gt;Pre-Perforación_Drenes1"/>
      <sheetName val="&lt;T-17&gt;Columna_de_Grava1"/>
      <sheetName val="&lt;T-18&gt;Columna_Grava_Terravanza1"/>
      <sheetName val="4_4_021"/>
      <sheetName val="PN-4_4_011"/>
      <sheetName val="PN-4_4_021"/>
      <sheetName val="(5)-Estructura_de_Pavimento1"/>
      <sheetName val="5_011"/>
      <sheetName val="5_021"/>
      <sheetName val="5_03@5_061"/>
      <sheetName val="5_07@5_101"/>
      <sheetName val="5_111"/>
      <sheetName val="5_121"/>
      <sheetName val="5_131"/>
      <sheetName val="5_141"/>
      <sheetName val="5_151"/>
      <sheetName val="&lt;T-2&gt;Acopio_Base_Planta_Indio1"/>
      <sheetName val="&lt;P_U_&gt;Base_Estabilizada1"/>
      <sheetName val="5_16@5_191"/>
      <sheetName val="160_011"/>
      <sheetName val="160_021"/>
      <sheetName val="183_011"/>
      <sheetName val="183_021"/>
      <sheetName val="PN-5_011"/>
      <sheetName val="PN-5_031"/>
      <sheetName val="PN-5_041"/>
      <sheetName val="PN-5_051"/>
      <sheetName val="&lt;T-19&gt;Sop_SubBase1"/>
      <sheetName val="&lt;T-20&gt;Sop_Base1"/>
      <sheetName val="&lt;T-21&gt;Sop_Asfalto1"/>
      <sheetName val="6_2_011"/>
      <sheetName val="6_3_011"/>
      <sheetName val="6_3_021"/>
      <sheetName val="6_3_031"/>
      <sheetName val="6_3_041"/>
      <sheetName val="6_3_051"/>
      <sheetName val="6_3_191"/>
      <sheetName val="6_3_201"/>
      <sheetName val="6_3_211"/>
      <sheetName val="6_1_01_Contenes1"/>
      <sheetName val="6_1_02_Bordillos1"/>
      <sheetName val="6_1_03_Aceras_Hormigon_1"/>
      <sheetName val="6_1_04Relleno_Acera1"/>
      <sheetName val="Iluminacion_Vial1"/>
      <sheetName val="(7)-Electrificación_e_ilum_1"/>
      <sheetName val="7_011"/>
      <sheetName val="7_021"/>
      <sheetName val="107_011"/>
      <sheetName val="185_011"/>
      <sheetName val="&lt;T-11&gt;Sop_Militares1"/>
      <sheetName val="(Reembolsables)-Interf_Electri1"/>
      <sheetName val="186_011"/>
      <sheetName val="Pres__Interferencia_Electrica1"/>
      <sheetName val="(110)-Puente_Provisional1"/>
      <sheetName val="110_011"/>
      <sheetName val="x1-relleno_prueba1"/>
      <sheetName val="&lt;x1&gt;Relleno_Prueba_Avenida1"/>
      <sheetName val="&lt;Estatus_Proyecto&gt;1"/>
      <sheetName val="EXC__QMC1"/>
      <sheetName val="TRACT_MINA1"/>
      <sheetName val="%_Ralenti_CF-C12_1"/>
      <sheetName val="%_Ralenti_EXC_1"/>
      <sheetName val="%_Ralenti_EXC__(2)1"/>
      <sheetName val="REND_1"/>
      <sheetName val="T__HORA1"/>
      <sheetName val="Base_de_Dato1"/>
      <sheetName val="Los_Ángeles_(Fase_II)"/>
      <sheetName val="MANO_DE_OBRA"/>
      <sheetName val="Analisis_de_precios_SURFACE1"/>
      <sheetName val="BOQ_desglose_"/>
      <sheetName val="MANT_TRANSITO"/>
      <sheetName val="Analisis_de_Costos"/>
      <sheetName val="Pu-Sanit_"/>
      <sheetName val="Trabajos_Generales"/>
      <sheetName val="Rendimientos_OM"/>
      <sheetName val="ANALISIS_STO_DGO6"/>
      <sheetName val="PRES__BOCA_NUEVA6"/>
      <sheetName val="CONTRARO_SEÑALIZACIONES6"/>
      <sheetName val="EDIFICIO_COUNTERS4"/>
      <sheetName val="LISTADO_INSUMOS_DEL_20004"/>
      <sheetName val="Presup_4"/>
      <sheetName val="PRESUP__HOSPIT__VERON2"/>
      <sheetName val="Análisis_de_Precios3"/>
      <sheetName val="Resumen_Precio_Equipos3"/>
      <sheetName val="O_M__y_Salarios3"/>
      <sheetName val="Planilla_&lt;ENM#5&gt;2"/>
      <sheetName val="Resumen_Reducciones2"/>
      <sheetName val="Planilla___2"/>
      <sheetName val="Estudios_y_Diseños2"/>
      <sheetName val="&lt;T-0&gt;Sop_Estudios_y_Diseños2"/>
      <sheetName val="Otros_Indirectos2"/>
      <sheetName val="(1)-Trab_Gen2"/>
      <sheetName val="1_012"/>
      <sheetName val="1_022"/>
      <sheetName val="1_032"/>
      <sheetName val="1_042"/>
      <sheetName val="1_052"/>
      <sheetName val="(2)-Mov_Tierra2"/>
      <sheetName val="2_012"/>
      <sheetName val="2_022"/>
      <sheetName val="2_032"/>
      <sheetName val="&lt;T-1&gt;Sop_Alambradas2"/>
      <sheetName val="100_012"/>
      <sheetName val="2_062"/>
      <sheetName val="2_072"/>
      <sheetName val="2_092"/>
      <sheetName val="&lt;T-3&gt;Sop_Exc_Inservible_&amp;_NCla2"/>
      <sheetName val="2_102"/>
      <sheetName val="2_112"/>
      <sheetName val="2_12@2_14-116_032"/>
      <sheetName val="Rutas_Acarreo2"/>
      <sheetName val="2_152"/>
      <sheetName val="2_162"/>
      <sheetName val="2_172"/>
      <sheetName val="2_182"/>
      <sheetName val="&lt;T-4&gt;Sop_Relleno-(Previo)2"/>
      <sheetName val="&lt;T-4&gt;Sop_Relleno-(Acumulado)2"/>
      <sheetName val="ajustes_de_reporte_relleno2"/>
      <sheetName val="&lt;T-4&gt;Sop_Relleno-(Periodo)2"/>
      <sheetName val="&lt;T-5&gt;Sop_Pedraplén2"/>
      <sheetName val="2_192"/>
      <sheetName val="2_222"/>
      <sheetName val="PN-2_042"/>
      <sheetName val="&lt;T-7&gt;Sop_Perfilado&amp;Grama2"/>
      <sheetName val="2_242"/>
      <sheetName val="2_362"/>
      <sheetName val="Mejoramiento_Fundación2"/>
      <sheetName val="116_012"/>
      <sheetName val="116_022"/>
      <sheetName val="&lt;T-14&gt;Estabilización_Cal2"/>
      <sheetName val="&lt;T-15&gt;Estabilización_Cemento2"/>
      <sheetName val="PN-2_062"/>
      <sheetName val="128_012"/>
      <sheetName val="&lt;Presup&gt;Tubería_Yuca2"/>
      <sheetName val="139_012"/>
      <sheetName val="&lt;Presup&gt;Tub_Haras_Nacionales2"/>
      <sheetName val="184_012"/>
      <sheetName val="&lt;Presup&gt;Tubería_Mata_Gorda2"/>
      <sheetName val="184_022"/>
      <sheetName val="&lt;Presup&gt;Tubería_El_Aguacate2"/>
      <sheetName val="184_032"/>
      <sheetName val="&lt;Presup&gt;Tubería_La_Victoria2"/>
      <sheetName val="139_022"/>
      <sheetName val="&lt;Presup&gt;Tubería_Juan_Tomás2"/>
      <sheetName val="161_012"/>
      <sheetName val="&lt;Presup&gt;Tubería_Mal_Nombre2"/>
      <sheetName val="PN-2_012"/>
      <sheetName val="&lt;Presup&gt;Tubería_Varios_Trabajo2"/>
      <sheetName val="3_1_022"/>
      <sheetName val="3_1_032"/>
      <sheetName val="150_012"/>
      <sheetName val="150_022"/>
      <sheetName val="162_012"/>
      <sheetName val="Drenaje_Subterraneo2"/>
      <sheetName val="3_3_012"/>
      <sheetName val="3_3_022"/>
      <sheetName val="Alc_Cajón2"/>
      <sheetName val="100_022"/>
      <sheetName val="3_4_1_012"/>
      <sheetName val="3_4_1_022"/>
      <sheetName val="3_4_1_032"/>
      <sheetName val="3_4_1_042"/>
      <sheetName val="3_4_1_052"/>
      <sheetName val="3_4_1_062"/>
      <sheetName val="3_4_1_072"/>
      <sheetName val="3_4_1_082"/>
      <sheetName val="3_4_1_092"/>
      <sheetName val="3_4_1_102"/>
      <sheetName val="3_4_1_112"/>
      <sheetName val="3_4_1_122"/>
      <sheetName val="101_012"/>
      <sheetName val="3_4_1_162"/>
      <sheetName val="3_4_1_172"/>
      <sheetName val="Alc_Tubular2"/>
      <sheetName val="3_4_2_012"/>
      <sheetName val="3_4_2_032"/>
      <sheetName val="3_4_2_042"/>
      <sheetName val="3_4_2_062"/>
      <sheetName val="3_4_2_072"/>
      <sheetName val="3_4_2_082"/>
      <sheetName val="3_4_2_092"/>
      <sheetName val="3_4_2_102"/>
      <sheetName val="3_4_2_112"/>
      <sheetName val="3_4_2_122"/>
      <sheetName val="&lt;T-6&gt;Sop_Exc_Rell_Estr_Alcant_2"/>
      <sheetName val="119_012"/>
      <sheetName val="119_022"/>
      <sheetName val="119_032"/>
      <sheetName val="119_042"/>
      <sheetName val="119_052"/>
      <sheetName val="119_062"/>
      <sheetName val="119_072"/>
      <sheetName val="119_082"/>
      <sheetName val="119_092"/>
      <sheetName val="129_012"/>
      <sheetName val="&lt;T-8&gt;Sop_Acero_Alcantarillas2"/>
      <sheetName val="(Puente)-Mal_Nombre2"/>
      <sheetName val="4_1_1_012"/>
      <sheetName val="4_1_1_042"/>
      <sheetName val="4_1_1_062"/>
      <sheetName val="4_1_1_082"/>
      <sheetName val="104_012"/>
      <sheetName val="104_022"/>
      <sheetName val="4_1_1_92"/>
      <sheetName val="4_1_1_102"/>
      <sheetName val="4_1_1_112"/>
      <sheetName val="4_1_1_122"/>
      <sheetName val="4_1_1_142"/>
      <sheetName val="4_1_1_152"/>
      <sheetName val="4_1_1_162"/>
      <sheetName val="4_1_1_182"/>
      <sheetName val="4_1_1_212"/>
      <sheetName val="130_012"/>
      <sheetName val="4_1_1_222"/>
      <sheetName val="4_1_1_252"/>
      <sheetName val="4_1_1_262"/>
      <sheetName val="120_012"/>
      <sheetName val="104_032"/>
      <sheetName val="4_1_4_042"/>
      <sheetName val="102_012"/>
      <sheetName val="102_022"/>
      <sheetName val="102_032"/>
      <sheetName val="102_042"/>
      <sheetName val="102_052"/>
      <sheetName val="4_1_4_062"/>
      <sheetName val="4_1_4_082"/>
      <sheetName val="4_1_4_092"/>
      <sheetName val="4_1_4_112"/>
      <sheetName val="4_1_4_182"/>
      <sheetName val="4_1_4_252"/>
      <sheetName val="106_022"/>
      <sheetName val="113_012"/>
      <sheetName val="113_022"/>
      <sheetName val="113_032"/>
      <sheetName val="106_012"/>
      <sheetName val="121_012"/>
      <sheetName val="121_022"/>
      <sheetName val="131_012"/>
      <sheetName val="131_022"/>
      <sheetName val="140_012"/>
      <sheetName val="140_022"/>
      <sheetName val="145_012"/>
      <sheetName val="145_022"/>
      <sheetName val="145_032"/>
      <sheetName val="145_042"/>
      <sheetName val="145_052"/>
      <sheetName val="163_012"/>
      <sheetName val="(Puente)-Haras_Nacionales2"/>
      <sheetName val="PN-4_2_2_022"/>
      <sheetName val="151_012"/>
      <sheetName val="4_2_2_022"/>
      <sheetName val="4_2_2_032"/>
      <sheetName val="4_2_2_042"/>
      <sheetName val="4_2_2_102"/>
      <sheetName val="151_022"/>
      <sheetName val="4_2_2_112"/>
      <sheetName val="4_2_2_122"/>
      <sheetName val="4_2_2_132"/>
      <sheetName val="103_012"/>
      <sheetName val="103_022"/>
      <sheetName val="103_032"/>
      <sheetName val="103_042"/>
      <sheetName val="105_012"/>
      <sheetName val="105_022"/>
      <sheetName val="105_032"/>
      <sheetName val="4_2_2_15_2"/>
      <sheetName val="4_2_2_162"/>
      <sheetName val="4_2_2_172"/>
      <sheetName val="108_012"/>
      <sheetName val="108_022"/>
      <sheetName val="108_032"/>
      <sheetName val="111_012"/>
      <sheetName val="111_022"/>
      <sheetName val="111_032"/>
      <sheetName val="111_042"/>
      <sheetName val="114_012"/>
      <sheetName val="122_012"/>
      <sheetName val="141_012"/>
      <sheetName val="141_022"/>
      <sheetName val="141_032"/>
      <sheetName val="132_012"/>
      <sheetName val="132_022"/>
      <sheetName val="zapata_bordillo-haras2"/>
      <sheetName val="4_1_3_042"/>
      <sheetName val="4_1_3_062"/>
      <sheetName val="4_1_3_072"/>
      <sheetName val="4_1_3_082"/>
      <sheetName val="4_1_3_092"/>
      <sheetName val="112_012"/>
      <sheetName val="112_022"/>
      <sheetName val="112_032"/>
      <sheetName val="112_042"/>
      <sheetName val="112_052"/>
      <sheetName val="112_062"/>
      <sheetName val="112_072"/>
      <sheetName val="4_1_3_012"/>
      <sheetName val="4_1_3_182"/>
      <sheetName val="4_1_3_252"/>
      <sheetName val="123_012"/>
      <sheetName val="123_022"/>
      <sheetName val="123_032"/>
      <sheetName val="133_012"/>
      <sheetName val="142_012"/>
      <sheetName val="142_022"/>
      <sheetName val="146_012"/>
      <sheetName val="146_022"/>
      <sheetName val="146_032"/>
      <sheetName val="146_042"/>
      <sheetName val="152_012"/>
      <sheetName val="152_022"/>
      <sheetName val="164_012"/>
      <sheetName val="zapata_bordillo_losa_Yuca2"/>
      <sheetName val="172_012"/>
      <sheetName val="172_022"/>
      <sheetName val="172_032"/>
      <sheetName val="PN-4_1_3_012"/>
      <sheetName val="PN-4_1_3_022"/>
      <sheetName val="PN-4_1_3_032"/>
      <sheetName val="PN-4_1_3_042"/>
      <sheetName val="4_1_2_062"/>
      <sheetName val="4_1_2_072"/>
      <sheetName val="4_1_2_112"/>
      <sheetName val="4_1_2_182"/>
      <sheetName val="4_1_2_202"/>
      <sheetName val="4_1_2_082"/>
      <sheetName val="4_1_2_252"/>
      <sheetName val="134_012"/>
      <sheetName val="134_022"/>
      <sheetName val="134_032"/>
      <sheetName val="143_012"/>
      <sheetName val="147_012"/>
      <sheetName val="153_012"/>
      <sheetName val="165_012"/>
      <sheetName val="165_022"/>
      <sheetName val="165_032"/>
      <sheetName val="173_012"/>
      <sheetName val="173_022"/>
      <sheetName val="PN-4_1_2_012"/>
      <sheetName val="PN-4_1_2_032"/>
      <sheetName val="PN-4_1_2_042"/>
      <sheetName val="PN-4_1_2_052"/>
      <sheetName val="153_022"/>
      <sheetName val="153_032"/>
      <sheetName val="4_1_5_042"/>
      <sheetName val="4_1_5_062"/>
      <sheetName val="4_1_5_072"/>
      <sheetName val="4_1_5_082"/>
      <sheetName val="4_1_5_092"/>
      <sheetName val="4_1_5_112"/>
      <sheetName val="154_012"/>
      <sheetName val="154_022"/>
      <sheetName val="135_012"/>
      <sheetName val="135_022"/>
      <sheetName val="135_032"/>
      <sheetName val="135_042"/>
      <sheetName val="135_052"/>
      <sheetName val="166_012"/>
      <sheetName val="174_012"/>
      <sheetName val="174_022"/>
      <sheetName val="174_032"/>
      <sheetName val="PN-4_1_5_032"/>
      <sheetName val="PN-4_1_5_052"/>
      <sheetName val="PN-4_1_5_062"/>
      <sheetName val="PN-4_1_5_072"/>
      <sheetName val="PN-4_1_5_082"/>
      <sheetName val="PN-4_1_5_092"/>
      <sheetName val="PN-4_1_5_112"/>
      <sheetName val="PN-4_1_5_122"/>
      <sheetName val="174_042"/>
      <sheetName val="174_052"/>
      <sheetName val="174_062"/>
      <sheetName val="174_072"/>
      <sheetName val="PN-4_1_5_132"/>
      <sheetName val="4_1_6_022"/>
      <sheetName val="4_1_6_052"/>
      <sheetName val="4_1_6_072"/>
      <sheetName val="4_1_6_092"/>
      <sheetName val="4_1_6_102"/>
      <sheetName val="&lt;P_U_&gt;Estructura_Puente2"/>
      <sheetName val="4_1_6_132"/>
      <sheetName val="4_1_6_172"/>
      <sheetName val="175_012"/>
      <sheetName val="175_022"/>
      <sheetName val="175_032"/>
      <sheetName val="175_042"/>
      <sheetName val="PN-4_1_6_032"/>
      <sheetName val="175_052"/>
      <sheetName val="144_012"/>
      <sheetName val="144_022"/>
      <sheetName val="144_032"/>
      <sheetName val="155_012"/>
      <sheetName val="155_022"/>
      <sheetName val="155_032"/>
      <sheetName val="PN-4_1_6_062"/>
      <sheetName val="PN-4_1_6_09@PN-4_1_6_112"/>
      <sheetName val="PN-4_1_6_142"/>
      <sheetName val="(Puente)-Juan_Tomas2"/>
      <sheetName val="156_012"/>
      <sheetName val="156_022"/>
      <sheetName val="167_012"/>
      <sheetName val="176_012"/>
      <sheetName val="176_022"/>
      <sheetName val="176_032"/>
      <sheetName val="176_042"/>
      <sheetName val="176_052"/>
      <sheetName val="176_062"/>
      <sheetName val="176_072"/>
      <sheetName val="176_082"/>
      <sheetName val="176_092"/>
      <sheetName val="176_102"/>
      <sheetName val="176_112"/>
      <sheetName val="176_122"/>
      <sheetName val="PN-4_1_7_042"/>
      <sheetName val="PN-4_1_7_052"/>
      <sheetName val="PN-4_1_7_062"/>
      <sheetName val="PN-4_1_7_092"/>
      <sheetName val="PN-4_1_7_102"/>
      <sheetName val="PN-4_1_7_112"/>
      <sheetName val="PN-4_1_7_122"/>
      <sheetName val="PN-4_1_7_142"/>
      <sheetName val="PN-4_1_7_202"/>
      <sheetName val="PN-4_1_7_292"/>
      <sheetName val="4_2_1_052"/>
      <sheetName val="4_2_1_172"/>
      <sheetName val="4_2_1_10_2"/>
      <sheetName val="4_2_1_112"/>
      <sheetName val="4_2_1_132"/>
      <sheetName val="115_012"/>
      <sheetName val="115_022"/>
      <sheetName val="115_032"/>
      <sheetName val="115_042"/>
      <sheetName val="115_052"/>
      <sheetName val="115_062"/>
      <sheetName val="115_072"/>
      <sheetName val="115_082"/>
      <sheetName val="124_012"/>
      <sheetName val="124_022"/>
      <sheetName val="124_032"/>
      <sheetName val="124_042"/>
      <sheetName val="124_052"/>
      <sheetName val="148_012"/>
      <sheetName val="148_022"/>
      <sheetName val="157_012"/>
      <sheetName val="157_022"/>
      <sheetName val="PN-4_2_1_032"/>
      <sheetName val="PN-4_2_1_052"/>
      <sheetName val="PN-4_2_1_082"/>
      <sheetName val="4_2_1_162"/>
      <sheetName val="4_2_1_212"/>
      <sheetName val="4_2_1_292"/>
      <sheetName val="4_2_1_302"/>
      <sheetName val="registros_punta2"/>
      <sheetName val="(Distribuidor)-La_Victoria2"/>
      <sheetName val="4_2_4_102"/>
      <sheetName val="4_2_4_042"/>
      <sheetName val="4_2_4_112"/>
      <sheetName val="4_2_4_152"/>
      <sheetName val="4_2_4_162"/>
      <sheetName val="4_2_4_132"/>
      <sheetName val="125_012"/>
      <sheetName val="125_022"/>
      <sheetName val="177_012"/>
      <sheetName val="177_022"/>
      <sheetName val="177_032"/>
      <sheetName val="177_042"/>
      <sheetName val="177_052"/>
      <sheetName val="177_062"/>
      <sheetName val="177_072"/>
      <sheetName val="158_012"/>
      <sheetName val="158_022"/>
      <sheetName val="158_032"/>
      <sheetName val="158_042"/>
      <sheetName val="158_052"/>
      <sheetName val="(Distribuidor)-Carre_Samaná2"/>
      <sheetName val="4_2_5_012"/>
      <sheetName val="4_2_5_032"/>
      <sheetName val="4_2_5_112"/>
      <sheetName val="4_2_5_122"/>
      <sheetName val="4_2_5_132"/>
      <sheetName val="4_2_5_142"/>
      <sheetName val="178_012"/>
      <sheetName val="178_022"/>
      <sheetName val="178_032"/>
      <sheetName val="178_042"/>
      <sheetName val="178_052"/>
      <sheetName val="PN-4_2_5_042"/>
      <sheetName val="PN-4_2_5_082"/>
      <sheetName val="PN-4_2_5_122"/>
      <sheetName val="PN-4_2_5_152"/>
      <sheetName val="(Paso_Inferior)-La_Victoria2"/>
      <sheetName val="4_3_2_102"/>
      <sheetName val="4_3_2_112"/>
      <sheetName val="4_3_2_122"/>
      <sheetName val="4_3_2_142"/>
      <sheetName val="4_3_2_152"/>
      <sheetName val="4_3_2_182"/>
      <sheetName val="4_3_2_212"/>
      <sheetName val="4_3_2_222"/>
      <sheetName val="(Paso_Inferior)-Mata_Mamón2"/>
      <sheetName val="4_3_3_102"/>
      <sheetName val="4_3_3_112"/>
      <sheetName val="4_3_3_122"/>
      <sheetName val="4_3_3_142"/>
      <sheetName val="4_3_3_182"/>
      <sheetName val="4_3_3_212"/>
      <sheetName val="4_3_3_222"/>
      <sheetName val="(Paso_Inferior)-Yabacao2"/>
      <sheetName val="136_012"/>
      <sheetName val="136_022"/>
      <sheetName val="136_032"/>
      <sheetName val="136_042"/>
      <sheetName val="149_012"/>
      <sheetName val="136_052"/>
      <sheetName val="(Puente)-Provisional_Ozama_2"/>
      <sheetName val="117_012"/>
      <sheetName val="117_022"/>
      <sheetName val="117_032"/>
      <sheetName val="117_042"/>
      <sheetName val="(Paso_Inferior)_El_Aguacate2"/>
      <sheetName val="(Paso_Inferior)-Los_Rojas2"/>
      <sheetName val="159_012"/>
      <sheetName val="159_022"/>
      <sheetName val="159_032"/>
      <sheetName val="159_042"/>
      <sheetName val="168_012"/>
      <sheetName val="168_022"/>
      <sheetName val="168_032"/>
      <sheetName val="179_012"/>
      <sheetName val="PN-4_3_6_062"/>
      <sheetName val="(Paso_Inferior)-El_Aguacate2"/>
      <sheetName val="169_012"/>
      <sheetName val="169_022"/>
      <sheetName val="Aguacate-_012"/>
      <sheetName val="169_032"/>
      <sheetName val="169_042"/>
      <sheetName val="180_012"/>
      <sheetName val="170_012"/>
      <sheetName val="170_022"/>
      <sheetName val="PN-4_3_5_032"/>
      <sheetName val="PN-4_3_5_042"/>
      <sheetName val="PN-4_3_5_052"/>
      <sheetName val="(Paso_Inferior)-Mal_Nombre2"/>
      <sheetName val="170_032"/>
      <sheetName val="170_042"/>
      <sheetName val="181_012"/>
      <sheetName val="181_022"/>
      <sheetName val="117_052"/>
      <sheetName val="117_062"/>
      <sheetName val="126_012"/>
      <sheetName val="126_022"/>
      <sheetName val="137_012"/>
      <sheetName val="&lt;T-12&gt;Sop_Pedrap_Puente_Prov_2"/>
      <sheetName val="PN-4_3_1_032"/>
      <sheetName val="PN-4_3_1_052"/>
      <sheetName val="PN-4_3_1_072"/>
      <sheetName val="&lt;T-9&gt;Sop_Pilotes2"/>
      <sheetName val="&lt;T-10&gt;Sop_Acero_Puentes2"/>
      <sheetName val="Misceláneos-Estr_2"/>
      <sheetName val="182_012"/>
      <sheetName val="&lt;P_U_&gt;Acero_Refuerzo2"/>
      <sheetName val="&lt;P_U_&gt;Pretensado_Cable_Acero2"/>
      <sheetName val="Wick_Drains-Geopier2"/>
      <sheetName val="109_012"/>
      <sheetName val="118_012"/>
      <sheetName val="118_022"/>
      <sheetName val="127_012"/>
      <sheetName val="171_01@171_032"/>
      <sheetName val="127_022"/>
      <sheetName val="127_032"/>
      <sheetName val="138_012"/>
      <sheetName val="&lt;T-13&gt;Drenes_Verticales2"/>
      <sheetName val="&lt;T-16&gt;Pre-Perforación_Drenes2"/>
      <sheetName val="&lt;T-17&gt;Columna_de_Grava2"/>
      <sheetName val="&lt;T-18&gt;Columna_Grava_Terravanza2"/>
      <sheetName val="4_4_022"/>
      <sheetName val="PN-4_4_012"/>
      <sheetName val="PN-4_4_022"/>
      <sheetName val="(5)-Estructura_de_Pavimento2"/>
      <sheetName val="5_012"/>
      <sheetName val="5_022"/>
      <sheetName val="5_03@5_062"/>
      <sheetName val="5_07@5_102"/>
      <sheetName val="5_112"/>
      <sheetName val="5_122"/>
      <sheetName val="5_132"/>
      <sheetName val="5_142"/>
      <sheetName val="5_152"/>
      <sheetName val="&lt;T-2&gt;Acopio_Base_Planta_Indio2"/>
      <sheetName val="&lt;P_U_&gt;Base_Estabilizada2"/>
      <sheetName val="5_16@5_192"/>
      <sheetName val="160_012"/>
      <sheetName val="160_022"/>
      <sheetName val="183_012"/>
      <sheetName val="183_022"/>
      <sheetName val="PN-5_012"/>
      <sheetName val="PN-5_032"/>
      <sheetName val="PN-5_042"/>
      <sheetName val="PN-5_052"/>
      <sheetName val="&lt;T-19&gt;Sop_SubBase2"/>
      <sheetName val="&lt;T-20&gt;Sop_Base2"/>
      <sheetName val="&lt;T-21&gt;Sop_Asfalto2"/>
      <sheetName val="6_2_012"/>
      <sheetName val="6_3_012"/>
      <sheetName val="6_3_022"/>
      <sheetName val="6_3_032"/>
      <sheetName val="6_3_042"/>
      <sheetName val="6_3_052"/>
      <sheetName val="6_3_192"/>
      <sheetName val="6_3_202"/>
      <sheetName val="6_3_212"/>
      <sheetName val="6_1_01_Contenes2"/>
      <sheetName val="6_1_02_Bordillos2"/>
      <sheetName val="6_1_03_Aceras_Hormigon_2"/>
      <sheetName val="6_1_04Relleno_Acera2"/>
      <sheetName val="Iluminacion_Vial2"/>
      <sheetName val="(7)-Electrificación_e_ilum_2"/>
      <sheetName val="7_012"/>
      <sheetName val="7_022"/>
      <sheetName val="107_012"/>
      <sheetName val="185_012"/>
      <sheetName val="&lt;T-11&gt;Sop_Militares2"/>
      <sheetName val="(Reembolsables)-Interf_Electri2"/>
      <sheetName val="186_012"/>
      <sheetName val="Pres__Interferencia_Electrica2"/>
      <sheetName val="(110)-Puente_Provisional2"/>
      <sheetName val="110_012"/>
      <sheetName val="x1-relleno_prueba2"/>
      <sheetName val="&lt;x1&gt;Relleno_Prueba_Avenida2"/>
      <sheetName val="&lt;Estatus_Proyecto&gt;2"/>
      <sheetName val="EXC__QMC2"/>
      <sheetName val="TRACT_MINA2"/>
      <sheetName val="%_Ralenti_CF-C12_2"/>
      <sheetName val="%_Ralenti_EXC_2"/>
      <sheetName val="%_Ralenti_EXC__(2)2"/>
      <sheetName val="REND_2"/>
      <sheetName val="T__HORA2"/>
      <sheetName val="Base_de_Dato2"/>
      <sheetName val="Los_Ángeles_(Fase_II)1"/>
      <sheetName val="MANO_DE_OBRA1"/>
      <sheetName val="Analisis_de_precios_SURFACE2"/>
      <sheetName val="BOQ_desglose_1"/>
      <sheetName val="MANT_TRANSITO1"/>
      <sheetName val="Analisis_de_Costos1"/>
      <sheetName val="Pu-Sanit_1"/>
      <sheetName val="Trabajos_Generales1"/>
      <sheetName val="Rendimientos_OM1"/>
      <sheetName val="Incremento_Precios"/>
      <sheetName val="PARTIDAS_NUEVAS"/>
      <sheetName val="Insumos_materiales"/>
      <sheetName val="Costos_Mano_de_Obra"/>
      <sheetName val="Ana__Horm_mexc_mort"/>
      <sheetName val="anal_term"/>
      <sheetName val="Anal__horm_"/>
      <sheetName val="PU-Elect_"/>
      <sheetName val="Pres__"/>
      <sheetName val="V_Tierras_A"/>
      <sheetName val="ANALISIS_ENTREGABLE"/>
      <sheetName val="Ins_2"/>
      <sheetName val="ANALISIS_STO_DGO7"/>
      <sheetName val="PRES__BOCA_NUEVA7"/>
      <sheetName val="CONTRARO_SEÑALIZACIONES7"/>
      <sheetName val="EDIFICIO_COUNTERS5"/>
      <sheetName val="LISTADO_INSUMOS_DEL_20005"/>
      <sheetName val="Presup_5"/>
      <sheetName val="PRESUP__HOSPIT__VERON3"/>
      <sheetName val="Análisis_de_Precios4"/>
      <sheetName val="Resumen_Precio_Equipos4"/>
      <sheetName val="O_M__y_Salarios4"/>
      <sheetName val="Planilla_&lt;ENM#5&gt;3"/>
      <sheetName val="Resumen_Reducciones3"/>
      <sheetName val="Planilla___3"/>
      <sheetName val="Estudios_y_Diseños3"/>
      <sheetName val="&lt;T-0&gt;Sop_Estudios_y_Diseños3"/>
      <sheetName val="Otros_Indirectos3"/>
      <sheetName val="(1)-Trab_Gen3"/>
      <sheetName val="1_013"/>
      <sheetName val="1_023"/>
      <sheetName val="1_033"/>
      <sheetName val="1_043"/>
      <sheetName val="1_053"/>
      <sheetName val="(2)-Mov_Tierra3"/>
      <sheetName val="2_013"/>
      <sheetName val="2_023"/>
      <sheetName val="2_033"/>
      <sheetName val="&lt;T-1&gt;Sop_Alambradas3"/>
      <sheetName val="100_013"/>
      <sheetName val="2_063"/>
      <sheetName val="2_073"/>
      <sheetName val="2_093"/>
      <sheetName val="&lt;T-3&gt;Sop_Exc_Inservible_&amp;_NCla3"/>
      <sheetName val="2_103"/>
      <sheetName val="2_113"/>
      <sheetName val="2_12@2_14-116_033"/>
      <sheetName val="Rutas_Acarreo3"/>
      <sheetName val="2_153"/>
      <sheetName val="2_163"/>
      <sheetName val="2_173"/>
      <sheetName val="2_183"/>
      <sheetName val="&lt;T-4&gt;Sop_Relleno-(Previo)3"/>
      <sheetName val="&lt;T-4&gt;Sop_Relleno-(Acumulado)3"/>
      <sheetName val="ajustes_de_reporte_relleno3"/>
      <sheetName val="&lt;T-4&gt;Sop_Relleno-(Periodo)3"/>
      <sheetName val="&lt;T-5&gt;Sop_Pedraplén3"/>
      <sheetName val="2_193"/>
      <sheetName val="2_223"/>
      <sheetName val="PN-2_043"/>
      <sheetName val="&lt;T-7&gt;Sop_Perfilado&amp;Grama3"/>
      <sheetName val="2_243"/>
      <sheetName val="2_363"/>
      <sheetName val="Mejoramiento_Fundación3"/>
      <sheetName val="116_013"/>
      <sheetName val="116_023"/>
      <sheetName val="&lt;T-14&gt;Estabilización_Cal3"/>
      <sheetName val="&lt;T-15&gt;Estabilización_Cemento3"/>
      <sheetName val="PN-2_063"/>
      <sheetName val="128_013"/>
      <sheetName val="&lt;Presup&gt;Tubería_Yuca3"/>
      <sheetName val="139_013"/>
      <sheetName val="&lt;Presup&gt;Tub_Haras_Nacionales3"/>
      <sheetName val="184_013"/>
      <sheetName val="&lt;Presup&gt;Tubería_Mata_Gorda3"/>
      <sheetName val="184_023"/>
      <sheetName val="&lt;Presup&gt;Tubería_El_Aguacate3"/>
      <sheetName val="184_033"/>
      <sheetName val="&lt;Presup&gt;Tubería_La_Victoria3"/>
      <sheetName val="139_023"/>
      <sheetName val="&lt;Presup&gt;Tubería_Juan_Tomás3"/>
      <sheetName val="161_013"/>
      <sheetName val="&lt;Presup&gt;Tubería_Mal_Nombre3"/>
      <sheetName val="PN-2_013"/>
      <sheetName val="&lt;Presup&gt;Tubería_Varios_Trabajo3"/>
      <sheetName val="3_1_023"/>
      <sheetName val="3_1_033"/>
      <sheetName val="150_013"/>
      <sheetName val="150_023"/>
      <sheetName val="162_013"/>
      <sheetName val="Drenaje_Subterraneo3"/>
      <sheetName val="3_3_013"/>
      <sheetName val="3_3_023"/>
      <sheetName val="Alc_Cajón3"/>
      <sheetName val="100_023"/>
      <sheetName val="3_4_1_013"/>
      <sheetName val="3_4_1_023"/>
      <sheetName val="3_4_1_033"/>
      <sheetName val="3_4_1_043"/>
      <sheetName val="3_4_1_053"/>
      <sheetName val="3_4_1_063"/>
      <sheetName val="3_4_1_073"/>
      <sheetName val="3_4_1_083"/>
      <sheetName val="3_4_1_093"/>
      <sheetName val="3_4_1_103"/>
      <sheetName val="3_4_1_113"/>
      <sheetName val="3_4_1_123"/>
      <sheetName val="101_013"/>
      <sheetName val="3_4_1_163"/>
      <sheetName val="3_4_1_173"/>
      <sheetName val="Alc_Tubular3"/>
      <sheetName val="3_4_2_013"/>
      <sheetName val="3_4_2_033"/>
      <sheetName val="3_4_2_043"/>
      <sheetName val="3_4_2_063"/>
      <sheetName val="3_4_2_073"/>
      <sheetName val="3_4_2_083"/>
      <sheetName val="3_4_2_093"/>
      <sheetName val="3_4_2_103"/>
      <sheetName val="3_4_2_113"/>
      <sheetName val="3_4_2_123"/>
      <sheetName val="&lt;T-6&gt;Sop_Exc_Rell_Estr_Alcant_3"/>
      <sheetName val="119_013"/>
      <sheetName val="119_023"/>
      <sheetName val="119_033"/>
      <sheetName val="119_043"/>
      <sheetName val="119_053"/>
      <sheetName val="119_063"/>
      <sheetName val="119_073"/>
      <sheetName val="119_083"/>
      <sheetName val="119_093"/>
      <sheetName val="129_013"/>
      <sheetName val="&lt;T-8&gt;Sop_Acero_Alcantarillas3"/>
      <sheetName val="(Puente)-Mal_Nombre3"/>
      <sheetName val="4_1_1_013"/>
      <sheetName val="4_1_1_043"/>
      <sheetName val="4_1_1_063"/>
      <sheetName val="4_1_1_083"/>
      <sheetName val="104_013"/>
      <sheetName val="104_023"/>
      <sheetName val="4_1_1_93"/>
      <sheetName val="4_1_1_103"/>
      <sheetName val="4_1_1_113"/>
      <sheetName val="4_1_1_123"/>
      <sheetName val="4_1_1_143"/>
      <sheetName val="4_1_1_153"/>
      <sheetName val="4_1_1_163"/>
      <sheetName val="4_1_1_183"/>
      <sheetName val="4_1_1_213"/>
      <sheetName val="130_013"/>
      <sheetName val="4_1_1_223"/>
      <sheetName val="4_1_1_253"/>
      <sheetName val="4_1_1_263"/>
      <sheetName val="120_013"/>
      <sheetName val="104_033"/>
      <sheetName val="4_1_4_043"/>
      <sheetName val="102_013"/>
      <sheetName val="102_023"/>
      <sheetName val="102_033"/>
      <sheetName val="102_043"/>
      <sheetName val="102_053"/>
      <sheetName val="4_1_4_063"/>
      <sheetName val="4_1_4_083"/>
      <sheetName val="4_1_4_093"/>
      <sheetName val="4_1_4_113"/>
      <sheetName val="4_1_4_183"/>
      <sheetName val="4_1_4_253"/>
      <sheetName val="106_023"/>
      <sheetName val="113_013"/>
      <sheetName val="113_023"/>
      <sheetName val="113_033"/>
      <sheetName val="106_013"/>
      <sheetName val="121_013"/>
      <sheetName val="121_023"/>
      <sheetName val="131_013"/>
      <sheetName val="131_023"/>
      <sheetName val="140_013"/>
      <sheetName val="140_023"/>
      <sheetName val="145_013"/>
      <sheetName val="145_023"/>
      <sheetName val="145_033"/>
      <sheetName val="145_043"/>
      <sheetName val="145_053"/>
      <sheetName val="163_013"/>
      <sheetName val="(Puente)-Haras_Nacionales3"/>
      <sheetName val="PN-4_2_2_023"/>
      <sheetName val="151_013"/>
      <sheetName val="4_2_2_023"/>
      <sheetName val="4_2_2_033"/>
      <sheetName val="4_2_2_043"/>
      <sheetName val="4_2_2_103"/>
      <sheetName val="151_023"/>
      <sheetName val="4_2_2_113"/>
      <sheetName val="4_2_2_123"/>
      <sheetName val="4_2_2_133"/>
      <sheetName val="103_013"/>
      <sheetName val="103_023"/>
      <sheetName val="103_033"/>
      <sheetName val="103_043"/>
      <sheetName val="105_013"/>
      <sheetName val="105_023"/>
      <sheetName val="105_033"/>
      <sheetName val="4_2_2_15_3"/>
      <sheetName val="4_2_2_163"/>
      <sheetName val="4_2_2_173"/>
      <sheetName val="108_013"/>
      <sheetName val="108_023"/>
      <sheetName val="108_033"/>
      <sheetName val="111_013"/>
      <sheetName val="111_023"/>
      <sheetName val="111_033"/>
      <sheetName val="111_043"/>
      <sheetName val="114_013"/>
      <sheetName val="122_013"/>
      <sheetName val="141_013"/>
      <sheetName val="141_023"/>
      <sheetName val="141_033"/>
      <sheetName val="132_013"/>
      <sheetName val="132_023"/>
      <sheetName val="zapata_bordillo-haras3"/>
      <sheetName val="4_1_3_043"/>
      <sheetName val="4_1_3_063"/>
      <sheetName val="4_1_3_073"/>
      <sheetName val="4_1_3_083"/>
      <sheetName val="4_1_3_093"/>
      <sheetName val="112_013"/>
      <sheetName val="112_023"/>
      <sheetName val="112_033"/>
      <sheetName val="112_043"/>
      <sheetName val="112_053"/>
      <sheetName val="112_063"/>
      <sheetName val="112_073"/>
      <sheetName val="4_1_3_013"/>
      <sheetName val="4_1_3_183"/>
      <sheetName val="4_1_3_253"/>
      <sheetName val="123_013"/>
      <sheetName val="123_023"/>
      <sheetName val="123_033"/>
      <sheetName val="133_013"/>
      <sheetName val="142_013"/>
      <sheetName val="142_023"/>
      <sheetName val="146_013"/>
      <sheetName val="146_023"/>
      <sheetName val="146_033"/>
      <sheetName val="146_043"/>
      <sheetName val="152_013"/>
      <sheetName val="152_023"/>
      <sheetName val="164_013"/>
      <sheetName val="zapata_bordillo_losa_Yuca3"/>
      <sheetName val="172_013"/>
      <sheetName val="172_023"/>
      <sheetName val="172_033"/>
      <sheetName val="PN-4_1_3_013"/>
      <sheetName val="PN-4_1_3_023"/>
      <sheetName val="PN-4_1_3_033"/>
      <sheetName val="PN-4_1_3_043"/>
      <sheetName val="4_1_2_063"/>
      <sheetName val="4_1_2_073"/>
      <sheetName val="4_1_2_113"/>
      <sheetName val="4_1_2_183"/>
      <sheetName val="4_1_2_203"/>
      <sheetName val="4_1_2_083"/>
      <sheetName val="4_1_2_253"/>
      <sheetName val="134_013"/>
      <sheetName val="134_023"/>
      <sheetName val="134_033"/>
      <sheetName val="143_013"/>
      <sheetName val="147_013"/>
      <sheetName val="153_013"/>
      <sheetName val="165_013"/>
      <sheetName val="165_023"/>
      <sheetName val="165_033"/>
      <sheetName val="173_013"/>
      <sheetName val="173_023"/>
      <sheetName val="PN-4_1_2_013"/>
      <sheetName val="PN-4_1_2_033"/>
      <sheetName val="PN-4_1_2_043"/>
      <sheetName val="PN-4_1_2_053"/>
      <sheetName val="153_023"/>
      <sheetName val="153_033"/>
      <sheetName val="4_1_5_043"/>
      <sheetName val="4_1_5_063"/>
      <sheetName val="4_1_5_073"/>
      <sheetName val="4_1_5_083"/>
      <sheetName val="4_1_5_093"/>
      <sheetName val="4_1_5_113"/>
      <sheetName val="154_013"/>
      <sheetName val="154_023"/>
      <sheetName val="135_013"/>
      <sheetName val="135_023"/>
      <sheetName val="135_033"/>
      <sheetName val="135_043"/>
      <sheetName val="135_053"/>
      <sheetName val="166_013"/>
      <sheetName val="174_013"/>
      <sheetName val="174_023"/>
      <sheetName val="174_033"/>
      <sheetName val="PN-4_1_5_033"/>
      <sheetName val="PN-4_1_5_053"/>
      <sheetName val="PN-4_1_5_063"/>
      <sheetName val="PN-4_1_5_073"/>
      <sheetName val="PN-4_1_5_083"/>
      <sheetName val="PN-4_1_5_093"/>
      <sheetName val="PN-4_1_5_113"/>
      <sheetName val="PN-4_1_5_123"/>
      <sheetName val="174_043"/>
      <sheetName val="174_053"/>
      <sheetName val="174_063"/>
      <sheetName val="174_073"/>
      <sheetName val="PN-4_1_5_133"/>
      <sheetName val="4_1_6_023"/>
      <sheetName val="4_1_6_053"/>
      <sheetName val="4_1_6_073"/>
      <sheetName val="4_1_6_093"/>
      <sheetName val="4_1_6_103"/>
      <sheetName val="&lt;P_U_&gt;Estructura_Puente3"/>
      <sheetName val="4_1_6_133"/>
      <sheetName val="4_1_6_173"/>
      <sheetName val="175_013"/>
      <sheetName val="175_023"/>
      <sheetName val="175_033"/>
      <sheetName val="175_043"/>
      <sheetName val="PN-4_1_6_033"/>
      <sheetName val="175_053"/>
      <sheetName val="144_013"/>
      <sheetName val="144_023"/>
      <sheetName val="144_033"/>
      <sheetName val="155_013"/>
      <sheetName val="155_023"/>
      <sheetName val="155_033"/>
      <sheetName val="PN-4_1_6_063"/>
      <sheetName val="PN-4_1_6_09@PN-4_1_6_113"/>
      <sheetName val="PN-4_1_6_143"/>
      <sheetName val="(Puente)-Juan_Tomas3"/>
      <sheetName val="156_013"/>
      <sheetName val="156_023"/>
      <sheetName val="167_013"/>
      <sheetName val="176_013"/>
      <sheetName val="176_023"/>
      <sheetName val="176_033"/>
      <sheetName val="176_043"/>
      <sheetName val="176_053"/>
      <sheetName val="176_063"/>
      <sheetName val="176_073"/>
      <sheetName val="176_083"/>
      <sheetName val="176_093"/>
      <sheetName val="176_103"/>
      <sheetName val="176_113"/>
      <sheetName val="176_123"/>
      <sheetName val="PN-4_1_7_043"/>
      <sheetName val="PN-4_1_7_053"/>
      <sheetName val="PN-4_1_7_063"/>
      <sheetName val="PN-4_1_7_093"/>
      <sheetName val="PN-4_1_7_103"/>
      <sheetName val="PN-4_1_7_113"/>
      <sheetName val="PN-4_1_7_123"/>
      <sheetName val="PN-4_1_7_143"/>
      <sheetName val="PN-4_1_7_203"/>
      <sheetName val="PN-4_1_7_293"/>
      <sheetName val="4_2_1_053"/>
      <sheetName val="4_2_1_173"/>
      <sheetName val="4_2_1_10_3"/>
      <sheetName val="4_2_1_113"/>
      <sheetName val="4_2_1_133"/>
      <sheetName val="115_013"/>
      <sheetName val="115_023"/>
      <sheetName val="115_033"/>
      <sheetName val="115_043"/>
      <sheetName val="115_053"/>
      <sheetName val="115_063"/>
      <sheetName val="115_073"/>
      <sheetName val="115_083"/>
      <sheetName val="124_013"/>
      <sheetName val="124_023"/>
      <sheetName val="124_033"/>
      <sheetName val="124_043"/>
      <sheetName val="124_053"/>
      <sheetName val="148_013"/>
      <sheetName val="148_023"/>
      <sheetName val="157_013"/>
      <sheetName val="157_023"/>
      <sheetName val="PN-4_2_1_033"/>
      <sheetName val="PN-4_2_1_053"/>
      <sheetName val="PN-4_2_1_083"/>
      <sheetName val="4_2_1_163"/>
      <sheetName val="4_2_1_213"/>
      <sheetName val="4_2_1_293"/>
      <sheetName val="4_2_1_303"/>
      <sheetName val="registros_punta3"/>
      <sheetName val="(Distribuidor)-La_Victoria3"/>
      <sheetName val="4_2_4_103"/>
      <sheetName val="4_2_4_043"/>
      <sheetName val="4_2_4_113"/>
      <sheetName val="4_2_4_153"/>
      <sheetName val="4_2_4_163"/>
      <sheetName val="4_2_4_133"/>
      <sheetName val="125_013"/>
      <sheetName val="125_023"/>
      <sheetName val="177_013"/>
      <sheetName val="177_023"/>
      <sheetName val="177_033"/>
      <sheetName val="177_043"/>
      <sheetName val="177_053"/>
      <sheetName val="177_063"/>
      <sheetName val="177_073"/>
      <sheetName val="158_013"/>
      <sheetName val="158_023"/>
      <sheetName val="158_033"/>
      <sheetName val="158_043"/>
      <sheetName val="158_053"/>
      <sheetName val="(Distribuidor)-Carre_Samaná3"/>
      <sheetName val="4_2_5_013"/>
      <sheetName val="4_2_5_033"/>
      <sheetName val="4_2_5_113"/>
      <sheetName val="4_2_5_123"/>
      <sheetName val="4_2_5_133"/>
      <sheetName val="4_2_5_143"/>
      <sheetName val="178_013"/>
      <sheetName val="178_023"/>
      <sheetName val="178_033"/>
      <sheetName val="178_043"/>
      <sheetName val="178_053"/>
      <sheetName val="PN-4_2_5_043"/>
      <sheetName val="PN-4_2_5_083"/>
      <sheetName val="PN-4_2_5_123"/>
      <sheetName val="PN-4_2_5_153"/>
      <sheetName val="(Paso_Inferior)-La_Victoria3"/>
      <sheetName val="4_3_2_103"/>
      <sheetName val="4_3_2_113"/>
      <sheetName val="4_3_2_123"/>
      <sheetName val="4_3_2_143"/>
      <sheetName val="4_3_2_153"/>
      <sheetName val="4_3_2_183"/>
      <sheetName val="4_3_2_213"/>
      <sheetName val="4_3_2_223"/>
      <sheetName val="(Paso_Inferior)-Mata_Mamón3"/>
      <sheetName val="4_3_3_103"/>
      <sheetName val="4_3_3_113"/>
      <sheetName val="4_3_3_123"/>
      <sheetName val="4_3_3_143"/>
      <sheetName val="4_3_3_183"/>
      <sheetName val="4_3_3_213"/>
      <sheetName val="4_3_3_223"/>
      <sheetName val="(Paso_Inferior)-Yabacao3"/>
      <sheetName val="136_013"/>
      <sheetName val="136_023"/>
      <sheetName val="136_033"/>
      <sheetName val="136_043"/>
      <sheetName val="149_013"/>
      <sheetName val="136_053"/>
      <sheetName val="(Puente)-Provisional_Ozama_3"/>
      <sheetName val="117_013"/>
      <sheetName val="117_023"/>
      <sheetName val="117_033"/>
      <sheetName val="117_043"/>
      <sheetName val="(Paso_Inferior)_El_Aguacate3"/>
      <sheetName val="(Paso_Inferior)-Los_Rojas3"/>
      <sheetName val="159_013"/>
      <sheetName val="159_023"/>
      <sheetName val="159_033"/>
      <sheetName val="159_043"/>
      <sheetName val="168_013"/>
      <sheetName val="168_023"/>
      <sheetName val="168_033"/>
      <sheetName val="179_013"/>
      <sheetName val="PN-4_3_6_063"/>
      <sheetName val="(Paso_Inferior)-El_Aguacate3"/>
      <sheetName val="169_013"/>
      <sheetName val="169_023"/>
      <sheetName val="Aguacate-_013"/>
      <sheetName val="169_033"/>
      <sheetName val="169_043"/>
      <sheetName val="180_013"/>
      <sheetName val="170_013"/>
      <sheetName val="170_023"/>
      <sheetName val="PN-4_3_5_033"/>
      <sheetName val="PN-4_3_5_043"/>
      <sheetName val="PN-4_3_5_053"/>
      <sheetName val="(Paso_Inferior)-Mal_Nombre3"/>
      <sheetName val="170_033"/>
      <sheetName val="170_043"/>
      <sheetName val="181_013"/>
      <sheetName val="181_023"/>
      <sheetName val="117_053"/>
      <sheetName val="117_063"/>
      <sheetName val="126_013"/>
      <sheetName val="126_023"/>
      <sheetName val="137_013"/>
      <sheetName val="&lt;T-12&gt;Sop_Pedrap_Puente_Prov_3"/>
      <sheetName val="PN-4_3_1_033"/>
      <sheetName val="PN-4_3_1_053"/>
      <sheetName val="PN-4_3_1_073"/>
      <sheetName val="&lt;T-9&gt;Sop_Pilotes3"/>
      <sheetName val="&lt;T-10&gt;Sop_Acero_Puentes3"/>
      <sheetName val="Misceláneos-Estr_3"/>
      <sheetName val="182_013"/>
      <sheetName val="&lt;P_U_&gt;Acero_Refuerzo3"/>
      <sheetName val="&lt;P_U_&gt;Pretensado_Cable_Acero3"/>
      <sheetName val="Wick_Drains-Geopier3"/>
      <sheetName val="109_013"/>
      <sheetName val="118_013"/>
      <sheetName val="118_023"/>
      <sheetName val="127_013"/>
      <sheetName val="171_01@171_033"/>
      <sheetName val="127_023"/>
      <sheetName val="127_033"/>
      <sheetName val="138_013"/>
      <sheetName val="&lt;T-13&gt;Drenes_Verticales3"/>
      <sheetName val="&lt;T-16&gt;Pre-Perforación_Drenes3"/>
      <sheetName val="&lt;T-17&gt;Columna_de_Grava3"/>
      <sheetName val="&lt;T-18&gt;Columna_Grava_Terravanza3"/>
      <sheetName val="4_4_023"/>
      <sheetName val="PN-4_4_013"/>
      <sheetName val="PN-4_4_023"/>
      <sheetName val="(5)-Estructura_de_Pavimento3"/>
      <sheetName val="5_013"/>
      <sheetName val="5_023"/>
      <sheetName val="5_03@5_063"/>
      <sheetName val="5_07@5_103"/>
      <sheetName val="5_113"/>
      <sheetName val="5_123"/>
      <sheetName val="5_133"/>
      <sheetName val="5_143"/>
      <sheetName val="5_153"/>
      <sheetName val="&lt;T-2&gt;Acopio_Base_Planta_Indio3"/>
      <sheetName val="&lt;P_U_&gt;Base_Estabilizada3"/>
      <sheetName val="5_16@5_193"/>
      <sheetName val="160_013"/>
      <sheetName val="160_023"/>
      <sheetName val="183_013"/>
      <sheetName val="183_023"/>
      <sheetName val="PN-5_013"/>
      <sheetName val="PN-5_033"/>
      <sheetName val="PN-5_043"/>
      <sheetName val="PN-5_053"/>
      <sheetName val="&lt;T-19&gt;Sop_SubBase3"/>
      <sheetName val="&lt;T-20&gt;Sop_Base3"/>
      <sheetName val="&lt;T-21&gt;Sop_Asfalto3"/>
      <sheetName val="6_2_013"/>
      <sheetName val="6_3_013"/>
      <sheetName val="6_3_023"/>
      <sheetName val="6_3_033"/>
      <sheetName val="6_3_043"/>
      <sheetName val="6_3_053"/>
      <sheetName val="6_3_193"/>
      <sheetName val="6_3_203"/>
      <sheetName val="6_3_213"/>
      <sheetName val="6_1_01_Contenes3"/>
      <sheetName val="6_1_02_Bordillos3"/>
      <sheetName val="6_1_03_Aceras_Hormigon_3"/>
      <sheetName val="6_1_04Relleno_Acera3"/>
      <sheetName val="Iluminacion_Vial3"/>
      <sheetName val="(7)-Electrificación_e_ilum_3"/>
      <sheetName val="7_013"/>
      <sheetName val="7_023"/>
      <sheetName val="107_013"/>
      <sheetName val="185_013"/>
      <sheetName val="&lt;T-11&gt;Sop_Militares3"/>
      <sheetName val="(Reembolsables)-Interf_Electri3"/>
      <sheetName val="186_013"/>
      <sheetName val="Pres__Interferencia_Electrica3"/>
      <sheetName val="(110)-Puente_Provisional3"/>
      <sheetName val="110_013"/>
      <sheetName val="x1-relleno_prueba3"/>
      <sheetName val="&lt;x1&gt;Relleno_Prueba_Avenida3"/>
      <sheetName val="&lt;Estatus_Proyecto&gt;3"/>
      <sheetName val="EXC__QMC3"/>
      <sheetName val="TRACT_MINA3"/>
      <sheetName val="%_Ralenti_CF-C12_3"/>
      <sheetName val="%_Ralenti_EXC_3"/>
      <sheetName val="%_Ralenti_EXC__(2)3"/>
      <sheetName val="REND_3"/>
      <sheetName val="T__HORA3"/>
      <sheetName val="Base_de_Dato3"/>
      <sheetName val="Los_Ángeles_(Fase_II)2"/>
      <sheetName val="MANO_DE_OBRA2"/>
      <sheetName val="Analisis_de_precios_SURFACE3"/>
      <sheetName val="BOQ_desglose_2"/>
      <sheetName val="MANT_TRANSITO2"/>
      <sheetName val="Analisis_de_Costos2"/>
      <sheetName val="Pu-Sanit_2"/>
      <sheetName val="Trabajos_Generales2"/>
      <sheetName val="Rendimientos_OM2"/>
      <sheetName val="Incremento_Precios1"/>
      <sheetName val="PARTIDAS_NUEVAS1"/>
      <sheetName val="Insumos_materiales1"/>
      <sheetName val="Costos_Mano_de_Obra1"/>
      <sheetName val="Ana__Horm_mexc_mort1"/>
      <sheetName val="anal_term1"/>
      <sheetName val="Anal__horm_1"/>
      <sheetName val="PU-Elect_1"/>
      <sheetName val="Pres__1"/>
      <sheetName val="V_Tierras_A1"/>
      <sheetName val="ANALISIS_ENTREGABLE1"/>
      <sheetName val="Ins_21"/>
      <sheetName val="ANALISIS_STO_DGO8"/>
      <sheetName val="PRES__BOCA_NUEVA8"/>
      <sheetName val="CONTRARO_SEÑALIZACIONES8"/>
      <sheetName val="EDIFICIO_COUNTERS6"/>
      <sheetName val="LISTADO_INSUMOS_DEL_20006"/>
      <sheetName val="Presup_6"/>
      <sheetName val="PRESUP__HOSPIT__VERON4"/>
      <sheetName val="Análisis_de_Precios5"/>
      <sheetName val="Resumen_Precio_Equipos5"/>
      <sheetName val="O_M__y_Salarios5"/>
      <sheetName val="Planilla_&lt;ENM#5&gt;4"/>
      <sheetName val="Resumen_Reducciones4"/>
      <sheetName val="Planilla___4"/>
      <sheetName val="Estudios_y_Diseños4"/>
      <sheetName val="&lt;T-0&gt;Sop_Estudios_y_Diseños4"/>
      <sheetName val="Otros_Indirectos4"/>
      <sheetName val="(1)-Trab_Gen4"/>
      <sheetName val="1_014"/>
      <sheetName val="1_024"/>
      <sheetName val="1_034"/>
      <sheetName val="1_044"/>
      <sheetName val="1_054"/>
      <sheetName val="(2)-Mov_Tierra4"/>
      <sheetName val="2_014"/>
      <sheetName val="2_024"/>
      <sheetName val="2_034"/>
      <sheetName val="&lt;T-1&gt;Sop_Alambradas4"/>
      <sheetName val="100_014"/>
      <sheetName val="2_064"/>
      <sheetName val="2_074"/>
      <sheetName val="2_094"/>
      <sheetName val="&lt;T-3&gt;Sop_Exc_Inservible_&amp;_NCla4"/>
      <sheetName val="2_104"/>
      <sheetName val="2_114"/>
      <sheetName val="2_12@2_14-116_034"/>
      <sheetName val="Rutas_Acarreo4"/>
      <sheetName val="2_154"/>
      <sheetName val="2_164"/>
      <sheetName val="2_174"/>
      <sheetName val="2_184"/>
      <sheetName val="&lt;T-4&gt;Sop_Relleno-(Previo)4"/>
      <sheetName val="&lt;T-4&gt;Sop_Relleno-(Acumulado)4"/>
      <sheetName val="ajustes_de_reporte_relleno4"/>
      <sheetName val="&lt;T-4&gt;Sop_Relleno-(Periodo)4"/>
      <sheetName val="&lt;T-5&gt;Sop_Pedraplén4"/>
      <sheetName val="2_194"/>
      <sheetName val="2_224"/>
      <sheetName val="PN-2_044"/>
      <sheetName val="&lt;T-7&gt;Sop_Perfilado&amp;Grama4"/>
      <sheetName val="2_244"/>
      <sheetName val="2_364"/>
      <sheetName val="Mejoramiento_Fundación4"/>
      <sheetName val="116_014"/>
      <sheetName val="116_024"/>
      <sheetName val="&lt;T-14&gt;Estabilización_Cal4"/>
      <sheetName val="&lt;T-15&gt;Estabilización_Cemento4"/>
      <sheetName val="PN-2_064"/>
      <sheetName val="128_014"/>
      <sheetName val="&lt;Presup&gt;Tubería_Yuca4"/>
      <sheetName val="139_014"/>
      <sheetName val="&lt;Presup&gt;Tub_Haras_Nacionales4"/>
      <sheetName val="184_014"/>
      <sheetName val="&lt;Presup&gt;Tubería_Mata_Gorda4"/>
      <sheetName val="184_024"/>
      <sheetName val="&lt;Presup&gt;Tubería_El_Aguacate4"/>
      <sheetName val="184_034"/>
      <sheetName val="&lt;Presup&gt;Tubería_La_Victoria4"/>
      <sheetName val="139_024"/>
      <sheetName val="&lt;Presup&gt;Tubería_Juan_Tomás4"/>
      <sheetName val="161_014"/>
      <sheetName val="&lt;Presup&gt;Tubería_Mal_Nombre4"/>
      <sheetName val="PN-2_014"/>
      <sheetName val="&lt;Presup&gt;Tubería_Varios_Trabajo4"/>
      <sheetName val="3_1_024"/>
      <sheetName val="3_1_034"/>
      <sheetName val="150_014"/>
      <sheetName val="150_024"/>
      <sheetName val="162_014"/>
      <sheetName val="Drenaje_Subterraneo4"/>
      <sheetName val="3_3_014"/>
      <sheetName val="3_3_024"/>
      <sheetName val="Alc_Cajón4"/>
      <sheetName val="100_024"/>
      <sheetName val="3_4_1_014"/>
      <sheetName val="3_4_1_024"/>
      <sheetName val="3_4_1_034"/>
      <sheetName val="3_4_1_044"/>
      <sheetName val="3_4_1_054"/>
      <sheetName val="3_4_1_064"/>
      <sheetName val="3_4_1_074"/>
      <sheetName val="3_4_1_084"/>
      <sheetName val="3_4_1_094"/>
      <sheetName val="3_4_1_104"/>
      <sheetName val="3_4_1_114"/>
      <sheetName val="3_4_1_124"/>
      <sheetName val="101_014"/>
      <sheetName val="3_4_1_164"/>
      <sheetName val="3_4_1_174"/>
      <sheetName val="Alc_Tubular4"/>
      <sheetName val="3_4_2_014"/>
      <sheetName val="3_4_2_034"/>
      <sheetName val="3_4_2_044"/>
      <sheetName val="3_4_2_064"/>
      <sheetName val="3_4_2_074"/>
      <sheetName val="3_4_2_084"/>
      <sheetName val="3_4_2_094"/>
      <sheetName val="3_4_2_104"/>
      <sheetName val="3_4_2_114"/>
      <sheetName val="3_4_2_124"/>
      <sheetName val="&lt;T-6&gt;Sop_Exc_Rell_Estr_Alcant_4"/>
      <sheetName val="119_014"/>
      <sheetName val="119_024"/>
      <sheetName val="119_034"/>
      <sheetName val="119_044"/>
      <sheetName val="119_054"/>
      <sheetName val="119_064"/>
      <sheetName val="119_074"/>
      <sheetName val="119_084"/>
      <sheetName val="119_094"/>
      <sheetName val="129_014"/>
      <sheetName val="&lt;T-8&gt;Sop_Acero_Alcantarillas4"/>
      <sheetName val="(Puente)-Mal_Nombre4"/>
      <sheetName val="4_1_1_014"/>
      <sheetName val="4_1_1_044"/>
      <sheetName val="4_1_1_064"/>
      <sheetName val="4_1_1_084"/>
      <sheetName val="104_014"/>
      <sheetName val="104_024"/>
      <sheetName val="4_1_1_94"/>
      <sheetName val="4_1_1_104"/>
      <sheetName val="4_1_1_114"/>
      <sheetName val="4_1_1_124"/>
      <sheetName val="4_1_1_144"/>
      <sheetName val="4_1_1_154"/>
      <sheetName val="4_1_1_164"/>
      <sheetName val="4_1_1_184"/>
      <sheetName val="4_1_1_214"/>
      <sheetName val="130_014"/>
      <sheetName val="4_1_1_224"/>
      <sheetName val="4_1_1_254"/>
      <sheetName val="4_1_1_264"/>
      <sheetName val="120_014"/>
      <sheetName val="104_034"/>
      <sheetName val="4_1_4_044"/>
      <sheetName val="102_014"/>
      <sheetName val="102_024"/>
      <sheetName val="102_034"/>
      <sheetName val="102_044"/>
      <sheetName val="102_054"/>
      <sheetName val="4_1_4_064"/>
      <sheetName val="4_1_4_084"/>
      <sheetName val="4_1_4_094"/>
      <sheetName val="4_1_4_114"/>
      <sheetName val="4_1_4_184"/>
      <sheetName val="4_1_4_254"/>
      <sheetName val="106_024"/>
      <sheetName val="113_014"/>
      <sheetName val="113_024"/>
      <sheetName val="113_034"/>
      <sheetName val="106_014"/>
      <sheetName val="121_014"/>
      <sheetName val="121_024"/>
      <sheetName val="131_014"/>
      <sheetName val="131_024"/>
      <sheetName val="140_014"/>
      <sheetName val="140_024"/>
      <sheetName val="145_014"/>
      <sheetName val="145_024"/>
      <sheetName val="145_034"/>
      <sheetName val="145_044"/>
      <sheetName val="145_054"/>
      <sheetName val="163_014"/>
      <sheetName val="(Puente)-Haras_Nacionales4"/>
      <sheetName val="PN-4_2_2_024"/>
      <sheetName val="151_014"/>
      <sheetName val="4_2_2_024"/>
      <sheetName val="4_2_2_034"/>
      <sheetName val="4_2_2_044"/>
      <sheetName val="4_2_2_104"/>
      <sheetName val="151_024"/>
      <sheetName val="4_2_2_114"/>
      <sheetName val="4_2_2_124"/>
      <sheetName val="4_2_2_134"/>
      <sheetName val="103_014"/>
      <sheetName val="103_024"/>
      <sheetName val="103_034"/>
      <sheetName val="103_044"/>
      <sheetName val="105_014"/>
      <sheetName val="105_024"/>
      <sheetName val="105_034"/>
      <sheetName val="4_2_2_15_4"/>
      <sheetName val="4_2_2_164"/>
      <sheetName val="4_2_2_174"/>
      <sheetName val="108_014"/>
      <sheetName val="108_024"/>
      <sheetName val="108_034"/>
      <sheetName val="111_014"/>
      <sheetName val="111_024"/>
      <sheetName val="111_034"/>
      <sheetName val="111_044"/>
      <sheetName val="114_014"/>
      <sheetName val="122_014"/>
      <sheetName val="141_014"/>
      <sheetName val="141_024"/>
      <sheetName val="141_034"/>
      <sheetName val="132_014"/>
      <sheetName val="132_024"/>
      <sheetName val="zapata_bordillo-haras4"/>
      <sheetName val="4_1_3_044"/>
      <sheetName val="4_1_3_064"/>
      <sheetName val="4_1_3_074"/>
      <sheetName val="4_1_3_084"/>
      <sheetName val="4_1_3_094"/>
      <sheetName val="112_014"/>
      <sheetName val="112_024"/>
      <sheetName val="112_034"/>
      <sheetName val="112_044"/>
      <sheetName val="112_054"/>
      <sheetName val="112_064"/>
      <sheetName val="112_074"/>
      <sheetName val="4_1_3_014"/>
      <sheetName val="4_1_3_184"/>
      <sheetName val="4_1_3_254"/>
      <sheetName val="123_014"/>
      <sheetName val="123_024"/>
      <sheetName val="123_034"/>
      <sheetName val="133_014"/>
      <sheetName val="142_014"/>
      <sheetName val="142_024"/>
      <sheetName val="146_014"/>
      <sheetName val="146_024"/>
      <sheetName val="146_034"/>
      <sheetName val="146_044"/>
      <sheetName val="152_014"/>
      <sheetName val="152_024"/>
      <sheetName val="164_014"/>
      <sheetName val="zapata_bordillo_losa_Yuca4"/>
      <sheetName val="172_014"/>
      <sheetName val="172_024"/>
      <sheetName val="172_034"/>
      <sheetName val="PN-4_1_3_014"/>
      <sheetName val="PN-4_1_3_024"/>
      <sheetName val="PN-4_1_3_034"/>
      <sheetName val="PN-4_1_3_044"/>
      <sheetName val="4_1_2_064"/>
      <sheetName val="4_1_2_074"/>
      <sheetName val="4_1_2_114"/>
      <sheetName val="4_1_2_184"/>
      <sheetName val="4_1_2_204"/>
      <sheetName val="4_1_2_084"/>
      <sheetName val="4_1_2_254"/>
      <sheetName val="134_014"/>
      <sheetName val="134_024"/>
      <sheetName val="134_034"/>
      <sheetName val="143_014"/>
      <sheetName val="147_014"/>
      <sheetName val="153_014"/>
      <sheetName val="165_014"/>
      <sheetName val="165_024"/>
      <sheetName val="165_034"/>
      <sheetName val="173_014"/>
      <sheetName val="173_024"/>
      <sheetName val="PN-4_1_2_014"/>
      <sheetName val="PN-4_1_2_034"/>
      <sheetName val="PN-4_1_2_044"/>
      <sheetName val="PN-4_1_2_054"/>
      <sheetName val="153_024"/>
      <sheetName val="153_034"/>
      <sheetName val="4_1_5_044"/>
      <sheetName val="4_1_5_064"/>
      <sheetName val="4_1_5_074"/>
      <sheetName val="4_1_5_084"/>
      <sheetName val="4_1_5_094"/>
      <sheetName val="4_1_5_114"/>
      <sheetName val="154_014"/>
      <sheetName val="154_024"/>
      <sheetName val="135_014"/>
      <sheetName val="135_024"/>
      <sheetName val="135_034"/>
      <sheetName val="135_044"/>
      <sheetName val="135_054"/>
      <sheetName val="166_014"/>
      <sheetName val="174_014"/>
      <sheetName val="174_024"/>
      <sheetName val="174_034"/>
      <sheetName val="PN-4_1_5_034"/>
      <sheetName val="PN-4_1_5_054"/>
      <sheetName val="PN-4_1_5_064"/>
      <sheetName val="PN-4_1_5_074"/>
      <sheetName val="PN-4_1_5_084"/>
      <sheetName val="PN-4_1_5_094"/>
      <sheetName val="PN-4_1_5_114"/>
      <sheetName val="PN-4_1_5_124"/>
      <sheetName val="174_044"/>
      <sheetName val="174_054"/>
      <sheetName val="174_064"/>
      <sheetName val="174_074"/>
      <sheetName val="PN-4_1_5_134"/>
      <sheetName val="4_1_6_024"/>
      <sheetName val="4_1_6_054"/>
      <sheetName val="4_1_6_074"/>
      <sheetName val="4_1_6_094"/>
      <sheetName val="4_1_6_104"/>
      <sheetName val="&lt;P_U_&gt;Estructura_Puente4"/>
      <sheetName val="4_1_6_134"/>
      <sheetName val="4_1_6_174"/>
      <sheetName val="175_014"/>
      <sheetName val="175_024"/>
      <sheetName val="175_034"/>
      <sheetName val="175_044"/>
      <sheetName val="PN-4_1_6_034"/>
      <sheetName val="175_054"/>
      <sheetName val="144_014"/>
      <sheetName val="144_024"/>
      <sheetName val="144_034"/>
      <sheetName val="155_014"/>
      <sheetName val="155_024"/>
      <sheetName val="155_034"/>
      <sheetName val="PN-4_1_6_064"/>
      <sheetName val="PN-4_1_6_09@PN-4_1_6_114"/>
      <sheetName val="PN-4_1_6_144"/>
      <sheetName val="(Puente)-Juan_Tomas4"/>
      <sheetName val="156_014"/>
      <sheetName val="156_024"/>
      <sheetName val="167_014"/>
      <sheetName val="176_014"/>
      <sheetName val="176_024"/>
      <sheetName val="176_034"/>
      <sheetName val="176_044"/>
      <sheetName val="176_054"/>
      <sheetName val="176_064"/>
      <sheetName val="176_074"/>
      <sheetName val="176_084"/>
      <sheetName val="176_094"/>
      <sheetName val="176_104"/>
      <sheetName val="176_114"/>
      <sheetName val="176_124"/>
      <sheetName val="PN-4_1_7_044"/>
      <sheetName val="PN-4_1_7_054"/>
      <sheetName val="PN-4_1_7_064"/>
      <sheetName val="PN-4_1_7_094"/>
      <sheetName val="PN-4_1_7_104"/>
      <sheetName val="PN-4_1_7_114"/>
      <sheetName val="PN-4_1_7_124"/>
      <sheetName val="PN-4_1_7_144"/>
      <sheetName val="PN-4_1_7_204"/>
      <sheetName val="PN-4_1_7_294"/>
      <sheetName val="4_2_1_054"/>
      <sheetName val="4_2_1_174"/>
      <sheetName val="4_2_1_10_4"/>
      <sheetName val="4_2_1_114"/>
      <sheetName val="4_2_1_134"/>
      <sheetName val="115_014"/>
      <sheetName val="115_024"/>
      <sheetName val="115_034"/>
      <sheetName val="115_044"/>
      <sheetName val="115_054"/>
      <sheetName val="115_064"/>
      <sheetName val="115_074"/>
      <sheetName val="115_084"/>
      <sheetName val="124_014"/>
      <sheetName val="124_024"/>
      <sheetName val="124_034"/>
      <sheetName val="124_044"/>
      <sheetName val="124_054"/>
      <sheetName val="148_014"/>
      <sheetName val="148_024"/>
      <sheetName val="157_014"/>
      <sheetName val="157_024"/>
      <sheetName val="PN-4_2_1_034"/>
      <sheetName val="PN-4_2_1_054"/>
      <sheetName val="PN-4_2_1_084"/>
      <sheetName val="4_2_1_164"/>
      <sheetName val="4_2_1_214"/>
      <sheetName val="4_2_1_294"/>
      <sheetName val="4_2_1_304"/>
      <sheetName val="registros_punta4"/>
      <sheetName val="(Distribuidor)-La_Victoria4"/>
      <sheetName val="4_2_4_104"/>
      <sheetName val="4_2_4_044"/>
      <sheetName val="4_2_4_114"/>
      <sheetName val="4_2_4_154"/>
      <sheetName val="4_2_4_164"/>
      <sheetName val="4_2_4_134"/>
      <sheetName val="125_014"/>
      <sheetName val="125_024"/>
      <sheetName val="177_014"/>
      <sheetName val="177_024"/>
      <sheetName val="177_034"/>
      <sheetName val="177_044"/>
      <sheetName val="177_054"/>
      <sheetName val="177_064"/>
      <sheetName val="177_074"/>
      <sheetName val="158_014"/>
      <sheetName val="158_024"/>
      <sheetName val="158_034"/>
      <sheetName val="158_044"/>
      <sheetName val="158_054"/>
      <sheetName val="(Distribuidor)-Carre_Samaná4"/>
      <sheetName val="4_2_5_014"/>
      <sheetName val="4_2_5_034"/>
      <sheetName val="4_2_5_114"/>
      <sheetName val="4_2_5_124"/>
      <sheetName val="4_2_5_134"/>
      <sheetName val="4_2_5_144"/>
      <sheetName val="178_014"/>
      <sheetName val="178_024"/>
      <sheetName val="178_034"/>
      <sheetName val="178_044"/>
      <sheetName val="178_054"/>
      <sheetName val="PN-4_2_5_044"/>
      <sheetName val="PN-4_2_5_084"/>
      <sheetName val="PN-4_2_5_124"/>
      <sheetName val="PN-4_2_5_154"/>
      <sheetName val="(Paso_Inferior)-La_Victoria4"/>
      <sheetName val="4_3_2_104"/>
      <sheetName val="4_3_2_114"/>
      <sheetName val="4_3_2_124"/>
      <sheetName val="4_3_2_144"/>
      <sheetName val="4_3_2_154"/>
      <sheetName val="4_3_2_184"/>
      <sheetName val="4_3_2_214"/>
      <sheetName val="4_3_2_224"/>
      <sheetName val="(Paso_Inferior)-Mata_Mamón4"/>
      <sheetName val="4_3_3_104"/>
      <sheetName val="4_3_3_114"/>
      <sheetName val="4_3_3_124"/>
      <sheetName val="4_3_3_144"/>
      <sheetName val="4_3_3_184"/>
      <sheetName val="4_3_3_214"/>
      <sheetName val="4_3_3_224"/>
      <sheetName val="(Paso_Inferior)-Yabacao4"/>
      <sheetName val="136_014"/>
      <sheetName val="136_024"/>
      <sheetName val="136_034"/>
      <sheetName val="136_044"/>
      <sheetName val="149_014"/>
      <sheetName val="136_054"/>
      <sheetName val="(Puente)-Provisional_Ozama_4"/>
      <sheetName val="117_014"/>
      <sheetName val="117_024"/>
      <sheetName val="117_034"/>
      <sheetName val="117_044"/>
      <sheetName val="(Paso_Inferior)_El_Aguacate4"/>
      <sheetName val="(Paso_Inferior)-Los_Rojas4"/>
      <sheetName val="159_014"/>
      <sheetName val="159_024"/>
      <sheetName val="159_034"/>
      <sheetName val="159_044"/>
      <sheetName val="168_014"/>
      <sheetName val="168_024"/>
      <sheetName val="168_034"/>
      <sheetName val="179_014"/>
      <sheetName val="PN-4_3_6_064"/>
      <sheetName val="(Paso_Inferior)-El_Aguacate4"/>
      <sheetName val="169_014"/>
      <sheetName val="169_024"/>
      <sheetName val="Aguacate-_014"/>
      <sheetName val="169_034"/>
      <sheetName val="169_044"/>
      <sheetName val="180_014"/>
      <sheetName val="170_014"/>
      <sheetName val="170_024"/>
      <sheetName val="PN-4_3_5_034"/>
      <sheetName val="PN-4_3_5_044"/>
      <sheetName val="PN-4_3_5_054"/>
      <sheetName val="(Paso_Inferior)-Mal_Nombre4"/>
      <sheetName val="170_034"/>
      <sheetName val="170_044"/>
      <sheetName val="181_014"/>
      <sheetName val="181_024"/>
      <sheetName val="117_054"/>
      <sheetName val="117_064"/>
      <sheetName val="126_014"/>
      <sheetName val="126_024"/>
      <sheetName val="137_014"/>
      <sheetName val="&lt;T-12&gt;Sop_Pedrap_Puente_Prov_4"/>
      <sheetName val="PN-4_3_1_034"/>
      <sheetName val="PN-4_3_1_054"/>
      <sheetName val="PN-4_3_1_074"/>
      <sheetName val="&lt;T-9&gt;Sop_Pilotes4"/>
      <sheetName val="&lt;T-10&gt;Sop_Acero_Puentes4"/>
      <sheetName val="Misceláneos-Estr_4"/>
      <sheetName val="182_014"/>
      <sheetName val="&lt;P_U_&gt;Acero_Refuerzo4"/>
      <sheetName val="&lt;P_U_&gt;Pretensado_Cable_Acero4"/>
      <sheetName val="Wick_Drains-Geopier4"/>
      <sheetName val="109_014"/>
      <sheetName val="118_014"/>
      <sheetName val="118_024"/>
      <sheetName val="127_014"/>
      <sheetName val="171_01@171_034"/>
      <sheetName val="127_024"/>
      <sheetName val="127_034"/>
      <sheetName val="138_014"/>
      <sheetName val="&lt;T-13&gt;Drenes_Verticales4"/>
      <sheetName val="&lt;T-16&gt;Pre-Perforación_Drenes4"/>
      <sheetName val="&lt;T-17&gt;Columna_de_Grava4"/>
      <sheetName val="&lt;T-18&gt;Columna_Grava_Terravanza4"/>
      <sheetName val="4_4_024"/>
      <sheetName val="PN-4_4_014"/>
      <sheetName val="PN-4_4_024"/>
      <sheetName val="(5)-Estructura_de_Pavimento4"/>
      <sheetName val="5_014"/>
      <sheetName val="5_024"/>
      <sheetName val="5_03@5_064"/>
      <sheetName val="5_07@5_104"/>
      <sheetName val="5_114"/>
      <sheetName val="5_124"/>
      <sheetName val="5_134"/>
      <sheetName val="5_144"/>
      <sheetName val="5_154"/>
      <sheetName val="&lt;T-2&gt;Acopio_Base_Planta_Indio4"/>
      <sheetName val="&lt;P_U_&gt;Base_Estabilizada4"/>
      <sheetName val="5_16@5_194"/>
      <sheetName val="160_014"/>
      <sheetName val="160_024"/>
      <sheetName val="183_014"/>
      <sheetName val="183_024"/>
      <sheetName val="PN-5_014"/>
      <sheetName val="PN-5_034"/>
      <sheetName val="PN-5_044"/>
      <sheetName val="PN-5_054"/>
      <sheetName val="&lt;T-19&gt;Sop_SubBase4"/>
      <sheetName val="&lt;T-20&gt;Sop_Base4"/>
      <sheetName val="&lt;T-21&gt;Sop_Asfalto4"/>
      <sheetName val="6_2_014"/>
      <sheetName val="6_3_014"/>
      <sheetName val="6_3_024"/>
      <sheetName val="6_3_034"/>
      <sheetName val="6_3_044"/>
      <sheetName val="6_3_054"/>
      <sheetName val="6_3_194"/>
      <sheetName val="6_3_204"/>
      <sheetName val="6_3_214"/>
      <sheetName val="6_1_01_Contenes4"/>
      <sheetName val="6_1_02_Bordillos4"/>
      <sheetName val="6_1_03_Aceras_Hormigon_4"/>
      <sheetName val="6_1_04Relleno_Acera4"/>
      <sheetName val="Iluminacion_Vial4"/>
      <sheetName val="(7)-Electrificación_e_ilum_4"/>
      <sheetName val="7_014"/>
      <sheetName val="7_024"/>
      <sheetName val="107_014"/>
      <sheetName val="185_014"/>
      <sheetName val="&lt;T-11&gt;Sop_Militares4"/>
      <sheetName val="(Reembolsables)-Interf_Electri4"/>
      <sheetName val="186_014"/>
      <sheetName val="Pres__Interferencia_Electrica4"/>
      <sheetName val="(110)-Puente_Provisional4"/>
      <sheetName val="110_014"/>
      <sheetName val="x1-relleno_prueba4"/>
      <sheetName val="&lt;x1&gt;Relleno_Prueba_Avenida4"/>
      <sheetName val="&lt;Estatus_Proyecto&gt;4"/>
      <sheetName val="EXC__QMC4"/>
      <sheetName val="TRACT_MINA4"/>
      <sheetName val="%_Ralenti_CF-C12_4"/>
      <sheetName val="%_Ralenti_EXC_4"/>
      <sheetName val="%_Ralenti_EXC__(2)4"/>
      <sheetName val="REND_4"/>
      <sheetName val="T__HORA4"/>
      <sheetName val="Base_de_Dato4"/>
      <sheetName val="Los_Ángeles_(Fase_II)3"/>
      <sheetName val="MANO_DE_OBRA3"/>
      <sheetName val="Analisis_de_precios_SURFACE4"/>
      <sheetName val="BOQ_desglose_3"/>
      <sheetName val="MANT_TRANSITO3"/>
      <sheetName val="Analisis_de_Costos3"/>
      <sheetName val="Pu-Sanit_3"/>
      <sheetName val="Trabajos_Generales3"/>
      <sheetName val="Rendimientos_OM3"/>
      <sheetName val="Incremento_Precios2"/>
      <sheetName val="PARTIDAS_NUEVAS2"/>
      <sheetName val="Insumos_materiales2"/>
      <sheetName val="Costos_Mano_de_Obra2"/>
      <sheetName val="Ana__Horm_mexc_mort2"/>
      <sheetName val="anal_term2"/>
      <sheetName val="Anal__horm_2"/>
      <sheetName val="PU-Elect_2"/>
      <sheetName val="Pres__2"/>
      <sheetName val="V_Tierras_A2"/>
      <sheetName val="ANALISIS_ENTREGABLE2"/>
      <sheetName val="Ins_22"/>
      <sheetName val="ANALISIS_STO_DGO9"/>
      <sheetName val="PRES__BOCA_NUEVA9"/>
      <sheetName val="CONTRARO_SEÑALIZACIONES9"/>
      <sheetName val="EDIFICIO_COUNTERS7"/>
      <sheetName val="LISTADO_INSUMOS_DEL_20007"/>
      <sheetName val="Presup_7"/>
      <sheetName val="PRESUP__HOSPIT__VERON5"/>
      <sheetName val="Análisis_de_Precios6"/>
      <sheetName val="Resumen_Precio_Equipos6"/>
      <sheetName val="O_M__y_Salarios6"/>
      <sheetName val="Planilla_&lt;ENM#5&gt;5"/>
      <sheetName val="Resumen_Reducciones5"/>
      <sheetName val="Planilla___5"/>
      <sheetName val="Estudios_y_Diseños5"/>
      <sheetName val="&lt;T-0&gt;Sop_Estudios_y_Diseños5"/>
      <sheetName val="Otros_Indirectos5"/>
      <sheetName val="(1)-Trab_Gen5"/>
      <sheetName val="1_015"/>
      <sheetName val="1_025"/>
      <sheetName val="1_035"/>
      <sheetName val="1_045"/>
      <sheetName val="1_055"/>
      <sheetName val="(2)-Mov_Tierra5"/>
      <sheetName val="2_015"/>
      <sheetName val="2_025"/>
      <sheetName val="2_035"/>
      <sheetName val="&lt;T-1&gt;Sop_Alambradas5"/>
      <sheetName val="100_015"/>
      <sheetName val="2_065"/>
      <sheetName val="2_075"/>
      <sheetName val="2_095"/>
      <sheetName val="&lt;T-3&gt;Sop_Exc_Inservible_&amp;_NCla5"/>
      <sheetName val="2_105"/>
      <sheetName val="2_115"/>
      <sheetName val="2_12@2_14-116_035"/>
      <sheetName val="Rutas_Acarreo5"/>
      <sheetName val="2_155"/>
      <sheetName val="2_165"/>
      <sheetName val="2_175"/>
      <sheetName val="2_185"/>
      <sheetName val="&lt;T-4&gt;Sop_Relleno-(Previo)5"/>
      <sheetName val="&lt;T-4&gt;Sop_Relleno-(Acumulado)5"/>
      <sheetName val="ajustes_de_reporte_relleno5"/>
      <sheetName val="&lt;T-4&gt;Sop_Relleno-(Periodo)5"/>
      <sheetName val="&lt;T-5&gt;Sop_Pedraplén5"/>
      <sheetName val="2_195"/>
      <sheetName val="2_225"/>
      <sheetName val="PN-2_045"/>
      <sheetName val="&lt;T-7&gt;Sop_Perfilado&amp;Grama5"/>
      <sheetName val="2_245"/>
      <sheetName val="2_365"/>
      <sheetName val="Mejoramiento_Fundación5"/>
      <sheetName val="116_015"/>
      <sheetName val="116_025"/>
      <sheetName val="&lt;T-14&gt;Estabilización_Cal5"/>
      <sheetName val="&lt;T-15&gt;Estabilización_Cemento5"/>
      <sheetName val="PN-2_065"/>
      <sheetName val="128_015"/>
      <sheetName val="&lt;Presup&gt;Tubería_Yuca5"/>
      <sheetName val="139_015"/>
      <sheetName val="&lt;Presup&gt;Tub_Haras_Nacionales5"/>
      <sheetName val="184_015"/>
      <sheetName val="&lt;Presup&gt;Tubería_Mata_Gorda5"/>
      <sheetName val="184_025"/>
      <sheetName val="&lt;Presup&gt;Tubería_El_Aguacate5"/>
      <sheetName val="184_035"/>
      <sheetName val="&lt;Presup&gt;Tubería_La_Victoria5"/>
      <sheetName val="139_025"/>
      <sheetName val="&lt;Presup&gt;Tubería_Juan_Tomás5"/>
      <sheetName val="161_015"/>
      <sheetName val="&lt;Presup&gt;Tubería_Mal_Nombre5"/>
      <sheetName val="PN-2_015"/>
      <sheetName val="&lt;Presup&gt;Tubería_Varios_Trabajo5"/>
      <sheetName val="3_1_025"/>
      <sheetName val="3_1_035"/>
      <sheetName val="150_015"/>
      <sheetName val="150_025"/>
      <sheetName val="162_015"/>
      <sheetName val="Drenaje_Subterraneo5"/>
      <sheetName val="3_3_015"/>
      <sheetName val="3_3_025"/>
      <sheetName val="Alc_Cajón5"/>
      <sheetName val="100_025"/>
      <sheetName val="3_4_1_015"/>
      <sheetName val="3_4_1_025"/>
      <sheetName val="3_4_1_035"/>
      <sheetName val="3_4_1_045"/>
      <sheetName val="3_4_1_055"/>
      <sheetName val="3_4_1_065"/>
      <sheetName val="3_4_1_075"/>
      <sheetName val="3_4_1_085"/>
      <sheetName val="3_4_1_095"/>
      <sheetName val="3_4_1_105"/>
      <sheetName val="3_4_1_115"/>
      <sheetName val="3_4_1_125"/>
      <sheetName val="101_015"/>
      <sheetName val="3_4_1_165"/>
      <sheetName val="3_4_1_175"/>
      <sheetName val="Alc_Tubular5"/>
      <sheetName val="3_4_2_015"/>
      <sheetName val="3_4_2_035"/>
      <sheetName val="3_4_2_045"/>
      <sheetName val="3_4_2_065"/>
      <sheetName val="3_4_2_075"/>
      <sheetName val="3_4_2_085"/>
      <sheetName val="3_4_2_095"/>
      <sheetName val="3_4_2_105"/>
      <sheetName val="3_4_2_115"/>
      <sheetName val="3_4_2_125"/>
      <sheetName val="&lt;T-6&gt;Sop_Exc_Rell_Estr_Alcant_5"/>
      <sheetName val="119_015"/>
      <sheetName val="119_025"/>
      <sheetName val="119_035"/>
      <sheetName val="119_045"/>
      <sheetName val="119_055"/>
      <sheetName val="119_065"/>
      <sheetName val="119_075"/>
      <sheetName val="119_085"/>
      <sheetName val="119_095"/>
      <sheetName val="129_015"/>
      <sheetName val="&lt;T-8&gt;Sop_Acero_Alcantarillas5"/>
      <sheetName val="(Puente)-Mal_Nombre5"/>
      <sheetName val="4_1_1_015"/>
      <sheetName val="4_1_1_045"/>
      <sheetName val="4_1_1_065"/>
      <sheetName val="4_1_1_085"/>
      <sheetName val="104_015"/>
      <sheetName val="104_025"/>
      <sheetName val="4_1_1_95"/>
      <sheetName val="4_1_1_105"/>
      <sheetName val="4_1_1_115"/>
      <sheetName val="4_1_1_125"/>
      <sheetName val="4_1_1_145"/>
      <sheetName val="4_1_1_155"/>
      <sheetName val="4_1_1_165"/>
      <sheetName val="4_1_1_185"/>
      <sheetName val="4_1_1_215"/>
      <sheetName val="130_015"/>
      <sheetName val="4_1_1_225"/>
      <sheetName val="4_1_1_255"/>
      <sheetName val="4_1_1_265"/>
      <sheetName val="120_015"/>
      <sheetName val="104_035"/>
      <sheetName val="4_1_4_045"/>
      <sheetName val="102_015"/>
      <sheetName val="102_025"/>
      <sheetName val="102_035"/>
      <sheetName val="102_045"/>
      <sheetName val="102_055"/>
      <sheetName val="4_1_4_065"/>
      <sheetName val="4_1_4_085"/>
      <sheetName val="4_1_4_095"/>
      <sheetName val="4_1_4_115"/>
      <sheetName val="4_1_4_185"/>
      <sheetName val="4_1_4_255"/>
      <sheetName val="106_025"/>
      <sheetName val="113_015"/>
      <sheetName val="113_025"/>
      <sheetName val="113_035"/>
      <sheetName val="106_015"/>
      <sheetName val="121_015"/>
      <sheetName val="121_025"/>
      <sheetName val="131_015"/>
      <sheetName val="131_025"/>
      <sheetName val="140_015"/>
      <sheetName val="140_025"/>
      <sheetName val="145_015"/>
      <sheetName val="145_025"/>
      <sheetName val="145_035"/>
      <sheetName val="145_045"/>
      <sheetName val="145_055"/>
      <sheetName val="163_015"/>
      <sheetName val="(Puente)-Haras_Nacionales5"/>
      <sheetName val="PN-4_2_2_025"/>
      <sheetName val="151_015"/>
      <sheetName val="4_2_2_025"/>
      <sheetName val="4_2_2_035"/>
      <sheetName val="4_2_2_045"/>
      <sheetName val="4_2_2_105"/>
      <sheetName val="151_025"/>
      <sheetName val="4_2_2_115"/>
      <sheetName val="4_2_2_125"/>
      <sheetName val="4_2_2_135"/>
      <sheetName val="103_015"/>
      <sheetName val="103_025"/>
      <sheetName val="103_035"/>
      <sheetName val="103_045"/>
      <sheetName val="105_015"/>
      <sheetName val="105_025"/>
      <sheetName val="105_035"/>
      <sheetName val="4_2_2_15_5"/>
      <sheetName val="4_2_2_165"/>
      <sheetName val="4_2_2_175"/>
      <sheetName val="108_015"/>
      <sheetName val="108_025"/>
      <sheetName val="108_035"/>
      <sheetName val="111_015"/>
      <sheetName val="111_025"/>
      <sheetName val="111_035"/>
      <sheetName val="111_045"/>
      <sheetName val="114_015"/>
      <sheetName val="122_015"/>
      <sheetName val="141_015"/>
      <sheetName val="141_025"/>
      <sheetName val="141_035"/>
      <sheetName val="132_015"/>
      <sheetName val="132_025"/>
      <sheetName val="zapata_bordillo-haras5"/>
      <sheetName val="4_1_3_045"/>
      <sheetName val="4_1_3_065"/>
      <sheetName val="4_1_3_075"/>
      <sheetName val="4_1_3_085"/>
      <sheetName val="4_1_3_095"/>
      <sheetName val="112_015"/>
      <sheetName val="112_025"/>
      <sheetName val="112_035"/>
      <sheetName val="112_045"/>
      <sheetName val="112_055"/>
      <sheetName val="112_065"/>
      <sheetName val="112_075"/>
      <sheetName val="4_1_3_015"/>
      <sheetName val="4_1_3_185"/>
      <sheetName val="4_1_3_255"/>
      <sheetName val="123_015"/>
      <sheetName val="123_025"/>
      <sheetName val="123_035"/>
      <sheetName val="133_015"/>
      <sheetName val="142_015"/>
      <sheetName val="142_025"/>
      <sheetName val="146_015"/>
      <sheetName val="146_025"/>
      <sheetName val="146_035"/>
      <sheetName val="146_045"/>
      <sheetName val="152_015"/>
      <sheetName val="152_025"/>
      <sheetName val="164_015"/>
      <sheetName val="zapata_bordillo_losa_Yuca5"/>
      <sheetName val="172_015"/>
      <sheetName val="172_025"/>
      <sheetName val="172_035"/>
      <sheetName val="PN-4_1_3_015"/>
      <sheetName val="PN-4_1_3_025"/>
      <sheetName val="PN-4_1_3_035"/>
      <sheetName val="PN-4_1_3_045"/>
      <sheetName val="4_1_2_065"/>
      <sheetName val="4_1_2_075"/>
      <sheetName val="4_1_2_115"/>
      <sheetName val="4_1_2_185"/>
      <sheetName val="4_1_2_205"/>
      <sheetName val="4_1_2_085"/>
      <sheetName val="4_1_2_255"/>
      <sheetName val="134_015"/>
      <sheetName val="134_025"/>
      <sheetName val="134_035"/>
      <sheetName val="143_015"/>
      <sheetName val="147_015"/>
      <sheetName val="153_015"/>
      <sheetName val="165_015"/>
      <sheetName val="165_025"/>
      <sheetName val="165_035"/>
      <sheetName val="173_015"/>
      <sheetName val="173_025"/>
      <sheetName val="PN-4_1_2_015"/>
      <sheetName val="PN-4_1_2_035"/>
      <sheetName val="PN-4_1_2_045"/>
      <sheetName val="PN-4_1_2_055"/>
      <sheetName val="153_025"/>
      <sheetName val="153_035"/>
      <sheetName val="4_1_5_045"/>
      <sheetName val="4_1_5_065"/>
      <sheetName val="4_1_5_075"/>
      <sheetName val="4_1_5_085"/>
      <sheetName val="4_1_5_095"/>
      <sheetName val="4_1_5_115"/>
      <sheetName val="154_015"/>
      <sheetName val="154_025"/>
      <sheetName val="135_015"/>
      <sheetName val="135_025"/>
      <sheetName val="135_035"/>
      <sheetName val="135_045"/>
      <sheetName val="135_055"/>
      <sheetName val="166_015"/>
      <sheetName val="174_015"/>
      <sheetName val="174_025"/>
      <sheetName val="174_035"/>
      <sheetName val="PN-4_1_5_035"/>
      <sheetName val="PN-4_1_5_055"/>
      <sheetName val="PN-4_1_5_065"/>
      <sheetName val="PN-4_1_5_075"/>
      <sheetName val="PN-4_1_5_085"/>
      <sheetName val="PN-4_1_5_095"/>
      <sheetName val="PN-4_1_5_115"/>
      <sheetName val="PN-4_1_5_125"/>
      <sheetName val="174_045"/>
      <sheetName val="174_055"/>
      <sheetName val="174_065"/>
      <sheetName val="174_075"/>
      <sheetName val="PN-4_1_5_135"/>
      <sheetName val="4_1_6_025"/>
      <sheetName val="4_1_6_055"/>
      <sheetName val="4_1_6_075"/>
      <sheetName val="4_1_6_095"/>
      <sheetName val="4_1_6_105"/>
      <sheetName val="&lt;P_U_&gt;Estructura_Puente5"/>
      <sheetName val="4_1_6_135"/>
      <sheetName val="4_1_6_175"/>
      <sheetName val="175_015"/>
      <sheetName val="175_025"/>
      <sheetName val="175_035"/>
      <sheetName val="175_045"/>
      <sheetName val="PN-4_1_6_035"/>
      <sheetName val="175_055"/>
      <sheetName val="144_015"/>
      <sheetName val="144_025"/>
      <sheetName val="144_035"/>
      <sheetName val="155_015"/>
      <sheetName val="155_025"/>
      <sheetName val="155_035"/>
      <sheetName val="PN-4_1_6_065"/>
      <sheetName val="PN-4_1_6_09@PN-4_1_6_115"/>
      <sheetName val="PN-4_1_6_145"/>
      <sheetName val="(Puente)-Juan_Tomas5"/>
      <sheetName val="156_015"/>
      <sheetName val="156_025"/>
      <sheetName val="167_015"/>
      <sheetName val="176_015"/>
      <sheetName val="176_025"/>
      <sheetName val="176_035"/>
      <sheetName val="176_045"/>
      <sheetName val="176_055"/>
      <sheetName val="176_065"/>
      <sheetName val="176_075"/>
      <sheetName val="176_085"/>
      <sheetName val="176_095"/>
      <sheetName val="176_105"/>
      <sheetName val="176_115"/>
      <sheetName val="176_125"/>
      <sheetName val="PN-4_1_7_045"/>
      <sheetName val="PN-4_1_7_055"/>
      <sheetName val="PN-4_1_7_065"/>
      <sheetName val="PN-4_1_7_095"/>
      <sheetName val="PN-4_1_7_105"/>
      <sheetName val="PN-4_1_7_115"/>
      <sheetName val="PN-4_1_7_125"/>
      <sheetName val="PN-4_1_7_145"/>
      <sheetName val="PN-4_1_7_205"/>
      <sheetName val="PN-4_1_7_295"/>
      <sheetName val="4_2_1_055"/>
      <sheetName val="4_2_1_175"/>
      <sheetName val="4_2_1_10_5"/>
      <sheetName val="4_2_1_115"/>
      <sheetName val="4_2_1_135"/>
      <sheetName val="115_015"/>
      <sheetName val="115_025"/>
      <sheetName val="115_035"/>
      <sheetName val="115_045"/>
      <sheetName val="115_055"/>
      <sheetName val="115_065"/>
      <sheetName val="115_075"/>
      <sheetName val="115_085"/>
      <sheetName val="124_015"/>
      <sheetName val="124_025"/>
      <sheetName val="124_035"/>
      <sheetName val="124_045"/>
      <sheetName val="124_055"/>
      <sheetName val="148_015"/>
      <sheetName val="148_025"/>
      <sheetName val="157_015"/>
      <sheetName val="157_025"/>
      <sheetName val="PN-4_2_1_035"/>
      <sheetName val="PN-4_2_1_055"/>
      <sheetName val="PN-4_2_1_085"/>
      <sheetName val="4_2_1_165"/>
      <sheetName val="4_2_1_215"/>
      <sheetName val="4_2_1_295"/>
      <sheetName val="4_2_1_305"/>
      <sheetName val="registros_punta5"/>
      <sheetName val="(Distribuidor)-La_Victoria5"/>
      <sheetName val="4_2_4_105"/>
      <sheetName val="4_2_4_045"/>
      <sheetName val="4_2_4_115"/>
      <sheetName val="4_2_4_155"/>
      <sheetName val="4_2_4_165"/>
      <sheetName val="4_2_4_135"/>
      <sheetName val="125_015"/>
      <sheetName val="125_025"/>
      <sheetName val="177_015"/>
      <sheetName val="177_025"/>
      <sheetName val="177_035"/>
      <sheetName val="177_045"/>
      <sheetName val="177_055"/>
      <sheetName val="177_065"/>
      <sheetName val="177_075"/>
      <sheetName val="158_015"/>
      <sheetName val="158_025"/>
      <sheetName val="158_035"/>
      <sheetName val="158_045"/>
      <sheetName val="158_055"/>
      <sheetName val="(Distribuidor)-Carre_Samaná5"/>
      <sheetName val="4_2_5_015"/>
      <sheetName val="4_2_5_035"/>
      <sheetName val="4_2_5_115"/>
      <sheetName val="4_2_5_125"/>
      <sheetName val="4_2_5_135"/>
      <sheetName val="4_2_5_145"/>
      <sheetName val="178_015"/>
      <sheetName val="178_025"/>
      <sheetName val="178_035"/>
      <sheetName val="178_045"/>
      <sheetName val="178_055"/>
      <sheetName val="PN-4_2_5_045"/>
      <sheetName val="PN-4_2_5_085"/>
      <sheetName val="PN-4_2_5_125"/>
      <sheetName val="PN-4_2_5_155"/>
      <sheetName val="(Paso_Inferior)-La_Victoria5"/>
      <sheetName val="4_3_2_105"/>
      <sheetName val="4_3_2_115"/>
      <sheetName val="4_3_2_125"/>
      <sheetName val="4_3_2_145"/>
      <sheetName val="4_3_2_155"/>
      <sheetName val="4_3_2_185"/>
      <sheetName val="4_3_2_215"/>
      <sheetName val="4_3_2_225"/>
      <sheetName val="(Paso_Inferior)-Mata_Mamón5"/>
      <sheetName val="4_3_3_105"/>
      <sheetName val="4_3_3_115"/>
      <sheetName val="4_3_3_125"/>
      <sheetName val="4_3_3_145"/>
      <sheetName val="4_3_3_185"/>
      <sheetName val="4_3_3_215"/>
      <sheetName val="4_3_3_225"/>
      <sheetName val="(Paso_Inferior)-Yabacao5"/>
      <sheetName val="136_015"/>
      <sheetName val="136_025"/>
      <sheetName val="136_035"/>
      <sheetName val="136_045"/>
      <sheetName val="149_015"/>
      <sheetName val="136_055"/>
      <sheetName val="(Puente)-Provisional_Ozama_5"/>
      <sheetName val="117_015"/>
      <sheetName val="117_025"/>
      <sheetName val="117_035"/>
      <sheetName val="117_045"/>
      <sheetName val="(Paso_Inferior)_El_Aguacate5"/>
      <sheetName val="(Paso_Inferior)-Los_Rojas5"/>
      <sheetName val="159_015"/>
      <sheetName val="159_025"/>
      <sheetName val="159_035"/>
      <sheetName val="159_045"/>
      <sheetName val="168_015"/>
      <sheetName val="168_025"/>
      <sheetName val="168_035"/>
      <sheetName val="179_015"/>
      <sheetName val="PN-4_3_6_065"/>
      <sheetName val="(Paso_Inferior)-El_Aguacate5"/>
      <sheetName val="169_015"/>
      <sheetName val="169_025"/>
      <sheetName val="Aguacate-_015"/>
      <sheetName val="169_035"/>
      <sheetName val="169_045"/>
      <sheetName val="180_015"/>
      <sheetName val="170_015"/>
      <sheetName val="170_025"/>
      <sheetName val="PN-4_3_5_035"/>
      <sheetName val="PN-4_3_5_045"/>
      <sheetName val="PN-4_3_5_055"/>
      <sheetName val="(Paso_Inferior)-Mal_Nombre5"/>
      <sheetName val="170_035"/>
      <sheetName val="170_045"/>
      <sheetName val="181_015"/>
      <sheetName val="181_025"/>
      <sheetName val="117_055"/>
      <sheetName val="117_065"/>
      <sheetName val="126_015"/>
      <sheetName val="126_025"/>
      <sheetName val="137_015"/>
      <sheetName val="&lt;T-12&gt;Sop_Pedrap_Puente_Prov_5"/>
      <sheetName val="PN-4_3_1_035"/>
      <sheetName val="PN-4_3_1_055"/>
      <sheetName val="PN-4_3_1_075"/>
      <sheetName val="&lt;T-9&gt;Sop_Pilotes5"/>
      <sheetName val="&lt;T-10&gt;Sop_Acero_Puentes5"/>
      <sheetName val="Misceláneos-Estr_5"/>
      <sheetName val="182_015"/>
      <sheetName val="&lt;P_U_&gt;Acero_Refuerzo5"/>
      <sheetName val="&lt;P_U_&gt;Pretensado_Cable_Acero5"/>
      <sheetName val="Wick_Drains-Geopier5"/>
      <sheetName val="109_015"/>
      <sheetName val="118_015"/>
      <sheetName val="118_025"/>
      <sheetName val="127_015"/>
      <sheetName val="171_01@171_035"/>
      <sheetName val="127_025"/>
      <sheetName val="127_035"/>
      <sheetName val="138_015"/>
      <sheetName val="&lt;T-13&gt;Drenes_Verticales5"/>
      <sheetName val="&lt;T-16&gt;Pre-Perforación_Drenes5"/>
      <sheetName val="&lt;T-17&gt;Columna_de_Grava5"/>
      <sheetName val="&lt;T-18&gt;Columna_Grava_Terravanza5"/>
      <sheetName val="4_4_025"/>
      <sheetName val="PN-4_4_015"/>
      <sheetName val="PN-4_4_025"/>
      <sheetName val="(5)-Estructura_de_Pavimento5"/>
      <sheetName val="5_015"/>
      <sheetName val="5_025"/>
      <sheetName val="5_03@5_065"/>
      <sheetName val="5_07@5_105"/>
      <sheetName val="5_115"/>
      <sheetName val="5_125"/>
      <sheetName val="5_135"/>
      <sheetName val="5_145"/>
      <sheetName val="5_155"/>
      <sheetName val="&lt;T-2&gt;Acopio_Base_Planta_Indio5"/>
      <sheetName val="&lt;P_U_&gt;Base_Estabilizada5"/>
      <sheetName val="5_16@5_195"/>
      <sheetName val="160_015"/>
      <sheetName val="160_025"/>
      <sheetName val="183_015"/>
      <sheetName val="183_025"/>
      <sheetName val="PN-5_015"/>
      <sheetName val="PN-5_035"/>
      <sheetName val="PN-5_045"/>
      <sheetName val="PN-5_055"/>
      <sheetName val="&lt;T-19&gt;Sop_SubBase5"/>
      <sheetName val="&lt;T-20&gt;Sop_Base5"/>
      <sheetName val="&lt;T-21&gt;Sop_Asfalto5"/>
      <sheetName val="6_2_015"/>
      <sheetName val="6_3_015"/>
      <sheetName val="6_3_025"/>
      <sheetName val="6_3_035"/>
      <sheetName val="6_3_045"/>
      <sheetName val="6_3_055"/>
      <sheetName val="6_3_195"/>
      <sheetName val="6_3_205"/>
      <sheetName val="6_3_215"/>
      <sheetName val="6_1_01_Contenes5"/>
      <sheetName val="6_1_02_Bordillos5"/>
      <sheetName val="6_1_03_Aceras_Hormigon_5"/>
      <sheetName val="6_1_04Relleno_Acera5"/>
      <sheetName val="Iluminacion_Vial5"/>
      <sheetName val="(7)-Electrificación_e_ilum_5"/>
      <sheetName val="7_015"/>
      <sheetName val="7_025"/>
      <sheetName val="107_015"/>
      <sheetName val="185_015"/>
      <sheetName val="&lt;T-11&gt;Sop_Militares5"/>
      <sheetName val="(Reembolsables)-Interf_Electri5"/>
      <sheetName val="186_015"/>
      <sheetName val="Pres__Interferencia_Electrica5"/>
      <sheetName val="(110)-Puente_Provisional5"/>
      <sheetName val="110_015"/>
      <sheetName val="x1-relleno_prueba5"/>
      <sheetName val="&lt;x1&gt;Relleno_Prueba_Avenida5"/>
      <sheetName val="&lt;Estatus_Proyecto&gt;5"/>
      <sheetName val="EXC__QMC5"/>
      <sheetName val="TRACT_MINA5"/>
      <sheetName val="%_Ralenti_CF-C12_5"/>
      <sheetName val="%_Ralenti_EXC_5"/>
      <sheetName val="%_Ralenti_EXC__(2)5"/>
      <sheetName val="REND_5"/>
      <sheetName val="T__HORA5"/>
      <sheetName val="Base_de_Dato5"/>
      <sheetName val="Los_Ángeles_(Fase_II)4"/>
      <sheetName val="MANO_DE_OBRA4"/>
      <sheetName val="Analisis_de_precios_SURFACE5"/>
      <sheetName val="BOQ_desglose_4"/>
      <sheetName val="MANT_TRANSITO4"/>
      <sheetName val="Analisis_de_Costos4"/>
      <sheetName val="Pu-Sanit_4"/>
      <sheetName val="Trabajos_Generales4"/>
      <sheetName val="Rendimientos_OM4"/>
      <sheetName val="Incremento_Precios3"/>
      <sheetName val="PARTIDAS_NUEVAS3"/>
      <sheetName val="Insumos_materiales3"/>
      <sheetName val="Costos_Mano_de_Obra3"/>
      <sheetName val="Ana__Horm_mexc_mort3"/>
      <sheetName val="anal_term3"/>
      <sheetName val="Anal__horm_3"/>
      <sheetName val="PU-Elect_3"/>
      <sheetName val="Pres__3"/>
      <sheetName val="V_Tierras_A3"/>
      <sheetName val="ANALISIS_ENTREGABLE3"/>
      <sheetName val="Ins_23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 refreshError="1"/>
      <sheetData sheetId="1192" refreshError="1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s"/>
      <sheetName val="PP"/>
      <sheetName val="511"/>
      <sheetName val="501"/>
      <sheetName val="502"/>
      <sheetName val="Perda de produtividade_INSUMOS"/>
      <sheetName val="Overview"/>
      <sheetName val="Parameters"/>
      <sheetName val="Relatorio"/>
      <sheetName val="PM"/>
      <sheetName val="DADOS"/>
      <sheetName val="RELATÓRIO"/>
      <sheetName val="Gr.Indisp."/>
      <sheetName val="Gr.Oper-Conf"/>
      <sheetName val="COTAÇÕ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AP"/>
      <sheetName val="DS"/>
      <sheetName val="ANA"/>
      <sheetName val="PRE"/>
      <sheetName val="INS"/>
      <sheetName val="AC-Capítulo No.7"/>
      <sheetName val="AC-Capítulo No.5"/>
      <sheetName val="AC-Capítulo No.2"/>
      <sheetName val="AC-Capítulo No.18"/>
      <sheetName val="AC-Complementarios"/>
      <sheetName val="Volumenes"/>
      <sheetName val="anal term"/>
      <sheetName val="Ana-Sanit."/>
      <sheetName val="Anal. horm."/>
      <sheetName val="UASD"/>
      <sheetName val="Mat"/>
      <sheetName val="Pu-Sanit."/>
      <sheetName val="Hoja1"/>
      <sheetName val="M.O."/>
      <sheetName val="AC-Capítulo_No_7"/>
      <sheetName val="AC-Capítulo_No_5"/>
      <sheetName val="AC-Capítulo_No_2"/>
      <sheetName val="AC-Capítulo_No_18"/>
      <sheetName val="anal_term"/>
      <sheetName val="Ana-Sanit_"/>
      <sheetName val="Anal__horm_"/>
      <sheetName val="Pu-Sanit_"/>
      <sheetName val="M_O_"/>
    </sheetNames>
    <sheetDataSet>
      <sheetData sheetId="0" refreshError="1"/>
      <sheetData sheetId="1" refreshError="1"/>
      <sheetData sheetId="2" refreshError="1"/>
      <sheetData sheetId="3" refreshError="1">
        <row r="190">
          <cell r="F190">
            <v>36.760000000000005</v>
          </cell>
        </row>
        <row r="232">
          <cell r="F232">
            <v>27.77</v>
          </cell>
        </row>
        <row r="239">
          <cell r="F239">
            <v>71.930000000000007</v>
          </cell>
        </row>
        <row r="246">
          <cell r="F246">
            <v>108.78999999999999</v>
          </cell>
        </row>
        <row r="275">
          <cell r="F275">
            <v>29.410000000000004</v>
          </cell>
        </row>
        <row r="324">
          <cell r="F324">
            <v>16.64</v>
          </cell>
        </row>
        <row r="331">
          <cell r="F331">
            <v>37.800000000000004</v>
          </cell>
        </row>
        <row r="338">
          <cell r="F338">
            <v>55.54999999999999</v>
          </cell>
        </row>
        <row r="373">
          <cell r="F373">
            <v>17.170000000000002</v>
          </cell>
        </row>
        <row r="415">
          <cell r="F415">
            <v>47.57</v>
          </cell>
        </row>
        <row r="429">
          <cell r="F429">
            <v>32.340000000000003</v>
          </cell>
        </row>
        <row r="451">
          <cell r="F451">
            <v>55.51</v>
          </cell>
        </row>
        <row r="514">
          <cell r="F514">
            <v>102.43749999999999</v>
          </cell>
        </row>
        <row r="526">
          <cell r="F526">
            <v>266.39750000000004</v>
          </cell>
        </row>
        <row r="536">
          <cell r="F536">
            <v>150.01</v>
          </cell>
        </row>
        <row r="907">
          <cell r="F907">
            <v>7767.3603186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volume"/>
      <sheetName val="Pareto_Template (2)"/>
      <sheetName val="Deployment_by_Countries"/>
      <sheetName val="TMEF - TMR 131"/>
      <sheetName val="TMEF - TMR 151"/>
      <sheetName val="Tela Inicial"/>
      <sheetName val="TMEF _ TMR  121"/>
      <sheetName val="Vermelha"/>
      <sheetName val="#¡REF"/>
      <sheetName val="RESULTADOS"/>
      <sheetName val="Prod"/>
      <sheetName val="Eficiencia"/>
      <sheetName val="0_0"/>
      <sheetName val="1_0"/>
      <sheetName val="1_1"/>
      <sheetName val="1_2"/>
      <sheetName val="1_3"/>
      <sheetName val="2_0"/>
      <sheetName val="3_0"/>
      <sheetName val="3_1"/>
      <sheetName val="3_2"/>
      <sheetName val="4_0"/>
      <sheetName val="5_0"/>
      <sheetName val="5_1"/>
      <sheetName val="5_2"/>
      <sheetName val="5_3"/>
      <sheetName val="6_0"/>
      <sheetName val="6_1"/>
      <sheetName val="6_2"/>
      <sheetName val="6_3_Jan"/>
      <sheetName val="6_3_Feb"/>
      <sheetName val="6_3_Mar"/>
      <sheetName val="6_3_Apr"/>
      <sheetName val="6_3_May"/>
      <sheetName val="6_3_Jun"/>
      <sheetName val="6_3_Jul"/>
      <sheetName val="6_3_Aug"/>
      <sheetName val="6_3_Sep"/>
      <sheetName val="6_3_Oct"/>
      <sheetName val="6_3_Nov"/>
      <sheetName val="6_3_Dec"/>
      <sheetName val="7_0"/>
      <sheetName val="7_1"/>
      <sheetName val="8_0"/>
      <sheetName val="8_1"/>
      <sheetName val="Aux_(2)"/>
      <sheetName val="Pareto_Template_(2)"/>
      <sheetName val="TMEF_-_TMR_131"/>
      <sheetName val="TMEF_-_TMR_151"/>
      <sheetName val="Tela_Inicial"/>
      <sheetName val="TMEF___TMR__121"/>
      <sheetName val="PM"/>
      <sheetName val="AO"/>
      <sheetName val="BG"/>
      <sheetName val="EE"/>
      <sheetName val="PV"/>
      <sheetName val="SG"/>
      <sheetName val="TI"/>
      <sheetName val="Plan1"/>
      <sheetName val="2124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6">
          <cell r="T36" t="str">
            <v>FILL ALL DATES</v>
          </cell>
        </row>
        <row r="37">
          <cell r="T37" t="str">
            <v>FILL ALL DATES</v>
          </cell>
        </row>
        <row r="38">
          <cell r="T38" t="str">
            <v>FILL ALL DATES</v>
          </cell>
        </row>
        <row r="39">
          <cell r="T39" t="str">
            <v>FILL ALL DATES</v>
          </cell>
        </row>
        <row r="40">
          <cell r="T40" t="str">
            <v>FILL ALL DATES</v>
          </cell>
        </row>
        <row r="41">
          <cell r="T41" t="str">
            <v>FILL ALL DATES</v>
          </cell>
        </row>
        <row r="42">
          <cell r="T42" t="str">
            <v>FILL ALL DATES</v>
          </cell>
        </row>
        <row r="43">
          <cell r="T43" t="str">
            <v>FILL ALL DATES</v>
          </cell>
        </row>
        <row r="44">
          <cell r="T44" t="str">
            <v>FILL ALL DATES</v>
          </cell>
        </row>
        <row r="45">
          <cell r="T45" t="str">
            <v>FILL ALL DATES</v>
          </cell>
        </row>
        <row r="46">
          <cell r="T46" t="str">
            <v>FILL ALL DATES</v>
          </cell>
        </row>
        <row r="47">
          <cell r="T47" t="str">
            <v>FILL ALL DATES</v>
          </cell>
        </row>
        <row r="48">
          <cell r="T48" t="str">
            <v>FILL ALL DATES</v>
          </cell>
        </row>
        <row r="49">
          <cell r="T49" t="str">
            <v>FILL ALL DATES</v>
          </cell>
        </row>
        <row r="50">
          <cell r="T50" t="str">
            <v>FILL ALL DATES</v>
          </cell>
        </row>
        <row r="51">
          <cell r="T51" t="str">
            <v>FILL ALL DATES</v>
          </cell>
        </row>
        <row r="52">
          <cell r="T52" t="str">
            <v>FILL ALL DATES</v>
          </cell>
        </row>
        <row r="53">
          <cell r="T53" t="str">
            <v>FILL ALL DATES</v>
          </cell>
        </row>
        <row r="54">
          <cell r="T54" t="str">
            <v>FILL ALL DATES</v>
          </cell>
        </row>
        <row r="55">
          <cell r="T55" t="str">
            <v>FILL ALL DATES</v>
          </cell>
        </row>
        <row r="56">
          <cell r="T56" t="str">
            <v>FILL ALL DATES</v>
          </cell>
        </row>
        <row r="57">
          <cell r="B57">
            <v>50</v>
          </cell>
          <cell r="T57" t="str">
            <v>FILL ALL DATES</v>
          </cell>
        </row>
        <row r="58">
          <cell r="B58">
            <v>51</v>
          </cell>
          <cell r="T58" t="str">
            <v>FILL ALL DATES</v>
          </cell>
        </row>
        <row r="59">
          <cell r="B59">
            <v>52</v>
          </cell>
          <cell r="T59" t="str">
            <v>FILL ALL DATES</v>
          </cell>
        </row>
        <row r="60">
          <cell r="B60">
            <v>53</v>
          </cell>
          <cell r="T60" t="str">
            <v>FILL ALL DATES</v>
          </cell>
        </row>
        <row r="61">
          <cell r="B61">
            <v>54</v>
          </cell>
          <cell r="T61" t="str">
            <v>FILL ALL DATES</v>
          </cell>
        </row>
        <row r="62">
          <cell r="B62">
            <v>55</v>
          </cell>
          <cell r="T62" t="str">
            <v>FILL ALL DATES</v>
          </cell>
        </row>
        <row r="63">
          <cell r="B63">
            <v>56</v>
          </cell>
          <cell r="T63" t="str">
            <v>FILL ALL DATES</v>
          </cell>
        </row>
        <row r="64">
          <cell r="B64">
            <v>57</v>
          </cell>
          <cell r="T64" t="str">
            <v>FILL ALL DATES</v>
          </cell>
        </row>
        <row r="65">
          <cell r="B65">
            <v>58</v>
          </cell>
          <cell r="T65" t="str">
            <v>FILL ALL DATES</v>
          </cell>
        </row>
        <row r="66">
          <cell r="B66">
            <v>59</v>
          </cell>
          <cell r="T66" t="str">
            <v>FILL ALL DATES</v>
          </cell>
        </row>
        <row r="67">
          <cell r="B67">
            <v>60</v>
          </cell>
          <cell r="T67" t="str">
            <v>FILL ALL DATES</v>
          </cell>
        </row>
        <row r="68">
          <cell r="B68">
            <v>61</v>
          </cell>
          <cell r="T68" t="str">
            <v>FILL ALL DATES</v>
          </cell>
        </row>
        <row r="69">
          <cell r="B69">
            <v>62</v>
          </cell>
          <cell r="T69" t="str">
            <v>FILL ALL DATES</v>
          </cell>
        </row>
        <row r="70">
          <cell r="B70">
            <v>63</v>
          </cell>
          <cell r="T70" t="str">
            <v>FILL ALL DATES</v>
          </cell>
        </row>
        <row r="71">
          <cell r="B71">
            <v>64</v>
          </cell>
          <cell r="T71" t="str">
            <v>FILL ALL DATES</v>
          </cell>
        </row>
        <row r="72">
          <cell r="B72">
            <v>65</v>
          </cell>
          <cell r="T72" t="str">
            <v>FILL ALL DATES</v>
          </cell>
        </row>
        <row r="73">
          <cell r="B73">
            <v>66</v>
          </cell>
          <cell r="T73" t="str">
            <v>FILL ALL DATES</v>
          </cell>
        </row>
        <row r="74">
          <cell r="B74">
            <v>67</v>
          </cell>
          <cell r="T74" t="str">
            <v>FILL ALL DATES</v>
          </cell>
        </row>
        <row r="75">
          <cell r="B75">
            <v>68</v>
          </cell>
          <cell r="T75" t="str">
            <v>FILL ALL DATES</v>
          </cell>
        </row>
        <row r="76">
          <cell r="B76">
            <v>69</v>
          </cell>
          <cell r="T76" t="str">
            <v>FILL ALL DATES</v>
          </cell>
        </row>
        <row r="77">
          <cell r="B77">
            <v>70</v>
          </cell>
          <cell r="T77" t="str">
            <v>FILL ALL DATES</v>
          </cell>
        </row>
        <row r="78">
          <cell r="B78">
            <v>71</v>
          </cell>
          <cell r="T78" t="str">
            <v>FILL ALL DATES</v>
          </cell>
        </row>
        <row r="79">
          <cell r="B79">
            <v>72</v>
          </cell>
          <cell r="T79" t="str">
            <v>FILL ALL DATES</v>
          </cell>
        </row>
        <row r="80">
          <cell r="B80">
            <v>73</v>
          </cell>
          <cell r="T80" t="str">
            <v>FILL ALL DATES</v>
          </cell>
        </row>
        <row r="81">
          <cell r="B81">
            <v>74</v>
          </cell>
          <cell r="T81" t="str">
            <v>FILL ALL DATES</v>
          </cell>
        </row>
        <row r="82">
          <cell r="B82">
            <v>75</v>
          </cell>
          <cell r="T82" t="str">
            <v>FILL ALL DATES</v>
          </cell>
        </row>
        <row r="83">
          <cell r="B83">
            <v>76</v>
          </cell>
          <cell r="T83" t="str">
            <v>FILL ALL DATES</v>
          </cell>
        </row>
        <row r="84">
          <cell r="B84">
            <v>77</v>
          </cell>
          <cell r="T84" t="str">
            <v>FILL ALL DATES</v>
          </cell>
        </row>
        <row r="85">
          <cell r="B85">
            <v>78</v>
          </cell>
          <cell r="T85" t="str">
            <v>FILL ALL DATES</v>
          </cell>
        </row>
        <row r="86">
          <cell r="B86">
            <v>79</v>
          </cell>
          <cell r="T86" t="str">
            <v>FILL ALL DATES</v>
          </cell>
        </row>
        <row r="87">
          <cell r="B87">
            <v>80</v>
          </cell>
          <cell r="T87" t="str">
            <v>FILL ALL DATES</v>
          </cell>
        </row>
        <row r="88">
          <cell r="B88">
            <v>81</v>
          </cell>
          <cell r="T88" t="str">
            <v>FILL ALL DATES</v>
          </cell>
        </row>
        <row r="89">
          <cell r="B89">
            <v>82</v>
          </cell>
          <cell r="T89" t="str">
            <v>FILL ALL DATES</v>
          </cell>
        </row>
        <row r="90">
          <cell r="B90">
            <v>83</v>
          </cell>
          <cell r="T90" t="str">
            <v>FILL ALL DATES</v>
          </cell>
        </row>
        <row r="91">
          <cell r="B91">
            <v>84</v>
          </cell>
          <cell r="T91" t="str">
            <v>FILL ALL DATES</v>
          </cell>
        </row>
        <row r="92">
          <cell r="B92">
            <v>85</v>
          </cell>
          <cell r="T92" t="str">
            <v>FILL ALL DATES</v>
          </cell>
        </row>
        <row r="93">
          <cell r="B93">
            <v>86</v>
          </cell>
          <cell r="T93" t="str">
            <v>FILL ALL DATES</v>
          </cell>
        </row>
        <row r="94">
          <cell r="B94">
            <v>87</v>
          </cell>
          <cell r="T94" t="str">
            <v>FILL ALL DATES</v>
          </cell>
        </row>
        <row r="95">
          <cell r="B95">
            <v>88</v>
          </cell>
          <cell r="T95" t="str">
            <v>FILL ALL DATES</v>
          </cell>
        </row>
        <row r="96">
          <cell r="B96">
            <v>89</v>
          </cell>
          <cell r="T96" t="str">
            <v>FILL ALL DATES</v>
          </cell>
        </row>
        <row r="97">
          <cell r="B97">
            <v>90</v>
          </cell>
          <cell r="T97" t="str">
            <v>FILL ALL DATES</v>
          </cell>
        </row>
        <row r="98">
          <cell r="B98">
            <v>91</v>
          </cell>
          <cell r="T98" t="str">
            <v>FILL ALL DATES</v>
          </cell>
        </row>
        <row r="99">
          <cell r="B99">
            <v>92</v>
          </cell>
          <cell r="T99" t="str">
            <v>FILL ALL DATES</v>
          </cell>
        </row>
        <row r="100">
          <cell r="B100">
            <v>93</v>
          </cell>
          <cell r="T100" t="str">
            <v>FILL ALL DATES</v>
          </cell>
        </row>
        <row r="101">
          <cell r="B101">
            <v>94</v>
          </cell>
          <cell r="T101" t="str">
            <v>FILL ALL DATES</v>
          </cell>
        </row>
        <row r="102">
          <cell r="B102">
            <v>95</v>
          </cell>
          <cell r="T102" t="str">
            <v>FILL ALL DATES</v>
          </cell>
        </row>
        <row r="103">
          <cell r="B103">
            <v>96</v>
          </cell>
          <cell r="T103" t="str">
            <v>FILL ALL DATES</v>
          </cell>
        </row>
        <row r="104">
          <cell r="B104">
            <v>97</v>
          </cell>
          <cell r="T104" t="str">
            <v>FILL ALL DATES</v>
          </cell>
        </row>
        <row r="105">
          <cell r="B105">
            <v>98</v>
          </cell>
          <cell r="T105" t="str">
            <v>FILL ALL DATES</v>
          </cell>
        </row>
        <row r="106">
          <cell r="B106">
            <v>99</v>
          </cell>
          <cell r="T106" t="str">
            <v>FILL ALL DATES</v>
          </cell>
        </row>
        <row r="107">
          <cell r="B107">
            <v>100</v>
          </cell>
          <cell r="T107" t="str">
            <v>FILL ALL DATES</v>
          </cell>
        </row>
        <row r="108">
          <cell r="B108">
            <v>101</v>
          </cell>
          <cell r="T108" t="str">
            <v>FILL ALL DATES</v>
          </cell>
        </row>
        <row r="109">
          <cell r="B109">
            <v>102</v>
          </cell>
          <cell r="T109" t="str">
            <v>FILL ALL DATES</v>
          </cell>
        </row>
        <row r="110">
          <cell r="B110">
            <v>103</v>
          </cell>
          <cell r="T110" t="str">
            <v>FILL ALL DATES</v>
          </cell>
        </row>
        <row r="111">
          <cell r="B111">
            <v>104</v>
          </cell>
          <cell r="T111" t="str">
            <v>FILL ALL DATES</v>
          </cell>
        </row>
        <row r="112">
          <cell r="B112">
            <v>105</v>
          </cell>
          <cell r="T112" t="str">
            <v>FILL ALL DATES</v>
          </cell>
        </row>
        <row r="113">
          <cell r="B113">
            <v>106</v>
          </cell>
          <cell r="T113" t="str">
            <v>FILL ALL DATES</v>
          </cell>
        </row>
        <row r="114">
          <cell r="B114">
            <v>107</v>
          </cell>
          <cell r="T114" t="str">
            <v>FILL ALL DATES</v>
          </cell>
        </row>
        <row r="115">
          <cell r="B115">
            <v>108</v>
          </cell>
          <cell r="T115" t="str">
            <v>FILL ALL DATES</v>
          </cell>
        </row>
        <row r="116">
          <cell r="B116">
            <v>109</v>
          </cell>
          <cell r="T116" t="str">
            <v>FILL ALL DATES</v>
          </cell>
        </row>
        <row r="117">
          <cell r="B117">
            <v>110</v>
          </cell>
          <cell r="T117" t="str">
            <v>FILL ALL DATES</v>
          </cell>
        </row>
        <row r="118">
          <cell r="B118">
            <v>111</v>
          </cell>
          <cell r="T118" t="str">
            <v>FILL ALL DATES</v>
          </cell>
        </row>
        <row r="119">
          <cell r="B119">
            <v>112</v>
          </cell>
          <cell r="T119" t="str">
            <v>FILL ALL DATES</v>
          </cell>
        </row>
        <row r="120">
          <cell r="B120">
            <v>113</v>
          </cell>
          <cell r="T120" t="str">
            <v>FILL ALL DATES</v>
          </cell>
        </row>
        <row r="121">
          <cell r="B121">
            <v>114</v>
          </cell>
          <cell r="T121" t="str">
            <v>FILL ALL DATES</v>
          </cell>
        </row>
        <row r="122">
          <cell r="B122">
            <v>115</v>
          </cell>
          <cell r="T122" t="str">
            <v>FILL ALL DATES</v>
          </cell>
        </row>
        <row r="123">
          <cell r="B123">
            <v>116</v>
          </cell>
          <cell r="T123" t="str">
            <v>FILL ALL DATES</v>
          </cell>
        </row>
        <row r="124">
          <cell r="B124">
            <v>117</v>
          </cell>
          <cell r="T124" t="str">
            <v>FILL ALL DATES</v>
          </cell>
        </row>
        <row r="125">
          <cell r="B125">
            <v>118</v>
          </cell>
          <cell r="T125" t="str">
            <v>FILL ALL DATES</v>
          </cell>
        </row>
        <row r="126">
          <cell r="B126">
            <v>119</v>
          </cell>
          <cell r="T126" t="str">
            <v>FILL ALL DATES</v>
          </cell>
        </row>
        <row r="127">
          <cell r="B127">
            <v>120</v>
          </cell>
          <cell r="T127" t="str">
            <v>FILL ALL DATES</v>
          </cell>
        </row>
        <row r="128">
          <cell r="B128">
            <v>121</v>
          </cell>
          <cell r="T128" t="str">
            <v>FILL ALL DATES</v>
          </cell>
        </row>
        <row r="129">
          <cell r="B129">
            <v>122</v>
          </cell>
          <cell r="T129" t="str">
            <v>FILL ALL DATES</v>
          </cell>
        </row>
        <row r="130">
          <cell r="B130">
            <v>123</v>
          </cell>
          <cell r="T130" t="str">
            <v>FILL ALL DATES</v>
          </cell>
        </row>
        <row r="131">
          <cell r="B131">
            <v>124</v>
          </cell>
          <cell r="T131" t="str">
            <v>FILL ALL DATES</v>
          </cell>
        </row>
        <row r="132">
          <cell r="B132">
            <v>125</v>
          </cell>
          <cell r="T132" t="str">
            <v>FILL ALL DATES</v>
          </cell>
        </row>
        <row r="133">
          <cell r="B133">
            <v>126</v>
          </cell>
          <cell r="T133" t="str">
            <v>FILL ALL DATES</v>
          </cell>
        </row>
        <row r="134">
          <cell r="B134">
            <v>127</v>
          </cell>
          <cell r="T134" t="str">
            <v>FILL ALL DATES</v>
          </cell>
        </row>
        <row r="135">
          <cell r="B135">
            <v>128</v>
          </cell>
          <cell r="T135" t="str">
            <v>FILL ALL DATES</v>
          </cell>
        </row>
        <row r="136">
          <cell r="B136">
            <v>129</v>
          </cell>
          <cell r="T136" t="str">
            <v>FILL ALL DATES</v>
          </cell>
        </row>
        <row r="137">
          <cell r="B137">
            <v>130</v>
          </cell>
          <cell r="T137" t="str">
            <v>FILL ALL DATES</v>
          </cell>
        </row>
        <row r="138">
          <cell r="B138">
            <v>131</v>
          </cell>
          <cell r="T138" t="str">
            <v>FILL ALL DATES</v>
          </cell>
        </row>
        <row r="139">
          <cell r="B139">
            <v>132</v>
          </cell>
          <cell r="T139" t="str">
            <v>FILL ALL DATES</v>
          </cell>
        </row>
        <row r="140">
          <cell r="B140">
            <v>133</v>
          </cell>
          <cell r="T140" t="str">
            <v>FILL ALL DATES</v>
          </cell>
        </row>
        <row r="141">
          <cell r="B141">
            <v>134</v>
          </cell>
          <cell r="T141" t="str">
            <v>FILL ALL DATES</v>
          </cell>
        </row>
        <row r="142">
          <cell r="B142">
            <v>135</v>
          </cell>
          <cell r="T142" t="str">
            <v>FILL ALL DATES</v>
          </cell>
        </row>
        <row r="143">
          <cell r="B143">
            <v>136</v>
          </cell>
          <cell r="T143" t="str">
            <v>FILL ALL DATES</v>
          </cell>
        </row>
        <row r="144">
          <cell r="B144">
            <v>137</v>
          </cell>
          <cell r="T144" t="str">
            <v>FILL ALL DATES</v>
          </cell>
        </row>
        <row r="145">
          <cell r="B145">
            <v>138</v>
          </cell>
          <cell r="T145" t="str">
            <v>FILL ALL DATES</v>
          </cell>
        </row>
        <row r="146">
          <cell r="B146">
            <v>139</v>
          </cell>
          <cell r="T146" t="str">
            <v>FILL ALL DATES</v>
          </cell>
        </row>
        <row r="147">
          <cell r="B147">
            <v>140</v>
          </cell>
          <cell r="T147" t="str">
            <v>FILL ALL DATES</v>
          </cell>
        </row>
        <row r="148">
          <cell r="B148">
            <v>141</v>
          </cell>
          <cell r="T148" t="str">
            <v>FILL ALL DATES</v>
          </cell>
        </row>
        <row r="149">
          <cell r="B149">
            <v>142</v>
          </cell>
          <cell r="T149" t="str">
            <v>FILL ALL DATES</v>
          </cell>
        </row>
        <row r="150">
          <cell r="B150">
            <v>143</v>
          </cell>
          <cell r="T150" t="str">
            <v>FILL ALL DATES</v>
          </cell>
        </row>
        <row r="151">
          <cell r="B151">
            <v>144</v>
          </cell>
          <cell r="T151" t="str">
            <v>FILL ALL DATES</v>
          </cell>
        </row>
        <row r="152">
          <cell r="B152">
            <v>145</v>
          </cell>
          <cell r="T152" t="str">
            <v>FILL ALL DATES</v>
          </cell>
        </row>
        <row r="153">
          <cell r="B153">
            <v>146</v>
          </cell>
          <cell r="T153" t="str">
            <v>FILL ALL DATES</v>
          </cell>
        </row>
        <row r="154">
          <cell r="B154">
            <v>147</v>
          </cell>
          <cell r="T154" t="str">
            <v>FILL ALL DATES</v>
          </cell>
        </row>
        <row r="155">
          <cell r="B155">
            <v>148</v>
          </cell>
          <cell r="T155" t="str">
            <v>FILL ALL DATES</v>
          </cell>
        </row>
        <row r="156">
          <cell r="B156">
            <v>149</v>
          </cell>
          <cell r="T156" t="str">
            <v>FILL ALL DATES</v>
          </cell>
        </row>
        <row r="157">
          <cell r="B157">
            <v>150</v>
          </cell>
          <cell r="T157" t="str">
            <v>FILL ALL DATES</v>
          </cell>
        </row>
        <row r="158">
          <cell r="B158">
            <v>151</v>
          </cell>
          <cell r="T158" t="str">
            <v>FILL ALL DATES</v>
          </cell>
        </row>
        <row r="159">
          <cell r="B159">
            <v>152</v>
          </cell>
          <cell r="T159" t="str">
            <v>FILL ALL DATES</v>
          </cell>
        </row>
        <row r="160">
          <cell r="B160">
            <v>153</v>
          </cell>
          <cell r="T160" t="str">
            <v>FILL ALL DATES</v>
          </cell>
        </row>
        <row r="161">
          <cell r="B161">
            <v>154</v>
          </cell>
          <cell r="T161" t="str">
            <v>FILL ALL DATES</v>
          </cell>
        </row>
        <row r="162">
          <cell r="B162">
            <v>155</v>
          </cell>
          <cell r="T162" t="str">
            <v>FILL ALL DATES</v>
          </cell>
        </row>
        <row r="163">
          <cell r="B163">
            <v>156</v>
          </cell>
          <cell r="T163" t="str">
            <v>FILL ALL DATES</v>
          </cell>
        </row>
        <row r="164">
          <cell r="B164">
            <v>157</v>
          </cell>
          <cell r="T164" t="str">
            <v>FILL ALL DATES</v>
          </cell>
        </row>
        <row r="165">
          <cell r="B165">
            <v>158</v>
          </cell>
          <cell r="T165" t="str">
            <v>FILL ALL DATES</v>
          </cell>
        </row>
        <row r="166">
          <cell r="B166">
            <v>159</v>
          </cell>
          <cell r="T166" t="str">
            <v>FILL ALL DATES</v>
          </cell>
        </row>
        <row r="167">
          <cell r="B167">
            <v>160</v>
          </cell>
          <cell r="T167" t="str">
            <v>FILL ALL DATES</v>
          </cell>
        </row>
        <row r="168">
          <cell r="B168">
            <v>161</v>
          </cell>
          <cell r="T168" t="str">
            <v>FILL ALL DATES</v>
          </cell>
        </row>
        <row r="169">
          <cell r="B169">
            <v>162</v>
          </cell>
          <cell r="T169" t="str">
            <v>FILL ALL DATES</v>
          </cell>
        </row>
        <row r="170">
          <cell r="B170">
            <v>163</v>
          </cell>
          <cell r="T170" t="str">
            <v>FILL ALL DATES</v>
          </cell>
        </row>
        <row r="171">
          <cell r="B171">
            <v>164</v>
          </cell>
          <cell r="T171" t="str">
            <v>FILL ALL DATES</v>
          </cell>
        </row>
        <row r="172">
          <cell r="B172">
            <v>165</v>
          </cell>
          <cell r="T172" t="str">
            <v>FILL ALL DATES</v>
          </cell>
        </row>
        <row r="173">
          <cell r="B173">
            <v>166</v>
          </cell>
          <cell r="T173" t="str">
            <v>FILL ALL DATES</v>
          </cell>
        </row>
        <row r="174">
          <cell r="B174">
            <v>167</v>
          </cell>
          <cell r="T174" t="str">
            <v>FILL ALL DATES</v>
          </cell>
        </row>
        <row r="175">
          <cell r="B175">
            <v>168</v>
          </cell>
          <cell r="T175" t="str">
            <v>FILL ALL DATES</v>
          </cell>
        </row>
        <row r="176">
          <cell r="B176">
            <v>169</v>
          </cell>
          <cell r="T176" t="str">
            <v>FILL ALL DATES</v>
          </cell>
        </row>
        <row r="177">
          <cell r="B177">
            <v>170</v>
          </cell>
          <cell r="T177" t="str">
            <v>FILL ALL DATES</v>
          </cell>
        </row>
        <row r="178">
          <cell r="B178">
            <v>171</v>
          </cell>
          <cell r="T178" t="str">
            <v>FILL ALL DATES</v>
          </cell>
        </row>
        <row r="179">
          <cell r="B179">
            <v>172</v>
          </cell>
          <cell r="T179" t="str">
            <v>FILL ALL DATES</v>
          </cell>
        </row>
        <row r="180">
          <cell r="B180">
            <v>173</v>
          </cell>
          <cell r="T180" t="str">
            <v>FILL ALL DATES</v>
          </cell>
        </row>
        <row r="181">
          <cell r="B181">
            <v>174</v>
          </cell>
          <cell r="T181" t="str">
            <v>FILL ALL DATES</v>
          </cell>
        </row>
        <row r="182">
          <cell r="B182">
            <v>175</v>
          </cell>
          <cell r="T182" t="str">
            <v>FILL ALL DATES</v>
          </cell>
        </row>
        <row r="183">
          <cell r="B183">
            <v>176</v>
          </cell>
          <cell r="T183" t="str">
            <v>FILL ALL DATES</v>
          </cell>
        </row>
        <row r="184">
          <cell r="B184">
            <v>177</v>
          </cell>
          <cell r="T184" t="str">
            <v>FILL ALL DATES</v>
          </cell>
        </row>
        <row r="185">
          <cell r="B185">
            <v>178</v>
          </cell>
          <cell r="T185" t="str">
            <v>FILL ALL DATES</v>
          </cell>
        </row>
        <row r="186">
          <cell r="B186">
            <v>179</v>
          </cell>
          <cell r="T186" t="str">
            <v>FILL ALL DATES</v>
          </cell>
        </row>
        <row r="187">
          <cell r="B187">
            <v>180</v>
          </cell>
          <cell r="T187" t="str">
            <v>FILL ALL DATES</v>
          </cell>
        </row>
        <row r="188">
          <cell r="B188">
            <v>181</v>
          </cell>
          <cell r="T188" t="str">
            <v>FILL ALL DATES</v>
          </cell>
        </row>
        <row r="189">
          <cell r="B189">
            <v>182</v>
          </cell>
          <cell r="T189" t="str">
            <v>FILL ALL DATES</v>
          </cell>
        </row>
        <row r="190">
          <cell r="B190">
            <v>183</v>
          </cell>
          <cell r="T190" t="str">
            <v>FILL ALL DATES</v>
          </cell>
        </row>
        <row r="191">
          <cell r="B191">
            <v>184</v>
          </cell>
          <cell r="T191" t="str">
            <v>FILL ALL DATES</v>
          </cell>
        </row>
        <row r="192">
          <cell r="B192">
            <v>185</v>
          </cell>
          <cell r="T192" t="str">
            <v>FILL ALL DATES</v>
          </cell>
        </row>
        <row r="193">
          <cell r="B193">
            <v>186</v>
          </cell>
          <cell r="T193" t="str">
            <v>FILL ALL DATES</v>
          </cell>
        </row>
        <row r="194">
          <cell r="B194">
            <v>187</v>
          </cell>
          <cell r="T194" t="str">
            <v>FILL ALL DATES</v>
          </cell>
        </row>
        <row r="195">
          <cell r="B195">
            <v>188</v>
          </cell>
          <cell r="T195" t="str">
            <v>FILL ALL DATES</v>
          </cell>
        </row>
        <row r="196">
          <cell r="B196">
            <v>189</v>
          </cell>
          <cell r="T196" t="str">
            <v>FILL ALL DATES</v>
          </cell>
        </row>
        <row r="197">
          <cell r="B197">
            <v>190</v>
          </cell>
          <cell r="T197" t="str">
            <v>FILL ALL DATES</v>
          </cell>
        </row>
        <row r="198">
          <cell r="B198">
            <v>191</v>
          </cell>
          <cell r="T198" t="str">
            <v>FILL ALL DATES</v>
          </cell>
        </row>
        <row r="199">
          <cell r="B199">
            <v>192</v>
          </cell>
          <cell r="T199" t="str">
            <v>FILL ALL DATES</v>
          </cell>
        </row>
        <row r="200">
          <cell r="B200">
            <v>193</v>
          </cell>
          <cell r="T200" t="str">
            <v>FILL ALL DATES</v>
          </cell>
        </row>
        <row r="201">
          <cell r="B201">
            <v>193</v>
          </cell>
          <cell r="T201" t="str">
            <v>FILL ALL DATES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>
        <row r="1">
          <cell r="K1" t="str">
            <v>Monthly</v>
          </cell>
        </row>
        <row r="2">
          <cell r="A2" t="str">
            <v>GHQ</v>
          </cell>
          <cell r="B2" t="str">
            <v>CEO - Chief Executive Officer</v>
          </cell>
          <cell r="C2" t="str">
            <v>ARGENTINA</v>
          </cell>
          <cell r="G2" t="str">
            <v>MM EUROS</v>
          </cell>
          <cell r="J2" t="str">
            <v>TO BE STARTED</v>
          </cell>
          <cell r="K2" t="str">
            <v>Quarterly</v>
          </cell>
        </row>
        <row r="3">
          <cell r="A3" t="str">
            <v>NA</v>
          </cell>
          <cell r="B3" t="str">
            <v>CMO - Marketing</v>
          </cell>
          <cell r="C3" t="str">
            <v>BELGIUM</v>
          </cell>
          <cell r="G3" t="str">
            <v>MM USD</v>
          </cell>
          <cell r="J3" t="str">
            <v>IN PROGRESS</v>
          </cell>
          <cell r="K3" t="str">
            <v>Semester</v>
          </cell>
        </row>
        <row r="4">
          <cell r="A4" t="str">
            <v>LAN</v>
          </cell>
          <cell r="B4" t="str">
            <v>CSO - Sales</v>
          </cell>
          <cell r="C4" t="str">
            <v>BRAND CONTRACT</v>
          </cell>
          <cell r="G4" t="str">
            <v>MM HL</v>
          </cell>
          <cell r="J4" t="str">
            <v>COMPLETE</v>
          </cell>
          <cell r="K4" t="str">
            <v>Annually</v>
          </cell>
        </row>
        <row r="5">
          <cell r="A5" t="str">
            <v>LAS</v>
          </cell>
          <cell r="B5" t="str">
            <v>CFO - Finance</v>
          </cell>
          <cell r="C5" t="str">
            <v>BRANDS</v>
          </cell>
          <cell r="G5" t="str">
            <v>kHl</v>
          </cell>
          <cell r="J5" t="str">
            <v>DELAYED</v>
          </cell>
        </row>
        <row r="6">
          <cell r="A6" t="str">
            <v>WE</v>
          </cell>
          <cell r="B6" t="str">
            <v>CSuO - Supply</v>
          </cell>
          <cell r="C6" t="str">
            <v>BRAZIL BRANDS</v>
          </cell>
          <cell r="G6" t="str">
            <v>MONTHS</v>
          </cell>
          <cell r="J6" t="str">
            <v>CANCELED</v>
          </cell>
        </row>
        <row r="7">
          <cell r="A7" t="str">
            <v>CEE</v>
          </cell>
          <cell r="B7" t="str">
            <v>CPTO - People &amp; IT</v>
          </cell>
          <cell r="C7" t="str">
            <v>CA / PR</v>
          </cell>
          <cell r="G7" t="str">
            <v>WEEKS</v>
          </cell>
        </row>
        <row r="8">
          <cell r="A8" t="str">
            <v>APAC</v>
          </cell>
          <cell r="B8" t="str">
            <v>CLO - Legal</v>
          </cell>
          <cell r="C8" t="str">
            <v>CANADA BUSINESS</v>
          </cell>
          <cell r="G8" t="str">
            <v>DAYS</v>
          </cell>
        </row>
        <row r="9">
          <cell r="A9" t="str">
            <v>APAC China</v>
          </cell>
          <cell r="B9" t="str">
            <v>Zone North America</v>
          </cell>
          <cell r="C9" t="str">
            <v>CASH FLOW</v>
          </cell>
          <cell r="G9" t="str">
            <v>HOURS</v>
          </cell>
        </row>
        <row r="10">
          <cell r="A10" t="str">
            <v>APAC Korea</v>
          </cell>
          <cell r="B10" t="str">
            <v>Zone Latin America North</v>
          </cell>
          <cell r="C10" t="str">
            <v>CHINA</v>
          </cell>
          <cell r="G10" t="str">
            <v>MINUTES</v>
          </cell>
        </row>
        <row r="11">
          <cell r="B11" t="str">
            <v>Zone Latin America South</v>
          </cell>
          <cell r="C11" t="str">
            <v>EG</v>
          </cell>
          <cell r="G11" t="str">
            <v>FAILURES</v>
          </cell>
        </row>
        <row r="12">
          <cell r="B12" t="str">
            <v>Zone Western Europe</v>
          </cell>
          <cell r="C12" t="str">
            <v>ENGAGEMENT</v>
          </cell>
          <cell r="G12" t="str">
            <v>%</v>
          </cell>
        </row>
        <row r="13">
          <cell r="B13" t="str">
            <v>Zone Central &amp; Eastern Europe</v>
          </cell>
          <cell r="C13" t="str">
            <v>EXECUTION</v>
          </cell>
          <cell r="G13" t="str">
            <v>K HL</v>
          </cell>
        </row>
        <row r="14">
          <cell r="B14" t="str">
            <v>Zone Asia Pacific</v>
          </cell>
          <cell r="C14" t="str">
            <v>FINANCIAL DISCIPLINE</v>
          </cell>
          <cell r="G14" t="str">
            <v>K USD</v>
          </cell>
        </row>
        <row r="15">
          <cell r="C15" t="str">
            <v>INTERNATIONAL</v>
          </cell>
          <cell r="G15" t="str">
            <v>K EUR</v>
          </cell>
        </row>
        <row r="16">
          <cell r="C16" t="str">
            <v>IT IS &amp; BSS</v>
          </cell>
        </row>
        <row r="17">
          <cell r="C17" t="str">
            <v>LITIGATION</v>
          </cell>
        </row>
        <row r="18">
          <cell r="C18" t="str">
            <v>MIX ENHANCEMENT</v>
          </cell>
        </row>
        <row r="19">
          <cell r="C19" t="str">
            <v>NATIONAL BRAND CHINA</v>
          </cell>
        </row>
        <row r="20">
          <cell r="C20" t="str">
            <v xml:space="preserve">PEOPLE EFFICIENCY </v>
          </cell>
        </row>
        <row r="21">
          <cell r="C21" t="str">
            <v>PRICE</v>
          </cell>
        </row>
        <row r="22">
          <cell r="C22" t="str">
            <v>PROCUREMENT</v>
          </cell>
        </row>
        <row r="23">
          <cell r="C23" t="str">
            <v>PROJECTS</v>
          </cell>
        </row>
        <row r="24">
          <cell r="C24" t="str">
            <v>ROUTE TO MARKET (RTM) EFFICIENCY</v>
          </cell>
        </row>
        <row r="25">
          <cell r="C25" t="str">
            <v>RTM RUSSIA</v>
          </cell>
        </row>
        <row r="26">
          <cell r="C26" t="str">
            <v>SUPPLY CHAIN EFFICIENCY</v>
          </cell>
        </row>
        <row r="27">
          <cell r="C27" t="str">
            <v>TALENT PIPELINE</v>
          </cell>
        </row>
        <row r="28">
          <cell r="C28" t="str">
            <v>VARIABLE COST</v>
          </cell>
        </row>
        <row r="29">
          <cell r="C29" t="str">
            <v>VOLUME</v>
          </cell>
        </row>
        <row r="30">
          <cell r="C30" t="str">
            <v>VOLUME FOR RUSSIA + UKRAINE</v>
          </cell>
        </row>
        <row r="31">
          <cell r="C31" t="str">
            <v>VOLUMES</v>
          </cell>
        </row>
        <row r="32">
          <cell r="C32" t="str">
            <v>ZONE APAC SUSTAINABILITY</v>
          </cell>
        </row>
        <row r="33">
          <cell r="C33" t="str">
            <v>ZONE CEE</v>
          </cell>
        </row>
        <row r="34">
          <cell r="C34" t="str">
            <v>ZONE LAN</v>
          </cell>
        </row>
        <row r="35">
          <cell r="C35" t="str">
            <v>ZONE LAS</v>
          </cell>
        </row>
        <row r="36">
          <cell r="C36" t="str">
            <v>ZONE NA</v>
          </cell>
        </row>
        <row r="37">
          <cell r="C37" t="str">
            <v>ZONE WE</v>
          </cell>
        </row>
      </sheetData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RESUMEN GENERAL"/>
      <sheetName val="RESUMEN OB"/>
      <sheetName val="CUBICACION OB"/>
    </sheetNames>
    <sheetDataSet>
      <sheetData sheetId="0">
        <row r="15">
          <cell r="N15">
            <v>2325993.6433786633</v>
          </cell>
        </row>
        <row r="16">
          <cell r="N16">
            <v>1344373.9645100147</v>
          </cell>
        </row>
        <row r="17">
          <cell r="N17">
            <v>3670367.6078886781</v>
          </cell>
        </row>
        <row r="18">
          <cell r="N18">
            <v>3670367.6078886781</v>
          </cell>
        </row>
        <row r="22">
          <cell r="N22">
            <v>1579114.5664216317</v>
          </cell>
        </row>
        <row r="24">
          <cell r="N24">
            <v>2091253.0414670464</v>
          </cell>
        </row>
        <row r="26">
          <cell r="N26">
            <v>1312107.8899999999</v>
          </cell>
        </row>
        <row r="28">
          <cell r="N28">
            <v>779145.15146704647</v>
          </cell>
        </row>
        <row r="31">
          <cell r="N31">
            <v>183518.38039443363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Dados BLP"/>
      <sheetName val="Brazil Soverei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2">
          <cell r="I2" t="str">
            <v>YES</v>
          </cell>
        </row>
        <row r="3">
          <cell r="I3" t="str">
            <v>NO</v>
          </cell>
        </row>
      </sheetData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FPACK"/>
    </sheetNames>
    <definedNames>
      <definedName name="FazFiltro"/>
      <definedName name="Imprimir"/>
      <definedName name="OrdenarFábrica"/>
      <definedName name="OrdenarÍndices"/>
      <definedName name="OrdenarMelhores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.C.502-98"/>
      <sheetName val="I.C.502-99"/>
      <sheetName val="I.CRÍTICOS-98"/>
      <sheetName val="I.CRÍTICOS-99"/>
      <sheetName val="CAUSA PTP"/>
      <sheetName val="CAUSA PROD"/>
      <sheetName val="CAUSA 8S"/>
      <sheetName val="CAUSA TMEF-TMR"/>
      <sheetName val="CAUSA SABÃO"/>
      <sheetName val="CAUSA ÁGUA"/>
      <sheetName val="PLANO98"/>
      <sheetName val="PLANO99"/>
      <sheetName val="CUSTOS"/>
      <sheetName val="Custo Variável"/>
      <sheetName val="Master"/>
      <sheetName val="Resumen Costo"/>
    </sheetNames>
    <definedNames>
      <definedName name="Impressao"/>
      <definedName name="Muda_Co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S"/>
    </sheetNames>
    <definedNames>
      <definedName name="Impressao2"/>
      <definedName name="Muda_Cor2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 Menu"/>
      <sheetName val="Assessment"/>
      <sheetName val="New Dependencies"/>
      <sheetName val="Doc Version"/>
      <sheetName val="Data"/>
      <sheetName val="FilterData"/>
      <sheetName val="Brewery_No"/>
      <sheetName val="look-up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M2" t="str">
            <v>In-Progress</v>
          </cell>
        </row>
        <row r="3">
          <cell r="M3" t="str">
            <v>Complete</v>
          </cell>
        </row>
        <row r="4">
          <cell r="M4" t="str">
            <v>Pending</v>
          </cell>
        </row>
        <row r="5">
          <cell r="M5" t="str">
            <v>Yes</v>
          </cell>
        </row>
        <row r="6">
          <cell r="M6" t="str">
            <v>No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P5P"/>
      <sheetName val="Seguimiento ALR 2022 (2)"/>
      <sheetName val="Seguimiento ALR 2022"/>
      <sheetName val="Hoja4"/>
      <sheetName val="Seguimiento ALRM"/>
      <sheetName val="Hoja1"/>
      <sheetName val="Reunion AP"/>
      <sheetName val="Reunión de KyR"/>
      <sheetName val="Hoja3"/>
      <sheetName val="Vacaciones DM"/>
      <sheetName val="Directorio de localidades"/>
      <sheetName val="Proyectos "/>
      <sheetName val="Dias no Laborables"/>
      <sheetName val="Aprezio"/>
      <sheetName val="Cronograma de Liquidacion "/>
      <sheetName val="Hoja2"/>
      <sheetName val="Configuración"/>
      <sheetName val="Seguimiento de tareas de Equi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"/>
      <sheetName val="Modelo"/>
      <sheetName val="Dados"/>
      <sheetName val="BCK"/>
      <sheetName val="AC"/>
      <sheetName val="Orientações"/>
      <sheetName val="28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CINA"/>
      <sheetName val="Norteña"/>
      <sheetName val="Norteña (2)"/>
      <sheetName val="POZA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Consideraciones "/>
      <sheetName val="Plan OI"/>
      <sheetName val="Presupuesto"/>
      <sheetName val="Flujo de Caja"/>
      <sheetName val="BD Plan Detallado"/>
      <sheetName val="PRESSTO PD"/>
      <sheetName val="Cronograma Inverso"/>
      <sheetName val="Tiempo-termino Importación"/>
      <sheetName val="AF ETAPA 1"/>
      <sheetName val="DETALLE ETAPA 1"/>
      <sheetName val="Pre-Liquidar"/>
      <sheetName val="Plantilla Plan Detallado - OI -"/>
    </sheetNames>
    <sheetDataSet>
      <sheetData sheetId="0"/>
      <sheetData sheetId="1"/>
      <sheetData sheetId="2">
        <row r="1">
          <cell r="E1"/>
          <cell r="G1"/>
        </row>
        <row r="2">
          <cell r="A2"/>
          <cell r="C2"/>
          <cell r="D2"/>
          <cell r="E2"/>
          <cell r="F2"/>
          <cell r="G2"/>
        </row>
        <row r="3">
          <cell r="A3"/>
          <cell r="B3" t="str">
            <v>Presupuesto Veron</v>
          </cell>
          <cell r="C3"/>
          <cell r="D3"/>
          <cell r="E3"/>
          <cell r="F3"/>
          <cell r="G3"/>
          <cell r="H3"/>
        </row>
        <row r="4">
          <cell r="A4"/>
          <cell r="B4"/>
          <cell r="C4"/>
          <cell r="D4"/>
          <cell r="E4"/>
          <cell r="F4"/>
          <cell r="G4"/>
        </row>
        <row r="5">
          <cell r="A5"/>
          <cell r="B5">
            <v>62.35</v>
          </cell>
          <cell r="C5"/>
          <cell r="D5"/>
          <cell r="E5"/>
          <cell r="G5" t="str">
            <v>N/A</v>
          </cell>
        </row>
        <row r="6">
          <cell r="A6"/>
          <cell r="B6"/>
          <cell r="C6"/>
          <cell r="D6"/>
          <cell r="E6"/>
          <cell r="F6"/>
          <cell r="G6" t="str">
            <v xml:space="preserve">Presupuesto </v>
          </cell>
          <cell r="H6"/>
        </row>
        <row r="7">
          <cell r="A7"/>
          <cell r="B7" t="str">
            <v>TOTAL GENERAL ESTIMADO</v>
          </cell>
          <cell r="C7"/>
          <cell r="D7"/>
          <cell r="E7"/>
          <cell r="F7"/>
          <cell r="G7">
            <v>0</v>
          </cell>
        </row>
        <row r="8">
          <cell r="B8"/>
          <cell r="C8"/>
          <cell r="D8"/>
          <cell r="E8"/>
        </row>
        <row r="9">
          <cell r="A9"/>
          <cell r="B9" t="str">
            <v>Resumen de Partidas</v>
          </cell>
          <cell r="C9"/>
          <cell r="D9"/>
          <cell r="E9"/>
          <cell r="F9"/>
          <cell r="G9"/>
          <cell r="H9"/>
        </row>
        <row r="10">
          <cell r="A10"/>
          <cell r="B10" t="str">
            <v>EDIFICACION</v>
          </cell>
          <cell r="C10"/>
          <cell r="D10"/>
          <cell r="E10"/>
          <cell r="F10"/>
          <cell r="G10">
            <v>0</v>
          </cell>
          <cell r="H10"/>
        </row>
        <row r="11">
          <cell r="A11"/>
          <cell r="B11" t="str">
            <v>EQUIPAMIENTO</v>
          </cell>
          <cell r="C11"/>
          <cell r="D11"/>
          <cell r="E11"/>
          <cell r="F11"/>
          <cell r="G11">
            <v>0</v>
          </cell>
          <cell r="H11"/>
        </row>
        <row r="12">
          <cell r="A12"/>
          <cell r="B12" t="str">
            <v>TERRENO</v>
          </cell>
          <cell r="C12"/>
          <cell r="D12"/>
          <cell r="E12"/>
          <cell r="F12"/>
          <cell r="G12">
            <v>0</v>
          </cell>
          <cell r="H12"/>
        </row>
        <row r="13">
          <cell r="A13"/>
          <cell r="B13" t="str">
            <v>Área de la Localidad</v>
          </cell>
          <cell r="C13"/>
          <cell r="D13"/>
          <cell r="E13"/>
          <cell r="F13"/>
          <cell r="G13"/>
          <cell r="H13"/>
        </row>
        <row r="14">
          <cell r="A14"/>
          <cell r="B14" t="str">
            <v>M2 Construccion</v>
          </cell>
          <cell r="C14"/>
          <cell r="D14"/>
          <cell r="E14"/>
          <cell r="F14"/>
          <cell r="G14"/>
        </row>
        <row r="15">
          <cell r="A15"/>
          <cell r="B15" t="str">
            <v>M2 Sala de Ventas</v>
          </cell>
          <cell r="C15"/>
          <cell r="D15"/>
          <cell r="E15"/>
          <cell r="F15"/>
          <cell r="G15"/>
        </row>
        <row r="16">
          <cell r="A16"/>
          <cell r="B16" t="str">
            <v>M2 Terreno</v>
          </cell>
          <cell r="C16"/>
          <cell r="D16"/>
          <cell r="E16"/>
          <cell r="F16"/>
          <cell r="G16"/>
        </row>
        <row r="17">
          <cell r="A17"/>
          <cell r="B17" t="str">
            <v>Edificación, Instalaciones y Equipamientos</v>
          </cell>
          <cell r="C17"/>
          <cell r="D17"/>
          <cell r="E17"/>
          <cell r="F17"/>
          <cell r="G17"/>
          <cell r="H17"/>
        </row>
        <row r="18">
          <cell r="A18">
            <v>1</v>
          </cell>
          <cell r="B18" t="str">
            <v>Estudios Preliminares</v>
          </cell>
          <cell r="C18"/>
          <cell r="D18"/>
          <cell r="E18"/>
          <cell r="F18"/>
          <cell r="G18">
            <v>0</v>
          </cell>
          <cell r="H18"/>
        </row>
        <row r="19">
          <cell r="A19">
            <v>1.01</v>
          </cell>
          <cell r="B19" t="str">
            <v>Diseño arquitectónico</v>
          </cell>
          <cell r="C19">
            <v>2</v>
          </cell>
          <cell r="D19" t="str">
            <v>USD</v>
          </cell>
          <cell r="E19">
            <v>1</v>
          </cell>
          <cell r="F19">
            <v>0</v>
          </cell>
          <cell r="G19">
            <v>0</v>
          </cell>
        </row>
        <row r="20">
          <cell r="A20">
            <v>1.02</v>
          </cell>
          <cell r="B20" t="str">
            <v>Diseño estructural</v>
          </cell>
          <cell r="C20">
            <v>2</v>
          </cell>
          <cell r="D20" t="str">
            <v>USD</v>
          </cell>
          <cell r="E20">
            <v>1</v>
          </cell>
          <cell r="F20">
            <v>0</v>
          </cell>
          <cell r="G20">
            <v>0</v>
          </cell>
        </row>
        <row r="21">
          <cell r="A21">
            <v>1.03</v>
          </cell>
          <cell r="B21" t="str">
            <v>Diseño electromecánico</v>
          </cell>
          <cell r="C21">
            <v>2</v>
          </cell>
          <cell r="D21" t="str">
            <v>USD</v>
          </cell>
          <cell r="E21">
            <v>1</v>
          </cell>
          <cell r="F21">
            <v>0</v>
          </cell>
          <cell r="G21">
            <v>0</v>
          </cell>
        </row>
        <row r="22">
          <cell r="A22">
            <v>1.04</v>
          </cell>
          <cell r="B22" t="str">
            <v>Diseño sanitario</v>
          </cell>
          <cell r="C22">
            <v>2</v>
          </cell>
          <cell r="D22" t="str">
            <v>USD</v>
          </cell>
          <cell r="E22">
            <v>1</v>
          </cell>
          <cell r="F22">
            <v>0</v>
          </cell>
          <cell r="G22">
            <v>0</v>
          </cell>
        </row>
        <row r="23">
          <cell r="A23">
            <v>1.08</v>
          </cell>
          <cell r="B23" t="str">
            <v>Diseño sistema contra incendios</v>
          </cell>
          <cell r="C23">
            <v>2</v>
          </cell>
          <cell r="D23" t="str">
            <v>USD</v>
          </cell>
          <cell r="E23">
            <v>1</v>
          </cell>
          <cell r="F23">
            <v>0</v>
          </cell>
          <cell r="G23">
            <v>0</v>
          </cell>
        </row>
        <row r="24">
          <cell r="A24">
            <v>1.0900000000000001</v>
          </cell>
          <cell r="B24" t="str">
            <v>Diseño sistema gas</v>
          </cell>
          <cell r="C24">
            <v>2</v>
          </cell>
          <cell r="D24" t="str">
            <v>USD</v>
          </cell>
          <cell r="E24">
            <v>1</v>
          </cell>
          <cell r="F24">
            <v>0</v>
          </cell>
          <cell r="G24">
            <v>0</v>
          </cell>
        </row>
        <row r="25">
          <cell r="A25">
            <v>1.05</v>
          </cell>
          <cell r="B25" t="str">
            <v>Estudio Geotécnico</v>
          </cell>
          <cell r="C25">
            <v>2</v>
          </cell>
          <cell r="D25" t="str">
            <v>USD</v>
          </cell>
          <cell r="E25">
            <v>1</v>
          </cell>
          <cell r="F25">
            <v>0</v>
          </cell>
          <cell r="G25">
            <v>0</v>
          </cell>
        </row>
        <row r="26">
          <cell r="A26">
            <v>1.06</v>
          </cell>
          <cell r="B26" t="str">
            <v>Levantamiento topográfico</v>
          </cell>
          <cell r="C26">
            <v>2</v>
          </cell>
          <cell r="D26" t="str">
            <v>USD</v>
          </cell>
          <cell r="E26">
            <v>1</v>
          </cell>
          <cell r="F26">
            <v>0</v>
          </cell>
          <cell r="G26">
            <v>0</v>
          </cell>
        </row>
        <row r="27">
          <cell r="A27">
            <v>1.07</v>
          </cell>
          <cell r="B27" t="str">
            <v>Permisos</v>
          </cell>
          <cell r="C27">
            <v>2</v>
          </cell>
          <cell r="D27" t="str">
            <v>USD</v>
          </cell>
          <cell r="E27">
            <v>1</v>
          </cell>
          <cell r="F27">
            <v>0</v>
          </cell>
          <cell r="G27">
            <v>0</v>
          </cell>
        </row>
        <row r="28">
          <cell r="A28"/>
          <cell r="D28"/>
          <cell r="E28"/>
          <cell r="F28"/>
          <cell r="G28"/>
        </row>
        <row r="29">
          <cell r="A29">
            <v>2</v>
          </cell>
          <cell r="B29" t="str">
            <v>Obra Civil</v>
          </cell>
          <cell r="C29"/>
          <cell r="D29"/>
          <cell r="E29"/>
          <cell r="F29"/>
          <cell r="G29">
            <v>0</v>
          </cell>
          <cell r="H29"/>
        </row>
        <row r="30">
          <cell r="A30">
            <v>2.0099999999999998</v>
          </cell>
          <cell r="B30" t="str">
            <v xml:space="preserve">Edificación - Obra Civil </v>
          </cell>
          <cell r="C30">
            <v>2</v>
          </cell>
          <cell r="D30" t="str">
            <v>dop</v>
          </cell>
          <cell r="E30">
            <v>62.35</v>
          </cell>
          <cell r="F30">
            <v>0</v>
          </cell>
          <cell r="G30">
            <v>0</v>
          </cell>
        </row>
        <row r="31">
          <cell r="A31">
            <v>2.02</v>
          </cell>
          <cell r="B31" t="str">
            <v>Edificación - Estructura Metálica</v>
          </cell>
          <cell r="C31">
            <v>2</v>
          </cell>
          <cell r="D31" t="str">
            <v>dop</v>
          </cell>
          <cell r="E31">
            <v>62.35</v>
          </cell>
          <cell r="F31">
            <v>0</v>
          </cell>
          <cell r="G31">
            <v>0</v>
          </cell>
        </row>
        <row r="32">
          <cell r="A32">
            <v>2.0299999999999998</v>
          </cell>
          <cell r="B32" t="str">
            <v>Edificación - Techo S.S. y Cerramientos Multipanel</v>
          </cell>
          <cell r="C32">
            <v>2</v>
          </cell>
          <cell r="D32" t="str">
            <v>dop</v>
          </cell>
          <cell r="E32">
            <v>62.35</v>
          </cell>
          <cell r="F32">
            <v>0</v>
          </cell>
          <cell r="G32">
            <v>0</v>
          </cell>
        </row>
        <row r="33">
          <cell r="A33">
            <v>2.04</v>
          </cell>
          <cell r="B33" t="str">
            <v>Edificación - Tragaluces "Skylights"</v>
          </cell>
          <cell r="C33">
            <v>2</v>
          </cell>
          <cell r="D33" t="str">
            <v>dop</v>
          </cell>
          <cell r="E33">
            <v>62.35</v>
          </cell>
          <cell r="F33">
            <v>0</v>
          </cell>
          <cell r="G33">
            <v>0</v>
          </cell>
        </row>
        <row r="34">
          <cell r="A34">
            <v>2.0499999999999998</v>
          </cell>
          <cell r="B34" t="str">
            <v>Instalaciones Sanitarias</v>
          </cell>
          <cell r="C34">
            <v>2</v>
          </cell>
          <cell r="D34" t="str">
            <v>dop</v>
          </cell>
          <cell r="E34">
            <v>62.35</v>
          </cell>
          <cell r="F34">
            <v>0</v>
          </cell>
          <cell r="G34">
            <v>0</v>
          </cell>
        </row>
        <row r="35">
          <cell r="A35">
            <v>2.06</v>
          </cell>
          <cell r="B35" t="str">
            <v>Instalación de Gas</v>
          </cell>
          <cell r="C35">
            <v>2</v>
          </cell>
          <cell r="D35" t="str">
            <v>dop</v>
          </cell>
          <cell r="E35">
            <v>62.35</v>
          </cell>
          <cell r="F35">
            <v>0</v>
          </cell>
          <cell r="G35">
            <v>0</v>
          </cell>
        </row>
        <row r="36">
          <cell r="A36">
            <v>2.0699999999999998</v>
          </cell>
          <cell r="B36" t="str">
            <v xml:space="preserve">Sistema Contra Incendios </v>
          </cell>
          <cell r="C36">
            <v>2</v>
          </cell>
          <cell r="D36" t="str">
            <v>dop</v>
          </cell>
          <cell r="E36">
            <v>62.35</v>
          </cell>
          <cell r="F36">
            <v>0</v>
          </cell>
          <cell r="G36">
            <v>0</v>
          </cell>
        </row>
        <row r="37">
          <cell r="A37">
            <v>2.08</v>
          </cell>
          <cell r="B37" t="str">
            <v>Instalaciones Mecánicas</v>
          </cell>
          <cell r="C37">
            <v>2</v>
          </cell>
          <cell r="D37" t="str">
            <v>dop</v>
          </cell>
          <cell r="E37">
            <v>62.35</v>
          </cell>
          <cell r="F37">
            <v>0</v>
          </cell>
          <cell r="G37">
            <v>0</v>
          </cell>
        </row>
        <row r="38">
          <cell r="A38">
            <v>2.09</v>
          </cell>
          <cell r="B38" t="str">
            <v>Rejillas y Sumideros</v>
          </cell>
          <cell r="C38">
            <v>2</v>
          </cell>
          <cell r="D38" t="str">
            <v>dop</v>
          </cell>
          <cell r="E38">
            <v>62.35</v>
          </cell>
          <cell r="F38">
            <v>0</v>
          </cell>
          <cell r="G38">
            <v>0</v>
          </cell>
        </row>
        <row r="39">
          <cell r="A39">
            <v>2.1</v>
          </cell>
          <cell r="B39" t="str">
            <v>Supervisión Civil y Sanitaria</v>
          </cell>
          <cell r="C39">
            <v>2</v>
          </cell>
          <cell r="D39" t="str">
            <v>dop</v>
          </cell>
          <cell r="E39">
            <v>62.35</v>
          </cell>
          <cell r="F39">
            <v>0</v>
          </cell>
          <cell r="G39">
            <v>0</v>
          </cell>
        </row>
        <row r="40">
          <cell r="A40">
            <v>2.11</v>
          </cell>
          <cell r="B40" t="str">
            <v>Supervisión Arquitectónica</v>
          </cell>
          <cell r="C40">
            <v>2</v>
          </cell>
          <cell r="D40" t="str">
            <v>dop</v>
          </cell>
          <cell r="E40">
            <v>62.35</v>
          </cell>
          <cell r="F40">
            <v>0</v>
          </cell>
          <cell r="G40">
            <v>0</v>
          </cell>
        </row>
        <row r="41">
          <cell r="A41"/>
          <cell r="B41"/>
          <cell r="C41"/>
          <cell r="D41"/>
          <cell r="E41"/>
          <cell r="F41"/>
          <cell r="G41"/>
        </row>
        <row r="42">
          <cell r="A42">
            <v>3</v>
          </cell>
          <cell r="B42" t="str">
            <v>Sistema Eléctrico</v>
          </cell>
          <cell r="C42"/>
          <cell r="D42"/>
          <cell r="E42"/>
          <cell r="F42"/>
          <cell r="G42">
            <v>0</v>
          </cell>
          <cell r="H42"/>
        </row>
        <row r="43">
          <cell r="A43">
            <v>3.01</v>
          </cell>
          <cell r="B43" t="str">
            <v>Instalaciones Eléctricas</v>
          </cell>
          <cell r="C43">
            <v>2</v>
          </cell>
          <cell r="D43" t="str">
            <v>dop</v>
          </cell>
          <cell r="E43">
            <v>62.35</v>
          </cell>
          <cell r="F43">
            <v>0</v>
          </cell>
          <cell r="G43">
            <v>0</v>
          </cell>
        </row>
        <row r="44">
          <cell r="A44">
            <v>3.02</v>
          </cell>
          <cell r="B44" t="str">
            <v>Supervisión Eléctrica</v>
          </cell>
          <cell r="C44">
            <v>2</v>
          </cell>
          <cell r="D44" t="str">
            <v>dop</v>
          </cell>
          <cell r="E44">
            <v>62.35</v>
          </cell>
          <cell r="F44">
            <v>0</v>
          </cell>
          <cell r="G44">
            <v>0</v>
          </cell>
        </row>
        <row r="45">
          <cell r="A45">
            <v>3.03</v>
          </cell>
          <cell r="B45" t="str">
            <v>Generadores</v>
          </cell>
          <cell r="C45">
            <v>2</v>
          </cell>
          <cell r="D45" t="str">
            <v>dop</v>
          </cell>
          <cell r="E45">
            <v>62.35</v>
          </cell>
          <cell r="F45">
            <v>0</v>
          </cell>
          <cell r="G45">
            <v>0</v>
          </cell>
        </row>
        <row r="46">
          <cell r="A46">
            <v>3.04</v>
          </cell>
          <cell r="B46" t="str">
            <v>Inversor y UPS</v>
          </cell>
          <cell r="C46">
            <v>2</v>
          </cell>
          <cell r="D46" t="str">
            <v>dop</v>
          </cell>
          <cell r="E46">
            <v>62.35</v>
          </cell>
          <cell r="F46">
            <v>0</v>
          </cell>
          <cell r="G46">
            <v>0</v>
          </cell>
        </row>
        <row r="47">
          <cell r="A47"/>
          <cell r="B47"/>
          <cell r="C47"/>
          <cell r="D47"/>
          <cell r="E47"/>
          <cell r="F47"/>
          <cell r="G47"/>
        </row>
        <row r="48">
          <cell r="A48">
            <v>4</v>
          </cell>
          <cell r="B48" t="str">
            <v xml:space="preserve">Sistema de Climatización   </v>
          </cell>
          <cell r="C48"/>
          <cell r="D48"/>
          <cell r="E48"/>
          <cell r="F48"/>
          <cell r="G48">
            <v>0</v>
          </cell>
          <cell r="H48"/>
        </row>
        <row r="49">
          <cell r="A49">
            <v>4.01</v>
          </cell>
          <cell r="B49" t="str">
            <v>Suministro e instalación de Equipos</v>
          </cell>
          <cell r="C49">
            <v>2</v>
          </cell>
          <cell r="D49" t="str">
            <v>dop</v>
          </cell>
          <cell r="E49">
            <v>62.35</v>
          </cell>
          <cell r="F49">
            <v>0</v>
          </cell>
          <cell r="G49">
            <v>0</v>
          </cell>
        </row>
        <row r="50">
          <cell r="A50">
            <v>4.0199999999999996</v>
          </cell>
          <cell r="B50" t="str">
            <v>Supervisión Mecánica</v>
          </cell>
          <cell r="C50">
            <v>2</v>
          </cell>
          <cell r="D50" t="str">
            <v>dop</v>
          </cell>
          <cell r="E50">
            <v>62.35</v>
          </cell>
          <cell r="F50">
            <v>0</v>
          </cell>
          <cell r="G50">
            <v>0</v>
          </cell>
        </row>
        <row r="51">
          <cell r="A51">
            <v>4.03</v>
          </cell>
          <cell r="B51" t="str">
            <v>Sistema de Extracción cocina</v>
          </cell>
          <cell r="C51">
            <v>2</v>
          </cell>
          <cell r="D51" t="str">
            <v>dop</v>
          </cell>
          <cell r="E51">
            <v>62.35</v>
          </cell>
          <cell r="F51">
            <v>0</v>
          </cell>
          <cell r="G51">
            <v>0</v>
          </cell>
        </row>
        <row r="52">
          <cell r="A52"/>
          <cell r="B52"/>
          <cell r="C52"/>
          <cell r="D52"/>
          <cell r="E52"/>
          <cell r="F52"/>
          <cell r="G52"/>
        </row>
        <row r="53">
          <cell r="A53">
            <v>5</v>
          </cell>
          <cell r="B53" t="str">
            <v>Frio Alimentario</v>
          </cell>
          <cell r="C53"/>
          <cell r="D53"/>
          <cell r="E53"/>
          <cell r="F53"/>
          <cell r="G53">
            <v>0</v>
          </cell>
          <cell r="H53"/>
        </row>
        <row r="54">
          <cell r="A54">
            <v>5.01</v>
          </cell>
          <cell r="B54" t="str">
            <v>Paneles</v>
          </cell>
          <cell r="C54">
            <v>1</v>
          </cell>
          <cell r="D54" t="str">
            <v>dop</v>
          </cell>
          <cell r="E54">
            <v>62.35</v>
          </cell>
          <cell r="F54">
            <v>0</v>
          </cell>
          <cell r="G54">
            <v>0</v>
          </cell>
        </row>
        <row r="55">
          <cell r="A55">
            <v>5.0199999999999996</v>
          </cell>
          <cell r="B55" t="str">
            <v>FRP y Diamond Plate</v>
          </cell>
          <cell r="C55">
            <v>1</v>
          </cell>
          <cell r="D55" t="str">
            <v>dop</v>
          </cell>
          <cell r="E55">
            <v>62.35</v>
          </cell>
          <cell r="F55">
            <v>0</v>
          </cell>
          <cell r="G55">
            <v>0</v>
          </cell>
        </row>
        <row r="56">
          <cell r="A56">
            <v>5.03</v>
          </cell>
          <cell r="B56" t="str">
            <v>Neveras, Centrales y Evaporadores</v>
          </cell>
          <cell r="C56">
            <v>1</v>
          </cell>
          <cell r="D56" t="str">
            <v>dop</v>
          </cell>
          <cell r="E56">
            <v>62.35</v>
          </cell>
          <cell r="F56">
            <v>0</v>
          </cell>
          <cell r="G56">
            <v>0</v>
          </cell>
        </row>
        <row r="57">
          <cell r="A57">
            <v>5.04</v>
          </cell>
          <cell r="B57" t="str">
            <v>Bumpers Mcue</v>
          </cell>
          <cell r="C57">
            <v>1</v>
          </cell>
          <cell r="D57" t="str">
            <v>dop</v>
          </cell>
          <cell r="E57">
            <v>62.35</v>
          </cell>
          <cell r="F57">
            <v>0</v>
          </cell>
          <cell r="G57">
            <v>0</v>
          </cell>
        </row>
        <row r="58">
          <cell r="A58">
            <v>5.05</v>
          </cell>
          <cell r="B58" t="str">
            <v xml:space="preserve">Trameria Cuarto Frio </v>
          </cell>
          <cell r="C58">
            <v>1</v>
          </cell>
          <cell r="D58" t="str">
            <v>dop</v>
          </cell>
          <cell r="E58">
            <v>62.35</v>
          </cell>
          <cell r="F58">
            <v>0</v>
          </cell>
          <cell r="G58">
            <v>0</v>
          </cell>
        </row>
        <row r="59">
          <cell r="A59">
            <v>5.0599999999999996</v>
          </cell>
          <cell r="B59" t="str">
            <v xml:space="preserve">Instalacion Frio Alimentario </v>
          </cell>
          <cell r="C59">
            <v>1</v>
          </cell>
          <cell r="D59" t="str">
            <v>dop</v>
          </cell>
          <cell r="E59">
            <v>62.35</v>
          </cell>
          <cell r="F59">
            <v>0</v>
          </cell>
          <cell r="G59">
            <v>0</v>
          </cell>
        </row>
        <row r="60">
          <cell r="A60">
            <v>5.07</v>
          </cell>
          <cell r="B60" t="str">
            <v>Chase Doors</v>
          </cell>
          <cell r="C60">
            <v>1</v>
          </cell>
          <cell r="D60" t="str">
            <v>dop</v>
          </cell>
          <cell r="E60">
            <v>62.35</v>
          </cell>
          <cell r="F60">
            <v>0</v>
          </cell>
          <cell r="G60">
            <v>0</v>
          </cell>
        </row>
        <row r="61">
          <cell r="A61"/>
          <cell r="B61"/>
          <cell r="C61"/>
          <cell r="D61"/>
          <cell r="E61"/>
          <cell r="F61"/>
          <cell r="G61"/>
        </row>
        <row r="62">
          <cell r="A62">
            <v>6</v>
          </cell>
          <cell r="B62" t="str">
            <v>Tecnología, Seguridad y Tesorería</v>
          </cell>
          <cell r="C62"/>
          <cell r="D62"/>
          <cell r="E62"/>
          <cell r="F62"/>
          <cell r="G62">
            <v>0</v>
          </cell>
          <cell r="H62"/>
        </row>
        <row r="63">
          <cell r="A63">
            <v>6.01</v>
          </cell>
          <cell r="B63" t="str">
            <v>Sistema de cámaras CCTV</v>
          </cell>
          <cell r="C63">
            <v>1</v>
          </cell>
          <cell r="D63" t="str">
            <v>dop</v>
          </cell>
          <cell r="E63">
            <v>62.35</v>
          </cell>
          <cell r="F63">
            <v>0</v>
          </cell>
          <cell r="G63">
            <v>0</v>
          </cell>
        </row>
        <row r="64">
          <cell r="A64">
            <v>6.02</v>
          </cell>
          <cell r="B64" t="str">
            <v>Antenas detección de robo</v>
          </cell>
          <cell r="C64">
            <v>1</v>
          </cell>
          <cell r="D64" t="str">
            <v>dop</v>
          </cell>
          <cell r="E64">
            <v>62.35</v>
          </cell>
          <cell r="F64">
            <v>0</v>
          </cell>
          <cell r="G64">
            <v>0</v>
          </cell>
        </row>
        <row r="65">
          <cell r="A65">
            <v>6.03</v>
          </cell>
          <cell r="B65" t="str">
            <v>Puntos de Venta</v>
          </cell>
          <cell r="C65">
            <v>1</v>
          </cell>
          <cell r="D65" t="str">
            <v>dop</v>
          </cell>
          <cell r="E65">
            <v>62.35</v>
          </cell>
          <cell r="F65">
            <v>0</v>
          </cell>
          <cell r="G65">
            <v>0</v>
          </cell>
        </row>
        <row r="66">
          <cell r="A66">
            <v>6.04</v>
          </cell>
          <cell r="B66" t="str">
            <v>Instalación de data y voz / Antenas de techo</v>
          </cell>
          <cell r="C66">
            <v>1</v>
          </cell>
          <cell r="D66" t="str">
            <v>dop</v>
          </cell>
          <cell r="E66">
            <v>62.35</v>
          </cell>
          <cell r="F66">
            <v>0</v>
          </cell>
          <cell r="G66">
            <v>0</v>
          </cell>
        </row>
        <row r="67">
          <cell r="A67">
            <v>6.05</v>
          </cell>
          <cell r="B67" t="str">
            <v xml:space="preserve">Otros sum e inst Tecnología </v>
          </cell>
          <cell r="C67">
            <v>1</v>
          </cell>
          <cell r="D67" t="str">
            <v>dop</v>
          </cell>
          <cell r="E67">
            <v>62.35</v>
          </cell>
          <cell r="F67">
            <v>0</v>
          </cell>
          <cell r="G67">
            <v>0</v>
          </cell>
        </row>
        <row r="68">
          <cell r="A68"/>
          <cell r="B68"/>
          <cell r="C68"/>
          <cell r="D68"/>
          <cell r="E68"/>
          <cell r="F68"/>
          <cell r="G68"/>
        </row>
        <row r="69">
          <cell r="A69">
            <v>7</v>
          </cell>
          <cell r="B69" t="str">
            <v>Equipamiento Produccion</v>
          </cell>
          <cell r="C69"/>
          <cell r="D69"/>
          <cell r="E69"/>
          <cell r="F69"/>
          <cell r="G69">
            <v>0</v>
          </cell>
          <cell r="H69"/>
        </row>
        <row r="70">
          <cell r="A70">
            <v>7.01</v>
          </cell>
          <cell r="B70" t="str">
            <v xml:space="preserve">Equipamiento de Acero Inoxidable </v>
          </cell>
          <cell r="C70">
            <v>1</v>
          </cell>
          <cell r="D70" t="str">
            <v>dop</v>
          </cell>
          <cell r="E70">
            <v>62.35</v>
          </cell>
          <cell r="F70">
            <v>0</v>
          </cell>
          <cell r="G70">
            <v>0</v>
          </cell>
        </row>
        <row r="71">
          <cell r="A71">
            <v>7.02</v>
          </cell>
          <cell r="B71" t="str">
            <v>Cocina, Patio Comidas y Rostizería</v>
          </cell>
          <cell r="C71">
            <v>1</v>
          </cell>
          <cell r="D71" t="str">
            <v>dop</v>
          </cell>
          <cell r="E71">
            <v>62.35</v>
          </cell>
          <cell r="F71">
            <v>0</v>
          </cell>
          <cell r="G71">
            <v>0</v>
          </cell>
        </row>
        <row r="72">
          <cell r="A72">
            <v>7.03</v>
          </cell>
          <cell r="B72" t="str">
            <v>Equipamiento Carniceria, Pescadería y Delicatesen</v>
          </cell>
          <cell r="C72">
            <v>1</v>
          </cell>
          <cell r="D72" t="str">
            <v>dop</v>
          </cell>
          <cell r="E72">
            <v>62.35</v>
          </cell>
          <cell r="F72">
            <v>0</v>
          </cell>
          <cell r="G72">
            <v>0</v>
          </cell>
        </row>
        <row r="73">
          <cell r="A73">
            <v>7.04</v>
          </cell>
          <cell r="B73" t="str">
            <v>Equipamiento de Panaderia, Reposteria y Rosticería</v>
          </cell>
          <cell r="C73">
            <v>1</v>
          </cell>
          <cell r="D73" t="str">
            <v>dop</v>
          </cell>
          <cell r="E73">
            <v>62.35</v>
          </cell>
          <cell r="F73">
            <v>0</v>
          </cell>
          <cell r="G73">
            <v>0</v>
          </cell>
        </row>
        <row r="74">
          <cell r="A74">
            <v>7.05</v>
          </cell>
          <cell r="B74" t="str">
            <v>Equipamiento de Frutas y Vegetales</v>
          </cell>
          <cell r="C74">
            <v>1</v>
          </cell>
          <cell r="D74" t="str">
            <v>dop</v>
          </cell>
          <cell r="E74">
            <v>62.35</v>
          </cell>
          <cell r="F74">
            <v>0</v>
          </cell>
          <cell r="G74">
            <v>0</v>
          </cell>
        </row>
        <row r="75">
          <cell r="A75">
            <v>7.06</v>
          </cell>
          <cell r="B75" t="str">
            <v>Balanzas</v>
          </cell>
          <cell r="C75">
            <v>1</v>
          </cell>
          <cell r="D75" t="str">
            <v>dop</v>
          </cell>
          <cell r="E75">
            <v>62.35</v>
          </cell>
          <cell r="F75">
            <v>0</v>
          </cell>
          <cell r="G75">
            <v>0</v>
          </cell>
        </row>
        <row r="76">
          <cell r="A76">
            <v>7.07</v>
          </cell>
          <cell r="B76" t="str">
            <v>Otros Equipamientos de Producción</v>
          </cell>
          <cell r="C76">
            <v>1</v>
          </cell>
          <cell r="D76" t="str">
            <v>dop</v>
          </cell>
          <cell r="E76">
            <v>62.35</v>
          </cell>
          <cell r="F76">
            <v>0</v>
          </cell>
          <cell r="G76">
            <v>0</v>
          </cell>
        </row>
        <row r="77">
          <cell r="A77"/>
          <cell r="B77"/>
          <cell r="C77"/>
          <cell r="D77"/>
          <cell r="E77"/>
          <cell r="F77"/>
          <cell r="G77"/>
        </row>
        <row r="78">
          <cell r="A78">
            <v>8</v>
          </cell>
          <cell r="B78" t="str">
            <v>Equipamiento Tienda</v>
          </cell>
          <cell r="C78"/>
          <cell r="D78"/>
          <cell r="E78"/>
          <cell r="F78"/>
          <cell r="G78">
            <v>0</v>
          </cell>
          <cell r="H78"/>
        </row>
        <row r="79">
          <cell r="A79">
            <v>8.01</v>
          </cell>
          <cell r="B79" t="str">
            <v>Gondolas</v>
          </cell>
          <cell r="C79">
            <v>1</v>
          </cell>
          <cell r="D79" t="str">
            <v>dop</v>
          </cell>
          <cell r="E79">
            <v>62.35</v>
          </cell>
          <cell r="F79">
            <v>0</v>
          </cell>
          <cell r="G79">
            <v>0</v>
          </cell>
        </row>
        <row r="80">
          <cell r="A80">
            <v>8.02</v>
          </cell>
          <cell r="B80" t="str">
            <v>Checkout</v>
          </cell>
          <cell r="C80">
            <v>1</v>
          </cell>
          <cell r="D80" t="str">
            <v>dop</v>
          </cell>
          <cell r="E80">
            <v>62.35</v>
          </cell>
          <cell r="F80">
            <v>0</v>
          </cell>
          <cell r="G80">
            <v>0</v>
          </cell>
        </row>
        <row r="81">
          <cell r="A81">
            <v>8.0299999999999994</v>
          </cell>
          <cell r="B81" t="str">
            <v>Carritos, Canastas y Accesorios</v>
          </cell>
          <cell r="C81">
            <v>1</v>
          </cell>
          <cell r="D81" t="str">
            <v>dop</v>
          </cell>
          <cell r="E81">
            <v>62.35</v>
          </cell>
          <cell r="F81">
            <v>0</v>
          </cell>
          <cell r="G81">
            <v>0</v>
          </cell>
        </row>
        <row r="82">
          <cell r="A82">
            <v>8.0399999999999991</v>
          </cell>
          <cell r="B82" t="str">
            <v>Trameria Almacen</v>
          </cell>
          <cell r="C82">
            <v>1</v>
          </cell>
          <cell r="D82" t="str">
            <v>dop</v>
          </cell>
          <cell r="E82">
            <v>62.35</v>
          </cell>
          <cell r="F82">
            <v>0</v>
          </cell>
          <cell r="G82">
            <v>0</v>
          </cell>
        </row>
        <row r="83">
          <cell r="A83">
            <v>8.0500000000000007</v>
          </cell>
          <cell r="B83" t="str">
            <v>Mobiliario no operacional para Tiendas</v>
          </cell>
          <cell r="C83">
            <v>1</v>
          </cell>
          <cell r="D83" t="str">
            <v>dop</v>
          </cell>
          <cell r="E83">
            <v>62.35</v>
          </cell>
          <cell r="F83">
            <v>0</v>
          </cell>
          <cell r="G83">
            <v>0</v>
          </cell>
        </row>
        <row r="84">
          <cell r="A84">
            <v>8.06</v>
          </cell>
          <cell r="B84" t="str">
            <v>Otros Equipamientos de Tienda</v>
          </cell>
          <cell r="C84">
            <v>1</v>
          </cell>
          <cell r="D84" t="str">
            <v>dop</v>
          </cell>
          <cell r="E84">
            <v>62.35</v>
          </cell>
          <cell r="F84">
            <v>0</v>
          </cell>
          <cell r="G84">
            <v>0</v>
          </cell>
        </row>
        <row r="85">
          <cell r="A85">
            <v>8.07</v>
          </cell>
          <cell r="B85" t="str">
            <v>Señalizacion interiores</v>
          </cell>
          <cell r="C85">
            <v>1</v>
          </cell>
          <cell r="D85" t="str">
            <v>dop</v>
          </cell>
          <cell r="E85">
            <v>62.35</v>
          </cell>
          <cell r="F85">
            <v>0</v>
          </cell>
          <cell r="G85">
            <v>0</v>
          </cell>
        </row>
        <row r="86">
          <cell r="A86">
            <v>8.08</v>
          </cell>
          <cell r="B86" t="str">
            <v>Señalizacion exteriores</v>
          </cell>
          <cell r="C86">
            <v>1</v>
          </cell>
          <cell r="D86" t="str">
            <v>dop</v>
          </cell>
          <cell r="E86">
            <v>62.35</v>
          </cell>
          <cell r="F86">
            <v>0</v>
          </cell>
          <cell r="G86">
            <v>0</v>
          </cell>
        </row>
        <row r="87">
          <cell r="A87"/>
          <cell r="B87"/>
          <cell r="C87"/>
          <cell r="D87"/>
          <cell r="E87"/>
          <cell r="F87"/>
          <cell r="G87"/>
        </row>
        <row r="88">
          <cell r="A88">
            <v>9</v>
          </cell>
          <cell r="B88" t="str">
            <v>Otros</v>
          </cell>
          <cell r="C88"/>
          <cell r="D88"/>
          <cell r="E88"/>
          <cell r="F88"/>
          <cell r="G88">
            <v>0</v>
          </cell>
          <cell r="H88"/>
        </row>
        <row r="89">
          <cell r="A89">
            <v>9.01</v>
          </cell>
          <cell r="B89" t="str">
            <v>COMERCIALIZACION</v>
          </cell>
          <cell r="C89">
            <v>2</v>
          </cell>
          <cell r="D89" t="str">
            <v>USD</v>
          </cell>
          <cell r="E89">
            <v>1</v>
          </cell>
          <cell r="F89">
            <v>0</v>
          </cell>
          <cell r="G89">
            <v>0</v>
          </cell>
        </row>
        <row r="90">
          <cell r="A90">
            <v>9.02</v>
          </cell>
          <cell r="B90" t="str">
            <v>INSUMOS</v>
          </cell>
          <cell r="C90">
            <v>2</v>
          </cell>
          <cell r="D90" t="str">
            <v>USD</v>
          </cell>
          <cell r="E90">
            <v>1</v>
          </cell>
          <cell r="F90">
            <v>0</v>
          </cell>
          <cell r="G90">
            <v>0</v>
          </cell>
        </row>
        <row r="91">
          <cell r="A91">
            <v>9.0299999999999994</v>
          </cell>
          <cell r="B91" t="str">
            <v>PUBLICIDAD Y MERCADEO</v>
          </cell>
          <cell r="C91">
            <v>2</v>
          </cell>
          <cell r="D91" t="str">
            <v>USD</v>
          </cell>
          <cell r="E91">
            <v>1</v>
          </cell>
          <cell r="F91">
            <v>0</v>
          </cell>
          <cell r="G91">
            <v>0</v>
          </cell>
        </row>
        <row r="92">
          <cell r="A92">
            <v>9.0399999999999991</v>
          </cell>
          <cell r="B92" t="str">
            <v>MONTAJE</v>
          </cell>
          <cell r="C92">
            <v>2</v>
          </cell>
          <cell r="D92" t="str">
            <v>USD</v>
          </cell>
          <cell r="E92">
            <v>1</v>
          </cell>
          <cell r="F92">
            <v>0</v>
          </cell>
          <cell r="G92">
            <v>0</v>
          </cell>
        </row>
        <row r="93">
          <cell r="A93">
            <v>9.0499999999999989</v>
          </cell>
          <cell r="B93" t="str">
            <v>DECORACIÓN TEMPORADAS</v>
          </cell>
          <cell r="C93">
            <v>2</v>
          </cell>
          <cell r="D93" t="str">
            <v>USD</v>
          </cell>
          <cell r="E93">
            <v>1</v>
          </cell>
          <cell r="F93">
            <v>0</v>
          </cell>
          <cell r="G93">
            <v>0</v>
          </cell>
        </row>
        <row r="94">
          <cell r="A94">
            <v>9.06</v>
          </cell>
          <cell r="B94" t="str">
            <v>-</v>
          </cell>
          <cell r="C94">
            <v>2</v>
          </cell>
          <cell r="D94" t="str">
            <v>USD</v>
          </cell>
          <cell r="E94">
            <v>1</v>
          </cell>
          <cell r="F94">
            <v>0</v>
          </cell>
          <cell r="G9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E44549-8AE0-42E2-9AE1-4FE3492BDC3C}" name="Tabla2" displayName="Tabla2" ref="A4:B48" totalsRowShown="0">
  <autoFilter ref="A4:B48" xr:uid="{BEE44549-8AE0-42E2-9AE1-4FE3492BDC3C}"/>
  <tableColumns count="2">
    <tableColumn id="1" xr3:uid="{3FED5456-6E56-4CA7-9766-9B8213E4AC46}" name="Fecha "/>
    <tableColumn id="2" xr3:uid="{0202575D-F980-4A43-ABB4-0C9AE17EABB8}" name="Detalles " dataDxfId="325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5539C6-D3CC-46E3-8EE8-0172FEA8AAD5}" name="PPto" displayName="PPto" ref="A19:M88" headerRowDxfId="324">
  <tableColumns count="13">
    <tableColumn id="1" xr3:uid="{79E752A2-4F83-47F4-A28D-8FC5049B25CE}" name="Part." totalsRowLabel="Total" dataDxfId="323" totalsRowDxfId="322"/>
    <tableColumn id="8" xr3:uid="{6C6CC44E-7097-43E1-B9DB-CE6008E12528}" name="Gran Part."/>
    <tableColumn id="2" xr3:uid="{97080DDC-48F4-420A-84F1-A2DE757110C2}" name="Edificación, Instalaciones y Equipamientos" dataDxfId="321" totalsRowDxfId="320"/>
    <tableColumn id="10" xr3:uid="{5A8165F4-0A70-46F1-8678-F929D43FE3BA}" name="Total [USD]" dataDxfId="319" totalsRowDxfId="318" dataCellStyle="Millares">
      <calculatedColumnFormula>SUM(D21:D27)</calculatedColumnFormula>
    </tableColumn>
    <tableColumn id="12" xr3:uid="{F965A044-63F4-4200-B0B2-14E7A4CC6390}" name="Total [USD]3" dataDxfId="317" totalsRowDxfId="316" dataCellStyle="Millares"/>
    <tableColumn id="11" xr3:uid="{398E4EA6-BA6C-4AA7-8062-989B269A1AA5}" name="Columna2" dataDxfId="315" totalsRowDxfId="314"/>
    <tableColumn id="4" xr3:uid="{875F3B5F-069F-4B1D-A26F-9C337EBB0E71}" name="Ppto. OI [DOP]2" dataDxfId="313" totalsRowDxfId="312" dataCellStyle="Millares"/>
    <tableColumn id="5" xr3:uid="{EC6E05E6-D0BD-49C7-B88B-F1670D31C4D4}" name="Ppto. Capex [DOP]" dataDxfId="311" totalsRowDxfId="310" dataCellStyle="Millares"/>
    <tableColumn id="6" xr3:uid="{9CF8237E-950D-4274-891D-E80D5A98AE37}" name="Total [DOP]" dataDxfId="309" totalsRowDxfId="308" dataCellStyle="Millares">
      <calculatedColumnFormula>PPto[[#This Row],[Ppto. Capex '[DOP']]]+PPto[[#This Row],[Ppto. OI '[DOP']2]]</calculatedColumnFormula>
    </tableColumn>
    <tableColumn id="3" xr3:uid="{9755C562-A26D-41DF-80A1-9E83CE50ED9B}" name="Ppto. OI [USD]" dataDxfId="307" totalsRowDxfId="306" dataCellStyle="Millares"/>
    <tableColumn id="7" xr3:uid="{BC4EECF9-8310-4553-A78F-F0DEBD21727A}" name="Ppto. Capex [USD]" dataDxfId="305" totalsRowDxfId="304" dataCellStyle="Millares"/>
    <tableColumn id="9" xr3:uid="{E1B56C5A-5657-449B-B0C3-1F9B430BF214}" name="Total [USD]2" totalsRowFunction="sum" dataDxfId="303" totalsRowDxfId="302" dataCellStyle="Millares">
      <calculatedColumnFormula>PPto[[#This Row],[Ppto. Capex '[USD']]]+PPto[[#This Row],[Ppto. OI '[USD']]]</calculatedColumnFormula>
    </tableColumn>
    <tableColumn id="14" xr3:uid="{B7F1E2F7-C180-43D4-BAF1-F77D7F75C36F}" name="Total [USD]22"/>
  </tableColumns>
  <tableStyleInfo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BD4D42-2AB6-4DDD-93A1-C547FC46FB6F}" name="Tabla3" displayName="Tabla3" ref="A5:AB75" totalsRowCount="1" headerRowDxfId="301" totalsRowBorderDxfId="300">
  <autoFilter ref="A5:AB74" xr:uid="{21BD4D42-2AB6-4DDD-93A1-C547FC46FB6F}">
    <filterColumn colId="2">
      <colorFilter dxfId="299"/>
    </filterColumn>
  </autoFilter>
  <sortState xmlns:xlrd2="http://schemas.microsoft.com/office/spreadsheetml/2017/richdata2" ref="A6:AB74">
    <sortCondition descending="1" ref="R5:R74"/>
  </sortState>
  <tableColumns count="28">
    <tableColumn id="1" xr3:uid="{72D19A11-688A-480A-9FA4-96BAE5045D5E}" name="Part." totalsRowLabel="Total" dataDxfId="298" totalsRowDxfId="297"/>
    <tableColumn id="2" xr3:uid="{8072D5A8-92FB-460F-A5DA-F114F16E226B}" name="Edificación, Instalaciones y Equipamientos" totalsRowLabel="Total - DOP" dataDxfId="296" totalsRowDxfId="295">
      <calculatedColumnFormula>VLOOKUP(Tabla3[[#This Row],[Part.]],PPto[],3,FALSE)</calculatedColumnFormula>
    </tableColumn>
    <tableColumn id="3" xr3:uid="{C67E90F0-F64E-4805-AB95-0A6F9C235529}" name="Ppto OI [DOP]" totalsRowFunction="custom" dataDxfId="294" totalsRowDxfId="293" dataCellStyle="Millares">
      <totalsRowFormula>C68+C59+C51+C45+C37+C33+C28+C16+C6</totalsRowFormula>
    </tableColumn>
    <tableColumn id="4" xr3:uid="{1420A1EB-6234-4D13-96B7-4FA8C61E7CBA}" name="P1" totalsRowFunction="custom" dataDxfId="292" totalsRowDxfId="291">
      <totalsRowFormula>D68+D59+D51+D45+D37+D33+D28+D16+D6</totalsRowFormula>
    </tableColumn>
    <tableColumn id="5" xr3:uid="{E9F3080F-A530-4A45-B25E-9CE6F3DEAD45}" name="P2" totalsRowFunction="custom" dataDxfId="290" totalsRowDxfId="289">
      <totalsRowFormula>E68+E59+E51+E45+E37+E33+E28+E16+E6</totalsRowFormula>
    </tableColumn>
    <tableColumn id="6" xr3:uid="{409CD941-BF82-4214-9C02-E96DF66C0BFB}" name="P3" totalsRowFunction="custom" dataDxfId="288" totalsRowDxfId="287">
      <totalsRowFormula>F68+F59+F51+F45+F37+F33+F28+F16+F6</totalsRowFormula>
    </tableColumn>
    <tableColumn id="7" xr3:uid="{8F37FB2E-BE3F-4EF1-B783-70077B3E68FD}" name="P4" totalsRowFunction="custom" dataDxfId="286" totalsRowDxfId="285">
      <totalsRowFormula>G68+G59+G51+G45+G37+G33+G28+G16+G6</totalsRowFormula>
    </tableColumn>
    <tableColumn id="8" xr3:uid="{A951B9FA-5EF8-4D08-B394-D99B5AB94E60}" name="P5" totalsRowFunction="custom" dataDxfId="284" totalsRowDxfId="283">
      <totalsRowFormula>H68+H59+H51+H45+H37+H33+H28+H16+H6</totalsRowFormula>
    </tableColumn>
    <tableColumn id="9" xr3:uid="{1048F746-35A3-4C4E-8EBC-5DF920C79AC0}" name="P6" totalsRowFunction="custom" dataDxfId="282" totalsRowDxfId="281">
      <totalsRowFormula>I68+I59+I51+I45+I37+I33+I28+I16+I6</totalsRowFormula>
    </tableColumn>
    <tableColumn id="10" xr3:uid="{E6040B9A-BF1C-4AC7-881C-FEEBC01F309F}" name="P7" totalsRowFunction="custom" dataDxfId="280" totalsRowDxfId="279">
      <totalsRowFormula>J68+J59+J51+J45+J37+J33+J28+J16+J6</totalsRowFormula>
    </tableColumn>
    <tableColumn id="11" xr3:uid="{B1949E19-A18B-4476-BBFF-5D138E1023CD}" name="P8" totalsRowFunction="custom" dataDxfId="278" totalsRowDxfId="277">
      <totalsRowFormula>K68+K59+K51+K45+K37+K33+K28+K16+K6</totalsRowFormula>
    </tableColumn>
    <tableColumn id="12" xr3:uid="{C70E5387-BC35-44B6-A147-365B91BE7456}" name="P9" totalsRowFunction="custom" dataDxfId="276" totalsRowDxfId="275">
      <totalsRowFormula>L68+L59+L51+L45+L37+L33+L28+L16+L6</totalsRowFormula>
    </tableColumn>
    <tableColumn id="13" xr3:uid="{AAD29839-84F2-4F5B-B3DC-594BBE3B6563}" name="P10" totalsRowFunction="custom" dataDxfId="274" totalsRowDxfId="273">
      <totalsRowFormula>M68+M59+M51+M45+M37+M33+M28+M16+M6</totalsRowFormula>
    </tableColumn>
    <tableColumn id="14" xr3:uid="{B0B0A463-BE8E-4640-B276-BB468DC06EA0}" name="P11" totalsRowFunction="custom" dataDxfId="272" totalsRowDxfId="271">
      <totalsRowFormula>N68+N59+N51+N45+N37+N33+N28+N16+N6</totalsRowFormula>
    </tableColumn>
    <tableColumn id="15" xr3:uid="{9AE03CFB-FCC3-4B81-B1B6-15815E91BAF1}" name="P12" totalsRowFunction="custom" dataDxfId="270" totalsRowDxfId="269">
      <totalsRowFormula>O68+O59+O51+O45+O37+O33+O28+O16+O6</totalsRowFormula>
    </tableColumn>
    <tableColumn id="16" xr3:uid="{216E496E-1FBF-48EA-8FFA-2BFF3774CDE6}" name="P13" totalsRowFunction="custom" dataDxfId="268" totalsRowDxfId="267">
      <totalsRowFormula>P68+P59+P51+P45+P37+P33+P28+P16+P6</totalsRowFormula>
    </tableColumn>
    <tableColumn id="17" xr3:uid="{E3CD3759-EEAB-4FB8-A88E-5D9FB3EC0BCA}" name="P14" totalsRowFunction="custom" dataDxfId="266" totalsRowDxfId="265">
      <totalsRowFormula>Q68+Q59+Q51+Q45+Q37+Q33+Q28+Q16+Q6</totalsRowFormula>
    </tableColumn>
    <tableColumn id="18" xr3:uid="{7F26701D-D9C5-462E-B93B-546DBA64207E}" name="P15" totalsRowFunction="custom" dataDxfId="264" totalsRowDxfId="263">
      <totalsRowFormula>R68+R59+R51+R45+R37+R33+R28+R16+R6</totalsRowFormula>
    </tableColumn>
    <tableColumn id="19" xr3:uid="{8B531EED-687B-4E3A-9C14-BD0A86B22CA3}" name="P16" totalsRowFunction="custom" dataDxfId="262" totalsRowDxfId="261">
      <totalsRowFormula>S68+S59+S51+S45+S37+S33+S28+S16+S6</totalsRowFormula>
    </tableColumn>
    <tableColumn id="20" xr3:uid="{DECC4CE9-2D35-4E58-A4A2-2274DEF15F25}" name="P17" totalsRowFunction="custom" dataDxfId="260" totalsRowDxfId="259">
      <totalsRowFormula>T68+T59+T51+T45+T37+T33+T28+T16+T6</totalsRowFormula>
    </tableColumn>
    <tableColumn id="21" xr3:uid="{0A7D79B7-FDE2-40A5-9A30-89E5314EAF5F}" name="P18" totalsRowFunction="custom" dataDxfId="258" totalsRowDxfId="257">
      <totalsRowFormula>U68+U59+U51+U45+U37+U33+U28+U16+U6</totalsRowFormula>
    </tableColumn>
    <tableColumn id="25" xr3:uid="{3193DA61-5A92-40CA-A4D6-6B89B821E7E7}" name="P19" totalsRowFunction="custom" dataDxfId="256" totalsRowDxfId="255">
      <calculatedColumnFormula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calculatedColumnFormula>
      <totalsRowFormula>V68+V59+V51+V45+V37+V33+V28+V16+V6</totalsRowFormula>
    </tableColumn>
    <tableColumn id="28" xr3:uid="{A40AA8E8-934F-4988-9492-D2EA9F22421E}" name="P20" totalsRowFunction="custom" dataDxfId="254" totalsRowDxfId="253">
      <calculatedColumnFormula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calculatedColumnFormula>
      <totalsRowFormula>W68+W59+W51+W45+W37+W33+W28+W16+W6</totalsRowFormula>
    </tableColumn>
    <tableColumn id="27" xr3:uid="{92DDEC89-5F66-440D-A9CC-546B2B71DE74}" name="P21" totalsRowFunction="custom" dataDxfId="252" totalsRowDxfId="251">
      <calculatedColumnFormula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calculatedColumnFormula>
      <totalsRowFormula>X68+X59+X51+X45+X37+X33+X28+X16+X6</totalsRowFormula>
    </tableColumn>
    <tableColumn id="26" xr3:uid="{6385EDF9-FC27-4661-9410-F8B570B64281}" name="P22" totalsRowFunction="custom" dataDxfId="250" totalsRowDxfId="249">
      <calculatedColumnFormula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calculatedColumnFormula>
      <totalsRowFormula>Y68+Y59+Y51+Y45+Y37+Y33+Y28+Y16+Y6</totalsRowFormula>
    </tableColumn>
    <tableColumn id="30" xr3:uid="{EB289107-B443-4367-9E14-8A0C3ABCD111}" name="P23" totalsRowFunction="custom" dataDxfId="248" totalsRowDxfId="247">
      <totalsRowFormula>Z68+Z59+Z51+Z45+Z37+Z33+Z28+Z16+Z6</totalsRowFormula>
    </tableColumn>
    <tableColumn id="29" xr3:uid="{F1440D09-DA61-40D7-BA7A-905C4104E5BB}" name="P24" dataDxfId="246" totalsRowDxfId="245"/>
    <tableColumn id="22" xr3:uid="{35ECF56E-FF81-43F8-9E55-1464C0DBDD06}" name="Total Ppto." totalsRowFunction="custom" dataDxfId="244" totalsRowDxfId="243">
      <calculatedColumnFormula>SUM(Tabla3[[#This Row],[P1]:[P24]])</calculatedColumnFormula>
      <totalsRowFormula>AB68+AB59+AB51+AB45+AB37+AB33+AB28+AB16+AB6</totalsRow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BEB27C-5912-45F2-A52E-AF6463BCCB96}" name="BD.PD" displayName="BD.PD" ref="A4:AI360" totalsRowCount="1" headerRowDxfId="385" dataDxfId="384" totalsRowDxfId="383">
  <autoFilter ref="A4:AI359" xr:uid="{986B6B00-1F88-4258-89C2-EC784BD693BA}"/>
  <sortState xmlns:xlrd2="http://schemas.microsoft.com/office/spreadsheetml/2017/richdata2" ref="A5:AI359">
    <sortCondition descending="1" ref="R4:R359"/>
  </sortState>
  <tableColumns count="35">
    <tableColumn id="2" xr3:uid="{6E1F23B9-9ABF-420B-9D23-5C597165F81B}" name="Pos" totalsRowLabel="Total" dataDxfId="382" totalsRowDxfId="381"/>
    <tableColumn id="31" xr3:uid="{B179A0A2-1BEF-46ED-B96E-A4FFB337ABCA}" name="." dataDxfId="380" totalsRowDxfId="379"/>
    <tableColumn id="3" xr3:uid="{1D00EF5A-3CD8-4013-9AF0-93DD31BDB608}" name="Partidas" dataDxfId="378" totalsRowDxfId="377">
      <calculatedColumnFormula>VLOOKUP(BD.PD[[#This Row],[Pos]],PPto[],3,FALSE)</calculatedColumnFormula>
    </tableColumn>
    <tableColumn id="35" xr3:uid="{7A357675-B0C6-4946-96FB-264DCF2E0B5D}" name="Tipo Ppto" dataDxfId="376" totalsRowDxfId="375"/>
    <tableColumn id="32" xr3:uid="{5A561947-1813-478B-936C-D3141334F071}" name="Plan" totalsRowFunction="sum" dataDxfId="374" totalsRowDxfId="12">
      <calculatedColumnFormula>IF(BD.PD[[#This Row],[.]]="*",VLOOKUP(BD.PD[[#This Row],[Pos]],Presupuesto!A:H,7,FALSE),"")</calculatedColumnFormula>
    </tableColumn>
    <tableColumn id="4" xr3:uid="{FBD07775-E1C5-4DB6-BD96-547ACEBA2E9D}" name="Item" dataDxfId="373" totalsRowDxfId="372"/>
    <tableColumn id="33" xr3:uid="{0D8195DB-6061-4036-83AA-0F67754C57C5}" name="Orden de compra " dataDxfId="371" totalsRowDxfId="370"/>
    <tableColumn id="30" xr3:uid="{BBCEFCD1-5283-430E-AFA5-DD5ABCF7792A}" name="Fecha " dataDxfId="369" totalsRowDxfId="368"/>
    <tableColumn id="7" xr3:uid="{F7FB70C2-3DCB-4767-862A-AEA09481803C}" name="Cant." dataDxfId="367" totalsRowDxfId="366" dataCellStyle="Millares"/>
    <tableColumn id="8" xr3:uid="{167BE5A9-8F34-4574-BC08-6BF3AA7565A0}" name="Mon" dataDxfId="365" totalsRowDxfId="364"/>
    <tableColumn id="9" xr3:uid="{0288CF2F-D58D-481D-9C3C-FB7E9394B22B}" name=" Tasa " dataDxfId="363" totalsRowDxfId="362" dataCellStyle="Millares">
      <calculatedColumnFormula>IF(BD.PD[[#This Row],[Mon]]="DOP",1,HLOOKUP(BD.PD[[#This Row],[Mon]],$J$1:$K$2,2,FALSE))</calculatedColumnFormula>
    </tableColumn>
    <tableColumn id="10" xr3:uid="{4E233B7C-5C4E-49BB-B0C9-984834F48697}" name=" Precio Und." dataDxfId="361" totalsRowDxfId="360" dataCellStyle="Millares"/>
    <tableColumn id="11" xr3:uid="{FA11E4BF-A8A4-4B36-8CC6-81D5493E3C55}" name="Valor Neto [DOP]" totalsRowFunction="sum" dataDxfId="359" totalsRowDxfId="11" dataCellStyle="Millares">
      <calculatedColumnFormula>BD.PD[[#This Row],[Cant.]]*BD.PD[[#This Row],[ Tasa ]]*BD.PD[[#This Row],[ Precio Und.]]</calculatedColumnFormula>
    </tableColumn>
    <tableColumn id="12" xr3:uid="{1757F09A-24E5-48BB-B92A-40CEB3577D7C}" name="Liquid. [%]" dataDxfId="358" totalsRowDxfId="10" dataCellStyle="Porcentaje"/>
    <tableColumn id="13" xr3:uid="{49944C88-B869-4B65-AD95-F6D7F15A2C53}" name="Ppto. Orden Interna [DOP]" totalsRowFunction="sum" dataDxfId="357" totalsRowDxfId="9" dataCellStyle="Millares">
      <calculatedColumnFormula>IF(BD.PD[[#This Row],[Liquid. '[%']]]&lt;&gt;0,(BD.PD[[#This Row],[Valor Neto '[DOP']]]*BD.PD[[#This Row],[Liquid. '[%']]])+BD.PD[[#This Row],[Valor Neto '[DOP']]],BD.PD[[#This Row],[Valor Neto '[DOP']]])</calculatedColumnFormula>
    </tableColumn>
    <tableColumn id="1" xr3:uid="{10B9B9FF-2DFD-48E9-914B-5F2D2DC739B6}" name="Ppto. Orden Interna [USD]" totalsRowFunction="sum" dataDxfId="356" totalsRowDxfId="8" dataCellStyle="Millares">
      <calculatedColumnFormula>BD.PD[[#This Row],[Ppto. Orden Interna '[DOP']]]/HLOOKUP("USD",$J$1:$K$2,2,FALSE)</calculatedColumnFormula>
    </tableColumn>
    <tableColumn id="14" xr3:uid="{64D44C23-EAC1-4FE9-8AC1-EE2C014E0FB1}" name="Comentario " dataDxfId="355" totalsRowDxfId="354" dataCellStyle="Millares"/>
    <tableColumn id="15" xr3:uid="{F69786D3-8695-4A1C-AFC2-B5F9A5A1DD98}" name="Proveedor" dataDxfId="353" totalsRowDxfId="7"/>
    <tableColumn id="5" xr3:uid="{E34C7C38-95E3-4E27-BD12-5013126ED9E4}" name="Per.P1" dataDxfId="352" totalsRowDxfId="6"/>
    <tableColumn id="6" xr3:uid="{7731102B-886F-4282-862E-18A12627E0F4}" name="Av.P1 [%]" dataDxfId="351" totalsRowDxfId="5" dataCellStyle="Porcentaje"/>
    <tableColumn id="16" xr3:uid="{D3C7E792-CEB4-4232-9079-57C5D837AA2F}" name="Pago 1" dataDxfId="350" totalsRowDxfId="349" dataCellStyle="Millares">
      <calculatedColumnFormula>BD.PD[[#This Row],[Av.P1 '[%']]]*BD.PD[[#This Row],[Ppto. Orden Interna '[DOP']]]</calculatedColumnFormula>
    </tableColumn>
    <tableColumn id="17" xr3:uid="{B4AD9A79-39C1-43CA-A322-B5BF19A42CE6}" name="Per.P2" dataDxfId="348" totalsRowDxfId="4"/>
    <tableColumn id="18" xr3:uid="{A5D40D90-6ACC-4AB8-978F-869E0DFD362A}" name="Av.P2 [%]" dataDxfId="347" totalsRowDxfId="346" dataCellStyle="Porcentaje"/>
    <tableColumn id="19" xr3:uid="{6CE2E88D-623A-49CA-99A1-1C5667205607}" name="Pago 2" dataDxfId="345" totalsRowDxfId="344" dataCellStyle="Millares">
      <calculatedColumnFormula>BD.PD[[#This Row],[Av.P2 '[%']]]*BD.PD[[#This Row],[Ppto. Orden Interna '[DOP']]]</calculatedColumnFormula>
    </tableColumn>
    <tableColumn id="20" xr3:uid="{3B3812E2-4F38-458B-A533-F2937AD9DA84}" name="Per.P3" dataDxfId="343" totalsRowDxfId="3"/>
    <tableColumn id="21" xr3:uid="{5028AE15-8D1D-4AFB-ADF0-FD2ABDEA35F4}" name="Av.P3 [%]" dataDxfId="342" totalsRowDxfId="341" dataCellStyle="Porcentaje"/>
    <tableColumn id="22" xr3:uid="{08CB78D6-1771-4252-AAC4-E2300F3269F6}" name="Pago 3" dataDxfId="340" totalsRowDxfId="339" dataCellStyle="Millares">
      <calculatedColumnFormula>BD.PD[[#This Row],[Av.P3 '[%']]]*BD.PD[[#This Row],[Ppto. Orden Interna '[DOP']]]</calculatedColumnFormula>
    </tableColumn>
    <tableColumn id="23" xr3:uid="{35EF6CC6-580F-4219-8280-943AB6D628F3}" name="Per.P4" dataDxfId="338" totalsRowDxfId="2"/>
    <tableColumn id="24" xr3:uid="{74A758BA-4DC7-462D-B212-CF929712C032}" name="Av.P4 [%]" dataDxfId="337" totalsRowDxfId="336" dataCellStyle="Porcentaje"/>
    <tableColumn id="25" xr3:uid="{DF9051AA-8884-4424-BA0D-6404ADD5D432}" name="Pago 4" dataDxfId="335" totalsRowDxfId="334" dataCellStyle="Millares">
      <calculatedColumnFormula>BD.PD[[#This Row],[Av.P4 '[%']]]*BD.PD[[#This Row],[Ppto. Orden Interna '[DOP']]]</calculatedColumnFormula>
    </tableColumn>
    <tableColumn id="26" xr3:uid="{936C815D-F13E-4C9A-A54A-FB341E22FA32}" name="Per.P5" dataDxfId="333" totalsRowDxfId="1"/>
    <tableColumn id="27" xr3:uid="{3DE00D5F-9982-4ECB-BA78-110EDB581B8C}" name="Av.P5 [%]" dataDxfId="332" totalsRowDxfId="331" dataCellStyle="Porcentaje"/>
    <tableColumn id="28" xr3:uid="{E0F4F641-D963-48EF-BC96-FEE728CA8B9A}" name="Pago 5" dataDxfId="330" totalsRowDxfId="329" dataCellStyle="Millares">
      <calculatedColumnFormula>BD.PD[[#This Row],[Av.P5 '[%']]]*BD.PD[[#This Row],[Ppto. Orden Interna '[DOP']]]</calculatedColumnFormula>
    </tableColumn>
    <tableColumn id="29" xr3:uid="{C73448D7-0E2B-4A19-AC36-823E8CCFF060}" name="Total Flujo Caja" totalsRowFunction="sum" dataDxfId="328" totalsRowDxfId="0" dataCellStyle="Millares">
      <calculatedColumnFormula>BD.PD[[#This Row],[Pago 5]]+BD.PD[[#This Row],[Pago 4]]+BD.PD[[#This Row],[Pago 3]]+BD.PD[[#This Row],[Pago 2]]+BD.PD[[#This Row],[Pago 1]]</calculatedColumnFormula>
    </tableColumn>
    <tableColumn id="39" xr3:uid="{1279A95E-2785-4468-922C-D043685BA717}" name="Columna1" dataDxfId="327" totalsRowDxfId="326"/>
  </tableColumns>
  <tableStyleInfo name="TableStyleLight8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B4D335-E178-4F94-80EE-49B6A8189FEE}" name="BD.PD5" displayName="BD.PD5" ref="A4:AM90" totalsRowCount="1" headerRowDxfId="242" dataDxfId="241" totalsRowDxfId="240">
  <autoFilter ref="A4:AM89" xr:uid="{DBB4D335-E178-4F94-80EE-49B6A8189FEE}">
    <filterColumn colId="3">
      <filters>
        <filter val="OI"/>
      </filters>
    </filterColumn>
  </autoFilter>
  <sortState xmlns:xlrd2="http://schemas.microsoft.com/office/spreadsheetml/2017/richdata2" ref="A5:AM89">
    <sortCondition ref="A4:A89"/>
  </sortState>
  <tableColumns count="39">
    <tableColumn id="2" xr3:uid="{2754C37A-B52B-4B15-83F4-3A284379E106}" name="Pos" totalsRowLabel="Total" dataDxfId="239" totalsRowDxfId="238"/>
    <tableColumn id="31" xr3:uid="{0C66F7CD-BE92-42AA-AED9-3DA1F90A5111}" name="." dataDxfId="237" totalsRowDxfId="236"/>
    <tableColumn id="3" xr3:uid="{F4CB5A16-63A4-4376-9D80-BF32B1FED5AB}" name="Partidas" dataDxfId="235" totalsRowDxfId="234">
      <calculatedColumnFormula>VLOOKUP(BD.PD5[[#This Row],[Pos]],PPto[],3,FALSE)</calculatedColumnFormula>
    </tableColumn>
    <tableColumn id="35" xr3:uid="{FDAA750D-DD9C-4086-A856-2837295E3A90}" name="Tipo Ppto" dataDxfId="233" totalsRowDxfId="232"/>
    <tableColumn id="32" xr3:uid="{DC4C0D4C-0F36-40C4-B3EF-5C1560A3DC50}" name="Plan" totalsRowFunction="sum" dataDxfId="231" totalsRowDxfId="230">
      <calculatedColumnFormula>IF(BD.PD5[[#This Row],[.]]="*",VLOOKUP(BD.PD5[[#This Row],[Pos]],[15]Presupuesto!A:H,7,FALSE),"")</calculatedColumnFormula>
    </tableColumn>
    <tableColumn id="4" xr3:uid="{251248E0-7FF6-4994-BA87-F06B8ED0E00C}" name="Item" dataDxfId="229" totalsRowDxfId="228"/>
    <tableColumn id="33" xr3:uid="{838A18A0-D51A-441E-A275-F8701D0A53FA}" name="Orden de compra " dataDxfId="227" totalsRowDxfId="226"/>
    <tableColumn id="30" xr3:uid="{2359BE1D-C156-46DC-A7A6-1C95EFEC3025}" name="Fecha " dataDxfId="225" totalsRowDxfId="224"/>
    <tableColumn id="7" xr3:uid="{77D04E4D-CE8F-4CB8-A031-6E435703E365}" name="Cant." dataDxfId="223" totalsRowDxfId="222" dataCellStyle="Millares"/>
    <tableColumn id="8" xr3:uid="{2B84BC31-EFC6-45C1-AA78-032450EF2E84}" name="Mon" dataDxfId="221" totalsRowDxfId="220"/>
    <tableColumn id="9" xr3:uid="{680A941D-98E1-40D6-A9F2-AECAE7591379}" name=" Tasa " dataDxfId="219" totalsRowDxfId="218" dataCellStyle="Millares">
      <calculatedColumnFormula>IF(BD.PD5[[#This Row],[Mon]]="DOP",1,HLOOKUP(BD.PD5[[#This Row],[Mon]],$J$1:$K$2,2,FALSE))</calculatedColumnFormula>
    </tableColumn>
    <tableColumn id="10" xr3:uid="{DC60E739-195F-4C4F-B2D9-47F606D09669}" name=" Precio Und." dataDxfId="217" totalsRowDxfId="216" dataCellStyle="Millares"/>
    <tableColumn id="11" xr3:uid="{41D05DBE-2683-4984-B3E9-79725AEBCCEB}" name="Valor Neto [DOP]" totalsRowFunction="sum" dataDxfId="215" totalsRowDxfId="214" dataCellStyle="Millares">
      <calculatedColumnFormula>BD.PD5[[#This Row],[Cant.]]*BD.PD5[[#This Row],[ Tasa ]]*BD.PD5[[#This Row],[ Precio Und.]]</calculatedColumnFormula>
    </tableColumn>
    <tableColumn id="12" xr3:uid="{86C4F766-3AF0-4B0E-B010-3752CFD6D0AE}" name="Liquid. [%]" dataDxfId="213" totalsRowDxfId="212" dataCellStyle="Porcentaje"/>
    <tableColumn id="13" xr3:uid="{7EBB48C2-9F74-4BED-80E2-24C0CF35366A}" name="Ppto. Orden Interna [DOP]" totalsRowFunction="sum" dataDxfId="211" totalsRowDxfId="210" dataCellStyle="Millares">
      <calculatedColumnFormula>IF(BD.PD5[[#This Row],[Liquid. '[%']]]&lt;&gt;0,(BD.PD5[[#This Row],[Valor Neto '[DOP']]]*BD.PD5[[#This Row],[Liquid. '[%']]])+BD.PD5[[#This Row],[Valor Neto '[DOP']]],BD.PD5[[#This Row],[Valor Neto '[DOP']]])</calculatedColumnFormula>
    </tableColumn>
    <tableColumn id="1" xr3:uid="{06D51B92-93C2-4EF3-A4F2-E4FA127B282E}" name="Ppto. Orden Interna [USD]" totalsRowFunction="sum" dataDxfId="209" totalsRowDxfId="208" dataCellStyle="Millares">
      <calculatedColumnFormula>BD.PD5[[#This Row],[Ppto. Orden Interna '[DOP']]]/HLOOKUP("USD",$J$1:$K$2,2,FALSE)</calculatedColumnFormula>
    </tableColumn>
    <tableColumn id="14" xr3:uid="{3B448F5C-2E7A-4BF5-B732-678AE0BB9D6E}" name="Comentario " dataDxfId="207" totalsRowDxfId="206" dataCellStyle="Millares"/>
    <tableColumn id="34" xr3:uid="{DFBB30B3-4D99-49DE-82BF-38E89050E64F}" name="Notas" dataDxfId="205" totalsRowDxfId="204" dataCellStyle="Millares"/>
    <tableColumn id="38" xr3:uid="{45222F1D-FCB8-4797-BAF0-D85B3C7C00D1}" name="Documento Contable" dataDxfId="203" totalsRowDxfId="202" dataCellStyle="Millares"/>
    <tableColumn id="37" xr3:uid="{E124E787-1FC1-4414-87F2-208711A5D6B0}" name="Orden Interna" dataDxfId="201" totalsRowDxfId="200" dataCellStyle="Millares"/>
    <tableColumn id="36" xr3:uid="{96D1EBEB-E60E-4B33-A2F0-6BF9BC305C26}" name="AFeC" dataDxfId="199" totalsRowDxfId="198" dataCellStyle="Millares"/>
    <tableColumn id="15" xr3:uid="{5C4385B4-1F33-4C8D-AE92-542A71E6672F}" name="Proveedor" dataDxfId="197" totalsRowDxfId="196"/>
    <tableColumn id="5" xr3:uid="{49E0E521-B1D2-4B84-B9C0-57BFC801F1B6}" name="Per.P1" dataDxfId="195" totalsRowDxfId="194"/>
    <tableColumn id="6" xr3:uid="{FC205F1B-EB57-4F23-BD47-2CB013D0A1D7}" name="Av.P1 [%]" dataDxfId="193" totalsRowDxfId="192" dataCellStyle="Porcentaje"/>
    <tableColumn id="16" xr3:uid="{5B5FDAE3-49E7-4BA9-AC63-D1C3CD3EED44}" name="Pago 1" dataDxfId="191" totalsRowDxfId="190" dataCellStyle="Millares">
      <calculatedColumnFormula>BD.PD5[[#This Row],[Av.P1 '[%']]]*BD.PD5[[#This Row],[Ppto. Orden Interna '[DOP']]]</calculatedColumnFormula>
    </tableColumn>
    <tableColumn id="17" xr3:uid="{E4E43BB4-0866-4B79-851A-F564C269BDF9}" name="Per.P2" dataDxfId="189" totalsRowDxfId="188"/>
    <tableColumn id="18" xr3:uid="{0323E88E-05A3-44AA-94A7-E79C21DCB2CE}" name="Av.P2 [%]" dataDxfId="187" totalsRowDxfId="186" dataCellStyle="Porcentaje"/>
    <tableColumn id="19" xr3:uid="{ACEB930C-9B33-43FD-821C-E0F485CDA473}" name="Pago 2" dataDxfId="185" totalsRowDxfId="184" dataCellStyle="Millares">
      <calculatedColumnFormula>BD.PD5[[#This Row],[Av.P2 '[%']]]*BD.PD5[[#This Row],[Ppto. Orden Interna '[DOP']]]</calculatedColumnFormula>
    </tableColumn>
    <tableColumn id="20" xr3:uid="{79C1DD2A-9F43-4608-B56B-A345BD974E94}" name="Per.P3" dataDxfId="183" totalsRowDxfId="182"/>
    <tableColumn id="21" xr3:uid="{F37DDC2D-661C-4A72-A4D9-7D30D3925E49}" name="Av.P3 [%]" dataDxfId="181" totalsRowDxfId="180" dataCellStyle="Porcentaje"/>
    <tableColumn id="22" xr3:uid="{E805609E-0CD2-49B2-9644-11C22E3D5702}" name="Pago 3" dataDxfId="179" totalsRowDxfId="178" dataCellStyle="Millares">
      <calculatedColumnFormula>BD.PD5[[#This Row],[Av.P3 '[%']]]*BD.PD5[[#This Row],[Ppto. Orden Interna '[DOP']]]</calculatedColumnFormula>
    </tableColumn>
    <tableColumn id="23" xr3:uid="{67CD515E-4A7A-428D-929A-B1B291B61047}" name="Per.P4" dataDxfId="177" totalsRowDxfId="176"/>
    <tableColumn id="24" xr3:uid="{E1B26A72-CD02-4878-A983-A1E025FE6BEB}" name="Av.P4 [%]" dataDxfId="175" totalsRowDxfId="174" dataCellStyle="Porcentaje"/>
    <tableColumn id="25" xr3:uid="{FA31412A-BCC8-428A-B53C-F610A519B22A}" name="Pago 4" dataDxfId="173" totalsRowDxfId="172" dataCellStyle="Millares">
      <calculatedColumnFormula>BD.PD5[[#This Row],[Av.P4 '[%']]]*BD.PD5[[#This Row],[Ppto. Orden Interna '[DOP']]]</calculatedColumnFormula>
    </tableColumn>
    <tableColumn id="26" xr3:uid="{580E3AB6-522C-4C64-BD74-F2D5DCD4D962}" name="Per.P5" dataDxfId="171" totalsRowDxfId="170"/>
    <tableColumn id="27" xr3:uid="{BC3B207F-1F96-4D75-BED5-3008ED23C3D0}" name="Av.P5 [%]" dataDxfId="169" totalsRowDxfId="168" dataCellStyle="Porcentaje"/>
    <tableColumn id="28" xr3:uid="{1A5E7017-F982-49BF-9987-B11545D1A4C6}" name="Pago 5" dataDxfId="167" totalsRowDxfId="166" dataCellStyle="Millares">
      <calculatedColumnFormula>BD.PD5[[#This Row],[Av.P5 '[%']]]*BD.PD5[[#This Row],[Ppto. Orden Interna '[DOP']]]</calculatedColumnFormula>
    </tableColumn>
    <tableColumn id="29" xr3:uid="{3F4CCDEA-A809-4BF9-B857-8EEB6F62DBCE}" name="Total Flujo Caja" totalsRowFunction="sum" dataDxfId="165" totalsRowDxfId="164" dataCellStyle="Millares">
      <calculatedColumnFormula>BD.PD5[[#This Row],[Pago 5]]+BD.PD5[[#This Row],[Pago 4]]+BD.PD5[[#This Row],[Pago 3]]+BD.PD5[[#This Row],[Pago 2]]+BD.PD5[[#This Row],[Pago 1]]</calculatedColumnFormula>
    </tableColumn>
    <tableColumn id="39" xr3:uid="{1D60F0AA-BEDE-41F2-8937-C0588D2F008F}" name="Columna1" dataDxfId="163" totalsRowDxfId="162"/>
  </tableColumns>
  <tableStyleInfo name="TableStyleLight8" showFirstColumn="0" showLastColumn="0" showRowStripes="1" showColumnStripes="1"/>
</table>
</file>

<file path=xl/theme/theme1.xml><?xml version="1.0" encoding="utf-8"?>
<a:theme xmlns:a="http://schemas.openxmlformats.org/drawingml/2006/main" name="Tema de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4AA9-39B4-4357-9D0D-5941F60EC1CB}">
  <sheetPr codeName="Hoja1">
    <tabColor rgb="FFFFC000"/>
  </sheetPr>
  <dimension ref="A2:B42"/>
  <sheetViews>
    <sheetView showGridLines="0" workbookViewId="0">
      <selection activeCell="A4" sqref="A4"/>
    </sheetView>
  </sheetViews>
  <sheetFormatPr baseColWidth="10" defaultColWidth="11.5546875" defaultRowHeight="14.4" x14ac:dyDescent="0.3"/>
  <cols>
    <col min="1" max="1" width="13.44140625" style="54" customWidth="1"/>
    <col min="2" max="2" width="81.6640625" style="327" customWidth="1"/>
    <col min="3" max="16384" width="11.5546875" style="54"/>
  </cols>
  <sheetData>
    <row r="2" spans="1:2" ht="10.95" customHeight="1" x14ac:dyDescent="0.3"/>
    <row r="3" spans="1:2" s="261" customFormat="1" ht="18" x14ac:dyDescent="0.35">
      <c r="A3" s="404" t="s">
        <v>0</v>
      </c>
      <c r="B3" s="404"/>
    </row>
    <row r="4" spans="1:2" x14ac:dyDescent="0.3">
      <c r="A4" s="300" t="s">
        <v>1</v>
      </c>
      <c r="B4" s="355" t="s">
        <v>2</v>
      </c>
    </row>
    <row r="5" spans="1:2" x14ac:dyDescent="0.3">
      <c r="A5" s="301"/>
      <c r="B5" t="s">
        <v>3</v>
      </c>
    </row>
    <row r="6" spans="1:2" x14ac:dyDescent="0.3">
      <c r="A6" s="301"/>
      <c r="B6" t="s">
        <v>4</v>
      </c>
    </row>
    <row r="7" spans="1:2" x14ac:dyDescent="0.3">
      <c r="A7" s="301"/>
      <c r="B7" s="326" t="s">
        <v>5</v>
      </c>
    </row>
    <row r="8" spans="1:2" x14ac:dyDescent="0.3">
      <c r="A8" s="301"/>
      <c r="B8" s="326" t="s">
        <v>6</v>
      </c>
    </row>
    <row r="9" spans="1:2" x14ac:dyDescent="0.3">
      <c r="A9" s="301"/>
      <c r="B9" t="s">
        <v>7</v>
      </c>
    </row>
    <row r="10" spans="1:2" x14ac:dyDescent="0.3">
      <c r="A10" s="301"/>
      <c r="B10" t="s">
        <v>8</v>
      </c>
    </row>
    <row r="11" spans="1:2" x14ac:dyDescent="0.3">
      <c r="A11" s="301"/>
      <c r="B11" t="s">
        <v>9</v>
      </c>
    </row>
    <row r="12" spans="1:2" x14ac:dyDescent="0.3">
      <c r="A12" s="301"/>
      <c r="B12" t="s">
        <v>10</v>
      </c>
    </row>
    <row r="13" spans="1:2" x14ac:dyDescent="0.3">
      <c r="A13" s="301"/>
      <c r="B13" t="s">
        <v>11</v>
      </c>
    </row>
    <row r="14" spans="1:2" x14ac:dyDescent="0.3">
      <c r="A14" s="301"/>
      <c r="B14" t="s">
        <v>12</v>
      </c>
    </row>
    <row r="15" spans="1:2" x14ac:dyDescent="0.3">
      <c r="A15" s="301"/>
      <c r="B15" t="s">
        <v>13</v>
      </c>
    </row>
    <row r="16" spans="1:2" x14ac:dyDescent="0.3">
      <c r="A16" s="301"/>
      <c r="B16" t="s">
        <v>14</v>
      </c>
    </row>
    <row r="17" spans="1:2" x14ac:dyDescent="0.3">
      <c r="A17" s="301"/>
      <c r="B17" t="s">
        <v>15</v>
      </c>
    </row>
    <row r="18" spans="1:2" x14ac:dyDescent="0.3">
      <c r="A18" s="301"/>
      <c r="B18" s="326"/>
    </row>
    <row r="19" spans="1:2" x14ac:dyDescent="0.3">
      <c r="A19" s="301"/>
      <c r="B19" s="326"/>
    </row>
    <row r="20" spans="1:2" x14ac:dyDescent="0.3">
      <c r="A20" s="301"/>
      <c r="B20" s="326"/>
    </row>
    <row r="21" spans="1:2" x14ac:dyDescent="0.3">
      <c r="A21" s="301"/>
      <c r="B21" s="326"/>
    </row>
    <row r="29" spans="1:2" x14ac:dyDescent="0.3">
      <c r="B29" s="334"/>
    </row>
    <row r="30" spans="1:2" x14ac:dyDescent="0.3">
      <c r="B30" s="335"/>
    </row>
    <row r="31" spans="1:2" x14ac:dyDescent="0.3">
      <c r="A31" s="336"/>
    </row>
    <row r="32" spans="1:2" x14ac:dyDescent="0.3">
      <c r="A32" s="336"/>
    </row>
    <row r="33" spans="1:1" x14ac:dyDescent="0.3">
      <c r="A33" s="336"/>
    </row>
    <row r="34" spans="1:1" x14ac:dyDescent="0.3">
      <c r="A34" s="336"/>
    </row>
    <row r="35" spans="1:1" x14ac:dyDescent="0.3">
      <c r="A35" s="336"/>
    </row>
    <row r="36" spans="1:1" x14ac:dyDescent="0.3">
      <c r="A36" s="336"/>
    </row>
    <row r="37" spans="1:1" x14ac:dyDescent="0.3">
      <c r="A37" s="336"/>
    </row>
    <row r="38" spans="1:1" x14ac:dyDescent="0.3">
      <c r="A38" s="336"/>
    </row>
    <row r="39" spans="1:1" x14ac:dyDescent="0.3">
      <c r="A39" s="336"/>
    </row>
    <row r="40" spans="1:1" x14ac:dyDescent="0.3">
      <c r="A40" s="336"/>
    </row>
    <row r="41" spans="1:1" x14ac:dyDescent="0.3">
      <c r="A41" s="336"/>
    </row>
    <row r="42" spans="1:1" x14ac:dyDescent="0.3">
      <c r="A42" s="336"/>
    </row>
  </sheetData>
  <mergeCells count="1">
    <mergeCell ref="A3:B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60C8-FB12-4892-B1FD-E49041EFC491}">
  <sheetPr codeName="Hoja2">
    <tabColor theme="8" tint="0.59999389629810485"/>
  </sheetPr>
  <dimension ref="A1:P88"/>
  <sheetViews>
    <sheetView showGridLines="0" topLeftCell="C9" zoomScale="85" zoomScaleNormal="85" workbookViewId="0">
      <selection activeCell="P15" sqref="P15"/>
    </sheetView>
  </sheetViews>
  <sheetFormatPr baseColWidth="10" defaultColWidth="11.44140625" defaultRowHeight="14.4" outlineLevelCol="1" x14ac:dyDescent="0.3"/>
  <cols>
    <col min="1" max="1" width="7" hidden="1" customWidth="1"/>
    <col min="2" max="2" width="13.44140625" hidden="1" customWidth="1"/>
    <col min="3" max="3" width="52.33203125" customWidth="1"/>
    <col min="4" max="4" width="27.33203125" customWidth="1"/>
    <col min="5" max="5" width="28.33203125" customWidth="1"/>
    <col min="6" max="6" width="4.33203125" customWidth="1"/>
    <col min="7" max="8" width="20.6640625" style="127" hidden="1" customWidth="1" outlineLevel="1"/>
    <col min="9" max="9" width="24" style="127" customWidth="1" collapsed="1"/>
    <col min="10" max="11" width="20.6640625" style="127" hidden="1" customWidth="1" outlineLevel="1"/>
    <col min="12" max="12" width="21.33203125" style="127" customWidth="1" collapsed="1"/>
    <col min="13" max="13" width="7.6640625" customWidth="1"/>
    <col min="15" max="16" width="14.33203125" bestFit="1" customWidth="1"/>
  </cols>
  <sheetData>
    <row r="1" spans="1:16" ht="23.4" x14ac:dyDescent="0.3">
      <c r="C1" s="407" t="s">
        <v>16</v>
      </c>
      <c r="D1" s="407"/>
      <c r="E1" s="407"/>
      <c r="F1" s="407"/>
      <c r="G1" s="407"/>
      <c r="H1" s="407"/>
      <c r="I1" s="407"/>
      <c r="J1" s="407"/>
      <c r="K1" s="407"/>
      <c r="L1" s="407"/>
    </row>
    <row r="2" spans="1:16" x14ac:dyDescent="0.3">
      <c r="C2" s="405" t="s">
        <v>17</v>
      </c>
      <c r="D2" s="405"/>
      <c r="E2" s="405"/>
      <c r="F2" s="405"/>
      <c r="G2" s="405"/>
      <c r="H2" s="405"/>
    </row>
    <row r="3" spans="1:16" x14ac:dyDescent="0.3">
      <c r="C3" s="406"/>
      <c r="D3" s="406"/>
      <c r="E3" s="406"/>
      <c r="F3" s="406"/>
      <c r="G3" s="406"/>
      <c r="H3" s="406"/>
    </row>
    <row r="4" spans="1:16" ht="15" thickBot="1" x14ac:dyDescent="0.35">
      <c r="C4" s="124" t="s">
        <v>18</v>
      </c>
      <c r="D4" s="328" t="s">
        <v>19</v>
      </c>
      <c r="E4" s="328" t="s">
        <v>20</v>
      </c>
      <c r="F4" s="124"/>
      <c r="G4" s="183"/>
      <c r="H4" s="190"/>
      <c r="I4" s="329" t="s">
        <v>21</v>
      </c>
      <c r="J4" s="191"/>
      <c r="K4" s="192"/>
      <c r="L4" s="330" t="s">
        <v>22</v>
      </c>
      <c r="O4" s="342"/>
      <c r="P4" s="342"/>
    </row>
    <row r="5" spans="1:16" s="12" customFormat="1" ht="18" thickBot="1" x14ac:dyDescent="0.35">
      <c r="A5" s="125"/>
      <c r="B5" s="125"/>
      <c r="C5" s="126"/>
      <c r="D5" s="193" t="s">
        <v>23</v>
      </c>
      <c r="E5" s="193" t="s">
        <v>23</v>
      </c>
      <c r="F5" s="289"/>
      <c r="G5" s="297" t="s">
        <v>24</v>
      </c>
      <c r="H5" s="297" t="s">
        <v>25</v>
      </c>
      <c r="I5" s="293" t="s">
        <v>26</v>
      </c>
      <c r="J5" s="295" t="s">
        <v>27</v>
      </c>
      <c r="K5" s="296" t="s">
        <v>28</v>
      </c>
      <c r="L5" s="294" t="s">
        <v>29</v>
      </c>
      <c r="P5" s="342"/>
    </row>
    <row r="6" spans="1:16" ht="15.6" x14ac:dyDescent="0.3">
      <c r="A6" s="16"/>
      <c r="B6" s="16"/>
      <c r="C6" s="16" t="s">
        <v>30</v>
      </c>
      <c r="D6" s="195">
        <f>D9+D10+D11</f>
        <v>3179486.8321140045</v>
      </c>
      <c r="E6" s="195">
        <f>E9+E10+E11</f>
        <v>2530056.6707107476</v>
      </c>
      <c r="F6" s="16"/>
      <c r="G6" s="194">
        <f t="shared" ref="G6:H6" si="0">SUM(G9:G11)</f>
        <v>210750934.83052406</v>
      </c>
      <c r="H6" s="194">
        <f t="shared" si="0"/>
        <v>0</v>
      </c>
      <c r="I6" s="195">
        <f>H6+G6</f>
        <v>210750934.83052406</v>
      </c>
      <c r="J6" s="196">
        <f>SUM(J9:J11)</f>
        <v>3472008.8110465249</v>
      </c>
      <c r="K6" s="194">
        <f t="shared" ref="K6" si="1">SUM(K9:K11)</f>
        <v>0</v>
      </c>
      <c r="L6" s="195">
        <f>K6+J6</f>
        <v>3472008.8110465249</v>
      </c>
      <c r="O6" s="342"/>
      <c r="P6" s="333"/>
    </row>
    <row r="7" spans="1:16" s="17" customFormat="1" ht="5.4" x14ac:dyDescent="0.15">
      <c r="D7" s="198"/>
      <c r="E7" s="198"/>
      <c r="G7" s="197"/>
      <c r="H7" s="197"/>
      <c r="I7" s="198"/>
      <c r="J7" s="199"/>
      <c r="K7" s="197"/>
      <c r="L7" s="198"/>
    </row>
    <row r="8" spans="1:16" ht="17.399999999999999" x14ac:dyDescent="0.3">
      <c r="A8" s="1"/>
      <c r="B8" s="1"/>
      <c r="C8" s="1" t="s">
        <v>31</v>
      </c>
      <c r="D8" s="201"/>
      <c r="E8" s="201"/>
      <c r="F8" s="290"/>
      <c r="G8" s="200"/>
      <c r="H8" s="200"/>
      <c r="I8" s="201"/>
      <c r="J8" s="202"/>
      <c r="K8" s="200"/>
      <c r="L8" s="201"/>
    </row>
    <row r="9" spans="1:16" x14ac:dyDescent="0.3">
      <c r="A9" s="2"/>
      <c r="B9" s="2"/>
      <c r="C9" s="2" t="s">
        <v>32</v>
      </c>
      <c r="D9" s="203">
        <f>SUMIF(PPto[Gran Part.],$C9,PPto[Total '[USD']])</f>
        <v>2901152.4563490045</v>
      </c>
      <c r="E9" s="203">
        <f>SUMIF(PPto[Gran Part.],$C9,PPto[Total '[USD']3])</f>
        <v>2391748.5307107475</v>
      </c>
      <c r="F9" s="2"/>
      <c r="G9" s="184">
        <f>SUMIF(PPto[Gran Part.],$C9,PPto[Ppto. OI '[DOP']2])</f>
        <v>195359580.30812407</v>
      </c>
      <c r="H9" s="184">
        <f>SUMIF(PPto[Gran Part.],$C9,PPto[Ppto. Capex '[DOP']])</f>
        <v>0</v>
      </c>
      <c r="I9" s="203">
        <f>SUMIF(PPto[Gran Part.],$C9,PPto[Total '[DOP']])</f>
        <v>195359580.30812407</v>
      </c>
      <c r="J9" s="204">
        <f>SUMIF(PPto[Gran Part.],C9,PPto[Ppto. OI '[USD']])</f>
        <v>3218444.4861305445</v>
      </c>
      <c r="K9" s="184">
        <f>SUMIF(PPto[Gran Part.],C9,PPto[Ppto. Capex '[USD']])</f>
        <v>0</v>
      </c>
      <c r="L9" s="203">
        <f>K9+J9</f>
        <v>3218444.4861305445</v>
      </c>
    </row>
    <row r="10" spans="1:16" x14ac:dyDescent="0.3">
      <c r="A10" s="2"/>
      <c r="B10" s="2"/>
      <c r="C10" s="2" t="s">
        <v>33</v>
      </c>
      <c r="D10" s="203">
        <f>SUMIF(PPto[Gran Part.],$C10,PPto[Total '[USD']])</f>
        <v>278334.37576499995</v>
      </c>
      <c r="E10" s="203">
        <f>SUMIF(PPto[Gran Part.],$C10,PPto[Total '[USD']3])</f>
        <v>138308.14000000001</v>
      </c>
      <c r="F10" s="2"/>
      <c r="G10" s="184">
        <f>SUMIF(PPto[Gran Part.],$C10,PPto[Ppto. OI '[DOP']2])</f>
        <v>15391354.522399999</v>
      </c>
      <c r="H10" s="184">
        <f>SUMIF(PPto[Gran Part.],$C10,PPto[Ppto. Capex '[DOP']])</f>
        <v>0</v>
      </c>
      <c r="I10" s="203">
        <f>SUMIF(PPto[Gran Part.],$C10,PPto[Total '[DOP']])</f>
        <v>15391354.522399999</v>
      </c>
      <c r="J10" s="204">
        <f>SUMIF(PPto[Gran Part.],C10,PPto[Ppto. OI '[USD']])</f>
        <v>253564.32491598022</v>
      </c>
      <c r="K10" s="184">
        <f>SUMIF(PPto[Gran Part.],C10,PPto[Ppto. Capex '[USD']])</f>
        <v>0</v>
      </c>
      <c r="L10" s="203">
        <f>K10+J10</f>
        <v>253564.32491598022</v>
      </c>
    </row>
    <row r="11" spans="1:16" x14ac:dyDescent="0.3">
      <c r="A11" s="13"/>
      <c r="B11" s="13"/>
      <c r="C11" s="13" t="s">
        <v>34</v>
      </c>
      <c r="D11" s="205">
        <v>0</v>
      </c>
      <c r="E11" s="205">
        <v>0</v>
      </c>
      <c r="F11" s="2"/>
      <c r="G11" s="185">
        <f>SUMIF(PPto[Gran Part.],$C11,PPto[Ppto. OI '[DOP']2])</f>
        <v>0</v>
      </c>
      <c r="H11" s="185">
        <f>SUMIF(PPto[Gran Part.],$C11,PPto[Ppto. Capex '[DOP']])</f>
        <v>0</v>
      </c>
      <c r="I11" s="205">
        <f t="shared" ref="I11:I12" si="2">H11+G11</f>
        <v>0</v>
      </c>
      <c r="J11" s="206">
        <f>SUMIF(PPto[Gran Part.],C11,PPto[Ppto. OI '[USD']])</f>
        <v>0</v>
      </c>
      <c r="K11" s="185">
        <f>SUMIF(PPto[Gran Part.],C11,PPto[Ppto. Capex '[USD']])</f>
        <v>0</v>
      </c>
      <c r="L11" s="205">
        <f t="shared" ref="L11:L12" si="3">K11+J11</f>
        <v>0</v>
      </c>
    </row>
    <row r="12" spans="1:16" x14ac:dyDescent="0.3">
      <c r="A12" s="2"/>
      <c r="B12" s="2"/>
      <c r="C12" s="2" t="s">
        <v>35</v>
      </c>
      <c r="D12" s="207">
        <v>0</v>
      </c>
      <c r="E12" s="207">
        <v>0</v>
      </c>
      <c r="F12" s="2"/>
      <c r="G12" s="184">
        <f>SUMIF(PPto[Gran Part.],$C12,PPto[Ppto. OI '[DOP']2])</f>
        <v>0</v>
      </c>
      <c r="H12" s="184">
        <f>SUMIF(PPto[Gran Part.],$C12,PPto[Ppto. Capex '[DOP']])</f>
        <v>0</v>
      </c>
      <c r="I12" s="207">
        <f t="shared" si="2"/>
        <v>0</v>
      </c>
      <c r="J12" s="204">
        <f>SUMIF(PPto[Gran Part.],C12,PPto[Ppto. OI '[USD']])</f>
        <v>0</v>
      </c>
      <c r="K12" s="184">
        <f>SUMIF(PPto[Gran Part.],C12,PPto[Ppto. Capex '[USD']])</f>
        <v>0</v>
      </c>
      <c r="L12" s="207">
        <f t="shared" si="3"/>
        <v>0</v>
      </c>
      <c r="P12" s="397">
        <v>753760</v>
      </c>
    </row>
    <row r="13" spans="1:16" s="18" customFormat="1" ht="9" customHeight="1" x14ac:dyDescent="0.15">
      <c r="A13" s="19"/>
      <c r="B13" s="19"/>
      <c r="C13" s="19"/>
      <c r="D13" s="209"/>
      <c r="E13" s="209"/>
      <c r="F13" s="19"/>
      <c r="G13" s="208"/>
      <c r="H13" s="208"/>
      <c r="I13" s="209"/>
      <c r="J13" s="210"/>
      <c r="K13" s="208"/>
      <c r="L13" s="209"/>
    </row>
    <row r="14" spans="1:16" x14ac:dyDescent="0.3">
      <c r="A14" s="3"/>
      <c r="B14" s="3"/>
      <c r="C14" s="3" t="s">
        <v>36</v>
      </c>
      <c r="D14" s="212"/>
      <c r="E14" s="212"/>
      <c r="F14" s="291"/>
      <c r="G14" s="211"/>
      <c r="H14" s="211"/>
      <c r="I14" s="212"/>
      <c r="J14" s="213"/>
      <c r="K14" s="211"/>
      <c r="L14" s="212"/>
      <c r="P14">
        <v>85000</v>
      </c>
    </row>
    <row r="15" spans="1:16" x14ac:dyDescent="0.3">
      <c r="A15" s="2"/>
      <c r="B15" s="2"/>
      <c r="C15" s="2" t="s">
        <v>37</v>
      </c>
      <c r="D15" s="214"/>
      <c r="E15" s="214"/>
      <c r="F15" s="2"/>
      <c r="G15" s="184"/>
      <c r="H15" s="184"/>
      <c r="I15" s="214"/>
      <c r="J15" s="204"/>
      <c r="K15" s="184"/>
      <c r="L15" s="214"/>
      <c r="P15" s="323">
        <f>+P12+P14</f>
        <v>838760</v>
      </c>
    </row>
    <row r="16" spans="1:16" x14ac:dyDescent="0.3">
      <c r="A16" s="2"/>
      <c r="B16" s="2"/>
      <c r="C16" s="2" t="s">
        <v>38</v>
      </c>
      <c r="D16" s="214"/>
      <c r="E16" s="214"/>
      <c r="F16" s="2"/>
      <c r="G16" s="184"/>
      <c r="H16" s="184"/>
      <c r="I16" s="214"/>
      <c r="J16" s="204"/>
      <c r="K16" s="184"/>
      <c r="L16" s="214"/>
    </row>
    <row r="17" spans="1:13" x14ac:dyDescent="0.3">
      <c r="A17" s="2"/>
      <c r="B17" s="2"/>
      <c r="C17" s="2" t="s">
        <v>39</v>
      </c>
      <c r="D17" s="214"/>
      <c r="E17" s="214"/>
      <c r="F17" s="2"/>
      <c r="G17" s="184"/>
      <c r="H17" s="184"/>
      <c r="I17" s="214"/>
      <c r="J17" s="204"/>
      <c r="K17" s="184"/>
      <c r="L17" s="214"/>
    </row>
    <row r="18" spans="1:13" s="18" customFormat="1" ht="4.8" thickBot="1" x14ac:dyDescent="0.2">
      <c r="A18" s="19"/>
      <c r="B18" s="19"/>
      <c r="C18" s="19"/>
      <c r="D18" s="209"/>
      <c r="E18" s="209"/>
      <c r="F18" s="19"/>
      <c r="G18" s="215" t="s">
        <v>40</v>
      </c>
      <c r="H18" s="215" t="s">
        <v>41</v>
      </c>
      <c r="I18" s="209"/>
      <c r="J18" s="216" t="s">
        <v>40</v>
      </c>
      <c r="K18" s="215" t="s">
        <v>41</v>
      </c>
      <c r="L18" s="209"/>
    </row>
    <row r="19" spans="1:13" x14ac:dyDescent="0.3">
      <c r="A19" s="8" t="s">
        <v>42</v>
      </c>
      <c r="B19" s="8" t="s">
        <v>43</v>
      </c>
      <c r="C19" s="8" t="s">
        <v>44</v>
      </c>
      <c r="D19" s="217" t="s">
        <v>45</v>
      </c>
      <c r="E19" s="217" t="s">
        <v>46</v>
      </c>
      <c r="F19" s="291" t="s">
        <v>47</v>
      </c>
      <c r="G19" s="186" t="s">
        <v>48</v>
      </c>
      <c r="H19" s="186" t="s">
        <v>49</v>
      </c>
      <c r="I19" s="217" t="s">
        <v>50</v>
      </c>
      <c r="J19" s="218" t="s">
        <v>51</v>
      </c>
      <c r="K19" s="186" t="s">
        <v>52</v>
      </c>
      <c r="L19" s="217" t="s">
        <v>53</v>
      </c>
      <c r="M19" s="3" t="s">
        <v>54</v>
      </c>
    </row>
    <row r="20" spans="1:13" x14ac:dyDescent="0.3">
      <c r="A20" s="6">
        <v>1</v>
      </c>
      <c r="B20" s="7"/>
      <c r="C20" s="123" t="s">
        <v>55</v>
      </c>
      <c r="D20" s="187">
        <f t="shared" ref="D20:E20" si="4">SUM(D21:D27)</f>
        <v>0</v>
      </c>
      <c r="E20" s="187">
        <f t="shared" si="4"/>
        <v>0</v>
      </c>
      <c r="F20" s="292"/>
      <c r="G20" s="187">
        <f>SUM(G21:G29)</f>
        <v>0</v>
      </c>
      <c r="H20" s="187">
        <f t="shared" ref="H20" si="5">SUM(H21:H29)</f>
        <v>0</v>
      </c>
      <c r="I20" s="219">
        <f>PPto[[#This Row],[Ppto. Capex '[DOP']]]+PPto[[#This Row],[Ppto. OI '[DOP']2]]</f>
        <v>0</v>
      </c>
      <c r="J20" s="220">
        <f t="shared" ref="J20:K20" si="6">SUM(J21:J29)</f>
        <v>0</v>
      </c>
      <c r="K20" s="187">
        <f t="shared" si="6"/>
        <v>0</v>
      </c>
      <c r="L20" s="219">
        <f>PPto[[#This Row],[Ppto. Capex '[USD']]]+PPto[[#This Row],[Ppto. OI '[USD']]]</f>
        <v>0</v>
      </c>
    </row>
    <row r="21" spans="1:13" x14ac:dyDescent="0.3">
      <c r="A21" s="5">
        <v>1.01</v>
      </c>
      <c r="B21" s="12" t="s">
        <v>56</v>
      </c>
      <c r="C21" s="4" t="s">
        <v>57</v>
      </c>
      <c r="D21" s="221">
        <v>0</v>
      </c>
      <c r="E21" s="221">
        <v>0</v>
      </c>
      <c r="F21" s="4"/>
      <c r="G21" s="188">
        <f>SUMIFS(BD.PD[Ppto. Orden Interna '[DOP']],BD.PD[Pos],PPto[[#This Row],[Part.]],BD.PD[Tipo Ppto],G$18)</f>
        <v>0</v>
      </c>
      <c r="H21" s="188">
        <f>SUMIFS(BD.PD[Ppto. Orden Interna '[DOP']],BD.PD[Pos],PPto[[#This Row],[Part.]],BD.PD[Tipo Ppto],H$18)</f>
        <v>0</v>
      </c>
      <c r="I21" s="221">
        <f>PPto[[#This Row],[Ppto. Capex '[DOP']]]+PPto[[#This Row],[Ppto. OI '[DOP']2]]</f>
        <v>0</v>
      </c>
      <c r="J21" s="222">
        <f>SUMIFS(BD.PD[Ppto. Orden Interna '[USD']],BD.PD[Pos],PPto[[#This Row],[Part.]],BD.PD[Tipo Ppto],J$18)</f>
        <v>0</v>
      </c>
      <c r="K21" s="188">
        <f>SUMIFS(BD.PD[Ppto. Orden Interna '[USD']],BD.PD[Pos],PPto[[#This Row],[Part.]],BD.PD[Tipo Ppto],K$18)</f>
        <v>0</v>
      </c>
      <c r="L21" s="221">
        <f>PPto[[#This Row],[Ppto. Capex '[USD']]]+PPto[[#This Row],[Ppto. OI '[USD']]]</f>
        <v>0</v>
      </c>
    </row>
    <row r="22" spans="1:13" x14ac:dyDescent="0.3">
      <c r="A22" s="5">
        <v>1.02</v>
      </c>
      <c r="B22" s="12" t="s">
        <v>56</v>
      </c>
      <c r="C22" s="4" t="s">
        <v>58</v>
      </c>
      <c r="D22" s="221">
        <v>0</v>
      </c>
      <c r="E22" s="221">
        <v>0</v>
      </c>
      <c r="F22" s="4"/>
      <c r="G22" s="188">
        <f>SUMIFS(BD.PD[Ppto. Orden Interna '[DOP']],BD.PD[Pos],PPto[[#This Row],[Part.]],BD.PD[Tipo Ppto],G$18)</f>
        <v>0</v>
      </c>
      <c r="H22" s="188">
        <f>SUMIFS(BD.PD[Ppto. Orden Interna '[DOP']],BD.PD[Pos],PPto[[#This Row],[Part.]],BD.PD[Tipo Ppto],H$18)</f>
        <v>0</v>
      </c>
      <c r="I22" s="221">
        <f>PPto[[#This Row],[Ppto. Capex '[DOP']]]+PPto[[#This Row],[Ppto. OI '[DOP']2]]</f>
        <v>0</v>
      </c>
      <c r="J22" s="222">
        <f>SUMIFS(BD.PD[Ppto. Orden Interna '[USD']],BD.PD[Pos],PPto[[#This Row],[Part.]],BD.PD[Tipo Ppto],J$18)</f>
        <v>0</v>
      </c>
      <c r="K22" s="188">
        <f>SUMIFS(BD.PD[Ppto. Orden Interna '[USD']],BD.PD[Pos],PPto[[#This Row],[Part.]],BD.PD[Tipo Ppto],K$18)</f>
        <v>0</v>
      </c>
      <c r="L22" s="221">
        <f>PPto[[#This Row],[Ppto. Capex '[USD']]]+PPto[[#This Row],[Ppto. OI '[USD']]]</f>
        <v>0</v>
      </c>
    </row>
    <row r="23" spans="1:13" x14ac:dyDescent="0.3">
      <c r="A23" s="5">
        <v>1.03</v>
      </c>
      <c r="B23" s="12" t="s">
        <v>56</v>
      </c>
      <c r="C23" s="4" t="s">
        <v>59</v>
      </c>
      <c r="D23" s="221">
        <v>0</v>
      </c>
      <c r="E23" s="221">
        <v>0</v>
      </c>
      <c r="F23" s="4"/>
      <c r="G23" s="188">
        <f>SUMIFS(BD.PD[Ppto. Orden Interna '[DOP']],BD.PD[Pos],PPto[[#This Row],[Part.]],BD.PD[Tipo Ppto],G$18)</f>
        <v>0</v>
      </c>
      <c r="H23" s="188">
        <f>SUMIFS(BD.PD[Ppto. Orden Interna '[DOP']],BD.PD[Pos],PPto[[#This Row],[Part.]],BD.PD[Tipo Ppto],H$18)</f>
        <v>0</v>
      </c>
      <c r="I23" s="221">
        <f>PPto[[#This Row],[Ppto. Capex '[DOP']]]+PPto[[#This Row],[Ppto. OI '[DOP']2]]</f>
        <v>0</v>
      </c>
      <c r="J23" s="222">
        <f>SUMIFS(BD.PD[Ppto. Orden Interna '[USD']],BD.PD[Pos],PPto[[#This Row],[Part.]],BD.PD[Tipo Ppto],J$18)</f>
        <v>0</v>
      </c>
      <c r="K23" s="188">
        <f>SUMIFS(BD.PD[Ppto. Orden Interna '[USD']],BD.PD[Pos],PPto[[#This Row],[Part.]],BD.PD[Tipo Ppto],K$18)</f>
        <v>0</v>
      </c>
      <c r="L23" s="221">
        <f>PPto[[#This Row],[Ppto. Capex '[USD']]]+PPto[[#This Row],[Ppto. OI '[USD']]]</f>
        <v>0</v>
      </c>
    </row>
    <row r="24" spans="1:13" x14ac:dyDescent="0.3">
      <c r="A24" s="5">
        <v>1.04</v>
      </c>
      <c r="B24" s="12" t="s">
        <v>56</v>
      </c>
      <c r="C24" s="4" t="s">
        <v>60</v>
      </c>
      <c r="D24" s="221">
        <v>0</v>
      </c>
      <c r="E24" s="221">
        <v>0</v>
      </c>
      <c r="F24" s="4"/>
      <c r="G24" s="188">
        <f>SUMIFS(BD.PD[Ppto. Orden Interna '[DOP']],BD.PD[Pos],PPto[[#This Row],[Part.]],BD.PD[Tipo Ppto],G$18)</f>
        <v>0</v>
      </c>
      <c r="H24" s="188">
        <f>SUMIFS(BD.PD[Ppto. Orden Interna '[DOP']],BD.PD[Pos],PPto[[#This Row],[Part.]],BD.PD[Tipo Ppto],H$18)</f>
        <v>0</v>
      </c>
      <c r="I24" s="221">
        <f>PPto[[#This Row],[Ppto. Capex '[DOP']]]+PPto[[#This Row],[Ppto. OI '[DOP']2]]</f>
        <v>0</v>
      </c>
      <c r="J24" s="222">
        <f>SUMIFS(BD.PD[Ppto. Orden Interna '[USD']],BD.PD[Pos],PPto[[#This Row],[Part.]],BD.PD[Tipo Ppto],J$18)</f>
        <v>0</v>
      </c>
      <c r="K24" s="188">
        <f>SUMIFS(BD.PD[Ppto. Orden Interna '[USD']],BD.PD[Pos],PPto[[#This Row],[Part.]],BD.PD[Tipo Ppto],K$18)</f>
        <v>0</v>
      </c>
      <c r="L24" s="221">
        <f>PPto[[#This Row],[Ppto. Capex '[USD']]]+PPto[[#This Row],[Ppto. OI '[USD']]]</f>
        <v>0</v>
      </c>
    </row>
    <row r="25" spans="1:13" x14ac:dyDescent="0.3">
      <c r="A25" s="5">
        <v>1.05</v>
      </c>
      <c r="B25" s="12" t="s">
        <v>56</v>
      </c>
      <c r="C25" s="4" t="s">
        <v>61</v>
      </c>
      <c r="D25" s="221">
        <v>0</v>
      </c>
      <c r="E25" s="221">
        <v>0</v>
      </c>
      <c r="F25" s="4"/>
      <c r="G25" s="188">
        <f>SUMIFS(BD.PD[Ppto. Orden Interna '[DOP']],BD.PD[Pos],PPto[[#This Row],[Part.]],BD.PD[Tipo Ppto],G$18)</f>
        <v>0</v>
      </c>
      <c r="H25" s="188">
        <f>SUMIFS(BD.PD[Ppto. Orden Interna '[DOP']],BD.PD[Pos],PPto[[#This Row],[Part.]],BD.PD[Tipo Ppto],H$18)</f>
        <v>0</v>
      </c>
      <c r="I25" s="221">
        <f>PPto[[#This Row],[Ppto. Capex '[DOP']]]+PPto[[#This Row],[Ppto. OI '[DOP']2]]</f>
        <v>0</v>
      </c>
      <c r="J25" s="222">
        <f>SUMIFS(BD.PD[Ppto. Orden Interna '[USD']],BD.PD[Pos],PPto[[#This Row],[Part.]],BD.PD[Tipo Ppto],J$18)</f>
        <v>0</v>
      </c>
      <c r="K25" s="188">
        <f>SUMIFS(BD.PD[Ppto. Orden Interna '[USD']],BD.PD[Pos],PPto[[#This Row],[Part.]],BD.PD[Tipo Ppto],K$18)</f>
        <v>0</v>
      </c>
      <c r="L25" s="221">
        <f>PPto[[#This Row],[Ppto. Capex '[USD']]]+PPto[[#This Row],[Ppto. OI '[USD']]]</f>
        <v>0</v>
      </c>
    </row>
    <row r="26" spans="1:13" x14ac:dyDescent="0.3">
      <c r="A26" s="5">
        <v>1.06</v>
      </c>
      <c r="B26" s="12" t="s">
        <v>56</v>
      </c>
      <c r="C26" s="4" t="s">
        <v>62</v>
      </c>
      <c r="D26" s="221">
        <v>0</v>
      </c>
      <c r="E26" s="221">
        <v>0</v>
      </c>
      <c r="F26" s="4"/>
      <c r="G26" s="188">
        <f>SUMIFS(BD.PD[Ppto. Orden Interna '[DOP']],BD.PD[Pos],PPto[[#This Row],[Part.]],BD.PD[Tipo Ppto],G$18)</f>
        <v>0</v>
      </c>
      <c r="H26" s="188">
        <f>SUMIFS(BD.PD[Ppto. Orden Interna '[DOP']],BD.PD[Pos],PPto[[#This Row],[Part.]],BD.PD[Tipo Ppto],H$18)</f>
        <v>0</v>
      </c>
      <c r="I26" s="221">
        <f>PPto[[#This Row],[Ppto. Capex '[DOP']]]+PPto[[#This Row],[Ppto. OI '[DOP']2]]</f>
        <v>0</v>
      </c>
      <c r="J26" s="222">
        <f>SUMIFS(BD.PD[Ppto. Orden Interna '[USD']],BD.PD[Pos],PPto[[#This Row],[Part.]],BD.PD[Tipo Ppto],J$18)</f>
        <v>0</v>
      </c>
      <c r="K26" s="188">
        <f>SUMIFS(BD.PD[Ppto. Orden Interna '[USD']],BD.PD[Pos],PPto[[#This Row],[Part.]],BD.PD[Tipo Ppto],K$18)</f>
        <v>0</v>
      </c>
      <c r="L26" s="221">
        <f>PPto[[#This Row],[Ppto. Capex '[USD']]]+PPto[[#This Row],[Ppto. OI '[USD']]]</f>
        <v>0</v>
      </c>
    </row>
    <row r="27" spans="1:13" x14ac:dyDescent="0.3">
      <c r="A27" s="5">
        <v>1.07</v>
      </c>
      <c r="B27" s="12" t="s">
        <v>56</v>
      </c>
      <c r="C27" s="4" t="s">
        <v>63</v>
      </c>
      <c r="D27" s="221">
        <v>0</v>
      </c>
      <c r="E27" s="221">
        <v>0</v>
      </c>
      <c r="F27" s="4"/>
      <c r="G27" s="188">
        <f>SUMIFS(BD.PD[Ppto. Orden Interna '[DOP']],BD.PD[Pos],PPto[[#This Row],[Part.]],BD.PD[Tipo Ppto],G$18)</f>
        <v>0</v>
      </c>
      <c r="H27" s="188">
        <f>SUMIFS(BD.PD[Ppto. Orden Interna '[DOP']],BD.PD[Pos],PPto[[#This Row],[Part.]],BD.PD[Tipo Ppto],H$18)</f>
        <v>0</v>
      </c>
      <c r="I27" s="221">
        <f>PPto[[#This Row],[Ppto. Capex '[DOP']]]+PPto[[#This Row],[Ppto. OI '[DOP']2]]</f>
        <v>0</v>
      </c>
      <c r="J27" s="222">
        <f>SUMIFS(BD.PD[Ppto. Orden Interna '[USD']],BD.PD[Pos],PPto[[#This Row],[Part.]],BD.PD[Tipo Ppto],J$18)</f>
        <v>0</v>
      </c>
      <c r="K27" s="188">
        <f>SUMIFS(BD.PD[Ppto. Orden Interna '[USD']],BD.PD[Pos],PPto[[#This Row],[Part.]],BD.PD[Tipo Ppto],K$18)</f>
        <v>0</v>
      </c>
      <c r="L27" s="221">
        <f>PPto[[#This Row],[Ppto. Capex '[USD']]]+PPto[[#This Row],[Ppto. OI '[USD']]]</f>
        <v>0</v>
      </c>
    </row>
    <row r="28" spans="1:13" x14ac:dyDescent="0.3">
      <c r="A28" s="5">
        <v>1.08</v>
      </c>
      <c r="B28" s="12" t="s">
        <v>56</v>
      </c>
      <c r="C28" s="4" t="s">
        <v>64</v>
      </c>
      <c r="D28" s="221">
        <v>0</v>
      </c>
      <c r="E28" s="221">
        <v>0</v>
      </c>
      <c r="F28" s="4"/>
      <c r="G28" s="188">
        <f>SUMIFS(BD.PD[Ppto. Orden Interna '[DOP']],BD.PD[Pos],PPto[[#This Row],[Part.]],BD.PD[Tipo Ppto],G$18)</f>
        <v>0</v>
      </c>
      <c r="H28" s="188">
        <f>SUMIFS(BD.PD[Ppto. Orden Interna '[DOP']],BD.PD[Pos],PPto[[#This Row],[Part.]],BD.PD[Tipo Ppto],H$18)</f>
        <v>0</v>
      </c>
      <c r="I28" s="221">
        <f>PPto[[#This Row],[Ppto. Capex '[DOP']]]+PPto[[#This Row],[Ppto. OI '[DOP']2]]</f>
        <v>0</v>
      </c>
      <c r="J28" s="222">
        <f>SUMIFS(BD.PD[Ppto. Orden Interna '[USD']],BD.PD[Pos],PPto[[#This Row],[Part.]],BD.PD[Tipo Ppto],J$18)</f>
        <v>0</v>
      </c>
      <c r="K28" s="188">
        <f>SUMIFS(BD.PD[Ppto. Orden Interna '[USD']],BD.PD[Pos],PPto[[#This Row],[Part.]],BD.PD[Tipo Ppto],K$18)</f>
        <v>0</v>
      </c>
      <c r="L28" s="221">
        <f>PPto[[#This Row],[Ppto. Capex '[USD']]]+PPto[[#This Row],[Ppto. OI '[USD']]]</f>
        <v>0</v>
      </c>
    </row>
    <row r="29" spans="1:13" x14ac:dyDescent="0.3">
      <c r="A29" s="5">
        <v>1.0900000000000001</v>
      </c>
      <c r="B29" s="12" t="s">
        <v>56</v>
      </c>
      <c r="C29" s="4" t="s">
        <v>65</v>
      </c>
      <c r="D29" s="221">
        <v>0</v>
      </c>
      <c r="E29" s="221">
        <v>0</v>
      </c>
      <c r="F29" s="4"/>
      <c r="G29" s="188">
        <f>SUMIFS(BD.PD[Ppto. Orden Interna '[DOP']],BD.PD[Pos],PPto[[#This Row],[Part.]],BD.PD[Tipo Ppto],G$18)</f>
        <v>0</v>
      </c>
      <c r="H29" s="188">
        <f>SUMIFS(BD.PD[Ppto. Orden Interna '[DOP']],BD.PD[Pos],PPto[[#This Row],[Part.]],BD.PD[Tipo Ppto],H$18)</f>
        <v>0</v>
      </c>
      <c r="I29" s="221">
        <f>PPto[[#This Row],[Ppto. Capex '[DOP']]]+PPto[[#This Row],[Ppto. OI '[DOP']2]]</f>
        <v>0</v>
      </c>
      <c r="J29" s="222">
        <f>SUMIFS(BD.PD[Ppto. Orden Interna '[USD']],BD.PD[Pos],PPto[[#This Row],[Part.]],BD.PD[Tipo Ppto],J$18)</f>
        <v>0</v>
      </c>
      <c r="K29" s="188">
        <f>SUMIFS(BD.PD[Ppto. Orden Interna '[USD']],BD.PD[Pos],PPto[[#This Row],[Part.]],BD.PD[Tipo Ppto],K$18)</f>
        <v>0</v>
      </c>
      <c r="L29" s="221">
        <f>PPto[[#This Row],[Ppto. Capex '[USD']]]+PPto[[#This Row],[Ppto. OI '[USD']]]</f>
        <v>0</v>
      </c>
    </row>
    <row r="30" spans="1:13" x14ac:dyDescent="0.3">
      <c r="A30" s="6">
        <v>2</v>
      </c>
      <c r="B30" s="7"/>
      <c r="C30" s="123" t="s">
        <v>66</v>
      </c>
      <c r="D30" s="187">
        <f>SUM(D31:D41)</f>
        <v>278334.37576499995</v>
      </c>
      <c r="E30" s="187">
        <f>SUM(E31:E41)</f>
        <v>138308.14000000001</v>
      </c>
      <c r="F30" s="292"/>
      <c r="G30" s="187">
        <f t="shared" ref="G30" si="7">SUM(G31:G41)</f>
        <v>15391354.522399999</v>
      </c>
      <c r="H30" s="187">
        <f t="shared" ref="H30" si="8">SUM(H31:H41)</f>
        <v>0</v>
      </c>
      <c r="I30" s="219">
        <f>PPto[[#This Row],[Ppto. Capex '[DOP']]]+PPto[[#This Row],[Ppto. OI '[DOP']2]]</f>
        <v>15391354.522399999</v>
      </c>
      <c r="J30" s="220">
        <f t="shared" ref="J30:K30" si="9">SUM(J31:J41)</f>
        <v>253564.32491598022</v>
      </c>
      <c r="K30" s="187">
        <f t="shared" si="9"/>
        <v>0</v>
      </c>
      <c r="L30" s="219">
        <f>PPto[[#This Row],[Ppto. Capex '[USD']]]+PPto[[#This Row],[Ppto. OI '[USD']]]</f>
        <v>253564.32491598022</v>
      </c>
      <c r="M30" s="341" t="s">
        <v>67</v>
      </c>
    </row>
    <row r="31" spans="1:13" x14ac:dyDescent="0.3">
      <c r="A31" s="5">
        <v>2.0099999999999998</v>
      </c>
      <c r="B31" s="12" t="s">
        <v>56</v>
      </c>
      <c r="C31" s="4" t="s">
        <v>68</v>
      </c>
      <c r="D31" s="221">
        <v>161119.59999999995</v>
      </c>
      <c r="E31" s="221">
        <v>8428.7000000000007</v>
      </c>
      <c r="F31" s="4"/>
      <c r="G31" s="188">
        <f>SUMIFS(BD.PD[Ppto. Orden Interna '[DOP']],BD.PD[Pos],PPto[[#This Row],[Part.]],BD.PD[Tipo Ppto],G$18)</f>
        <v>1073526.9674000002</v>
      </c>
      <c r="H31" s="188">
        <f>SUMIFS(BD.PD[Ppto. Orden Interna '[DOP']],BD.PD[Pos],PPto[[#This Row],[Part.]],BD.PD[Tipo Ppto],H$18)</f>
        <v>0</v>
      </c>
      <c r="I31" s="221">
        <f>PPto[[#This Row],[Ppto. Capex '[DOP']]]+PPto[[#This Row],[Ppto. OI '[DOP']2]]</f>
        <v>1073526.9674000002</v>
      </c>
      <c r="J31" s="222">
        <f>SUMIFS(BD.PD[Ppto. Orden Interna '[USD']],BD.PD[Pos],PPto[[#This Row],[Part.]],BD.PD[Tipo Ppto],J$18)</f>
        <v>17685.781999999999</v>
      </c>
      <c r="K31" s="188">
        <f>SUMIFS(BD.PD[Ppto. Orden Interna '[USD']],BD.PD[Pos],PPto[[#This Row],[Part.]],BD.PD[Tipo Ppto],K$18)</f>
        <v>0</v>
      </c>
      <c r="L31" s="221">
        <f>PPto[[#This Row],[Ppto. Capex '[USD']]]+PPto[[#This Row],[Ppto. OI '[USD']]]</f>
        <v>17685.781999999999</v>
      </c>
    </row>
    <row r="32" spans="1:13" x14ac:dyDescent="0.3">
      <c r="A32" s="5">
        <v>2.02</v>
      </c>
      <c r="B32" s="12" t="s">
        <v>56</v>
      </c>
      <c r="C32" s="4" t="s">
        <v>69</v>
      </c>
      <c r="D32" s="221">
        <v>0</v>
      </c>
      <c r="E32" s="221">
        <v>0</v>
      </c>
      <c r="F32" s="4"/>
      <c r="G32" s="188">
        <f>SUMIFS(BD.PD[Ppto. Orden Interna '[DOP']],BD.PD[Pos],PPto[[#This Row],[Part.]],BD.PD[Tipo Ppto],G$18)</f>
        <v>0</v>
      </c>
      <c r="H32" s="188">
        <f>SUMIFS(BD.PD[Ppto. Orden Interna '[DOP']],BD.PD[Pos],PPto[[#This Row],[Part.]],BD.PD[Tipo Ppto],H$18)</f>
        <v>0</v>
      </c>
      <c r="I32" s="221">
        <f>PPto[[#This Row],[Ppto. Capex '[DOP']]]+PPto[[#This Row],[Ppto. OI '[DOP']2]]</f>
        <v>0</v>
      </c>
      <c r="J32" s="222">
        <f>SUMIFS(BD.PD[Ppto. Orden Interna '[USD']],BD.PD[Pos],PPto[[#This Row],[Part.]],BD.PD[Tipo Ppto],J$18)</f>
        <v>0</v>
      </c>
      <c r="K32" s="188">
        <f>SUMIFS(BD.PD[Ppto. Orden Interna '[USD']],BD.PD[Pos],PPto[[#This Row],[Part.]],BD.PD[Tipo Ppto],K$18)</f>
        <v>0</v>
      </c>
      <c r="L32" s="221">
        <f>PPto[[#This Row],[Ppto. Capex '[USD']]]+PPto[[#This Row],[Ppto. OI '[USD']]]</f>
        <v>0</v>
      </c>
    </row>
    <row r="33" spans="1:13" x14ac:dyDescent="0.3">
      <c r="A33" s="5">
        <v>2.0299999999999998</v>
      </c>
      <c r="B33" s="12" t="s">
        <v>56</v>
      </c>
      <c r="C33" s="4" t="s">
        <v>70</v>
      </c>
      <c r="D33" s="221">
        <v>0</v>
      </c>
      <c r="E33" s="221">
        <v>0</v>
      </c>
      <c r="F33" s="4"/>
      <c r="G33" s="188">
        <f>SUMIFS(BD.PD[Ppto. Orden Interna '[DOP']],BD.PD[Pos],PPto[[#This Row],[Part.]],BD.PD[Tipo Ppto],G$18)</f>
        <v>0</v>
      </c>
      <c r="H33" s="188">
        <f>SUMIFS(BD.PD[Ppto. Orden Interna '[DOP']],BD.PD[Pos],PPto[[#This Row],[Part.]],BD.PD[Tipo Ppto],H$18)</f>
        <v>0</v>
      </c>
      <c r="I33" s="221">
        <f>PPto[[#This Row],[Ppto. Capex '[DOP']]]+PPto[[#This Row],[Ppto. OI '[DOP']2]]</f>
        <v>0</v>
      </c>
      <c r="J33" s="222">
        <f>SUMIFS(BD.PD[Ppto. Orden Interna '[USD']],BD.PD[Pos],PPto[[#This Row],[Part.]],BD.PD[Tipo Ppto],J$18)</f>
        <v>0</v>
      </c>
      <c r="K33" s="188">
        <f>SUMIFS(BD.PD[Ppto. Orden Interna '[USD']],BD.PD[Pos],PPto[[#This Row],[Part.]],BD.PD[Tipo Ppto],K$18)</f>
        <v>0</v>
      </c>
      <c r="L33" s="221">
        <f>PPto[[#This Row],[Ppto. Capex '[USD']]]+PPto[[#This Row],[Ppto. OI '[USD']]]</f>
        <v>0</v>
      </c>
    </row>
    <row r="34" spans="1:13" x14ac:dyDescent="0.3">
      <c r="A34" s="5">
        <v>2.04</v>
      </c>
      <c r="B34" s="12" t="s">
        <v>56</v>
      </c>
      <c r="C34" s="4" t="s">
        <v>71</v>
      </c>
      <c r="D34" s="221">
        <v>0</v>
      </c>
      <c r="E34" s="221">
        <v>0</v>
      </c>
      <c r="F34" s="4"/>
      <c r="G34" s="188">
        <f>SUMIFS(BD.PD[Ppto. Orden Interna '[DOP']],BD.PD[Pos],PPto[[#This Row],[Part.]],BD.PD[Tipo Ppto],G$18)</f>
        <v>0</v>
      </c>
      <c r="H34" s="188">
        <f>SUMIFS(BD.PD[Ppto. Orden Interna '[DOP']],BD.PD[Pos],PPto[[#This Row],[Part.]],BD.PD[Tipo Ppto],H$18)</f>
        <v>0</v>
      </c>
      <c r="I34" s="221">
        <f>PPto[[#This Row],[Ppto. Capex '[DOP']]]+PPto[[#This Row],[Ppto. OI '[DOP']2]]</f>
        <v>0</v>
      </c>
      <c r="J34" s="222">
        <f>SUMIFS(BD.PD[Ppto. Orden Interna '[USD']],BD.PD[Pos],PPto[[#This Row],[Part.]],BD.PD[Tipo Ppto],J$18)</f>
        <v>0</v>
      </c>
      <c r="K34" s="188">
        <f>SUMIFS(BD.PD[Ppto. Orden Interna '[USD']],BD.PD[Pos],PPto[[#This Row],[Part.]],BD.PD[Tipo Ppto],K$18)</f>
        <v>0</v>
      </c>
      <c r="L34" s="221">
        <f>PPto[[#This Row],[Ppto. Capex '[USD']]]+PPto[[#This Row],[Ppto. OI '[USD']]]</f>
        <v>0</v>
      </c>
    </row>
    <row r="35" spans="1:13" x14ac:dyDescent="0.3">
      <c r="A35" s="5">
        <v>2.0499999999999998</v>
      </c>
      <c r="B35" s="12" t="s">
        <v>56</v>
      </c>
      <c r="C35" s="4" t="s">
        <v>72</v>
      </c>
      <c r="D35" s="221">
        <v>25100</v>
      </c>
      <c r="E35" s="221">
        <v>24520</v>
      </c>
      <c r="F35" s="4"/>
      <c r="G35" s="188">
        <f>SUMIFS(BD.PD[Ppto. Orden Interna '[DOP']],BD.PD[Pos],PPto[[#This Row],[Part.]],BD.PD[Tipo Ppto],G$18)</f>
        <v>1523570</v>
      </c>
      <c r="H35" s="188">
        <f>SUMIFS(BD.PD[Ppto. Orden Interna '[DOP']],BD.PD[Pos],PPto[[#This Row],[Part.]],BD.PD[Tipo Ppto],H$18)</f>
        <v>0</v>
      </c>
      <c r="I35" s="221">
        <f>PPto[[#This Row],[Ppto. Capex '[DOP']]]+PPto[[#This Row],[Ppto. OI '[DOP']2]]</f>
        <v>1523570</v>
      </c>
      <c r="J35" s="222">
        <f>SUMIFS(BD.PD[Ppto. Orden Interna '[USD']],BD.PD[Pos],PPto[[#This Row],[Part.]],BD.PD[Tipo Ppto],J$18)</f>
        <v>25100</v>
      </c>
      <c r="K35" s="188">
        <f>SUMIFS(BD.PD[Ppto. Orden Interna '[USD']],BD.PD[Pos],PPto[[#This Row],[Part.]],BD.PD[Tipo Ppto],K$18)</f>
        <v>0</v>
      </c>
      <c r="L35" s="221">
        <f>PPto[[#This Row],[Ppto. Capex '[USD']]]+PPto[[#This Row],[Ppto. OI '[USD']]]</f>
        <v>25100</v>
      </c>
    </row>
    <row r="36" spans="1:13" x14ac:dyDescent="0.3">
      <c r="A36" s="5">
        <v>2.06</v>
      </c>
      <c r="B36" s="12" t="s">
        <v>56</v>
      </c>
      <c r="C36" s="4" t="s">
        <v>73</v>
      </c>
      <c r="D36" s="221">
        <v>0</v>
      </c>
      <c r="E36" s="221">
        <v>0</v>
      </c>
      <c r="F36" s="4"/>
      <c r="G36" s="188">
        <f>SUMIFS(BD.PD[Ppto. Orden Interna '[DOP']],BD.PD[Pos],PPto[[#This Row],[Part.]],BD.PD[Tipo Ppto],G$18)</f>
        <v>454500</v>
      </c>
      <c r="H36" s="188">
        <f>SUMIFS(BD.PD[Ppto. Orden Interna '[DOP']],BD.PD[Pos],PPto[[#This Row],[Part.]],BD.PD[Tipo Ppto],H$18)</f>
        <v>0</v>
      </c>
      <c r="I36" s="221">
        <f>PPto[[#This Row],[Ppto. Capex '[DOP']]]+PPto[[#This Row],[Ppto. OI '[DOP']2]]</f>
        <v>454500</v>
      </c>
      <c r="J36" s="222">
        <f>SUMIFS(BD.PD[Ppto. Orden Interna '[USD']],BD.PD[Pos],PPto[[#This Row],[Part.]],BD.PD[Tipo Ppto],J$18)</f>
        <v>7487.644151565074</v>
      </c>
      <c r="K36" s="188">
        <f>SUMIFS(BD.PD[Ppto. Orden Interna '[USD']],BD.PD[Pos],PPto[[#This Row],[Part.]],BD.PD[Tipo Ppto],K$18)</f>
        <v>0</v>
      </c>
      <c r="L36" s="221">
        <f>PPto[[#This Row],[Ppto. Capex '[USD']]]+PPto[[#This Row],[Ppto. OI '[USD']]]</f>
        <v>7487.644151565074</v>
      </c>
    </row>
    <row r="37" spans="1:13" x14ac:dyDescent="0.3">
      <c r="A37" s="5">
        <v>2.0699999999999998</v>
      </c>
      <c r="B37" s="12" t="s">
        <v>56</v>
      </c>
      <c r="C37" s="4" t="s">
        <v>74</v>
      </c>
      <c r="D37" s="221">
        <v>8266.7757650000003</v>
      </c>
      <c r="E37" s="221">
        <v>6432.69</v>
      </c>
      <c r="F37" s="4"/>
      <c r="G37" s="188">
        <f>SUMIFS(BD.PD[Ppto. Orden Interna '[DOP']],BD.PD[Pos],PPto[[#This Row],[Part.]],BD.PD[Tipo Ppto],G$18)</f>
        <v>6105348.6449999996</v>
      </c>
      <c r="H37" s="188">
        <f>SUMIFS(BD.PD[Ppto. Orden Interna '[DOP']],BD.PD[Pos],PPto[[#This Row],[Part.]],BD.PD[Tipo Ppto],H$18)</f>
        <v>0</v>
      </c>
      <c r="I37" s="221">
        <f>PPto[[#This Row],[Ppto. Capex '[DOP']]]+PPto[[#This Row],[Ppto. OI '[DOP']2]]</f>
        <v>6105348.6449999996</v>
      </c>
      <c r="J37" s="222">
        <f>SUMIFS(BD.PD[Ppto. Orden Interna '[USD']],BD.PD[Pos],PPto[[#This Row],[Part.]],BD.PD[Tipo Ppto],J$18)</f>
        <v>100582.35</v>
      </c>
      <c r="K37" s="188">
        <f>SUMIFS(BD.PD[Ppto. Orden Interna '[USD']],BD.PD[Pos],PPto[[#This Row],[Part.]],BD.PD[Tipo Ppto],K$18)</f>
        <v>0</v>
      </c>
      <c r="L37" s="221">
        <f>PPto[[#This Row],[Ppto. Capex '[USD']]]+PPto[[#This Row],[Ppto. OI '[USD']]]</f>
        <v>100582.35</v>
      </c>
    </row>
    <row r="38" spans="1:13" x14ac:dyDescent="0.3">
      <c r="A38" s="5">
        <v>2.08</v>
      </c>
      <c r="B38" s="12" t="s">
        <v>56</v>
      </c>
      <c r="C38" s="4" t="s">
        <v>75</v>
      </c>
      <c r="D38" s="221">
        <v>83848</v>
      </c>
      <c r="E38" s="221">
        <v>88350</v>
      </c>
      <c r="F38" s="4"/>
      <c r="G38" s="188">
        <f>SUMIFS(BD.PD[Ppto. Orden Interna '[DOP']],BD.PD[Pos],PPto[[#This Row],[Part.]],BD.PD[Tipo Ppto],G$18)</f>
        <v>5334408.91</v>
      </c>
      <c r="H38" s="188">
        <f>SUMIFS(BD.PD[Ppto. Orden Interna '[DOP']],BD.PD[Pos],PPto[[#This Row],[Part.]],BD.PD[Tipo Ppto],H$18)</f>
        <v>0</v>
      </c>
      <c r="I38" s="221">
        <f>PPto[[#This Row],[Ppto. Capex '[DOP']]]+PPto[[#This Row],[Ppto. OI '[DOP']2]]</f>
        <v>5334408.91</v>
      </c>
      <c r="J38" s="222">
        <f>SUMIFS(BD.PD[Ppto. Orden Interna '[USD']],BD.PD[Pos],PPto[[#This Row],[Part.]],BD.PD[Tipo Ppto],J$18)</f>
        <v>87881.530642504105</v>
      </c>
      <c r="K38" s="188">
        <f>SUMIFS(BD.PD[Ppto. Orden Interna '[USD']],BD.PD[Pos],PPto[[#This Row],[Part.]],BD.PD[Tipo Ppto],K$18)</f>
        <v>0</v>
      </c>
      <c r="L38" s="221">
        <f>PPto[[#This Row],[Ppto. Capex '[USD']]]+PPto[[#This Row],[Ppto. OI '[USD']]]</f>
        <v>87881.530642504105</v>
      </c>
    </row>
    <row r="39" spans="1:13" x14ac:dyDescent="0.3">
      <c r="A39" s="5">
        <v>2.09</v>
      </c>
      <c r="B39" s="12" t="s">
        <v>56</v>
      </c>
      <c r="C39" s="4" t="s">
        <v>76</v>
      </c>
      <c r="D39" s="221">
        <v>0</v>
      </c>
      <c r="E39" s="221">
        <v>10576.75</v>
      </c>
      <c r="F39" s="4"/>
      <c r="G39" s="188">
        <f>SUMIFS(BD.PD[Ppto. Orden Interna '[DOP']],BD.PD[Pos],PPto[[#This Row],[Part.]],BD.PD[Tipo Ppto],G$18)</f>
        <v>900000</v>
      </c>
      <c r="H39" s="188">
        <f>SUMIFS(BD.PD[Ppto. Orden Interna '[DOP']],BD.PD[Pos],PPto[[#This Row],[Part.]],BD.PD[Tipo Ppto],H$18)</f>
        <v>0</v>
      </c>
      <c r="I39" s="221">
        <f>PPto[[#This Row],[Ppto. Capex '[DOP']]]+PPto[[#This Row],[Ppto. OI '[DOP']2]]</f>
        <v>900000</v>
      </c>
      <c r="J39" s="222">
        <f>SUMIFS(BD.PD[Ppto. Orden Interna '[USD']],BD.PD[Pos],PPto[[#This Row],[Part.]],BD.PD[Tipo Ppto],J$18)</f>
        <v>14827.018121911036</v>
      </c>
      <c r="K39" s="188">
        <f>SUMIFS(BD.PD[Ppto. Orden Interna '[USD']],BD.PD[Pos],PPto[[#This Row],[Part.]],BD.PD[Tipo Ppto],K$18)</f>
        <v>0</v>
      </c>
      <c r="L39" s="221">
        <f>PPto[[#This Row],[Ppto. Capex '[USD']]]+PPto[[#This Row],[Ppto. OI '[USD']]]</f>
        <v>14827.018121911036</v>
      </c>
      <c r="M39" t="s">
        <v>77</v>
      </c>
    </row>
    <row r="40" spans="1:13" x14ac:dyDescent="0.3">
      <c r="A40" s="5">
        <v>2.1</v>
      </c>
      <c r="B40" s="12" t="s">
        <v>56</v>
      </c>
      <c r="C40" s="4" t="s">
        <v>78</v>
      </c>
      <c r="D40" s="221">
        <v>0</v>
      </c>
      <c r="E40" s="221">
        <v>0</v>
      </c>
      <c r="F40" s="4"/>
      <c r="G40" s="188">
        <f>SUMIFS(BD.PD[Ppto. Orden Interna '[DOP']],BD.PD[Pos],PPto[[#This Row],[Part.]],BD.PD[Tipo Ppto],G$18)</f>
        <v>0</v>
      </c>
      <c r="H40" s="188">
        <f>SUMIFS(BD.PD[Ppto. Orden Interna '[DOP']],BD.PD[Pos],PPto[[#This Row],[Part.]],BD.PD[Tipo Ppto],H$18)</f>
        <v>0</v>
      </c>
      <c r="I40" s="221">
        <f>PPto[[#This Row],[Ppto. Capex '[DOP']]]+PPto[[#This Row],[Ppto. OI '[DOP']2]]</f>
        <v>0</v>
      </c>
      <c r="J40" s="222">
        <f>SUMIFS(BD.PD[Ppto. Orden Interna '[USD']],BD.PD[Pos],PPto[[#This Row],[Part.]],BD.PD[Tipo Ppto],J$18)</f>
        <v>0</v>
      </c>
      <c r="K40" s="188">
        <f>SUMIFS(BD.PD[Ppto. Orden Interna '[USD']],BD.PD[Pos],PPto[[#This Row],[Part.]],BD.PD[Tipo Ppto],K$18)</f>
        <v>0</v>
      </c>
      <c r="L40" s="221">
        <f>PPto[[#This Row],[Ppto. Capex '[USD']]]+PPto[[#This Row],[Ppto. OI '[USD']]]</f>
        <v>0</v>
      </c>
    </row>
    <row r="41" spans="1:13" x14ac:dyDescent="0.3">
      <c r="A41" s="5">
        <v>2.11</v>
      </c>
      <c r="B41" s="12" t="s">
        <v>56</v>
      </c>
      <c r="C41" s="4" t="s">
        <v>79</v>
      </c>
      <c r="D41" s="221">
        <v>0</v>
      </c>
      <c r="E41" s="221">
        <v>0</v>
      </c>
      <c r="F41" s="4"/>
      <c r="G41" s="188">
        <f>SUMIFS(BD.PD[Ppto. Orden Interna '[DOP']],BD.PD[Pos],PPto[[#This Row],[Part.]],BD.PD[Tipo Ppto],G$18)</f>
        <v>0</v>
      </c>
      <c r="H41" s="188">
        <f>SUMIFS(BD.PD[Ppto. Orden Interna '[DOP']],BD.PD[Pos],PPto[[#This Row],[Part.]],BD.PD[Tipo Ppto],H$18)</f>
        <v>0</v>
      </c>
      <c r="I41" s="221">
        <f>PPto[[#This Row],[Ppto. Capex '[DOP']]]+PPto[[#This Row],[Ppto. OI '[DOP']2]]</f>
        <v>0</v>
      </c>
      <c r="J41" s="222">
        <f>SUMIFS(BD.PD[Ppto. Orden Interna '[USD']],BD.PD[Pos],PPto[[#This Row],[Part.]],BD.PD[Tipo Ppto],J$18)</f>
        <v>0</v>
      </c>
      <c r="K41" s="188">
        <f>SUMIFS(BD.PD[Ppto. Orden Interna '[USD']],BD.PD[Pos],PPto[[#This Row],[Part.]],BD.PD[Tipo Ppto],K$18)</f>
        <v>0</v>
      </c>
      <c r="L41" s="221">
        <f>PPto[[#This Row],[Ppto. Capex '[USD']]]+PPto[[#This Row],[Ppto. OI '[USD']]]</f>
        <v>0</v>
      </c>
    </row>
    <row r="42" spans="1:13" x14ac:dyDescent="0.3">
      <c r="A42" s="6">
        <v>3</v>
      </c>
      <c r="B42" s="7"/>
      <c r="C42" s="123" t="s">
        <v>80</v>
      </c>
      <c r="D42" s="187">
        <f>SUM(D43:D46)</f>
        <v>146108.5625</v>
      </c>
      <c r="E42" s="187">
        <f>SUM(E43:E46)</f>
        <v>146562.40375</v>
      </c>
      <c r="F42" s="292"/>
      <c r="G42" s="187">
        <f>SUM(G43:G46)</f>
        <v>30715852.254000001</v>
      </c>
      <c r="H42" s="187">
        <f t="shared" ref="H42" si="10">SUM(H43:H46)</f>
        <v>0</v>
      </c>
      <c r="I42" s="219">
        <f>PPto[[#This Row],[Ppto. Capex '[DOP']]]+PPto[[#This Row],[Ppto. OI '[DOP']2]]</f>
        <v>30715852.254000001</v>
      </c>
      <c r="J42" s="220">
        <f t="shared" ref="J42:K42" si="11">SUM(J43:J46)</f>
        <v>506027.22</v>
      </c>
      <c r="K42" s="187">
        <f t="shared" si="11"/>
        <v>0</v>
      </c>
      <c r="L42" s="219">
        <f>PPto[[#This Row],[Ppto. Capex '[USD']]]+PPto[[#This Row],[Ppto. OI '[USD']]]</f>
        <v>506027.22</v>
      </c>
    </row>
    <row r="43" spans="1:13" x14ac:dyDescent="0.3">
      <c r="A43" s="5">
        <v>3.01</v>
      </c>
      <c r="B43" t="s">
        <v>81</v>
      </c>
      <c r="C43" s="4" t="s">
        <v>82</v>
      </c>
      <c r="D43" s="221">
        <v>0</v>
      </c>
      <c r="E43" s="221">
        <v>0</v>
      </c>
      <c r="F43" s="4"/>
      <c r="G43" s="188">
        <f>SUMIFS(BD.PD[Ppto. Orden Interna '[DOP']],BD.PD[Pos],PPto[[#This Row],[Part.]],BD.PD[Tipo Ppto],G$18)</f>
        <v>19624310</v>
      </c>
      <c r="H43" s="188">
        <f>SUMIFS(BD.PD[Ppto. Orden Interna '[DOP']],BD.PD[Pos],PPto[[#This Row],[Part.]],BD.PD[Tipo Ppto],H$18)</f>
        <v>0</v>
      </c>
      <c r="I43" s="221">
        <f>PPto[[#This Row],[Ppto. Capex '[DOP']]]+PPto[[#This Row],[Ppto. OI '[DOP']2]]</f>
        <v>19624310</v>
      </c>
      <c r="J43" s="222">
        <f>SUMIFS(BD.PD[Ppto. Orden Interna '[USD']],BD.PD[Pos],PPto[[#This Row],[Part.]],BD.PD[Tipo Ppto],J$18)</f>
        <v>323300</v>
      </c>
      <c r="K43" s="188">
        <f>SUMIFS(BD.PD[Ppto. Orden Interna '[USD']],BD.PD[Pos],PPto[[#This Row],[Part.]],BD.PD[Tipo Ppto],K$18)</f>
        <v>0</v>
      </c>
      <c r="L43" s="221">
        <f>PPto[[#This Row],[Ppto. Capex '[USD']]]+PPto[[#This Row],[Ppto. OI '[USD']]]</f>
        <v>323300</v>
      </c>
    </row>
    <row r="44" spans="1:13" x14ac:dyDescent="0.3">
      <c r="A44" s="5">
        <v>3.02</v>
      </c>
      <c r="B44" t="s">
        <v>81</v>
      </c>
      <c r="C44" s="4" t="s">
        <v>83</v>
      </c>
      <c r="D44" s="221">
        <v>0</v>
      </c>
      <c r="E44" s="221">
        <v>0</v>
      </c>
      <c r="F44" s="4"/>
      <c r="G44" s="188">
        <f>SUMIFS(BD.PD[Ppto. Orden Interna '[DOP']],BD.PD[Pos],PPto[[#This Row],[Part.]],BD.PD[Tipo Ppto],G$18)</f>
        <v>0</v>
      </c>
      <c r="H44" s="188">
        <f>SUMIFS(BD.PD[Ppto. Orden Interna '[DOP']],BD.PD[Pos],PPto[[#This Row],[Part.]],BD.PD[Tipo Ppto],H$18)</f>
        <v>0</v>
      </c>
      <c r="I44" s="221">
        <f>PPto[[#This Row],[Ppto. Capex '[DOP']]]+PPto[[#This Row],[Ppto. OI '[DOP']2]]</f>
        <v>0</v>
      </c>
      <c r="J44" s="222">
        <f>SUMIFS(BD.PD[Ppto. Orden Interna '[USD']],BD.PD[Pos],PPto[[#This Row],[Part.]],BD.PD[Tipo Ppto],J$18)</f>
        <v>0</v>
      </c>
      <c r="K44" s="188">
        <f>SUMIFS(BD.PD[Ppto. Orden Interna '[USD']],BD.PD[Pos],PPto[[#This Row],[Part.]],BD.PD[Tipo Ppto],K$18)</f>
        <v>0</v>
      </c>
      <c r="L44" s="221">
        <f>PPto[[#This Row],[Ppto. Capex '[USD']]]+PPto[[#This Row],[Ppto. OI '[USD']]]</f>
        <v>0</v>
      </c>
    </row>
    <row r="45" spans="1:13" x14ac:dyDescent="0.3">
      <c r="A45" s="5">
        <v>3.03</v>
      </c>
      <c r="B45" t="s">
        <v>81</v>
      </c>
      <c r="C45" s="4" t="s">
        <v>84</v>
      </c>
      <c r="D45" s="221">
        <v>130677.96</v>
      </c>
      <c r="E45" s="221">
        <v>130677.96</v>
      </c>
      <c r="F45" s="4"/>
      <c r="G45" s="188">
        <f>SUMIFS(BD.PD[Ppto. Orden Interna '[DOP']],BD.PD[Pos],PPto[[#This Row],[Part.]],BD.PD[Tipo Ppto],G$18)</f>
        <v>10030931.154000001</v>
      </c>
      <c r="H45" s="188">
        <f>SUMIFS(BD.PD[Ppto. Orden Interna '[DOP']],BD.PD[Pos],PPto[[#This Row],[Part.]],BD.PD[Tipo Ppto],H$18)</f>
        <v>0</v>
      </c>
      <c r="I45" s="221">
        <f>PPto[[#This Row],[Ppto. Capex '[DOP']]]+PPto[[#This Row],[Ppto. OI '[DOP']2]]</f>
        <v>10030931.154000001</v>
      </c>
      <c r="J45" s="222">
        <f>SUMIFS(BD.PD[Ppto. Orden Interna '[USD']],BD.PD[Pos],PPto[[#This Row],[Part.]],BD.PD[Tipo Ppto],J$18)</f>
        <v>165254.22</v>
      </c>
      <c r="K45" s="188">
        <f>SUMIFS(BD.PD[Ppto. Orden Interna '[USD']],BD.PD[Pos],PPto[[#This Row],[Part.]],BD.PD[Tipo Ppto],K$18)</f>
        <v>0</v>
      </c>
      <c r="L45" s="221">
        <f>PPto[[#This Row],[Ppto. Capex '[USD']]]+PPto[[#This Row],[Ppto. OI '[USD']]]</f>
        <v>165254.22</v>
      </c>
    </row>
    <row r="46" spans="1:13" x14ac:dyDescent="0.3">
      <c r="A46" s="5">
        <v>3.04</v>
      </c>
      <c r="B46" t="s">
        <v>81</v>
      </c>
      <c r="C46" s="4" t="s">
        <v>85</v>
      </c>
      <c r="D46" s="221">
        <v>15430.602499999999</v>
      </c>
      <c r="E46" s="221">
        <v>15884.44375</v>
      </c>
      <c r="F46" s="4"/>
      <c r="G46" s="188">
        <f>SUMIFS(BD.PD[Ppto. Orden Interna '[DOP']],BD.PD[Pos],PPto[[#This Row],[Part.]],BD.PD[Tipo Ppto],G$18)</f>
        <v>1060611.1000000001</v>
      </c>
      <c r="H46" s="188">
        <f>SUMIFS(BD.PD[Ppto. Orden Interna '[DOP']],BD.PD[Pos],PPto[[#This Row],[Part.]],BD.PD[Tipo Ppto],H$18)</f>
        <v>0</v>
      </c>
      <c r="I46" s="221">
        <f>PPto[[#This Row],[Ppto. Capex '[DOP']]]+PPto[[#This Row],[Ppto. OI '[DOP']2]]</f>
        <v>1060611.1000000001</v>
      </c>
      <c r="J46" s="222">
        <f>SUMIFS(BD.PD[Ppto. Orden Interna '[USD']],BD.PD[Pos],PPto[[#This Row],[Part.]],BD.PD[Tipo Ppto],J$18)</f>
        <v>17473</v>
      </c>
      <c r="K46" s="188">
        <f>SUMIFS(BD.PD[Ppto. Orden Interna '[USD']],BD.PD[Pos],PPto[[#This Row],[Part.]],BD.PD[Tipo Ppto],K$18)</f>
        <v>0</v>
      </c>
      <c r="L46" s="221">
        <f>PPto[[#This Row],[Ppto. Capex '[USD']]]+PPto[[#This Row],[Ppto. OI '[USD']]]</f>
        <v>17473</v>
      </c>
    </row>
    <row r="47" spans="1:13" x14ac:dyDescent="0.3">
      <c r="A47" s="6">
        <v>4</v>
      </c>
      <c r="B47" s="7"/>
      <c r="C47" s="123" t="s">
        <v>86</v>
      </c>
      <c r="D47" s="187">
        <f>SUM(D48:D50)</f>
        <v>17671.380833333333</v>
      </c>
      <c r="E47" s="187">
        <f>SUM(E48:E50)</f>
        <v>17671.380833333333</v>
      </c>
      <c r="F47" s="292"/>
      <c r="G47" s="187">
        <f t="shared" ref="G47" si="12">SUM(G48:G50)</f>
        <v>6739429.1000000015</v>
      </c>
      <c r="H47" s="187">
        <f t="shared" ref="H47" si="13">SUM(H48:H50)</f>
        <v>0</v>
      </c>
      <c r="I47" s="219">
        <f>PPto[[#This Row],[Ppto. Capex '[DOP']]]+PPto[[#This Row],[Ppto. OI '[DOP']2]]</f>
        <v>6739429.1000000015</v>
      </c>
      <c r="J47" s="220">
        <f t="shared" ref="J47:K47" si="14">SUM(J48:J50)</f>
        <v>111028.48599670513</v>
      </c>
      <c r="K47" s="187">
        <f t="shared" si="14"/>
        <v>0</v>
      </c>
      <c r="L47" s="219">
        <f>PPto[[#This Row],[Ppto. Capex '[USD']]]+PPto[[#This Row],[Ppto. OI '[USD']]]</f>
        <v>111028.48599670513</v>
      </c>
      <c r="M47" s="341" t="s">
        <v>67</v>
      </c>
    </row>
    <row r="48" spans="1:13" x14ac:dyDescent="0.3">
      <c r="A48" s="5">
        <v>4.01</v>
      </c>
      <c r="B48" t="s">
        <v>81</v>
      </c>
      <c r="C48" s="4" t="s">
        <v>87</v>
      </c>
      <c r="D48" s="221">
        <v>0</v>
      </c>
      <c r="E48" s="221">
        <v>0</v>
      </c>
      <c r="F48" s="4"/>
      <c r="G48" s="188">
        <f>SUMIFS(BD.PD[Ppto. Orden Interna '[DOP']],BD.PD[Pos],PPto[[#This Row],[Part.]],BD.PD[Tipo Ppto],G$18)</f>
        <v>5620061.2500000009</v>
      </c>
      <c r="H48" s="188">
        <f>SUMIFS(BD.PD[Ppto. Orden Interna '[DOP']],BD.PD[Pos],PPto[[#This Row],[Part.]],BD.PD[Tipo Ppto],H$18)</f>
        <v>0</v>
      </c>
      <c r="I48" s="221">
        <f>PPto[[#This Row],[Ppto. Capex '[DOP']]]+PPto[[#This Row],[Ppto. OI '[DOP']2]]</f>
        <v>5620061.2500000009</v>
      </c>
      <c r="J48" s="222">
        <f>SUMIFS(BD.PD[Ppto. Orden Interna '[USD']],BD.PD[Pos],PPto[[#This Row],[Part.]],BD.PD[Tipo Ppto],J$18)</f>
        <v>92587.500000000015</v>
      </c>
      <c r="K48" s="188">
        <f>SUMIFS(BD.PD[Ppto. Orden Interna '[USD']],BD.PD[Pos],PPto[[#This Row],[Part.]],BD.PD[Tipo Ppto],K$18)</f>
        <v>0</v>
      </c>
      <c r="L48" s="221">
        <f>PPto[[#This Row],[Ppto. Capex '[USD']]]+PPto[[#This Row],[Ppto. OI '[USD']]]</f>
        <v>92587.500000000015</v>
      </c>
      <c r="M48" t="s">
        <v>88</v>
      </c>
    </row>
    <row r="49" spans="1:13" x14ac:dyDescent="0.3">
      <c r="A49" s="5">
        <v>4.0199999999999996</v>
      </c>
      <c r="B49" t="s">
        <v>81</v>
      </c>
      <c r="C49" s="4" t="s">
        <v>89</v>
      </c>
      <c r="D49" s="221">
        <v>0</v>
      </c>
      <c r="E49" s="221">
        <v>0</v>
      </c>
      <c r="F49" s="4"/>
      <c r="G49" s="188">
        <f>SUMIFS(BD.PD[Ppto. Orden Interna '[DOP']],BD.PD[Pos],PPto[[#This Row],[Part.]],BD.PD[Tipo Ppto],G$18)</f>
        <v>0</v>
      </c>
      <c r="H49" s="188">
        <f>SUMIFS(BD.PD[Ppto. Orden Interna '[DOP']],BD.PD[Pos],PPto[[#This Row],[Part.]],BD.PD[Tipo Ppto],H$18)</f>
        <v>0</v>
      </c>
      <c r="I49" s="221">
        <f>PPto[[#This Row],[Ppto. Capex '[DOP']]]+PPto[[#This Row],[Ppto. OI '[DOP']2]]</f>
        <v>0</v>
      </c>
      <c r="J49" s="222">
        <f>SUMIFS(BD.PD[Ppto. Orden Interna '[USD']],BD.PD[Pos],PPto[[#This Row],[Part.]],BD.PD[Tipo Ppto],J$18)</f>
        <v>0</v>
      </c>
      <c r="K49" s="188">
        <f>SUMIFS(BD.PD[Ppto. Orden Interna '[USD']],BD.PD[Pos],PPto[[#This Row],[Part.]],BD.PD[Tipo Ppto],K$18)</f>
        <v>0</v>
      </c>
      <c r="L49" s="221">
        <f>PPto[[#This Row],[Ppto. Capex '[USD']]]+PPto[[#This Row],[Ppto. OI '[USD']]]</f>
        <v>0</v>
      </c>
    </row>
    <row r="50" spans="1:13" x14ac:dyDescent="0.3">
      <c r="A50" s="5">
        <v>4.03</v>
      </c>
      <c r="B50" t="s">
        <v>81</v>
      </c>
      <c r="C50" s="4" t="s">
        <v>90</v>
      </c>
      <c r="D50" s="221">
        <v>17671.380833333333</v>
      </c>
      <c r="E50" s="221">
        <v>17671.380833333333</v>
      </c>
      <c r="F50" s="4"/>
      <c r="G50" s="188">
        <f>SUMIFS(BD.PD[Ppto. Orden Interna '[DOP']],BD.PD[Pos],PPto[[#This Row],[Part.]],BD.PD[Tipo Ppto],G$18)</f>
        <v>1119367.8500000001</v>
      </c>
      <c r="H50" s="188">
        <f>SUMIFS(BD.PD[Ppto. Orden Interna '[DOP']],BD.PD[Pos],PPto[[#This Row],[Part.]],BD.PD[Tipo Ppto],H$18)</f>
        <v>0</v>
      </c>
      <c r="I50" s="221">
        <f>PPto[[#This Row],[Ppto. Capex '[DOP']]]+PPto[[#This Row],[Ppto. OI '[DOP']2]]</f>
        <v>1119367.8500000001</v>
      </c>
      <c r="J50" s="222">
        <f>SUMIFS(BD.PD[Ppto. Orden Interna '[USD']],BD.PD[Pos],PPto[[#This Row],[Part.]],BD.PD[Tipo Ppto],J$18)</f>
        <v>18440.985996705109</v>
      </c>
      <c r="K50" s="188">
        <f>SUMIFS(BD.PD[Ppto. Orden Interna '[USD']],BD.PD[Pos],PPto[[#This Row],[Part.]],BD.PD[Tipo Ppto],K$18)</f>
        <v>0</v>
      </c>
      <c r="L50" s="221">
        <f>PPto[[#This Row],[Ppto. Capex '[USD']]]+PPto[[#This Row],[Ppto. OI '[USD']]]</f>
        <v>18440.985996705109</v>
      </c>
    </row>
    <row r="51" spans="1:13" x14ac:dyDescent="0.3">
      <c r="A51" s="6">
        <v>5</v>
      </c>
      <c r="B51" s="7"/>
      <c r="C51" s="123" t="s">
        <v>91</v>
      </c>
      <c r="D51" s="187">
        <f>SUM(D52:D58)</f>
        <v>1189624.4392333333</v>
      </c>
      <c r="E51" s="187">
        <f>SUM(E52:E58)</f>
        <v>971189.7953</v>
      </c>
      <c r="F51" s="292"/>
      <c r="G51" s="187">
        <f t="shared" ref="G51" si="15">SUM(G52:G58)</f>
        <v>81656647.039250016</v>
      </c>
      <c r="H51" s="187">
        <f t="shared" ref="H51" si="16">SUM(H52:H58)</f>
        <v>0</v>
      </c>
      <c r="I51" s="219">
        <f>PPto[[#This Row],[Ppto. Capex '[DOP']]]+PPto[[#This Row],[Ppto. OI '[DOP']2]]</f>
        <v>81656647.039250016</v>
      </c>
      <c r="J51" s="220">
        <f t="shared" ref="J51:K51" si="17">SUM(J52:J58)</f>
        <v>1345249.5393616145</v>
      </c>
      <c r="K51" s="187">
        <f t="shared" si="17"/>
        <v>0</v>
      </c>
      <c r="L51" s="219">
        <f>PPto[[#This Row],[Ppto. Capex '[USD']]]+PPto[[#This Row],[Ppto. OI '[USD']]]</f>
        <v>1345249.5393616145</v>
      </c>
    </row>
    <row r="52" spans="1:13" x14ac:dyDescent="0.3">
      <c r="A52" s="5">
        <v>5.01</v>
      </c>
      <c r="B52" t="s">
        <v>81</v>
      </c>
      <c r="C52" s="4" t="s">
        <v>92</v>
      </c>
      <c r="D52" s="221">
        <v>279003.08700000006</v>
      </c>
      <c r="E52" s="221">
        <v>170220</v>
      </c>
      <c r="F52" s="4"/>
      <c r="G52" s="188">
        <f>SUMIFS(BD.PD[Ppto. Orden Interna '[DOP']],BD.PD[Pos],PPto[[#This Row],[Part.]],BD.PD[Tipo Ppto],G$18)</f>
        <v>11182112.724000001</v>
      </c>
      <c r="H52" s="188">
        <f>SUMIFS(BD.PD[Ppto. Orden Interna '[DOP']],BD.PD[Pos],PPto[[#This Row],[Part.]],BD.PD[Tipo Ppto],H$18)</f>
        <v>0</v>
      </c>
      <c r="I52" s="221">
        <f>PPto[[#This Row],[Ppto. Capex '[DOP']]]+PPto[[#This Row],[Ppto. OI '[DOP']2]]</f>
        <v>11182112.724000001</v>
      </c>
      <c r="J52" s="222">
        <f>SUMIFS(BD.PD[Ppto. Orden Interna '[USD']],BD.PD[Pos],PPto[[#This Row],[Part.]],BD.PD[Tipo Ppto],J$18)</f>
        <v>184219.32</v>
      </c>
      <c r="K52" s="188">
        <f>SUMIFS(BD.PD[Ppto. Orden Interna '[USD']],BD.PD[Pos],PPto[[#This Row],[Part.]],BD.PD[Tipo Ppto],K$18)</f>
        <v>0</v>
      </c>
      <c r="L52" s="221">
        <f>PPto[[#This Row],[Ppto. Capex '[USD']]]+PPto[[#This Row],[Ppto. OI '[USD']]]</f>
        <v>184219.32</v>
      </c>
      <c r="M52" s="341" t="s">
        <v>67</v>
      </c>
    </row>
    <row r="53" spans="1:13" ht="15.6" customHeight="1" x14ac:dyDescent="0.3">
      <c r="A53" s="5">
        <v>5.0199999999999996</v>
      </c>
      <c r="B53" t="s">
        <v>81</v>
      </c>
      <c r="C53" s="4" t="s">
        <v>93</v>
      </c>
      <c r="D53" s="221">
        <v>51676.036500000002</v>
      </c>
      <c r="E53" s="221">
        <v>38430</v>
      </c>
      <c r="F53" s="4"/>
      <c r="G53" s="188">
        <f>SUMIFS(BD.PD[Ppto. Orden Interna '[DOP']],BD.PD[Pos],PPto[[#This Row],[Part.]],BD.PD[Tipo Ppto],G$18)</f>
        <v>7638149.2940000007</v>
      </c>
      <c r="H53" s="188">
        <f>SUMIFS(BD.PD[Ppto. Orden Interna '[DOP']],BD.PD[Pos],PPto[[#This Row],[Part.]],BD.PD[Tipo Ppto],H$18)</f>
        <v>0</v>
      </c>
      <c r="I53" s="221">
        <f>PPto[[#This Row],[Ppto. Capex '[DOP']]]+PPto[[#This Row],[Ppto. OI '[DOP']2]]</f>
        <v>7638149.2940000007</v>
      </c>
      <c r="J53" s="222">
        <f>SUMIFS(BD.PD[Ppto. Orden Interna '[USD']],BD.PD[Pos],PPto[[#This Row],[Part.]],BD.PD[Tipo Ppto],J$18)</f>
        <v>125834.42</v>
      </c>
      <c r="K53" s="188">
        <f>SUMIFS(BD.PD[Ppto. Orden Interna '[USD']],BD.PD[Pos],PPto[[#This Row],[Part.]],BD.PD[Tipo Ppto],K$18)</f>
        <v>0</v>
      </c>
      <c r="L53" s="221">
        <f>PPto[[#This Row],[Ppto. Capex '[USD']]]+PPto[[#This Row],[Ppto. OI '[USD']]]</f>
        <v>125834.42</v>
      </c>
    </row>
    <row r="54" spans="1:13" x14ac:dyDescent="0.3">
      <c r="A54" s="5">
        <v>5.03</v>
      </c>
      <c r="B54" t="s">
        <v>81</v>
      </c>
      <c r="C54" s="4" t="s">
        <v>94</v>
      </c>
      <c r="D54" s="221">
        <v>589970.59459999995</v>
      </c>
      <c r="E54" s="221">
        <v>504260.30249999999</v>
      </c>
      <c r="F54" s="4"/>
      <c r="G54" s="188">
        <f>SUMIFS(BD.PD[Ppto. Orden Interna '[DOP']],BD.PD[Pos],PPto[[#This Row],[Part.]],BD.PD[Tipo Ppto],G$18)</f>
        <v>36192650.467250004</v>
      </c>
      <c r="H54" s="188">
        <f>SUMIFS(BD.PD[Ppto. Orden Interna '[DOP']],BD.PD[Pos],PPto[[#This Row],[Part.]],BD.PD[Tipo Ppto],H$18)</f>
        <v>0</v>
      </c>
      <c r="I54" s="221">
        <f>PPto[[#This Row],[Ppto. Capex '[DOP']]]+PPto[[#This Row],[Ppto. OI '[DOP']2]]</f>
        <v>36192650.467250004</v>
      </c>
      <c r="J54" s="222">
        <f>SUMIFS(BD.PD[Ppto. Orden Interna '[USD']],BD.PD[Pos],PPto[[#This Row],[Part.]],BD.PD[Tipo Ppto],J$18)</f>
        <v>596254.53817545308</v>
      </c>
      <c r="K54" s="188">
        <f>SUMIFS(BD.PD[Ppto. Orden Interna '[USD']],BD.PD[Pos],PPto[[#This Row],[Part.]],BD.PD[Tipo Ppto],K$18)</f>
        <v>0</v>
      </c>
      <c r="L54" s="221">
        <f>PPto[[#This Row],[Ppto. Capex '[USD']]]+PPto[[#This Row],[Ppto. OI '[USD']]]</f>
        <v>596254.53817545308</v>
      </c>
      <c r="M54" t="s">
        <v>95</v>
      </c>
    </row>
    <row r="55" spans="1:13" x14ac:dyDescent="0.3">
      <c r="A55" s="5">
        <v>5.04</v>
      </c>
      <c r="B55" t="s">
        <v>81</v>
      </c>
      <c r="C55" s="4" t="s">
        <v>96</v>
      </c>
      <c r="D55" s="221">
        <v>30149.492800000004</v>
      </c>
      <c r="E55" s="221">
        <v>30149.492800000004</v>
      </c>
      <c r="F55" s="4"/>
      <c r="G55" s="188">
        <f>SUMIFS(BD.PD[Ppto. Orden Interna '[DOP']],BD.PD[Pos],PPto[[#This Row],[Part.]],BD.PD[Tipo Ppto],G$18)</f>
        <v>2027497.6</v>
      </c>
      <c r="H55" s="188">
        <f>SUMIFS(BD.PD[Ppto. Orden Interna '[DOP']],BD.PD[Pos],PPto[[#This Row],[Part.]],BD.PD[Tipo Ppto],H$18)</f>
        <v>0</v>
      </c>
      <c r="I55" s="221">
        <f>PPto[[#This Row],[Ppto. Capex '[DOP']]]+PPto[[#This Row],[Ppto. OI '[DOP']2]]</f>
        <v>2027497.6</v>
      </c>
      <c r="J55" s="222">
        <f>SUMIFS(BD.PD[Ppto. Orden Interna '[USD']],BD.PD[Pos],PPto[[#This Row],[Part.]],BD.PD[Tipo Ppto],J$18)</f>
        <v>33401.937397034599</v>
      </c>
      <c r="K55" s="188">
        <f>SUMIFS(BD.PD[Ppto. Orden Interna '[USD']],BD.PD[Pos],PPto[[#This Row],[Part.]],BD.PD[Tipo Ppto],K$18)</f>
        <v>0</v>
      </c>
      <c r="L55" s="221">
        <f>PPto[[#This Row],[Ppto. Capex '[USD']]]+PPto[[#This Row],[Ppto. OI '[USD']]]</f>
        <v>33401.937397034599</v>
      </c>
    </row>
    <row r="56" spans="1:13" x14ac:dyDescent="0.3">
      <c r="A56" s="5">
        <v>5.05</v>
      </c>
      <c r="B56" t="s">
        <v>81</v>
      </c>
      <c r="C56" s="4" t="s">
        <v>97</v>
      </c>
      <c r="D56" s="221">
        <v>34455.644999999997</v>
      </c>
      <c r="E56" s="221">
        <v>43050</v>
      </c>
      <c r="F56" s="4"/>
      <c r="G56" s="188">
        <f>SUMIFS(BD.PD[Ppto. Orden Interna '[DOP']],BD.PD[Pos],PPto[[#This Row],[Part.]],BD.PD[Tipo Ppto],G$18)</f>
        <v>2272000</v>
      </c>
      <c r="H56" s="188">
        <f>SUMIFS(BD.PD[Ppto. Orden Interna '[DOP']],BD.PD[Pos],PPto[[#This Row],[Part.]],BD.PD[Tipo Ppto],H$18)</f>
        <v>0</v>
      </c>
      <c r="I56" s="221">
        <f>PPto[[#This Row],[Ppto. Capex '[DOP']]]+PPto[[#This Row],[Ppto. OI '[DOP']2]]</f>
        <v>2272000</v>
      </c>
      <c r="J56" s="222">
        <f>SUMIFS(BD.PD[Ppto. Orden Interna '[USD']],BD.PD[Pos],PPto[[#This Row],[Part.]],BD.PD[Tipo Ppto],J$18)</f>
        <v>37429.983525535412</v>
      </c>
      <c r="K56" s="188">
        <f>SUMIFS(BD.PD[Ppto. Orden Interna '[USD']],BD.PD[Pos],PPto[[#This Row],[Part.]],BD.PD[Tipo Ppto],K$18)</f>
        <v>0</v>
      </c>
      <c r="L56" s="221">
        <f>PPto[[#This Row],[Ppto. Capex '[USD']]]+PPto[[#This Row],[Ppto. OI '[USD']]]</f>
        <v>37429.983525535412</v>
      </c>
    </row>
    <row r="57" spans="1:13" x14ac:dyDescent="0.3">
      <c r="A57" s="5">
        <v>5.0599999999999996</v>
      </c>
      <c r="B57" t="s">
        <v>81</v>
      </c>
      <c r="C57" s="4" t="s">
        <v>98</v>
      </c>
      <c r="D57" s="221">
        <v>170833.33333333334</v>
      </c>
      <c r="E57" s="221">
        <v>161460</v>
      </c>
      <c r="F57" s="4"/>
      <c r="G57" s="188">
        <f>SUMIFS(BD.PD[Ppto. Orden Interna '[DOP']],BD.PD[Pos],PPto[[#This Row],[Part.]],BD.PD[Tipo Ppto],G$18)</f>
        <v>17196833.25</v>
      </c>
      <c r="H57" s="188">
        <f>SUMIFS(BD.PD[Ppto. Orden Interna '[DOP']],BD.PD[Pos],PPto[[#This Row],[Part.]],BD.PD[Tipo Ppto],H$18)</f>
        <v>0</v>
      </c>
      <c r="I57" s="221">
        <f>PPto[[#This Row],[Ppto. Capex '[DOP']]]+PPto[[#This Row],[Ppto. OI '[DOP']2]]</f>
        <v>17196833.25</v>
      </c>
      <c r="J57" s="222">
        <f>SUMIFS(BD.PD[Ppto. Orden Interna '[USD']],BD.PD[Pos],PPto[[#This Row],[Part.]],BD.PD[Tipo Ppto],J$18)</f>
        <v>283308.62026359141</v>
      </c>
      <c r="K57" s="188">
        <f>SUMIFS(BD.PD[Ppto. Orden Interna '[USD']],BD.PD[Pos],PPto[[#This Row],[Part.]],BD.PD[Tipo Ppto],K$18)</f>
        <v>0</v>
      </c>
      <c r="L57" s="221">
        <f>PPto[[#This Row],[Ppto. Capex '[USD']]]+PPto[[#This Row],[Ppto. OI '[USD']]]</f>
        <v>283308.62026359141</v>
      </c>
    </row>
    <row r="58" spans="1:13" x14ac:dyDescent="0.3">
      <c r="A58" s="5">
        <v>5.07</v>
      </c>
      <c r="B58" t="s">
        <v>81</v>
      </c>
      <c r="C58" s="4" t="s">
        <v>99</v>
      </c>
      <c r="D58" s="221">
        <v>33536.25</v>
      </c>
      <c r="E58" s="221">
        <v>23620</v>
      </c>
      <c r="F58" s="4"/>
      <c r="G58" s="188">
        <f>SUMIFS(BD.PD[Ppto. Orden Interna '[DOP']],BD.PD[Pos],PPto[[#This Row],[Part.]],BD.PD[Tipo Ppto],G$18)</f>
        <v>5147403.7039999999</v>
      </c>
      <c r="H58" s="188">
        <f>SUMIFS(BD.PD[Ppto. Orden Interna '[DOP']],BD.PD[Pos],PPto[[#This Row],[Part.]],BD.PD[Tipo Ppto],H$18)</f>
        <v>0</v>
      </c>
      <c r="I58" s="221">
        <f>PPto[[#This Row],[Ppto. Capex '[DOP']]]+PPto[[#This Row],[Ppto. OI '[DOP']2]]</f>
        <v>5147403.7039999999</v>
      </c>
      <c r="J58" s="222">
        <f>SUMIFS(BD.PD[Ppto. Orden Interna '[USD']],BD.PD[Pos],PPto[[#This Row],[Part.]],BD.PD[Tipo Ppto],J$18)</f>
        <v>84800.72</v>
      </c>
      <c r="K58" s="188">
        <f>SUMIFS(BD.PD[Ppto. Orden Interna '[USD']],BD.PD[Pos],PPto[[#This Row],[Part.]],BD.PD[Tipo Ppto],K$18)</f>
        <v>0</v>
      </c>
      <c r="L58" s="221">
        <f>PPto[[#This Row],[Ppto. Capex '[USD']]]+PPto[[#This Row],[Ppto. OI '[USD']]]</f>
        <v>84800.72</v>
      </c>
    </row>
    <row r="59" spans="1:13" x14ac:dyDescent="0.3">
      <c r="A59" s="6">
        <v>6</v>
      </c>
      <c r="B59" s="7"/>
      <c r="C59" s="123" t="s">
        <v>100</v>
      </c>
      <c r="D59" s="187">
        <f>SUM(D60:D64)</f>
        <v>35818.000500000002</v>
      </c>
      <c r="E59" s="187">
        <f>SUM(E60:E64)</f>
        <v>35818.000500000002</v>
      </c>
      <c r="F59" s="292"/>
      <c r="G59" s="187">
        <f t="shared" ref="G59" si="18">SUM(G60:G64)</f>
        <v>2162880.0300000003</v>
      </c>
      <c r="H59" s="187">
        <f t="shared" ref="H59" si="19">SUM(H60:H64)</f>
        <v>0</v>
      </c>
      <c r="I59" s="219">
        <f>PPto[[#This Row],[Ppto. Capex '[DOP']]]+PPto[[#This Row],[Ppto. OI '[DOP']2]]</f>
        <v>2162880.0300000003</v>
      </c>
      <c r="J59" s="220">
        <f t="shared" ref="J59:K59" si="20">SUM(J60:J64)</f>
        <v>35632.29044481054</v>
      </c>
      <c r="K59" s="187">
        <f t="shared" si="20"/>
        <v>0</v>
      </c>
      <c r="L59" s="219">
        <f>PPto[[#This Row],[Ppto. Capex '[USD']]]+PPto[[#This Row],[Ppto. OI '[USD']]]</f>
        <v>35632.29044481054</v>
      </c>
    </row>
    <row r="60" spans="1:13" x14ac:dyDescent="0.3">
      <c r="A60" s="5">
        <v>6.01</v>
      </c>
      <c r="B60" t="s">
        <v>81</v>
      </c>
      <c r="C60" s="4" t="s">
        <v>101</v>
      </c>
      <c r="D60" s="221">
        <v>0</v>
      </c>
      <c r="E60" s="221">
        <v>0</v>
      </c>
      <c r="F60" s="4"/>
      <c r="G60" s="188">
        <f>SUMIFS(BD.PD[Ppto. Orden Interna '[DOP']],BD.PD[Pos],PPto[[#This Row],[Part.]],BD.PD[Tipo Ppto],G$18)</f>
        <v>0</v>
      </c>
      <c r="H60" s="188">
        <f>SUMIFS(BD.PD[Ppto. Orden Interna '[DOP']],BD.PD[Pos],PPto[[#This Row],[Part.]],BD.PD[Tipo Ppto],H$18)</f>
        <v>0</v>
      </c>
      <c r="I60" s="221">
        <f>PPto[[#This Row],[Ppto. Capex '[DOP']]]+PPto[[#This Row],[Ppto. OI '[DOP']2]]</f>
        <v>0</v>
      </c>
      <c r="J60" s="222">
        <f>SUMIFS(BD.PD[Ppto. Orden Interna '[USD']],BD.PD[Pos],PPto[[#This Row],[Part.]],BD.PD[Tipo Ppto],J$18)</f>
        <v>0</v>
      </c>
      <c r="K60" s="188">
        <f>SUMIFS(BD.PD[Ppto. Orden Interna '[USD']],BD.PD[Pos],PPto[[#This Row],[Part.]],BD.PD[Tipo Ppto],K$18)</f>
        <v>0</v>
      </c>
      <c r="L60" s="221">
        <f>PPto[[#This Row],[Ppto. Capex '[USD']]]+PPto[[#This Row],[Ppto. OI '[USD']]]</f>
        <v>0</v>
      </c>
    </row>
    <row r="61" spans="1:13" x14ac:dyDescent="0.3">
      <c r="A61" s="5">
        <v>6.02</v>
      </c>
      <c r="B61" t="s">
        <v>81</v>
      </c>
      <c r="C61" s="4" t="s">
        <v>102</v>
      </c>
      <c r="D61" s="221">
        <v>0</v>
      </c>
      <c r="E61" s="221">
        <v>0</v>
      </c>
      <c r="F61" s="4"/>
      <c r="G61" s="188">
        <f>SUMIFS(BD.PD[Ppto. Orden Interna '[DOP']],BD.PD[Pos],PPto[[#This Row],[Part.]],BD.PD[Tipo Ppto],G$18)</f>
        <v>0</v>
      </c>
      <c r="H61" s="188">
        <f>SUMIFS(BD.PD[Ppto. Orden Interna '[DOP']],BD.PD[Pos],PPto[[#This Row],[Part.]],BD.PD[Tipo Ppto],H$18)</f>
        <v>0</v>
      </c>
      <c r="I61" s="221">
        <f>PPto[[#This Row],[Ppto. Capex '[DOP']]]+PPto[[#This Row],[Ppto. OI '[DOP']2]]</f>
        <v>0</v>
      </c>
      <c r="J61" s="222">
        <f>SUMIFS(BD.PD[Ppto. Orden Interna '[USD']],BD.PD[Pos],PPto[[#This Row],[Part.]],BD.PD[Tipo Ppto],J$18)</f>
        <v>0</v>
      </c>
      <c r="K61" s="188">
        <f>SUMIFS(BD.PD[Ppto. Orden Interna '[USD']],BD.PD[Pos],PPto[[#This Row],[Part.]],BD.PD[Tipo Ppto],K$18)</f>
        <v>0</v>
      </c>
      <c r="L61" s="221">
        <f>PPto[[#This Row],[Ppto. Capex '[USD']]]+PPto[[#This Row],[Ppto. OI '[USD']]]</f>
        <v>0</v>
      </c>
    </row>
    <row r="62" spans="1:13" x14ac:dyDescent="0.3">
      <c r="A62" s="5">
        <v>6.03</v>
      </c>
      <c r="B62" t="s">
        <v>81</v>
      </c>
      <c r="C62" s="4" t="s">
        <v>103</v>
      </c>
      <c r="D62" s="221">
        <v>0</v>
      </c>
      <c r="E62" s="221">
        <v>0</v>
      </c>
      <c r="F62" s="4"/>
      <c r="G62" s="188">
        <f>SUMIFS(BD.PD[Ppto. Orden Interna '[DOP']],BD.PD[Pos],PPto[[#This Row],[Part.]],BD.PD[Tipo Ppto],G$18)</f>
        <v>0</v>
      </c>
      <c r="H62" s="188">
        <f>SUMIFS(BD.PD[Ppto. Orden Interna '[DOP']],BD.PD[Pos],PPto[[#This Row],[Part.]],BD.PD[Tipo Ppto],H$18)</f>
        <v>0</v>
      </c>
      <c r="I62" s="221">
        <f>PPto[[#This Row],[Ppto. Capex '[DOP']]]+PPto[[#This Row],[Ppto. OI '[DOP']2]]</f>
        <v>0</v>
      </c>
      <c r="J62" s="222">
        <f>SUMIFS(BD.PD[Ppto. Orden Interna '[USD']],BD.PD[Pos],PPto[[#This Row],[Part.]],BD.PD[Tipo Ppto],J$18)</f>
        <v>0</v>
      </c>
      <c r="K62" s="188">
        <f>SUMIFS(BD.PD[Ppto. Orden Interna '[USD']],BD.PD[Pos],PPto[[#This Row],[Part.]],BD.PD[Tipo Ppto],K$18)</f>
        <v>0</v>
      </c>
      <c r="L62" s="221">
        <f>PPto[[#This Row],[Ppto. Capex '[USD']]]+PPto[[#This Row],[Ppto. OI '[USD']]]</f>
        <v>0</v>
      </c>
    </row>
    <row r="63" spans="1:13" x14ac:dyDescent="0.3">
      <c r="A63" s="5">
        <v>6.04</v>
      </c>
      <c r="B63" t="s">
        <v>81</v>
      </c>
      <c r="C63" s="4" t="s">
        <v>104</v>
      </c>
      <c r="D63" s="221">
        <v>0</v>
      </c>
      <c r="E63" s="221">
        <v>0</v>
      </c>
      <c r="F63" s="4"/>
      <c r="G63" s="188">
        <f>SUMIFS(BD.PD[Ppto. Orden Interna '[DOP']],BD.PD[Pos],PPto[[#This Row],[Part.]],BD.PD[Tipo Ppto],G$18)</f>
        <v>0</v>
      </c>
      <c r="H63" s="188">
        <f>SUMIFS(BD.PD[Ppto. Orden Interna '[DOP']],BD.PD[Pos],PPto[[#This Row],[Part.]],BD.PD[Tipo Ppto],H$18)</f>
        <v>0</v>
      </c>
      <c r="I63" s="221">
        <f>PPto[[#This Row],[Ppto. Capex '[DOP']]]+PPto[[#This Row],[Ppto. OI '[DOP']2]]</f>
        <v>0</v>
      </c>
      <c r="J63" s="222">
        <f>SUMIFS(BD.PD[Ppto. Orden Interna '[USD']],BD.PD[Pos],PPto[[#This Row],[Part.]],BD.PD[Tipo Ppto],J$18)</f>
        <v>0</v>
      </c>
      <c r="K63" s="188">
        <f>SUMIFS(BD.PD[Ppto. Orden Interna '[USD']],BD.PD[Pos],PPto[[#This Row],[Part.]],BD.PD[Tipo Ppto],K$18)</f>
        <v>0</v>
      </c>
      <c r="L63" s="221">
        <f>PPto[[#This Row],[Ppto. Capex '[USD']]]+PPto[[#This Row],[Ppto. OI '[USD']]]</f>
        <v>0</v>
      </c>
    </row>
    <row r="64" spans="1:13" x14ac:dyDescent="0.3">
      <c r="A64" s="5">
        <v>6.05</v>
      </c>
      <c r="B64" t="s">
        <v>81</v>
      </c>
      <c r="C64" s="4" t="s">
        <v>105</v>
      </c>
      <c r="D64" s="221">
        <v>35818.000500000002</v>
      </c>
      <c r="E64" s="221">
        <v>35818.000500000002</v>
      </c>
      <c r="F64" s="4"/>
      <c r="G64" s="188">
        <f>SUMIFS(BD.PD[Ppto. Orden Interna '[DOP']],BD.PD[Pos],PPto[[#This Row],[Part.]],BD.PD[Tipo Ppto],G$18)</f>
        <v>2162880.0300000003</v>
      </c>
      <c r="H64" s="188">
        <f>SUMIFS(BD.PD[Ppto. Orden Interna '[DOP']],BD.PD[Pos],PPto[[#This Row],[Part.]],BD.PD[Tipo Ppto],H$18)</f>
        <v>0</v>
      </c>
      <c r="I64" s="221">
        <f>PPto[[#This Row],[Ppto. Capex '[DOP']]]+PPto[[#This Row],[Ppto. OI '[DOP']2]]</f>
        <v>2162880.0300000003</v>
      </c>
      <c r="J64" s="222">
        <f>SUMIFS(BD.PD[Ppto. Orden Interna '[USD']],BD.PD[Pos],PPto[[#This Row],[Part.]],BD.PD[Tipo Ppto],J$18)</f>
        <v>35632.29044481054</v>
      </c>
      <c r="K64" s="188">
        <f>SUMIFS(BD.PD[Ppto. Orden Interna '[USD']],BD.PD[Pos],PPto[[#This Row],[Part.]],BD.PD[Tipo Ppto],K$18)</f>
        <v>0</v>
      </c>
      <c r="L64" s="221">
        <f>PPto[[#This Row],[Ppto. Capex '[USD']]]+PPto[[#This Row],[Ppto. OI '[USD']]]</f>
        <v>35632.29044481054</v>
      </c>
    </row>
    <row r="65" spans="1:13" x14ac:dyDescent="0.3">
      <c r="A65" s="6">
        <v>7</v>
      </c>
      <c r="B65" s="7"/>
      <c r="C65" s="123" t="s">
        <v>106</v>
      </c>
      <c r="D65" s="187">
        <f>SUM(D66:D72)</f>
        <v>416815.69815833325</v>
      </c>
      <c r="E65" s="187">
        <f>SUM(E66:E72)</f>
        <v>422298.67833947088</v>
      </c>
      <c r="F65" s="292"/>
      <c r="G65" s="187">
        <f t="shared" ref="G65" si="21">SUM(G66:G72)</f>
        <v>25633529.77520588</v>
      </c>
      <c r="H65" s="187">
        <f t="shared" ref="H65" si="22">SUM(H66:H72)</f>
        <v>0</v>
      </c>
      <c r="I65" s="219">
        <f>PPto[[#This Row],[Ppto. Capex '[DOP']]]+PPto[[#This Row],[Ppto. OI '[DOP']2]]</f>
        <v>25633529.77520588</v>
      </c>
      <c r="J65" s="220">
        <f t="shared" ref="J65:K65" si="23">SUM(J66:J72)</f>
        <v>422298.67833947088</v>
      </c>
      <c r="K65" s="187">
        <f t="shared" si="23"/>
        <v>0</v>
      </c>
      <c r="L65" s="219">
        <f>PPto[[#This Row],[Ppto. Capex '[USD']]]+PPto[[#This Row],[Ppto. OI '[USD']]]</f>
        <v>422298.67833947088</v>
      </c>
      <c r="M65" s="341" t="s">
        <v>67</v>
      </c>
    </row>
    <row r="66" spans="1:13" x14ac:dyDescent="0.3">
      <c r="A66" s="5">
        <v>7.01</v>
      </c>
      <c r="B66" t="s">
        <v>81</v>
      </c>
      <c r="C66" s="4" t="s">
        <v>107</v>
      </c>
      <c r="D66" s="221">
        <v>21337.878625000001</v>
      </c>
      <c r="E66" s="221">
        <f>PPto[[#This Row],[Ppto. Capex '[USD']]]+PPto[[#This Row],[Ppto. OI '[USD']]]</f>
        <v>51185.963756177916</v>
      </c>
      <c r="F66" s="4"/>
      <c r="G66" s="188">
        <f>SUMIFS(BD.PD[Ppto. Orden Interna '[DOP']],BD.PD[Pos],PPto[[#This Row],[Part.]],BD.PD[Tipo Ppto],G$18)</f>
        <v>3106988</v>
      </c>
      <c r="H66" s="188">
        <f>SUMIFS(BD.PD[Ppto. Orden Interna '[DOP']],BD.PD[Pos],PPto[[#This Row],[Part.]],BD.PD[Tipo Ppto],H$18)</f>
        <v>0</v>
      </c>
      <c r="I66" s="221">
        <f>PPto[[#This Row],[Ppto. Capex '[DOP']]]+PPto[[#This Row],[Ppto. OI '[DOP']2]]</f>
        <v>3106988</v>
      </c>
      <c r="J66" s="222">
        <f>SUMIFS(BD.PD[Ppto. Orden Interna '[USD']],BD.PD[Pos],PPto[[#This Row],[Part.]],BD.PD[Tipo Ppto],J$18)</f>
        <v>51185.963756177916</v>
      </c>
      <c r="K66" s="188">
        <f>SUMIFS(BD.PD[Ppto. Orden Interna '[USD']],BD.PD[Pos],PPto[[#This Row],[Part.]],BD.PD[Tipo Ppto],K$18)</f>
        <v>0</v>
      </c>
      <c r="L66" s="221">
        <f>PPto[[#This Row],[Ppto. Capex '[USD']]]+PPto[[#This Row],[Ppto. OI '[USD']]]</f>
        <v>51185.963756177916</v>
      </c>
    </row>
    <row r="67" spans="1:13" x14ac:dyDescent="0.3">
      <c r="A67" s="5">
        <v>7.02</v>
      </c>
      <c r="B67" t="s">
        <v>81</v>
      </c>
      <c r="C67" s="4" t="s">
        <v>108</v>
      </c>
      <c r="D67" s="221">
        <v>51651.608500000002</v>
      </c>
      <c r="E67" s="221">
        <f>PPto[[#This Row],[Ppto. Capex '[USD']]]+PPto[[#This Row],[Ppto. OI '[USD']]]</f>
        <v>50902.904794069189</v>
      </c>
      <c r="F67" s="4"/>
      <c r="G67" s="188">
        <f>SUMIFS(BD.PD[Ppto. Orden Interna '[DOP']],BD.PD[Pos],PPto[[#This Row],[Part.]],BD.PD[Tipo Ppto],G$18)</f>
        <v>3089806.3210000009</v>
      </c>
      <c r="H67" s="188">
        <f>SUMIFS(BD.PD[Ppto. Orden Interna '[DOP']],BD.PD[Pos],PPto[[#This Row],[Part.]],BD.PD[Tipo Ppto],H$18)</f>
        <v>0</v>
      </c>
      <c r="I67" s="221">
        <f>PPto[[#This Row],[Ppto. Capex '[DOP']]]+PPto[[#This Row],[Ppto. OI '[DOP']2]]</f>
        <v>3089806.3210000009</v>
      </c>
      <c r="J67" s="222">
        <f>SUMIFS(BD.PD[Ppto. Orden Interna '[USD']],BD.PD[Pos],PPto[[#This Row],[Part.]],BD.PD[Tipo Ppto],J$18)</f>
        <v>50902.904794069189</v>
      </c>
      <c r="K67" s="188">
        <f>SUMIFS(BD.PD[Ppto. Orden Interna '[USD']],BD.PD[Pos],PPto[[#This Row],[Part.]],BD.PD[Tipo Ppto],K$18)</f>
        <v>0</v>
      </c>
      <c r="L67" s="353">
        <f>PPto[[#This Row],[Ppto. Capex '[USD']]]+PPto[[#This Row],[Ppto. OI '[USD']]]</f>
        <v>50902.904794069189</v>
      </c>
      <c r="M67" t="s">
        <v>109</v>
      </c>
    </row>
    <row r="68" spans="1:13" x14ac:dyDescent="0.3">
      <c r="A68" s="5">
        <v>7.03</v>
      </c>
      <c r="B68" t="s">
        <v>81</v>
      </c>
      <c r="C68" s="4" t="s">
        <v>110</v>
      </c>
      <c r="D68" s="221">
        <v>55943.109299999996</v>
      </c>
      <c r="E68" s="221">
        <f>PPto[[#This Row],[Ppto. Capex '[USD']]]+PPto[[#This Row],[Ppto. OI '[USD']]]</f>
        <v>55255.663097199336</v>
      </c>
      <c r="F68" s="4"/>
      <c r="G68" s="188">
        <f>SUMIFS(BD.PD[Ppto. Orden Interna '[DOP']],BD.PD[Pos],PPto[[#This Row],[Part.]],BD.PD[Tipo Ppto],G$18)</f>
        <v>3354018.7500000005</v>
      </c>
      <c r="H68" s="188">
        <f>SUMIFS(BD.PD[Ppto. Orden Interna '[DOP']],BD.PD[Pos],PPto[[#This Row],[Part.]],BD.PD[Tipo Ppto],H$18)</f>
        <v>0</v>
      </c>
      <c r="I68" s="221">
        <f>PPto[[#This Row],[Ppto. Capex '[DOP']]]+PPto[[#This Row],[Ppto. OI '[DOP']2]]</f>
        <v>3354018.7500000005</v>
      </c>
      <c r="J68" s="222">
        <f>SUMIFS(BD.PD[Ppto. Orden Interna '[USD']],BD.PD[Pos],PPto[[#This Row],[Part.]],BD.PD[Tipo Ppto],J$18)</f>
        <v>55255.663097199336</v>
      </c>
      <c r="K68" s="188">
        <f>SUMIFS(BD.PD[Ppto. Orden Interna '[USD']],BD.PD[Pos],PPto[[#This Row],[Part.]],BD.PD[Tipo Ppto],K$18)</f>
        <v>0</v>
      </c>
      <c r="L68" s="221">
        <f>PPto[[#This Row],[Ppto. Capex '[USD']]]+PPto[[#This Row],[Ppto. OI '[USD']]]</f>
        <v>55255.663097199336</v>
      </c>
    </row>
    <row r="69" spans="1:13" ht="15.6" customHeight="1" x14ac:dyDescent="0.3">
      <c r="A69" s="5">
        <v>7.04</v>
      </c>
      <c r="B69" t="s">
        <v>81</v>
      </c>
      <c r="C69" s="4" t="s">
        <v>111</v>
      </c>
      <c r="D69" s="221">
        <v>212892.00533333331</v>
      </c>
      <c r="E69" s="221">
        <f>PPto[[#This Row],[Ppto. Capex '[USD']]]+PPto[[#This Row],[Ppto. OI '[USD']]]</f>
        <v>170469.40542833606</v>
      </c>
      <c r="F69" s="4"/>
      <c r="G69" s="188">
        <f>SUMIFS(BD.PD[Ppto. Orden Interna '[DOP']],BD.PD[Pos],PPto[[#This Row],[Part.]],BD.PD[Tipo Ppto],G$18)</f>
        <v>10347492.909499999</v>
      </c>
      <c r="H69" s="188">
        <f>SUMIFS(BD.PD[Ppto. Orden Interna '[DOP']],BD.PD[Pos],PPto[[#This Row],[Part.]],BD.PD[Tipo Ppto],H$18)</f>
        <v>0</v>
      </c>
      <c r="I69" s="221">
        <f>PPto[[#This Row],[Ppto. Capex '[DOP']]]+PPto[[#This Row],[Ppto. OI '[DOP']2]]</f>
        <v>10347492.909499999</v>
      </c>
      <c r="J69" s="222">
        <f>SUMIFS(BD.PD[Ppto. Orden Interna '[USD']],BD.PD[Pos],PPto[[#This Row],[Part.]],BD.PD[Tipo Ppto],J$18)</f>
        <v>170469.40542833606</v>
      </c>
      <c r="K69" s="188">
        <f>SUMIFS(BD.PD[Ppto. Orden Interna '[USD']],BD.PD[Pos],PPto[[#This Row],[Part.]],BD.PD[Tipo Ppto],K$18)</f>
        <v>0</v>
      </c>
      <c r="L69" s="353">
        <f>PPto[[#This Row],[Ppto. Capex '[USD']]]+PPto[[#This Row],[Ppto. OI '[USD']]]</f>
        <v>170469.40542833606</v>
      </c>
      <c r="M69" t="s">
        <v>112</v>
      </c>
    </row>
    <row r="70" spans="1:13" x14ac:dyDescent="0.3">
      <c r="A70" s="5">
        <v>7.05</v>
      </c>
      <c r="B70" t="s">
        <v>81</v>
      </c>
      <c r="C70" s="4" t="s">
        <v>113</v>
      </c>
      <c r="D70" s="221">
        <v>74991.09639999998</v>
      </c>
      <c r="E70" s="221">
        <f>PPto[[#This Row],[Ppto. Capex '[USD']]]+PPto[[#This Row],[Ppto. OI '[USD']]]</f>
        <v>94484.741263688338</v>
      </c>
      <c r="F70" s="4"/>
      <c r="G70" s="188">
        <f>SUMIFS(BD.PD[Ppto. Orden Interna '[DOP']],BD.PD[Pos],PPto[[#This Row],[Part.]],BD.PD[Tipo Ppto],G$18)</f>
        <v>5735223.7947058827</v>
      </c>
      <c r="H70" s="188">
        <f>SUMIFS(BD.PD[Ppto. Orden Interna '[DOP']],BD.PD[Pos],PPto[[#This Row],[Part.]],BD.PD[Tipo Ppto],H$18)</f>
        <v>0</v>
      </c>
      <c r="I70" s="221">
        <f>PPto[[#This Row],[Ppto. Capex '[DOP']]]+PPto[[#This Row],[Ppto. OI '[DOP']2]]</f>
        <v>5735223.7947058827</v>
      </c>
      <c r="J70" s="222">
        <f>SUMIFS(BD.PD[Ppto. Orden Interna '[USD']],BD.PD[Pos],PPto[[#This Row],[Part.]],BD.PD[Tipo Ppto],J$18)</f>
        <v>94484.741263688338</v>
      </c>
      <c r="K70" s="188">
        <f>SUMIFS(BD.PD[Ppto. Orden Interna '[USD']],BD.PD[Pos],PPto[[#This Row],[Part.]],BD.PD[Tipo Ppto],K$18)</f>
        <v>0</v>
      </c>
      <c r="L70" s="221">
        <f>PPto[[#This Row],[Ppto. Capex '[USD']]]+PPto[[#This Row],[Ppto. OI '[USD']]]</f>
        <v>94484.741263688338</v>
      </c>
    </row>
    <row r="71" spans="1:13" x14ac:dyDescent="0.3">
      <c r="A71" s="5">
        <v>7.06</v>
      </c>
      <c r="B71" t="s">
        <v>81</v>
      </c>
      <c r="C71" s="4" t="s">
        <v>114</v>
      </c>
      <c r="D71" s="221">
        <v>0</v>
      </c>
      <c r="E71" s="221">
        <f>PPto[[#This Row],[Ppto. Capex '[USD']]]+PPto[[#This Row],[Ppto. OI '[USD']]]</f>
        <v>0</v>
      </c>
      <c r="F71" s="4"/>
      <c r="G71" s="188">
        <f>SUMIFS(BD.PD[Ppto. Orden Interna '[DOP']],BD.PD[Pos],PPto[[#This Row],[Part.]],BD.PD[Tipo Ppto],G$18)</f>
        <v>0</v>
      </c>
      <c r="H71" s="188">
        <f>SUMIFS(BD.PD[Ppto. Orden Interna '[DOP']],BD.PD[Pos],PPto[[#This Row],[Part.]],BD.PD[Tipo Ppto],H$18)</f>
        <v>0</v>
      </c>
      <c r="I71" s="221">
        <f>PPto[[#This Row],[Ppto. Capex '[DOP']]]+PPto[[#This Row],[Ppto. OI '[DOP']2]]</f>
        <v>0</v>
      </c>
      <c r="J71" s="222">
        <f>SUMIFS(BD.PD[Ppto. Orden Interna '[USD']],BD.PD[Pos],PPto[[#This Row],[Part.]],BD.PD[Tipo Ppto],J$18)</f>
        <v>0</v>
      </c>
      <c r="K71" s="188">
        <f>SUMIFS(BD.PD[Ppto. Orden Interna '[USD']],BD.PD[Pos],PPto[[#This Row],[Part.]],BD.PD[Tipo Ppto],K$18)</f>
        <v>0</v>
      </c>
      <c r="L71" s="221">
        <f>PPto[[#This Row],[Ppto. Capex '[USD']]]+PPto[[#This Row],[Ppto. OI '[USD']]]</f>
        <v>0</v>
      </c>
    </row>
    <row r="72" spans="1:13" x14ac:dyDescent="0.3">
      <c r="A72" s="5">
        <v>7.07</v>
      </c>
      <c r="B72" t="s">
        <v>81</v>
      </c>
      <c r="C72" s="4" t="s">
        <v>115</v>
      </c>
      <c r="D72" s="221">
        <v>0</v>
      </c>
      <c r="E72" s="221">
        <f>PPto[[#This Row],[Ppto. Capex '[USD']]]+PPto[[#This Row],[Ppto. OI '[USD']]]</f>
        <v>0</v>
      </c>
      <c r="F72" s="4"/>
      <c r="G72" s="188">
        <f>SUMIFS(BD.PD[Ppto. Orden Interna '[DOP']],BD.PD[Pos],PPto[[#This Row],[Part.]],BD.PD[Tipo Ppto],G$18)</f>
        <v>0</v>
      </c>
      <c r="H72" s="188">
        <f>SUMIFS(BD.PD[Ppto. Orden Interna '[DOP']],BD.PD[Pos],PPto[[#This Row],[Part.]],BD.PD[Tipo Ppto],H$18)</f>
        <v>0</v>
      </c>
      <c r="I72" s="221">
        <f>PPto[[#This Row],[Ppto. Capex '[DOP']]]+PPto[[#This Row],[Ppto. OI '[DOP']2]]</f>
        <v>0</v>
      </c>
      <c r="J72" s="222">
        <f>SUMIFS(BD.PD[Ppto. Orden Interna '[USD']],BD.PD[Pos],PPto[[#This Row],[Part.]],BD.PD[Tipo Ppto],J$18)</f>
        <v>0</v>
      </c>
      <c r="K72" s="188">
        <f>SUMIFS(BD.PD[Ppto. Orden Interna '[USD']],BD.PD[Pos],PPto[[#This Row],[Part.]],BD.PD[Tipo Ppto],K$18)</f>
        <v>0</v>
      </c>
      <c r="L72" s="221">
        <f>PPto[[#This Row],[Ppto. Capex '[USD']]]+PPto[[#This Row],[Ppto. OI '[USD']]]</f>
        <v>0</v>
      </c>
    </row>
    <row r="73" spans="1:13" x14ac:dyDescent="0.3">
      <c r="A73" s="6">
        <v>8</v>
      </c>
      <c r="B73" s="7"/>
      <c r="C73" s="123" t="s">
        <v>116</v>
      </c>
      <c r="D73" s="187">
        <f>SUM(D74:D81)</f>
        <v>1095114.3751240042</v>
      </c>
      <c r="E73" s="187">
        <f>SUM(E74:E81)</f>
        <v>798208.27198794368</v>
      </c>
      <c r="F73" s="292"/>
      <c r="G73" s="187">
        <f t="shared" ref="G73" si="24">SUM(G74:G81)</f>
        <v>48451242.109668173</v>
      </c>
      <c r="H73" s="187">
        <f t="shared" ref="H73" si="25">SUM(H74:H81)</f>
        <v>0</v>
      </c>
      <c r="I73" s="219">
        <f>PPto[[#This Row],[Ppto. Capex '[DOP']]]+PPto[[#This Row],[Ppto. OI '[DOP']2]]</f>
        <v>48451242.109668173</v>
      </c>
      <c r="J73" s="220">
        <f t="shared" ref="J73:K73" si="26">SUM(J74:J81)</f>
        <v>798208.27198794368</v>
      </c>
      <c r="K73" s="187">
        <f t="shared" si="26"/>
        <v>0</v>
      </c>
      <c r="L73" s="219">
        <f>PPto[[#This Row],[Ppto. Capex '[USD']]]+PPto[[#This Row],[Ppto. OI '[USD']]]</f>
        <v>798208.27198794368</v>
      </c>
    </row>
    <row r="74" spans="1:13" x14ac:dyDescent="0.3">
      <c r="A74" s="5">
        <v>8.01</v>
      </c>
      <c r="B74" t="s">
        <v>81</v>
      </c>
      <c r="C74" s="4" t="s">
        <v>117</v>
      </c>
      <c r="D74" s="221">
        <v>599762.97566666664</v>
      </c>
      <c r="E74" s="221">
        <f>PPto[[#This Row],[Ppto. Capex '[USD']]]+PPto[[#This Row],[Ppto. OI '[USD']]]</f>
        <v>170007.34949999998</v>
      </c>
      <c r="F74" s="4"/>
      <c r="G74" s="188">
        <f>SUMIFS(BD.PD[Ppto. Orden Interna '[DOP']],BD.PD[Pos],PPto[[#This Row],[Part.]],BD.PD[Tipo Ppto],G$18)</f>
        <v>10319446.11465</v>
      </c>
      <c r="H74" s="188">
        <f>SUMIFS(BD.PD[Ppto. Orden Interna '[DOP']],BD.PD[Pos],PPto[[#This Row],[Part.]],BD.PD[Tipo Ppto],H$18)</f>
        <v>0</v>
      </c>
      <c r="I74" s="221">
        <f>PPto[[#This Row],[Ppto. Capex '[DOP']]]+PPto[[#This Row],[Ppto. OI '[DOP']2]]</f>
        <v>10319446.11465</v>
      </c>
      <c r="J74" s="222">
        <f>SUMIFS(BD.PD[Ppto. Orden Interna '[USD']],BD.PD[Pos],PPto[[#This Row],[Part.]],BD.PD[Tipo Ppto],J$18)</f>
        <v>170007.34949999998</v>
      </c>
      <c r="K74" s="188">
        <f>SUMIFS(BD.PD[Ppto. Orden Interna '[USD']],BD.PD[Pos],PPto[[#This Row],[Part.]],BD.PD[Tipo Ppto],K$18)</f>
        <v>0</v>
      </c>
      <c r="L74" s="221">
        <f>PPto[[#This Row],[Ppto. Capex '[USD']]]+PPto[[#This Row],[Ppto. OI '[USD']]]</f>
        <v>170007.34949999998</v>
      </c>
    </row>
    <row r="75" spans="1:13" x14ac:dyDescent="0.3">
      <c r="A75" s="5">
        <v>8.02</v>
      </c>
      <c r="B75" t="s">
        <v>81</v>
      </c>
      <c r="C75" s="4" t="s">
        <v>118</v>
      </c>
      <c r="D75" s="221">
        <v>83931.609333333356</v>
      </c>
      <c r="E75" s="221">
        <f>PPto[[#This Row],[Ppto. Capex '[USD']]]+PPto[[#This Row],[Ppto. OI '[USD']]]</f>
        <v>32178.762000000002</v>
      </c>
      <c r="F75" s="4"/>
      <c r="G75" s="188">
        <f>SUMIFS(BD.PD[Ppto. Orden Interna '[DOP']],BD.PD[Pos],PPto[[#This Row],[Part.]],BD.PD[Tipo Ppto],G$18)</f>
        <v>1953250.8534000001</v>
      </c>
      <c r="H75" s="188">
        <f>SUMIFS(BD.PD[Ppto. Orden Interna '[DOP']],BD.PD[Pos],PPto[[#This Row],[Part.]],BD.PD[Tipo Ppto],H$18)</f>
        <v>0</v>
      </c>
      <c r="I75" s="221">
        <f>PPto[[#This Row],[Ppto. Capex '[DOP']]]+PPto[[#This Row],[Ppto. OI '[DOP']2]]</f>
        <v>1953250.8534000001</v>
      </c>
      <c r="J75" s="222">
        <f>SUMIFS(BD.PD[Ppto. Orden Interna '[USD']],BD.PD[Pos],PPto[[#This Row],[Part.]],BD.PD[Tipo Ppto],J$18)</f>
        <v>32178.762000000002</v>
      </c>
      <c r="K75" s="188">
        <f>SUMIFS(BD.PD[Ppto. Orden Interna '[USD']],BD.PD[Pos],PPto[[#This Row],[Part.]],BD.PD[Tipo Ppto],K$18)</f>
        <v>0</v>
      </c>
      <c r="L75" s="221">
        <f>PPto[[#This Row],[Ppto. Capex '[USD']]]+PPto[[#This Row],[Ppto. OI '[USD']]]</f>
        <v>32178.762000000002</v>
      </c>
      <c r="M75" t="s">
        <v>119</v>
      </c>
    </row>
    <row r="76" spans="1:13" x14ac:dyDescent="0.3">
      <c r="A76" s="5">
        <v>8.0299999999999994</v>
      </c>
      <c r="B76" t="s">
        <v>81</v>
      </c>
      <c r="C76" s="4" t="s">
        <v>120</v>
      </c>
      <c r="D76" s="221">
        <v>48527.703042337656</v>
      </c>
      <c r="E76" s="221">
        <f>PPto[[#This Row],[Ppto. Capex '[USD']]]+PPto[[#This Row],[Ppto. OI '[USD']]]</f>
        <v>221014.81871499176</v>
      </c>
      <c r="F76" s="4"/>
      <c r="G76" s="188">
        <f>SUMIFS(BD.PD[Ppto. Orden Interna '[DOP']],BD.PD[Pos],PPto[[#This Row],[Part.]],BD.PD[Tipo Ppto],G$18)</f>
        <v>13415599.495999997</v>
      </c>
      <c r="H76" s="188">
        <f>SUMIFS(BD.PD[Ppto. Orden Interna '[DOP']],BD.PD[Pos],PPto[[#This Row],[Part.]],BD.PD[Tipo Ppto],H$18)</f>
        <v>0</v>
      </c>
      <c r="I76" s="221">
        <f>PPto[[#This Row],[Ppto. Capex '[DOP']]]+PPto[[#This Row],[Ppto. OI '[DOP']2]]</f>
        <v>13415599.495999997</v>
      </c>
      <c r="J76" s="222">
        <f>SUMIFS(BD.PD[Ppto. Orden Interna '[USD']],BD.PD[Pos],PPto[[#This Row],[Part.]],BD.PD[Tipo Ppto],J$18)</f>
        <v>221014.81871499176</v>
      </c>
      <c r="K76" s="188">
        <f>SUMIFS(BD.PD[Ppto. Orden Interna '[USD']],BD.PD[Pos],PPto[[#This Row],[Part.]],BD.PD[Tipo Ppto],K$18)</f>
        <v>0</v>
      </c>
      <c r="L76" s="221">
        <f>PPto[[#This Row],[Ppto. Capex '[USD']]]+PPto[[#This Row],[Ppto. OI '[USD']]]</f>
        <v>221014.81871499176</v>
      </c>
    </row>
    <row r="77" spans="1:13" x14ac:dyDescent="0.3">
      <c r="A77" s="5">
        <v>8.0399999999999991</v>
      </c>
      <c r="B77" t="s">
        <v>81</v>
      </c>
      <c r="C77" s="4" t="s">
        <v>121</v>
      </c>
      <c r="D77" s="221">
        <v>54383.794914999999</v>
      </c>
      <c r="E77" s="221">
        <f>PPto[[#This Row],[Ppto. Capex '[USD']]]+PPto[[#This Row],[Ppto. OI '[USD']]]</f>
        <v>57261.821070840204</v>
      </c>
      <c r="F77" s="4"/>
      <c r="G77" s="188">
        <f>SUMIFS(BD.PD[Ppto. Orden Interna '[DOP']],BD.PD[Pos],PPto[[#This Row],[Part.]],BD.PD[Tipo Ppto],G$18)</f>
        <v>3475792.5389999999</v>
      </c>
      <c r="H77" s="188">
        <f>SUMIFS(BD.PD[Ppto. Orden Interna '[DOP']],BD.PD[Pos],PPto[[#This Row],[Part.]],BD.PD[Tipo Ppto],H$18)</f>
        <v>0</v>
      </c>
      <c r="I77" s="221">
        <f>PPto[[#This Row],[Ppto. Capex '[DOP']]]+PPto[[#This Row],[Ppto. OI '[DOP']2]]</f>
        <v>3475792.5389999999</v>
      </c>
      <c r="J77" s="222">
        <f>SUMIFS(BD.PD[Ppto. Orden Interna '[USD']],BD.PD[Pos],PPto[[#This Row],[Part.]],BD.PD[Tipo Ppto],J$18)</f>
        <v>57261.821070840204</v>
      </c>
      <c r="K77" s="188">
        <f>SUMIFS(BD.PD[Ppto. Orden Interna '[USD']],BD.PD[Pos],PPto[[#This Row],[Part.]],BD.PD[Tipo Ppto],K$18)</f>
        <v>0</v>
      </c>
      <c r="L77" s="221">
        <f>PPto[[#This Row],[Ppto. Capex '[USD']]]+PPto[[#This Row],[Ppto. OI '[USD']]]</f>
        <v>57261.821070840204</v>
      </c>
    </row>
    <row r="78" spans="1:13" x14ac:dyDescent="0.3">
      <c r="A78" s="5">
        <v>8.0500000000000007</v>
      </c>
      <c r="B78" t="s">
        <v>81</v>
      </c>
      <c r="C78" s="4" t="s">
        <v>122</v>
      </c>
      <c r="D78" s="221">
        <v>96620.274166666684</v>
      </c>
      <c r="E78" s="221">
        <f>PPto[[#This Row],[Ppto. Capex '[USD']]]+PPto[[#This Row],[Ppto. OI '[USD']]]</f>
        <v>84346.761232289951</v>
      </c>
      <c r="F78" s="4"/>
      <c r="G78" s="188">
        <f>SUMIFS(BD.PD[Ppto. Orden Interna '[DOP']],BD.PD[Pos],PPto[[#This Row],[Part.]],BD.PD[Tipo Ppto],G$18)</f>
        <v>5119848.4067999991</v>
      </c>
      <c r="H78" s="188">
        <f>SUMIFS(BD.PD[Ppto. Orden Interna '[DOP']],BD.PD[Pos],PPto[[#This Row],[Part.]],BD.PD[Tipo Ppto],H$18)</f>
        <v>0</v>
      </c>
      <c r="I78" s="221">
        <f>PPto[[#This Row],[Ppto. Capex '[DOP']]]+PPto[[#This Row],[Ppto. OI '[DOP']2]]</f>
        <v>5119848.4067999991</v>
      </c>
      <c r="J78" s="222">
        <f>SUMIFS(BD.PD[Ppto. Orden Interna '[USD']],BD.PD[Pos],PPto[[#This Row],[Part.]],BD.PD[Tipo Ppto],J$18)</f>
        <v>84346.761232289951</v>
      </c>
      <c r="K78" s="188">
        <f>SUMIFS(BD.PD[Ppto. Orden Interna '[USD']],BD.PD[Pos],PPto[[#This Row],[Part.]],BD.PD[Tipo Ppto],K$18)</f>
        <v>0</v>
      </c>
      <c r="L78" s="221">
        <f>PPto[[#This Row],[Ppto. Capex '[USD']]]+PPto[[#This Row],[Ppto. OI '[USD']]]</f>
        <v>84346.761232289951</v>
      </c>
      <c r="M78" t="s">
        <v>123</v>
      </c>
    </row>
    <row r="79" spans="1:13" x14ac:dyDescent="0.3">
      <c r="A79" s="5">
        <v>8.06</v>
      </c>
      <c r="B79" t="s">
        <v>81</v>
      </c>
      <c r="C79" s="4" t="s">
        <v>124</v>
      </c>
      <c r="D79" s="221">
        <v>19588.977999999999</v>
      </c>
      <c r="E79" s="221">
        <f>PPto[[#This Row],[Ppto. Capex '[USD']]]+PPto[[#This Row],[Ppto. OI '[USD']]]</f>
        <v>48807.121908042522</v>
      </c>
      <c r="F79" s="4"/>
      <c r="G79" s="188">
        <f>SUMIFS(BD.PD[Ppto. Orden Interna '[DOP']],BD.PD[Pos],PPto[[#This Row],[Part.]],BD.PD[Tipo Ppto],G$18)</f>
        <v>2962592.2998181814</v>
      </c>
      <c r="H79" s="188">
        <f>SUMIFS(BD.PD[Ppto. Orden Interna '[DOP']],BD.PD[Pos],PPto[[#This Row],[Part.]],BD.PD[Tipo Ppto],H$18)</f>
        <v>0</v>
      </c>
      <c r="I79" s="221">
        <f>PPto[[#This Row],[Ppto. Capex '[DOP']]]+PPto[[#This Row],[Ppto. OI '[DOP']2]]</f>
        <v>2962592.2998181814</v>
      </c>
      <c r="J79" s="222">
        <f>SUMIFS(BD.PD[Ppto. Orden Interna '[USD']],BD.PD[Pos],PPto[[#This Row],[Part.]],BD.PD[Tipo Ppto],J$18)</f>
        <v>48807.121908042522</v>
      </c>
      <c r="K79" s="188">
        <f>SUMIFS(BD.PD[Ppto. Orden Interna '[USD']],BD.PD[Pos],PPto[[#This Row],[Part.]],BD.PD[Tipo Ppto],K$18)</f>
        <v>0</v>
      </c>
      <c r="L79" s="221">
        <f>PPto[[#This Row],[Ppto. Capex '[USD']]]+PPto[[#This Row],[Ppto. OI '[USD']]]</f>
        <v>48807.121908042522</v>
      </c>
    </row>
    <row r="80" spans="1:13" x14ac:dyDescent="0.3">
      <c r="A80" s="5">
        <v>8.07</v>
      </c>
      <c r="B80" t="s">
        <v>81</v>
      </c>
      <c r="C80" s="4" t="s">
        <v>125</v>
      </c>
      <c r="D80" s="221">
        <v>113999.04000000001</v>
      </c>
      <c r="E80" s="221">
        <f>PPto[[#This Row],[Ppto. Capex '[USD']]]+PPto[[#This Row],[Ppto. OI '[USD']]]</f>
        <v>118143.53212520592</v>
      </c>
      <c r="F80" s="4"/>
      <c r="G80" s="188">
        <f>SUMIFS(BD.PD[Ppto. Orden Interna '[DOP']],BD.PD[Pos],PPto[[#This Row],[Part.]],BD.PD[Tipo Ppto],G$18)</f>
        <v>7171312.4000000004</v>
      </c>
      <c r="H80" s="188">
        <f>SUMIFS(BD.PD[Ppto. Orden Interna '[DOP']],BD.PD[Pos],PPto[[#This Row],[Part.]],BD.PD[Tipo Ppto],H$18)</f>
        <v>0</v>
      </c>
      <c r="I80" s="221">
        <f>PPto[[#This Row],[Ppto. Capex '[DOP']]]+PPto[[#This Row],[Ppto. OI '[DOP']2]]</f>
        <v>7171312.4000000004</v>
      </c>
      <c r="J80" s="222">
        <f>SUMIFS(BD.PD[Ppto. Orden Interna '[USD']],BD.PD[Pos],PPto[[#This Row],[Part.]],BD.PD[Tipo Ppto],J$18)</f>
        <v>118143.53212520592</v>
      </c>
      <c r="K80" s="188">
        <f>SUMIFS(BD.PD[Ppto. Orden Interna '[USD']],BD.PD[Pos],PPto[[#This Row],[Part.]],BD.PD[Tipo Ppto],K$18)</f>
        <v>0</v>
      </c>
      <c r="L80" s="221">
        <f>PPto[[#This Row],[Ppto. Capex '[USD']]]+PPto[[#This Row],[Ppto. OI '[USD']]]</f>
        <v>118143.53212520592</v>
      </c>
    </row>
    <row r="81" spans="1:12" x14ac:dyDescent="0.3">
      <c r="A81" s="5">
        <v>8.08</v>
      </c>
      <c r="B81" t="s">
        <v>81</v>
      </c>
      <c r="C81" s="4" t="s">
        <v>126</v>
      </c>
      <c r="D81" s="221">
        <v>78300</v>
      </c>
      <c r="E81" s="221">
        <f>PPto[[#This Row],[Ppto. Capex '[USD']]]+PPto[[#This Row],[Ppto. OI '[USD']]]</f>
        <v>66448.1054365733</v>
      </c>
      <c r="F81" s="4"/>
      <c r="G81" s="188">
        <f>SUMIFS(BD.PD[Ppto. Orden Interna '[DOP']],BD.PD[Pos],PPto[[#This Row],[Part.]],BD.PD[Tipo Ppto],G$18)</f>
        <v>4033400</v>
      </c>
      <c r="H81" s="188">
        <f>SUMIFS(BD.PD[Ppto. Orden Interna '[DOP']],BD.PD[Pos],PPto[[#This Row],[Part.]],BD.PD[Tipo Ppto],H$18)</f>
        <v>0</v>
      </c>
      <c r="I81" s="221">
        <f>PPto[[#This Row],[Ppto. Capex '[DOP']]]+PPto[[#This Row],[Ppto. OI '[DOP']2]]</f>
        <v>4033400</v>
      </c>
      <c r="J81" s="222">
        <f>SUMIFS(BD.PD[Ppto. Orden Interna '[USD']],BD.PD[Pos],PPto[[#This Row],[Part.]],BD.PD[Tipo Ppto],J$18)</f>
        <v>66448.1054365733</v>
      </c>
      <c r="K81" s="188">
        <f>SUMIFS(BD.PD[Ppto. Orden Interna '[USD']],BD.PD[Pos],PPto[[#This Row],[Part.]],BD.PD[Tipo Ppto],K$18)</f>
        <v>0</v>
      </c>
      <c r="L81" s="221">
        <f>PPto[[#This Row],[Ppto. Capex '[USD']]]+PPto[[#This Row],[Ppto. OI '[USD']]]</f>
        <v>66448.1054365733</v>
      </c>
    </row>
    <row r="82" spans="1:12" x14ac:dyDescent="0.3">
      <c r="A82" s="6">
        <v>9</v>
      </c>
      <c r="B82" s="7"/>
      <c r="C82" s="123" t="s">
        <v>127</v>
      </c>
      <c r="D82" s="187">
        <f>SUM(D83:D88)</f>
        <v>0</v>
      </c>
      <c r="E82" s="187">
        <f>SUM(E83:E88)</f>
        <v>0</v>
      </c>
      <c r="F82" s="292"/>
      <c r="G82" s="187">
        <f t="shared" ref="G82" si="27">SUM(G83:G88)</f>
        <v>0</v>
      </c>
      <c r="H82" s="187">
        <f t="shared" ref="H82" si="28">SUM(H83:H88)</f>
        <v>0</v>
      </c>
      <c r="I82" s="219">
        <f>PPto[[#This Row],[Ppto. Capex '[DOP']]]+PPto[[#This Row],[Ppto. OI '[DOP']2]]</f>
        <v>0</v>
      </c>
      <c r="J82" s="220">
        <f t="shared" ref="J82:K82" si="29">SUM(J83:J88)</f>
        <v>0</v>
      </c>
      <c r="K82" s="187">
        <f t="shared" si="29"/>
        <v>0</v>
      </c>
      <c r="L82" s="219">
        <f>PPto[[#This Row],[Ppto. Capex '[USD']]]+PPto[[#This Row],[Ppto. OI '[USD']]]</f>
        <v>0</v>
      </c>
    </row>
    <row r="83" spans="1:12" x14ac:dyDescent="0.3">
      <c r="A83" s="5">
        <v>9.01</v>
      </c>
      <c r="B83" t="s">
        <v>35</v>
      </c>
      <c r="C83" s="4" t="s">
        <v>128</v>
      </c>
      <c r="D83" s="221">
        <f t="shared" ref="D83:E83" si="30">SUM(D84:D90)</f>
        <v>0</v>
      </c>
      <c r="E83" s="221">
        <f t="shared" si="30"/>
        <v>0</v>
      </c>
      <c r="F83" s="4"/>
      <c r="G83" s="188">
        <f>SUMIFS(BD.PD[Ppto. Orden Interna '[DOP']],BD.PD[Pos],PPto[[#This Row],[Part.]],BD.PD[Tipo Ppto],G$18)</f>
        <v>0</v>
      </c>
      <c r="H83" s="188">
        <f>SUMIFS(BD.PD[Ppto. Orden Interna '[DOP']],BD.PD[Pos],PPto[[#This Row],[Part.]],BD.PD[Tipo Ppto],H$18)</f>
        <v>0</v>
      </c>
      <c r="I83" s="221">
        <f>PPto[[#This Row],[Ppto. Capex '[DOP']]]+PPto[[#This Row],[Ppto. OI '[DOP']2]]</f>
        <v>0</v>
      </c>
      <c r="J83" s="222">
        <f>SUMIFS(BD.PD[Ppto. Orden Interna '[USD']],BD.PD[Pos],PPto[[#This Row],[Part.]],BD.PD[Tipo Ppto],J$18)</f>
        <v>0</v>
      </c>
      <c r="K83" s="188">
        <f>SUMIFS(BD.PD[Ppto. Orden Interna '[USD']],BD.PD[Pos],PPto[[#This Row],[Part.]],BD.PD[Tipo Ppto],K$18)</f>
        <v>0</v>
      </c>
      <c r="L83" s="221">
        <f>PPto[[#This Row],[Ppto. Capex '[USD']]]+PPto[[#This Row],[Ppto. OI '[USD']]]</f>
        <v>0</v>
      </c>
    </row>
    <row r="84" spans="1:12" x14ac:dyDescent="0.3">
      <c r="A84" s="5">
        <v>9.02</v>
      </c>
      <c r="B84" t="s">
        <v>35</v>
      </c>
      <c r="C84" s="4" t="s">
        <v>129</v>
      </c>
      <c r="D84" s="221">
        <f t="shared" ref="D84:E88" si="31">SUM(D85:D91)</f>
        <v>0</v>
      </c>
      <c r="E84" s="221">
        <f t="shared" si="31"/>
        <v>0</v>
      </c>
      <c r="F84" s="4"/>
      <c r="G84" s="188">
        <f>SUMIFS(BD.PD[Ppto. Orden Interna '[DOP']],BD.PD[Pos],PPto[[#This Row],[Part.]],BD.PD[Tipo Ppto],G$18)</f>
        <v>0</v>
      </c>
      <c r="H84" s="188">
        <f>SUMIFS(BD.PD[Ppto. Orden Interna '[DOP']],BD.PD[Pos],PPto[[#This Row],[Part.]],BD.PD[Tipo Ppto],H$18)</f>
        <v>0</v>
      </c>
      <c r="I84" s="221">
        <f>PPto[[#This Row],[Ppto. Capex '[DOP']]]+PPto[[#This Row],[Ppto. OI '[DOP']2]]</f>
        <v>0</v>
      </c>
      <c r="J84" s="222">
        <f>SUMIFS(BD.PD[Ppto. Orden Interna '[USD']],BD.PD[Pos],PPto[[#This Row],[Part.]],BD.PD[Tipo Ppto],J$18)</f>
        <v>0</v>
      </c>
      <c r="K84" s="188">
        <f>SUMIFS(BD.PD[Ppto. Orden Interna '[USD']],BD.PD[Pos],PPto[[#This Row],[Part.]],BD.PD[Tipo Ppto],K$18)</f>
        <v>0</v>
      </c>
      <c r="L84" s="221">
        <f>PPto[[#This Row],[Ppto. Capex '[USD']]]+PPto[[#This Row],[Ppto. OI '[USD']]]</f>
        <v>0</v>
      </c>
    </row>
    <row r="85" spans="1:12" x14ac:dyDescent="0.3">
      <c r="A85" s="5">
        <v>9.0299999999999994</v>
      </c>
      <c r="B85" t="s">
        <v>35</v>
      </c>
      <c r="C85" s="4" t="s">
        <v>130</v>
      </c>
      <c r="D85" s="221">
        <f t="shared" si="31"/>
        <v>0</v>
      </c>
      <c r="E85" s="221">
        <f t="shared" si="31"/>
        <v>0</v>
      </c>
      <c r="F85" s="4"/>
      <c r="G85" s="188">
        <f>SUMIFS(BD.PD[Ppto. Orden Interna '[DOP']],BD.PD[Pos],PPto[[#This Row],[Part.]],BD.PD[Tipo Ppto],G$18)</f>
        <v>0</v>
      </c>
      <c r="H85" s="188">
        <f>SUMIFS(BD.PD[Ppto. Orden Interna '[DOP']],BD.PD[Pos],PPto[[#This Row],[Part.]],BD.PD[Tipo Ppto],H$18)</f>
        <v>0</v>
      </c>
      <c r="I85" s="221">
        <f>PPto[[#This Row],[Ppto. Capex '[DOP']]]+PPto[[#This Row],[Ppto. OI '[DOP']2]]</f>
        <v>0</v>
      </c>
      <c r="J85" s="222">
        <f>SUMIFS(BD.PD[Ppto. Orden Interna '[USD']],BD.PD[Pos],PPto[[#This Row],[Part.]],BD.PD[Tipo Ppto],J$18)</f>
        <v>0</v>
      </c>
      <c r="K85" s="188">
        <f>SUMIFS(BD.PD[Ppto. Orden Interna '[USD']],BD.PD[Pos],PPto[[#This Row],[Part.]],BD.PD[Tipo Ppto],K$18)</f>
        <v>0</v>
      </c>
      <c r="L85" s="221">
        <f>PPto[[#This Row],[Ppto. Capex '[USD']]]+PPto[[#This Row],[Ppto. OI '[USD']]]</f>
        <v>0</v>
      </c>
    </row>
    <row r="86" spans="1:12" x14ac:dyDescent="0.3">
      <c r="A86" s="5">
        <v>9.0399999999999991</v>
      </c>
      <c r="B86" t="s">
        <v>35</v>
      </c>
      <c r="C86" s="4" t="s">
        <v>131</v>
      </c>
      <c r="D86" s="221">
        <f t="shared" si="31"/>
        <v>0</v>
      </c>
      <c r="E86" s="221">
        <f t="shared" si="31"/>
        <v>0</v>
      </c>
      <c r="F86" s="4"/>
      <c r="G86" s="188">
        <f>SUMIFS(BD.PD[Ppto. Orden Interna '[DOP']],BD.PD[Pos],PPto[[#This Row],[Part.]],BD.PD[Tipo Ppto],G$18)</f>
        <v>0</v>
      </c>
      <c r="H86" s="188">
        <f>SUMIFS(BD.PD[Ppto. Orden Interna '[DOP']],BD.PD[Pos],PPto[[#This Row],[Part.]],BD.PD[Tipo Ppto],H$18)</f>
        <v>0</v>
      </c>
      <c r="I86" s="221">
        <f>PPto[[#This Row],[Ppto. Capex '[DOP']]]+PPto[[#This Row],[Ppto. OI '[DOP']2]]</f>
        <v>0</v>
      </c>
      <c r="J86" s="222">
        <f>SUMIFS(BD.PD[Ppto. Orden Interna '[USD']],BD.PD[Pos],PPto[[#This Row],[Part.]],BD.PD[Tipo Ppto],J$18)</f>
        <v>0</v>
      </c>
      <c r="K86" s="188">
        <f>SUMIFS(BD.PD[Ppto. Orden Interna '[USD']],BD.PD[Pos],PPto[[#This Row],[Part.]],BD.PD[Tipo Ppto],K$18)</f>
        <v>0</v>
      </c>
      <c r="L86" s="221">
        <f>PPto[[#This Row],[Ppto. Capex '[USD']]]+PPto[[#This Row],[Ppto. OI '[USD']]]</f>
        <v>0</v>
      </c>
    </row>
    <row r="87" spans="1:12" x14ac:dyDescent="0.3">
      <c r="A87" s="5">
        <v>9.0499999999999989</v>
      </c>
      <c r="B87" t="s">
        <v>35</v>
      </c>
      <c r="C87" s="4" t="s">
        <v>132</v>
      </c>
      <c r="D87" s="221">
        <f t="shared" si="31"/>
        <v>0</v>
      </c>
      <c r="E87" s="221">
        <f t="shared" si="31"/>
        <v>0</v>
      </c>
      <c r="F87" s="4"/>
      <c r="G87" s="188">
        <f>SUMIFS(BD.PD[Ppto. Orden Interna '[DOP']],BD.PD[Pos],PPto[[#This Row],[Part.]],BD.PD[Tipo Ppto],G$18)</f>
        <v>0</v>
      </c>
      <c r="H87" s="188">
        <f>SUMIFS(BD.PD[Ppto. Orden Interna '[DOP']],BD.PD[Pos],PPto[[#This Row],[Part.]],BD.PD[Tipo Ppto],H$18)</f>
        <v>0</v>
      </c>
      <c r="I87" s="221">
        <f>PPto[[#This Row],[Ppto. Capex '[DOP']]]+PPto[[#This Row],[Ppto. OI '[DOP']2]]</f>
        <v>0</v>
      </c>
      <c r="J87" s="222">
        <f>SUMIFS(BD.PD[Ppto. Orden Interna '[USD']],BD.PD[Pos],PPto[[#This Row],[Part.]],BD.PD[Tipo Ppto],J$18)</f>
        <v>0</v>
      </c>
      <c r="K87" s="188">
        <f>SUMIFS(BD.PD[Ppto. Orden Interna '[USD']],BD.PD[Pos],PPto[[#This Row],[Part.]],BD.PD[Tipo Ppto],K$18)</f>
        <v>0</v>
      </c>
      <c r="L87" s="221">
        <f>PPto[[#This Row],[Ppto. Capex '[USD']]]+PPto[[#This Row],[Ppto. OI '[USD']]]</f>
        <v>0</v>
      </c>
    </row>
    <row r="88" spans="1:12" ht="15" thickBot="1" x14ac:dyDescent="0.35">
      <c r="A88" s="9">
        <v>9.06</v>
      </c>
      <c r="B88" s="10" t="s">
        <v>35</v>
      </c>
      <c r="C88" s="11" t="s">
        <v>133</v>
      </c>
      <c r="D88" s="223">
        <f t="shared" si="31"/>
        <v>0</v>
      </c>
      <c r="E88" s="223">
        <f t="shared" si="31"/>
        <v>0</v>
      </c>
      <c r="F88" s="4"/>
      <c r="G88" s="189">
        <f>SUMIFS(BD.PD[Ppto. Orden Interna '[DOP']],BD.PD[Pos],PPto[[#This Row],[Part.]],BD.PD[Tipo Ppto],G$18)</f>
        <v>0</v>
      </c>
      <c r="H88" s="189">
        <f>SUMIFS(BD.PD[Ppto. Orden Interna '[DOP']],BD.PD[Pos],PPto[[#This Row],[Part.]],BD.PD[Tipo Ppto],H$18)</f>
        <v>0</v>
      </c>
      <c r="I88" s="223">
        <f>PPto[[#This Row],[Ppto. Capex '[DOP']]]+PPto[[#This Row],[Ppto. OI '[DOP']2]]</f>
        <v>0</v>
      </c>
      <c r="J88" s="224">
        <f>SUMIFS(BD.PD[Ppto. Orden Interna '[USD']],BD.PD[Pos],PPto[[#This Row],[Part.]],BD.PD[Tipo Ppto],J$18)</f>
        <v>0</v>
      </c>
      <c r="K88" s="189">
        <f>SUMIFS(BD.PD[Ppto. Orden Interna '[USD']],BD.PD[Pos],PPto[[#This Row],[Part.]],BD.PD[Tipo Ppto],K$18)</f>
        <v>0</v>
      </c>
      <c r="L88" s="223">
        <f>PPto[[#This Row],[Ppto. Capex '[USD']]]+PPto[[#This Row],[Ppto. OI '[USD']]]</f>
        <v>0</v>
      </c>
    </row>
  </sheetData>
  <mergeCells count="3">
    <mergeCell ref="C2:H2"/>
    <mergeCell ref="C3:H3"/>
    <mergeCell ref="C1:L1"/>
  </mergeCells>
  <phoneticPr fontId="5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636F-C667-4D2E-B008-43E805EFB0D6}">
  <sheetPr codeName="Hoja3">
    <tabColor rgb="FF002060"/>
  </sheetPr>
  <dimension ref="A1:AB80"/>
  <sheetViews>
    <sheetView showGridLines="0" topLeftCell="C1" zoomScale="80" zoomScaleNormal="80" workbookViewId="0">
      <selection activeCell="G78" sqref="G78"/>
    </sheetView>
  </sheetViews>
  <sheetFormatPr baseColWidth="10" defaultColWidth="11.44140625" defaultRowHeight="14.4" x14ac:dyDescent="0.3"/>
  <cols>
    <col min="1" max="1" width="9.5546875" customWidth="1"/>
    <col min="2" max="2" width="51.44140625" bestFit="1" customWidth="1"/>
    <col min="3" max="3" width="20.33203125" customWidth="1"/>
    <col min="4" max="28" width="15.6640625" customWidth="1"/>
  </cols>
  <sheetData>
    <row r="1" spans="1:28" ht="13.95" customHeight="1" x14ac:dyDescent="0.3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</row>
    <row r="2" spans="1:28" s="17" customFormat="1" ht="4.2" customHeight="1" x14ac:dyDescent="0.15">
      <c r="AB2" s="410" t="s">
        <v>134</v>
      </c>
    </row>
    <row r="3" spans="1:28" ht="21" x14ac:dyDescent="0.4">
      <c r="B3" s="347" t="s">
        <v>1092</v>
      </c>
      <c r="D3" s="408" t="s">
        <v>135</v>
      </c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348"/>
      <c r="W3" s="348"/>
      <c r="X3" s="348"/>
      <c r="Y3" s="348"/>
      <c r="Z3" s="348"/>
      <c r="AA3" s="348"/>
      <c r="AB3" s="410"/>
    </row>
    <row r="4" spans="1:28" s="272" customFormat="1" ht="21" x14ac:dyDescent="0.4">
      <c r="B4" s="409" t="str">
        <f>'Plan OI'!C1</f>
        <v>Presupuesto Detallado - Propuesta para Sirena Compacta Hispanoamerica</v>
      </c>
      <c r="C4" s="409"/>
      <c r="D4" s="273" t="s">
        <v>136</v>
      </c>
      <c r="E4" s="273" t="s">
        <v>137</v>
      </c>
      <c r="F4" s="273" t="s">
        <v>138</v>
      </c>
      <c r="G4" s="273" t="s">
        <v>139</v>
      </c>
      <c r="H4" s="273" t="s">
        <v>140</v>
      </c>
      <c r="I4" s="273" t="s">
        <v>141</v>
      </c>
      <c r="J4" s="273" t="s">
        <v>142</v>
      </c>
      <c r="K4" s="273" t="s">
        <v>143</v>
      </c>
      <c r="L4" s="273" t="s">
        <v>144</v>
      </c>
      <c r="M4" s="273" t="s">
        <v>145</v>
      </c>
      <c r="N4" s="273" t="s">
        <v>146</v>
      </c>
      <c r="O4" s="273" t="s">
        <v>147</v>
      </c>
      <c r="P4" s="273" t="s">
        <v>148</v>
      </c>
      <c r="Q4" s="273" t="s">
        <v>137</v>
      </c>
      <c r="R4" s="273" t="s">
        <v>138</v>
      </c>
      <c r="S4" s="273" t="s">
        <v>139</v>
      </c>
      <c r="T4" s="273" t="s">
        <v>140</v>
      </c>
      <c r="U4" s="273" t="s">
        <v>141</v>
      </c>
      <c r="V4" s="273" t="s">
        <v>142</v>
      </c>
      <c r="W4" s="273" t="s">
        <v>143</v>
      </c>
      <c r="X4" s="273" t="s">
        <v>144</v>
      </c>
      <c r="Y4" s="273" t="s">
        <v>145</v>
      </c>
      <c r="Z4" s="273" t="s">
        <v>146</v>
      </c>
      <c r="AA4" s="273" t="s">
        <v>147</v>
      </c>
      <c r="AB4" s="410"/>
    </row>
    <row r="5" spans="1:28" x14ac:dyDescent="0.3">
      <c r="A5" s="20" t="s">
        <v>42</v>
      </c>
      <c r="B5" s="20" t="s">
        <v>44</v>
      </c>
      <c r="C5" s="21" t="s">
        <v>24</v>
      </c>
      <c r="D5" s="20" t="s">
        <v>149</v>
      </c>
      <c r="E5" s="20" t="s">
        <v>150</v>
      </c>
      <c r="F5" s="20" t="s">
        <v>151</v>
      </c>
      <c r="G5" s="20" t="s">
        <v>152</v>
      </c>
      <c r="H5" s="20" t="s">
        <v>153</v>
      </c>
      <c r="I5" s="20" t="s">
        <v>154</v>
      </c>
      <c r="J5" s="20" t="s">
        <v>155</v>
      </c>
      <c r="K5" s="20" t="s">
        <v>156</v>
      </c>
      <c r="L5" s="20" t="s">
        <v>157</v>
      </c>
      <c r="M5" s="20" t="s">
        <v>158</v>
      </c>
      <c r="N5" s="20" t="s">
        <v>159</v>
      </c>
      <c r="O5" s="20" t="s">
        <v>160</v>
      </c>
      <c r="P5" s="20" t="s">
        <v>161</v>
      </c>
      <c r="Q5" s="20" t="s">
        <v>162</v>
      </c>
      <c r="R5" s="20" t="s">
        <v>163</v>
      </c>
      <c r="S5" s="20" t="s">
        <v>164</v>
      </c>
      <c r="T5" s="20" t="s">
        <v>165</v>
      </c>
      <c r="U5" s="20" t="s">
        <v>166</v>
      </c>
      <c r="V5" s="20" t="s">
        <v>167</v>
      </c>
      <c r="W5" s="20" t="s">
        <v>168</v>
      </c>
      <c r="X5" s="20" t="s">
        <v>169</v>
      </c>
      <c r="Y5" s="20" t="s">
        <v>170</v>
      </c>
      <c r="Z5" s="20" t="s">
        <v>171</v>
      </c>
      <c r="AA5" s="20" t="s">
        <v>172</v>
      </c>
      <c r="AB5" s="22" t="s">
        <v>173</v>
      </c>
    </row>
    <row r="6" spans="1:28" x14ac:dyDescent="0.3">
      <c r="A6" s="24">
        <v>1</v>
      </c>
      <c r="B6" s="25" t="str">
        <f>VLOOKUP(Tabla3[[#This Row],[Part.]],PPto[],3,FALSE)</f>
        <v>1.00 Estudios Preliminares</v>
      </c>
      <c r="C6" s="37">
        <f t="shared" ref="C6:AA6" si="0">SUM(C7:C15)</f>
        <v>0</v>
      </c>
      <c r="D6" s="30">
        <f t="shared" si="0"/>
        <v>0</v>
      </c>
      <c r="E6" s="44">
        <f t="shared" si="0"/>
        <v>0</v>
      </c>
      <c r="F6" s="44">
        <f t="shared" si="0"/>
        <v>0</v>
      </c>
      <c r="G6" s="44">
        <f t="shared" si="0"/>
        <v>0</v>
      </c>
      <c r="H6" s="44">
        <f t="shared" si="0"/>
        <v>0</v>
      </c>
      <c r="I6" s="44">
        <f t="shared" si="0"/>
        <v>0</v>
      </c>
      <c r="J6" s="44">
        <f t="shared" si="0"/>
        <v>0</v>
      </c>
      <c r="K6" s="44">
        <f t="shared" si="0"/>
        <v>0</v>
      </c>
      <c r="L6" s="44">
        <f t="shared" si="0"/>
        <v>0</v>
      </c>
      <c r="M6" s="44">
        <f t="shared" si="0"/>
        <v>0</v>
      </c>
      <c r="N6" s="44">
        <f t="shared" si="0"/>
        <v>0</v>
      </c>
      <c r="O6" s="44">
        <f t="shared" si="0"/>
        <v>0</v>
      </c>
      <c r="P6" s="44">
        <f t="shared" si="0"/>
        <v>0</v>
      </c>
      <c r="Q6" s="44">
        <f t="shared" si="0"/>
        <v>0</v>
      </c>
      <c r="R6" s="44">
        <f t="shared" si="0"/>
        <v>0</v>
      </c>
      <c r="S6" s="44">
        <f t="shared" si="0"/>
        <v>0</v>
      </c>
      <c r="T6" s="44">
        <f t="shared" si="0"/>
        <v>0</v>
      </c>
      <c r="U6" s="44">
        <f t="shared" si="0"/>
        <v>0</v>
      </c>
      <c r="V6" s="44">
        <f t="shared" si="0"/>
        <v>0</v>
      </c>
      <c r="W6" s="44">
        <f t="shared" si="0"/>
        <v>0</v>
      </c>
      <c r="X6" s="44">
        <f t="shared" si="0"/>
        <v>0</v>
      </c>
      <c r="Y6" s="44">
        <f t="shared" si="0"/>
        <v>0</v>
      </c>
      <c r="Z6" s="44">
        <f t="shared" si="0"/>
        <v>0</v>
      </c>
      <c r="AA6" s="44">
        <f t="shared" si="0"/>
        <v>0</v>
      </c>
      <c r="AB6" s="45">
        <f>SUM(Tabla3[[#This Row],[P1]:[P24]])</f>
        <v>0</v>
      </c>
    </row>
    <row r="7" spans="1:28" x14ac:dyDescent="0.3">
      <c r="A7" s="23">
        <v>1.01</v>
      </c>
      <c r="B7" s="26" t="str">
        <f>VLOOKUP(Tabla3[[#This Row],[Part.]],PPto[],3,FALSE)</f>
        <v>1.01 Diseño arquitectónico</v>
      </c>
      <c r="C7" s="38">
        <f>SUMIF(BD.PD[Pos],Tabla3[[#This Row],[Part.]],BD.PD[Ppto. Orden Interna '[DOP']])</f>
        <v>0</v>
      </c>
      <c r="D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7" s="46">
        <f>SUM(Tabla3[[#This Row],[P1]:[P24]])</f>
        <v>0</v>
      </c>
    </row>
    <row r="8" spans="1:28" x14ac:dyDescent="0.3">
      <c r="A8" s="23">
        <v>1.02</v>
      </c>
      <c r="B8" s="26" t="str">
        <f>VLOOKUP(Tabla3[[#This Row],[Part.]],PPto[],3,FALSE)</f>
        <v>1.02 Diseño estructural</v>
      </c>
      <c r="C8" s="38">
        <f>SUMIF(BD.PD[Pos],Tabla3[[#This Row],[Part.]],BD.PD[Ppto. Orden Interna '[DOP']])</f>
        <v>0</v>
      </c>
      <c r="D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8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8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8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8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8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8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8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8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8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8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8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8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8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8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8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8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8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8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8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8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8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8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8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8" s="46">
        <f>SUM(Tabla3[[#This Row],[P1]:[P24]])</f>
        <v>0</v>
      </c>
    </row>
    <row r="9" spans="1:28" x14ac:dyDescent="0.3">
      <c r="A9" s="23">
        <v>1.03</v>
      </c>
      <c r="B9" s="26" t="str">
        <f>VLOOKUP(Tabla3[[#This Row],[Part.]],PPto[],3,FALSE)</f>
        <v>1.03 Diseño electromecánico</v>
      </c>
      <c r="C9" s="38">
        <f>SUMIF(BD.PD[Pos],Tabla3[[#This Row],[Part.]],BD.PD[Ppto. Orden Interna '[DOP']])</f>
        <v>0</v>
      </c>
      <c r="D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9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9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9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9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9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9" s="46">
        <f>SUM(Tabla3[[#This Row],[P1]:[P24]])</f>
        <v>0</v>
      </c>
    </row>
    <row r="10" spans="1:28" x14ac:dyDescent="0.3">
      <c r="A10" s="23">
        <v>1.04</v>
      </c>
      <c r="B10" s="26" t="str">
        <f>VLOOKUP(Tabla3[[#This Row],[Part.]],PPto[],3,FALSE)</f>
        <v>1.04 Diseño sanitario</v>
      </c>
      <c r="C10" s="38">
        <f>SUMIF(BD.PD[Pos],Tabla3[[#This Row],[Part.]],BD.PD[Ppto. Orden Interna '[DOP']])</f>
        <v>0</v>
      </c>
      <c r="D1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0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0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0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0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0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0" s="46">
        <f>SUM(Tabla3[[#This Row],[P1]:[P24]])</f>
        <v>0</v>
      </c>
    </row>
    <row r="11" spans="1:28" x14ac:dyDescent="0.3">
      <c r="A11" s="23">
        <v>1.05</v>
      </c>
      <c r="B11" s="26" t="str">
        <f>VLOOKUP(Tabla3[[#This Row],[Part.]],PPto[],3,FALSE)</f>
        <v>1.05 Estudio Geotécnico</v>
      </c>
      <c r="C11" s="38">
        <f>SUMIF(BD.PD[Pos],Tabla3[[#This Row],[Part.]],BD.PD[Ppto. Orden Interna '[DOP']])</f>
        <v>0</v>
      </c>
      <c r="D1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1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1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1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1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1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1" s="46">
        <f>SUM(Tabla3[[#This Row],[P1]:[P24]])</f>
        <v>0</v>
      </c>
    </row>
    <row r="12" spans="1:28" x14ac:dyDescent="0.3">
      <c r="A12" s="23">
        <v>1.06</v>
      </c>
      <c r="B12" s="26" t="str">
        <f>VLOOKUP(Tabla3[[#This Row],[Part.]],PPto[],3,FALSE)</f>
        <v>1.06 Levantamiento topográfico</v>
      </c>
      <c r="C12" s="38">
        <f>SUMIF(BD.PD[Pos],Tabla3[[#This Row],[Part.]],BD.PD[Ppto. Orden Interna '[DOP']])</f>
        <v>0</v>
      </c>
      <c r="D1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2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2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2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2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2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2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2" s="46">
        <f>SUM(Tabla3[[#This Row],[P1]:[P24]])</f>
        <v>0</v>
      </c>
    </row>
    <row r="13" spans="1:28" x14ac:dyDescent="0.3">
      <c r="A13" s="23">
        <v>1.07</v>
      </c>
      <c r="B13" s="26" t="str">
        <f>VLOOKUP(Tabla3[[#This Row],[Part.]],PPto[],3,FALSE)</f>
        <v>1.07 Permisos</v>
      </c>
      <c r="C13" s="38">
        <f>SUMIF(BD.PD[Pos],Tabla3[[#This Row],[Part.]],BD.PD[Ppto. Orden Interna '[DOP']])</f>
        <v>0</v>
      </c>
      <c r="D1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3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3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3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3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3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3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3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3" s="46">
        <f>SUM(Tabla3[[#This Row],[P1]:[P24]])</f>
        <v>0</v>
      </c>
    </row>
    <row r="14" spans="1:28" x14ac:dyDescent="0.3">
      <c r="A14" s="23">
        <v>1.08</v>
      </c>
      <c r="B14" s="26" t="str">
        <f>VLOOKUP(Tabla3[[#This Row],[Part.]],PPto[],3,FALSE)</f>
        <v>1.08 Diseño sistema contra incendios</v>
      </c>
      <c r="C14" s="38">
        <f>SUMIF(BD.PD[Pos],Tabla3[[#This Row],[Part.]],BD.PD[Ppto. Orden Interna '[DOP']])</f>
        <v>0</v>
      </c>
      <c r="D1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4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4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4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4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4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4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4" s="46">
        <f>SUM(Tabla3[[#This Row],[P1]:[P24]])</f>
        <v>0</v>
      </c>
    </row>
    <row r="15" spans="1:28" x14ac:dyDescent="0.3">
      <c r="A15" s="23">
        <v>1.0900000000000001</v>
      </c>
      <c r="B15" s="26" t="str">
        <f>VLOOKUP(Tabla3[[#This Row],[Part.]],PPto[],3,FALSE)</f>
        <v>1.09 Diseño sistema gas</v>
      </c>
      <c r="C15" s="38">
        <f>SUMIF(BD.PD[Pos],Tabla3[[#This Row],[Part.]],BD.PD[Ppto. Orden Interna '[DOP']])</f>
        <v>0</v>
      </c>
      <c r="D1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5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5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5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5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5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5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5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5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5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5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5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5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5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5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5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5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5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5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5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5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5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5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5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5" s="46">
        <f>SUM(Tabla3[[#This Row],[P1]:[P24]])</f>
        <v>0</v>
      </c>
    </row>
    <row r="16" spans="1:28" x14ac:dyDescent="0.3">
      <c r="A16" s="24">
        <v>2</v>
      </c>
      <c r="B16" s="25" t="str">
        <f>VLOOKUP(Tabla3[[#This Row],[Part.]],PPto[],3,FALSE)</f>
        <v>2.00 Obra Civil</v>
      </c>
      <c r="C16" s="37">
        <f t="shared" ref="C16:AA16" si="1">SUM(C17:C27)</f>
        <v>15391354.522399999</v>
      </c>
      <c r="D16" s="30">
        <f t="shared" si="1"/>
        <v>0</v>
      </c>
      <c r="E16" s="44">
        <f t="shared" si="1"/>
        <v>0</v>
      </c>
      <c r="F16" s="44">
        <f t="shared" si="1"/>
        <v>2413668.73</v>
      </c>
      <c r="G16" s="44">
        <f t="shared" si="1"/>
        <v>0</v>
      </c>
      <c r="H16" s="44">
        <f t="shared" si="1"/>
        <v>2215515.79</v>
      </c>
      <c r="I16" s="44">
        <f t="shared" si="1"/>
        <v>0</v>
      </c>
      <c r="J16" s="44">
        <f t="shared" si="1"/>
        <v>0</v>
      </c>
      <c r="K16" s="44">
        <f t="shared" si="1"/>
        <v>0</v>
      </c>
      <c r="L16" s="44">
        <f t="shared" si="1"/>
        <v>2413668.73</v>
      </c>
      <c r="M16" s="44">
        <f t="shared" si="1"/>
        <v>476000</v>
      </c>
      <c r="N16" s="44">
        <f t="shared" si="1"/>
        <v>0</v>
      </c>
      <c r="O16" s="44">
        <f t="shared" si="1"/>
        <v>0</v>
      </c>
      <c r="P16" s="44">
        <f t="shared" si="1"/>
        <v>0</v>
      </c>
      <c r="Q16" s="44">
        <f t="shared" si="1"/>
        <v>0</v>
      </c>
      <c r="R16" s="44">
        <f t="shared" si="1"/>
        <v>0</v>
      </c>
      <c r="S16" s="44">
        <f t="shared" si="1"/>
        <v>0</v>
      </c>
      <c r="T16" s="44">
        <f t="shared" si="1"/>
        <v>0</v>
      </c>
      <c r="U16" s="44">
        <f t="shared" si="1"/>
        <v>0</v>
      </c>
      <c r="V16" s="44">
        <f t="shared" si="1"/>
        <v>450000</v>
      </c>
      <c r="W16" s="44">
        <f t="shared" si="1"/>
        <v>450000</v>
      </c>
      <c r="X16" s="44">
        <f t="shared" si="1"/>
        <v>2847245.0437000003</v>
      </c>
      <c r="Y16" s="44">
        <f t="shared" si="1"/>
        <v>1278011.1850000001</v>
      </c>
      <c r="Z16" s="44">
        <f t="shared" si="1"/>
        <v>0</v>
      </c>
      <c r="AA16" s="44">
        <f t="shared" si="1"/>
        <v>2847245.0437000003</v>
      </c>
      <c r="AB16" s="45">
        <f>SUM(Tabla3[[#This Row],[P1]:[P24]])</f>
        <v>15391354.522400001</v>
      </c>
    </row>
    <row r="17" spans="1:28" x14ac:dyDescent="0.3">
      <c r="A17" s="23">
        <v>2.0099999999999998</v>
      </c>
      <c r="B17" s="26" t="str">
        <f>VLOOKUP(Tabla3[[#This Row],[Part.]],PPto[],3,FALSE)</f>
        <v xml:space="preserve">2.01 Edificación - Obra Civil </v>
      </c>
      <c r="C17" s="38">
        <f>SUMIF(BD.PD[Pos],Tabla3[[#This Row],[Part.]],BD.PD[Ppto. Orden Interna '[DOP']])</f>
        <v>1073526.9674000002</v>
      </c>
      <c r="D1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7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7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7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7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536763.4837000001</v>
      </c>
      <c r="Y17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7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7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536763.4837000001</v>
      </c>
      <c r="AB17" s="46">
        <f>SUM(Tabla3[[#This Row],[P1]:[P24]])</f>
        <v>1073526.9674000002</v>
      </c>
    </row>
    <row r="18" spans="1:28" x14ac:dyDescent="0.3">
      <c r="A18" s="23">
        <v>2.02</v>
      </c>
      <c r="B18" s="26" t="str">
        <f>VLOOKUP(Tabla3[[#This Row],[Part.]],PPto[],3,FALSE)</f>
        <v>2.02 Edificación - Estructura Metálica</v>
      </c>
      <c r="C18" s="38">
        <f>SUMIF(BD.PD[Pos],Tabla3[[#This Row],[Part.]],BD.PD[Ppto. Orden Interna '[DOP']])</f>
        <v>0</v>
      </c>
      <c r="D1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8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8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8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8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8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8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8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8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8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8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8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8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8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8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8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8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8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8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8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8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8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8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8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8" s="46">
        <f>SUM(Tabla3[[#This Row],[P1]:[P24]])</f>
        <v>0</v>
      </c>
    </row>
    <row r="19" spans="1:28" x14ac:dyDescent="0.3">
      <c r="A19" s="23">
        <v>2.0299999999999998</v>
      </c>
      <c r="B19" s="26" t="str">
        <f>VLOOKUP(Tabla3[[#This Row],[Part.]],PPto[],3,FALSE)</f>
        <v>2.03 Edificación - Techo S.S. y Cerramientos Multipanel</v>
      </c>
      <c r="C19" s="38">
        <f>SUMIF(BD.PD[Pos],Tabla3[[#This Row],[Part.]],BD.PD[Ppto. Orden Interna '[DOP']])</f>
        <v>0</v>
      </c>
      <c r="D1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9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9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9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9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9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9" s="46">
        <f>SUM(Tabla3[[#This Row],[P1]:[P24]])</f>
        <v>0</v>
      </c>
    </row>
    <row r="20" spans="1:28" x14ac:dyDescent="0.3">
      <c r="A20" s="23">
        <v>2.04</v>
      </c>
      <c r="B20" s="26" t="str">
        <f>VLOOKUP(Tabla3[[#This Row],[Part.]],PPto[],3,FALSE)</f>
        <v>2.04 Edificación - Tragaluces "Skylights"</v>
      </c>
      <c r="C20" s="38">
        <f>SUMIF(BD.PD[Pos],Tabla3[[#This Row],[Part.]],BD.PD[Ppto. Orden Interna '[DOP']])</f>
        <v>0</v>
      </c>
      <c r="D2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0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0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0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0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20" s="46">
        <f>SUM(Tabla3[[#This Row],[P1]:[P24]])</f>
        <v>0</v>
      </c>
    </row>
    <row r="21" spans="1:28" x14ac:dyDescent="0.3">
      <c r="A21" s="23">
        <v>2.0499999999999998</v>
      </c>
      <c r="B21" s="26" t="str">
        <f>VLOOKUP(Tabla3[[#This Row],[Part.]],PPto[],3,FALSE)</f>
        <v>2.05 Instalaciones Sanitarias</v>
      </c>
      <c r="C21" s="38">
        <f>SUMIF(BD.PD[Pos],Tabla3[[#This Row],[Part.]],BD.PD[Ppto. Orden Interna '[DOP']])</f>
        <v>1523570</v>
      </c>
      <c r="D2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1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1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1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1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761785</v>
      </c>
      <c r="Y21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761785</v>
      </c>
      <c r="AB21" s="46">
        <f>SUM(Tabla3[[#This Row],[P1]:[P24]])</f>
        <v>1523570</v>
      </c>
    </row>
    <row r="22" spans="1:28" x14ac:dyDescent="0.3">
      <c r="A22" s="23">
        <v>2.06</v>
      </c>
      <c r="B22" s="26" t="str">
        <f>VLOOKUP(Tabla3[[#This Row],[Part.]],PPto[],3,FALSE)</f>
        <v>2.06 Instalación de Gas</v>
      </c>
      <c r="C22" s="38">
        <f>SUMIF(BD.PD[Pos],Tabla3[[#This Row],[Part.]],BD.PD[Ppto. Orden Interna '[DOP']])</f>
        <v>454500</v>
      </c>
      <c r="D2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2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2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2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227250</v>
      </c>
      <c r="Y22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2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227250</v>
      </c>
      <c r="AB22" s="46">
        <f>SUM(Tabla3[[#This Row],[P1]:[P24]])</f>
        <v>454500</v>
      </c>
    </row>
    <row r="23" spans="1:28" x14ac:dyDescent="0.3">
      <c r="A23" s="23">
        <v>2.0699999999999998</v>
      </c>
      <c r="B23" s="26" t="str">
        <f>VLOOKUP(Tabla3[[#This Row],[Part.]],PPto[],3,FALSE)</f>
        <v xml:space="preserve">2.07 Sistema Contra Incendios </v>
      </c>
      <c r="C23" s="38">
        <f>SUMIF(BD.PD[Pos],Tabla3[[#This Row],[Part.]],BD.PD[Ppto. Orden Interna '[DOP']])</f>
        <v>6105348.6449999996</v>
      </c>
      <c r="D2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2413668.73</v>
      </c>
      <c r="G2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2413668.73</v>
      </c>
      <c r="M2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3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3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3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3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3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1278011.1850000001</v>
      </c>
      <c r="Z23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3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23" s="46">
        <f>SUM(Tabla3[[#This Row],[P1]:[P24]])</f>
        <v>6105348.6449999996</v>
      </c>
    </row>
    <row r="24" spans="1:28" x14ac:dyDescent="0.3">
      <c r="A24" s="23">
        <v>2.08</v>
      </c>
      <c r="B24" s="26" t="str">
        <f>VLOOKUP(Tabla3[[#This Row],[Part.]],PPto[],3,FALSE)</f>
        <v>2.08 Instalaciones Mecánicas</v>
      </c>
      <c r="C24" s="38">
        <f>SUMIF(BD.PD[Pos],Tabla3[[#This Row],[Part.]],BD.PD[Ppto. Orden Interna '[DOP']])</f>
        <v>5334408.91</v>
      </c>
      <c r="D2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2215515.79</v>
      </c>
      <c r="I2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476000</v>
      </c>
      <c r="N2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4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4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4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4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1321446.56</v>
      </c>
      <c r="Y24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4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1321446.56</v>
      </c>
      <c r="AB24" s="46">
        <f>SUM(Tabla3[[#This Row],[P1]:[P24]])</f>
        <v>5334408.91</v>
      </c>
    </row>
    <row r="25" spans="1:28" x14ac:dyDescent="0.3">
      <c r="A25" s="23">
        <v>2.09</v>
      </c>
      <c r="B25" s="26" t="str">
        <f>VLOOKUP(Tabla3[[#This Row],[Part.]],PPto[],3,FALSE)</f>
        <v>2.09 Rejillas y Sumideros</v>
      </c>
      <c r="C25" s="38">
        <f>SUMIF(BD.PD[Pos],Tabla3[[#This Row],[Part.]],BD.PD[Ppto. Orden Interna '[DOP']])</f>
        <v>900000</v>
      </c>
      <c r="D2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5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5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5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5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5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5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5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5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5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5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5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5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5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5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5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5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5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5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450000</v>
      </c>
      <c r="W25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450000</v>
      </c>
      <c r="X25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5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5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5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25" s="46">
        <f>SUM(Tabla3[[#This Row],[P1]:[P24]])</f>
        <v>900000</v>
      </c>
    </row>
    <row r="26" spans="1:28" x14ac:dyDescent="0.3">
      <c r="A26" s="23">
        <v>2.1</v>
      </c>
      <c r="B26" s="26" t="str">
        <f>VLOOKUP(Tabla3[[#This Row],[Part.]],PPto[],3,FALSE)</f>
        <v>2.10 Supervisión Civil y Sanitaria</v>
      </c>
      <c r="C26" s="38">
        <f>SUMIF(BD.PD[Pos],Tabla3[[#This Row],[Part.]],BD.PD[Ppto. Orden Interna '[DOP']])</f>
        <v>0</v>
      </c>
      <c r="D2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6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6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6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6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6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6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6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6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6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6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6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6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6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6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6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6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6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6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6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6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6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6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6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26" s="46">
        <f>SUM(Tabla3[[#This Row],[P1]:[P24]])</f>
        <v>0</v>
      </c>
    </row>
    <row r="27" spans="1:28" x14ac:dyDescent="0.3">
      <c r="A27" s="23">
        <v>2.11</v>
      </c>
      <c r="B27" s="26" t="str">
        <f>VLOOKUP(Tabla3[[#This Row],[Part.]],PPto[],3,FALSE)</f>
        <v>2.11 Supervisión Arquitectónica</v>
      </c>
      <c r="C27" s="38">
        <f>SUMIF(BD.PD[Pos],Tabla3[[#This Row],[Part.]],BD.PD[Ppto. Orden Interna '[DOP']])</f>
        <v>0</v>
      </c>
      <c r="D2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7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7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7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7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7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7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7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27" s="46">
        <f>SUM(Tabla3[[#This Row],[P1]:[P24]])</f>
        <v>0</v>
      </c>
    </row>
    <row r="28" spans="1:28" x14ac:dyDescent="0.3">
      <c r="A28" s="24">
        <v>3</v>
      </c>
      <c r="B28" s="25" t="str">
        <f>VLOOKUP(Tabla3[[#This Row],[Part.]],PPto[],3,FALSE)</f>
        <v>3.00 Sistema Eléctrico</v>
      </c>
      <c r="C28" s="37">
        <f t="shared" ref="C28:Y28" si="2">SUM(C29:C32)</f>
        <v>30715852.254000001</v>
      </c>
      <c r="D28" s="30">
        <f t="shared" si="2"/>
        <v>0</v>
      </c>
      <c r="E28" s="44">
        <f t="shared" si="2"/>
        <v>0</v>
      </c>
      <c r="F28" s="44">
        <f t="shared" si="2"/>
        <v>0</v>
      </c>
      <c r="G28" s="44">
        <f t="shared" si="2"/>
        <v>0</v>
      </c>
      <c r="H28" s="44">
        <f t="shared" si="2"/>
        <v>0</v>
      </c>
      <c r="I28" s="44">
        <f t="shared" si="2"/>
        <v>0</v>
      </c>
      <c r="J28" s="44">
        <f t="shared" si="2"/>
        <v>0</v>
      </c>
      <c r="K28" s="44">
        <f t="shared" si="2"/>
        <v>0</v>
      </c>
      <c r="L28" s="44">
        <f t="shared" si="2"/>
        <v>0</v>
      </c>
      <c r="M28" s="44">
        <f t="shared" si="2"/>
        <v>0</v>
      </c>
      <c r="N28" s="44">
        <f t="shared" si="2"/>
        <v>0</v>
      </c>
      <c r="O28" s="44">
        <f t="shared" si="2"/>
        <v>0</v>
      </c>
      <c r="P28" s="44">
        <f t="shared" si="2"/>
        <v>0</v>
      </c>
      <c r="Q28" s="44">
        <f t="shared" si="2"/>
        <v>0</v>
      </c>
      <c r="R28" s="44">
        <f t="shared" si="2"/>
        <v>0</v>
      </c>
      <c r="S28" s="44">
        <f t="shared" si="2"/>
        <v>0</v>
      </c>
      <c r="T28" s="44">
        <f t="shared" si="2"/>
        <v>0</v>
      </c>
      <c r="U28" s="44">
        <f t="shared" si="2"/>
        <v>0</v>
      </c>
      <c r="V28" s="44">
        <f t="shared" si="2"/>
        <v>0</v>
      </c>
      <c r="W28" s="44">
        <f t="shared" si="2"/>
        <v>0</v>
      </c>
      <c r="X28" s="44">
        <f t="shared" si="2"/>
        <v>9812155</v>
      </c>
      <c r="Y28" s="44">
        <f t="shared" si="2"/>
        <v>11091542.254000001</v>
      </c>
      <c r="Z28" s="352"/>
      <c r="AA28" s="44">
        <f>SUM(AA29:AA36)</f>
        <v>10259902.140000001</v>
      </c>
      <c r="AB28" s="45">
        <f>SUM(Tabla3[[#This Row],[P1]:[P24]])</f>
        <v>31163599.394000001</v>
      </c>
    </row>
    <row r="29" spans="1:28" x14ac:dyDescent="0.3">
      <c r="A29" s="23">
        <v>3.01</v>
      </c>
      <c r="B29" s="26" t="str">
        <f>VLOOKUP(Tabla3[[#This Row],[Part.]],PPto[],3,FALSE)</f>
        <v>3.01 Instalaciones Eléctricas</v>
      </c>
      <c r="C29" s="38">
        <f>SUMIF(BD.PD[Pos],Tabla3[[#This Row],[Part.]],BD.PD[Ppto. Orden Interna '[DOP']])</f>
        <v>19624310</v>
      </c>
      <c r="D2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9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9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9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9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9812155</v>
      </c>
      <c r="Y29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9812155</v>
      </c>
      <c r="AB29" s="46">
        <f>SUM(Tabla3[[#This Row],[P1]:[P24]])</f>
        <v>19624310</v>
      </c>
    </row>
    <row r="30" spans="1:28" x14ac:dyDescent="0.3">
      <c r="A30" s="23">
        <v>3.02</v>
      </c>
      <c r="B30" s="26" t="str">
        <f>VLOOKUP(Tabla3[[#This Row],[Part.]],PPto[],3,FALSE)</f>
        <v>3.02 Supervisión Eléctrica</v>
      </c>
      <c r="C30" s="38">
        <f>SUMIF(BD.PD[Pos],Tabla3[[#This Row],[Part.]],BD.PD[Ppto. Orden Interna '[DOP']])</f>
        <v>0</v>
      </c>
      <c r="D3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0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0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0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0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30" s="46">
        <f>SUM(Tabla3[[#This Row],[P1]:[P24]])</f>
        <v>0</v>
      </c>
    </row>
    <row r="31" spans="1:28" x14ac:dyDescent="0.3">
      <c r="A31" s="23">
        <v>3.03</v>
      </c>
      <c r="B31" s="26" t="str">
        <f>VLOOKUP(Tabla3[[#This Row],[Part.]],PPto[],3,FALSE)</f>
        <v>3.03 Generadores</v>
      </c>
      <c r="C31" s="38">
        <f>SUMIF(BD.PD[Pos],Tabla3[[#This Row],[Part.]],BD.PD[Ppto. Orden Interna '[DOP']])</f>
        <v>10030931.154000001</v>
      </c>
      <c r="D3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1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1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1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1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1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10030931.154000001</v>
      </c>
      <c r="Z3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31" s="46">
        <f>SUM(Tabla3[[#This Row],[P1]:[P24]])</f>
        <v>10030931.154000001</v>
      </c>
    </row>
    <row r="32" spans="1:28" x14ac:dyDescent="0.3">
      <c r="A32" s="23">
        <v>3.04</v>
      </c>
      <c r="B32" s="26" t="str">
        <f>VLOOKUP(Tabla3[[#This Row],[Part.]],PPto[],3,FALSE)</f>
        <v>3.04 Inversor y UPS</v>
      </c>
      <c r="C32" s="38">
        <f>SUMIF(BD.PD[Pos],Tabla3[[#This Row],[Part.]],BD.PD[Ppto. Orden Interna '[DOP']])</f>
        <v>1060611.1000000001</v>
      </c>
      <c r="D3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2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2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2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2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1060611.1000000001</v>
      </c>
      <c r="Z3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2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32" s="46">
        <f>SUM(Tabla3[[#This Row],[P1]:[P24]])</f>
        <v>1060611.1000000001</v>
      </c>
    </row>
    <row r="33" spans="1:28" x14ac:dyDescent="0.3">
      <c r="A33" s="24">
        <v>4</v>
      </c>
      <c r="B33" s="25" t="str">
        <f>VLOOKUP(Tabla3[[#This Row],[Part.]],PPto[],3,FALSE)</f>
        <v xml:space="preserve">4.00 Sistema de Climatización   </v>
      </c>
      <c r="C33" s="37">
        <f t="shared" ref="C33:Y33" si="3">SUM(C34:C36)</f>
        <v>6739429.1000000015</v>
      </c>
      <c r="D33" s="30">
        <f t="shared" si="3"/>
        <v>0</v>
      </c>
      <c r="E33" s="44">
        <f t="shared" si="3"/>
        <v>0</v>
      </c>
      <c r="F33" s="44">
        <f t="shared" si="3"/>
        <v>0</v>
      </c>
      <c r="G33" s="44">
        <f t="shared" si="3"/>
        <v>0</v>
      </c>
      <c r="H33" s="44">
        <f t="shared" si="3"/>
        <v>0</v>
      </c>
      <c r="I33" s="44">
        <f t="shared" si="3"/>
        <v>0</v>
      </c>
      <c r="J33" s="44">
        <f t="shared" si="3"/>
        <v>0</v>
      </c>
      <c r="K33" s="44">
        <f t="shared" si="3"/>
        <v>0</v>
      </c>
      <c r="L33" s="44">
        <f t="shared" si="3"/>
        <v>0</v>
      </c>
      <c r="M33" s="44">
        <f t="shared" si="3"/>
        <v>0</v>
      </c>
      <c r="N33" s="44">
        <f t="shared" si="3"/>
        <v>0</v>
      </c>
      <c r="O33" s="44">
        <f t="shared" si="3"/>
        <v>0</v>
      </c>
      <c r="P33" s="44">
        <f t="shared" si="3"/>
        <v>0</v>
      </c>
      <c r="Q33" s="44">
        <f t="shared" si="3"/>
        <v>0</v>
      </c>
      <c r="R33" s="44">
        <f t="shared" si="3"/>
        <v>0</v>
      </c>
      <c r="S33" s="44">
        <f t="shared" si="3"/>
        <v>0</v>
      </c>
      <c r="T33" s="44">
        <f t="shared" si="3"/>
        <v>2810030.6250000005</v>
      </c>
      <c r="U33" s="44">
        <f t="shared" si="3"/>
        <v>0</v>
      </c>
      <c r="V33" s="44">
        <f t="shared" si="3"/>
        <v>0</v>
      </c>
      <c r="W33" s="44">
        <f t="shared" si="3"/>
        <v>0</v>
      </c>
      <c r="X33" s="44">
        <f t="shared" si="3"/>
        <v>0</v>
      </c>
      <c r="Y33" s="44">
        <f t="shared" si="3"/>
        <v>3481651.3350000004</v>
      </c>
      <c r="Z33" s="352"/>
      <c r="AA33" s="352"/>
      <c r="AB33" s="45">
        <f>SUM(Tabla3[[#This Row],[P1]:[P24]])</f>
        <v>6291681.9600000009</v>
      </c>
    </row>
    <row r="34" spans="1:28" x14ac:dyDescent="0.3">
      <c r="A34" s="23">
        <v>4.01</v>
      </c>
      <c r="B34" s="26" t="str">
        <f>VLOOKUP(Tabla3[[#This Row],[Part.]],PPto[],3,FALSE)</f>
        <v>4.01 Suministro e instalación de Equipos</v>
      </c>
      <c r="C34" s="38">
        <f>SUMIF(BD.PD[Pos],Tabla3[[#This Row],[Part.]],BD.PD[Ppto. Orden Interna '[DOP']])</f>
        <v>5620061.2500000009</v>
      </c>
      <c r="D3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2810030.6250000005</v>
      </c>
      <c r="U34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4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4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4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4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2810030.6250000005</v>
      </c>
      <c r="Z3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4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34" s="46">
        <f>SUM(Tabla3[[#This Row],[P1]:[P24]])</f>
        <v>5620061.2500000009</v>
      </c>
    </row>
    <row r="35" spans="1:28" x14ac:dyDescent="0.3">
      <c r="A35" s="23">
        <v>4.0199999999999996</v>
      </c>
      <c r="B35" s="26" t="str">
        <f>VLOOKUP(Tabla3[[#This Row],[Part.]],PPto[],3,FALSE)</f>
        <v>4.02 Supervisión Mecánica</v>
      </c>
      <c r="C35" s="38">
        <f>SUMIF(BD.PD[Pos],Tabla3[[#This Row],[Part.]],BD.PD[Ppto. Orden Interna '[DOP']])</f>
        <v>0</v>
      </c>
      <c r="D3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5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5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5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5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5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5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5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5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5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5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5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5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5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5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5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5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5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5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5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5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5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5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5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35" s="46">
        <f>SUM(Tabla3[[#This Row],[P1]:[P24]])</f>
        <v>0</v>
      </c>
    </row>
    <row r="36" spans="1:28" x14ac:dyDescent="0.3">
      <c r="A36" s="23">
        <v>4.03</v>
      </c>
      <c r="B36" s="26" t="str">
        <f>VLOOKUP(Tabla3[[#This Row],[Part.]],PPto[],3,FALSE)</f>
        <v>4.03 Sistema de Extracción cocina</v>
      </c>
      <c r="C36" s="38">
        <f>SUMIF(BD.PD[Pos],Tabla3[[#This Row],[Part.]],BD.PD[Ppto. Orden Interna '[DOP']])</f>
        <v>1119367.8500000001</v>
      </c>
      <c r="D3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6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6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6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6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6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6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6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6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6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6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6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6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6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6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6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6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6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6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6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6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6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671620.71</v>
      </c>
      <c r="Z36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6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447747.14</v>
      </c>
      <c r="AB36" s="46">
        <f>SUM(Tabla3[[#This Row],[P1]:[P24]])</f>
        <v>1119367.8500000001</v>
      </c>
    </row>
    <row r="37" spans="1:28" x14ac:dyDescent="0.3">
      <c r="A37" s="24">
        <v>5</v>
      </c>
      <c r="B37" s="25" t="str">
        <f>VLOOKUP(Tabla3[[#This Row],[Part.]],PPto[],3,FALSE)</f>
        <v>5.00 Frio Alimentario</v>
      </c>
      <c r="C37" s="37">
        <f t="shared" ref="C37:Y37" si="4">SUM(C38:C44)</f>
        <v>81656647.039250016</v>
      </c>
      <c r="D37" s="30">
        <f t="shared" si="4"/>
        <v>0</v>
      </c>
      <c r="E37" s="44">
        <f t="shared" si="4"/>
        <v>0</v>
      </c>
      <c r="F37" s="44">
        <f t="shared" si="4"/>
        <v>0</v>
      </c>
      <c r="G37" s="44">
        <f t="shared" si="4"/>
        <v>0</v>
      </c>
      <c r="H37" s="44">
        <f t="shared" si="4"/>
        <v>0</v>
      </c>
      <c r="I37" s="44">
        <f t="shared" si="4"/>
        <v>0</v>
      </c>
      <c r="J37" s="44">
        <f t="shared" si="4"/>
        <v>0</v>
      </c>
      <c r="K37" s="44">
        <f t="shared" si="4"/>
        <v>0</v>
      </c>
      <c r="L37" s="44">
        <f t="shared" si="4"/>
        <v>0</v>
      </c>
      <c r="M37" s="44">
        <f t="shared" si="4"/>
        <v>0</v>
      </c>
      <c r="N37" s="44">
        <f t="shared" si="4"/>
        <v>0</v>
      </c>
      <c r="O37" s="44">
        <f t="shared" si="4"/>
        <v>0</v>
      </c>
      <c r="P37" s="44">
        <f t="shared" si="4"/>
        <v>0</v>
      </c>
      <c r="Q37" s="44">
        <f t="shared" si="4"/>
        <v>0</v>
      </c>
      <c r="R37" s="44">
        <f t="shared" si="4"/>
        <v>0</v>
      </c>
      <c r="S37" s="44">
        <f t="shared" si="4"/>
        <v>0</v>
      </c>
      <c r="T37" s="44">
        <f t="shared" si="4"/>
        <v>0</v>
      </c>
      <c r="U37" s="44">
        <f t="shared" si="4"/>
        <v>7694538.9375000009</v>
      </c>
      <c r="V37" s="44">
        <f t="shared" si="4"/>
        <v>610392.10250000004</v>
      </c>
      <c r="W37" s="44">
        <f t="shared" si="4"/>
        <v>27548357.814000003</v>
      </c>
      <c r="X37" s="44">
        <f t="shared" si="4"/>
        <v>8412092.1862500012</v>
      </c>
      <c r="Y37" s="44">
        <f t="shared" si="4"/>
        <v>21011010.634999998</v>
      </c>
      <c r="Z37" s="352"/>
      <c r="AA37" s="44">
        <f>SUM(AA38:AA44)</f>
        <v>16380255.364</v>
      </c>
      <c r="AB37" s="45">
        <f>SUM(Tabla3[[#This Row],[P1]:[P24]])</f>
        <v>81656647.039250001</v>
      </c>
    </row>
    <row r="38" spans="1:28" x14ac:dyDescent="0.3">
      <c r="A38" s="23">
        <v>5.01</v>
      </c>
      <c r="B38" s="26" t="str">
        <f>VLOOKUP(Tabla3[[#This Row],[Part.]],PPto[],3,FALSE)</f>
        <v>5.01 Paneles</v>
      </c>
      <c r="C38" s="38">
        <f>SUMIF(BD.PD[Pos],Tabla3[[#This Row],[Part.]],BD.PD[Ppto. Orden Interna '[DOP']])</f>
        <v>11182112.724000001</v>
      </c>
      <c r="D3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8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8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8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8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8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8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8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8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8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8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8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8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8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8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8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8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8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8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8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5591056.3620000007</v>
      </c>
      <c r="X38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8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8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8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5591056.3620000007</v>
      </c>
      <c r="AB38" s="46">
        <f>SUM(Tabla3[[#This Row],[P1]:[P24]])</f>
        <v>11182112.724000001</v>
      </c>
    </row>
    <row r="39" spans="1:28" x14ac:dyDescent="0.3">
      <c r="A39" s="23">
        <v>5.0199999999999996</v>
      </c>
      <c r="B39" s="26" t="str">
        <f>VLOOKUP(Tabla3[[#This Row],[Part.]],PPto[],3,FALSE)</f>
        <v>5.02 FRP y Diamond Plate</v>
      </c>
      <c r="C39" s="38">
        <f>SUMIF(BD.PD[Pos],Tabla3[[#This Row],[Part.]],BD.PD[Ppto. Orden Interna '[DOP']])</f>
        <v>7638149.2940000007</v>
      </c>
      <c r="D3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9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9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9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9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7638149.2940000007</v>
      </c>
      <c r="Y39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39" s="46">
        <f>SUM(Tabla3[[#This Row],[P1]:[P24]])</f>
        <v>7638149.2940000007</v>
      </c>
    </row>
    <row r="40" spans="1:28" x14ac:dyDescent="0.3">
      <c r="A40" s="23">
        <v>5.03</v>
      </c>
      <c r="B40" s="26" t="str">
        <f>VLOOKUP(Tabla3[[#This Row],[Part.]],PPto[],3,FALSE)</f>
        <v>5.03 Neveras, Centrales y Evaporadores</v>
      </c>
      <c r="C40" s="38">
        <f>SUMIF(BD.PD[Pos],Tabla3[[#This Row],[Part.]],BD.PD[Ppto. Orden Interna '[DOP']])</f>
        <v>36192650.467250004</v>
      </c>
      <c r="D4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7694538.9375000009</v>
      </c>
      <c r="V40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610392.10250000004</v>
      </c>
      <c r="W40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19383599.600000001</v>
      </c>
      <c r="X40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773942.89225000003</v>
      </c>
      <c r="Y40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7407161.8850000007</v>
      </c>
      <c r="Z4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323015.05</v>
      </c>
      <c r="AB40" s="46">
        <f>SUM(Tabla3[[#This Row],[P1]:[P24]])</f>
        <v>36192650.467249997</v>
      </c>
    </row>
    <row r="41" spans="1:28" x14ac:dyDescent="0.3">
      <c r="A41" s="23">
        <v>5.04</v>
      </c>
      <c r="B41" s="26" t="str">
        <f>VLOOKUP(Tabla3[[#This Row],[Part.]],PPto[],3,FALSE)</f>
        <v>5.04 Bumpers Mcue/ Rack</v>
      </c>
      <c r="C41" s="38">
        <f>SUMIF(BD.PD[Pos],Tabla3[[#This Row],[Part.]],BD.PD[Ppto. Orden Interna '[DOP']])</f>
        <v>2027497.6</v>
      </c>
      <c r="D4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1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1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1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1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1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1013748.8</v>
      </c>
      <c r="Z4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1013748.8</v>
      </c>
      <c r="AB41" s="46">
        <f>SUM(Tabla3[[#This Row],[P1]:[P24]])</f>
        <v>2027497.6</v>
      </c>
    </row>
    <row r="42" spans="1:28" x14ac:dyDescent="0.3">
      <c r="A42" s="23">
        <v>5.05</v>
      </c>
      <c r="B42" s="26" t="str">
        <f>VLOOKUP(Tabla3[[#This Row],[Part.]],PPto[],3,FALSE)</f>
        <v xml:space="preserve">5.05 Trameria Cuarto Frio </v>
      </c>
      <c r="C42" s="38">
        <f>SUMIF(BD.PD[Pos],Tabla3[[#This Row],[Part.]],BD.PD[Ppto. Orden Interna '[DOP']])</f>
        <v>2272000</v>
      </c>
      <c r="D4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2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2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2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2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2272000</v>
      </c>
      <c r="Z4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2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2" s="46">
        <f>SUM(Tabla3[[#This Row],[P1]:[P24]])</f>
        <v>2272000</v>
      </c>
    </row>
    <row r="43" spans="1:28" x14ac:dyDescent="0.3">
      <c r="A43" s="23">
        <v>5.0599999999999996</v>
      </c>
      <c r="B43" s="26" t="str">
        <f>VLOOKUP(Tabla3[[#This Row],[Part.]],PPto[],3,FALSE)</f>
        <v xml:space="preserve">5.06 Instalacion Frio Alimentario </v>
      </c>
      <c r="C43" s="38">
        <f>SUMIF(BD.PD[Pos],Tabla3[[#This Row],[Part.]],BD.PD[Ppto. Orden Interna '[DOP']])</f>
        <v>17196833.25</v>
      </c>
      <c r="D4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3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3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3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3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3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10318099.949999999</v>
      </c>
      <c r="Z43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3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6878733.2999999998</v>
      </c>
      <c r="AB43" s="46">
        <f>SUM(Tabla3[[#This Row],[P1]:[P24]])</f>
        <v>17196833.25</v>
      </c>
    </row>
    <row r="44" spans="1:28" x14ac:dyDescent="0.3">
      <c r="A44" s="23">
        <v>5.07</v>
      </c>
      <c r="B44" s="26" t="str">
        <f>VLOOKUP(Tabla3[[#This Row],[Part.]],PPto[],3,FALSE)</f>
        <v>5.07 Chase Doors</v>
      </c>
      <c r="C44" s="38">
        <f>SUMIF(BD.PD[Pos],Tabla3[[#This Row],[Part.]],BD.PD[Ppto. Orden Interna '[DOP']])</f>
        <v>5147403.7039999999</v>
      </c>
      <c r="D4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4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4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4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2573701.852</v>
      </c>
      <c r="X44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4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4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2573701.852</v>
      </c>
      <c r="AB44" s="46">
        <f>SUM(Tabla3[[#This Row],[P1]:[P24]])</f>
        <v>5147403.7039999999</v>
      </c>
    </row>
    <row r="45" spans="1:28" x14ac:dyDescent="0.3">
      <c r="A45" s="24">
        <v>6</v>
      </c>
      <c r="B45" s="25" t="str">
        <f>VLOOKUP(Tabla3[[#This Row],[Part.]],PPto[],3,FALSE)</f>
        <v>6.00 Tecnología, Seguridad y Tesorería</v>
      </c>
      <c r="C45" s="37">
        <f t="shared" ref="C45:Y45" si="5">SUM(C46:C50)</f>
        <v>2162880.0300000003</v>
      </c>
      <c r="D45" s="30">
        <f t="shared" si="5"/>
        <v>0</v>
      </c>
      <c r="E45" s="44">
        <f t="shared" si="5"/>
        <v>0</v>
      </c>
      <c r="F45" s="44">
        <f t="shared" si="5"/>
        <v>0</v>
      </c>
      <c r="G45" s="44">
        <f t="shared" si="5"/>
        <v>0</v>
      </c>
      <c r="H45" s="44">
        <f t="shared" si="5"/>
        <v>0</v>
      </c>
      <c r="I45" s="44">
        <f t="shared" si="5"/>
        <v>0</v>
      </c>
      <c r="J45" s="44">
        <f t="shared" si="5"/>
        <v>0</v>
      </c>
      <c r="K45" s="44">
        <f t="shared" si="5"/>
        <v>0</v>
      </c>
      <c r="L45" s="44">
        <f t="shared" si="5"/>
        <v>0</v>
      </c>
      <c r="M45" s="44">
        <f t="shared" si="5"/>
        <v>0</v>
      </c>
      <c r="N45" s="44">
        <f t="shared" si="5"/>
        <v>0</v>
      </c>
      <c r="O45" s="44">
        <f t="shared" si="5"/>
        <v>0</v>
      </c>
      <c r="P45" s="44">
        <f t="shared" si="5"/>
        <v>0</v>
      </c>
      <c r="Q45" s="44">
        <f t="shared" si="5"/>
        <v>0</v>
      </c>
      <c r="R45" s="44">
        <f t="shared" si="5"/>
        <v>0</v>
      </c>
      <c r="S45" s="44">
        <f t="shared" si="5"/>
        <v>0</v>
      </c>
      <c r="T45" s="44">
        <f t="shared" si="5"/>
        <v>602258.04500000004</v>
      </c>
      <c r="U45" s="44">
        <f t="shared" si="5"/>
        <v>82300</v>
      </c>
      <c r="V45" s="44">
        <f t="shared" si="5"/>
        <v>0</v>
      </c>
      <c r="W45" s="44">
        <f t="shared" si="5"/>
        <v>0</v>
      </c>
      <c r="X45" s="44">
        <f t="shared" si="5"/>
        <v>602258.04500000004</v>
      </c>
      <c r="Y45" s="44">
        <f t="shared" si="5"/>
        <v>745965.47</v>
      </c>
      <c r="Z45" s="352"/>
      <c r="AA45" s="44">
        <f>SUM(AA46:AA50)</f>
        <v>130098.47</v>
      </c>
      <c r="AB45" s="45">
        <f>SUM(Tabla3[[#This Row],[P1]:[P24]])</f>
        <v>2162880.0300000003</v>
      </c>
    </row>
    <row r="46" spans="1:28" x14ac:dyDescent="0.3">
      <c r="A46" s="23">
        <v>6.01</v>
      </c>
      <c r="B46" s="26" t="str">
        <f>VLOOKUP(Tabla3[[#This Row],[Part.]],PPto[],3,FALSE)</f>
        <v>6.01 Sistema de cámaras CCTV</v>
      </c>
      <c r="C46" s="38">
        <f>SUMIF(BD.PD[Pos],Tabla3[[#This Row],[Part.]],BD.PD[Ppto. Orden Interna '[DOP']])</f>
        <v>0</v>
      </c>
      <c r="D4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6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6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6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6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6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6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6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6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6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6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6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6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6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6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6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6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6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6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6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6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6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6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6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6" s="46">
        <f>SUM(Tabla3[[#This Row],[P1]:[P24]])</f>
        <v>0</v>
      </c>
    </row>
    <row r="47" spans="1:28" x14ac:dyDescent="0.3">
      <c r="A47" s="23">
        <v>6.02</v>
      </c>
      <c r="B47" s="26" t="str">
        <f>VLOOKUP(Tabla3[[#This Row],[Part.]],PPto[],3,FALSE)</f>
        <v>6.02 Antenas detección de robo</v>
      </c>
      <c r="C47" s="38">
        <f>SUMIF(BD.PD[Pos],Tabla3[[#This Row],[Part.]],BD.PD[Ppto. Orden Interna '[DOP']])</f>
        <v>0</v>
      </c>
      <c r="D4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7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7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7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7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7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7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7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7" s="46">
        <f>SUM(Tabla3[[#This Row],[P1]:[P24]])</f>
        <v>0</v>
      </c>
    </row>
    <row r="48" spans="1:28" x14ac:dyDescent="0.3">
      <c r="A48" s="23">
        <v>6.03</v>
      </c>
      <c r="B48" s="26" t="str">
        <f>VLOOKUP(Tabla3[[#This Row],[Part.]],PPto[],3,FALSE)</f>
        <v>6.03 Puntos de Venta</v>
      </c>
      <c r="C48" s="38">
        <f>SUMIF(BD.PD[Pos],Tabla3[[#This Row],[Part.]],BD.PD[Ppto. Orden Interna '[DOP']])</f>
        <v>0</v>
      </c>
      <c r="D4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8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8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8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8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8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8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8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8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8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8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8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8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8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8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8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8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8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8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8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8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8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8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8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8" s="46">
        <f>SUM(Tabla3[[#This Row],[P1]:[P24]])</f>
        <v>0</v>
      </c>
    </row>
    <row r="49" spans="1:28" x14ac:dyDescent="0.3">
      <c r="A49" s="23">
        <v>6.04</v>
      </c>
      <c r="B49" s="26" t="str">
        <f>VLOOKUP(Tabla3[[#This Row],[Part.]],PPto[],3,FALSE)</f>
        <v>6.04 Instalación de data y voz / Antenas de techo</v>
      </c>
      <c r="C49" s="38">
        <f>SUMIF(BD.PD[Pos],Tabla3[[#This Row],[Part.]],BD.PD[Ppto. Orden Interna '[DOP']])</f>
        <v>0</v>
      </c>
      <c r="D4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9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9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9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9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9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9" s="46">
        <f>SUM(Tabla3[[#This Row],[P1]:[P24]])</f>
        <v>0</v>
      </c>
    </row>
    <row r="50" spans="1:28" x14ac:dyDescent="0.3">
      <c r="A50" s="23">
        <v>6.05</v>
      </c>
      <c r="B50" s="26" t="str">
        <f>VLOOKUP(Tabla3[[#This Row],[Part.]],PPto[],3,FALSE)</f>
        <v>6.05 Otros sum e inst Tecnología y Seguridad Y Tesoreria</v>
      </c>
      <c r="C50" s="38">
        <f>SUMIF(BD.PD[Pos],Tabla3[[#This Row],[Part.]],BD.PD[Ppto. Orden Interna '[DOP']])</f>
        <v>2162880.0300000003</v>
      </c>
      <c r="D5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602258.04500000004</v>
      </c>
      <c r="U5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82300</v>
      </c>
      <c r="V50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0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0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602258.04500000004</v>
      </c>
      <c r="Y50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745965.47</v>
      </c>
      <c r="Z5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130098.47</v>
      </c>
      <c r="AB50" s="46">
        <f>SUM(Tabla3[[#This Row],[P1]:[P24]])</f>
        <v>2162880.0300000003</v>
      </c>
    </row>
    <row r="51" spans="1:28" x14ac:dyDescent="0.3">
      <c r="A51" s="24">
        <v>7</v>
      </c>
      <c r="B51" s="25" t="str">
        <f>VLOOKUP(Tabla3[[#This Row],[Part.]],PPto[],3,FALSE)</f>
        <v>7.00 Equipamiento Produccion</v>
      </c>
      <c r="C51" s="37">
        <f t="shared" ref="C51:Y51" si="6">SUM(C52:C58)</f>
        <v>25633529.77520588</v>
      </c>
      <c r="D51" s="30">
        <f t="shared" si="6"/>
        <v>0</v>
      </c>
      <c r="E51" s="44">
        <f t="shared" si="6"/>
        <v>0</v>
      </c>
      <c r="F51" s="44">
        <f t="shared" si="6"/>
        <v>0</v>
      </c>
      <c r="G51" s="44">
        <f t="shared" si="6"/>
        <v>0</v>
      </c>
      <c r="H51" s="44">
        <f t="shared" si="6"/>
        <v>0</v>
      </c>
      <c r="I51" s="44">
        <f t="shared" si="6"/>
        <v>0</v>
      </c>
      <c r="J51" s="44">
        <f t="shared" si="6"/>
        <v>0</v>
      </c>
      <c r="K51" s="44">
        <f t="shared" si="6"/>
        <v>639041.40550000011</v>
      </c>
      <c r="L51" s="44">
        <f t="shared" si="6"/>
        <v>0</v>
      </c>
      <c r="M51" s="44">
        <f t="shared" si="6"/>
        <v>0</v>
      </c>
      <c r="N51" s="44">
        <f t="shared" si="6"/>
        <v>0</v>
      </c>
      <c r="O51" s="44">
        <f t="shared" si="6"/>
        <v>0</v>
      </c>
      <c r="P51" s="44">
        <f t="shared" si="6"/>
        <v>0</v>
      </c>
      <c r="Q51" s="44">
        <f t="shared" si="6"/>
        <v>0</v>
      </c>
      <c r="R51" s="44">
        <f t="shared" si="6"/>
        <v>0</v>
      </c>
      <c r="S51" s="44">
        <f t="shared" si="6"/>
        <v>4251274.7324999999</v>
      </c>
      <c r="T51" s="44">
        <f t="shared" si="6"/>
        <v>0</v>
      </c>
      <c r="U51" s="44">
        <f t="shared" si="6"/>
        <v>0</v>
      </c>
      <c r="V51" s="44">
        <f t="shared" si="6"/>
        <v>4251274.7324999999</v>
      </c>
      <c r="W51" s="44">
        <f t="shared" si="6"/>
        <v>0</v>
      </c>
      <c r="X51" s="44">
        <f t="shared" si="6"/>
        <v>5838306.8842058824</v>
      </c>
      <c r="Y51" s="44">
        <f t="shared" si="6"/>
        <v>6267106.5180000011</v>
      </c>
      <c r="Z51" s="352"/>
      <c r="AA51" s="44">
        <f>SUM(AA52:AA58)</f>
        <v>4386525.5025000004</v>
      </c>
      <c r="AB51" s="45">
        <f>SUM(Tabla3[[#This Row],[P1]:[P24]])</f>
        <v>25633529.775205884</v>
      </c>
    </row>
    <row r="52" spans="1:28" x14ac:dyDescent="0.3">
      <c r="A52" s="23">
        <v>7.01</v>
      </c>
      <c r="B52" s="26" t="str">
        <f>VLOOKUP(Tabla3[[#This Row],[Part.]],PPto[],3,FALSE)</f>
        <v xml:space="preserve">7.01 Equipamiento de Acero Inoxidable </v>
      </c>
      <c r="C52" s="38">
        <f>SUMIF(BD.PD[Pos],Tabla3[[#This Row],[Part.]],BD.PD[Ppto. Orden Interna '[DOP']])</f>
        <v>3106988</v>
      </c>
      <c r="D5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2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2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2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2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1678494</v>
      </c>
      <c r="Z5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2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1428494</v>
      </c>
      <c r="AB52" s="46">
        <f>SUM(Tabla3[[#This Row],[P1]:[P24]])</f>
        <v>3106988</v>
      </c>
    </row>
    <row r="53" spans="1:28" x14ac:dyDescent="0.3">
      <c r="A53" s="23">
        <v>7.02</v>
      </c>
      <c r="B53" s="26" t="str">
        <f>VLOOKUP(Tabla3[[#This Row],[Part.]],PPto[],3,FALSE)</f>
        <v>7.02 Cocina, Patio Comidas y Rostizería</v>
      </c>
      <c r="C53" s="38">
        <f>SUMIF(BD.PD[Pos],Tabla3[[#This Row],[Part.]],BD.PD[Ppto. Orden Interna '[DOP']])</f>
        <v>3089806.3210000009</v>
      </c>
      <c r="D5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639041.40550000011</v>
      </c>
      <c r="L5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3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3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3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3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669571.17999999982</v>
      </c>
      <c r="Y53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1781193.7355000002</v>
      </c>
      <c r="Z53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3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53" s="46">
        <f>SUM(Tabla3[[#This Row],[P1]:[P24]])</f>
        <v>3089806.3210000005</v>
      </c>
    </row>
    <row r="54" spans="1:28" x14ac:dyDescent="0.3">
      <c r="A54" s="23">
        <v>7.03</v>
      </c>
      <c r="B54" s="26" t="str">
        <f>VLOOKUP(Tabla3[[#This Row],[Part.]],PPto[],3,FALSE)</f>
        <v>7.03 Equipamiento Carniceria, Pescadería y Delicatesen</v>
      </c>
      <c r="C54" s="38">
        <f>SUMIF(BD.PD[Pos],Tabla3[[#This Row],[Part.]],BD.PD[Ppto. Orden Interna '[DOP']])</f>
        <v>3354018.7500000005</v>
      </c>
      <c r="D5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4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4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4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4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3268707.47</v>
      </c>
      <c r="Y54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85311.28</v>
      </c>
      <c r="Z5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4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54" s="46">
        <f>SUM(Tabla3[[#This Row],[P1]:[P24]])</f>
        <v>3354018.75</v>
      </c>
    </row>
    <row r="55" spans="1:28" x14ac:dyDescent="0.3">
      <c r="A55" s="23">
        <v>7.04</v>
      </c>
      <c r="B55" s="26" t="str">
        <f>VLOOKUP(Tabla3[[#This Row],[Part.]],PPto[],3,FALSE)</f>
        <v>7.04 Equipamiento de Panaderia, Reposteria y Rosticería</v>
      </c>
      <c r="C55" s="38">
        <f>SUMIF(BD.PD[Pos],Tabla3[[#This Row],[Part.]],BD.PD[Ppto. Orden Interna '[DOP']])</f>
        <v>10347492.909499999</v>
      </c>
      <c r="D5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5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5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5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5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5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5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5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5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5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5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5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5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5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5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5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1823909.0474999999</v>
      </c>
      <c r="T55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5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5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1823909.0474999999</v>
      </c>
      <c r="W55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5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1800744.8095</v>
      </c>
      <c r="Y55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2331503.0025000004</v>
      </c>
      <c r="Z55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5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2567427.0025000004</v>
      </c>
      <c r="AB55" s="46">
        <f>SUM(Tabla3[[#This Row],[P1]:[P24]])</f>
        <v>10347492.909500001</v>
      </c>
    </row>
    <row r="56" spans="1:28" x14ac:dyDescent="0.3">
      <c r="A56" s="23">
        <v>7.05</v>
      </c>
      <c r="B56" s="26" t="str">
        <f>VLOOKUP(Tabla3[[#This Row],[Part.]],PPto[],3,FALSE)</f>
        <v>7.05 Equipamiento de Frutas y Vegetales</v>
      </c>
      <c r="C56" s="38">
        <f>SUMIF(BD.PD[Pos],Tabla3[[#This Row],[Part.]],BD.PD[Ppto. Orden Interna '[DOP']])</f>
        <v>5735223.7947058827</v>
      </c>
      <c r="D5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6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6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6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6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6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6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6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6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6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6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6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6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6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6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6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2427365.6850000005</v>
      </c>
      <c r="T56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6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6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2427365.6850000005</v>
      </c>
      <c r="W56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6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99283.424705882353</v>
      </c>
      <c r="Y56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390604.50000000006</v>
      </c>
      <c r="Z56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6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390604.50000000006</v>
      </c>
      <c r="AB56" s="46">
        <f>SUM(Tabla3[[#This Row],[P1]:[P24]])</f>
        <v>5735223.7947058836</v>
      </c>
    </row>
    <row r="57" spans="1:28" x14ac:dyDescent="0.3">
      <c r="A57" s="23">
        <v>7.06</v>
      </c>
      <c r="B57" s="26" t="str">
        <f>VLOOKUP(Tabla3[[#This Row],[Part.]],PPto[],3,FALSE)</f>
        <v>7.06 Balanzas</v>
      </c>
      <c r="C57" s="38">
        <f>SUMIF(BD.PD[Pos],Tabla3[[#This Row],[Part.]],BD.PD[Ppto. Orden Interna '[DOP']])</f>
        <v>0</v>
      </c>
      <c r="D5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7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7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7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7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7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7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7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57" s="46">
        <f>SUM(Tabla3[[#This Row],[P1]:[P24]])</f>
        <v>0</v>
      </c>
    </row>
    <row r="58" spans="1:28" x14ac:dyDescent="0.3">
      <c r="A58" s="23">
        <v>7.07</v>
      </c>
      <c r="B58" s="26" t="str">
        <f>VLOOKUP(Tabla3[[#This Row],[Part.]],PPto[],3,FALSE)</f>
        <v>7.07 Otros Equipamientos de Producción</v>
      </c>
      <c r="C58" s="38">
        <f>SUMIF(BD.PD[Pos],Tabla3[[#This Row],[Part.]],BD.PD[Ppto. Orden Interna '[DOP']])</f>
        <v>0</v>
      </c>
      <c r="D5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8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8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8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8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8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8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8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8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8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8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8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8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8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8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8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8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8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8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8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8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8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8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8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58" s="46">
        <f>SUM(Tabla3[[#This Row],[P1]:[P24]])</f>
        <v>0</v>
      </c>
    </row>
    <row r="59" spans="1:28" x14ac:dyDescent="0.3">
      <c r="A59" s="24">
        <v>8</v>
      </c>
      <c r="B59" s="25" t="str">
        <f>VLOOKUP(Tabla3[[#This Row],[Part.]],PPto[],3,FALSE)</f>
        <v>8.00 Equipamiento Tienda</v>
      </c>
      <c r="C59" s="37">
        <f t="shared" ref="C59:Y59" si="7">SUM(C60:C67)</f>
        <v>48451242.109668173</v>
      </c>
      <c r="D59" s="30">
        <f t="shared" si="7"/>
        <v>0</v>
      </c>
      <c r="E59" s="44">
        <f t="shared" si="7"/>
        <v>0</v>
      </c>
      <c r="F59" s="44">
        <f t="shared" si="7"/>
        <v>0</v>
      </c>
      <c r="G59" s="44">
        <f t="shared" si="7"/>
        <v>0</v>
      </c>
      <c r="H59" s="44">
        <f t="shared" si="7"/>
        <v>0</v>
      </c>
      <c r="I59" s="44">
        <f t="shared" si="7"/>
        <v>0</v>
      </c>
      <c r="J59" s="44">
        <f t="shared" si="7"/>
        <v>0</v>
      </c>
      <c r="K59" s="44">
        <f t="shared" si="7"/>
        <v>0</v>
      </c>
      <c r="L59" s="44">
        <f t="shared" si="7"/>
        <v>0</v>
      </c>
      <c r="M59" s="44">
        <f t="shared" si="7"/>
        <v>0</v>
      </c>
      <c r="N59" s="44">
        <f t="shared" si="7"/>
        <v>0</v>
      </c>
      <c r="O59" s="44">
        <f t="shared" si="7"/>
        <v>0</v>
      </c>
      <c r="P59" s="44">
        <f t="shared" si="7"/>
        <v>0</v>
      </c>
      <c r="Q59" s="44">
        <f t="shared" si="7"/>
        <v>0</v>
      </c>
      <c r="R59" s="44">
        <f t="shared" si="7"/>
        <v>0</v>
      </c>
      <c r="S59" s="44">
        <f t="shared" si="7"/>
        <v>0</v>
      </c>
      <c r="T59" s="44">
        <f t="shared" si="7"/>
        <v>2331932.7044000002</v>
      </c>
      <c r="U59" s="44">
        <f t="shared" si="7"/>
        <v>6244426.5100249993</v>
      </c>
      <c r="V59" s="44">
        <f t="shared" si="7"/>
        <v>2332044.1794000003</v>
      </c>
      <c r="W59" s="44">
        <f t="shared" si="7"/>
        <v>0</v>
      </c>
      <c r="X59" s="44">
        <f t="shared" si="7"/>
        <v>6259825.8257999998</v>
      </c>
      <c r="Y59" s="44">
        <f t="shared" si="7"/>
        <v>20906198.24144318</v>
      </c>
      <c r="Z59" s="352"/>
      <c r="AA59" s="44">
        <f>SUM(AA60:AA67)</f>
        <v>10376814.648600001</v>
      </c>
      <c r="AB59" s="45">
        <f>SUM(Tabla3[[#This Row],[P1]:[P24]])</f>
        <v>48451242.10966818</v>
      </c>
    </row>
    <row r="60" spans="1:28" x14ac:dyDescent="0.3">
      <c r="A60" s="23">
        <v>8.01</v>
      </c>
      <c r="B60" s="26" t="str">
        <f>VLOOKUP(Tabla3[[#This Row],[Part.]],PPto[],3,FALSE)</f>
        <v>8.01 Gondolas</v>
      </c>
      <c r="C60" s="38">
        <f>SUMIF(BD.PD[Pos],Tabla3[[#This Row],[Part.]],BD.PD[Ppto. Orden Interna '[DOP']])</f>
        <v>10319446.11465</v>
      </c>
      <c r="D6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5159723.0573249999</v>
      </c>
      <c r="V60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0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0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0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5159723.0573249999</v>
      </c>
      <c r="Z6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60" s="46">
        <f>SUM(Tabla3[[#This Row],[P1]:[P24]])</f>
        <v>10319446.11465</v>
      </c>
    </row>
    <row r="61" spans="1:28" x14ac:dyDescent="0.3">
      <c r="A61" s="23">
        <v>8.02</v>
      </c>
      <c r="B61" s="26" t="str">
        <f>VLOOKUP(Tabla3[[#This Row],[Part.]],PPto[],3,FALSE)</f>
        <v>8.02 Checkout</v>
      </c>
      <c r="C61" s="38">
        <f>SUMIF(BD.PD[Pos],Tabla3[[#This Row],[Part.]],BD.PD[Ppto. Orden Interna '[DOP']])</f>
        <v>1953250.8534000001</v>
      </c>
      <c r="D6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1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976625.42670000007</v>
      </c>
      <c r="V61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1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1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1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976625.42670000007</v>
      </c>
      <c r="Z6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61" s="46">
        <f>SUM(Tabla3[[#This Row],[P1]:[P24]])</f>
        <v>1953250.8534000001</v>
      </c>
    </row>
    <row r="62" spans="1:28" x14ac:dyDescent="0.3">
      <c r="A62" s="23">
        <v>8.0299999999999994</v>
      </c>
      <c r="B62" s="26" t="str">
        <f>VLOOKUP(Tabla3[[#This Row],[Part.]],PPto[],3,FALSE)</f>
        <v>8.03 Carritos, Canastas y Accesorios</v>
      </c>
      <c r="C62" s="38">
        <f>SUMIF(BD.PD[Pos],Tabla3[[#This Row],[Part.]],BD.PD[Ppto. Orden Interna '[DOP']])</f>
        <v>13415599.495999997</v>
      </c>
      <c r="D6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2331932.7044000002</v>
      </c>
      <c r="U6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111.47499999999999</v>
      </c>
      <c r="V62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2332044.1794000003</v>
      </c>
      <c r="W62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2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2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4375755.5685999999</v>
      </c>
      <c r="Z6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2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4375755.5685999999</v>
      </c>
      <c r="AB62" s="46">
        <f>SUM(Tabla3[[#This Row],[P1]:[P24]])</f>
        <v>13415599.495999999</v>
      </c>
    </row>
    <row r="63" spans="1:28" x14ac:dyDescent="0.3">
      <c r="A63" s="23">
        <v>8.0399999999999991</v>
      </c>
      <c r="B63" s="26" t="str">
        <f>VLOOKUP(Tabla3[[#This Row],[Part.]],PPto[],3,FALSE)</f>
        <v>8.04 Trameria Almacen</v>
      </c>
      <c r="C63" s="38">
        <f>SUMIF(BD.PD[Pos],Tabla3[[#This Row],[Part.]],BD.PD[Ppto. Orden Interna '[DOP']])</f>
        <v>3475792.5389999999</v>
      </c>
      <c r="D6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3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3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3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3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3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3475792.5389999999</v>
      </c>
      <c r="Z63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3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63" s="46">
        <f>SUM(Tabla3[[#This Row],[P1]:[P24]])</f>
        <v>3475792.5389999999</v>
      </c>
    </row>
    <row r="64" spans="1:28" x14ac:dyDescent="0.3">
      <c r="A64" s="23">
        <v>8.0500000000000007</v>
      </c>
      <c r="B64" s="26" t="str">
        <f>VLOOKUP(Tabla3[[#This Row],[Part.]],PPto[],3,FALSE)</f>
        <v>8.05 Mobiliario no operacional para Tiendas</v>
      </c>
      <c r="C64" s="38">
        <f>SUMIF(BD.PD[Pos],Tabla3[[#This Row],[Part.]],BD.PD[Ppto. Orden Interna '[DOP']])</f>
        <v>5119848.4067999991</v>
      </c>
      <c r="D6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4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107966.55099999999</v>
      </c>
      <c r="V64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4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4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732469.62579999992</v>
      </c>
      <c r="Y64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4224609.3499999996</v>
      </c>
      <c r="Z6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4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54802.880000000005</v>
      </c>
      <c r="AB64" s="46">
        <f>SUM(Tabla3[[#This Row],[P1]:[P24]])</f>
        <v>5119848.4067999991</v>
      </c>
    </row>
    <row r="65" spans="1:28" x14ac:dyDescent="0.3">
      <c r="A65" s="23">
        <v>8.06</v>
      </c>
      <c r="B65" s="26" t="str">
        <f>VLOOKUP(Tabla3[[#This Row],[Part.]],PPto[],3,FALSE)</f>
        <v>8.06 Otros Equipamientos de Tienda</v>
      </c>
      <c r="C65" s="38">
        <f>SUMIF(BD.PD[Pos],Tabla3[[#This Row],[Part.]],BD.PD[Ppto. Orden Interna '[DOP']])</f>
        <v>2962592.2998181814</v>
      </c>
      <c r="D6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5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5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5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5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5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5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5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5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5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5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5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5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5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5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5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5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5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5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5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5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105000</v>
      </c>
      <c r="Y65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2333692.2998181819</v>
      </c>
      <c r="Z65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5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523900</v>
      </c>
      <c r="AB65" s="46">
        <f>SUM(Tabla3[[#This Row],[P1]:[P24]])</f>
        <v>2962592.2998181819</v>
      </c>
    </row>
    <row r="66" spans="1:28" x14ac:dyDescent="0.3">
      <c r="A66" s="23">
        <v>8.07</v>
      </c>
      <c r="B66" s="26" t="str">
        <f>VLOOKUP(Tabla3[[#This Row],[Part.]],PPto[],3,FALSE)</f>
        <v>8.07 Señalizacion interiores</v>
      </c>
      <c r="C66" s="38">
        <f>SUMIF(BD.PD[Pos],Tabla3[[#This Row],[Part.]],BD.PD[Ppto. Orden Interna '[DOP']])</f>
        <v>7171312.4000000004</v>
      </c>
      <c r="D6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6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6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6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6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6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6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6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6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6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6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6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6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6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6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6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6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6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6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6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6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3405656.2</v>
      </c>
      <c r="Y66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360000</v>
      </c>
      <c r="Z66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6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3405656.2</v>
      </c>
      <c r="AB66" s="46">
        <f>SUM(Tabla3[[#This Row],[P1]:[P24]])</f>
        <v>7171312.4000000004</v>
      </c>
    </row>
    <row r="67" spans="1:28" x14ac:dyDescent="0.3">
      <c r="A67" s="23">
        <v>8.08</v>
      </c>
      <c r="B67" s="26" t="str">
        <f>VLOOKUP(Tabla3[[#This Row],[Part.]],PPto[],3,FALSE)</f>
        <v>8.08 Señalizacion exteriores</v>
      </c>
      <c r="C67" s="38">
        <f>SUMIF(BD.PD[Pos],Tabla3[[#This Row],[Part.]],BD.PD[Ppto. Orden Interna '[DOP']])</f>
        <v>4033400</v>
      </c>
      <c r="D6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7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7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7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7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2016700</v>
      </c>
      <c r="Y67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7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7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2016700</v>
      </c>
      <c r="AB67" s="46">
        <f>SUM(Tabla3[[#This Row],[P1]:[P24]])</f>
        <v>4033400</v>
      </c>
    </row>
    <row r="68" spans="1:28" x14ac:dyDescent="0.3">
      <c r="A68" s="24">
        <v>9</v>
      </c>
      <c r="B68" s="25" t="str">
        <f>VLOOKUP(Tabla3[[#This Row],[Part.]],PPto[],3,FALSE)</f>
        <v>9.00 Otros</v>
      </c>
      <c r="C68" s="37">
        <f t="shared" ref="C68:Y68" si="8">SUM(C69:C74)</f>
        <v>0</v>
      </c>
      <c r="D68" s="30">
        <f t="shared" si="8"/>
        <v>0</v>
      </c>
      <c r="E68" s="44">
        <f t="shared" si="8"/>
        <v>0</v>
      </c>
      <c r="F68" s="44">
        <f t="shared" si="8"/>
        <v>0</v>
      </c>
      <c r="G68" s="44">
        <f t="shared" si="8"/>
        <v>0</v>
      </c>
      <c r="H68" s="44">
        <f t="shared" si="8"/>
        <v>0</v>
      </c>
      <c r="I68" s="44">
        <f t="shared" si="8"/>
        <v>0</v>
      </c>
      <c r="J68" s="44">
        <f t="shared" si="8"/>
        <v>0</v>
      </c>
      <c r="K68" s="44">
        <f t="shared" si="8"/>
        <v>0</v>
      </c>
      <c r="L68" s="44">
        <f t="shared" si="8"/>
        <v>0</v>
      </c>
      <c r="M68" s="44">
        <f t="shared" si="8"/>
        <v>0</v>
      </c>
      <c r="N68" s="44">
        <f t="shared" si="8"/>
        <v>0</v>
      </c>
      <c r="O68" s="44">
        <f t="shared" si="8"/>
        <v>0</v>
      </c>
      <c r="P68" s="44">
        <f t="shared" si="8"/>
        <v>0</v>
      </c>
      <c r="Q68" s="44">
        <f t="shared" si="8"/>
        <v>0</v>
      </c>
      <c r="R68" s="44">
        <f t="shared" si="8"/>
        <v>0</v>
      </c>
      <c r="S68" s="44">
        <f t="shared" si="8"/>
        <v>0</v>
      </c>
      <c r="T68" s="44">
        <f t="shared" si="8"/>
        <v>0</v>
      </c>
      <c r="U68" s="44">
        <f t="shared" si="8"/>
        <v>0</v>
      </c>
      <c r="V68" s="44">
        <f t="shared" si="8"/>
        <v>0</v>
      </c>
      <c r="W68" s="44">
        <f t="shared" si="8"/>
        <v>0</v>
      </c>
      <c r="X68" s="44">
        <f t="shared" si="8"/>
        <v>0</v>
      </c>
      <c r="Y68" s="44">
        <f t="shared" si="8"/>
        <v>0</v>
      </c>
      <c r="Z68" s="352"/>
      <c r="AA68" s="352"/>
      <c r="AB68" s="45">
        <f>SUM(Tabla3[[#This Row],[P1]:[P24]])</f>
        <v>0</v>
      </c>
    </row>
    <row r="69" spans="1:28" x14ac:dyDescent="0.3">
      <c r="A69" s="23">
        <v>9.01</v>
      </c>
      <c r="B69" s="26" t="str">
        <f>VLOOKUP(Tabla3[[#This Row],[Part.]],PPto[],3,FALSE)</f>
        <v>9.01 COMERCIALIZACION</v>
      </c>
      <c r="C69" s="38">
        <f>SUMIF(BD.PD[Pos],Tabla3[[#This Row],[Part.]],BD.PD[Ppto. Orden Interna '[DOP']])</f>
        <v>0</v>
      </c>
      <c r="D6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9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9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9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9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9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69" s="46">
        <f>SUM(Tabla3[[#This Row],[P1]:[P24]])</f>
        <v>0</v>
      </c>
    </row>
    <row r="70" spans="1:28" x14ac:dyDescent="0.3">
      <c r="A70" s="23">
        <v>9.02</v>
      </c>
      <c r="B70" s="26" t="str">
        <f>VLOOKUP(Tabla3[[#This Row],[Part.]],PPto[],3,FALSE)</f>
        <v>9.02 INSUMOS</v>
      </c>
      <c r="C70" s="38">
        <f>SUMIF(BD.PD[Pos],Tabla3[[#This Row],[Part.]],BD.PD[Ppto. Orden Interna '[DOP']])</f>
        <v>0</v>
      </c>
      <c r="D7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0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0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0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0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70" s="46">
        <f>SUM(Tabla3[[#This Row],[P1]:[P24]])</f>
        <v>0</v>
      </c>
    </row>
    <row r="71" spans="1:28" x14ac:dyDescent="0.3">
      <c r="A71" s="23">
        <v>9.0299999999999994</v>
      </c>
      <c r="B71" s="26" t="str">
        <f>VLOOKUP(Tabla3[[#This Row],[Part.]],PPto[],3,FALSE)</f>
        <v>9.03 PUBLICIDAD Y MERCADEO</v>
      </c>
      <c r="C71" s="38">
        <f>SUMIF(BD.PD[Pos],Tabla3[[#This Row],[Part.]],BD.PD[Ppto. Orden Interna '[DOP']])</f>
        <v>0</v>
      </c>
      <c r="D7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1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1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1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1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1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71" s="46">
        <f>SUM(Tabla3[[#This Row],[P1]:[P24]])</f>
        <v>0</v>
      </c>
    </row>
    <row r="72" spans="1:28" x14ac:dyDescent="0.3">
      <c r="A72" s="23">
        <v>9.0399999999999991</v>
      </c>
      <c r="B72" s="26" t="str">
        <f>VLOOKUP(Tabla3[[#This Row],[Part.]],PPto[],3,FALSE)</f>
        <v>9.04 MONTAJE</v>
      </c>
      <c r="C72" s="38">
        <f>SUMIF(BD.PD[Pos],Tabla3[[#This Row],[Part.]],BD.PD[Ppto. Orden Interna '[DOP']])</f>
        <v>0</v>
      </c>
      <c r="D7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2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2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2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2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2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72" s="46">
        <f>SUM(Tabla3[[#This Row],[P1]:[P24]])</f>
        <v>0</v>
      </c>
    </row>
    <row r="73" spans="1:28" x14ac:dyDescent="0.3">
      <c r="A73" s="23">
        <v>9.0499999999999989</v>
      </c>
      <c r="B73" s="26" t="str">
        <f>VLOOKUP(Tabla3[[#This Row],[Part.]],PPto[],3,FALSE)</f>
        <v>9.05 DECORACIÓN TEMPORADAS</v>
      </c>
      <c r="C73" s="38">
        <f>SUMIF(BD.PD[Pos],Tabla3[[#This Row],[Part.]],BD.PD[Ppto. Orden Interna '[DOP']])</f>
        <v>0</v>
      </c>
      <c r="D7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3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3" s="35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3" s="35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3" s="35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3" s="35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3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3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73" s="46">
        <f>SUM(Tabla3[[#This Row],[P1]:[P24]])</f>
        <v>0</v>
      </c>
    </row>
    <row r="74" spans="1:28" ht="15" thickBot="1" x14ac:dyDescent="0.35">
      <c r="A74" s="27">
        <v>9.06</v>
      </c>
      <c r="B74" s="28" t="str">
        <f>VLOOKUP(Tabla3[[#This Row],[Part.]],PPto[],3,FALSE)</f>
        <v>9.06 -</v>
      </c>
      <c r="C74" s="39">
        <f>SUMIF(BD.PD[Pos],Tabla3[[#This Row],[Part.]],BD.PD[Ppto. Orden Interna '[DOP']])</f>
        <v>0</v>
      </c>
      <c r="D74" s="32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4" s="35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4" s="35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4" s="35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4" s="35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4" s="35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4" s="35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4" s="35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4" s="35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4" s="35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4" s="35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4" s="35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4" s="35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4" s="35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4" s="35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4" s="35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4" s="35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4" s="36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4" s="351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4" s="351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4" s="351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4" s="351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4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74" s="47">
        <f>SUM(Tabla3[[#This Row],[P1]:[P24]])</f>
        <v>0</v>
      </c>
    </row>
    <row r="75" spans="1:28" ht="15.6" thickTop="1" thickBot="1" x14ac:dyDescent="0.35">
      <c r="A75" s="29" t="s">
        <v>174</v>
      </c>
      <c r="B75" s="48" t="s">
        <v>175</v>
      </c>
      <c r="C75" s="40">
        <f t="shared" ref="C75:Z75" si="9">C68+C59+C51+C45+C37+C33+C28+C16+C6</f>
        <v>210750934.83052406</v>
      </c>
      <c r="D75" s="41">
        <f t="shared" si="9"/>
        <v>0</v>
      </c>
      <c r="E75" s="42">
        <f t="shared" si="9"/>
        <v>0</v>
      </c>
      <c r="F75" s="42">
        <f t="shared" si="9"/>
        <v>2413668.73</v>
      </c>
      <c r="G75" s="42">
        <f t="shared" si="9"/>
        <v>0</v>
      </c>
      <c r="H75" s="42">
        <f t="shared" si="9"/>
        <v>2215515.79</v>
      </c>
      <c r="I75" s="42">
        <f t="shared" si="9"/>
        <v>0</v>
      </c>
      <c r="J75" s="42">
        <f t="shared" si="9"/>
        <v>0</v>
      </c>
      <c r="K75" s="42">
        <f t="shared" si="9"/>
        <v>639041.40550000011</v>
      </c>
      <c r="L75" s="42">
        <f t="shared" si="9"/>
        <v>2413668.73</v>
      </c>
      <c r="M75" s="42">
        <f t="shared" si="9"/>
        <v>476000</v>
      </c>
      <c r="N75" s="42">
        <f t="shared" si="9"/>
        <v>0</v>
      </c>
      <c r="O75" s="42">
        <f t="shared" si="9"/>
        <v>0</v>
      </c>
      <c r="P75" s="42">
        <f t="shared" si="9"/>
        <v>0</v>
      </c>
      <c r="Q75" s="42">
        <f t="shared" si="9"/>
        <v>0</v>
      </c>
      <c r="R75" s="42">
        <f t="shared" si="9"/>
        <v>0</v>
      </c>
      <c r="S75" s="42">
        <f t="shared" si="9"/>
        <v>4251274.7324999999</v>
      </c>
      <c r="T75" s="42">
        <f t="shared" si="9"/>
        <v>5744221.374400001</v>
      </c>
      <c r="U75" s="42">
        <f t="shared" si="9"/>
        <v>14021265.447525</v>
      </c>
      <c r="V75" s="42">
        <f t="shared" si="9"/>
        <v>7643711.0144000007</v>
      </c>
      <c r="W75" s="42">
        <f t="shared" si="9"/>
        <v>27998357.814000003</v>
      </c>
      <c r="X75" s="42">
        <f t="shared" si="9"/>
        <v>33771882.984955885</v>
      </c>
      <c r="Y75" s="42">
        <f t="shared" si="9"/>
        <v>64781485.638443179</v>
      </c>
      <c r="Z75" s="42">
        <f t="shared" si="9"/>
        <v>0</v>
      </c>
      <c r="AA75" s="43"/>
      <c r="AB75" s="40">
        <f>AB68+AB59+AB51+AB45+AB37+AB33+AB28+AB16+AB6</f>
        <v>210750934.83052406</v>
      </c>
    </row>
    <row r="76" spans="1:28" x14ac:dyDescent="0.3">
      <c r="B76" s="14" t="s">
        <v>176</v>
      </c>
      <c r="C76" s="53">
        <f>C75-'BD Plan Detallado'!O3</f>
        <v>0</v>
      </c>
    </row>
    <row r="78" spans="1:28" ht="15" thickBot="1" x14ac:dyDescent="0.35">
      <c r="B78" s="15" t="s">
        <v>177</v>
      </c>
      <c r="C78" s="49">
        <v>63</v>
      </c>
      <c r="D78" s="49">
        <v>63</v>
      </c>
      <c r="E78" s="49">
        <v>63</v>
      </c>
      <c r="F78" s="49">
        <v>63</v>
      </c>
      <c r="G78" s="49">
        <v>63</v>
      </c>
      <c r="H78" s="49">
        <v>63</v>
      </c>
      <c r="I78" s="49">
        <v>63</v>
      </c>
      <c r="J78" s="49">
        <v>63</v>
      </c>
      <c r="K78" s="49">
        <v>63</v>
      </c>
      <c r="L78" s="49">
        <v>63</v>
      </c>
      <c r="M78" s="49">
        <v>63</v>
      </c>
      <c r="N78" s="49">
        <v>63</v>
      </c>
      <c r="O78" s="49">
        <v>63</v>
      </c>
      <c r="P78" s="49">
        <v>63</v>
      </c>
      <c r="Q78" s="49">
        <v>63</v>
      </c>
      <c r="R78" s="49">
        <v>63</v>
      </c>
      <c r="S78" s="49">
        <v>63</v>
      </c>
      <c r="T78" s="49">
        <v>63</v>
      </c>
      <c r="U78" s="49">
        <v>63</v>
      </c>
      <c r="V78" s="49">
        <v>63</v>
      </c>
      <c r="W78" s="49">
        <v>63</v>
      </c>
      <c r="X78" s="49">
        <v>63</v>
      </c>
      <c r="Y78" s="49">
        <v>63</v>
      </c>
      <c r="Z78" s="49">
        <v>63</v>
      </c>
      <c r="AA78" s="49">
        <v>63</v>
      </c>
      <c r="AB78" s="49">
        <v>63</v>
      </c>
    </row>
    <row r="79" spans="1:28" ht="15.6" thickTop="1" thickBot="1" x14ac:dyDescent="0.35">
      <c r="B79" s="48" t="s">
        <v>178</v>
      </c>
      <c r="C79" s="50">
        <f t="shared" ref="C79:AA79" si="10">C75/C78</f>
        <v>3345252.933817842</v>
      </c>
      <c r="D79" s="51">
        <f t="shared" si="10"/>
        <v>0</v>
      </c>
      <c r="E79" s="52">
        <f t="shared" si="10"/>
        <v>0</v>
      </c>
      <c r="F79" s="52">
        <f t="shared" si="10"/>
        <v>38312.202063492063</v>
      </c>
      <c r="G79" s="52">
        <f t="shared" si="10"/>
        <v>0</v>
      </c>
      <c r="H79" s="52">
        <f t="shared" si="10"/>
        <v>35166.917301587302</v>
      </c>
      <c r="I79" s="52">
        <f t="shared" si="10"/>
        <v>0</v>
      </c>
      <c r="J79" s="52">
        <f t="shared" si="10"/>
        <v>0</v>
      </c>
      <c r="K79" s="52">
        <f t="shared" si="10"/>
        <v>10143.514373015874</v>
      </c>
      <c r="L79" s="52">
        <f t="shared" si="10"/>
        <v>38312.202063492063</v>
      </c>
      <c r="M79" s="52">
        <f t="shared" si="10"/>
        <v>7555.5555555555557</v>
      </c>
      <c r="N79" s="52">
        <f t="shared" si="10"/>
        <v>0</v>
      </c>
      <c r="O79" s="52">
        <f t="shared" si="10"/>
        <v>0</v>
      </c>
      <c r="P79" s="52">
        <f t="shared" si="10"/>
        <v>0</v>
      </c>
      <c r="Q79" s="52">
        <f t="shared" si="10"/>
        <v>0</v>
      </c>
      <c r="R79" s="52">
        <f t="shared" si="10"/>
        <v>0</v>
      </c>
      <c r="S79" s="52">
        <f t="shared" si="10"/>
        <v>67480.551309523813</v>
      </c>
      <c r="T79" s="52">
        <f>T75/T78</f>
        <v>91178.117053968264</v>
      </c>
      <c r="U79" s="52">
        <f t="shared" si="10"/>
        <v>222559.76900833333</v>
      </c>
      <c r="V79" s="52">
        <f t="shared" si="10"/>
        <v>121328.74626031746</v>
      </c>
      <c r="W79" s="52">
        <f t="shared" si="10"/>
        <v>444418.37800000003</v>
      </c>
      <c r="X79" s="52">
        <f t="shared" si="10"/>
        <v>536061.63468183938</v>
      </c>
      <c r="Y79" s="52">
        <f t="shared" si="10"/>
        <v>1028277.5498165584</v>
      </c>
      <c r="Z79" s="52">
        <f t="shared" si="10"/>
        <v>0</v>
      </c>
      <c r="AA79" s="52">
        <f t="shared" si="10"/>
        <v>0</v>
      </c>
      <c r="AB79" s="52">
        <f>AB75/AB78</f>
        <v>3345252.933817842</v>
      </c>
    </row>
    <row r="80" spans="1:28" x14ac:dyDescent="0.3">
      <c r="B80" s="14" t="s">
        <v>176</v>
      </c>
      <c r="C80" s="53">
        <f>C79-'BD Plan Detallado'!P3</f>
        <v>-126755.87722868146</v>
      </c>
    </row>
  </sheetData>
  <mergeCells count="3">
    <mergeCell ref="D3:U3"/>
    <mergeCell ref="B4:C4"/>
    <mergeCell ref="AB2:AB4"/>
  </mergeCells>
  <phoneticPr fontId="5" type="noConversion"/>
  <conditionalFormatting sqref="AB6:AB36 AB38:AB42 AB44:AB74">
    <cfRule type="expression" dxfId="161" priority="168">
      <formula>$AB6&lt;&gt;$C6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9441-D9A5-4E79-B46D-D62FA4EFFD03}">
  <sheetPr codeName="Hoja4">
    <tabColor theme="8"/>
    <pageSetUpPr fitToPage="1"/>
  </sheetPr>
  <dimension ref="A1:J94"/>
  <sheetViews>
    <sheetView showGridLines="0" topLeftCell="A29" zoomScale="90" zoomScaleNormal="90" workbookViewId="0">
      <selection activeCell="B43" sqref="B43"/>
    </sheetView>
  </sheetViews>
  <sheetFormatPr baseColWidth="10" defaultColWidth="9.33203125" defaultRowHeight="13.8" outlineLevelCol="1" x14ac:dyDescent="0.3"/>
  <cols>
    <col min="1" max="1" width="10.33203125" style="67" customWidth="1"/>
    <col min="2" max="2" width="44.44140625" style="67" customWidth="1"/>
    <col min="3" max="3" width="5.33203125" style="67" customWidth="1" outlineLevel="1"/>
    <col min="4" max="4" width="5" style="67" customWidth="1" outlineLevel="1"/>
    <col min="5" max="5" width="6.33203125" style="67" customWidth="1" outlineLevel="1"/>
    <col min="6" max="6" width="17.33203125" style="67" customWidth="1" outlineLevel="1"/>
    <col min="7" max="7" width="19.6640625" style="112" bestFit="1" customWidth="1"/>
    <col min="8" max="8" width="13" style="67" customWidth="1"/>
    <col min="9" max="9" width="9.33203125" style="67"/>
    <col min="10" max="10" width="12.44140625" style="67" bestFit="1" customWidth="1"/>
    <col min="11" max="16384" width="9.33203125" style="67"/>
  </cols>
  <sheetData>
    <row r="1" spans="1:10" s="55" customFormat="1" x14ac:dyDescent="0.3">
      <c r="E1" s="56"/>
      <c r="G1" s="108"/>
    </row>
    <row r="2" spans="1:10" s="55" customFormat="1" x14ac:dyDescent="0.3">
      <c r="A2" s="57"/>
      <c r="C2" s="58"/>
      <c r="D2" s="58"/>
      <c r="E2" s="59"/>
      <c r="F2" s="60"/>
      <c r="G2" s="108"/>
    </row>
    <row r="3" spans="1:10" s="299" customFormat="1" ht="21" customHeight="1" x14ac:dyDescent="0.4">
      <c r="A3" s="298"/>
      <c r="B3" s="411" t="s">
        <v>179</v>
      </c>
      <c r="C3" s="411"/>
      <c r="D3" s="411"/>
      <c r="E3" s="411"/>
      <c r="F3" s="411"/>
      <c r="G3" s="298"/>
      <c r="H3" s="298"/>
    </row>
    <row r="4" spans="1:10" s="55" customFormat="1" ht="17.399999999999999" x14ac:dyDescent="0.3">
      <c r="A4" s="57"/>
      <c r="B4" s="61"/>
      <c r="C4" s="58"/>
      <c r="D4" s="58"/>
      <c r="E4" s="59"/>
      <c r="F4" s="60"/>
      <c r="G4" s="108"/>
    </row>
    <row r="5" spans="1:10" s="55" customFormat="1" x14ac:dyDescent="0.3">
      <c r="A5" s="57"/>
      <c r="B5" s="62">
        <v>60</v>
      </c>
      <c r="C5" s="58"/>
      <c r="D5" s="58"/>
      <c r="E5" s="59"/>
      <c r="G5" s="109" t="s">
        <v>180</v>
      </c>
    </row>
    <row r="6" spans="1:10" ht="17.399999999999999" x14ac:dyDescent="0.3">
      <c r="A6" s="63"/>
      <c r="B6" s="64"/>
      <c r="C6" s="64"/>
      <c r="D6" s="64"/>
      <c r="E6" s="65"/>
      <c r="F6" s="66"/>
      <c r="G6" s="110" t="s">
        <v>181</v>
      </c>
      <c r="H6" s="66"/>
    </row>
    <row r="7" spans="1:10" ht="18.75" customHeight="1" x14ac:dyDescent="0.3">
      <c r="A7" s="68"/>
      <c r="B7" s="69" t="s">
        <v>30</v>
      </c>
      <c r="C7" s="69"/>
      <c r="D7" s="70"/>
      <c r="E7" s="70"/>
      <c r="F7" s="71"/>
      <c r="G7" s="111">
        <f>SUM(G10:G12)</f>
        <v>2950565.9282458504</v>
      </c>
    </row>
    <row r="8" spans="1:10" x14ac:dyDescent="0.3">
      <c r="B8" s="70"/>
      <c r="C8" s="70"/>
      <c r="D8" s="70"/>
      <c r="E8" s="70"/>
    </row>
    <row r="9" spans="1:10" ht="17.399999999999999" x14ac:dyDescent="0.3">
      <c r="A9" s="72"/>
      <c r="B9" s="73" t="s">
        <v>31</v>
      </c>
      <c r="C9" s="74"/>
      <c r="D9" s="74"/>
      <c r="E9" s="75"/>
      <c r="F9" s="76"/>
      <c r="G9" s="113"/>
      <c r="H9" s="76"/>
    </row>
    <row r="10" spans="1:10" x14ac:dyDescent="0.3">
      <c r="A10" s="68"/>
      <c r="B10" s="70" t="s">
        <v>182</v>
      </c>
      <c r="C10" s="70"/>
      <c r="D10" s="70"/>
      <c r="E10" s="70"/>
      <c r="F10" s="77"/>
      <c r="G10" s="114">
        <f>SUMIF($C$18:$C$100,"2",$G$18:$G$100)</f>
        <v>677076.96434744413</v>
      </c>
      <c r="H10" s="78"/>
      <c r="J10" s="79"/>
    </row>
    <row r="11" spans="1:10" x14ac:dyDescent="0.3">
      <c r="A11" s="68"/>
      <c r="B11" s="70" t="s">
        <v>32</v>
      </c>
      <c r="C11" s="70"/>
      <c r="D11" s="70"/>
      <c r="E11" s="70"/>
      <c r="F11" s="80"/>
      <c r="G11" s="114">
        <f>SUMIF($C$18:$C$100,"1",$G$18:$G$100)</f>
        <v>2273488.9638984064</v>
      </c>
      <c r="H11" s="78"/>
      <c r="J11" s="79"/>
    </row>
    <row r="12" spans="1:10" x14ac:dyDescent="0.3">
      <c r="A12" s="68"/>
      <c r="B12" s="70" t="s">
        <v>34</v>
      </c>
      <c r="C12" s="70"/>
      <c r="D12" s="70"/>
      <c r="E12" s="70"/>
      <c r="F12" s="77"/>
      <c r="G12" s="114">
        <v>0</v>
      </c>
      <c r="H12" s="78"/>
      <c r="J12" s="79"/>
    </row>
    <row r="13" spans="1:10" x14ac:dyDescent="0.3">
      <c r="A13" s="81"/>
      <c r="B13" s="82" t="s">
        <v>36</v>
      </c>
      <c r="C13" s="83"/>
      <c r="D13" s="83"/>
      <c r="E13" s="84"/>
      <c r="F13" s="85"/>
      <c r="G13" s="115"/>
      <c r="H13" s="85"/>
    </row>
    <row r="14" spans="1:10" x14ac:dyDescent="0.3">
      <c r="A14" s="68"/>
      <c r="B14" s="70" t="s">
        <v>183</v>
      </c>
      <c r="C14" s="70"/>
      <c r="D14" s="70"/>
      <c r="E14" s="70"/>
      <c r="F14" s="86"/>
      <c r="G14" s="114"/>
    </row>
    <row r="15" spans="1:10" x14ac:dyDescent="0.3">
      <c r="A15" s="68"/>
      <c r="B15" s="70" t="s">
        <v>184</v>
      </c>
      <c r="C15" s="70"/>
      <c r="D15" s="70"/>
      <c r="E15" s="70"/>
      <c r="F15" s="86"/>
      <c r="G15" s="114"/>
    </row>
    <row r="16" spans="1:10" x14ac:dyDescent="0.3">
      <c r="A16" s="68"/>
      <c r="B16" s="70" t="s">
        <v>185</v>
      </c>
      <c r="C16" s="70"/>
      <c r="D16" s="70"/>
      <c r="E16" s="70"/>
      <c r="F16" s="86"/>
      <c r="G16" s="114"/>
    </row>
    <row r="17" spans="1:8" ht="13.5" customHeight="1" x14ac:dyDescent="0.3">
      <c r="A17" s="81"/>
      <c r="B17" s="83" t="s">
        <v>44</v>
      </c>
      <c r="C17" s="83"/>
      <c r="D17" s="83"/>
      <c r="E17" s="84"/>
      <c r="F17" s="87"/>
      <c r="G17" s="116"/>
      <c r="H17" s="87"/>
    </row>
    <row r="18" spans="1:8" x14ac:dyDescent="0.3">
      <c r="A18" s="88">
        <v>1</v>
      </c>
      <c r="B18" s="89" t="s">
        <v>186</v>
      </c>
      <c r="C18" s="90"/>
      <c r="D18" s="90"/>
      <c r="E18" s="90"/>
      <c r="F18" s="90"/>
      <c r="G18" s="117">
        <f>SUM(G19:G27)</f>
        <v>0</v>
      </c>
      <c r="H18" s="90"/>
    </row>
    <row r="19" spans="1:8" x14ac:dyDescent="0.3">
      <c r="A19" s="91">
        <v>1.01</v>
      </c>
      <c r="B19" s="92" t="s">
        <v>187</v>
      </c>
      <c r="C19" s="93">
        <v>2</v>
      </c>
      <c r="D19" s="94" t="s">
        <v>188</v>
      </c>
      <c r="E19" s="95">
        <f t="shared" ref="E19:E27" si="0">IF(D19="USD",1,$B$5)</f>
        <v>1</v>
      </c>
      <c r="F19" s="96">
        <v>0</v>
      </c>
      <c r="G19" s="118">
        <f>IF(D19="DOP",F19/E19,F19)</f>
        <v>0</v>
      </c>
    </row>
    <row r="20" spans="1:8" x14ac:dyDescent="0.3">
      <c r="A20" s="91">
        <v>1.02</v>
      </c>
      <c r="B20" s="92" t="s">
        <v>189</v>
      </c>
      <c r="C20" s="93">
        <v>2</v>
      </c>
      <c r="D20" s="94" t="s">
        <v>188</v>
      </c>
      <c r="E20" s="95">
        <f t="shared" si="0"/>
        <v>1</v>
      </c>
      <c r="F20" s="96">
        <v>0</v>
      </c>
      <c r="G20" s="118">
        <f t="shared" ref="G20:G27" si="1">IF(D20="DOP",F20/E20,F20)</f>
        <v>0</v>
      </c>
    </row>
    <row r="21" spans="1:8" x14ac:dyDescent="0.3">
      <c r="A21" s="91">
        <v>1.03</v>
      </c>
      <c r="B21" s="92" t="s">
        <v>190</v>
      </c>
      <c r="C21" s="93">
        <v>2</v>
      </c>
      <c r="D21" s="94" t="s">
        <v>188</v>
      </c>
      <c r="E21" s="95">
        <f t="shared" si="0"/>
        <v>1</v>
      </c>
      <c r="F21" s="96">
        <v>0</v>
      </c>
      <c r="G21" s="118">
        <f t="shared" si="1"/>
        <v>0</v>
      </c>
    </row>
    <row r="22" spans="1:8" x14ac:dyDescent="0.3">
      <c r="A22" s="91">
        <v>1.04</v>
      </c>
      <c r="B22" s="92" t="s">
        <v>191</v>
      </c>
      <c r="C22" s="93">
        <v>2</v>
      </c>
      <c r="D22" s="94" t="s">
        <v>188</v>
      </c>
      <c r="E22" s="95">
        <f t="shared" si="0"/>
        <v>1</v>
      </c>
      <c r="F22" s="96">
        <v>0</v>
      </c>
      <c r="G22" s="118">
        <f t="shared" si="1"/>
        <v>0</v>
      </c>
    </row>
    <row r="23" spans="1:8" x14ac:dyDescent="0.3">
      <c r="A23" s="91">
        <v>1.08</v>
      </c>
      <c r="B23" s="92" t="s">
        <v>192</v>
      </c>
      <c r="C23" s="93">
        <v>2</v>
      </c>
      <c r="D23" s="94" t="s">
        <v>188</v>
      </c>
      <c r="E23" s="95">
        <f t="shared" si="0"/>
        <v>1</v>
      </c>
      <c r="F23" s="96">
        <v>0</v>
      </c>
      <c r="G23" s="118">
        <f t="shared" si="1"/>
        <v>0</v>
      </c>
    </row>
    <row r="24" spans="1:8" x14ac:dyDescent="0.3">
      <c r="A24" s="91">
        <v>1.0900000000000001</v>
      </c>
      <c r="B24" s="92" t="s">
        <v>193</v>
      </c>
      <c r="C24" s="93">
        <v>2</v>
      </c>
      <c r="D24" s="94" t="s">
        <v>188</v>
      </c>
      <c r="E24" s="95">
        <f t="shared" si="0"/>
        <v>1</v>
      </c>
      <c r="F24" s="96">
        <v>0</v>
      </c>
      <c r="G24" s="118">
        <f t="shared" si="1"/>
        <v>0</v>
      </c>
    </row>
    <row r="25" spans="1:8" x14ac:dyDescent="0.3">
      <c r="A25" s="91">
        <v>1.05</v>
      </c>
      <c r="B25" s="92" t="s">
        <v>194</v>
      </c>
      <c r="C25" s="93">
        <v>2</v>
      </c>
      <c r="D25" s="94" t="s">
        <v>188</v>
      </c>
      <c r="E25" s="95">
        <f t="shared" si="0"/>
        <v>1</v>
      </c>
      <c r="F25" s="96">
        <v>0</v>
      </c>
      <c r="G25" s="118">
        <f t="shared" si="1"/>
        <v>0</v>
      </c>
    </row>
    <row r="26" spans="1:8" x14ac:dyDescent="0.3">
      <c r="A26" s="91">
        <v>1.06</v>
      </c>
      <c r="B26" s="92" t="s">
        <v>195</v>
      </c>
      <c r="C26" s="93">
        <v>2</v>
      </c>
      <c r="D26" s="94" t="s">
        <v>188</v>
      </c>
      <c r="E26" s="95">
        <f t="shared" si="0"/>
        <v>1</v>
      </c>
      <c r="F26" s="96">
        <v>0</v>
      </c>
      <c r="G26" s="118">
        <f t="shared" si="1"/>
        <v>0</v>
      </c>
    </row>
    <row r="27" spans="1:8" x14ac:dyDescent="0.3">
      <c r="A27" s="91">
        <v>1.07</v>
      </c>
      <c r="B27" s="92" t="s">
        <v>196</v>
      </c>
      <c r="C27" s="93">
        <v>2</v>
      </c>
      <c r="D27" s="94" t="s">
        <v>188</v>
      </c>
      <c r="E27" s="95">
        <f t="shared" si="0"/>
        <v>1</v>
      </c>
      <c r="F27" s="96">
        <v>0</v>
      </c>
      <c r="G27" s="118">
        <f t="shared" si="1"/>
        <v>0</v>
      </c>
    </row>
    <row r="28" spans="1:8" ht="7.2" customHeight="1" x14ac:dyDescent="0.3">
      <c r="A28" s="97"/>
      <c r="D28" s="98"/>
      <c r="E28" s="98"/>
      <c r="F28" s="99"/>
      <c r="G28" s="119"/>
    </row>
    <row r="29" spans="1:8" x14ac:dyDescent="0.3">
      <c r="A29" s="88">
        <v>2</v>
      </c>
      <c r="B29" s="89" t="s">
        <v>197</v>
      </c>
      <c r="C29" s="90"/>
      <c r="D29" s="90"/>
      <c r="E29" s="90"/>
      <c r="F29" s="90"/>
      <c r="G29" s="117">
        <f>SUM(G30:G41)</f>
        <v>222113.72202396166</v>
      </c>
      <c r="H29" s="90"/>
    </row>
    <row r="30" spans="1:8" x14ac:dyDescent="0.3">
      <c r="A30" s="91">
        <v>2.0099999999999998</v>
      </c>
      <c r="B30" s="92" t="s">
        <v>198</v>
      </c>
      <c r="C30" s="93">
        <v>2</v>
      </c>
      <c r="D30" s="94" t="s">
        <v>199</v>
      </c>
      <c r="E30" s="95">
        <f t="shared" ref="E30:E36" si="2">IF(D30="USD",1,$B$5)</f>
        <v>60</v>
      </c>
      <c r="F30" s="96">
        <v>0</v>
      </c>
      <c r="G30" s="118">
        <v>8353.66</v>
      </c>
    </row>
    <row r="31" spans="1:8" x14ac:dyDescent="0.3">
      <c r="A31" s="91">
        <v>2.02</v>
      </c>
      <c r="B31" s="92" t="s">
        <v>200</v>
      </c>
      <c r="C31" s="93">
        <v>2</v>
      </c>
      <c r="D31" s="94" t="s">
        <v>199</v>
      </c>
      <c r="E31" s="95">
        <f t="shared" si="2"/>
        <v>60</v>
      </c>
      <c r="F31" s="96">
        <v>0</v>
      </c>
      <c r="G31" s="118">
        <v>0</v>
      </c>
    </row>
    <row r="32" spans="1:8" x14ac:dyDescent="0.3">
      <c r="A32" s="91">
        <v>2.0299999999999998</v>
      </c>
      <c r="B32" s="92" t="s">
        <v>201</v>
      </c>
      <c r="C32" s="93">
        <v>2</v>
      </c>
      <c r="D32" s="94" t="s">
        <v>199</v>
      </c>
      <c r="E32" s="95">
        <f t="shared" si="2"/>
        <v>60</v>
      </c>
      <c r="F32" s="96">
        <v>0</v>
      </c>
      <c r="G32" s="118">
        <v>0</v>
      </c>
    </row>
    <row r="33" spans="1:8" x14ac:dyDescent="0.3">
      <c r="A33" s="91">
        <v>2.04</v>
      </c>
      <c r="B33" s="92" t="s">
        <v>202</v>
      </c>
      <c r="C33" s="93">
        <v>2</v>
      </c>
      <c r="D33" s="94" t="s">
        <v>199</v>
      </c>
      <c r="E33" s="95">
        <f t="shared" si="2"/>
        <v>60</v>
      </c>
      <c r="F33" s="96">
        <v>0</v>
      </c>
      <c r="G33" s="118">
        <v>0</v>
      </c>
    </row>
    <row r="34" spans="1:8" x14ac:dyDescent="0.3">
      <c r="A34" s="91">
        <v>2.0499999999999998</v>
      </c>
      <c r="B34" s="92" t="s">
        <v>203</v>
      </c>
      <c r="C34" s="93">
        <v>2</v>
      </c>
      <c r="D34" s="94" t="s">
        <v>199</v>
      </c>
      <c r="E34" s="95">
        <f t="shared" si="2"/>
        <v>60</v>
      </c>
      <c r="F34" s="96">
        <v>0</v>
      </c>
      <c r="G34" s="118">
        <v>15099.420287539935</v>
      </c>
    </row>
    <row r="35" spans="1:8" x14ac:dyDescent="0.3">
      <c r="A35" s="91">
        <v>2.06</v>
      </c>
      <c r="B35" s="92" t="s">
        <v>204</v>
      </c>
      <c r="C35" s="93">
        <v>2</v>
      </c>
      <c r="D35" s="94" t="s">
        <v>199</v>
      </c>
      <c r="E35" s="95">
        <f t="shared" si="2"/>
        <v>60</v>
      </c>
      <c r="F35" s="96">
        <v>0</v>
      </c>
      <c r="G35" s="118">
        <v>7260.3833865814695</v>
      </c>
    </row>
    <row r="36" spans="1:8" x14ac:dyDescent="0.3">
      <c r="A36" s="91">
        <v>2.0699999999999998</v>
      </c>
      <c r="B36" s="92" t="s">
        <v>205</v>
      </c>
      <c r="C36" s="93">
        <v>2</v>
      </c>
      <c r="D36" s="94" t="s">
        <v>199</v>
      </c>
      <c r="E36" s="95">
        <f t="shared" si="2"/>
        <v>60</v>
      </c>
      <c r="F36" s="96">
        <v>0</v>
      </c>
      <c r="G36" s="118">
        <v>114712.486</v>
      </c>
    </row>
    <row r="37" spans="1:8" x14ac:dyDescent="0.3">
      <c r="A37" s="91">
        <v>2.08</v>
      </c>
      <c r="B37" s="92" t="s">
        <v>206</v>
      </c>
      <c r="C37" s="93">
        <v>2</v>
      </c>
      <c r="D37" s="94" t="s">
        <v>199</v>
      </c>
      <c r="E37" s="95">
        <f>IF(D37="USD",1,$B$5)</f>
        <v>60</v>
      </c>
      <c r="F37" s="96">
        <v>0</v>
      </c>
      <c r="G37" s="118">
        <v>65014.422349840257</v>
      </c>
    </row>
    <row r="38" spans="1:8" x14ac:dyDescent="0.3">
      <c r="A38" s="91">
        <v>2.09</v>
      </c>
      <c r="B38" s="92" t="s">
        <v>207</v>
      </c>
      <c r="C38" s="93">
        <v>2</v>
      </c>
      <c r="D38" s="94" t="s">
        <v>199</v>
      </c>
      <c r="E38" s="95">
        <f>IF(D38="USD",1,$B$5)</f>
        <v>60</v>
      </c>
      <c r="F38" s="96">
        <v>0</v>
      </c>
      <c r="G38" s="118">
        <v>11673.35</v>
      </c>
    </row>
    <row r="39" spans="1:8" x14ac:dyDescent="0.3">
      <c r="A39" s="91">
        <v>2.1</v>
      </c>
      <c r="B39" s="92" t="s">
        <v>208</v>
      </c>
      <c r="C39" s="93">
        <v>2</v>
      </c>
      <c r="D39" s="94" t="s">
        <v>199</v>
      </c>
      <c r="E39" s="95">
        <f>IF(D39="USD",1,$B$5)</f>
        <v>60</v>
      </c>
      <c r="F39" s="96">
        <v>0</v>
      </c>
      <c r="G39" s="118">
        <v>0</v>
      </c>
    </row>
    <row r="40" spans="1:8" x14ac:dyDescent="0.3">
      <c r="A40" s="91">
        <v>2.11</v>
      </c>
      <c r="B40" s="92" t="s">
        <v>209</v>
      </c>
      <c r="C40" s="93">
        <v>2</v>
      </c>
      <c r="D40" s="94" t="s">
        <v>199</v>
      </c>
      <c r="E40" s="95">
        <f>IF(D40="USD",1,$B$5)</f>
        <v>60</v>
      </c>
      <c r="F40" s="96">
        <v>0</v>
      </c>
      <c r="G40" s="118">
        <v>0</v>
      </c>
    </row>
    <row r="41" spans="1:8" ht="7.5" customHeight="1" x14ac:dyDescent="0.3">
      <c r="A41" s="97"/>
      <c r="B41" s="93"/>
      <c r="C41" s="93"/>
      <c r="D41" s="100"/>
      <c r="E41" s="100"/>
      <c r="F41" s="101"/>
      <c r="G41" s="119"/>
    </row>
    <row r="42" spans="1:8" x14ac:dyDescent="0.3">
      <c r="A42" s="88">
        <v>3</v>
      </c>
      <c r="B42" s="89" t="s">
        <v>210</v>
      </c>
      <c r="C42" s="90"/>
      <c r="D42" s="90"/>
      <c r="E42" s="90"/>
      <c r="F42" s="90"/>
      <c r="G42" s="117">
        <f>SUBTOTAL(9,G43:G47)</f>
        <v>180559.1335974441</v>
      </c>
      <c r="H42" s="90"/>
    </row>
    <row r="43" spans="1:8" x14ac:dyDescent="0.3">
      <c r="A43" s="91">
        <v>3.01</v>
      </c>
      <c r="B43" s="92" t="s">
        <v>211</v>
      </c>
      <c r="C43" s="93">
        <v>2</v>
      </c>
      <c r="D43" s="94" t="s">
        <v>199</v>
      </c>
      <c r="E43" s="95">
        <f>IF(D43="USD",1,$B$5)</f>
        <v>60</v>
      </c>
      <c r="F43" s="96">
        <v>0</v>
      </c>
      <c r="G43" s="118">
        <v>0</v>
      </c>
    </row>
    <row r="44" spans="1:8" x14ac:dyDescent="0.3">
      <c r="A44" s="91">
        <v>3.02</v>
      </c>
      <c r="B44" s="92" t="s">
        <v>212</v>
      </c>
      <c r="C44" s="93">
        <v>2</v>
      </c>
      <c r="D44" s="94" t="s">
        <v>199</v>
      </c>
      <c r="E44" s="95">
        <f>IF(D44="USD",1,$B$5)</f>
        <v>60</v>
      </c>
      <c r="F44" s="96">
        <v>0</v>
      </c>
      <c r="G44" s="118">
        <v>0</v>
      </c>
    </row>
    <row r="45" spans="1:8" x14ac:dyDescent="0.3">
      <c r="A45" s="91">
        <v>3.03</v>
      </c>
      <c r="B45" s="92" t="s">
        <v>213</v>
      </c>
      <c r="C45" s="93">
        <v>2</v>
      </c>
      <c r="D45" s="94" t="s">
        <v>199</v>
      </c>
      <c r="E45" s="95">
        <f>IF(D45="USD",1,$B$5)</f>
        <v>60</v>
      </c>
      <c r="F45" s="96">
        <v>0</v>
      </c>
      <c r="G45" s="118">
        <v>165254.22</v>
      </c>
    </row>
    <row r="46" spans="1:8" x14ac:dyDescent="0.3">
      <c r="A46" s="91">
        <v>3.04</v>
      </c>
      <c r="B46" s="92" t="s">
        <v>214</v>
      </c>
      <c r="C46" s="93">
        <v>2</v>
      </c>
      <c r="D46" s="94" t="s">
        <v>199</v>
      </c>
      <c r="E46" s="95">
        <f>IF(D46="USD",1,$B$5)</f>
        <v>60</v>
      </c>
      <c r="F46" s="96">
        <v>0</v>
      </c>
      <c r="G46" s="118">
        <v>15304.913597444089</v>
      </c>
    </row>
    <row r="47" spans="1:8" ht="7.5" customHeight="1" x14ac:dyDescent="0.3">
      <c r="A47" s="97"/>
      <c r="B47" s="93"/>
      <c r="C47" s="93"/>
      <c r="D47" s="100"/>
      <c r="E47" s="100"/>
      <c r="F47" s="102"/>
      <c r="G47" s="120"/>
    </row>
    <row r="48" spans="1:8" x14ac:dyDescent="0.3">
      <c r="A48" s="88">
        <v>4</v>
      </c>
      <c r="B48" s="89" t="s">
        <v>215</v>
      </c>
      <c r="C48" s="90"/>
      <c r="D48" s="90"/>
      <c r="E48" s="90"/>
      <c r="F48" s="90"/>
      <c r="G48" s="117">
        <f>SUM(G49:G52)</f>
        <v>274404.10872603831</v>
      </c>
      <c r="H48" s="90"/>
    </row>
    <row r="49" spans="1:8" x14ac:dyDescent="0.3">
      <c r="A49" s="91">
        <v>4.01</v>
      </c>
      <c r="B49" s="92" t="s">
        <v>216</v>
      </c>
      <c r="C49" s="93">
        <v>2</v>
      </c>
      <c r="D49" s="94" t="s">
        <v>199</v>
      </c>
      <c r="E49" s="95">
        <f>IF(D49="USD",1,$B$5)</f>
        <v>60</v>
      </c>
      <c r="F49" s="96">
        <v>0</v>
      </c>
      <c r="G49" s="118">
        <v>255437.67022763577</v>
      </c>
    </row>
    <row r="50" spans="1:8" x14ac:dyDescent="0.3">
      <c r="A50" s="91">
        <v>4.0199999999999996</v>
      </c>
      <c r="B50" s="92" t="s">
        <v>217</v>
      </c>
      <c r="C50" s="93">
        <v>2</v>
      </c>
      <c r="D50" s="94" t="s">
        <v>199</v>
      </c>
      <c r="E50" s="95">
        <f>IF(D50="USD",1,$B$5)</f>
        <v>60</v>
      </c>
      <c r="F50" s="96">
        <v>0</v>
      </c>
      <c r="G50" s="118">
        <v>0</v>
      </c>
    </row>
    <row r="51" spans="1:8" x14ac:dyDescent="0.3">
      <c r="A51" s="91">
        <v>4.03</v>
      </c>
      <c r="B51" s="92" t="s">
        <v>218</v>
      </c>
      <c r="C51" s="93">
        <v>2</v>
      </c>
      <c r="D51" s="94" t="s">
        <v>199</v>
      </c>
      <c r="E51" s="95">
        <f>IF(D51="USD",1,$B$5)</f>
        <v>60</v>
      </c>
      <c r="F51" s="96">
        <v>0</v>
      </c>
      <c r="G51" s="118">
        <v>18966.438498402556</v>
      </c>
    </row>
    <row r="52" spans="1:8" ht="7.5" customHeight="1" x14ac:dyDescent="0.3">
      <c r="A52" s="97"/>
      <c r="B52" s="93"/>
      <c r="C52" s="93"/>
      <c r="D52" s="100"/>
      <c r="E52" s="100"/>
      <c r="F52" s="101"/>
      <c r="G52" s="119"/>
    </row>
    <row r="53" spans="1:8" x14ac:dyDescent="0.3">
      <c r="A53" s="88">
        <v>5</v>
      </c>
      <c r="B53" s="89" t="s">
        <v>219</v>
      </c>
      <c r="C53" s="90"/>
      <c r="D53" s="90"/>
      <c r="E53" s="90"/>
      <c r="F53" s="90"/>
      <c r="G53" s="117">
        <f>SUM(G54:G61)</f>
        <v>1043362.4316908945</v>
      </c>
      <c r="H53" s="90"/>
    </row>
    <row r="54" spans="1:8" x14ac:dyDescent="0.3">
      <c r="A54" s="91">
        <v>5.01</v>
      </c>
      <c r="B54" s="92" t="s">
        <v>220</v>
      </c>
      <c r="C54" s="93">
        <v>1</v>
      </c>
      <c r="D54" s="94" t="s">
        <v>199</v>
      </c>
      <c r="E54" s="95">
        <f>IF(D54="USD",1,$B$5)</f>
        <v>60</v>
      </c>
      <c r="F54" s="96">
        <v>0</v>
      </c>
      <c r="G54" s="118">
        <v>157500</v>
      </c>
    </row>
    <row r="55" spans="1:8" x14ac:dyDescent="0.3">
      <c r="A55" s="91">
        <v>5.0199999999999996</v>
      </c>
      <c r="B55" s="92" t="s">
        <v>221</v>
      </c>
      <c r="C55" s="93">
        <v>1</v>
      </c>
      <c r="D55" s="94" t="s">
        <v>199</v>
      </c>
      <c r="E55" s="95">
        <f t="shared" ref="E55:E60" si="3">IF(D55="USD",1,$B$5)</f>
        <v>60</v>
      </c>
      <c r="F55" s="96">
        <v>0</v>
      </c>
      <c r="G55" s="118">
        <v>32571.3465</v>
      </c>
    </row>
    <row r="56" spans="1:8" x14ac:dyDescent="0.3">
      <c r="A56" s="91">
        <v>5.03</v>
      </c>
      <c r="B56" s="103" t="s">
        <v>222</v>
      </c>
      <c r="C56" s="93">
        <v>1</v>
      </c>
      <c r="D56" s="94" t="s">
        <v>199</v>
      </c>
      <c r="E56" s="95">
        <f t="shared" si="3"/>
        <v>60</v>
      </c>
      <c r="F56" s="96">
        <v>0</v>
      </c>
      <c r="G56" s="118">
        <v>545308.28391773161</v>
      </c>
    </row>
    <row r="57" spans="1:8" x14ac:dyDescent="0.3">
      <c r="A57" s="91">
        <v>5.04</v>
      </c>
      <c r="B57" s="92" t="s">
        <v>223</v>
      </c>
      <c r="C57" s="93">
        <v>1</v>
      </c>
      <c r="D57" s="94" t="s">
        <v>199</v>
      </c>
      <c r="E57" s="95">
        <f t="shared" si="3"/>
        <v>60</v>
      </c>
      <c r="F57" s="96">
        <v>0</v>
      </c>
      <c r="G57" s="121">
        <v>28768.600000000006</v>
      </c>
    </row>
    <row r="58" spans="1:8" x14ac:dyDescent="0.3">
      <c r="A58" s="91">
        <v>5.05</v>
      </c>
      <c r="B58" s="92" t="s">
        <v>224</v>
      </c>
      <c r="C58" s="93">
        <v>1</v>
      </c>
      <c r="D58" s="94" t="s">
        <v>199</v>
      </c>
      <c r="E58" s="95">
        <f t="shared" si="3"/>
        <v>60</v>
      </c>
      <c r="F58" s="96">
        <v>0</v>
      </c>
      <c r="G58" s="121">
        <v>37028.753993610226</v>
      </c>
    </row>
    <row r="59" spans="1:8" x14ac:dyDescent="0.3">
      <c r="A59" s="91">
        <v>5.0599999999999996</v>
      </c>
      <c r="B59" s="92" t="s">
        <v>225</v>
      </c>
      <c r="C59" s="93">
        <v>1</v>
      </c>
      <c r="D59" s="94" t="s">
        <v>199</v>
      </c>
      <c r="E59" s="95">
        <f t="shared" si="3"/>
        <v>60</v>
      </c>
      <c r="F59" s="96">
        <v>0</v>
      </c>
      <c r="G59" s="121">
        <v>168492.01277955272</v>
      </c>
    </row>
    <row r="60" spans="1:8" x14ac:dyDescent="0.3">
      <c r="A60" s="91">
        <v>5.07</v>
      </c>
      <c r="B60" s="92" t="s">
        <v>226</v>
      </c>
      <c r="C60" s="93">
        <v>1</v>
      </c>
      <c r="D60" s="94" t="s">
        <v>199</v>
      </c>
      <c r="E60" s="95">
        <f t="shared" si="3"/>
        <v>60</v>
      </c>
      <c r="F60" s="96">
        <v>0</v>
      </c>
      <c r="G60" s="121">
        <v>73693.434500000003</v>
      </c>
    </row>
    <row r="61" spans="1:8" ht="7.5" customHeight="1" x14ac:dyDescent="0.3">
      <c r="A61" s="97"/>
      <c r="B61" s="93"/>
      <c r="C61" s="93"/>
      <c r="D61" s="100"/>
      <c r="E61" s="100"/>
      <c r="F61" s="102"/>
      <c r="G61" s="120"/>
    </row>
    <row r="62" spans="1:8" x14ac:dyDescent="0.3">
      <c r="A62" s="88">
        <v>6</v>
      </c>
      <c r="B62" s="89" t="s">
        <v>227</v>
      </c>
      <c r="C62" s="90"/>
      <c r="D62" s="90"/>
      <c r="E62" s="90"/>
      <c r="F62" s="90"/>
      <c r="G62" s="117">
        <f>SUM(G63:G68)</f>
        <v>38430.064728434503</v>
      </c>
      <c r="H62" s="90"/>
    </row>
    <row r="63" spans="1:8" x14ac:dyDescent="0.3">
      <c r="A63" s="91">
        <v>6.01</v>
      </c>
      <c r="B63" s="92" t="s">
        <v>228</v>
      </c>
      <c r="C63" s="93">
        <v>1</v>
      </c>
      <c r="D63" s="94" t="s">
        <v>199</v>
      </c>
      <c r="E63" s="95">
        <f>IF(D63="USD",1,$B$5)</f>
        <v>60</v>
      </c>
      <c r="F63" s="96">
        <v>0</v>
      </c>
      <c r="G63" s="121">
        <f t="shared" ref="G63:G66" si="4">IF(D63="DOP",F63/E63,F63)</f>
        <v>0</v>
      </c>
    </row>
    <row r="64" spans="1:8" x14ac:dyDescent="0.3">
      <c r="A64" s="91">
        <v>6.02</v>
      </c>
      <c r="B64" s="92" t="s">
        <v>229</v>
      </c>
      <c r="C64" s="93">
        <v>1</v>
      </c>
      <c r="D64" s="94" t="s">
        <v>199</v>
      </c>
      <c r="E64" s="95">
        <f t="shared" ref="E64:E67" si="5">IF(D64="USD",1,$B$5)</f>
        <v>60</v>
      </c>
      <c r="F64" s="96">
        <v>0</v>
      </c>
      <c r="G64" s="121">
        <f t="shared" si="4"/>
        <v>0</v>
      </c>
    </row>
    <row r="65" spans="1:8" x14ac:dyDescent="0.3">
      <c r="A65" s="91">
        <v>6.03</v>
      </c>
      <c r="B65" s="92" t="s">
        <v>230</v>
      </c>
      <c r="C65" s="93">
        <v>1</v>
      </c>
      <c r="D65" s="94" t="s">
        <v>199</v>
      </c>
      <c r="E65" s="95">
        <f t="shared" si="5"/>
        <v>60</v>
      </c>
      <c r="F65" s="96">
        <v>0</v>
      </c>
      <c r="G65" s="121">
        <f t="shared" si="4"/>
        <v>0</v>
      </c>
    </row>
    <row r="66" spans="1:8" x14ac:dyDescent="0.3">
      <c r="A66" s="91">
        <v>6.04</v>
      </c>
      <c r="B66" s="92" t="s">
        <v>231</v>
      </c>
      <c r="C66" s="93">
        <v>1</v>
      </c>
      <c r="D66" s="94" t="s">
        <v>199</v>
      </c>
      <c r="E66" s="95">
        <f t="shared" si="5"/>
        <v>60</v>
      </c>
      <c r="F66" s="96">
        <v>0</v>
      </c>
      <c r="G66" s="121">
        <f t="shared" si="4"/>
        <v>0</v>
      </c>
    </row>
    <row r="67" spans="1:8" x14ac:dyDescent="0.3">
      <c r="A67" s="91">
        <v>6.05</v>
      </c>
      <c r="B67" s="92" t="s">
        <v>232</v>
      </c>
      <c r="C67" s="93">
        <v>1</v>
      </c>
      <c r="D67" s="94" t="s">
        <v>199</v>
      </c>
      <c r="E67" s="95">
        <f t="shared" si="5"/>
        <v>60</v>
      </c>
      <c r="F67" s="96">
        <v>0</v>
      </c>
      <c r="G67" s="121">
        <v>38430.064728434503</v>
      </c>
    </row>
    <row r="68" spans="1:8" x14ac:dyDescent="0.3">
      <c r="A68" s="97"/>
      <c r="B68" s="104"/>
      <c r="C68" s="93"/>
      <c r="D68" s="100"/>
      <c r="E68" s="105"/>
      <c r="F68" s="106"/>
      <c r="G68" s="119"/>
    </row>
    <row r="69" spans="1:8" x14ac:dyDescent="0.3">
      <c r="A69" s="88">
        <v>7</v>
      </c>
      <c r="B69" s="89" t="s">
        <v>233</v>
      </c>
      <c r="C69" s="90"/>
      <c r="D69" s="90"/>
      <c r="E69" s="90"/>
      <c r="F69" s="90"/>
      <c r="G69" s="117">
        <f>SUM(G70:G77)</f>
        <v>381984.74932907347</v>
      </c>
      <c r="H69" s="90"/>
    </row>
    <row r="70" spans="1:8" s="70" customFormat="1" x14ac:dyDescent="0.3">
      <c r="A70" s="91">
        <v>7.01</v>
      </c>
      <c r="B70" s="92" t="s">
        <v>234</v>
      </c>
      <c r="C70" s="92">
        <v>1</v>
      </c>
      <c r="D70" s="94" t="s">
        <v>199</v>
      </c>
      <c r="E70" s="95">
        <f>IF(D70="USD",1,$B$5)</f>
        <v>60</v>
      </c>
      <c r="F70" s="96">
        <v>0</v>
      </c>
      <c r="G70" s="121">
        <v>30264.520766773167</v>
      </c>
    </row>
    <row r="71" spans="1:8" s="70" customFormat="1" x14ac:dyDescent="0.3">
      <c r="A71" s="91">
        <v>7.02</v>
      </c>
      <c r="B71" s="92" t="s">
        <v>235</v>
      </c>
      <c r="C71" s="92">
        <v>1</v>
      </c>
      <c r="D71" s="94" t="s">
        <v>199</v>
      </c>
      <c r="E71" s="95">
        <f t="shared" ref="E71:E72" si="6">IF(D71="USD",1,$B$5)</f>
        <v>60</v>
      </c>
      <c r="F71" s="96">
        <v>0</v>
      </c>
      <c r="G71" s="121">
        <v>65026.094984025556</v>
      </c>
    </row>
    <row r="72" spans="1:8" s="70" customFormat="1" x14ac:dyDescent="0.3">
      <c r="A72" s="91">
        <v>7.03</v>
      </c>
      <c r="B72" s="92" t="s">
        <v>236</v>
      </c>
      <c r="C72" s="92">
        <v>1</v>
      </c>
      <c r="D72" s="94" t="s">
        <v>199</v>
      </c>
      <c r="E72" s="95">
        <f t="shared" si="6"/>
        <v>60</v>
      </c>
      <c r="F72" s="96">
        <v>0</v>
      </c>
      <c r="G72" s="121">
        <v>53605.920479233231</v>
      </c>
    </row>
    <row r="73" spans="1:8" s="70" customFormat="1" x14ac:dyDescent="0.3">
      <c r="A73" s="91">
        <v>7.04</v>
      </c>
      <c r="B73" s="92" t="s">
        <v>237</v>
      </c>
      <c r="C73" s="92">
        <v>1</v>
      </c>
      <c r="D73" s="94" t="s">
        <v>199</v>
      </c>
      <c r="E73" s="95">
        <f t="shared" ref="E73:E76" si="7">IF(D73="USD",1,$B$5)</f>
        <v>60</v>
      </c>
      <c r="F73" s="96">
        <v>0</v>
      </c>
      <c r="G73" s="121">
        <v>170136.8638977636</v>
      </c>
    </row>
    <row r="74" spans="1:8" s="70" customFormat="1" x14ac:dyDescent="0.3">
      <c r="A74" s="91">
        <v>7.05</v>
      </c>
      <c r="B74" s="92" t="s">
        <v>238</v>
      </c>
      <c r="C74" s="92">
        <v>1</v>
      </c>
      <c r="D74" s="94" t="s">
        <v>199</v>
      </c>
      <c r="E74" s="95">
        <f t="shared" si="7"/>
        <v>60</v>
      </c>
      <c r="F74" s="96">
        <v>0</v>
      </c>
      <c r="G74" s="121">
        <v>62951.349201277946</v>
      </c>
    </row>
    <row r="75" spans="1:8" s="70" customFormat="1" x14ac:dyDescent="0.3">
      <c r="A75" s="91">
        <v>7.06</v>
      </c>
      <c r="B75" s="92" t="s">
        <v>239</v>
      </c>
      <c r="C75" s="92">
        <v>1</v>
      </c>
      <c r="D75" s="94" t="s">
        <v>199</v>
      </c>
      <c r="E75" s="95">
        <f t="shared" si="7"/>
        <v>60</v>
      </c>
      <c r="F75" s="182">
        <v>0</v>
      </c>
      <c r="G75" s="121">
        <v>0</v>
      </c>
    </row>
    <row r="76" spans="1:8" s="70" customFormat="1" x14ac:dyDescent="0.3">
      <c r="A76" s="91">
        <v>7.07</v>
      </c>
      <c r="B76" s="92" t="s">
        <v>240</v>
      </c>
      <c r="C76" s="92">
        <v>1</v>
      </c>
      <c r="D76" s="94" t="s">
        <v>199</v>
      </c>
      <c r="E76" s="95">
        <f t="shared" si="7"/>
        <v>60</v>
      </c>
      <c r="F76" s="96">
        <v>0</v>
      </c>
      <c r="G76" s="121">
        <v>0</v>
      </c>
    </row>
    <row r="77" spans="1:8" ht="7.5" customHeight="1" x14ac:dyDescent="0.3">
      <c r="A77" s="97"/>
      <c r="B77" s="93"/>
      <c r="C77" s="93"/>
      <c r="D77" s="100"/>
      <c r="E77" s="100"/>
      <c r="F77" s="107"/>
      <c r="G77" s="122"/>
    </row>
    <row r="78" spans="1:8" x14ac:dyDescent="0.3">
      <c r="A78" s="88">
        <v>8</v>
      </c>
      <c r="B78" s="89" t="s">
        <v>241</v>
      </c>
      <c r="C78" s="90"/>
      <c r="D78" s="90"/>
      <c r="E78" s="90"/>
      <c r="F78" s="90"/>
      <c r="G78" s="117">
        <f>SUM(G79:G87)</f>
        <v>809711.71815000416</v>
      </c>
      <c r="H78" s="90"/>
    </row>
    <row r="79" spans="1:8" s="70" customFormat="1" x14ac:dyDescent="0.3">
      <c r="A79" s="91">
        <v>8.01</v>
      </c>
      <c r="B79" s="92" t="s">
        <v>242</v>
      </c>
      <c r="C79" s="92">
        <v>1</v>
      </c>
      <c r="D79" s="94" t="s">
        <v>199</v>
      </c>
      <c r="E79" s="95">
        <f t="shared" ref="E79:E86" si="8">IF(D79="USD",1,$B$5)</f>
        <v>60</v>
      </c>
      <c r="F79" s="96">
        <v>0</v>
      </c>
      <c r="G79" s="121">
        <v>355288.99980431306</v>
      </c>
    </row>
    <row r="80" spans="1:8" s="70" customFormat="1" x14ac:dyDescent="0.3">
      <c r="A80" s="91">
        <v>8.02</v>
      </c>
      <c r="B80" s="92" t="s">
        <v>243</v>
      </c>
      <c r="C80" s="92">
        <v>1</v>
      </c>
      <c r="D80" s="94" t="s">
        <v>199</v>
      </c>
      <c r="E80" s="95">
        <f t="shared" si="8"/>
        <v>60</v>
      </c>
      <c r="F80" s="96">
        <v>0</v>
      </c>
      <c r="G80" s="121">
        <v>48231.140750798724</v>
      </c>
    </row>
    <row r="81" spans="1:8" s="70" customFormat="1" x14ac:dyDescent="0.3">
      <c r="A81" s="91">
        <v>8.0299999999999994</v>
      </c>
      <c r="B81" s="92" t="s">
        <v>244</v>
      </c>
      <c r="C81" s="92">
        <v>1</v>
      </c>
      <c r="D81" s="94" t="s">
        <v>199</v>
      </c>
      <c r="E81" s="95">
        <f t="shared" si="8"/>
        <v>60</v>
      </c>
      <c r="F81" s="96">
        <v>0</v>
      </c>
      <c r="G81" s="121">
        <v>46512.175439940249</v>
      </c>
    </row>
    <row r="82" spans="1:8" s="70" customFormat="1" ht="14.25" customHeight="1" x14ac:dyDescent="0.3">
      <c r="A82" s="91">
        <v>8.0399999999999991</v>
      </c>
      <c r="B82" s="92" t="s">
        <v>245</v>
      </c>
      <c r="C82" s="92">
        <v>1</v>
      </c>
      <c r="D82" s="94" t="s">
        <v>199</v>
      </c>
      <c r="E82" s="95">
        <f t="shared" si="8"/>
        <v>60</v>
      </c>
      <c r="F82" s="96">
        <v>0</v>
      </c>
      <c r="G82" s="121">
        <v>23083.509503194888</v>
      </c>
    </row>
    <row r="83" spans="1:8" s="70" customFormat="1" x14ac:dyDescent="0.3">
      <c r="A83" s="91">
        <v>8.0500000000000007</v>
      </c>
      <c r="B83" s="92" t="s">
        <v>246</v>
      </c>
      <c r="C83" s="92">
        <v>1</v>
      </c>
      <c r="D83" s="94" t="s">
        <v>199</v>
      </c>
      <c r="E83" s="95">
        <f t="shared" si="8"/>
        <v>60</v>
      </c>
      <c r="F83" s="96">
        <v>0</v>
      </c>
      <c r="G83" s="121">
        <v>106439.12076677317</v>
      </c>
    </row>
    <row r="84" spans="1:8" s="70" customFormat="1" x14ac:dyDescent="0.3">
      <c r="A84" s="91">
        <v>8.06</v>
      </c>
      <c r="B84" s="92" t="s">
        <v>247</v>
      </c>
      <c r="C84" s="92">
        <v>1</v>
      </c>
      <c r="D84" s="94" t="s">
        <v>199</v>
      </c>
      <c r="E84" s="95">
        <f t="shared" si="8"/>
        <v>60</v>
      </c>
      <c r="F84" s="96">
        <v>0</v>
      </c>
      <c r="G84" s="121">
        <v>44550.663258785949</v>
      </c>
    </row>
    <row r="85" spans="1:8" s="70" customFormat="1" x14ac:dyDescent="0.3">
      <c r="A85" s="91">
        <v>8.07</v>
      </c>
      <c r="B85" s="92" t="s">
        <v>248</v>
      </c>
      <c r="C85" s="92">
        <v>1</v>
      </c>
      <c r="D85" s="94" t="s">
        <v>199</v>
      </c>
      <c r="E85" s="95">
        <f t="shared" si="8"/>
        <v>60</v>
      </c>
      <c r="F85" s="96">
        <v>0</v>
      </c>
      <c r="G85" s="121">
        <v>123730.70926517571</v>
      </c>
    </row>
    <row r="86" spans="1:8" s="70" customFormat="1" x14ac:dyDescent="0.3">
      <c r="A86" s="91">
        <v>8.08</v>
      </c>
      <c r="B86" s="92" t="s">
        <v>249</v>
      </c>
      <c r="C86" s="92">
        <v>1</v>
      </c>
      <c r="D86" s="94" t="s">
        <v>199</v>
      </c>
      <c r="E86" s="95">
        <f t="shared" si="8"/>
        <v>60</v>
      </c>
      <c r="F86" s="96">
        <v>3447098.2007250004</v>
      </c>
      <c r="G86" s="121">
        <v>61875.39936102237</v>
      </c>
    </row>
    <row r="87" spans="1:8" ht="7.5" customHeight="1" x14ac:dyDescent="0.3">
      <c r="A87" s="97"/>
      <c r="B87" s="93"/>
      <c r="C87" s="93"/>
      <c r="D87" s="100"/>
      <c r="E87" s="100"/>
      <c r="F87" s="107"/>
      <c r="G87" s="122"/>
    </row>
    <row r="88" spans="1:8" x14ac:dyDescent="0.3">
      <c r="A88" s="88">
        <v>9</v>
      </c>
      <c r="B88" s="89" t="s">
        <v>250</v>
      </c>
      <c r="C88" s="90"/>
      <c r="D88" s="90"/>
      <c r="E88" s="90"/>
      <c r="F88" s="90"/>
      <c r="G88" s="117">
        <f>SUM(G89:G93)</f>
        <v>0</v>
      </c>
      <c r="H88" s="90"/>
    </row>
    <row r="89" spans="1:8" s="70" customFormat="1" x14ac:dyDescent="0.3">
      <c r="A89" s="91">
        <v>9.01</v>
      </c>
      <c r="B89" s="92" t="s">
        <v>251</v>
      </c>
      <c r="C89" s="92">
        <v>2</v>
      </c>
      <c r="D89" s="94" t="s">
        <v>188</v>
      </c>
      <c r="E89" s="95">
        <f t="shared" ref="E89:E94" si="9">IF(D89="USD",1,$B$5)</f>
        <v>1</v>
      </c>
      <c r="F89" s="96">
        <v>0</v>
      </c>
      <c r="G89" s="121">
        <f t="shared" ref="G89:G94" si="10">IF(D89="DOP",F89/E89,F89)</f>
        <v>0</v>
      </c>
    </row>
    <row r="90" spans="1:8" s="70" customFormat="1" x14ac:dyDescent="0.3">
      <c r="A90" s="91">
        <v>9.02</v>
      </c>
      <c r="B90" s="92" t="s">
        <v>252</v>
      </c>
      <c r="C90" s="92">
        <v>2</v>
      </c>
      <c r="D90" s="94" t="s">
        <v>188</v>
      </c>
      <c r="E90" s="95">
        <f t="shared" si="9"/>
        <v>1</v>
      </c>
      <c r="F90" s="96">
        <v>0</v>
      </c>
      <c r="G90" s="121">
        <f t="shared" si="10"/>
        <v>0</v>
      </c>
    </row>
    <row r="91" spans="1:8" s="70" customFormat="1" x14ac:dyDescent="0.3">
      <c r="A91" s="91">
        <v>9.0299999999999994</v>
      </c>
      <c r="B91" s="92" t="s">
        <v>253</v>
      </c>
      <c r="C91" s="92">
        <v>2</v>
      </c>
      <c r="D91" s="94" t="s">
        <v>188</v>
      </c>
      <c r="E91" s="95">
        <f t="shared" si="9"/>
        <v>1</v>
      </c>
      <c r="F91" s="96">
        <v>0</v>
      </c>
      <c r="G91" s="121">
        <f t="shared" si="10"/>
        <v>0</v>
      </c>
    </row>
    <row r="92" spans="1:8" s="70" customFormat="1" x14ac:dyDescent="0.3">
      <c r="A92" s="91">
        <v>9.0399999999999991</v>
      </c>
      <c r="B92" s="92" t="s">
        <v>254</v>
      </c>
      <c r="C92" s="92">
        <v>2</v>
      </c>
      <c r="D92" s="94" t="s">
        <v>188</v>
      </c>
      <c r="E92" s="95">
        <f t="shared" si="9"/>
        <v>1</v>
      </c>
      <c r="F92" s="96">
        <v>0</v>
      </c>
      <c r="G92" s="121">
        <f t="shared" si="10"/>
        <v>0</v>
      </c>
    </row>
    <row r="93" spans="1:8" s="70" customFormat="1" x14ac:dyDescent="0.3">
      <c r="A93" s="91">
        <v>9.0499999999999989</v>
      </c>
      <c r="B93" s="92" t="s">
        <v>255</v>
      </c>
      <c r="C93" s="92">
        <v>2</v>
      </c>
      <c r="D93" s="94" t="s">
        <v>188</v>
      </c>
      <c r="E93" s="95">
        <f t="shared" si="9"/>
        <v>1</v>
      </c>
      <c r="F93" s="96">
        <v>0</v>
      </c>
      <c r="G93" s="121">
        <f t="shared" si="10"/>
        <v>0</v>
      </c>
    </row>
    <row r="94" spans="1:8" s="70" customFormat="1" x14ac:dyDescent="0.3">
      <c r="A94" s="91">
        <v>9.06</v>
      </c>
      <c r="B94" s="92" t="s">
        <v>256</v>
      </c>
      <c r="C94" s="92">
        <v>2</v>
      </c>
      <c r="D94" s="94" t="s">
        <v>188</v>
      </c>
      <c r="E94" s="95">
        <f t="shared" si="9"/>
        <v>1</v>
      </c>
      <c r="F94" s="96">
        <v>0</v>
      </c>
      <c r="G94" s="121">
        <f t="shared" si="10"/>
        <v>0</v>
      </c>
    </row>
  </sheetData>
  <mergeCells count="1">
    <mergeCell ref="B3:F3"/>
  </mergeCells>
  <printOptions horizontalCentered="1"/>
  <pageMargins left="0.19685039370078741" right="0.19685039370078741" top="0.39370078740157483" bottom="0.39370078740157483" header="0.31496062992125984" footer="0.31496062992125984"/>
  <pageSetup scale="86" fitToHeight="2" orientation="portrait" r:id="rId1"/>
  <headerFooter>
    <oddHeader>&amp;R&amp;G</oddHeader>
    <oddFooter>&amp;L&amp;F&amp;RPág. &amp;P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7E8E-67F5-4D7E-9E8A-FF646C9BFFFE}">
  <sheetPr codeName="Hoja5">
    <tabColor theme="1"/>
  </sheetPr>
  <dimension ref="A1:IC391"/>
  <sheetViews>
    <sheetView showGridLines="0" tabSelected="1" topLeftCell="H1" zoomScale="98" zoomScaleNormal="98" workbookViewId="0">
      <selection activeCell="R365" sqref="R365"/>
    </sheetView>
  </sheetViews>
  <sheetFormatPr baseColWidth="10" defaultColWidth="11.44140625" defaultRowHeight="15" customHeight="1" x14ac:dyDescent="0.3"/>
  <cols>
    <col min="1" max="1" width="4.6640625" style="226" customWidth="1"/>
    <col min="2" max="2" width="2.44140625" style="226" customWidth="1"/>
    <col min="3" max="3" width="22.88671875" style="226" customWidth="1"/>
    <col min="4" max="4" width="3.6640625" style="226" customWidth="1"/>
    <col min="5" max="5" width="22.33203125" style="226" customWidth="1"/>
    <col min="6" max="6" width="45" style="226" customWidth="1"/>
    <col min="7" max="7" width="20.44140625" style="226" customWidth="1"/>
    <col min="8" max="8" width="14.6640625" style="226" customWidth="1"/>
    <col min="9" max="9" width="12" style="226" customWidth="1"/>
    <col min="10" max="10" width="7.6640625" style="226" customWidth="1"/>
    <col min="11" max="11" width="9.6640625" style="226" customWidth="1"/>
    <col min="12" max="12" width="16.33203125" style="226" customWidth="1"/>
    <col min="13" max="13" width="22.44140625" style="226" customWidth="1"/>
    <col min="14" max="14" width="6.6640625" style="226" customWidth="1"/>
    <col min="15" max="15" width="16.33203125" style="226" customWidth="1"/>
    <col min="16" max="16" width="19.33203125" style="226" customWidth="1"/>
    <col min="17" max="17" width="32.33203125" style="226" customWidth="1"/>
    <col min="18" max="18" width="39.6640625" style="226" bestFit="1" customWidth="1"/>
    <col min="19" max="19" width="8.33203125" style="226" customWidth="1"/>
    <col min="20" max="20" width="8.33203125" style="229" customWidth="1"/>
    <col min="21" max="21" width="15" style="226" customWidth="1"/>
    <col min="22" max="23" width="8.33203125" style="226" customWidth="1"/>
    <col min="24" max="24" width="13.6640625" style="226" customWidth="1"/>
    <col min="25" max="26" width="8.33203125" style="226" customWidth="1"/>
    <col min="27" max="27" width="11.5546875" style="226" bestFit="1" customWidth="1"/>
    <col min="28" max="29" width="8.33203125" style="226" customWidth="1"/>
    <col min="30" max="30" width="11.5546875" style="226" bestFit="1" customWidth="1"/>
    <col min="31" max="32" width="8.33203125" style="226" customWidth="1"/>
    <col min="33" max="33" width="11.5546875" style="226" bestFit="1" customWidth="1"/>
    <col min="34" max="34" width="19.5546875" style="226" customWidth="1"/>
    <col min="35" max="35" width="8.33203125" style="316" customWidth="1"/>
    <col min="36" max="237" width="11.44140625" style="316"/>
    <col min="238" max="16384" width="11.44140625" style="226"/>
  </cols>
  <sheetData>
    <row r="1" spans="1:237" ht="15" customHeight="1" x14ac:dyDescent="0.3">
      <c r="A1" s="400" t="s">
        <v>257</v>
      </c>
      <c r="B1" s="400"/>
      <c r="C1" s="400"/>
      <c r="D1" s="400"/>
      <c r="E1" s="400"/>
      <c r="F1" s="400"/>
      <c r="G1" s="225"/>
      <c r="H1" s="225"/>
      <c r="J1" s="227" t="s">
        <v>188</v>
      </c>
      <c r="K1" s="227" t="s">
        <v>258</v>
      </c>
      <c r="Q1" s="228" t="s">
        <v>41</v>
      </c>
      <c r="S1" s="226" t="s">
        <v>259</v>
      </c>
      <c r="AH1" s="398" t="s">
        <v>134</v>
      </c>
    </row>
    <row r="2" spans="1:237" ht="15" customHeight="1" x14ac:dyDescent="0.3">
      <c r="A2" s="401"/>
      <c r="B2" s="401"/>
      <c r="C2" s="400"/>
      <c r="D2" s="400"/>
      <c r="E2" s="400"/>
      <c r="F2" s="400"/>
      <c r="G2" s="225"/>
      <c r="H2" s="225"/>
      <c r="I2" s="227" t="s">
        <v>260</v>
      </c>
      <c r="J2" s="230">
        <v>60.7</v>
      </c>
      <c r="K2" s="231">
        <v>69.8</v>
      </c>
      <c r="Q2" s="228" t="s">
        <v>40</v>
      </c>
      <c r="S2" s="403" t="s">
        <v>261</v>
      </c>
      <c r="T2" s="403"/>
      <c r="U2" s="403"/>
      <c r="V2" s="403"/>
      <c r="W2" s="403"/>
      <c r="X2" s="403"/>
      <c r="Y2" s="403"/>
      <c r="Z2" s="403"/>
      <c r="AA2" s="403"/>
      <c r="AB2" s="403"/>
      <c r="AC2" s="403"/>
      <c r="AD2" s="403"/>
      <c r="AE2" s="403"/>
      <c r="AF2" s="403"/>
      <c r="AG2" s="403"/>
      <c r="AH2" s="398"/>
    </row>
    <row r="3" spans="1:237" ht="15" customHeight="1" x14ac:dyDescent="0.3">
      <c r="D3" s="226" t="s">
        <v>262</v>
      </c>
      <c r="O3" s="232">
        <f>SUBTOTAL(109,BD.PD[Ppto. Orden Interna '[DOP']])</f>
        <v>210750934.83052412</v>
      </c>
      <c r="P3" s="233">
        <f>SUBTOTAL(109,BD.PD[Ppto. Orden Interna '[USD']])</f>
        <v>3472008.8110465235</v>
      </c>
      <c r="S3" s="399" t="s">
        <v>263</v>
      </c>
      <c r="T3" s="399"/>
      <c r="U3" s="402"/>
      <c r="V3" s="399" t="s">
        <v>264</v>
      </c>
      <c r="W3" s="399"/>
      <c r="X3" s="402"/>
      <c r="Y3" s="399" t="s">
        <v>265</v>
      </c>
      <c r="Z3" s="399"/>
      <c r="AA3" s="402"/>
      <c r="AB3" s="399" t="s">
        <v>266</v>
      </c>
      <c r="AC3" s="399"/>
      <c r="AD3" s="402"/>
      <c r="AE3" s="399" t="s">
        <v>267</v>
      </c>
      <c r="AF3" s="399"/>
      <c r="AG3" s="399"/>
      <c r="AH3" s="398"/>
    </row>
    <row r="4" spans="1:237" s="238" customFormat="1" ht="55.2" x14ac:dyDescent="0.3">
      <c r="A4" s="234" t="s">
        <v>268</v>
      </c>
      <c r="B4" s="234" t="s">
        <v>269</v>
      </c>
      <c r="C4" s="234" t="s">
        <v>270</v>
      </c>
      <c r="D4" s="234" t="s">
        <v>271</v>
      </c>
      <c r="E4" s="234" t="s">
        <v>272</v>
      </c>
      <c r="F4" s="234" t="s">
        <v>273</v>
      </c>
      <c r="G4" s="234" t="s">
        <v>274</v>
      </c>
      <c r="H4" s="234" t="s">
        <v>1</v>
      </c>
      <c r="I4" s="234" t="s">
        <v>275</v>
      </c>
      <c r="J4" s="234" t="s">
        <v>276</v>
      </c>
      <c r="K4" s="234" t="s">
        <v>277</v>
      </c>
      <c r="L4" s="234" t="s">
        <v>278</v>
      </c>
      <c r="M4" s="234" t="s">
        <v>279</v>
      </c>
      <c r="N4" s="234" t="s">
        <v>280</v>
      </c>
      <c r="O4" s="234" t="s">
        <v>281</v>
      </c>
      <c r="P4" s="235" t="s">
        <v>282</v>
      </c>
      <c r="Q4" s="234" t="s">
        <v>283</v>
      </c>
      <c r="R4" s="234" t="s">
        <v>288</v>
      </c>
      <c r="S4" s="234" t="s">
        <v>289</v>
      </c>
      <c r="T4" s="234" t="s">
        <v>290</v>
      </c>
      <c r="U4" s="236" t="s">
        <v>291</v>
      </c>
      <c r="V4" s="234" t="s">
        <v>292</v>
      </c>
      <c r="W4" s="234" t="s">
        <v>293</v>
      </c>
      <c r="X4" s="236" t="s">
        <v>294</v>
      </c>
      <c r="Y4" s="234" t="s">
        <v>295</v>
      </c>
      <c r="Z4" s="234" t="s">
        <v>296</v>
      </c>
      <c r="AA4" s="236" t="s">
        <v>297</v>
      </c>
      <c r="AB4" s="234" t="s">
        <v>298</v>
      </c>
      <c r="AC4" s="234" t="s">
        <v>299</v>
      </c>
      <c r="AD4" s="236" t="s">
        <v>300</v>
      </c>
      <c r="AE4" s="234" t="s">
        <v>301</v>
      </c>
      <c r="AF4" s="234" t="s">
        <v>302</v>
      </c>
      <c r="AG4" s="234" t="s">
        <v>303</v>
      </c>
      <c r="AH4" s="237" t="s">
        <v>304</v>
      </c>
      <c r="AI4" s="319" t="s">
        <v>305</v>
      </c>
      <c r="AJ4" s="317"/>
      <c r="AK4" s="317"/>
      <c r="AL4" s="317"/>
      <c r="AM4" s="317"/>
      <c r="AN4" s="317"/>
      <c r="AO4" s="317"/>
      <c r="AP4" s="317"/>
      <c r="AQ4" s="317"/>
      <c r="AR4" s="317"/>
      <c r="AS4" s="317"/>
      <c r="AT4" s="317"/>
      <c r="AU4" s="317"/>
      <c r="AV4" s="317"/>
      <c r="AW4" s="317"/>
      <c r="AX4" s="317"/>
      <c r="AY4" s="317"/>
      <c r="AZ4" s="317"/>
      <c r="BA4" s="317"/>
      <c r="BB4" s="317"/>
      <c r="BC4" s="317"/>
      <c r="BD4" s="317"/>
      <c r="BE4" s="317"/>
      <c r="BF4" s="317"/>
      <c r="BG4" s="317"/>
      <c r="BH4" s="317"/>
      <c r="BI4" s="317"/>
      <c r="BJ4" s="317"/>
      <c r="BK4" s="317"/>
      <c r="BL4" s="317"/>
      <c r="BM4" s="317"/>
      <c r="BN4" s="317"/>
      <c r="BO4" s="317"/>
      <c r="BP4" s="317"/>
      <c r="BQ4" s="317"/>
      <c r="BR4" s="317"/>
      <c r="BS4" s="317"/>
      <c r="BT4" s="317"/>
      <c r="BU4" s="317"/>
      <c r="BV4" s="317"/>
      <c r="BW4" s="317"/>
      <c r="BX4" s="317"/>
      <c r="BY4" s="317"/>
      <c r="BZ4" s="317"/>
      <c r="CA4" s="317"/>
      <c r="CB4" s="317"/>
      <c r="CC4" s="317"/>
      <c r="CD4" s="317"/>
      <c r="CE4" s="317"/>
      <c r="CF4" s="317"/>
      <c r="CG4" s="317"/>
      <c r="CH4" s="317"/>
      <c r="CI4" s="317"/>
      <c r="CJ4" s="317"/>
      <c r="CK4" s="317"/>
      <c r="CL4" s="317"/>
      <c r="CM4" s="317"/>
      <c r="CN4" s="317"/>
      <c r="CO4" s="317"/>
      <c r="CP4" s="317"/>
      <c r="CQ4" s="317"/>
      <c r="CR4" s="317"/>
      <c r="CS4" s="317"/>
      <c r="CT4" s="317"/>
      <c r="CU4" s="317"/>
      <c r="CV4" s="317"/>
      <c r="CW4" s="317"/>
      <c r="CX4" s="317"/>
      <c r="CY4" s="317"/>
      <c r="CZ4" s="317"/>
      <c r="DA4" s="317"/>
      <c r="DB4" s="317"/>
      <c r="DC4" s="317"/>
      <c r="DD4" s="317"/>
      <c r="DE4" s="317"/>
      <c r="DF4" s="317"/>
      <c r="DG4" s="317"/>
      <c r="DH4" s="317"/>
      <c r="DI4" s="317"/>
      <c r="DJ4" s="317"/>
      <c r="DK4" s="317"/>
      <c r="DL4" s="317"/>
      <c r="DM4" s="317"/>
      <c r="DN4" s="317"/>
      <c r="DO4" s="317"/>
      <c r="DP4" s="317"/>
      <c r="DQ4" s="317"/>
      <c r="DR4" s="317"/>
      <c r="DS4" s="317"/>
      <c r="DT4" s="317"/>
      <c r="DU4" s="317"/>
      <c r="DV4" s="317"/>
      <c r="DW4" s="317"/>
      <c r="DX4" s="317"/>
      <c r="DY4" s="317"/>
      <c r="DZ4" s="317"/>
      <c r="EA4" s="317"/>
      <c r="EB4" s="317"/>
      <c r="EC4" s="317"/>
      <c r="ED4" s="317"/>
      <c r="EE4" s="317"/>
      <c r="EF4" s="317"/>
      <c r="EG4" s="317"/>
      <c r="EH4" s="317"/>
      <c r="EI4" s="317"/>
      <c r="EJ4" s="317"/>
      <c r="EK4" s="317"/>
      <c r="EL4" s="317"/>
      <c r="EM4" s="317"/>
      <c r="EN4" s="317"/>
      <c r="EO4" s="317"/>
      <c r="EP4" s="317"/>
      <c r="EQ4" s="317"/>
      <c r="ER4" s="317"/>
      <c r="ES4" s="317"/>
      <c r="ET4" s="317"/>
      <c r="EU4" s="317"/>
      <c r="EV4" s="317"/>
      <c r="EW4" s="317"/>
      <c r="EX4" s="317"/>
      <c r="EY4" s="317"/>
      <c r="EZ4" s="317"/>
      <c r="FA4" s="317"/>
      <c r="FB4" s="317"/>
      <c r="FC4" s="317"/>
      <c r="FD4" s="317"/>
      <c r="FE4" s="317"/>
      <c r="FF4" s="317"/>
      <c r="FG4" s="317"/>
      <c r="FH4" s="317"/>
      <c r="FI4" s="317"/>
      <c r="FJ4" s="317"/>
      <c r="FK4" s="317"/>
      <c r="FL4" s="317"/>
      <c r="FM4" s="317"/>
      <c r="FN4" s="317"/>
      <c r="FO4" s="317"/>
      <c r="FP4" s="317"/>
      <c r="FQ4" s="317"/>
      <c r="FR4" s="317"/>
      <c r="FS4" s="317"/>
      <c r="FT4" s="317"/>
      <c r="FU4" s="317"/>
      <c r="FV4" s="317"/>
      <c r="FW4" s="317"/>
      <c r="FX4" s="317"/>
      <c r="FY4" s="317"/>
      <c r="FZ4" s="317"/>
      <c r="GA4" s="317"/>
      <c r="GB4" s="317"/>
      <c r="GC4" s="317"/>
      <c r="GD4" s="317"/>
      <c r="GE4" s="317"/>
      <c r="GF4" s="317"/>
      <c r="GG4" s="317"/>
      <c r="GH4" s="317"/>
      <c r="GI4" s="317"/>
      <c r="GJ4" s="317"/>
      <c r="GK4" s="317"/>
      <c r="GL4" s="317"/>
      <c r="GM4" s="317"/>
      <c r="GN4" s="317"/>
      <c r="GO4" s="317"/>
      <c r="GP4" s="317"/>
      <c r="GQ4" s="317"/>
      <c r="GR4" s="317"/>
      <c r="GS4" s="317"/>
      <c r="GT4" s="317"/>
      <c r="GU4" s="317"/>
      <c r="GV4" s="317"/>
      <c r="GW4" s="317"/>
      <c r="GX4" s="317"/>
      <c r="GY4" s="317"/>
      <c r="GZ4" s="317"/>
      <c r="HA4" s="317"/>
      <c r="HB4" s="317"/>
      <c r="HC4" s="317"/>
      <c r="HD4" s="317"/>
      <c r="HE4" s="317"/>
      <c r="HF4" s="317"/>
      <c r="HG4" s="317"/>
      <c r="HH4" s="317"/>
      <c r="HI4" s="317"/>
      <c r="HJ4" s="317"/>
      <c r="HK4" s="317"/>
      <c r="HL4" s="317"/>
      <c r="HM4" s="317"/>
      <c r="HN4" s="317"/>
      <c r="HO4" s="317"/>
      <c r="HP4" s="317"/>
      <c r="HQ4" s="317"/>
      <c r="HR4" s="317"/>
      <c r="HS4" s="317"/>
      <c r="HT4" s="317"/>
      <c r="HU4" s="317"/>
      <c r="HV4" s="317"/>
      <c r="HW4" s="317"/>
      <c r="HX4" s="317"/>
      <c r="HY4" s="317"/>
      <c r="HZ4" s="317"/>
      <c r="IA4" s="317"/>
      <c r="IB4" s="317"/>
      <c r="IC4" s="317"/>
    </row>
    <row r="5" spans="1:237" s="260" customFormat="1" ht="15" customHeight="1" x14ac:dyDescent="0.3">
      <c r="A5" s="181">
        <v>7.02</v>
      </c>
      <c r="B5" s="239"/>
      <c r="C5" s="240" t="str">
        <f>VLOOKUP(BD.PD[[#This Row],[Pos]],PPto[],3,FALSE)</f>
        <v>7.02 Cocina, Patio Comidas y Rostizería</v>
      </c>
      <c r="D5" s="181" t="s">
        <v>40</v>
      </c>
      <c r="E5" s="242" t="str">
        <f>IF(BD.PD[[#This Row],[.]]="*",VLOOKUP(BD.PD[[#This Row],[Pos]],Presupuesto!A:H,7,FALSE),"")</f>
        <v/>
      </c>
      <c r="F5" s="303" t="s">
        <v>459</v>
      </c>
      <c r="G5" s="243" t="s">
        <v>308</v>
      </c>
      <c r="H5" s="275"/>
      <c r="I5" s="276">
        <v>4</v>
      </c>
      <c r="J5" s="181" t="s">
        <v>314</v>
      </c>
      <c r="K5" s="245">
        <f>IF(BD.PD[[#This Row],[Mon]]="DOP",1,HLOOKUP(BD.PD[[#This Row],[Mon]],$J$1:$K$2,2,FALSE))</f>
        <v>1</v>
      </c>
      <c r="L5" s="277">
        <v>1400</v>
      </c>
      <c r="M5" s="247">
        <f>BD.PD[[#This Row],[Cant.]]*BD.PD[[#This Row],[ Tasa ]]*BD.PD[[#This Row],[ Precio Und.]]</f>
        <v>5600</v>
      </c>
      <c r="N5" s="278">
        <v>0</v>
      </c>
      <c r="O5" s="247">
        <f>IF(BD.PD[[#This Row],[Liquid. '[%']]]&lt;&gt;0,(BD.PD[[#This Row],[Valor Neto '[DOP']]]*BD.PD[[#This Row],[Liquid. '[%']]])+BD.PD[[#This Row],[Valor Neto '[DOP']]],BD.PD[[#This Row],[Valor Neto '[DOP']]])</f>
        <v>5600</v>
      </c>
      <c r="P5" s="249">
        <f>BD.PD[[#This Row],[Ppto. Orden Interna '[DOP']]]/HLOOKUP("USD",$J$1:$K$2,2,FALSE)</f>
        <v>92.257001647446458</v>
      </c>
      <c r="Q5" s="250" t="s">
        <v>460</v>
      </c>
      <c r="R5" s="424" t="s">
        <v>461</v>
      </c>
      <c r="S5" s="251">
        <v>22</v>
      </c>
      <c r="T5" s="252">
        <v>1</v>
      </c>
      <c r="U5" s="253">
        <f>BD.PD[[#This Row],[Av.P1 '[%']]]*BD.PD[[#This Row],[Ppto. Orden Interna '[DOP']]]</f>
        <v>5600</v>
      </c>
      <c r="V5" s="254"/>
      <c r="W5" s="255"/>
      <c r="X5" s="253">
        <f>BD.PD[[#This Row],[Av.P2 '[%']]]*BD.PD[[#This Row],[Ppto. Orden Interna '[DOP']]]</f>
        <v>0</v>
      </c>
      <c r="Y5" s="254"/>
      <c r="Z5" s="255"/>
      <c r="AA5" s="253">
        <f>BD.PD[[#This Row],[Av.P3 '[%']]]*BD.PD[[#This Row],[Ppto. Orden Interna '[DOP']]]</f>
        <v>0</v>
      </c>
      <c r="AB5" s="254"/>
      <c r="AC5" s="255"/>
      <c r="AD5" s="253">
        <f>BD.PD[[#This Row],[Av.P4 '[%']]]*BD.PD[[#This Row],[Ppto. Orden Interna '[DOP']]]</f>
        <v>0</v>
      </c>
      <c r="AE5" s="254"/>
      <c r="AF5" s="255"/>
      <c r="AG5" s="253">
        <f>BD.PD[[#This Row],[Av.P5 '[%']]]*BD.PD[[#This Row],[Ppto. Orden Interna '[DOP']]]</f>
        <v>0</v>
      </c>
      <c r="AH5" s="256">
        <f>BD.PD[[#This Row],[Pago 5]]+BD.PD[[#This Row],[Pago 4]]+BD.PD[[#This Row],[Pago 3]]+BD.PD[[#This Row],[Pago 2]]+BD.PD[[#This Row],[Pago 1]]</f>
        <v>5600</v>
      </c>
      <c r="AI5" s="318"/>
      <c r="AJ5" s="318"/>
      <c r="AK5" s="318"/>
      <c r="AL5" s="318"/>
      <c r="AM5" s="318"/>
      <c r="AN5" s="318"/>
      <c r="AO5" s="318"/>
      <c r="AP5" s="318"/>
      <c r="AQ5" s="318"/>
      <c r="AR5" s="318"/>
      <c r="AS5" s="318"/>
      <c r="AT5" s="318"/>
      <c r="AU5" s="318"/>
      <c r="AV5" s="318"/>
      <c r="AW5" s="318"/>
      <c r="AX5" s="318"/>
      <c r="AY5" s="318"/>
      <c r="AZ5" s="318"/>
      <c r="BA5" s="318"/>
      <c r="BB5" s="318"/>
      <c r="BC5" s="318"/>
      <c r="BD5" s="318"/>
      <c r="BE5" s="318"/>
      <c r="BF5" s="318"/>
      <c r="BG5" s="318"/>
      <c r="BH5" s="318"/>
      <c r="BI5" s="318"/>
      <c r="BJ5" s="318"/>
      <c r="BK5" s="318"/>
      <c r="BL5" s="318"/>
      <c r="BM5" s="318"/>
      <c r="BN5" s="318"/>
      <c r="BO5" s="318"/>
      <c r="BP5" s="318"/>
      <c r="BQ5" s="318"/>
      <c r="BR5" s="318"/>
      <c r="BS5" s="318"/>
      <c r="BT5" s="318"/>
      <c r="BU5" s="318"/>
      <c r="BV5" s="318"/>
      <c r="BW5" s="318"/>
      <c r="BX5" s="318"/>
      <c r="BY5" s="318"/>
      <c r="BZ5" s="318"/>
      <c r="CA5" s="318"/>
      <c r="CB5" s="318"/>
      <c r="CC5" s="318"/>
      <c r="CD5" s="318"/>
      <c r="CE5" s="318"/>
      <c r="CF5" s="318"/>
      <c r="CG5" s="318"/>
      <c r="CH5" s="318"/>
      <c r="CI5" s="318"/>
      <c r="CJ5" s="318"/>
      <c r="CK5" s="318"/>
      <c r="CL5" s="318"/>
      <c r="CM5" s="318"/>
      <c r="CN5" s="318"/>
      <c r="CO5" s="318"/>
      <c r="CP5" s="318"/>
      <c r="CQ5" s="318"/>
      <c r="CR5" s="318"/>
      <c r="CS5" s="318"/>
      <c r="CT5" s="318"/>
      <c r="CU5" s="318"/>
      <c r="CV5" s="318"/>
      <c r="CW5" s="318"/>
      <c r="CX5" s="318"/>
      <c r="CY5" s="318"/>
      <c r="CZ5" s="318"/>
      <c r="DA5" s="318"/>
      <c r="DB5" s="318"/>
      <c r="DC5" s="318"/>
      <c r="DD5" s="318"/>
      <c r="DE5" s="318"/>
      <c r="DF5" s="318"/>
      <c r="DG5" s="318"/>
      <c r="DH5" s="318"/>
      <c r="DI5" s="318"/>
      <c r="DJ5" s="318"/>
      <c r="DK5" s="318"/>
      <c r="DL5" s="318"/>
      <c r="DM5" s="318"/>
      <c r="DN5" s="318"/>
      <c r="DO5" s="318"/>
      <c r="DP5" s="318"/>
      <c r="DQ5" s="318"/>
      <c r="DR5" s="318"/>
      <c r="DS5" s="318"/>
      <c r="DT5" s="318"/>
      <c r="DU5" s="318"/>
      <c r="DV5" s="318"/>
      <c r="DW5" s="318"/>
      <c r="DX5" s="318"/>
      <c r="DY5" s="318"/>
      <c r="DZ5" s="318"/>
      <c r="EA5" s="318"/>
      <c r="EB5" s="318"/>
      <c r="EC5" s="318"/>
      <c r="ED5" s="318"/>
      <c r="EE5" s="318"/>
      <c r="EF5" s="318"/>
      <c r="EG5" s="318"/>
      <c r="EH5" s="318"/>
      <c r="EI5" s="318"/>
      <c r="EJ5" s="318"/>
      <c r="EK5" s="318"/>
      <c r="EL5" s="318"/>
      <c r="EM5" s="318"/>
      <c r="EN5" s="318"/>
      <c r="EO5" s="318"/>
      <c r="EP5" s="318"/>
      <c r="EQ5" s="318"/>
      <c r="ER5" s="318"/>
      <c r="ES5" s="318"/>
      <c r="ET5" s="318"/>
      <c r="EU5" s="318"/>
      <c r="EV5" s="318"/>
      <c r="EW5" s="318"/>
      <c r="EX5" s="318"/>
      <c r="EY5" s="318"/>
      <c r="EZ5" s="318"/>
      <c r="FA5" s="318"/>
      <c r="FB5" s="318"/>
      <c r="FC5" s="318"/>
      <c r="FD5" s="318"/>
      <c r="FE5" s="318"/>
      <c r="FF5" s="318"/>
      <c r="FG5" s="318"/>
      <c r="FH5" s="318"/>
      <c r="FI5" s="318"/>
      <c r="FJ5" s="318"/>
      <c r="FK5" s="318"/>
      <c r="FL5" s="318"/>
      <c r="FM5" s="318"/>
      <c r="FN5" s="318"/>
      <c r="FO5" s="318"/>
      <c r="FP5" s="318"/>
      <c r="FQ5" s="318"/>
      <c r="FR5" s="318"/>
      <c r="FS5" s="318"/>
      <c r="FT5" s="318"/>
      <c r="FU5" s="318"/>
      <c r="FV5" s="318"/>
      <c r="FW5" s="318"/>
      <c r="FX5" s="318"/>
      <c r="FY5" s="318"/>
      <c r="FZ5" s="318"/>
      <c r="GA5" s="318"/>
      <c r="GB5" s="318"/>
      <c r="GC5" s="318"/>
      <c r="GD5" s="318"/>
      <c r="GE5" s="318"/>
      <c r="GF5" s="318"/>
      <c r="GG5" s="318"/>
      <c r="GH5" s="318"/>
      <c r="GI5" s="318"/>
      <c r="GJ5" s="318"/>
      <c r="GK5" s="318"/>
      <c r="GL5" s="318"/>
      <c r="GM5" s="318"/>
      <c r="GN5" s="318"/>
      <c r="GO5" s="318"/>
      <c r="GP5" s="318"/>
      <c r="GQ5" s="318"/>
      <c r="GR5" s="318"/>
      <c r="GS5" s="318"/>
      <c r="GT5" s="318"/>
      <c r="GU5" s="318"/>
      <c r="GV5" s="318"/>
      <c r="GW5" s="318"/>
      <c r="GX5" s="318"/>
      <c r="GY5" s="318"/>
      <c r="GZ5" s="318"/>
      <c r="HA5" s="318"/>
      <c r="HB5" s="318"/>
      <c r="HC5" s="318"/>
      <c r="HD5" s="318"/>
      <c r="HE5" s="318"/>
      <c r="HF5" s="318"/>
      <c r="HG5" s="318"/>
      <c r="HH5" s="318"/>
      <c r="HI5" s="318"/>
      <c r="HJ5" s="318"/>
      <c r="HK5" s="318"/>
      <c r="HL5" s="318"/>
      <c r="HM5" s="318"/>
      <c r="HN5" s="318"/>
      <c r="HO5" s="318"/>
      <c r="HP5" s="318"/>
      <c r="HQ5" s="318"/>
      <c r="HR5" s="318"/>
      <c r="HS5" s="318"/>
      <c r="HT5" s="318"/>
      <c r="HU5" s="318"/>
      <c r="HV5" s="318"/>
      <c r="HW5" s="318"/>
      <c r="HX5" s="318"/>
      <c r="HY5" s="318"/>
      <c r="HZ5" s="318"/>
      <c r="IA5" s="318"/>
      <c r="IB5" s="318"/>
      <c r="IC5" s="318"/>
    </row>
    <row r="6" spans="1:237" s="260" customFormat="1" ht="15" customHeight="1" x14ac:dyDescent="0.3">
      <c r="A6" s="181">
        <v>7.02</v>
      </c>
      <c r="B6" s="239"/>
      <c r="C6" s="240" t="str">
        <f>VLOOKUP(BD.PD[[#This Row],[Pos]],PPto[],3,FALSE)</f>
        <v>7.02 Cocina, Patio Comidas y Rostizería</v>
      </c>
      <c r="D6" s="181" t="s">
        <v>40</v>
      </c>
      <c r="E6" s="242" t="str">
        <f>IF(BD.PD[[#This Row],[.]]="*",VLOOKUP(BD.PD[[#This Row],[Pos]],Presupuesto!A:H,7,FALSE),"")</f>
        <v/>
      </c>
      <c r="F6" s="303" t="s">
        <v>462</v>
      </c>
      <c r="G6" s="243" t="s">
        <v>308</v>
      </c>
      <c r="H6" s="275"/>
      <c r="I6" s="276">
        <v>4</v>
      </c>
      <c r="J6" s="181" t="s">
        <v>314</v>
      </c>
      <c r="K6" s="245">
        <f>IF(BD.PD[[#This Row],[Mon]]="DOP",1,HLOOKUP(BD.PD[[#This Row],[Mon]],$J$1:$K$2,2,FALSE))</f>
        <v>1</v>
      </c>
      <c r="L6" s="277">
        <v>1200</v>
      </c>
      <c r="M6" s="247">
        <f>BD.PD[[#This Row],[Cant.]]*BD.PD[[#This Row],[ Tasa ]]*BD.PD[[#This Row],[ Precio Und.]]</f>
        <v>4800</v>
      </c>
      <c r="N6" s="278">
        <v>0</v>
      </c>
      <c r="O6" s="247">
        <f>IF(BD.PD[[#This Row],[Liquid. '[%']]]&lt;&gt;0,(BD.PD[[#This Row],[Valor Neto '[DOP']]]*BD.PD[[#This Row],[Liquid. '[%']]])+BD.PD[[#This Row],[Valor Neto '[DOP']]],BD.PD[[#This Row],[Valor Neto '[DOP']]])</f>
        <v>4800</v>
      </c>
      <c r="P6" s="249">
        <f>BD.PD[[#This Row],[Ppto. Orden Interna '[DOP']]]/HLOOKUP("USD",$J$1:$K$2,2,FALSE)</f>
        <v>79.077429983525533</v>
      </c>
      <c r="Q6" s="250" t="s">
        <v>463</v>
      </c>
      <c r="R6" s="424" t="s">
        <v>461</v>
      </c>
      <c r="S6" s="251">
        <v>22</v>
      </c>
      <c r="T6" s="252">
        <v>1</v>
      </c>
      <c r="U6" s="253">
        <f>BD.PD[[#This Row],[Av.P1 '[%']]]*BD.PD[[#This Row],[Ppto. Orden Interna '[DOP']]]</f>
        <v>4800</v>
      </c>
      <c r="V6" s="254"/>
      <c r="W6" s="255"/>
      <c r="X6" s="253">
        <f>BD.PD[[#This Row],[Av.P2 '[%']]]*BD.PD[[#This Row],[Ppto. Orden Interna '[DOP']]]</f>
        <v>0</v>
      </c>
      <c r="Y6" s="254"/>
      <c r="Z6" s="255"/>
      <c r="AA6" s="253">
        <f>BD.PD[[#This Row],[Av.P3 '[%']]]*BD.PD[[#This Row],[Ppto. Orden Interna '[DOP']]]</f>
        <v>0</v>
      </c>
      <c r="AB6" s="254"/>
      <c r="AC6" s="255"/>
      <c r="AD6" s="253">
        <f>BD.PD[[#This Row],[Av.P4 '[%']]]*BD.PD[[#This Row],[Ppto. Orden Interna '[DOP']]]</f>
        <v>0</v>
      </c>
      <c r="AE6" s="254"/>
      <c r="AF6" s="255"/>
      <c r="AG6" s="253">
        <f>BD.PD[[#This Row],[Av.P5 '[%']]]*BD.PD[[#This Row],[Ppto. Orden Interna '[DOP']]]</f>
        <v>0</v>
      </c>
      <c r="AH6" s="256">
        <f>BD.PD[[#This Row],[Pago 5]]+BD.PD[[#This Row],[Pago 4]]+BD.PD[[#This Row],[Pago 3]]+BD.PD[[#This Row],[Pago 2]]+BD.PD[[#This Row],[Pago 1]]</f>
        <v>4800</v>
      </c>
      <c r="AI6" s="318"/>
      <c r="AJ6" s="318"/>
      <c r="AK6" s="318"/>
      <c r="AL6" s="318"/>
      <c r="AM6" s="318"/>
      <c r="AN6" s="318"/>
      <c r="AO6" s="318"/>
      <c r="AP6" s="318"/>
      <c r="AQ6" s="318"/>
      <c r="AR6" s="318"/>
      <c r="AS6" s="318"/>
      <c r="AT6" s="318"/>
      <c r="AU6" s="318"/>
      <c r="AV6" s="318"/>
      <c r="AW6" s="318"/>
      <c r="AX6" s="318"/>
      <c r="AY6" s="318"/>
      <c r="AZ6" s="318"/>
      <c r="BA6" s="318"/>
      <c r="BB6" s="318"/>
      <c r="BC6" s="318"/>
      <c r="BD6" s="318"/>
      <c r="BE6" s="318"/>
      <c r="BF6" s="318"/>
      <c r="BG6" s="318"/>
      <c r="BH6" s="318"/>
      <c r="BI6" s="318"/>
      <c r="BJ6" s="318"/>
      <c r="BK6" s="318"/>
      <c r="BL6" s="318"/>
      <c r="BM6" s="318"/>
      <c r="BN6" s="318"/>
      <c r="BO6" s="318"/>
      <c r="BP6" s="318"/>
      <c r="BQ6" s="318"/>
      <c r="BR6" s="318"/>
      <c r="BS6" s="318"/>
      <c r="BT6" s="318"/>
      <c r="BU6" s="318"/>
      <c r="BV6" s="318"/>
      <c r="BW6" s="318"/>
      <c r="BX6" s="318"/>
      <c r="BY6" s="318"/>
      <c r="BZ6" s="318"/>
      <c r="CA6" s="318"/>
      <c r="CB6" s="318"/>
      <c r="CC6" s="318"/>
      <c r="CD6" s="318"/>
      <c r="CE6" s="318"/>
      <c r="CF6" s="318"/>
      <c r="CG6" s="318"/>
      <c r="CH6" s="318"/>
      <c r="CI6" s="318"/>
      <c r="CJ6" s="318"/>
      <c r="CK6" s="318"/>
      <c r="CL6" s="318"/>
      <c r="CM6" s="318"/>
      <c r="CN6" s="318"/>
      <c r="CO6" s="318"/>
      <c r="CP6" s="318"/>
      <c r="CQ6" s="318"/>
      <c r="CR6" s="318"/>
      <c r="CS6" s="318"/>
      <c r="CT6" s="318"/>
      <c r="CU6" s="318"/>
      <c r="CV6" s="318"/>
      <c r="CW6" s="318"/>
      <c r="CX6" s="318"/>
      <c r="CY6" s="318"/>
      <c r="CZ6" s="318"/>
      <c r="DA6" s="318"/>
      <c r="DB6" s="318"/>
      <c r="DC6" s="318"/>
      <c r="DD6" s="318"/>
      <c r="DE6" s="318"/>
      <c r="DF6" s="318"/>
      <c r="DG6" s="318"/>
      <c r="DH6" s="318"/>
      <c r="DI6" s="318"/>
      <c r="DJ6" s="318"/>
      <c r="DK6" s="318"/>
      <c r="DL6" s="318"/>
      <c r="DM6" s="318"/>
      <c r="DN6" s="318"/>
      <c r="DO6" s="318"/>
      <c r="DP6" s="318"/>
      <c r="DQ6" s="318"/>
      <c r="DR6" s="318"/>
      <c r="DS6" s="318"/>
      <c r="DT6" s="318"/>
      <c r="DU6" s="318"/>
      <c r="DV6" s="318"/>
      <c r="DW6" s="318"/>
      <c r="DX6" s="318"/>
      <c r="DY6" s="318"/>
      <c r="DZ6" s="318"/>
      <c r="EA6" s="318"/>
      <c r="EB6" s="318"/>
      <c r="EC6" s="318"/>
      <c r="ED6" s="318"/>
      <c r="EE6" s="318"/>
      <c r="EF6" s="318"/>
      <c r="EG6" s="318"/>
      <c r="EH6" s="318"/>
      <c r="EI6" s="318"/>
      <c r="EJ6" s="318"/>
      <c r="EK6" s="318"/>
      <c r="EL6" s="318"/>
      <c r="EM6" s="318"/>
      <c r="EN6" s="318"/>
      <c r="EO6" s="318"/>
      <c r="EP6" s="318"/>
      <c r="EQ6" s="318"/>
      <c r="ER6" s="318"/>
      <c r="ES6" s="318"/>
      <c r="ET6" s="318"/>
      <c r="EU6" s="318"/>
      <c r="EV6" s="318"/>
      <c r="EW6" s="318"/>
      <c r="EX6" s="318"/>
      <c r="EY6" s="318"/>
      <c r="EZ6" s="318"/>
      <c r="FA6" s="318"/>
      <c r="FB6" s="318"/>
      <c r="FC6" s="318"/>
      <c r="FD6" s="318"/>
      <c r="FE6" s="318"/>
      <c r="FF6" s="318"/>
      <c r="FG6" s="318"/>
      <c r="FH6" s="318"/>
      <c r="FI6" s="318"/>
      <c r="FJ6" s="318"/>
      <c r="FK6" s="318"/>
      <c r="FL6" s="318"/>
      <c r="FM6" s="318"/>
      <c r="FN6" s="318"/>
      <c r="FO6" s="318"/>
      <c r="FP6" s="318"/>
      <c r="FQ6" s="318"/>
      <c r="FR6" s="318"/>
      <c r="FS6" s="318"/>
      <c r="FT6" s="318"/>
      <c r="FU6" s="318"/>
      <c r="FV6" s="318"/>
      <c r="FW6" s="318"/>
      <c r="FX6" s="318"/>
      <c r="FY6" s="318"/>
      <c r="FZ6" s="318"/>
      <c r="GA6" s="318"/>
      <c r="GB6" s="318"/>
      <c r="GC6" s="318"/>
      <c r="GD6" s="318"/>
      <c r="GE6" s="318"/>
      <c r="GF6" s="318"/>
      <c r="GG6" s="318"/>
      <c r="GH6" s="318"/>
      <c r="GI6" s="318"/>
      <c r="GJ6" s="318"/>
      <c r="GK6" s="318"/>
      <c r="GL6" s="318"/>
      <c r="GM6" s="318"/>
      <c r="GN6" s="318"/>
      <c r="GO6" s="318"/>
      <c r="GP6" s="318"/>
      <c r="GQ6" s="318"/>
      <c r="GR6" s="318"/>
      <c r="GS6" s="318"/>
      <c r="GT6" s="318"/>
      <c r="GU6" s="318"/>
      <c r="GV6" s="318"/>
      <c r="GW6" s="318"/>
      <c r="GX6" s="318"/>
      <c r="GY6" s="318"/>
      <c r="GZ6" s="318"/>
      <c r="HA6" s="318"/>
      <c r="HB6" s="318"/>
      <c r="HC6" s="318"/>
      <c r="HD6" s="318"/>
      <c r="HE6" s="318"/>
      <c r="HF6" s="318"/>
      <c r="HG6" s="318"/>
      <c r="HH6" s="318"/>
      <c r="HI6" s="318"/>
      <c r="HJ6" s="318"/>
      <c r="HK6" s="318"/>
      <c r="HL6" s="318"/>
      <c r="HM6" s="318"/>
      <c r="HN6" s="318"/>
      <c r="HO6" s="318"/>
      <c r="HP6" s="318"/>
      <c r="HQ6" s="318"/>
      <c r="HR6" s="318"/>
      <c r="HS6" s="318"/>
      <c r="HT6" s="318"/>
      <c r="HU6" s="318"/>
      <c r="HV6" s="318"/>
      <c r="HW6" s="318"/>
      <c r="HX6" s="318"/>
      <c r="HY6" s="318"/>
      <c r="HZ6" s="318"/>
      <c r="IA6" s="318"/>
      <c r="IB6" s="318"/>
      <c r="IC6" s="318"/>
    </row>
    <row r="7" spans="1:237" s="260" customFormat="1" ht="15" customHeight="1" x14ac:dyDescent="0.3">
      <c r="A7" s="181">
        <v>7.02</v>
      </c>
      <c r="B7" s="239"/>
      <c r="C7" s="240" t="str">
        <f>VLOOKUP(BD.PD[[#This Row],[Pos]],PPto[],3,FALSE)</f>
        <v>7.02 Cocina, Patio Comidas y Rostizería</v>
      </c>
      <c r="D7" s="181" t="s">
        <v>40</v>
      </c>
      <c r="E7" s="242" t="str">
        <f>IF(BD.PD[[#This Row],[.]]="*",VLOOKUP(BD.PD[[#This Row],[Pos]],Presupuesto!A:H,7,FALSE),"")</f>
        <v/>
      </c>
      <c r="F7" s="303" t="s">
        <v>464</v>
      </c>
      <c r="G7" s="243" t="s">
        <v>308</v>
      </c>
      <c r="H7" s="275"/>
      <c r="I7" s="276">
        <v>1</v>
      </c>
      <c r="J7" s="181" t="s">
        <v>314</v>
      </c>
      <c r="K7" s="245">
        <f>IF(BD.PD[[#This Row],[Mon]]="DOP",1,HLOOKUP(BD.PD[[#This Row],[Mon]],$J$1:$K$2,2,FALSE))</f>
        <v>1</v>
      </c>
      <c r="L7" s="277">
        <v>14000</v>
      </c>
      <c r="M7" s="247">
        <f>BD.PD[[#This Row],[Cant.]]*BD.PD[[#This Row],[ Tasa ]]*BD.PD[[#This Row],[ Precio Und.]]</f>
        <v>14000</v>
      </c>
      <c r="N7" s="278">
        <v>0</v>
      </c>
      <c r="O7" s="247">
        <f>IF(BD.PD[[#This Row],[Liquid. '[%']]]&lt;&gt;0,(BD.PD[[#This Row],[Valor Neto '[DOP']]]*BD.PD[[#This Row],[Liquid. '[%']]])+BD.PD[[#This Row],[Valor Neto '[DOP']]],BD.PD[[#This Row],[Valor Neto '[DOP']]])</f>
        <v>14000</v>
      </c>
      <c r="P7" s="249">
        <f>BD.PD[[#This Row],[Ppto. Orden Interna '[DOP']]]/HLOOKUP("USD",$J$1:$K$2,2,FALSE)</f>
        <v>230.64250411861613</v>
      </c>
      <c r="Q7" s="250" t="s">
        <v>456</v>
      </c>
      <c r="R7" s="424" t="s">
        <v>461</v>
      </c>
      <c r="S7" s="251">
        <v>22</v>
      </c>
      <c r="T7" s="252">
        <v>1</v>
      </c>
      <c r="U7" s="253">
        <f>BD.PD[[#This Row],[Av.P1 '[%']]]*BD.PD[[#This Row],[Ppto. Orden Interna '[DOP']]]</f>
        <v>14000</v>
      </c>
      <c r="V7" s="254"/>
      <c r="W7" s="255"/>
      <c r="X7" s="253">
        <f>BD.PD[[#This Row],[Av.P2 '[%']]]*BD.PD[[#This Row],[Ppto. Orden Interna '[DOP']]]</f>
        <v>0</v>
      </c>
      <c r="Y7" s="254"/>
      <c r="Z7" s="255"/>
      <c r="AA7" s="253">
        <f>BD.PD[[#This Row],[Av.P3 '[%']]]*BD.PD[[#This Row],[Ppto. Orden Interna '[DOP']]]</f>
        <v>0</v>
      </c>
      <c r="AB7" s="254"/>
      <c r="AC7" s="255"/>
      <c r="AD7" s="253">
        <f>BD.PD[[#This Row],[Av.P4 '[%']]]*BD.PD[[#This Row],[Ppto. Orden Interna '[DOP']]]</f>
        <v>0</v>
      </c>
      <c r="AE7" s="254"/>
      <c r="AF7" s="255"/>
      <c r="AG7" s="253">
        <f>BD.PD[[#This Row],[Av.P5 '[%']]]*BD.PD[[#This Row],[Ppto. Orden Interna '[DOP']]]</f>
        <v>0</v>
      </c>
      <c r="AH7" s="256">
        <f>BD.PD[[#This Row],[Pago 5]]+BD.PD[[#This Row],[Pago 4]]+BD.PD[[#This Row],[Pago 3]]+BD.PD[[#This Row],[Pago 2]]+BD.PD[[#This Row],[Pago 1]]</f>
        <v>14000</v>
      </c>
      <c r="AI7" s="318"/>
      <c r="AJ7" s="318"/>
      <c r="AK7" s="318"/>
      <c r="AL7" s="318"/>
      <c r="AM7" s="318"/>
      <c r="AN7" s="318"/>
      <c r="AO7" s="318"/>
      <c r="AP7" s="318"/>
      <c r="AQ7" s="318"/>
      <c r="AR7" s="318"/>
      <c r="AS7" s="318"/>
      <c r="AT7" s="318"/>
      <c r="AU7" s="318"/>
      <c r="AV7" s="318"/>
      <c r="AW7" s="318"/>
      <c r="AX7" s="318"/>
      <c r="AY7" s="318"/>
      <c r="AZ7" s="318"/>
      <c r="BA7" s="318"/>
      <c r="BB7" s="318"/>
      <c r="BC7" s="318"/>
      <c r="BD7" s="318"/>
      <c r="BE7" s="318"/>
      <c r="BF7" s="318"/>
      <c r="BG7" s="318"/>
      <c r="BH7" s="318"/>
      <c r="BI7" s="318"/>
      <c r="BJ7" s="318"/>
      <c r="BK7" s="318"/>
      <c r="BL7" s="318"/>
      <c r="BM7" s="318"/>
      <c r="BN7" s="318"/>
      <c r="BO7" s="318"/>
      <c r="BP7" s="318"/>
      <c r="BQ7" s="318"/>
      <c r="BR7" s="318"/>
      <c r="BS7" s="318"/>
      <c r="BT7" s="318"/>
      <c r="BU7" s="318"/>
      <c r="BV7" s="318"/>
      <c r="BW7" s="318"/>
      <c r="BX7" s="318"/>
      <c r="BY7" s="318"/>
      <c r="BZ7" s="318"/>
      <c r="CA7" s="318"/>
      <c r="CB7" s="318"/>
      <c r="CC7" s="318"/>
      <c r="CD7" s="318"/>
      <c r="CE7" s="318"/>
      <c r="CF7" s="318"/>
      <c r="CG7" s="318"/>
      <c r="CH7" s="318"/>
      <c r="CI7" s="318"/>
      <c r="CJ7" s="318"/>
      <c r="CK7" s="318"/>
      <c r="CL7" s="318"/>
      <c r="CM7" s="318"/>
      <c r="CN7" s="318"/>
      <c r="CO7" s="318"/>
      <c r="CP7" s="318"/>
      <c r="CQ7" s="318"/>
      <c r="CR7" s="318"/>
      <c r="CS7" s="318"/>
      <c r="CT7" s="318"/>
      <c r="CU7" s="318"/>
      <c r="CV7" s="318"/>
      <c r="CW7" s="318"/>
      <c r="CX7" s="318"/>
      <c r="CY7" s="318"/>
      <c r="CZ7" s="318"/>
      <c r="DA7" s="318"/>
      <c r="DB7" s="318"/>
      <c r="DC7" s="318"/>
      <c r="DD7" s="318"/>
      <c r="DE7" s="318"/>
      <c r="DF7" s="318"/>
      <c r="DG7" s="318"/>
      <c r="DH7" s="318"/>
      <c r="DI7" s="318"/>
      <c r="DJ7" s="318"/>
      <c r="DK7" s="318"/>
      <c r="DL7" s="318"/>
      <c r="DM7" s="318"/>
      <c r="DN7" s="318"/>
      <c r="DO7" s="318"/>
      <c r="DP7" s="318"/>
      <c r="DQ7" s="318"/>
      <c r="DR7" s="318"/>
      <c r="DS7" s="318"/>
      <c r="DT7" s="318"/>
      <c r="DU7" s="318"/>
      <c r="DV7" s="318"/>
      <c r="DW7" s="318"/>
      <c r="DX7" s="318"/>
      <c r="DY7" s="318"/>
      <c r="DZ7" s="318"/>
      <c r="EA7" s="318"/>
      <c r="EB7" s="318"/>
      <c r="EC7" s="318"/>
      <c r="ED7" s="318"/>
      <c r="EE7" s="318"/>
      <c r="EF7" s="318"/>
      <c r="EG7" s="318"/>
      <c r="EH7" s="318"/>
      <c r="EI7" s="318"/>
      <c r="EJ7" s="318"/>
      <c r="EK7" s="318"/>
      <c r="EL7" s="318"/>
      <c r="EM7" s="318"/>
      <c r="EN7" s="318"/>
      <c r="EO7" s="318"/>
      <c r="EP7" s="318"/>
      <c r="EQ7" s="318"/>
      <c r="ER7" s="318"/>
      <c r="ES7" s="318"/>
      <c r="ET7" s="318"/>
      <c r="EU7" s="318"/>
      <c r="EV7" s="318"/>
      <c r="EW7" s="318"/>
      <c r="EX7" s="318"/>
      <c r="EY7" s="318"/>
      <c r="EZ7" s="318"/>
      <c r="FA7" s="318"/>
      <c r="FB7" s="318"/>
      <c r="FC7" s="318"/>
      <c r="FD7" s="318"/>
      <c r="FE7" s="318"/>
      <c r="FF7" s="318"/>
      <c r="FG7" s="318"/>
      <c r="FH7" s="318"/>
      <c r="FI7" s="318"/>
      <c r="FJ7" s="318"/>
      <c r="FK7" s="318"/>
      <c r="FL7" s="318"/>
      <c r="FM7" s="318"/>
      <c r="FN7" s="318"/>
      <c r="FO7" s="318"/>
      <c r="FP7" s="318"/>
      <c r="FQ7" s="318"/>
      <c r="FR7" s="318"/>
      <c r="FS7" s="318"/>
      <c r="FT7" s="318"/>
      <c r="FU7" s="318"/>
      <c r="FV7" s="318"/>
      <c r="FW7" s="318"/>
      <c r="FX7" s="318"/>
      <c r="FY7" s="318"/>
      <c r="FZ7" s="318"/>
      <c r="GA7" s="318"/>
      <c r="GB7" s="318"/>
      <c r="GC7" s="318"/>
      <c r="GD7" s="318"/>
      <c r="GE7" s="318"/>
      <c r="GF7" s="318"/>
      <c r="GG7" s="318"/>
      <c r="GH7" s="318"/>
      <c r="GI7" s="318"/>
      <c r="GJ7" s="318"/>
      <c r="GK7" s="318"/>
      <c r="GL7" s="318"/>
      <c r="GM7" s="318"/>
      <c r="GN7" s="318"/>
      <c r="GO7" s="318"/>
      <c r="GP7" s="318"/>
      <c r="GQ7" s="318"/>
      <c r="GR7" s="318"/>
      <c r="GS7" s="318"/>
      <c r="GT7" s="318"/>
      <c r="GU7" s="318"/>
      <c r="GV7" s="318"/>
      <c r="GW7" s="318"/>
      <c r="GX7" s="318"/>
      <c r="GY7" s="318"/>
      <c r="GZ7" s="318"/>
      <c r="HA7" s="318"/>
      <c r="HB7" s="318"/>
      <c r="HC7" s="318"/>
      <c r="HD7" s="318"/>
      <c r="HE7" s="318"/>
      <c r="HF7" s="318"/>
      <c r="HG7" s="318"/>
      <c r="HH7" s="318"/>
      <c r="HI7" s="318"/>
      <c r="HJ7" s="318"/>
      <c r="HK7" s="318"/>
      <c r="HL7" s="318"/>
      <c r="HM7" s="318"/>
      <c r="HN7" s="318"/>
      <c r="HO7" s="318"/>
      <c r="HP7" s="318"/>
      <c r="HQ7" s="318"/>
      <c r="HR7" s="318"/>
      <c r="HS7" s="318"/>
      <c r="HT7" s="318"/>
      <c r="HU7" s="318"/>
      <c r="HV7" s="318"/>
      <c r="HW7" s="318"/>
      <c r="HX7" s="318"/>
      <c r="HY7" s="318"/>
      <c r="HZ7" s="318"/>
      <c r="IA7" s="318"/>
      <c r="IB7" s="318"/>
      <c r="IC7" s="318"/>
    </row>
    <row r="8" spans="1:237" s="260" customFormat="1" ht="15" customHeight="1" x14ac:dyDescent="0.3">
      <c r="A8" s="181">
        <v>5.05</v>
      </c>
      <c r="B8" s="239"/>
      <c r="C8" s="240" t="str">
        <f>VLOOKUP(BD.PD[[#This Row],[Pos]],PPto[],3,FALSE)</f>
        <v xml:space="preserve">5.05 Trameria Cuarto Frio </v>
      </c>
      <c r="D8" s="181" t="s">
        <v>40</v>
      </c>
      <c r="E8" s="242" t="str">
        <f>IF(BD.PD[[#This Row],[.]]="*",VLOOKUP(BD.PD[[#This Row],[Pos]],Presupuesto!A:H,7,FALSE),"")</f>
        <v/>
      </c>
      <c r="F8" s="226" t="s">
        <v>385</v>
      </c>
      <c r="G8" s="243" t="s">
        <v>334</v>
      </c>
      <c r="H8" s="275"/>
      <c r="I8" s="276">
        <v>8</v>
      </c>
      <c r="J8" s="181" t="s">
        <v>314</v>
      </c>
      <c r="K8" s="245">
        <f>IF(BD.PD[[#This Row],[Mon]]="DOP",1,HLOOKUP(BD.PD[[#This Row],[Mon]],$J$1:$K$2,2,FALSE))</f>
        <v>1</v>
      </c>
      <c r="L8" s="277">
        <v>32000</v>
      </c>
      <c r="M8" s="247">
        <f>BD.PD[[#This Row],[Cant.]]*BD.PD[[#This Row],[ Tasa ]]*BD.PD[[#This Row],[ Precio Und.]]</f>
        <v>256000</v>
      </c>
      <c r="N8" s="278">
        <v>0</v>
      </c>
      <c r="O8" s="247">
        <f>IF(BD.PD[[#This Row],[Liquid. '[%']]]&lt;&gt;0,(BD.PD[[#This Row],[Valor Neto '[DOP']]]*BD.PD[[#This Row],[Liquid. '[%']]])+BD.PD[[#This Row],[Valor Neto '[DOP']]],BD.PD[[#This Row],[Valor Neto '[DOP']]])</f>
        <v>256000</v>
      </c>
      <c r="P8" s="249">
        <f>BD.PD[[#This Row],[Ppto. Orden Interna '[DOP']]]/HLOOKUP("USD",$J$1:$K$2,2,FALSE)</f>
        <v>4217.462932454695</v>
      </c>
      <c r="Q8" s="243" t="s">
        <v>386</v>
      </c>
      <c r="R8" s="424" t="s">
        <v>387</v>
      </c>
      <c r="S8" s="251">
        <v>22</v>
      </c>
      <c r="T8" s="252">
        <v>1</v>
      </c>
      <c r="U8" s="253">
        <f>BD.PD[[#This Row],[Av.P1 '[%']]]*BD.PD[[#This Row],[Ppto. Orden Interna '[DOP']]]</f>
        <v>256000</v>
      </c>
      <c r="V8" s="254"/>
      <c r="W8" s="255"/>
      <c r="X8" s="253">
        <f>BD.PD[[#This Row],[Av.P2 '[%']]]*BD.PD[[#This Row],[Ppto. Orden Interna '[DOP']]]</f>
        <v>0</v>
      </c>
      <c r="Y8" s="254"/>
      <c r="Z8" s="255"/>
      <c r="AA8" s="253">
        <f>BD.PD[[#This Row],[Av.P3 '[%']]]*BD.PD[[#This Row],[Ppto. Orden Interna '[DOP']]]</f>
        <v>0</v>
      </c>
      <c r="AB8" s="254"/>
      <c r="AC8" s="255"/>
      <c r="AD8" s="253">
        <f>BD.PD[[#This Row],[Av.P4 '[%']]]*BD.PD[[#This Row],[Ppto. Orden Interna '[DOP']]]</f>
        <v>0</v>
      </c>
      <c r="AE8" s="254"/>
      <c r="AF8" s="255"/>
      <c r="AG8" s="253">
        <f>BD.PD[[#This Row],[Av.P5 '[%']]]*BD.PD[[#This Row],[Ppto. Orden Interna '[DOP']]]</f>
        <v>0</v>
      </c>
      <c r="AH8" s="256">
        <f>BD.PD[[#This Row],[Pago 5]]+BD.PD[[#This Row],[Pago 4]]+BD.PD[[#This Row],[Pago 3]]+BD.PD[[#This Row],[Pago 2]]+BD.PD[[#This Row],[Pago 1]]</f>
        <v>256000</v>
      </c>
      <c r="AI8" s="318"/>
      <c r="AJ8" s="318"/>
      <c r="AK8" s="318"/>
      <c r="AL8" s="318"/>
      <c r="AM8" s="318"/>
      <c r="AN8" s="318"/>
      <c r="AO8" s="318"/>
      <c r="AP8" s="318"/>
      <c r="AQ8" s="318"/>
      <c r="AR8" s="318"/>
      <c r="AS8" s="318"/>
      <c r="AT8" s="318"/>
      <c r="AU8" s="318"/>
      <c r="AV8" s="318"/>
      <c r="AW8" s="318"/>
      <c r="AX8" s="318"/>
      <c r="AY8" s="318"/>
      <c r="AZ8" s="318"/>
      <c r="BA8" s="318"/>
      <c r="BB8" s="318"/>
      <c r="BC8" s="318"/>
      <c r="BD8" s="318"/>
      <c r="BE8" s="318"/>
      <c r="BF8" s="318"/>
      <c r="BG8" s="318"/>
      <c r="BH8" s="318"/>
      <c r="BI8" s="318"/>
      <c r="BJ8" s="318"/>
      <c r="BK8" s="318"/>
      <c r="BL8" s="318"/>
      <c r="BM8" s="318"/>
      <c r="BN8" s="318"/>
      <c r="BO8" s="318"/>
      <c r="BP8" s="318"/>
      <c r="BQ8" s="318"/>
      <c r="BR8" s="318"/>
      <c r="BS8" s="318"/>
      <c r="BT8" s="318"/>
      <c r="BU8" s="318"/>
      <c r="BV8" s="318"/>
      <c r="BW8" s="318"/>
      <c r="BX8" s="318"/>
      <c r="BY8" s="318"/>
      <c r="BZ8" s="318"/>
      <c r="CA8" s="318"/>
      <c r="CB8" s="318"/>
      <c r="CC8" s="318"/>
      <c r="CD8" s="318"/>
      <c r="CE8" s="318"/>
      <c r="CF8" s="318"/>
      <c r="CG8" s="318"/>
      <c r="CH8" s="318"/>
      <c r="CI8" s="318"/>
      <c r="CJ8" s="318"/>
      <c r="CK8" s="318"/>
      <c r="CL8" s="318"/>
      <c r="CM8" s="318"/>
      <c r="CN8" s="318"/>
      <c r="CO8" s="318"/>
      <c r="CP8" s="318"/>
      <c r="CQ8" s="318"/>
      <c r="CR8" s="318"/>
      <c r="CS8" s="318"/>
      <c r="CT8" s="318"/>
      <c r="CU8" s="318"/>
      <c r="CV8" s="318"/>
      <c r="CW8" s="318"/>
      <c r="CX8" s="318"/>
      <c r="CY8" s="318"/>
      <c r="CZ8" s="318"/>
      <c r="DA8" s="318"/>
      <c r="DB8" s="318"/>
      <c r="DC8" s="318"/>
      <c r="DD8" s="318"/>
      <c r="DE8" s="318"/>
      <c r="DF8" s="318"/>
      <c r="DG8" s="318"/>
      <c r="DH8" s="318"/>
      <c r="DI8" s="318"/>
      <c r="DJ8" s="318"/>
      <c r="DK8" s="318"/>
      <c r="DL8" s="318"/>
      <c r="DM8" s="318"/>
      <c r="DN8" s="318"/>
      <c r="DO8" s="318"/>
      <c r="DP8" s="318"/>
      <c r="DQ8" s="318"/>
      <c r="DR8" s="318"/>
      <c r="DS8" s="318"/>
      <c r="DT8" s="318"/>
      <c r="DU8" s="318"/>
      <c r="DV8" s="318"/>
      <c r="DW8" s="318"/>
      <c r="DX8" s="318"/>
      <c r="DY8" s="318"/>
      <c r="DZ8" s="318"/>
      <c r="EA8" s="318"/>
      <c r="EB8" s="318"/>
      <c r="EC8" s="318"/>
      <c r="ED8" s="318"/>
      <c r="EE8" s="318"/>
      <c r="EF8" s="318"/>
      <c r="EG8" s="318"/>
      <c r="EH8" s="318"/>
      <c r="EI8" s="318"/>
      <c r="EJ8" s="318"/>
      <c r="EK8" s="318"/>
      <c r="EL8" s="318"/>
      <c r="EM8" s="318"/>
      <c r="EN8" s="318"/>
      <c r="EO8" s="318"/>
      <c r="EP8" s="318"/>
      <c r="EQ8" s="318"/>
      <c r="ER8" s="318"/>
      <c r="ES8" s="318"/>
      <c r="ET8" s="318"/>
      <c r="EU8" s="318"/>
      <c r="EV8" s="318"/>
      <c r="EW8" s="318"/>
      <c r="EX8" s="318"/>
      <c r="EY8" s="318"/>
      <c r="EZ8" s="318"/>
      <c r="FA8" s="318"/>
      <c r="FB8" s="318"/>
      <c r="FC8" s="318"/>
      <c r="FD8" s="318"/>
      <c r="FE8" s="318"/>
      <c r="FF8" s="318"/>
      <c r="FG8" s="318"/>
      <c r="FH8" s="318"/>
      <c r="FI8" s="318"/>
      <c r="FJ8" s="318"/>
      <c r="FK8" s="318"/>
      <c r="FL8" s="318"/>
      <c r="FM8" s="318"/>
      <c r="FN8" s="318"/>
      <c r="FO8" s="318"/>
      <c r="FP8" s="318"/>
      <c r="FQ8" s="318"/>
      <c r="FR8" s="318"/>
      <c r="FS8" s="318"/>
      <c r="FT8" s="318"/>
      <c r="FU8" s="318"/>
      <c r="FV8" s="318"/>
      <c r="FW8" s="318"/>
      <c r="FX8" s="318"/>
      <c r="FY8" s="318"/>
      <c r="FZ8" s="318"/>
      <c r="GA8" s="318"/>
      <c r="GB8" s="318"/>
      <c r="GC8" s="318"/>
      <c r="GD8" s="318"/>
      <c r="GE8" s="318"/>
      <c r="GF8" s="318"/>
      <c r="GG8" s="318"/>
      <c r="GH8" s="318"/>
      <c r="GI8" s="318"/>
      <c r="GJ8" s="318"/>
      <c r="GK8" s="318"/>
      <c r="GL8" s="318"/>
      <c r="GM8" s="318"/>
      <c r="GN8" s="318"/>
      <c r="GO8" s="318"/>
      <c r="GP8" s="318"/>
      <c r="GQ8" s="318"/>
      <c r="GR8" s="318"/>
      <c r="GS8" s="318"/>
      <c r="GT8" s="318"/>
      <c r="GU8" s="318"/>
      <c r="GV8" s="318"/>
      <c r="GW8" s="318"/>
      <c r="GX8" s="318"/>
      <c r="GY8" s="318"/>
      <c r="GZ8" s="318"/>
      <c r="HA8" s="318"/>
      <c r="HB8" s="318"/>
      <c r="HC8" s="318"/>
      <c r="HD8" s="318"/>
      <c r="HE8" s="318"/>
      <c r="HF8" s="318"/>
      <c r="HG8" s="318"/>
      <c r="HH8" s="318"/>
      <c r="HI8" s="318"/>
      <c r="HJ8" s="318"/>
      <c r="HK8" s="318"/>
      <c r="HL8" s="318"/>
      <c r="HM8" s="318"/>
      <c r="HN8" s="318"/>
      <c r="HO8" s="318"/>
      <c r="HP8" s="318"/>
      <c r="HQ8" s="318"/>
      <c r="HR8" s="318"/>
      <c r="HS8" s="318"/>
      <c r="HT8" s="318"/>
      <c r="HU8" s="318"/>
      <c r="HV8" s="318"/>
      <c r="HW8" s="318"/>
      <c r="HX8" s="318"/>
      <c r="HY8" s="318"/>
      <c r="HZ8" s="318"/>
      <c r="IA8" s="318"/>
      <c r="IB8" s="318"/>
      <c r="IC8" s="318"/>
    </row>
    <row r="9" spans="1:237" s="260" customFormat="1" ht="15" customHeight="1" x14ac:dyDescent="0.3">
      <c r="A9" s="181">
        <v>7.02</v>
      </c>
      <c r="B9" s="239"/>
      <c r="C9" s="240" t="str">
        <f>VLOOKUP(BD.PD[[#This Row],[Pos]],PPto[],3,FALSE)</f>
        <v>7.02 Cocina, Patio Comidas y Rostizería</v>
      </c>
      <c r="D9" s="181" t="s">
        <v>40</v>
      </c>
      <c r="E9" s="242" t="str">
        <f>IF(BD.PD[[#This Row],[.]]="*",VLOOKUP(BD.PD[[#This Row],[Pos]],Presupuesto!A:H,7,FALSE),"")</f>
        <v/>
      </c>
      <c r="F9" s="243" t="s">
        <v>448</v>
      </c>
      <c r="G9" s="243" t="s">
        <v>308</v>
      </c>
      <c r="H9" s="275"/>
      <c r="I9" s="276">
        <v>4</v>
      </c>
      <c r="J9" s="181" t="s">
        <v>314</v>
      </c>
      <c r="K9" s="245">
        <f>IF(BD.PD[[#This Row],[Mon]]="DOP",1,HLOOKUP(BD.PD[[#This Row],[Mon]],$J$1:$K$2,2,FALSE))</f>
        <v>1</v>
      </c>
      <c r="L9" s="277">
        <v>635.59</v>
      </c>
      <c r="M9" s="247">
        <f>BD.PD[[#This Row],[Cant.]]*BD.PD[[#This Row],[ Tasa ]]*BD.PD[[#This Row],[ Precio Und.]]</f>
        <v>2542.36</v>
      </c>
      <c r="N9" s="278">
        <v>0</v>
      </c>
      <c r="O9" s="247">
        <f>IF(BD.PD[[#This Row],[Liquid. '[%']]]&lt;&gt;0,(BD.PD[[#This Row],[Valor Neto '[DOP']]]*BD.PD[[#This Row],[Liquid. '[%']]])+BD.PD[[#This Row],[Valor Neto '[DOP']]],BD.PD[[#This Row],[Valor Neto '[DOP']]])</f>
        <v>2542.36</v>
      </c>
      <c r="P9" s="249">
        <f>BD.PD[[#This Row],[Ppto. Orden Interna '[DOP']]]/HLOOKUP("USD",$J$1:$K$2,2,FALSE)</f>
        <v>41.884019769357494</v>
      </c>
      <c r="Q9" s="250" t="s">
        <v>1114</v>
      </c>
      <c r="R9" s="424" t="s">
        <v>387</v>
      </c>
      <c r="S9" s="251">
        <v>22</v>
      </c>
      <c r="T9" s="252">
        <v>1</v>
      </c>
      <c r="U9" s="253">
        <f>BD.PD[[#This Row],[Av.P1 '[%']]]*BD.PD[[#This Row],[Ppto. Orden Interna '[DOP']]]</f>
        <v>2542.36</v>
      </c>
      <c r="V9" s="254"/>
      <c r="W9" s="255"/>
      <c r="X9" s="253">
        <f>BD.PD[[#This Row],[Av.P2 '[%']]]*BD.PD[[#This Row],[Ppto. Orden Interna '[DOP']]]</f>
        <v>0</v>
      </c>
      <c r="Y9" s="254"/>
      <c r="Z9" s="255"/>
      <c r="AA9" s="253">
        <f>BD.PD[[#This Row],[Av.P3 '[%']]]*BD.PD[[#This Row],[Ppto. Orden Interna '[DOP']]]</f>
        <v>0</v>
      </c>
      <c r="AB9" s="254"/>
      <c r="AC9" s="255"/>
      <c r="AD9" s="253">
        <f>BD.PD[[#This Row],[Av.P4 '[%']]]*BD.PD[[#This Row],[Ppto. Orden Interna '[DOP']]]</f>
        <v>0</v>
      </c>
      <c r="AE9" s="254"/>
      <c r="AF9" s="255"/>
      <c r="AG9" s="253">
        <f>BD.PD[[#This Row],[Av.P5 '[%']]]*BD.PD[[#This Row],[Ppto. Orden Interna '[DOP']]]</f>
        <v>0</v>
      </c>
      <c r="AH9" s="256">
        <f>BD.PD[[#This Row],[Pago 5]]+BD.PD[[#This Row],[Pago 4]]+BD.PD[[#This Row],[Pago 3]]+BD.PD[[#This Row],[Pago 2]]+BD.PD[[#This Row],[Pago 1]]</f>
        <v>2542.36</v>
      </c>
      <c r="AI9" s="318"/>
      <c r="AJ9" s="318"/>
      <c r="AK9" s="318"/>
      <c r="AL9" s="318"/>
      <c r="AM9" s="318"/>
      <c r="AN9" s="318"/>
      <c r="AO9" s="318"/>
      <c r="AP9" s="318"/>
      <c r="AQ9" s="318"/>
      <c r="AR9" s="318"/>
      <c r="AS9" s="318"/>
      <c r="AT9" s="318"/>
      <c r="AU9" s="318"/>
      <c r="AV9" s="318"/>
      <c r="AW9" s="318"/>
      <c r="AX9" s="318"/>
      <c r="AY9" s="318"/>
      <c r="AZ9" s="318"/>
      <c r="BA9" s="318"/>
      <c r="BB9" s="318"/>
      <c r="BC9" s="318"/>
      <c r="BD9" s="318"/>
      <c r="BE9" s="318"/>
      <c r="BF9" s="318"/>
      <c r="BG9" s="318"/>
      <c r="BH9" s="318"/>
      <c r="BI9" s="318"/>
      <c r="BJ9" s="318"/>
      <c r="BK9" s="318"/>
      <c r="BL9" s="318"/>
      <c r="BM9" s="318"/>
      <c r="BN9" s="318"/>
      <c r="BO9" s="318"/>
      <c r="BP9" s="318"/>
      <c r="BQ9" s="318"/>
      <c r="BR9" s="318"/>
      <c r="BS9" s="318"/>
      <c r="BT9" s="318"/>
      <c r="BU9" s="318"/>
      <c r="BV9" s="318"/>
      <c r="BW9" s="318"/>
      <c r="BX9" s="318"/>
      <c r="BY9" s="318"/>
      <c r="BZ9" s="318"/>
      <c r="CA9" s="318"/>
      <c r="CB9" s="318"/>
      <c r="CC9" s="318"/>
      <c r="CD9" s="318"/>
      <c r="CE9" s="318"/>
      <c r="CF9" s="318"/>
      <c r="CG9" s="318"/>
      <c r="CH9" s="318"/>
      <c r="CI9" s="318"/>
      <c r="CJ9" s="318"/>
      <c r="CK9" s="318"/>
      <c r="CL9" s="318"/>
      <c r="CM9" s="318"/>
      <c r="CN9" s="318"/>
      <c r="CO9" s="318"/>
      <c r="CP9" s="318"/>
      <c r="CQ9" s="318"/>
      <c r="CR9" s="318"/>
      <c r="CS9" s="318"/>
      <c r="CT9" s="318"/>
      <c r="CU9" s="318"/>
      <c r="CV9" s="318"/>
      <c r="CW9" s="318"/>
      <c r="CX9" s="318"/>
      <c r="CY9" s="318"/>
      <c r="CZ9" s="318"/>
      <c r="DA9" s="318"/>
      <c r="DB9" s="318"/>
      <c r="DC9" s="318"/>
      <c r="DD9" s="318"/>
      <c r="DE9" s="318"/>
      <c r="DF9" s="318"/>
      <c r="DG9" s="318"/>
      <c r="DH9" s="318"/>
      <c r="DI9" s="318"/>
      <c r="DJ9" s="318"/>
      <c r="DK9" s="318"/>
      <c r="DL9" s="318"/>
      <c r="DM9" s="318"/>
      <c r="DN9" s="318"/>
      <c r="DO9" s="318"/>
      <c r="DP9" s="318"/>
      <c r="DQ9" s="318"/>
      <c r="DR9" s="318"/>
      <c r="DS9" s="318"/>
      <c r="DT9" s="318"/>
      <c r="DU9" s="318"/>
      <c r="DV9" s="318"/>
      <c r="DW9" s="318"/>
      <c r="DX9" s="318"/>
      <c r="DY9" s="318"/>
      <c r="DZ9" s="318"/>
      <c r="EA9" s="318"/>
      <c r="EB9" s="318"/>
      <c r="EC9" s="318"/>
      <c r="ED9" s="318"/>
      <c r="EE9" s="318"/>
      <c r="EF9" s="318"/>
      <c r="EG9" s="318"/>
      <c r="EH9" s="318"/>
      <c r="EI9" s="318"/>
      <c r="EJ9" s="318"/>
      <c r="EK9" s="318"/>
      <c r="EL9" s="318"/>
      <c r="EM9" s="318"/>
      <c r="EN9" s="318"/>
      <c r="EO9" s="318"/>
      <c r="EP9" s="318"/>
      <c r="EQ9" s="318"/>
      <c r="ER9" s="318"/>
      <c r="ES9" s="318"/>
      <c r="ET9" s="318"/>
      <c r="EU9" s="318"/>
      <c r="EV9" s="318"/>
      <c r="EW9" s="318"/>
      <c r="EX9" s="318"/>
      <c r="EY9" s="318"/>
      <c r="EZ9" s="318"/>
      <c r="FA9" s="318"/>
      <c r="FB9" s="318"/>
      <c r="FC9" s="318"/>
      <c r="FD9" s="318"/>
      <c r="FE9" s="318"/>
      <c r="FF9" s="318"/>
      <c r="FG9" s="318"/>
      <c r="FH9" s="318"/>
      <c r="FI9" s="318"/>
      <c r="FJ9" s="318"/>
      <c r="FK9" s="318"/>
      <c r="FL9" s="318"/>
      <c r="FM9" s="318"/>
      <c r="FN9" s="318"/>
      <c r="FO9" s="318"/>
      <c r="FP9" s="318"/>
      <c r="FQ9" s="318"/>
      <c r="FR9" s="318"/>
      <c r="FS9" s="318"/>
      <c r="FT9" s="318"/>
      <c r="FU9" s="318"/>
      <c r="FV9" s="318"/>
      <c r="FW9" s="318"/>
      <c r="FX9" s="318"/>
      <c r="FY9" s="318"/>
      <c r="FZ9" s="318"/>
      <c r="GA9" s="318"/>
      <c r="GB9" s="318"/>
      <c r="GC9" s="318"/>
      <c r="GD9" s="318"/>
      <c r="GE9" s="318"/>
      <c r="GF9" s="318"/>
      <c r="GG9" s="318"/>
      <c r="GH9" s="318"/>
      <c r="GI9" s="318"/>
      <c r="GJ9" s="318"/>
      <c r="GK9" s="318"/>
      <c r="GL9" s="318"/>
      <c r="GM9" s="318"/>
      <c r="GN9" s="318"/>
      <c r="GO9" s="318"/>
      <c r="GP9" s="318"/>
      <c r="GQ9" s="318"/>
      <c r="GR9" s="318"/>
      <c r="GS9" s="318"/>
      <c r="GT9" s="318"/>
      <c r="GU9" s="318"/>
      <c r="GV9" s="318"/>
      <c r="GW9" s="318"/>
      <c r="GX9" s="318"/>
      <c r="GY9" s="318"/>
      <c r="GZ9" s="318"/>
      <c r="HA9" s="318"/>
      <c r="HB9" s="318"/>
      <c r="HC9" s="318"/>
      <c r="HD9" s="318"/>
      <c r="HE9" s="318"/>
      <c r="HF9" s="318"/>
      <c r="HG9" s="318"/>
      <c r="HH9" s="318"/>
      <c r="HI9" s="318"/>
      <c r="HJ9" s="318"/>
      <c r="HK9" s="318"/>
      <c r="HL9" s="318"/>
      <c r="HM9" s="318"/>
      <c r="HN9" s="318"/>
      <c r="HO9" s="318"/>
      <c r="HP9" s="318"/>
      <c r="HQ9" s="318"/>
      <c r="HR9" s="318"/>
      <c r="HS9" s="318"/>
      <c r="HT9" s="318"/>
      <c r="HU9" s="318"/>
      <c r="HV9" s="318"/>
      <c r="HW9" s="318"/>
      <c r="HX9" s="318"/>
      <c r="HY9" s="318"/>
      <c r="HZ9" s="318"/>
      <c r="IA9" s="318"/>
      <c r="IB9" s="318"/>
      <c r="IC9" s="318"/>
    </row>
    <row r="10" spans="1:237" s="260" customFormat="1" ht="15" customHeight="1" x14ac:dyDescent="0.3">
      <c r="A10" s="181">
        <v>7.02</v>
      </c>
      <c r="B10" s="239"/>
      <c r="C10" s="240" t="str">
        <f>VLOOKUP(BD.PD[[#This Row],[Pos]],PPto[],3,FALSE)</f>
        <v>7.02 Cocina, Patio Comidas y Rostizería</v>
      </c>
      <c r="D10" s="181" t="s">
        <v>40</v>
      </c>
      <c r="E10" s="242" t="str">
        <f>IF(BD.PD[[#This Row],[.]]="*",VLOOKUP(BD.PD[[#This Row],[Pos]],Presupuesto!A:H,7,FALSE),"")</f>
        <v/>
      </c>
      <c r="F10" s="243" t="s">
        <v>450</v>
      </c>
      <c r="G10" s="243" t="s">
        <v>308</v>
      </c>
      <c r="H10" s="275"/>
      <c r="I10" s="276">
        <v>15</v>
      </c>
      <c r="J10" s="181" t="s">
        <v>314</v>
      </c>
      <c r="K10" s="245">
        <f>IF(BD.PD[[#This Row],[Mon]]="DOP",1,HLOOKUP(BD.PD[[#This Row],[Mon]],$J$1:$K$2,2,FALSE))</f>
        <v>1</v>
      </c>
      <c r="L10" s="277">
        <v>550.84</v>
      </c>
      <c r="M10" s="247">
        <f>BD.PD[[#This Row],[Cant.]]*BD.PD[[#This Row],[ Tasa ]]*BD.PD[[#This Row],[ Precio Und.]]</f>
        <v>8262.6</v>
      </c>
      <c r="N10" s="278">
        <v>0</v>
      </c>
      <c r="O10" s="247">
        <f>IF(BD.PD[[#This Row],[Liquid. '[%']]]&lt;&gt;0,(BD.PD[[#This Row],[Valor Neto '[DOP']]]*BD.PD[[#This Row],[Liquid. '[%']]])+BD.PD[[#This Row],[Valor Neto '[DOP']]],BD.PD[[#This Row],[Valor Neto '[DOP']]])</f>
        <v>8262.6</v>
      </c>
      <c r="P10" s="249">
        <f>BD.PD[[#This Row],[Ppto. Orden Interna '[DOP']]]/HLOOKUP("USD",$J$1:$K$2,2,FALSE)</f>
        <v>136.12191103789127</v>
      </c>
      <c r="Q10" s="250" t="s">
        <v>1114</v>
      </c>
      <c r="R10" s="424" t="s">
        <v>387</v>
      </c>
      <c r="S10" s="251">
        <v>22</v>
      </c>
      <c r="T10" s="252">
        <v>1</v>
      </c>
      <c r="U10" s="253">
        <f>BD.PD[[#This Row],[Av.P1 '[%']]]*BD.PD[[#This Row],[Ppto. Orden Interna '[DOP']]]</f>
        <v>8262.6</v>
      </c>
      <c r="V10" s="254"/>
      <c r="W10" s="255"/>
      <c r="X10" s="253">
        <f>BD.PD[[#This Row],[Av.P2 '[%']]]*BD.PD[[#This Row],[Ppto. Orden Interna '[DOP']]]</f>
        <v>0</v>
      </c>
      <c r="Y10" s="254"/>
      <c r="Z10" s="255"/>
      <c r="AA10" s="253">
        <f>BD.PD[[#This Row],[Av.P3 '[%']]]*BD.PD[[#This Row],[Ppto. Orden Interna '[DOP']]]</f>
        <v>0</v>
      </c>
      <c r="AB10" s="254"/>
      <c r="AC10" s="255"/>
      <c r="AD10" s="253">
        <f>BD.PD[[#This Row],[Av.P4 '[%']]]*BD.PD[[#This Row],[Ppto. Orden Interna '[DOP']]]</f>
        <v>0</v>
      </c>
      <c r="AE10" s="254"/>
      <c r="AF10" s="255"/>
      <c r="AG10" s="253">
        <f>BD.PD[[#This Row],[Av.P5 '[%']]]*BD.PD[[#This Row],[Ppto. Orden Interna '[DOP']]]</f>
        <v>0</v>
      </c>
      <c r="AH10" s="256">
        <f>BD.PD[[#This Row],[Pago 5]]+BD.PD[[#This Row],[Pago 4]]+BD.PD[[#This Row],[Pago 3]]+BD.PD[[#This Row],[Pago 2]]+BD.PD[[#This Row],[Pago 1]]</f>
        <v>8262.6</v>
      </c>
      <c r="AI10" s="318"/>
      <c r="AJ10" s="318"/>
      <c r="AK10" s="318"/>
      <c r="AL10" s="318"/>
      <c r="AM10" s="318"/>
      <c r="AN10" s="318"/>
      <c r="AO10" s="318"/>
      <c r="AP10" s="318"/>
      <c r="AQ10" s="318"/>
      <c r="AR10" s="318"/>
      <c r="AS10" s="318"/>
      <c r="AT10" s="318"/>
      <c r="AU10" s="318"/>
      <c r="AV10" s="318"/>
      <c r="AW10" s="318"/>
      <c r="AX10" s="318"/>
      <c r="AY10" s="318"/>
      <c r="AZ10" s="318"/>
      <c r="BA10" s="318"/>
      <c r="BB10" s="318"/>
      <c r="BC10" s="318"/>
      <c r="BD10" s="318"/>
      <c r="BE10" s="318"/>
      <c r="BF10" s="318"/>
      <c r="BG10" s="318"/>
      <c r="BH10" s="318"/>
      <c r="BI10" s="318"/>
      <c r="BJ10" s="318"/>
      <c r="BK10" s="318"/>
      <c r="BL10" s="318"/>
      <c r="BM10" s="318"/>
      <c r="BN10" s="318"/>
      <c r="BO10" s="318"/>
      <c r="BP10" s="318"/>
      <c r="BQ10" s="318"/>
      <c r="BR10" s="318"/>
      <c r="BS10" s="318"/>
      <c r="BT10" s="318"/>
      <c r="BU10" s="318"/>
      <c r="BV10" s="318"/>
      <c r="BW10" s="318"/>
      <c r="BX10" s="318"/>
      <c r="BY10" s="318"/>
      <c r="BZ10" s="318"/>
      <c r="CA10" s="318"/>
      <c r="CB10" s="318"/>
      <c r="CC10" s="318"/>
      <c r="CD10" s="318"/>
      <c r="CE10" s="318"/>
      <c r="CF10" s="318"/>
      <c r="CG10" s="318"/>
      <c r="CH10" s="318"/>
      <c r="CI10" s="318"/>
      <c r="CJ10" s="318"/>
      <c r="CK10" s="318"/>
      <c r="CL10" s="318"/>
      <c r="CM10" s="318"/>
      <c r="CN10" s="318"/>
      <c r="CO10" s="318"/>
      <c r="CP10" s="318"/>
      <c r="CQ10" s="318"/>
      <c r="CR10" s="318"/>
      <c r="CS10" s="318"/>
      <c r="CT10" s="318"/>
      <c r="CU10" s="318"/>
      <c r="CV10" s="318"/>
      <c r="CW10" s="318"/>
      <c r="CX10" s="318"/>
      <c r="CY10" s="318"/>
      <c r="CZ10" s="318"/>
      <c r="DA10" s="318"/>
      <c r="DB10" s="318"/>
      <c r="DC10" s="318"/>
      <c r="DD10" s="318"/>
      <c r="DE10" s="318"/>
      <c r="DF10" s="318"/>
      <c r="DG10" s="318"/>
      <c r="DH10" s="318"/>
      <c r="DI10" s="318"/>
      <c r="DJ10" s="318"/>
      <c r="DK10" s="318"/>
      <c r="DL10" s="318"/>
      <c r="DM10" s="318"/>
      <c r="DN10" s="318"/>
      <c r="DO10" s="318"/>
      <c r="DP10" s="318"/>
      <c r="DQ10" s="318"/>
      <c r="DR10" s="318"/>
      <c r="DS10" s="318"/>
      <c r="DT10" s="318"/>
      <c r="DU10" s="318"/>
      <c r="DV10" s="318"/>
      <c r="DW10" s="318"/>
      <c r="DX10" s="318"/>
      <c r="DY10" s="318"/>
      <c r="DZ10" s="318"/>
      <c r="EA10" s="318"/>
      <c r="EB10" s="318"/>
      <c r="EC10" s="318"/>
      <c r="ED10" s="318"/>
      <c r="EE10" s="318"/>
      <c r="EF10" s="318"/>
      <c r="EG10" s="318"/>
      <c r="EH10" s="318"/>
      <c r="EI10" s="318"/>
      <c r="EJ10" s="318"/>
      <c r="EK10" s="318"/>
      <c r="EL10" s="318"/>
      <c r="EM10" s="318"/>
      <c r="EN10" s="318"/>
      <c r="EO10" s="318"/>
      <c r="EP10" s="318"/>
      <c r="EQ10" s="318"/>
      <c r="ER10" s="318"/>
      <c r="ES10" s="318"/>
      <c r="ET10" s="318"/>
      <c r="EU10" s="318"/>
      <c r="EV10" s="318"/>
      <c r="EW10" s="318"/>
      <c r="EX10" s="318"/>
      <c r="EY10" s="318"/>
      <c r="EZ10" s="318"/>
      <c r="FA10" s="318"/>
      <c r="FB10" s="318"/>
      <c r="FC10" s="318"/>
      <c r="FD10" s="318"/>
      <c r="FE10" s="318"/>
      <c r="FF10" s="318"/>
      <c r="FG10" s="318"/>
      <c r="FH10" s="318"/>
      <c r="FI10" s="318"/>
      <c r="FJ10" s="318"/>
      <c r="FK10" s="318"/>
      <c r="FL10" s="318"/>
      <c r="FM10" s="318"/>
      <c r="FN10" s="318"/>
      <c r="FO10" s="318"/>
      <c r="FP10" s="318"/>
      <c r="FQ10" s="318"/>
      <c r="FR10" s="318"/>
      <c r="FS10" s="318"/>
      <c r="FT10" s="318"/>
      <c r="FU10" s="318"/>
      <c r="FV10" s="318"/>
      <c r="FW10" s="318"/>
      <c r="FX10" s="318"/>
      <c r="FY10" s="318"/>
      <c r="FZ10" s="318"/>
      <c r="GA10" s="318"/>
      <c r="GB10" s="318"/>
      <c r="GC10" s="318"/>
      <c r="GD10" s="318"/>
      <c r="GE10" s="318"/>
      <c r="GF10" s="318"/>
      <c r="GG10" s="318"/>
      <c r="GH10" s="318"/>
      <c r="GI10" s="318"/>
      <c r="GJ10" s="318"/>
      <c r="GK10" s="318"/>
      <c r="GL10" s="318"/>
      <c r="GM10" s="318"/>
      <c r="GN10" s="318"/>
      <c r="GO10" s="318"/>
      <c r="GP10" s="318"/>
      <c r="GQ10" s="318"/>
      <c r="GR10" s="318"/>
      <c r="GS10" s="318"/>
      <c r="GT10" s="318"/>
      <c r="GU10" s="318"/>
      <c r="GV10" s="318"/>
      <c r="GW10" s="318"/>
      <c r="GX10" s="318"/>
      <c r="GY10" s="318"/>
      <c r="GZ10" s="318"/>
      <c r="HA10" s="318"/>
      <c r="HB10" s="318"/>
      <c r="HC10" s="318"/>
      <c r="HD10" s="318"/>
      <c r="HE10" s="318"/>
      <c r="HF10" s="318"/>
      <c r="HG10" s="318"/>
      <c r="HH10" s="318"/>
      <c r="HI10" s="318"/>
      <c r="HJ10" s="318"/>
      <c r="HK10" s="318"/>
      <c r="HL10" s="318"/>
      <c r="HM10" s="318"/>
      <c r="HN10" s="318"/>
      <c r="HO10" s="318"/>
      <c r="HP10" s="318"/>
      <c r="HQ10" s="318"/>
      <c r="HR10" s="318"/>
      <c r="HS10" s="318"/>
      <c r="HT10" s="318"/>
      <c r="HU10" s="318"/>
      <c r="HV10" s="318"/>
      <c r="HW10" s="318"/>
      <c r="HX10" s="318"/>
      <c r="HY10" s="318"/>
      <c r="HZ10" s="318"/>
      <c r="IA10" s="318"/>
      <c r="IB10" s="318"/>
      <c r="IC10" s="318"/>
    </row>
    <row r="11" spans="1:237" s="260" customFormat="1" ht="15" customHeight="1" x14ac:dyDescent="0.3">
      <c r="A11" s="181">
        <v>7.02</v>
      </c>
      <c r="B11" s="239"/>
      <c r="C11" s="240" t="str">
        <f>VLOOKUP(BD.PD[[#This Row],[Pos]],PPto[],3,FALSE)</f>
        <v>7.02 Cocina, Patio Comidas y Rostizería</v>
      </c>
      <c r="D11" s="181" t="s">
        <v>40</v>
      </c>
      <c r="E11" s="242" t="str">
        <f>IF(BD.PD[[#This Row],[.]]="*",VLOOKUP(BD.PD[[#This Row],[Pos]],Presupuesto!A:H,7,FALSE),"")</f>
        <v/>
      </c>
      <c r="F11" s="243" t="s">
        <v>451</v>
      </c>
      <c r="G11" s="243" t="s">
        <v>308</v>
      </c>
      <c r="H11" s="275"/>
      <c r="I11" s="276">
        <v>60</v>
      </c>
      <c r="J11" s="181" t="s">
        <v>314</v>
      </c>
      <c r="K11" s="245">
        <f>IF(BD.PD[[#This Row],[Mon]]="DOP",1,HLOOKUP(BD.PD[[#This Row],[Mon]],$J$1:$K$2,2,FALSE))</f>
        <v>1</v>
      </c>
      <c r="L11" s="277">
        <v>2389.0038333333337</v>
      </c>
      <c r="M11" s="247">
        <f>BD.PD[[#This Row],[Cant.]]*BD.PD[[#This Row],[ Tasa ]]*BD.PD[[#This Row],[ Precio Und.]]</f>
        <v>143340.23000000001</v>
      </c>
      <c r="N11" s="278">
        <v>0</v>
      </c>
      <c r="O11" s="247">
        <f>IF(BD.PD[[#This Row],[Liquid. '[%']]]&lt;&gt;0,(BD.PD[[#This Row],[Valor Neto '[DOP']]]*BD.PD[[#This Row],[Liquid. '[%']]])+BD.PD[[#This Row],[Valor Neto '[DOP']]],BD.PD[[#This Row],[Valor Neto '[DOP']]])</f>
        <v>143340.23000000001</v>
      </c>
      <c r="P11" s="249">
        <f>BD.PD[[#This Row],[Ppto. Orden Interna '[DOP']]]/HLOOKUP("USD",$J$1:$K$2,2,FALSE)</f>
        <v>2361.4535420098846</v>
      </c>
      <c r="Q11" s="250" t="s">
        <v>1114</v>
      </c>
      <c r="R11" s="424" t="s">
        <v>387</v>
      </c>
      <c r="S11" s="251">
        <v>22</v>
      </c>
      <c r="T11" s="252">
        <v>1</v>
      </c>
      <c r="U11" s="253">
        <f>BD.PD[[#This Row],[Av.P1 '[%']]]*BD.PD[[#This Row],[Ppto. Orden Interna '[DOP']]]</f>
        <v>143340.23000000001</v>
      </c>
      <c r="V11" s="254"/>
      <c r="W11" s="255"/>
      <c r="X11" s="253">
        <f>BD.PD[[#This Row],[Av.P2 '[%']]]*BD.PD[[#This Row],[Ppto. Orden Interna '[DOP']]]</f>
        <v>0</v>
      </c>
      <c r="Y11" s="254"/>
      <c r="Z11" s="255"/>
      <c r="AA11" s="253">
        <f>BD.PD[[#This Row],[Av.P3 '[%']]]*BD.PD[[#This Row],[Ppto. Orden Interna '[DOP']]]</f>
        <v>0</v>
      </c>
      <c r="AB11" s="254"/>
      <c r="AC11" s="255"/>
      <c r="AD11" s="253">
        <f>BD.PD[[#This Row],[Av.P4 '[%']]]*BD.PD[[#This Row],[Ppto. Orden Interna '[DOP']]]</f>
        <v>0</v>
      </c>
      <c r="AE11" s="254"/>
      <c r="AF11" s="255"/>
      <c r="AG11" s="253">
        <f>BD.PD[[#This Row],[Av.P5 '[%']]]*BD.PD[[#This Row],[Ppto. Orden Interna '[DOP']]]</f>
        <v>0</v>
      </c>
      <c r="AH11" s="256">
        <f>BD.PD[[#This Row],[Pago 5]]+BD.PD[[#This Row],[Pago 4]]+BD.PD[[#This Row],[Pago 3]]+BD.PD[[#This Row],[Pago 2]]+BD.PD[[#This Row],[Pago 1]]</f>
        <v>143340.23000000001</v>
      </c>
      <c r="AI11" s="318"/>
      <c r="AJ11" s="318"/>
      <c r="AK11" s="318"/>
      <c r="AL11" s="318"/>
      <c r="AM11" s="318"/>
      <c r="AN11" s="318"/>
      <c r="AO11" s="318"/>
      <c r="AP11" s="318"/>
      <c r="AQ11" s="318"/>
      <c r="AR11" s="318"/>
      <c r="AS11" s="318"/>
      <c r="AT11" s="318"/>
      <c r="AU11" s="318"/>
      <c r="AV11" s="318"/>
      <c r="AW11" s="318"/>
      <c r="AX11" s="318"/>
      <c r="AY11" s="318"/>
      <c r="AZ11" s="318"/>
      <c r="BA11" s="318"/>
      <c r="BB11" s="318"/>
      <c r="BC11" s="318"/>
      <c r="BD11" s="318"/>
      <c r="BE11" s="318"/>
      <c r="BF11" s="318"/>
      <c r="BG11" s="318"/>
      <c r="BH11" s="318"/>
      <c r="BI11" s="318"/>
      <c r="BJ11" s="318"/>
      <c r="BK11" s="318"/>
      <c r="BL11" s="318"/>
      <c r="BM11" s="318"/>
      <c r="BN11" s="318"/>
      <c r="BO11" s="318"/>
      <c r="BP11" s="318"/>
      <c r="BQ11" s="318"/>
      <c r="BR11" s="318"/>
      <c r="BS11" s="318"/>
      <c r="BT11" s="318"/>
      <c r="BU11" s="318"/>
      <c r="BV11" s="318"/>
      <c r="BW11" s="318"/>
      <c r="BX11" s="318"/>
      <c r="BY11" s="318"/>
      <c r="BZ11" s="318"/>
      <c r="CA11" s="318"/>
      <c r="CB11" s="318"/>
      <c r="CC11" s="318"/>
      <c r="CD11" s="318"/>
      <c r="CE11" s="318"/>
      <c r="CF11" s="318"/>
      <c r="CG11" s="318"/>
      <c r="CH11" s="318"/>
      <c r="CI11" s="318"/>
      <c r="CJ11" s="318"/>
      <c r="CK11" s="318"/>
      <c r="CL11" s="318"/>
      <c r="CM11" s="318"/>
      <c r="CN11" s="318"/>
      <c r="CO11" s="318"/>
      <c r="CP11" s="318"/>
      <c r="CQ11" s="318"/>
      <c r="CR11" s="318"/>
      <c r="CS11" s="318"/>
      <c r="CT11" s="318"/>
      <c r="CU11" s="318"/>
      <c r="CV11" s="318"/>
      <c r="CW11" s="318"/>
      <c r="CX11" s="318"/>
      <c r="CY11" s="318"/>
      <c r="CZ11" s="318"/>
      <c r="DA11" s="318"/>
      <c r="DB11" s="318"/>
      <c r="DC11" s="318"/>
      <c r="DD11" s="318"/>
      <c r="DE11" s="318"/>
      <c r="DF11" s="318"/>
      <c r="DG11" s="318"/>
      <c r="DH11" s="318"/>
      <c r="DI11" s="318"/>
      <c r="DJ11" s="318"/>
      <c r="DK11" s="318"/>
      <c r="DL11" s="318"/>
      <c r="DM11" s="318"/>
      <c r="DN11" s="318"/>
      <c r="DO11" s="318"/>
      <c r="DP11" s="318"/>
      <c r="DQ11" s="318"/>
      <c r="DR11" s="318"/>
      <c r="DS11" s="318"/>
      <c r="DT11" s="318"/>
      <c r="DU11" s="318"/>
      <c r="DV11" s="318"/>
      <c r="DW11" s="318"/>
      <c r="DX11" s="318"/>
      <c r="DY11" s="318"/>
      <c r="DZ11" s="318"/>
      <c r="EA11" s="318"/>
      <c r="EB11" s="318"/>
      <c r="EC11" s="318"/>
      <c r="ED11" s="318"/>
      <c r="EE11" s="318"/>
      <c r="EF11" s="318"/>
      <c r="EG11" s="318"/>
      <c r="EH11" s="318"/>
      <c r="EI11" s="318"/>
      <c r="EJ11" s="318"/>
      <c r="EK11" s="318"/>
      <c r="EL11" s="318"/>
      <c r="EM11" s="318"/>
      <c r="EN11" s="318"/>
      <c r="EO11" s="318"/>
      <c r="EP11" s="318"/>
      <c r="EQ11" s="318"/>
      <c r="ER11" s="318"/>
      <c r="ES11" s="318"/>
      <c r="ET11" s="318"/>
      <c r="EU11" s="318"/>
      <c r="EV11" s="318"/>
      <c r="EW11" s="318"/>
      <c r="EX11" s="318"/>
      <c r="EY11" s="318"/>
      <c r="EZ11" s="318"/>
      <c r="FA11" s="318"/>
      <c r="FB11" s="318"/>
      <c r="FC11" s="318"/>
      <c r="FD11" s="318"/>
      <c r="FE11" s="318"/>
      <c r="FF11" s="318"/>
      <c r="FG11" s="318"/>
      <c r="FH11" s="318"/>
      <c r="FI11" s="318"/>
      <c r="FJ11" s="318"/>
      <c r="FK11" s="318"/>
      <c r="FL11" s="318"/>
      <c r="FM11" s="318"/>
      <c r="FN11" s="318"/>
      <c r="FO11" s="318"/>
      <c r="FP11" s="318"/>
      <c r="FQ11" s="318"/>
      <c r="FR11" s="318"/>
      <c r="FS11" s="318"/>
      <c r="FT11" s="318"/>
      <c r="FU11" s="318"/>
      <c r="FV11" s="318"/>
      <c r="FW11" s="318"/>
      <c r="FX11" s="318"/>
      <c r="FY11" s="318"/>
      <c r="FZ11" s="318"/>
      <c r="GA11" s="318"/>
      <c r="GB11" s="318"/>
      <c r="GC11" s="318"/>
      <c r="GD11" s="318"/>
      <c r="GE11" s="318"/>
      <c r="GF11" s="318"/>
      <c r="GG11" s="318"/>
      <c r="GH11" s="318"/>
      <c r="GI11" s="318"/>
      <c r="GJ11" s="318"/>
      <c r="GK11" s="318"/>
      <c r="GL11" s="318"/>
      <c r="GM11" s="318"/>
      <c r="GN11" s="318"/>
      <c r="GO11" s="318"/>
      <c r="GP11" s="318"/>
      <c r="GQ11" s="318"/>
      <c r="GR11" s="318"/>
      <c r="GS11" s="318"/>
      <c r="GT11" s="318"/>
      <c r="GU11" s="318"/>
      <c r="GV11" s="318"/>
      <c r="GW11" s="318"/>
      <c r="GX11" s="318"/>
      <c r="GY11" s="318"/>
      <c r="GZ11" s="318"/>
      <c r="HA11" s="318"/>
      <c r="HB11" s="318"/>
      <c r="HC11" s="318"/>
      <c r="HD11" s="318"/>
      <c r="HE11" s="318"/>
      <c r="HF11" s="318"/>
      <c r="HG11" s="318"/>
      <c r="HH11" s="318"/>
      <c r="HI11" s="318"/>
      <c r="HJ11" s="318"/>
      <c r="HK11" s="318"/>
      <c r="HL11" s="318"/>
      <c r="HM11" s="318"/>
      <c r="HN11" s="318"/>
      <c r="HO11" s="318"/>
      <c r="HP11" s="318"/>
      <c r="HQ11" s="318"/>
      <c r="HR11" s="318"/>
      <c r="HS11" s="318"/>
      <c r="HT11" s="318"/>
      <c r="HU11" s="318"/>
      <c r="HV11" s="318"/>
      <c r="HW11" s="318"/>
      <c r="HX11" s="318"/>
      <c r="HY11" s="318"/>
      <c r="HZ11" s="318"/>
      <c r="IA11" s="318"/>
      <c r="IB11" s="318"/>
      <c r="IC11" s="318"/>
    </row>
    <row r="12" spans="1:237" s="260" customFormat="1" ht="15" customHeight="1" x14ac:dyDescent="0.3">
      <c r="A12" s="181">
        <v>7.02</v>
      </c>
      <c r="B12" s="239"/>
      <c r="C12" s="240" t="str">
        <f>VLOOKUP(BD.PD[[#This Row],[Pos]],PPto[],3,FALSE)</f>
        <v>7.02 Cocina, Patio Comidas y Rostizería</v>
      </c>
      <c r="D12" s="181" t="s">
        <v>40</v>
      </c>
      <c r="E12" s="242" t="str">
        <f>IF(BD.PD[[#This Row],[.]]="*",VLOOKUP(BD.PD[[#This Row],[Pos]],Presupuesto!A:H,7,FALSE),"")</f>
        <v/>
      </c>
      <c r="F12" s="305" t="s">
        <v>453</v>
      </c>
      <c r="G12" s="243" t="s">
        <v>308</v>
      </c>
      <c r="H12" s="275"/>
      <c r="I12" s="276">
        <v>3</v>
      </c>
      <c r="J12" s="181" t="s">
        <v>314</v>
      </c>
      <c r="K12" s="245">
        <f>IF(BD.PD[[#This Row],[Mon]]="DOP",1,HLOOKUP(BD.PD[[#This Row],[Mon]],$J$1:$K$2,2,FALSE))</f>
        <v>1</v>
      </c>
      <c r="L12" s="277">
        <v>22800</v>
      </c>
      <c r="M12" s="247">
        <f>BD.PD[[#This Row],[Cant.]]*BD.PD[[#This Row],[ Tasa ]]*BD.PD[[#This Row],[ Precio Und.]]</f>
        <v>68400</v>
      </c>
      <c r="N12" s="278">
        <v>0</v>
      </c>
      <c r="O12" s="247">
        <f>IF(BD.PD[[#This Row],[Liquid. '[%']]]&lt;&gt;0,(BD.PD[[#This Row],[Valor Neto '[DOP']]]*BD.PD[[#This Row],[Liquid. '[%']]])+BD.PD[[#This Row],[Valor Neto '[DOP']]],BD.PD[[#This Row],[Valor Neto '[DOP']]])</f>
        <v>68400</v>
      </c>
      <c r="P12" s="249">
        <f>BD.PD[[#This Row],[Ppto. Orden Interna '[DOP']]]/HLOOKUP("USD",$J$1:$K$2,2,FALSE)</f>
        <v>1126.8533772652388</v>
      </c>
      <c r="Q12" s="250" t="s">
        <v>1114</v>
      </c>
      <c r="R12" s="424" t="s">
        <v>387</v>
      </c>
      <c r="S12" s="251">
        <v>22</v>
      </c>
      <c r="T12" s="252">
        <v>1</v>
      </c>
      <c r="U12" s="253">
        <f>BD.PD[[#This Row],[Av.P1 '[%']]]*BD.PD[[#This Row],[Ppto. Orden Interna '[DOP']]]</f>
        <v>68400</v>
      </c>
      <c r="V12" s="254"/>
      <c r="W12" s="255"/>
      <c r="X12" s="253">
        <f>BD.PD[[#This Row],[Av.P2 '[%']]]*BD.PD[[#This Row],[Ppto. Orden Interna '[DOP']]]</f>
        <v>0</v>
      </c>
      <c r="Y12" s="254"/>
      <c r="Z12" s="255"/>
      <c r="AA12" s="253">
        <f>BD.PD[[#This Row],[Av.P3 '[%']]]*BD.PD[[#This Row],[Ppto. Orden Interna '[DOP']]]</f>
        <v>0</v>
      </c>
      <c r="AB12" s="254"/>
      <c r="AC12" s="255"/>
      <c r="AD12" s="253">
        <f>BD.PD[[#This Row],[Av.P4 '[%']]]*BD.PD[[#This Row],[Ppto. Orden Interna '[DOP']]]</f>
        <v>0</v>
      </c>
      <c r="AE12" s="254"/>
      <c r="AF12" s="255"/>
      <c r="AG12" s="253">
        <f>BD.PD[[#This Row],[Av.P5 '[%']]]*BD.PD[[#This Row],[Ppto. Orden Interna '[DOP']]]</f>
        <v>0</v>
      </c>
      <c r="AH12" s="256">
        <f>BD.PD[[#This Row],[Pago 5]]+BD.PD[[#This Row],[Pago 4]]+BD.PD[[#This Row],[Pago 3]]+BD.PD[[#This Row],[Pago 2]]+BD.PD[[#This Row],[Pago 1]]</f>
        <v>68400</v>
      </c>
      <c r="AI12" s="318"/>
      <c r="AJ12" s="318"/>
      <c r="AK12" s="318"/>
      <c r="AL12" s="318"/>
      <c r="AM12" s="318"/>
      <c r="AN12" s="318"/>
      <c r="AO12" s="318"/>
      <c r="AP12" s="318"/>
      <c r="AQ12" s="318"/>
      <c r="AR12" s="318"/>
      <c r="AS12" s="318"/>
      <c r="AT12" s="318"/>
      <c r="AU12" s="318"/>
      <c r="AV12" s="318"/>
      <c r="AW12" s="318"/>
      <c r="AX12" s="318"/>
      <c r="AY12" s="318"/>
      <c r="AZ12" s="318"/>
      <c r="BA12" s="318"/>
      <c r="BB12" s="318"/>
      <c r="BC12" s="318"/>
      <c r="BD12" s="318"/>
      <c r="BE12" s="318"/>
      <c r="BF12" s="318"/>
      <c r="BG12" s="318"/>
      <c r="BH12" s="318"/>
      <c r="BI12" s="318"/>
      <c r="BJ12" s="318"/>
      <c r="BK12" s="318"/>
      <c r="BL12" s="318"/>
      <c r="BM12" s="318"/>
      <c r="BN12" s="318"/>
      <c r="BO12" s="318"/>
      <c r="BP12" s="318"/>
      <c r="BQ12" s="318"/>
      <c r="BR12" s="318"/>
      <c r="BS12" s="318"/>
      <c r="BT12" s="318"/>
      <c r="BU12" s="318"/>
      <c r="BV12" s="318"/>
      <c r="BW12" s="318"/>
      <c r="BX12" s="318"/>
      <c r="BY12" s="318"/>
      <c r="BZ12" s="318"/>
      <c r="CA12" s="318"/>
      <c r="CB12" s="318"/>
      <c r="CC12" s="318"/>
      <c r="CD12" s="318"/>
      <c r="CE12" s="318"/>
      <c r="CF12" s="318"/>
      <c r="CG12" s="318"/>
      <c r="CH12" s="318"/>
      <c r="CI12" s="318"/>
      <c r="CJ12" s="318"/>
      <c r="CK12" s="318"/>
      <c r="CL12" s="318"/>
      <c r="CM12" s="318"/>
      <c r="CN12" s="318"/>
      <c r="CO12" s="318"/>
      <c r="CP12" s="318"/>
      <c r="CQ12" s="318"/>
      <c r="CR12" s="318"/>
      <c r="CS12" s="318"/>
      <c r="CT12" s="318"/>
      <c r="CU12" s="318"/>
      <c r="CV12" s="318"/>
      <c r="CW12" s="318"/>
      <c r="CX12" s="318"/>
      <c r="CY12" s="318"/>
      <c r="CZ12" s="318"/>
      <c r="DA12" s="318"/>
      <c r="DB12" s="318"/>
      <c r="DC12" s="318"/>
      <c r="DD12" s="318"/>
      <c r="DE12" s="318"/>
      <c r="DF12" s="318"/>
      <c r="DG12" s="318"/>
      <c r="DH12" s="318"/>
      <c r="DI12" s="318"/>
      <c r="DJ12" s="318"/>
      <c r="DK12" s="318"/>
      <c r="DL12" s="318"/>
      <c r="DM12" s="318"/>
      <c r="DN12" s="318"/>
      <c r="DO12" s="318"/>
      <c r="DP12" s="318"/>
      <c r="DQ12" s="318"/>
      <c r="DR12" s="318"/>
      <c r="DS12" s="318"/>
      <c r="DT12" s="318"/>
      <c r="DU12" s="318"/>
      <c r="DV12" s="318"/>
      <c r="DW12" s="318"/>
      <c r="DX12" s="318"/>
      <c r="DY12" s="318"/>
      <c r="DZ12" s="318"/>
      <c r="EA12" s="318"/>
      <c r="EB12" s="318"/>
      <c r="EC12" s="318"/>
      <c r="ED12" s="318"/>
      <c r="EE12" s="318"/>
      <c r="EF12" s="318"/>
      <c r="EG12" s="318"/>
      <c r="EH12" s="318"/>
      <c r="EI12" s="318"/>
      <c r="EJ12" s="318"/>
      <c r="EK12" s="318"/>
      <c r="EL12" s="318"/>
      <c r="EM12" s="318"/>
      <c r="EN12" s="318"/>
      <c r="EO12" s="318"/>
      <c r="EP12" s="318"/>
      <c r="EQ12" s="318"/>
      <c r="ER12" s="318"/>
      <c r="ES12" s="318"/>
      <c r="ET12" s="318"/>
      <c r="EU12" s="318"/>
      <c r="EV12" s="318"/>
      <c r="EW12" s="318"/>
      <c r="EX12" s="318"/>
      <c r="EY12" s="318"/>
      <c r="EZ12" s="318"/>
      <c r="FA12" s="318"/>
      <c r="FB12" s="318"/>
      <c r="FC12" s="318"/>
      <c r="FD12" s="318"/>
      <c r="FE12" s="318"/>
      <c r="FF12" s="318"/>
      <c r="FG12" s="318"/>
      <c r="FH12" s="318"/>
      <c r="FI12" s="318"/>
      <c r="FJ12" s="318"/>
      <c r="FK12" s="318"/>
      <c r="FL12" s="318"/>
      <c r="FM12" s="318"/>
      <c r="FN12" s="318"/>
      <c r="FO12" s="318"/>
      <c r="FP12" s="318"/>
      <c r="FQ12" s="318"/>
      <c r="FR12" s="318"/>
      <c r="FS12" s="318"/>
      <c r="FT12" s="318"/>
      <c r="FU12" s="318"/>
      <c r="FV12" s="318"/>
      <c r="FW12" s="318"/>
      <c r="FX12" s="318"/>
      <c r="FY12" s="318"/>
      <c r="FZ12" s="318"/>
      <c r="GA12" s="318"/>
      <c r="GB12" s="318"/>
      <c r="GC12" s="318"/>
      <c r="GD12" s="318"/>
      <c r="GE12" s="318"/>
      <c r="GF12" s="318"/>
      <c r="GG12" s="318"/>
      <c r="GH12" s="318"/>
      <c r="GI12" s="318"/>
      <c r="GJ12" s="318"/>
      <c r="GK12" s="318"/>
      <c r="GL12" s="318"/>
      <c r="GM12" s="318"/>
      <c r="GN12" s="318"/>
      <c r="GO12" s="318"/>
      <c r="GP12" s="318"/>
      <c r="GQ12" s="318"/>
      <c r="GR12" s="318"/>
      <c r="GS12" s="318"/>
      <c r="GT12" s="318"/>
      <c r="GU12" s="318"/>
      <c r="GV12" s="318"/>
      <c r="GW12" s="318"/>
      <c r="GX12" s="318"/>
      <c r="GY12" s="318"/>
      <c r="GZ12" s="318"/>
      <c r="HA12" s="318"/>
      <c r="HB12" s="318"/>
      <c r="HC12" s="318"/>
      <c r="HD12" s="318"/>
      <c r="HE12" s="318"/>
      <c r="HF12" s="318"/>
      <c r="HG12" s="318"/>
      <c r="HH12" s="318"/>
      <c r="HI12" s="318"/>
      <c r="HJ12" s="318"/>
      <c r="HK12" s="318"/>
      <c r="HL12" s="318"/>
      <c r="HM12" s="318"/>
      <c r="HN12" s="318"/>
      <c r="HO12" s="318"/>
      <c r="HP12" s="318"/>
      <c r="HQ12" s="318"/>
      <c r="HR12" s="318"/>
      <c r="HS12" s="318"/>
      <c r="HT12" s="318"/>
      <c r="HU12" s="318"/>
      <c r="HV12" s="318"/>
      <c r="HW12" s="318"/>
      <c r="HX12" s="318"/>
      <c r="HY12" s="318"/>
      <c r="HZ12" s="318"/>
      <c r="IA12" s="318"/>
      <c r="IB12" s="318"/>
      <c r="IC12" s="318"/>
    </row>
    <row r="13" spans="1:237" s="260" customFormat="1" ht="15" customHeight="1" x14ac:dyDescent="0.3">
      <c r="A13" s="181">
        <v>7.02</v>
      </c>
      <c r="B13" s="239"/>
      <c r="C13" s="240" t="str">
        <f>VLOOKUP(BD.PD[[#This Row],[Pos]],PPto[],3,FALSE)</f>
        <v>7.02 Cocina, Patio Comidas y Rostizería</v>
      </c>
      <c r="D13" s="181" t="s">
        <v>40</v>
      </c>
      <c r="E13" s="242" t="str">
        <f>IF(BD.PD[[#This Row],[.]]="*",VLOOKUP(BD.PD[[#This Row],[Pos]],Presupuesto!A:H,7,FALSE),"")</f>
        <v/>
      </c>
      <c r="F13" s="303" t="s">
        <v>454</v>
      </c>
      <c r="G13" s="243" t="s">
        <v>308</v>
      </c>
      <c r="H13" s="275"/>
      <c r="I13" s="276">
        <v>2</v>
      </c>
      <c r="J13" s="181" t="s">
        <v>314</v>
      </c>
      <c r="K13" s="245">
        <f>IF(BD.PD[[#This Row],[Mon]]="DOP",1,HLOOKUP(BD.PD[[#This Row],[Mon]],$J$1:$K$2,2,FALSE))</f>
        <v>1</v>
      </c>
      <c r="L13" s="277">
        <v>650</v>
      </c>
      <c r="M13" s="247">
        <f>BD.PD[[#This Row],[Cant.]]*BD.PD[[#This Row],[ Tasa ]]*BD.PD[[#This Row],[ Precio Und.]]</f>
        <v>1300</v>
      </c>
      <c r="N13" s="278">
        <v>0</v>
      </c>
      <c r="O13" s="247">
        <f>IF(BD.PD[[#This Row],[Liquid. '[%']]]&lt;&gt;0,(BD.PD[[#This Row],[Valor Neto '[DOP']]]*BD.PD[[#This Row],[Liquid. '[%']]])+BD.PD[[#This Row],[Valor Neto '[DOP']]],BD.PD[[#This Row],[Valor Neto '[DOP']]])</f>
        <v>1300</v>
      </c>
      <c r="P13" s="249">
        <f>BD.PD[[#This Row],[Ppto. Orden Interna '[DOP']]]/HLOOKUP("USD",$J$1:$K$2,2,FALSE)</f>
        <v>21.416803953871497</v>
      </c>
      <c r="Q13" s="250" t="s">
        <v>1114</v>
      </c>
      <c r="R13" s="424" t="s">
        <v>387</v>
      </c>
      <c r="S13" s="251">
        <v>22</v>
      </c>
      <c r="T13" s="252">
        <v>1</v>
      </c>
      <c r="U13" s="253">
        <f>BD.PD[[#This Row],[Av.P1 '[%']]]*BD.PD[[#This Row],[Ppto. Orden Interna '[DOP']]]</f>
        <v>1300</v>
      </c>
      <c r="V13" s="254"/>
      <c r="W13" s="255"/>
      <c r="X13" s="253">
        <f>BD.PD[[#This Row],[Av.P2 '[%']]]*BD.PD[[#This Row],[Ppto. Orden Interna '[DOP']]]</f>
        <v>0</v>
      </c>
      <c r="Y13" s="254"/>
      <c r="Z13" s="255"/>
      <c r="AA13" s="253">
        <f>BD.PD[[#This Row],[Av.P3 '[%']]]*BD.PD[[#This Row],[Ppto. Orden Interna '[DOP']]]</f>
        <v>0</v>
      </c>
      <c r="AB13" s="254"/>
      <c r="AC13" s="255"/>
      <c r="AD13" s="253">
        <f>BD.PD[[#This Row],[Av.P4 '[%']]]*BD.PD[[#This Row],[Ppto. Orden Interna '[DOP']]]</f>
        <v>0</v>
      </c>
      <c r="AE13" s="254"/>
      <c r="AF13" s="255"/>
      <c r="AG13" s="253">
        <f>BD.PD[[#This Row],[Av.P5 '[%']]]*BD.PD[[#This Row],[Ppto. Orden Interna '[DOP']]]</f>
        <v>0</v>
      </c>
      <c r="AH13" s="256">
        <f>BD.PD[[#This Row],[Pago 5]]+BD.PD[[#This Row],[Pago 4]]+BD.PD[[#This Row],[Pago 3]]+BD.PD[[#This Row],[Pago 2]]+BD.PD[[#This Row],[Pago 1]]</f>
        <v>1300</v>
      </c>
      <c r="AI13" s="318"/>
      <c r="AJ13" s="318"/>
      <c r="AK13" s="318"/>
      <c r="AL13" s="318"/>
      <c r="AM13" s="318"/>
      <c r="AN13" s="318"/>
      <c r="AO13" s="318"/>
      <c r="AP13" s="318"/>
      <c r="AQ13" s="318"/>
      <c r="AR13" s="318"/>
      <c r="AS13" s="318"/>
      <c r="AT13" s="318"/>
      <c r="AU13" s="318"/>
      <c r="AV13" s="318"/>
      <c r="AW13" s="318"/>
      <c r="AX13" s="318"/>
      <c r="AY13" s="318"/>
      <c r="AZ13" s="318"/>
      <c r="BA13" s="318"/>
      <c r="BB13" s="318"/>
      <c r="BC13" s="318"/>
      <c r="BD13" s="318"/>
      <c r="BE13" s="318"/>
      <c r="BF13" s="318"/>
      <c r="BG13" s="318"/>
      <c r="BH13" s="318"/>
      <c r="BI13" s="318"/>
      <c r="BJ13" s="318"/>
      <c r="BK13" s="318"/>
      <c r="BL13" s="318"/>
      <c r="BM13" s="318"/>
      <c r="BN13" s="318"/>
      <c r="BO13" s="318"/>
      <c r="BP13" s="318"/>
      <c r="BQ13" s="318"/>
      <c r="BR13" s="318"/>
      <c r="BS13" s="318"/>
      <c r="BT13" s="318"/>
      <c r="BU13" s="318"/>
      <c r="BV13" s="318"/>
      <c r="BW13" s="318"/>
      <c r="BX13" s="318"/>
      <c r="BY13" s="318"/>
      <c r="BZ13" s="318"/>
      <c r="CA13" s="318"/>
      <c r="CB13" s="318"/>
      <c r="CC13" s="318"/>
      <c r="CD13" s="318"/>
      <c r="CE13" s="318"/>
      <c r="CF13" s="318"/>
      <c r="CG13" s="318"/>
      <c r="CH13" s="318"/>
      <c r="CI13" s="318"/>
      <c r="CJ13" s="318"/>
      <c r="CK13" s="318"/>
      <c r="CL13" s="318"/>
      <c r="CM13" s="318"/>
      <c r="CN13" s="318"/>
      <c r="CO13" s="318"/>
      <c r="CP13" s="318"/>
      <c r="CQ13" s="318"/>
      <c r="CR13" s="318"/>
      <c r="CS13" s="318"/>
      <c r="CT13" s="318"/>
      <c r="CU13" s="318"/>
      <c r="CV13" s="318"/>
      <c r="CW13" s="318"/>
      <c r="CX13" s="318"/>
      <c r="CY13" s="318"/>
      <c r="CZ13" s="318"/>
      <c r="DA13" s="318"/>
      <c r="DB13" s="318"/>
      <c r="DC13" s="318"/>
      <c r="DD13" s="318"/>
      <c r="DE13" s="318"/>
      <c r="DF13" s="318"/>
      <c r="DG13" s="318"/>
      <c r="DH13" s="318"/>
      <c r="DI13" s="318"/>
      <c r="DJ13" s="318"/>
      <c r="DK13" s="318"/>
      <c r="DL13" s="318"/>
      <c r="DM13" s="318"/>
      <c r="DN13" s="318"/>
      <c r="DO13" s="318"/>
      <c r="DP13" s="318"/>
      <c r="DQ13" s="318"/>
      <c r="DR13" s="318"/>
      <c r="DS13" s="318"/>
      <c r="DT13" s="318"/>
      <c r="DU13" s="318"/>
      <c r="DV13" s="318"/>
      <c r="DW13" s="318"/>
      <c r="DX13" s="318"/>
      <c r="DY13" s="318"/>
      <c r="DZ13" s="318"/>
      <c r="EA13" s="318"/>
      <c r="EB13" s="318"/>
      <c r="EC13" s="318"/>
      <c r="ED13" s="318"/>
      <c r="EE13" s="318"/>
      <c r="EF13" s="318"/>
      <c r="EG13" s="318"/>
      <c r="EH13" s="318"/>
      <c r="EI13" s="318"/>
      <c r="EJ13" s="318"/>
      <c r="EK13" s="318"/>
      <c r="EL13" s="318"/>
      <c r="EM13" s="318"/>
      <c r="EN13" s="318"/>
      <c r="EO13" s="318"/>
      <c r="EP13" s="318"/>
      <c r="EQ13" s="318"/>
      <c r="ER13" s="318"/>
      <c r="ES13" s="318"/>
      <c r="ET13" s="318"/>
      <c r="EU13" s="318"/>
      <c r="EV13" s="318"/>
      <c r="EW13" s="318"/>
      <c r="EX13" s="318"/>
      <c r="EY13" s="318"/>
      <c r="EZ13" s="318"/>
      <c r="FA13" s="318"/>
      <c r="FB13" s="318"/>
      <c r="FC13" s="318"/>
      <c r="FD13" s="318"/>
      <c r="FE13" s="318"/>
      <c r="FF13" s="318"/>
      <c r="FG13" s="318"/>
      <c r="FH13" s="318"/>
      <c r="FI13" s="318"/>
      <c r="FJ13" s="318"/>
      <c r="FK13" s="318"/>
      <c r="FL13" s="318"/>
      <c r="FM13" s="318"/>
      <c r="FN13" s="318"/>
      <c r="FO13" s="318"/>
      <c r="FP13" s="318"/>
      <c r="FQ13" s="318"/>
      <c r="FR13" s="318"/>
      <c r="FS13" s="318"/>
      <c r="FT13" s="318"/>
      <c r="FU13" s="318"/>
      <c r="FV13" s="318"/>
      <c r="FW13" s="318"/>
      <c r="FX13" s="318"/>
      <c r="FY13" s="318"/>
      <c r="FZ13" s="318"/>
      <c r="GA13" s="318"/>
      <c r="GB13" s="318"/>
      <c r="GC13" s="318"/>
      <c r="GD13" s="318"/>
      <c r="GE13" s="318"/>
      <c r="GF13" s="318"/>
      <c r="GG13" s="318"/>
      <c r="GH13" s="318"/>
      <c r="GI13" s="318"/>
      <c r="GJ13" s="318"/>
      <c r="GK13" s="318"/>
      <c r="GL13" s="318"/>
      <c r="GM13" s="318"/>
      <c r="GN13" s="318"/>
      <c r="GO13" s="318"/>
      <c r="GP13" s="318"/>
      <c r="GQ13" s="318"/>
      <c r="GR13" s="318"/>
      <c r="GS13" s="318"/>
      <c r="GT13" s="318"/>
      <c r="GU13" s="318"/>
      <c r="GV13" s="318"/>
      <c r="GW13" s="318"/>
      <c r="GX13" s="318"/>
      <c r="GY13" s="318"/>
      <c r="GZ13" s="318"/>
      <c r="HA13" s="318"/>
      <c r="HB13" s="318"/>
      <c r="HC13" s="318"/>
      <c r="HD13" s="318"/>
      <c r="HE13" s="318"/>
      <c r="HF13" s="318"/>
      <c r="HG13" s="318"/>
      <c r="HH13" s="318"/>
      <c r="HI13" s="318"/>
      <c r="HJ13" s="318"/>
      <c r="HK13" s="318"/>
      <c r="HL13" s="318"/>
      <c r="HM13" s="318"/>
      <c r="HN13" s="318"/>
      <c r="HO13" s="318"/>
      <c r="HP13" s="318"/>
      <c r="HQ13" s="318"/>
      <c r="HR13" s="318"/>
      <c r="HS13" s="318"/>
      <c r="HT13" s="318"/>
      <c r="HU13" s="318"/>
      <c r="HV13" s="318"/>
      <c r="HW13" s="318"/>
      <c r="HX13" s="318"/>
      <c r="HY13" s="318"/>
      <c r="HZ13" s="318"/>
      <c r="IA13" s="318"/>
      <c r="IB13" s="318"/>
      <c r="IC13" s="318"/>
    </row>
    <row r="14" spans="1:237" s="260" customFormat="1" ht="15" customHeight="1" x14ac:dyDescent="0.3">
      <c r="A14" s="181">
        <v>7.02</v>
      </c>
      <c r="B14" s="239"/>
      <c r="C14" s="240" t="str">
        <f>VLOOKUP(BD.PD[[#This Row],[Pos]],PPto[],3,FALSE)</f>
        <v>7.02 Cocina, Patio Comidas y Rostizería</v>
      </c>
      <c r="D14" s="181" t="s">
        <v>40</v>
      </c>
      <c r="E14" s="242" t="str">
        <f>IF(BD.PD[[#This Row],[.]]="*",VLOOKUP(BD.PD[[#This Row],[Pos]],Presupuesto!A:H,7,FALSE),"")</f>
        <v/>
      </c>
      <c r="F14" s="303" t="s">
        <v>455</v>
      </c>
      <c r="G14" s="243" t="s">
        <v>308</v>
      </c>
      <c r="H14" s="275"/>
      <c r="I14" s="276">
        <v>1</v>
      </c>
      <c r="J14" s="181" t="s">
        <v>314</v>
      </c>
      <c r="K14" s="245">
        <f>IF(BD.PD[[#This Row],[Mon]]="DOP",1,HLOOKUP(BD.PD[[#This Row],[Mon]],$J$1:$K$2,2,FALSE))</f>
        <v>1</v>
      </c>
      <c r="L14" s="277">
        <v>950</v>
      </c>
      <c r="M14" s="247">
        <f>BD.PD[[#This Row],[Cant.]]*BD.PD[[#This Row],[ Tasa ]]*BD.PD[[#This Row],[ Precio Und.]]</f>
        <v>950</v>
      </c>
      <c r="N14" s="278">
        <v>0</v>
      </c>
      <c r="O14" s="247">
        <f>IF(BD.PD[[#This Row],[Liquid. '[%']]]&lt;&gt;0,(BD.PD[[#This Row],[Valor Neto '[DOP']]]*BD.PD[[#This Row],[Liquid. '[%']]])+BD.PD[[#This Row],[Valor Neto '[DOP']]],BD.PD[[#This Row],[Valor Neto '[DOP']]])</f>
        <v>950</v>
      </c>
      <c r="P14" s="249">
        <f>BD.PD[[#This Row],[Ppto. Orden Interna '[DOP']]]/HLOOKUP("USD",$J$1:$K$2,2,FALSE)</f>
        <v>15.650741350906095</v>
      </c>
      <c r="Q14" s="250" t="s">
        <v>456</v>
      </c>
      <c r="R14" s="424" t="s">
        <v>387</v>
      </c>
      <c r="S14" s="251">
        <v>22</v>
      </c>
      <c r="T14" s="252">
        <v>1</v>
      </c>
      <c r="U14" s="253">
        <f>BD.PD[[#This Row],[Av.P1 '[%']]]*BD.PD[[#This Row],[Ppto. Orden Interna '[DOP']]]</f>
        <v>950</v>
      </c>
      <c r="V14" s="254"/>
      <c r="W14" s="255"/>
      <c r="X14" s="253">
        <f>BD.PD[[#This Row],[Av.P2 '[%']]]*BD.PD[[#This Row],[Ppto. Orden Interna '[DOP']]]</f>
        <v>0</v>
      </c>
      <c r="Y14" s="254"/>
      <c r="Z14" s="255"/>
      <c r="AA14" s="253">
        <f>BD.PD[[#This Row],[Av.P3 '[%']]]*BD.PD[[#This Row],[Ppto. Orden Interna '[DOP']]]</f>
        <v>0</v>
      </c>
      <c r="AB14" s="254"/>
      <c r="AC14" s="255"/>
      <c r="AD14" s="253">
        <f>BD.PD[[#This Row],[Av.P4 '[%']]]*BD.PD[[#This Row],[Ppto. Orden Interna '[DOP']]]</f>
        <v>0</v>
      </c>
      <c r="AE14" s="254"/>
      <c r="AF14" s="255"/>
      <c r="AG14" s="253">
        <f>BD.PD[[#This Row],[Av.P5 '[%']]]*BD.PD[[#This Row],[Ppto. Orden Interna '[DOP']]]</f>
        <v>0</v>
      </c>
      <c r="AH14" s="256">
        <f>BD.PD[[#This Row],[Pago 5]]+BD.PD[[#This Row],[Pago 4]]+BD.PD[[#This Row],[Pago 3]]+BD.PD[[#This Row],[Pago 2]]+BD.PD[[#This Row],[Pago 1]]</f>
        <v>950</v>
      </c>
      <c r="AI14" s="318"/>
      <c r="AJ14" s="318"/>
      <c r="AK14" s="318"/>
      <c r="AL14" s="318"/>
      <c r="AM14" s="318"/>
      <c r="AN14" s="318"/>
      <c r="AO14" s="318"/>
      <c r="AP14" s="318"/>
      <c r="AQ14" s="318"/>
      <c r="AR14" s="318"/>
      <c r="AS14" s="318"/>
      <c r="AT14" s="318"/>
      <c r="AU14" s="318"/>
      <c r="AV14" s="318"/>
      <c r="AW14" s="318"/>
      <c r="AX14" s="318"/>
      <c r="AY14" s="318"/>
      <c r="AZ14" s="318"/>
      <c r="BA14" s="318"/>
      <c r="BB14" s="318"/>
      <c r="BC14" s="318"/>
      <c r="BD14" s="318"/>
      <c r="BE14" s="318"/>
      <c r="BF14" s="318"/>
      <c r="BG14" s="318"/>
      <c r="BH14" s="318"/>
      <c r="BI14" s="318"/>
      <c r="BJ14" s="318"/>
      <c r="BK14" s="318"/>
      <c r="BL14" s="318"/>
      <c r="BM14" s="318"/>
      <c r="BN14" s="318"/>
      <c r="BO14" s="318"/>
      <c r="BP14" s="318"/>
      <c r="BQ14" s="318"/>
      <c r="BR14" s="318"/>
      <c r="BS14" s="318"/>
      <c r="BT14" s="318"/>
      <c r="BU14" s="318"/>
      <c r="BV14" s="318"/>
      <c r="BW14" s="318"/>
      <c r="BX14" s="318"/>
      <c r="BY14" s="318"/>
      <c r="BZ14" s="318"/>
      <c r="CA14" s="318"/>
      <c r="CB14" s="318"/>
      <c r="CC14" s="318"/>
      <c r="CD14" s="318"/>
      <c r="CE14" s="318"/>
      <c r="CF14" s="318"/>
      <c r="CG14" s="318"/>
      <c r="CH14" s="318"/>
      <c r="CI14" s="318"/>
      <c r="CJ14" s="318"/>
      <c r="CK14" s="318"/>
      <c r="CL14" s="318"/>
      <c r="CM14" s="318"/>
      <c r="CN14" s="318"/>
      <c r="CO14" s="318"/>
      <c r="CP14" s="318"/>
      <c r="CQ14" s="318"/>
      <c r="CR14" s="318"/>
      <c r="CS14" s="318"/>
      <c r="CT14" s="318"/>
      <c r="CU14" s="318"/>
      <c r="CV14" s="318"/>
      <c r="CW14" s="318"/>
      <c r="CX14" s="318"/>
      <c r="CY14" s="318"/>
      <c r="CZ14" s="318"/>
      <c r="DA14" s="318"/>
      <c r="DB14" s="318"/>
      <c r="DC14" s="318"/>
      <c r="DD14" s="318"/>
      <c r="DE14" s="318"/>
      <c r="DF14" s="318"/>
      <c r="DG14" s="318"/>
      <c r="DH14" s="318"/>
      <c r="DI14" s="318"/>
      <c r="DJ14" s="318"/>
      <c r="DK14" s="318"/>
      <c r="DL14" s="318"/>
      <c r="DM14" s="318"/>
      <c r="DN14" s="318"/>
      <c r="DO14" s="318"/>
      <c r="DP14" s="318"/>
      <c r="DQ14" s="318"/>
      <c r="DR14" s="318"/>
      <c r="DS14" s="318"/>
      <c r="DT14" s="318"/>
      <c r="DU14" s="318"/>
      <c r="DV14" s="318"/>
      <c r="DW14" s="318"/>
      <c r="DX14" s="318"/>
      <c r="DY14" s="318"/>
      <c r="DZ14" s="318"/>
      <c r="EA14" s="318"/>
      <c r="EB14" s="318"/>
      <c r="EC14" s="318"/>
      <c r="ED14" s="318"/>
      <c r="EE14" s="318"/>
      <c r="EF14" s="318"/>
      <c r="EG14" s="318"/>
      <c r="EH14" s="318"/>
      <c r="EI14" s="318"/>
      <c r="EJ14" s="318"/>
      <c r="EK14" s="318"/>
      <c r="EL14" s="318"/>
      <c r="EM14" s="318"/>
      <c r="EN14" s="318"/>
      <c r="EO14" s="318"/>
      <c r="EP14" s="318"/>
      <c r="EQ14" s="318"/>
      <c r="ER14" s="318"/>
      <c r="ES14" s="318"/>
      <c r="ET14" s="318"/>
      <c r="EU14" s="318"/>
      <c r="EV14" s="318"/>
      <c r="EW14" s="318"/>
      <c r="EX14" s="318"/>
      <c r="EY14" s="318"/>
      <c r="EZ14" s="318"/>
      <c r="FA14" s="318"/>
      <c r="FB14" s="318"/>
      <c r="FC14" s="318"/>
      <c r="FD14" s="318"/>
      <c r="FE14" s="318"/>
      <c r="FF14" s="318"/>
      <c r="FG14" s="318"/>
      <c r="FH14" s="318"/>
      <c r="FI14" s="318"/>
      <c r="FJ14" s="318"/>
      <c r="FK14" s="318"/>
      <c r="FL14" s="318"/>
      <c r="FM14" s="318"/>
      <c r="FN14" s="318"/>
      <c r="FO14" s="318"/>
      <c r="FP14" s="318"/>
      <c r="FQ14" s="318"/>
      <c r="FR14" s="318"/>
      <c r="FS14" s="318"/>
      <c r="FT14" s="318"/>
      <c r="FU14" s="318"/>
      <c r="FV14" s="318"/>
      <c r="FW14" s="318"/>
      <c r="FX14" s="318"/>
      <c r="FY14" s="318"/>
      <c r="FZ14" s="318"/>
      <c r="GA14" s="318"/>
      <c r="GB14" s="318"/>
      <c r="GC14" s="318"/>
      <c r="GD14" s="318"/>
      <c r="GE14" s="318"/>
      <c r="GF14" s="318"/>
      <c r="GG14" s="318"/>
      <c r="GH14" s="318"/>
      <c r="GI14" s="318"/>
      <c r="GJ14" s="318"/>
      <c r="GK14" s="318"/>
      <c r="GL14" s="318"/>
      <c r="GM14" s="318"/>
      <c r="GN14" s="318"/>
      <c r="GO14" s="318"/>
      <c r="GP14" s="318"/>
      <c r="GQ14" s="318"/>
      <c r="GR14" s="318"/>
      <c r="GS14" s="318"/>
      <c r="GT14" s="318"/>
      <c r="GU14" s="318"/>
      <c r="GV14" s="318"/>
      <c r="GW14" s="318"/>
      <c r="GX14" s="318"/>
      <c r="GY14" s="318"/>
      <c r="GZ14" s="318"/>
      <c r="HA14" s="318"/>
      <c r="HB14" s="318"/>
      <c r="HC14" s="318"/>
      <c r="HD14" s="318"/>
      <c r="HE14" s="318"/>
      <c r="HF14" s="318"/>
      <c r="HG14" s="318"/>
      <c r="HH14" s="318"/>
      <c r="HI14" s="318"/>
      <c r="HJ14" s="318"/>
      <c r="HK14" s="318"/>
      <c r="HL14" s="318"/>
      <c r="HM14" s="318"/>
      <c r="HN14" s="318"/>
      <c r="HO14" s="318"/>
      <c r="HP14" s="318"/>
      <c r="HQ14" s="318"/>
      <c r="HR14" s="318"/>
      <c r="HS14" s="318"/>
      <c r="HT14" s="318"/>
      <c r="HU14" s="318"/>
      <c r="HV14" s="318"/>
      <c r="HW14" s="318"/>
      <c r="HX14" s="318"/>
      <c r="HY14" s="318"/>
      <c r="HZ14" s="318"/>
      <c r="IA14" s="318"/>
      <c r="IB14" s="318"/>
      <c r="IC14" s="318"/>
    </row>
    <row r="15" spans="1:237" s="260" customFormat="1" ht="15" customHeight="1" x14ac:dyDescent="0.3">
      <c r="A15" s="181">
        <v>7.02</v>
      </c>
      <c r="B15" s="239"/>
      <c r="C15" s="240" t="str">
        <f>VLOOKUP(BD.PD[[#This Row],[Pos]],PPto[],3,FALSE)</f>
        <v>7.02 Cocina, Patio Comidas y Rostizería</v>
      </c>
      <c r="D15" s="181" t="s">
        <v>40</v>
      </c>
      <c r="E15" s="242" t="str">
        <f>IF(BD.PD[[#This Row],[.]]="*",VLOOKUP(BD.PD[[#This Row],[Pos]],Presupuesto!A:H,7,FALSE),"")</f>
        <v/>
      </c>
      <c r="F15" s="303" t="s">
        <v>458</v>
      </c>
      <c r="G15" s="243" t="s">
        <v>308</v>
      </c>
      <c r="H15" s="275"/>
      <c r="I15" s="276">
        <v>2</v>
      </c>
      <c r="J15" s="181" t="s">
        <v>314</v>
      </c>
      <c r="K15" s="245">
        <f>IF(BD.PD[[#This Row],[Mon]]="DOP",1,HLOOKUP(BD.PD[[#This Row],[Mon]],$J$1:$K$2,2,FALSE))</f>
        <v>1</v>
      </c>
      <c r="L15" s="277">
        <v>950</v>
      </c>
      <c r="M15" s="247">
        <f>BD.PD[[#This Row],[Cant.]]*BD.PD[[#This Row],[ Tasa ]]*BD.PD[[#This Row],[ Precio Und.]]</f>
        <v>1900</v>
      </c>
      <c r="N15" s="278">
        <v>0</v>
      </c>
      <c r="O15" s="247">
        <f>IF(BD.PD[[#This Row],[Liquid. '[%']]]&lt;&gt;0,(BD.PD[[#This Row],[Valor Neto '[DOP']]]*BD.PD[[#This Row],[Liquid. '[%']]])+BD.PD[[#This Row],[Valor Neto '[DOP']]],BD.PD[[#This Row],[Valor Neto '[DOP']]])</f>
        <v>1900</v>
      </c>
      <c r="P15" s="249">
        <f>BD.PD[[#This Row],[Ppto. Orden Interna '[DOP']]]/HLOOKUP("USD",$J$1:$K$2,2,FALSE)</f>
        <v>31.301482701812191</v>
      </c>
      <c r="Q15" s="250" t="s">
        <v>456</v>
      </c>
      <c r="R15" s="424" t="s">
        <v>387</v>
      </c>
      <c r="S15" s="251">
        <v>22</v>
      </c>
      <c r="T15" s="252">
        <v>1</v>
      </c>
      <c r="U15" s="253">
        <f>BD.PD[[#This Row],[Av.P1 '[%']]]*BD.PD[[#This Row],[Ppto. Orden Interna '[DOP']]]</f>
        <v>1900</v>
      </c>
      <c r="V15" s="254"/>
      <c r="W15" s="255"/>
      <c r="X15" s="253">
        <f>BD.PD[[#This Row],[Av.P2 '[%']]]*BD.PD[[#This Row],[Ppto. Orden Interna '[DOP']]]</f>
        <v>0</v>
      </c>
      <c r="Y15" s="254"/>
      <c r="Z15" s="255"/>
      <c r="AA15" s="253">
        <f>BD.PD[[#This Row],[Av.P3 '[%']]]*BD.PD[[#This Row],[Ppto. Orden Interna '[DOP']]]</f>
        <v>0</v>
      </c>
      <c r="AB15" s="254"/>
      <c r="AC15" s="255"/>
      <c r="AD15" s="253">
        <f>BD.PD[[#This Row],[Av.P4 '[%']]]*BD.PD[[#This Row],[Ppto. Orden Interna '[DOP']]]</f>
        <v>0</v>
      </c>
      <c r="AE15" s="254"/>
      <c r="AF15" s="255"/>
      <c r="AG15" s="253">
        <f>BD.PD[[#This Row],[Av.P5 '[%']]]*BD.PD[[#This Row],[Ppto. Orden Interna '[DOP']]]</f>
        <v>0</v>
      </c>
      <c r="AH15" s="256">
        <f>BD.PD[[#This Row],[Pago 5]]+BD.PD[[#This Row],[Pago 4]]+BD.PD[[#This Row],[Pago 3]]+BD.PD[[#This Row],[Pago 2]]+BD.PD[[#This Row],[Pago 1]]</f>
        <v>1900</v>
      </c>
      <c r="AI15" s="318"/>
      <c r="AJ15" s="318"/>
      <c r="AK15" s="318"/>
      <c r="AL15" s="318"/>
      <c r="AM15" s="318"/>
      <c r="AN15" s="318"/>
      <c r="AO15" s="318"/>
      <c r="AP15" s="318"/>
      <c r="AQ15" s="318"/>
      <c r="AR15" s="318"/>
      <c r="AS15" s="318"/>
      <c r="AT15" s="318"/>
      <c r="AU15" s="318"/>
      <c r="AV15" s="318"/>
      <c r="AW15" s="318"/>
      <c r="AX15" s="318"/>
      <c r="AY15" s="318"/>
      <c r="AZ15" s="318"/>
      <c r="BA15" s="318"/>
      <c r="BB15" s="318"/>
      <c r="BC15" s="318"/>
      <c r="BD15" s="318"/>
      <c r="BE15" s="318"/>
      <c r="BF15" s="318"/>
      <c r="BG15" s="318"/>
      <c r="BH15" s="318"/>
      <c r="BI15" s="318"/>
      <c r="BJ15" s="318"/>
      <c r="BK15" s="318"/>
      <c r="BL15" s="318"/>
      <c r="BM15" s="318"/>
      <c r="BN15" s="318"/>
      <c r="BO15" s="318"/>
      <c r="BP15" s="318"/>
      <c r="BQ15" s="318"/>
      <c r="BR15" s="318"/>
      <c r="BS15" s="318"/>
      <c r="BT15" s="318"/>
      <c r="BU15" s="318"/>
      <c r="BV15" s="318"/>
      <c r="BW15" s="318"/>
      <c r="BX15" s="318"/>
      <c r="BY15" s="318"/>
      <c r="BZ15" s="318"/>
      <c r="CA15" s="318"/>
      <c r="CB15" s="318"/>
      <c r="CC15" s="318"/>
      <c r="CD15" s="318"/>
      <c r="CE15" s="318"/>
      <c r="CF15" s="318"/>
      <c r="CG15" s="318"/>
      <c r="CH15" s="318"/>
      <c r="CI15" s="318"/>
      <c r="CJ15" s="318"/>
      <c r="CK15" s="318"/>
      <c r="CL15" s="318"/>
      <c r="CM15" s="318"/>
      <c r="CN15" s="318"/>
      <c r="CO15" s="318"/>
      <c r="CP15" s="318"/>
      <c r="CQ15" s="318"/>
      <c r="CR15" s="318"/>
      <c r="CS15" s="318"/>
      <c r="CT15" s="318"/>
      <c r="CU15" s="318"/>
      <c r="CV15" s="318"/>
      <c r="CW15" s="318"/>
      <c r="CX15" s="318"/>
      <c r="CY15" s="318"/>
      <c r="CZ15" s="318"/>
      <c r="DA15" s="318"/>
      <c r="DB15" s="318"/>
      <c r="DC15" s="318"/>
      <c r="DD15" s="318"/>
      <c r="DE15" s="318"/>
      <c r="DF15" s="318"/>
      <c r="DG15" s="318"/>
      <c r="DH15" s="318"/>
      <c r="DI15" s="318"/>
      <c r="DJ15" s="318"/>
      <c r="DK15" s="318"/>
      <c r="DL15" s="318"/>
      <c r="DM15" s="318"/>
      <c r="DN15" s="318"/>
      <c r="DO15" s="318"/>
      <c r="DP15" s="318"/>
      <c r="DQ15" s="318"/>
      <c r="DR15" s="318"/>
      <c r="DS15" s="318"/>
      <c r="DT15" s="318"/>
      <c r="DU15" s="318"/>
      <c r="DV15" s="318"/>
      <c r="DW15" s="318"/>
      <c r="DX15" s="318"/>
      <c r="DY15" s="318"/>
      <c r="DZ15" s="318"/>
      <c r="EA15" s="318"/>
      <c r="EB15" s="318"/>
      <c r="EC15" s="318"/>
      <c r="ED15" s="318"/>
      <c r="EE15" s="318"/>
      <c r="EF15" s="318"/>
      <c r="EG15" s="318"/>
      <c r="EH15" s="318"/>
      <c r="EI15" s="318"/>
      <c r="EJ15" s="318"/>
      <c r="EK15" s="318"/>
      <c r="EL15" s="318"/>
      <c r="EM15" s="318"/>
      <c r="EN15" s="318"/>
      <c r="EO15" s="318"/>
      <c r="EP15" s="318"/>
      <c r="EQ15" s="318"/>
      <c r="ER15" s="318"/>
      <c r="ES15" s="318"/>
      <c r="ET15" s="318"/>
      <c r="EU15" s="318"/>
      <c r="EV15" s="318"/>
      <c r="EW15" s="318"/>
      <c r="EX15" s="318"/>
      <c r="EY15" s="318"/>
      <c r="EZ15" s="318"/>
      <c r="FA15" s="318"/>
      <c r="FB15" s="318"/>
      <c r="FC15" s="318"/>
      <c r="FD15" s="318"/>
      <c r="FE15" s="318"/>
      <c r="FF15" s="318"/>
      <c r="FG15" s="318"/>
      <c r="FH15" s="318"/>
      <c r="FI15" s="318"/>
      <c r="FJ15" s="318"/>
      <c r="FK15" s="318"/>
      <c r="FL15" s="318"/>
      <c r="FM15" s="318"/>
      <c r="FN15" s="318"/>
      <c r="FO15" s="318"/>
      <c r="FP15" s="318"/>
      <c r="FQ15" s="318"/>
      <c r="FR15" s="318"/>
      <c r="FS15" s="318"/>
      <c r="FT15" s="318"/>
      <c r="FU15" s="318"/>
      <c r="FV15" s="318"/>
      <c r="FW15" s="318"/>
      <c r="FX15" s="318"/>
      <c r="FY15" s="318"/>
      <c r="FZ15" s="318"/>
      <c r="GA15" s="318"/>
      <c r="GB15" s="318"/>
      <c r="GC15" s="318"/>
      <c r="GD15" s="318"/>
      <c r="GE15" s="318"/>
      <c r="GF15" s="318"/>
      <c r="GG15" s="318"/>
      <c r="GH15" s="318"/>
      <c r="GI15" s="318"/>
      <c r="GJ15" s="318"/>
      <c r="GK15" s="318"/>
      <c r="GL15" s="318"/>
      <c r="GM15" s="318"/>
      <c r="GN15" s="318"/>
      <c r="GO15" s="318"/>
      <c r="GP15" s="318"/>
      <c r="GQ15" s="318"/>
      <c r="GR15" s="318"/>
      <c r="GS15" s="318"/>
      <c r="GT15" s="318"/>
      <c r="GU15" s="318"/>
      <c r="GV15" s="318"/>
      <c r="GW15" s="318"/>
      <c r="GX15" s="318"/>
      <c r="GY15" s="318"/>
      <c r="GZ15" s="318"/>
      <c r="HA15" s="318"/>
      <c r="HB15" s="318"/>
      <c r="HC15" s="318"/>
      <c r="HD15" s="318"/>
      <c r="HE15" s="318"/>
      <c r="HF15" s="318"/>
      <c r="HG15" s="318"/>
      <c r="HH15" s="318"/>
      <c r="HI15" s="318"/>
      <c r="HJ15" s="318"/>
      <c r="HK15" s="318"/>
      <c r="HL15" s="318"/>
      <c r="HM15" s="318"/>
      <c r="HN15" s="318"/>
      <c r="HO15" s="318"/>
      <c r="HP15" s="318"/>
      <c r="HQ15" s="318"/>
      <c r="HR15" s="318"/>
      <c r="HS15" s="318"/>
      <c r="HT15" s="318"/>
      <c r="HU15" s="318"/>
      <c r="HV15" s="318"/>
      <c r="HW15" s="318"/>
      <c r="HX15" s="318"/>
      <c r="HY15" s="318"/>
      <c r="HZ15" s="318"/>
      <c r="IA15" s="318"/>
      <c r="IB15" s="318"/>
      <c r="IC15" s="318"/>
    </row>
    <row r="16" spans="1:237" s="260" customFormat="1" ht="15" customHeight="1" x14ac:dyDescent="0.3">
      <c r="A16" s="181">
        <v>7.02</v>
      </c>
      <c r="B16" s="239"/>
      <c r="C16" s="240" t="str">
        <f>VLOOKUP(BD.PD[[#This Row],[Pos]],PPto[],3,FALSE)</f>
        <v>7.02 Cocina, Patio Comidas y Rostizería</v>
      </c>
      <c r="D16" s="181" t="s">
        <v>40</v>
      </c>
      <c r="E16" s="242" t="str">
        <f>IF(BD.PD[[#This Row],[.]]="*",VLOOKUP(BD.PD[[#This Row],[Pos]],Presupuesto!A:H,7,FALSE),"")</f>
        <v/>
      </c>
      <c r="F16" s="303" t="s">
        <v>465</v>
      </c>
      <c r="G16" s="243" t="s">
        <v>308</v>
      </c>
      <c r="H16" s="275"/>
      <c r="I16" s="276">
        <v>1</v>
      </c>
      <c r="J16" s="181" t="s">
        <v>314</v>
      </c>
      <c r="K16" s="245">
        <f>IF(BD.PD[[#This Row],[Mon]]="DOP",1,HLOOKUP(BD.PD[[#This Row],[Mon]],$J$1:$K$2,2,FALSE))</f>
        <v>1</v>
      </c>
      <c r="L16" s="277">
        <v>2400</v>
      </c>
      <c r="M16" s="247">
        <f>BD.PD[[#This Row],[Cant.]]*BD.PD[[#This Row],[ Tasa ]]*BD.PD[[#This Row],[ Precio Und.]]</f>
        <v>2400</v>
      </c>
      <c r="N16" s="278">
        <v>0</v>
      </c>
      <c r="O16" s="247">
        <f>IF(BD.PD[[#This Row],[Liquid. '[%']]]&lt;&gt;0,(BD.PD[[#This Row],[Valor Neto '[DOP']]]*BD.PD[[#This Row],[Liquid. '[%']]])+BD.PD[[#This Row],[Valor Neto '[DOP']]],BD.PD[[#This Row],[Valor Neto '[DOP']]])</f>
        <v>2400</v>
      </c>
      <c r="P16" s="249">
        <f>BD.PD[[#This Row],[Ppto. Orden Interna '[DOP']]]/HLOOKUP("USD",$J$1:$K$2,2,FALSE)</f>
        <v>39.538714991762767</v>
      </c>
      <c r="Q16" s="250" t="s">
        <v>466</v>
      </c>
      <c r="R16" s="424" t="s">
        <v>387</v>
      </c>
      <c r="S16" s="251">
        <v>22</v>
      </c>
      <c r="T16" s="252">
        <v>1</v>
      </c>
      <c r="U16" s="253">
        <f>BD.PD[[#This Row],[Av.P1 '[%']]]*BD.PD[[#This Row],[Ppto. Orden Interna '[DOP']]]</f>
        <v>2400</v>
      </c>
      <c r="V16" s="254"/>
      <c r="W16" s="255"/>
      <c r="X16" s="253">
        <f>BD.PD[[#This Row],[Av.P2 '[%']]]*BD.PD[[#This Row],[Ppto. Orden Interna '[DOP']]]</f>
        <v>0</v>
      </c>
      <c r="Y16" s="254"/>
      <c r="Z16" s="255"/>
      <c r="AA16" s="253">
        <f>BD.PD[[#This Row],[Av.P3 '[%']]]*BD.PD[[#This Row],[Ppto. Orden Interna '[DOP']]]</f>
        <v>0</v>
      </c>
      <c r="AB16" s="254"/>
      <c r="AC16" s="255"/>
      <c r="AD16" s="253">
        <f>BD.PD[[#This Row],[Av.P4 '[%']]]*BD.PD[[#This Row],[Ppto. Orden Interna '[DOP']]]</f>
        <v>0</v>
      </c>
      <c r="AE16" s="254"/>
      <c r="AF16" s="255"/>
      <c r="AG16" s="253">
        <f>BD.PD[[#This Row],[Av.P5 '[%']]]*BD.PD[[#This Row],[Ppto. Orden Interna '[DOP']]]</f>
        <v>0</v>
      </c>
      <c r="AH16" s="256">
        <f>BD.PD[[#This Row],[Pago 5]]+BD.PD[[#This Row],[Pago 4]]+BD.PD[[#This Row],[Pago 3]]+BD.PD[[#This Row],[Pago 2]]+BD.PD[[#This Row],[Pago 1]]</f>
        <v>2400</v>
      </c>
      <c r="AI16" s="318"/>
      <c r="AJ16" s="318"/>
      <c r="AK16" s="318"/>
      <c r="AL16" s="318"/>
      <c r="AM16" s="318"/>
      <c r="AN16" s="318"/>
      <c r="AO16" s="318"/>
      <c r="AP16" s="318"/>
      <c r="AQ16" s="318"/>
      <c r="AR16" s="318"/>
      <c r="AS16" s="318"/>
      <c r="AT16" s="318"/>
      <c r="AU16" s="318"/>
      <c r="AV16" s="318"/>
      <c r="AW16" s="318"/>
      <c r="AX16" s="318"/>
      <c r="AY16" s="318"/>
      <c r="AZ16" s="318"/>
      <c r="BA16" s="318"/>
      <c r="BB16" s="318"/>
      <c r="BC16" s="318"/>
      <c r="BD16" s="318"/>
      <c r="BE16" s="318"/>
      <c r="BF16" s="318"/>
      <c r="BG16" s="318"/>
      <c r="BH16" s="318"/>
      <c r="BI16" s="318"/>
      <c r="BJ16" s="318"/>
      <c r="BK16" s="318"/>
      <c r="BL16" s="318"/>
      <c r="BM16" s="318"/>
      <c r="BN16" s="318"/>
      <c r="BO16" s="318"/>
      <c r="BP16" s="318"/>
      <c r="BQ16" s="318"/>
      <c r="BR16" s="318"/>
      <c r="BS16" s="318"/>
      <c r="BT16" s="318"/>
      <c r="BU16" s="318"/>
      <c r="BV16" s="318"/>
      <c r="BW16" s="318"/>
      <c r="BX16" s="318"/>
      <c r="BY16" s="318"/>
      <c r="BZ16" s="318"/>
      <c r="CA16" s="318"/>
      <c r="CB16" s="318"/>
      <c r="CC16" s="318"/>
      <c r="CD16" s="318"/>
      <c r="CE16" s="318"/>
      <c r="CF16" s="318"/>
      <c r="CG16" s="318"/>
      <c r="CH16" s="318"/>
      <c r="CI16" s="318"/>
      <c r="CJ16" s="318"/>
      <c r="CK16" s="318"/>
      <c r="CL16" s="318"/>
      <c r="CM16" s="318"/>
      <c r="CN16" s="318"/>
      <c r="CO16" s="318"/>
      <c r="CP16" s="318"/>
      <c r="CQ16" s="318"/>
      <c r="CR16" s="318"/>
      <c r="CS16" s="318"/>
      <c r="CT16" s="318"/>
      <c r="CU16" s="318"/>
      <c r="CV16" s="318"/>
      <c r="CW16" s="318"/>
      <c r="CX16" s="318"/>
      <c r="CY16" s="318"/>
      <c r="CZ16" s="318"/>
      <c r="DA16" s="318"/>
      <c r="DB16" s="318"/>
      <c r="DC16" s="318"/>
      <c r="DD16" s="318"/>
      <c r="DE16" s="318"/>
      <c r="DF16" s="318"/>
      <c r="DG16" s="318"/>
      <c r="DH16" s="318"/>
      <c r="DI16" s="318"/>
      <c r="DJ16" s="318"/>
      <c r="DK16" s="318"/>
      <c r="DL16" s="318"/>
      <c r="DM16" s="318"/>
      <c r="DN16" s="318"/>
      <c r="DO16" s="318"/>
      <c r="DP16" s="318"/>
      <c r="DQ16" s="318"/>
      <c r="DR16" s="318"/>
      <c r="DS16" s="318"/>
      <c r="DT16" s="318"/>
      <c r="DU16" s="318"/>
      <c r="DV16" s="318"/>
      <c r="DW16" s="318"/>
      <c r="DX16" s="318"/>
      <c r="DY16" s="318"/>
      <c r="DZ16" s="318"/>
      <c r="EA16" s="318"/>
      <c r="EB16" s="318"/>
      <c r="EC16" s="318"/>
      <c r="ED16" s="318"/>
      <c r="EE16" s="318"/>
      <c r="EF16" s="318"/>
      <c r="EG16" s="318"/>
      <c r="EH16" s="318"/>
      <c r="EI16" s="318"/>
      <c r="EJ16" s="318"/>
      <c r="EK16" s="318"/>
      <c r="EL16" s="318"/>
      <c r="EM16" s="318"/>
      <c r="EN16" s="318"/>
      <c r="EO16" s="318"/>
      <c r="EP16" s="318"/>
      <c r="EQ16" s="318"/>
      <c r="ER16" s="318"/>
      <c r="ES16" s="318"/>
      <c r="ET16" s="318"/>
      <c r="EU16" s="318"/>
      <c r="EV16" s="318"/>
      <c r="EW16" s="318"/>
      <c r="EX16" s="318"/>
      <c r="EY16" s="318"/>
      <c r="EZ16" s="318"/>
      <c r="FA16" s="318"/>
      <c r="FB16" s="318"/>
      <c r="FC16" s="318"/>
      <c r="FD16" s="318"/>
      <c r="FE16" s="318"/>
      <c r="FF16" s="318"/>
      <c r="FG16" s="318"/>
      <c r="FH16" s="318"/>
      <c r="FI16" s="318"/>
      <c r="FJ16" s="318"/>
      <c r="FK16" s="318"/>
      <c r="FL16" s="318"/>
      <c r="FM16" s="318"/>
      <c r="FN16" s="318"/>
      <c r="FO16" s="318"/>
      <c r="FP16" s="318"/>
      <c r="FQ16" s="318"/>
      <c r="FR16" s="318"/>
      <c r="FS16" s="318"/>
      <c r="FT16" s="318"/>
      <c r="FU16" s="318"/>
      <c r="FV16" s="318"/>
      <c r="FW16" s="318"/>
      <c r="FX16" s="318"/>
      <c r="FY16" s="318"/>
      <c r="FZ16" s="318"/>
      <c r="GA16" s="318"/>
      <c r="GB16" s="318"/>
      <c r="GC16" s="318"/>
      <c r="GD16" s="318"/>
      <c r="GE16" s="318"/>
      <c r="GF16" s="318"/>
      <c r="GG16" s="318"/>
      <c r="GH16" s="318"/>
      <c r="GI16" s="318"/>
      <c r="GJ16" s="318"/>
      <c r="GK16" s="318"/>
      <c r="GL16" s="318"/>
      <c r="GM16" s="318"/>
      <c r="GN16" s="318"/>
      <c r="GO16" s="318"/>
      <c r="GP16" s="318"/>
      <c r="GQ16" s="318"/>
      <c r="GR16" s="318"/>
      <c r="GS16" s="318"/>
      <c r="GT16" s="318"/>
      <c r="GU16" s="318"/>
      <c r="GV16" s="318"/>
      <c r="GW16" s="318"/>
      <c r="GX16" s="318"/>
      <c r="GY16" s="318"/>
      <c r="GZ16" s="318"/>
      <c r="HA16" s="318"/>
      <c r="HB16" s="318"/>
      <c r="HC16" s="318"/>
      <c r="HD16" s="318"/>
      <c r="HE16" s="318"/>
      <c r="HF16" s="318"/>
      <c r="HG16" s="318"/>
      <c r="HH16" s="318"/>
      <c r="HI16" s="318"/>
      <c r="HJ16" s="318"/>
      <c r="HK16" s="318"/>
      <c r="HL16" s="318"/>
      <c r="HM16" s="318"/>
      <c r="HN16" s="318"/>
      <c r="HO16" s="318"/>
      <c r="HP16" s="318"/>
      <c r="HQ16" s="318"/>
      <c r="HR16" s="318"/>
      <c r="HS16" s="318"/>
      <c r="HT16" s="318"/>
      <c r="HU16" s="318"/>
      <c r="HV16" s="318"/>
      <c r="HW16" s="318"/>
      <c r="HX16" s="318"/>
      <c r="HY16" s="318"/>
      <c r="HZ16" s="318"/>
      <c r="IA16" s="318"/>
      <c r="IB16" s="318"/>
      <c r="IC16" s="318"/>
    </row>
    <row r="17" spans="1:237" s="260" customFormat="1" ht="15" customHeight="1" x14ac:dyDescent="0.3">
      <c r="A17" s="181">
        <v>7.02</v>
      </c>
      <c r="B17" s="239"/>
      <c r="C17" s="240" t="str">
        <f>VLOOKUP(BD.PD[[#This Row],[Pos]],PPto[],3,FALSE)</f>
        <v>7.02 Cocina, Patio Comidas y Rostizería</v>
      </c>
      <c r="D17" s="181" t="s">
        <v>40</v>
      </c>
      <c r="E17" s="242" t="str">
        <f>IF(BD.PD[[#This Row],[.]]="*",VLOOKUP(BD.PD[[#This Row],[Pos]],Presupuesto!A:H,7,FALSE),"")</f>
        <v/>
      </c>
      <c r="F17" s="303" t="s">
        <v>467</v>
      </c>
      <c r="G17" s="243" t="s">
        <v>308</v>
      </c>
      <c r="H17" s="275"/>
      <c r="I17" s="276">
        <v>1</v>
      </c>
      <c r="J17" s="181" t="s">
        <v>314</v>
      </c>
      <c r="K17" s="245">
        <f>IF(BD.PD[[#This Row],[Mon]]="DOP",1,HLOOKUP(BD.PD[[#This Row],[Mon]],$J$1:$K$2,2,FALSE))</f>
        <v>1</v>
      </c>
      <c r="L17" s="277">
        <v>2400</v>
      </c>
      <c r="M17" s="247">
        <f>BD.PD[[#This Row],[Cant.]]*BD.PD[[#This Row],[ Tasa ]]*BD.PD[[#This Row],[ Precio Und.]]</f>
        <v>2400</v>
      </c>
      <c r="N17" s="278">
        <v>0</v>
      </c>
      <c r="O17" s="247">
        <f>IF(BD.PD[[#This Row],[Liquid. '[%']]]&lt;&gt;0,(BD.PD[[#This Row],[Valor Neto '[DOP']]]*BD.PD[[#This Row],[Liquid. '[%']]])+BD.PD[[#This Row],[Valor Neto '[DOP']]],BD.PD[[#This Row],[Valor Neto '[DOP']]])</f>
        <v>2400</v>
      </c>
      <c r="P17" s="249">
        <f>BD.PD[[#This Row],[Ppto. Orden Interna '[DOP']]]/HLOOKUP("USD",$J$1:$K$2,2,FALSE)</f>
        <v>39.538714991762767</v>
      </c>
      <c r="Q17" s="250" t="s">
        <v>446</v>
      </c>
      <c r="R17" s="424" t="s">
        <v>387</v>
      </c>
      <c r="S17" s="251">
        <v>22</v>
      </c>
      <c r="T17" s="252">
        <v>1</v>
      </c>
      <c r="U17" s="253">
        <f>BD.PD[[#This Row],[Av.P1 '[%']]]*BD.PD[[#This Row],[Ppto. Orden Interna '[DOP']]]</f>
        <v>2400</v>
      </c>
      <c r="V17" s="254"/>
      <c r="W17" s="255"/>
      <c r="X17" s="253">
        <f>BD.PD[[#This Row],[Av.P2 '[%']]]*BD.PD[[#This Row],[Ppto. Orden Interna '[DOP']]]</f>
        <v>0</v>
      </c>
      <c r="Y17" s="254"/>
      <c r="Z17" s="255"/>
      <c r="AA17" s="253">
        <f>BD.PD[[#This Row],[Av.P3 '[%']]]*BD.PD[[#This Row],[Ppto. Orden Interna '[DOP']]]</f>
        <v>0</v>
      </c>
      <c r="AB17" s="254"/>
      <c r="AC17" s="255"/>
      <c r="AD17" s="253">
        <f>BD.PD[[#This Row],[Av.P4 '[%']]]*BD.PD[[#This Row],[Ppto. Orden Interna '[DOP']]]</f>
        <v>0</v>
      </c>
      <c r="AE17" s="254"/>
      <c r="AF17" s="255"/>
      <c r="AG17" s="253">
        <f>BD.PD[[#This Row],[Av.P5 '[%']]]*BD.PD[[#This Row],[Ppto. Orden Interna '[DOP']]]</f>
        <v>0</v>
      </c>
      <c r="AH17" s="256">
        <f>BD.PD[[#This Row],[Pago 5]]+BD.PD[[#This Row],[Pago 4]]+BD.PD[[#This Row],[Pago 3]]+BD.PD[[#This Row],[Pago 2]]+BD.PD[[#This Row],[Pago 1]]</f>
        <v>2400</v>
      </c>
      <c r="AI17" s="318"/>
      <c r="AJ17" s="318"/>
      <c r="AK17" s="318"/>
      <c r="AL17" s="318"/>
      <c r="AM17" s="318"/>
      <c r="AN17" s="318"/>
      <c r="AO17" s="318"/>
      <c r="AP17" s="318"/>
      <c r="AQ17" s="318"/>
      <c r="AR17" s="318"/>
      <c r="AS17" s="318"/>
      <c r="AT17" s="318"/>
      <c r="AU17" s="318"/>
      <c r="AV17" s="318"/>
      <c r="AW17" s="318"/>
      <c r="AX17" s="318"/>
      <c r="AY17" s="318"/>
      <c r="AZ17" s="318"/>
      <c r="BA17" s="318"/>
      <c r="BB17" s="318"/>
      <c r="BC17" s="318"/>
      <c r="BD17" s="318"/>
      <c r="BE17" s="318"/>
      <c r="BF17" s="318"/>
      <c r="BG17" s="318"/>
      <c r="BH17" s="318"/>
      <c r="BI17" s="318"/>
      <c r="BJ17" s="318"/>
      <c r="BK17" s="318"/>
      <c r="BL17" s="318"/>
      <c r="BM17" s="318"/>
      <c r="BN17" s="318"/>
      <c r="BO17" s="318"/>
      <c r="BP17" s="318"/>
      <c r="BQ17" s="318"/>
      <c r="BR17" s="318"/>
      <c r="BS17" s="318"/>
      <c r="BT17" s="318"/>
      <c r="BU17" s="318"/>
      <c r="BV17" s="318"/>
      <c r="BW17" s="318"/>
      <c r="BX17" s="318"/>
      <c r="BY17" s="318"/>
      <c r="BZ17" s="318"/>
      <c r="CA17" s="318"/>
      <c r="CB17" s="318"/>
      <c r="CC17" s="318"/>
      <c r="CD17" s="318"/>
      <c r="CE17" s="318"/>
      <c r="CF17" s="318"/>
      <c r="CG17" s="318"/>
      <c r="CH17" s="318"/>
      <c r="CI17" s="318"/>
      <c r="CJ17" s="318"/>
      <c r="CK17" s="318"/>
      <c r="CL17" s="318"/>
      <c r="CM17" s="318"/>
      <c r="CN17" s="318"/>
      <c r="CO17" s="318"/>
      <c r="CP17" s="318"/>
      <c r="CQ17" s="318"/>
      <c r="CR17" s="318"/>
      <c r="CS17" s="318"/>
      <c r="CT17" s="318"/>
      <c r="CU17" s="318"/>
      <c r="CV17" s="318"/>
      <c r="CW17" s="318"/>
      <c r="CX17" s="318"/>
      <c r="CY17" s="318"/>
      <c r="CZ17" s="318"/>
      <c r="DA17" s="318"/>
      <c r="DB17" s="318"/>
      <c r="DC17" s="318"/>
      <c r="DD17" s="318"/>
      <c r="DE17" s="318"/>
      <c r="DF17" s="318"/>
      <c r="DG17" s="318"/>
      <c r="DH17" s="318"/>
      <c r="DI17" s="318"/>
      <c r="DJ17" s="318"/>
      <c r="DK17" s="318"/>
      <c r="DL17" s="318"/>
      <c r="DM17" s="318"/>
      <c r="DN17" s="318"/>
      <c r="DO17" s="318"/>
      <c r="DP17" s="318"/>
      <c r="DQ17" s="318"/>
      <c r="DR17" s="318"/>
      <c r="DS17" s="318"/>
      <c r="DT17" s="318"/>
      <c r="DU17" s="318"/>
      <c r="DV17" s="318"/>
      <c r="DW17" s="318"/>
      <c r="DX17" s="318"/>
      <c r="DY17" s="318"/>
      <c r="DZ17" s="318"/>
      <c r="EA17" s="318"/>
      <c r="EB17" s="318"/>
      <c r="EC17" s="318"/>
      <c r="ED17" s="318"/>
      <c r="EE17" s="318"/>
      <c r="EF17" s="318"/>
      <c r="EG17" s="318"/>
      <c r="EH17" s="318"/>
      <c r="EI17" s="318"/>
      <c r="EJ17" s="318"/>
      <c r="EK17" s="318"/>
      <c r="EL17" s="318"/>
      <c r="EM17" s="318"/>
      <c r="EN17" s="318"/>
      <c r="EO17" s="318"/>
      <c r="EP17" s="318"/>
      <c r="EQ17" s="318"/>
      <c r="ER17" s="318"/>
      <c r="ES17" s="318"/>
      <c r="ET17" s="318"/>
      <c r="EU17" s="318"/>
      <c r="EV17" s="318"/>
      <c r="EW17" s="318"/>
      <c r="EX17" s="318"/>
      <c r="EY17" s="318"/>
      <c r="EZ17" s="318"/>
      <c r="FA17" s="318"/>
      <c r="FB17" s="318"/>
      <c r="FC17" s="318"/>
      <c r="FD17" s="318"/>
      <c r="FE17" s="318"/>
      <c r="FF17" s="318"/>
      <c r="FG17" s="318"/>
      <c r="FH17" s="318"/>
      <c r="FI17" s="318"/>
      <c r="FJ17" s="318"/>
      <c r="FK17" s="318"/>
      <c r="FL17" s="318"/>
      <c r="FM17" s="318"/>
      <c r="FN17" s="318"/>
      <c r="FO17" s="318"/>
      <c r="FP17" s="318"/>
      <c r="FQ17" s="318"/>
      <c r="FR17" s="318"/>
      <c r="FS17" s="318"/>
      <c r="FT17" s="318"/>
      <c r="FU17" s="318"/>
      <c r="FV17" s="318"/>
      <c r="FW17" s="318"/>
      <c r="FX17" s="318"/>
      <c r="FY17" s="318"/>
      <c r="FZ17" s="318"/>
      <c r="GA17" s="318"/>
      <c r="GB17" s="318"/>
      <c r="GC17" s="318"/>
      <c r="GD17" s="318"/>
      <c r="GE17" s="318"/>
      <c r="GF17" s="318"/>
      <c r="GG17" s="318"/>
      <c r="GH17" s="318"/>
      <c r="GI17" s="318"/>
      <c r="GJ17" s="318"/>
      <c r="GK17" s="318"/>
      <c r="GL17" s="318"/>
      <c r="GM17" s="318"/>
      <c r="GN17" s="318"/>
      <c r="GO17" s="318"/>
      <c r="GP17" s="318"/>
      <c r="GQ17" s="318"/>
      <c r="GR17" s="318"/>
      <c r="GS17" s="318"/>
      <c r="GT17" s="318"/>
      <c r="GU17" s="318"/>
      <c r="GV17" s="318"/>
      <c r="GW17" s="318"/>
      <c r="GX17" s="318"/>
      <c r="GY17" s="318"/>
      <c r="GZ17" s="318"/>
      <c r="HA17" s="318"/>
      <c r="HB17" s="318"/>
      <c r="HC17" s="318"/>
      <c r="HD17" s="318"/>
      <c r="HE17" s="318"/>
      <c r="HF17" s="318"/>
      <c r="HG17" s="318"/>
      <c r="HH17" s="318"/>
      <c r="HI17" s="318"/>
      <c r="HJ17" s="318"/>
      <c r="HK17" s="318"/>
      <c r="HL17" s="318"/>
      <c r="HM17" s="318"/>
      <c r="HN17" s="318"/>
      <c r="HO17" s="318"/>
      <c r="HP17" s="318"/>
      <c r="HQ17" s="318"/>
      <c r="HR17" s="318"/>
      <c r="HS17" s="318"/>
      <c r="HT17" s="318"/>
      <c r="HU17" s="318"/>
      <c r="HV17" s="318"/>
      <c r="HW17" s="318"/>
      <c r="HX17" s="318"/>
      <c r="HY17" s="318"/>
      <c r="HZ17" s="318"/>
      <c r="IA17" s="318"/>
      <c r="IB17" s="318"/>
      <c r="IC17" s="318"/>
    </row>
    <row r="18" spans="1:237" s="260" customFormat="1" ht="0.75" customHeight="1" x14ac:dyDescent="0.3">
      <c r="A18" s="181">
        <v>7.02</v>
      </c>
      <c r="B18" s="239"/>
      <c r="C18" s="240" t="str">
        <f>VLOOKUP(BD.PD[[#This Row],[Pos]],PPto[],3,FALSE)</f>
        <v>7.02 Cocina, Patio Comidas y Rostizería</v>
      </c>
      <c r="D18" s="181" t="s">
        <v>40</v>
      </c>
      <c r="E18" s="242" t="str">
        <f>IF(BD.PD[[#This Row],[.]]="*",VLOOKUP(BD.PD[[#This Row],[Pos]],Presupuesto!A:H,7,FALSE),"")</f>
        <v/>
      </c>
      <c r="F18" s="303" t="s">
        <v>468</v>
      </c>
      <c r="G18" s="243" t="s">
        <v>308</v>
      </c>
      <c r="H18" s="275"/>
      <c r="I18" s="276">
        <v>2</v>
      </c>
      <c r="J18" s="181" t="s">
        <v>314</v>
      </c>
      <c r="K18" s="245">
        <f>IF(BD.PD[[#This Row],[Mon]]="DOP",1,HLOOKUP(BD.PD[[#This Row],[Mon]],$J$1:$K$2,2,FALSE))</f>
        <v>1</v>
      </c>
      <c r="L18" s="277">
        <v>4000</v>
      </c>
      <c r="M18" s="247">
        <f>BD.PD[[#This Row],[Cant.]]*BD.PD[[#This Row],[ Tasa ]]*BD.PD[[#This Row],[ Precio Und.]]</f>
        <v>8000</v>
      </c>
      <c r="N18" s="278">
        <v>0</v>
      </c>
      <c r="O18" s="247">
        <f>IF(BD.PD[[#This Row],[Liquid. '[%']]]&lt;&gt;0,(BD.PD[[#This Row],[Valor Neto '[DOP']]]*BD.PD[[#This Row],[Liquid. '[%']]])+BD.PD[[#This Row],[Valor Neto '[DOP']]],BD.PD[[#This Row],[Valor Neto '[DOP']]])</f>
        <v>8000</v>
      </c>
      <c r="P18" s="249">
        <f>BD.PD[[#This Row],[Ppto. Orden Interna '[DOP']]]/HLOOKUP("USD",$J$1:$K$2,2,FALSE)</f>
        <v>131.79571663920922</v>
      </c>
      <c r="Q18" s="250" t="s">
        <v>456</v>
      </c>
      <c r="R18" s="424" t="s">
        <v>387</v>
      </c>
      <c r="S18" s="251">
        <v>22</v>
      </c>
      <c r="T18" s="252">
        <v>1</v>
      </c>
      <c r="U18" s="253">
        <f>BD.PD[[#This Row],[Av.P1 '[%']]]*BD.PD[[#This Row],[Ppto. Orden Interna '[DOP']]]</f>
        <v>8000</v>
      </c>
      <c r="V18" s="254"/>
      <c r="W18" s="255"/>
      <c r="X18" s="253">
        <f>BD.PD[[#This Row],[Av.P2 '[%']]]*BD.PD[[#This Row],[Ppto. Orden Interna '[DOP']]]</f>
        <v>0</v>
      </c>
      <c r="Y18" s="254"/>
      <c r="Z18" s="255"/>
      <c r="AA18" s="253">
        <f>BD.PD[[#This Row],[Av.P3 '[%']]]*BD.PD[[#This Row],[Ppto. Orden Interna '[DOP']]]</f>
        <v>0</v>
      </c>
      <c r="AB18" s="254"/>
      <c r="AC18" s="255"/>
      <c r="AD18" s="253">
        <f>BD.PD[[#This Row],[Av.P4 '[%']]]*BD.PD[[#This Row],[Ppto. Orden Interna '[DOP']]]</f>
        <v>0</v>
      </c>
      <c r="AE18" s="254"/>
      <c r="AF18" s="255"/>
      <c r="AG18" s="253">
        <f>BD.PD[[#This Row],[Av.P5 '[%']]]*BD.PD[[#This Row],[Ppto. Orden Interna '[DOP']]]</f>
        <v>0</v>
      </c>
      <c r="AH18" s="256">
        <f>BD.PD[[#This Row],[Pago 5]]+BD.PD[[#This Row],[Pago 4]]+BD.PD[[#This Row],[Pago 3]]+BD.PD[[#This Row],[Pago 2]]+BD.PD[[#This Row],[Pago 1]]</f>
        <v>8000</v>
      </c>
      <c r="AI18" s="318"/>
      <c r="AJ18" s="318"/>
      <c r="AK18" s="318"/>
      <c r="AL18" s="318"/>
      <c r="AM18" s="318"/>
      <c r="AN18" s="318"/>
      <c r="AO18" s="318"/>
      <c r="AP18" s="318"/>
      <c r="AQ18" s="318"/>
      <c r="AR18" s="318"/>
      <c r="AS18" s="318"/>
      <c r="AT18" s="318"/>
      <c r="AU18" s="318"/>
      <c r="AV18" s="318"/>
      <c r="AW18" s="318"/>
      <c r="AX18" s="318"/>
      <c r="AY18" s="318"/>
      <c r="AZ18" s="318"/>
      <c r="BA18" s="318"/>
      <c r="BB18" s="318"/>
      <c r="BC18" s="318"/>
      <c r="BD18" s="318"/>
      <c r="BE18" s="318"/>
      <c r="BF18" s="318"/>
      <c r="BG18" s="318"/>
      <c r="BH18" s="318"/>
      <c r="BI18" s="318"/>
      <c r="BJ18" s="318"/>
      <c r="BK18" s="318"/>
      <c r="BL18" s="318"/>
      <c r="BM18" s="318"/>
      <c r="BN18" s="318"/>
      <c r="BO18" s="318"/>
      <c r="BP18" s="318"/>
      <c r="BQ18" s="318"/>
      <c r="BR18" s="318"/>
      <c r="BS18" s="318"/>
      <c r="BT18" s="318"/>
      <c r="BU18" s="318"/>
      <c r="BV18" s="318"/>
      <c r="BW18" s="318"/>
      <c r="BX18" s="318"/>
      <c r="BY18" s="318"/>
      <c r="BZ18" s="318"/>
      <c r="CA18" s="318"/>
      <c r="CB18" s="318"/>
      <c r="CC18" s="318"/>
      <c r="CD18" s="318"/>
      <c r="CE18" s="318"/>
      <c r="CF18" s="318"/>
      <c r="CG18" s="318"/>
      <c r="CH18" s="318"/>
      <c r="CI18" s="318"/>
      <c r="CJ18" s="318"/>
      <c r="CK18" s="318"/>
      <c r="CL18" s="318"/>
      <c r="CM18" s="318"/>
      <c r="CN18" s="318"/>
      <c r="CO18" s="318"/>
      <c r="CP18" s="318"/>
      <c r="CQ18" s="318"/>
      <c r="CR18" s="318"/>
      <c r="CS18" s="318"/>
      <c r="CT18" s="318"/>
      <c r="CU18" s="318"/>
      <c r="CV18" s="318"/>
      <c r="CW18" s="318"/>
      <c r="CX18" s="318"/>
      <c r="CY18" s="318"/>
      <c r="CZ18" s="318"/>
      <c r="DA18" s="318"/>
      <c r="DB18" s="318"/>
      <c r="DC18" s="318"/>
      <c r="DD18" s="318"/>
      <c r="DE18" s="318"/>
      <c r="DF18" s="318"/>
      <c r="DG18" s="318"/>
      <c r="DH18" s="318"/>
      <c r="DI18" s="318"/>
      <c r="DJ18" s="318"/>
      <c r="DK18" s="318"/>
      <c r="DL18" s="318"/>
      <c r="DM18" s="318"/>
      <c r="DN18" s="318"/>
      <c r="DO18" s="318"/>
      <c r="DP18" s="318"/>
      <c r="DQ18" s="318"/>
      <c r="DR18" s="318"/>
      <c r="DS18" s="318"/>
      <c r="DT18" s="318"/>
      <c r="DU18" s="318"/>
      <c r="DV18" s="318"/>
      <c r="DW18" s="318"/>
      <c r="DX18" s="318"/>
      <c r="DY18" s="318"/>
      <c r="DZ18" s="318"/>
      <c r="EA18" s="318"/>
      <c r="EB18" s="318"/>
      <c r="EC18" s="318"/>
      <c r="ED18" s="318"/>
      <c r="EE18" s="318"/>
      <c r="EF18" s="318"/>
      <c r="EG18" s="318"/>
      <c r="EH18" s="318"/>
      <c r="EI18" s="318"/>
      <c r="EJ18" s="318"/>
      <c r="EK18" s="318"/>
      <c r="EL18" s="318"/>
      <c r="EM18" s="318"/>
      <c r="EN18" s="318"/>
      <c r="EO18" s="318"/>
      <c r="EP18" s="318"/>
      <c r="EQ18" s="318"/>
      <c r="ER18" s="318"/>
      <c r="ES18" s="318"/>
      <c r="ET18" s="318"/>
      <c r="EU18" s="318"/>
      <c r="EV18" s="318"/>
      <c r="EW18" s="318"/>
      <c r="EX18" s="318"/>
      <c r="EY18" s="318"/>
      <c r="EZ18" s="318"/>
      <c r="FA18" s="318"/>
      <c r="FB18" s="318"/>
      <c r="FC18" s="318"/>
      <c r="FD18" s="318"/>
      <c r="FE18" s="318"/>
      <c r="FF18" s="318"/>
      <c r="FG18" s="318"/>
      <c r="FH18" s="318"/>
      <c r="FI18" s="318"/>
      <c r="FJ18" s="318"/>
      <c r="FK18" s="318"/>
      <c r="FL18" s="318"/>
      <c r="FM18" s="318"/>
      <c r="FN18" s="318"/>
      <c r="FO18" s="318"/>
      <c r="FP18" s="318"/>
      <c r="FQ18" s="318"/>
      <c r="FR18" s="318"/>
      <c r="FS18" s="318"/>
      <c r="FT18" s="318"/>
      <c r="FU18" s="318"/>
      <c r="FV18" s="318"/>
      <c r="FW18" s="318"/>
      <c r="FX18" s="318"/>
      <c r="FY18" s="318"/>
      <c r="FZ18" s="318"/>
      <c r="GA18" s="318"/>
      <c r="GB18" s="318"/>
      <c r="GC18" s="318"/>
      <c r="GD18" s="318"/>
      <c r="GE18" s="318"/>
      <c r="GF18" s="318"/>
      <c r="GG18" s="318"/>
      <c r="GH18" s="318"/>
      <c r="GI18" s="318"/>
      <c r="GJ18" s="318"/>
      <c r="GK18" s="318"/>
      <c r="GL18" s="318"/>
      <c r="GM18" s="318"/>
      <c r="GN18" s="318"/>
      <c r="GO18" s="318"/>
      <c r="GP18" s="318"/>
      <c r="GQ18" s="318"/>
      <c r="GR18" s="318"/>
      <c r="GS18" s="318"/>
      <c r="GT18" s="318"/>
      <c r="GU18" s="318"/>
      <c r="GV18" s="318"/>
      <c r="GW18" s="318"/>
      <c r="GX18" s="318"/>
      <c r="GY18" s="318"/>
      <c r="GZ18" s="318"/>
      <c r="HA18" s="318"/>
      <c r="HB18" s="318"/>
      <c r="HC18" s="318"/>
      <c r="HD18" s="318"/>
      <c r="HE18" s="318"/>
      <c r="HF18" s="318"/>
      <c r="HG18" s="318"/>
      <c r="HH18" s="318"/>
      <c r="HI18" s="318"/>
      <c r="HJ18" s="318"/>
      <c r="HK18" s="318"/>
      <c r="HL18" s="318"/>
      <c r="HM18" s="318"/>
      <c r="HN18" s="318"/>
      <c r="HO18" s="318"/>
      <c r="HP18" s="318"/>
      <c r="HQ18" s="318"/>
      <c r="HR18" s="318"/>
      <c r="HS18" s="318"/>
      <c r="HT18" s="318"/>
      <c r="HU18" s="318"/>
      <c r="HV18" s="318"/>
      <c r="HW18" s="318"/>
      <c r="HX18" s="318"/>
      <c r="HY18" s="318"/>
      <c r="HZ18" s="318"/>
      <c r="IA18" s="318"/>
      <c r="IB18" s="318"/>
      <c r="IC18" s="318"/>
    </row>
    <row r="19" spans="1:237" s="260" customFormat="1" ht="15" customHeight="1" x14ac:dyDescent="0.3">
      <c r="A19" s="181">
        <v>7.02</v>
      </c>
      <c r="B19" s="239"/>
      <c r="C19" s="240" t="str">
        <f>VLOOKUP(BD.PD[[#This Row],[Pos]],PPto[],3,FALSE)</f>
        <v>7.02 Cocina, Patio Comidas y Rostizería</v>
      </c>
      <c r="D19" s="181" t="s">
        <v>40</v>
      </c>
      <c r="E19" s="242" t="str">
        <f>IF(BD.PD[[#This Row],[.]]="*",VLOOKUP(BD.PD[[#This Row],[Pos]],Presupuesto!A:H,7,FALSE),"")</f>
        <v/>
      </c>
      <c r="F19" s="303" t="s">
        <v>469</v>
      </c>
      <c r="G19" s="243" t="s">
        <v>308</v>
      </c>
      <c r="H19" s="275"/>
      <c r="I19" s="276">
        <v>1</v>
      </c>
      <c r="J19" s="181" t="s">
        <v>314</v>
      </c>
      <c r="K19" s="245">
        <f>IF(BD.PD[[#This Row],[Mon]]="DOP",1,HLOOKUP(BD.PD[[#This Row],[Mon]],$J$1:$K$2,2,FALSE))</f>
        <v>1</v>
      </c>
      <c r="L19" s="277">
        <v>6000</v>
      </c>
      <c r="M19" s="247">
        <f>BD.PD[[#This Row],[Cant.]]*BD.PD[[#This Row],[ Tasa ]]*BD.PD[[#This Row],[ Precio Und.]]</f>
        <v>6000</v>
      </c>
      <c r="N19" s="278">
        <v>0</v>
      </c>
      <c r="O19" s="247">
        <f>IF(BD.PD[[#This Row],[Liquid. '[%']]]&lt;&gt;0,(BD.PD[[#This Row],[Valor Neto '[DOP']]]*BD.PD[[#This Row],[Liquid. '[%']]])+BD.PD[[#This Row],[Valor Neto '[DOP']]],BD.PD[[#This Row],[Valor Neto '[DOP']]])</f>
        <v>6000</v>
      </c>
      <c r="P19" s="249">
        <f>BD.PD[[#This Row],[Ppto. Orden Interna '[DOP']]]/HLOOKUP("USD",$J$1:$K$2,2,FALSE)</f>
        <v>98.846787479406913</v>
      </c>
      <c r="Q19" s="250" t="s">
        <v>456</v>
      </c>
      <c r="R19" s="424" t="s">
        <v>387</v>
      </c>
      <c r="S19" s="251">
        <v>22</v>
      </c>
      <c r="T19" s="252">
        <v>1</v>
      </c>
      <c r="U19" s="253">
        <f>BD.PD[[#This Row],[Av.P1 '[%']]]*BD.PD[[#This Row],[Ppto. Orden Interna '[DOP']]]</f>
        <v>6000</v>
      </c>
      <c r="V19" s="254"/>
      <c r="W19" s="255"/>
      <c r="X19" s="253">
        <f>BD.PD[[#This Row],[Av.P2 '[%']]]*BD.PD[[#This Row],[Ppto. Orden Interna '[DOP']]]</f>
        <v>0</v>
      </c>
      <c r="Y19" s="254"/>
      <c r="Z19" s="255"/>
      <c r="AA19" s="253">
        <f>BD.PD[[#This Row],[Av.P3 '[%']]]*BD.PD[[#This Row],[Ppto. Orden Interna '[DOP']]]</f>
        <v>0</v>
      </c>
      <c r="AB19" s="254"/>
      <c r="AC19" s="255"/>
      <c r="AD19" s="253">
        <f>BD.PD[[#This Row],[Av.P4 '[%']]]*BD.PD[[#This Row],[Ppto. Orden Interna '[DOP']]]</f>
        <v>0</v>
      </c>
      <c r="AE19" s="254"/>
      <c r="AF19" s="255"/>
      <c r="AG19" s="253">
        <f>BD.PD[[#This Row],[Av.P5 '[%']]]*BD.PD[[#This Row],[Ppto. Orden Interna '[DOP']]]</f>
        <v>0</v>
      </c>
      <c r="AH19" s="256">
        <f>BD.PD[[#This Row],[Pago 5]]+BD.PD[[#This Row],[Pago 4]]+BD.PD[[#This Row],[Pago 3]]+BD.PD[[#This Row],[Pago 2]]+BD.PD[[#This Row],[Pago 1]]</f>
        <v>6000</v>
      </c>
      <c r="AI19" s="318"/>
      <c r="AJ19" s="318"/>
      <c r="AK19" s="318"/>
      <c r="AL19" s="318"/>
      <c r="AM19" s="318"/>
      <c r="AN19" s="318"/>
      <c r="AO19" s="318"/>
      <c r="AP19" s="318"/>
      <c r="AQ19" s="318"/>
      <c r="AR19" s="318"/>
      <c r="AS19" s="318"/>
      <c r="AT19" s="318"/>
      <c r="AU19" s="318"/>
      <c r="AV19" s="318"/>
      <c r="AW19" s="318"/>
      <c r="AX19" s="318"/>
      <c r="AY19" s="318"/>
      <c r="AZ19" s="318"/>
      <c r="BA19" s="318"/>
      <c r="BB19" s="318"/>
      <c r="BC19" s="318"/>
      <c r="BD19" s="318"/>
      <c r="BE19" s="318"/>
      <c r="BF19" s="318"/>
      <c r="BG19" s="318"/>
      <c r="BH19" s="318"/>
      <c r="BI19" s="318"/>
      <c r="BJ19" s="318"/>
      <c r="BK19" s="318"/>
      <c r="BL19" s="318"/>
      <c r="BM19" s="318"/>
      <c r="BN19" s="318"/>
      <c r="BO19" s="318"/>
      <c r="BP19" s="318"/>
      <c r="BQ19" s="318"/>
      <c r="BR19" s="318"/>
      <c r="BS19" s="318"/>
      <c r="BT19" s="318"/>
      <c r="BU19" s="318"/>
      <c r="BV19" s="318"/>
      <c r="BW19" s="318"/>
      <c r="BX19" s="318"/>
      <c r="BY19" s="318"/>
      <c r="BZ19" s="318"/>
      <c r="CA19" s="318"/>
      <c r="CB19" s="318"/>
      <c r="CC19" s="318"/>
      <c r="CD19" s="318"/>
      <c r="CE19" s="318"/>
      <c r="CF19" s="318"/>
      <c r="CG19" s="318"/>
      <c r="CH19" s="318"/>
      <c r="CI19" s="318"/>
      <c r="CJ19" s="318"/>
      <c r="CK19" s="318"/>
      <c r="CL19" s="318"/>
      <c r="CM19" s="318"/>
      <c r="CN19" s="318"/>
      <c r="CO19" s="318"/>
      <c r="CP19" s="318"/>
      <c r="CQ19" s="318"/>
      <c r="CR19" s="318"/>
      <c r="CS19" s="318"/>
      <c r="CT19" s="318"/>
      <c r="CU19" s="318"/>
      <c r="CV19" s="318"/>
      <c r="CW19" s="318"/>
      <c r="CX19" s="318"/>
      <c r="CY19" s="318"/>
      <c r="CZ19" s="318"/>
      <c r="DA19" s="318"/>
      <c r="DB19" s="318"/>
      <c r="DC19" s="318"/>
      <c r="DD19" s="318"/>
      <c r="DE19" s="318"/>
      <c r="DF19" s="318"/>
      <c r="DG19" s="318"/>
      <c r="DH19" s="318"/>
      <c r="DI19" s="318"/>
      <c r="DJ19" s="318"/>
      <c r="DK19" s="318"/>
      <c r="DL19" s="318"/>
      <c r="DM19" s="318"/>
      <c r="DN19" s="318"/>
      <c r="DO19" s="318"/>
      <c r="DP19" s="318"/>
      <c r="DQ19" s="318"/>
      <c r="DR19" s="318"/>
      <c r="DS19" s="318"/>
      <c r="DT19" s="318"/>
      <c r="DU19" s="318"/>
      <c r="DV19" s="318"/>
      <c r="DW19" s="318"/>
      <c r="DX19" s="318"/>
      <c r="DY19" s="318"/>
      <c r="DZ19" s="318"/>
      <c r="EA19" s="318"/>
      <c r="EB19" s="318"/>
      <c r="EC19" s="318"/>
      <c r="ED19" s="318"/>
      <c r="EE19" s="318"/>
      <c r="EF19" s="318"/>
      <c r="EG19" s="318"/>
      <c r="EH19" s="318"/>
      <c r="EI19" s="318"/>
      <c r="EJ19" s="318"/>
      <c r="EK19" s="318"/>
      <c r="EL19" s="318"/>
      <c r="EM19" s="318"/>
      <c r="EN19" s="318"/>
      <c r="EO19" s="318"/>
      <c r="EP19" s="318"/>
      <c r="EQ19" s="318"/>
      <c r="ER19" s="318"/>
      <c r="ES19" s="318"/>
      <c r="ET19" s="318"/>
      <c r="EU19" s="318"/>
      <c r="EV19" s="318"/>
      <c r="EW19" s="318"/>
      <c r="EX19" s="318"/>
      <c r="EY19" s="318"/>
      <c r="EZ19" s="318"/>
      <c r="FA19" s="318"/>
      <c r="FB19" s="318"/>
      <c r="FC19" s="318"/>
      <c r="FD19" s="318"/>
      <c r="FE19" s="318"/>
      <c r="FF19" s="318"/>
      <c r="FG19" s="318"/>
      <c r="FH19" s="318"/>
      <c r="FI19" s="318"/>
      <c r="FJ19" s="318"/>
      <c r="FK19" s="318"/>
      <c r="FL19" s="318"/>
      <c r="FM19" s="318"/>
      <c r="FN19" s="318"/>
      <c r="FO19" s="318"/>
      <c r="FP19" s="318"/>
      <c r="FQ19" s="318"/>
      <c r="FR19" s="318"/>
      <c r="FS19" s="318"/>
      <c r="FT19" s="318"/>
      <c r="FU19" s="318"/>
      <c r="FV19" s="318"/>
      <c r="FW19" s="318"/>
      <c r="FX19" s="318"/>
      <c r="FY19" s="318"/>
      <c r="FZ19" s="318"/>
      <c r="GA19" s="318"/>
      <c r="GB19" s="318"/>
      <c r="GC19" s="318"/>
      <c r="GD19" s="318"/>
      <c r="GE19" s="318"/>
      <c r="GF19" s="318"/>
      <c r="GG19" s="318"/>
      <c r="GH19" s="318"/>
      <c r="GI19" s="318"/>
      <c r="GJ19" s="318"/>
      <c r="GK19" s="318"/>
      <c r="GL19" s="318"/>
      <c r="GM19" s="318"/>
      <c r="GN19" s="318"/>
      <c r="GO19" s="318"/>
      <c r="GP19" s="318"/>
      <c r="GQ19" s="318"/>
      <c r="GR19" s="318"/>
      <c r="GS19" s="318"/>
      <c r="GT19" s="318"/>
      <c r="GU19" s="318"/>
      <c r="GV19" s="318"/>
      <c r="GW19" s="318"/>
      <c r="GX19" s="318"/>
      <c r="GY19" s="318"/>
      <c r="GZ19" s="318"/>
      <c r="HA19" s="318"/>
      <c r="HB19" s="318"/>
      <c r="HC19" s="318"/>
      <c r="HD19" s="318"/>
      <c r="HE19" s="318"/>
      <c r="HF19" s="318"/>
      <c r="HG19" s="318"/>
      <c r="HH19" s="318"/>
      <c r="HI19" s="318"/>
      <c r="HJ19" s="318"/>
      <c r="HK19" s="318"/>
      <c r="HL19" s="318"/>
      <c r="HM19" s="318"/>
      <c r="HN19" s="318"/>
      <c r="HO19" s="318"/>
      <c r="HP19" s="318"/>
      <c r="HQ19" s="318"/>
      <c r="HR19" s="318"/>
      <c r="HS19" s="318"/>
      <c r="HT19" s="318"/>
      <c r="HU19" s="318"/>
      <c r="HV19" s="318"/>
      <c r="HW19" s="318"/>
      <c r="HX19" s="318"/>
      <c r="HY19" s="318"/>
      <c r="HZ19" s="318"/>
      <c r="IA19" s="318"/>
      <c r="IB19" s="318"/>
      <c r="IC19" s="318"/>
    </row>
    <row r="20" spans="1:237" s="260" customFormat="1" ht="15" customHeight="1" x14ac:dyDescent="0.3">
      <c r="A20" s="181">
        <v>7.02</v>
      </c>
      <c r="B20" s="239"/>
      <c r="C20" s="240" t="str">
        <f>VLOOKUP(BD.PD[[#This Row],[Pos]],PPto[],3,FALSE)</f>
        <v>7.02 Cocina, Patio Comidas y Rostizería</v>
      </c>
      <c r="D20" s="181" t="s">
        <v>40</v>
      </c>
      <c r="E20" s="242" t="str">
        <f>IF(BD.PD[[#This Row],[.]]="*",VLOOKUP(BD.PD[[#This Row],[Pos]],Presupuesto!A:H,7,FALSE),"")</f>
        <v/>
      </c>
      <c r="F20" s="303" t="s">
        <v>470</v>
      </c>
      <c r="G20" s="243" t="s">
        <v>308</v>
      </c>
      <c r="H20" s="275"/>
      <c r="I20" s="276">
        <v>1</v>
      </c>
      <c r="J20" s="181" t="s">
        <v>314</v>
      </c>
      <c r="K20" s="245">
        <f>IF(BD.PD[[#This Row],[Mon]]="DOP",1,HLOOKUP(BD.PD[[#This Row],[Mon]],$J$1:$K$2,2,FALSE))</f>
        <v>1</v>
      </c>
      <c r="L20" s="277">
        <v>600</v>
      </c>
      <c r="M20" s="247">
        <f>BD.PD[[#This Row],[Cant.]]*BD.PD[[#This Row],[ Tasa ]]*BD.PD[[#This Row],[ Precio Und.]]</f>
        <v>600</v>
      </c>
      <c r="N20" s="278">
        <v>0</v>
      </c>
      <c r="O20" s="247">
        <f>IF(BD.PD[[#This Row],[Liquid. '[%']]]&lt;&gt;0,(BD.PD[[#This Row],[Valor Neto '[DOP']]]*BD.PD[[#This Row],[Liquid. '[%']]])+BD.PD[[#This Row],[Valor Neto '[DOP']]],BD.PD[[#This Row],[Valor Neto '[DOP']]])</f>
        <v>600</v>
      </c>
      <c r="P20" s="249">
        <f>BD.PD[[#This Row],[Ppto. Orden Interna '[DOP']]]/HLOOKUP("USD",$J$1:$K$2,2,FALSE)</f>
        <v>9.8846787479406917</v>
      </c>
      <c r="Q20" s="250" t="s">
        <v>456</v>
      </c>
      <c r="R20" s="424" t="s">
        <v>387</v>
      </c>
      <c r="S20" s="251">
        <v>22</v>
      </c>
      <c r="T20" s="252">
        <v>1</v>
      </c>
      <c r="U20" s="253">
        <f>BD.PD[[#This Row],[Av.P1 '[%']]]*BD.PD[[#This Row],[Ppto. Orden Interna '[DOP']]]</f>
        <v>600</v>
      </c>
      <c r="V20" s="254"/>
      <c r="W20" s="255"/>
      <c r="X20" s="253">
        <f>BD.PD[[#This Row],[Av.P2 '[%']]]*BD.PD[[#This Row],[Ppto. Orden Interna '[DOP']]]</f>
        <v>0</v>
      </c>
      <c r="Y20" s="254"/>
      <c r="Z20" s="255"/>
      <c r="AA20" s="253">
        <f>BD.PD[[#This Row],[Av.P3 '[%']]]*BD.PD[[#This Row],[Ppto. Orden Interna '[DOP']]]</f>
        <v>0</v>
      </c>
      <c r="AB20" s="254"/>
      <c r="AC20" s="255"/>
      <c r="AD20" s="253">
        <f>BD.PD[[#This Row],[Av.P4 '[%']]]*BD.PD[[#This Row],[Ppto. Orden Interna '[DOP']]]</f>
        <v>0</v>
      </c>
      <c r="AE20" s="254"/>
      <c r="AF20" s="255"/>
      <c r="AG20" s="253">
        <f>BD.PD[[#This Row],[Av.P5 '[%']]]*BD.PD[[#This Row],[Ppto. Orden Interna '[DOP']]]</f>
        <v>0</v>
      </c>
      <c r="AH20" s="256">
        <f>BD.PD[[#This Row],[Pago 5]]+BD.PD[[#This Row],[Pago 4]]+BD.PD[[#This Row],[Pago 3]]+BD.PD[[#This Row],[Pago 2]]+BD.PD[[#This Row],[Pago 1]]</f>
        <v>600</v>
      </c>
      <c r="AI20" s="318"/>
      <c r="AJ20" s="318"/>
      <c r="AK20" s="318"/>
      <c r="AL20" s="318"/>
      <c r="AM20" s="318"/>
      <c r="AN20" s="318"/>
      <c r="AO20" s="318"/>
      <c r="AP20" s="318"/>
      <c r="AQ20" s="318"/>
      <c r="AR20" s="318"/>
      <c r="AS20" s="318"/>
      <c r="AT20" s="318"/>
      <c r="AU20" s="318"/>
      <c r="AV20" s="318"/>
      <c r="AW20" s="318"/>
      <c r="AX20" s="318"/>
      <c r="AY20" s="318"/>
      <c r="AZ20" s="318"/>
      <c r="BA20" s="318"/>
      <c r="BB20" s="318"/>
      <c r="BC20" s="318"/>
      <c r="BD20" s="318"/>
      <c r="BE20" s="318"/>
      <c r="BF20" s="318"/>
      <c r="BG20" s="318"/>
      <c r="BH20" s="318"/>
      <c r="BI20" s="318"/>
      <c r="BJ20" s="318"/>
      <c r="BK20" s="318"/>
      <c r="BL20" s="318"/>
      <c r="BM20" s="318"/>
      <c r="BN20" s="318"/>
      <c r="BO20" s="318"/>
      <c r="BP20" s="318"/>
      <c r="BQ20" s="318"/>
      <c r="BR20" s="318"/>
      <c r="BS20" s="318"/>
      <c r="BT20" s="318"/>
      <c r="BU20" s="318"/>
      <c r="BV20" s="318"/>
      <c r="BW20" s="318"/>
      <c r="BX20" s="318"/>
      <c r="BY20" s="318"/>
      <c r="BZ20" s="318"/>
      <c r="CA20" s="318"/>
      <c r="CB20" s="318"/>
      <c r="CC20" s="318"/>
      <c r="CD20" s="318"/>
      <c r="CE20" s="318"/>
      <c r="CF20" s="318"/>
      <c r="CG20" s="318"/>
      <c r="CH20" s="318"/>
      <c r="CI20" s="318"/>
      <c r="CJ20" s="318"/>
      <c r="CK20" s="318"/>
      <c r="CL20" s="318"/>
      <c r="CM20" s="318"/>
      <c r="CN20" s="318"/>
      <c r="CO20" s="318"/>
      <c r="CP20" s="318"/>
      <c r="CQ20" s="318"/>
      <c r="CR20" s="318"/>
      <c r="CS20" s="318"/>
      <c r="CT20" s="318"/>
      <c r="CU20" s="318"/>
      <c r="CV20" s="318"/>
      <c r="CW20" s="318"/>
      <c r="CX20" s="318"/>
      <c r="CY20" s="318"/>
      <c r="CZ20" s="318"/>
      <c r="DA20" s="318"/>
      <c r="DB20" s="318"/>
      <c r="DC20" s="318"/>
      <c r="DD20" s="318"/>
      <c r="DE20" s="318"/>
      <c r="DF20" s="318"/>
      <c r="DG20" s="318"/>
      <c r="DH20" s="318"/>
      <c r="DI20" s="318"/>
      <c r="DJ20" s="318"/>
      <c r="DK20" s="318"/>
      <c r="DL20" s="318"/>
      <c r="DM20" s="318"/>
      <c r="DN20" s="318"/>
      <c r="DO20" s="318"/>
      <c r="DP20" s="318"/>
      <c r="DQ20" s="318"/>
      <c r="DR20" s="318"/>
      <c r="DS20" s="318"/>
      <c r="DT20" s="318"/>
      <c r="DU20" s="318"/>
      <c r="DV20" s="318"/>
      <c r="DW20" s="318"/>
      <c r="DX20" s="318"/>
      <c r="DY20" s="318"/>
      <c r="DZ20" s="318"/>
      <c r="EA20" s="318"/>
      <c r="EB20" s="318"/>
      <c r="EC20" s="318"/>
      <c r="ED20" s="318"/>
      <c r="EE20" s="318"/>
      <c r="EF20" s="318"/>
      <c r="EG20" s="318"/>
      <c r="EH20" s="318"/>
      <c r="EI20" s="318"/>
      <c r="EJ20" s="318"/>
      <c r="EK20" s="318"/>
      <c r="EL20" s="318"/>
      <c r="EM20" s="318"/>
      <c r="EN20" s="318"/>
      <c r="EO20" s="318"/>
      <c r="EP20" s="318"/>
      <c r="EQ20" s="318"/>
      <c r="ER20" s="318"/>
      <c r="ES20" s="318"/>
      <c r="ET20" s="318"/>
      <c r="EU20" s="318"/>
      <c r="EV20" s="318"/>
      <c r="EW20" s="318"/>
      <c r="EX20" s="318"/>
      <c r="EY20" s="318"/>
      <c r="EZ20" s="318"/>
      <c r="FA20" s="318"/>
      <c r="FB20" s="318"/>
      <c r="FC20" s="318"/>
      <c r="FD20" s="318"/>
      <c r="FE20" s="318"/>
      <c r="FF20" s="318"/>
      <c r="FG20" s="318"/>
      <c r="FH20" s="318"/>
      <c r="FI20" s="318"/>
      <c r="FJ20" s="318"/>
      <c r="FK20" s="318"/>
      <c r="FL20" s="318"/>
      <c r="FM20" s="318"/>
      <c r="FN20" s="318"/>
      <c r="FO20" s="318"/>
      <c r="FP20" s="318"/>
      <c r="FQ20" s="318"/>
      <c r="FR20" s="318"/>
      <c r="FS20" s="318"/>
      <c r="FT20" s="318"/>
      <c r="FU20" s="318"/>
      <c r="FV20" s="318"/>
      <c r="FW20" s="318"/>
      <c r="FX20" s="318"/>
      <c r="FY20" s="318"/>
      <c r="FZ20" s="318"/>
      <c r="GA20" s="318"/>
      <c r="GB20" s="318"/>
      <c r="GC20" s="318"/>
      <c r="GD20" s="318"/>
      <c r="GE20" s="318"/>
      <c r="GF20" s="318"/>
      <c r="GG20" s="318"/>
      <c r="GH20" s="318"/>
      <c r="GI20" s="318"/>
      <c r="GJ20" s="318"/>
      <c r="GK20" s="318"/>
      <c r="GL20" s="318"/>
      <c r="GM20" s="318"/>
      <c r="GN20" s="318"/>
      <c r="GO20" s="318"/>
      <c r="GP20" s="318"/>
      <c r="GQ20" s="318"/>
      <c r="GR20" s="318"/>
      <c r="GS20" s="318"/>
      <c r="GT20" s="318"/>
      <c r="GU20" s="318"/>
      <c r="GV20" s="318"/>
      <c r="GW20" s="318"/>
      <c r="GX20" s="318"/>
      <c r="GY20" s="318"/>
      <c r="GZ20" s="318"/>
      <c r="HA20" s="318"/>
      <c r="HB20" s="318"/>
      <c r="HC20" s="318"/>
      <c r="HD20" s="318"/>
      <c r="HE20" s="318"/>
      <c r="HF20" s="318"/>
      <c r="HG20" s="318"/>
      <c r="HH20" s="318"/>
      <c r="HI20" s="318"/>
      <c r="HJ20" s="318"/>
      <c r="HK20" s="318"/>
      <c r="HL20" s="318"/>
      <c r="HM20" s="318"/>
      <c r="HN20" s="318"/>
      <c r="HO20" s="318"/>
      <c r="HP20" s="318"/>
      <c r="HQ20" s="318"/>
      <c r="HR20" s="318"/>
      <c r="HS20" s="318"/>
      <c r="HT20" s="318"/>
      <c r="HU20" s="318"/>
      <c r="HV20" s="318"/>
      <c r="HW20" s="318"/>
      <c r="HX20" s="318"/>
      <c r="HY20" s="318"/>
      <c r="HZ20" s="318"/>
      <c r="IA20" s="318"/>
      <c r="IB20" s="318"/>
      <c r="IC20" s="318"/>
    </row>
    <row r="21" spans="1:237" s="260" customFormat="1" ht="15" customHeight="1" x14ac:dyDescent="0.3">
      <c r="A21" s="181">
        <v>7.02</v>
      </c>
      <c r="B21" s="239"/>
      <c r="C21" s="240" t="str">
        <f>VLOOKUP(BD.PD[[#This Row],[Pos]],PPto[],3,FALSE)</f>
        <v>7.02 Cocina, Patio Comidas y Rostizería</v>
      </c>
      <c r="D21" s="181" t="s">
        <v>40</v>
      </c>
      <c r="E21" s="242" t="str">
        <f>IF(BD.PD[[#This Row],[.]]="*",VLOOKUP(BD.PD[[#This Row],[Pos]],Presupuesto!A:H,7,FALSE),"")</f>
        <v/>
      </c>
      <c r="F21" s="303" t="s">
        <v>471</v>
      </c>
      <c r="G21" s="243" t="s">
        <v>308</v>
      </c>
      <c r="H21" s="275"/>
      <c r="I21" s="276">
        <v>3</v>
      </c>
      <c r="J21" s="181" t="s">
        <v>314</v>
      </c>
      <c r="K21" s="245">
        <f>IF(BD.PD[[#This Row],[Mon]]="DOP",1,HLOOKUP(BD.PD[[#This Row],[Mon]],$J$1:$K$2,2,FALSE))</f>
        <v>1</v>
      </c>
      <c r="L21" s="277">
        <v>230</v>
      </c>
      <c r="M21" s="247">
        <f>BD.PD[[#This Row],[Cant.]]*BD.PD[[#This Row],[ Tasa ]]*BD.PD[[#This Row],[ Precio Und.]]</f>
        <v>690</v>
      </c>
      <c r="N21" s="278">
        <v>0</v>
      </c>
      <c r="O21" s="247">
        <f>IF(BD.PD[[#This Row],[Liquid. '[%']]]&lt;&gt;0,(BD.PD[[#This Row],[Valor Neto '[DOP']]]*BD.PD[[#This Row],[Liquid. '[%']]])+BD.PD[[#This Row],[Valor Neto '[DOP']]],BD.PD[[#This Row],[Valor Neto '[DOP']]])</f>
        <v>690</v>
      </c>
      <c r="P21" s="249">
        <f>BD.PD[[#This Row],[Ppto. Orden Interna '[DOP']]]/HLOOKUP("USD",$J$1:$K$2,2,FALSE)</f>
        <v>11.367380560131796</v>
      </c>
      <c r="Q21" s="250" t="s">
        <v>456</v>
      </c>
      <c r="R21" s="424" t="s">
        <v>387</v>
      </c>
      <c r="S21" s="251">
        <v>22</v>
      </c>
      <c r="T21" s="252">
        <v>1</v>
      </c>
      <c r="U21" s="253">
        <f>BD.PD[[#This Row],[Av.P1 '[%']]]*BD.PD[[#This Row],[Ppto. Orden Interna '[DOP']]]</f>
        <v>690</v>
      </c>
      <c r="V21" s="254"/>
      <c r="W21" s="255"/>
      <c r="X21" s="253">
        <f>BD.PD[[#This Row],[Av.P2 '[%']]]*BD.PD[[#This Row],[Ppto. Orden Interna '[DOP']]]</f>
        <v>0</v>
      </c>
      <c r="Y21" s="254"/>
      <c r="Z21" s="255"/>
      <c r="AA21" s="253">
        <f>BD.PD[[#This Row],[Av.P3 '[%']]]*BD.PD[[#This Row],[Ppto. Orden Interna '[DOP']]]</f>
        <v>0</v>
      </c>
      <c r="AB21" s="254"/>
      <c r="AC21" s="255"/>
      <c r="AD21" s="253">
        <f>BD.PD[[#This Row],[Av.P4 '[%']]]*BD.PD[[#This Row],[Ppto. Orden Interna '[DOP']]]</f>
        <v>0</v>
      </c>
      <c r="AE21" s="254"/>
      <c r="AF21" s="255"/>
      <c r="AG21" s="253">
        <f>BD.PD[[#This Row],[Av.P5 '[%']]]*BD.PD[[#This Row],[Ppto. Orden Interna '[DOP']]]</f>
        <v>0</v>
      </c>
      <c r="AH21" s="256">
        <f>BD.PD[[#This Row],[Pago 5]]+BD.PD[[#This Row],[Pago 4]]+BD.PD[[#This Row],[Pago 3]]+BD.PD[[#This Row],[Pago 2]]+BD.PD[[#This Row],[Pago 1]]</f>
        <v>690</v>
      </c>
      <c r="AI21" s="318"/>
      <c r="AJ21" s="318"/>
      <c r="AK21" s="318"/>
      <c r="AL21" s="318"/>
      <c r="AM21" s="318"/>
      <c r="AN21" s="318"/>
      <c r="AO21" s="318"/>
      <c r="AP21" s="318"/>
      <c r="AQ21" s="318"/>
      <c r="AR21" s="318"/>
      <c r="AS21" s="318"/>
      <c r="AT21" s="318"/>
      <c r="AU21" s="318"/>
      <c r="AV21" s="318"/>
      <c r="AW21" s="318"/>
      <c r="AX21" s="318"/>
      <c r="AY21" s="318"/>
      <c r="AZ21" s="318"/>
      <c r="BA21" s="318"/>
      <c r="BB21" s="318"/>
      <c r="BC21" s="318"/>
      <c r="BD21" s="318"/>
      <c r="BE21" s="318"/>
      <c r="BF21" s="318"/>
      <c r="BG21" s="318"/>
      <c r="BH21" s="318"/>
      <c r="BI21" s="318"/>
      <c r="BJ21" s="318"/>
      <c r="BK21" s="318"/>
      <c r="BL21" s="318"/>
      <c r="BM21" s="318"/>
      <c r="BN21" s="318"/>
      <c r="BO21" s="318"/>
      <c r="BP21" s="318"/>
      <c r="BQ21" s="318"/>
      <c r="BR21" s="318"/>
      <c r="BS21" s="318"/>
      <c r="BT21" s="318"/>
      <c r="BU21" s="318"/>
      <c r="BV21" s="318"/>
      <c r="BW21" s="318"/>
      <c r="BX21" s="318"/>
      <c r="BY21" s="318"/>
      <c r="BZ21" s="318"/>
      <c r="CA21" s="318"/>
      <c r="CB21" s="318"/>
      <c r="CC21" s="318"/>
      <c r="CD21" s="318"/>
      <c r="CE21" s="318"/>
      <c r="CF21" s="318"/>
      <c r="CG21" s="318"/>
      <c r="CH21" s="318"/>
      <c r="CI21" s="318"/>
      <c r="CJ21" s="318"/>
      <c r="CK21" s="318"/>
      <c r="CL21" s="318"/>
      <c r="CM21" s="318"/>
      <c r="CN21" s="318"/>
      <c r="CO21" s="318"/>
      <c r="CP21" s="318"/>
      <c r="CQ21" s="318"/>
      <c r="CR21" s="318"/>
      <c r="CS21" s="318"/>
      <c r="CT21" s="318"/>
      <c r="CU21" s="318"/>
      <c r="CV21" s="318"/>
      <c r="CW21" s="318"/>
      <c r="CX21" s="318"/>
      <c r="CY21" s="318"/>
      <c r="CZ21" s="318"/>
      <c r="DA21" s="318"/>
      <c r="DB21" s="318"/>
      <c r="DC21" s="318"/>
      <c r="DD21" s="318"/>
      <c r="DE21" s="318"/>
      <c r="DF21" s="318"/>
      <c r="DG21" s="318"/>
      <c r="DH21" s="318"/>
      <c r="DI21" s="318"/>
      <c r="DJ21" s="318"/>
      <c r="DK21" s="318"/>
      <c r="DL21" s="318"/>
      <c r="DM21" s="318"/>
      <c r="DN21" s="318"/>
      <c r="DO21" s="318"/>
      <c r="DP21" s="318"/>
      <c r="DQ21" s="318"/>
      <c r="DR21" s="318"/>
      <c r="DS21" s="318"/>
      <c r="DT21" s="318"/>
      <c r="DU21" s="318"/>
      <c r="DV21" s="318"/>
      <c r="DW21" s="318"/>
      <c r="DX21" s="318"/>
      <c r="DY21" s="318"/>
      <c r="DZ21" s="318"/>
      <c r="EA21" s="318"/>
      <c r="EB21" s="318"/>
      <c r="EC21" s="318"/>
      <c r="ED21" s="318"/>
      <c r="EE21" s="318"/>
      <c r="EF21" s="318"/>
      <c r="EG21" s="318"/>
      <c r="EH21" s="318"/>
      <c r="EI21" s="318"/>
      <c r="EJ21" s="318"/>
      <c r="EK21" s="318"/>
      <c r="EL21" s="318"/>
      <c r="EM21" s="318"/>
      <c r="EN21" s="318"/>
      <c r="EO21" s="318"/>
      <c r="EP21" s="318"/>
      <c r="EQ21" s="318"/>
      <c r="ER21" s="318"/>
      <c r="ES21" s="318"/>
      <c r="ET21" s="318"/>
      <c r="EU21" s="318"/>
      <c r="EV21" s="318"/>
      <c r="EW21" s="318"/>
      <c r="EX21" s="318"/>
      <c r="EY21" s="318"/>
      <c r="EZ21" s="318"/>
      <c r="FA21" s="318"/>
      <c r="FB21" s="318"/>
      <c r="FC21" s="318"/>
      <c r="FD21" s="318"/>
      <c r="FE21" s="318"/>
      <c r="FF21" s="318"/>
      <c r="FG21" s="318"/>
      <c r="FH21" s="318"/>
      <c r="FI21" s="318"/>
      <c r="FJ21" s="318"/>
      <c r="FK21" s="318"/>
      <c r="FL21" s="318"/>
      <c r="FM21" s="318"/>
      <c r="FN21" s="318"/>
      <c r="FO21" s="318"/>
      <c r="FP21" s="318"/>
      <c r="FQ21" s="318"/>
      <c r="FR21" s="318"/>
      <c r="FS21" s="318"/>
      <c r="FT21" s="318"/>
      <c r="FU21" s="318"/>
      <c r="FV21" s="318"/>
      <c r="FW21" s="318"/>
      <c r="FX21" s="318"/>
      <c r="FY21" s="318"/>
      <c r="FZ21" s="318"/>
      <c r="GA21" s="318"/>
      <c r="GB21" s="318"/>
      <c r="GC21" s="318"/>
      <c r="GD21" s="318"/>
      <c r="GE21" s="318"/>
      <c r="GF21" s="318"/>
      <c r="GG21" s="318"/>
      <c r="GH21" s="318"/>
      <c r="GI21" s="318"/>
      <c r="GJ21" s="318"/>
      <c r="GK21" s="318"/>
      <c r="GL21" s="318"/>
      <c r="GM21" s="318"/>
      <c r="GN21" s="318"/>
      <c r="GO21" s="318"/>
      <c r="GP21" s="318"/>
      <c r="GQ21" s="318"/>
      <c r="GR21" s="318"/>
      <c r="GS21" s="318"/>
      <c r="GT21" s="318"/>
      <c r="GU21" s="318"/>
      <c r="GV21" s="318"/>
      <c r="GW21" s="318"/>
      <c r="GX21" s="318"/>
      <c r="GY21" s="318"/>
      <c r="GZ21" s="318"/>
      <c r="HA21" s="318"/>
      <c r="HB21" s="318"/>
      <c r="HC21" s="318"/>
      <c r="HD21" s="318"/>
      <c r="HE21" s="318"/>
      <c r="HF21" s="318"/>
      <c r="HG21" s="318"/>
      <c r="HH21" s="318"/>
      <c r="HI21" s="318"/>
      <c r="HJ21" s="318"/>
      <c r="HK21" s="318"/>
      <c r="HL21" s="318"/>
      <c r="HM21" s="318"/>
      <c r="HN21" s="318"/>
      <c r="HO21" s="318"/>
      <c r="HP21" s="318"/>
      <c r="HQ21" s="318"/>
      <c r="HR21" s="318"/>
      <c r="HS21" s="318"/>
      <c r="HT21" s="318"/>
      <c r="HU21" s="318"/>
      <c r="HV21" s="318"/>
      <c r="HW21" s="318"/>
      <c r="HX21" s="318"/>
      <c r="HY21" s="318"/>
      <c r="HZ21" s="318"/>
      <c r="IA21" s="318"/>
      <c r="IB21" s="318"/>
      <c r="IC21" s="318"/>
    </row>
    <row r="22" spans="1:237" s="260" customFormat="1" ht="15" customHeight="1" x14ac:dyDescent="0.3">
      <c r="A22" s="181">
        <v>7.02</v>
      </c>
      <c r="B22" s="239"/>
      <c r="C22" s="240" t="str">
        <f>VLOOKUP(BD.PD[[#This Row],[Pos]],PPto[],3,FALSE)</f>
        <v>7.02 Cocina, Patio Comidas y Rostizería</v>
      </c>
      <c r="D22" s="181" t="s">
        <v>40</v>
      </c>
      <c r="E22" s="242" t="str">
        <f>IF(BD.PD[[#This Row],[.]]="*",VLOOKUP(BD.PD[[#This Row],[Pos]],Presupuesto!A:H,7,FALSE),"")</f>
        <v/>
      </c>
      <c r="F22" s="303" t="s">
        <v>472</v>
      </c>
      <c r="G22" s="243" t="s">
        <v>308</v>
      </c>
      <c r="H22" s="275"/>
      <c r="I22" s="276">
        <v>2</v>
      </c>
      <c r="J22" s="181" t="s">
        <v>314</v>
      </c>
      <c r="K22" s="245">
        <f>IF(BD.PD[[#This Row],[Mon]]="DOP",1,HLOOKUP(BD.PD[[#This Row],[Mon]],$J$1:$K$2,2,FALSE))</f>
        <v>1</v>
      </c>
      <c r="L22" s="277">
        <v>3000</v>
      </c>
      <c r="M22" s="247">
        <f>BD.PD[[#This Row],[Cant.]]*BD.PD[[#This Row],[ Tasa ]]*BD.PD[[#This Row],[ Precio Und.]]</f>
        <v>6000</v>
      </c>
      <c r="N22" s="278">
        <v>0</v>
      </c>
      <c r="O22" s="247">
        <f>IF(BD.PD[[#This Row],[Liquid. '[%']]]&lt;&gt;0,(BD.PD[[#This Row],[Valor Neto '[DOP']]]*BD.PD[[#This Row],[Liquid. '[%']]])+BD.PD[[#This Row],[Valor Neto '[DOP']]],BD.PD[[#This Row],[Valor Neto '[DOP']]])</f>
        <v>6000</v>
      </c>
      <c r="P22" s="249">
        <f>BD.PD[[#This Row],[Ppto. Orden Interna '[DOP']]]/HLOOKUP("USD",$J$1:$K$2,2,FALSE)</f>
        <v>98.846787479406913</v>
      </c>
      <c r="Q22" s="250" t="s">
        <v>456</v>
      </c>
      <c r="R22" s="424" t="s">
        <v>387</v>
      </c>
      <c r="S22" s="251">
        <v>22</v>
      </c>
      <c r="T22" s="252">
        <v>1</v>
      </c>
      <c r="U22" s="253">
        <f>BD.PD[[#This Row],[Av.P1 '[%']]]*BD.PD[[#This Row],[Ppto. Orden Interna '[DOP']]]</f>
        <v>6000</v>
      </c>
      <c r="V22" s="254"/>
      <c r="W22" s="255"/>
      <c r="X22" s="253">
        <f>BD.PD[[#This Row],[Av.P2 '[%']]]*BD.PD[[#This Row],[Ppto. Orden Interna '[DOP']]]</f>
        <v>0</v>
      </c>
      <c r="Y22" s="254"/>
      <c r="Z22" s="255"/>
      <c r="AA22" s="253">
        <f>BD.PD[[#This Row],[Av.P3 '[%']]]*BD.PD[[#This Row],[Ppto. Orden Interna '[DOP']]]</f>
        <v>0</v>
      </c>
      <c r="AB22" s="254"/>
      <c r="AC22" s="255"/>
      <c r="AD22" s="253">
        <f>BD.PD[[#This Row],[Av.P4 '[%']]]*BD.PD[[#This Row],[Ppto. Orden Interna '[DOP']]]</f>
        <v>0</v>
      </c>
      <c r="AE22" s="254"/>
      <c r="AF22" s="255"/>
      <c r="AG22" s="253">
        <f>BD.PD[[#This Row],[Av.P5 '[%']]]*BD.PD[[#This Row],[Ppto. Orden Interna '[DOP']]]</f>
        <v>0</v>
      </c>
      <c r="AH22" s="256">
        <f>BD.PD[[#This Row],[Pago 5]]+BD.PD[[#This Row],[Pago 4]]+BD.PD[[#This Row],[Pago 3]]+BD.PD[[#This Row],[Pago 2]]+BD.PD[[#This Row],[Pago 1]]</f>
        <v>6000</v>
      </c>
      <c r="AI22" s="318"/>
      <c r="AJ22" s="318"/>
      <c r="AK22" s="318"/>
      <c r="AL22" s="318"/>
      <c r="AM22" s="318"/>
      <c r="AN22" s="318"/>
      <c r="AO22" s="318"/>
      <c r="AP22" s="318"/>
      <c r="AQ22" s="318"/>
      <c r="AR22" s="318"/>
      <c r="AS22" s="318"/>
      <c r="AT22" s="318"/>
      <c r="AU22" s="318"/>
      <c r="AV22" s="318"/>
      <c r="AW22" s="318"/>
      <c r="AX22" s="318"/>
      <c r="AY22" s="318"/>
      <c r="AZ22" s="318"/>
      <c r="BA22" s="318"/>
      <c r="BB22" s="318"/>
      <c r="BC22" s="318"/>
      <c r="BD22" s="318"/>
      <c r="BE22" s="318"/>
      <c r="BF22" s="318"/>
      <c r="BG22" s="318"/>
      <c r="BH22" s="318"/>
      <c r="BI22" s="318"/>
      <c r="BJ22" s="318"/>
      <c r="BK22" s="318"/>
      <c r="BL22" s="318"/>
      <c r="BM22" s="318"/>
      <c r="BN22" s="318"/>
      <c r="BO22" s="318"/>
      <c r="BP22" s="318"/>
      <c r="BQ22" s="318"/>
      <c r="BR22" s="318"/>
      <c r="BS22" s="318"/>
      <c r="BT22" s="318"/>
      <c r="BU22" s="318"/>
      <c r="BV22" s="318"/>
      <c r="BW22" s="318"/>
      <c r="BX22" s="318"/>
      <c r="BY22" s="318"/>
      <c r="BZ22" s="318"/>
      <c r="CA22" s="318"/>
      <c r="CB22" s="318"/>
      <c r="CC22" s="318"/>
      <c r="CD22" s="318"/>
      <c r="CE22" s="318"/>
      <c r="CF22" s="318"/>
      <c r="CG22" s="318"/>
      <c r="CH22" s="318"/>
      <c r="CI22" s="318"/>
      <c r="CJ22" s="318"/>
      <c r="CK22" s="318"/>
      <c r="CL22" s="318"/>
      <c r="CM22" s="318"/>
      <c r="CN22" s="318"/>
      <c r="CO22" s="318"/>
      <c r="CP22" s="318"/>
      <c r="CQ22" s="318"/>
      <c r="CR22" s="318"/>
      <c r="CS22" s="318"/>
      <c r="CT22" s="318"/>
      <c r="CU22" s="318"/>
      <c r="CV22" s="318"/>
      <c r="CW22" s="318"/>
      <c r="CX22" s="318"/>
      <c r="CY22" s="318"/>
      <c r="CZ22" s="318"/>
      <c r="DA22" s="318"/>
      <c r="DB22" s="318"/>
      <c r="DC22" s="318"/>
      <c r="DD22" s="318"/>
      <c r="DE22" s="318"/>
      <c r="DF22" s="318"/>
      <c r="DG22" s="318"/>
      <c r="DH22" s="318"/>
      <c r="DI22" s="318"/>
      <c r="DJ22" s="318"/>
      <c r="DK22" s="318"/>
      <c r="DL22" s="318"/>
      <c r="DM22" s="318"/>
      <c r="DN22" s="318"/>
      <c r="DO22" s="318"/>
      <c r="DP22" s="318"/>
      <c r="DQ22" s="318"/>
      <c r="DR22" s="318"/>
      <c r="DS22" s="318"/>
      <c r="DT22" s="318"/>
      <c r="DU22" s="318"/>
      <c r="DV22" s="318"/>
      <c r="DW22" s="318"/>
      <c r="DX22" s="318"/>
      <c r="DY22" s="318"/>
      <c r="DZ22" s="318"/>
      <c r="EA22" s="318"/>
      <c r="EB22" s="318"/>
      <c r="EC22" s="318"/>
      <c r="ED22" s="318"/>
      <c r="EE22" s="318"/>
      <c r="EF22" s="318"/>
      <c r="EG22" s="318"/>
      <c r="EH22" s="318"/>
      <c r="EI22" s="318"/>
      <c r="EJ22" s="318"/>
      <c r="EK22" s="318"/>
      <c r="EL22" s="318"/>
      <c r="EM22" s="318"/>
      <c r="EN22" s="318"/>
      <c r="EO22" s="318"/>
      <c r="EP22" s="318"/>
      <c r="EQ22" s="318"/>
      <c r="ER22" s="318"/>
      <c r="ES22" s="318"/>
      <c r="ET22" s="318"/>
      <c r="EU22" s="318"/>
      <c r="EV22" s="318"/>
      <c r="EW22" s="318"/>
      <c r="EX22" s="318"/>
      <c r="EY22" s="318"/>
      <c r="EZ22" s="318"/>
      <c r="FA22" s="318"/>
      <c r="FB22" s="318"/>
      <c r="FC22" s="318"/>
      <c r="FD22" s="318"/>
      <c r="FE22" s="318"/>
      <c r="FF22" s="318"/>
      <c r="FG22" s="318"/>
      <c r="FH22" s="318"/>
      <c r="FI22" s="318"/>
      <c r="FJ22" s="318"/>
      <c r="FK22" s="318"/>
      <c r="FL22" s="318"/>
      <c r="FM22" s="318"/>
      <c r="FN22" s="318"/>
      <c r="FO22" s="318"/>
      <c r="FP22" s="318"/>
      <c r="FQ22" s="318"/>
      <c r="FR22" s="318"/>
      <c r="FS22" s="318"/>
      <c r="FT22" s="318"/>
      <c r="FU22" s="318"/>
      <c r="FV22" s="318"/>
      <c r="FW22" s="318"/>
      <c r="FX22" s="318"/>
      <c r="FY22" s="318"/>
      <c r="FZ22" s="318"/>
      <c r="GA22" s="318"/>
      <c r="GB22" s="318"/>
      <c r="GC22" s="318"/>
      <c r="GD22" s="318"/>
      <c r="GE22" s="318"/>
      <c r="GF22" s="318"/>
      <c r="GG22" s="318"/>
      <c r="GH22" s="318"/>
      <c r="GI22" s="318"/>
      <c r="GJ22" s="318"/>
      <c r="GK22" s="318"/>
      <c r="GL22" s="318"/>
      <c r="GM22" s="318"/>
      <c r="GN22" s="318"/>
      <c r="GO22" s="318"/>
      <c r="GP22" s="318"/>
      <c r="GQ22" s="318"/>
      <c r="GR22" s="318"/>
      <c r="GS22" s="318"/>
      <c r="GT22" s="318"/>
      <c r="GU22" s="318"/>
      <c r="GV22" s="318"/>
      <c r="GW22" s="318"/>
      <c r="GX22" s="318"/>
      <c r="GY22" s="318"/>
      <c r="GZ22" s="318"/>
      <c r="HA22" s="318"/>
      <c r="HB22" s="318"/>
      <c r="HC22" s="318"/>
      <c r="HD22" s="318"/>
      <c r="HE22" s="318"/>
      <c r="HF22" s="318"/>
      <c r="HG22" s="318"/>
      <c r="HH22" s="318"/>
      <c r="HI22" s="318"/>
      <c r="HJ22" s="318"/>
      <c r="HK22" s="318"/>
      <c r="HL22" s="318"/>
      <c r="HM22" s="318"/>
      <c r="HN22" s="318"/>
      <c r="HO22" s="318"/>
      <c r="HP22" s="318"/>
      <c r="HQ22" s="318"/>
      <c r="HR22" s="318"/>
      <c r="HS22" s="318"/>
      <c r="HT22" s="318"/>
      <c r="HU22" s="318"/>
      <c r="HV22" s="318"/>
      <c r="HW22" s="318"/>
      <c r="HX22" s="318"/>
      <c r="HY22" s="318"/>
      <c r="HZ22" s="318"/>
      <c r="IA22" s="318"/>
      <c r="IB22" s="318"/>
      <c r="IC22" s="318"/>
    </row>
    <row r="23" spans="1:237" s="260" customFormat="1" ht="15" customHeight="1" x14ac:dyDescent="0.3">
      <c r="A23" s="181">
        <v>7.02</v>
      </c>
      <c r="B23" s="239"/>
      <c r="C23" s="240" t="str">
        <f>VLOOKUP(BD.PD[[#This Row],[Pos]],PPto[],3,FALSE)</f>
        <v>7.02 Cocina, Patio Comidas y Rostizería</v>
      </c>
      <c r="D23" s="181" t="s">
        <v>40</v>
      </c>
      <c r="E23" s="242" t="str">
        <f>IF(BD.PD[[#This Row],[.]]="*",VLOOKUP(BD.PD[[#This Row],[Pos]],Presupuesto!A:H,7,FALSE),"")</f>
        <v/>
      </c>
      <c r="F23" s="303" t="s">
        <v>473</v>
      </c>
      <c r="G23" s="243" t="s">
        <v>308</v>
      </c>
      <c r="H23" s="275"/>
      <c r="I23" s="276">
        <v>3</v>
      </c>
      <c r="J23" s="181" t="s">
        <v>314</v>
      </c>
      <c r="K23" s="245">
        <f>IF(BD.PD[[#This Row],[Mon]]="DOP",1,HLOOKUP(BD.PD[[#This Row],[Mon]],$J$1:$K$2,2,FALSE))</f>
        <v>1</v>
      </c>
      <c r="L23" s="277">
        <v>150</v>
      </c>
      <c r="M23" s="247">
        <f>BD.PD[[#This Row],[Cant.]]*BD.PD[[#This Row],[ Tasa ]]*BD.PD[[#This Row],[ Precio Und.]]</f>
        <v>450</v>
      </c>
      <c r="N23" s="278">
        <v>0</v>
      </c>
      <c r="O23" s="247">
        <f>IF(BD.PD[[#This Row],[Liquid. '[%']]]&lt;&gt;0,(BD.PD[[#This Row],[Valor Neto '[DOP']]]*BD.PD[[#This Row],[Liquid. '[%']]])+BD.PD[[#This Row],[Valor Neto '[DOP']]],BD.PD[[#This Row],[Valor Neto '[DOP']]])</f>
        <v>450</v>
      </c>
      <c r="P23" s="249">
        <f>BD.PD[[#This Row],[Ppto. Orden Interna '[DOP']]]/HLOOKUP("USD",$J$1:$K$2,2,FALSE)</f>
        <v>7.4135090609555183</v>
      </c>
      <c r="Q23" s="250" t="s">
        <v>456</v>
      </c>
      <c r="R23" s="424" t="s">
        <v>387</v>
      </c>
      <c r="S23" s="251">
        <v>22</v>
      </c>
      <c r="T23" s="252">
        <v>1</v>
      </c>
      <c r="U23" s="253">
        <f>BD.PD[[#This Row],[Av.P1 '[%']]]*BD.PD[[#This Row],[Ppto. Orden Interna '[DOP']]]</f>
        <v>450</v>
      </c>
      <c r="V23" s="254"/>
      <c r="W23" s="255"/>
      <c r="X23" s="253">
        <f>BD.PD[[#This Row],[Av.P2 '[%']]]*BD.PD[[#This Row],[Ppto. Orden Interna '[DOP']]]</f>
        <v>0</v>
      </c>
      <c r="Y23" s="254"/>
      <c r="Z23" s="255"/>
      <c r="AA23" s="253">
        <f>BD.PD[[#This Row],[Av.P3 '[%']]]*BD.PD[[#This Row],[Ppto. Orden Interna '[DOP']]]</f>
        <v>0</v>
      </c>
      <c r="AB23" s="254"/>
      <c r="AC23" s="255"/>
      <c r="AD23" s="253">
        <f>BD.PD[[#This Row],[Av.P4 '[%']]]*BD.PD[[#This Row],[Ppto. Orden Interna '[DOP']]]</f>
        <v>0</v>
      </c>
      <c r="AE23" s="254"/>
      <c r="AF23" s="255"/>
      <c r="AG23" s="253">
        <f>BD.PD[[#This Row],[Av.P5 '[%']]]*BD.PD[[#This Row],[Ppto. Orden Interna '[DOP']]]</f>
        <v>0</v>
      </c>
      <c r="AH23" s="256">
        <f>BD.PD[[#This Row],[Pago 5]]+BD.PD[[#This Row],[Pago 4]]+BD.PD[[#This Row],[Pago 3]]+BD.PD[[#This Row],[Pago 2]]+BD.PD[[#This Row],[Pago 1]]</f>
        <v>450</v>
      </c>
      <c r="AI23" s="318"/>
      <c r="AJ23" s="318"/>
      <c r="AK23" s="318"/>
      <c r="AL23" s="318"/>
      <c r="AM23" s="318"/>
      <c r="AN23" s="318"/>
      <c r="AO23" s="318"/>
      <c r="AP23" s="318"/>
      <c r="AQ23" s="318"/>
      <c r="AR23" s="318"/>
      <c r="AS23" s="318"/>
      <c r="AT23" s="318"/>
      <c r="AU23" s="318"/>
      <c r="AV23" s="318"/>
      <c r="AW23" s="318"/>
      <c r="AX23" s="318"/>
      <c r="AY23" s="318"/>
      <c r="AZ23" s="318"/>
      <c r="BA23" s="318"/>
      <c r="BB23" s="318"/>
      <c r="BC23" s="318"/>
      <c r="BD23" s="318"/>
      <c r="BE23" s="318"/>
      <c r="BF23" s="318"/>
      <c r="BG23" s="318"/>
      <c r="BH23" s="318"/>
      <c r="BI23" s="318"/>
      <c r="BJ23" s="318"/>
      <c r="BK23" s="318"/>
      <c r="BL23" s="318"/>
      <c r="BM23" s="318"/>
      <c r="BN23" s="318"/>
      <c r="BO23" s="318"/>
      <c r="BP23" s="318"/>
      <c r="BQ23" s="318"/>
      <c r="BR23" s="318"/>
      <c r="BS23" s="318"/>
      <c r="BT23" s="318"/>
      <c r="BU23" s="318"/>
      <c r="BV23" s="318"/>
      <c r="BW23" s="318"/>
      <c r="BX23" s="318"/>
      <c r="BY23" s="318"/>
      <c r="BZ23" s="318"/>
      <c r="CA23" s="318"/>
      <c r="CB23" s="318"/>
      <c r="CC23" s="318"/>
      <c r="CD23" s="318"/>
      <c r="CE23" s="318"/>
      <c r="CF23" s="318"/>
      <c r="CG23" s="318"/>
      <c r="CH23" s="318"/>
      <c r="CI23" s="318"/>
      <c r="CJ23" s="318"/>
      <c r="CK23" s="318"/>
      <c r="CL23" s="318"/>
      <c r="CM23" s="318"/>
      <c r="CN23" s="318"/>
      <c r="CO23" s="318"/>
      <c r="CP23" s="318"/>
      <c r="CQ23" s="318"/>
      <c r="CR23" s="318"/>
      <c r="CS23" s="318"/>
      <c r="CT23" s="318"/>
      <c r="CU23" s="318"/>
      <c r="CV23" s="318"/>
      <c r="CW23" s="318"/>
      <c r="CX23" s="318"/>
      <c r="CY23" s="318"/>
      <c r="CZ23" s="318"/>
      <c r="DA23" s="318"/>
      <c r="DB23" s="318"/>
      <c r="DC23" s="318"/>
      <c r="DD23" s="318"/>
      <c r="DE23" s="318"/>
      <c r="DF23" s="318"/>
      <c r="DG23" s="318"/>
      <c r="DH23" s="318"/>
      <c r="DI23" s="318"/>
      <c r="DJ23" s="318"/>
      <c r="DK23" s="318"/>
      <c r="DL23" s="318"/>
      <c r="DM23" s="318"/>
      <c r="DN23" s="318"/>
      <c r="DO23" s="318"/>
      <c r="DP23" s="318"/>
      <c r="DQ23" s="318"/>
      <c r="DR23" s="318"/>
      <c r="DS23" s="318"/>
      <c r="DT23" s="318"/>
      <c r="DU23" s="318"/>
      <c r="DV23" s="318"/>
      <c r="DW23" s="318"/>
      <c r="DX23" s="318"/>
      <c r="DY23" s="318"/>
      <c r="DZ23" s="318"/>
      <c r="EA23" s="318"/>
      <c r="EB23" s="318"/>
      <c r="EC23" s="318"/>
      <c r="ED23" s="318"/>
      <c r="EE23" s="318"/>
      <c r="EF23" s="318"/>
      <c r="EG23" s="318"/>
      <c r="EH23" s="318"/>
      <c r="EI23" s="318"/>
      <c r="EJ23" s="318"/>
      <c r="EK23" s="318"/>
      <c r="EL23" s="318"/>
      <c r="EM23" s="318"/>
      <c r="EN23" s="318"/>
      <c r="EO23" s="318"/>
      <c r="EP23" s="318"/>
      <c r="EQ23" s="318"/>
      <c r="ER23" s="318"/>
      <c r="ES23" s="318"/>
      <c r="ET23" s="318"/>
      <c r="EU23" s="318"/>
      <c r="EV23" s="318"/>
      <c r="EW23" s="318"/>
      <c r="EX23" s="318"/>
      <c r="EY23" s="318"/>
      <c r="EZ23" s="318"/>
      <c r="FA23" s="318"/>
      <c r="FB23" s="318"/>
      <c r="FC23" s="318"/>
      <c r="FD23" s="318"/>
      <c r="FE23" s="318"/>
      <c r="FF23" s="318"/>
      <c r="FG23" s="318"/>
      <c r="FH23" s="318"/>
      <c r="FI23" s="318"/>
      <c r="FJ23" s="318"/>
      <c r="FK23" s="318"/>
      <c r="FL23" s="318"/>
      <c r="FM23" s="318"/>
      <c r="FN23" s="318"/>
      <c r="FO23" s="318"/>
      <c r="FP23" s="318"/>
      <c r="FQ23" s="318"/>
      <c r="FR23" s="318"/>
      <c r="FS23" s="318"/>
      <c r="FT23" s="318"/>
      <c r="FU23" s="318"/>
      <c r="FV23" s="318"/>
      <c r="FW23" s="318"/>
      <c r="FX23" s="318"/>
      <c r="FY23" s="318"/>
      <c r="FZ23" s="318"/>
      <c r="GA23" s="318"/>
      <c r="GB23" s="318"/>
      <c r="GC23" s="318"/>
      <c r="GD23" s="318"/>
      <c r="GE23" s="318"/>
      <c r="GF23" s="318"/>
      <c r="GG23" s="318"/>
      <c r="GH23" s="318"/>
      <c r="GI23" s="318"/>
      <c r="GJ23" s="318"/>
      <c r="GK23" s="318"/>
      <c r="GL23" s="318"/>
      <c r="GM23" s="318"/>
      <c r="GN23" s="318"/>
      <c r="GO23" s="318"/>
      <c r="GP23" s="318"/>
      <c r="GQ23" s="318"/>
      <c r="GR23" s="318"/>
      <c r="GS23" s="318"/>
      <c r="GT23" s="318"/>
      <c r="GU23" s="318"/>
      <c r="GV23" s="318"/>
      <c r="GW23" s="318"/>
      <c r="GX23" s="318"/>
      <c r="GY23" s="318"/>
      <c r="GZ23" s="318"/>
      <c r="HA23" s="318"/>
      <c r="HB23" s="318"/>
      <c r="HC23" s="318"/>
      <c r="HD23" s="318"/>
      <c r="HE23" s="318"/>
      <c r="HF23" s="318"/>
      <c r="HG23" s="318"/>
      <c r="HH23" s="318"/>
      <c r="HI23" s="318"/>
      <c r="HJ23" s="318"/>
      <c r="HK23" s="318"/>
      <c r="HL23" s="318"/>
      <c r="HM23" s="318"/>
      <c r="HN23" s="318"/>
      <c r="HO23" s="318"/>
      <c r="HP23" s="318"/>
      <c r="HQ23" s="318"/>
      <c r="HR23" s="318"/>
      <c r="HS23" s="318"/>
      <c r="HT23" s="318"/>
      <c r="HU23" s="318"/>
      <c r="HV23" s="318"/>
      <c r="HW23" s="318"/>
      <c r="HX23" s="318"/>
      <c r="HY23" s="318"/>
      <c r="HZ23" s="318"/>
      <c r="IA23" s="318"/>
      <c r="IB23" s="318"/>
      <c r="IC23" s="318"/>
    </row>
    <row r="24" spans="1:237" s="260" customFormat="1" ht="15" customHeight="1" x14ac:dyDescent="0.3">
      <c r="A24" s="181">
        <v>7.02</v>
      </c>
      <c r="B24" s="239"/>
      <c r="C24" s="240" t="str">
        <f>VLOOKUP(BD.PD[[#This Row],[Pos]],PPto[],3,FALSE)</f>
        <v>7.02 Cocina, Patio Comidas y Rostizería</v>
      </c>
      <c r="D24" s="181" t="s">
        <v>40</v>
      </c>
      <c r="E24" s="242" t="str">
        <f>IF(BD.PD[[#This Row],[.]]="*",VLOOKUP(BD.PD[[#This Row],[Pos]],Presupuesto!A:H,7,FALSE),"")</f>
        <v/>
      </c>
      <c r="F24" s="305" t="s">
        <v>474</v>
      </c>
      <c r="G24" s="243" t="s">
        <v>334</v>
      </c>
      <c r="H24" s="275"/>
      <c r="I24" s="276">
        <v>3</v>
      </c>
      <c r="J24" s="181" t="s">
        <v>314</v>
      </c>
      <c r="K24" s="245">
        <f>IF(BD.PD[[#This Row],[Mon]]="DOP",1,HLOOKUP(BD.PD[[#This Row],[Mon]],$J$1:$K$2,2,FALSE))</f>
        <v>1</v>
      </c>
      <c r="L24" s="277">
        <v>1619.7299999999998</v>
      </c>
      <c r="M24" s="247">
        <f>BD.PD[[#This Row],[Cant.]]*BD.PD[[#This Row],[ Tasa ]]*BD.PD[[#This Row],[ Precio Und.]]</f>
        <v>4859.1899999999996</v>
      </c>
      <c r="N24" s="278">
        <v>0</v>
      </c>
      <c r="O24" s="247">
        <f>IF(BD.PD[[#This Row],[Liquid. '[%']]]&lt;&gt;0,(BD.PD[[#This Row],[Valor Neto '[DOP']]]*BD.PD[[#This Row],[Liquid. '[%']]])+BD.PD[[#This Row],[Valor Neto '[DOP']]],BD.PD[[#This Row],[Valor Neto '[DOP']]])</f>
        <v>4859.1899999999996</v>
      </c>
      <c r="P24" s="249">
        <f>BD.PD[[#This Row],[Ppto. Orden Interna '[DOP']]]/HLOOKUP("USD",$J$1:$K$2,2,FALSE)</f>
        <v>80.052553542009875</v>
      </c>
      <c r="Q24" s="250" t="s">
        <v>456</v>
      </c>
      <c r="R24" s="424" t="s">
        <v>387</v>
      </c>
      <c r="S24" s="251">
        <v>21</v>
      </c>
      <c r="T24" s="252">
        <v>1</v>
      </c>
      <c r="U24" s="253">
        <f>BD.PD[[#This Row],[Av.P1 '[%']]]*BD.PD[[#This Row],[Ppto. Orden Interna '[DOP']]]</f>
        <v>4859.1899999999996</v>
      </c>
      <c r="V24" s="254"/>
      <c r="W24" s="255"/>
      <c r="X24" s="253">
        <f>BD.PD[[#This Row],[Av.P2 '[%']]]*BD.PD[[#This Row],[Ppto. Orden Interna '[DOP']]]</f>
        <v>0</v>
      </c>
      <c r="Y24" s="254"/>
      <c r="Z24" s="255"/>
      <c r="AA24" s="253">
        <f>BD.PD[[#This Row],[Av.P3 '[%']]]*BD.PD[[#This Row],[Ppto. Orden Interna '[DOP']]]</f>
        <v>0</v>
      </c>
      <c r="AB24" s="254"/>
      <c r="AC24" s="255"/>
      <c r="AD24" s="253">
        <f>BD.PD[[#This Row],[Av.P4 '[%']]]*BD.PD[[#This Row],[Ppto. Orden Interna '[DOP']]]</f>
        <v>0</v>
      </c>
      <c r="AE24" s="254"/>
      <c r="AF24" s="255"/>
      <c r="AG24" s="253">
        <f>BD.PD[[#This Row],[Av.P5 '[%']]]*BD.PD[[#This Row],[Ppto. Orden Interna '[DOP']]]</f>
        <v>0</v>
      </c>
      <c r="AH24" s="256">
        <f>BD.PD[[#This Row],[Pago 5]]+BD.PD[[#This Row],[Pago 4]]+BD.PD[[#This Row],[Pago 3]]+BD.PD[[#This Row],[Pago 2]]+BD.PD[[#This Row],[Pago 1]]</f>
        <v>4859.1899999999996</v>
      </c>
      <c r="AI24" s="318"/>
      <c r="AJ24" s="318"/>
      <c r="AK24" s="318"/>
      <c r="AL24" s="318"/>
      <c r="AM24" s="318"/>
      <c r="AN24" s="318"/>
      <c r="AO24" s="318"/>
      <c r="AP24" s="318"/>
      <c r="AQ24" s="318"/>
      <c r="AR24" s="318"/>
      <c r="AS24" s="318"/>
      <c r="AT24" s="318"/>
      <c r="AU24" s="318"/>
      <c r="AV24" s="318"/>
      <c r="AW24" s="318"/>
      <c r="AX24" s="318"/>
      <c r="AY24" s="318"/>
      <c r="AZ24" s="318"/>
      <c r="BA24" s="318"/>
      <c r="BB24" s="318"/>
      <c r="BC24" s="318"/>
      <c r="BD24" s="318"/>
      <c r="BE24" s="318"/>
      <c r="BF24" s="318"/>
      <c r="BG24" s="318"/>
      <c r="BH24" s="318"/>
      <c r="BI24" s="318"/>
      <c r="BJ24" s="318"/>
      <c r="BK24" s="318"/>
      <c r="BL24" s="318"/>
      <c r="BM24" s="318"/>
      <c r="BN24" s="318"/>
      <c r="BO24" s="318"/>
      <c r="BP24" s="318"/>
      <c r="BQ24" s="318"/>
      <c r="BR24" s="318"/>
      <c r="BS24" s="318"/>
      <c r="BT24" s="318"/>
      <c r="BU24" s="318"/>
      <c r="BV24" s="318"/>
      <c r="BW24" s="318"/>
      <c r="BX24" s="318"/>
      <c r="BY24" s="318"/>
      <c r="BZ24" s="318"/>
      <c r="CA24" s="318"/>
      <c r="CB24" s="318"/>
      <c r="CC24" s="318"/>
      <c r="CD24" s="318"/>
      <c r="CE24" s="318"/>
      <c r="CF24" s="318"/>
      <c r="CG24" s="318"/>
      <c r="CH24" s="318"/>
      <c r="CI24" s="318"/>
      <c r="CJ24" s="318"/>
      <c r="CK24" s="318"/>
      <c r="CL24" s="318"/>
      <c r="CM24" s="318"/>
      <c r="CN24" s="318"/>
      <c r="CO24" s="318"/>
      <c r="CP24" s="318"/>
      <c r="CQ24" s="318"/>
      <c r="CR24" s="318"/>
      <c r="CS24" s="318"/>
      <c r="CT24" s="318"/>
      <c r="CU24" s="318"/>
      <c r="CV24" s="318"/>
      <c r="CW24" s="318"/>
      <c r="CX24" s="318"/>
      <c r="CY24" s="318"/>
      <c r="CZ24" s="318"/>
      <c r="DA24" s="318"/>
      <c r="DB24" s="318"/>
      <c r="DC24" s="318"/>
      <c r="DD24" s="318"/>
      <c r="DE24" s="318"/>
      <c r="DF24" s="318"/>
      <c r="DG24" s="318"/>
      <c r="DH24" s="318"/>
      <c r="DI24" s="318"/>
      <c r="DJ24" s="318"/>
      <c r="DK24" s="318"/>
      <c r="DL24" s="318"/>
      <c r="DM24" s="318"/>
      <c r="DN24" s="318"/>
      <c r="DO24" s="318"/>
      <c r="DP24" s="318"/>
      <c r="DQ24" s="318"/>
      <c r="DR24" s="318"/>
      <c r="DS24" s="318"/>
      <c r="DT24" s="318"/>
      <c r="DU24" s="318"/>
      <c r="DV24" s="318"/>
      <c r="DW24" s="318"/>
      <c r="DX24" s="318"/>
      <c r="DY24" s="318"/>
      <c r="DZ24" s="318"/>
      <c r="EA24" s="318"/>
      <c r="EB24" s="318"/>
      <c r="EC24" s="318"/>
      <c r="ED24" s="318"/>
      <c r="EE24" s="318"/>
      <c r="EF24" s="318"/>
      <c r="EG24" s="318"/>
      <c r="EH24" s="318"/>
      <c r="EI24" s="318"/>
      <c r="EJ24" s="318"/>
      <c r="EK24" s="318"/>
      <c r="EL24" s="318"/>
      <c r="EM24" s="318"/>
      <c r="EN24" s="318"/>
      <c r="EO24" s="318"/>
      <c r="EP24" s="318"/>
      <c r="EQ24" s="318"/>
      <c r="ER24" s="318"/>
      <c r="ES24" s="318"/>
      <c r="ET24" s="318"/>
      <c r="EU24" s="318"/>
      <c r="EV24" s="318"/>
      <c r="EW24" s="318"/>
      <c r="EX24" s="318"/>
      <c r="EY24" s="318"/>
      <c r="EZ24" s="318"/>
      <c r="FA24" s="318"/>
      <c r="FB24" s="318"/>
      <c r="FC24" s="318"/>
      <c r="FD24" s="318"/>
      <c r="FE24" s="318"/>
      <c r="FF24" s="318"/>
      <c r="FG24" s="318"/>
      <c r="FH24" s="318"/>
      <c r="FI24" s="318"/>
      <c r="FJ24" s="318"/>
      <c r="FK24" s="318"/>
      <c r="FL24" s="318"/>
      <c r="FM24" s="318"/>
      <c r="FN24" s="318"/>
      <c r="FO24" s="318"/>
      <c r="FP24" s="318"/>
      <c r="FQ24" s="318"/>
      <c r="FR24" s="318"/>
      <c r="FS24" s="318"/>
      <c r="FT24" s="318"/>
      <c r="FU24" s="318"/>
      <c r="FV24" s="318"/>
      <c r="FW24" s="318"/>
      <c r="FX24" s="318"/>
      <c r="FY24" s="318"/>
      <c r="FZ24" s="318"/>
      <c r="GA24" s="318"/>
      <c r="GB24" s="318"/>
      <c r="GC24" s="318"/>
      <c r="GD24" s="318"/>
      <c r="GE24" s="318"/>
      <c r="GF24" s="318"/>
      <c r="GG24" s="318"/>
      <c r="GH24" s="318"/>
      <c r="GI24" s="318"/>
      <c r="GJ24" s="318"/>
      <c r="GK24" s="318"/>
      <c r="GL24" s="318"/>
      <c r="GM24" s="318"/>
      <c r="GN24" s="318"/>
      <c r="GO24" s="318"/>
      <c r="GP24" s="318"/>
      <c r="GQ24" s="318"/>
      <c r="GR24" s="318"/>
      <c r="GS24" s="318"/>
      <c r="GT24" s="318"/>
      <c r="GU24" s="318"/>
      <c r="GV24" s="318"/>
      <c r="GW24" s="318"/>
      <c r="GX24" s="318"/>
      <c r="GY24" s="318"/>
      <c r="GZ24" s="318"/>
      <c r="HA24" s="318"/>
      <c r="HB24" s="318"/>
      <c r="HC24" s="318"/>
      <c r="HD24" s="318"/>
      <c r="HE24" s="318"/>
      <c r="HF24" s="318"/>
      <c r="HG24" s="318"/>
      <c r="HH24" s="318"/>
      <c r="HI24" s="318"/>
      <c r="HJ24" s="318"/>
      <c r="HK24" s="318"/>
      <c r="HL24" s="318"/>
      <c r="HM24" s="318"/>
      <c r="HN24" s="318"/>
      <c r="HO24" s="318"/>
      <c r="HP24" s="318"/>
      <c r="HQ24" s="318"/>
      <c r="HR24" s="318"/>
      <c r="HS24" s="318"/>
      <c r="HT24" s="318"/>
      <c r="HU24" s="318"/>
      <c r="HV24" s="318"/>
      <c r="HW24" s="318"/>
      <c r="HX24" s="318"/>
      <c r="HY24" s="318"/>
      <c r="HZ24" s="318"/>
      <c r="IA24" s="318"/>
      <c r="IB24" s="318"/>
      <c r="IC24" s="318"/>
    </row>
    <row r="25" spans="1:237" s="260" customFormat="1" ht="15" customHeight="1" x14ac:dyDescent="0.3">
      <c r="A25" s="181">
        <v>7.02</v>
      </c>
      <c r="B25" s="239"/>
      <c r="C25" s="240" t="str">
        <f>VLOOKUP(BD.PD[[#This Row],[Pos]],PPto[],3,FALSE)</f>
        <v>7.02 Cocina, Patio Comidas y Rostizería</v>
      </c>
      <c r="D25" s="181" t="s">
        <v>40</v>
      </c>
      <c r="E25" s="242" t="str">
        <f>IF(BD.PD[[#This Row],[.]]="*",VLOOKUP(BD.PD[[#This Row],[Pos]],Presupuesto!A:H,7,FALSE),"")</f>
        <v/>
      </c>
      <c r="F25" s="305" t="s">
        <v>475</v>
      </c>
      <c r="G25" s="243" t="s">
        <v>308</v>
      </c>
      <c r="H25" s="275"/>
      <c r="I25" s="276">
        <v>1</v>
      </c>
      <c r="J25" s="181" t="s">
        <v>314</v>
      </c>
      <c r="K25" s="245">
        <f>IF(BD.PD[[#This Row],[Mon]]="DOP",1,HLOOKUP(BD.PD[[#This Row],[Mon]],$J$1:$K$2,2,FALSE))</f>
        <v>1</v>
      </c>
      <c r="L25" s="277">
        <v>16413.669999999998</v>
      </c>
      <c r="M25" s="247">
        <f>BD.PD[[#This Row],[Cant.]]*BD.PD[[#This Row],[ Tasa ]]*BD.PD[[#This Row],[ Precio Und.]]</f>
        <v>16413.669999999998</v>
      </c>
      <c r="N25" s="278">
        <v>0</v>
      </c>
      <c r="O25" s="247">
        <f>IF(BD.PD[[#This Row],[Liquid. '[%']]]&lt;&gt;0,(BD.PD[[#This Row],[Valor Neto '[DOP']]]*BD.PD[[#This Row],[Liquid. '[%']]])+BD.PD[[#This Row],[Valor Neto '[DOP']]],BD.PD[[#This Row],[Valor Neto '[DOP']]])</f>
        <v>16413.669999999998</v>
      </c>
      <c r="P25" s="249">
        <f>BD.PD[[#This Row],[Ppto. Orden Interna '[DOP']]]/HLOOKUP("USD",$J$1:$K$2,2,FALSE)</f>
        <v>270.40642504118614</v>
      </c>
      <c r="Q25" s="250" t="s">
        <v>456</v>
      </c>
      <c r="R25" s="424" t="s">
        <v>387</v>
      </c>
      <c r="S25" s="251">
        <v>22</v>
      </c>
      <c r="T25" s="252">
        <v>1</v>
      </c>
      <c r="U25" s="253">
        <f>BD.PD[[#This Row],[Av.P1 '[%']]]*BD.PD[[#This Row],[Ppto. Orden Interna '[DOP']]]</f>
        <v>16413.669999999998</v>
      </c>
      <c r="V25" s="254"/>
      <c r="W25" s="255"/>
      <c r="X25" s="253">
        <f>BD.PD[[#This Row],[Av.P2 '[%']]]*BD.PD[[#This Row],[Ppto. Orden Interna '[DOP']]]</f>
        <v>0</v>
      </c>
      <c r="Y25" s="254"/>
      <c r="Z25" s="255"/>
      <c r="AA25" s="253">
        <f>BD.PD[[#This Row],[Av.P3 '[%']]]*BD.PD[[#This Row],[Ppto. Orden Interna '[DOP']]]</f>
        <v>0</v>
      </c>
      <c r="AB25" s="254"/>
      <c r="AC25" s="255"/>
      <c r="AD25" s="253">
        <f>BD.PD[[#This Row],[Av.P4 '[%']]]*BD.PD[[#This Row],[Ppto. Orden Interna '[DOP']]]</f>
        <v>0</v>
      </c>
      <c r="AE25" s="254"/>
      <c r="AF25" s="255"/>
      <c r="AG25" s="253">
        <f>BD.PD[[#This Row],[Av.P5 '[%']]]*BD.PD[[#This Row],[Ppto. Orden Interna '[DOP']]]</f>
        <v>0</v>
      </c>
      <c r="AH25" s="256">
        <f>BD.PD[[#This Row],[Pago 5]]+BD.PD[[#This Row],[Pago 4]]+BD.PD[[#This Row],[Pago 3]]+BD.PD[[#This Row],[Pago 2]]+BD.PD[[#This Row],[Pago 1]]</f>
        <v>16413.669999999998</v>
      </c>
      <c r="AI25" s="318"/>
      <c r="AJ25" s="318"/>
      <c r="AK25" s="318"/>
      <c r="AL25" s="318"/>
      <c r="AM25" s="318"/>
      <c r="AN25" s="318"/>
      <c r="AO25" s="318"/>
      <c r="AP25" s="318"/>
      <c r="AQ25" s="318"/>
      <c r="AR25" s="318"/>
      <c r="AS25" s="318"/>
      <c r="AT25" s="318"/>
      <c r="AU25" s="318"/>
      <c r="AV25" s="318"/>
      <c r="AW25" s="318"/>
      <c r="AX25" s="318"/>
      <c r="AY25" s="318"/>
      <c r="AZ25" s="318"/>
      <c r="BA25" s="318"/>
      <c r="BB25" s="318"/>
      <c r="BC25" s="318"/>
      <c r="BD25" s="318"/>
      <c r="BE25" s="318"/>
      <c r="BF25" s="318"/>
      <c r="BG25" s="318"/>
      <c r="BH25" s="318"/>
      <c r="BI25" s="318"/>
      <c r="BJ25" s="318"/>
      <c r="BK25" s="318"/>
      <c r="BL25" s="318"/>
      <c r="BM25" s="318"/>
      <c r="BN25" s="318"/>
      <c r="BO25" s="318"/>
      <c r="BP25" s="318"/>
      <c r="BQ25" s="318"/>
      <c r="BR25" s="318"/>
      <c r="BS25" s="318"/>
      <c r="BT25" s="318"/>
      <c r="BU25" s="318"/>
      <c r="BV25" s="318"/>
      <c r="BW25" s="318"/>
      <c r="BX25" s="318"/>
      <c r="BY25" s="318"/>
      <c r="BZ25" s="318"/>
      <c r="CA25" s="318"/>
      <c r="CB25" s="318"/>
      <c r="CC25" s="318"/>
      <c r="CD25" s="318"/>
      <c r="CE25" s="318"/>
      <c r="CF25" s="318"/>
      <c r="CG25" s="318"/>
      <c r="CH25" s="318"/>
      <c r="CI25" s="318"/>
      <c r="CJ25" s="318"/>
      <c r="CK25" s="318"/>
      <c r="CL25" s="318"/>
      <c r="CM25" s="318"/>
      <c r="CN25" s="318"/>
      <c r="CO25" s="318"/>
      <c r="CP25" s="318"/>
      <c r="CQ25" s="318"/>
      <c r="CR25" s="318"/>
      <c r="CS25" s="318"/>
      <c r="CT25" s="318"/>
      <c r="CU25" s="318"/>
      <c r="CV25" s="318"/>
      <c r="CW25" s="318"/>
      <c r="CX25" s="318"/>
      <c r="CY25" s="318"/>
      <c r="CZ25" s="318"/>
      <c r="DA25" s="318"/>
      <c r="DB25" s="318"/>
      <c r="DC25" s="318"/>
      <c r="DD25" s="318"/>
      <c r="DE25" s="318"/>
      <c r="DF25" s="318"/>
      <c r="DG25" s="318"/>
      <c r="DH25" s="318"/>
      <c r="DI25" s="318"/>
      <c r="DJ25" s="318"/>
      <c r="DK25" s="318"/>
      <c r="DL25" s="318"/>
      <c r="DM25" s="318"/>
      <c r="DN25" s="318"/>
      <c r="DO25" s="318"/>
      <c r="DP25" s="318"/>
      <c r="DQ25" s="318"/>
      <c r="DR25" s="318"/>
      <c r="DS25" s="318"/>
      <c r="DT25" s="318"/>
      <c r="DU25" s="318"/>
      <c r="DV25" s="318"/>
      <c r="DW25" s="318"/>
      <c r="DX25" s="318"/>
      <c r="DY25" s="318"/>
      <c r="DZ25" s="318"/>
      <c r="EA25" s="318"/>
      <c r="EB25" s="318"/>
      <c r="EC25" s="318"/>
      <c r="ED25" s="318"/>
      <c r="EE25" s="318"/>
      <c r="EF25" s="318"/>
      <c r="EG25" s="318"/>
      <c r="EH25" s="318"/>
      <c r="EI25" s="318"/>
      <c r="EJ25" s="318"/>
      <c r="EK25" s="318"/>
      <c r="EL25" s="318"/>
      <c r="EM25" s="318"/>
      <c r="EN25" s="318"/>
      <c r="EO25" s="318"/>
      <c r="EP25" s="318"/>
      <c r="EQ25" s="318"/>
      <c r="ER25" s="318"/>
      <c r="ES25" s="318"/>
      <c r="ET25" s="318"/>
      <c r="EU25" s="318"/>
      <c r="EV25" s="318"/>
      <c r="EW25" s="318"/>
      <c r="EX25" s="318"/>
      <c r="EY25" s="318"/>
      <c r="EZ25" s="318"/>
      <c r="FA25" s="318"/>
      <c r="FB25" s="318"/>
      <c r="FC25" s="318"/>
      <c r="FD25" s="318"/>
      <c r="FE25" s="318"/>
      <c r="FF25" s="318"/>
      <c r="FG25" s="318"/>
      <c r="FH25" s="318"/>
      <c r="FI25" s="318"/>
      <c r="FJ25" s="318"/>
      <c r="FK25" s="318"/>
      <c r="FL25" s="318"/>
      <c r="FM25" s="318"/>
      <c r="FN25" s="318"/>
      <c r="FO25" s="318"/>
      <c r="FP25" s="318"/>
      <c r="FQ25" s="318"/>
      <c r="FR25" s="318"/>
      <c r="FS25" s="318"/>
      <c r="FT25" s="318"/>
      <c r="FU25" s="318"/>
      <c r="FV25" s="318"/>
      <c r="FW25" s="318"/>
      <c r="FX25" s="318"/>
      <c r="FY25" s="318"/>
      <c r="FZ25" s="318"/>
      <c r="GA25" s="318"/>
      <c r="GB25" s="318"/>
      <c r="GC25" s="318"/>
      <c r="GD25" s="318"/>
      <c r="GE25" s="318"/>
      <c r="GF25" s="318"/>
      <c r="GG25" s="318"/>
      <c r="GH25" s="318"/>
      <c r="GI25" s="318"/>
      <c r="GJ25" s="318"/>
      <c r="GK25" s="318"/>
      <c r="GL25" s="318"/>
      <c r="GM25" s="318"/>
      <c r="GN25" s="318"/>
      <c r="GO25" s="318"/>
      <c r="GP25" s="318"/>
      <c r="GQ25" s="318"/>
      <c r="GR25" s="318"/>
      <c r="GS25" s="318"/>
      <c r="GT25" s="318"/>
      <c r="GU25" s="318"/>
      <c r="GV25" s="318"/>
      <c r="GW25" s="318"/>
      <c r="GX25" s="318"/>
      <c r="GY25" s="318"/>
      <c r="GZ25" s="318"/>
      <c r="HA25" s="318"/>
      <c r="HB25" s="318"/>
      <c r="HC25" s="318"/>
      <c r="HD25" s="318"/>
      <c r="HE25" s="318"/>
      <c r="HF25" s="318"/>
      <c r="HG25" s="318"/>
      <c r="HH25" s="318"/>
      <c r="HI25" s="318"/>
      <c r="HJ25" s="318"/>
      <c r="HK25" s="318"/>
      <c r="HL25" s="318"/>
      <c r="HM25" s="318"/>
      <c r="HN25" s="318"/>
      <c r="HO25" s="318"/>
      <c r="HP25" s="318"/>
      <c r="HQ25" s="318"/>
      <c r="HR25" s="318"/>
      <c r="HS25" s="318"/>
      <c r="HT25" s="318"/>
      <c r="HU25" s="318"/>
      <c r="HV25" s="318"/>
      <c r="HW25" s="318"/>
      <c r="HX25" s="318"/>
      <c r="HY25" s="318"/>
      <c r="HZ25" s="318"/>
      <c r="IA25" s="318"/>
      <c r="IB25" s="318"/>
      <c r="IC25" s="318"/>
    </row>
    <row r="26" spans="1:237" s="260" customFormat="1" ht="15" customHeight="1" x14ac:dyDescent="0.3">
      <c r="A26" s="181">
        <v>7.02</v>
      </c>
      <c r="B26" s="239"/>
      <c r="C26" s="240" t="str">
        <f>VLOOKUP(BD.PD[[#This Row],[Pos]],PPto[],3,FALSE)</f>
        <v>7.02 Cocina, Patio Comidas y Rostizería</v>
      </c>
      <c r="D26" s="181" t="s">
        <v>40</v>
      </c>
      <c r="E26" s="242" t="str">
        <f>IF(BD.PD[[#This Row],[.]]="*",VLOOKUP(BD.PD[[#This Row],[Pos]],Presupuesto!A:H,7,FALSE),"")</f>
        <v/>
      </c>
      <c r="F26" s="305" t="s">
        <v>476</v>
      </c>
      <c r="G26" s="243" t="s">
        <v>334</v>
      </c>
      <c r="H26" s="275"/>
      <c r="I26" s="276">
        <v>3</v>
      </c>
      <c r="J26" s="181" t="s">
        <v>314</v>
      </c>
      <c r="K26" s="245">
        <f>IF(BD.PD[[#This Row],[Mon]]="DOP",1,HLOOKUP(BD.PD[[#This Row],[Mon]],$J$1:$K$2,2,FALSE))</f>
        <v>1</v>
      </c>
      <c r="L26" s="277">
        <v>5263.8133333333335</v>
      </c>
      <c r="M26" s="247">
        <f>BD.PD[[#This Row],[Cant.]]*BD.PD[[#This Row],[ Tasa ]]*BD.PD[[#This Row],[ Precio Und.]]</f>
        <v>15791.44</v>
      </c>
      <c r="N26" s="278">
        <v>0</v>
      </c>
      <c r="O26" s="247">
        <f>IF(BD.PD[[#This Row],[Liquid. '[%']]]&lt;&gt;0,(BD.PD[[#This Row],[Valor Neto '[DOP']]]*BD.PD[[#This Row],[Liquid. '[%']]])+BD.PD[[#This Row],[Valor Neto '[DOP']]],BD.PD[[#This Row],[Valor Neto '[DOP']]])</f>
        <v>15791.44</v>
      </c>
      <c r="P26" s="249">
        <f>BD.PD[[#This Row],[Ppto. Orden Interna '[DOP']]]/HLOOKUP("USD",$J$1:$K$2,2,FALSE)</f>
        <v>260.15551894563424</v>
      </c>
      <c r="Q26" s="250" t="s">
        <v>456</v>
      </c>
      <c r="R26" s="424" t="s">
        <v>387</v>
      </c>
      <c r="S26" s="251">
        <v>21</v>
      </c>
      <c r="T26" s="252">
        <v>1</v>
      </c>
      <c r="U26" s="253">
        <f>BD.PD[[#This Row],[Av.P1 '[%']]]*BD.PD[[#This Row],[Ppto. Orden Interna '[DOP']]]</f>
        <v>15791.44</v>
      </c>
      <c r="V26" s="254"/>
      <c r="W26" s="255"/>
      <c r="X26" s="253">
        <f>BD.PD[[#This Row],[Av.P2 '[%']]]*BD.PD[[#This Row],[Ppto. Orden Interna '[DOP']]]</f>
        <v>0</v>
      </c>
      <c r="Y26" s="254"/>
      <c r="Z26" s="255"/>
      <c r="AA26" s="253">
        <f>BD.PD[[#This Row],[Av.P3 '[%']]]*BD.PD[[#This Row],[Ppto. Orden Interna '[DOP']]]</f>
        <v>0</v>
      </c>
      <c r="AB26" s="254"/>
      <c r="AC26" s="255"/>
      <c r="AD26" s="253">
        <f>BD.PD[[#This Row],[Av.P4 '[%']]]*BD.PD[[#This Row],[Ppto. Orden Interna '[DOP']]]</f>
        <v>0</v>
      </c>
      <c r="AE26" s="254"/>
      <c r="AF26" s="255"/>
      <c r="AG26" s="253">
        <f>BD.PD[[#This Row],[Av.P5 '[%']]]*BD.PD[[#This Row],[Ppto. Orden Interna '[DOP']]]</f>
        <v>0</v>
      </c>
      <c r="AH26" s="256">
        <f>BD.PD[[#This Row],[Pago 5]]+BD.PD[[#This Row],[Pago 4]]+BD.PD[[#This Row],[Pago 3]]+BD.PD[[#This Row],[Pago 2]]+BD.PD[[#This Row],[Pago 1]]</f>
        <v>15791.44</v>
      </c>
      <c r="AI26" s="318"/>
      <c r="AJ26" s="318"/>
      <c r="AK26" s="318"/>
      <c r="AL26" s="318"/>
      <c r="AM26" s="318"/>
      <c r="AN26" s="318"/>
      <c r="AO26" s="318"/>
      <c r="AP26" s="318"/>
      <c r="AQ26" s="318"/>
      <c r="AR26" s="318"/>
      <c r="AS26" s="318"/>
      <c r="AT26" s="318"/>
      <c r="AU26" s="318"/>
      <c r="AV26" s="318"/>
      <c r="AW26" s="318"/>
      <c r="AX26" s="318"/>
      <c r="AY26" s="318"/>
      <c r="AZ26" s="318"/>
      <c r="BA26" s="318"/>
      <c r="BB26" s="318"/>
      <c r="BC26" s="318"/>
      <c r="BD26" s="318"/>
      <c r="BE26" s="318"/>
      <c r="BF26" s="318"/>
      <c r="BG26" s="318"/>
      <c r="BH26" s="318"/>
      <c r="BI26" s="318"/>
      <c r="BJ26" s="318"/>
      <c r="BK26" s="318"/>
      <c r="BL26" s="318"/>
      <c r="BM26" s="318"/>
      <c r="BN26" s="318"/>
      <c r="BO26" s="318"/>
      <c r="BP26" s="318"/>
      <c r="BQ26" s="318"/>
      <c r="BR26" s="318"/>
      <c r="BS26" s="318"/>
      <c r="BT26" s="318"/>
      <c r="BU26" s="318"/>
      <c r="BV26" s="318"/>
      <c r="BW26" s="318"/>
      <c r="BX26" s="318"/>
      <c r="BY26" s="318"/>
      <c r="BZ26" s="318"/>
      <c r="CA26" s="318"/>
      <c r="CB26" s="318"/>
      <c r="CC26" s="318"/>
      <c r="CD26" s="318"/>
      <c r="CE26" s="318"/>
      <c r="CF26" s="318"/>
      <c r="CG26" s="318"/>
      <c r="CH26" s="318"/>
      <c r="CI26" s="318"/>
      <c r="CJ26" s="318"/>
      <c r="CK26" s="318"/>
      <c r="CL26" s="318"/>
      <c r="CM26" s="318"/>
      <c r="CN26" s="318"/>
      <c r="CO26" s="318"/>
      <c r="CP26" s="318"/>
      <c r="CQ26" s="318"/>
      <c r="CR26" s="318"/>
      <c r="CS26" s="318"/>
      <c r="CT26" s="318"/>
      <c r="CU26" s="318"/>
      <c r="CV26" s="318"/>
      <c r="CW26" s="318"/>
      <c r="CX26" s="318"/>
      <c r="CY26" s="318"/>
      <c r="CZ26" s="318"/>
      <c r="DA26" s="318"/>
      <c r="DB26" s="318"/>
      <c r="DC26" s="318"/>
      <c r="DD26" s="318"/>
      <c r="DE26" s="318"/>
      <c r="DF26" s="318"/>
      <c r="DG26" s="318"/>
      <c r="DH26" s="318"/>
      <c r="DI26" s="318"/>
      <c r="DJ26" s="318"/>
      <c r="DK26" s="318"/>
      <c r="DL26" s="318"/>
      <c r="DM26" s="318"/>
      <c r="DN26" s="318"/>
      <c r="DO26" s="318"/>
      <c r="DP26" s="318"/>
      <c r="DQ26" s="318"/>
      <c r="DR26" s="318"/>
      <c r="DS26" s="318"/>
      <c r="DT26" s="318"/>
      <c r="DU26" s="318"/>
      <c r="DV26" s="318"/>
      <c r="DW26" s="318"/>
      <c r="DX26" s="318"/>
      <c r="DY26" s="318"/>
      <c r="DZ26" s="318"/>
      <c r="EA26" s="318"/>
      <c r="EB26" s="318"/>
      <c r="EC26" s="318"/>
      <c r="ED26" s="318"/>
      <c r="EE26" s="318"/>
      <c r="EF26" s="318"/>
      <c r="EG26" s="318"/>
      <c r="EH26" s="318"/>
      <c r="EI26" s="318"/>
      <c r="EJ26" s="318"/>
      <c r="EK26" s="318"/>
      <c r="EL26" s="318"/>
      <c r="EM26" s="318"/>
      <c r="EN26" s="318"/>
      <c r="EO26" s="318"/>
      <c r="EP26" s="318"/>
      <c r="EQ26" s="318"/>
      <c r="ER26" s="318"/>
      <c r="ES26" s="318"/>
      <c r="ET26" s="318"/>
      <c r="EU26" s="318"/>
      <c r="EV26" s="318"/>
      <c r="EW26" s="318"/>
      <c r="EX26" s="318"/>
      <c r="EY26" s="318"/>
      <c r="EZ26" s="318"/>
      <c r="FA26" s="318"/>
      <c r="FB26" s="318"/>
      <c r="FC26" s="318"/>
      <c r="FD26" s="318"/>
      <c r="FE26" s="318"/>
      <c r="FF26" s="318"/>
      <c r="FG26" s="318"/>
      <c r="FH26" s="318"/>
      <c r="FI26" s="318"/>
      <c r="FJ26" s="318"/>
      <c r="FK26" s="318"/>
      <c r="FL26" s="318"/>
      <c r="FM26" s="318"/>
      <c r="FN26" s="318"/>
      <c r="FO26" s="318"/>
      <c r="FP26" s="318"/>
      <c r="FQ26" s="318"/>
      <c r="FR26" s="318"/>
      <c r="FS26" s="318"/>
      <c r="FT26" s="318"/>
      <c r="FU26" s="318"/>
      <c r="FV26" s="318"/>
      <c r="FW26" s="318"/>
      <c r="FX26" s="318"/>
      <c r="FY26" s="318"/>
      <c r="FZ26" s="318"/>
      <c r="GA26" s="318"/>
      <c r="GB26" s="318"/>
      <c r="GC26" s="318"/>
      <c r="GD26" s="318"/>
      <c r="GE26" s="318"/>
      <c r="GF26" s="318"/>
      <c r="GG26" s="318"/>
      <c r="GH26" s="318"/>
      <c r="GI26" s="318"/>
      <c r="GJ26" s="318"/>
      <c r="GK26" s="318"/>
      <c r="GL26" s="318"/>
      <c r="GM26" s="318"/>
      <c r="GN26" s="318"/>
      <c r="GO26" s="318"/>
      <c r="GP26" s="318"/>
      <c r="GQ26" s="318"/>
      <c r="GR26" s="318"/>
      <c r="GS26" s="318"/>
      <c r="GT26" s="318"/>
      <c r="GU26" s="318"/>
      <c r="GV26" s="318"/>
      <c r="GW26" s="318"/>
      <c r="GX26" s="318"/>
      <c r="GY26" s="318"/>
      <c r="GZ26" s="318"/>
      <c r="HA26" s="318"/>
      <c r="HB26" s="318"/>
      <c r="HC26" s="318"/>
      <c r="HD26" s="318"/>
      <c r="HE26" s="318"/>
      <c r="HF26" s="318"/>
      <c r="HG26" s="318"/>
      <c r="HH26" s="318"/>
      <c r="HI26" s="318"/>
      <c r="HJ26" s="318"/>
      <c r="HK26" s="318"/>
      <c r="HL26" s="318"/>
      <c r="HM26" s="318"/>
      <c r="HN26" s="318"/>
      <c r="HO26" s="318"/>
      <c r="HP26" s="318"/>
      <c r="HQ26" s="318"/>
      <c r="HR26" s="318"/>
      <c r="HS26" s="318"/>
      <c r="HT26" s="318"/>
      <c r="HU26" s="318"/>
      <c r="HV26" s="318"/>
      <c r="HW26" s="318"/>
      <c r="HX26" s="318"/>
      <c r="HY26" s="318"/>
      <c r="HZ26" s="318"/>
      <c r="IA26" s="318"/>
      <c r="IB26" s="318"/>
      <c r="IC26" s="318"/>
    </row>
    <row r="27" spans="1:237" s="260" customFormat="1" ht="15" customHeight="1" x14ac:dyDescent="0.3">
      <c r="A27" s="181">
        <v>7.02</v>
      </c>
      <c r="B27" s="239"/>
      <c r="C27" s="240" t="str">
        <f>VLOOKUP(BD.PD[[#This Row],[Pos]],PPto[],3,FALSE)</f>
        <v>7.02 Cocina, Patio Comidas y Rostizería</v>
      </c>
      <c r="D27" s="181" t="s">
        <v>40</v>
      </c>
      <c r="E27" s="242" t="str">
        <f>IF(BD.PD[[#This Row],[.]]="*",VLOOKUP(BD.PD[[#This Row],[Pos]],Presupuesto!A:H,7,FALSE),"")</f>
        <v/>
      </c>
      <c r="F27" s="305" t="s">
        <v>477</v>
      </c>
      <c r="G27" s="243" t="s">
        <v>308</v>
      </c>
      <c r="H27" s="275"/>
      <c r="I27" s="276">
        <v>60</v>
      </c>
      <c r="J27" s="181" t="s">
        <v>314</v>
      </c>
      <c r="K27" s="245">
        <f>IF(BD.PD[[#This Row],[Mon]]="DOP",1,HLOOKUP(BD.PD[[#This Row],[Mon]],$J$1:$K$2,2,FALSE))</f>
        <v>1</v>
      </c>
      <c r="L27" s="277">
        <v>1171.6785000000002</v>
      </c>
      <c r="M27" s="247">
        <f>BD.PD[[#This Row],[Cant.]]*BD.PD[[#This Row],[ Tasa ]]*BD.PD[[#This Row],[ Precio Und.]]</f>
        <v>70300.710000000006</v>
      </c>
      <c r="N27" s="278">
        <v>0</v>
      </c>
      <c r="O27" s="247">
        <f>IF(BD.PD[[#This Row],[Liquid. '[%']]]&lt;&gt;0,(BD.PD[[#This Row],[Valor Neto '[DOP']]]*BD.PD[[#This Row],[Liquid. '[%']]])+BD.PD[[#This Row],[Valor Neto '[DOP']]],BD.PD[[#This Row],[Valor Neto '[DOP']]])</f>
        <v>70300.710000000006</v>
      </c>
      <c r="P27" s="249">
        <f>BD.PD[[#This Row],[Ppto. Orden Interna '[DOP']]]/HLOOKUP("USD",$J$1:$K$2,2,FALSE)</f>
        <v>1158.1665568369028</v>
      </c>
      <c r="Q27" s="250" t="s">
        <v>456</v>
      </c>
      <c r="R27" s="424" t="s">
        <v>387</v>
      </c>
      <c r="S27" s="251">
        <v>22</v>
      </c>
      <c r="T27" s="252">
        <v>1</v>
      </c>
      <c r="U27" s="253">
        <f>BD.PD[[#This Row],[Av.P1 '[%']]]*BD.PD[[#This Row],[Ppto. Orden Interna '[DOP']]]</f>
        <v>70300.710000000006</v>
      </c>
      <c r="V27" s="254"/>
      <c r="W27" s="255"/>
      <c r="X27" s="253">
        <f>BD.PD[[#This Row],[Av.P2 '[%']]]*BD.PD[[#This Row],[Ppto. Orden Interna '[DOP']]]</f>
        <v>0</v>
      </c>
      <c r="Y27" s="254"/>
      <c r="Z27" s="255"/>
      <c r="AA27" s="253">
        <f>BD.PD[[#This Row],[Av.P3 '[%']]]*BD.PD[[#This Row],[Ppto. Orden Interna '[DOP']]]</f>
        <v>0</v>
      </c>
      <c r="AB27" s="254"/>
      <c r="AC27" s="255"/>
      <c r="AD27" s="253">
        <f>BD.PD[[#This Row],[Av.P4 '[%']]]*BD.PD[[#This Row],[Ppto. Orden Interna '[DOP']]]</f>
        <v>0</v>
      </c>
      <c r="AE27" s="254"/>
      <c r="AF27" s="255"/>
      <c r="AG27" s="253">
        <f>BD.PD[[#This Row],[Av.P5 '[%']]]*BD.PD[[#This Row],[Ppto. Orden Interna '[DOP']]]</f>
        <v>0</v>
      </c>
      <c r="AH27" s="256">
        <f>BD.PD[[#This Row],[Pago 5]]+BD.PD[[#This Row],[Pago 4]]+BD.PD[[#This Row],[Pago 3]]+BD.PD[[#This Row],[Pago 2]]+BD.PD[[#This Row],[Pago 1]]</f>
        <v>70300.710000000006</v>
      </c>
      <c r="AI27" s="318"/>
      <c r="AJ27" s="318"/>
      <c r="AK27" s="318"/>
      <c r="AL27" s="318"/>
      <c r="AM27" s="318"/>
      <c r="AN27" s="318"/>
      <c r="AO27" s="318"/>
      <c r="AP27" s="318"/>
      <c r="AQ27" s="318"/>
      <c r="AR27" s="318"/>
      <c r="AS27" s="318"/>
      <c r="AT27" s="318"/>
      <c r="AU27" s="318"/>
      <c r="AV27" s="318"/>
      <c r="AW27" s="318"/>
      <c r="AX27" s="318"/>
      <c r="AY27" s="318"/>
      <c r="AZ27" s="318"/>
      <c r="BA27" s="318"/>
      <c r="BB27" s="318"/>
      <c r="BC27" s="318"/>
      <c r="BD27" s="318"/>
      <c r="BE27" s="318"/>
      <c r="BF27" s="318"/>
      <c r="BG27" s="318"/>
      <c r="BH27" s="318"/>
      <c r="BI27" s="318"/>
      <c r="BJ27" s="318"/>
      <c r="BK27" s="318"/>
      <c r="BL27" s="318"/>
      <c r="BM27" s="318"/>
      <c r="BN27" s="318"/>
      <c r="BO27" s="318"/>
      <c r="BP27" s="318"/>
      <c r="BQ27" s="318"/>
      <c r="BR27" s="318"/>
      <c r="BS27" s="318"/>
      <c r="BT27" s="318"/>
      <c r="BU27" s="318"/>
      <c r="BV27" s="318"/>
      <c r="BW27" s="318"/>
      <c r="BX27" s="318"/>
      <c r="BY27" s="318"/>
      <c r="BZ27" s="318"/>
      <c r="CA27" s="318"/>
      <c r="CB27" s="318"/>
      <c r="CC27" s="318"/>
      <c r="CD27" s="318"/>
      <c r="CE27" s="318"/>
      <c r="CF27" s="318"/>
      <c r="CG27" s="318"/>
      <c r="CH27" s="318"/>
      <c r="CI27" s="318"/>
      <c r="CJ27" s="318"/>
      <c r="CK27" s="318"/>
      <c r="CL27" s="318"/>
      <c r="CM27" s="318"/>
      <c r="CN27" s="318"/>
      <c r="CO27" s="318"/>
      <c r="CP27" s="318"/>
      <c r="CQ27" s="318"/>
      <c r="CR27" s="318"/>
      <c r="CS27" s="318"/>
      <c r="CT27" s="318"/>
      <c r="CU27" s="318"/>
      <c r="CV27" s="318"/>
      <c r="CW27" s="318"/>
      <c r="CX27" s="318"/>
      <c r="CY27" s="318"/>
      <c r="CZ27" s="318"/>
      <c r="DA27" s="318"/>
      <c r="DB27" s="318"/>
      <c r="DC27" s="318"/>
      <c r="DD27" s="318"/>
      <c r="DE27" s="318"/>
      <c r="DF27" s="318"/>
      <c r="DG27" s="318"/>
      <c r="DH27" s="318"/>
      <c r="DI27" s="318"/>
      <c r="DJ27" s="318"/>
      <c r="DK27" s="318"/>
      <c r="DL27" s="318"/>
      <c r="DM27" s="318"/>
      <c r="DN27" s="318"/>
      <c r="DO27" s="318"/>
      <c r="DP27" s="318"/>
      <c r="DQ27" s="318"/>
      <c r="DR27" s="318"/>
      <c r="DS27" s="318"/>
      <c r="DT27" s="318"/>
      <c r="DU27" s="318"/>
      <c r="DV27" s="318"/>
      <c r="DW27" s="318"/>
      <c r="DX27" s="318"/>
      <c r="DY27" s="318"/>
      <c r="DZ27" s="318"/>
      <c r="EA27" s="318"/>
      <c r="EB27" s="318"/>
      <c r="EC27" s="318"/>
      <c r="ED27" s="318"/>
      <c r="EE27" s="318"/>
      <c r="EF27" s="318"/>
      <c r="EG27" s="318"/>
      <c r="EH27" s="318"/>
      <c r="EI27" s="318"/>
      <c r="EJ27" s="318"/>
      <c r="EK27" s="318"/>
      <c r="EL27" s="318"/>
      <c r="EM27" s="318"/>
      <c r="EN27" s="318"/>
      <c r="EO27" s="318"/>
      <c r="EP27" s="318"/>
      <c r="EQ27" s="318"/>
      <c r="ER27" s="318"/>
      <c r="ES27" s="318"/>
      <c r="ET27" s="318"/>
      <c r="EU27" s="318"/>
      <c r="EV27" s="318"/>
      <c r="EW27" s="318"/>
      <c r="EX27" s="318"/>
      <c r="EY27" s="318"/>
      <c r="EZ27" s="318"/>
      <c r="FA27" s="318"/>
      <c r="FB27" s="318"/>
      <c r="FC27" s="318"/>
      <c r="FD27" s="318"/>
      <c r="FE27" s="318"/>
      <c r="FF27" s="318"/>
      <c r="FG27" s="318"/>
      <c r="FH27" s="318"/>
      <c r="FI27" s="318"/>
      <c r="FJ27" s="318"/>
      <c r="FK27" s="318"/>
      <c r="FL27" s="318"/>
      <c r="FM27" s="318"/>
      <c r="FN27" s="318"/>
      <c r="FO27" s="318"/>
      <c r="FP27" s="318"/>
      <c r="FQ27" s="318"/>
      <c r="FR27" s="318"/>
      <c r="FS27" s="318"/>
      <c r="FT27" s="318"/>
      <c r="FU27" s="318"/>
      <c r="FV27" s="318"/>
      <c r="FW27" s="318"/>
      <c r="FX27" s="318"/>
      <c r="FY27" s="318"/>
      <c r="FZ27" s="318"/>
      <c r="GA27" s="318"/>
      <c r="GB27" s="318"/>
      <c r="GC27" s="318"/>
      <c r="GD27" s="318"/>
      <c r="GE27" s="318"/>
      <c r="GF27" s="318"/>
      <c r="GG27" s="318"/>
      <c r="GH27" s="318"/>
      <c r="GI27" s="318"/>
      <c r="GJ27" s="318"/>
      <c r="GK27" s="318"/>
      <c r="GL27" s="318"/>
      <c r="GM27" s="318"/>
      <c r="GN27" s="318"/>
      <c r="GO27" s="318"/>
      <c r="GP27" s="318"/>
      <c r="GQ27" s="318"/>
      <c r="GR27" s="318"/>
      <c r="GS27" s="318"/>
      <c r="GT27" s="318"/>
      <c r="GU27" s="318"/>
      <c r="GV27" s="318"/>
      <c r="GW27" s="318"/>
      <c r="GX27" s="318"/>
      <c r="GY27" s="318"/>
      <c r="GZ27" s="318"/>
      <c r="HA27" s="318"/>
      <c r="HB27" s="318"/>
      <c r="HC27" s="318"/>
      <c r="HD27" s="318"/>
      <c r="HE27" s="318"/>
      <c r="HF27" s="318"/>
      <c r="HG27" s="318"/>
      <c r="HH27" s="318"/>
      <c r="HI27" s="318"/>
      <c r="HJ27" s="318"/>
      <c r="HK27" s="318"/>
      <c r="HL27" s="318"/>
      <c r="HM27" s="318"/>
      <c r="HN27" s="318"/>
      <c r="HO27" s="318"/>
      <c r="HP27" s="318"/>
      <c r="HQ27" s="318"/>
      <c r="HR27" s="318"/>
      <c r="HS27" s="318"/>
      <c r="HT27" s="318"/>
      <c r="HU27" s="318"/>
      <c r="HV27" s="318"/>
      <c r="HW27" s="318"/>
      <c r="HX27" s="318"/>
      <c r="HY27" s="318"/>
      <c r="HZ27" s="318"/>
      <c r="IA27" s="318"/>
      <c r="IB27" s="318"/>
      <c r="IC27" s="318"/>
    </row>
    <row r="28" spans="1:237" s="260" customFormat="1" ht="15" customHeight="1" x14ac:dyDescent="0.3">
      <c r="A28" s="181">
        <v>7.02</v>
      </c>
      <c r="B28" s="239"/>
      <c r="C28" s="240" t="str">
        <f>VLOOKUP(BD.PD[[#This Row],[Pos]],PPto[],3,FALSE)</f>
        <v>7.02 Cocina, Patio Comidas y Rostizería</v>
      </c>
      <c r="D28" s="181" t="s">
        <v>40</v>
      </c>
      <c r="E28" s="242" t="str">
        <f>IF(BD.PD[[#This Row],[.]]="*",VLOOKUP(BD.PD[[#This Row],[Pos]],Presupuesto!A:H,7,FALSE),"")</f>
        <v/>
      </c>
      <c r="F28" s="305" t="s">
        <v>478</v>
      </c>
      <c r="G28" s="243" t="s">
        <v>308</v>
      </c>
      <c r="H28" s="275"/>
      <c r="I28" s="276">
        <v>36</v>
      </c>
      <c r="J28" s="181" t="s">
        <v>314</v>
      </c>
      <c r="K28" s="245">
        <f>IF(BD.PD[[#This Row],[Mon]]="DOP",1,HLOOKUP(BD.PD[[#This Row],[Mon]],$J$1:$K$2,2,FALSE))</f>
        <v>1</v>
      </c>
      <c r="L28" s="277">
        <v>1978.2383333333335</v>
      </c>
      <c r="M28" s="247">
        <f>BD.PD[[#This Row],[Cant.]]*BD.PD[[#This Row],[ Tasa ]]*BD.PD[[#This Row],[ Precio Und.]]</f>
        <v>71216.58</v>
      </c>
      <c r="N28" s="278">
        <v>0</v>
      </c>
      <c r="O28" s="247">
        <f>IF(BD.PD[[#This Row],[Liquid. '[%']]]&lt;&gt;0,(BD.PD[[#This Row],[Valor Neto '[DOP']]]*BD.PD[[#This Row],[Liquid. '[%']]])+BD.PD[[#This Row],[Valor Neto '[DOP']]],BD.PD[[#This Row],[Valor Neto '[DOP']]])</f>
        <v>71216.58</v>
      </c>
      <c r="P28" s="257">
        <f>BD.PD[[#This Row],[Ppto. Orden Interna '[DOP']]]/HLOOKUP("USD",$J$1:$K$2,2,FALSE)</f>
        <v>1173.2550247116969</v>
      </c>
      <c r="Q28" s="250" t="s">
        <v>456</v>
      </c>
      <c r="R28" s="258" t="s">
        <v>387</v>
      </c>
      <c r="S28" s="251">
        <v>22</v>
      </c>
      <c r="T28" s="252">
        <v>1</v>
      </c>
      <c r="U28" s="259">
        <f>BD.PD[[#This Row],[Av.P1 '[%']]]*BD.PD[[#This Row],[Ppto. Orden Interna '[DOP']]]</f>
        <v>71216.58</v>
      </c>
      <c r="V28" s="254"/>
      <c r="W28" s="255"/>
      <c r="X28" s="259">
        <f>BD.PD[[#This Row],[Av.P2 '[%']]]*BD.PD[[#This Row],[Ppto. Orden Interna '[DOP']]]</f>
        <v>0</v>
      </c>
      <c r="Y28" s="254"/>
      <c r="Z28" s="255"/>
      <c r="AA28" s="259">
        <f>BD.PD[[#This Row],[Av.P3 '[%']]]*BD.PD[[#This Row],[Ppto. Orden Interna '[DOP']]]</f>
        <v>0</v>
      </c>
      <c r="AB28" s="254"/>
      <c r="AC28" s="255"/>
      <c r="AD28" s="259">
        <f>BD.PD[[#This Row],[Av.P4 '[%']]]*BD.PD[[#This Row],[Ppto. Orden Interna '[DOP']]]</f>
        <v>0</v>
      </c>
      <c r="AE28" s="254"/>
      <c r="AF28" s="255"/>
      <c r="AG28" s="259">
        <f>BD.PD[[#This Row],[Av.P5 '[%']]]*BD.PD[[#This Row],[Ppto. Orden Interna '[DOP']]]</f>
        <v>0</v>
      </c>
      <c r="AH28" s="256">
        <f>BD.PD[[#This Row],[Pago 5]]+BD.PD[[#This Row],[Pago 4]]+BD.PD[[#This Row],[Pago 3]]+BD.PD[[#This Row],[Pago 2]]+BD.PD[[#This Row],[Pago 1]]</f>
        <v>71216.58</v>
      </c>
      <c r="AI28" s="318"/>
      <c r="AJ28" s="318"/>
      <c r="AK28" s="318"/>
      <c r="AL28" s="318"/>
      <c r="AM28" s="318"/>
      <c r="AN28" s="318"/>
      <c r="AO28" s="318"/>
      <c r="AP28" s="318"/>
      <c r="AQ28" s="318"/>
      <c r="AR28" s="318"/>
      <c r="AS28" s="318"/>
      <c r="AT28" s="318"/>
      <c r="AU28" s="318"/>
      <c r="AV28" s="318"/>
      <c r="AW28" s="318"/>
      <c r="AX28" s="318"/>
      <c r="AY28" s="318"/>
      <c r="AZ28" s="318"/>
      <c r="BA28" s="318"/>
      <c r="BB28" s="318"/>
      <c r="BC28" s="318"/>
      <c r="BD28" s="318"/>
      <c r="BE28" s="318"/>
      <c r="BF28" s="318"/>
      <c r="BG28" s="318"/>
      <c r="BH28" s="318"/>
      <c r="BI28" s="318"/>
      <c r="BJ28" s="318"/>
      <c r="BK28" s="318"/>
      <c r="BL28" s="318"/>
      <c r="BM28" s="318"/>
      <c r="BN28" s="318"/>
      <c r="BO28" s="318"/>
      <c r="BP28" s="318"/>
      <c r="BQ28" s="318"/>
      <c r="BR28" s="318"/>
      <c r="BS28" s="318"/>
      <c r="BT28" s="318"/>
      <c r="BU28" s="318"/>
      <c r="BV28" s="318"/>
      <c r="BW28" s="318"/>
      <c r="BX28" s="318"/>
      <c r="BY28" s="318"/>
      <c r="BZ28" s="318"/>
      <c r="CA28" s="318"/>
      <c r="CB28" s="318"/>
      <c r="CC28" s="318"/>
      <c r="CD28" s="318"/>
      <c r="CE28" s="318"/>
      <c r="CF28" s="318"/>
      <c r="CG28" s="318"/>
      <c r="CH28" s="318"/>
      <c r="CI28" s="318"/>
      <c r="CJ28" s="318"/>
      <c r="CK28" s="318"/>
      <c r="CL28" s="318"/>
      <c r="CM28" s="318"/>
      <c r="CN28" s="318"/>
      <c r="CO28" s="318"/>
      <c r="CP28" s="318"/>
      <c r="CQ28" s="318"/>
      <c r="CR28" s="318"/>
      <c r="CS28" s="318"/>
      <c r="CT28" s="318"/>
      <c r="CU28" s="318"/>
      <c r="CV28" s="318"/>
      <c r="CW28" s="318"/>
      <c r="CX28" s="318"/>
      <c r="CY28" s="318"/>
      <c r="CZ28" s="318"/>
      <c r="DA28" s="318"/>
      <c r="DB28" s="318"/>
      <c r="DC28" s="318"/>
      <c r="DD28" s="318"/>
      <c r="DE28" s="318"/>
      <c r="DF28" s="318"/>
      <c r="DG28" s="318"/>
      <c r="DH28" s="318"/>
      <c r="DI28" s="318"/>
      <c r="DJ28" s="318"/>
      <c r="DK28" s="318"/>
      <c r="DL28" s="318"/>
      <c r="DM28" s="318"/>
      <c r="DN28" s="318"/>
      <c r="DO28" s="318"/>
      <c r="DP28" s="318"/>
      <c r="DQ28" s="318"/>
      <c r="DR28" s="318"/>
      <c r="DS28" s="318"/>
      <c r="DT28" s="318"/>
      <c r="DU28" s="318"/>
      <c r="DV28" s="318"/>
      <c r="DW28" s="318"/>
      <c r="DX28" s="318"/>
      <c r="DY28" s="318"/>
      <c r="DZ28" s="318"/>
      <c r="EA28" s="318"/>
      <c r="EB28" s="318"/>
      <c r="EC28" s="318"/>
      <c r="ED28" s="318"/>
      <c r="EE28" s="318"/>
      <c r="EF28" s="318"/>
      <c r="EG28" s="318"/>
      <c r="EH28" s="318"/>
      <c r="EI28" s="318"/>
      <c r="EJ28" s="318"/>
      <c r="EK28" s="318"/>
      <c r="EL28" s="318"/>
      <c r="EM28" s="318"/>
      <c r="EN28" s="318"/>
      <c r="EO28" s="318"/>
      <c r="EP28" s="318"/>
      <c r="EQ28" s="318"/>
      <c r="ER28" s="318"/>
      <c r="ES28" s="318"/>
      <c r="ET28" s="318"/>
      <c r="EU28" s="318"/>
      <c r="EV28" s="318"/>
      <c r="EW28" s="318"/>
      <c r="EX28" s="318"/>
      <c r="EY28" s="318"/>
      <c r="EZ28" s="318"/>
      <c r="FA28" s="318"/>
      <c r="FB28" s="318"/>
      <c r="FC28" s="318"/>
      <c r="FD28" s="318"/>
      <c r="FE28" s="318"/>
      <c r="FF28" s="318"/>
      <c r="FG28" s="318"/>
      <c r="FH28" s="318"/>
      <c r="FI28" s="318"/>
      <c r="FJ28" s="318"/>
      <c r="FK28" s="318"/>
      <c r="FL28" s="318"/>
      <c r="FM28" s="318"/>
      <c r="FN28" s="318"/>
      <c r="FO28" s="318"/>
      <c r="FP28" s="318"/>
      <c r="FQ28" s="318"/>
      <c r="FR28" s="318"/>
      <c r="FS28" s="318"/>
      <c r="FT28" s="318"/>
      <c r="FU28" s="318"/>
      <c r="FV28" s="318"/>
      <c r="FW28" s="318"/>
      <c r="FX28" s="318"/>
      <c r="FY28" s="318"/>
      <c r="FZ28" s="318"/>
      <c r="GA28" s="318"/>
      <c r="GB28" s="318"/>
      <c r="GC28" s="318"/>
      <c r="GD28" s="318"/>
      <c r="GE28" s="318"/>
      <c r="GF28" s="318"/>
      <c r="GG28" s="318"/>
      <c r="GH28" s="318"/>
      <c r="GI28" s="318"/>
      <c r="GJ28" s="318"/>
      <c r="GK28" s="318"/>
      <c r="GL28" s="318"/>
      <c r="GM28" s="318"/>
      <c r="GN28" s="318"/>
      <c r="GO28" s="318"/>
      <c r="GP28" s="318"/>
      <c r="GQ28" s="318"/>
      <c r="GR28" s="318"/>
      <c r="GS28" s="318"/>
      <c r="GT28" s="318"/>
      <c r="GU28" s="318"/>
      <c r="GV28" s="318"/>
      <c r="GW28" s="318"/>
      <c r="GX28" s="318"/>
      <c r="GY28" s="318"/>
      <c r="GZ28" s="318"/>
      <c r="HA28" s="318"/>
      <c r="HB28" s="318"/>
      <c r="HC28" s="318"/>
      <c r="HD28" s="318"/>
      <c r="HE28" s="318"/>
      <c r="HF28" s="318"/>
      <c r="HG28" s="318"/>
      <c r="HH28" s="318"/>
      <c r="HI28" s="318"/>
      <c r="HJ28" s="318"/>
      <c r="HK28" s="318"/>
      <c r="HL28" s="318"/>
      <c r="HM28" s="318"/>
      <c r="HN28" s="318"/>
      <c r="HO28" s="318"/>
      <c r="HP28" s="318"/>
      <c r="HQ28" s="318"/>
      <c r="HR28" s="318"/>
      <c r="HS28" s="318"/>
      <c r="HT28" s="318"/>
      <c r="HU28" s="318"/>
      <c r="HV28" s="318"/>
      <c r="HW28" s="318"/>
      <c r="HX28" s="318"/>
      <c r="HY28" s="318"/>
      <c r="HZ28" s="318"/>
      <c r="IA28" s="318"/>
      <c r="IB28" s="318"/>
      <c r="IC28" s="318"/>
    </row>
    <row r="29" spans="1:237" s="260" customFormat="1" ht="15" customHeight="1" x14ac:dyDescent="0.3">
      <c r="A29" s="181">
        <v>7.02</v>
      </c>
      <c r="B29" s="239"/>
      <c r="C29" s="240" t="str">
        <f>VLOOKUP(BD.PD[[#This Row],[Pos]],PPto[],3,FALSE)</f>
        <v>7.02 Cocina, Patio Comidas y Rostizería</v>
      </c>
      <c r="D29" s="181" t="s">
        <v>40</v>
      </c>
      <c r="E29" s="242" t="str">
        <f>IF(BD.PD[[#This Row],[.]]="*",VLOOKUP(BD.PD[[#This Row],[Pos]],Presupuesto!A:H,7,FALSE),"")</f>
        <v/>
      </c>
      <c r="F29" s="305" t="s">
        <v>479</v>
      </c>
      <c r="G29" s="243" t="s">
        <v>308</v>
      </c>
      <c r="H29" s="275"/>
      <c r="I29" s="276">
        <v>96</v>
      </c>
      <c r="J29" s="181" t="s">
        <v>314</v>
      </c>
      <c r="K29" s="245">
        <f>IF(BD.PD[[#This Row],[Mon]]="DOP",1,HLOOKUP(BD.PD[[#This Row],[Mon]],$J$1:$K$2,2,FALSE))</f>
        <v>1</v>
      </c>
      <c r="L29" s="277">
        <v>1807.0286458333333</v>
      </c>
      <c r="M29" s="247">
        <f>BD.PD[[#This Row],[Cant.]]*BD.PD[[#This Row],[ Tasa ]]*BD.PD[[#This Row],[ Precio Und.]]</f>
        <v>173474.75</v>
      </c>
      <c r="N29" s="278">
        <v>0</v>
      </c>
      <c r="O29" s="247">
        <f>IF(BD.PD[[#This Row],[Liquid. '[%']]]&lt;&gt;0,(BD.PD[[#This Row],[Valor Neto '[DOP']]]*BD.PD[[#This Row],[Liquid. '[%']]])+BD.PD[[#This Row],[Valor Neto '[DOP']]],BD.PD[[#This Row],[Valor Neto '[DOP']]])</f>
        <v>173474.75</v>
      </c>
      <c r="P29" s="249">
        <f>BD.PD[[#This Row],[Ppto. Orden Interna '[DOP']]]/HLOOKUP("USD",$J$1:$K$2,2,FALSE)</f>
        <v>2857.9036243822075</v>
      </c>
      <c r="Q29" s="250" t="s">
        <v>456</v>
      </c>
      <c r="R29" s="424" t="s">
        <v>387</v>
      </c>
      <c r="S29" s="251">
        <v>22</v>
      </c>
      <c r="T29" s="252">
        <v>1</v>
      </c>
      <c r="U29" s="253">
        <f>BD.PD[[#This Row],[Av.P1 '[%']]]*BD.PD[[#This Row],[Ppto. Orden Interna '[DOP']]]</f>
        <v>173474.75</v>
      </c>
      <c r="V29" s="254"/>
      <c r="W29" s="255"/>
      <c r="X29" s="253">
        <f>BD.PD[[#This Row],[Av.P2 '[%']]]*BD.PD[[#This Row],[Ppto. Orden Interna '[DOP']]]</f>
        <v>0</v>
      </c>
      <c r="Y29" s="254"/>
      <c r="Z29" s="255"/>
      <c r="AA29" s="253">
        <f>BD.PD[[#This Row],[Av.P3 '[%']]]*BD.PD[[#This Row],[Ppto. Orden Interna '[DOP']]]</f>
        <v>0</v>
      </c>
      <c r="AB29" s="254"/>
      <c r="AC29" s="255"/>
      <c r="AD29" s="253">
        <f>BD.PD[[#This Row],[Av.P4 '[%']]]*BD.PD[[#This Row],[Ppto. Orden Interna '[DOP']]]</f>
        <v>0</v>
      </c>
      <c r="AE29" s="254"/>
      <c r="AF29" s="255"/>
      <c r="AG29" s="253">
        <f>BD.PD[[#This Row],[Av.P5 '[%']]]*BD.PD[[#This Row],[Ppto. Orden Interna '[DOP']]]</f>
        <v>0</v>
      </c>
      <c r="AH29" s="256">
        <f>BD.PD[[#This Row],[Pago 5]]+BD.PD[[#This Row],[Pago 4]]+BD.PD[[#This Row],[Pago 3]]+BD.PD[[#This Row],[Pago 2]]+BD.PD[[#This Row],[Pago 1]]</f>
        <v>173474.75</v>
      </c>
      <c r="AI29" s="318"/>
      <c r="AJ29" s="318"/>
      <c r="AK29" s="318"/>
      <c r="AL29" s="318"/>
      <c r="AM29" s="318"/>
      <c r="AN29" s="318"/>
      <c r="AO29" s="318"/>
      <c r="AP29" s="318"/>
      <c r="AQ29" s="318"/>
      <c r="AR29" s="318"/>
      <c r="AS29" s="318"/>
      <c r="AT29" s="318"/>
      <c r="AU29" s="318"/>
      <c r="AV29" s="318"/>
      <c r="AW29" s="318"/>
      <c r="AX29" s="318"/>
      <c r="AY29" s="318"/>
      <c r="AZ29" s="318"/>
      <c r="BA29" s="318"/>
      <c r="BB29" s="318"/>
      <c r="BC29" s="318"/>
      <c r="BD29" s="318"/>
      <c r="BE29" s="318"/>
      <c r="BF29" s="318"/>
      <c r="BG29" s="318"/>
      <c r="BH29" s="318"/>
      <c r="BI29" s="318"/>
      <c r="BJ29" s="318"/>
      <c r="BK29" s="318"/>
      <c r="BL29" s="318"/>
      <c r="BM29" s="318"/>
      <c r="BN29" s="318"/>
      <c r="BO29" s="318"/>
      <c r="BP29" s="318"/>
      <c r="BQ29" s="318"/>
      <c r="BR29" s="318"/>
      <c r="BS29" s="318"/>
      <c r="BT29" s="318"/>
      <c r="BU29" s="318"/>
      <c r="BV29" s="318"/>
      <c r="BW29" s="318"/>
      <c r="BX29" s="318"/>
      <c r="BY29" s="318"/>
      <c r="BZ29" s="318"/>
      <c r="CA29" s="318"/>
      <c r="CB29" s="318"/>
      <c r="CC29" s="318"/>
      <c r="CD29" s="318"/>
      <c r="CE29" s="318"/>
      <c r="CF29" s="318"/>
      <c r="CG29" s="318"/>
      <c r="CH29" s="318"/>
      <c r="CI29" s="318"/>
      <c r="CJ29" s="318"/>
      <c r="CK29" s="318"/>
      <c r="CL29" s="318"/>
      <c r="CM29" s="318"/>
      <c r="CN29" s="318"/>
      <c r="CO29" s="318"/>
      <c r="CP29" s="318"/>
      <c r="CQ29" s="318"/>
      <c r="CR29" s="318"/>
      <c r="CS29" s="318"/>
      <c r="CT29" s="318"/>
      <c r="CU29" s="318"/>
      <c r="CV29" s="318"/>
      <c r="CW29" s="318"/>
      <c r="CX29" s="318"/>
      <c r="CY29" s="318"/>
      <c r="CZ29" s="318"/>
      <c r="DA29" s="318"/>
      <c r="DB29" s="318"/>
      <c r="DC29" s="318"/>
      <c r="DD29" s="318"/>
      <c r="DE29" s="318"/>
      <c r="DF29" s="318"/>
      <c r="DG29" s="318"/>
      <c r="DH29" s="318"/>
      <c r="DI29" s="318"/>
      <c r="DJ29" s="318"/>
      <c r="DK29" s="318"/>
      <c r="DL29" s="318"/>
      <c r="DM29" s="318"/>
      <c r="DN29" s="318"/>
      <c r="DO29" s="318"/>
      <c r="DP29" s="318"/>
      <c r="DQ29" s="318"/>
      <c r="DR29" s="318"/>
      <c r="DS29" s="318"/>
      <c r="DT29" s="318"/>
      <c r="DU29" s="318"/>
      <c r="DV29" s="318"/>
      <c r="DW29" s="318"/>
      <c r="DX29" s="318"/>
      <c r="DY29" s="318"/>
      <c r="DZ29" s="318"/>
      <c r="EA29" s="318"/>
      <c r="EB29" s="318"/>
      <c r="EC29" s="318"/>
      <c r="ED29" s="318"/>
      <c r="EE29" s="318"/>
      <c r="EF29" s="318"/>
      <c r="EG29" s="318"/>
      <c r="EH29" s="318"/>
      <c r="EI29" s="318"/>
      <c r="EJ29" s="318"/>
      <c r="EK29" s="318"/>
      <c r="EL29" s="318"/>
      <c r="EM29" s="318"/>
      <c r="EN29" s="318"/>
      <c r="EO29" s="318"/>
      <c r="EP29" s="318"/>
      <c r="EQ29" s="318"/>
      <c r="ER29" s="318"/>
      <c r="ES29" s="318"/>
      <c r="ET29" s="318"/>
      <c r="EU29" s="318"/>
      <c r="EV29" s="318"/>
      <c r="EW29" s="318"/>
      <c r="EX29" s="318"/>
      <c r="EY29" s="318"/>
      <c r="EZ29" s="318"/>
      <c r="FA29" s="318"/>
      <c r="FB29" s="318"/>
      <c r="FC29" s="318"/>
      <c r="FD29" s="318"/>
      <c r="FE29" s="318"/>
      <c r="FF29" s="318"/>
      <c r="FG29" s="318"/>
      <c r="FH29" s="318"/>
      <c r="FI29" s="318"/>
      <c r="FJ29" s="318"/>
      <c r="FK29" s="318"/>
      <c r="FL29" s="318"/>
      <c r="FM29" s="318"/>
      <c r="FN29" s="318"/>
      <c r="FO29" s="318"/>
      <c r="FP29" s="318"/>
      <c r="FQ29" s="318"/>
      <c r="FR29" s="318"/>
      <c r="FS29" s="318"/>
      <c r="FT29" s="318"/>
      <c r="FU29" s="318"/>
      <c r="FV29" s="318"/>
      <c r="FW29" s="318"/>
      <c r="FX29" s="318"/>
      <c r="FY29" s="318"/>
      <c r="FZ29" s="318"/>
      <c r="GA29" s="318"/>
      <c r="GB29" s="318"/>
      <c r="GC29" s="318"/>
      <c r="GD29" s="318"/>
      <c r="GE29" s="318"/>
      <c r="GF29" s="318"/>
      <c r="GG29" s="318"/>
      <c r="GH29" s="318"/>
      <c r="GI29" s="318"/>
      <c r="GJ29" s="318"/>
      <c r="GK29" s="318"/>
      <c r="GL29" s="318"/>
      <c r="GM29" s="318"/>
      <c r="GN29" s="318"/>
      <c r="GO29" s="318"/>
      <c r="GP29" s="318"/>
      <c r="GQ29" s="318"/>
      <c r="GR29" s="318"/>
      <c r="GS29" s="318"/>
      <c r="GT29" s="318"/>
      <c r="GU29" s="318"/>
      <c r="GV29" s="318"/>
      <c r="GW29" s="318"/>
      <c r="GX29" s="318"/>
      <c r="GY29" s="318"/>
      <c r="GZ29" s="318"/>
      <c r="HA29" s="318"/>
      <c r="HB29" s="318"/>
      <c r="HC29" s="318"/>
      <c r="HD29" s="318"/>
      <c r="HE29" s="318"/>
      <c r="HF29" s="318"/>
      <c r="HG29" s="318"/>
      <c r="HH29" s="318"/>
      <c r="HI29" s="318"/>
      <c r="HJ29" s="318"/>
      <c r="HK29" s="318"/>
      <c r="HL29" s="318"/>
      <c r="HM29" s="318"/>
      <c r="HN29" s="318"/>
      <c r="HO29" s="318"/>
      <c r="HP29" s="318"/>
      <c r="HQ29" s="318"/>
      <c r="HR29" s="318"/>
      <c r="HS29" s="318"/>
      <c r="HT29" s="318"/>
      <c r="HU29" s="318"/>
      <c r="HV29" s="318"/>
      <c r="HW29" s="318"/>
      <c r="HX29" s="318"/>
      <c r="HY29" s="318"/>
      <c r="HZ29" s="318"/>
      <c r="IA29" s="318"/>
      <c r="IB29" s="318"/>
      <c r="IC29" s="318"/>
    </row>
    <row r="30" spans="1:237" s="260" customFormat="1" ht="15" customHeight="1" x14ac:dyDescent="0.3">
      <c r="A30" s="181">
        <v>7.02</v>
      </c>
      <c r="B30" s="239"/>
      <c r="C30" s="240" t="str">
        <f>VLOOKUP(BD.PD[[#This Row],[Pos]],PPto[],3,FALSE)</f>
        <v>7.02 Cocina, Patio Comidas y Rostizería</v>
      </c>
      <c r="D30" s="181" t="s">
        <v>40</v>
      </c>
      <c r="E30" s="242" t="str">
        <f>IF(BD.PD[[#This Row],[.]]="*",VLOOKUP(BD.PD[[#This Row],[Pos]],Presupuesto!A:H,7,FALSE),"")</f>
        <v/>
      </c>
      <c r="F30" s="305" t="s">
        <v>480</v>
      </c>
      <c r="G30" s="243" t="s">
        <v>308</v>
      </c>
      <c r="H30" s="275"/>
      <c r="I30" s="276">
        <v>48</v>
      </c>
      <c r="J30" s="181" t="s">
        <v>314</v>
      </c>
      <c r="K30" s="245">
        <f>IF(BD.PD[[#This Row],[Mon]]="DOP",1,HLOOKUP(BD.PD[[#This Row],[Mon]],$J$1:$K$2,2,FALSE))</f>
        <v>1</v>
      </c>
      <c r="L30" s="277">
        <v>3049.0739583333329</v>
      </c>
      <c r="M30" s="247">
        <f>BD.PD[[#This Row],[Cant.]]*BD.PD[[#This Row],[ Tasa ]]*BD.PD[[#This Row],[ Precio Und.]]</f>
        <v>146355.54999999999</v>
      </c>
      <c r="N30" s="278">
        <v>0</v>
      </c>
      <c r="O30" s="247">
        <f>IF(BD.PD[[#This Row],[Liquid. '[%']]]&lt;&gt;0,(BD.PD[[#This Row],[Valor Neto '[DOP']]]*BD.PD[[#This Row],[Liquid. '[%']]])+BD.PD[[#This Row],[Valor Neto '[DOP']]],BD.PD[[#This Row],[Valor Neto '[DOP']]])</f>
        <v>146355.54999999999</v>
      </c>
      <c r="P30" s="249">
        <f>BD.PD[[#This Row],[Ppto. Orden Interna '[DOP']]]/HLOOKUP("USD",$J$1:$K$2,2,FALSE)</f>
        <v>2411.1293245469519</v>
      </c>
      <c r="Q30" s="250" t="s">
        <v>456</v>
      </c>
      <c r="R30" s="424" t="s">
        <v>387</v>
      </c>
      <c r="S30" s="251">
        <v>22</v>
      </c>
      <c r="T30" s="252">
        <v>1</v>
      </c>
      <c r="U30" s="253">
        <f>BD.PD[[#This Row],[Av.P1 '[%']]]*BD.PD[[#This Row],[Ppto. Orden Interna '[DOP']]]</f>
        <v>146355.54999999999</v>
      </c>
      <c r="V30" s="254"/>
      <c r="W30" s="255"/>
      <c r="X30" s="253">
        <f>BD.PD[[#This Row],[Av.P2 '[%']]]*BD.PD[[#This Row],[Ppto. Orden Interna '[DOP']]]</f>
        <v>0</v>
      </c>
      <c r="Y30" s="254"/>
      <c r="Z30" s="255"/>
      <c r="AA30" s="253">
        <f>BD.PD[[#This Row],[Av.P3 '[%']]]*BD.PD[[#This Row],[Ppto. Orden Interna '[DOP']]]</f>
        <v>0</v>
      </c>
      <c r="AB30" s="254"/>
      <c r="AC30" s="255"/>
      <c r="AD30" s="253">
        <f>BD.PD[[#This Row],[Av.P4 '[%']]]*BD.PD[[#This Row],[Ppto. Orden Interna '[DOP']]]</f>
        <v>0</v>
      </c>
      <c r="AE30" s="254"/>
      <c r="AF30" s="255"/>
      <c r="AG30" s="253">
        <f>BD.PD[[#This Row],[Av.P5 '[%']]]*BD.PD[[#This Row],[Ppto. Orden Interna '[DOP']]]</f>
        <v>0</v>
      </c>
      <c r="AH30" s="256">
        <f>BD.PD[[#This Row],[Pago 5]]+BD.PD[[#This Row],[Pago 4]]+BD.PD[[#This Row],[Pago 3]]+BD.PD[[#This Row],[Pago 2]]+BD.PD[[#This Row],[Pago 1]]</f>
        <v>146355.54999999999</v>
      </c>
      <c r="AI30" s="318"/>
      <c r="AJ30" s="318"/>
      <c r="AK30" s="318"/>
      <c r="AL30" s="318"/>
      <c r="AM30" s="318"/>
      <c r="AN30" s="318"/>
      <c r="AO30" s="318"/>
      <c r="AP30" s="318"/>
      <c r="AQ30" s="318"/>
      <c r="AR30" s="318"/>
      <c r="AS30" s="318"/>
      <c r="AT30" s="318"/>
      <c r="AU30" s="318"/>
      <c r="AV30" s="318"/>
      <c r="AW30" s="318"/>
      <c r="AX30" s="318"/>
      <c r="AY30" s="318"/>
      <c r="AZ30" s="318"/>
      <c r="BA30" s="318"/>
      <c r="BB30" s="318"/>
      <c r="BC30" s="318"/>
      <c r="BD30" s="318"/>
      <c r="BE30" s="318"/>
      <c r="BF30" s="318"/>
      <c r="BG30" s="318"/>
      <c r="BH30" s="318"/>
      <c r="BI30" s="318"/>
      <c r="BJ30" s="318"/>
      <c r="BK30" s="318"/>
      <c r="BL30" s="318"/>
      <c r="BM30" s="318"/>
      <c r="BN30" s="318"/>
      <c r="BO30" s="318"/>
      <c r="BP30" s="318"/>
      <c r="BQ30" s="318"/>
      <c r="BR30" s="318"/>
      <c r="BS30" s="318"/>
      <c r="BT30" s="318"/>
      <c r="BU30" s="318"/>
      <c r="BV30" s="318"/>
      <c r="BW30" s="318"/>
      <c r="BX30" s="318"/>
      <c r="BY30" s="318"/>
      <c r="BZ30" s="318"/>
      <c r="CA30" s="318"/>
      <c r="CB30" s="318"/>
      <c r="CC30" s="318"/>
      <c r="CD30" s="318"/>
      <c r="CE30" s="318"/>
      <c r="CF30" s="318"/>
      <c r="CG30" s="318"/>
      <c r="CH30" s="318"/>
      <c r="CI30" s="318"/>
      <c r="CJ30" s="318"/>
      <c r="CK30" s="318"/>
      <c r="CL30" s="318"/>
      <c r="CM30" s="318"/>
      <c r="CN30" s="318"/>
      <c r="CO30" s="318"/>
      <c r="CP30" s="318"/>
      <c r="CQ30" s="318"/>
      <c r="CR30" s="318"/>
      <c r="CS30" s="318"/>
      <c r="CT30" s="318"/>
      <c r="CU30" s="318"/>
      <c r="CV30" s="318"/>
      <c r="CW30" s="318"/>
      <c r="CX30" s="318"/>
      <c r="CY30" s="318"/>
      <c r="CZ30" s="318"/>
      <c r="DA30" s="318"/>
      <c r="DB30" s="318"/>
      <c r="DC30" s="318"/>
      <c r="DD30" s="318"/>
      <c r="DE30" s="318"/>
      <c r="DF30" s="318"/>
      <c r="DG30" s="318"/>
      <c r="DH30" s="318"/>
      <c r="DI30" s="318"/>
      <c r="DJ30" s="318"/>
      <c r="DK30" s="318"/>
      <c r="DL30" s="318"/>
      <c r="DM30" s="318"/>
      <c r="DN30" s="318"/>
      <c r="DO30" s="318"/>
      <c r="DP30" s="318"/>
      <c r="DQ30" s="318"/>
      <c r="DR30" s="318"/>
      <c r="DS30" s="318"/>
      <c r="DT30" s="318"/>
      <c r="DU30" s="318"/>
      <c r="DV30" s="318"/>
      <c r="DW30" s="318"/>
      <c r="DX30" s="318"/>
      <c r="DY30" s="318"/>
      <c r="DZ30" s="318"/>
      <c r="EA30" s="318"/>
      <c r="EB30" s="318"/>
      <c r="EC30" s="318"/>
      <c r="ED30" s="318"/>
      <c r="EE30" s="318"/>
      <c r="EF30" s="318"/>
      <c r="EG30" s="318"/>
      <c r="EH30" s="318"/>
      <c r="EI30" s="318"/>
      <c r="EJ30" s="318"/>
      <c r="EK30" s="318"/>
      <c r="EL30" s="318"/>
      <c r="EM30" s="318"/>
      <c r="EN30" s="318"/>
      <c r="EO30" s="318"/>
      <c r="EP30" s="318"/>
      <c r="EQ30" s="318"/>
      <c r="ER30" s="318"/>
      <c r="ES30" s="318"/>
      <c r="ET30" s="318"/>
      <c r="EU30" s="318"/>
      <c r="EV30" s="318"/>
      <c r="EW30" s="318"/>
      <c r="EX30" s="318"/>
      <c r="EY30" s="318"/>
      <c r="EZ30" s="318"/>
      <c r="FA30" s="318"/>
      <c r="FB30" s="318"/>
      <c r="FC30" s="318"/>
      <c r="FD30" s="318"/>
      <c r="FE30" s="318"/>
      <c r="FF30" s="318"/>
      <c r="FG30" s="318"/>
      <c r="FH30" s="318"/>
      <c r="FI30" s="318"/>
      <c r="FJ30" s="318"/>
      <c r="FK30" s="318"/>
      <c r="FL30" s="318"/>
      <c r="FM30" s="318"/>
      <c r="FN30" s="318"/>
      <c r="FO30" s="318"/>
      <c r="FP30" s="318"/>
      <c r="FQ30" s="318"/>
      <c r="FR30" s="318"/>
      <c r="FS30" s="318"/>
      <c r="FT30" s="318"/>
      <c r="FU30" s="318"/>
      <c r="FV30" s="318"/>
      <c r="FW30" s="318"/>
      <c r="FX30" s="318"/>
      <c r="FY30" s="318"/>
      <c r="FZ30" s="318"/>
      <c r="GA30" s="318"/>
      <c r="GB30" s="318"/>
      <c r="GC30" s="318"/>
      <c r="GD30" s="318"/>
      <c r="GE30" s="318"/>
      <c r="GF30" s="318"/>
      <c r="GG30" s="318"/>
      <c r="GH30" s="318"/>
      <c r="GI30" s="318"/>
      <c r="GJ30" s="318"/>
      <c r="GK30" s="318"/>
      <c r="GL30" s="318"/>
      <c r="GM30" s="318"/>
      <c r="GN30" s="318"/>
      <c r="GO30" s="318"/>
      <c r="GP30" s="318"/>
      <c r="GQ30" s="318"/>
      <c r="GR30" s="318"/>
      <c r="GS30" s="318"/>
      <c r="GT30" s="318"/>
      <c r="GU30" s="318"/>
      <c r="GV30" s="318"/>
      <c r="GW30" s="318"/>
      <c r="GX30" s="318"/>
      <c r="GY30" s="318"/>
      <c r="GZ30" s="318"/>
      <c r="HA30" s="318"/>
      <c r="HB30" s="318"/>
      <c r="HC30" s="318"/>
      <c r="HD30" s="318"/>
      <c r="HE30" s="318"/>
      <c r="HF30" s="318"/>
      <c r="HG30" s="318"/>
      <c r="HH30" s="318"/>
      <c r="HI30" s="318"/>
      <c r="HJ30" s="318"/>
      <c r="HK30" s="318"/>
      <c r="HL30" s="318"/>
      <c r="HM30" s="318"/>
      <c r="HN30" s="318"/>
      <c r="HO30" s="318"/>
      <c r="HP30" s="318"/>
      <c r="HQ30" s="318"/>
      <c r="HR30" s="318"/>
      <c r="HS30" s="318"/>
      <c r="HT30" s="318"/>
      <c r="HU30" s="318"/>
      <c r="HV30" s="318"/>
      <c r="HW30" s="318"/>
      <c r="HX30" s="318"/>
      <c r="HY30" s="318"/>
      <c r="HZ30" s="318"/>
      <c r="IA30" s="318"/>
      <c r="IB30" s="318"/>
      <c r="IC30" s="318"/>
    </row>
    <row r="31" spans="1:237" s="260" customFormat="1" ht="15" customHeight="1" x14ac:dyDescent="0.3">
      <c r="A31" s="181">
        <v>7.02</v>
      </c>
      <c r="B31" s="239"/>
      <c r="C31" s="240" t="str">
        <f>VLOOKUP(BD.PD[[#This Row],[Pos]],PPto[],3,FALSE)</f>
        <v>7.02 Cocina, Patio Comidas y Rostizería</v>
      </c>
      <c r="D31" s="181" t="s">
        <v>40</v>
      </c>
      <c r="E31" s="242" t="str">
        <f>IF(BD.PD[[#This Row],[.]]="*",VLOOKUP(BD.PD[[#This Row],[Pos]],Presupuesto!A:H,7,FALSE),"")</f>
        <v/>
      </c>
      <c r="F31" s="305" t="s">
        <v>480</v>
      </c>
      <c r="G31" s="243" t="s">
        <v>308</v>
      </c>
      <c r="H31" s="275"/>
      <c r="I31" s="276">
        <v>30</v>
      </c>
      <c r="J31" s="181" t="s">
        <v>314</v>
      </c>
      <c r="K31" s="245">
        <f>IF(BD.PD[[#This Row],[Mon]]="DOP",1,HLOOKUP(BD.PD[[#This Row],[Mon]],$J$1:$K$2,2,FALSE))</f>
        <v>1</v>
      </c>
      <c r="L31" s="277">
        <v>3049.0736666666667</v>
      </c>
      <c r="M31" s="247">
        <f>BD.PD[[#This Row],[Cant.]]*BD.PD[[#This Row],[ Tasa ]]*BD.PD[[#This Row],[ Precio Und.]]</f>
        <v>91472.21</v>
      </c>
      <c r="N31" s="278">
        <v>0</v>
      </c>
      <c r="O31" s="247">
        <f>IF(BD.PD[[#This Row],[Liquid. '[%']]]&lt;&gt;0,(BD.PD[[#This Row],[Valor Neto '[DOP']]]*BD.PD[[#This Row],[Liquid. '[%']]])+BD.PD[[#This Row],[Valor Neto '[DOP']]],BD.PD[[#This Row],[Valor Neto '[DOP']]])</f>
        <v>91472.21</v>
      </c>
      <c r="P31" s="249">
        <f>BD.PD[[#This Row],[Ppto. Orden Interna '[DOP']]]/HLOOKUP("USD",$J$1:$K$2,2,FALSE)</f>
        <v>1506.95568369028</v>
      </c>
      <c r="Q31" s="250" t="s">
        <v>456</v>
      </c>
      <c r="R31" s="424" t="s">
        <v>387</v>
      </c>
      <c r="S31" s="251">
        <v>22</v>
      </c>
      <c r="T31" s="252">
        <v>1</v>
      </c>
      <c r="U31" s="253">
        <f>BD.PD[[#This Row],[Av.P1 '[%']]]*BD.PD[[#This Row],[Ppto. Orden Interna '[DOP']]]</f>
        <v>91472.21</v>
      </c>
      <c r="V31" s="254"/>
      <c r="W31" s="255"/>
      <c r="X31" s="253">
        <f>BD.PD[[#This Row],[Av.P2 '[%']]]*BD.PD[[#This Row],[Ppto. Orden Interna '[DOP']]]</f>
        <v>0</v>
      </c>
      <c r="Y31" s="254"/>
      <c r="Z31" s="255"/>
      <c r="AA31" s="253">
        <f>BD.PD[[#This Row],[Av.P3 '[%']]]*BD.PD[[#This Row],[Ppto. Orden Interna '[DOP']]]</f>
        <v>0</v>
      </c>
      <c r="AB31" s="254"/>
      <c r="AC31" s="255"/>
      <c r="AD31" s="253">
        <f>BD.PD[[#This Row],[Av.P4 '[%']]]*BD.PD[[#This Row],[Ppto. Orden Interna '[DOP']]]</f>
        <v>0</v>
      </c>
      <c r="AE31" s="254"/>
      <c r="AF31" s="255"/>
      <c r="AG31" s="253">
        <f>BD.PD[[#This Row],[Av.P5 '[%']]]*BD.PD[[#This Row],[Ppto. Orden Interna '[DOP']]]</f>
        <v>0</v>
      </c>
      <c r="AH31" s="256">
        <f>BD.PD[[#This Row],[Pago 5]]+BD.PD[[#This Row],[Pago 4]]+BD.PD[[#This Row],[Pago 3]]+BD.PD[[#This Row],[Pago 2]]+BD.PD[[#This Row],[Pago 1]]</f>
        <v>91472.21</v>
      </c>
      <c r="AI31" s="318"/>
      <c r="AJ31" s="318"/>
      <c r="AK31" s="318"/>
      <c r="AL31" s="318"/>
      <c r="AM31" s="318"/>
      <c r="AN31" s="318"/>
      <c r="AO31" s="318"/>
      <c r="AP31" s="318"/>
      <c r="AQ31" s="318"/>
      <c r="AR31" s="318"/>
      <c r="AS31" s="318"/>
      <c r="AT31" s="318"/>
      <c r="AU31" s="318"/>
      <c r="AV31" s="318"/>
      <c r="AW31" s="318"/>
      <c r="AX31" s="318"/>
      <c r="AY31" s="318"/>
      <c r="AZ31" s="318"/>
      <c r="BA31" s="318"/>
      <c r="BB31" s="318"/>
      <c r="BC31" s="318"/>
      <c r="BD31" s="318"/>
      <c r="BE31" s="318"/>
      <c r="BF31" s="318"/>
      <c r="BG31" s="318"/>
      <c r="BH31" s="318"/>
      <c r="BI31" s="318"/>
      <c r="BJ31" s="318"/>
      <c r="BK31" s="318"/>
      <c r="BL31" s="318"/>
      <c r="BM31" s="318"/>
      <c r="BN31" s="318"/>
      <c r="BO31" s="318"/>
      <c r="BP31" s="318"/>
      <c r="BQ31" s="318"/>
      <c r="BR31" s="318"/>
      <c r="BS31" s="318"/>
      <c r="BT31" s="318"/>
      <c r="BU31" s="318"/>
      <c r="BV31" s="318"/>
      <c r="BW31" s="318"/>
      <c r="BX31" s="318"/>
      <c r="BY31" s="318"/>
      <c r="BZ31" s="318"/>
      <c r="CA31" s="318"/>
      <c r="CB31" s="318"/>
      <c r="CC31" s="318"/>
      <c r="CD31" s="318"/>
      <c r="CE31" s="318"/>
      <c r="CF31" s="318"/>
      <c r="CG31" s="318"/>
      <c r="CH31" s="318"/>
      <c r="CI31" s="318"/>
      <c r="CJ31" s="318"/>
      <c r="CK31" s="318"/>
      <c r="CL31" s="318"/>
      <c r="CM31" s="318"/>
      <c r="CN31" s="318"/>
      <c r="CO31" s="318"/>
      <c r="CP31" s="318"/>
      <c r="CQ31" s="318"/>
      <c r="CR31" s="318"/>
      <c r="CS31" s="318"/>
      <c r="CT31" s="318"/>
      <c r="CU31" s="318"/>
      <c r="CV31" s="318"/>
      <c r="CW31" s="318"/>
      <c r="CX31" s="318"/>
      <c r="CY31" s="318"/>
      <c r="CZ31" s="318"/>
      <c r="DA31" s="318"/>
      <c r="DB31" s="318"/>
      <c r="DC31" s="318"/>
      <c r="DD31" s="318"/>
      <c r="DE31" s="318"/>
      <c r="DF31" s="318"/>
      <c r="DG31" s="318"/>
      <c r="DH31" s="318"/>
      <c r="DI31" s="318"/>
      <c r="DJ31" s="318"/>
      <c r="DK31" s="318"/>
      <c r="DL31" s="318"/>
      <c r="DM31" s="318"/>
      <c r="DN31" s="318"/>
      <c r="DO31" s="318"/>
      <c r="DP31" s="318"/>
      <c r="DQ31" s="318"/>
      <c r="DR31" s="318"/>
      <c r="DS31" s="318"/>
      <c r="DT31" s="318"/>
      <c r="DU31" s="318"/>
      <c r="DV31" s="318"/>
      <c r="DW31" s="318"/>
      <c r="DX31" s="318"/>
      <c r="DY31" s="318"/>
      <c r="DZ31" s="318"/>
      <c r="EA31" s="318"/>
      <c r="EB31" s="318"/>
      <c r="EC31" s="318"/>
      <c r="ED31" s="318"/>
      <c r="EE31" s="318"/>
      <c r="EF31" s="318"/>
      <c r="EG31" s="318"/>
      <c r="EH31" s="318"/>
      <c r="EI31" s="318"/>
      <c r="EJ31" s="318"/>
      <c r="EK31" s="318"/>
      <c r="EL31" s="318"/>
      <c r="EM31" s="318"/>
      <c r="EN31" s="318"/>
      <c r="EO31" s="318"/>
      <c r="EP31" s="318"/>
      <c r="EQ31" s="318"/>
      <c r="ER31" s="318"/>
      <c r="ES31" s="318"/>
      <c r="ET31" s="318"/>
      <c r="EU31" s="318"/>
      <c r="EV31" s="318"/>
      <c r="EW31" s="318"/>
      <c r="EX31" s="318"/>
      <c r="EY31" s="318"/>
      <c r="EZ31" s="318"/>
      <c r="FA31" s="318"/>
      <c r="FB31" s="318"/>
      <c r="FC31" s="318"/>
      <c r="FD31" s="318"/>
      <c r="FE31" s="318"/>
      <c r="FF31" s="318"/>
      <c r="FG31" s="318"/>
      <c r="FH31" s="318"/>
      <c r="FI31" s="318"/>
      <c r="FJ31" s="318"/>
      <c r="FK31" s="318"/>
      <c r="FL31" s="318"/>
      <c r="FM31" s="318"/>
      <c r="FN31" s="318"/>
      <c r="FO31" s="318"/>
      <c r="FP31" s="318"/>
      <c r="FQ31" s="318"/>
      <c r="FR31" s="318"/>
      <c r="FS31" s="318"/>
      <c r="FT31" s="318"/>
      <c r="FU31" s="318"/>
      <c r="FV31" s="318"/>
      <c r="FW31" s="318"/>
      <c r="FX31" s="318"/>
      <c r="FY31" s="318"/>
      <c r="FZ31" s="318"/>
      <c r="GA31" s="318"/>
      <c r="GB31" s="318"/>
      <c r="GC31" s="318"/>
      <c r="GD31" s="318"/>
      <c r="GE31" s="318"/>
      <c r="GF31" s="318"/>
      <c r="GG31" s="318"/>
      <c r="GH31" s="318"/>
      <c r="GI31" s="318"/>
      <c r="GJ31" s="318"/>
      <c r="GK31" s="318"/>
      <c r="GL31" s="318"/>
      <c r="GM31" s="318"/>
      <c r="GN31" s="318"/>
      <c r="GO31" s="318"/>
      <c r="GP31" s="318"/>
      <c r="GQ31" s="318"/>
      <c r="GR31" s="318"/>
      <c r="GS31" s="318"/>
      <c r="GT31" s="318"/>
      <c r="GU31" s="318"/>
      <c r="GV31" s="318"/>
      <c r="GW31" s="318"/>
      <c r="GX31" s="318"/>
      <c r="GY31" s="318"/>
      <c r="GZ31" s="318"/>
      <c r="HA31" s="318"/>
      <c r="HB31" s="318"/>
      <c r="HC31" s="318"/>
      <c r="HD31" s="318"/>
      <c r="HE31" s="318"/>
      <c r="HF31" s="318"/>
      <c r="HG31" s="318"/>
      <c r="HH31" s="318"/>
      <c r="HI31" s="318"/>
      <c r="HJ31" s="318"/>
      <c r="HK31" s="318"/>
      <c r="HL31" s="318"/>
      <c r="HM31" s="318"/>
      <c r="HN31" s="318"/>
      <c r="HO31" s="318"/>
      <c r="HP31" s="318"/>
      <c r="HQ31" s="318"/>
      <c r="HR31" s="318"/>
      <c r="HS31" s="318"/>
      <c r="HT31" s="318"/>
      <c r="HU31" s="318"/>
      <c r="HV31" s="318"/>
      <c r="HW31" s="318"/>
      <c r="HX31" s="318"/>
      <c r="HY31" s="318"/>
      <c r="HZ31" s="318"/>
      <c r="IA31" s="318"/>
      <c r="IB31" s="318"/>
      <c r="IC31" s="318"/>
    </row>
    <row r="32" spans="1:237" s="260" customFormat="1" ht="15" customHeight="1" x14ac:dyDescent="0.3">
      <c r="A32" s="181">
        <v>7.02</v>
      </c>
      <c r="B32" s="239"/>
      <c r="C32" s="240" t="str">
        <f>VLOOKUP(BD.PD[[#This Row],[Pos]],PPto[],3,FALSE)</f>
        <v>7.02 Cocina, Patio Comidas y Rostizería</v>
      </c>
      <c r="D32" s="181" t="s">
        <v>40</v>
      </c>
      <c r="E32" s="242" t="str">
        <f>IF(BD.PD[[#This Row],[.]]="*",VLOOKUP(BD.PD[[#This Row],[Pos]],Presupuesto!A:H,7,FALSE),"")</f>
        <v/>
      </c>
      <c r="F32" s="305" t="s">
        <v>481</v>
      </c>
      <c r="G32" s="243" t="s">
        <v>334</v>
      </c>
      <c r="H32" s="275"/>
      <c r="I32" s="276">
        <v>9</v>
      </c>
      <c r="J32" s="181" t="s">
        <v>314</v>
      </c>
      <c r="K32" s="245">
        <f>IF(BD.PD[[#This Row],[Mon]]="DOP",1,HLOOKUP(BD.PD[[#This Row],[Mon]],$J$1:$K$2,2,FALSE))</f>
        <v>1</v>
      </c>
      <c r="L32" s="277">
        <v>25029.784444444445</v>
      </c>
      <c r="M32" s="247">
        <f>BD.PD[[#This Row],[Cant.]]*BD.PD[[#This Row],[ Tasa ]]*BD.PD[[#This Row],[ Precio Und.]]</f>
        <v>225268.06</v>
      </c>
      <c r="N32" s="278">
        <v>0</v>
      </c>
      <c r="O32" s="247">
        <f>IF(BD.PD[[#This Row],[Liquid. '[%']]]&lt;&gt;0,(BD.PD[[#This Row],[Valor Neto '[DOP']]]*BD.PD[[#This Row],[Liquid. '[%']]])+BD.PD[[#This Row],[Valor Neto '[DOP']]],BD.PD[[#This Row],[Valor Neto '[DOP']]])</f>
        <v>225268.06</v>
      </c>
      <c r="P32" s="249">
        <f>BD.PD[[#This Row],[Ppto. Orden Interna '[DOP']]]/HLOOKUP("USD",$J$1:$K$2,2,FALSE)</f>
        <v>3711.1706754530474</v>
      </c>
      <c r="Q32" s="250" t="s">
        <v>456</v>
      </c>
      <c r="R32" s="424" t="s">
        <v>387</v>
      </c>
      <c r="S32" s="251">
        <v>21</v>
      </c>
      <c r="T32" s="252">
        <v>1</v>
      </c>
      <c r="U32" s="253">
        <f>BD.PD[[#This Row],[Av.P1 '[%']]]*BD.PD[[#This Row],[Ppto. Orden Interna '[DOP']]]</f>
        <v>225268.06</v>
      </c>
      <c r="V32" s="254"/>
      <c r="W32" s="255"/>
      <c r="X32" s="253">
        <f>BD.PD[[#This Row],[Av.P2 '[%']]]*BD.PD[[#This Row],[Ppto. Orden Interna '[DOP']]]</f>
        <v>0</v>
      </c>
      <c r="Y32" s="254"/>
      <c r="Z32" s="255"/>
      <c r="AA32" s="253">
        <f>BD.PD[[#This Row],[Av.P3 '[%']]]*BD.PD[[#This Row],[Ppto. Orden Interna '[DOP']]]</f>
        <v>0</v>
      </c>
      <c r="AB32" s="254"/>
      <c r="AC32" s="255"/>
      <c r="AD32" s="253">
        <f>BD.PD[[#This Row],[Av.P4 '[%']]]*BD.PD[[#This Row],[Ppto. Orden Interna '[DOP']]]</f>
        <v>0</v>
      </c>
      <c r="AE32" s="254"/>
      <c r="AF32" s="255"/>
      <c r="AG32" s="253">
        <f>BD.PD[[#This Row],[Av.P5 '[%']]]*BD.PD[[#This Row],[Ppto. Orden Interna '[DOP']]]</f>
        <v>0</v>
      </c>
      <c r="AH32" s="256">
        <f>BD.PD[[#This Row],[Pago 5]]+BD.PD[[#This Row],[Pago 4]]+BD.PD[[#This Row],[Pago 3]]+BD.PD[[#This Row],[Pago 2]]+BD.PD[[#This Row],[Pago 1]]</f>
        <v>225268.06</v>
      </c>
      <c r="AI32" s="318"/>
      <c r="AJ32" s="318"/>
      <c r="AK32" s="318"/>
      <c r="AL32" s="318"/>
      <c r="AM32" s="318"/>
      <c r="AN32" s="318"/>
      <c r="AO32" s="318"/>
      <c r="AP32" s="318"/>
      <c r="AQ32" s="318"/>
      <c r="AR32" s="318"/>
      <c r="AS32" s="318"/>
      <c r="AT32" s="318"/>
      <c r="AU32" s="318"/>
      <c r="AV32" s="318"/>
      <c r="AW32" s="318"/>
      <c r="AX32" s="318"/>
      <c r="AY32" s="318"/>
      <c r="AZ32" s="318"/>
      <c r="BA32" s="318"/>
      <c r="BB32" s="318"/>
      <c r="BC32" s="318"/>
      <c r="BD32" s="318"/>
      <c r="BE32" s="318"/>
      <c r="BF32" s="318"/>
      <c r="BG32" s="318"/>
      <c r="BH32" s="318"/>
      <c r="BI32" s="318"/>
      <c r="BJ32" s="318"/>
      <c r="BK32" s="318"/>
      <c r="BL32" s="318"/>
      <c r="BM32" s="318"/>
      <c r="BN32" s="318"/>
      <c r="BO32" s="318"/>
      <c r="BP32" s="318"/>
      <c r="BQ32" s="318"/>
      <c r="BR32" s="318"/>
      <c r="BS32" s="318"/>
      <c r="BT32" s="318"/>
      <c r="BU32" s="318"/>
      <c r="BV32" s="318"/>
      <c r="BW32" s="318"/>
      <c r="BX32" s="318"/>
      <c r="BY32" s="318"/>
      <c r="BZ32" s="318"/>
      <c r="CA32" s="318"/>
      <c r="CB32" s="318"/>
      <c r="CC32" s="318"/>
      <c r="CD32" s="318"/>
      <c r="CE32" s="318"/>
      <c r="CF32" s="318"/>
      <c r="CG32" s="318"/>
      <c r="CH32" s="318"/>
      <c r="CI32" s="318"/>
      <c r="CJ32" s="318"/>
      <c r="CK32" s="318"/>
      <c r="CL32" s="318"/>
      <c r="CM32" s="318"/>
      <c r="CN32" s="318"/>
      <c r="CO32" s="318"/>
      <c r="CP32" s="318"/>
      <c r="CQ32" s="318"/>
      <c r="CR32" s="318"/>
      <c r="CS32" s="318"/>
      <c r="CT32" s="318"/>
      <c r="CU32" s="318"/>
      <c r="CV32" s="318"/>
      <c r="CW32" s="318"/>
      <c r="CX32" s="318"/>
      <c r="CY32" s="318"/>
      <c r="CZ32" s="318"/>
      <c r="DA32" s="318"/>
      <c r="DB32" s="318"/>
      <c r="DC32" s="318"/>
      <c r="DD32" s="318"/>
      <c r="DE32" s="318"/>
      <c r="DF32" s="318"/>
      <c r="DG32" s="318"/>
      <c r="DH32" s="318"/>
      <c r="DI32" s="318"/>
      <c r="DJ32" s="318"/>
      <c r="DK32" s="318"/>
      <c r="DL32" s="318"/>
      <c r="DM32" s="318"/>
      <c r="DN32" s="318"/>
      <c r="DO32" s="318"/>
      <c r="DP32" s="318"/>
      <c r="DQ32" s="318"/>
      <c r="DR32" s="318"/>
      <c r="DS32" s="318"/>
      <c r="DT32" s="318"/>
      <c r="DU32" s="318"/>
      <c r="DV32" s="318"/>
      <c r="DW32" s="318"/>
      <c r="DX32" s="318"/>
      <c r="DY32" s="318"/>
      <c r="DZ32" s="318"/>
      <c r="EA32" s="318"/>
      <c r="EB32" s="318"/>
      <c r="EC32" s="318"/>
      <c r="ED32" s="318"/>
      <c r="EE32" s="318"/>
      <c r="EF32" s="318"/>
      <c r="EG32" s="318"/>
      <c r="EH32" s="318"/>
      <c r="EI32" s="318"/>
      <c r="EJ32" s="318"/>
      <c r="EK32" s="318"/>
      <c r="EL32" s="318"/>
      <c r="EM32" s="318"/>
      <c r="EN32" s="318"/>
      <c r="EO32" s="318"/>
      <c r="EP32" s="318"/>
      <c r="EQ32" s="318"/>
      <c r="ER32" s="318"/>
      <c r="ES32" s="318"/>
      <c r="ET32" s="318"/>
      <c r="EU32" s="318"/>
      <c r="EV32" s="318"/>
      <c r="EW32" s="318"/>
      <c r="EX32" s="318"/>
      <c r="EY32" s="318"/>
      <c r="EZ32" s="318"/>
      <c r="FA32" s="318"/>
      <c r="FB32" s="318"/>
      <c r="FC32" s="318"/>
      <c r="FD32" s="318"/>
      <c r="FE32" s="318"/>
      <c r="FF32" s="318"/>
      <c r="FG32" s="318"/>
      <c r="FH32" s="318"/>
      <c r="FI32" s="318"/>
      <c r="FJ32" s="318"/>
      <c r="FK32" s="318"/>
      <c r="FL32" s="318"/>
      <c r="FM32" s="318"/>
      <c r="FN32" s="318"/>
      <c r="FO32" s="318"/>
      <c r="FP32" s="318"/>
      <c r="FQ32" s="318"/>
      <c r="FR32" s="318"/>
      <c r="FS32" s="318"/>
      <c r="FT32" s="318"/>
      <c r="FU32" s="318"/>
      <c r="FV32" s="318"/>
      <c r="FW32" s="318"/>
      <c r="FX32" s="318"/>
      <c r="FY32" s="318"/>
      <c r="FZ32" s="318"/>
      <c r="GA32" s="318"/>
      <c r="GB32" s="318"/>
      <c r="GC32" s="318"/>
      <c r="GD32" s="318"/>
      <c r="GE32" s="318"/>
      <c r="GF32" s="318"/>
      <c r="GG32" s="318"/>
      <c r="GH32" s="318"/>
      <c r="GI32" s="318"/>
      <c r="GJ32" s="318"/>
      <c r="GK32" s="318"/>
      <c r="GL32" s="318"/>
      <c r="GM32" s="318"/>
      <c r="GN32" s="318"/>
      <c r="GO32" s="318"/>
      <c r="GP32" s="318"/>
      <c r="GQ32" s="318"/>
      <c r="GR32" s="318"/>
      <c r="GS32" s="318"/>
      <c r="GT32" s="318"/>
      <c r="GU32" s="318"/>
      <c r="GV32" s="318"/>
      <c r="GW32" s="318"/>
      <c r="GX32" s="318"/>
      <c r="GY32" s="318"/>
      <c r="GZ32" s="318"/>
      <c r="HA32" s="318"/>
      <c r="HB32" s="318"/>
      <c r="HC32" s="318"/>
      <c r="HD32" s="318"/>
      <c r="HE32" s="318"/>
      <c r="HF32" s="318"/>
      <c r="HG32" s="318"/>
      <c r="HH32" s="318"/>
      <c r="HI32" s="318"/>
      <c r="HJ32" s="318"/>
      <c r="HK32" s="318"/>
      <c r="HL32" s="318"/>
      <c r="HM32" s="318"/>
      <c r="HN32" s="318"/>
      <c r="HO32" s="318"/>
      <c r="HP32" s="318"/>
      <c r="HQ32" s="318"/>
      <c r="HR32" s="318"/>
      <c r="HS32" s="318"/>
      <c r="HT32" s="318"/>
      <c r="HU32" s="318"/>
      <c r="HV32" s="318"/>
      <c r="HW32" s="318"/>
      <c r="HX32" s="318"/>
      <c r="HY32" s="318"/>
      <c r="HZ32" s="318"/>
      <c r="IA32" s="318"/>
      <c r="IB32" s="318"/>
      <c r="IC32" s="318"/>
    </row>
    <row r="33" spans="1:237" s="260" customFormat="1" ht="15" customHeight="1" x14ac:dyDescent="0.3">
      <c r="A33" s="181">
        <v>7.02</v>
      </c>
      <c r="B33" s="239"/>
      <c r="C33" s="240" t="str">
        <f>VLOOKUP(BD.PD[[#This Row],[Pos]],PPto[],3,FALSE)</f>
        <v>7.02 Cocina, Patio Comidas y Rostizería</v>
      </c>
      <c r="D33" s="181" t="s">
        <v>40</v>
      </c>
      <c r="E33" s="242" t="str">
        <f>IF(BD.PD[[#This Row],[.]]="*",VLOOKUP(BD.PD[[#This Row],[Pos]],Presupuesto!A:H,7,FALSE),"")</f>
        <v/>
      </c>
      <c r="F33" s="303" t="s">
        <v>482</v>
      </c>
      <c r="G33" s="243" t="s">
        <v>308</v>
      </c>
      <c r="H33" s="275"/>
      <c r="I33" s="276">
        <v>15</v>
      </c>
      <c r="J33" s="181" t="s">
        <v>314</v>
      </c>
      <c r="K33" s="245">
        <f>IF(BD.PD[[#This Row],[Mon]]="DOP",1,HLOOKUP(BD.PD[[#This Row],[Mon]],$J$1:$K$2,2,FALSE))</f>
        <v>1</v>
      </c>
      <c r="L33" s="277">
        <v>1200</v>
      </c>
      <c r="M33" s="247">
        <f>BD.PD[[#This Row],[Cant.]]*BD.PD[[#This Row],[ Tasa ]]*BD.PD[[#This Row],[ Precio Und.]]</f>
        <v>18000</v>
      </c>
      <c r="N33" s="278">
        <v>0</v>
      </c>
      <c r="O33" s="247">
        <f>IF(BD.PD[[#This Row],[Liquid. '[%']]]&lt;&gt;0,(BD.PD[[#This Row],[Valor Neto '[DOP']]]*BD.PD[[#This Row],[Liquid. '[%']]])+BD.PD[[#This Row],[Valor Neto '[DOP']]],BD.PD[[#This Row],[Valor Neto '[DOP']]])</f>
        <v>18000</v>
      </c>
      <c r="P33" s="249">
        <f>BD.PD[[#This Row],[Ppto. Orden Interna '[DOP']]]/HLOOKUP("USD",$J$1:$K$2,2,FALSE)</f>
        <v>296.54036243822077</v>
      </c>
      <c r="Q33" s="250" t="s">
        <v>456</v>
      </c>
      <c r="R33" s="424" t="s">
        <v>387</v>
      </c>
      <c r="S33" s="251">
        <v>22</v>
      </c>
      <c r="T33" s="252">
        <v>1</v>
      </c>
      <c r="U33" s="253">
        <f>BD.PD[[#This Row],[Av.P1 '[%']]]*BD.PD[[#This Row],[Ppto. Orden Interna '[DOP']]]</f>
        <v>18000</v>
      </c>
      <c r="V33" s="254"/>
      <c r="W33" s="255"/>
      <c r="X33" s="253">
        <f>BD.PD[[#This Row],[Av.P2 '[%']]]*BD.PD[[#This Row],[Ppto. Orden Interna '[DOP']]]</f>
        <v>0</v>
      </c>
      <c r="Y33" s="254"/>
      <c r="Z33" s="255"/>
      <c r="AA33" s="253">
        <f>BD.PD[[#This Row],[Av.P3 '[%']]]*BD.PD[[#This Row],[Ppto. Orden Interna '[DOP']]]</f>
        <v>0</v>
      </c>
      <c r="AB33" s="254"/>
      <c r="AC33" s="255"/>
      <c r="AD33" s="253">
        <f>BD.PD[[#This Row],[Av.P4 '[%']]]*BD.PD[[#This Row],[Ppto. Orden Interna '[DOP']]]</f>
        <v>0</v>
      </c>
      <c r="AE33" s="254"/>
      <c r="AF33" s="255"/>
      <c r="AG33" s="253">
        <f>BD.PD[[#This Row],[Av.P5 '[%']]]*BD.PD[[#This Row],[Ppto. Orden Interna '[DOP']]]</f>
        <v>0</v>
      </c>
      <c r="AH33" s="256">
        <f>BD.PD[[#This Row],[Pago 5]]+BD.PD[[#This Row],[Pago 4]]+BD.PD[[#This Row],[Pago 3]]+BD.PD[[#This Row],[Pago 2]]+BD.PD[[#This Row],[Pago 1]]</f>
        <v>18000</v>
      </c>
      <c r="AI33" s="318"/>
      <c r="AJ33" s="318"/>
      <c r="AK33" s="318"/>
      <c r="AL33" s="318"/>
      <c r="AM33" s="318"/>
      <c r="AN33" s="318"/>
      <c r="AO33" s="318"/>
      <c r="AP33" s="318"/>
      <c r="AQ33" s="318"/>
      <c r="AR33" s="318"/>
      <c r="AS33" s="318"/>
      <c r="AT33" s="318"/>
      <c r="AU33" s="318"/>
      <c r="AV33" s="318"/>
      <c r="AW33" s="318"/>
      <c r="AX33" s="318"/>
      <c r="AY33" s="318"/>
      <c r="AZ33" s="318"/>
      <c r="BA33" s="318"/>
      <c r="BB33" s="318"/>
      <c r="BC33" s="318"/>
      <c r="BD33" s="318"/>
      <c r="BE33" s="318"/>
      <c r="BF33" s="318"/>
      <c r="BG33" s="318"/>
      <c r="BH33" s="318"/>
      <c r="BI33" s="318"/>
      <c r="BJ33" s="318"/>
      <c r="BK33" s="318"/>
      <c r="BL33" s="318"/>
      <c r="BM33" s="318"/>
      <c r="BN33" s="318"/>
      <c r="BO33" s="318"/>
      <c r="BP33" s="318"/>
      <c r="BQ33" s="318"/>
      <c r="BR33" s="318"/>
      <c r="BS33" s="318"/>
      <c r="BT33" s="318"/>
      <c r="BU33" s="318"/>
      <c r="BV33" s="318"/>
      <c r="BW33" s="318"/>
      <c r="BX33" s="318"/>
      <c r="BY33" s="318"/>
      <c r="BZ33" s="318"/>
      <c r="CA33" s="318"/>
      <c r="CB33" s="318"/>
      <c r="CC33" s="318"/>
      <c r="CD33" s="318"/>
      <c r="CE33" s="318"/>
      <c r="CF33" s="318"/>
      <c r="CG33" s="318"/>
      <c r="CH33" s="318"/>
      <c r="CI33" s="318"/>
      <c r="CJ33" s="318"/>
      <c r="CK33" s="318"/>
      <c r="CL33" s="318"/>
      <c r="CM33" s="318"/>
      <c r="CN33" s="318"/>
      <c r="CO33" s="318"/>
      <c r="CP33" s="318"/>
      <c r="CQ33" s="318"/>
      <c r="CR33" s="318"/>
      <c r="CS33" s="318"/>
      <c r="CT33" s="318"/>
      <c r="CU33" s="318"/>
      <c r="CV33" s="318"/>
      <c r="CW33" s="318"/>
      <c r="CX33" s="318"/>
      <c r="CY33" s="318"/>
      <c r="CZ33" s="318"/>
      <c r="DA33" s="318"/>
      <c r="DB33" s="318"/>
      <c r="DC33" s="318"/>
      <c r="DD33" s="318"/>
      <c r="DE33" s="318"/>
      <c r="DF33" s="318"/>
      <c r="DG33" s="318"/>
      <c r="DH33" s="318"/>
      <c r="DI33" s="318"/>
      <c r="DJ33" s="318"/>
      <c r="DK33" s="318"/>
      <c r="DL33" s="318"/>
      <c r="DM33" s="318"/>
      <c r="DN33" s="318"/>
      <c r="DO33" s="318"/>
      <c r="DP33" s="318"/>
      <c r="DQ33" s="318"/>
      <c r="DR33" s="318"/>
      <c r="DS33" s="318"/>
      <c r="DT33" s="318"/>
      <c r="DU33" s="318"/>
      <c r="DV33" s="318"/>
      <c r="DW33" s="318"/>
      <c r="DX33" s="318"/>
      <c r="DY33" s="318"/>
      <c r="DZ33" s="318"/>
      <c r="EA33" s="318"/>
      <c r="EB33" s="318"/>
      <c r="EC33" s="318"/>
      <c r="ED33" s="318"/>
      <c r="EE33" s="318"/>
      <c r="EF33" s="318"/>
      <c r="EG33" s="318"/>
      <c r="EH33" s="318"/>
      <c r="EI33" s="318"/>
      <c r="EJ33" s="318"/>
      <c r="EK33" s="318"/>
      <c r="EL33" s="318"/>
      <c r="EM33" s="318"/>
      <c r="EN33" s="318"/>
      <c r="EO33" s="318"/>
      <c r="EP33" s="318"/>
      <c r="EQ33" s="318"/>
      <c r="ER33" s="318"/>
      <c r="ES33" s="318"/>
      <c r="ET33" s="318"/>
      <c r="EU33" s="318"/>
      <c r="EV33" s="318"/>
      <c r="EW33" s="318"/>
      <c r="EX33" s="318"/>
      <c r="EY33" s="318"/>
      <c r="EZ33" s="318"/>
      <c r="FA33" s="318"/>
      <c r="FB33" s="318"/>
      <c r="FC33" s="318"/>
      <c r="FD33" s="318"/>
      <c r="FE33" s="318"/>
      <c r="FF33" s="318"/>
      <c r="FG33" s="318"/>
      <c r="FH33" s="318"/>
      <c r="FI33" s="318"/>
      <c r="FJ33" s="318"/>
      <c r="FK33" s="318"/>
      <c r="FL33" s="318"/>
      <c r="FM33" s="318"/>
      <c r="FN33" s="318"/>
      <c r="FO33" s="318"/>
      <c r="FP33" s="318"/>
      <c r="FQ33" s="318"/>
      <c r="FR33" s="318"/>
      <c r="FS33" s="318"/>
      <c r="FT33" s="318"/>
      <c r="FU33" s="318"/>
      <c r="FV33" s="318"/>
      <c r="FW33" s="318"/>
      <c r="FX33" s="318"/>
      <c r="FY33" s="318"/>
      <c r="FZ33" s="318"/>
      <c r="GA33" s="318"/>
      <c r="GB33" s="318"/>
      <c r="GC33" s="318"/>
      <c r="GD33" s="318"/>
      <c r="GE33" s="318"/>
      <c r="GF33" s="318"/>
      <c r="GG33" s="318"/>
      <c r="GH33" s="318"/>
      <c r="GI33" s="318"/>
      <c r="GJ33" s="318"/>
      <c r="GK33" s="318"/>
      <c r="GL33" s="318"/>
      <c r="GM33" s="318"/>
      <c r="GN33" s="318"/>
      <c r="GO33" s="318"/>
      <c r="GP33" s="318"/>
      <c r="GQ33" s="318"/>
      <c r="GR33" s="318"/>
      <c r="GS33" s="318"/>
      <c r="GT33" s="318"/>
      <c r="GU33" s="318"/>
      <c r="GV33" s="318"/>
      <c r="GW33" s="318"/>
      <c r="GX33" s="318"/>
      <c r="GY33" s="318"/>
      <c r="GZ33" s="318"/>
      <c r="HA33" s="318"/>
      <c r="HB33" s="318"/>
      <c r="HC33" s="318"/>
      <c r="HD33" s="318"/>
      <c r="HE33" s="318"/>
      <c r="HF33" s="318"/>
      <c r="HG33" s="318"/>
      <c r="HH33" s="318"/>
      <c r="HI33" s="318"/>
      <c r="HJ33" s="318"/>
      <c r="HK33" s="318"/>
      <c r="HL33" s="318"/>
      <c r="HM33" s="318"/>
      <c r="HN33" s="318"/>
      <c r="HO33" s="318"/>
      <c r="HP33" s="318"/>
      <c r="HQ33" s="318"/>
      <c r="HR33" s="318"/>
      <c r="HS33" s="318"/>
      <c r="HT33" s="318"/>
      <c r="HU33" s="318"/>
      <c r="HV33" s="318"/>
      <c r="HW33" s="318"/>
      <c r="HX33" s="318"/>
      <c r="HY33" s="318"/>
      <c r="HZ33" s="318"/>
      <c r="IA33" s="318"/>
      <c r="IB33" s="318"/>
      <c r="IC33" s="318"/>
    </row>
    <row r="34" spans="1:237" s="260" customFormat="1" ht="15" customHeight="1" x14ac:dyDescent="0.3">
      <c r="A34" s="181">
        <v>7.02</v>
      </c>
      <c r="B34" s="239"/>
      <c r="C34" s="240" t="str">
        <f>VLOOKUP(BD.PD[[#This Row],[Pos]],PPto[],3,FALSE)</f>
        <v>7.02 Cocina, Patio Comidas y Rostizería</v>
      </c>
      <c r="D34" s="181" t="s">
        <v>40</v>
      </c>
      <c r="E34" s="242" t="str">
        <f>IF(BD.PD[[#This Row],[.]]="*",VLOOKUP(BD.PD[[#This Row],[Pos]],Presupuesto!A:H,7,FALSE),"")</f>
        <v/>
      </c>
      <c r="F34" s="243" t="s">
        <v>483</v>
      </c>
      <c r="G34" s="243" t="s">
        <v>308</v>
      </c>
      <c r="H34" s="275"/>
      <c r="I34" s="276">
        <v>4</v>
      </c>
      <c r="J34" s="181" t="s">
        <v>314</v>
      </c>
      <c r="K34" s="245">
        <f>IF(BD.PD[[#This Row],[Mon]]="DOP",1,HLOOKUP(BD.PD[[#This Row],[Mon]],$J$1:$K$2,2,FALSE))</f>
        <v>1</v>
      </c>
      <c r="L34" s="277">
        <v>1990</v>
      </c>
      <c r="M34" s="247">
        <f>BD.PD[[#This Row],[Cant.]]*BD.PD[[#This Row],[ Tasa ]]*BD.PD[[#This Row],[ Precio Und.]]</f>
        <v>7960</v>
      </c>
      <c r="N34" s="278">
        <v>0</v>
      </c>
      <c r="O34" s="247">
        <f>IF(BD.PD[[#This Row],[Liquid. '[%']]]&lt;&gt;0,(BD.PD[[#This Row],[Valor Neto '[DOP']]]*BD.PD[[#This Row],[Liquid. '[%']]])+BD.PD[[#This Row],[Valor Neto '[DOP']]],BD.PD[[#This Row],[Valor Neto '[DOP']]])</f>
        <v>7960</v>
      </c>
      <c r="P34" s="249">
        <f>BD.PD[[#This Row],[Ppto. Orden Interna '[DOP']]]/HLOOKUP("USD",$J$1:$K$2,2,FALSE)</f>
        <v>131.13673805601317</v>
      </c>
      <c r="Q34" s="250" t="s">
        <v>456</v>
      </c>
      <c r="R34" s="424" t="s">
        <v>387</v>
      </c>
      <c r="S34" s="251">
        <v>22</v>
      </c>
      <c r="T34" s="252">
        <v>1</v>
      </c>
      <c r="U34" s="253">
        <f>BD.PD[[#This Row],[Av.P1 '[%']]]*BD.PD[[#This Row],[Ppto. Orden Interna '[DOP']]]</f>
        <v>7960</v>
      </c>
      <c r="V34" s="254"/>
      <c r="W34" s="255"/>
      <c r="X34" s="253">
        <f>BD.PD[[#This Row],[Av.P2 '[%']]]*BD.PD[[#This Row],[Ppto. Orden Interna '[DOP']]]</f>
        <v>0</v>
      </c>
      <c r="Y34" s="254"/>
      <c r="Z34" s="255"/>
      <c r="AA34" s="253">
        <f>BD.PD[[#This Row],[Av.P3 '[%']]]*BD.PD[[#This Row],[Ppto. Orden Interna '[DOP']]]</f>
        <v>0</v>
      </c>
      <c r="AB34" s="254"/>
      <c r="AC34" s="255"/>
      <c r="AD34" s="253">
        <f>BD.PD[[#This Row],[Av.P4 '[%']]]*BD.PD[[#This Row],[Ppto. Orden Interna '[DOP']]]</f>
        <v>0</v>
      </c>
      <c r="AE34" s="254"/>
      <c r="AF34" s="255"/>
      <c r="AG34" s="253">
        <f>BD.PD[[#This Row],[Av.P5 '[%']]]*BD.PD[[#This Row],[Ppto. Orden Interna '[DOP']]]</f>
        <v>0</v>
      </c>
      <c r="AH34" s="256">
        <f>BD.PD[[#This Row],[Pago 5]]+BD.PD[[#This Row],[Pago 4]]+BD.PD[[#This Row],[Pago 3]]+BD.PD[[#This Row],[Pago 2]]+BD.PD[[#This Row],[Pago 1]]</f>
        <v>7960</v>
      </c>
      <c r="AI34" s="318"/>
      <c r="AJ34" s="318"/>
      <c r="AK34" s="318"/>
      <c r="AL34" s="318"/>
      <c r="AM34" s="318"/>
      <c r="AN34" s="318"/>
      <c r="AO34" s="318"/>
      <c r="AP34" s="318"/>
      <c r="AQ34" s="318"/>
      <c r="AR34" s="318"/>
      <c r="AS34" s="318"/>
      <c r="AT34" s="318"/>
      <c r="AU34" s="318"/>
      <c r="AV34" s="318"/>
      <c r="AW34" s="318"/>
      <c r="AX34" s="318"/>
      <c r="AY34" s="318"/>
      <c r="AZ34" s="318"/>
      <c r="BA34" s="318"/>
      <c r="BB34" s="318"/>
      <c r="BC34" s="318"/>
      <c r="BD34" s="318"/>
      <c r="BE34" s="318"/>
      <c r="BF34" s="318"/>
      <c r="BG34" s="318"/>
      <c r="BH34" s="318"/>
      <c r="BI34" s="318"/>
      <c r="BJ34" s="318"/>
      <c r="BK34" s="318"/>
      <c r="BL34" s="318"/>
      <c r="BM34" s="318"/>
      <c r="BN34" s="318"/>
      <c r="BO34" s="318"/>
      <c r="BP34" s="318"/>
      <c r="BQ34" s="318"/>
      <c r="BR34" s="318"/>
      <c r="BS34" s="318"/>
      <c r="BT34" s="318"/>
      <c r="BU34" s="318"/>
      <c r="BV34" s="318"/>
      <c r="BW34" s="318"/>
      <c r="BX34" s="318"/>
      <c r="BY34" s="318"/>
      <c r="BZ34" s="318"/>
      <c r="CA34" s="318"/>
      <c r="CB34" s="318"/>
      <c r="CC34" s="318"/>
      <c r="CD34" s="318"/>
      <c r="CE34" s="318"/>
      <c r="CF34" s="318"/>
      <c r="CG34" s="318"/>
      <c r="CH34" s="318"/>
      <c r="CI34" s="318"/>
      <c r="CJ34" s="318"/>
      <c r="CK34" s="318"/>
      <c r="CL34" s="318"/>
      <c r="CM34" s="318"/>
      <c r="CN34" s="318"/>
      <c r="CO34" s="318"/>
      <c r="CP34" s="318"/>
      <c r="CQ34" s="318"/>
      <c r="CR34" s="318"/>
      <c r="CS34" s="318"/>
      <c r="CT34" s="318"/>
      <c r="CU34" s="318"/>
      <c r="CV34" s="318"/>
      <c r="CW34" s="318"/>
      <c r="CX34" s="318"/>
      <c r="CY34" s="318"/>
      <c r="CZ34" s="318"/>
      <c r="DA34" s="318"/>
      <c r="DB34" s="318"/>
      <c r="DC34" s="318"/>
      <c r="DD34" s="318"/>
      <c r="DE34" s="318"/>
      <c r="DF34" s="318"/>
      <c r="DG34" s="318"/>
      <c r="DH34" s="318"/>
      <c r="DI34" s="318"/>
      <c r="DJ34" s="318"/>
      <c r="DK34" s="318"/>
      <c r="DL34" s="318"/>
      <c r="DM34" s="318"/>
      <c r="DN34" s="318"/>
      <c r="DO34" s="318"/>
      <c r="DP34" s="318"/>
      <c r="DQ34" s="318"/>
      <c r="DR34" s="318"/>
      <c r="DS34" s="318"/>
      <c r="DT34" s="318"/>
      <c r="DU34" s="318"/>
      <c r="DV34" s="318"/>
      <c r="DW34" s="318"/>
      <c r="DX34" s="318"/>
      <c r="DY34" s="318"/>
      <c r="DZ34" s="318"/>
      <c r="EA34" s="318"/>
      <c r="EB34" s="318"/>
      <c r="EC34" s="318"/>
      <c r="ED34" s="318"/>
      <c r="EE34" s="318"/>
      <c r="EF34" s="318"/>
      <c r="EG34" s="318"/>
      <c r="EH34" s="318"/>
      <c r="EI34" s="318"/>
      <c r="EJ34" s="318"/>
      <c r="EK34" s="318"/>
      <c r="EL34" s="318"/>
      <c r="EM34" s="318"/>
      <c r="EN34" s="318"/>
      <c r="EO34" s="318"/>
      <c r="EP34" s="318"/>
      <c r="EQ34" s="318"/>
      <c r="ER34" s="318"/>
      <c r="ES34" s="318"/>
      <c r="ET34" s="318"/>
      <c r="EU34" s="318"/>
      <c r="EV34" s="318"/>
      <c r="EW34" s="318"/>
      <c r="EX34" s="318"/>
      <c r="EY34" s="318"/>
      <c r="EZ34" s="318"/>
      <c r="FA34" s="318"/>
      <c r="FB34" s="318"/>
      <c r="FC34" s="318"/>
      <c r="FD34" s="318"/>
      <c r="FE34" s="318"/>
      <c r="FF34" s="318"/>
      <c r="FG34" s="318"/>
      <c r="FH34" s="318"/>
      <c r="FI34" s="318"/>
      <c r="FJ34" s="318"/>
      <c r="FK34" s="318"/>
      <c r="FL34" s="318"/>
      <c r="FM34" s="318"/>
      <c r="FN34" s="318"/>
      <c r="FO34" s="318"/>
      <c r="FP34" s="318"/>
      <c r="FQ34" s="318"/>
      <c r="FR34" s="318"/>
      <c r="FS34" s="318"/>
      <c r="FT34" s="318"/>
      <c r="FU34" s="318"/>
      <c r="FV34" s="318"/>
      <c r="FW34" s="318"/>
      <c r="FX34" s="318"/>
      <c r="FY34" s="318"/>
      <c r="FZ34" s="318"/>
      <c r="GA34" s="318"/>
      <c r="GB34" s="318"/>
      <c r="GC34" s="318"/>
      <c r="GD34" s="318"/>
      <c r="GE34" s="318"/>
      <c r="GF34" s="318"/>
      <c r="GG34" s="318"/>
      <c r="GH34" s="318"/>
      <c r="GI34" s="318"/>
      <c r="GJ34" s="318"/>
      <c r="GK34" s="318"/>
      <c r="GL34" s="318"/>
      <c r="GM34" s="318"/>
      <c r="GN34" s="318"/>
      <c r="GO34" s="318"/>
      <c r="GP34" s="318"/>
      <c r="GQ34" s="318"/>
      <c r="GR34" s="318"/>
      <c r="GS34" s="318"/>
      <c r="GT34" s="318"/>
      <c r="GU34" s="318"/>
      <c r="GV34" s="318"/>
      <c r="GW34" s="318"/>
      <c r="GX34" s="318"/>
      <c r="GY34" s="318"/>
      <c r="GZ34" s="318"/>
      <c r="HA34" s="318"/>
      <c r="HB34" s="318"/>
      <c r="HC34" s="318"/>
      <c r="HD34" s="318"/>
      <c r="HE34" s="318"/>
      <c r="HF34" s="318"/>
      <c r="HG34" s="318"/>
      <c r="HH34" s="318"/>
      <c r="HI34" s="318"/>
      <c r="HJ34" s="318"/>
      <c r="HK34" s="318"/>
      <c r="HL34" s="318"/>
      <c r="HM34" s="318"/>
      <c r="HN34" s="318"/>
      <c r="HO34" s="318"/>
      <c r="HP34" s="318"/>
      <c r="HQ34" s="318"/>
      <c r="HR34" s="318"/>
      <c r="HS34" s="318"/>
      <c r="HT34" s="318"/>
      <c r="HU34" s="318"/>
      <c r="HV34" s="318"/>
      <c r="HW34" s="318"/>
      <c r="HX34" s="318"/>
      <c r="HY34" s="318"/>
      <c r="HZ34" s="318"/>
      <c r="IA34" s="318"/>
      <c r="IB34" s="318"/>
      <c r="IC34" s="318"/>
    </row>
    <row r="35" spans="1:237" s="260" customFormat="1" ht="15" customHeight="1" x14ac:dyDescent="0.3">
      <c r="A35" s="181">
        <v>7.02</v>
      </c>
      <c r="B35" s="239"/>
      <c r="C35" s="240" t="str">
        <f>VLOOKUP(BD.PD[[#This Row],[Pos]],PPto[],3,FALSE)</f>
        <v>7.02 Cocina, Patio Comidas y Rostizería</v>
      </c>
      <c r="D35" s="181" t="s">
        <v>40</v>
      </c>
      <c r="E35" s="242" t="str">
        <f>IF(BD.PD[[#This Row],[.]]="*",VLOOKUP(BD.PD[[#This Row],[Pos]],Presupuesto!A:H,7,FALSE),"")</f>
        <v/>
      </c>
      <c r="F35" s="243" t="s">
        <v>484</v>
      </c>
      <c r="G35" s="243" t="s">
        <v>308</v>
      </c>
      <c r="H35" s="275"/>
      <c r="I35" s="276">
        <v>2</v>
      </c>
      <c r="J35" s="181" t="s">
        <v>314</v>
      </c>
      <c r="K35" s="245">
        <f>IF(BD.PD[[#This Row],[Mon]]="DOP",1,HLOOKUP(BD.PD[[#This Row],[Mon]],$J$1:$K$2,2,FALSE))</f>
        <v>1</v>
      </c>
      <c r="L35" s="277">
        <v>2000</v>
      </c>
      <c r="M35" s="247">
        <f>BD.PD[[#This Row],[Cant.]]*BD.PD[[#This Row],[ Tasa ]]*BD.PD[[#This Row],[ Precio Und.]]</f>
        <v>4000</v>
      </c>
      <c r="N35" s="278">
        <v>0</v>
      </c>
      <c r="O35" s="247">
        <f>IF(BD.PD[[#This Row],[Liquid. '[%']]]&lt;&gt;0,(BD.PD[[#This Row],[Valor Neto '[DOP']]]*BD.PD[[#This Row],[Liquid. '[%']]])+BD.PD[[#This Row],[Valor Neto '[DOP']]],BD.PD[[#This Row],[Valor Neto '[DOP']]])</f>
        <v>4000</v>
      </c>
      <c r="P35" s="249">
        <f>BD.PD[[#This Row],[Ppto. Orden Interna '[DOP']]]/HLOOKUP("USD",$J$1:$K$2,2,FALSE)</f>
        <v>65.897858319604609</v>
      </c>
      <c r="Q35" s="250" t="s">
        <v>456</v>
      </c>
      <c r="R35" s="424" t="s">
        <v>387</v>
      </c>
      <c r="S35" s="251">
        <v>22</v>
      </c>
      <c r="T35" s="252">
        <v>1</v>
      </c>
      <c r="U35" s="253">
        <f>BD.PD[[#This Row],[Av.P1 '[%']]]*BD.PD[[#This Row],[Ppto. Orden Interna '[DOP']]]</f>
        <v>4000</v>
      </c>
      <c r="V35" s="254"/>
      <c r="W35" s="255"/>
      <c r="X35" s="253">
        <f>BD.PD[[#This Row],[Av.P2 '[%']]]*BD.PD[[#This Row],[Ppto. Orden Interna '[DOP']]]</f>
        <v>0</v>
      </c>
      <c r="Y35" s="254"/>
      <c r="Z35" s="255"/>
      <c r="AA35" s="253">
        <f>BD.PD[[#This Row],[Av.P3 '[%']]]*BD.PD[[#This Row],[Ppto. Orden Interna '[DOP']]]</f>
        <v>0</v>
      </c>
      <c r="AB35" s="254"/>
      <c r="AC35" s="255"/>
      <c r="AD35" s="253">
        <f>BD.PD[[#This Row],[Av.P4 '[%']]]*BD.PD[[#This Row],[Ppto. Orden Interna '[DOP']]]</f>
        <v>0</v>
      </c>
      <c r="AE35" s="254"/>
      <c r="AF35" s="255"/>
      <c r="AG35" s="253">
        <f>BD.PD[[#This Row],[Av.P5 '[%']]]*BD.PD[[#This Row],[Ppto. Orden Interna '[DOP']]]</f>
        <v>0</v>
      </c>
      <c r="AH35" s="256">
        <f>BD.PD[[#This Row],[Pago 5]]+BD.PD[[#This Row],[Pago 4]]+BD.PD[[#This Row],[Pago 3]]+BD.PD[[#This Row],[Pago 2]]+BD.PD[[#This Row],[Pago 1]]</f>
        <v>4000</v>
      </c>
      <c r="AI35" s="318"/>
      <c r="AJ35" s="318"/>
      <c r="AK35" s="318"/>
      <c r="AL35" s="318"/>
      <c r="AM35" s="318"/>
      <c r="AN35" s="318"/>
      <c r="AO35" s="318"/>
      <c r="AP35" s="318"/>
      <c r="AQ35" s="318"/>
      <c r="AR35" s="318"/>
      <c r="AS35" s="318"/>
      <c r="AT35" s="318"/>
      <c r="AU35" s="318"/>
      <c r="AV35" s="318"/>
      <c r="AW35" s="318"/>
      <c r="AX35" s="318"/>
      <c r="AY35" s="318"/>
      <c r="AZ35" s="318"/>
      <c r="BA35" s="318"/>
      <c r="BB35" s="318"/>
      <c r="BC35" s="318"/>
      <c r="BD35" s="318"/>
      <c r="BE35" s="318"/>
      <c r="BF35" s="318"/>
      <c r="BG35" s="318"/>
      <c r="BH35" s="318"/>
      <c r="BI35" s="318"/>
      <c r="BJ35" s="318"/>
      <c r="BK35" s="318"/>
      <c r="BL35" s="318"/>
      <c r="BM35" s="318"/>
      <c r="BN35" s="318"/>
      <c r="BO35" s="318"/>
      <c r="BP35" s="318"/>
      <c r="BQ35" s="318"/>
      <c r="BR35" s="318"/>
      <c r="BS35" s="318"/>
      <c r="BT35" s="318"/>
      <c r="BU35" s="318"/>
      <c r="BV35" s="318"/>
      <c r="BW35" s="318"/>
      <c r="BX35" s="318"/>
      <c r="BY35" s="318"/>
      <c r="BZ35" s="318"/>
      <c r="CA35" s="318"/>
      <c r="CB35" s="318"/>
      <c r="CC35" s="318"/>
      <c r="CD35" s="318"/>
      <c r="CE35" s="318"/>
      <c r="CF35" s="318"/>
      <c r="CG35" s="318"/>
      <c r="CH35" s="318"/>
      <c r="CI35" s="318"/>
      <c r="CJ35" s="318"/>
      <c r="CK35" s="318"/>
      <c r="CL35" s="318"/>
      <c r="CM35" s="318"/>
      <c r="CN35" s="318"/>
      <c r="CO35" s="318"/>
      <c r="CP35" s="318"/>
      <c r="CQ35" s="318"/>
      <c r="CR35" s="318"/>
      <c r="CS35" s="318"/>
      <c r="CT35" s="318"/>
      <c r="CU35" s="318"/>
      <c r="CV35" s="318"/>
      <c r="CW35" s="318"/>
      <c r="CX35" s="318"/>
      <c r="CY35" s="318"/>
      <c r="CZ35" s="318"/>
      <c r="DA35" s="318"/>
      <c r="DB35" s="318"/>
      <c r="DC35" s="318"/>
      <c r="DD35" s="318"/>
      <c r="DE35" s="318"/>
      <c r="DF35" s="318"/>
      <c r="DG35" s="318"/>
      <c r="DH35" s="318"/>
      <c r="DI35" s="318"/>
      <c r="DJ35" s="318"/>
      <c r="DK35" s="318"/>
      <c r="DL35" s="318"/>
      <c r="DM35" s="318"/>
      <c r="DN35" s="318"/>
      <c r="DO35" s="318"/>
      <c r="DP35" s="318"/>
      <c r="DQ35" s="318"/>
      <c r="DR35" s="318"/>
      <c r="DS35" s="318"/>
      <c r="DT35" s="318"/>
      <c r="DU35" s="318"/>
      <c r="DV35" s="318"/>
      <c r="DW35" s="318"/>
      <c r="DX35" s="318"/>
      <c r="DY35" s="318"/>
      <c r="DZ35" s="318"/>
      <c r="EA35" s="318"/>
      <c r="EB35" s="318"/>
      <c r="EC35" s="318"/>
      <c r="ED35" s="318"/>
      <c r="EE35" s="318"/>
      <c r="EF35" s="318"/>
      <c r="EG35" s="318"/>
      <c r="EH35" s="318"/>
      <c r="EI35" s="318"/>
      <c r="EJ35" s="318"/>
      <c r="EK35" s="318"/>
      <c r="EL35" s="318"/>
      <c r="EM35" s="318"/>
      <c r="EN35" s="318"/>
      <c r="EO35" s="318"/>
      <c r="EP35" s="318"/>
      <c r="EQ35" s="318"/>
      <c r="ER35" s="318"/>
      <c r="ES35" s="318"/>
      <c r="ET35" s="318"/>
      <c r="EU35" s="318"/>
      <c r="EV35" s="318"/>
      <c r="EW35" s="318"/>
      <c r="EX35" s="318"/>
      <c r="EY35" s="318"/>
      <c r="EZ35" s="318"/>
      <c r="FA35" s="318"/>
      <c r="FB35" s="318"/>
      <c r="FC35" s="318"/>
      <c r="FD35" s="318"/>
      <c r="FE35" s="318"/>
      <c r="FF35" s="318"/>
      <c r="FG35" s="318"/>
      <c r="FH35" s="318"/>
      <c r="FI35" s="318"/>
      <c r="FJ35" s="318"/>
      <c r="FK35" s="318"/>
      <c r="FL35" s="318"/>
      <c r="FM35" s="318"/>
      <c r="FN35" s="318"/>
      <c r="FO35" s="318"/>
      <c r="FP35" s="318"/>
      <c r="FQ35" s="318"/>
      <c r="FR35" s="318"/>
      <c r="FS35" s="318"/>
      <c r="FT35" s="318"/>
      <c r="FU35" s="318"/>
      <c r="FV35" s="318"/>
      <c r="FW35" s="318"/>
      <c r="FX35" s="318"/>
      <c r="FY35" s="318"/>
      <c r="FZ35" s="318"/>
      <c r="GA35" s="318"/>
      <c r="GB35" s="318"/>
      <c r="GC35" s="318"/>
      <c r="GD35" s="318"/>
      <c r="GE35" s="318"/>
      <c r="GF35" s="318"/>
      <c r="GG35" s="318"/>
      <c r="GH35" s="318"/>
      <c r="GI35" s="318"/>
      <c r="GJ35" s="318"/>
      <c r="GK35" s="318"/>
      <c r="GL35" s="318"/>
      <c r="GM35" s="318"/>
      <c r="GN35" s="318"/>
      <c r="GO35" s="318"/>
      <c r="GP35" s="318"/>
      <c r="GQ35" s="318"/>
      <c r="GR35" s="318"/>
      <c r="GS35" s="318"/>
      <c r="GT35" s="318"/>
      <c r="GU35" s="318"/>
      <c r="GV35" s="318"/>
      <c r="GW35" s="318"/>
      <c r="GX35" s="318"/>
      <c r="GY35" s="318"/>
      <c r="GZ35" s="318"/>
      <c r="HA35" s="318"/>
      <c r="HB35" s="318"/>
      <c r="HC35" s="318"/>
      <c r="HD35" s="318"/>
      <c r="HE35" s="318"/>
      <c r="HF35" s="318"/>
      <c r="HG35" s="318"/>
      <c r="HH35" s="318"/>
      <c r="HI35" s="318"/>
      <c r="HJ35" s="318"/>
      <c r="HK35" s="318"/>
      <c r="HL35" s="318"/>
      <c r="HM35" s="318"/>
      <c r="HN35" s="318"/>
      <c r="HO35" s="318"/>
      <c r="HP35" s="318"/>
      <c r="HQ35" s="318"/>
      <c r="HR35" s="318"/>
      <c r="HS35" s="318"/>
      <c r="HT35" s="318"/>
      <c r="HU35" s="318"/>
      <c r="HV35" s="318"/>
      <c r="HW35" s="318"/>
      <c r="HX35" s="318"/>
      <c r="HY35" s="318"/>
      <c r="HZ35" s="318"/>
      <c r="IA35" s="318"/>
      <c r="IB35" s="318"/>
      <c r="IC35" s="318"/>
    </row>
    <row r="36" spans="1:237" s="260" customFormat="1" ht="15" customHeight="1" x14ac:dyDescent="0.3">
      <c r="A36" s="181">
        <v>7.02</v>
      </c>
      <c r="B36" s="239"/>
      <c r="C36" s="240" t="str">
        <f>VLOOKUP(BD.PD[[#This Row],[Pos]],PPto[],3,FALSE)</f>
        <v>7.02 Cocina, Patio Comidas y Rostizería</v>
      </c>
      <c r="D36" s="181" t="s">
        <v>40</v>
      </c>
      <c r="E36" s="242" t="str">
        <f>IF(BD.PD[[#This Row],[.]]="*",VLOOKUP(BD.PD[[#This Row],[Pos]],Presupuesto!A:H,7,FALSE),"")</f>
        <v/>
      </c>
      <c r="F36" s="243" t="s">
        <v>485</v>
      </c>
      <c r="G36" s="243" t="s">
        <v>308</v>
      </c>
      <c r="H36" s="275"/>
      <c r="I36" s="276">
        <v>2</v>
      </c>
      <c r="J36" s="181" t="s">
        <v>314</v>
      </c>
      <c r="K36" s="245">
        <f>IF(BD.PD[[#This Row],[Mon]]="DOP",1,HLOOKUP(BD.PD[[#This Row],[Mon]],$J$1:$K$2,2,FALSE))</f>
        <v>1</v>
      </c>
      <c r="L36" s="277">
        <v>850</v>
      </c>
      <c r="M36" s="247">
        <f>BD.PD[[#This Row],[Cant.]]*BD.PD[[#This Row],[ Tasa ]]*BD.PD[[#This Row],[ Precio Und.]]</f>
        <v>1700</v>
      </c>
      <c r="N36" s="278">
        <v>0</v>
      </c>
      <c r="O36" s="247">
        <f>IF(BD.PD[[#This Row],[Liquid. '[%']]]&lt;&gt;0,(BD.PD[[#This Row],[Valor Neto '[DOP']]]*BD.PD[[#This Row],[Liquid. '[%']]])+BD.PD[[#This Row],[Valor Neto '[DOP']]],BD.PD[[#This Row],[Valor Neto '[DOP']]])</f>
        <v>1700</v>
      </c>
      <c r="P36" s="249">
        <f>BD.PD[[#This Row],[Ppto. Orden Interna '[DOP']]]/HLOOKUP("USD",$J$1:$K$2,2,FALSE)</f>
        <v>28.006589785831959</v>
      </c>
      <c r="Q36" s="250" t="s">
        <v>456</v>
      </c>
      <c r="R36" s="424" t="s">
        <v>387</v>
      </c>
      <c r="S36" s="251">
        <v>22</v>
      </c>
      <c r="T36" s="252">
        <v>1</v>
      </c>
      <c r="U36" s="253">
        <f>BD.PD[[#This Row],[Av.P1 '[%']]]*BD.PD[[#This Row],[Ppto. Orden Interna '[DOP']]]</f>
        <v>1700</v>
      </c>
      <c r="V36" s="254"/>
      <c r="W36" s="255"/>
      <c r="X36" s="253">
        <f>BD.PD[[#This Row],[Av.P2 '[%']]]*BD.PD[[#This Row],[Ppto. Orden Interna '[DOP']]]</f>
        <v>0</v>
      </c>
      <c r="Y36" s="254"/>
      <c r="Z36" s="255"/>
      <c r="AA36" s="253">
        <f>BD.PD[[#This Row],[Av.P3 '[%']]]*BD.PD[[#This Row],[Ppto. Orden Interna '[DOP']]]</f>
        <v>0</v>
      </c>
      <c r="AB36" s="254"/>
      <c r="AC36" s="255"/>
      <c r="AD36" s="253">
        <f>BD.PD[[#This Row],[Av.P4 '[%']]]*BD.PD[[#This Row],[Ppto. Orden Interna '[DOP']]]</f>
        <v>0</v>
      </c>
      <c r="AE36" s="254"/>
      <c r="AF36" s="255"/>
      <c r="AG36" s="253">
        <f>BD.PD[[#This Row],[Av.P5 '[%']]]*BD.PD[[#This Row],[Ppto. Orden Interna '[DOP']]]</f>
        <v>0</v>
      </c>
      <c r="AH36" s="256">
        <f>BD.PD[[#This Row],[Pago 5]]+BD.PD[[#This Row],[Pago 4]]+BD.PD[[#This Row],[Pago 3]]+BD.PD[[#This Row],[Pago 2]]+BD.PD[[#This Row],[Pago 1]]</f>
        <v>1700</v>
      </c>
      <c r="AI36" s="318"/>
      <c r="AJ36" s="318"/>
      <c r="AK36" s="318"/>
      <c r="AL36" s="318"/>
      <c r="AM36" s="318"/>
      <c r="AN36" s="318"/>
      <c r="AO36" s="318"/>
      <c r="AP36" s="318"/>
      <c r="AQ36" s="318"/>
      <c r="AR36" s="318"/>
      <c r="AS36" s="318"/>
      <c r="AT36" s="318"/>
      <c r="AU36" s="318"/>
      <c r="AV36" s="318"/>
      <c r="AW36" s="318"/>
      <c r="AX36" s="318"/>
      <c r="AY36" s="318"/>
      <c r="AZ36" s="318"/>
      <c r="BA36" s="318"/>
      <c r="BB36" s="318"/>
      <c r="BC36" s="318"/>
      <c r="BD36" s="318"/>
      <c r="BE36" s="318"/>
      <c r="BF36" s="318"/>
      <c r="BG36" s="318"/>
      <c r="BH36" s="318"/>
      <c r="BI36" s="318"/>
      <c r="BJ36" s="318"/>
      <c r="BK36" s="318"/>
      <c r="BL36" s="318"/>
      <c r="BM36" s="318"/>
      <c r="BN36" s="318"/>
      <c r="BO36" s="318"/>
      <c r="BP36" s="318"/>
      <c r="BQ36" s="318"/>
      <c r="BR36" s="318"/>
      <c r="BS36" s="318"/>
      <c r="BT36" s="318"/>
      <c r="BU36" s="318"/>
      <c r="BV36" s="318"/>
      <c r="BW36" s="318"/>
      <c r="BX36" s="318"/>
      <c r="BY36" s="318"/>
      <c r="BZ36" s="318"/>
      <c r="CA36" s="318"/>
      <c r="CB36" s="318"/>
      <c r="CC36" s="318"/>
      <c r="CD36" s="318"/>
      <c r="CE36" s="318"/>
      <c r="CF36" s="318"/>
      <c r="CG36" s="318"/>
      <c r="CH36" s="318"/>
      <c r="CI36" s="318"/>
      <c r="CJ36" s="318"/>
      <c r="CK36" s="318"/>
      <c r="CL36" s="318"/>
      <c r="CM36" s="318"/>
      <c r="CN36" s="318"/>
      <c r="CO36" s="318"/>
      <c r="CP36" s="318"/>
      <c r="CQ36" s="318"/>
      <c r="CR36" s="318"/>
      <c r="CS36" s="318"/>
      <c r="CT36" s="318"/>
      <c r="CU36" s="318"/>
      <c r="CV36" s="318"/>
      <c r="CW36" s="318"/>
      <c r="CX36" s="318"/>
      <c r="CY36" s="318"/>
      <c r="CZ36" s="318"/>
      <c r="DA36" s="318"/>
      <c r="DB36" s="318"/>
      <c r="DC36" s="318"/>
      <c r="DD36" s="318"/>
      <c r="DE36" s="318"/>
      <c r="DF36" s="318"/>
      <c r="DG36" s="318"/>
      <c r="DH36" s="318"/>
      <c r="DI36" s="318"/>
      <c r="DJ36" s="318"/>
      <c r="DK36" s="318"/>
      <c r="DL36" s="318"/>
      <c r="DM36" s="318"/>
      <c r="DN36" s="318"/>
      <c r="DO36" s="318"/>
      <c r="DP36" s="318"/>
      <c r="DQ36" s="318"/>
      <c r="DR36" s="318"/>
      <c r="DS36" s="318"/>
      <c r="DT36" s="318"/>
      <c r="DU36" s="318"/>
      <c r="DV36" s="318"/>
      <c r="DW36" s="318"/>
      <c r="DX36" s="318"/>
      <c r="DY36" s="318"/>
      <c r="DZ36" s="318"/>
      <c r="EA36" s="318"/>
      <c r="EB36" s="318"/>
      <c r="EC36" s="318"/>
      <c r="ED36" s="318"/>
      <c r="EE36" s="318"/>
      <c r="EF36" s="318"/>
      <c r="EG36" s="318"/>
      <c r="EH36" s="318"/>
      <c r="EI36" s="318"/>
      <c r="EJ36" s="318"/>
      <c r="EK36" s="318"/>
      <c r="EL36" s="318"/>
      <c r="EM36" s="318"/>
      <c r="EN36" s="318"/>
      <c r="EO36" s="318"/>
      <c r="EP36" s="318"/>
      <c r="EQ36" s="318"/>
      <c r="ER36" s="318"/>
      <c r="ES36" s="318"/>
      <c r="ET36" s="318"/>
      <c r="EU36" s="318"/>
      <c r="EV36" s="318"/>
      <c r="EW36" s="318"/>
      <c r="EX36" s="318"/>
      <c r="EY36" s="318"/>
      <c r="EZ36" s="318"/>
      <c r="FA36" s="318"/>
      <c r="FB36" s="318"/>
      <c r="FC36" s="318"/>
      <c r="FD36" s="318"/>
      <c r="FE36" s="318"/>
      <c r="FF36" s="318"/>
      <c r="FG36" s="318"/>
      <c r="FH36" s="318"/>
      <c r="FI36" s="318"/>
      <c r="FJ36" s="318"/>
      <c r="FK36" s="318"/>
      <c r="FL36" s="318"/>
      <c r="FM36" s="318"/>
      <c r="FN36" s="318"/>
      <c r="FO36" s="318"/>
      <c r="FP36" s="318"/>
      <c r="FQ36" s="318"/>
      <c r="FR36" s="318"/>
      <c r="FS36" s="318"/>
      <c r="FT36" s="318"/>
      <c r="FU36" s="318"/>
      <c r="FV36" s="318"/>
      <c r="FW36" s="318"/>
      <c r="FX36" s="318"/>
      <c r="FY36" s="318"/>
      <c r="FZ36" s="318"/>
      <c r="GA36" s="318"/>
      <c r="GB36" s="318"/>
      <c r="GC36" s="318"/>
      <c r="GD36" s="318"/>
      <c r="GE36" s="318"/>
      <c r="GF36" s="318"/>
      <c r="GG36" s="318"/>
      <c r="GH36" s="318"/>
      <c r="GI36" s="318"/>
      <c r="GJ36" s="318"/>
      <c r="GK36" s="318"/>
      <c r="GL36" s="318"/>
      <c r="GM36" s="318"/>
      <c r="GN36" s="318"/>
      <c r="GO36" s="318"/>
      <c r="GP36" s="318"/>
      <c r="GQ36" s="318"/>
      <c r="GR36" s="318"/>
      <c r="GS36" s="318"/>
      <c r="GT36" s="318"/>
      <c r="GU36" s="318"/>
      <c r="GV36" s="318"/>
      <c r="GW36" s="318"/>
      <c r="GX36" s="318"/>
      <c r="GY36" s="318"/>
      <c r="GZ36" s="318"/>
      <c r="HA36" s="318"/>
      <c r="HB36" s="318"/>
      <c r="HC36" s="318"/>
      <c r="HD36" s="318"/>
      <c r="HE36" s="318"/>
      <c r="HF36" s="318"/>
      <c r="HG36" s="318"/>
      <c r="HH36" s="318"/>
      <c r="HI36" s="318"/>
      <c r="HJ36" s="318"/>
      <c r="HK36" s="318"/>
      <c r="HL36" s="318"/>
      <c r="HM36" s="318"/>
      <c r="HN36" s="318"/>
      <c r="HO36" s="318"/>
      <c r="HP36" s="318"/>
      <c r="HQ36" s="318"/>
      <c r="HR36" s="318"/>
      <c r="HS36" s="318"/>
      <c r="HT36" s="318"/>
      <c r="HU36" s="318"/>
      <c r="HV36" s="318"/>
      <c r="HW36" s="318"/>
      <c r="HX36" s="318"/>
      <c r="HY36" s="318"/>
      <c r="HZ36" s="318"/>
      <c r="IA36" s="318"/>
      <c r="IB36" s="318"/>
      <c r="IC36" s="318"/>
    </row>
    <row r="37" spans="1:237" s="260" customFormat="1" ht="15" customHeight="1" x14ac:dyDescent="0.3">
      <c r="A37" s="181">
        <v>7.02</v>
      </c>
      <c r="B37" s="239"/>
      <c r="C37" s="240" t="str">
        <f>VLOOKUP(BD.PD[[#This Row],[Pos]],PPto[],3,FALSE)</f>
        <v>7.02 Cocina, Patio Comidas y Rostizería</v>
      </c>
      <c r="D37" s="181" t="s">
        <v>40</v>
      </c>
      <c r="E37" s="242" t="str">
        <f>IF(BD.PD[[#This Row],[.]]="*",VLOOKUP(BD.PD[[#This Row],[Pos]],Presupuesto!A:H,7,FALSE),"")</f>
        <v/>
      </c>
      <c r="F37" s="243" t="s">
        <v>486</v>
      </c>
      <c r="G37" s="243" t="s">
        <v>308</v>
      </c>
      <c r="H37" s="275"/>
      <c r="I37" s="276">
        <v>10</v>
      </c>
      <c r="J37" s="181" t="s">
        <v>314</v>
      </c>
      <c r="K37" s="245">
        <f>IF(BD.PD[[#This Row],[Mon]]="DOP",1,HLOOKUP(BD.PD[[#This Row],[Mon]],$J$1:$K$2,2,FALSE))</f>
        <v>1</v>
      </c>
      <c r="L37" s="277">
        <v>450</v>
      </c>
      <c r="M37" s="247">
        <f>BD.PD[[#This Row],[Cant.]]*BD.PD[[#This Row],[ Tasa ]]*BD.PD[[#This Row],[ Precio Und.]]</f>
        <v>4500</v>
      </c>
      <c r="N37" s="278">
        <v>0</v>
      </c>
      <c r="O37" s="247">
        <f>IF(BD.PD[[#This Row],[Liquid. '[%']]]&lt;&gt;0,(BD.PD[[#This Row],[Valor Neto '[DOP']]]*BD.PD[[#This Row],[Liquid. '[%']]])+BD.PD[[#This Row],[Valor Neto '[DOP']]],BD.PD[[#This Row],[Valor Neto '[DOP']]])</f>
        <v>4500</v>
      </c>
      <c r="P37" s="249">
        <f>BD.PD[[#This Row],[Ppto. Orden Interna '[DOP']]]/HLOOKUP("USD",$J$1:$K$2,2,FALSE)</f>
        <v>74.135090609555192</v>
      </c>
      <c r="Q37" s="250" t="s">
        <v>456</v>
      </c>
      <c r="R37" s="424" t="s">
        <v>387</v>
      </c>
      <c r="S37" s="251">
        <v>22</v>
      </c>
      <c r="T37" s="252">
        <v>1</v>
      </c>
      <c r="U37" s="253">
        <f>BD.PD[[#This Row],[Av.P1 '[%']]]*BD.PD[[#This Row],[Ppto. Orden Interna '[DOP']]]</f>
        <v>4500</v>
      </c>
      <c r="V37" s="254"/>
      <c r="W37" s="255"/>
      <c r="X37" s="253">
        <f>BD.PD[[#This Row],[Av.P2 '[%']]]*BD.PD[[#This Row],[Ppto. Orden Interna '[DOP']]]</f>
        <v>0</v>
      </c>
      <c r="Y37" s="254"/>
      <c r="Z37" s="255"/>
      <c r="AA37" s="253">
        <f>BD.PD[[#This Row],[Av.P3 '[%']]]*BD.PD[[#This Row],[Ppto. Orden Interna '[DOP']]]</f>
        <v>0</v>
      </c>
      <c r="AB37" s="254"/>
      <c r="AC37" s="255"/>
      <c r="AD37" s="253">
        <f>BD.PD[[#This Row],[Av.P4 '[%']]]*BD.PD[[#This Row],[Ppto. Orden Interna '[DOP']]]</f>
        <v>0</v>
      </c>
      <c r="AE37" s="254"/>
      <c r="AF37" s="255"/>
      <c r="AG37" s="253">
        <f>BD.PD[[#This Row],[Av.P5 '[%']]]*BD.PD[[#This Row],[Ppto. Orden Interna '[DOP']]]</f>
        <v>0</v>
      </c>
      <c r="AH37" s="256">
        <f>BD.PD[[#This Row],[Pago 5]]+BD.PD[[#This Row],[Pago 4]]+BD.PD[[#This Row],[Pago 3]]+BD.PD[[#This Row],[Pago 2]]+BD.PD[[#This Row],[Pago 1]]</f>
        <v>4500</v>
      </c>
      <c r="AI37" s="318"/>
      <c r="AJ37" s="318"/>
      <c r="AK37" s="318"/>
      <c r="AL37" s="318"/>
      <c r="AM37" s="318"/>
      <c r="AN37" s="318"/>
      <c r="AO37" s="318"/>
      <c r="AP37" s="318"/>
      <c r="AQ37" s="318"/>
      <c r="AR37" s="318"/>
      <c r="AS37" s="318"/>
      <c r="AT37" s="318"/>
      <c r="AU37" s="318"/>
      <c r="AV37" s="318"/>
      <c r="AW37" s="318"/>
      <c r="AX37" s="318"/>
      <c r="AY37" s="318"/>
      <c r="AZ37" s="318"/>
      <c r="BA37" s="318"/>
      <c r="BB37" s="318"/>
      <c r="BC37" s="318"/>
      <c r="BD37" s="318"/>
      <c r="BE37" s="318"/>
      <c r="BF37" s="318"/>
      <c r="BG37" s="318"/>
      <c r="BH37" s="318"/>
      <c r="BI37" s="318"/>
      <c r="BJ37" s="318"/>
      <c r="BK37" s="318"/>
      <c r="BL37" s="318"/>
      <c r="BM37" s="318"/>
      <c r="BN37" s="318"/>
      <c r="BO37" s="318"/>
      <c r="BP37" s="318"/>
      <c r="BQ37" s="318"/>
      <c r="BR37" s="318"/>
      <c r="BS37" s="318"/>
      <c r="BT37" s="318"/>
      <c r="BU37" s="318"/>
      <c r="BV37" s="318"/>
      <c r="BW37" s="318"/>
      <c r="BX37" s="318"/>
      <c r="BY37" s="318"/>
      <c r="BZ37" s="318"/>
      <c r="CA37" s="318"/>
      <c r="CB37" s="318"/>
      <c r="CC37" s="318"/>
      <c r="CD37" s="318"/>
      <c r="CE37" s="318"/>
      <c r="CF37" s="318"/>
      <c r="CG37" s="318"/>
      <c r="CH37" s="318"/>
      <c r="CI37" s="318"/>
      <c r="CJ37" s="318"/>
      <c r="CK37" s="318"/>
      <c r="CL37" s="318"/>
      <c r="CM37" s="318"/>
      <c r="CN37" s="318"/>
      <c r="CO37" s="318"/>
      <c r="CP37" s="318"/>
      <c r="CQ37" s="318"/>
      <c r="CR37" s="318"/>
      <c r="CS37" s="318"/>
      <c r="CT37" s="318"/>
      <c r="CU37" s="318"/>
      <c r="CV37" s="318"/>
      <c r="CW37" s="318"/>
      <c r="CX37" s="318"/>
      <c r="CY37" s="318"/>
      <c r="CZ37" s="318"/>
      <c r="DA37" s="318"/>
      <c r="DB37" s="318"/>
      <c r="DC37" s="318"/>
      <c r="DD37" s="318"/>
      <c r="DE37" s="318"/>
      <c r="DF37" s="318"/>
      <c r="DG37" s="318"/>
      <c r="DH37" s="318"/>
      <c r="DI37" s="318"/>
      <c r="DJ37" s="318"/>
      <c r="DK37" s="318"/>
      <c r="DL37" s="318"/>
      <c r="DM37" s="318"/>
      <c r="DN37" s="318"/>
      <c r="DO37" s="318"/>
      <c r="DP37" s="318"/>
      <c r="DQ37" s="318"/>
      <c r="DR37" s="318"/>
      <c r="DS37" s="318"/>
      <c r="DT37" s="318"/>
      <c r="DU37" s="318"/>
      <c r="DV37" s="318"/>
      <c r="DW37" s="318"/>
      <c r="DX37" s="318"/>
      <c r="DY37" s="318"/>
      <c r="DZ37" s="318"/>
      <c r="EA37" s="318"/>
      <c r="EB37" s="318"/>
      <c r="EC37" s="318"/>
      <c r="ED37" s="318"/>
      <c r="EE37" s="318"/>
      <c r="EF37" s="318"/>
      <c r="EG37" s="318"/>
      <c r="EH37" s="318"/>
      <c r="EI37" s="318"/>
      <c r="EJ37" s="318"/>
      <c r="EK37" s="318"/>
      <c r="EL37" s="318"/>
      <c r="EM37" s="318"/>
      <c r="EN37" s="318"/>
      <c r="EO37" s="318"/>
      <c r="EP37" s="318"/>
      <c r="EQ37" s="318"/>
      <c r="ER37" s="318"/>
      <c r="ES37" s="318"/>
      <c r="ET37" s="318"/>
      <c r="EU37" s="318"/>
      <c r="EV37" s="318"/>
      <c r="EW37" s="318"/>
      <c r="EX37" s="318"/>
      <c r="EY37" s="318"/>
      <c r="EZ37" s="318"/>
      <c r="FA37" s="318"/>
      <c r="FB37" s="318"/>
      <c r="FC37" s="318"/>
      <c r="FD37" s="318"/>
      <c r="FE37" s="318"/>
      <c r="FF37" s="318"/>
      <c r="FG37" s="318"/>
      <c r="FH37" s="318"/>
      <c r="FI37" s="318"/>
      <c r="FJ37" s="318"/>
      <c r="FK37" s="318"/>
      <c r="FL37" s="318"/>
      <c r="FM37" s="318"/>
      <c r="FN37" s="318"/>
      <c r="FO37" s="318"/>
      <c r="FP37" s="318"/>
      <c r="FQ37" s="318"/>
      <c r="FR37" s="318"/>
      <c r="FS37" s="318"/>
      <c r="FT37" s="318"/>
      <c r="FU37" s="318"/>
      <c r="FV37" s="318"/>
      <c r="FW37" s="318"/>
      <c r="FX37" s="318"/>
      <c r="FY37" s="318"/>
      <c r="FZ37" s="318"/>
      <c r="GA37" s="318"/>
      <c r="GB37" s="318"/>
      <c r="GC37" s="318"/>
      <c r="GD37" s="318"/>
      <c r="GE37" s="318"/>
      <c r="GF37" s="318"/>
      <c r="GG37" s="318"/>
      <c r="GH37" s="318"/>
      <c r="GI37" s="318"/>
      <c r="GJ37" s="318"/>
      <c r="GK37" s="318"/>
      <c r="GL37" s="318"/>
      <c r="GM37" s="318"/>
      <c r="GN37" s="318"/>
      <c r="GO37" s="318"/>
      <c r="GP37" s="318"/>
      <c r="GQ37" s="318"/>
      <c r="GR37" s="318"/>
      <c r="GS37" s="318"/>
      <c r="GT37" s="318"/>
      <c r="GU37" s="318"/>
      <c r="GV37" s="318"/>
      <c r="GW37" s="318"/>
      <c r="GX37" s="318"/>
      <c r="GY37" s="318"/>
      <c r="GZ37" s="318"/>
      <c r="HA37" s="318"/>
      <c r="HB37" s="318"/>
      <c r="HC37" s="318"/>
      <c r="HD37" s="318"/>
      <c r="HE37" s="318"/>
      <c r="HF37" s="318"/>
      <c r="HG37" s="318"/>
      <c r="HH37" s="318"/>
      <c r="HI37" s="318"/>
      <c r="HJ37" s="318"/>
      <c r="HK37" s="318"/>
      <c r="HL37" s="318"/>
      <c r="HM37" s="318"/>
      <c r="HN37" s="318"/>
      <c r="HO37" s="318"/>
      <c r="HP37" s="318"/>
      <c r="HQ37" s="318"/>
      <c r="HR37" s="318"/>
      <c r="HS37" s="318"/>
      <c r="HT37" s="318"/>
      <c r="HU37" s="318"/>
      <c r="HV37" s="318"/>
      <c r="HW37" s="318"/>
      <c r="HX37" s="318"/>
      <c r="HY37" s="318"/>
      <c r="HZ37" s="318"/>
      <c r="IA37" s="318"/>
      <c r="IB37" s="318"/>
      <c r="IC37" s="318"/>
    </row>
    <row r="38" spans="1:237" s="260" customFormat="1" ht="15" customHeight="1" x14ac:dyDescent="0.3">
      <c r="A38" s="181">
        <v>7.02</v>
      </c>
      <c r="B38" s="239"/>
      <c r="C38" s="240" t="str">
        <f>VLOOKUP(BD.PD[[#This Row],[Pos]],PPto[],3,FALSE)</f>
        <v>7.02 Cocina, Patio Comidas y Rostizería</v>
      </c>
      <c r="D38" s="181" t="s">
        <v>40</v>
      </c>
      <c r="E38" s="242" t="str">
        <f>IF(BD.PD[[#This Row],[.]]="*",VLOOKUP(BD.PD[[#This Row],[Pos]],Presupuesto!A:H,7,FALSE),"")</f>
        <v/>
      </c>
      <c r="F38" s="243" t="s">
        <v>487</v>
      </c>
      <c r="G38" s="243" t="s">
        <v>308</v>
      </c>
      <c r="H38" s="275"/>
      <c r="I38" s="276">
        <v>10</v>
      </c>
      <c r="J38" s="181" t="s">
        <v>314</v>
      </c>
      <c r="K38" s="245">
        <f>IF(BD.PD[[#This Row],[Mon]]="DOP",1,HLOOKUP(BD.PD[[#This Row],[Mon]],$J$1:$K$2,2,FALSE))</f>
        <v>1</v>
      </c>
      <c r="L38" s="277">
        <v>1650</v>
      </c>
      <c r="M38" s="247">
        <f>BD.PD[[#This Row],[Cant.]]*BD.PD[[#This Row],[ Tasa ]]*BD.PD[[#This Row],[ Precio Und.]]</f>
        <v>16500</v>
      </c>
      <c r="N38" s="278">
        <v>0</v>
      </c>
      <c r="O38" s="247">
        <f>IF(BD.PD[[#This Row],[Liquid. '[%']]]&lt;&gt;0,(BD.PD[[#This Row],[Valor Neto '[DOP']]]*BD.PD[[#This Row],[Liquid. '[%']]])+BD.PD[[#This Row],[Valor Neto '[DOP']]],BD.PD[[#This Row],[Valor Neto '[DOP']]])</f>
        <v>16500</v>
      </c>
      <c r="P38" s="249">
        <f>BD.PD[[#This Row],[Ppto. Orden Interna '[DOP']]]/HLOOKUP("USD",$J$1:$K$2,2,FALSE)</f>
        <v>271.82866556836899</v>
      </c>
      <c r="Q38" s="250" t="s">
        <v>488</v>
      </c>
      <c r="R38" s="424" t="s">
        <v>387</v>
      </c>
      <c r="S38" s="251">
        <v>22</v>
      </c>
      <c r="T38" s="252">
        <v>1</v>
      </c>
      <c r="U38" s="253">
        <f>BD.PD[[#This Row],[Av.P1 '[%']]]*BD.PD[[#This Row],[Ppto. Orden Interna '[DOP']]]</f>
        <v>16500</v>
      </c>
      <c r="V38" s="254"/>
      <c r="W38" s="255"/>
      <c r="X38" s="253">
        <f>BD.PD[[#This Row],[Av.P2 '[%']]]*BD.PD[[#This Row],[Ppto. Orden Interna '[DOP']]]</f>
        <v>0</v>
      </c>
      <c r="Y38" s="254"/>
      <c r="Z38" s="255"/>
      <c r="AA38" s="253">
        <f>BD.PD[[#This Row],[Av.P3 '[%']]]*BD.PD[[#This Row],[Ppto. Orden Interna '[DOP']]]</f>
        <v>0</v>
      </c>
      <c r="AB38" s="254"/>
      <c r="AC38" s="255"/>
      <c r="AD38" s="253">
        <f>BD.PD[[#This Row],[Av.P4 '[%']]]*BD.PD[[#This Row],[Ppto. Orden Interna '[DOP']]]</f>
        <v>0</v>
      </c>
      <c r="AE38" s="254"/>
      <c r="AF38" s="255"/>
      <c r="AG38" s="253">
        <f>BD.PD[[#This Row],[Av.P5 '[%']]]*BD.PD[[#This Row],[Ppto. Orden Interna '[DOP']]]</f>
        <v>0</v>
      </c>
      <c r="AH38" s="256">
        <f>BD.PD[[#This Row],[Pago 5]]+BD.PD[[#This Row],[Pago 4]]+BD.PD[[#This Row],[Pago 3]]+BD.PD[[#This Row],[Pago 2]]+BD.PD[[#This Row],[Pago 1]]</f>
        <v>16500</v>
      </c>
      <c r="AI38" s="318"/>
      <c r="AJ38" s="318"/>
      <c r="AK38" s="318"/>
      <c r="AL38" s="318"/>
      <c r="AM38" s="318"/>
      <c r="AN38" s="318"/>
      <c r="AO38" s="318"/>
      <c r="AP38" s="318"/>
      <c r="AQ38" s="318"/>
      <c r="AR38" s="318"/>
      <c r="AS38" s="318"/>
      <c r="AT38" s="318"/>
      <c r="AU38" s="318"/>
      <c r="AV38" s="318"/>
      <c r="AW38" s="318"/>
      <c r="AX38" s="318"/>
      <c r="AY38" s="318"/>
      <c r="AZ38" s="318"/>
      <c r="BA38" s="318"/>
      <c r="BB38" s="318"/>
      <c r="BC38" s="318"/>
      <c r="BD38" s="318"/>
      <c r="BE38" s="318"/>
      <c r="BF38" s="318"/>
      <c r="BG38" s="318"/>
      <c r="BH38" s="318"/>
      <c r="BI38" s="318"/>
      <c r="BJ38" s="318"/>
      <c r="BK38" s="318"/>
      <c r="BL38" s="318"/>
      <c r="BM38" s="318"/>
      <c r="BN38" s="318"/>
      <c r="BO38" s="318"/>
      <c r="BP38" s="318"/>
      <c r="BQ38" s="318"/>
      <c r="BR38" s="318"/>
      <c r="BS38" s="318"/>
      <c r="BT38" s="318"/>
      <c r="BU38" s="318"/>
      <c r="BV38" s="318"/>
      <c r="BW38" s="318"/>
      <c r="BX38" s="318"/>
      <c r="BY38" s="318"/>
      <c r="BZ38" s="318"/>
      <c r="CA38" s="318"/>
      <c r="CB38" s="318"/>
      <c r="CC38" s="318"/>
      <c r="CD38" s="318"/>
      <c r="CE38" s="318"/>
      <c r="CF38" s="318"/>
      <c r="CG38" s="318"/>
      <c r="CH38" s="318"/>
      <c r="CI38" s="318"/>
      <c r="CJ38" s="318"/>
      <c r="CK38" s="318"/>
      <c r="CL38" s="318"/>
      <c r="CM38" s="318"/>
      <c r="CN38" s="318"/>
      <c r="CO38" s="318"/>
      <c r="CP38" s="318"/>
      <c r="CQ38" s="318"/>
      <c r="CR38" s="318"/>
      <c r="CS38" s="318"/>
      <c r="CT38" s="318"/>
      <c r="CU38" s="318"/>
      <c r="CV38" s="318"/>
      <c r="CW38" s="318"/>
      <c r="CX38" s="318"/>
      <c r="CY38" s="318"/>
      <c r="CZ38" s="318"/>
      <c r="DA38" s="318"/>
      <c r="DB38" s="318"/>
      <c r="DC38" s="318"/>
      <c r="DD38" s="318"/>
      <c r="DE38" s="318"/>
      <c r="DF38" s="318"/>
      <c r="DG38" s="318"/>
      <c r="DH38" s="318"/>
      <c r="DI38" s="318"/>
      <c r="DJ38" s="318"/>
      <c r="DK38" s="318"/>
      <c r="DL38" s="318"/>
      <c r="DM38" s="318"/>
      <c r="DN38" s="318"/>
      <c r="DO38" s="318"/>
      <c r="DP38" s="318"/>
      <c r="DQ38" s="318"/>
      <c r="DR38" s="318"/>
      <c r="DS38" s="318"/>
      <c r="DT38" s="318"/>
      <c r="DU38" s="318"/>
      <c r="DV38" s="318"/>
      <c r="DW38" s="318"/>
      <c r="DX38" s="318"/>
      <c r="DY38" s="318"/>
      <c r="DZ38" s="318"/>
      <c r="EA38" s="318"/>
      <c r="EB38" s="318"/>
      <c r="EC38" s="318"/>
      <c r="ED38" s="318"/>
      <c r="EE38" s="318"/>
      <c r="EF38" s="318"/>
      <c r="EG38" s="318"/>
      <c r="EH38" s="318"/>
      <c r="EI38" s="318"/>
      <c r="EJ38" s="318"/>
      <c r="EK38" s="318"/>
      <c r="EL38" s="318"/>
      <c r="EM38" s="318"/>
      <c r="EN38" s="318"/>
      <c r="EO38" s="318"/>
      <c r="EP38" s="318"/>
      <c r="EQ38" s="318"/>
      <c r="ER38" s="318"/>
      <c r="ES38" s="318"/>
      <c r="ET38" s="318"/>
      <c r="EU38" s="318"/>
      <c r="EV38" s="318"/>
      <c r="EW38" s="318"/>
      <c r="EX38" s="318"/>
      <c r="EY38" s="318"/>
      <c r="EZ38" s="318"/>
      <c r="FA38" s="318"/>
      <c r="FB38" s="318"/>
      <c r="FC38" s="318"/>
      <c r="FD38" s="318"/>
      <c r="FE38" s="318"/>
      <c r="FF38" s="318"/>
      <c r="FG38" s="318"/>
      <c r="FH38" s="318"/>
      <c r="FI38" s="318"/>
      <c r="FJ38" s="318"/>
      <c r="FK38" s="318"/>
      <c r="FL38" s="318"/>
      <c r="FM38" s="318"/>
      <c r="FN38" s="318"/>
      <c r="FO38" s="318"/>
      <c r="FP38" s="318"/>
      <c r="FQ38" s="318"/>
      <c r="FR38" s="318"/>
      <c r="FS38" s="318"/>
      <c r="FT38" s="318"/>
      <c r="FU38" s="318"/>
      <c r="FV38" s="318"/>
      <c r="FW38" s="318"/>
      <c r="FX38" s="318"/>
      <c r="FY38" s="318"/>
      <c r="FZ38" s="318"/>
      <c r="GA38" s="318"/>
      <c r="GB38" s="318"/>
      <c r="GC38" s="318"/>
      <c r="GD38" s="318"/>
      <c r="GE38" s="318"/>
      <c r="GF38" s="318"/>
      <c r="GG38" s="318"/>
      <c r="GH38" s="318"/>
      <c r="GI38" s="318"/>
      <c r="GJ38" s="318"/>
      <c r="GK38" s="318"/>
      <c r="GL38" s="318"/>
      <c r="GM38" s="318"/>
      <c r="GN38" s="318"/>
      <c r="GO38" s="318"/>
      <c r="GP38" s="318"/>
      <c r="GQ38" s="318"/>
      <c r="GR38" s="318"/>
      <c r="GS38" s="318"/>
      <c r="GT38" s="318"/>
      <c r="GU38" s="318"/>
      <c r="GV38" s="318"/>
      <c r="GW38" s="318"/>
      <c r="GX38" s="318"/>
      <c r="GY38" s="318"/>
      <c r="GZ38" s="318"/>
      <c r="HA38" s="318"/>
      <c r="HB38" s="318"/>
      <c r="HC38" s="318"/>
      <c r="HD38" s="318"/>
      <c r="HE38" s="318"/>
      <c r="HF38" s="318"/>
      <c r="HG38" s="318"/>
      <c r="HH38" s="318"/>
      <c r="HI38" s="318"/>
      <c r="HJ38" s="318"/>
      <c r="HK38" s="318"/>
      <c r="HL38" s="318"/>
      <c r="HM38" s="318"/>
      <c r="HN38" s="318"/>
      <c r="HO38" s="318"/>
      <c r="HP38" s="318"/>
      <c r="HQ38" s="318"/>
      <c r="HR38" s="318"/>
      <c r="HS38" s="318"/>
      <c r="HT38" s="318"/>
      <c r="HU38" s="318"/>
      <c r="HV38" s="318"/>
      <c r="HW38" s="318"/>
      <c r="HX38" s="318"/>
      <c r="HY38" s="318"/>
      <c r="HZ38" s="318"/>
      <c r="IA38" s="318"/>
      <c r="IB38" s="318"/>
      <c r="IC38" s="318"/>
    </row>
    <row r="39" spans="1:237" s="260" customFormat="1" ht="15" customHeight="1" x14ac:dyDescent="0.3">
      <c r="A39" s="181">
        <v>7.02</v>
      </c>
      <c r="B39" s="239"/>
      <c r="C39" s="240" t="str">
        <f>VLOOKUP(BD.PD[[#This Row],[Pos]],PPto[],3,FALSE)</f>
        <v>7.02 Cocina, Patio Comidas y Rostizería</v>
      </c>
      <c r="D39" s="181" t="s">
        <v>40</v>
      </c>
      <c r="E39" s="242" t="str">
        <f>IF(BD.PD[[#This Row],[.]]="*",VLOOKUP(BD.PD[[#This Row],[Pos]],Presupuesto!A:H,7,FALSE),"")</f>
        <v/>
      </c>
      <c r="F39" s="243" t="s">
        <v>489</v>
      </c>
      <c r="G39" s="243" t="s">
        <v>308</v>
      </c>
      <c r="H39" s="275"/>
      <c r="I39" s="276">
        <v>2</v>
      </c>
      <c r="J39" s="181" t="s">
        <v>314</v>
      </c>
      <c r="K39" s="245">
        <f>IF(BD.PD[[#This Row],[Mon]]="DOP",1,HLOOKUP(BD.PD[[#This Row],[Mon]],$J$1:$K$2,2,FALSE))</f>
        <v>1</v>
      </c>
      <c r="L39" s="277">
        <v>500</v>
      </c>
      <c r="M39" s="247">
        <f>BD.PD[[#This Row],[Cant.]]*BD.PD[[#This Row],[ Tasa ]]*BD.PD[[#This Row],[ Precio Und.]]</f>
        <v>1000</v>
      </c>
      <c r="N39" s="278">
        <v>0</v>
      </c>
      <c r="O39" s="247">
        <f>IF(BD.PD[[#This Row],[Liquid. '[%']]]&lt;&gt;0,(BD.PD[[#This Row],[Valor Neto '[DOP']]]*BD.PD[[#This Row],[Liquid. '[%']]])+BD.PD[[#This Row],[Valor Neto '[DOP']]],BD.PD[[#This Row],[Valor Neto '[DOP']]])</f>
        <v>1000</v>
      </c>
      <c r="P39" s="249">
        <f>BD.PD[[#This Row],[Ppto. Orden Interna '[DOP']]]/HLOOKUP("USD",$J$1:$K$2,2,FALSE)</f>
        <v>16.474464579901152</v>
      </c>
      <c r="Q39" s="250" t="s">
        <v>490</v>
      </c>
      <c r="R39" s="424" t="s">
        <v>387</v>
      </c>
      <c r="S39" s="251">
        <v>22</v>
      </c>
      <c r="T39" s="252">
        <v>1</v>
      </c>
      <c r="U39" s="253">
        <f>BD.PD[[#This Row],[Av.P1 '[%']]]*BD.PD[[#This Row],[Ppto. Orden Interna '[DOP']]]</f>
        <v>1000</v>
      </c>
      <c r="V39" s="254"/>
      <c r="W39" s="255"/>
      <c r="X39" s="253">
        <f>BD.PD[[#This Row],[Av.P2 '[%']]]*BD.PD[[#This Row],[Ppto. Orden Interna '[DOP']]]</f>
        <v>0</v>
      </c>
      <c r="Y39" s="254"/>
      <c r="Z39" s="255"/>
      <c r="AA39" s="253">
        <f>BD.PD[[#This Row],[Av.P3 '[%']]]*BD.PD[[#This Row],[Ppto. Orden Interna '[DOP']]]</f>
        <v>0</v>
      </c>
      <c r="AB39" s="254"/>
      <c r="AC39" s="255"/>
      <c r="AD39" s="253">
        <f>BD.PD[[#This Row],[Av.P4 '[%']]]*BD.PD[[#This Row],[Ppto. Orden Interna '[DOP']]]</f>
        <v>0</v>
      </c>
      <c r="AE39" s="254"/>
      <c r="AF39" s="255"/>
      <c r="AG39" s="253">
        <f>BD.PD[[#This Row],[Av.P5 '[%']]]*BD.PD[[#This Row],[Ppto. Orden Interna '[DOP']]]</f>
        <v>0</v>
      </c>
      <c r="AH39" s="256">
        <f>BD.PD[[#This Row],[Pago 5]]+BD.PD[[#This Row],[Pago 4]]+BD.PD[[#This Row],[Pago 3]]+BD.PD[[#This Row],[Pago 2]]+BD.PD[[#This Row],[Pago 1]]</f>
        <v>1000</v>
      </c>
      <c r="AI39" s="318"/>
      <c r="AJ39" s="318"/>
      <c r="AK39" s="318"/>
      <c r="AL39" s="318"/>
      <c r="AM39" s="318"/>
      <c r="AN39" s="318"/>
      <c r="AO39" s="318"/>
      <c r="AP39" s="318"/>
      <c r="AQ39" s="318"/>
      <c r="AR39" s="318"/>
      <c r="AS39" s="318"/>
      <c r="AT39" s="318"/>
      <c r="AU39" s="318"/>
      <c r="AV39" s="318"/>
      <c r="AW39" s="318"/>
      <c r="AX39" s="318"/>
      <c r="AY39" s="318"/>
      <c r="AZ39" s="318"/>
      <c r="BA39" s="318"/>
      <c r="BB39" s="318"/>
      <c r="BC39" s="318"/>
      <c r="BD39" s="318"/>
      <c r="BE39" s="318"/>
      <c r="BF39" s="318"/>
      <c r="BG39" s="318"/>
      <c r="BH39" s="318"/>
      <c r="BI39" s="318"/>
      <c r="BJ39" s="318"/>
      <c r="BK39" s="318"/>
      <c r="BL39" s="318"/>
      <c r="BM39" s="318"/>
      <c r="BN39" s="318"/>
      <c r="BO39" s="318"/>
      <c r="BP39" s="318"/>
      <c r="BQ39" s="318"/>
      <c r="BR39" s="318"/>
      <c r="BS39" s="318"/>
      <c r="BT39" s="318"/>
      <c r="BU39" s="318"/>
      <c r="BV39" s="318"/>
      <c r="BW39" s="318"/>
      <c r="BX39" s="318"/>
      <c r="BY39" s="318"/>
      <c r="BZ39" s="318"/>
      <c r="CA39" s="318"/>
      <c r="CB39" s="318"/>
      <c r="CC39" s="318"/>
      <c r="CD39" s="318"/>
      <c r="CE39" s="318"/>
      <c r="CF39" s="318"/>
      <c r="CG39" s="318"/>
      <c r="CH39" s="318"/>
      <c r="CI39" s="318"/>
      <c r="CJ39" s="318"/>
      <c r="CK39" s="318"/>
      <c r="CL39" s="318"/>
      <c r="CM39" s="318"/>
      <c r="CN39" s="318"/>
      <c r="CO39" s="318"/>
      <c r="CP39" s="318"/>
      <c r="CQ39" s="318"/>
      <c r="CR39" s="318"/>
      <c r="CS39" s="318"/>
      <c r="CT39" s="318"/>
      <c r="CU39" s="318"/>
      <c r="CV39" s="318"/>
      <c r="CW39" s="318"/>
      <c r="CX39" s="318"/>
      <c r="CY39" s="318"/>
      <c r="CZ39" s="318"/>
      <c r="DA39" s="318"/>
      <c r="DB39" s="318"/>
      <c r="DC39" s="318"/>
      <c r="DD39" s="318"/>
      <c r="DE39" s="318"/>
      <c r="DF39" s="318"/>
      <c r="DG39" s="318"/>
      <c r="DH39" s="318"/>
      <c r="DI39" s="318"/>
      <c r="DJ39" s="318"/>
      <c r="DK39" s="318"/>
      <c r="DL39" s="318"/>
      <c r="DM39" s="318"/>
      <c r="DN39" s="318"/>
      <c r="DO39" s="318"/>
      <c r="DP39" s="318"/>
      <c r="DQ39" s="318"/>
      <c r="DR39" s="318"/>
      <c r="DS39" s="318"/>
      <c r="DT39" s="318"/>
      <c r="DU39" s="318"/>
      <c r="DV39" s="318"/>
      <c r="DW39" s="318"/>
      <c r="DX39" s="318"/>
      <c r="DY39" s="318"/>
      <c r="DZ39" s="318"/>
      <c r="EA39" s="318"/>
      <c r="EB39" s="318"/>
      <c r="EC39" s="318"/>
      <c r="ED39" s="318"/>
      <c r="EE39" s="318"/>
      <c r="EF39" s="318"/>
      <c r="EG39" s="318"/>
      <c r="EH39" s="318"/>
      <c r="EI39" s="318"/>
      <c r="EJ39" s="318"/>
      <c r="EK39" s="318"/>
      <c r="EL39" s="318"/>
      <c r="EM39" s="318"/>
      <c r="EN39" s="318"/>
      <c r="EO39" s="318"/>
      <c r="EP39" s="318"/>
      <c r="EQ39" s="318"/>
      <c r="ER39" s="318"/>
      <c r="ES39" s="318"/>
      <c r="ET39" s="318"/>
      <c r="EU39" s="318"/>
      <c r="EV39" s="318"/>
      <c r="EW39" s="318"/>
      <c r="EX39" s="318"/>
      <c r="EY39" s="318"/>
      <c r="EZ39" s="318"/>
      <c r="FA39" s="318"/>
      <c r="FB39" s="318"/>
      <c r="FC39" s="318"/>
      <c r="FD39" s="318"/>
      <c r="FE39" s="318"/>
      <c r="FF39" s="318"/>
      <c r="FG39" s="318"/>
      <c r="FH39" s="318"/>
      <c r="FI39" s="318"/>
      <c r="FJ39" s="318"/>
      <c r="FK39" s="318"/>
      <c r="FL39" s="318"/>
      <c r="FM39" s="318"/>
      <c r="FN39" s="318"/>
      <c r="FO39" s="318"/>
      <c r="FP39" s="318"/>
      <c r="FQ39" s="318"/>
      <c r="FR39" s="318"/>
      <c r="FS39" s="318"/>
      <c r="FT39" s="318"/>
      <c r="FU39" s="318"/>
      <c r="FV39" s="318"/>
      <c r="FW39" s="318"/>
      <c r="FX39" s="318"/>
      <c r="FY39" s="318"/>
      <c r="FZ39" s="318"/>
      <c r="GA39" s="318"/>
      <c r="GB39" s="318"/>
      <c r="GC39" s="318"/>
      <c r="GD39" s="318"/>
      <c r="GE39" s="318"/>
      <c r="GF39" s="318"/>
      <c r="GG39" s="318"/>
      <c r="GH39" s="318"/>
      <c r="GI39" s="318"/>
      <c r="GJ39" s="318"/>
      <c r="GK39" s="318"/>
      <c r="GL39" s="318"/>
      <c r="GM39" s="318"/>
      <c r="GN39" s="318"/>
      <c r="GO39" s="318"/>
      <c r="GP39" s="318"/>
      <c r="GQ39" s="318"/>
      <c r="GR39" s="318"/>
      <c r="GS39" s="318"/>
      <c r="GT39" s="318"/>
      <c r="GU39" s="318"/>
      <c r="GV39" s="318"/>
      <c r="GW39" s="318"/>
      <c r="GX39" s="318"/>
      <c r="GY39" s="318"/>
      <c r="GZ39" s="318"/>
      <c r="HA39" s="318"/>
      <c r="HB39" s="318"/>
      <c r="HC39" s="318"/>
      <c r="HD39" s="318"/>
      <c r="HE39" s="318"/>
      <c r="HF39" s="318"/>
      <c r="HG39" s="318"/>
      <c r="HH39" s="318"/>
      <c r="HI39" s="318"/>
      <c r="HJ39" s="318"/>
      <c r="HK39" s="318"/>
      <c r="HL39" s="318"/>
      <c r="HM39" s="318"/>
      <c r="HN39" s="318"/>
      <c r="HO39" s="318"/>
      <c r="HP39" s="318"/>
      <c r="HQ39" s="318"/>
      <c r="HR39" s="318"/>
      <c r="HS39" s="318"/>
      <c r="HT39" s="318"/>
      <c r="HU39" s="318"/>
      <c r="HV39" s="318"/>
      <c r="HW39" s="318"/>
      <c r="HX39" s="318"/>
      <c r="HY39" s="318"/>
      <c r="HZ39" s="318"/>
      <c r="IA39" s="318"/>
      <c r="IB39" s="318"/>
      <c r="IC39" s="318"/>
    </row>
    <row r="40" spans="1:237" s="260" customFormat="1" ht="15" customHeight="1" x14ac:dyDescent="0.3">
      <c r="A40" s="181">
        <v>7.02</v>
      </c>
      <c r="B40" s="239"/>
      <c r="C40" s="240" t="str">
        <f>VLOOKUP(BD.PD[[#This Row],[Pos]],PPto[],3,FALSE)</f>
        <v>7.02 Cocina, Patio Comidas y Rostizería</v>
      </c>
      <c r="D40" s="181" t="s">
        <v>40</v>
      </c>
      <c r="E40" s="242" t="str">
        <f>IF(BD.PD[[#This Row],[.]]="*",VLOOKUP(BD.PD[[#This Row],[Pos]],Presupuesto!A:H,7,FALSE),"")</f>
        <v/>
      </c>
      <c r="F40" s="243" t="s">
        <v>491</v>
      </c>
      <c r="G40" s="243" t="s">
        <v>308</v>
      </c>
      <c r="H40" s="275"/>
      <c r="I40" s="276">
        <v>2</v>
      </c>
      <c r="J40" s="181" t="s">
        <v>314</v>
      </c>
      <c r="K40" s="245">
        <f>IF(BD.PD[[#This Row],[Mon]]="DOP",1,HLOOKUP(BD.PD[[#This Row],[Mon]],$J$1:$K$2,2,FALSE))</f>
        <v>1</v>
      </c>
      <c r="L40" s="277">
        <v>400</v>
      </c>
      <c r="M40" s="247">
        <f>BD.PD[[#This Row],[Cant.]]*BD.PD[[#This Row],[ Tasa ]]*BD.PD[[#This Row],[ Precio Und.]]</f>
        <v>800</v>
      </c>
      <c r="N40" s="278">
        <v>0</v>
      </c>
      <c r="O40" s="247">
        <f>IF(BD.PD[[#This Row],[Liquid. '[%']]]&lt;&gt;0,(BD.PD[[#This Row],[Valor Neto '[DOP']]]*BD.PD[[#This Row],[Liquid. '[%']]])+BD.PD[[#This Row],[Valor Neto '[DOP']]],BD.PD[[#This Row],[Valor Neto '[DOP']]])</f>
        <v>800</v>
      </c>
      <c r="P40" s="249">
        <f>BD.PD[[#This Row],[Ppto. Orden Interna '[DOP']]]/HLOOKUP("USD",$J$1:$K$2,2,FALSE)</f>
        <v>13.179571663920923</v>
      </c>
      <c r="Q40" s="250" t="s">
        <v>446</v>
      </c>
      <c r="R40" s="424" t="s">
        <v>387</v>
      </c>
      <c r="S40" s="251">
        <v>22</v>
      </c>
      <c r="T40" s="252">
        <v>1</v>
      </c>
      <c r="U40" s="253">
        <f>BD.PD[[#This Row],[Av.P1 '[%']]]*BD.PD[[#This Row],[Ppto. Orden Interna '[DOP']]]</f>
        <v>800</v>
      </c>
      <c r="V40" s="254"/>
      <c r="W40" s="255"/>
      <c r="X40" s="253">
        <f>BD.PD[[#This Row],[Av.P2 '[%']]]*BD.PD[[#This Row],[Ppto. Orden Interna '[DOP']]]</f>
        <v>0</v>
      </c>
      <c r="Y40" s="254"/>
      <c r="Z40" s="255"/>
      <c r="AA40" s="253">
        <f>BD.PD[[#This Row],[Av.P3 '[%']]]*BD.PD[[#This Row],[Ppto. Orden Interna '[DOP']]]</f>
        <v>0</v>
      </c>
      <c r="AB40" s="254"/>
      <c r="AC40" s="255"/>
      <c r="AD40" s="253">
        <f>BD.PD[[#This Row],[Av.P4 '[%']]]*BD.PD[[#This Row],[Ppto. Orden Interna '[DOP']]]</f>
        <v>0</v>
      </c>
      <c r="AE40" s="254"/>
      <c r="AF40" s="255"/>
      <c r="AG40" s="253">
        <f>BD.PD[[#This Row],[Av.P5 '[%']]]*BD.PD[[#This Row],[Ppto. Orden Interna '[DOP']]]</f>
        <v>0</v>
      </c>
      <c r="AH40" s="256">
        <f>BD.PD[[#This Row],[Pago 5]]+BD.PD[[#This Row],[Pago 4]]+BD.PD[[#This Row],[Pago 3]]+BD.PD[[#This Row],[Pago 2]]+BD.PD[[#This Row],[Pago 1]]</f>
        <v>800</v>
      </c>
      <c r="AI40" s="318"/>
      <c r="AJ40" s="318"/>
      <c r="AK40" s="318"/>
      <c r="AL40" s="318"/>
      <c r="AM40" s="318"/>
      <c r="AN40" s="318"/>
      <c r="AO40" s="318"/>
      <c r="AP40" s="318"/>
      <c r="AQ40" s="318"/>
      <c r="AR40" s="318"/>
      <c r="AS40" s="318"/>
      <c r="AT40" s="318"/>
      <c r="AU40" s="318"/>
      <c r="AV40" s="318"/>
      <c r="AW40" s="318"/>
      <c r="AX40" s="318"/>
      <c r="AY40" s="318"/>
      <c r="AZ40" s="318"/>
      <c r="BA40" s="318"/>
      <c r="BB40" s="318"/>
      <c r="BC40" s="318"/>
      <c r="BD40" s="318"/>
      <c r="BE40" s="318"/>
      <c r="BF40" s="318"/>
      <c r="BG40" s="318"/>
      <c r="BH40" s="318"/>
      <c r="BI40" s="318"/>
      <c r="BJ40" s="318"/>
      <c r="BK40" s="318"/>
      <c r="BL40" s="318"/>
      <c r="BM40" s="318"/>
      <c r="BN40" s="318"/>
      <c r="BO40" s="318"/>
      <c r="BP40" s="318"/>
      <c r="BQ40" s="318"/>
      <c r="BR40" s="318"/>
      <c r="BS40" s="318"/>
      <c r="BT40" s="318"/>
      <c r="BU40" s="318"/>
      <c r="BV40" s="318"/>
      <c r="BW40" s="318"/>
      <c r="BX40" s="318"/>
      <c r="BY40" s="318"/>
      <c r="BZ40" s="318"/>
      <c r="CA40" s="318"/>
      <c r="CB40" s="318"/>
      <c r="CC40" s="318"/>
      <c r="CD40" s="318"/>
      <c r="CE40" s="318"/>
      <c r="CF40" s="318"/>
      <c r="CG40" s="318"/>
      <c r="CH40" s="318"/>
      <c r="CI40" s="318"/>
      <c r="CJ40" s="318"/>
      <c r="CK40" s="318"/>
      <c r="CL40" s="318"/>
      <c r="CM40" s="318"/>
      <c r="CN40" s="318"/>
      <c r="CO40" s="318"/>
      <c r="CP40" s="318"/>
      <c r="CQ40" s="318"/>
      <c r="CR40" s="318"/>
      <c r="CS40" s="318"/>
      <c r="CT40" s="318"/>
      <c r="CU40" s="318"/>
      <c r="CV40" s="318"/>
      <c r="CW40" s="318"/>
      <c r="CX40" s="318"/>
      <c r="CY40" s="318"/>
      <c r="CZ40" s="318"/>
      <c r="DA40" s="318"/>
      <c r="DB40" s="318"/>
      <c r="DC40" s="318"/>
      <c r="DD40" s="318"/>
      <c r="DE40" s="318"/>
      <c r="DF40" s="318"/>
      <c r="DG40" s="318"/>
      <c r="DH40" s="318"/>
      <c r="DI40" s="318"/>
      <c r="DJ40" s="318"/>
      <c r="DK40" s="318"/>
      <c r="DL40" s="318"/>
      <c r="DM40" s="318"/>
      <c r="DN40" s="318"/>
      <c r="DO40" s="318"/>
      <c r="DP40" s="318"/>
      <c r="DQ40" s="318"/>
      <c r="DR40" s="318"/>
      <c r="DS40" s="318"/>
      <c r="DT40" s="318"/>
      <c r="DU40" s="318"/>
      <c r="DV40" s="318"/>
      <c r="DW40" s="318"/>
      <c r="DX40" s="318"/>
      <c r="DY40" s="318"/>
      <c r="DZ40" s="318"/>
      <c r="EA40" s="318"/>
      <c r="EB40" s="318"/>
      <c r="EC40" s="318"/>
      <c r="ED40" s="318"/>
      <c r="EE40" s="318"/>
      <c r="EF40" s="318"/>
      <c r="EG40" s="318"/>
      <c r="EH40" s="318"/>
      <c r="EI40" s="318"/>
      <c r="EJ40" s="318"/>
      <c r="EK40" s="318"/>
      <c r="EL40" s="318"/>
      <c r="EM40" s="318"/>
      <c r="EN40" s="318"/>
      <c r="EO40" s="318"/>
      <c r="EP40" s="318"/>
      <c r="EQ40" s="318"/>
      <c r="ER40" s="318"/>
      <c r="ES40" s="318"/>
      <c r="ET40" s="318"/>
      <c r="EU40" s="318"/>
      <c r="EV40" s="318"/>
      <c r="EW40" s="318"/>
      <c r="EX40" s="318"/>
      <c r="EY40" s="318"/>
      <c r="EZ40" s="318"/>
      <c r="FA40" s="318"/>
      <c r="FB40" s="318"/>
      <c r="FC40" s="318"/>
      <c r="FD40" s="318"/>
      <c r="FE40" s="318"/>
      <c r="FF40" s="318"/>
      <c r="FG40" s="318"/>
      <c r="FH40" s="318"/>
      <c r="FI40" s="318"/>
      <c r="FJ40" s="318"/>
      <c r="FK40" s="318"/>
      <c r="FL40" s="318"/>
      <c r="FM40" s="318"/>
      <c r="FN40" s="318"/>
      <c r="FO40" s="318"/>
      <c r="FP40" s="318"/>
      <c r="FQ40" s="318"/>
      <c r="FR40" s="318"/>
      <c r="FS40" s="318"/>
      <c r="FT40" s="318"/>
      <c r="FU40" s="318"/>
      <c r="FV40" s="318"/>
      <c r="FW40" s="318"/>
      <c r="FX40" s="318"/>
      <c r="FY40" s="318"/>
      <c r="FZ40" s="318"/>
      <c r="GA40" s="318"/>
      <c r="GB40" s="318"/>
      <c r="GC40" s="318"/>
      <c r="GD40" s="318"/>
      <c r="GE40" s="318"/>
      <c r="GF40" s="318"/>
      <c r="GG40" s="318"/>
      <c r="GH40" s="318"/>
      <c r="GI40" s="318"/>
      <c r="GJ40" s="318"/>
      <c r="GK40" s="318"/>
      <c r="GL40" s="318"/>
      <c r="GM40" s="318"/>
      <c r="GN40" s="318"/>
      <c r="GO40" s="318"/>
      <c r="GP40" s="318"/>
      <c r="GQ40" s="318"/>
      <c r="GR40" s="318"/>
      <c r="GS40" s="318"/>
      <c r="GT40" s="318"/>
      <c r="GU40" s="318"/>
      <c r="GV40" s="318"/>
      <c r="GW40" s="318"/>
      <c r="GX40" s="318"/>
      <c r="GY40" s="318"/>
      <c r="GZ40" s="318"/>
      <c r="HA40" s="318"/>
      <c r="HB40" s="318"/>
      <c r="HC40" s="318"/>
      <c r="HD40" s="318"/>
      <c r="HE40" s="318"/>
      <c r="HF40" s="318"/>
      <c r="HG40" s="318"/>
      <c r="HH40" s="318"/>
      <c r="HI40" s="318"/>
      <c r="HJ40" s="318"/>
      <c r="HK40" s="318"/>
      <c r="HL40" s="318"/>
      <c r="HM40" s="318"/>
      <c r="HN40" s="318"/>
      <c r="HO40" s="318"/>
      <c r="HP40" s="318"/>
      <c r="HQ40" s="318"/>
      <c r="HR40" s="318"/>
      <c r="HS40" s="318"/>
      <c r="HT40" s="318"/>
      <c r="HU40" s="318"/>
      <c r="HV40" s="318"/>
      <c r="HW40" s="318"/>
      <c r="HX40" s="318"/>
      <c r="HY40" s="318"/>
      <c r="HZ40" s="318"/>
      <c r="IA40" s="318"/>
      <c r="IB40" s="318"/>
      <c r="IC40" s="318"/>
    </row>
    <row r="41" spans="1:237" s="260" customFormat="1" ht="15" customHeight="1" x14ac:dyDescent="0.3">
      <c r="A41" s="181">
        <v>7.02</v>
      </c>
      <c r="B41" s="239"/>
      <c r="C41" s="240" t="str">
        <f>VLOOKUP(BD.PD[[#This Row],[Pos]],PPto[],3,FALSE)</f>
        <v>7.02 Cocina, Patio Comidas y Rostizería</v>
      </c>
      <c r="D41" s="181" t="s">
        <v>40</v>
      </c>
      <c r="E41" s="242" t="str">
        <f>IF(BD.PD[[#This Row],[.]]="*",VLOOKUP(BD.PD[[#This Row],[Pos]],Presupuesto!A:H,7,FALSE),"")</f>
        <v/>
      </c>
      <c r="F41" s="243" t="s">
        <v>492</v>
      </c>
      <c r="G41" s="243" t="s">
        <v>308</v>
      </c>
      <c r="H41" s="275"/>
      <c r="I41" s="276">
        <v>2</v>
      </c>
      <c r="J41" s="181" t="s">
        <v>314</v>
      </c>
      <c r="K41" s="245">
        <f>IF(BD.PD[[#This Row],[Mon]]="DOP",1,HLOOKUP(BD.PD[[#This Row],[Mon]],$J$1:$K$2,2,FALSE))</f>
        <v>1</v>
      </c>
      <c r="L41" s="277">
        <v>600</v>
      </c>
      <c r="M41" s="247">
        <f>BD.PD[[#This Row],[Cant.]]*BD.PD[[#This Row],[ Tasa ]]*BD.PD[[#This Row],[ Precio Und.]]</f>
        <v>1200</v>
      </c>
      <c r="N41" s="278">
        <v>0</v>
      </c>
      <c r="O41" s="247">
        <f>IF(BD.PD[[#This Row],[Liquid. '[%']]]&lt;&gt;0,(BD.PD[[#This Row],[Valor Neto '[DOP']]]*BD.PD[[#This Row],[Liquid. '[%']]])+BD.PD[[#This Row],[Valor Neto '[DOP']]],BD.PD[[#This Row],[Valor Neto '[DOP']]])</f>
        <v>1200</v>
      </c>
      <c r="P41" s="249">
        <f>BD.PD[[#This Row],[Ppto. Orden Interna '[DOP']]]/HLOOKUP("USD",$J$1:$K$2,2,FALSE)</f>
        <v>19.769357495881383</v>
      </c>
      <c r="Q41" s="250" t="s">
        <v>493</v>
      </c>
      <c r="R41" s="424" t="s">
        <v>387</v>
      </c>
      <c r="S41" s="251">
        <v>22</v>
      </c>
      <c r="T41" s="252">
        <v>1</v>
      </c>
      <c r="U41" s="253">
        <f>BD.PD[[#This Row],[Av.P1 '[%']]]*BD.PD[[#This Row],[Ppto. Orden Interna '[DOP']]]</f>
        <v>1200</v>
      </c>
      <c r="V41" s="254"/>
      <c r="W41" s="255"/>
      <c r="X41" s="253">
        <f>BD.PD[[#This Row],[Av.P2 '[%']]]*BD.PD[[#This Row],[Ppto. Orden Interna '[DOP']]]</f>
        <v>0</v>
      </c>
      <c r="Y41" s="254"/>
      <c r="Z41" s="255"/>
      <c r="AA41" s="253">
        <f>BD.PD[[#This Row],[Av.P3 '[%']]]*BD.PD[[#This Row],[Ppto. Orden Interna '[DOP']]]</f>
        <v>0</v>
      </c>
      <c r="AB41" s="254"/>
      <c r="AC41" s="255"/>
      <c r="AD41" s="253">
        <f>BD.PD[[#This Row],[Av.P4 '[%']]]*BD.PD[[#This Row],[Ppto. Orden Interna '[DOP']]]</f>
        <v>0</v>
      </c>
      <c r="AE41" s="254"/>
      <c r="AF41" s="255"/>
      <c r="AG41" s="253">
        <f>BD.PD[[#This Row],[Av.P5 '[%']]]*BD.PD[[#This Row],[Ppto. Orden Interna '[DOP']]]</f>
        <v>0</v>
      </c>
      <c r="AH41" s="256">
        <f>BD.PD[[#This Row],[Pago 5]]+BD.PD[[#This Row],[Pago 4]]+BD.PD[[#This Row],[Pago 3]]+BD.PD[[#This Row],[Pago 2]]+BD.PD[[#This Row],[Pago 1]]</f>
        <v>1200</v>
      </c>
      <c r="AI41" s="318"/>
      <c r="AJ41" s="318"/>
      <c r="AK41" s="318"/>
      <c r="AL41" s="318"/>
      <c r="AM41" s="318"/>
      <c r="AN41" s="318"/>
      <c r="AO41" s="318"/>
      <c r="AP41" s="318"/>
      <c r="AQ41" s="318"/>
      <c r="AR41" s="318"/>
      <c r="AS41" s="318"/>
      <c r="AT41" s="318"/>
      <c r="AU41" s="318"/>
      <c r="AV41" s="318"/>
      <c r="AW41" s="318"/>
      <c r="AX41" s="318"/>
      <c r="AY41" s="318"/>
      <c r="AZ41" s="318"/>
      <c r="BA41" s="318"/>
      <c r="BB41" s="318"/>
      <c r="BC41" s="318"/>
      <c r="BD41" s="318"/>
      <c r="BE41" s="318"/>
      <c r="BF41" s="318"/>
      <c r="BG41" s="318"/>
      <c r="BH41" s="318"/>
      <c r="BI41" s="318"/>
      <c r="BJ41" s="318"/>
      <c r="BK41" s="318"/>
      <c r="BL41" s="318"/>
      <c r="BM41" s="318"/>
      <c r="BN41" s="318"/>
      <c r="BO41" s="318"/>
      <c r="BP41" s="318"/>
      <c r="BQ41" s="318"/>
      <c r="BR41" s="318"/>
      <c r="BS41" s="318"/>
      <c r="BT41" s="318"/>
      <c r="BU41" s="318"/>
      <c r="BV41" s="318"/>
      <c r="BW41" s="318"/>
      <c r="BX41" s="318"/>
      <c r="BY41" s="318"/>
      <c r="BZ41" s="318"/>
      <c r="CA41" s="318"/>
      <c r="CB41" s="318"/>
      <c r="CC41" s="318"/>
      <c r="CD41" s="318"/>
      <c r="CE41" s="318"/>
      <c r="CF41" s="318"/>
      <c r="CG41" s="318"/>
      <c r="CH41" s="318"/>
      <c r="CI41" s="318"/>
      <c r="CJ41" s="318"/>
      <c r="CK41" s="318"/>
      <c r="CL41" s="318"/>
      <c r="CM41" s="318"/>
      <c r="CN41" s="318"/>
      <c r="CO41" s="318"/>
      <c r="CP41" s="318"/>
      <c r="CQ41" s="318"/>
      <c r="CR41" s="318"/>
      <c r="CS41" s="318"/>
      <c r="CT41" s="318"/>
      <c r="CU41" s="318"/>
      <c r="CV41" s="318"/>
      <c r="CW41" s="318"/>
      <c r="CX41" s="318"/>
      <c r="CY41" s="318"/>
      <c r="CZ41" s="318"/>
      <c r="DA41" s="318"/>
      <c r="DB41" s="318"/>
      <c r="DC41" s="318"/>
      <c r="DD41" s="318"/>
      <c r="DE41" s="318"/>
      <c r="DF41" s="318"/>
      <c r="DG41" s="318"/>
      <c r="DH41" s="318"/>
      <c r="DI41" s="318"/>
      <c r="DJ41" s="318"/>
      <c r="DK41" s="318"/>
      <c r="DL41" s="318"/>
      <c r="DM41" s="318"/>
      <c r="DN41" s="318"/>
      <c r="DO41" s="318"/>
      <c r="DP41" s="318"/>
      <c r="DQ41" s="318"/>
      <c r="DR41" s="318"/>
      <c r="DS41" s="318"/>
      <c r="DT41" s="318"/>
      <c r="DU41" s="318"/>
      <c r="DV41" s="318"/>
      <c r="DW41" s="318"/>
      <c r="DX41" s="318"/>
      <c r="DY41" s="318"/>
      <c r="DZ41" s="318"/>
      <c r="EA41" s="318"/>
      <c r="EB41" s="318"/>
      <c r="EC41" s="318"/>
      <c r="ED41" s="318"/>
      <c r="EE41" s="318"/>
      <c r="EF41" s="318"/>
      <c r="EG41" s="318"/>
      <c r="EH41" s="318"/>
      <c r="EI41" s="318"/>
      <c r="EJ41" s="318"/>
      <c r="EK41" s="318"/>
      <c r="EL41" s="318"/>
      <c r="EM41" s="318"/>
      <c r="EN41" s="318"/>
      <c r="EO41" s="318"/>
      <c r="EP41" s="318"/>
      <c r="EQ41" s="318"/>
      <c r="ER41" s="318"/>
      <c r="ES41" s="318"/>
      <c r="ET41" s="318"/>
      <c r="EU41" s="318"/>
      <c r="EV41" s="318"/>
      <c r="EW41" s="318"/>
      <c r="EX41" s="318"/>
      <c r="EY41" s="318"/>
      <c r="EZ41" s="318"/>
      <c r="FA41" s="318"/>
      <c r="FB41" s="318"/>
      <c r="FC41" s="318"/>
      <c r="FD41" s="318"/>
      <c r="FE41" s="318"/>
      <c r="FF41" s="318"/>
      <c r="FG41" s="318"/>
      <c r="FH41" s="318"/>
      <c r="FI41" s="318"/>
      <c r="FJ41" s="318"/>
      <c r="FK41" s="318"/>
      <c r="FL41" s="318"/>
      <c r="FM41" s="318"/>
      <c r="FN41" s="318"/>
      <c r="FO41" s="318"/>
      <c r="FP41" s="318"/>
      <c r="FQ41" s="318"/>
      <c r="FR41" s="318"/>
      <c r="FS41" s="318"/>
      <c r="FT41" s="318"/>
      <c r="FU41" s="318"/>
      <c r="FV41" s="318"/>
      <c r="FW41" s="318"/>
      <c r="FX41" s="318"/>
      <c r="FY41" s="318"/>
      <c r="FZ41" s="318"/>
      <c r="GA41" s="318"/>
      <c r="GB41" s="318"/>
      <c r="GC41" s="318"/>
      <c r="GD41" s="318"/>
      <c r="GE41" s="318"/>
      <c r="GF41" s="318"/>
      <c r="GG41" s="318"/>
      <c r="GH41" s="318"/>
      <c r="GI41" s="318"/>
      <c r="GJ41" s="318"/>
      <c r="GK41" s="318"/>
      <c r="GL41" s="318"/>
      <c r="GM41" s="318"/>
      <c r="GN41" s="318"/>
      <c r="GO41" s="318"/>
      <c r="GP41" s="318"/>
      <c r="GQ41" s="318"/>
      <c r="GR41" s="318"/>
      <c r="GS41" s="318"/>
      <c r="GT41" s="318"/>
      <c r="GU41" s="318"/>
      <c r="GV41" s="318"/>
      <c r="GW41" s="318"/>
      <c r="GX41" s="318"/>
      <c r="GY41" s="318"/>
      <c r="GZ41" s="318"/>
      <c r="HA41" s="318"/>
      <c r="HB41" s="318"/>
      <c r="HC41" s="318"/>
      <c r="HD41" s="318"/>
      <c r="HE41" s="318"/>
      <c r="HF41" s="318"/>
      <c r="HG41" s="318"/>
      <c r="HH41" s="318"/>
      <c r="HI41" s="318"/>
      <c r="HJ41" s="318"/>
      <c r="HK41" s="318"/>
      <c r="HL41" s="318"/>
      <c r="HM41" s="318"/>
      <c r="HN41" s="318"/>
      <c r="HO41" s="318"/>
      <c r="HP41" s="318"/>
      <c r="HQ41" s="318"/>
      <c r="HR41" s="318"/>
      <c r="HS41" s="318"/>
      <c r="HT41" s="318"/>
      <c r="HU41" s="318"/>
      <c r="HV41" s="318"/>
      <c r="HW41" s="318"/>
      <c r="HX41" s="318"/>
      <c r="HY41" s="318"/>
      <c r="HZ41" s="318"/>
      <c r="IA41" s="318"/>
      <c r="IB41" s="318"/>
      <c r="IC41" s="318"/>
    </row>
    <row r="42" spans="1:237" s="260" customFormat="1" ht="15" customHeight="1" x14ac:dyDescent="0.3">
      <c r="A42" s="181">
        <v>7.02</v>
      </c>
      <c r="B42" s="239"/>
      <c r="C42" s="240" t="str">
        <f>VLOOKUP(BD.PD[[#This Row],[Pos]],PPto[],3,FALSE)</f>
        <v>7.02 Cocina, Patio Comidas y Rostizería</v>
      </c>
      <c r="D42" s="181" t="s">
        <v>40</v>
      </c>
      <c r="E42" s="242" t="str">
        <f>IF(BD.PD[[#This Row],[.]]="*",VLOOKUP(BD.PD[[#This Row],[Pos]],Presupuesto!A:H,7,FALSE),"")</f>
        <v/>
      </c>
      <c r="F42" s="243" t="s">
        <v>495</v>
      </c>
      <c r="G42" s="243" t="s">
        <v>308</v>
      </c>
      <c r="H42" s="275"/>
      <c r="I42" s="276">
        <v>2</v>
      </c>
      <c r="J42" s="181" t="s">
        <v>314</v>
      </c>
      <c r="K42" s="245">
        <f>IF(BD.PD[[#This Row],[Mon]]="DOP",1,HLOOKUP(BD.PD[[#This Row],[Mon]],$J$1:$K$2,2,FALSE))</f>
        <v>1</v>
      </c>
      <c r="L42" s="277">
        <v>250</v>
      </c>
      <c r="M42" s="247">
        <f>BD.PD[[#This Row],[Cant.]]*BD.PD[[#This Row],[ Tasa ]]*BD.PD[[#This Row],[ Precio Und.]]</f>
        <v>500</v>
      </c>
      <c r="N42" s="278">
        <v>0</v>
      </c>
      <c r="O42" s="247">
        <f>IF(BD.PD[[#This Row],[Liquid. '[%']]]&lt;&gt;0,(BD.PD[[#This Row],[Valor Neto '[DOP']]]*BD.PD[[#This Row],[Liquid. '[%']]])+BD.PD[[#This Row],[Valor Neto '[DOP']]],BD.PD[[#This Row],[Valor Neto '[DOP']]])</f>
        <v>500</v>
      </c>
      <c r="P42" s="249">
        <f>BD.PD[[#This Row],[Ppto. Orden Interna '[DOP']]]/HLOOKUP("USD",$J$1:$K$2,2,FALSE)</f>
        <v>8.2372322899505761</v>
      </c>
      <c r="Q42" s="250" t="s">
        <v>456</v>
      </c>
      <c r="R42" s="258" t="s">
        <v>387</v>
      </c>
      <c r="S42" s="251">
        <v>22</v>
      </c>
      <c r="T42" s="252">
        <v>1</v>
      </c>
      <c r="U42" s="259">
        <f>BD.PD[[#This Row],[Av.P1 '[%']]]*BD.PD[[#This Row],[Ppto. Orden Interna '[DOP']]]</f>
        <v>500</v>
      </c>
      <c r="V42" s="254"/>
      <c r="W42" s="255"/>
      <c r="X42" s="259">
        <f>BD.PD[[#This Row],[Av.P2 '[%']]]*BD.PD[[#This Row],[Ppto. Orden Interna '[DOP']]]</f>
        <v>0</v>
      </c>
      <c r="Y42" s="254"/>
      <c r="Z42" s="255"/>
      <c r="AA42" s="259">
        <f>BD.PD[[#This Row],[Av.P3 '[%']]]*BD.PD[[#This Row],[Ppto. Orden Interna '[DOP']]]</f>
        <v>0</v>
      </c>
      <c r="AB42" s="254"/>
      <c r="AC42" s="255"/>
      <c r="AD42" s="259">
        <f>BD.PD[[#This Row],[Av.P4 '[%']]]*BD.PD[[#This Row],[Ppto. Orden Interna '[DOP']]]</f>
        <v>0</v>
      </c>
      <c r="AE42" s="254"/>
      <c r="AF42" s="255"/>
      <c r="AG42" s="259">
        <f>BD.PD[[#This Row],[Av.P5 '[%']]]*BD.PD[[#This Row],[Ppto. Orden Interna '[DOP']]]</f>
        <v>0</v>
      </c>
      <c r="AH42" s="256">
        <f>BD.PD[[#This Row],[Pago 5]]+BD.PD[[#This Row],[Pago 4]]+BD.PD[[#This Row],[Pago 3]]+BD.PD[[#This Row],[Pago 2]]+BD.PD[[#This Row],[Pago 1]]</f>
        <v>500</v>
      </c>
      <c r="AI42" s="318"/>
      <c r="AJ42" s="318"/>
      <c r="AK42" s="318"/>
      <c r="AL42" s="318"/>
      <c r="AM42" s="318"/>
      <c r="AN42" s="318"/>
      <c r="AO42" s="318"/>
      <c r="AP42" s="318"/>
      <c r="AQ42" s="318"/>
      <c r="AR42" s="318"/>
      <c r="AS42" s="318"/>
      <c r="AT42" s="318"/>
      <c r="AU42" s="318"/>
      <c r="AV42" s="318"/>
      <c r="AW42" s="318"/>
      <c r="AX42" s="318"/>
      <c r="AY42" s="318"/>
      <c r="AZ42" s="318"/>
      <c r="BA42" s="318"/>
      <c r="BB42" s="318"/>
      <c r="BC42" s="318"/>
      <c r="BD42" s="318"/>
      <c r="BE42" s="318"/>
      <c r="BF42" s="318"/>
      <c r="BG42" s="318"/>
      <c r="BH42" s="318"/>
      <c r="BI42" s="318"/>
      <c r="BJ42" s="318"/>
      <c r="BK42" s="318"/>
      <c r="BL42" s="318"/>
      <c r="BM42" s="318"/>
      <c r="BN42" s="318"/>
      <c r="BO42" s="318"/>
      <c r="BP42" s="318"/>
      <c r="BQ42" s="318"/>
      <c r="BR42" s="318"/>
      <c r="BS42" s="318"/>
      <c r="BT42" s="318"/>
      <c r="BU42" s="318"/>
      <c r="BV42" s="318"/>
      <c r="BW42" s="318"/>
      <c r="BX42" s="318"/>
      <c r="BY42" s="318"/>
      <c r="BZ42" s="318"/>
      <c r="CA42" s="318"/>
      <c r="CB42" s="318"/>
      <c r="CC42" s="318"/>
      <c r="CD42" s="318"/>
      <c r="CE42" s="318"/>
      <c r="CF42" s="318"/>
      <c r="CG42" s="318"/>
      <c r="CH42" s="318"/>
      <c r="CI42" s="318"/>
      <c r="CJ42" s="318"/>
      <c r="CK42" s="318"/>
      <c r="CL42" s="318"/>
      <c r="CM42" s="318"/>
      <c r="CN42" s="318"/>
      <c r="CO42" s="318"/>
      <c r="CP42" s="318"/>
      <c r="CQ42" s="318"/>
      <c r="CR42" s="318"/>
      <c r="CS42" s="318"/>
      <c r="CT42" s="318"/>
      <c r="CU42" s="318"/>
      <c r="CV42" s="318"/>
      <c r="CW42" s="318"/>
      <c r="CX42" s="318"/>
      <c r="CY42" s="318"/>
      <c r="CZ42" s="318"/>
      <c r="DA42" s="318"/>
      <c r="DB42" s="318"/>
      <c r="DC42" s="318"/>
      <c r="DD42" s="318"/>
      <c r="DE42" s="318"/>
      <c r="DF42" s="318"/>
      <c r="DG42" s="318"/>
      <c r="DH42" s="318"/>
      <c r="DI42" s="318"/>
      <c r="DJ42" s="318"/>
      <c r="DK42" s="318"/>
      <c r="DL42" s="318"/>
      <c r="DM42" s="318"/>
      <c r="DN42" s="318"/>
      <c r="DO42" s="318"/>
      <c r="DP42" s="318"/>
      <c r="DQ42" s="318"/>
      <c r="DR42" s="318"/>
      <c r="DS42" s="318"/>
      <c r="DT42" s="318"/>
      <c r="DU42" s="318"/>
      <c r="DV42" s="318"/>
      <c r="DW42" s="318"/>
      <c r="DX42" s="318"/>
      <c r="DY42" s="318"/>
      <c r="DZ42" s="318"/>
      <c r="EA42" s="318"/>
      <c r="EB42" s="318"/>
      <c r="EC42" s="318"/>
      <c r="ED42" s="318"/>
      <c r="EE42" s="318"/>
      <c r="EF42" s="318"/>
      <c r="EG42" s="318"/>
      <c r="EH42" s="318"/>
      <c r="EI42" s="318"/>
      <c r="EJ42" s="318"/>
      <c r="EK42" s="318"/>
      <c r="EL42" s="318"/>
      <c r="EM42" s="318"/>
      <c r="EN42" s="318"/>
      <c r="EO42" s="318"/>
      <c r="EP42" s="318"/>
      <c r="EQ42" s="318"/>
      <c r="ER42" s="318"/>
      <c r="ES42" s="318"/>
      <c r="ET42" s="318"/>
      <c r="EU42" s="318"/>
      <c r="EV42" s="318"/>
      <c r="EW42" s="318"/>
      <c r="EX42" s="318"/>
      <c r="EY42" s="318"/>
      <c r="EZ42" s="318"/>
      <c r="FA42" s="318"/>
      <c r="FB42" s="318"/>
      <c r="FC42" s="318"/>
      <c r="FD42" s="318"/>
      <c r="FE42" s="318"/>
      <c r="FF42" s="318"/>
      <c r="FG42" s="318"/>
      <c r="FH42" s="318"/>
      <c r="FI42" s="318"/>
      <c r="FJ42" s="318"/>
      <c r="FK42" s="318"/>
      <c r="FL42" s="318"/>
      <c r="FM42" s="318"/>
      <c r="FN42" s="318"/>
      <c r="FO42" s="318"/>
      <c r="FP42" s="318"/>
      <c r="FQ42" s="318"/>
      <c r="FR42" s="318"/>
      <c r="FS42" s="318"/>
      <c r="FT42" s="318"/>
      <c r="FU42" s="318"/>
      <c r="FV42" s="318"/>
      <c r="FW42" s="318"/>
      <c r="FX42" s="318"/>
      <c r="FY42" s="318"/>
      <c r="FZ42" s="318"/>
      <c r="GA42" s="318"/>
      <c r="GB42" s="318"/>
      <c r="GC42" s="318"/>
      <c r="GD42" s="318"/>
      <c r="GE42" s="318"/>
      <c r="GF42" s="318"/>
      <c r="GG42" s="318"/>
      <c r="GH42" s="318"/>
      <c r="GI42" s="318"/>
      <c r="GJ42" s="318"/>
      <c r="GK42" s="318"/>
      <c r="GL42" s="318"/>
      <c r="GM42" s="318"/>
      <c r="GN42" s="318"/>
      <c r="GO42" s="318"/>
      <c r="GP42" s="318"/>
      <c r="GQ42" s="318"/>
      <c r="GR42" s="318"/>
      <c r="GS42" s="318"/>
      <c r="GT42" s="318"/>
      <c r="GU42" s="318"/>
      <c r="GV42" s="318"/>
      <c r="GW42" s="318"/>
      <c r="GX42" s="318"/>
      <c r="GY42" s="318"/>
      <c r="GZ42" s="318"/>
      <c r="HA42" s="318"/>
      <c r="HB42" s="318"/>
      <c r="HC42" s="318"/>
      <c r="HD42" s="318"/>
      <c r="HE42" s="318"/>
      <c r="HF42" s="318"/>
      <c r="HG42" s="318"/>
      <c r="HH42" s="318"/>
      <c r="HI42" s="318"/>
      <c r="HJ42" s="318"/>
      <c r="HK42" s="318"/>
      <c r="HL42" s="318"/>
      <c r="HM42" s="318"/>
      <c r="HN42" s="318"/>
      <c r="HO42" s="318"/>
      <c r="HP42" s="318"/>
      <c r="HQ42" s="318"/>
      <c r="HR42" s="318"/>
      <c r="HS42" s="318"/>
      <c r="HT42" s="318"/>
      <c r="HU42" s="318"/>
      <c r="HV42" s="318"/>
      <c r="HW42" s="318"/>
      <c r="HX42" s="318"/>
      <c r="HY42" s="318"/>
      <c r="HZ42" s="318"/>
      <c r="IA42" s="318"/>
      <c r="IB42" s="318"/>
      <c r="IC42" s="318"/>
    </row>
    <row r="43" spans="1:237" s="260" customFormat="1" ht="15" customHeight="1" x14ac:dyDescent="0.3">
      <c r="A43" s="181">
        <v>7.02</v>
      </c>
      <c r="B43" s="239"/>
      <c r="C43" s="240" t="str">
        <f>VLOOKUP(BD.PD[[#This Row],[Pos]],PPto[],3,FALSE)</f>
        <v>7.02 Cocina, Patio Comidas y Rostizería</v>
      </c>
      <c r="D43" s="181" t="s">
        <v>40</v>
      </c>
      <c r="E43" s="242" t="str">
        <f>IF(BD.PD[[#This Row],[.]]="*",VLOOKUP(BD.PD[[#This Row],[Pos]],Presupuesto!A:H,7,FALSE),"")</f>
        <v/>
      </c>
      <c r="F43" s="243" t="s">
        <v>497</v>
      </c>
      <c r="G43" s="243" t="s">
        <v>308</v>
      </c>
      <c r="H43" s="275"/>
      <c r="I43" s="276">
        <v>4</v>
      </c>
      <c r="J43" s="181" t="s">
        <v>314</v>
      </c>
      <c r="K43" s="245">
        <f>IF(BD.PD[[#This Row],[Mon]]="DOP",1,HLOOKUP(BD.PD[[#This Row],[Mon]],$J$1:$K$2,2,FALSE))</f>
        <v>1</v>
      </c>
      <c r="L43" s="277">
        <v>1450</v>
      </c>
      <c r="M43" s="247">
        <f>BD.PD[[#This Row],[Cant.]]*BD.PD[[#This Row],[ Tasa ]]*BD.PD[[#This Row],[ Precio Und.]]</f>
        <v>5800</v>
      </c>
      <c r="N43" s="278">
        <v>0</v>
      </c>
      <c r="O43" s="247">
        <f>IF(BD.PD[[#This Row],[Liquid. '[%']]]&lt;&gt;0,(BD.PD[[#This Row],[Valor Neto '[DOP']]]*BD.PD[[#This Row],[Liquid. '[%']]])+BD.PD[[#This Row],[Valor Neto '[DOP']]],BD.PD[[#This Row],[Valor Neto '[DOP']]])</f>
        <v>5800</v>
      </c>
      <c r="P43" s="249">
        <f>BD.PD[[#This Row],[Ppto. Orden Interna '[DOP']]]/HLOOKUP("USD",$J$1:$K$2,2,FALSE)</f>
        <v>95.551894563426686</v>
      </c>
      <c r="Q43" s="250" t="s">
        <v>456</v>
      </c>
      <c r="R43" s="424" t="s">
        <v>387</v>
      </c>
      <c r="S43" s="251">
        <v>22</v>
      </c>
      <c r="T43" s="252">
        <v>1</v>
      </c>
      <c r="U43" s="253">
        <f>BD.PD[[#This Row],[Av.P1 '[%']]]*BD.PD[[#This Row],[Ppto. Orden Interna '[DOP']]]</f>
        <v>5800</v>
      </c>
      <c r="V43" s="254"/>
      <c r="W43" s="255"/>
      <c r="X43" s="253">
        <f>BD.PD[[#This Row],[Av.P2 '[%']]]*BD.PD[[#This Row],[Ppto. Orden Interna '[DOP']]]</f>
        <v>0</v>
      </c>
      <c r="Y43" s="254"/>
      <c r="Z43" s="255"/>
      <c r="AA43" s="253">
        <f>BD.PD[[#This Row],[Av.P3 '[%']]]*BD.PD[[#This Row],[Ppto. Orden Interna '[DOP']]]</f>
        <v>0</v>
      </c>
      <c r="AB43" s="254"/>
      <c r="AC43" s="255"/>
      <c r="AD43" s="253">
        <f>BD.PD[[#This Row],[Av.P4 '[%']]]*BD.PD[[#This Row],[Ppto. Orden Interna '[DOP']]]</f>
        <v>0</v>
      </c>
      <c r="AE43" s="254"/>
      <c r="AF43" s="255"/>
      <c r="AG43" s="253">
        <f>BD.PD[[#This Row],[Av.P5 '[%']]]*BD.PD[[#This Row],[Ppto. Orden Interna '[DOP']]]</f>
        <v>0</v>
      </c>
      <c r="AH43" s="256">
        <f>BD.PD[[#This Row],[Pago 5]]+BD.PD[[#This Row],[Pago 4]]+BD.PD[[#This Row],[Pago 3]]+BD.PD[[#This Row],[Pago 2]]+BD.PD[[#This Row],[Pago 1]]</f>
        <v>5800</v>
      </c>
      <c r="AI43" s="318"/>
      <c r="AJ43" s="318"/>
      <c r="AK43" s="318"/>
      <c r="AL43" s="318"/>
      <c r="AM43" s="318"/>
      <c r="AN43" s="318"/>
      <c r="AO43" s="318"/>
      <c r="AP43" s="318"/>
      <c r="AQ43" s="318"/>
      <c r="AR43" s="318"/>
      <c r="AS43" s="318"/>
      <c r="AT43" s="318"/>
      <c r="AU43" s="318"/>
      <c r="AV43" s="318"/>
      <c r="AW43" s="318"/>
      <c r="AX43" s="318"/>
      <c r="AY43" s="318"/>
      <c r="AZ43" s="318"/>
      <c r="BA43" s="318"/>
      <c r="BB43" s="318"/>
      <c r="BC43" s="318"/>
      <c r="BD43" s="318"/>
      <c r="BE43" s="318"/>
      <c r="BF43" s="318"/>
      <c r="BG43" s="318"/>
      <c r="BH43" s="318"/>
      <c r="BI43" s="318"/>
      <c r="BJ43" s="318"/>
      <c r="BK43" s="318"/>
      <c r="BL43" s="318"/>
      <c r="BM43" s="318"/>
      <c r="BN43" s="318"/>
      <c r="BO43" s="318"/>
      <c r="BP43" s="318"/>
      <c r="BQ43" s="318"/>
      <c r="BR43" s="318"/>
      <c r="BS43" s="318"/>
      <c r="BT43" s="318"/>
      <c r="BU43" s="318"/>
      <c r="BV43" s="318"/>
      <c r="BW43" s="318"/>
      <c r="BX43" s="318"/>
      <c r="BY43" s="318"/>
      <c r="BZ43" s="318"/>
      <c r="CA43" s="318"/>
      <c r="CB43" s="318"/>
      <c r="CC43" s="318"/>
      <c r="CD43" s="318"/>
      <c r="CE43" s="318"/>
      <c r="CF43" s="318"/>
      <c r="CG43" s="318"/>
      <c r="CH43" s="318"/>
      <c r="CI43" s="318"/>
      <c r="CJ43" s="318"/>
      <c r="CK43" s="318"/>
      <c r="CL43" s="318"/>
      <c r="CM43" s="318"/>
      <c r="CN43" s="318"/>
      <c r="CO43" s="318"/>
      <c r="CP43" s="318"/>
      <c r="CQ43" s="318"/>
      <c r="CR43" s="318"/>
      <c r="CS43" s="318"/>
      <c r="CT43" s="318"/>
      <c r="CU43" s="318"/>
      <c r="CV43" s="318"/>
      <c r="CW43" s="318"/>
      <c r="CX43" s="318"/>
      <c r="CY43" s="318"/>
      <c r="CZ43" s="318"/>
      <c r="DA43" s="318"/>
      <c r="DB43" s="318"/>
      <c r="DC43" s="318"/>
      <c r="DD43" s="318"/>
      <c r="DE43" s="318"/>
      <c r="DF43" s="318"/>
      <c r="DG43" s="318"/>
      <c r="DH43" s="318"/>
      <c r="DI43" s="318"/>
      <c r="DJ43" s="318"/>
      <c r="DK43" s="318"/>
      <c r="DL43" s="318"/>
      <c r="DM43" s="318"/>
      <c r="DN43" s="318"/>
      <c r="DO43" s="318"/>
      <c r="DP43" s="318"/>
      <c r="DQ43" s="318"/>
      <c r="DR43" s="318"/>
      <c r="DS43" s="318"/>
      <c r="DT43" s="318"/>
      <c r="DU43" s="318"/>
      <c r="DV43" s="318"/>
      <c r="DW43" s="318"/>
      <c r="DX43" s="318"/>
      <c r="DY43" s="318"/>
      <c r="DZ43" s="318"/>
      <c r="EA43" s="318"/>
      <c r="EB43" s="318"/>
      <c r="EC43" s="318"/>
      <c r="ED43" s="318"/>
      <c r="EE43" s="318"/>
      <c r="EF43" s="318"/>
      <c r="EG43" s="318"/>
      <c r="EH43" s="318"/>
      <c r="EI43" s="318"/>
      <c r="EJ43" s="318"/>
      <c r="EK43" s="318"/>
      <c r="EL43" s="318"/>
      <c r="EM43" s="318"/>
      <c r="EN43" s="318"/>
      <c r="EO43" s="318"/>
      <c r="EP43" s="318"/>
      <c r="EQ43" s="318"/>
      <c r="ER43" s="318"/>
      <c r="ES43" s="318"/>
      <c r="ET43" s="318"/>
      <c r="EU43" s="318"/>
      <c r="EV43" s="318"/>
      <c r="EW43" s="318"/>
      <c r="EX43" s="318"/>
      <c r="EY43" s="318"/>
      <c r="EZ43" s="318"/>
      <c r="FA43" s="318"/>
      <c r="FB43" s="318"/>
      <c r="FC43" s="318"/>
      <c r="FD43" s="318"/>
      <c r="FE43" s="318"/>
      <c r="FF43" s="318"/>
      <c r="FG43" s="318"/>
      <c r="FH43" s="318"/>
      <c r="FI43" s="318"/>
      <c r="FJ43" s="318"/>
      <c r="FK43" s="318"/>
      <c r="FL43" s="318"/>
      <c r="FM43" s="318"/>
      <c r="FN43" s="318"/>
      <c r="FO43" s="318"/>
      <c r="FP43" s="318"/>
      <c r="FQ43" s="318"/>
      <c r="FR43" s="318"/>
      <c r="FS43" s="318"/>
      <c r="FT43" s="318"/>
      <c r="FU43" s="318"/>
      <c r="FV43" s="318"/>
      <c r="FW43" s="318"/>
      <c r="FX43" s="318"/>
      <c r="FY43" s="318"/>
      <c r="FZ43" s="318"/>
      <c r="GA43" s="318"/>
      <c r="GB43" s="318"/>
      <c r="GC43" s="318"/>
      <c r="GD43" s="318"/>
      <c r="GE43" s="318"/>
      <c r="GF43" s="318"/>
      <c r="GG43" s="318"/>
      <c r="GH43" s="318"/>
      <c r="GI43" s="318"/>
      <c r="GJ43" s="318"/>
      <c r="GK43" s="318"/>
      <c r="GL43" s="318"/>
      <c r="GM43" s="318"/>
      <c r="GN43" s="318"/>
      <c r="GO43" s="318"/>
      <c r="GP43" s="318"/>
      <c r="GQ43" s="318"/>
      <c r="GR43" s="318"/>
      <c r="GS43" s="318"/>
      <c r="GT43" s="318"/>
      <c r="GU43" s="318"/>
      <c r="GV43" s="318"/>
      <c r="GW43" s="318"/>
      <c r="GX43" s="318"/>
      <c r="GY43" s="318"/>
      <c r="GZ43" s="318"/>
      <c r="HA43" s="318"/>
      <c r="HB43" s="318"/>
      <c r="HC43" s="318"/>
      <c r="HD43" s="318"/>
      <c r="HE43" s="318"/>
      <c r="HF43" s="318"/>
      <c r="HG43" s="318"/>
      <c r="HH43" s="318"/>
      <c r="HI43" s="318"/>
      <c r="HJ43" s="318"/>
      <c r="HK43" s="318"/>
      <c r="HL43" s="318"/>
      <c r="HM43" s="318"/>
      <c r="HN43" s="318"/>
      <c r="HO43" s="318"/>
      <c r="HP43" s="318"/>
      <c r="HQ43" s="318"/>
      <c r="HR43" s="318"/>
      <c r="HS43" s="318"/>
      <c r="HT43" s="318"/>
      <c r="HU43" s="318"/>
      <c r="HV43" s="318"/>
      <c r="HW43" s="318"/>
      <c r="HX43" s="318"/>
      <c r="HY43" s="318"/>
      <c r="HZ43" s="318"/>
      <c r="IA43" s="318"/>
      <c r="IB43" s="318"/>
      <c r="IC43" s="318"/>
    </row>
    <row r="44" spans="1:237" s="260" customFormat="1" ht="15" customHeight="1" x14ac:dyDescent="0.3">
      <c r="A44" s="181">
        <v>7.02</v>
      </c>
      <c r="B44" s="239"/>
      <c r="C44" s="240" t="str">
        <f>VLOOKUP(BD.PD[[#This Row],[Pos]],PPto[],3,FALSE)</f>
        <v>7.02 Cocina, Patio Comidas y Rostizería</v>
      </c>
      <c r="D44" s="181" t="s">
        <v>40</v>
      </c>
      <c r="E44" s="242" t="str">
        <f>IF(BD.PD[[#This Row],[.]]="*",VLOOKUP(BD.PD[[#This Row],[Pos]],Presupuesto!A:H,7,FALSE),"")</f>
        <v/>
      </c>
      <c r="F44" s="243" t="s">
        <v>498</v>
      </c>
      <c r="G44" s="243" t="s">
        <v>308</v>
      </c>
      <c r="H44" s="275"/>
      <c r="I44" s="276">
        <v>2</v>
      </c>
      <c r="J44" s="181" t="s">
        <v>314</v>
      </c>
      <c r="K44" s="245">
        <f>IF(BD.PD[[#This Row],[Mon]]="DOP",1,HLOOKUP(BD.PD[[#This Row],[Mon]],$J$1:$K$2,2,FALSE))</f>
        <v>1</v>
      </c>
      <c r="L44" s="277">
        <v>1450</v>
      </c>
      <c r="M44" s="247">
        <f>BD.PD[[#This Row],[Cant.]]*BD.PD[[#This Row],[ Tasa ]]*BD.PD[[#This Row],[ Precio Und.]]</f>
        <v>2900</v>
      </c>
      <c r="N44" s="278">
        <v>0</v>
      </c>
      <c r="O44" s="247">
        <f>IF(BD.PD[[#This Row],[Liquid. '[%']]]&lt;&gt;0,(BD.PD[[#This Row],[Valor Neto '[DOP']]]*BD.PD[[#This Row],[Liquid. '[%']]])+BD.PD[[#This Row],[Valor Neto '[DOP']]],BD.PD[[#This Row],[Valor Neto '[DOP']]])</f>
        <v>2900</v>
      </c>
      <c r="P44" s="249">
        <f>BD.PD[[#This Row],[Ppto. Orden Interna '[DOP']]]/HLOOKUP("USD",$J$1:$K$2,2,FALSE)</f>
        <v>47.775947281713343</v>
      </c>
      <c r="Q44" s="250" t="s">
        <v>456</v>
      </c>
      <c r="R44" s="258" t="s">
        <v>387</v>
      </c>
      <c r="S44" s="251">
        <v>22</v>
      </c>
      <c r="T44" s="252">
        <v>1</v>
      </c>
      <c r="U44" s="259">
        <f>BD.PD[[#This Row],[Av.P1 '[%']]]*BD.PD[[#This Row],[Ppto. Orden Interna '[DOP']]]</f>
        <v>2900</v>
      </c>
      <c r="V44" s="254"/>
      <c r="W44" s="255"/>
      <c r="X44" s="259">
        <f>BD.PD[[#This Row],[Av.P2 '[%']]]*BD.PD[[#This Row],[Ppto. Orden Interna '[DOP']]]</f>
        <v>0</v>
      </c>
      <c r="Y44" s="254"/>
      <c r="Z44" s="255"/>
      <c r="AA44" s="259">
        <f>BD.PD[[#This Row],[Av.P3 '[%']]]*BD.PD[[#This Row],[Ppto. Orden Interna '[DOP']]]</f>
        <v>0</v>
      </c>
      <c r="AB44" s="254"/>
      <c r="AC44" s="255"/>
      <c r="AD44" s="259">
        <f>BD.PD[[#This Row],[Av.P4 '[%']]]*BD.PD[[#This Row],[Ppto. Orden Interna '[DOP']]]</f>
        <v>0</v>
      </c>
      <c r="AE44" s="254"/>
      <c r="AF44" s="255"/>
      <c r="AG44" s="259">
        <f>BD.PD[[#This Row],[Av.P5 '[%']]]*BD.PD[[#This Row],[Ppto. Orden Interna '[DOP']]]</f>
        <v>0</v>
      </c>
      <c r="AH44" s="256">
        <f>BD.PD[[#This Row],[Pago 5]]+BD.PD[[#This Row],[Pago 4]]+BD.PD[[#This Row],[Pago 3]]+BD.PD[[#This Row],[Pago 2]]+BD.PD[[#This Row],[Pago 1]]</f>
        <v>2900</v>
      </c>
      <c r="AI44" s="318"/>
      <c r="AJ44" s="318"/>
      <c r="AK44" s="318"/>
      <c r="AL44" s="318"/>
      <c r="AM44" s="318"/>
      <c r="AN44" s="318"/>
      <c r="AO44" s="318"/>
      <c r="AP44" s="318"/>
      <c r="AQ44" s="318"/>
      <c r="AR44" s="318"/>
      <c r="AS44" s="318"/>
      <c r="AT44" s="318"/>
      <c r="AU44" s="318"/>
      <c r="AV44" s="318"/>
      <c r="AW44" s="318"/>
      <c r="AX44" s="318"/>
      <c r="AY44" s="318"/>
      <c r="AZ44" s="318"/>
      <c r="BA44" s="318"/>
      <c r="BB44" s="318"/>
      <c r="BC44" s="318"/>
      <c r="BD44" s="318"/>
      <c r="BE44" s="318"/>
      <c r="BF44" s="318"/>
      <c r="BG44" s="318"/>
      <c r="BH44" s="318"/>
      <c r="BI44" s="318"/>
      <c r="BJ44" s="318"/>
      <c r="BK44" s="318"/>
      <c r="BL44" s="318"/>
      <c r="BM44" s="318"/>
      <c r="BN44" s="318"/>
      <c r="BO44" s="318"/>
      <c r="BP44" s="318"/>
      <c r="BQ44" s="318"/>
      <c r="BR44" s="318"/>
      <c r="BS44" s="318"/>
      <c r="BT44" s="318"/>
      <c r="BU44" s="318"/>
      <c r="BV44" s="318"/>
      <c r="BW44" s="318"/>
      <c r="BX44" s="318"/>
      <c r="BY44" s="318"/>
      <c r="BZ44" s="318"/>
      <c r="CA44" s="318"/>
      <c r="CB44" s="318"/>
      <c r="CC44" s="318"/>
      <c r="CD44" s="318"/>
      <c r="CE44" s="318"/>
      <c r="CF44" s="318"/>
      <c r="CG44" s="318"/>
      <c r="CH44" s="318"/>
      <c r="CI44" s="318"/>
      <c r="CJ44" s="318"/>
      <c r="CK44" s="318"/>
      <c r="CL44" s="318"/>
      <c r="CM44" s="318"/>
      <c r="CN44" s="318"/>
      <c r="CO44" s="318"/>
      <c r="CP44" s="318"/>
      <c r="CQ44" s="318"/>
      <c r="CR44" s="318"/>
      <c r="CS44" s="318"/>
      <c r="CT44" s="318"/>
      <c r="CU44" s="318"/>
      <c r="CV44" s="318"/>
      <c r="CW44" s="318"/>
      <c r="CX44" s="318"/>
      <c r="CY44" s="318"/>
      <c r="CZ44" s="318"/>
      <c r="DA44" s="318"/>
      <c r="DB44" s="318"/>
      <c r="DC44" s="318"/>
      <c r="DD44" s="318"/>
      <c r="DE44" s="318"/>
      <c r="DF44" s="318"/>
      <c r="DG44" s="318"/>
      <c r="DH44" s="318"/>
      <c r="DI44" s="318"/>
      <c r="DJ44" s="318"/>
      <c r="DK44" s="318"/>
      <c r="DL44" s="318"/>
      <c r="DM44" s="318"/>
      <c r="DN44" s="318"/>
      <c r="DO44" s="318"/>
      <c r="DP44" s="318"/>
      <c r="DQ44" s="318"/>
      <c r="DR44" s="318"/>
      <c r="DS44" s="318"/>
      <c r="DT44" s="318"/>
      <c r="DU44" s="318"/>
      <c r="DV44" s="318"/>
      <c r="DW44" s="318"/>
      <c r="DX44" s="318"/>
      <c r="DY44" s="318"/>
      <c r="DZ44" s="318"/>
      <c r="EA44" s="318"/>
      <c r="EB44" s="318"/>
      <c r="EC44" s="318"/>
      <c r="ED44" s="318"/>
      <c r="EE44" s="318"/>
      <c r="EF44" s="318"/>
      <c r="EG44" s="318"/>
      <c r="EH44" s="318"/>
      <c r="EI44" s="318"/>
      <c r="EJ44" s="318"/>
      <c r="EK44" s="318"/>
      <c r="EL44" s="318"/>
      <c r="EM44" s="318"/>
      <c r="EN44" s="318"/>
      <c r="EO44" s="318"/>
      <c r="EP44" s="318"/>
      <c r="EQ44" s="318"/>
      <c r="ER44" s="318"/>
      <c r="ES44" s="318"/>
      <c r="ET44" s="318"/>
      <c r="EU44" s="318"/>
      <c r="EV44" s="318"/>
      <c r="EW44" s="318"/>
      <c r="EX44" s="318"/>
      <c r="EY44" s="318"/>
      <c r="EZ44" s="318"/>
      <c r="FA44" s="318"/>
      <c r="FB44" s="318"/>
      <c r="FC44" s="318"/>
      <c r="FD44" s="318"/>
      <c r="FE44" s="318"/>
      <c r="FF44" s="318"/>
      <c r="FG44" s="318"/>
      <c r="FH44" s="318"/>
      <c r="FI44" s="318"/>
      <c r="FJ44" s="318"/>
      <c r="FK44" s="318"/>
      <c r="FL44" s="318"/>
      <c r="FM44" s="318"/>
      <c r="FN44" s="318"/>
      <c r="FO44" s="318"/>
      <c r="FP44" s="318"/>
      <c r="FQ44" s="318"/>
      <c r="FR44" s="318"/>
      <c r="FS44" s="318"/>
      <c r="FT44" s="318"/>
      <c r="FU44" s="318"/>
      <c r="FV44" s="318"/>
      <c r="FW44" s="318"/>
      <c r="FX44" s="318"/>
      <c r="FY44" s="318"/>
      <c r="FZ44" s="318"/>
      <c r="GA44" s="318"/>
      <c r="GB44" s="318"/>
      <c r="GC44" s="318"/>
      <c r="GD44" s="318"/>
      <c r="GE44" s="318"/>
      <c r="GF44" s="318"/>
      <c r="GG44" s="318"/>
      <c r="GH44" s="318"/>
      <c r="GI44" s="318"/>
      <c r="GJ44" s="318"/>
      <c r="GK44" s="318"/>
      <c r="GL44" s="318"/>
      <c r="GM44" s="318"/>
      <c r="GN44" s="318"/>
      <c r="GO44" s="318"/>
      <c r="GP44" s="318"/>
      <c r="GQ44" s="318"/>
      <c r="GR44" s="318"/>
      <c r="GS44" s="318"/>
      <c r="GT44" s="318"/>
      <c r="GU44" s="318"/>
      <c r="GV44" s="318"/>
      <c r="GW44" s="318"/>
      <c r="GX44" s="318"/>
      <c r="GY44" s="318"/>
      <c r="GZ44" s="318"/>
      <c r="HA44" s="318"/>
      <c r="HB44" s="318"/>
      <c r="HC44" s="318"/>
      <c r="HD44" s="318"/>
      <c r="HE44" s="318"/>
      <c r="HF44" s="318"/>
      <c r="HG44" s="318"/>
      <c r="HH44" s="318"/>
      <c r="HI44" s="318"/>
      <c r="HJ44" s="318"/>
      <c r="HK44" s="318"/>
      <c r="HL44" s="318"/>
      <c r="HM44" s="318"/>
      <c r="HN44" s="318"/>
      <c r="HO44" s="318"/>
      <c r="HP44" s="318"/>
      <c r="HQ44" s="318"/>
      <c r="HR44" s="318"/>
      <c r="HS44" s="318"/>
      <c r="HT44" s="318"/>
      <c r="HU44" s="318"/>
      <c r="HV44" s="318"/>
      <c r="HW44" s="318"/>
      <c r="HX44" s="318"/>
      <c r="HY44" s="318"/>
      <c r="HZ44" s="318"/>
      <c r="IA44" s="318"/>
      <c r="IB44" s="318"/>
      <c r="IC44" s="318"/>
    </row>
    <row r="45" spans="1:237" s="260" customFormat="1" ht="15" customHeight="1" x14ac:dyDescent="0.3">
      <c r="A45" s="181">
        <v>7.02</v>
      </c>
      <c r="B45" s="239"/>
      <c r="C45" s="240" t="str">
        <f>VLOOKUP(BD.PD[[#This Row],[Pos]],PPto[],3,FALSE)</f>
        <v>7.02 Cocina, Patio Comidas y Rostizería</v>
      </c>
      <c r="D45" s="181" t="s">
        <v>40</v>
      </c>
      <c r="E45" s="242" t="str">
        <f>IF(BD.PD[[#This Row],[.]]="*",VLOOKUP(BD.PD[[#This Row],[Pos]],Presupuesto!A:H,7,FALSE),"")</f>
        <v/>
      </c>
      <c r="F45" s="243" t="s">
        <v>499</v>
      </c>
      <c r="G45" s="243" t="s">
        <v>308</v>
      </c>
      <c r="H45" s="275"/>
      <c r="I45" s="276">
        <v>1</v>
      </c>
      <c r="J45" s="181" t="s">
        <v>314</v>
      </c>
      <c r="K45" s="245">
        <f>IF(BD.PD[[#This Row],[Mon]]="DOP",1,HLOOKUP(BD.PD[[#This Row],[Mon]],$J$1:$K$2,2,FALSE))</f>
        <v>1</v>
      </c>
      <c r="L45" s="277">
        <v>3050</v>
      </c>
      <c r="M45" s="247">
        <f>BD.PD[[#This Row],[Cant.]]*BD.PD[[#This Row],[ Tasa ]]*BD.PD[[#This Row],[ Precio Und.]]</f>
        <v>3050</v>
      </c>
      <c r="N45" s="278">
        <v>0</v>
      </c>
      <c r="O45" s="247">
        <f>IF(BD.PD[[#This Row],[Liquid. '[%']]]&lt;&gt;0,(BD.PD[[#This Row],[Valor Neto '[DOP']]]*BD.PD[[#This Row],[Liquid. '[%']]])+BD.PD[[#This Row],[Valor Neto '[DOP']]],BD.PD[[#This Row],[Valor Neto '[DOP']]])</f>
        <v>3050</v>
      </c>
      <c r="P45" s="257">
        <f>BD.PD[[#This Row],[Ppto. Orden Interna '[DOP']]]/HLOOKUP("USD",$J$1:$K$2,2,FALSE)</f>
        <v>50.247116968698514</v>
      </c>
      <c r="Q45" s="250" t="s">
        <v>456</v>
      </c>
      <c r="R45" s="258" t="s">
        <v>387</v>
      </c>
      <c r="S45" s="251">
        <v>22</v>
      </c>
      <c r="T45" s="252">
        <v>1</v>
      </c>
      <c r="U45" s="259">
        <f>BD.PD[[#This Row],[Av.P1 '[%']]]*BD.PD[[#This Row],[Ppto. Orden Interna '[DOP']]]</f>
        <v>3050</v>
      </c>
      <c r="V45" s="254"/>
      <c r="W45" s="255"/>
      <c r="X45" s="259">
        <f>BD.PD[[#This Row],[Av.P2 '[%']]]*BD.PD[[#This Row],[Ppto. Orden Interna '[DOP']]]</f>
        <v>0</v>
      </c>
      <c r="Y45" s="254"/>
      <c r="Z45" s="255"/>
      <c r="AA45" s="259">
        <f>BD.PD[[#This Row],[Av.P3 '[%']]]*BD.PD[[#This Row],[Ppto. Orden Interna '[DOP']]]</f>
        <v>0</v>
      </c>
      <c r="AB45" s="254"/>
      <c r="AC45" s="255"/>
      <c r="AD45" s="259">
        <f>BD.PD[[#This Row],[Av.P4 '[%']]]*BD.PD[[#This Row],[Ppto. Orden Interna '[DOP']]]</f>
        <v>0</v>
      </c>
      <c r="AE45" s="254"/>
      <c r="AF45" s="255"/>
      <c r="AG45" s="259">
        <f>BD.PD[[#This Row],[Av.P5 '[%']]]*BD.PD[[#This Row],[Ppto. Orden Interna '[DOP']]]</f>
        <v>0</v>
      </c>
      <c r="AH45" s="256">
        <f>BD.PD[[#This Row],[Pago 5]]+BD.PD[[#This Row],[Pago 4]]+BD.PD[[#This Row],[Pago 3]]+BD.PD[[#This Row],[Pago 2]]+BD.PD[[#This Row],[Pago 1]]</f>
        <v>3050</v>
      </c>
      <c r="AI45" s="318"/>
      <c r="AJ45" s="318"/>
      <c r="AK45" s="318"/>
      <c r="AL45" s="318"/>
      <c r="AM45" s="318"/>
      <c r="AN45" s="318"/>
      <c r="AO45" s="318"/>
      <c r="AP45" s="318"/>
      <c r="AQ45" s="318"/>
      <c r="AR45" s="318"/>
      <c r="AS45" s="318"/>
      <c r="AT45" s="318"/>
      <c r="AU45" s="318"/>
      <c r="AV45" s="318"/>
      <c r="AW45" s="318"/>
      <c r="AX45" s="318"/>
      <c r="AY45" s="318"/>
      <c r="AZ45" s="318"/>
      <c r="BA45" s="318"/>
      <c r="BB45" s="318"/>
      <c r="BC45" s="318"/>
      <c r="BD45" s="318"/>
      <c r="BE45" s="318"/>
      <c r="BF45" s="318"/>
      <c r="BG45" s="318"/>
      <c r="BH45" s="318"/>
      <c r="BI45" s="318"/>
      <c r="BJ45" s="318"/>
      <c r="BK45" s="318"/>
      <c r="BL45" s="318"/>
      <c r="BM45" s="318"/>
      <c r="BN45" s="318"/>
      <c r="BO45" s="318"/>
      <c r="BP45" s="318"/>
      <c r="BQ45" s="318"/>
      <c r="BR45" s="318"/>
      <c r="BS45" s="318"/>
      <c r="BT45" s="318"/>
      <c r="BU45" s="318"/>
      <c r="BV45" s="318"/>
      <c r="BW45" s="318"/>
      <c r="BX45" s="318"/>
      <c r="BY45" s="318"/>
      <c r="BZ45" s="318"/>
      <c r="CA45" s="318"/>
      <c r="CB45" s="318"/>
      <c r="CC45" s="318"/>
      <c r="CD45" s="318"/>
      <c r="CE45" s="318"/>
      <c r="CF45" s="318"/>
      <c r="CG45" s="318"/>
      <c r="CH45" s="318"/>
      <c r="CI45" s="318"/>
      <c r="CJ45" s="318"/>
      <c r="CK45" s="318"/>
      <c r="CL45" s="318"/>
      <c r="CM45" s="318"/>
      <c r="CN45" s="318"/>
      <c r="CO45" s="318"/>
      <c r="CP45" s="318"/>
      <c r="CQ45" s="318"/>
      <c r="CR45" s="318"/>
      <c r="CS45" s="318"/>
      <c r="CT45" s="318"/>
      <c r="CU45" s="318"/>
      <c r="CV45" s="318"/>
      <c r="CW45" s="318"/>
      <c r="CX45" s="318"/>
      <c r="CY45" s="318"/>
      <c r="CZ45" s="318"/>
      <c r="DA45" s="318"/>
      <c r="DB45" s="318"/>
      <c r="DC45" s="318"/>
      <c r="DD45" s="318"/>
      <c r="DE45" s="318"/>
      <c r="DF45" s="318"/>
      <c r="DG45" s="318"/>
      <c r="DH45" s="318"/>
      <c r="DI45" s="318"/>
      <c r="DJ45" s="318"/>
      <c r="DK45" s="318"/>
      <c r="DL45" s="318"/>
      <c r="DM45" s="318"/>
      <c r="DN45" s="318"/>
      <c r="DO45" s="318"/>
      <c r="DP45" s="318"/>
      <c r="DQ45" s="318"/>
      <c r="DR45" s="318"/>
      <c r="DS45" s="318"/>
      <c r="DT45" s="318"/>
      <c r="DU45" s="318"/>
      <c r="DV45" s="318"/>
      <c r="DW45" s="318"/>
      <c r="DX45" s="318"/>
      <c r="DY45" s="318"/>
      <c r="DZ45" s="318"/>
      <c r="EA45" s="318"/>
      <c r="EB45" s="318"/>
      <c r="EC45" s="318"/>
      <c r="ED45" s="318"/>
      <c r="EE45" s="318"/>
      <c r="EF45" s="318"/>
      <c r="EG45" s="318"/>
      <c r="EH45" s="318"/>
      <c r="EI45" s="318"/>
      <c r="EJ45" s="318"/>
      <c r="EK45" s="318"/>
      <c r="EL45" s="318"/>
      <c r="EM45" s="318"/>
      <c r="EN45" s="318"/>
      <c r="EO45" s="318"/>
      <c r="EP45" s="318"/>
      <c r="EQ45" s="318"/>
      <c r="ER45" s="318"/>
      <c r="ES45" s="318"/>
      <c r="ET45" s="318"/>
      <c r="EU45" s="318"/>
      <c r="EV45" s="318"/>
      <c r="EW45" s="318"/>
      <c r="EX45" s="318"/>
      <c r="EY45" s="318"/>
      <c r="EZ45" s="318"/>
      <c r="FA45" s="318"/>
      <c r="FB45" s="318"/>
      <c r="FC45" s="318"/>
      <c r="FD45" s="318"/>
      <c r="FE45" s="318"/>
      <c r="FF45" s="318"/>
      <c r="FG45" s="318"/>
      <c r="FH45" s="318"/>
      <c r="FI45" s="318"/>
      <c r="FJ45" s="318"/>
      <c r="FK45" s="318"/>
      <c r="FL45" s="318"/>
      <c r="FM45" s="318"/>
      <c r="FN45" s="318"/>
      <c r="FO45" s="318"/>
      <c r="FP45" s="318"/>
      <c r="FQ45" s="318"/>
      <c r="FR45" s="318"/>
      <c r="FS45" s="318"/>
      <c r="FT45" s="318"/>
      <c r="FU45" s="318"/>
      <c r="FV45" s="318"/>
      <c r="FW45" s="318"/>
      <c r="FX45" s="318"/>
      <c r="FY45" s="318"/>
      <c r="FZ45" s="318"/>
      <c r="GA45" s="318"/>
      <c r="GB45" s="318"/>
      <c r="GC45" s="318"/>
      <c r="GD45" s="318"/>
      <c r="GE45" s="318"/>
      <c r="GF45" s="318"/>
      <c r="GG45" s="318"/>
      <c r="GH45" s="318"/>
      <c r="GI45" s="318"/>
      <c r="GJ45" s="318"/>
      <c r="GK45" s="318"/>
      <c r="GL45" s="318"/>
      <c r="GM45" s="318"/>
      <c r="GN45" s="318"/>
      <c r="GO45" s="318"/>
      <c r="GP45" s="318"/>
      <c r="GQ45" s="318"/>
      <c r="GR45" s="318"/>
      <c r="GS45" s="318"/>
      <c r="GT45" s="318"/>
      <c r="GU45" s="318"/>
      <c r="GV45" s="318"/>
      <c r="GW45" s="318"/>
      <c r="GX45" s="318"/>
      <c r="GY45" s="318"/>
      <c r="GZ45" s="318"/>
      <c r="HA45" s="318"/>
      <c r="HB45" s="318"/>
      <c r="HC45" s="318"/>
      <c r="HD45" s="318"/>
      <c r="HE45" s="318"/>
      <c r="HF45" s="318"/>
      <c r="HG45" s="318"/>
      <c r="HH45" s="318"/>
      <c r="HI45" s="318"/>
      <c r="HJ45" s="318"/>
      <c r="HK45" s="318"/>
      <c r="HL45" s="318"/>
      <c r="HM45" s="318"/>
      <c r="HN45" s="318"/>
      <c r="HO45" s="318"/>
      <c r="HP45" s="318"/>
      <c r="HQ45" s="318"/>
      <c r="HR45" s="318"/>
      <c r="HS45" s="318"/>
      <c r="HT45" s="318"/>
      <c r="HU45" s="318"/>
      <c r="HV45" s="318"/>
      <c r="HW45" s="318"/>
      <c r="HX45" s="318"/>
      <c r="HY45" s="318"/>
      <c r="HZ45" s="318"/>
      <c r="IA45" s="318"/>
      <c r="IB45" s="318"/>
      <c r="IC45" s="318"/>
    </row>
    <row r="46" spans="1:237" s="260" customFormat="1" ht="15" customHeight="1" x14ac:dyDescent="0.3">
      <c r="A46" s="181">
        <v>7.02</v>
      </c>
      <c r="B46" s="239"/>
      <c r="C46" s="240" t="str">
        <f>VLOOKUP(BD.PD[[#This Row],[Pos]],PPto[],3,FALSE)</f>
        <v>7.02 Cocina, Patio Comidas y Rostizería</v>
      </c>
      <c r="D46" s="181" t="s">
        <v>40</v>
      </c>
      <c r="E46" s="242" t="str">
        <f>IF(BD.PD[[#This Row],[.]]="*",VLOOKUP(BD.PD[[#This Row],[Pos]],Presupuesto!A:H,7,FALSE),"")</f>
        <v/>
      </c>
      <c r="F46" s="243" t="s">
        <v>500</v>
      </c>
      <c r="G46" s="243" t="s">
        <v>308</v>
      </c>
      <c r="H46" s="275"/>
      <c r="I46" s="276">
        <v>4</v>
      </c>
      <c r="J46" s="181" t="s">
        <v>314</v>
      </c>
      <c r="K46" s="245">
        <f>IF(BD.PD[[#This Row],[Mon]]="DOP",1,HLOOKUP(BD.PD[[#This Row],[Mon]],$J$1:$K$2,2,FALSE))</f>
        <v>1</v>
      </c>
      <c r="L46" s="277">
        <v>1650</v>
      </c>
      <c r="M46" s="247">
        <f>BD.PD[[#This Row],[Cant.]]*BD.PD[[#This Row],[ Tasa ]]*BD.PD[[#This Row],[ Precio Und.]]</f>
        <v>6600</v>
      </c>
      <c r="N46" s="278">
        <v>0</v>
      </c>
      <c r="O46" s="247">
        <f>IF(BD.PD[[#This Row],[Liquid. '[%']]]&lt;&gt;0,(BD.PD[[#This Row],[Valor Neto '[DOP']]]*BD.PD[[#This Row],[Liquid. '[%']]])+BD.PD[[#This Row],[Valor Neto '[DOP']]],BD.PD[[#This Row],[Valor Neto '[DOP']]])</f>
        <v>6600</v>
      </c>
      <c r="P46" s="257">
        <f>BD.PD[[#This Row],[Ppto. Orden Interna '[DOP']]]/HLOOKUP("USD",$J$1:$K$2,2,FALSE)</f>
        <v>108.73146622734761</v>
      </c>
      <c r="Q46" s="250" t="s">
        <v>456</v>
      </c>
      <c r="R46" s="258" t="s">
        <v>387</v>
      </c>
      <c r="S46" s="251">
        <v>22</v>
      </c>
      <c r="T46" s="252">
        <v>1</v>
      </c>
      <c r="U46" s="259">
        <f>BD.PD[[#This Row],[Av.P1 '[%']]]*BD.PD[[#This Row],[Ppto. Orden Interna '[DOP']]]</f>
        <v>6600</v>
      </c>
      <c r="V46" s="254"/>
      <c r="W46" s="255"/>
      <c r="X46" s="259">
        <f>BD.PD[[#This Row],[Av.P2 '[%']]]*BD.PD[[#This Row],[Ppto. Orden Interna '[DOP']]]</f>
        <v>0</v>
      </c>
      <c r="Y46" s="254"/>
      <c r="Z46" s="255"/>
      <c r="AA46" s="259">
        <f>BD.PD[[#This Row],[Av.P3 '[%']]]*BD.PD[[#This Row],[Ppto. Orden Interna '[DOP']]]</f>
        <v>0</v>
      </c>
      <c r="AB46" s="254"/>
      <c r="AC46" s="255"/>
      <c r="AD46" s="259">
        <f>BD.PD[[#This Row],[Av.P4 '[%']]]*BD.PD[[#This Row],[Ppto. Orden Interna '[DOP']]]</f>
        <v>0</v>
      </c>
      <c r="AE46" s="254"/>
      <c r="AF46" s="255"/>
      <c r="AG46" s="259">
        <f>BD.PD[[#This Row],[Av.P5 '[%']]]*BD.PD[[#This Row],[Ppto. Orden Interna '[DOP']]]</f>
        <v>0</v>
      </c>
      <c r="AH46" s="256">
        <f>BD.PD[[#This Row],[Pago 5]]+BD.PD[[#This Row],[Pago 4]]+BD.PD[[#This Row],[Pago 3]]+BD.PD[[#This Row],[Pago 2]]+BD.PD[[#This Row],[Pago 1]]</f>
        <v>6600</v>
      </c>
      <c r="AI46" s="318"/>
      <c r="AJ46" s="318"/>
      <c r="AK46" s="318"/>
      <c r="AL46" s="318"/>
      <c r="AM46" s="318"/>
      <c r="AN46" s="318"/>
      <c r="AO46" s="318"/>
      <c r="AP46" s="318"/>
      <c r="AQ46" s="318"/>
      <c r="AR46" s="318"/>
      <c r="AS46" s="318"/>
      <c r="AT46" s="318"/>
      <c r="AU46" s="318"/>
      <c r="AV46" s="318"/>
      <c r="AW46" s="318"/>
      <c r="AX46" s="318"/>
      <c r="AY46" s="318"/>
      <c r="AZ46" s="318"/>
      <c r="BA46" s="318"/>
      <c r="BB46" s="318"/>
      <c r="BC46" s="318"/>
      <c r="BD46" s="318"/>
      <c r="BE46" s="318"/>
      <c r="BF46" s="318"/>
      <c r="BG46" s="318"/>
      <c r="BH46" s="318"/>
      <c r="BI46" s="318"/>
      <c r="BJ46" s="318"/>
      <c r="BK46" s="318"/>
      <c r="BL46" s="318"/>
      <c r="BM46" s="318"/>
      <c r="BN46" s="318"/>
      <c r="BO46" s="318"/>
      <c r="BP46" s="318"/>
      <c r="BQ46" s="318"/>
      <c r="BR46" s="318"/>
      <c r="BS46" s="318"/>
      <c r="BT46" s="318"/>
      <c r="BU46" s="318"/>
      <c r="BV46" s="318"/>
      <c r="BW46" s="318"/>
      <c r="BX46" s="318"/>
      <c r="BY46" s="318"/>
      <c r="BZ46" s="318"/>
      <c r="CA46" s="318"/>
      <c r="CB46" s="318"/>
      <c r="CC46" s="318"/>
      <c r="CD46" s="318"/>
      <c r="CE46" s="318"/>
      <c r="CF46" s="318"/>
      <c r="CG46" s="318"/>
      <c r="CH46" s="318"/>
      <c r="CI46" s="318"/>
      <c r="CJ46" s="318"/>
      <c r="CK46" s="318"/>
      <c r="CL46" s="318"/>
      <c r="CM46" s="318"/>
      <c r="CN46" s="318"/>
      <c r="CO46" s="318"/>
      <c r="CP46" s="318"/>
      <c r="CQ46" s="318"/>
      <c r="CR46" s="318"/>
      <c r="CS46" s="318"/>
      <c r="CT46" s="318"/>
      <c r="CU46" s="318"/>
      <c r="CV46" s="318"/>
      <c r="CW46" s="318"/>
      <c r="CX46" s="318"/>
      <c r="CY46" s="318"/>
      <c r="CZ46" s="318"/>
      <c r="DA46" s="318"/>
      <c r="DB46" s="318"/>
      <c r="DC46" s="318"/>
      <c r="DD46" s="318"/>
      <c r="DE46" s="318"/>
      <c r="DF46" s="318"/>
      <c r="DG46" s="318"/>
      <c r="DH46" s="318"/>
      <c r="DI46" s="318"/>
      <c r="DJ46" s="318"/>
      <c r="DK46" s="318"/>
      <c r="DL46" s="318"/>
      <c r="DM46" s="318"/>
      <c r="DN46" s="318"/>
      <c r="DO46" s="318"/>
      <c r="DP46" s="318"/>
      <c r="DQ46" s="318"/>
      <c r="DR46" s="318"/>
      <c r="DS46" s="318"/>
      <c r="DT46" s="318"/>
      <c r="DU46" s="318"/>
      <c r="DV46" s="318"/>
      <c r="DW46" s="318"/>
      <c r="DX46" s="318"/>
      <c r="DY46" s="318"/>
      <c r="DZ46" s="318"/>
      <c r="EA46" s="318"/>
      <c r="EB46" s="318"/>
      <c r="EC46" s="318"/>
      <c r="ED46" s="318"/>
      <c r="EE46" s="318"/>
      <c r="EF46" s="318"/>
      <c r="EG46" s="318"/>
      <c r="EH46" s="318"/>
      <c r="EI46" s="318"/>
      <c r="EJ46" s="318"/>
      <c r="EK46" s="318"/>
      <c r="EL46" s="318"/>
      <c r="EM46" s="318"/>
      <c r="EN46" s="318"/>
      <c r="EO46" s="318"/>
      <c r="EP46" s="318"/>
      <c r="EQ46" s="318"/>
      <c r="ER46" s="318"/>
      <c r="ES46" s="318"/>
      <c r="ET46" s="318"/>
      <c r="EU46" s="318"/>
      <c r="EV46" s="318"/>
      <c r="EW46" s="318"/>
      <c r="EX46" s="318"/>
      <c r="EY46" s="318"/>
      <c r="EZ46" s="318"/>
      <c r="FA46" s="318"/>
      <c r="FB46" s="318"/>
      <c r="FC46" s="318"/>
      <c r="FD46" s="318"/>
      <c r="FE46" s="318"/>
      <c r="FF46" s="318"/>
      <c r="FG46" s="318"/>
      <c r="FH46" s="318"/>
      <c r="FI46" s="318"/>
      <c r="FJ46" s="318"/>
      <c r="FK46" s="318"/>
      <c r="FL46" s="318"/>
      <c r="FM46" s="318"/>
      <c r="FN46" s="318"/>
      <c r="FO46" s="318"/>
      <c r="FP46" s="318"/>
      <c r="FQ46" s="318"/>
      <c r="FR46" s="318"/>
      <c r="FS46" s="318"/>
      <c r="FT46" s="318"/>
      <c r="FU46" s="318"/>
      <c r="FV46" s="318"/>
      <c r="FW46" s="318"/>
      <c r="FX46" s="318"/>
      <c r="FY46" s="318"/>
      <c r="FZ46" s="318"/>
      <c r="GA46" s="318"/>
      <c r="GB46" s="318"/>
      <c r="GC46" s="318"/>
      <c r="GD46" s="318"/>
      <c r="GE46" s="318"/>
      <c r="GF46" s="318"/>
      <c r="GG46" s="318"/>
      <c r="GH46" s="318"/>
      <c r="GI46" s="318"/>
      <c r="GJ46" s="318"/>
      <c r="GK46" s="318"/>
      <c r="GL46" s="318"/>
      <c r="GM46" s="318"/>
      <c r="GN46" s="318"/>
      <c r="GO46" s="318"/>
      <c r="GP46" s="318"/>
      <c r="GQ46" s="318"/>
      <c r="GR46" s="318"/>
      <c r="GS46" s="318"/>
      <c r="GT46" s="318"/>
      <c r="GU46" s="318"/>
      <c r="GV46" s="318"/>
      <c r="GW46" s="318"/>
      <c r="GX46" s="318"/>
      <c r="GY46" s="318"/>
      <c r="GZ46" s="318"/>
      <c r="HA46" s="318"/>
      <c r="HB46" s="318"/>
      <c r="HC46" s="318"/>
      <c r="HD46" s="318"/>
      <c r="HE46" s="318"/>
      <c r="HF46" s="318"/>
      <c r="HG46" s="318"/>
      <c r="HH46" s="318"/>
      <c r="HI46" s="318"/>
      <c r="HJ46" s="318"/>
      <c r="HK46" s="318"/>
      <c r="HL46" s="318"/>
      <c r="HM46" s="318"/>
      <c r="HN46" s="318"/>
      <c r="HO46" s="318"/>
      <c r="HP46" s="318"/>
      <c r="HQ46" s="318"/>
      <c r="HR46" s="318"/>
      <c r="HS46" s="318"/>
      <c r="HT46" s="318"/>
      <c r="HU46" s="318"/>
      <c r="HV46" s="318"/>
      <c r="HW46" s="318"/>
      <c r="HX46" s="318"/>
      <c r="HY46" s="318"/>
      <c r="HZ46" s="318"/>
      <c r="IA46" s="318"/>
      <c r="IB46" s="318"/>
      <c r="IC46" s="318"/>
    </row>
    <row r="47" spans="1:237" s="260" customFormat="1" ht="15" customHeight="1" x14ac:dyDescent="0.3">
      <c r="A47" s="181">
        <v>7.02</v>
      </c>
      <c r="B47" s="239"/>
      <c r="C47" s="240" t="str">
        <f>VLOOKUP(BD.PD[[#This Row],[Pos]],PPto[],3,FALSE)</f>
        <v>7.02 Cocina, Patio Comidas y Rostizería</v>
      </c>
      <c r="D47" s="181" t="s">
        <v>40</v>
      </c>
      <c r="E47" s="242" t="str">
        <f>IF(BD.PD[[#This Row],[.]]="*",VLOOKUP(BD.PD[[#This Row],[Pos]],Presupuesto!A:H,7,FALSE),"")</f>
        <v/>
      </c>
      <c r="F47" s="243" t="s">
        <v>501</v>
      </c>
      <c r="G47" s="243" t="s">
        <v>308</v>
      </c>
      <c r="H47" s="275"/>
      <c r="I47" s="276">
        <v>2</v>
      </c>
      <c r="J47" s="181" t="s">
        <v>314</v>
      </c>
      <c r="K47" s="245">
        <f>IF(BD.PD[[#This Row],[Mon]]="DOP",1,HLOOKUP(BD.PD[[#This Row],[Mon]],$J$1:$K$2,2,FALSE))</f>
        <v>1</v>
      </c>
      <c r="L47" s="277">
        <v>3200</v>
      </c>
      <c r="M47" s="247">
        <f>BD.PD[[#This Row],[Cant.]]*BD.PD[[#This Row],[ Tasa ]]*BD.PD[[#This Row],[ Precio Und.]]</f>
        <v>6400</v>
      </c>
      <c r="N47" s="278">
        <v>0</v>
      </c>
      <c r="O47" s="247">
        <f>IF(BD.PD[[#This Row],[Liquid. '[%']]]&lt;&gt;0,(BD.PD[[#This Row],[Valor Neto '[DOP']]]*BD.PD[[#This Row],[Liquid. '[%']]])+BD.PD[[#This Row],[Valor Neto '[DOP']]],BD.PD[[#This Row],[Valor Neto '[DOP']]])</f>
        <v>6400</v>
      </c>
      <c r="P47" s="257">
        <f>BD.PD[[#This Row],[Ppto. Orden Interna '[DOP']]]/HLOOKUP("USD",$J$1:$K$2,2,FALSE)</f>
        <v>105.43657331136738</v>
      </c>
      <c r="Q47" s="250" t="s">
        <v>456</v>
      </c>
      <c r="R47" s="258" t="s">
        <v>387</v>
      </c>
      <c r="S47" s="251">
        <v>22</v>
      </c>
      <c r="T47" s="252">
        <v>1</v>
      </c>
      <c r="U47" s="259">
        <f>BD.PD[[#This Row],[Av.P1 '[%']]]*BD.PD[[#This Row],[Ppto. Orden Interna '[DOP']]]</f>
        <v>6400</v>
      </c>
      <c r="V47" s="254"/>
      <c r="W47" s="255"/>
      <c r="X47" s="259">
        <f>BD.PD[[#This Row],[Av.P2 '[%']]]*BD.PD[[#This Row],[Ppto. Orden Interna '[DOP']]]</f>
        <v>0</v>
      </c>
      <c r="Y47" s="254"/>
      <c r="Z47" s="255"/>
      <c r="AA47" s="259">
        <f>BD.PD[[#This Row],[Av.P3 '[%']]]*BD.PD[[#This Row],[Ppto. Orden Interna '[DOP']]]</f>
        <v>0</v>
      </c>
      <c r="AB47" s="254"/>
      <c r="AC47" s="255"/>
      <c r="AD47" s="259">
        <f>BD.PD[[#This Row],[Av.P4 '[%']]]*BD.PD[[#This Row],[Ppto. Orden Interna '[DOP']]]</f>
        <v>0</v>
      </c>
      <c r="AE47" s="254"/>
      <c r="AF47" s="255"/>
      <c r="AG47" s="259">
        <f>BD.PD[[#This Row],[Av.P5 '[%']]]*BD.PD[[#This Row],[Ppto. Orden Interna '[DOP']]]</f>
        <v>0</v>
      </c>
      <c r="AH47" s="256">
        <f>BD.PD[[#This Row],[Pago 5]]+BD.PD[[#This Row],[Pago 4]]+BD.PD[[#This Row],[Pago 3]]+BD.PD[[#This Row],[Pago 2]]+BD.PD[[#This Row],[Pago 1]]</f>
        <v>6400</v>
      </c>
      <c r="AI47" s="318"/>
      <c r="AJ47" s="318"/>
      <c r="AK47" s="318"/>
      <c r="AL47" s="318"/>
      <c r="AM47" s="318"/>
      <c r="AN47" s="318"/>
      <c r="AO47" s="318"/>
      <c r="AP47" s="318"/>
      <c r="AQ47" s="318"/>
      <c r="AR47" s="318"/>
      <c r="AS47" s="318"/>
      <c r="AT47" s="318"/>
      <c r="AU47" s="318"/>
      <c r="AV47" s="318"/>
      <c r="AW47" s="318"/>
      <c r="AX47" s="318"/>
      <c r="AY47" s="318"/>
      <c r="AZ47" s="318"/>
      <c r="BA47" s="318"/>
      <c r="BB47" s="318"/>
      <c r="BC47" s="318"/>
      <c r="BD47" s="318"/>
      <c r="BE47" s="318"/>
      <c r="BF47" s="318"/>
      <c r="BG47" s="318"/>
      <c r="BH47" s="318"/>
      <c r="BI47" s="318"/>
      <c r="BJ47" s="318"/>
      <c r="BK47" s="318"/>
      <c r="BL47" s="318"/>
      <c r="BM47" s="318"/>
      <c r="BN47" s="318"/>
      <c r="BO47" s="318"/>
      <c r="BP47" s="318"/>
      <c r="BQ47" s="318"/>
      <c r="BR47" s="318"/>
      <c r="BS47" s="318"/>
      <c r="BT47" s="318"/>
      <c r="BU47" s="318"/>
      <c r="BV47" s="318"/>
      <c r="BW47" s="318"/>
      <c r="BX47" s="318"/>
      <c r="BY47" s="318"/>
      <c r="BZ47" s="318"/>
      <c r="CA47" s="318"/>
      <c r="CB47" s="318"/>
      <c r="CC47" s="318"/>
      <c r="CD47" s="318"/>
      <c r="CE47" s="318"/>
      <c r="CF47" s="318"/>
      <c r="CG47" s="318"/>
      <c r="CH47" s="318"/>
      <c r="CI47" s="318"/>
      <c r="CJ47" s="318"/>
      <c r="CK47" s="318"/>
      <c r="CL47" s="318"/>
      <c r="CM47" s="318"/>
      <c r="CN47" s="318"/>
      <c r="CO47" s="318"/>
      <c r="CP47" s="318"/>
      <c r="CQ47" s="318"/>
      <c r="CR47" s="318"/>
      <c r="CS47" s="318"/>
      <c r="CT47" s="318"/>
      <c r="CU47" s="318"/>
      <c r="CV47" s="318"/>
      <c r="CW47" s="318"/>
      <c r="CX47" s="318"/>
      <c r="CY47" s="318"/>
      <c r="CZ47" s="318"/>
      <c r="DA47" s="318"/>
      <c r="DB47" s="318"/>
      <c r="DC47" s="318"/>
      <c r="DD47" s="318"/>
      <c r="DE47" s="318"/>
      <c r="DF47" s="318"/>
      <c r="DG47" s="318"/>
      <c r="DH47" s="318"/>
      <c r="DI47" s="318"/>
      <c r="DJ47" s="318"/>
      <c r="DK47" s="318"/>
      <c r="DL47" s="318"/>
      <c r="DM47" s="318"/>
      <c r="DN47" s="318"/>
      <c r="DO47" s="318"/>
      <c r="DP47" s="318"/>
      <c r="DQ47" s="318"/>
      <c r="DR47" s="318"/>
      <c r="DS47" s="318"/>
      <c r="DT47" s="318"/>
      <c r="DU47" s="318"/>
      <c r="DV47" s="318"/>
      <c r="DW47" s="318"/>
      <c r="DX47" s="318"/>
      <c r="DY47" s="318"/>
      <c r="DZ47" s="318"/>
      <c r="EA47" s="318"/>
      <c r="EB47" s="318"/>
      <c r="EC47" s="318"/>
      <c r="ED47" s="318"/>
      <c r="EE47" s="318"/>
      <c r="EF47" s="318"/>
      <c r="EG47" s="318"/>
      <c r="EH47" s="318"/>
      <c r="EI47" s="318"/>
      <c r="EJ47" s="318"/>
      <c r="EK47" s="318"/>
      <c r="EL47" s="318"/>
      <c r="EM47" s="318"/>
      <c r="EN47" s="318"/>
      <c r="EO47" s="318"/>
      <c r="EP47" s="318"/>
      <c r="EQ47" s="318"/>
      <c r="ER47" s="318"/>
      <c r="ES47" s="318"/>
      <c r="ET47" s="318"/>
      <c r="EU47" s="318"/>
      <c r="EV47" s="318"/>
      <c r="EW47" s="318"/>
      <c r="EX47" s="318"/>
      <c r="EY47" s="318"/>
      <c r="EZ47" s="318"/>
      <c r="FA47" s="318"/>
      <c r="FB47" s="318"/>
      <c r="FC47" s="318"/>
      <c r="FD47" s="318"/>
      <c r="FE47" s="318"/>
      <c r="FF47" s="318"/>
      <c r="FG47" s="318"/>
      <c r="FH47" s="318"/>
      <c r="FI47" s="318"/>
      <c r="FJ47" s="318"/>
      <c r="FK47" s="318"/>
      <c r="FL47" s="318"/>
      <c r="FM47" s="318"/>
      <c r="FN47" s="318"/>
      <c r="FO47" s="318"/>
      <c r="FP47" s="318"/>
      <c r="FQ47" s="318"/>
      <c r="FR47" s="318"/>
      <c r="FS47" s="318"/>
      <c r="FT47" s="318"/>
      <c r="FU47" s="318"/>
      <c r="FV47" s="318"/>
      <c r="FW47" s="318"/>
      <c r="FX47" s="318"/>
      <c r="FY47" s="318"/>
      <c r="FZ47" s="318"/>
      <c r="GA47" s="318"/>
      <c r="GB47" s="318"/>
      <c r="GC47" s="318"/>
      <c r="GD47" s="318"/>
      <c r="GE47" s="318"/>
      <c r="GF47" s="318"/>
      <c r="GG47" s="318"/>
      <c r="GH47" s="318"/>
      <c r="GI47" s="318"/>
      <c r="GJ47" s="318"/>
      <c r="GK47" s="318"/>
      <c r="GL47" s="318"/>
      <c r="GM47" s="318"/>
      <c r="GN47" s="318"/>
      <c r="GO47" s="318"/>
      <c r="GP47" s="318"/>
      <c r="GQ47" s="318"/>
      <c r="GR47" s="318"/>
      <c r="GS47" s="318"/>
      <c r="GT47" s="318"/>
      <c r="GU47" s="318"/>
      <c r="GV47" s="318"/>
      <c r="GW47" s="318"/>
      <c r="GX47" s="318"/>
      <c r="GY47" s="318"/>
      <c r="GZ47" s="318"/>
      <c r="HA47" s="318"/>
      <c r="HB47" s="318"/>
      <c r="HC47" s="318"/>
      <c r="HD47" s="318"/>
      <c r="HE47" s="318"/>
      <c r="HF47" s="318"/>
      <c r="HG47" s="318"/>
      <c r="HH47" s="318"/>
      <c r="HI47" s="318"/>
      <c r="HJ47" s="318"/>
      <c r="HK47" s="318"/>
      <c r="HL47" s="318"/>
      <c r="HM47" s="318"/>
      <c r="HN47" s="318"/>
      <c r="HO47" s="318"/>
      <c r="HP47" s="318"/>
      <c r="HQ47" s="318"/>
      <c r="HR47" s="318"/>
      <c r="HS47" s="318"/>
      <c r="HT47" s="318"/>
      <c r="HU47" s="318"/>
      <c r="HV47" s="318"/>
      <c r="HW47" s="318"/>
      <c r="HX47" s="318"/>
      <c r="HY47" s="318"/>
      <c r="HZ47" s="318"/>
      <c r="IA47" s="318"/>
      <c r="IB47" s="318"/>
      <c r="IC47" s="318"/>
    </row>
    <row r="48" spans="1:237" s="260" customFormat="1" ht="15" customHeight="1" x14ac:dyDescent="0.3">
      <c r="A48" s="181">
        <v>7.02</v>
      </c>
      <c r="B48" s="239"/>
      <c r="C48" s="240" t="str">
        <f>VLOOKUP(BD.PD[[#This Row],[Pos]],PPto[],3,FALSE)</f>
        <v>7.02 Cocina, Patio Comidas y Rostizería</v>
      </c>
      <c r="D48" s="181" t="s">
        <v>40</v>
      </c>
      <c r="E48" s="242" t="str">
        <f>IF(BD.PD[[#This Row],[.]]="*",VLOOKUP(BD.PD[[#This Row],[Pos]],Presupuesto!A:H,7,FALSE),"")</f>
        <v/>
      </c>
      <c r="F48" s="243" t="s">
        <v>502</v>
      </c>
      <c r="G48" s="243" t="s">
        <v>308</v>
      </c>
      <c r="H48" s="275"/>
      <c r="I48" s="276">
        <v>3</v>
      </c>
      <c r="J48" s="181" t="s">
        <v>314</v>
      </c>
      <c r="K48" s="245">
        <f>IF(BD.PD[[#This Row],[Mon]]="DOP",1,HLOOKUP(BD.PD[[#This Row],[Mon]],$J$1:$K$2,2,FALSE))</f>
        <v>1</v>
      </c>
      <c r="L48" s="277">
        <v>690</v>
      </c>
      <c r="M48" s="247">
        <f>BD.PD[[#This Row],[Cant.]]*BD.PD[[#This Row],[ Tasa ]]*BD.PD[[#This Row],[ Precio Und.]]</f>
        <v>2070</v>
      </c>
      <c r="N48" s="278">
        <v>0</v>
      </c>
      <c r="O48" s="247">
        <f>IF(BD.PD[[#This Row],[Liquid. '[%']]]&lt;&gt;0,(BD.PD[[#This Row],[Valor Neto '[DOP']]]*BD.PD[[#This Row],[Liquid. '[%']]])+BD.PD[[#This Row],[Valor Neto '[DOP']]],BD.PD[[#This Row],[Valor Neto '[DOP']]])</f>
        <v>2070</v>
      </c>
      <c r="P48" s="249">
        <f>BD.PD[[#This Row],[Ppto. Orden Interna '[DOP']]]/HLOOKUP("USD",$J$1:$K$2,2,FALSE)</f>
        <v>34.102141680395384</v>
      </c>
      <c r="Q48" s="250" t="s">
        <v>456</v>
      </c>
      <c r="R48" s="258" t="s">
        <v>387</v>
      </c>
      <c r="S48" s="251">
        <v>22</v>
      </c>
      <c r="T48" s="252">
        <v>1</v>
      </c>
      <c r="U48" s="259">
        <f>BD.PD[[#This Row],[Av.P1 '[%']]]*BD.PD[[#This Row],[Ppto. Orden Interna '[DOP']]]</f>
        <v>2070</v>
      </c>
      <c r="V48" s="254"/>
      <c r="W48" s="255"/>
      <c r="X48" s="259">
        <f>BD.PD[[#This Row],[Av.P2 '[%']]]*BD.PD[[#This Row],[Ppto. Orden Interna '[DOP']]]</f>
        <v>0</v>
      </c>
      <c r="Y48" s="254"/>
      <c r="Z48" s="255"/>
      <c r="AA48" s="259">
        <f>BD.PD[[#This Row],[Av.P3 '[%']]]*BD.PD[[#This Row],[Ppto. Orden Interna '[DOP']]]</f>
        <v>0</v>
      </c>
      <c r="AB48" s="254"/>
      <c r="AC48" s="255"/>
      <c r="AD48" s="259">
        <f>BD.PD[[#This Row],[Av.P4 '[%']]]*BD.PD[[#This Row],[Ppto. Orden Interna '[DOP']]]</f>
        <v>0</v>
      </c>
      <c r="AE48" s="254"/>
      <c r="AF48" s="255"/>
      <c r="AG48" s="259">
        <f>BD.PD[[#This Row],[Av.P5 '[%']]]*BD.PD[[#This Row],[Ppto. Orden Interna '[DOP']]]</f>
        <v>0</v>
      </c>
      <c r="AH48" s="256">
        <f>BD.PD[[#This Row],[Pago 5]]+BD.PD[[#This Row],[Pago 4]]+BD.PD[[#This Row],[Pago 3]]+BD.PD[[#This Row],[Pago 2]]+BD.PD[[#This Row],[Pago 1]]</f>
        <v>2070</v>
      </c>
      <c r="AI48" s="318"/>
      <c r="AJ48" s="318"/>
      <c r="AK48" s="318"/>
      <c r="AL48" s="318"/>
      <c r="AM48" s="318"/>
      <c r="AN48" s="318"/>
      <c r="AO48" s="318"/>
      <c r="AP48" s="318"/>
      <c r="AQ48" s="318"/>
      <c r="AR48" s="318"/>
      <c r="AS48" s="318"/>
      <c r="AT48" s="318"/>
      <c r="AU48" s="318"/>
      <c r="AV48" s="318"/>
      <c r="AW48" s="318"/>
      <c r="AX48" s="318"/>
      <c r="AY48" s="318"/>
      <c r="AZ48" s="318"/>
      <c r="BA48" s="318"/>
      <c r="BB48" s="318"/>
      <c r="BC48" s="318"/>
      <c r="BD48" s="318"/>
      <c r="BE48" s="318"/>
      <c r="BF48" s="318"/>
      <c r="BG48" s="318"/>
      <c r="BH48" s="318"/>
      <c r="BI48" s="318"/>
      <c r="BJ48" s="318"/>
      <c r="BK48" s="318"/>
      <c r="BL48" s="318"/>
      <c r="BM48" s="318"/>
      <c r="BN48" s="318"/>
      <c r="BO48" s="318"/>
      <c r="BP48" s="318"/>
      <c r="BQ48" s="318"/>
      <c r="BR48" s="318"/>
      <c r="BS48" s="318"/>
      <c r="BT48" s="318"/>
      <c r="BU48" s="318"/>
      <c r="BV48" s="318"/>
      <c r="BW48" s="318"/>
      <c r="BX48" s="318"/>
      <c r="BY48" s="318"/>
      <c r="BZ48" s="318"/>
      <c r="CA48" s="318"/>
      <c r="CB48" s="318"/>
      <c r="CC48" s="318"/>
      <c r="CD48" s="318"/>
      <c r="CE48" s="318"/>
      <c r="CF48" s="318"/>
      <c r="CG48" s="318"/>
      <c r="CH48" s="318"/>
      <c r="CI48" s="318"/>
      <c r="CJ48" s="318"/>
      <c r="CK48" s="318"/>
      <c r="CL48" s="318"/>
      <c r="CM48" s="318"/>
      <c r="CN48" s="318"/>
      <c r="CO48" s="318"/>
      <c r="CP48" s="318"/>
      <c r="CQ48" s="318"/>
      <c r="CR48" s="318"/>
      <c r="CS48" s="318"/>
      <c r="CT48" s="318"/>
      <c r="CU48" s="318"/>
      <c r="CV48" s="318"/>
      <c r="CW48" s="318"/>
      <c r="CX48" s="318"/>
      <c r="CY48" s="318"/>
      <c r="CZ48" s="318"/>
      <c r="DA48" s="318"/>
      <c r="DB48" s="318"/>
      <c r="DC48" s="318"/>
      <c r="DD48" s="318"/>
      <c r="DE48" s="318"/>
      <c r="DF48" s="318"/>
      <c r="DG48" s="318"/>
      <c r="DH48" s="318"/>
      <c r="DI48" s="318"/>
      <c r="DJ48" s="318"/>
      <c r="DK48" s="318"/>
      <c r="DL48" s="318"/>
      <c r="DM48" s="318"/>
      <c r="DN48" s="318"/>
      <c r="DO48" s="318"/>
      <c r="DP48" s="318"/>
      <c r="DQ48" s="318"/>
      <c r="DR48" s="318"/>
      <c r="DS48" s="318"/>
      <c r="DT48" s="318"/>
      <c r="DU48" s="318"/>
      <c r="DV48" s="318"/>
      <c r="DW48" s="318"/>
      <c r="DX48" s="318"/>
      <c r="DY48" s="318"/>
      <c r="DZ48" s="318"/>
      <c r="EA48" s="318"/>
      <c r="EB48" s="318"/>
      <c r="EC48" s="318"/>
      <c r="ED48" s="318"/>
      <c r="EE48" s="318"/>
      <c r="EF48" s="318"/>
      <c r="EG48" s="318"/>
      <c r="EH48" s="318"/>
      <c r="EI48" s="318"/>
      <c r="EJ48" s="318"/>
      <c r="EK48" s="318"/>
      <c r="EL48" s="318"/>
      <c r="EM48" s="318"/>
      <c r="EN48" s="318"/>
      <c r="EO48" s="318"/>
      <c r="EP48" s="318"/>
      <c r="EQ48" s="318"/>
      <c r="ER48" s="318"/>
      <c r="ES48" s="318"/>
      <c r="ET48" s="318"/>
      <c r="EU48" s="318"/>
      <c r="EV48" s="318"/>
      <c r="EW48" s="318"/>
      <c r="EX48" s="318"/>
      <c r="EY48" s="318"/>
      <c r="EZ48" s="318"/>
      <c r="FA48" s="318"/>
      <c r="FB48" s="318"/>
      <c r="FC48" s="318"/>
      <c r="FD48" s="318"/>
      <c r="FE48" s="318"/>
      <c r="FF48" s="318"/>
      <c r="FG48" s="318"/>
      <c r="FH48" s="318"/>
      <c r="FI48" s="318"/>
      <c r="FJ48" s="318"/>
      <c r="FK48" s="318"/>
      <c r="FL48" s="318"/>
      <c r="FM48" s="318"/>
      <c r="FN48" s="318"/>
      <c r="FO48" s="318"/>
      <c r="FP48" s="318"/>
      <c r="FQ48" s="318"/>
      <c r="FR48" s="318"/>
      <c r="FS48" s="318"/>
      <c r="FT48" s="318"/>
      <c r="FU48" s="318"/>
      <c r="FV48" s="318"/>
      <c r="FW48" s="318"/>
      <c r="FX48" s="318"/>
      <c r="FY48" s="318"/>
      <c r="FZ48" s="318"/>
      <c r="GA48" s="318"/>
      <c r="GB48" s="318"/>
      <c r="GC48" s="318"/>
      <c r="GD48" s="318"/>
      <c r="GE48" s="318"/>
      <c r="GF48" s="318"/>
      <c r="GG48" s="318"/>
      <c r="GH48" s="318"/>
      <c r="GI48" s="318"/>
      <c r="GJ48" s="318"/>
      <c r="GK48" s="318"/>
      <c r="GL48" s="318"/>
      <c r="GM48" s="318"/>
      <c r="GN48" s="318"/>
      <c r="GO48" s="318"/>
      <c r="GP48" s="318"/>
      <c r="GQ48" s="318"/>
      <c r="GR48" s="318"/>
      <c r="GS48" s="318"/>
      <c r="GT48" s="318"/>
      <c r="GU48" s="318"/>
      <c r="GV48" s="318"/>
      <c r="GW48" s="318"/>
      <c r="GX48" s="318"/>
      <c r="GY48" s="318"/>
      <c r="GZ48" s="318"/>
      <c r="HA48" s="318"/>
      <c r="HB48" s="318"/>
      <c r="HC48" s="318"/>
      <c r="HD48" s="318"/>
      <c r="HE48" s="318"/>
      <c r="HF48" s="318"/>
      <c r="HG48" s="318"/>
      <c r="HH48" s="318"/>
      <c r="HI48" s="318"/>
      <c r="HJ48" s="318"/>
      <c r="HK48" s="318"/>
      <c r="HL48" s="318"/>
      <c r="HM48" s="318"/>
      <c r="HN48" s="318"/>
      <c r="HO48" s="318"/>
      <c r="HP48" s="318"/>
      <c r="HQ48" s="318"/>
      <c r="HR48" s="318"/>
      <c r="HS48" s="318"/>
      <c r="HT48" s="318"/>
      <c r="HU48" s="318"/>
      <c r="HV48" s="318"/>
      <c r="HW48" s="318"/>
      <c r="HX48" s="318"/>
      <c r="HY48" s="318"/>
      <c r="HZ48" s="318"/>
      <c r="IA48" s="318"/>
      <c r="IB48" s="318"/>
      <c r="IC48" s="318"/>
    </row>
    <row r="49" spans="1:237" s="260" customFormat="1" ht="15" customHeight="1" x14ac:dyDescent="0.3">
      <c r="A49" s="181">
        <v>7.02</v>
      </c>
      <c r="B49" s="239"/>
      <c r="C49" s="240" t="str">
        <f>VLOOKUP(BD.PD[[#This Row],[Pos]],PPto[],3,FALSE)</f>
        <v>7.02 Cocina, Patio Comidas y Rostizería</v>
      </c>
      <c r="D49" s="181" t="s">
        <v>40</v>
      </c>
      <c r="E49" s="242" t="str">
        <f>IF(BD.PD[[#This Row],[.]]="*",VLOOKUP(BD.PD[[#This Row],[Pos]],Presupuesto!A:H,7,FALSE),"")</f>
        <v/>
      </c>
      <c r="F49" s="243" t="s">
        <v>503</v>
      </c>
      <c r="G49" s="243" t="s">
        <v>308</v>
      </c>
      <c r="H49" s="275"/>
      <c r="I49" s="276">
        <v>2</v>
      </c>
      <c r="J49" s="181" t="s">
        <v>314</v>
      </c>
      <c r="K49" s="245">
        <f>IF(BD.PD[[#This Row],[Mon]]="DOP",1,HLOOKUP(BD.PD[[#This Row],[Mon]],$J$1:$K$2,2,FALSE))</f>
        <v>1</v>
      </c>
      <c r="L49" s="277">
        <v>500</v>
      </c>
      <c r="M49" s="247">
        <f>BD.PD[[#This Row],[Cant.]]*BD.PD[[#This Row],[ Tasa ]]*BD.PD[[#This Row],[ Precio Und.]]</f>
        <v>1000</v>
      </c>
      <c r="N49" s="278">
        <v>0</v>
      </c>
      <c r="O49" s="247">
        <f>IF(BD.PD[[#This Row],[Liquid. '[%']]]&lt;&gt;0,(BD.PD[[#This Row],[Valor Neto '[DOP']]]*BD.PD[[#This Row],[Liquid. '[%']]])+BD.PD[[#This Row],[Valor Neto '[DOP']]],BD.PD[[#This Row],[Valor Neto '[DOP']]])</f>
        <v>1000</v>
      </c>
      <c r="P49" s="249">
        <f>BD.PD[[#This Row],[Ppto. Orden Interna '[DOP']]]/HLOOKUP("USD",$J$1:$K$2,2,FALSE)</f>
        <v>16.474464579901152</v>
      </c>
      <c r="Q49" s="250" t="s">
        <v>456</v>
      </c>
      <c r="R49" s="258" t="s">
        <v>387</v>
      </c>
      <c r="S49" s="251">
        <v>22</v>
      </c>
      <c r="T49" s="252">
        <v>1</v>
      </c>
      <c r="U49" s="259">
        <f>BD.PD[[#This Row],[Av.P1 '[%']]]*BD.PD[[#This Row],[Ppto. Orden Interna '[DOP']]]</f>
        <v>1000</v>
      </c>
      <c r="V49" s="254"/>
      <c r="W49" s="255"/>
      <c r="X49" s="259">
        <f>BD.PD[[#This Row],[Av.P2 '[%']]]*BD.PD[[#This Row],[Ppto. Orden Interna '[DOP']]]</f>
        <v>0</v>
      </c>
      <c r="Y49" s="254"/>
      <c r="Z49" s="255"/>
      <c r="AA49" s="259">
        <f>BD.PD[[#This Row],[Av.P3 '[%']]]*BD.PD[[#This Row],[Ppto. Orden Interna '[DOP']]]</f>
        <v>0</v>
      </c>
      <c r="AB49" s="254"/>
      <c r="AC49" s="255"/>
      <c r="AD49" s="259">
        <f>BD.PD[[#This Row],[Av.P4 '[%']]]*BD.PD[[#This Row],[Ppto. Orden Interna '[DOP']]]</f>
        <v>0</v>
      </c>
      <c r="AE49" s="254"/>
      <c r="AF49" s="255"/>
      <c r="AG49" s="259">
        <f>BD.PD[[#This Row],[Av.P5 '[%']]]*BD.PD[[#This Row],[Ppto. Orden Interna '[DOP']]]</f>
        <v>0</v>
      </c>
      <c r="AH49" s="256">
        <f>BD.PD[[#This Row],[Pago 5]]+BD.PD[[#This Row],[Pago 4]]+BD.PD[[#This Row],[Pago 3]]+BD.PD[[#This Row],[Pago 2]]+BD.PD[[#This Row],[Pago 1]]</f>
        <v>1000</v>
      </c>
      <c r="AI49" s="318"/>
      <c r="AJ49" s="318"/>
      <c r="AK49" s="318"/>
      <c r="AL49" s="318"/>
      <c r="AM49" s="318"/>
      <c r="AN49" s="318"/>
      <c r="AO49" s="318"/>
      <c r="AP49" s="318"/>
      <c r="AQ49" s="318"/>
      <c r="AR49" s="318"/>
      <c r="AS49" s="318"/>
      <c r="AT49" s="318"/>
      <c r="AU49" s="318"/>
      <c r="AV49" s="318"/>
      <c r="AW49" s="318"/>
      <c r="AX49" s="318"/>
      <c r="AY49" s="318"/>
      <c r="AZ49" s="318"/>
      <c r="BA49" s="318"/>
      <c r="BB49" s="318"/>
      <c r="BC49" s="318"/>
      <c r="BD49" s="318"/>
      <c r="BE49" s="318"/>
      <c r="BF49" s="318"/>
      <c r="BG49" s="318"/>
      <c r="BH49" s="318"/>
      <c r="BI49" s="318"/>
      <c r="BJ49" s="318"/>
      <c r="BK49" s="318"/>
      <c r="BL49" s="318"/>
      <c r="BM49" s="318"/>
      <c r="BN49" s="318"/>
      <c r="BO49" s="318"/>
      <c r="BP49" s="318"/>
      <c r="BQ49" s="318"/>
      <c r="BR49" s="318"/>
      <c r="BS49" s="318"/>
      <c r="BT49" s="318"/>
      <c r="BU49" s="318"/>
      <c r="BV49" s="318"/>
      <c r="BW49" s="318"/>
      <c r="BX49" s="318"/>
      <c r="BY49" s="318"/>
      <c r="BZ49" s="318"/>
      <c r="CA49" s="318"/>
      <c r="CB49" s="318"/>
      <c r="CC49" s="318"/>
      <c r="CD49" s="318"/>
      <c r="CE49" s="318"/>
      <c r="CF49" s="318"/>
      <c r="CG49" s="318"/>
      <c r="CH49" s="318"/>
      <c r="CI49" s="318"/>
      <c r="CJ49" s="318"/>
      <c r="CK49" s="318"/>
      <c r="CL49" s="318"/>
      <c r="CM49" s="318"/>
      <c r="CN49" s="318"/>
      <c r="CO49" s="318"/>
      <c r="CP49" s="318"/>
      <c r="CQ49" s="318"/>
      <c r="CR49" s="318"/>
      <c r="CS49" s="318"/>
      <c r="CT49" s="318"/>
      <c r="CU49" s="318"/>
      <c r="CV49" s="318"/>
      <c r="CW49" s="318"/>
      <c r="CX49" s="318"/>
      <c r="CY49" s="318"/>
      <c r="CZ49" s="318"/>
      <c r="DA49" s="318"/>
      <c r="DB49" s="318"/>
      <c r="DC49" s="318"/>
      <c r="DD49" s="318"/>
      <c r="DE49" s="318"/>
      <c r="DF49" s="318"/>
      <c r="DG49" s="318"/>
      <c r="DH49" s="318"/>
      <c r="DI49" s="318"/>
      <c r="DJ49" s="318"/>
      <c r="DK49" s="318"/>
      <c r="DL49" s="318"/>
      <c r="DM49" s="318"/>
      <c r="DN49" s="318"/>
      <c r="DO49" s="318"/>
      <c r="DP49" s="318"/>
      <c r="DQ49" s="318"/>
      <c r="DR49" s="318"/>
      <c r="DS49" s="318"/>
      <c r="DT49" s="318"/>
      <c r="DU49" s="318"/>
      <c r="DV49" s="318"/>
      <c r="DW49" s="318"/>
      <c r="DX49" s="318"/>
      <c r="DY49" s="318"/>
      <c r="DZ49" s="318"/>
      <c r="EA49" s="318"/>
      <c r="EB49" s="318"/>
      <c r="EC49" s="318"/>
      <c r="ED49" s="318"/>
      <c r="EE49" s="318"/>
      <c r="EF49" s="318"/>
      <c r="EG49" s="318"/>
      <c r="EH49" s="318"/>
      <c r="EI49" s="318"/>
      <c r="EJ49" s="318"/>
      <c r="EK49" s="318"/>
      <c r="EL49" s="318"/>
      <c r="EM49" s="318"/>
      <c r="EN49" s="318"/>
      <c r="EO49" s="318"/>
      <c r="EP49" s="318"/>
      <c r="EQ49" s="318"/>
      <c r="ER49" s="318"/>
      <c r="ES49" s="318"/>
      <c r="ET49" s="318"/>
      <c r="EU49" s="318"/>
      <c r="EV49" s="318"/>
      <c r="EW49" s="318"/>
      <c r="EX49" s="318"/>
      <c r="EY49" s="318"/>
      <c r="EZ49" s="318"/>
      <c r="FA49" s="318"/>
      <c r="FB49" s="318"/>
      <c r="FC49" s="318"/>
      <c r="FD49" s="318"/>
      <c r="FE49" s="318"/>
      <c r="FF49" s="318"/>
      <c r="FG49" s="318"/>
      <c r="FH49" s="318"/>
      <c r="FI49" s="318"/>
      <c r="FJ49" s="318"/>
      <c r="FK49" s="318"/>
      <c r="FL49" s="318"/>
      <c r="FM49" s="318"/>
      <c r="FN49" s="318"/>
      <c r="FO49" s="318"/>
      <c r="FP49" s="318"/>
      <c r="FQ49" s="318"/>
      <c r="FR49" s="318"/>
      <c r="FS49" s="318"/>
      <c r="FT49" s="318"/>
      <c r="FU49" s="318"/>
      <c r="FV49" s="318"/>
      <c r="FW49" s="318"/>
      <c r="FX49" s="318"/>
      <c r="FY49" s="318"/>
      <c r="FZ49" s="318"/>
      <c r="GA49" s="318"/>
      <c r="GB49" s="318"/>
      <c r="GC49" s="318"/>
      <c r="GD49" s="318"/>
      <c r="GE49" s="318"/>
      <c r="GF49" s="318"/>
      <c r="GG49" s="318"/>
      <c r="GH49" s="318"/>
      <c r="GI49" s="318"/>
      <c r="GJ49" s="318"/>
      <c r="GK49" s="318"/>
      <c r="GL49" s="318"/>
      <c r="GM49" s="318"/>
      <c r="GN49" s="318"/>
      <c r="GO49" s="318"/>
      <c r="GP49" s="318"/>
      <c r="GQ49" s="318"/>
      <c r="GR49" s="318"/>
      <c r="GS49" s="318"/>
      <c r="GT49" s="318"/>
      <c r="GU49" s="318"/>
      <c r="GV49" s="318"/>
      <c r="GW49" s="318"/>
      <c r="GX49" s="318"/>
      <c r="GY49" s="318"/>
      <c r="GZ49" s="318"/>
      <c r="HA49" s="318"/>
      <c r="HB49" s="318"/>
      <c r="HC49" s="318"/>
      <c r="HD49" s="318"/>
      <c r="HE49" s="318"/>
      <c r="HF49" s="318"/>
      <c r="HG49" s="318"/>
      <c r="HH49" s="318"/>
      <c r="HI49" s="318"/>
      <c r="HJ49" s="318"/>
      <c r="HK49" s="318"/>
      <c r="HL49" s="318"/>
      <c r="HM49" s="318"/>
      <c r="HN49" s="318"/>
      <c r="HO49" s="318"/>
      <c r="HP49" s="318"/>
      <c r="HQ49" s="318"/>
      <c r="HR49" s="318"/>
      <c r="HS49" s="318"/>
      <c r="HT49" s="318"/>
      <c r="HU49" s="318"/>
      <c r="HV49" s="318"/>
      <c r="HW49" s="318"/>
      <c r="HX49" s="318"/>
      <c r="HY49" s="318"/>
      <c r="HZ49" s="318"/>
      <c r="IA49" s="318"/>
      <c r="IB49" s="318"/>
      <c r="IC49" s="318"/>
    </row>
    <row r="50" spans="1:237" s="260" customFormat="1" ht="15" customHeight="1" x14ac:dyDescent="0.3">
      <c r="A50" s="181">
        <v>7.02</v>
      </c>
      <c r="B50" s="239"/>
      <c r="C50" s="240" t="str">
        <f>VLOOKUP(BD.PD[[#This Row],[Pos]],PPto[],3,FALSE)</f>
        <v>7.02 Cocina, Patio Comidas y Rostizería</v>
      </c>
      <c r="D50" s="181" t="s">
        <v>40</v>
      </c>
      <c r="E50" s="242" t="str">
        <f>IF(BD.PD[[#This Row],[.]]="*",VLOOKUP(BD.PD[[#This Row],[Pos]],Presupuesto!A:H,7,FALSE),"")</f>
        <v/>
      </c>
      <c r="F50" s="243" t="s">
        <v>504</v>
      </c>
      <c r="G50" s="243" t="s">
        <v>308</v>
      </c>
      <c r="H50" s="275"/>
      <c r="I50" s="276">
        <v>2</v>
      </c>
      <c r="J50" s="181" t="s">
        <v>314</v>
      </c>
      <c r="K50" s="245">
        <f>IF(BD.PD[[#This Row],[Mon]]="DOP",1,HLOOKUP(BD.PD[[#This Row],[Mon]],$J$1:$K$2,2,FALSE))</f>
        <v>1</v>
      </c>
      <c r="L50" s="277">
        <v>1200</v>
      </c>
      <c r="M50" s="247">
        <f>BD.PD[[#This Row],[Cant.]]*BD.PD[[#This Row],[ Tasa ]]*BD.PD[[#This Row],[ Precio Und.]]</f>
        <v>2400</v>
      </c>
      <c r="N50" s="278">
        <v>0</v>
      </c>
      <c r="O50" s="247">
        <f>IF(BD.PD[[#This Row],[Liquid. '[%']]]&lt;&gt;0,(BD.PD[[#This Row],[Valor Neto '[DOP']]]*BD.PD[[#This Row],[Liquid. '[%']]])+BD.PD[[#This Row],[Valor Neto '[DOP']]],BD.PD[[#This Row],[Valor Neto '[DOP']]])</f>
        <v>2400</v>
      </c>
      <c r="P50" s="257">
        <f>BD.PD[[#This Row],[Ppto. Orden Interna '[DOP']]]/HLOOKUP("USD",$J$1:$K$2,2,FALSE)</f>
        <v>39.538714991762767</v>
      </c>
      <c r="Q50" s="250" t="s">
        <v>456</v>
      </c>
      <c r="R50" s="258" t="s">
        <v>387</v>
      </c>
      <c r="S50" s="251">
        <v>22</v>
      </c>
      <c r="T50" s="252">
        <v>1</v>
      </c>
      <c r="U50" s="259">
        <f>BD.PD[[#This Row],[Av.P1 '[%']]]*BD.PD[[#This Row],[Ppto. Orden Interna '[DOP']]]</f>
        <v>2400</v>
      </c>
      <c r="V50" s="254"/>
      <c r="W50" s="255"/>
      <c r="X50" s="259">
        <f>BD.PD[[#This Row],[Av.P2 '[%']]]*BD.PD[[#This Row],[Ppto. Orden Interna '[DOP']]]</f>
        <v>0</v>
      </c>
      <c r="Y50" s="254"/>
      <c r="Z50" s="255"/>
      <c r="AA50" s="259">
        <f>BD.PD[[#This Row],[Av.P3 '[%']]]*BD.PD[[#This Row],[Ppto. Orden Interna '[DOP']]]</f>
        <v>0</v>
      </c>
      <c r="AB50" s="254"/>
      <c r="AC50" s="255"/>
      <c r="AD50" s="259">
        <f>BD.PD[[#This Row],[Av.P4 '[%']]]*BD.PD[[#This Row],[Ppto. Orden Interna '[DOP']]]</f>
        <v>0</v>
      </c>
      <c r="AE50" s="254"/>
      <c r="AF50" s="255"/>
      <c r="AG50" s="259">
        <f>BD.PD[[#This Row],[Av.P5 '[%']]]*BD.PD[[#This Row],[Ppto. Orden Interna '[DOP']]]</f>
        <v>0</v>
      </c>
      <c r="AH50" s="256">
        <f>BD.PD[[#This Row],[Pago 5]]+BD.PD[[#This Row],[Pago 4]]+BD.PD[[#This Row],[Pago 3]]+BD.PD[[#This Row],[Pago 2]]+BD.PD[[#This Row],[Pago 1]]</f>
        <v>2400</v>
      </c>
      <c r="AI50" s="318"/>
      <c r="AJ50" s="318"/>
      <c r="AK50" s="318"/>
      <c r="AL50" s="318"/>
      <c r="AM50" s="318"/>
      <c r="AN50" s="318"/>
      <c r="AO50" s="318"/>
      <c r="AP50" s="318"/>
      <c r="AQ50" s="318"/>
      <c r="AR50" s="318"/>
      <c r="AS50" s="318"/>
      <c r="AT50" s="318"/>
      <c r="AU50" s="318"/>
      <c r="AV50" s="318"/>
      <c r="AW50" s="318"/>
      <c r="AX50" s="318"/>
      <c r="AY50" s="318"/>
      <c r="AZ50" s="318"/>
      <c r="BA50" s="318"/>
      <c r="BB50" s="318"/>
      <c r="BC50" s="318"/>
      <c r="BD50" s="318"/>
      <c r="BE50" s="318"/>
      <c r="BF50" s="318"/>
      <c r="BG50" s="318"/>
      <c r="BH50" s="318"/>
      <c r="BI50" s="318"/>
      <c r="BJ50" s="318"/>
      <c r="BK50" s="318"/>
      <c r="BL50" s="318"/>
      <c r="BM50" s="318"/>
      <c r="BN50" s="318"/>
      <c r="BO50" s="318"/>
      <c r="BP50" s="318"/>
      <c r="BQ50" s="318"/>
      <c r="BR50" s="318"/>
      <c r="BS50" s="318"/>
      <c r="BT50" s="318"/>
      <c r="BU50" s="318"/>
      <c r="BV50" s="318"/>
      <c r="BW50" s="318"/>
      <c r="BX50" s="318"/>
      <c r="BY50" s="318"/>
      <c r="BZ50" s="318"/>
      <c r="CA50" s="318"/>
      <c r="CB50" s="318"/>
      <c r="CC50" s="318"/>
      <c r="CD50" s="318"/>
      <c r="CE50" s="318"/>
      <c r="CF50" s="318"/>
      <c r="CG50" s="318"/>
      <c r="CH50" s="318"/>
      <c r="CI50" s="318"/>
      <c r="CJ50" s="318"/>
      <c r="CK50" s="318"/>
      <c r="CL50" s="318"/>
      <c r="CM50" s="318"/>
      <c r="CN50" s="318"/>
      <c r="CO50" s="318"/>
      <c r="CP50" s="318"/>
      <c r="CQ50" s="318"/>
      <c r="CR50" s="318"/>
      <c r="CS50" s="318"/>
      <c r="CT50" s="318"/>
      <c r="CU50" s="318"/>
      <c r="CV50" s="318"/>
      <c r="CW50" s="318"/>
      <c r="CX50" s="318"/>
      <c r="CY50" s="318"/>
      <c r="CZ50" s="318"/>
      <c r="DA50" s="318"/>
      <c r="DB50" s="318"/>
      <c r="DC50" s="318"/>
      <c r="DD50" s="318"/>
      <c r="DE50" s="318"/>
      <c r="DF50" s="318"/>
      <c r="DG50" s="318"/>
      <c r="DH50" s="318"/>
      <c r="DI50" s="318"/>
      <c r="DJ50" s="318"/>
      <c r="DK50" s="318"/>
      <c r="DL50" s="318"/>
      <c r="DM50" s="318"/>
      <c r="DN50" s="318"/>
      <c r="DO50" s="318"/>
      <c r="DP50" s="318"/>
      <c r="DQ50" s="318"/>
      <c r="DR50" s="318"/>
      <c r="DS50" s="318"/>
      <c r="DT50" s="318"/>
      <c r="DU50" s="318"/>
      <c r="DV50" s="318"/>
      <c r="DW50" s="318"/>
      <c r="DX50" s="318"/>
      <c r="DY50" s="318"/>
      <c r="DZ50" s="318"/>
      <c r="EA50" s="318"/>
      <c r="EB50" s="318"/>
      <c r="EC50" s="318"/>
      <c r="ED50" s="318"/>
      <c r="EE50" s="318"/>
      <c r="EF50" s="318"/>
      <c r="EG50" s="318"/>
      <c r="EH50" s="318"/>
      <c r="EI50" s="318"/>
      <c r="EJ50" s="318"/>
      <c r="EK50" s="318"/>
      <c r="EL50" s="318"/>
      <c r="EM50" s="318"/>
      <c r="EN50" s="318"/>
      <c r="EO50" s="318"/>
      <c r="EP50" s="318"/>
      <c r="EQ50" s="318"/>
      <c r="ER50" s="318"/>
      <c r="ES50" s="318"/>
      <c r="ET50" s="318"/>
      <c r="EU50" s="318"/>
      <c r="EV50" s="318"/>
      <c r="EW50" s="318"/>
      <c r="EX50" s="318"/>
      <c r="EY50" s="318"/>
      <c r="EZ50" s="318"/>
      <c r="FA50" s="318"/>
      <c r="FB50" s="318"/>
      <c r="FC50" s="318"/>
      <c r="FD50" s="318"/>
      <c r="FE50" s="318"/>
      <c r="FF50" s="318"/>
      <c r="FG50" s="318"/>
      <c r="FH50" s="318"/>
      <c r="FI50" s="318"/>
      <c r="FJ50" s="318"/>
      <c r="FK50" s="318"/>
      <c r="FL50" s="318"/>
      <c r="FM50" s="318"/>
      <c r="FN50" s="318"/>
      <c r="FO50" s="318"/>
      <c r="FP50" s="318"/>
      <c r="FQ50" s="318"/>
      <c r="FR50" s="318"/>
      <c r="FS50" s="318"/>
      <c r="FT50" s="318"/>
      <c r="FU50" s="318"/>
      <c r="FV50" s="318"/>
      <c r="FW50" s="318"/>
      <c r="FX50" s="318"/>
      <c r="FY50" s="318"/>
      <c r="FZ50" s="318"/>
      <c r="GA50" s="318"/>
      <c r="GB50" s="318"/>
      <c r="GC50" s="318"/>
      <c r="GD50" s="318"/>
      <c r="GE50" s="318"/>
      <c r="GF50" s="318"/>
      <c r="GG50" s="318"/>
      <c r="GH50" s="318"/>
      <c r="GI50" s="318"/>
      <c r="GJ50" s="318"/>
      <c r="GK50" s="318"/>
      <c r="GL50" s="318"/>
      <c r="GM50" s="318"/>
      <c r="GN50" s="318"/>
      <c r="GO50" s="318"/>
      <c r="GP50" s="318"/>
      <c r="GQ50" s="318"/>
      <c r="GR50" s="318"/>
      <c r="GS50" s="318"/>
      <c r="GT50" s="318"/>
      <c r="GU50" s="318"/>
      <c r="GV50" s="318"/>
      <c r="GW50" s="318"/>
      <c r="GX50" s="318"/>
      <c r="GY50" s="318"/>
      <c r="GZ50" s="318"/>
      <c r="HA50" s="318"/>
      <c r="HB50" s="318"/>
      <c r="HC50" s="318"/>
      <c r="HD50" s="318"/>
      <c r="HE50" s="318"/>
      <c r="HF50" s="318"/>
      <c r="HG50" s="318"/>
      <c r="HH50" s="318"/>
      <c r="HI50" s="318"/>
      <c r="HJ50" s="318"/>
      <c r="HK50" s="318"/>
      <c r="HL50" s="318"/>
      <c r="HM50" s="318"/>
      <c r="HN50" s="318"/>
      <c r="HO50" s="318"/>
      <c r="HP50" s="318"/>
      <c r="HQ50" s="318"/>
      <c r="HR50" s="318"/>
      <c r="HS50" s="318"/>
      <c r="HT50" s="318"/>
      <c r="HU50" s="318"/>
      <c r="HV50" s="318"/>
      <c r="HW50" s="318"/>
      <c r="HX50" s="318"/>
      <c r="HY50" s="318"/>
      <c r="HZ50" s="318"/>
      <c r="IA50" s="318"/>
      <c r="IB50" s="318"/>
      <c r="IC50" s="318"/>
    </row>
    <row r="51" spans="1:237" s="260" customFormat="1" ht="15" customHeight="1" x14ac:dyDescent="0.3">
      <c r="A51" s="181">
        <v>7.02</v>
      </c>
      <c r="B51" s="239"/>
      <c r="C51" s="240" t="str">
        <f>VLOOKUP(BD.PD[[#This Row],[Pos]],PPto[],3,FALSE)</f>
        <v>7.02 Cocina, Patio Comidas y Rostizería</v>
      </c>
      <c r="D51" s="181" t="s">
        <v>40</v>
      </c>
      <c r="E51" s="242" t="str">
        <f>IF(BD.PD[[#This Row],[.]]="*",VLOOKUP(BD.PD[[#This Row],[Pos]],Presupuesto!A:H,7,FALSE),"")</f>
        <v/>
      </c>
      <c r="F51" s="243" t="s">
        <v>505</v>
      </c>
      <c r="G51" s="243" t="s">
        <v>308</v>
      </c>
      <c r="H51" s="275"/>
      <c r="I51" s="276">
        <v>1</v>
      </c>
      <c r="J51" s="181" t="s">
        <v>314</v>
      </c>
      <c r="K51" s="245">
        <f>IF(BD.PD[[#This Row],[Mon]]="DOP",1,HLOOKUP(BD.PD[[#This Row],[Mon]],$J$1:$K$2,2,FALSE))</f>
        <v>1</v>
      </c>
      <c r="L51" s="277">
        <v>68807.789999999994</v>
      </c>
      <c r="M51" s="247">
        <f>BD.PD[[#This Row],[Cant.]]*BD.PD[[#This Row],[ Tasa ]]*BD.PD[[#This Row],[ Precio Und.]]</f>
        <v>68807.789999999994</v>
      </c>
      <c r="N51" s="278">
        <v>0</v>
      </c>
      <c r="O51" s="247">
        <f>IF(BD.PD[[#This Row],[Liquid. '[%']]]&lt;&gt;0,(BD.PD[[#This Row],[Valor Neto '[DOP']]]*BD.PD[[#This Row],[Liquid. '[%']]])+BD.PD[[#This Row],[Valor Neto '[DOP']]],BD.PD[[#This Row],[Valor Neto '[DOP']]])</f>
        <v>68807.789999999994</v>
      </c>
      <c r="P51" s="249">
        <f>BD.PD[[#This Row],[Ppto. Orden Interna '[DOP']]]/HLOOKUP("USD",$J$1:$K$2,2,FALSE)</f>
        <v>1133.5714991762766</v>
      </c>
      <c r="Q51" s="250" t="s">
        <v>456</v>
      </c>
      <c r="R51" s="258" t="s">
        <v>387</v>
      </c>
      <c r="S51" s="251">
        <v>22</v>
      </c>
      <c r="T51" s="252">
        <v>1</v>
      </c>
      <c r="U51" s="259">
        <f>BD.PD[[#This Row],[Av.P1 '[%']]]*BD.PD[[#This Row],[Ppto. Orden Interna '[DOP']]]</f>
        <v>68807.789999999994</v>
      </c>
      <c r="V51" s="254"/>
      <c r="W51" s="255"/>
      <c r="X51" s="259">
        <f>BD.PD[[#This Row],[Av.P2 '[%']]]*BD.PD[[#This Row],[Ppto. Orden Interna '[DOP']]]</f>
        <v>0</v>
      </c>
      <c r="Y51" s="254"/>
      <c r="Z51" s="255"/>
      <c r="AA51" s="259">
        <f>BD.PD[[#This Row],[Av.P3 '[%']]]*BD.PD[[#This Row],[Ppto. Orden Interna '[DOP']]]</f>
        <v>0</v>
      </c>
      <c r="AB51" s="254"/>
      <c r="AC51" s="255"/>
      <c r="AD51" s="259">
        <f>BD.PD[[#This Row],[Av.P4 '[%']]]*BD.PD[[#This Row],[Ppto. Orden Interna '[DOP']]]</f>
        <v>0</v>
      </c>
      <c r="AE51" s="254"/>
      <c r="AF51" s="255"/>
      <c r="AG51" s="259">
        <f>BD.PD[[#This Row],[Av.P5 '[%']]]*BD.PD[[#This Row],[Ppto. Orden Interna '[DOP']]]</f>
        <v>0</v>
      </c>
      <c r="AH51" s="256">
        <f>BD.PD[[#This Row],[Pago 5]]+BD.PD[[#This Row],[Pago 4]]+BD.PD[[#This Row],[Pago 3]]+BD.PD[[#This Row],[Pago 2]]+BD.PD[[#This Row],[Pago 1]]</f>
        <v>68807.789999999994</v>
      </c>
      <c r="AI51" s="318"/>
      <c r="AJ51" s="318"/>
      <c r="AK51" s="318"/>
      <c r="AL51" s="318"/>
      <c r="AM51" s="318"/>
      <c r="AN51" s="318"/>
      <c r="AO51" s="318"/>
      <c r="AP51" s="318"/>
      <c r="AQ51" s="318"/>
      <c r="AR51" s="318"/>
      <c r="AS51" s="318"/>
      <c r="AT51" s="318"/>
      <c r="AU51" s="318"/>
      <c r="AV51" s="318"/>
      <c r="AW51" s="318"/>
      <c r="AX51" s="318"/>
      <c r="AY51" s="318"/>
      <c r="AZ51" s="318"/>
      <c r="BA51" s="318"/>
      <c r="BB51" s="318"/>
      <c r="BC51" s="318"/>
      <c r="BD51" s="318"/>
      <c r="BE51" s="318"/>
      <c r="BF51" s="318"/>
      <c r="BG51" s="318"/>
      <c r="BH51" s="318"/>
      <c r="BI51" s="318"/>
      <c r="BJ51" s="318"/>
      <c r="BK51" s="318"/>
      <c r="BL51" s="318"/>
      <c r="BM51" s="318"/>
      <c r="BN51" s="318"/>
      <c r="BO51" s="318"/>
      <c r="BP51" s="318"/>
      <c r="BQ51" s="318"/>
      <c r="BR51" s="318"/>
      <c r="BS51" s="318"/>
      <c r="BT51" s="318"/>
      <c r="BU51" s="318"/>
      <c r="BV51" s="318"/>
      <c r="BW51" s="318"/>
      <c r="BX51" s="318"/>
      <c r="BY51" s="318"/>
      <c r="BZ51" s="318"/>
      <c r="CA51" s="318"/>
      <c r="CB51" s="318"/>
      <c r="CC51" s="318"/>
      <c r="CD51" s="318"/>
      <c r="CE51" s="318"/>
      <c r="CF51" s="318"/>
      <c r="CG51" s="318"/>
      <c r="CH51" s="318"/>
      <c r="CI51" s="318"/>
      <c r="CJ51" s="318"/>
      <c r="CK51" s="318"/>
      <c r="CL51" s="318"/>
      <c r="CM51" s="318"/>
      <c r="CN51" s="318"/>
      <c r="CO51" s="318"/>
      <c r="CP51" s="318"/>
      <c r="CQ51" s="318"/>
      <c r="CR51" s="318"/>
      <c r="CS51" s="318"/>
      <c r="CT51" s="318"/>
      <c r="CU51" s="318"/>
      <c r="CV51" s="318"/>
      <c r="CW51" s="318"/>
      <c r="CX51" s="318"/>
      <c r="CY51" s="318"/>
      <c r="CZ51" s="318"/>
      <c r="DA51" s="318"/>
      <c r="DB51" s="318"/>
      <c r="DC51" s="318"/>
      <c r="DD51" s="318"/>
      <c r="DE51" s="318"/>
      <c r="DF51" s="318"/>
      <c r="DG51" s="318"/>
      <c r="DH51" s="318"/>
      <c r="DI51" s="318"/>
      <c r="DJ51" s="318"/>
      <c r="DK51" s="318"/>
      <c r="DL51" s="318"/>
      <c r="DM51" s="318"/>
      <c r="DN51" s="318"/>
      <c r="DO51" s="318"/>
      <c r="DP51" s="318"/>
      <c r="DQ51" s="318"/>
      <c r="DR51" s="318"/>
      <c r="DS51" s="318"/>
      <c r="DT51" s="318"/>
      <c r="DU51" s="318"/>
      <c r="DV51" s="318"/>
      <c r="DW51" s="318"/>
      <c r="DX51" s="318"/>
      <c r="DY51" s="318"/>
      <c r="DZ51" s="318"/>
      <c r="EA51" s="318"/>
      <c r="EB51" s="318"/>
      <c r="EC51" s="318"/>
      <c r="ED51" s="318"/>
      <c r="EE51" s="318"/>
      <c r="EF51" s="318"/>
      <c r="EG51" s="318"/>
      <c r="EH51" s="318"/>
      <c r="EI51" s="318"/>
      <c r="EJ51" s="318"/>
      <c r="EK51" s="318"/>
      <c r="EL51" s="318"/>
      <c r="EM51" s="318"/>
      <c r="EN51" s="318"/>
      <c r="EO51" s="318"/>
      <c r="EP51" s="318"/>
      <c r="EQ51" s="318"/>
      <c r="ER51" s="318"/>
      <c r="ES51" s="318"/>
      <c r="ET51" s="318"/>
      <c r="EU51" s="318"/>
      <c r="EV51" s="318"/>
      <c r="EW51" s="318"/>
      <c r="EX51" s="318"/>
      <c r="EY51" s="318"/>
      <c r="EZ51" s="318"/>
      <c r="FA51" s="318"/>
      <c r="FB51" s="318"/>
      <c r="FC51" s="318"/>
      <c r="FD51" s="318"/>
      <c r="FE51" s="318"/>
      <c r="FF51" s="318"/>
      <c r="FG51" s="318"/>
      <c r="FH51" s="318"/>
      <c r="FI51" s="318"/>
      <c r="FJ51" s="318"/>
      <c r="FK51" s="318"/>
      <c r="FL51" s="318"/>
      <c r="FM51" s="318"/>
      <c r="FN51" s="318"/>
      <c r="FO51" s="318"/>
      <c r="FP51" s="318"/>
      <c r="FQ51" s="318"/>
      <c r="FR51" s="318"/>
      <c r="FS51" s="318"/>
      <c r="FT51" s="318"/>
      <c r="FU51" s="318"/>
      <c r="FV51" s="318"/>
      <c r="FW51" s="318"/>
      <c r="FX51" s="318"/>
      <c r="FY51" s="318"/>
      <c r="FZ51" s="318"/>
      <c r="GA51" s="318"/>
      <c r="GB51" s="318"/>
      <c r="GC51" s="318"/>
      <c r="GD51" s="318"/>
      <c r="GE51" s="318"/>
      <c r="GF51" s="318"/>
      <c r="GG51" s="318"/>
      <c r="GH51" s="318"/>
      <c r="GI51" s="318"/>
      <c r="GJ51" s="318"/>
      <c r="GK51" s="318"/>
      <c r="GL51" s="318"/>
      <c r="GM51" s="318"/>
      <c r="GN51" s="318"/>
      <c r="GO51" s="318"/>
      <c r="GP51" s="318"/>
      <c r="GQ51" s="318"/>
      <c r="GR51" s="318"/>
      <c r="GS51" s="318"/>
      <c r="GT51" s="318"/>
      <c r="GU51" s="318"/>
      <c r="GV51" s="318"/>
      <c r="GW51" s="318"/>
      <c r="GX51" s="318"/>
      <c r="GY51" s="318"/>
      <c r="GZ51" s="318"/>
      <c r="HA51" s="318"/>
      <c r="HB51" s="318"/>
      <c r="HC51" s="318"/>
      <c r="HD51" s="318"/>
      <c r="HE51" s="318"/>
      <c r="HF51" s="318"/>
      <c r="HG51" s="318"/>
      <c r="HH51" s="318"/>
      <c r="HI51" s="318"/>
      <c r="HJ51" s="318"/>
      <c r="HK51" s="318"/>
      <c r="HL51" s="318"/>
      <c r="HM51" s="318"/>
      <c r="HN51" s="318"/>
      <c r="HO51" s="318"/>
      <c r="HP51" s="318"/>
      <c r="HQ51" s="318"/>
      <c r="HR51" s="318"/>
      <c r="HS51" s="318"/>
      <c r="HT51" s="318"/>
      <c r="HU51" s="318"/>
      <c r="HV51" s="318"/>
      <c r="HW51" s="318"/>
      <c r="HX51" s="318"/>
      <c r="HY51" s="318"/>
      <c r="HZ51" s="318"/>
      <c r="IA51" s="318"/>
      <c r="IB51" s="318"/>
      <c r="IC51" s="318"/>
    </row>
    <row r="52" spans="1:237" s="260" customFormat="1" ht="15" customHeight="1" x14ac:dyDescent="0.3">
      <c r="A52" s="181">
        <v>7.02</v>
      </c>
      <c r="B52" s="239"/>
      <c r="C52" s="240" t="str">
        <f>VLOOKUP(BD.PD[[#This Row],[Pos]],PPto[],3,FALSE)</f>
        <v>7.02 Cocina, Patio Comidas y Rostizería</v>
      </c>
      <c r="D52" s="181" t="s">
        <v>40</v>
      </c>
      <c r="E52" s="242" t="str">
        <f>IF(BD.PD[[#This Row],[.]]="*",VLOOKUP(BD.PD[[#This Row],[Pos]],Presupuesto!A:H,7,FALSE),"")</f>
        <v/>
      </c>
      <c r="F52" s="243" t="s">
        <v>513</v>
      </c>
      <c r="G52" s="243" t="s">
        <v>308</v>
      </c>
      <c r="H52" s="275"/>
      <c r="I52" s="276">
        <v>2</v>
      </c>
      <c r="J52" s="181" t="s">
        <v>314</v>
      </c>
      <c r="K52" s="245">
        <f>IF(BD.PD[[#This Row],[Mon]]="DOP",1,HLOOKUP(BD.PD[[#This Row],[Mon]],$J$1:$K$2,2,FALSE))</f>
        <v>1</v>
      </c>
      <c r="L52" s="277">
        <v>8715.76</v>
      </c>
      <c r="M52" s="247">
        <f>BD.PD[[#This Row],[Cant.]]*BD.PD[[#This Row],[ Tasa ]]*BD.PD[[#This Row],[ Precio Und.]]</f>
        <v>17431.52</v>
      </c>
      <c r="N52" s="278">
        <v>0</v>
      </c>
      <c r="O52" s="247">
        <f>IF(BD.PD[[#This Row],[Liquid. '[%']]]&lt;&gt;0,(BD.PD[[#This Row],[Valor Neto '[DOP']]]*BD.PD[[#This Row],[Liquid. '[%']]])+BD.PD[[#This Row],[Valor Neto '[DOP']]],BD.PD[[#This Row],[Valor Neto '[DOP']]])</f>
        <v>17431.52</v>
      </c>
      <c r="P52" s="249">
        <f>BD.PD[[#This Row],[Ppto. Orden Interna '[DOP']]]/HLOOKUP("USD",$J$1:$K$2,2,FALSE)</f>
        <v>287.17495881383854</v>
      </c>
      <c r="Q52" s="250" t="s">
        <v>456</v>
      </c>
      <c r="R52" s="258" t="s">
        <v>387</v>
      </c>
      <c r="S52" s="251">
        <v>22</v>
      </c>
      <c r="T52" s="252">
        <v>1</v>
      </c>
      <c r="U52" s="259">
        <f>BD.PD[[#This Row],[Av.P1 '[%']]]*BD.PD[[#This Row],[Ppto. Orden Interna '[DOP']]]</f>
        <v>17431.52</v>
      </c>
      <c r="V52" s="254"/>
      <c r="W52" s="255"/>
      <c r="X52" s="259">
        <f>BD.PD[[#This Row],[Av.P2 '[%']]]*BD.PD[[#This Row],[Ppto. Orden Interna '[DOP']]]</f>
        <v>0</v>
      </c>
      <c r="Y52" s="254"/>
      <c r="Z52" s="255"/>
      <c r="AA52" s="259">
        <f>BD.PD[[#This Row],[Av.P3 '[%']]]*BD.PD[[#This Row],[Ppto. Orden Interna '[DOP']]]</f>
        <v>0</v>
      </c>
      <c r="AB52" s="254"/>
      <c r="AC52" s="255"/>
      <c r="AD52" s="259">
        <f>BD.PD[[#This Row],[Av.P4 '[%']]]*BD.PD[[#This Row],[Ppto. Orden Interna '[DOP']]]</f>
        <v>0</v>
      </c>
      <c r="AE52" s="254"/>
      <c r="AF52" s="255"/>
      <c r="AG52" s="259">
        <f>BD.PD[[#This Row],[Av.P5 '[%']]]*BD.PD[[#This Row],[Ppto. Orden Interna '[DOP']]]</f>
        <v>0</v>
      </c>
      <c r="AH52" s="256">
        <f>BD.PD[[#This Row],[Pago 5]]+BD.PD[[#This Row],[Pago 4]]+BD.PD[[#This Row],[Pago 3]]+BD.PD[[#This Row],[Pago 2]]+BD.PD[[#This Row],[Pago 1]]</f>
        <v>17431.52</v>
      </c>
      <c r="AI52" s="318"/>
      <c r="AJ52" s="318"/>
      <c r="AK52" s="318"/>
      <c r="AL52" s="318"/>
      <c r="AM52" s="318"/>
      <c r="AN52" s="318"/>
      <c r="AO52" s="318"/>
      <c r="AP52" s="318"/>
      <c r="AQ52" s="318"/>
      <c r="AR52" s="318"/>
      <c r="AS52" s="318"/>
      <c r="AT52" s="318"/>
      <c r="AU52" s="318"/>
      <c r="AV52" s="318"/>
      <c r="AW52" s="318"/>
      <c r="AX52" s="318"/>
      <c r="AY52" s="318"/>
      <c r="AZ52" s="318"/>
      <c r="BA52" s="318"/>
      <c r="BB52" s="318"/>
      <c r="BC52" s="318"/>
      <c r="BD52" s="318"/>
      <c r="BE52" s="318"/>
      <c r="BF52" s="318"/>
      <c r="BG52" s="318"/>
      <c r="BH52" s="318"/>
      <c r="BI52" s="318"/>
      <c r="BJ52" s="318"/>
      <c r="BK52" s="318"/>
      <c r="BL52" s="318"/>
      <c r="BM52" s="318"/>
      <c r="BN52" s="318"/>
      <c r="BO52" s="318"/>
      <c r="BP52" s="318"/>
      <c r="BQ52" s="318"/>
      <c r="BR52" s="318"/>
      <c r="BS52" s="318"/>
      <c r="BT52" s="318"/>
      <c r="BU52" s="318"/>
      <c r="BV52" s="318"/>
      <c r="BW52" s="318"/>
      <c r="BX52" s="318"/>
      <c r="BY52" s="318"/>
      <c r="BZ52" s="318"/>
      <c r="CA52" s="318"/>
      <c r="CB52" s="318"/>
      <c r="CC52" s="318"/>
      <c r="CD52" s="318"/>
      <c r="CE52" s="318"/>
      <c r="CF52" s="318"/>
      <c r="CG52" s="318"/>
      <c r="CH52" s="318"/>
      <c r="CI52" s="318"/>
      <c r="CJ52" s="318"/>
      <c r="CK52" s="318"/>
      <c r="CL52" s="318"/>
      <c r="CM52" s="318"/>
      <c r="CN52" s="318"/>
      <c r="CO52" s="318"/>
      <c r="CP52" s="318"/>
      <c r="CQ52" s="318"/>
      <c r="CR52" s="318"/>
      <c r="CS52" s="318"/>
      <c r="CT52" s="318"/>
      <c r="CU52" s="318"/>
      <c r="CV52" s="318"/>
      <c r="CW52" s="318"/>
      <c r="CX52" s="318"/>
      <c r="CY52" s="318"/>
      <c r="CZ52" s="318"/>
      <c r="DA52" s="318"/>
      <c r="DB52" s="318"/>
      <c r="DC52" s="318"/>
      <c r="DD52" s="318"/>
      <c r="DE52" s="318"/>
      <c r="DF52" s="318"/>
      <c r="DG52" s="318"/>
      <c r="DH52" s="318"/>
      <c r="DI52" s="318"/>
      <c r="DJ52" s="318"/>
      <c r="DK52" s="318"/>
      <c r="DL52" s="318"/>
      <c r="DM52" s="318"/>
      <c r="DN52" s="318"/>
      <c r="DO52" s="318"/>
      <c r="DP52" s="318"/>
      <c r="DQ52" s="318"/>
      <c r="DR52" s="318"/>
      <c r="DS52" s="318"/>
      <c r="DT52" s="318"/>
      <c r="DU52" s="318"/>
      <c r="DV52" s="318"/>
      <c r="DW52" s="318"/>
      <c r="DX52" s="318"/>
      <c r="DY52" s="318"/>
      <c r="DZ52" s="318"/>
      <c r="EA52" s="318"/>
      <c r="EB52" s="318"/>
      <c r="EC52" s="318"/>
      <c r="ED52" s="318"/>
      <c r="EE52" s="318"/>
      <c r="EF52" s="318"/>
      <c r="EG52" s="318"/>
      <c r="EH52" s="318"/>
      <c r="EI52" s="318"/>
      <c r="EJ52" s="318"/>
      <c r="EK52" s="318"/>
      <c r="EL52" s="318"/>
      <c r="EM52" s="318"/>
      <c r="EN52" s="318"/>
      <c r="EO52" s="318"/>
      <c r="EP52" s="318"/>
      <c r="EQ52" s="318"/>
      <c r="ER52" s="318"/>
      <c r="ES52" s="318"/>
      <c r="ET52" s="318"/>
      <c r="EU52" s="318"/>
      <c r="EV52" s="318"/>
      <c r="EW52" s="318"/>
      <c r="EX52" s="318"/>
      <c r="EY52" s="318"/>
      <c r="EZ52" s="318"/>
      <c r="FA52" s="318"/>
      <c r="FB52" s="318"/>
      <c r="FC52" s="318"/>
      <c r="FD52" s="318"/>
      <c r="FE52" s="318"/>
      <c r="FF52" s="318"/>
      <c r="FG52" s="318"/>
      <c r="FH52" s="318"/>
      <c r="FI52" s="318"/>
      <c r="FJ52" s="318"/>
      <c r="FK52" s="318"/>
      <c r="FL52" s="318"/>
      <c r="FM52" s="318"/>
      <c r="FN52" s="318"/>
      <c r="FO52" s="318"/>
      <c r="FP52" s="318"/>
      <c r="FQ52" s="318"/>
      <c r="FR52" s="318"/>
      <c r="FS52" s="318"/>
      <c r="FT52" s="318"/>
      <c r="FU52" s="318"/>
      <c r="FV52" s="318"/>
      <c r="FW52" s="318"/>
      <c r="FX52" s="318"/>
      <c r="FY52" s="318"/>
      <c r="FZ52" s="318"/>
      <c r="GA52" s="318"/>
      <c r="GB52" s="318"/>
      <c r="GC52" s="318"/>
      <c r="GD52" s="318"/>
      <c r="GE52" s="318"/>
      <c r="GF52" s="318"/>
      <c r="GG52" s="318"/>
      <c r="GH52" s="318"/>
      <c r="GI52" s="318"/>
      <c r="GJ52" s="318"/>
      <c r="GK52" s="318"/>
      <c r="GL52" s="318"/>
      <c r="GM52" s="318"/>
      <c r="GN52" s="318"/>
      <c r="GO52" s="318"/>
      <c r="GP52" s="318"/>
      <c r="GQ52" s="318"/>
      <c r="GR52" s="318"/>
      <c r="GS52" s="318"/>
      <c r="GT52" s="318"/>
      <c r="GU52" s="318"/>
      <c r="GV52" s="318"/>
      <c r="GW52" s="318"/>
      <c r="GX52" s="318"/>
      <c r="GY52" s="318"/>
      <c r="GZ52" s="318"/>
      <c r="HA52" s="318"/>
      <c r="HB52" s="318"/>
      <c r="HC52" s="318"/>
      <c r="HD52" s="318"/>
      <c r="HE52" s="318"/>
      <c r="HF52" s="318"/>
      <c r="HG52" s="318"/>
      <c r="HH52" s="318"/>
      <c r="HI52" s="318"/>
      <c r="HJ52" s="318"/>
      <c r="HK52" s="318"/>
      <c r="HL52" s="318"/>
      <c r="HM52" s="318"/>
      <c r="HN52" s="318"/>
      <c r="HO52" s="318"/>
      <c r="HP52" s="318"/>
      <c r="HQ52" s="318"/>
      <c r="HR52" s="318"/>
      <c r="HS52" s="318"/>
      <c r="HT52" s="318"/>
      <c r="HU52" s="318"/>
      <c r="HV52" s="318"/>
      <c r="HW52" s="318"/>
      <c r="HX52" s="318"/>
      <c r="HY52" s="318"/>
      <c r="HZ52" s="318"/>
      <c r="IA52" s="318"/>
      <c r="IB52" s="318"/>
      <c r="IC52" s="318"/>
    </row>
    <row r="53" spans="1:237" s="260" customFormat="1" ht="15" customHeight="1" x14ac:dyDescent="0.3">
      <c r="A53" s="181">
        <v>7.02</v>
      </c>
      <c r="B53" s="239"/>
      <c r="C53" s="240" t="str">
        <f>VLOOKUP(BD.PD[[#This Row],[Pos]],PPto[],3,FALSE)</f>
        <v>7.02 Cocina, Patio Comidas y Rostizería</v>
      </c>
      <c r="D53" s="181" t="s">
        <v>40</v>
      </c>
      <c r="E53" s="242" t="str">
        <f>IF(BD.PD[[#This Row],[.]]="*",VLOOKUP(BD.PD[[#This Row],[Pos]],Presupuesto!A:H,7,FALSE),"")</f>
        <v/>
      </c>
      <c r="F53" s="243" t="s">
        <v>514</v>
      </c>
      <c r="G53" s="243" t="s">
        <v>308</v>
      </c>
      <c r="H53" s="275"/>
      <c r="I53" s="276">
        <v>1</v>
      </c>
      <c r="J53" s="181" t="s">
        <v>314</v>
      </c>
      <c r="K53" s="245">
        <f>IF(BD.PD[[#This Row],[Mon]]="DOP",1,HLOOKUP(BD.PD[[#This Row],[Mon]],$J$1:$K$2,2,FALSE))</f>
        <v>1</v>
      </c>
      <c r="L53" s="277">
        <v>122664.36</v>
      </c>
      <c r="M53" s="247">
        <f>BD.PD[[#This Row],[Cant.]]*BD.PD[[#This Row],[ Tasa ]]*BD.PD[[#This Row],[ Precio Und.]]</f>
        <v>122664.36</v>
      </c>
      <c r="N53" s="278">
        <v>0</v>
      </c>
      <c r="O53" s="247">
        <f>IF(BD.PD[[#This Row],[Liquid. '[%']]]&lt;&gt;0,(BD.PD[[#This Row],[Valor Neto '[DOP']]]*BD.PD[[#This Row],[Liquid. '[%']]])+BD.PD[[#This Row],[Valor Neto '[DOP']]],BD.PD[[#This Row],[Valor Neto '[DOP']]])</f>
        <v>122664.36</v>
      </c>
      <c r="P53" s="249">
        <f>BD.PD[[#This Row],[Ppto. Orden Interna '[DOP']]]/HLOOKUP("USD",$J$1:$K$2,2,FALSE)</f>
        <v>2020.8296540362437</v>
      </c>
      <c r="Q53" s="250" t="s">
        <v>456</v>
      </c>
      <c r="R53" s="258" t="s">
        <v>387</v>
      </c>
      <c r="S53" s="251">
        <v>22</v>
      </c>
      <c r="T53" s="252">
        <v>1</v>
      </c>
      <c r="U53" s="259">
        <f>BD.PD[[#This Row],[Av.P1 '[%']]]*BD.PD[[#This Row],[Ppto. Orden Interna '[DOP']]]</f>
        <v>122664.36</v>
      </c>
      <c r="V53" s="254"/>
      <c r="W53" s="255"/>
      <c r="X53" s="259">
        <f>BD.PD[[#This Row],[Av.P2 '[%']]]*BD.PD[[#This Row],[Ppto. Orden Interna '[DOP']]]</f>
        <v>0</v>
      </c>
      <c r="Y53" s="254"/>
      <c r="Z53" s="255"/>
      <c r="AA53" s="259">
        <f>BD.PD[[#This Row],[Av.P3 '[%']]]*BD.PD[[#This Row],[Ppto. Orden Interna '[DOP']]]</f>
        <v>0</v>
      </c>
      <c r="AB53" s="254"/>
      <c r="AC53" s="255"/>
      <c r="AD53" s="259">
        <f>BD.PD[[#This Row],[Av.P4 '[%']]]*BD.PD[[#This Row],[Ppto. Orden Interna '[DOP']]]</f>
        <v>0</v>
      </c>
      <c r="AE53" s="254"/>
      <c r="AF53" s="255"/>
      <c r="AG53" s="259">
        <f>BD.PD[[#This Row],[Av.P5 '[%']]]*BD.PD[[#This Row],[Ppto. Orden Interna '[DOP']]]</f>
        <v>0</v>
      </c>
      <c r="AH53" s="256">
        <f>BD.PD[[#This Row],[Pago 5]]+BD.PD[[#This Row],[Pago 4]]+BD.PD[[#This Row],[Pago 3]]+BD.PD[[#This Row],[Pago 2]]+BD.PD[[#This Row],[Pago 1]]</f>
        <v>122664.36</v>
      </c>
      <c r="AI53" s="318"/>
      <c r="AJ53" s="318"/>
      <c r="AK53" s="318"/>
      <c r="AL53" s="318"/>
      <c r="AM53" s="318"/>
      <c r="AN53" s="318"/>
      <c r="AO53" s="318"/>
      <c r="AP53" s="318"/>
      <c r="AQ53" s="318"/>
      <c r="AR53" s="318"/>
      <c r="AS53" s="318"/>
      <c r="AT53" s="318"/>
      <c r="AU53" s="318"/>
      <c r="AV53" s="318"/>
      <c r="AW53" s="318"/>
      <c r="AX53" s="318"/>
      <c r="AY53" s="318"/>
      <c r="AZ53" s="318"/>
      <c r="BA53" s="318"/>
      <c r="BB53" s="318"/>
      <c r="BC53" s="318"/>
      <c r="BD53" s="318"/>
      <c r="BE53" s="318"/>
      <c r="BF53" s="318"/>
      <c r="BG53" s="318"/>
      <c r="BH53" s="318"/>
      <c r="BI53" s="318"/>
      <c r="BJ53" s="318"/>
      <c r="BK53" s="318"/>
      <c r="BL53" s="318"/>
      <c r="BM53" s="318"/>
      <c r="BN53" s="318"/>
      <c r="BO53" s="318"/>
      <c r="BP53" s="318"/>
      <c r="BQ53" s="318"/>
      <c r="BR53" s="318"/>
      <c r="BS53" s="318"/>
      <c r="BT53" s="318"/>
      <c r="BU53" s="318"/>
      <c r="BV53" s="318"/>
      <c r="BW53" s="318"/>
      <c r="BX53" s="318"/>
      <c r="BY53" s="318"/>
      <c r="BZ53" s="318"/>
      <c r="CA53" s="318"/>
      <c r="CB53" s="318"/>
      <c r="CC53" s="318"/>
      <c r="CD53" s="318"/>
      <c r="CE53" s="318"/>
      <c r="CF53" s="318"/>
      <c r="CG53" s="318"/>
      <c r="CH53" s="318"/>
      <c r="CI53" s="318"/>
      <c r="CJ53" s="318"/>
      <c r="CK53" s="318"/>
      <c r="CL53" s="318"/>
      <c r="CM53" s="318"/>
      <c r="CN53" s="318"/>
      <c r="CO53" s="318"/>
      <c r="CP53" s="318"/>
      <c r="CQ53" s="318"/>
      <c r="CR53" s="318"/>
      <c r="CS53" s="318"/>
      <c r="CT53" s="318"/>
      <c r="CU53" s="318"/>
      <c r="CV53" s="318"/>
      <c r="CW53" s="318"/>
      <c r="CX53" s="318"/>
      <c r="CY53" s="318"/>
      <c r="CZ53" s="318"/>
      <c r="DA53" s="318"/>
      <c r="DB53" s="318"/>
      <c r="DC53" s="318"/>
      <c r="DD53" s="318"/>
      <c r="DE53" s="318"/>
      <c r="DF53" s="318"/>
      <c r="DG53" s="318"/>
      <c r="DH53" s="318"/>
      <c r="DI53" s="318"/>
      <c r="DJ53" s="318"/>
      <c r="DK53" s="318"/>
      <c r="DL53" s="318"/>
      <c r="DM53" s="318"/>
      <c r="DN53" s="318"/>
      <c r="DO53" s="318"/>
      <c r="DP53" s="318"/>
      <c r="DQ53" s="318"/>
      <c r="DR53" s="318"/>
      <c r="DS53" s="318"/>
      <c r="DT53" s="318"/>
      <c r="DU53" s="318"/>
      <c r="DV53" s="318"/>
      <c r="DW53" s="318"/>
      <c r="DX53" s="318"/>
      <c r="DY53" s="318"/>
      <c r="DZ53" s="318"/>
      <c r="EA53" s="318"/>
      <c r="EB53" s="318"/>
      <c r="EC53" s="318"/>
      <c r="ED53" s="318"/>
      <c r="EE53" s="318"/>
      <c r="EF53" s="318"/>
      <c r="EG53" s="318"/>
      <c r="EH53" s="318"/>
      <c r="EI53" s="318"/>
      <c r="EJ53" s="318"/>
      <c r="EK53" s="318"/>
      <c r="EL53" s="318"/>
      <c r="EM53" s="318"/>
      <c r="EN53" s="318"/>
      <c r="EO53" s="318"/>
      <c r="EP53" s="318"/>
      <c r="EQ53" s="318"/>
      <c r="ER53" s="318"/>
      <c r="ES53" s="318"/>
      <c r="ET53" s="318"/>
      <c r="EU53" s="318"/>
      <c r="EV53" s="318"/>
      <c r="EW53" s="318"/>
      <c r="EX53" s="318"/>
      <c r="EY53" s="318"/>
      <c r="EZ53" s="318"/>
      <c r="FA53" s="318"/>
      <c r="FB53" s="318"/>
      <c r="FC53" s="318"/>
      <c r="FD53" s="318"/>
      <c r="FE53" s="318"/>
      <c r="FF53" s="318"/>
      <c r="FG53" s="318"/>
      <c r="FH53" s="318"/>
      <c r="FI53" s="318"/>
      <c r="FJ53" s="318"/>
      <c r="FK53" s="318"/>
      <c r="FL53" s="318"/>
      <c r="FM53" s="318"/>
      <c r="FN53" s="318"/>
      <c r="FO53" s="318"/>
      <c r="FP53" s="318"/>
      <c r="FQ53" s="318"/>
      <c r="FR53" s="318"/>
      <c r="FS53" s="318"/>
      <c r="FT53" s="318"/>
      <c r="FU53" s="318"/>
      <c r="FV53" s="318"/>
      <c r="FW53" s="318"/>
      <c r="FX53" s="318"/>
      <c r="FY53" s="318"/>
      <c r="FZ53" s="318"/>
      <c r="GA53" s="318"/>
      <c r="GB53" s="318"/>
      <c r="GC53" s="318"/>
      <c r="GD53" s="318"/>
      <c r="GE53" s="318"/>
      <c r="GF53" s="318"/>
      <c r="GG53" s="318"/>
      <c r="GH53" s="318"/>
      <c r="GI53" s="318"/>
      <c r="GJ53" s="318"/>
      <c r="GK53" s="318"/>
      <c r="GL53" s="318"/>
      <c r="GM53" s="318"/>
      <c r="GN53" s="318"/>
      <c r="GO53" s="318"/>
      <c r="GP53" s="318"/>
      <c r="GQ53" s="318"/>
      <c r="GR53" s="318"/>
      <c r="GS53" s="318"/>
      <c r="GT53" s="318"/>
      <c r="GU53" s="318"/>
      <c r="GV53" s="318"/>
      <c r="GW53" s="318"/>
      <c r="GX53" s="318"/>
      <c r="GY53" s="318"/>
      <c r="GZ53" s="318"/>
      <c r="HA53" s="318"/>
      <c r="HB53" s="318"/>
      <c r="HC53" s="318"/>
      <c r="HD53" s="318"/>
      <c r="HE53" s="318"/>
      <c r="HF53" s="318"/>
      <c r="HG53" s="318"/>
      <c r="HH53" s="318"/>
      <c r="HI53" s="318"/>
      <c r="HJ53" s="318"/>
      <c r="HK53" s="318"/>
      <c r="HL53" s="318"/>
      <c r="HM53" s="318"/>
      <c r="HN53" s="318"/>
      <c r="HO53" s="318"/>
      <c r="HP53" s="318"/>
      <c r="HQ53" s="318"/>
      <c r="HR53" s="318"/>
      <c r="HS53" s="318"/>
      <c r="HT53" s="318"/>
      <c r="HU53" s="318"/>
      <c r="HV53" s="318"/>
      <c r="HW53" s="318"/>
      <c r="HX53" s="318"/>
      <c r="HY53" s="318"/>
      <c r="HZ53" s="318"/>
      <c r="IA53" s="318"/>
      <c r="IB53" s="318"/>
      <c r="IC53" s="318"/>
    </row>
    <row r="54" spans="1:237" s="260" customFormat="1" ht="15" customHeight="1" x14ac:dyDescent="0.3">
      <c r="A54" s="181">
        <v>7.03</v>
      </c>
      <c r="B54" s="239"/>
      <c r="C54" s="240" t="str">
        <f>VLOOKUP(BD.PD[[#This Row],[Pos]],PPto[],3,FALSE)</f>
        <v>7.03 Equipamiento Carniceria, Pescadería y Delicatesen</v>
      </c>
      <c r="D54" s="181" t="s">
        <v>40</v>
      </c>
      <c r="E54" s="242" t="str">
        <f>IF(BD.PD[[#This Row],[.]]="*",VLOOKUP(BD.PD[[#This Row],[Pos]],Presupuesto!A:H,7,FALSE),"")</f>
        <v/>
      </c>
      <c r="F54" s="303" t="s">
        <v>524</v>
      </c>
      <c r="G54" s="243" t="s">
        <v>308</v>
      </c>
      <c r="H54" s="275"/>
      <c r="I54" s="276">
        <v>3</v>
      </c>
      <c r="J54" s="181" t="s">
        <v>314</v>
      </c>
      <c r="K54" s="245">
        <f>IF(BD.PD[[#This Row],[Mon]]="DOP",1,HLOOKUP(BD.PD[[#This Row],[Mon]],$J$1:$K$2,2,FALSE))</f>
        <v>1</v>
      </c>
      <c r="L54" s="277">
        <v>8546.76</v>
      </c>
      <c r="M54" s="247">
        <f>BD.PD[[#This Row],[Cant.]]*BD.PD[[#This Row],[ Tasa ]]*BD.PD[[#This Row],[ Precio Und.]]</f>
        <v>25640.28</v>
      </c>
      <c r="N54" s="278">
        <v>0</v>
      </c>
      <c r="O54" s="247">
        <f>IF(BD.PD[[#This Row],[Liquid. '[%']]]&lt;&gt;0,(BD.PD[[#This Row],[Valor Neto '[DOP']]]*BD.PD[[#This Row],[Liquid. '[%']]])+BD.PD[[#This Row],[Valor Neto '[DOP']]],BD.PD[[#This Row],[Valor Neto '[DOP']]])</f>
        <v>25640.28</v>
      </c>
      <c r="P54" s="257">
        <f>BD.PD[[#This Row],[Ppto. Orden Interna '[DOP']]]/HLOOKUP("USD",$J$1:$K$2,2,FALSE)</f>
        <v>422.40988467874791</v>
      </c>
      <c r="Q54" s="250" t="s">
        <v>456</v>
      </c>
      <c r="R54" s="258" t="s">
        <v>387</v>
      </c>
      <c r="S54" s="251">
        <v>22</v>
      </c>
      <c r="T54" s="252">
        <v>1</v>
      </c>
      <c r="U54" s="259">
        <f>BD.PD[[#This Row],[Av.P1 '[%']]]*BD.PD[[#This Row],[Ppto. Orden Interna '[DOP']]]</f>
        <v>25640.28</v>
      </c>
      <c r="V54" s="254"/>
      <c r="W54" s="255"/>
      <c r="X54" s="259">
        <f>BD.PD[[#This Row],[Av.P2 '[%']]]*BD.PD[[#This Row],[Ppto. Orden Interna '[DOP']]]</f>
        <v>0</v>
      </c>
      <c r="Y54" s="254"/>
      <c r="Z54" s="255"/>
      <c r="AA54" s="259">
        <f>BD.PD[[#This Row],[Av.P3 '[%']]]*BD.PD[[#This Row],[Ppto. Orden Interna '[DOP']]]</f>
        <v>0</v>
      </c>
      <c r="AB54" s="254"/>
      <c r="AC54" s="255"/>
      <c r="AD54" s="259">
        <f>BD.PD[[#This Row],[Av.P4 '[%']]]*BD.PD[[#This Row],[Ppto. Orden Interna '[DOP']]]</f>
        <v>0</v>
      </c>
      <c r="AE54" s="254"/>
      <c r="AF54" s="255"/>
      <c r="AG54" s="259">
        <f>BD.PD[[#This Row],[Av.P5 '[%']]]*BD.PD[[#This Row],[Ppto. Orden Interna '[DOP']]]</f>
        <v>0</v>
      </c>
      <c r="AH54" s="256">
        <f>BD.PD[[#This Row],[Pago 5]]+BD.PD[[#This Row],[Pago 4]]+BD.PD[[#This Row],[Pago 3]]+BD.PD[[#This Row],[Pago 2]]+BD.PD[[#This Row],[Pago 1]]</f>
        <v>25640.28</v>
      </c>
      <c r="AI54" s="318"/>
      <c r="AJ54" s="318"/>
      <c r="AK54" s="318"/>
      <c r="AL54" s="318"/>
      <c r="AM54" s="318"/>
      <c r="AN54" s="318"/>
      <c r="AO54" s="318"/>
      <c r="AP54" s="318"/>
      <c r="AQ54" s="318"/>
      <c r="AR54" s="318"/>
      <c r="AS54" s="318"/>
      <c r="AT54" s="318"/>
      <c r="AU54" s="318"/>
      <c r="AV54" s="318"/>
      <c r="AW54" s="318"/>
      <c r="AX54" s="318"/>
      <c r="AY54" s="318"/>
      <c r="AZ54" s="318"/>
      <c r="BA54" s="318"/>
      <c r="BB54" s="318"/>
      <c r="BC54" s="318"/>
      <c r="BD54" s="318"/>
      <c r="BE54" s="318"/>
      <c r="BF54" s="318"/>
      <c r="BG54" s="318"/>
      <c r="BH54" s="318"/>
      <c r="BI54" s="318"/>
      <c r="BJ54" s="318"/>
      <c r="BK54" s="318"/>
      <c r="BL54" s="318"/>
      <c r="BM54" s="318"/>
      <c r="BN54" s="318"/>
      <c r="BO54" s="318"/>
      <c r="BP54" s="318"/>
      <c r="BQ54" s="318"/>
      <c r="BR54" s="318"/>
      <c r="BS54" s="318"/>
      <c r="BT54" s="318"/>
      <c r="BU54" s="318"/>
      <c r="BV54" s="318"/>
      <c r="BW54" s="318"/>
      <c r="BX54" s="318"/>
      <c r="BY54" s="318"/>
      <c r="BZ54" s="318"/>
      <c r="CA54" s="318"/>
      <c r="CB54" s="318"/>
      <c r="CC54" s="318"/>
      <c r="CD54" s="318"/>
      <c r="CE54" s="318"/>
      <c r="CF54" s="318"/>
      <c r="CG54" s="318"/>
      <c r="CH54" s="318"/>
      <c r="CI54" s="318"/>
      <c r="CJ54" s="318"/>
      <c r="CK54" s="318"/>
      <c r="CL54" s="318"/>
      <c r="CM54" s="318"/>
      <c r="CN54" s="318"/>
      <c r="CO54" s="318"/>
      <c r="CP54" s="318"/>
      <c r="CQ54" s="318"/>
      <c r="CR54" s="318"/>
      <c r="CS54" s="318"/>
      <c r="CT54" s="318"/>
      <c r="CU54" s="318"/>
      <c r="CV54" s="318"/>
      <c r="CW54" s="318"/>
      <c r="CX54" s="318"/>
      <c r="CY54" s="318"/>
      <c r="CZ54" s="318"/>
      <c r="DA54" s="318"/>
      <c r="DB54" s="318"/>
      <c r="DC54" s="318"/>
      <c r="DD54" s="318"/>
      <c r="DE54" s="318"/>
      <c r="DF54" s="318"/>
      <c r="DG54" s="318"/>
      <c r="DH54" s="318"/>
      <c r="DI54" s="318"/>
      <c r="DJ54" s="318"/>
      <c r="DK54" s="318"/>
      <c r="DL54" s="318"/>
      <c r="DM54" s="318"/>
      <c r="DN54" s="318"/>
      <c r="DO54" s="318"/>
      <c r="DP54" s="318"/>
      <c r="DQ54" s="318"/>
      <c r="DR54" s="318"/>
      <c r="DS54" s="318"/>
      <c r="DT54" s="318"/>
      <c r="DU54" s="318"/>
      <c r="DV54" s="318"/>
      <c r="DW54" s="318"/>
      <c r="DX54" s="318"/>
      <c r="DY54" s="318"/>
      <c r="DZ54" s="318"/>
      <c r="EA54" s="318"/>
      <c r="EB54" s="318"/>
      <c r="EC54" s="318"/>
      <c r="ED54" s="318"/>
      <c r="EE54" s="318"/>
      <c r="EF54" s="318"/>
      <c r="EG54" s="318"/>
      <c r="EH54" s="318"/>
      <c r="EI54" s="318"/>
      <c r="EJ54" s="318"/>
      <c r="EK54" s="318"/>
      <c r="EL54" s="318"/>
      <c r="EM54" s="318"/>
      <c r="EN54" s="318"/>
      <c r="EO54" s="318"/>
      <c r="EP54" s="318"/>
      <c r="EQ54" s="318"/>
      <c r="ER54" s="318"/>
      <c r="ES54" s="318"/>
      <c r="ET54" s="318"/>
      <c r="EU54" s="318"/>
      <c r="EV54" s="318"/>
      <c r="EW54" s="318"/>
      <c r="EX54" s="318"/>
      <c r="EY54" s="318"/>
      <c r="EZ54" s="318"/>
      <c r="FA54" s="318"/>
      <c r="FB54" s="318"/>
      <c r="FC54" s="318"/>
      <c r="FD54" s="318"/>
      <c r="FE54" s="318"/>
      <c r="FF54" s="318"/>
      <c r="FG54" s="318"/>
      <c r="FH54" s="318"/>
      <c r="FI54" s="318"/>
      <c r="FJ54" s="318"/>
      <c r="FK54" s="318"/>
      <c r="FL54" s="318"/>
      <c r="FM54" s="318"/>
      <c r="FN54" s="318"/>
      <c r="FO54" s="318"/>
      <c r="FP54" s="318"/>
      <c r="FQ54" s="318"/>
      <c r="FR54" s="318"/>
      <c r="FS54" s="318"/>
      <c r="FT54" s="318"/>
      <c r="FU54" s="318"/>
      <c r="FV54" s="318"/>
      <c r="FW54" s="318"/>
      <c r="FX54" s="318"/>
      <c r="FY54" s="318"/>
      <c r="FZ54" s="318"/>
      <c r="GA54" s="318"/>
      <c r="GB54" s="318"/>
      <c r="GC54" s="318"/>
      <c r="GD54" s="318"/>
      <c r="GE54" s="318"/>
      <c r="GF54" s="318"/>
      <c r="GG54" s="318"/>
      <c r="GH54" s="318"/>
      <c r="GI54" s="318"/>
      <c r="GJ54" s="318"/>
      <c r="GK54" s="318"/>
      <c r="GL54" s="318"/>
      <c r="GM54" s="318"/>
      <c r="GN54" s="318"/>
      <c r="GO54" s="318"/>
      <c r="GP54" s="318"/>
      <c r="GQ54" s="318"/>
      <c r="GR54" s="318"/>
      <c r="GS54" s="318"/>
      <c r="GT54" s="318"/>
      <c r="GU54" s="318"/>
      <c r="GV54" s="318"/>
      <c r="GW54" s="318"/>
      <c r="GX54" s="318"/>
      <c r="GY54" s="318"/>
      <c r="GZ54" s="318"/>
      <c r="HA54" s="318"/>
      <c r="HB54" s="318"/>
      <c r="HC54" s="318"/>
      <c r="HD54" s="318"/>
      <c r="HE54" s="318"/>
      <c r="HF54" s="318"/>
      <c r="HG54" s="318"/>
      <c r="HH54" s="318"/>
      <c r="HI54" s="318"/>
      <c r="HJ54" s="318"/>
      <c r="HK54" s="318"/>
      <c r="HL54" s="318"/>
      <c r="HM54" s="318"/>
      <c r="HN54" s="318"/>
      <c r="HO54" s="318"/>
      <c r="HP54" s="318"/>
      <c r="HQ54" s="318"/>
      <c r="HR54" s="318"/>
      <c r="HS54" s="318"/>
      <c r="HT54" s="318"/>
      <c r="HU54" s="318"/>
      <c r="HV54" s="318"/>
      <c r="HW54" s="318"/>
      <c r="HX54" s="318"/>
      <c r="HY54" s="318"/>
      <c r="HZ54" s="318"/>
      <c r="IA54" s="318"/>
      <c r="IB54" s="318"/>
      <c r="IC54" s="318"/>
    </row>
    <row r="55" spans="1:237" s="260" customFormat="1" ht="15" customHeight="1" x14ac:dyDescent="0.3">
      <c r="A55" s="181">
        <v>8.0399999999999991</v>
      </c>
      <c r="B55" s="239"/>
      <c r="C55" s="240" t="str">
        <f>VLOOKUP(BD.PD[[#This Row],[Pos]],PPto[],3,FALSE)</f>
        <v>8.04 Trameria Almacen</v>
      </c>
      <c r="D55" s="181" t="s">
        <v>40</v>
      </c>
      <c r="E55" s="242" t="str">
        <f>IF(BD.PD[[#This Row],[.]]="*",VLOOKUP(BD.PD[[#This Row],[Pos]],Presupuesto!A:H,7,FALSE),"")</f>
        <v/>
      </c>
      <c r="F55" s="302" t="s">
        <v>576</v>
      </c>
      <c r="G55" s="243" t="s">
        <v>308</v>
      </c>
      <c r="H55" s="275"/>
      <c r="I55" s="276">
        <v>6</v>
      </c>
      <c r="J55" s="181" t="s">
        <v>314</v>
      </c>
      <c r="K55" s="245">
        <f>IF(BD.PD[[#This Row],[Mon]]="DOP",1,HLOOKUP(BD.PD[[#This Row],[Mon]],$J$1:$K$2,2,FALSE))</f>
        <v>1</v>
      </c>
      <c r="L55" s="277">
        <v>12000</v>
      </c>
      <c r="M55" s="247">
        <f>BD.PD[[#This Row],[Cant.]]*BD.PD[[#This Row],[ Tasa ]]*BD.PD[[#This Row],[ Precio Und.]]</f>
        <v>72000</v>
      </c>
      <c r="N55" s="278">
        <v>0</v>
      </c>
      <c r="O55" s="247">
        <f>IF(BD.PD[[#This Row],[Liquid. '[%']]]&lt;&gt;0,(BD.PD[[#This Row],[Valor Neto '[DOP']]]*BD.PD[[#This Row],[Liquid. '[%']]])+BD.PD[[#This Row],[Valor Neto '[DOP']]],BD.PD[[#This Row],[Valor Neto '[DOP']]])</f>
        <v>72000</v>
      </c>
      <c r="P55" s="249">
        <f>BD.PD[[#This Row],[Ppto. Orden Interna '[DOP']]]/HLOOKUP("USD",$J$1:$K$2,2,FALSE)</f>
        <v>1186.1614497528831</v>
      </c>
      <c r="Q55" s="250" t="s">
        <v>1118</v>
      </c>
      <c r="R55" s="258" t="s">
        <v>387</v>
      </c>
      <c r="S55" s="251">
        <v>22</v>
      </c>
      <c r="T55" s="252">
        <v>1</v>
      </c>
      <c r="U55" s="259">
        <f>BD.PD[[#This Row],[Av.P1 '[%']]]*BD.PD[[#This Row],[Ppto. Orden Interna '[DOP']]]</f>
        <v>72000</v>
      </c>
      <c r="V55" s="254"/>
      <c r="W55" s="255"/>
      <c r="X55" s="259">
        <f>BD.PD[[#This Row],[Av.P2 '[%']]]*BD.PD[[#This Row],[Ppto. Orden Interna '[DOP']]]</f>
        <v>0</v>
      </c>
      <c r="Y55" s="254"/>
      <c r="Z55" s="255"/>
      <c r="AA55" s="259">
        <f>BD.PD[[#This Row],[Av.P3 '[%']]]*BD.PD[[#This Row],[Ppto. Orden Interna '[DOP']]]</f>
        <v>0</v>
      </c>
      <c r="AB55" s="254"/>
      <c r="AC55" s="255"/>
      <c r="AD55" s="259">
        <f>BD.PD[[#This Row],[Av.P4 '[%']]]*BD.PD[[#This Row],[Ppto. Orden Interna '[DOP']]]</f>
        <v>0</v>
      </c>
      <c r="AE55" s="254"/>
      <c r="AF55" s="255"/>
      <c r="AG55" s="259">
        <f>BD.PD[[#This Row],[Av.P5 '[%']]]*BD.PD[[#This Row],[Ppto. Orden Interna '[DOP']]]</f>
        <v>0</v>
      </c>
      <c r="AH55" s="256">
        <f>BD.PD[[#This Row],[Pago 5]]+BD.PD[[#This Row],[Pago 4]]+BD.PD[[#This Row],[Pago 3]]+BD.PD[[#This Row],[Pago 2]]+BD.PD[[#This Row],[Pago 1]]</f>
        <v>72000</v>
      </c>
      <c r="AI55" s="318"/>
      <c r="AJ55" s="318"/>
      <c r="AK55" s="318"/>
      <c r="AL55" s="318"/>
      <c r="AM55" s="318"/>
      <c r="AN55" s="318"/>
      <c r="AO55" s="318"/>
      <c r="AP55" s="318"/>
      <c r="AQ55" s="318"/>
      <c r="AR55" s="318"/>
      <c r="AS55" s="318"/>
      <c r="AT55" s="318"/>
      <c r="AU55" s="318"/>
      <c r="AV55" s="318"/>
      <c r="AW55" s="318"/>
      <c r="AX55" s="318"/>
      <c r="AY55" s="318"/>
      <c r="AZ55" s="318"/>
      <c r="BA55" s="318"/>
      <c r="BB55" s="318"/>
      <c r="BC55" s="318"/>
      <c r="BD55" s="318"/>
      <c r="BE55" s="318"/>
      <c r="BF55" s="318"/>
      <c r="BG55" s="318"/>
      <c r="BH55" s="318"/>
      <c r="BI55" s="318"/>
      <c r="BJ55" s="318"/>
      <c r="BK55" s="318"/>
      <c r="BL55" s="318"/>
      <c r="BM55" s="318"/>
      <c r="BN55" s="318"/>
      <c r="BO55" s="318"/>
      <c r="BP55" s="318"/>
      <c r="BQ55" s="318"/>
      <c r="BR55" s="318"/>
      <c r="BS55" s="318"/>
      <c r="BT55" s="318"/>
      <c r="BU55" s="318"/>
      <c r="BV55" s="318"/>
      <c r="BW55" s="318"/>
      <c r="BX55" s="318"/>
      <c r="BY55" s="318"/>
      <c r="BZ55" s="318"/>
      <c r="CA55" s="318"/>
      <c r="CB55" s="318"/>
      <c r="CC55" s="318"/>
      <c r="CD55" s="318"/>
      <c r="CE55" s="318"/>
      <c r="CF55" s="318"/>
      <c r="CG55" s="318"/>
      <c r="CH55" s="318"/>
      <c r="CI55" s="318"/>
      <c r="CJ55" s="318"/>
      <c r="CK55" s="318"/>
      <c r="CL55" s="318"/>
      <c r="CM55" s="318"/>
      <c r="CN55" s="318"/>
      <c r="CO55" s="318"/>
      <c r="CP55" s="318"/>
      <c r="CQ55" s="318"/>
      <c r="CR55" s="318"/>
      <c r="CS55" s="318"/>
      <c r="CT55" s="318"/>
      <c r="CU55" s="318"/>
      <c r="CV55" s="318"/>
      <c r="CW55" s="318"/>
      <c r="CX55" s="318"/>
      <c r="CY55" s="318"/>
      <c r="CZ55" s="318"/>
      <c r="DA55" s="318"/>
      <c r="DB55" s="318"/>
      <c r="DC55" s="318"/>
      <c r="DD55" s="318"/>
      <c r="DE55" s="318"/>
      <c r="DF55" s="318"/>
      <c r="DG55" s="318"/>
      <c r="DH55" s="318"/>
      <c r="DI55" s="318"/>
      <c r="DJ55" s="318"/>
      <c r="DK55" s="318"/>
      <c r="DL55" s="318"/>
      <c r="DM55" s="318"/>
      <c r="DN55" s="318"/>
      <c r="DO55" s="318"/>
      <c r="DP55" s="318"/>
      <c r="DQ55" s="318"/>
      <c r="DR55" s="318"/>
      <c r="DS55" s="318"/>
      <c r="DT55" s="318"/>
      <c r="DU55" s="318"/>
      <c r="DV55" s="318"/>
      <c r="DW55" s="318"/>
      <c r="DX55" s="318"/>
      <c r="DY55" s="318"/>
      <c r="DZ55" s="318"/>
      <c r="EA55" s="318"/>
      <c r="EB55" s="318"/>
      <c r="EC55" s="318"/>
      <c r="ED55" s="318"/>
      <c r="EE55" s="318"/>
      <c r="EF55" s="318"/>
      <c r="EG55" s="318"/>
      <c r="EH55" s="318"/>
      <c r="EI55" s="318"/>
      <c r="EJ55" s="318"/>
      <c r="EK55" s="318"/>
      <c r="EL55" s="318"/>
      <c r="EM55" s="318"/>
      <c r="EN55" s="318"/>
      <c r="EO55" s="318"/>
      <c r="EP55" s="318"/>
      <c r="EQ55" s="318"/>
      <c r="ER55" s="318"/>
      <c r="ES55" s="318"/>
      <c r="ET55" s="318"/>
      <c r="EU55" s="318"/>
      <c r="EV55" s="318"/>
      <c r="EW55" s="318"/>
      <c r="EX55" s="318"/>
      <c r="EY55" s="318"/>
      <c r="EZ55" s="318"/>
      <c r="FA55" s="318"/>
      <c r="FB55" s="318"/>
      <c r="FC55" s="318"/>
      <c r="FD55" s="318"/>
      <c r="FE55" s="318"/>
      <c r="FF55" s="318"/>
      <c r="FG55" s="318"/>
      <c r="FH55" s="318"/>
      <c r="FI55" s="318"/>
      <c r="FJ55" s="318"/>
      <c r="FK55" s="318"/>
      <c r="FL55" s="318"/>
      <c r="FM55" s="318"/>
      <c r="FN55" s="318"/>
      <c r="FO55" s="318"/>
      <c r="FP55" s="318"/>
      <c r="FQ55" s="318"/>
      <c r="FR55" s="318"/>
      <c r="FS55" s="318"/>
      <c r="FT55" s="318"/>
      <c r="FU55" s="318"/>
      <c r="FV55" s="318"/>
      <c r="FW55" s="318"/>
      <c r="FX55" s="318"/>
      <c r="FY55" s="318"/>
      <c r="FZ55" s="318"/>
      <c r="GA55" s="318"/>
      <c r="GB55" s="318"/>
      <c r="GC55" s="318"/>
      <c r="GD55" s="318"/>
      <c r="GE55" s="318"/>
      <c r="GF55" s="318"/>
      <c r="GG55" s="318"/>
      <c r="GH55" s="318"/>
      <c r="GI55" s="318"/>
      <c r="GJ55" s="318"/>
      <c r="GK55" s="318"/>
      <c r="GL55" s="318"/>
      <c r="GM55" s="318"/>
      <c r="GN55" s="318"/>
      <c r="GO55" s="318"/>
      <c r="GP55" s="318"/>
      <c r="GQ55" s="318"/>
      <c r="GR55" s="318"/>
      <c r="GS55" s="318"/>
      <c r="GT55" s="318"/>
      <c r="GU55" s="318"/>
      <c r="GV55" s="318"/>
      <c r="GW55" s="318"/>
      <c r="GX55" s="318"/>
      <c r="GY55" s="318"/>
      <c r="GZ55" s="318"/>
      <c r="HA55" s="318"/>
      <c r="HB55" s="318"/>
      <c r="HC55" s="318"/>
      <c r="HD55" s="318"/>
      <c r="HE55" s="318"/>
      <c r="HF55" s="318"/>
      <c r="HG55" s="318"/>
      <c r="HH55" s="318"/>
      <c r="HI55" s="318"/>
      <c r="HJ55" s="318"/>
      <c r="HK55" s="318"/>
      <c r="HL55" s="318"/>
      <c r="HM55" s="318"/>
      <c r="HN55" s="318"/>
      <c r="HO55" s="318"/>
      <c r="HP55" s="318"/>
      <c r="HQ55" s="318"/>
      <c r="HR55" s="318"/>
      <c r="HS55" s="318"/>
      <c r="HT55" s="318"/>
      <c r="HU55" s="318"/>
      <c r="HV55" s="318"/>
      <c r="HW55" s="318"/>
      <c r="HX55" s="318"/>
      <c r="HY55" s="318"/>
      <c r="HZ55" s="318"/>
      <c r="IA55" s="318"/>
      <c r="IB55" s="318"/>
      <c r="IC55" s="318"/>
    </row>
    <row r="56" spans="1:237" s="260" customFormat="1" ht="15" customHeight="1" x14ac:dyDescent="0.3">
      <c r="A56" s="181">
        <v>8.0500000000000007</v>
      </c>
      <c r="B56" s="239"/>
      <c r="C56" s="240" t="str">
        <f>VLOOKUP(BD.PD[[#This Row],[Pos]],PPto[],3,FALSE)</f>
        <v>8.05 Mobiliario no operacional para Tiendas</v>
      </c>
      <c r="D56" s="181" t="s">
        <v>40</v>
      </c>
      <c r="E56" s="242" t="str">
        <f>IF(BD.PD[[#This Row],[.]]="*",VLOOKUP(BD.PD[[#This Row],[Pos]],Presupuesto!A:H,7,FALSE),"")</f>
        <v/>
      </c>
      <c r="F56" s="243" t="s">
        <v>610</v>
      </c>
      <c r="G56" s="243" t="s">
        <v>308</v>
      </c>
      <c r="H56" s="275"/>
      <c r="I56" s="276">
        <v>1</v>
      </c>
      <c r="J56" s="181" t="s">
        <v>314</v>
      </c>
      <c r="K56" s="245">
        <f>IF(BD.PD[[#This Row],[Mon]]="DOP",1,HLOOKUP(BD.PD[[#This Row],[Mon]],$J$1:$K$2,2,FALSE))</f>
        <v>1</v>
      </c>
      <c r="L56" s="388">
        <v>12000</v>
      </c>
      <c r="M56" s="247">
        <f>BD.PD[[#This Row],[Cant.]]*BD.PD[[#This Row],[ Tasa ]]*BD.PD[[#This Row],[ Precio Und.]]</f>
        <v>12000</v>
      </c>
      <c r="N56" s="278">
        <v>0</v>
      </c>
      <c r="O56" s="247">
        <f>IF(BD.PD[[#This Row],[Liquid. '[%']]]&lt;&gt;0,(BD.PD[[#This Row],[Valor Neto '[DOP']]]*BD.PD[[#This Row],[Liquid. '[%']]])+BD.PD[[#This Row],[Valor Neto '[DOP']]],BD.PD[[#This Row],[Valor Neto '[DOP']]])</f>
        <v>12000</v>
      </c>
      <c r="P56" s="249">
        <f>BD.PD[[#This Row],[Ppto. Orden Interna '[DOP']]]/HLOOKUP("USD",$J$1:$K$2,2,FALSE)</f>
        <v>197.69357495881383</v>
      </c>
      <c r="Q56" s="250" t="s">
        <v>456</v>
      </c>
      <c r="R56" s="258" t="s">
        <v>387</v>
      </c>
      <c r="S56" s="251">
        <v>22</v>
      </c>
      <c r="T56" s="252">
        <v>1</v>
      </c>
      <c r="U56" s="259">
        <f>BD.PD[[#This Row],[Av.P1 '[%']]]*BD.PD[[#This Row],[Ppto. Orden Interna '[DOP']]]</f>
        <v>12000</v>
      </c>
      <c r="V56" s="254"/>
      <c r="W56" s="255"/>
      <c r="X56" s="259">
        <f>BD.PD[[#This Row],[Av.P2 '[%']]]*BD.PD[[#This Row],[Ppto. Orden Interna '[DOP']]]</f>
        <v>0</v>
      </c>
      <c r="Y56" s="254"/>
      <c r="Z56" s="255"/>
      <c r="AA56" s="259">
        <f>BD.PD[[#This Row],[Av.P3 '[%']]]*BD.PD[[#This Row],[Ppto. Orden Interna '[DOP']]]</f>
        <v>0</v>
      </c>
      <c r="AB56" s="254"/>
      <c r="AC56" s="255"/>
      <c r="AD56" s="259">
        <f>BD.PD[[#This Row],[Av.P4 '[%']]]*BD.PD[[#This Row],[Ppto. Orden Interna '[DOP']]]</f>
        <v>0</v>
      </c>
      <c r="AE56" s="254"/>
      <c r="AF56" s="255"/>
      <c r="AG56" s="259">
        <f>BD.PD[[#This Row],[Av.P5 '[%']]]*BD.PD[[#This Row],[Ppto. Orden Interna '[DOP']]]</f>
        <v>0</v>
      </c>
      <c r="AH56" s="256">
        <f>BD.PD[[#This Row],[Pago 5]]+BD.PD[[#This Row],[Pago 4]]+BD.PD[[#This Row],[Pago 3]]+BD.PD[[#This Row],[Pago 2]]+BD.PD[[#This Row],[Pago 1]]</f>
        <v>12000</v>
      </c>
      <c r="AI56" s="318"/>
      <c r="AJ56" s="318"/>
      <c r="AK56" s="318"/>
      <c r="AL56" s="318"/>
      <c r="AM56" s="318"/>
      <c r="AN56" s="318"/>
      <c r="AO56" s="318"/>
      <c r="AP56" s="318"/>
      <c r="AQ56" s="318"/>
      <c r="AR56" s="318"/>
      <c r="AS56" s="318"/>
      <c r="AT56" s="318"/>
      <c r="AU56" s="318"/>
      <c r="AV56" s="318"/>
      <c r="AW56" s="318"/>
      <c r="AX56" s="318"/>
      <c r="AY56" s="318"/>
      <c r="AZ56" s="318"/>
      <c r="BA56" s="318"/>
      <c r="BB56" s="318"/>
      <c r="BC56" s="318"/>
      <c r="BD56" s="318"/>
      <c r="BE56" s="318"/>
      <c r="BF56" s="318"/>
      <c r="BG56" s="318"/>
      <c r="BH56" s="318"/>
      <c r="BI56" s="318"/>
      <c r="BJ56" s="318"/>
      <c r="BK56" s="318"/>
      <c r="BL56" s="318"/>
      <c r="BM56" s="318"/>
      <c r="BN56" s="318"/>
      <c r="BO56" s="318"/>
      <c r="BP56" s="318"/>
      <c r="BQ56" s="318"/>
      <c r="BR56" s="318"/>
      <c r="BS56" s="318"/>
      <c r="BT56" s="318"/>
      <c r="BU56" s="318"/>
      <c r="BV56" s="318"/>
      <c r="BW56" s="318"/>
      <c r="BX56" s="318"/>
      <c r="BY56" s="318"/>
      <c r="BZ56" s="318"/>
      <c r="CA56" s="318"/>
      <c r="CB56" s="318"/>
      <c r="CC56" s="318"/>
      <c r="CD56" s="318"/>
      <c r="CE56" s="318"/>
      <c r="CF56" s="318"/>
      <c r="CG56" s="318"/>
      <c r="CH56" s="318"/>
      <c r="CI56" s="318"/>
      <c r="CJ56" s="318"/>
      <c r="CK56" s="318"/>
      <c r="CL56" s="318"/>
      <c r="CM56" s="318"/>
      <c r="CN56" s="318"/>
      <c r="CO56" s="318"/>
      <c r="CP56" s="318"/>
      <c r="CQ56" s="318"/>
      <c r="CR56" s="318"/>
      <c r="CS56" s="318"/>
      <c r="CT56" s="318"/>
      <c r="CU56" s="318"/>
      <c r="CV56" s="318"/>
      <c r="CW56" s="318"/>
      <c r="CX56" s="318"/>
      <c r="CY56" s="318"/>
      <c r="CZ56" s="318"/>
      <c r="DA56" s="318"/>
      <c r="DB56" s="318"/>
      <c r="DC56" s="318"/>
      <c r="DD56" s="318"/>
      <c r="DE56" s="318"/>
      <c r="DF56" s="318"/>
      <c r="DG56" s="318"/>
      <c r="DH56" s="318"/>
      <c r="DI56" s="318"/>
      <c r="DJ56" s="318"/>
      <c r="DK56" s="318"/>
      <c r="DL56" s="318"/>
      <c r="DM56" s="318"/>
      <c r="DN56" s="318"/>
      <c r="DO56" s="318"/>
      <c r="DP56" s="318"/>
      <c r="DQ56" s="318"/>
      <c r="DR56" s="318"/>
      <c r="DS56" s="318"/>
      <c r="DT56" s="318"/>
      <c r="DU56" s="318"/>
      <c r="DV56" s="318"/>
      <c r="DW56" s="318"/>
      <c r="DX56" s="318"/>
      <c r="DY56" s="318"/>
      <c r="DZ56" s="318"/>
      <c r="EA56" s="318"/>
      <c r="EB56" s="318"/>
      <c r="EC56" s="318"/>
      <c r="ED56" s="318"/>
      <c r="EE56" s="318"/>
      <c r="EF56" s="318"/>
      <c r="EG56" s="318"/>
      <c r="EH56" s="318"/>
      <c r="EI56" s="318"/>
      <c r="EJ56" s="318"/>
      <c r="EK56" s="318"/>
      <c r="EL56" s="318"/>
      <c r="EM56" s="318"/>
      <c r="EN56" s="318"/>
      <c r="EO56" s="318"/>
      <c r="EP56" s="318"/>
      <c r="EQ56" s="318"/>
      <c r="ER56" s="318"/>
      <c r="ES56" s="318"/>
      <c r="ET56" s="318"/>
      <c r="EU56" s="318"/>
      <c r="EV56" s="318"/>
      <c r="EW56" s="318"/>
      <c r="EX56" s="318"/>
      <c r="EY56" s="318"/>
      <c r="EZ56" s="318"/>
      <c r="FA56" s="318"/>
      <c r="FB56" s="318"/>
      <c r="FC56" s="318"/>
      <c r="FD56" s="318"/>
      <c r="FE56" s="318"/>
      <c r="FF56" s="318"/>
      <c r="FG56" s="318"/>
      <c r="FH56" s="318"/>
      <c r="FI56" s="318"/>
      <c r="FJ56" s="318"/>
      <c r="FK56" s="318"/>
      <c r="FL56" s="318"/>
      <c r="FM56" s="318"/>
      <c r="FN56" s="318"/>
      <c r="FO56" s="318"/>
      <c r="FP56" s="318"/>
      <c r="FQ56" s="318"/>
      <c r="FR56" s="318"/>
      <c r="FS56" s="318"/>
      <c r="FT56" s="318"/>
      <c r="FU56" s="318"/>
      <c r="FV56" s="318"/>
      <c r="FW56" s="318"/>
      <c r="FX56" s="318"/>
      <c r="FY56" s="318"/>
      <c r="FZ56" s="318"/>
      <c r="GA56" s="318"/>
      <c r="GB56" s="318"/>
      <c r="GC56" s="318"/>
      <c r="GD56" s="318"/>
      <c r="GE56" s="318"/>
      <c r="GF56" s="318"/>
      <c r="GG56" s="318"/>
      <c r="GH56" s="318"/>
      <c r="GI56" s="318"/>
      <c r="GJ56" s="318"/>
      <c r="GK56" s="318"/>
      <c r="GL56" s="318"/>
      <c r="GM56" s="318"/>
      <c r="GN56" s="318"/>
      <c r="GO56" s="318"/>
      <c r="GP56" s="318"/>
      <c r="GQ56" s="318"/>
      <c r="GR56" s="318"/>
      <c r="GS56" s="318"/>
      <c r="GT56" s="318"/>
      <c r="GU56" s="318"/>
      <c r="GV56" s="318"/>
      <c r="GW56" s="318"/>
      <c r="GX56" s="318"/>
      <c r="GY56" s="318"/>
      <c r="GZ56" s="318"/>
      <c r="HA56" s="318"/>
      <c r="HB56" s="318"/>
      <c r="HC56" s="318"/>
      <c r="HD56" s="318"/>
      <c r="HE56" s="318"/>
      <c r="HF56" s="318"/>
      <c r="HG56" s="318"/>
      <c r="HH56" s="318"/>
      <c r="HI56" s="318"/>
      <c r="HJ56" s="318"/>
      <c r="HK56" s="318"/>
      <c r="HL56" s="318"/>
      <c r="HM56" s="318"/>
      <c r="HN56" s="318"/>
      <c r="HO56" s="318"/>
      <c r="HP56" s="318"/>
      <c r="HQ56" s="318"/>
      <c r="HR56" s="318"/>
      <c r="HS56" s="318"/>
      <c r="HT56" s="318"/>
      <c r="HU56" s="318"/>
      <c r="HV56" s="318"/>
      <c r="HW56" s="318"/>
      <c r="HX56" s="318"/>
      <c r="HY56" s="318"/>
      <c r="HZ56" s="318"/>
      <c r="IA56" s="318"/>
      <c r="IB56" s="318"/>
      <c r="IC56" s="318"/>
    </row>
    <row r="57" spans="1:237" s="260" customFormat="1" ht="15" customHeight="1" x14ac:dyDescent="0.3">
      <c r="A57" s="181">
        <v>8.0500000000000007</v>
      </c>
      <c r="B57" s="239"/>
      <c r="C57" s="240" t="str">
        <f>VLOOKUP(BD.PD[[#This Row],[Pos]],PPto[],3,FALSE)</f>
        <v>8.05 Mobiliario no operacional para Tiendas</v>
      </c>
      <c r="D57" s="181" t="s">
        <v>40</v>
      </c>
      <c r="E57" s="242" t="str">
        <f>IF(BD.PD[[#This Row],[.]]="*",VLOOKUP(BD.PD[[#This Row],[Pos]],Presupuesto!A:H,7,FALSE),"")</f>
        <v/>
      </c>
      <c r="F57" s="389" t="s">
        <v>583</v>
      </c>
      <c r="G57" s="243">
        <v>4512922448</v>
      </c>
      <c r="H57" s="275"/>
      <c r="I57" s="276">
        <v>1</v>
      </c>
      <c r="J57" s="181" t="s">
        <v>314</v>
      </c>
      <c r="K57" s="245">
        <f>IF(BD.PD[[#This Row],[Mon]]="DOP",1,HLOOKUP(BD.PD[[#This Row],[Mon]],$J$1:$K$2,2,FALSE))</f>
        <v>1</v>
      </c>
      <c r="L57" s="388">
        <v>37718.239999999998</v>
      </c>
      <c r="M57" s="247">
        <f>BD.PD[[#This Row],[Cant.]]*BD.PD[[#This Row],[ Tasa ]]*BD.PD[[#This Row],[ Precio Und.]]</f>
        <v>37718.239999999998</v>
      </c>
      <c r="N57" s="278">
        <v>0.1</v>
      </c>
      <c r="O57" s="247">
        <f>IF(BD.PD[[#This Row],[Liquid. '[%']]]&lt;&gt;0,(BD.PD[[#This Row],[Valor Neto '[DOP']]]*BD.PD[[#This Row],[Liquid. '[%']]])+BD.PD[[#This Row],[Valor Neto '[DOP']]],BD.PD[[#This Row],[Valor Neto '[DOP']]])</f>
        <v>41490.063999999998</v>
      </c>
      <c r="P57" s="249">
        <f>BD.PD[[#This Row],[Ppto. Orden Interna '[DOP']]]/HLOOKUP("USD",$J$1:$K$2,2,FALSE)</f>
        <v>683.5265897858319</v>
      </c>
      <c r="Q57" s="250" t="s">
        <v>1074</v>
      </c>
      <c r="R57" s="258" t="s">
        <v>580</v>
      </c>
      <c r="S57" s="251">
        <v>18</v>
      </c>
      <c r="T57" s="252">
        <v>0.5</v>
      </c>
      <c r="U57" s="259">
        <f>BD.PD[[#This Row],[Av.P1 '[%']]]*BD.PD[[#This Row],[Ppto. Orden Interna '[DOP']]]</f>
        <v>20745.031999999999</v>
      </c>
      <c r="V57" s="254">
        <v>21</v>
      </c>
      <c r="W57" s="252">
        <v>0.5</v>
      </c>
      <c r="X57" s="259">
        <f>BD.PD[[#This Row],[Av.P2 '[%']]]*BD.PD[[#This Row],[Ppto. Orden Interna '[DOP']]]</f>
        <v>20745.031999999999</v>
      </c>
      <c r="Y57" s="254"/>
      <c r="Z57" s="255"/>
      <c r="AA57" s="259">
        <f>BD.PD[[#This Row],[Av.P3 '[%']]]*BD.PD[[#This Row],[Ppto. Orden Interna '[DOP']]]</f>
        <v>0</v>
      </c>
      <c r="AB57" s="254"/>
      <c r="AC57" s="255"/>
      <c r="AD57" s="259">
        <f>BD.PD[[#This Row],[Av.P4 '[%']]]*BD.PD[[#This Row],[Ppto. Orden Interna '[DOP']]]</f>
        <v>0</v>
      </c>
      <c r="AE57" s="254"/>
      <c r="AF57" s="255"/>
      <c r="AG57" s="259">
        <f>BD.PD[[#This Row],[Av.P5 '[%']]]*BD.PD[[#This Row],[Ppto. Orden Interna '[DOP']]]</f>
        <v>0</v>
      </c>
      <c r="AH57" s="256">
        <f>BD.PD[[#This Row],[Pago 5]]+BD.PD[[#This Row],[Pago 4]]+BD.PD[[#This Row],[Pago 3]]+BD.PD[[#This Row],[Pago 2]]+BD.PD[[#This Row],[Pago 1]]</f>
        <v>41490.063999999998</v>
      </c>
      <c r="AI57" s="318"/>
      <c r="AJ57" s="318"/>
      <c r="AK57" s="318"/>
      <c r="AL57" s="318"/>
      <c r="AM57" s="318"/>
      <c r="AN57" s="318"/>
      <c r="AO57" s="318"/>
      <c r="AP57" s="318"/>
      <c r="AQ57" s="318"/>
      <c r="AR57" s="318"/>
      <c r="AS57" s="318"/>
      <c r="AT57" s="318"/>
      <c r="AU57" s="318"/>
      <c r="AV57" s="318"/>
      <c r="AW57" s="318"/>
      <c r="AX57" s="318"/>
      <c r="AY57" s="318"/>
      <c r="AZ57" s="318"/>
      <c r="BA57" s="318"/>
      <c r="BB57" s="318"/>
      <c r="BC57" s="318"/>
      <c r="BD57" s="318"/>
      <c r="BE57" s="318"/>
      <c r="BF57" s="318"/>
      <c r="BG57" s="318"/>
      <c r="BH57" s="318"/>
      <c r="BI57" s="318"/>
      <c r="BJ57" s="318"/>
      <c r="BK57" s="318"/>
      <c r="BL57" s="318"/>
      <c r="BM57" s="318"/>
      <c r="BN57" s="318"/>
      <c r="BO57" s="318"/>
      <c r="BP57" s="318"/>
      <c r="BQ57" s="318"/>
      <c r="BR57" s="318"/>
      <c r="BS57" s="318"/>
      <c r="BT57" s="318"/>
      <c r="BU57" s="318"/>
      <c r="BV57" s="318"/>
      <c r="BW57" s="318"/>
      <c r="BX57" s="318"/>
      <c r="BY57" s="318"/>
      <c r="BZ57" s="318"/>
      <c r="CA57" s="318"/>
      <c r="CB57" s="318"/>
      <c r="CC57" s="318"/>
      <c r="CD57" s="318"/>
      <c r="CE57" s="318"/>
      <c r="CF57" s="318"/>
      <c r="CG57" s="318"/>
      <c r="CH57" s="318"/>
      <c r="CI57" s="318"/>
      <c r="CJ57" s="318"/>
      <c r="CK57" s="318"/>
      <c r="CL57" s="318"/>
      <c r="CM57" s="318"/>
      <c r="CN57" s="318"/>
      <c r="CO57" s="318"/>
      <c r="CP57" s="318"/>
      <c r="CQ57" s="318"/>
      <c r="CR57" s="318"/>
      <c r="CS57" s="318"/>
      <c r="CT57" s="318"/>
      <c r="CU57" s="318"/>
      <c r="CV57" s="318"/>
      <c r="CW57" s="318"/>
      <c r="CX57" s="318"/>
      <c r="CY57" s="318"/>
      <c r="CZ57" s="318"/>
      <c r="DA57" s="318"/>
      <c r="DB57" s="318"/>
      <c r="DC57" s="318"/>
      <c r="DD57" s="318"/>
      <c r="DE57" s="318"/>
      <c r="DF57" s="318"/>
      <c r="DG57" s="318"/>
      <c r="DH57" s="318"/>
      <c r="DI57" s="318"/>
      <c r="DJ57" s="318"/>
      <c r="DK57" s="318"/>
      <c r="DL57" s="318"/>
      <c r="DM57" s="318"/>
      <c r="DN57" s="318"/>
      <c r="DO57" s="318"/>
      <c r="DP57" s="318"/>
      <c r="DQ57" s="318"/>
      <c r="DR57" s="318"/>
      <c r="DS57" s="318"/>
      <c r="DT57" s="318"/>
      <c r="DU57" s="318"/>
      <c r="DV57" s="318"/>
      <c r="DW57" s="318"/>
      <c r="DX57" s="318"/>
      <c r="DY57" s="318"/>
      <c r="DZ57" s="318"/>
      <c r="EA57" s="318"/>
      <c r="EB57" s="318"/>
      <c r="EC57" s="318"/>
      <c r="ED57" s="318"/>
      <c r="EE57" s="318"/>
      <c r="EF57" s="318"/>
      <c r="EG57" s="318"/>
      <c r="EH57" s="318"/>
      <c r="EI57" s="318"/>
      <c r="EJ57" s="318"/>
      <c r="EK57" s="318"/>
      <c r="EL57" s="318"/>
      <c r="EM57" s="318"/>
      <c r="EN57" s="318"/>
      <c r="EO57" s="318"/>
      <c r="EP57" s="318"/>
      <c r="EQ57" s="318"/>
      <c r="ER57" s="318"/>
      <c r="ES57" s="318"/>
      <c r="ET57" s="318"/>
      <c r="EU57" s="318"/>
      <c r="EV57" s="318"/>
      <c r="EW57" s="318"/>
      <c r="EX57" s="318"/>
      <c r="EY57" s="318"/>
      <c r="EZ57" s="318"/>
      <c r="FA57" s="318"/>
      <c r="FB57" s="318"/>
      <c r="FC57" s="318"/>
      <c r="FD57" s="318"/>
      <c r="FE57" s="318"/>
      <c r="FF57" s="318"/>
      <c r="FG57" s="318"/>
      <c r="FH57" s="318"/>
      <c r="FI57" s="318"/>
      <c r="FJ57" s="318"/>
      <c r="FK57" s="318"/>
      <c r="FL57" s="318"/>
      <c r="FM57" s="318"/>
      <c r="FN57" s="318"/>
      <c r="FO57" s="318"/>
      <c r="FP57" s="318"/>
      <c r="FQ57" s="318"/>
      <c r="FR57" s="318"/>
      <c r="FS57" s="318"/>
      <c r="FT57" s="318"/>
      <c r="FU57" s="318"/>
      <c r="FV57" s="318"/>
      <c r="FW57" s="318"/>
      <c r="FX57" s="318"/>
      <c r="FY57" s="318"/>
      <c r="FZ57" s="318"/>
      <c r="GA57" s="318"/>
      <c r="GB57" s="318"/>
      <c r="GC57" s="318"/>
      <c r="GD57" s="318"/>
      <c r="GE57" s="318"/>
      <c r="GF57" s="318"/>
      <c r="GG57" s="318"/>
      <c r="GH57" s="318"/>
      <c r="GI57" s="318"/>
      <c r="GJ57" s="318"/>
      <c r="GK57" s="318"/>
      <c r="GL57" s="318"/>
      <c r="GM57" s="318"/>
      <c r="GN57" s="318"/>
      <c r="GO57" s="318"/>
      <c r="GP57" s="318"/>
      <c r="GQ57" s="318"/>
      <c r="GR57" s="318"/>
      <c r="GS57" s="318"/>
      <c r="GT57" s="318"/>
      <c r="GU57" s="318"/>
      <c r="GV57" s="318"/>
      <c r="GW57" s="318"/>
      <c r="GX57" s="318"/>
      <c r="GY57" s="318"/>
      <c r="GZ57" s="318"/>
      <c r="HA57" s="318"/>
      <c r="HB57" s="318"/>
      <c r="HC57" s="318"/>
      <c r="HD57" s="318"/>
      <c r="HE57" s="318"/>
      <c r="HF57" s="318"/>
      <c r="HG57" s="318"/>
      <c r="HH57" s="318"/>
      <c r="HI57" s="318"/>
      <c r="HJ57" s="318"/>
      <c r="HK57" s="318"/>
      <c r="HL57" s="318"/>
      <c r="HM57" s="318"/>
      <c r="HN57" s="318"/>
      <c r="HO57" s="318"/>
      <c r="HP57" s="318"/>
      <c r="HQ57" s="318"/>
      <c r="HR57" s="318"/>
      <c r="HS57" s="318"/>
      <c r="HT57" s="318"/>
      <c r="HU57" s="318"/>
      <c r="HV57" s="318"/>
      <c r="HW57" s="318"/>
      <c r="HX57" s="318"/>
      <c r="HY57" s="318"/>
      <c r="HZ57" s="318"/>
      <c r="IA57" s="318"/>
      <c r="IB57" s="318"/>
      <c r="IC57" s="318"/>
    </row>
    <row r="58" spans="1:237" s="260" customFormat="1" ht="15" customHeight="1" x14ac:dyDescent="0.3">
      <c r="A58" s="181">
        <v>8.0500000000000007</v>
      </c>
      <c r="B58" s="239"/>
      <c r="C58" s="240" t="str">
        <f>VLOOKUP(BD.PD[[#This Row],[Pos]],PPto[],3,FALSE)</f>
        <v>8.05 Mobiliario no operacional para Tiendas</v>
      </c>
      <c r="D58" s="181" t="s">
        <v>40</v>
      </c>
      <c r="E58" s="242" t="str">
        <f>IF(BD.PD[[#This Row],[.]]="*",VLOOKUP(BD.PD[[#This Row],[Pos]],Presupuesto!A:H,7,FALSE),"")</f>
        <v/>
      </c>
      <c r="F58" s="389" t="s">
        <v>585</v>
      </c>
      <c r="G58" s="243">
        <v>4512922448</v>
      </c>
      <c r="H58" s="275"/>
      <c r="I58" s="276">
        <v>1</v>
      </c>
      <c r="J58" s="181" t="s">
        <v>314</v>
      </c>
      <c r="K58" s="245">
        <f>IF(BD.PD[[#This Row],[Mon]]="DOP",1,HLOOKUP(BD.PD[[#This Row],[Mon]],$J$1:$K$2,2,FALSE))</f>
        <v>1</v>
      </c>
      <c r="L58" s="388">
        <v>37718.239999999998</v>
      </c>
      <c r="M58" s="247">
        <f>BD.PD[[#This Row],[Cant.]]*BD.PD[[#This Row],[ Tasa ]]*BD.PD[[#This Row],[ Precio Und.]]</f>
        <v>37718.239999999998</v>
      </c>
      <c r="N58" s="278">
        <v>0.1</v>
      </c>
      <c r="O58" s="247">
        <f>IF(BD.PD[[#This Row],[Liquid. '[%']]]&lt;&gt;0,(BD.PD[[#This Row],[Valor Neto '[DOP']]]*BD.PD[[#This Row],[Liquid. '[%']]])+BD.PD[[#This Row],[Valor Neto '[DOP']]],BD.PD[[#This Row],[Valor Neto '[DOP']]])</f>
        <v>41490.063999999998</v>
      </c>
      <c r="P58" s="249">
        <f>BD.PD[[#This Row],[Ppto. Orden Interna '[DOP']]]/HLOOKUP("USD",$J$1:$K$2,2,FALSE)</f>
        <v>683.5265897858319</v>
      </c>
      <c r="Q58" s="250" t="s">
        <v>1074</v>
      </c>
      <c r="R58" s="258" t="s">
        <v>580</v>
      </c>
      <c r="S58" s="251">
        <v>18</v>
      </c>
      <c r="T58" s="252">
        <v>0.5</v>
      </c>
      <c r="U58" s="259">
        <f>BD.PD[[#This Row],[Av.P1 '[%']]]*BD.PD[[#This Row],[Ppto. Orden Interna '[DOP']]]</f>
        <v>20745.031999999999</v>
      </c>
      <c r="V58" s="254">
        <v>21</v>
      </c>
      <c r="W58" s="252">
        <v>0.5</v>
      </c>
      <c r="X58" s="259">
        <f>BD.PD[[#This Row],[Av.P2 '[%']]]*BD.PD[[#This Row],[Ppto. Orden Interna '[DOP']]]</f>
        <v>20745.031999999999</v>
      </c>
      <c r="Y58" s="254"/>
      <c r="Z58" s="255"/>
      <c r="AA58" s="259">
        <f>BD.PD[[#This Row],[Av.P3 '[%']]]*BD.PD[[#This Row],[Ppto. Orden Interna '[DOP']]]</f>
        <v>0</v>
      </c>
      <c r="AB58" s="254"/>
      <c r="AC58" s="255"/>
      <c r="AD58" s="259">
        <f>BD.PD[[#This Row],[Av.P4 '[%']]]*BD.PD[[#This Row],[Ppto. Orden Interna '[DOP']]]</f>
        <v>0</v>
      </c>
      <c r="AE58" s="254"/>
      <c r="AF58" s="255"/>
      <c r="AG58" s="259">
        <f>BD.PD[[#This Row],[Av.P5 '[%']]]*BD.PD[[#This Row],[Ppto. Orden Interna '[DOP']]]</f>
        <v>0</v>
      </c>
      <c r="AH58" s="256">
        <f>BD.PD[[#This Row],[Pago 5]]+BD.PD[[#This Row],[Pago 4]]+BD.PD[[#This Row],[Pago 3]]+BD.PD[[#This Row],[Pago 2]]+BD.PD[[#This Row],[Pago 1]]</f>
        <v>41490.063999999998</v>
      </c>
      <c r="AI58" s="318"/>
      <c r="AJ58" s="318"/>
      <c r="AK58" s="318"/>
      <c r="AL58" s="318"/>
      <c r="AM58" s="318"/>
      <c r="AN58" s="318"/>
      <c r="AO58" s="318"/>
      <c r="AP58" s="318"/>
      <c r="AQ58" s="318"/>
      <c r="AR58" s="318"/>
      <c r="AS58" s="318"/>
      <c r="AT58" s="318"/>
      <c r="AU58" s="318"/>
      <c r="AV58" s="318"/>
      <c r="AW58" s="318"/>
      <c r="AX58" s="318"/>
      <c r="AY58" s="318"/>
      <c r="AZ58" s="318"/>
      <c r="BA58" s="318"/>
      <c r="BB58" s="318"/>
      <c r="BC58" s="318"/>
      <c r="BD58" s="318"/>
      <c r="BE58" s="318"/>
      <c r="BF58" s="318"/>
      <c r="BG58" s="318"/>
      <c r="BH58" s="318"/>
      <c r="BI58" s="318"/>
      <c r="BJ58" s="318"/>
      <c r="BK58" s="318"/>
      <c r="BL58" s="318"/>
      <c r="BM58" s="318"/>
      <c r="BN58" s="318"/>
      <c r="BO58" s="318"/>
      <c r="BP58" s="318"/>
      <c r="BQ58" s="318"/>
      <c r="BR58" s="318"/>
      <c r="BS58" s="318"/>
      <c r="BT58" s="318"/>
      <c r="BU58" s="318"/>
      <c r="BV58" s="318"/>
      <c r="BW58" s="318"/>
      <c r="BX58" s="318"/>
      <c r="BY58" s="318"/>
      <c r="BZ58" s="318"/>
      <c r="CA58" s="318"/>
      <c r="CB58" s="318"/>
      <c r="CC58" s="318"/>
      <c r="CD58" s="318"/>
      <c r="CE58" s="318"/>
      <c r="CF58" s="318"/>
      <c r="CG58" s="318"/>
      <c r="CH58" s="318"/>
      <c r="CI58" s="318"/>
      <c r="CJ58" s="318"/>
      <c r="CK58" s="318"/>
      <c r="CL58" s="318"/>
      <c r="CM58" s="318"/>
      <c r="CN58" s="318"/>
      <c r="CO58" s="318"/>
      <c r="CP58" s="318"/>
      <c r="CQ58" s="318"/>
      <c r="CR58" s="318"/>
      <c r="CS58" s="318"/>
      <c r="CT58" s="318"/>
      <c r="CU58" s="318"/>
      <c r="CV58" s="318"/>
      <c r="CW58" s="318"/>
      <c r="CX58" s="318"/>
      <c r="CY58" s="318"/>
      <c r="CZ58" s="318"/>
      <c r="DA58" s="318"/>
      <c r="DB58" s="318"/>
      <c r="DC58" s="318"/>
      <c r="DD58" s="318"/>
      <c r="DE58" s="318"/>
      <c r="DF58" s="318"/>
      <c r="DG58" s="318"/>
      <c r="DH58" s="318"/>
      <c r="DI58" s="318"/>
      <c r="DJ58" s="318"/>
      <c r="DK58" s="318"/>
      <c r="DL58" s="318"/>
      <c r="DM58" s="318"/>
      <c r="DN58" s="318"/>
      <c r="DO58" s="318"/>
      <c r="DP58" s="318"/>
      <c r="DQ58" s="318"/>
      <c r="DR58" s="318"/>
      <c r="DS58" s="318"/>
      <c r="DT58" s="318"/>
      <c r="DU58" s="318"/>
      <c r="DV58" s="318"/>
      <c r="DW58" s="318"/>
      <c r="DX58" s="318"/>
      <c r="DY58" s="318"/>
      <c r="DZ58" s="318"/>
      <c r="EA58" s="318"/>
      <c r="EB58" s="318"/>
      <c r="EC58" s="318"/>
      <c r="ED58" s="318"/>
      <c r="EE58" s="318"/>
      <c r="EF58" s="318"/>
      <c r="EG58" s="318"/>
      <c r="EH58" s="318"/>
      <c r="EI58" s="318"/>
      <c r="EJ58" s="318"/>
      <c r="EK58" s="318"/>
      <c r="EL58" s="318"/>
      <c r="EM58" s="318"/>
      <c r="EN58" s="318"/>
      <c r="EO58" s="318"/>
      <c r="EP58" s="318"/>
      <c r="EQ58" s="318"/>
      <c r="ER58" s="318"/>
      <c r="ES58" s="318"/>
      <c r="ET58" s="318"/>
      <c r="EU58" s="318"/>
      <c r="EV58" s="318"/>
      <c r="EW58" s="318"/>
      <c r="EX58" s="318"/>
      <c r="EY58" s="318"/>
      <c r="EZ58" s="318"/>
      <c r="FA58" s="318"/>
      <c r="FB58" s="318"/>
      <c r="FC58" s="318"/>
      <c r="FD58" s="318"/>
      <c r="FE58" s="318"/>
      <c r="FF58" s="318"/>
      <c r="FG58" s="318"/>
      <c r="FH58" s="318"/>
      <c r="FI58" s="318"/>
      <c r="FJ58" s="318"/>
      <c r="FK58" s="318"/>
      <c r="FL58" s="318"/>
      <c r="FM58" s="318"/>
      <c r="FN58" s="318"/>
      <c r="FO58" s="318"/>
      <c r="FP58" s="318"/>
      <c r="FQ58" s="318"/>
      <c r="FR58" s="318"/>
      <c r="FS58" s="318"/>
      <c r="FT58" s="318"/>
      <c r="FU58" s="318"/>
      <c r="FV58" s="318"/>
      <c r="FW58" s="318"/>
      <c r="FX58" s="318"/>
      <c r="FY58" s="318"/>
      <c r="FZ58" s="318"/>
      <c r="GA58" s="318"/>
      <c r="GB58" s="318"/>
      <c r="GC58" s="318"/>
      <c r="GD58" s="318"/>
      <c r="GE58" s="318"/>
      <c r="GF58" s="318"/>
      <c r="GG58" s="318"/>
      <c r="GH58" s="318"/>
      <c r="GI58" s="318"/>
      <c r="GJ58" s="318"/>
      <c r="GK58" s="318"/>
      <c r="GL58" s="318"/>
      <c r="GM58" s="318"/>
      <c r="GN58" s="318"/>
      <c r="GO58" s="318"/>
      <c r="GP58" s="318"/>
      <c r="GQ58" s="318"/>
      <c r="GR58" s="318"/>
      <c r="GS58" s="318"/>
      <c r="GT58" s="318"/>
      <c r="GU58" s="318"/>
      <c r="GV58" s="318"/>
      <c r="GW58" s="318"/>
      <c r="GX58" s="318"/>
      <c r="GY58" s="318"/>
      <c r="GZ58" s="318"/>
      <c r="HA58" s="318"/>
      <c r="HB58" s="318"/>
      <c r="HC58" s="318"/>
      <c r="HD58" s="318"/>
      <c r="HE58" s="318"/>
      <c r="HF58" s="318"/>
      <c r="HG58" s="318"/>
      <c r="HH58" s="318"/>
      <c r="HI58" s="318"/>
      <c r="HJ58" s="318"/>
      <c r="HK58" s="318"/>
      <c r="HL58" s="318"/>
      <c r="HM58" s="318"/>
      <c r="HN58" s="318"/>
      <c r="HO58" s="318"/>
      <c r="HP58" s="318"/>
      <c r="HQ58" s="318"/>
      <c r="HR58" s="318"/>
      <c r="HS58" s="318"/>
      <c r="HT58" s="318"/>
      <c r="HU58" s="318"/>
      <c r="HV58" s="318"/>
      <c r="HW58" s="318"/>
      <c r="HX58" s="318"/>
      <c r="HY58" s="318"/>
      <c r="HZ58" s="318"/>
      <c r="IA58" s="318"/>
      <c r="IB58" s="318"/>
      <c r="IC58" s="318"/>
    </row>
    <row r="59" spans="1:237" s="260" customFormat="1" ht="15" customHeight="1" x14ac:dyDescent="0.3">
      <c r="A59" s="181">
        <v>7.05</v>
      </c>
      <c r="B59" s="239"/>
      <c r="C59" s="240" t="str">
        <f>VLOOKUP(BD.PD[[#This Row],[Pos]],PPto[],3,FALSE)</f>
        <v>7.05 Equipamiento de Frutas y Vegetales</v>
      </c>
      <c r="D59" s="181" t="s">
        <v>40</v>
      </c>
      <c r="E59" s="242" t="str">
        <f>IF(BD.PD[[#This Row],[.]]="*",VLOOKUP(BD.PD[[#This Row],[Pos]],Presupuesto!A:H,7,FALSE),"")</f>
        <v/>
      </c>
      <c r="F59" s="305" t="s">
        <v>552</v>
      </c>
      <c r="G59" s="243" t="s">
        <v>334</v>
      </c>
      <c r="H59" s="275"/>
      <c r="I59" s="276">
        <v>190</v>
      </c>
      <c r="J59" s="181" t="s">
        <v>314</v>
      </c>
      <c r="K59" s="245">
        <f>IF(BD.PD[[#This Row],[Mon]]="DOP",1,HLOOKUP(BD.PD[[#This Row],[Mon]],$J$1:$K$2,2,FALSE))</f>
        <v>1</v>
      </c>
      <c r="L59" s="277">
        <v>475.52023529411764</v>
      </c>
      <c r="M59" s="247">
        <f>BD.PD[[#This Row],[Cant.]]*BD.PD[[#This Row],[ Tasa ]]*BD.PD[[#This Row],[ Precio Und.]]</f>
        <v>90348.844705882351</v>
      </c>
      <c r="N59" s="278">
        <v>0</v>
      </c>
      <c r="O59" s="247">
        <f>IF(BD.PD[[#This Row],[Liquid. '[%']]]&lt;&gt;0,(BD.PD[[#This Row],[Valor Neto '[DOP']]]*BD.PD[[#This Row],[Liquid. '[%']]])+BD.PD[[#This Row],[Valor Neto '[DOP']]],BD.PD[[#This Row],[Valor Neto '[DOP']]])</f>
        <v>90348.844705882351</v>
      </c>
      <c r="P59" s="257">
        <f>BD.PD[[#This Row],[Ppto. Orden Interna '[DOP']]]/HLOOKUP("USD",$J$1:$K$2,2,FALSE)</f>
        <v>1488.4488419420486</v>
      </c>
      <c r="Q59" s="250" t="s">
        <v>525</v>
      </c>
      <c r="R59" s="258" t="s">
        <v>457</v>
      </c>
      <c r="S59" s="251">
        <v>21</v>
      </c>
      <c r="T59" s="252">
        <v>1</v>
      </c>
      <c r="U59" s="259">
        <f>BD.PD[[#This Row],[Av.P1 '[%']]]*BD.PD[[#This Row],[Ppto. Orden Interna '[DOP']]]</f>
        <v>90348.844705882351</v>
      </c>
      <c r="V59" s="254"/>
      <c r="W59" s="255"/>
      <c r="X59" s="259">
        <f>BD.PD[[#This Row],[Av.P2 '[%']]]*BD.PD[[#This Row],[Ppto. Orden Interna '[DOP']]]</f>
        <v>0</v>
      </c>
      <c r="Y59" s="254"/>
      <c r="Z59" s="255"/>
      <c r="AA59" s="259">
        <f>BD.PD[[#This Row],[Av.P3 '[%']]]*BD.PD[[#This Row],[Ppto. Orden Interna '[DOP']]]</f>
        <v>0</v>
      </c>
      <c r="AB59" s="254"/>
      <c r="AC59" s="255"/>
      <c r="AD59" s="259">
        <f>BD.PD[[#This Row],[Av.P4 '[%']]]*BD.PD[[#This Row],[Ppto. Orden Interna '[DOP']]]</f>
        <v>0</v>
      </c>
      <c r="AE59" s="254"/>
      <c r="AF59" s="255"/>
      <c r="AG59" s="259">
        <f>BD.PD[[#This Row],[Av.P5 '[%']]]*BD.PD[[#This Row],[Ppto. Orden Interna '[DOP']]]</f>
        <v>0</v>
      </c>
      <c r="AH59" s="256">
        <f>BD.PD[[#This Row],[Pago 5]]+BD.PD[[#This Row],[Pago 4]]+BD.PD[[#This Row],[Pago 3]]+BD.PD[[#This Row],[Pago 2]]+BD.PD[[#This Row],[Pago 1]]</f>
        <v>90348.844705882351</v>
      </c>
      <c r="AI59" s="318"/>
      <c r="AJ59" s="318"/>
      <c r="AK59" s="318"/>
      <c r="AL59" s="318"/>
      <c r="AM59" s="318"/>
      <c r="AN59" s="318"/>
      <c r="AO59" s="318"/>
      <c r="AP59" s="318"/>
      <c r="AQ59" s="318"/>
      <c r="AR59" s="318"/>
      <c r="AS59" s="318"/>
      <c r="AT59" s="318"/>
      <c r="AU59" s="318"/>
      <c r="AV59" s="318"/>
      <c r="AW59" s="318"/>
      <c r="AX59" s="318"/>
      <c r="AY59" s="318"/>
      <c r="AZ59" s="318"/>
      <c r="BA59" s="318"/>
      <c r="BB59" s="318"/>
      <c r="BC59" s="318"/>
      <c r="BD59" s="318"/>
      <c r="BE59" s="318"/>
      <c r="BF59" s="318"/>
      <c r="BG59" s="318"/>
      <c r="BH59" s="318"/>
      <c r="BI59" s="318"/>
      <c r="BJ59" s="318"/>
      <c r="BK59" s="318"/>
      <c r="BL59" s="318"/>
      <c r="BM59" s="318"/>
      <c r="BN59" s="318"/>
      <c r="BO59" s="318"/>
      <c r="BP59" s="318"/>
      <c r="BQ59" s="318"/>
      <c r="BR59" s="318"/>
      <c r="BS59" s="318"/>
      <c r="BT59" s="318"/>
      <c r="BU59" s="318"/>
      <c r="BV59" s="318"/>
      <c r="BW59" s="318"/>
      <c r="BX59" s="318"/>
      <c r="BY59" s="318"/>
      <c r="BZ59" s="318"/>
      <c r="CA59" s="318"/>
      <c r="CB59" s="318"/>
      <c r="CC59" s="318"/>
      <c r="CD59" s="318"/>
      <c r="CE59" s="318"/>
      <c r="CF59" s="318"/>
      <c r="CG59" s="318"/>
      <c r="CH59" s="318"/>
      <c r="CI59" s="318"/>
      <c r="CJ59" s="318"/>
      <c r="CK59" s="318"/>
      <c r="CL59" s="318"/>
      <c r="CM59" s="318"/>
      <c r="CN59" s="318"/>
      <c r="CO59" s="318"/>
      <c r="CP59" s="318"/>
      <c r="CQ59" s="318"/>
      <c r="CR59" s="318"/>
      <c r="CS59" s="318"/>
      <c r="CT59" s="318"/>
      <c r="CU59" s="318"/>
      <c r="CV59" s="318"/>
      <c r="CW59" s="318"/>
      <c r="CX59" s="318"/>
      <c r="CY59" s="318"/>
      <c r="CZ59" s="318"/>
      <c r="DA59" s="318"/>
      <c r="DB59" s="318"/>
      <c r="DC59" s="318"/>
      <c r="DD59" s="318"/>
      <c r="DE59" s="318"/>
      <c r="DF59" s="318"/>
      <c r="DG59" s="318"/>
      <c r="DH59" s="318"/>
      <c r="DI59" s="318"/>
      <c r="DJ59" s="318"/>
      <c r="DK59" s="318"/>
      <c r="DL59" s="318"/>
      <c r="DM59" s="318"/>
      <c r="DN59" s="318"/>
      <c r="DO59" s="318"/>
      <c r="DP59" s="318"/>
      <c r="DQ59" s="318"/>
      <c r="DR59" s="318"/>
      <c r="DS59" s="318"/>
      <c r="DT59" s="318"/>
      <c r="DU59" s="318"/>
      <c r="DV59" s="318"/>
      <c r="DW59" s="318"/>
      <c r="DX59" s="318"/>
      <c r="DY59" s="318"/>
      <c r="DZ59" s="318"/>
      <c r="EA59" s="318"/>
      <c r="EB59" s="318"/>
      <c r="EC59" s="318"/>
      <c r="ED59" s="318"/>
      <c r="EE59" s="318"/>
      <c r="EF59" s="318"/>
      <c r="EG59" s="318"/>
      <c r="EH59" s="318"/>
      <c r="EI59" s="318"/>
      <c r="EJ59" s="318"/>
      <c r="EK59" s="318"/>
      <c r="EL59" s="318"/>
      <c r="EM59" s="318"/>
      <c r="EN59" s="318"/>
      <c r="EO59" s="318"/>
      <c r="EP59" s="318"/>
      <c r="EQ59" s="318"/>
      <c r="ER59" s="318"/>
      <c r="ES59" s="318"/>
      <c r="ET59" s="318"/>
      <c r="EU59" s="318"/>
      <c r="EV59" s="318"/>
      <c r="EW59" s="318"/>
      <c r="EX59" s="318"/>
      <c r="EY59" s="318"/>
      <c r="EZ59" s="318"/>
      <c r="FA59" s="318"/>
      <c r="FB59" s="318"/>
      <c r="FC59" s="318"/>
      <c r="FD59" s="318"/>
      <c r="FE59" s="318"/>
      <c r="FF59" s="318"/>
      <c r="FG59" s="318"/>
      <c r="FH59" s="318"/>
      <c r="FI59" s="318"/>
      <c r="FJ59" s="318"/>
      <c r="FK59" s="318"/>
      <c r="FL59" s="318"/>
      <c r="FM59" s="318"/>
      <c r="FN59" s="318"/>
      <c r="FO59" s="318"/>
      <c r="FP59" s="318"/>
      <c r="FQ59" s="318"/>
      <c r="FR59" s="318"/>
      <c r="FS59" s="318"/>
      <c r="FT59" s="318"/>
      <c r="FU59" s="318"/>
      <c r="FV59" s="318"/>
      <c r="FW59" s="318"/>
      <c r="FX59" s="318"/>
      <c r="FY59" s="318"/>
      <c r="FZ59" s="318"/>
      <c r="GA59" s="318"/>
      <c r="GB59" s="318"/>
      <c r="GC59" s="318"/>
      <c r="GD59" s="318"/>
      <c r="GE59" s="318"/>
      <c r="GF59" s="318"/>
      <c r="GG59" s="318"/>
      <c r="GH59" s="318"/>
      <c r="GI59" s="318"/>
      <c r="GJ59" s="318"/>
      <c r="GK59" s="318"/>
      <c r="GL59" s="318"/>
      <c r="GM59" s="318"/>
      <c r="GN59" s="318"/>
      <c r="GO59" s="318"/>
      <c r="GP59" s="318"/>
      <c r="GQ59" s="318"/>
      <c r="GR59" s="318"/>
      <c r="GS59" s="318"/>
      <c r="GT59" s="318"/>
      <c r="GU59" s="318"/>
      <c r="GV59" s="318"/>
      <c r="GW59" s="318"/>
      <c r="GX59" s="318"/>
      <c r="GY59" s="318"/>
      <c r="GZ59" s="318"/>
      <c r="HA59" s="318"/>
      <c r="HB59" s="318"/>
      <c r="HC59" s="318"/>
      <c r="HD59" s="318"/>
      <c r="HE59" s="318"/>
      <c r="HF59" s="318"/>
      <c r="HG59" s="318"/>
      <c r="HH59" s="318"/>
      <c r="HI59" s="318"/>
      <c r="HJ59" s="318"/>
      <c r="HK59" s="318"/>
      <c r="HL59" s="318"/>
      <c r="HM59" s="318"/>
      <c r="HN59" s="318"/>
      <c r="HO59" s="318"/>
      <c r="HP59" s="318"/>
      <c r="HQ59" s="318"/>
      <c r="HR59" s="318"/>
      <c r="HS59" s="318"/>
      <c r="HT59" s="318"/>
      <c r="HU59" s="318"/>
      <c r="HV59" s="318"/>
      <c r="HW59" s="318"/>
      <c r="HX59" s="318"/>
      <c r="HY59" s="318"/>
      <c r="HZ59" s="318"/>
      <c r="IA59" s="318"/>
      <c r="IB59" s="318"/>
      <c r="IC59" s="318"/>
    </row>
    <row r="60" spans="1:237" s="260" customFormat="1" ht="15" customHeight="1" x14ac:dyDescent="0.3">
      <c r="A60" s="181">
        <v>7.05</v>
      </c>
      <c r="B60" s="239"/>
      <c r="C60" s="240" t="str">
        <f>VLOOKUP(BD.PD[[#This Row],[Pos]],PPto[],3,FALSE)</f>
        <v>7.05 Equipamiento de Frutas y Vegetales</v>
      </c>
      <c r="D60" s="181" t="s">
        <v>40</v>
      </c>
      <c r="E60" s="242" t="str">
        <f>IF(BD.PD[[#This Row],[.]]="*",VLOOKUP(BD.PD[[#This Row],[Pos]],Presupuesto!A:H,7,FALSE),"")</f>
        <v/>
      </c>
      <c r="F60" s="243" t="s">
        <v>553</v>
      </c>
      <c r="G60" s="243"/>
      <c r="H60" s="275"/>
      <c r="I60" s="276">
        <v>6</v>
      </c>
      <c r="J60" s="307" t="s">
        <v>188</v>
      </c>
      <c r="K60" s="245">
        <f>IF(BD.PD[[#This Row],[Mon]]="DOP",1,HLOOKUP(BD.PD[[#This Row],[Mon]],$J$1:$K$2,2,FALSE))</f>
        <v>60.7</v>
      </c>
      <c r="L60" s="309">
        <v>1228</v>
      </c>
      <c r="M60" s="247">
        <f>BD.PD[[#This Row],[Cant.]]*BD.PD[[#This Row],[ Tasa ]]*BD.PD[[#This Row],[ Precio Und.]]</f>
        <v>447237.60000000003</v>
      </c>
      <c r="N60" s="278">
        <v>0.45</v>
      </c>
      <c r="O60" s="247">
        <f>IF(BD.PD[[#This Row],[Liquid. '[%']]]&lt;&gt;0,(BD.PD[[#This Row],[Valor Neto '[DOP']]]*BD.PD[[#This Row],[Liquid. '[%']]])+BD.PD[[#This Row],[Valor Neto '[DOP']]],BD.PD[[#This Row],[Valor Neto '[DOP']]])</f>
        <v>648494.52</v>
      </c>
      <c r="P60" s="257">
        <f>BD.PD[[#This Row],[Ppto. Orden Interna '[DOP']]]/HLOOKUP("USD",$J$1:$K$2,2,FALSE)</f>
        <v>10683.6</v>
      </c>
      <c r="Q60" s="250" t="s">
        <v>525</v>
      </c>
      <c r="R60" s="258" t="s">
        <v>457</v>
      </c>
      <c r="S60" s="251">
        <v>16</v>
      </c>
      <c r="T60" s="252">
        <v>0.5</v>
      </c>
      <c r="U60" s="259">
        <f>BD.PD[[#This Row],[Av.P1 '[%']]]*BD.PD[[#This Row],[Ppto. Orden Interna '[DOP']]]</f>
        <v>324247.26</v>
      </c>
      <c r="V60" s="254">
        <v>19</v>
      </c>
      <c r="W60" s="314">
        <v>0.5</v>
      </c>
      <c r="X60" s="259">
        <f>BD.PD[[#This Row],[Av.P2 '[%']]]*BD.PD[[#This Row],[Ppto. Orden Interna '[DOP']]]</f>
        <v>324247.26</v>
      </c>
      <c r="Y60" s="254"/>
      <c r="Z60" s="255"/>
      <c r="AA60" s="259">
        <f>BD.PD[[#This Row],[Av.P3 '[%']]]*BD.PD[[#This Row],[Ppto. Orden Interna '[DOP']]]</f>
        <v>0</v>
      </c>
      <c r="AB60" s="254"/>
      <c r="AC60" s="255"/>
      <c r="AD60" s="259">
        <f>BD.PD[[#This Row],[Av.P4 '[%']]]*BD.PD[[#This Row],[Ppto. Orden Interna '[DOP']]]</f>
        <v>0</v>
      </c>
      <c r="AE60" s="254"/>
      <c r="AF60" s="255"/>
      <c r="AG60" s="259">
        <f>BD.PD[[#This Row],[Av.P5 '[%']]]*BD.PD[[#This Row],[Ppto. Orden Interna '[DOP']]]</f>
        <v>0</v>
      </c>
      <c r="AH60" s="256">
        <f>BD.PD[[#This Row],[Pago 5]]+BD.PD[[#This Row],[Pago 4]]+BD.PD[[#This Row],[Pago 3]]+BD.PD[[#This Row],[Pago 2]]+BD.PD[[#This Row],[Pago 1]]</f>
        <v>648494.52</v>
      </c>
      <c r="AI60" s="318"/>
      <c r="AJ60" s="318"/>
      <c r="AK60" s="318"/>
      <c r="AL60" s="318"/>
      <c r="AM60" s="318"/>
      <c r="AN60" s="318"/>
      <c r="AO60" s="318"/>
      <c r="AP60" s="318"/>
      <c r="AQ60" s="318"/>
      <c r="AR60" s="318"/>
      <c r="AS60" s="318"/>
      <c r="AT60" s="318"/>
      <c r="AU60" s="318"/>
      <c r="AV60" s="318"/>
      <c r="AW60" s="318"/>
      <c r="AX60" s="318"/>
      <c r="AY60" s="318"/>
      <c r="AZ60" s="318"/>
      <c r="BA60" s="318"/>
      <c r="BB60" s="318"/>
      <c r="BC60" s="318"/>
      <c r="BD60" s="318"/>
      <c r="BE60" s="318"/>
      <c r="BF60" s="318"/>
      <c r="BG60" s="318"/>
      <c r="BH60" s="318"/>
      <c r="BI60" s="318"/>
      <c r="BJ60" s="318"/>
      <c r="BK60" s="318"/>
      <c r="BL60" s="318"/>
      <c r="BM60" s="318"/>
      <c r="BN60" s="318"/>
      <c r="BO60" s="318"/>
      <c r="BP60" s="318"/>
      <c r="BQ60" s="318"/>
      <c r="BR60" s="318"/>
      <c r="BS60" s="318"/>
      <c r="BT60" s="318"/>
      <c r="BU60" s="318"/>
      <c r="BV60" s="318"/>
      <c r="BW60" s="318"/>
      <c r="BX60" s="318"/>
      <c r="BY60" s="318"/>
      <c r="BZ60" s="318"/>
      <c r="CA60" s="318"/>
      <c r="CB60" s="318"/>
      <c r="CC60" s="318"/>
      <c r="CD60" s="318"/>
      <c r="CE60" s="318"/>
      <c r="CF60" s="318"/>
      <c r="CG60" s="318"/>
      <c r="CH60" s="318"/>
      <c r="CI60" s="318"/>
      <c r="CJ60" s="318"/>
      <c r="CK60" s="318"/>
      <c r="CL60" s="318"/>
      <c r="CM60" s="318"/>
      <c r="CN60" s="318"/>
      <c r="CO60" s="318"/>
      <c r="CP60" s="318"/>
      <c r="CQ60" s="318"/>
      <c r="CR60" s="318"/>
      <c r="CS60" s="318"/>
      <c r="CT60" s="318"/>
      <c r="CU60" s="318"/>
      <c r="CV60" s="318"/>
      <c r="CW60" s="318"/>
      <c r="CX60" s="318"/>
      <c r="CY60" s="318"/>
      <c r="CZ60" s="318"/>
      <c r="DA60" s="318"/>
      <c r="DB60" s="318"/>
      <c r="DC60" s="318"/>
      <c r="DD60" s="318"/>
      <c r="DE60" s="318"/>
      <c r="DF60" s="318"/>
      <c r="DG60" s="318"/>
      <c r="DH60" s="318"/>
      <c r="DI60" s="318"/>
      <c r="DJ60" s="318"/>
      <c r="DK60" s="318"/>
      <c r="DL60" s="318"/>
      <c r="DM60" s="318"/>
      <c r="DN60" s="318"/>
      <c r="DO60" s="318"/>
      <c r="DP60" s="318"/>
      <c r="DQ60" s="318"/>
      <c r="DR60" s="318"/>
      <c r="DS60" s="318"/>
      <c r="DT60" s="318"/>
      <c r="DU60" s="318"/>
      <c r="DV60" s="318"/>
      <c r="DW60" s="318"/>
      <c r="DX60" s="318"/>
      <c r="DY60" s="318"/>
      <c r="DZ60" s="318"/>
      <c r="EA60" s="318"/>
      <c r="EB60" s="318"/>
      <c r="EC60" s="318"/>
      <c r="ED60" s="318"/>
      <c r="EE60" s="318"/>
      <c r="EF60" s="318"/>
      <c r="EG60" s="318"/>
      <c r="EH60" s="318"/>
      <c r="EI60" s="318"/>
      <c r="EJ60" s="318"/>
      <c r="EK60" s="318"/>
      <c r="EL60" s="318"/>
      <c r="EM60" s="318"/>
      <c r="EN60" s="318"/>
      <c r="EO60" s="318"/>
      <c r="EP60" s="318"/>
      <c r="EQ60" s="318"/>
      <c r="ER60" s="318"/>
      <c r="ES60" s="318"/>
      <c r="ET60" s="318"/>
      <c r="EU60" s="318"/>
      <c r="EV60" s="318"/>
      <c r="EW60" s="318"/>
      <c r="EX60" s="318"/>
      <c r="EY60" s="318"/>
      <c r="EZ60" s="318"/>
      <c r="FA60" s="318"/>
      <c r="FB60" s="318"/>
      <c r="FC60" s="318"/>
      <c r="FD60" s="318"/>
      <c r="FE60" s="318"/>
      <c r="FF60" s="318"/>
      <c r="FG60" s="318"/>
      <c r="FH60" s="318"/>
      <c r="FI60" s="318"/>
      <c r="FJ60" s="318"/>
      <c r="FK60" s="318"/>
      <c r="FL60" s="318"/>
      <c r="FM60" s="318"/>
      <c r="FN60" s="318"/>
      <c r="FO60" s="318"/>
      <c r="FP60" s="318"/>
      <c r="FQ60" s="318"/>
      <c r="FR60" s="318"/>
      <c r="FS60" s="318"/>
      <c r="FT60" s="318"/>
      <c r="FU60" s="318"/>
      <c r="FV60" s="318"/>
      <c r="FW60" s="318"/>
      <c r="FX60" s="318"/>
      <c r="FY60" s="318"/>
      <c r="FZ60" s="318"/>
      <c r="GA60" s="318"/>
      <c r="GB60" s="318"/>
      <c r="GC60" s="318"/>
      <c r="GD60" s="318"/>
      <c r="GE60" s="318"/>
      <c r="GF60" s="318"/>
      <c r="GG60" s="318"/>
      <c r="GH60" s="318"/>
      <c r="GI60" s="318"/>
      <c r="GJ60" s="318"/>
      <c r="GK60" s="318"/>
      <c r="GL60" s="318"/>
      <c r="GM60" s="318"/>
      <c r="GN60" s="318"/>
      <c r="GO60" s="318"/>
      <c r="GP60" s="318"/>
      <c r="GQ60" s="318"/>
      <c r="GR60" s="318"/>
      <c r="GS60" s="318"/>
      <c r="GT60" s="318"/>
      <c r="GU60" s="318"/>
      <c r="GV60" s="318"/>
      <c r="GW60" s="318"/>
      <c r="GX60" s="318"/>
      <c r="GY60" s="318"/>
      <c r="GZ60" s="318"/>
      <c r="HA60" s="318"/>
      <c r="HB60" s="318"/>
      <c r="HC60" s="318"/>
      <c r="HD60" s="318"/>
      <c r="HE60" s="318"/>
      <c r="HF60" s="318"/>
      <c r="HG60" s="318"/>
      <c r="HH60" s="318"/>
      <c r="HI60" s="318"/>
      <c r="HJ60" s="318"/>
      <c r="HK60" s="318"/>
      <c r="HL60" s="318"/>
      <c r="HM60" s="318"/>
      <c r="HN60" s="318"/>
      <c r="HO60" s="318"/>
      <c r="HP60" s="318"/>
      <c r="HQ60" s="318"/>
      <c r="HR60" s="318"/>
      <c r="HS60" s="318"/>
      <c r="HT60" s="318"/>
      <c r="HU60" s="318"/>
      <c r="HV60" s="318"/>
      <c r="HW60" s="318"/>
      <c r="HX60" s="318"/>
      <c r="HY60" s="318"/>
      <c r="HZ60" s="318"/>
      <c r="IA60" s="318"/>
      <c r="IB60" s="318"/>
      <c r="IC60" s="318"/>
    </row>
    <row r="61" spans="1:237" s="260" customFormat="1" ht="15" customHeight="1" x14ac:dyDescent="0.3">
      <c r="A61" s="181">
        <v>8.0500000000000007</v>
      </c>
      <c r="B61" s="239"/>
      <c r="C61" s="240" t="str">
        <f>VLOOKUP(BD.PD[[#This Row],[Pos]],PPto[],3,FALSE)</f>
        <v>8.05 Mobiliario no operacional para Tiendas</v>
      </c>
      <c r="D61" s="181" t="s">
        <v>40</v>
      </c>
      <c r="E61" s="242" t="str">
        <f>IF(BD.PD[[#This Row],[.]]="*",VLOOKUP(BD.PD[[#This Row],[Pos]],Presupuesto!A:H,7,FALSE),"")</f>
        <v/>
      </c>
      <c r="F61" s="389" t="s">
        <v>603</v>
      </c>
      <c r="G61" s="243" t="s">
        <v>308</v>
      </c>
      <c r="H61" s="275"/>
      <c r="I61" s="276">
        <v>6</v>
      </c>
      <c r="J61" s="181" t="s">
        <v>314</v>
      </c>
      <c r="K61" s="245">
        <f>IF(BD.PD[[#This Row],[Mon]]="DOP",1,HLOOKUP(BD.PD[[#This Row],[Mon]],$J$1:$K$2,2,FALSE))</f>
        <v>1</v>
      </c>
      <c r="L61" s="388">
        <v>65000</v>
      </c>
      <c r="M61" s="247">
        <f>BD.PD[[#This Row],[Cant.]]*BD.PD[[#This Row],[ Tasa ]]*BD.PD[[#This Row],[ Precio Und.]]</f>
        <v>390000</v>
      </c>
      <c r="N61" s="278">
        <v>0</v>
      </c>
      <c r="O61" s="247">
        <f>IF(BD.PD[[#This Row],[Liquid. '[%']]]&lt;&gt;0,(BD.PD[[#This Row],[Valor Neto '[DOP']]]*BD.PD[[#This Row],[Liquid. '[%']]])+BD.PD[[#This Row],[Valor Neto '[DOP']]],BD.PD[[#This Row],[Valor Neto '[DOP']]])</f>
        <v>390000</v>
      </c>
      <c r="P61" s="257">
        <f>BD.PD[[#This Row],[Ppto. Orden Interna '[DOP']]]/HLOOKUP("USD",$J$1:$K$2,2,FALSE)</f>
        <v>6425.0411861614493</v>
      </c>
      <c r="Q61" s="250" t="s">
        <v>1119</v>
      </c>
      <c r="R61" s="258" t="s">
        <v>1121</v>
      </c>
      <c r="S61" s="251">
        <v>22</v>
      </c>
      <c r="T61" s="252">
        <v>1</v>
      </c>
      <c r="U61" s="259">
        <f>BD.PD[[#This Row],[Av.P1 '[%']]]*BD.PD[[#This Row],[Ppto. Orden Interna '[DOP']]]</f>
        <v>390000</v>
      </c>
      <c r="V61" s="254"/>
      <c r="W61" s="255"/>
      <c r="X61" s="259">
        <f>BD.PD[[#This Row],[Av.P2 '[%']]]*BD.PD[[#This Row],[Ppto. Orden Interna '[DOP']]]</f>
        <v>0</v>
      </c>
      <c r="Y61" s="254"/>
      <c r="Z61" s="255"/>
      <c r="AA61" s="259">
        <f>BD.PD[[#This Row],[Av.P3 '[%']]]*BD.PD[[#This Row],[Ppto. Orden Interna '[DOP']]]</f>
        <v>0</v>
      </c>
      <c r="AB61" s="254"/>
      <c r="AC61" s="255"/>
      <c r="AD61" s="259">
        <f>BD.PD[[#This Row],[Av.P4 '[%']]]*BD.PD[[#This Row],[Ppto. Orden Interna '[DOP']]]</f>
        <v>0</v>
      </c>
      <c r="AE61" s="254"/>
      <c r="AF61" s="255"/>
      <c r="AG61" s="259">
        <f>BD.PD[[#This Row],[Av.P5 '[%']]]*BD.PD[[#This Row],[Ppto. Orden Interna '[DOP']]]</f>
        <v>0</v>
      </c>
      <c r="AH61" s="256">
        <f>BD.PD[[#This Row],[Pago 5]]+BD.PD[[#This Row],[Pago 4]]+BD.PD[[#This Row],[Pago 3]]+BD.PD[[#This Row],[Pago 2]]+BD.PD[[#This Row],[Pago 1]]</f>
        <v>390000</v>
      </c>
      <c r="AI61" s="318"/>
      <c r="AJ61" s="318"/>
      <c r="AK61" s="318"/>
      <c r="AL61" s="318"/>
      <c r="AM61" s="318"/>
      <c r="AN61" s="318"/>
      <c r="AO61" s="318"/>
      <c r="AP61" s="318"/>
      <c r="AQ61" s="318"/>
      <c r="AR61" s="318"/>
      <c r="AS61" s="318"/>
      <c r="AT61" s="318"/>
      <c r="AU61" s="318"/>
      <c r="AV61" s="318"/>
      <c r="AW61" s="318"/>
      <c r="AX61" s="318"/>
      <c r="AY61" s="318"/>
      <c r="AZ61" s="318"/>
      <c r="BA61" s="318"/>
      <c r="BB61" s="318"/>
      <c r="BC61" s="318"/>
      <c r="BD61" s="318"/>
      <c r="BE61" s="318"/>
      <c r="BF61" s="318"/>
      <c r="BG61" s="318"/>
      <c r="BH61" s="318"/>
      <c r="BI61" s="318"/>
      <c r="BJ61" s="318"/>
      <c r="BK61" s="318"/>
      <c r="BL61" s="318"/>
      <c r="BM61" s="318"/>
      <c r="BN61" s="318"/>
      <c r="BO61" s="318"/>
      <c r="BP61" s="318"/>
      <c r="BQ61" s="318"/>
      <c r="BR61" s="318"/>
      <c r="BS61" s="318"/>
      <c r="BT61" s="318"/>
      <c r="BU61" s="318"/>
      <c r="BV61" s="318"/>
      <c r="BW61" s="318"/>
      <c r="BX61" s="318"/>
      <c r="BY61" s="318"/>
      <c r="BZ61" s="318"/>
      <c r="CA61" s="318"/>
      <c r="CB61" s="318"/>
      <c r="CC61" s="318"/>
      <c r="CD61" s="318"/>
      <c r="CE61" s="318"/>
      <c r="CF61" s="318"/>
      <c r="CG61" s="318"/>
      <c r="CH61" s="318"/>
      <c r="CI61" s="318"/>
      <c r="CJ61" s="318"/>
      <c r="CK61" s="318"/>
      <c r="CL61" s="318"/>
      <c r="CM61" s="318"/>
      <c r="CN61" s="318"/>
      <c r="CO61" s="318"/>
      <c r="CP61" s="318"/>
      <c r="CQ61" s="318"/>
      <c r="CR61" s="318"/>
      <c r="CS61" s="318"/>
      <c r="CT61" s="318"/>
      <c r="CU61" s="318"/>
      <c r="CV61" s="318"/>
      <c r="CW61" s="318"/>
      <c r="CX61" s="318"/>
      <c r="CY61" s="318"/>
      <c r="CZ61" s="318"/>
      <c r="DA61" s="318"/>
      <c r="DB61" s="318"/>
      <c r="DC61" s="318"/>
      <c r="DD61" s="318"/>
      <c r="DE61" s="318"/>
      <c r="DF61" s="318"/>
      <c r="DG61" s="318"/>
      <c r="DH61" s="318"/>
      <c r="DI61" s="318"/>
      <c r="DJ61" s="318"/>
      <c r="DK61" s="318"/>
      <c r="DL61" s="318"/>
      <c r="DM61" s="318"/>
      <c r="DN61" s="318"/>
      <c r="DO61" s="318"/>
      <c r="DP61" s="318"/>
      <c r="DQ61" s="318"/>
      <c r="DR61" s="318"/>
      <c r="DS61" s="318"/>
      <c r="DT61" s="318"/>
      <c r="DU61" s="318"/>
      <c r="DV61" s="318"/>
      <c r="DW61" s="318"/>
      <c r="DX61" s="318"/>
      <c r="DY61" s="318"/>
      <c r="DZ61" s="318"/>
      <c r="EA61" s="318"/>
      <c r="EB61" s="318"/>
      <c r="EC61" s="318"/>
      <c r="ED61" s="318"/>
      <c r="EE61" s="318"/>
      <c r="EF61" s="318"/>
      <c r="EG61" s="318"/>
      <c r="EH61" s="318"/>
      <c r="EI61" s="318"/>
      <c r="EJ61" s="318"/>
      <c r="EK61" s="318"/>
      <c r="EL61" s="318"/>
      <c r="EM61" s="318"/>
      <c r="EN61" s="318"/>
      <c r="EO61" s="318"/>
      <c r="EP61" s="318"/>
      <c r="EQ61" s="318"/>
      <c r="ER61" s="318"/>
      <c r="ES61" s="318"/>
      <c r="ET61" s="318"/>
      <c r="EU61" s="318"/>
      <c r="EV61" s="318"/>
      <c r="EW61" s="318"/>
      <c r="EX61" s="318"/>
      <c r="EY61" s="318"/>
      <c r="EZ61" s="318"/>
      <c r="FA61" s="318"/>
      <c r="FB61" s="318"/>
      <c r="FC61" s="318"/>
      <c r="FD61" s="318"/>
      <c r="FE61" s="318"/>
      <c r="FF61" s="318"/>
      <c r="FG61" s="318"/>
      <c r="FH61" s="318"/>
      <c r="FI61" s="318"/>
      <c r="FJ61" s="318"/>
      <c r="FK61" s="318"/>
      <c r="FL61" s="318"/>
      <c r="FM61" s="318"/>
      <c r="FN61" s="318"/>
      <c r="FO61" s="318"/>
      <c r="FP61" s="318"/>
      <c r="FQ61" s="318"/>
      <c r="FR61" s="318"/>
      <c r="FS61" s="318"/>
      <c r="FT61" s="318"/>
      <c r="FU61" s="318"/>
      <c r="FV61" s="318"/>
      <c r="FW61" s="318"/>
      <c r="FX61" s="318"/>
      <c r="FY61" s="318"/>
      <c r="FZ61" s="318"/>
      <c r="GA61" s="318"/>
      <c r="GB61" s="318"/>
      <c r="GC61" s="318"/>
      <c r="GD61" s="318"/>
      <c r="GE61" s="318"/>
      <c r="GF61" s="318"/>
      <c r="GG61" s="318"/>
      <c r="GH61" s="318"/>
      <c r="GI61" s="318"/>
      <c r="GJ61" s="318"/>
      <c r="GK61" s="318"/>
      <c r="GL61" s="318"/>
      <c r="GM61" s="318"/>
      <c r="GN61" s="318"/>
      <c r="GO61" s="318"/>
      <c r="GP61" s="318"/>
      <c r="GQ61" s="318"/>
      <c r="GR61" s="318"/>
      <c r="GS61" s="318"/>
      <c r="GT61" s="318"/>
      <c r="GU61" s="318"/>
      <c r="GV61" s="318"/>
      <c r="GW61" s="318"/>
      <c r="GX61" s="318"/>
      <c r="GY61" s="318"/>
      <c r="GZ61" s="318"/>
      <c r="HA61" s="318"/>
      <c r="HB61" s="318"/>
      <c r="HC61" s="318"/>
      <c r="HD61" s="318"/>
      <c r="HE61" s="318"/>
      <c r="HF61" s="318"/>
      <c r="HG61" s="318"/>
      <c r="HH61" s="318"/>
      <c r="HI61" s="318"/>
      <c r="HJ61" s="318"/>
      <c r="HK61" s="318"/>
      <c r="HL61" s="318"/>
      <c r="HM61" s="318"/>
      <c r="HN61" s="318"/>
      <c r="HO61" s="318"/>
      <c r="HP61" s="318"/>
      <c r="HQ61" s="318"/>
      <c r="HR61" s="318"/>
      <c r="HS61" s="318"/>
      <c r="HT61" s="318"/>
      <c r="HU61" s="318"/>
      <c r="HV61" s="318"/>
      <c r="HW61" s="318"/>
      <c r="HX61" s="318"/>
      <c r="HY61" s="318"/>
      <c r="HZ61" s="318"/>
      <c r="IA61" s="318"/>
      <c r="IB61" s="318"/>
      <c r="IC61" s="318"/>
    </row>
    <row r="62" spans="1:237" s="260" customFormat="1" ht="15" customHeight="1" x14ac:dyDescent="0.3">
      <c r="A62" s="181">
        <v>8.0500000000000007</v>
      </c>
      <c r="B62" s="239"/>
      <c r="C62" s="240" t="str">
        <f>VLOOKUP(BD.PD[[#This Row],[Pos]],PPto[],3,FALSE)</f>
        <v>8.05 Mobiliario no operacional para Tiendas</v>
      </c>
      <c r="D62" s="181" t="s">
        <v>40</v>
      </c>
      <c r="E62" s="242" t="str">
        <f>IF(BD.PD[[#This Row],[.]]="*",VLOOKUP(BD.PD[[#This Row],[Pos]],Presupuesto!A:H,7,FALSE),"")</f>
        <v/>
      </c>
      <c r="F62" s="389" t="s">
        <v>605</v>
      </c>
      <c r="G62" s="243" t="s">
        <v>308</v>
      </c>
      <c r="H62" s="275"/>
      <c r="I62" s="276">
        <v>10</v>
      </c>
      <c r="J62" s="181" t="s">
        <v>314</v>
      </c>
      <c r="K62" s="245">
        <f>IF(BD.PD[[#This Row],[Mon]]="DOP",1,HLOOKUP(BD.PD[[#This Row],[Mon]],$J$1:$K$2,2,FALSE))</f>
        <v>1</v>
      </c>
      <c r="L62" s="388">
        <v>42000</v>
      </c>
      <c r="M62" s="247">
        <f>BD.PD[[#This Row],[Cant.]]*BD.PD[[#This Row],[ Tasa ]]*BD.PD[[#This Row],[ Precio Und.]]</f>
        <v>420000</v>
      </c>
      <c r="N62" s="278">
        <v>0</v>
      </c>
      <c r="O62" s="247">
        <f>IF(BD.PD[[#This Row],[Liquid. '[%']]]&lt;&gt;0,(BD.PD[[#This Row],[Valor Neto '[DOP']]]*BD.PD[[#This Row],[Liquid. '[%']]])+BD.PD[[#This Row],[Valor Neto '[DOP']]],BD.PD[[#This Row],[Valor Neto '[DOP']]])</f>
        <v>420000</v>
      </c>
      <c r="P62" s="257">
        <f>BD.PD[[#This Row],[Ppto. Orden Interna '[DOP']]]/HLOOKUP("USD",$J$1:$K$2,2,FALSE)</f>
        <v>6919.2751235584838</v>
      </c>
      <c r="Q62" s="250" t="s">
        <v>609</v>
      </c>
      <c r="R62" s="258" t="s">
        <v>1121</v>
      </c>
      <c r="S62" s="251">
        <v>22</v>
      </c>
      <c r="T62" s="252">
        <v>1</v>
      </c>
      <c r="U62" s="259">
        <f>BD.PD[[#This Row],[Av.P1 '[%']]]*BD.PD[[#This Row],[Ppto. Orden Interna '[DOP']]]</f>
        <v>420000</v>
      </c>
      <c r="V62" s="254"/>
      <c r="W62" s="255"/>
      <c r="X62" s="259">
        <f>BD.PD[[#This Row],[Av.P2 '[%']]]*BD.PD[[#This Row],[Ppto. Orden Interna '[DOP']]]</f>
        <v>0</v>
      </c>
      <c r="Y62" s="254"/>
      <c r="Z62" s="255"/>
      <c r="AA62" s="259">
        <f>BD.PD[[#This Row],[Av.P3 '[%']]]*BD.PD[[#This Row],[Ppto. Orden Interna '[DOP']]]</f>
        <v>0</v>
      </c>
      <c r="AB62" s="254"/>
      <c r="AC62" s="255"/>
      <c r="AD62" s="259">
        <f>BD.PD[[#This Row],[Av.P4 '[%']]]*BD.PD[[#This Row],[Ppto. Orden Interna '[DOP']]]</f>
        <v>0</v>
      </c>
      <c r="AE62" s="254"/>
      <c r="AF62" s="255"/>
      <c r="AG62" s="259">
        <f>BD.PD[[#This Row],[Av.P5 '[%']]]*BD.PD[[#This Row],[Ppto. Orden Interna '[DOP']]]</f>
        <v>0</v>
      </c>
      <c r="AH62" s="256">
        <f>BD.PD[[#This Row],[Pago 5]]+BD.PD[[#This Row],[Pago 4]]+BD.PD[[#This Row],[Pago 3]]+BD.PD[[#This Row],[Pago 2]]+BD.PD[[#This Row],[Pago 1]]</f>
        <v>420000</v>
      </c>
      <c r="AI62" s="318"/>
      <c r="AJ62" s="318"/>
      <c r="AK62" s="318"/>
      <c r="AL62" s="318"/>
      <c r="AM62" s="318"/>
      <c r="AN62" s="318"/>
      <c r="AO62" s="318"/>
      <c r="AP62" s="318"/>
      <c r="AQ62" s="318"/>
      <c r="AR62" s="318"/>
      <c r="AS62" s="318"/>
      <c r="AT62" s="318"/>
      <c r="AU62" s="318"/>
      <c r="AV62" s="318"/>
      <c r="AW62" s="318"/>
      <c r="AX62" s="318"/>
      <c r="AY62" s="318"/>
      <c r="AZ62" s="318"/>
      <c r="BA62" s="318"/>
      <c r="BB62" s="318"/>
      <c r="BC62" s="318"/>
      <c r="BD62" s="318"/>
      <c r="BE62" s="318"/>
      <c r="BF62" s="318"/>
      <c r="BG62" s="318"/>
      <c r="BH62" s="318"/>
      <c r="BI62" s="318"/>
      <c r="BJ62" s="318"/>
      <c r="BK62" s="318"/>
      <c r="BL62" s="318"/>
      <c r="BM62" s="318"/>
      <c r="BN62" s="318"/>
      <c r="BO62" s="318"/>
      <c r="BP62" s="318"/>
      <c r="BQ62" s="318"/>
      <c r="BR62" s="318"/>
      <c r="BS62" s="318"/>
      <c r="BT62" s="318"/>
      <c r="BU62" s="318"/>
      <c r="BV62" s="318"/>
      <c r="BW62" s="318"/>
      <c r="BX62" s="318"/>
      <c r="BY62" s="318"/>
      <c r="BZ62" s="318"/>
      <c r="CA62" s="318"/>
      <c r="CB62" s="318"/>
      <c r="CC62" s="318"/>
      <c r="CD62" s="318"/>
      <c r="CE62" s="318"/>
      <c r="CF62" s="318"/>
      <c r="CG62" s="318"/>
      <c r="CH62" s="318"/>
      <c r="CI62" s="318"/>
      <c r="CJ62" s="318"/>
      <c r="CK62" s="318"/>
      <c r="CL62" s="318"/>
      <c r="CM62" s="318"/>
      <c r="CN62" s="318"/>
      <c r="CO62" s="318"/>
      <c r="CP62" s="318"/>
      <c r="CQ62" s="318"/>
      <c r="CR62" s="318"/>
      <c r="CS62" s="318"/>
      <c r="CT62" s="318"/>
      <c r="CU62" s="318"/>
      <c r="CV62" s="318"/>
      <c r="CW62" s="318"/>
      <c r="CX62" s="318"/>
      <c r="CY62" s="318"/>
      <c r="CZ62" s="318"/>
      <c r="DA62" s="318"/>
      <c r="DB62" s="318"/>
      <c r="DC62" s="318"/>
      <c r="DD62" s="318"/>
      <c r="DE62" s="318"/>
      <c r="DF62" s="318"/>
      <c r="DG62" s="318"/>
      <c r="DH62" s="318"/>
      <c r="DI62" s="318"/>
      <c r="DJ62" s="318"/>
      <c r="DK62" s="318"/>
      <c r="DL62" s="318"/>
      <c r="DM62" s="318"/>
      <c r="DN62" s="318"/>
      <c r="DO62" s="318"/>
      <c r="DP62" s="318"/>
      <c r="DQ62" s="318"/>
      <c r="DR62" s="318"/>
      <c r="DS62" s="318"/>
      <c r="DT62" s="318"/>
      <c r="DU62" s="318"/>
      <c r="DV62" s="318"/>
      <c r="DW62" s="318"/>
      <c r="DX62" s="318"/>
      <c r="DY62" s="318"/>
      <c r="DZ62" s="318"/>
      <c r="EA62" s="318"/>
      <c r="EB62" s="318"/>
      <c r="EC62" s="318"/>
      <c r="ED62" s="318"/>
      <c r="EE62" s="318"/>
      <c r="EF62" s="318"/>
      <c r="EG62" s="318"/>
      <c r="EH62" s="318"/>
      <c r="EI62" s="318"/>
      <c r="EJ62" s="318"/>
      <c r="EK62" s="318"/>
      <c r="EL62" s="318"/>
      <c r="EM62" s="318"/>
      <c r="EN62" s="318"/>
      <c r="EO62" s="318"/>
      <c r="EP62" s="318"/>
      <c r="EQ62" s="318"/>
      <c r="ER62" s="318"/>
      <c r="ES62" s="318"/>
      <c r="ET62" s="318"/>
      <c r="EU62" s="318"/>
      <c r="EV62" s="318"/>
      <c r="EW62" s="318"/>
      <c r="EX62" s="318"/>
      <c r="EY62" s="318"/>
      <c r="EZ62" s="318"/>
      <c r="FA62" s="318"/>
      <c r="FB62" s="318"/>
      <c r="FC62" s="318"/>
      <c r="FD62" s="318"/>
      <c r="FE62" s="318"/>
      <c r="FF62" s="318"/>
      <c r="FG62" s="318"/>
      <c r="FH62" s="318"/>
      <c r="FI62" s="318"/>
      <c r="FJ62" s="318"/>
      <c r="FK62" s="318"/>
      <c r="FL62" s="318"/>
      <c r="FM62" s="318"/>
      <c r="FN62" s="318"/>
      <c r="FO62" s="318"/>
      <c r="FP62" s="318"/>
      <c r="FQ62" s="318"/>
      <c r="FR62" s="318"/>
      <c r="FS62" s="318"/>
      <c r="FT62" s="318"/>
      <c r="FU62" s="318"/>
      <c r="FV62" s="318"/>
      <c r="FW62" s="318"/>
      <c r="FX62" s="318"/>
      <c r="FY62" s="318"/>
      <c r="FZ62" s="318"/>
      <c r="GA62" s="318"/>
      <c r="GB62" s="318"/>
      <c r="GC62" s="318"/>
      <c r="GD62" s="318"/>
      <c r="GE62" s="318"/>
      <c r="GF62" s="318"/>
      <c r="GG62" s="318"/>
      <c r="GH62" s="318"/>
      <c r="GI62" s="318"/>
      <c r="GJ62" s="318"/>
      <c r="GK62" s="318"/>
      <c r="GL62" s="318"/>
      <c r="GM62" s="318"/>
      <c r="GN62" s="318"/>
      <c r="GO62" s="318"/>
      <c r="GP62" s="318"/>
      <c r="GQ62" s="318"/>
      <c r="GR62" s="318"/>
      <c r="GS62" s="318"/>
      <c r="GT62" s="318"/>
      <c r="GU62" s="318"/>
      <c r="GV62" s="318"/>
      <c r="GW62" s="318"/>
      <c r="GX62" s="318"/>
      <c r="GY62" s="318"/>
      <c r="GZ62" s="318"/>
      <c r="HA62" s="318"/>
      <c r="HB62" s="318"/>
      <c r="HC62" s="318"/>
      <c r="HD62" s="318"/>
      <c r="HE62" s="318"/>
      <c r="HF62" s="318"/>
      <c r="HG62" s="318"/>
      <c r="HH62" s="318"/>
      <c r="HI62" s="318"/>
      <c r="HJ62" s="318"/>
      <c r="HK62" s="318"/>
      <c r="HL62" s="318"/>
      <c r="HM62" s="318"/>
      <c r="HN62" s="318"/>
      <c r="HO62" s="318"/>
      <c r="HP62" s="318"/>
      <c r="HQ62" s="318"/>
      <c r="HR62" s="318"/>
      <c r="HS62" s="318"/>
      <c r="HT62" s="318"/>
      <c r="HU62" s="318"/>
      <c r="HV62" s="318"/>
      <c r="HW62" s="318"/>
      <c r="HX62" s="318"/>
      <c r="HY62" s="318"/>
      <c r="HZ62" s="318"/>
      <c r="IA62" s="318"/>
      <c r="IB62" s="318"/>
      <c r="IC62" s="318"/>
    </row>
    <row r="63" spans="1:237" s="260" customFormat="1" ht="15" customHeight="1" x14ac:dyDescent="0.3">
      <c r="A63" s="181">
        <v>8.0500000000000007</v>
      </c>
      <c r="B63" s="239"/>
      <c r="C63" s="240" t="str">
        <f>VLOOKUP(BD.PD[[#This Row],[Pos]],PPto[],3,FALSE)</f>
        <v>8.05 Mobiliario no operacional para Tiendas</v>
      </c>
      <c r="D63" s="181" t="s">
        <v>40</v>
      </c>
      <c r="E63" s="242" t="str">
        <f>IF(BD.PD[[#This Row],[.]]="*",VLOOKUP(BD.PD[[#This Row],[Pos]],Presupuesto!A:H,7,FALSE),"")</f>
        <v/>
      </c>
      <c r="F63" s="389" t="s">
        <v>606</v>
      </c>
      <c r="G63" s="243" t="s">
        <v>308</v>
      </c>
      <c r="H63" s="275"/>
      <c r="I63" s="276">
        <v>1</v>
      </c>
      <c r="J63" s="181" t="s">
        <v>314</v>
      </c>
      <c r="K63" s="245">
        <f>IF(BD.PD[[#This Row],[Mon]]="DOP",1,HLOOKUP(BD.PD[[#This Row],[Mon]],$J$1:$K$2,2,FALSE))</f>
        <v>1</v>
      </c>
      <c r="L63" s="388">
        <v>41428.57</v>
      </c>
      <c r="M63" s="247">
        <f>BD.PD[[#This Row],[Cant.]]*BD.PD[[#This Row],[ Tasa ]]*BD.PD[[#This Row],[ Precio Und.]]</f>
        <v>41428.57</v>
      </c>
      <c r="N63" s="278">
        <v>0</v>
      </c>
      <c r="O63" s="247">
        <f>IF(BD.PD[[#This Row],[Liquid. '[%']]]&lt;&gt;0,(BD.PD[[#This Row],[Valor Neto '[DOP']]]*BD.PD[[#This Row],[Liquid. '[%']]])+BD.PD[[#This Row],[Valor Neto '[DOP']]],BD.PD[[#This Row],[Valor Neto '[DOP']]])</f>
        <v>41428.57</v>
      </c>
      <c r="P63" s="257">
        <f>BD.PD[[#This Row],[Ppto. Orden Interna '[DOP']]]/HLOOKUP("USD",$J$1:$K$2,2,FALSE)</f>
        <v>682.51350906095547</v>
      </c>
      <c r="Q63" s="250" t="s">
        <v>609</v>
      </c>
      <c r="R63" s="258" t="s">
        <v>1121</v>
      </c>
      <c r="S63" s="251">
        <v>22</v>
      </c>
      <c r="T63" s="252">
        <v>1</v>
      </c>
      <c r="U63" s="259">
        <f>BD.PD[[#This Row],[Av.P1 '[%']]]*BD.PD[[#This Row],[Ppto. Orden Interna '[DOP']]]</f>
        <v>41428.57</v>
      </c>
      <c r="V63" s="254"/>
      <c r="W63" s="255"/>
      <c r="X63" s="259">
        <f>BD.PD[[#This Row],[Av.P2 '[%']]]*BD.PD[[#This Row],[Ppto. Orden Interna '[DOP']]]</f>
        <v>0</v>
      </c>
      <c r="Y63" s="254"/>
      <c r="Z63" s="255"/>
      <c r="AA63" s="259">
        <f>BD.PD[[#This Row],[Av.P3 '[%']]]*BD.PD[[#This Row],[Ppto. Orden Interna '[DOP']]]</f>
        <v>0</v>
      </c>
      <c r="AB63" s="254"/>
      <c r="AC63" s="255"/>
      <c r="AD63" s="259">
        <f>BD.PD[[#This Row],[Av.P4 '[%']]]*BD.PD[[#This Row],[Ppto. Orden Interna '[DOP']]]</f>
        <v>0</v>
      </c>
      <c r="AE63" s="254"/>
      <c r="AF63" s="255"/>
      <c r="AG63" s="259">
        <f>BD.PD[[#This Row],[Av.P5 '[%']]]*BD.PD[[#This Row],[Ppto. Orden Interna '[DOP']]]</f>
        <v>0</v>
      </c>
      <c r="AH63" s="256">
        <f>BD.PD[[#This Row],[Pago 5]]+BD.PD[[#This Row],[Pago 4]]+BD.PD[[#This Row],[Pago 3]]+BD.PD[[#This Row],[Pago 2]]+BD.PD[[#This Row],[Pago 1]]</f>
        <v>41428.57</v>
      </c>
      <c r="AI63" s="318"/>
      <c r="AJ63" s="318"/>
      <c r="AK63" s="318"/>
      <c r="AL63" s="318"/>
      <c r="AM63" s="318"/>
      <c r="AN63" s="318"/>
      <c r="AO63" s="318"/>
      <c r="AP63" s="318"/>
      <c r="AQ63" s="318"/>
      <c r="AR63" s="318"/>
      <c r="AS63" s="318"/>
      <c r="AT63" s="318"/>
      <c r="AU63" s="318"/>
      <c r="AV63" s="318"/>
      <c r="AW63" s="318"/>
      <c r="AX63" s="318"/>
      <c r="AY63" s="318"/>
      <c r="AZ63" s="318"/>
      <c r="BA63" s="318"/>
      <c r="BB63" s="318"/>
      <c r="BC63" s="318"/>
      <c r="BD63" s="318"/>
      <c r="BE63" s="318"/>
      <c r="BF63" s="318"/>
      <c r="BG63" s="318"/>
      <c r="BH63" s="318"/>
      <c r="BI63" s="318"/>
      <c r="BJ63" s="318"/>
      <c r="BK63" s="318"/>
      <c r="BL63" s="318"/>
      <c r="BM63" s="318"/>
      <c r="BN63" s="318"/>
      <c r="BO63" s="318"/>
      <c r="BP63" s="318"/>
      <c r="BQ63" s="318"/>
      <c r="BR63" s="318"/>
      <c r="BS63" s="318"/>
      <c r="BT63" s="318"/>
      <c r="BU63" s="318"/>
      <c r="BV63" s="318"/>
      <c r="BW63" s="318"/>
      <c r="BX63" s="318"/>
      <c r="BY63" s="318"/>
      <c r="BZ63" s="318"/>
      <c r="CA63" s="318"/>
      <c r="CB63" s="318"/>
      <c r="CC63" s="318"/>
      <c r="CD63" s="318"/>
      <c r="CE63" s="318"/>
      <c r="CF63" s="318"/>
      <c r="CG63" s="318"/>
      <c r="CH63" s="318"/>
      <c r="CI63" s="318"/>
      <c r="CJ63" s="318"/>
      <c r="CK63" s="318"/>
      <c r="CL63" s="318"/>
      <c r="CM63" s="318"/>
      <c r="CN63" s="318"/>
      <c r="CO63" s="318"/>
      <c r="CP63" s="318"/>
      <c r="CQ63" s="318"/>
      <c r="CR63" s="318"/>
      <c r="CS63" s="318"/>
      <c r="CT63" s="318"/>
      <c r="CU63" s="318"/>
      <c r="CV63" s="318"/>
      <c r="CW63" s="318"/>
      <c r="CX63" s="318"/>
      <c r="CY63" s="318"/>
      <c r="CZ63" s="318"/>
      <c r="DA63" s="318"/>
      <c r="DB63" s="318"/>
      <c r="DC63" s="318"/>
      <c r="DD63" s="318"/>
      <c r="DE63" s="318"/>
      <c r="DF63" s="318"/>
      <c r="DG63" s="318"/>
      <c r="DH63" s="318"/>
      <c r="DI63" s="318"/>
      <c r="DJ63" s="318"/>
      <c r="DK63" s="318"/>
      <c r="DL63" s="318"/>
      <c r="DM63" s="318"/>
      <c r="DN63" s="318"/>
      <c r="DO63" s="318"/>
      <c r="DP63" s="318"/>
      <c r="DQ63" s="318"/>
      <c r="DR63" s="318"/>
      <c r="DS63" s="318"/>
      <c r="DT63" s="318"/>
      <c r="DU63" s="318"/>
      <c r="DV63" s="318"/>
      <c r="DW63" s="318"/>
      <c r="DX63" s="318"/>
      <c r="DY63" s="318"/>
      <c r="DZ63" s="318"/>
      <c r="EA63" s="318"/>
      <c r="EB63" s="318"/>
      <c r="EC63" s="318"/>
      <c r="ED63" s="318"/>
      <c r="EE63" s="318"/>
      <c r="EF63" s="318"/>
      <c r="EG63" s="318"/>
      <c r="EH63" s="318"/>
      <c r="EI63" s="318"/>
      <c r="EJ63" s="318"/>
      <c r="EK63" s="318"/>
      <c r="EL63" s="318"/>
      <c r="EM63" s="318"/>
      <c r="EN63" s="318"/>
      <c r="EO63" s="318"/>
      <c r="EP63" s="318"/>
      <c r="EQ63" s="318"/>
      <c r="ER63" s="318"/>
      <c r="ES63" s="318"/>
      <c r="ET63" s="318"/>
      <c r="EU63" s="318"/>
      <c r="EV63" s="318"/>
      <c r="EW63" s="318"/>
      <c r="EX63" s="318"/>
      <c r="EY63" s="318"/>
      <c r="EZ63" s="318"/>
      <c r="FA63" s="318"/>
      <c r="FB63" s="318"/>
      <c r="FC63" s="318"/>
      <c r="FD63" s="318"/>
      <c r="FE63" s="318"/>
      <c r="FF63" s="318"/>
      <c r="FG63" s="318"/>
      <c r="FH63" s="318"/>
      <c r="FI63" s="318"/>
      <c r="FJ63" s="318"/>
      <c r="FK63" s="318"/>
      <c r="FL63" s="318"/>
      <c r="FM63" s="318"/>
      <c r="FN63" s="318"/>
      <c r="FO63" s="318"/>
      <c r="FP63" s="318"/>
      <c r="FQ63" s="318"/>
      <c r="FR63" s="318"/>
      <c r="FS63" s="318"/>
      <c r="FT63" s="318"/>
      <c r="FU63" s="318"/>
      <c r="FV63" s="318"/>
      <c r="FW63" s="318"/>
      <c r="FX63" s="318"/>
      <c r="FY63" s="318"/>
      <c r="FZ63" s="318"/>
      <c r="GA63" s="318"/>
      <c r="GB63" s="318"/>
      <c r="GC63" s="318"/>
      <c r="GD63" s="318"/>
      <c r="GE63" s="318"/>
      <c r="GF63" s="318"/>
      <c r="GG63" s="318"/>
      <c r="GH63" s="318"/>
      <c r="GI63" s="318"/>
      <c r="GJ63" s="318"/>
      <c r="GK63" s="318"/>
      <c r="GL63" s="318"/>
      <c r="GM63" s="318"/>
      <c r="GN63" s="318"/>
      <c r="GO63" s="318"/>
      <c r="GP63" s="318"/>
      <c r="GQ63" s="318"/>
      <c r="GR63" s="318"/>
      <c r="GS63" s="318"/>
      <c r="GT63" s="318"/>
      <c r="GU63" s="318"/>
      <c r="GV63" s="318"/>
      <c r="GW63" s="318"/>
      <c r="GX63" s="318"/>
      <c r="GY63" s="318"/>
      <c r="GZ63" s="318"/>
      <c r="HA63" s="318"/>
      <c r="HB63" s="318"/>
      <c r="HC63" s="318"/>
      <c r="HD63" s="318"/>
      <c r="HE63" s="318"/>
      <c r="HF63" s="318"/>
      <c r="HG63" s="318"/>
      <c r="HH63" s="318"/>
      <c r="HI63" s="318"/>
      <c r="HJ63" s="318"/>
      <c r="HK63" s="318"/>
      <c r="HL63" s="318"/>
      <c r="HM63" s="318"/>
      <c r="HN63" s="318"/>
      <c r="HO63" s="318"/>
      <c r="HP63" s="318"/>
      <c r="HQ63" s="318"/>
      <c r="HR63" s="318"/>
      <c r="HS63" s="318"/>
      <c r="HT63" s="318"/>
      <c r="HU63" s="318"/>
      <c r="HV63" s="318"/>
      <c r="HW63" s="318"/>
      <c r="HX63" s="318"/>
      <c r="HY63" s="318"/>
      <c r="HZ63" s="318"/>
      <c r="IA63" s="318"/>
      <c r="IB63" s="318"/>
      <c r="IC63" s="318"/>
    </row>
    <row r="64" spans="1:237" s="260" customFormat="1" ht="15" customHeight="1" x14ac:dyDescent="0.3">
      <c r="A64" s="181">
        <v>8.06</v>
      </c>
      <c r="B64" s="239"/>
      <c r="C64" s="240" t="str">
        <f>VLOOKUP(BD.PD[[#This Row],[Pos]],PPto[],3,FALSE)</f>
        <v>8.06 Otros Equipamientos de Tienda</v>
      </c>
      <c r="D64" s="181" t="s">
        <v>40</v>
      </c>
      <c r="E64" s="242" t="str">
        <f>IF(BD.PD[[#This Row],[.]]="*",VLOOKUP(BD.PD[[#This Row],[Pos]],Presupuesto!A:H,7,FALSE),"")</f>
        <v/>
      </c>
      <c r="F64" s="302" t="s">
        <v>636</v>
      </c>
      <c r="G64" s="243" t="s">
        <v>308</v>
      </c>
      <c r="H64" s="275"/>
      <c r="I64" s="276">
        <v>10</v>
      </c>
      <c r="J64" s="181" t="s">
        <v>314</v>
      </c>
      <c r="K64" s="245">
        <f>IF(BD.PD[[#This Row],[Mon]]="DOP",1,HLOOKUP(BD.PD[[#This Row],[Mon]],$J$1:$K$2,2,FALSE))</f>
        <v>1</v>
      </c>
      <c r="L64" s="277">
        <v>28950</v>
      </c>
      <c r="M64" s="247">
        <f>BD.PD[[#This Row],[Cant.]]*BD.PD[[#This Row],[ Tasa ]]*BD.PD[[#This Row],[ Precio Und.]]</f>
        <v>289500</v>
      </c>
      <c r="N64" s="278">
        <v>0</v>
      </c>
      <c r="O64" s="247">
        <f>IF(BD.PD[[#This Row],[Liquid. '[%']]]&lt;&gt;0,(BD.PD[[#This Row],[Valor Neto '[DOP']]]*BD.PD[[#This Row],[Liquid. '[%']]])+BD.PD[[#This Row],[Valor Neto '[DOP']]],BD.PD[[#This Row],[Valor Neto '[DOP']]])</f>
        <v>289500</v>
      </c>
      <c r="P64" s="257">
        <f>BD.PD[[#This Row],[Ppto. Orden Interna '[DOP']]]/HLOOKUP("USD",$J$1:$K$2,2,FALSE)</f>
        <v>4769.3574958813833</v>
      </c>
      <c r="Q64" s="250" t="s">
        <v>637</v>
      </c>
      <c r="R64" s="258" t="s">
        <v>634</v>
      </c>
      <c r="S64" s="251">
        <v>22</v>
      </c>
      <c r="T64" s="252">
        <v>1</v>
      </c>
      <c r="U64" s="259">
        <f>BD.PD[[#This Row],[Av.P1 '[%']]]*BD.PD[[#This Row],[Ppto. Orden Interna '[DOP']]]</f>
        <v>289500</v>
      </c>
      <c r="V64" s="254"/>
      <c r="W64" s="255"/>
      <c r="X64" s="259">
        <f>BD.PD[[#This Row],[Av.P2 '[%']]]*BD.PD[[#This Row],[Ppto. Orden Interna '[DOP']]]</f>
        <v>0</v>
      </c>
      <c r="Y64" s="254"/>
      <c r="Z64" s="255"/>
      <c r="AA64" s="259">
        <f>BD.PD[[#This Row],[Av.P3 '[%']]]*BD.PD[[#This Row],[Ppto. Orden Interna '[DOP']]]</f>
        <v>0</v>
      </c>
      <c r="AB64" s="254"/>
      <c r="AC64" s="255"/>
      <c r="AD64" s="259">
        <f>BD.PD[[#This Row],[Av.P4 '[%']]]*BD.PD[[#This Row],[Ppto. Orden Interna '[DOP']]]</f>
        <v>0</v>
      </c>
      <c r="AE64" s="254"/>
      <c r="AF64" s="255"/>
      <c r="AG64" s="259">
        <f>BD.PD[[#This Row],[Av.P5 '[%']]]*BD.PD[[#This Row],[Ppto. Orden Interna '[DOP']]]</f>
        <v>0</v>
      </c>
      <c r="AH64" s="256">
        <f>BD.PD[[#This Row],[Pago 5]]+BD.PD[[#This Row],[Pago 4]]+BD.PD[[#This Row],[Pago 3]]+BD.PD[[#This Row],[Pago 2]]+BD.PD[[#This Row],[Pago 1]]</f>
        <v>289500</v>
      </c>
      <c r="AI64" s="318"/>
      <c r="AJ64" s="318"/>
      <c r="AK64" s="318"/>
      <c r="AL64" s="318"/>
      <c r="AM64" s="318"/>
      <c r="AN64" s="318"/>
      <c r="AO64" s="318"/>
      <c r="AP64" s="318"/>
      <c r="AQ64" s="318"/>
      <c r="AR64" s="318"/>
      <c r="AS64" s="318"/>
      <c r="AT64" s="318"/>
      <c r="AU64" s="318"/>
      <c r="AV64" s="318"/>
      <c r="AW64" s="318"/>
      <c r="AX64" s="318"/>
      <c r="AY64" s="318"/>
      <c r="AZ64" s="318"/>
      <c r="BA64" s="318"/>
      <c r="BB64" s="318"/>
      <c r="BC64" s="318"/>
      <c r="BD64" s="318"/>
      <c r="BE64" s="318"/>
      <c r="BF64" s="318"/>
      <c r="BG64" s="318"/>
      <c r="BH64" s="318"/>
      <c r="BI64" s="318"/>
      <c r="BJ64" s="318"/>
      <c r="BK64" s="318"/>
      <c r="BL64" s="318"/>
      <c r="BM64" s="318"/>
      <c r="BN64" s="318"/>
      <c r="BO64" s="318"/>
      <c r="BP64" s="318"/>
      <c r="BQ64" s="318"/>
      <c r="BR64" s="318"/>
      <c r="BS64" s="318"/>
      <c r="BT64" s="318"/>
      <c r="BU64" s="318"/>
      <c r="BV64" s="318"/>
      <c r="BW64" s="318"/>
      <c r="BX64" s="318"/>
      <c r="BY64" s="318"/>
      <c r="BZ64" s="318"/>
      <c r="CA64" s="318"/>
      <c r="CB64" s="318"/>
      <c r="CC64" s="318"/>
      <c r="CD64" s="318"/>
      <c r="CE64" s="318"/>
      <c r="CF64" s="318"/>
      <c r="CG64" s="318"/>
      <c r="CH64" s="318"/>
      <c r="CI64" s="318"/>
      <c r="CJ64" s="318"/>
      <c r="CK64" s="318"/>
      <c r="CL64" s="318"/>
      <c r="CM64" s="318"/>
      <c r="CN64" s="318"/>
      <c r="CO64" s="318"/>
      <c r="CP64" s="318"/>
      <c r="CQ64" s="318"/>
      <c r="CR64" s="318"/>
      <c r="CS64" s="318"/>
      <c r="CT64" s="318"/>
      <c r="CU64" s="318"/>
      <c r="CV64" s="318"/>
      <c r="CW64" s="318"/>
      <c r="CX64" s="318"/>
      <c r="CY64" s="318"/>
      <c r="CZ64" s="318"/>
      <c r="DA64" s="318"/>
      <c r="DB64" s="318"/>
      <c r="DC64" s="318"/>
      <c r="DD64" s="318"/>
      <c r="DE64" s="318"/>
      <c r="DF64" s="318"/>
      <c r="DG64" s="318"/>
      <c r="DH64" s="318"/>
      <c r="DI64" s="318"/>
      <c r="DJ64" s="318"/>
      <c r="DK64" s="318"/>
      <c r="DL64" s="318"/>
      <c r="DM64" s="318"/>
      <c r="DN64" s="318"/>
      <c r="DO64" s="318"/>
      <c r="DP64" s="318"/>
      <c r="DQ64" s="318"/>
      <c r="DR64" s="318"/>
      <c r="DS64" s="318"/>
      <c r="DT64" s="318"/>
      <c r="DU64" s="318"/>
      <c r="DV64" s="318"/>
      <c r="DW64" s="318"/>
      <c r="DX64" s="318"/>
      <c r="DY64" s="318"/>
      <c r="DZ64" s="318"/>
      <c r="EA64" s="318"/>
      <c r="EB64" s="318"/>
      <c r="EC64" s="318"/>
      <c r="ED64" s="318"/>
      <c r="EE64" s="318"/>
      <c r="EF64" s="318"/>
      <c r="EG64" s="318"/>
      <c r="EH64" s="318"/>
      <c r="EI64" s="318"/>
      <c r="EJ64" s="318"/>
      <c r="EK64" s="318"/>
      <c r="EL64" s="318"/>
      <c r="EM64" s="318"/>
      <c r="EN64" s="318"/>
      <c r="EO64" s="318"/>
      <c r="EP64" s="318"/>
      <c r="EQ64" s="318"/>
      <c r="ER64" s="318"/>
      <c r="ES64" s="318"/>
      <c r="ET64" s="318"/>
      <c r="EU64" s="318"/>
      <c r="EV64" s="318"/>
      <c r="EW64" s="318"/>
      <c r="EX64" s="318"/>
      <c r="EY64" s="318"/>
      <c r="EZ64" s="318"/>
      <c r="FA64" s="318"/>
      <c r="FB64" s="318"/>
      <c r="FC64" s="318"/>
      <c r="FD64" s="318"/>
      <c r="FE64" s="318"/>
      <c r="FF64" s="318"/>
      <c r="FG64" s="318"/>
      <c r="FH64" s="318"/>
      <c r="FI64" s="318"/>
      <c r="FJ64" s="318"/>
      <c r="FK64" s="318"/>
      <c r="FL64" s="318"/>
      <c r="FM64" s="318"/>
      <c r="FN64" s="318"/>
      <c r="FO64" s="318"/>
      <c r="FP64" s="318"/>
      <c r="FQ64" s="318"/>
      <c r="FR64" s="318"/>
      <c r="FS64" s="318"/>
      <c r="FT64" s="318"/>
      <c r="FU64" s="318"/>
      <c r="FV64" s="318"/>
      <c r="FW64" s="318"/>
      <c r="FX64" s="318"/>
      <c r="FY64" s="318"/>
      <c r="FZ64" s="318"/>
      <c r="GA64" s="318"/>
      <c r="GB64" s="318"/>
      <c r="GC64" s="318"/>
      <c r="GD64" s="318"/>
      <c r="GE64" s="318"/>
      <c r="GF64" s="318"/>
      <c r="GG64" s="318"/>
      <c r="GH64" s="318"/>
      <c r="GI64" s="318"/>
      <c r="GJ64" s="318"/>
      <c r="GK64" s="318"/>
      <c r="GL64" s="318"/>
      <c r="GM64" s="318"/>
      <c r="GN64" s="318"/>
      <c r="GO64" s="318"/>
      <c r="GP64" s="318"/>
      <c r="GQ64" s="318"/>
      <c r="GR64" s="318"/>
      <c r="GS64" s="318"/>
      <c r="GT64" s="318"/>
      <c r="GU64" s="318"/>
      <c r="GV64" s="318"/>
      <c r="GW64" s="318"/>
      <c r="GX64" s="318"/>
      <c r="GY64" s="318"/>
      <c r="GZ64" s="318"/>
      <c r="HA64" s="318"/>
      <c r="HB64" s="318"/>
      <c r="HC64" s="318"/>
      <c r="HD64" s="318"/>
      <c r="HE64" s="318"/>
      <c r="HF64" s="318"/>
      <c r="HG64" s="318"/>
      <c r="HH64" s="318"/>
      <c r="HI64" s="318"/>
      <c r="HJ64" s="318"/>
      <c r="HK64" s="318"/>
      <c r="HL64" s="318"/>
      <c r="HM64" s="318"/>
      <c r="HN64" s="318"/>
      <c r="HO64" s="318"/>
      <c r="HP64" s="318"/>
      <c r="HQ64" s="318"/>
      <c r="HR64" s="318"/>
      <c r="HS64" s="318"/>
      <c r="HT64" s="318"/>
      <c r="HU64" s="318"/>
      <c r="HV64" s="318"/>
      <c r="HW64" s="318"/>
      <c r="HX64" s="318"/>
      <c r="HY64" s="318"/>
      <c r="HZ64" s="318"/>
      <c r="IA64" s="318"/>
      <c r="IB64" s="318"/>
      <c r="IC64" s="318"/>
    </row>
    <row r="65" spans="1:237" s="260" customFormat="1" ht="15" customHeight="1" x14ac:dyDescent="0.3">
      <c r="A65" s="181">
        <v>2.08</v>
      </c>
      <c r="B65" s="239"/>
      <c r="C65" s="240" t="str">
        <f>VLOOKUP(BD.PD[[#This Row],[Pos]],PPto[],3,FALSE)</f>
        <v>2.08 Instalaciones Mecánicas</v>
      </c>
      <c r="D65" s="181" t="s">
        <v>40</v>
      </c>
      <c r="E65" s="242" t="str">
        <f>IF(BD.PD[[#This Row],[.]]="*",VLOOKUP(BD.PD[[#This Row],[Pos]],Presupuesto!A:H,7,FALSE),"")</f>
        <v/>
      </c>
      <c r="F65" s="302" t="s">
        <v>335</v>
      </c>
      <c r="G65" s="243" t="s">
        <v>308</v>
      </c>
      <c r="H65" s="275"/>
      <c r="I65" s="276">
        <v>1</v>
      </c>
      <c r="J65" s="181" t="s">
        <v>188</v>
      </c>
      <c r="K65" s="245">
        <f>IF(BD.PD[[#This Row],[Mon]]="DOP",1,HLOOKUP(BD.PD[[#This Row],[Mon]],$J$1:$K$2,2,FALSE))</f>
        <v>60.7</v>
      </c>
      <c r="L65" s="277">
        <v>4500</v>
      </c>
      <c r="M65" s="247">
        <f>BD.PD[[#This Row],[Cant.]]*BD.PD[[#This Row],[ Tasa ]]*BD.PD[[#This Row],[ Precio Und.]]</f>
        <v>273150</v>
      </c>
      <c r="N65" s="278">
        <v>0.2</v>
      </c>
      <c r="O65" s="247">
        <f>IF(BD.PD[[#This Row],[Liquid. '[%']]]&lt;&gt;0,(BD.PD[[#This Row],[Valor Neto '[DOP']]]*BD.PD[[#This Row],[Liquid. '[%']]])+BD.PD[[#This Row],[Valor Neto '[DOP']]],BD.PD[[#This Row],[Valor Neto '[DOP']]])</f>
        <v>327780</v>
      </c>
      <c r="P65" s="257">
        <f>BD.PD[[#This Row],[Ppto. Orden Interna '[DOP']]]/HLOOKUP("USD",$J$1:$K$2,2,FALSE)</f>
        <v>5400</v>
      </c>
      <c r="Q65" s="250" t="s">
        <v>330</v>
      </c>
      <c r="R65" s="258" t="s">
        <v>1105</v>
      </c>
      <c r="S65" s="251">
        <v>21</v>
      </c>
      <c r="T65" s="252">
        <v>0.5</v>
      </c>
      <c r="U65" s="259">
        <f>BD.PD[[#This Row],[Av.P1 '[%']]]*BD.PD[[#This Row],[Ppto. Orden Interna '[DOP']]]</f>
        <v>163890</v>
      </c>
      <c r="V65" s="254">
        <v>24</v>
      </c>
      <c r="W65" s="255">
        <v>0.5</v>
      </c>
      <c r="X65" s="259">
        <f>BD.PD[[#This Row],[Av.P2 '[%']]]*BD.PD[[#This Row],[Ppto. Orden Interna '[DOP']]]</f>
        <v>163890</v>
      </c>
      <c r="Y65" s="254"/>
      <c r="Z65" s="255"/>
      <c r="AA65" s="259">
        <f>BD.PD[[#This Row],[Av.P3 '[%']]]*BD.PD[[#This Row],[Ppto. Orden Interna '[DOP']]]</f>
        <v>0</v>
      </c>
      <c r="AB65" s="254"/>
      <c r="AC65" s="255"/>
      <c r="AD65" s="259">
        <f>BD.PD[[#This Row],[Av.P4 '[%']]]*BD.PD[[#This Row],[Ppto. Orden Interna '[DOP']]]</f>
        <v>0</v>
      </c>
      <c r="AE65" s="254"/>
      <c r="AF65" s="255"/>
      <c r="AG65" s="259">
        <f>BD.PD[[#This Row],[Av.P5 '[%']]]*BD.PD[[#This Row],[Ppto. Orden Interna '[DOP']]]</f>
        <v>0</v>
      </c>
      <c r="AH65" s="256">
        <f>BD.PD[[#This Row],[Pago 5]]+BD.PD[[#This Row],[Pago 4]]+BD.PD[[#This Row],[Pago 3]]+BD.PD[[#This Row],[Pago 2]]+BD.PD[[#This Row],[Pago 1]]</f>
        <v>327780</v>
      </c>
      <c r="AI65" s="318"/>
      <c r="AJ65" s="318"/>
      <c r="AK65" s="318"/>
      <c r="AL65" s="318"/>
      <c r="AM65" s="318"/>
      <c r="AN65" s="318"/>
      <c r="AO65" s="318"/>
      <c r="AP65" s="318"/>
      <c r="AQ65" s="318"/>
      <c r="AR65" s="318"/>
      <c r="AS65" s="318"/>
      <c r="AT65" s="318"/>
      <c r="AU65" s="318"/>
      <c r="AV65" s="318"/>
      <c r="AW65" s="318"/>
      <c r="AX65" s="318"/>
      <c r="AY65" s="318"/>
      <c r="AZ65" s="318"/>
      <c r="BA65" s="318"/>
      <c r="BB65" s="318"/>
      <c r="BC65" s="318"/>
      <c r="BD65" s="318"/>
      <c r="BE65" s="318"/>
      <c r="BF65" s="318"/>
      <c r="BG65" s="318"/>
      <c r="BH65" s="318"/>
      <c r="BI65" s="318"/>
      <c r="BJ65" s="318"/>
      <c r="BK65" s="318"/>
      <c r="BL65" s="318"/>
      <c r="BM65" s="318"/>
      <c r="BN65" s="318"/>
      <c r="BO65" s="318"/>
      <c r="BP65" s="318"/>
      <c r="BQ65" s="318"/>
      <c r="BR65" s="318"/>
      <c r="BS65" s="318"/>
      <c r="BT65" s="318"/>
      <c r="BU65" s="318"/>
      <c r="BV65" s="318"/>
      <c r="BW65" s="318"/>
      <c r="BX65" s="318"/>
      <c r="BY65" s="318"/>
      <c r="BZ65" s="318"/>
      <c r="CA65" s="318"/>
      <c r="CB65" s="318"/>
      <c r="CC65" s="318"/>
      <c r="CD65" s="318"/>
      <c r="CE65" s="318"/>
      <c r="CF65" s="318"/>
      <c r="CG65" s="318"/>
      <c r="CH65" s="318"/>
      <c r="CI65" s="318"/>
      <c r="CJ65" s="318"/>
      <c r="CK65" s="318"/>
      <c r="CL65" s="318"/>
      <c r="CM65" s="318"/>
      <c r="CN65" s="318"/>
      <c r="CO65" s="318"/>
      <c r="CP65" s="318"/>
      <c r="CQ65" s="318"/>
      <c r="CR65" s="318"/>
      <c r="CS65" s="318"/>
      <c r="CT65" s="318"/>
      <c r="CU65" s="318"/>
      <c r="CV65" s="318"/>
      <c r="CW65" s="318"/>
      <c r="CX65" s="318"/>
      <c r="CY65" s="318"/>
      <c r="CZ65" s="318"/>
      <c r="DA65" s="318"/>
      <c r="DB65" s="318"/>
      <c r="DC65" s="318"/>
      <c r="DD65" s="318"/>
      <c r="DE65" s="318"/>
      <c r="DF65" s="318"/>
      <c r="DG65" s="318"/>
      <c r="DH65" s="318"/>
      <c r="DI65" s="318"/>
      <c r="DJ65" s="318"/>
      <c r="DK65" s="318"/>
      <c r="DL65" s="318"/>
      <c r="DM65" s="318"/>
      <c r="DN65" s="318"/>
      <c r="DO65" s="318"/>
      <c r="DP65" s="318"/>
      <c r="DQ65" s="318"/>
      <c r="DR65" s="318"/>
      <c r="DS65" s="318"/>
      <c r="DT65" s="318"/>
      <c r="DU65" s="318"/>
      <c r="DV65" s="318"/>
      <c r="DW65" s="318"/>
      <c r="DX65" s="318"/>
      <c r="DY65" s="318"/>
      <c r="DZ65" s="318"/>
      <c r="EA65" s="318"/>
      <c r="EB65" s="318"/>
      <c r="EC65" s="318"/>
      <c r="ED65" s="318"/>
      <c r="EE65" s="318"/>
      <c r="EF65" s="318"/>
      <c r="EG65" s="318"/>
      <c r="EH65" s="318"/>
      <c r="EI65" s="318"/>
      <c r="EJ65" s="318"/>
      <c r="EK65" s="318"/>
      <c r="EL65" s="318"/>
      <c r="EM65" s="318"/>
      <c r="EN65" s="318"/>
      <c r="EO65" s="318"/>
      <c r="EP65" s="318"/>
      <c r="EQ65" s="318"/>
      <c r="ER65" s="318"/>
      <c r="ES65" s="318"/>
      <c r="ET65" s="318"/>
      <c r="EU65" s="318"/>
      <c r="EV65" s="318"/>
      <c r="EW65" s="318"/>
      <c r="EX65" s="318"/>
      <c r="EY65" s="318"/>
      <c r="EZ65" s="318"/>
      <c r="FA65" s="318"/>
      <c r="FB65" s="318"/>
      <c r="FC65" s="318"/>
      <c r="FD65" s="318"/>
      <c r="FE65" s="318"/>
      <c r="FF65" s="318"/>
      <c r="FG65" s="318"/>
      <c r="FH65" s="318"/>
      <c r="FI65" s="318"/>
      <c r="FJ65" s="318"/>
      <c r="FK65" s="318"/>
      <c r="FL65" s="318"/>
      <c r="FM65" s="318"/>
      <c r="FN65" s="318"/>
      <c r="FO65" s="318"/>
      <c r="FP65" s="318"/>
      <c r="FQ65" s="318"/>
      <c r="FR65" s="318"/>
      <c r="FS65" s="318"/>
      <c r="FT65" s="318"/>
      <c r="FU65" s="318"/>
      <c r="FV65" s="318"/>
      <c r="FW65" s="318"/>
      <c r="FX65" s="318"/>
      <c r="FY65" s="318"/>
      <c r="FZ65" s="318"/>
      <c r="GA65" s="318"/>
      <c r="GB65" s="318"/>
      <c r="GC65" s="318"/>
      <c r="GD65" s="318"/>
      <c r="GE65" s="318"/>
      <c r="GF65" s="318"/>
      <c r="GG65" s="318"/>
      <c r="GH65" s="318"/>
      <c r="GI65" s="318"/>
      <c r="GJ65" s="318"/>
      <c r="GK65" s="318"/>
      <c r="GL65" s="318"/>
      <c r="GM65" s="318"/>
      <c r="GN65" s="318"/>
      <c r="GO65" s="318"/>
      <c r="GP65" s="318"/>
      <c r="GQ65" s="318"/>
      <c r="GR65" s="318"/>
      <c r="GS65" s="318"/>
      <c r="GT65" s="318"/>
      <c r="GU65" s="318"/>
      <c r="GV65" s="318"/>
      <c r="GW65" s="318"/>
      <c r="GX65" s="318"/>
      <c r="GY65" s="318"/>
      <c r="GZ65" s="318"/>
      <c r="HA65" s="318"/>
      <c r="HB65" s="318"/>
      <c r="HC65" s="318"/>
      <c r="HD65" s="318"/>
      <c r="HE65" s="318"/>
      <c r="HF65" s="318"/>
      <c r="HG65" s="318"/>
      <c r="HH65" s="318"/>
      <c r="HI65" s="318"/>
      <c r="HJ65" s="318"/>
      <c r="HK65" s="318"/>
      <c r="HL65" s="318"/>
      <c r="HM65" s="318"/>
      <c r="HN65" s="318"/>
      <c r="HO65" s="318"/>
      <c r="HP65" s="318"/>
      <c r="HQ65" s="318"/>
      <c r="HR65" s="318"/>
      <c r="HS65" s="318"/>
      <c r="HT65" s="318"/>
      <c r="HU65" s="318"/>
      <c r="HV65" s="318"/>
      <c r="HW65" s="318"/>
      <c r="HX65" s="318"/>
      <c r="HY65" s="318"/>
      <c r="HZ65" s="318"/>
      <c r="IA65" s="318"/>
      <c r="IB65" s="318"/>
      <c r="IC65" s="318"/>
    </row>
    <row r="66" spans="1:237" s="260" customFormat="1" ht="15" customHeight="1" x14ac:dyDescent="0.3">
      <c r="A66" s="181">
        <v>8.02</v>
      </c>
      <c r="B66" s="239"/>
      <c r="C66" s="240" t="str">
        <f>VLOOKUP(BD.PD[[#This Row],[Pos]],PPto[],3,FALSE)</f>
        <v>8.02 Checkout</v>
      </c>
      <c r="D66" s="181" t="s">
        <v>40</v>
      </c>
      <c r="E66" s="242" t="str">
        <f>IF(BD.PD[[#This Row],[.]]="*",VLOOKUP(BD.PD[[#This Row],[Pos]],Presupuesto!A:H,7,FALSE),"")</f>
        <v/>
      </c>
      <c r="F66" s="303" t="s">
        <v>563</v>
      </c>
      <c r="G66" s="243">
        <v>4512969523</v>
      </c>
      <c r="H66" s="275" t="s">
        <v>559</v>
      </c>
      <c r="I66" s="276">
        <v>12</v>
      </c>
      <c r="J66" s="181" t="s">
        <v>188</v>
      </c>
      <c r="K66" s="245">
        <f>IF(BD.PD[[#This Row],[Mon]]="DOP",1,HLOOKUP(BD.PD[[#This Row],[Mon]],$J$1:$K$2,2,FALSE))</f>
        <v>60.7</v>
      </c>
      <c r="L66" s="277">
        <v>2553.87</v>
      </c>
      <c r="M66" s="247">
        <f>BD.PD[[#This Row],[Cant.]]*BD.PD[[#This Row],[ Tasa ]]*BD.PD[[#This Row],[ Precio Und.]]</f>
        <v>1860238.9080000001</v>
      </c>
      <c r="N66" s="278">
        <v>0.05</v>
      </c>
      <c r="O66" s="247">
        <f>IF(BD.PD[[#This Row],[Liquid. '[%']]]&lt;&gt;0,(BD.PD[[#This Row],[Valor Neto '[DOP']]]*BD.PD[[#This Row],[Liquid. '[%']]])+BD.PD[[#This Row],[Valor Neto '[DOP']]],BD.PD[[#This Row],[Valor Neto '[DOP']]])</f>
        <v>1953250.8534000001</v>
      </c>
      <c r="P66" s="257">
        <f>BD.PD[[#This Row],[Ppto. Orden Interna '[DOP']]]/HLOOKUP("USD",$J$1:$K$2,2,FALSE)</f>
        <v>32178.762000000002</v>
      </c>
      <c r="Q66" s="250"/>
      <c r="R66" s="258" t="s">
        <v>1131</v>
      </c>
      <c r="S66" s="251">
        <v>18</v>
      </c>
      <c r="T66" s="252">
        <v>0.5</v>
      </c>
      <c r="U66" s="259">
        <f>BD.PD[[#This Row],[Av.P1 '[%']]]*BD.PD[[#This Row],[Ppto. Orden Interna '[DOP']]]</f>
        <v>976625.42670000007</v>
      </c>
      <c r="V66" s="254">
        <v>22</v>
      </c>
      <c r="W66" s="255">
        <v>0.5</v>
      </c>
      <c r="X66" s="259">
        <f>BD.PD[[#This Row],[Av.P2 '[%']]]*BD.PD[[#This Row],[Ppto. Orden Interna '[DOP']]]</f>
        <v>976625.42670000007</v>
      </c>
      <c r="Y66" s="254"/>
      <c r="Z66" s="255"/>
      <c r="AA66" s="259">
        <f>BD.PD[[#This Row],[Av.P3 '[%']]]*BD.PD[[#This Row],[Ppto. Orden Interna '[DOP']]]</f>
        <v>0</v>
      </c>
      <c r="AB66" s="254"/>
      <c r="AC66" s="255"/>
      <c r="AD66" s="259">
        <f>BD.PD[[#This Row],[Av.P4 '[%']]]*BD.PD[[#This Row],[Ppto. Orden Interna '[DOP']]]</f>
        <v>0</v>
      </c>
      <c r="AE66" s="254"/>
      <c r="AF66" s="255"/>
      <c r="AG66" s="259">
        <f>BD.PD[[#This Row],[Av.P5 '[%']]]*BD.PD[[#This Row],[Ppto. Orden Interna '[DOP']]]</f>
        <v>0</v>
      </c>
      <c r="AH66" s="256">
        <f>BD.PD[[#This Row],[Pago 5]]+BD.PD[[#This Row],[Pago 4]]+BD.PD[[#This Row],[Pago 3]]+BD.PD[[#This Row],[Pago 2]]+BD.PD[[#This Row],[Pago 1]]</f>
        <v>1953250.8534000001</v>
      </c>
      <c r="AI66" s="318"/>
      <c r="AJ66" s="318"/>
      <c r="AK66" s="318"/>
      <c r="AL66" s="318"/>
      <c r="AM66" s="318"/>
      <c r="AN66" s="318"/>
      <c r="AO66" s="318"/>
      <c r="AP66" s="318"/>
      <c r="AQ66" s="318"/>
      <c r="AR66" s="318"/>
      <c r="AS66" s="318"/>
      <c r="AT66" s="318"/>
      <c r="AU66" s="318"/>
      <c r="AV66" s="318"/>
      <c r="AW66" s="318"/>
      <c r="AX66" s="318"/>
      <c r="AY66" s="318"/>
      <c r="AZ66" s="318"/>
      <c r="BA66" s="318"/>
      <c r="BB66" s="318"/>
      <c r="BC66" s="318"/>
      <c r="BD66" s="318"/>
      <c r="BE66" s="318"/>
      <c r="BF66" s="318"/>
      <c r="BG66" s="318"/>
      <c r="BH66" s="318"/>
      <c r="BI66" s="318"/>
      <c r="BJ66" s="318"/>
      <c r="BK66" s="318"/>
      <c r="BL66" s="318"/>
      <c r="BM66" s="318"/>
      <c r="BN66" s="318"/>
      <c r="BO66" s="318"/>
      <c r="BP66" s="318"/>
      <c r="BQ66" s="318"/>
      <c r="BR66" s="318"/>
      <c r="BS66" s="318"/>
      <c r="BT66" s="318"/>
      <c r="BU66" s="318"/>
      <c r="BV66" s="318"/>
      <c r="BW66" s="318"/>
      <c r="BX66" s="318"/>
      <c r="BY66" s="318"/>
      <c r="BZ66" s="318"/>
      <c r="CA66" s="318"/>
      <c r="CB66" s="318"/>
      <c r="CC66" s="318"/>
      <c r="CD66" s="318"/>
      <c r="CE66" s="318"/>
      <c r="CF66" s="318"/>
      <c r="CG66" s="318"/>
      <c r="CH66" s="318"/>
      <c r="CI66" s="318"/>
      <c r="CJ66" s="318"/>
      <c r="CK66" s="318"/>
      <c r="CL66" s="318"/>
      <c r="CM66" s="318"/>
      <c r="CN66" s="318"/>
      <c r="CO66" s="318"/>
      <c r="CP66" s="318"/>
      <c r="CQ66" s="318"/>
      <c r="CR66" s="318"/>
      <c r="CS66" s="318"/>
      <c r="CT66" s="318"/>
      <c r="CU66" s="318"/>
      <c r="CV66" s="318"/>
      <c r="CW66" s="318"/>
      <c r="CX66" s="318"/>
      <c r="CY66" s="318"/>
      <c r="CZ66" s="318"/>
      <c r="DA66" s="318"/>
      <c r="DB66" s="318"/>
      <c r="DC66" s="318"/>
      <c r="DD66" s="318"/>
      <c r="DE66" s="318"/>
      <c r="DF66" s="318"/>
      <c r="DG66" s="318"/>
      <c r="DH66" s="318"/>
      <c r="DI66" s="318"/>
      <c r="DJ66" s="318"/>
      <c r="DK66" s="318"/>
      <c r="DL66" s="318"/>
      <c r="DM66" s="318"/>
      <c r="DN66" s="318"/>
      <c r="DO66" s="318"/>
      <c r="DP66" s="318"/>
      <c r="DQ66" s="318"/>
      <c r="DR66" s="318"/>
      <c r="DS66" s="318"/>
      <c r="DT66" s="318"/>
      <c r="DU66" s="318"/>
      <c r="DV66" s="318"/>
      <c r="DW66" s="318"/>
      <c r="DX66" s="318"/>
      <c r="DY66" s="318"/>
      <c r="DZ66" s="318"/>
      <c r="EA66" s="318"/>
      <c r="EB66" s="318"/>
      <c r="EC66" s="318"/>
      <c r="ED66" s="318"/>
      <c r="EE66" s="318"/>
      <c r="EF66" s="318"/>
      <c r="EG66" s="318"/>
      <c r="EH66" s="318"/>
      <c r="EI66" s="318"/>
      <c r="EJ66" s="318"/>
      <c r="EK66" s="318"/>
      <c r="EL66" s="318"/>
      <c r="EM66" s="318"/>
      <c r="EN66" s="318"/>
      <c r="EO66" s="318"/>
      <c r="EP66" s="318"/>
      <c r="EQ66" s="318"/>
      <c r="ER66" s="318"/>
      <c r="ES66" s="318"/>
      <c r="ET66" s="318"/>
      <c r="EU66" s="318"/>
      <c r="EV66" s="318"/>
      <c r="EW66" s="318"/>
      <c r="EX66" s="318"/>
      <c r="EY66" s="318"/>
      <c r="EZ66" s="318"/>
      <c r="FA66" s="318"/>
      <c r="FB66" s="318"/>
      <c r="FC66" s="318"/>
      <c r="FD66" s="318"/>
      <c r="FE66" s="318"/>
      <c r="FF66" s="318"/>
      <c r="FG66" s="318"/>
      <c r="FH66" s="318"/>
      <c r="FI66" s="318"/>
      <c r="FJ66" s="318"/>
      <c r="FK66" s="318"/>
      <c r="FL66" s="318"/>
      <c r="FM66" s="318"/>
      <c r="FN66" s="318"/>
      <c r="FO66" s="318"/>
      <c r="FP66" s="318"/>
      <c r="FQ66" s="318"/>
      <c r="FR66" s="318"/>
      <c r="FS66" s="318"/>
      <c r="FT66" s="318"/>
      <c r="FU66" s="318"/>
      <c r="FV66" s="318"/>
      <c r="FW66" s="318"/>
      <c r="FX66" s="318"/>
      <c r="FY66" s="318"/>
      <c r="FZ66" s="318"/>
      <c r="GA66" s="318"/>
      <c r="GB66" s="318"/>
      <c r="GC66" s="318"/>
      <c r="GD66" s="318"/>
      <c r="GE66" s="318"/>
      <c r="GF66" s="318"/>
      <c r="GG66" s="318"/>
      <c r="GH66" s="318"/>
      <c r="GI66" s="318"/>
      <c r="GJ66" s="318"/>
      <c r="GK66" s="318"/>
      <c r="GL66" s="318"/>
      <c r="GM66" s="318"/>
      <c r="GN66" s="318"/>
      <c r="GO66" s="318"/>
      <c r="GP66" s="318"/>
      <c r="GQ66" s="318"/>
      <c r="GR66" s="318"/>
      <c r="GS66" s="318"/>
      <c r="GT66" s="318"/>
      <c r="GU66" s="318"/>
      <c r="GV66" s="318"/>
      <c r="GW66" s="318"/>
      <c r="GX66" s="318"/>
      <c r="GY66" s="318"/>
      <c r="GZ66" s="318"/>
      <c r="HA66" s="318"/>
      <c r="HB66" s="318"/>
      <c r="HC66" s="318"/>
      <c r="HD66" s="318"/>
      <c r="HE66" s="318"/>
      <c r="HF66" s="318"/>
      <c r="HG66" s="318"/>
      <c r="HH66" s="318"/>
      <c r="HI66" s="318"/>
      <c r="HJ66" s="318"/>
      <c r="HK66" s="318"/>
      <c r="HL66" s="318"/>
      <c r="HM66" s="318"/>
      <c r="HN66" s="318"/>
      <c r="HO66" s="318"/>
      <c r="HP66" s="318"/>
      <c r="HQ66" s="318"/>
      <c r="HR66" s="318"/>
      <c r="HS66" s="318"/>
      <c r="HT66" s="318"/>
      <c r="HU66" s="318"/>
      <c r="HV66" s="318"/>
      <c r="HW66" s="318"/>
      <c r="HX66" s="318"/>
      <c r="HY66" s="318"/>
      <c r="HZ66" s="318"/>
      <c r="IA66" s="318"/>
      <c r="IB66" s="318"/>
      <c r="IC66" s="318"/>
    </row>
    <row r="67" spans="1:237" s="260" customFormat="1" ht="24.6" customHeight="1" x14ac:dyDescent="0.3">
      <c r="A67" s="181">
        <v>8.01</v>
      </c>
      <c r="B67" s="239"/>
      <c r="C67" s="240" t="str">
        <f>VLOOKUP(BD.PD[[#This Row],[Pos]],PPto[],3,FALSE)</f>
        <v>8.01 Gondolas</v>
      </c>
      <c r="D67" s="181" t="s">
        <v>40</v>
      </c>
      <c r="E67" s="242" t="str">
        <f>IF(BD.PD[[#This Row],[.]]="*",VLOOKUP(BD.PD[[#This Row],[Pos]],Presupuesto!A:H,7,FALSE),"")</f>
        <v/>
      </c>
      <c r="F67" s="302" t="s">
        <v>558</v>
      </c>
      <c r="G67" s="243">
        <v>4512969521</v>
      </c>
      <c r="H67" s="275" t="s">
        <v>559</v>
      </c>
      <c r="I67" s="276">
        <v>1</v>
      </c>
      <c r="J67" s="181" t="s">
        <v>188</v>
      </c>
      <c r="K67" s="245">
        <f>IF(BD.PD[[#This Row],[Mon]]="DOP",1,HLOOKUP(BD.PD[[#This Row],[Mon]],$J$1:$K$2,2,FALSE))</f>
        <v>60.7</v>
      </c>
      <c r="L67" s="277">
        <v>155948.46</v>
      </c>
      <c r="M67" s="247">
        <f>BD.PD[[#This Row],[Cant.]]*BD.PD[[#This Row],[ Tasa ]]*BD.PD[[#This Row],[ Precio Und.]]</f>
        <v>9466071.5219999999</v>
      </c>
      <c r="N67" s="278">
        <v>0.05</v>
      </c>
      <c r="O67" s="247">
        <f>IF(BD.PD[[#This Row],[Liquid. '[%']]]&lt;&gt;0,(BD.PD[[#This Row],[Valor Neto '[DOP']]]*BD.PD[[#This Row],[Liquid. '[%']]])+BD.PD[[#This Row],[Valor Neto '[DOP']]],BD.PD[[#This Row],[Valor Neto '[DOP']]])</f>
        <v>9939375.0980999991</v>
      </c>
      <c r="P67" s="257">
        <f>BD.PD[[#This Row],[Ppto. Orden Interna '[DOP']]]/HLOOKUP("USD",$J$1:$K$2,2,FALSE)</f>
        <v>163745.88299999997</v>
      </c>
      <c r="Q67" s="250" t="s">
        <v>242</v>
      </c>
      <c r="R67" s="258" t="s">
        <v>1117</v>
      </c>
      <c r="S67" s="251">
        <v>18</v>
      </c>
      <c r="T67" s="252">
        <v>0.5</v>
      </c>
      <c r="U67" s="259">
        <f>BD.PD[[#This Row],[Av.P1 '[%']]]*BD.PD[[#This Row],[Ppto. Orden Interna '[DOP']]]</f>
        <v>4969687.5490499996</v>
      </c>
      <c r="V67" s="254">
        <v>22</v>
      </c>
      <c r="W67" s="255">
        <v>0.5</v>
      </c>
      <c r="X67" s="259">
        <f>BD.PD[[#This Row],[Av.P2 '[%']]]*BD.PD[[#This Row],[Ppto. Orden Interna '[DOP']]]</f>
        <v>4969687.5490499996</v>
      </c>
      <c r="Y67" s="254"/>
      <c r="Z67" s="255"/>
      <c r="AA67" s="259">
        <f>BD.PD[[#This Row],[Av.P3 '[%']]]*BD.PD[[#This Row],[Ppto. Orden Interna '[DOP']]]</f>
        <v>0</v>
      </c>
      <c r="AB67" s="254"/>
      <c r="AC67" s="255"/>
      <c r="AD67" s="259">
        <f>BD.PD[[#This Row],[Av.P4 '[%']]]*BD.PD[[#This Row],[Ppto. Orden Interna '[DOP']]]</f>
        <v>0</v>
      </c>
      <c r="AE67" s="254"/>
      <c r="AF67" s="255"/>
      <c r="AG67" s="259">
        <f>BD.PD[[#This Row],[Av.P5 '[%']]]*BD.PD[[#This Row],[Ppto. Orden Interna '[DOP']]]</f>
        <v>0</v>
      </c>
      <c r="AH67" s="256">
        <f>BD.PD[[#This Row],[Pago 5]]+BD.PD[[#This Row],[Pago 4]]+BD.PD[[#This Row],[Pago 3]]+BD.PD[[#This Row],[Pago 2]]+BD.PD[[#This Row],[Pago 1]]</f>
        <v>9939375.0980999991</v>
      </c>
      <c r="AI67" s="318"/>
      <c r="AJ67" s="318"/>
      <c r="AK67" s="318"/>
      <c r="AL67" s="318"/>
      <c r="AM67" s="318"/>
      <c r="AN67" s="318"/>
      <c r="AO67" s="318"/>
      <c r="AP67" s="318"/>
      <c r="AQ67" s="318"/>
      <c r="AR67" s="318"/>
      <c r="AS67" s="318"/>
      <c r="AT67" s="318"/>
      <c r="AU67" s="318"/>
      <c r="AV67" s="318"/>
      <c r="AW67" s="318"/>
      <c r="AX67" s="318"/>
      <c r="AY67" s="318"/>
      <c r="AZ67" s="318"/>
      <c r="BA67" s="318"/>
      <c r="BB67" s="318"/>
      <c r="BC67" s="318"/>
      <c r="BD67" s="318"/>
      <c r="BE67" s="318"/>
      <c r="BF67" s="318"/>
      <c r="BG67" s="318"/>
      <c r="BH67" s="318"/>
      <c r="BI67" s="318"/>
      <c r="BJ67" s="318"/>
      <c r="BK67" s="318"/>
      <c r="BL67" s="318"/>
      <c r="BM67" s="318"/>
      <c r="BN67" s="318"/>
      <c r="BO67" s="318"/>
      <c r="BP67" s="318"/>
      <c r="BQ67" s="318"/>
      <c r="BR67" s="318"/>
      <c r="BS67" s="318"/>
      <c r="BT67" s="318"/>
      <c r="BU67" s="318"/>
      <c r="BV67" s="318"/>
      <c r="BW67" s="318"/>
      <c r="BX67" s="318"/>
      <c r="BY67" s="318"/>
      <c r="BZ67" s="318"/>
      <c r="CA67" s="318"/>
      <c r="CB67" s="318"/>
      <c r="CC67" s="318"/>
      <c r="CD67" s="318"/>
      <c r="CE67" s="318"/>
      <c r="CF67" s="318"/>
      <c r="CG67" s="318"/>
      <c r="CH67" s="318"/>
      <c r="CI67" s="318"/>
      <c r="CJ67" s="318"/>
      <c r="CK67" s="318"/>
      <c r="CL67" s="318"/>
      <c r="CM67" s="318"/>
      <c r="CN67" s="318"/>
      <c r="CO67" s="318"/>
      <c r="CP67" s="318"/>
      <c r="CQ67" s="318"/>
      <c r="CR67" s="318"/>
      <c r="CS67" s="318"/>
      <c r="CT67" s="318"/>
      <c r="CU67" s="318"/>
      <c r="CV67" s="318"/>
      <c r="CW67" s="318"/>
      <c r="CX67" s="318"/>
      <c r="CY67" s="318"/>
      <c r="CZ67" s="318"/>
      <c r="DA67" s="318"/>
      <c r="DB67" s="318"/>
      <c r="DC67" s="318"/>
      <c r="DD67" s="318"/>
      <c r="DE67" s="318"/>
      <c r="DF67" s="318"/>
      <c r="DG67" s="318"/>
      <c r="DH67" s="318"/>
      <c r="DI67" s="318"/>
      <c r="DJ67" s="318"/>
      <c r="DK67" s="318"/>
      <c r="DL67" s="318"/>
      <c r="DM67" s="318"/>
      <c r="DN67" s="318"/>
      <c r="DO67" s="318"/>
      <c r="DP67" s="318"/>
      <c r="DQ67" s="318"/>
      <c r="DR67" s="318"/>
      <c r="DS67" s="318"/>
      <c r="DT67" s="318"/>
      <c r="DU67" s="318"/>
      <c r="DV67" s="318"/>
      <c r="DW67" s="318"/>
      <c r="DX67" s="318"/>
      <c r="DY67" s="318"/>
      <c r="DZ67" s="318"/>
      <c r="EA67" s="318"/>
      <c r="EB67" s="318"/>
      <c r="EC67" s="318"/>
      <c r="ED67" s="318"/>
      <c r="EE67" s="318"/>
      <c r="EF67" s="318"/>
      <c r="EG67" s="318"/>
      <c r="EH67" s="318"/>
      <c r="EI67" s="318"/>
      <c r="EJ67" s="318"/>
      <c r="EK67" s="318"/>
      <c r="EL67" s="318"/>
      <c r="EM67" s="318"/>
      <c r="EN67" s="318"/>
      <c r="EO67" s="318"/>
      <c r="EP67" s="318"/>
      <c r="EQ67" s="318"/>
      <c r="ER67" s="318"/>
      <c r="ES67" s="318"/>
      <c r="ET67" s="318"/>
      <c r="EU67" s="318"/>
      <c r="EV67" s="318"/>
      <c r="EW67" s="318"/>
      <c r="EX67" s="318"/>
      <c r="EY67" s="318"/>
      <c r="EZ67" s="318"/>
      <c r="FA67" s="318"/>
      <c r="FB67" s="318"/>
      <c r="FC67" s="318"/>
      <c r="FD67" s="318"/>
      <c r="FE67" s="318"/>
      <c r="FF67" s="318"/>
      <c r="FG67" s="318"/>
      <c r="FH67" s="318"/>
      <c r="FI67" s="318"/>
      <c r="FJ67" s="318"/>
      <c r="FK67" s="318"/>
      <c r="FL67" s="318"/>
      <c r="FM67" s="318"/>
      <c r="FN67" s="318"/>
      <c r="FO67" s="318"/>
      <c r="FP67" s="318"/>
      <c r="FQ67" s="318"/>
      <c r="FR67" s="318"/>
      <c r="FS67" s="318"/>
      <c r="FT67" s="318"/>
      <c r="FU67" s="318"/>
      <c r="FV67" s="318"/>
      <c r="FW67" s="318"/>
      <c r="FX67" s="318"/>
      <c r="FY67" s="318"/>
      <c r="FZ67" s="318"/>
      <c r="GA67" s="318"/>
      <c r="GB67" s="318"/>
      <c r="GC67" s="318"/>
      <c r="GD67" s="318"/>
      <c r="GE67" s="318"/>
      <c r="GF67" s="318"/>
      <c r="GG67" s="318"/>
      <c r="GH67" s="318"/>
      <c r="GI67" s="318"/>
      <c r="GJ67" s="318"/>
      <c r="GK67" s="318"/>
      <c r="GL67" s="318"/>
      <c r="GM67" s="318"/>
      <c r="GN67" s="318"/>
      <c r="GO67" s="318"/>
      <c r="GP67" s="318"/>
      <c r="GQ67" s="318"/>
      <c r="GR67" s="318"/>
      <c r="GS67" s="318"/>
      <c r="GT67" s="318"/>
      <c r="GU67" s="318"/>
      <c r="GV67" s="318"/>
      <c r="GW67" s="318"/>
      <c r="GX67" s="318"/>
      <c r="GY67" s="318"/>
      <c r="GZ67" s="318"/>
      <c r="HA67" s="318"/>
      <c r="HB67" s="318"/>
      <c r="HC67" s="318"/>
      <c r="HD67" s="318"/>
      <c r="HE67" s="318"/>
      <c r="HF67" s="318"/>
      <c r="HG67" s="318"/>
      <c r="HH67" s="318"/>
      <c r="HI67" s="318"/>
      <c r="HJ67" s="318"/>
      <c r="HK67" s="318"/>
      <c r="HL67" s="318"/>
      <c r="HM67" s="318"/>
      <c r="HN67" s="318"/>
      <c r="HO67" s="318"/>
      <c r="HP67" s="318"/>
      <c r="HQ67" s="318"/>
      <c r="HR67" s="318"/>
      <c r="HS67" s="318"/>
      <c r="HT67" s="318"/>
      <c r="HU67" s="318"/>
      <c r="HV67" s="318"/>
      <c r="HW67" s="318"/>
      <c r="HX67" s="318"/>
      <c r="HY67" s="318"/>
      <c r="HZ67" s="318"/>
      <c r="IA67" s="318"/>
      <c r="IB67" s="318"/>
      <c r="IC67" s="318"/>
    </row>
    <row r="68" spans="1:237" s="260" customFormat="1" ht="24.6" customHeight="1" x14ac:dyDescent="0.3">
      <c r="A68" s="181">
        <v>8.01</v>
      </c>
      <c r="B68" s="239"/>
      <c r="C68" s="240" t="str">
        <f>VLOOKUP(BD.PD[[#This Row],[Pos]],PPto[],3,FALSE)</f>
        <v>8.01 Gondolas</v>
      </c>
      <c r="D68" s="181" t="s">
        <v>40</v>
      </c>
      <c r="E68" s="242" t="str">
        <f>IF(BD.PD[[#This Row],[.]]="*",VLOOKUP(BD.PD[[#This Row],[Pos]],Presupuesto!A:H,7,FALSE),"")</f>
        <v/>
      </c>
      <c r="F68" s="303" t="s">
        <v>561</v>
      </c>
      <c r="G68" s="243">
        <v>4512969522</v>
      </c>
      <c r="H68" s="275" t="s">
        <v>559</v>
      </c>
      <c r="I68" s="276">
        <v>1</v>
      </c>
      <c r="J68" s="181" t="s">
        <v>188</v>
      </c>
      <c r="K68" s="245">
        <f>IF(BD.PD[[#This Row],[Mon]]="DOP",1,HLOOKUP(BD.PD[[#This Row],[Mon]],$J$1:$K$2,2,FALSE))</f>
        <v>60.7</v>
      </c>
      <c r="L68" s="277">
        <v>4534.7299999999996</v>
      </c>
      <c r="M68" s="247">
        <f>BD.PD[[#This Row],[Cant.]]*BD.PD[[#This Row],[ Tasa ]]*BD.PD[[#This Row],[ Precio Und.]]</f>
        <v>275258.11099999998</v>
      </c>
      <c r="N68" s="278">
        <v>0.05</v>
      </c>
      <c r="O68" s="247">
        <f>IF(BD.PD[[#This Row],[Liquid. '[%']]]&lt;&gt;0,(BD.PD[[#This Row],[Valor Neto '[DOP']]]*BD.PD[[#This Row],[Liquid. '[%']]])+BD.PD[[#This Row],[Valor Neto '[DOP']]],BD.PD[[#This Row],[Valor Neto '[DOP']]])</f>
        <v>289021.01655</v>
      </c>
      <c r="P68" s="257">
        <f>BD.PD[[#This Row],[Ppto. Orden Interna '[DOP']]]/HLOOKUP("USD",$J$1:$K$2,2,FALSE)</f>
        <v>4761.4664999999995</v>
      </c>
      <c r="Q68" s="250" t="s">
        <v>562</v>
      </c>
      <c r="R68" s="258" t="s">
        <v>1117</v>
      </c>
      <c r="S68" s="251">
        <v>18</v>
      </c>
      <c r="T68" s="252">
        <v>0.5</v>
      </c>
      <c r="U68" s="259">
        <f>BD.PD[[#This Row],[Av.P1 '[%']]]*BD.PD[[#This Row],[Ppto. Orden Interna '[DOP']]]</f>
        <v>144510.508275</v>
      </c>
      <c r="V68" s="254">
        <v>22</v>
      </c>
      <c r="W68" s="255">
        <v>0.5</v>
      </c>
      <c r="X68" s="259">
        <f>BD.PD[[#This Row],[Av.P2 '[%']]]*BD.PD[[#This Row],[Ppto. Orden Interna '[DOP']]]</f>
        <v>144510.508275</v>
      </c>
      <c r="Y68" s="254"/>
      <c r="Z68" s="255"/>
      <c r="AA68" s="259">
        <f>BD.PD[[#This Row],[Av.P3 '[%']]]*BD.PD[[#This Row],[Ppto. Orden Interna '[DOP']]]</f>
        <v>0</v>
      </c>
      <c r="AB68" s="254"/>
      <c r="AC68" s="255"/>
      <c r="AD68" s="259">
        <f>BD.PD[[#This Row],[Av.P4 '[%']]]*BD.PD[[#This Row],[Ppto. Orden Interna '[DOP']]]</f>
        <v>0</v>
      </c>
      <c r="AE68" s="254"/>
      <c r="AF68" s="255"/>
      <c r="AG68" s="259">
        <f>BD.PD[[#This Row],[Av.P5 '[%']]]*BD.PD[[#This Row],[Ppto. Orden Interna '[DOP']]]</f>
        <v>0</v>
      </c>
      <c r="AH68" s="256">
        <f>BD.PD[[#This Row],[Pago 5]]+BD.PD[[#This Row],[Pago 4]]+BD.PD[[#This Row],[Pago 3]]+BD.PD[[#This Row],[Pago 2]]+BD.PD[[#This Row],[Pago 1]]</f>
        <v>289021.01655</v>
      </c>
      <c r="AI68" s="318"/>
      <c r="AJ68" s="318"/>
      <c r="AK68" s="318"/>
      <c r="AL68" s="318"/>
      <c r="AM68" s="318"/>
      <c r="AN68" s="318"/>
      <c r="AO68" s="318"/>
      <c r="AP68" s="318"/>
      <c r="AQ68" s="318"/>
      <c r="AR68" s="318"/>
      <c r="AS68" s="318"/>
      <c r="AT68" s="318"/>
      <c r="AU68" s="318"/>
      <c r="AV68" s="318"/>
      <c r="AW68" s="318"/>
      <c r="AX68" s="318"/>
      <c r="AY68" s="318"/>
      <c r="AZ68" s="318"/>
      <c r="BA68" s="318"/>
      <c r="BB68" s="318"/>
      <c r="BC68" s="318"/>
      <c r="BD68" s="318"/>
      <c r="BE68" s="318"/>
      <c r="BF68" s="318"/>
      <c r="BG68" s="318"/>
      <c r="BH68" s="318"/>
      <c r="BI68" s="318"/>
      <c r="BJ68" s="318"/>
      <c r="BK68" s="318"/>
      <c r="BL68" s="318"/>
      <c r="BM68" s="318"/>
      <c r="BN68" s="318"/>
      <c r="BO68" s="318"/>
      <c r="BP68" s="318"/>
      <c r="BQ68" s="318"/>
      <c r="BR68" s="318"/>
      <c r="BS68" s="318"/>
      <c r="BT68" s="318"/>
      <c r="BU68" s="318"/>
      <c r="BV68" s="318"/>
      <c r="BW68" s="318"/>
      <c r="BX68" s="318"/>
      <c r="BY68" s="318"/>
      <c r="BZ68" s="318"/>
      <c r="CA68" s="318"/>
      <c r="CB68" s="318"/>
      <c r="CC68" s="318"/>
      <c r="CD68" s="318"/>
      <c r="CE68" s="318"/>
      <c r="CF68" s="318"/>
      <c r="CG68" s="318"/>
      <c r="CH68" s="318"/>
      <c r="CI68" s="318"/>
      <c r="CJ68" s="318"/>
      <c r="CK68" s="318"/>
      <c r="CL68" s="318"/>
      <c r="CM68" s="318"/>
      <c r="CN68" s="318"/>
      <c r="CO68" s="318"/>
      <c r="CP68" s="318"/>
      <c r="CQ68" s="318"/>
      <c r="CR68" s="318"/>
      <c r="CS68" s="318"/>
      <c r="CT68" s="318"/>
      <c r="CU68" s="318"/>
      <c r="CV68" s="318"/>
      <c r="CW68" s="318"/>
      <c r="CX68" s="318"/>
      <c r="CY68" s="318"/>
      <c r="CZ68" s="318"/>
      <c r="DA68" s="318"/>
      <c r="DB68" s="318"/>
      <c r="DC68" s="318"/>
      <c r="DD68" s="318"/>
      <c r="DE68" s="318"/>
      <c r="DF68" s="318"/>
      <c r="DG68" s="318"/>
      <c r="DH68" s="318"/>
      <c r="DI68" s="318"/>
      <c r="DJ68" s="318"/>
      <c r="DK68" s="318"/>
      <c r="DL68" s="318"/>
      <c r="DM68" s="318"/>
      <c r="DN68" s="318"/>
      <c r="DO68" s="318"/>
      <c r="DP68" s="318"/>
      <c r="DQ68" s="318"/>
      <c r="DR68" s="318"/>
      <c r="DS68" s="318"/>
      <c r="DT68" s="318"/>
      <c r="DU68" s="318"/>
      <c r="DV68" s="318"/>
      <c r="DW68" s="318"/>
      <c r="DX68" s="318"/>
      <c r="DY68" s="318"/>
      <c r="DZ68" s="318"/>
      <c r="EA68" s="318"/>
      <c r="EB68" s="318"/>
      <c r="EC68" s="318"/>
      <c r="ED68" s="318"/>
      <c r="EE68" s="318"/>
      <c r="EF68" s="318"/>
      <c r="EG68" s="318"/>
      <c r="EH68" s="318"/>
      <c r="EI68" s="318"/>
      <c r="EJ68" s="318"/>
      <c r="EK68" s="318"/>
      <c r="EL68" s="318"/>
      <c r="EM68" s="318"/>
      <c r="EN68" s="318"/>
      <c r="EO68" s="318"/>
      <c r="EP68" s="318"/>
      <c r="EQ68" s="318"/>
      <c r="ER68" s="318"/>
      <c r="ES68" s="318"/>
      <c r="ET68" s="318"/>
      <c r="EU68" s="318"/>
      <c r="EV68" s="318"/>
      <c r="EW68" s="318"/>
      <c r="EX68" s="318"/>
      <c r="EY68" s="318"/>
      <c r="EZ68" s="318"/>
      <c r="FA68" s="318"/>
      <c r="FB68" s="318"/>
      <c r="FC68" s="318"/>
      <c r="FD68" s="318"/>
      <c r="FE68" s="318"/>
      <c r="FF68" s="318"/>
      <c r="FG68" s="318"/>
      <c r="FH68" s="318"/>
      <c r="FI68" s="318"/>
      <c r="FJ68" s="318"/>
      <c r="FK68" s="318"/>
      <c r="FL68" s="318"/>
      <c r="FM68" s="318"/>
      <c r="FN68" s="318"/>
      <c r="FO68" s="318"/>
      <c r="FP68" s="318"/>
      <c r="FQ68" s="318"/>
      <c r="FR68" s="318"/>
      <c r="FS68" s="318"/>
      <c r="FT68" s="318"/>
      <c r="FU68" s="318"/>
      <c r="FV68" s="318"/>
      <c r="FW68" s="318"/>
      <c r="FX68" s="318"/>
      <c r="FY68" s="318"/>
      <c r="FZ68" s="318"/>
      <c r="GA68" s="318"/>
      <c r="GB68" s="318"/>
      <c r="GC68" s="318"/>
      <c r="GD68" s="318"/>
      <c r="GE68" s="318"/>
      <c r="GF68" s="318"/>
      <c r="GG68" s="318"/>
      <c r="GH68" s="318"/>
      <c r="GI68" s="318"/>
      <c r="GJ68" s="318"/>
      <c r="GK68" s="318"/>
      <c r="GL68" s="318"/>
      <c r="GM68" s="318"/>
      <c r="GN68" s="318"/>
      <c r="GO68" s="318"/>
      <c r="GP68" s="318"/>
      <c r="GQ68" s="318"/>
      <c r="GR68" s="318"/>
      <c r="GS68" s="318"/>
      <c r="GT68" s="318"/>
      <c r="GU68" s="318"/>
      <c r="GV68" s="318"/>
      <c r="GW68" s="318"/>
      <c r="GX68" s="318"/>
      <c r="GY68" s="318"/>
      <c r="GZ68" s="318"/>
      <c r="HA68" s="318"/>
      <c r="HB68" s="318"/>
      <c r="HC68" s="318"/>
      <c r="HD68" s="318"/>
      <c r="HE68" s="318"/>
      <c r="HF68" s="318"/>
      <c r="HG68" s="318"/>
      <c r="HH68" s="318"/>
      <c r="HI68" s="318"/>
      <c r="HJ68" s="318"/>
      <c r="HK68" s="318"/>
      <c r="HL68" s="318"/>
      <c r="HM68" s="318"/>
      <c r="HN68" s="318"/>
      <c r="HO68" s="318"/>
      <c r="HP68" s="318"/>
      <c r="HQ68" s="318"/>
      <c r="HR68" s="318"/>
      <c r="HS68" s="318"/>
      <c r="HT68" s="318"/>
      <c r="HU68" s="318"/>
      <c r="HV68" s="318"/>
      <c r="HW68" s="318"/>
      <c r="HX68" s="318"/>
      <c r="HY68" s="318"/>
      <c r="HZ68" s="318"/>
      <c r="IA68" s="318"/>
      <c r="IB68" s="318"/>
      <c r="IC68" s="318"/>
    </row>
    <row r="69" spans="1:237" s="260" customFormat="1" ht="16.350000000000001" customHeight="1" x14ac:dyDescent="0.3">
      <c r="A69" s="181">
        <v>8.0399999999999991</v>
      </c>
      <c r="B69" s="239"/>
      <c r="C69" s="240" t="str">
        <f>VLOOKUP(BD.PD[[#This Row],[Pos]],PPto[],3,FALSE)</f>
        <v>8.04 Trameria Almacen</v>
      </c>
      <c r="D69" s="181" t="s">
        <v>40</v>
      </c>
      <c r="E69" s="242" t="str">
        <f>IF(BD.PD[[#This Row],[.]]="*",VLOOKUP(BD.PD[[#This Row],[Pos]],Presupuesto!A:H,7,FALSE),"")</f>
        <v/>
      </c>
      <c r="F69" s="243" t="s">
        <v>573</v>
      </c>
      <c r="G69" s="243" t="s">
        <v>308</v>
      </c>
      <c r="H69" s="275"/>
      <c r="I69" s="276">
        <v>1</v>
      </c>
      <c r="J69" s="181" t="s">
        <v>314</v>
      </c>
      <c r="K69" s="245">
        <f>IF(BD.PD[[#This Row],[Mon]]="DOP",1,HLOOKUP(BD.PD[[#This Row],[Mon]],$J$1:$K$2,2,FALSE))</f>
        <v>1</v>
      </c>
      <c r="L69" s="277">
        <v>3000000</v>
      </c>
      <c r="M69" s="247">
        <f>BD.PD[[#This Row],[Cant.]]*BD.PD[[#This Row],[ Tasa ]]*BD.PD[[#This Row],[ Precio Und.]]</f>
        <v>3000000</v>
      </c>
      <c r="N69" s="278">
        <v>0.05</v>
      </c>
      <c r="O69" s="247">
        <f>IF(BD.PD[[#This Row],[Liquid. '[%']]]&lt;&gt;0,(BD.PD[[#This Row],[Valor Neto '[DOP']]]*BD.PD[[#This Row],[Liquid. '[%']]])+BD.PD[[#This Row],[Valor Neto '[DOP']]],BD.PD[[#This Row],[Valor Neto '[DOP']]])</f>
        <v>3150000</v>
      </c>
      <c r="P69" s="257">
        <f>BD.PD[[#This Row],[Ppto. Orden Interna '[DOP']]]/HLOOKUP("USD",$J$1:$K$2,2,FALSE)</f>
        <v>51894.563426688634</v>
      </c>
      <c r="Q69" s="250" t="s">
        <v>574</v>
      </c>
      <c r="R69" s="258" t="s">
        <v>1117</v>
      </c>
      <c r="S69" s="251">
        <v>22</v>
      </c>
      <c r="T69" s="252">
        <v>1</v>
      </c>
      <c r="U69" s="259">
        <f>BD.PD[[#This Row],[Av.P1 '[%']]]*BD.PD[[#This Row],[Ppto. Orden Interna '[DOP']]]</f>
        <v>3150000</v>
      </c>
      <c r="V69" s="254"/>
      <c r="W69" s="255"/>
      <c r="X69" s="259">
        <f>BD.PD[[#This Row],[Av.P2 '[%']]]*BD.PD[[#This Row],[Ppto. Orden Interna '[DOP']]]</f>
        <v>0</v>
      </c>
      <c r="Y69" s="254"/>
      <c r="Z69" s="255"/>
      <c r="AA69" s="259">
        <f>BD.PD[[#This Row],[Av.P3 '[%']]]*BD.PD[[#This Row],[Ppto. Orden Interna '[DOP']]]</f>
        <v>0</v>
      </c>
      <c r="AB69" s="254"/>
      <c r="AC69" s="255"/>
      <c r="AD69" s="259">
        <f>BD.PD[[#This Row],[Av.P4 '[%']]]*BD.PD[[#This Row],[Ppto. Orden Interna '[DOP']]]</f>
        <v>0</v>
      </c>
      <c r="AE69" s="254"/>
      <c r="AF69" s="255"/>
      <c r="AG69" s="259">
        <f>BD.PD[[#This Row],[Av.P5 '[%']]]*BD.PD[[#This Row],[Ppto. Orden Interna '[DOP']]]</f>
        <v>0</v>
      </c>
      <c r="AH69" s="256">
        <f>BD.PD[[#This Row],[Pago 5]]+BD.PD[[#This Row],[Pago 4]]+BD.PD[[#This Row],[Pago 3]]+BD.PD[[#This Row],[Pago 2]]+BD.PD[[#This Row],[Pago 1]]</f>
        <v>3150000</v>
      </c>
      <c r="AI69" s="318"/>
      <c r="AJ69" s="318"/>
      <c r="AK69" s="318"/>
      <c r="AL69" s="318"/>
      <c r="AM69" s="318"/>
      <c r="AN69" s="318"/>
      <c r="AO69" s="318"/>
      <c r="AP69" s="318"/>
      <c r="AQ69" s="318"/>
      <c r="AR69" s="318"/>
      <c r="AS69" s="318"/>
      <c r="AT69" s="318"/>
      <c r="AU69" s="318"/>
      <c r="AV69" s="318"/>
      <c r="AW69" s="318"/>
      <c r="AX69" s="318"/>
      <c r="AY69" s="318"/>
      <c r="AZ69" s="318"/>
      <c r="BA69" s="318"/>
      <c r="BB69" s="318"/>
      <c r="BC69" s="318"/>
      <c r="BD69" s="318"/>
      <c r="BE69" s="318"/>
      <c r="BF69" s="318"/>
      <c r="BG69" s="318"/>
      <c r="BH69" s="318"/>
      <c r="BI69" s="318"/>
      <c r="BJ69" s="318"/>
      <c r="BK69" s="318"/>
      <c r="BL69" s="318"/>
      <c r="BM69" s="318"/>
      <c r="BN69" s="318"/>
      <c r="BO69" s="318"/>
      <c r="BP69" s="318"/>
      <c r="BQ69" s="318"/>
      <c r="BR69" s="318"/>
      <c r="BS69" s="318"/>
      <c r="BT69" s="318"/>
      <c r="BU69" s="318"/>
      <c r="BV69" s="318"/>
      <c r="BW69" s="318"/>
      <c r="BX69" s="318"/>
      <c r="BY69" s="318"/>
      <c r="BZ69" s="318"/>
      <c r="CA69" s="318"/>
      <c r="CB69" s="318"/>
      <c r="CC69" s="318"/>
      <c r="CD69" s="318"/>
      <c r="CE69" s="318"/>
      <c r="CF69" s="318"/>
      <c r="CG69" s="318"/>
      <c r="CH69" s="318"/>
      <c r="CI69" s="318"/>
      <c r="CJ69" s="318"/>
      <c r="CK69" s="318"/>
      <c r="CL69" s="318"/>
      <c r="CM69" s="318"/>
      <c r="CN69" s="318"/>
      <c r="CO69" s="318"/>
      <c r="CP69" s="318"/>
      <c r="CQ69" s="318"/>
      <c r="CR69" s="318"/>
      <c r="CS69" s="318"/>
      <c r="CT69" s="318"/>
      <c r="CU69" s="318"/>
      <c r="CV69" s="318"/>
      <c r="CW69" s="318"/>
      <c r="CX69" s="318"/>
      <c r="CY69" s="318"/>
      <c r="CZ69" s="318"/>
      <c r="DA69" s="318"/>
      <c r="DB69" s="318"/>
      <c r="DC69" s="318"/>
      <c r="DD69" s="318"/>
      <c r="DE69" s="318"/>
      <c r="DF69" s="318"/>
      <c r="DG69" s="318"/>
      <c r="DH69" s="318"/>
      <c r="DI69" s="318"/>
      <c r="DJ69" s="318"/>
      <c r="DK69" s="318"/>
      <c r="DL69" s="318"/>
      <c r="DM69" s="318"/>
      <c r="DN69" s="318"/>
      <c r="DO69" s="318"/>
      <c r="DP69" s="318"/>
      <c r="DQ69" s="318"/>
      <c r="DR69" s="318"/>
      <c r="DS69" s="318"/>
      <c r="DT69" s="318"/>
      <c r="DU69" s="318"/>
      <c r="DV69" s="318"/>
      <c r="DW69" s="318"/>
      <c r="DX69" s="318"/>
      <c r="DY69" s="318"/>
      <c r="DZ69" s="318"/>
      <c r="EA69" s="318"/>
      <c r="EB69" s="318"/>
      <c r="EC69" s="318"/>
      <c r="ED69" s="318"/>
      <c r="EE69" s="318"/>
      <c r="EF69" s="318"/>
      <c r="EG69" s="318"/>
      <c r="EH69" s="318"/>
      <c r="EI69" s="318"/>
      <c r="EJ69" s="318"/>
      <c r="EK69" s="318"/>
      <c r="EL69" s="318"/>
      <c r="EM69" s="318"/>
      <c r="EN69" s="318"/>
      <c r="EO69" s="318"/>
      <c r="EP69" s="318"/>
      <c r="EQ69" s="318"/>
      <c r="ER69" s="318"/>
      <c r="ES69" s="318"/>
      <c r="ET69" s="318"/>
      <c r="EU69" s="318"/>
      <c r="EV69" s="318"/>
      <c r="EW69" s="318"/>
      <c r="EX69" s="318"/>
      <c r="EY69" s="318"/>
      <c r="EZ69" s="318"/>
      <c r="FA69" s="318"/>
      <c r="FB69" s="318"/>
      <c r="FC69" s="318"/>
      <c r="FD69" s="318"/>
      <c r="FE69" s="318"/>
      <c r="FF69" s="318"/>
      <c r="FG69" s="318"/>
      <c r="FH69" s="318"/>
      <c r="FI69" s="318"/>
      <c r="FJ69" s="318"/>
      <c r="FK69" s="318"/>
      <c r="FL69" s="318"/>
      <c r="FM69" s="318"/>
      <c r="FN69" s="318"/>
      <c r="FO69" s="318"/>
      <c r="FP69" s="318"/>
      <c r="FQ69" s="318"/>
      <c r="FR69" s="318"/>
      <c r="FS69" s="318"/>
      <c r="FT69" s="318"/>
      <c r="FU69" s="318"/>
      <c r="FV69" s="318"/>
      <c r="FW69" s="318"/>
      <c r="FX69" s="318"/>
      <c r="FY69" s="318"/>
      <c r="FZ69" s="318"/>
      <c r="GA69" s="318"/>
      <c r="GB69" s="318"/>
      <c r="GC69" s="318"/>
      <c r="GD69" s="318"/>
      <c r="GE69" s="318"/>
      <c r="GF69" s="318"/>
      <c r="GG69" s="318"/>
      <c r="GH69" s="318"/>
      <c r="GI69" s="318"/>
      <c r="GJ69" s="318"/>
      <c r="GK69" s="318"/>
      <c r="GL69" s="318"/>
      <c r="GM69" s="318"/>
      <c r="GN69" s="318"/>
      <c r="GO69" s="318"/>
      <c r="GP69" s="318"/>
      <c r="GQ69" s="318"/>
      <c r="GR69" s="318"/>
      <c r="GS69" s="318"/>
      <c r="GT69" s="318"/>
      <c r="GU69" s="318"/>
      <c r="GV69" s="318"/>
      <c r="GW69" s="318"/>
      <c r="GX69" s="318"/>
      <c r="GY69" s="318"/>
      <c r="GZ69" s="318"/>
      <c r="HA69" s="318"/>
      <c r="HB69" s="318"/>
      <c r="HC69" s="318"/>
      <c r="HD69" s="318"/>
      <c r="HE69" s="318"/>
      <c r="HF69" s="318"/>
      <c r="HG69" s="318"/>
      <c r="HH69" s="318"/>
      <c r="HI69" s="318"/>
      <c r="HJ69" s="318"/>
      <c r="HK69" s="318"/>
      <c r="HL69" s="318"/>
      <c r="HM69" s="318"/>
      <c r="HN69" s="318"/>
      <c r="HO69" s="318"/>
      <c r="HP69" s="318"/>
      <c r="HQ69" s="318"/>
      <c r="HR69" s="318"/>
      <c r="HS69" s="318"/>
      <c r="HT69" s="318"/>
      <c r="HU69" s="318"/>
      <c r="HV69" s="318"/>
      <c r="HW69" s="318"/>
      <c r="HX69" s="318"/>
      <c r="HY69" s="318"/>
      <c r="HZ69" s="318"/>
      <c r="IA69" s="318"/>
      <c r="IB69" s="318"/>
      <c r="IC69" s="318"/>
    </row>
    <row r="70" spans="1:237" s="260" customFormat="1" ht="12.6" customHeight="1" x14ac:dyDescent="0.3">
      <c r="A70" s="181">
        <v>8.0399999999999991</v>
      </c>
      <c r="B70" s="239"/>
      <c r="C70" s="240" t="str">
        <f>VLOOKUP(BD.PD[[#This Row],[Pos]],PPto[],3,FALSE)</f>
        <v>8.04 Trameria Almacen</v>
      </c>
      <c r="D70" s="181" t="s">
        <v>40</v>
      </c>
      <c r="E70" s="242" t="str">
        <f>IF(BD.PD[[#This Row],[.]]="*",VLOOKUP(BD.PD[[#This Row],[Pos]],Presupuesto!A:H,7,FALSE),"")</f>
        <v/>
      </c>
      <c r="F70" s="243" t="s">
        <v>575</v>
      </c>
      <c r="G70" s="243" t="s">
        <v>308</v>
      </c>
      <c r="H70" s="275"/>
      <c r="I70" s="276">
        <v>1</v>
      </c>
      <c r="J70" s="181" t="s">
        <v>314</v>
      </c>
      <c r="K70" s="245">
        <f>IF(BD.PD[[#This Row],[Mon]]="DOP",1,HLOOKUP(BD.PD[[#This Row],[Mon]],$J$1:$K$2,2,FALSE))</f>
        <v>1</v>
      </c>
      <c r="L70" s="277">
        <v>230720.49</v>
      </c>
      <c r="M70" s="247">
        <f>BD.PD[[#This Row],[Cant.]]*BD.PD[[#This Row],[ Tasa ]]*BD.PD[[#This Row],[ Precio Und.]]</f>
        <v>230720.49</v>
      </c>
      <c r="N70" s="278">
        <v>0.1</v>
      </c>
      <c r="O70" s="247">
        <f>IF(BD.PD[[#This Row],[Liquid. '[%']]]&lt;&gt;0,(BD.PD[[#This Row],[Valor Neto '[DOP']]]*BD.PD[[#This Row],[Liquid. '[%']]])+BD.PD[[#This Row],[Valor Neto '[DOP']]],BD.PD[[#This Row],[Valor Neto '[DOP']]])</f>
        <v>253792.53899999999</v>
      </c>
      <c r="P70" s="257">
        <f>BD.PD[[#This Row],[Ppto. Orden Interna '[DOP']]]/HLOOKUP("USD",$J$1:$K$2,2,FALSE)</f>
        <v>4181.0961943986813</v>
      </c>
      <c r="Q70" s="250" t="s">
        <v>574</v>
      </c>
      <c r="R70" s="258" t="s">
        <v>1117</v>
      </c>
      <c r="S70" s="251">
        <v>22</v>
      </c>
      <c r="T70" s="252">
        <v>1</v>
      </c>
      <c r="U70" s="259">
        <f>BD.PD[[#This Row],[Av.P1 '[%']]]*BD.PD[[#This Row],[Ppto. Orden Interna '[DOP']]]</f>
        <v>253792.53899999999</v>
      </c>
      <c r="V70" s="254"/>
      <c r="W70" s="255"/>
      <c r="X70" s="259">
        <f>BD.PD[[#This Row],[Av.P2 '[%']]]*BD.PD[[#This Row],[Ppto. Orden Interna '[DOP']]]</f>
        <v>0</v>
      </c>
      <c r="Y70" s="254"/>
      <c r="Z70" s="255"/>
      <c r="AA70" s="259">
        <f>BD.PD[[#This Row],[Av.P3 '[%']]]*BD.PD[[#This Row],[Ppto. Orden Interna '[DOP']]]</f>
        <v>0</v>
      </c>
      <c r="AB70" s="254"/>
      <c r="AC70" s="255"/>
      <c r="AD70" s="259">
        <f>BD.PD[[#This Row],[Av.P4 '[%']]]*BD.PD[[#This Row],[Ppto. Orden Interna '[DOP']]]</f>
        <v>0</v>
      </c>
      <c r="AE70" s="254"/>
      <c r="AF70" s="255"/>
      <c r="AG70" s="259">
        <f>BD.PD[[#This Row],[Av.P5 '[%']]]*BD.PD[[#This Row],[Ppto. Orden Interna '[DOP']]]</f>
        <v>0</v>
      </c>
      <c r="AH70" s="256">
        <f>BD.PD[[#This Row],[Pago 5]]+BD.PD[[#This Row],[Pago 4]]+BD.PD[[#This Row],[Pago 3]]+BD.PD[[#This Row],[Pago 2]]+BD.PD[[#This Row],[Pago 1]]</f>
        <v>253792.53899999999</v>
      </c>
      <c r="AI70" s="318"/>
      <c r="AJ70" s="318"/>
      <c r="AK70" s="318"/>
      <c r="AL70" s="318"/>
      <c r="AM70" s="318"/>
      <c r="AN70" s="318"/>
      <c r="AO70" s="318"/>
      <c r="AP70" s="318"/>
      <c r="AQ70" s="318"/>
      <c r="AR70" s="318"/>
      <c r="AS70" s="318"/>
      <c r="AT70" s="318"/>
      <c r="AU70" s="318"/>
      <c r="AV70" s="318"/>
      <c r="AW70" s="318"/>
      <c r="AX70" s="318"/>
      <c r="AY70" s="318"/>
      <c r="AZ70" s="318"/>
      <c r="BA70" s="318"/>
      <c r="BB70" s="318"/>
      <c r="BC70" s="318"/>
      <c r="BD70" s="318"/>
      <c r="BE70" s="318"/>
      <c r="BF70" s="318"/>
      <c r="BG70" s="318"/>
      <c r="BH70" s="318"/>
      <c r="BI70" s="318"/>
      <c r="BJ70" s="318"/>
      <c r="BK70" s="318"/>
      <c r="BL70" s="318"/>
      <c r="BM70" s="318"/>
      <c r="BN70" s="318"/>
      <c r="BO70" s="318"/>
      <c r="BP70" s="318"/>
      <c r="BQ70" s="318"/>
      <c r="BR70" s="318"/>
      <c r="BS70" s="318"/>
      <c r="BT70" s="318"/>
      <c r="BU70" s="318"/>
      <c r="BV70" s="318"/>
      <c r="BW70" s="318"/>
      <c r="BX70" s="318"/>
      <c r="BY70" s="318"/>
      <c r="BZ70" s="318"/>
      <c r="CA70" s="318"/>
      <c r="CB70" s="318"/>
      <c r="CC70" s="318"/>
      <c r="CD70" s="318"/>
      <c r="CE70" s="318"/>
      <c r="CF70" s="318"/>
      <c r="CG70" s="318"/>
      <c r="CH70" s="318"/>
      <c r="CI70" s="318"/>
      <c r="CJ70" s="318"/>
      <c r="CK70" s="318"/>
      <c r="CL70" s="318"/>
      <c r="CM70" s="318"/>
      <c r="CN70" s="318"/>
      <c r="CO70" s="318"/>
      <c r="CP70" s="318"/>
      <c r="CQ70" s="318"/>
      <c r="CR70" s="318"/>
      <c r="CS70" s="318"/>
      <c r="CT70" s="318"/>
      <c r="CU70" s="318"/>
      <c r="CV70" s="318"/>
      <c r="CW70" s="318"/>
      <c r="CX70" s="318"/>
      <c r="CY70" s="318"/>
      <c r="CZ70" s="318"/>
      <c r="DA70" s="318"/>
      <c r="DB70" s="318"/>
      <c r="DC70" s="318"/>
      <c r="DD70" s="318"/>
      <c r="DE70" s="318"/>
      <c r="DF70" s="318"/>
      <c r="DG70" s="318"/>
      <c r="DH70" s="318"/>
      <c r="DI70" s="318"/>
      <c r="DJ70" s="318"/>
      <c r="DK70" s="318"/>
      <c r="DL70" s="318"/>
      <c r="DM70" s="318"/>
      <c r="DN70" s="318"/>
      <c r="DO70" s="318"/>
      <c r="DP70" s="318"/>
      <c r="DQ70" s="318"/>
      <c r="DR70" s="318"/>
      <c r="DS70" s="318"/>
      <c r="DT70" s="318"/>
      <c r="DU70" s="318"/>
      <c r="DV70" s="318"/>
      <c r="DW70" s="318"/>
      <c r="DX70" s="318"/>
      <c r="DY70" s="318"/>
      <c r="DZ70" s="318"/>
      <c r="EA70" s="318"/>
      <c r="EB70" s="318"/>
      <c r="EC70" s="318"/>
      <c r="ED70" s="318"/>
      <c r="EE70" s="318"/>
      <c r="EF70" s="318"/>
      <c r="EG70" s="318"/>
      <c r="EH70" s="318"/>
      <c r="EI70" s="318"/>
      <c r="EJ70" s="318"/>
      <c r="EK70" s="318"/>
      <c r="EL70" s="318"/>
      <c r="EM70" s="318"/>
      <c r="EN70" s="318"/>
      <c r="EO70" s="318"/>
      <c r="EP70" s="318"/>
      <c r="EQ70" s="318"/>
      <c r="ER70" s="318"/>
      <c r="ES70" s="318"/>
      <c r="ET70" s="318"/>
      <c r="EU70" s="318"/>
      <c r="EV70" s="318"/>
      <c r="EW70" s="318"/>
      <c r="EX70" s="318"/>
      <c r="EY70" s="318"/>
      <c r="EZ70" s="318"/>
      <c r="FA70" s="318"/>
      <c r="FB70" s="318"/>
      <c r="FC70" s="318"/>
      <c r="FD70" s="318"/>
      <c r="FE70" s="318"/>
      <c r="FF70" s="318"/>
      <c r="FG70" s="318"/>
      <c r="FH70" s="318"/>
      <c r="FI70" s="318"/>
      <c r="FJ70" s="318"/>
      <c r="FK70" s="318"/>
      <c r="FL70" s="318"/>
      <c r="FM70" s="318"/>
      <c r="FN70" s="318"/>
      <c r="FO70" s="318"/>
      <c r="FP70" s="318"/>
      <c r="FQ70" s="318"/>
      <c r="FR70" s="318"/>
      <c r="FS70" s="318"/>
      <c r="FT70" s="318"/>
      <c r="FU70" s="318"/>
      <c r="FV70" s="318"/>
      <c r="FW70" s="318"/>
      <c r="FX70" s="318"/>
      <c r="FY70" s="318"/>
      <c r="FZ70" s="318"/>
      <c r="GA70" s="318"/>
      <c r="GB70" s="318"/>
      <c r="GC70" s="318"/>
      <c r="GD70" s="318"/>
      <c r="GE70" s="318"/>
      <c r="GF70" s="318"/>
      <c r="GG70" s="318"/>
      <c r="GH70" s="318"/>
      <c r="GI70" s="318"/>
      <c r="GJ70" s="318"/>
      <c r="GK70" s="318"/>
      <c r="GL70" s="318"/>
      <c r="GM70" s="318"/>
      <c r="GN70" s="318"/>
      <c r="GO70" s="318"/>
      <c r="GP70" s="318"/>
      <c r="GQ70" s="318"/>
      <c r="GR70" s="318"/>
      <c r="GS70" s="318"/>
      <c r="GT70" s="318"/>
      <c r="GU70" s="318"/>
      <c r="GV70" s="318"/>
      <c r="GW70" s="318"/>
      <c r="GX70" s="318"/>
      <c r="GY70" s="318"/>
      <c r="GZ70" s="318"/>
      <c r="HA70" s="318"/>
      <c r="HB70" s="318"/>
      <c r="HC70" s="318"/>
      <c r="HD70" s="318"/>
      <c r="HE70" s="318"/>
      <c r="HF70" s="318"/>
      <c r="HG70" s="318"/>
      <c r="HH70" s="318"/>
      <c r="HI70" s="318"/>
      <c r="HJ70" s="318"/>
      <c r="HK70" s="318"/>
      <c r="HL70" s="318"/>
      <c r="HM70" s="318"/>
      <c r="HN70" s="318"/>
      <c r="HO70" s="318"/>
      <c r="HP70" s="318"/>
      <c r="HQ70" s="318"/>
      <c r="HR70" s="318"/>
      <c r="HS70" s="318"/>
      <c r="HT70" s="318"/>
      <c r="HU70" s="318"/>
      <c r="HV70" s="318"/>
      <c r="HW70" s="318"/>
      <c r="HX70" s="318"/>
      <c r="HY70" s="318"/>
      <c r="HZ70" s="318"/>
      <c r="IA70" s="318"/>
      <c r="IB70" s="318"/>
      <c r="IC70" s="318"/>
    </row>
    <row r="71" spans="1:237" s="260" customFormat="1" ht="18" customHeight="1" x14ac:dyDescent="0.3">
      <c r="A71" s="181">
        <v>6.05</v>
      </c>
      <c r="B71" s="239"/>
      <c r="C71" s="240" t="str">
        <f>VLOOKUP(BD.PD[[#This Row],[Pos]],PPto[],3,FALSE)</f>
        <v>6.05 Otros sum e inst Tecnología y Seguridad Y Tesoreria</v>
      </c>
      <c r="D71" s="181" t="s">
        <v>40</v>
      </c>
      <c r="E71" s="242" t="str">
        <f>IF(BD.PD[[#This Row],[.]]="*",VLOOKUP(BD.PD[[#This Row],[Pos]],Presupuesto!A:H,7,FALSE),"")</f>
        <v/>
      </c>
      <c r="F71" s="383" t="s">
        <v>392</v>
      </c>
      <c r="G71" s="243" t="s">
        <v>308</v>
      </c>
      <c r="H71" s="275"/>
      <c r="I71" s="276">
        <v>22</v>
      </c>
      <c r="J71" s="181" t="s">
        <v>314</v>
      </c>
      <c r="K71" s="245">
        <f>IF(BD.PD[[#This Row],[Mon]]="DOP",1,HLOOKUP(BD.PD[[#This Row],[Mon]],$J$1:$K$2,2,FALSE))</f>
        <v>1</v>
      </c>
      <c r="L71" s="277">
        <v>26000</v>
      </c>
      <c r="M71" s="247">
        <f>BD.PD[[#This Row],[Cant.]]*BD.PD[[#This Row],[ Tasa ]]*BD.PD[[#This Row],[ Precio Und.]]</f>
        <v>572000</v>
      </c>
      <c r="N71" s="278">
        <v>0</v>
      </c>
      <c r="O71" s="247">
        <f>IF(BD.PD[[#This Row],[Liquid. '[%']]]&lt;&gt;0,(BD.PD[[#This Row],[Valor Neto '[DOP']]]*BD.PD[[#This Row],[Liquid. '[%']]])+BD.PD[[#This Row],[Valor Neto '[DOP']]],BD.PD[[#This Row],[Valor Neto '[DOP']]])</f>
        <v>572000</v>
      </c>
      <c r="P71" s="257">
        <f>BD.PD[[#This Row],[Ppto. Orden Interna '[DOP']]]/HLOOKUP("USD",$J$1:$K$2,2,FALSE)</f>
        <v>9423.3937397034588</v>
      </c>
      <c r="Q71" s="250" t="s">
        <v>399</v>
      </c>
      <c r="R71" s="258" t="s">
        <v>400</v>
      </c>
      <c r="S71" s="251">
        <v>22</v>
      </c>
      <c r="T71" s="252">
        <v>1</v>
      </c>
      <c r="U71" s="259">
        <f>BD.PD[[#This Row],[Av.P1 '[%']]]*BD.PD[[#This Row],[Ppto. Orden Interna '[DOP']]]</f>
        <v>572000</v>
      </c>
      <c r="V71" s="254">
        <v>24</v>
      </c>
      <c r="W71" s="255"/>
      <c r="X71" s="259">
        <f>BD.PD[[#This Row],[Av.P2 '[%']]]*BD.PD[[#This Row],[Ppto. Orden Interna '[DOP']]]</f>
        <v>0</v>
      </c>
      <c r="Y71" s="254"/>
      <c r="Z71" s="255"/>
      <c r="AA71" s="259">
        <f>BD.PD[[#This Row],[Av.P3 '[%']]]*BD.PD[[#This Row],[Ppto. Orden Interna '[DOP']]]</f>
        <v>0</v>
      </c>
      <c r="AB71" s="254"/>
      <c r="AC71" s="255"/>
      <c r="AD71" s="259">
        <f>BD.PD[[#This Row],[Av.P4 '[%']]]*BD.PD[[#This Row],[Ppto. Orden Interna '[DOP']]]</f>
        <v>0</v>
      </c>
      <c r="AE71" s="254"/>
      <c r="AF71" s="255"/>
      <c r="AG71" s="259">
        <f>BD.PD[[#This Row],[Av.P5 '[%']]]*BD.PD[[#This Row],[Ppto. Orden Interna '[DOP']]]</f>
        <v>0</v>
      </c>
      <c r="AH71" s="256">
        <f>BD.PD[[#This Row],[Pago 5]]+BD.PD[[#This Row],[Pago 4]]+BD.PD[[#This Row],[Pago 3]]+BD.PD[[#This Row],[Pago 2]]+BD.PD[[#This Row],[Pago 1]]</f>
        <v>572000</v>
      </c>
      <c r="AI71" s="318"/>
      <c r="AJ71" s="318"/>
      <c r="AK71" s="318"/>
      <c r="AL71" s="318"/>
      <c r="AM71" s="318"/>
      <c r="AN71" s="318"/>
      <c r="AO71" s="318"/>
      <c r="AP71" s="318"/>
      <c r="AQ71" s="318"/>
      <c r="AR71" s="318"/>
      <c r="AS71" s="318"/>
      <c r="AT71" s="318"/>
      <c r="AU71" s="318"/>
      <c r="AV71" s="318"/>
      <c r="AW71" s="318"/>
      <c r="AX71" s="318"/>
      <c r="AY71" s="318"/>
      <c r="AZ71" s="318"/>
      <c r="BA71" s="318"/>
      <c r="BB71" s="318"/>
      <c r="BC71" s="318"/>
      <c r="BD71" s="318"/>
      <c r="BE71" s="318"/>
      <c r="BF71" s="318"/>
      <c r="BG71" s="318"/>
      <c r="BH71" s="318"/>
      <c r="BI71" s="318"/>
      <c r="BJ71" s="318"/>
      <c r="BK71" s="318"/>
      <c r="BL71" s="318"/>
      <c r="BM71" s="318"/>
      <c r="BN71" s="318"/>
      <c r="BO71" s="318"/>
      <c r="BP71" s="318"/>
      <c r="BQ71" s="318"/>
      <c r="BR71" s="318"/>
      <c r="BS71" s="318"/>
      <c r="BT71" s="318"/>
      <c r="BU71" s="318"/>
      <c r="BV71" s="318"/>
      <c r="BW71" s="318"/>
      <c r="BX71" s="318"/>
      <c r="BY71" s="318"/>
      <c r="BZ71" s="318"/>
      <c r="CA71" s="318"/>
      <c r="CB71" s="318"/>
      <c r="CC71" s="318"/>
      <c r="CD71" s="318"/>
      <c r="CE71" s="318"/>
      <c r="CF71" s="318"/>
      <c r="CG71" s="318"/>
      <c r="CH71" s="318"/>
      <c r="CI71" s="318"/>
      <c r="CJ71" s="318"/>
      <c r="CK71" s="318"/>
      <c r="CL71" s="318"/>
      <c r="CM71" s="318"/>
      <c r="CN71" s="318"/>
      <c r="CO71" s="318"/>
      <c r="CP71" s="318"/>
      <c r="CQ71" s="318"/>
      <c r="CR71" s="318"/>
      <c r="CS71" s="318"/>
      <c r="CT71" s="318"/>
      <c r="CU71" s="318"/>
      <c r="CV71" s="318"/>
      <c r="CW71" s="318"/>
      <c r="CX71" s="318"/>
      <c r="CY71" s="318"/>
      <c r="CZ71" s="318"/>
      <c r="DA71" s="318"/>
      <c r="DB71" s="318"/>
      <c r="DC71" s="318"/>
      <c r="DD71" s="318"/>
      <c r="DE71" s="318"/>
      <c r="DF71" s="318"/>
      <c r="DG71" s="318"/>
      <c r="DH71" s="318"/>
      <c r="DI71" s="318"/>
      <c r="DJ71" s="318"/>
      <c r="DK71" s="318"/>
      <c r="DL71" s="318"/>
      <c r="DM71" s="318"/>
      <c r="DN71" s="318"/>
      <c r="DO71" s="318"/>
      <c r="DP71" s="318"/>
      <c r="DQ71" s="318"/>
      <c r="DR71" s="318"/>
      <c r="DS71" s="318"/>
      <c r="DT71" s="318"/>
      <c r="DU71" s="318"/>
      <c r="DV71" s="318"/>
      <c r="DW71" s="318"/>
      <c r="DX71" s="318"/>
      <c r="DY71" s="318"/>
      <c r="DZ71" s="318"/>
      <c r="EA71" s="318"/>
      <c r="EB71" s="318"/>
      <c r="EC71" s="318"/>
      <c r="ED71" s="318"/>
      <c r="EE71" s="318"/>
      <c r="EF71" s="318"/>
      <c r="EG71" s="318"/>
      <c r="EH71" s="318"/>
      <c r="EI71" s="318"/>
      <c r="EJ71" s="318"/>
      <c r="EK71" s="318"/>
      <c r="EL71" s="318"/>
      <c r="EM71" s="318"/>
      <c r="EN71" s="318"/>
      <c r="EO71" s="318"/>
      <c r="EP71" s="318"/>
      <c r="EQ71" s="318"/>
      <c r="ER71" s="318"/>
      <c r="ES71" s="318"/>
      <c r="ET71" s="318"/>
      <c r="EU71" s="318"/>
      <c r="EV71" s="318"/>
      <c r="EW71" s="318"/>
      <c r="EX71" s="318"/>
      <c r="EY71" s="318"/>
      <c r="EZ71" s="318"/>
      <c r="FA71" s="318"/>
      <c r="FB71" s="318"/>
      <c r="FC71" s="318"/>
      <c r="FD71" s="318"/>
      <c r="FE71" s="318"/>
      <c r="FF71" s="318"/>
      <c r="FG71" s="318"/>
      <c r="FH71" s="318"/>
      <c r="FI71" s="318"/>
      <c r="FJ71" s="318"/>
      <c r="FK71" s="318"/>
      <c r="FL71" s="318"/>
      <c r="FM71" s="318"/>
      <c r="FN71" s="318"/>
      <c r="FO71" s="318"/>
      <c r="FP71" s="318"/>
      <c r="FQ71" s="318"/>
      <c r="FR71" s="318"/>
      <c r="FS71" s="318"/>
      <c r="FT71" s="318"/>
      <c r="FU71" s="318"/>
      <c r="FV71" s="318"/>
      <c r="FW71" s="318"/>
      <c r="FX71" s="318"/>
      <c r="FY71" s="318"/>
      <c r="FZ71" s="318"/>
      <c r="GA71" s="318"/>
      <c r="GB71" s="318"/>
      <c r="GC71" s="318"/>
      <c r="GD71" s="318"/>
      <c r="GE71" s="318"/>
      <c r="GF71" s="318"/>
      <c r="GG71" s="318"/>
      <c r="GH71" s="318"/>
      <c r="GI71" s="318"/>
      <c r="GJ71" s="318"/>
      <c r="GK71" s="318"/>
      <c r="GL71" s="318"/>
      <c r="GM71" s="318"/>
      <c r="GN71" s="318"/>
      <c r="GO71" s="318"/>
      <c r="GP71" s="318"/>
      <c r="GQ71" s="318"/>
      <c r="GR71" s="318"/>
      <c r="GS71" s="318"/>
      <c r="GT71" s="318"/>
      <c r="GU71" s="318"/>
      <c r="GV71" s="318"/>
      <c r="GW71" s="318"/>
      <c r="GX71" s="318"/>
      <c r="GY71" s="318"/>
      <c r="GZ71" s="318"/>
      <c r="HA71" s="318"/>
      <c r="HB71" s="318"/>
      <c r="HC71" s="318"/>
      <c r="HD71" s="318"/>
      <c r="HE71" s="318"/>
      <c r="HF71" s="318"/>
      <c r="HG71" s="318"/>
      <c r="HH71" s="318"/>
      <c r="HI71" s="318"/>
      <c r="HJ71" s="318"/>
      <c r="HK71" s="318"/>
      <c r="HL71" s="318"/>
      <c r="HM71" s="318"/>
      <c r="HN71" s="318"/>
      <c r="HO71" s="318"/>
      <c r="HP71" s="318"/>
      <c r="HQ71" s="318"/>
      <c r="HR71" s="318"/>
      <c r="HS71" s="318"/>
      <c r="HT71" s="318"/>
      <c r="HU71" s="318"/>
      <c r="HV71" s="318"/>
      <c r="HW71" s="318"/>
      <c r="HX71" s="318"/>
      <c r="HY71" s="318"/>
      <c r="HZ71" s="318"/>
      <c r="IA71" s="318"/>
      <c r="IB71" s="318"/>
      <c r="IC71" s="318"/>
    </row>
    <row r="72" spans="1:237" s="260" customFormat="1" ht="15" customHeight="1" x14ac:dyDescent="0.3">
      <c r="A72" s="181">
        <v>8.07</v>
      </c>
      <c r="B72" s="239"/>
      <c r="C72" s="240" t="str">
        <f>VLOOKUP(BD.PD[[#This Row],[Pos]],PPto[],3,FALSE)</f>
        <v>8.07 Señalizacion interiores</v>
      </c>
      <c r="D72" s="181" t="s">
        <v>40</v>
      </c>
      <c r="E72" s="242" t="str">
        <f>IF(BD.PD[[#This Row],[.]]="*",VLOOKUP(BD.PD[[#This Row],[Pos]],Presupuesto!A:H,7,FALSE),"")</f>
        <v/>
      </c>
      <c r="F72" s="243" t="s">
        <v>674</v>
      </c>
      <c r="G72" s="243" t="s">
        <v>308</v>
      </c>
      <c r="H72" s="275"/>
      <c r="I72" s="276">
        <v>1</v>
      </c>
      <c r="J72" s="181" t="s">
        <v>314</v>
      </c>
      <c r="K72" s="245">
        <f>IF(BD.PD[[#This Row],[Mon]]="DOP",1,HLOOKUP(BD.PD[[#This Row],[Mon]],$J$1:$K$2,2,FALSE))</f>
        <v>1</v>
      </c>
      <c r="L72" s="277">
        <v>360000</v>
      </c>
      <c r="M72" s="247">
        <f>BD.PD[[#This Row],[Cant.]]*BD.PD[[#This Row],[ Tasa ]]*BD.PD[[#This Row],[ Precio Und.]]</f>
        <v>360000</v>
      </c>
      <c r="N72" s="278">
        <v>0</v>
      </c>
      <c r="O72" s="247">
        <f>IF(BD.PD[[#This Row],[Liquid. '[%']]]&lt;&gt;0,(BD.PD[[#This Row],[Valor Neto '[DOP']]]*BD.PD[[#This Row],[Liquid. '[%']]])+BD.PD[[#This Row],[Valor Neto '[DOP']]],BD.PD[[#This Row],[Valor Neto '[DOP']]])</f>
        <v>360000</v>
      </c>
      <c r="P72" s="257">
        <f>BD.PD[[#This Row],[Ppto. Orden Interna '[DOP']]]/HLOOKUP("USD",$J$1:$K$2,2,FALSE)</f>
        <v>5930.8072487644149</v>
      </c>
      <c r="Q72" s="250" t="s">
        <v>672</v>
      </c>
      <c r="R72" s="258" t="s">
        <v>1130</v>
      </c>
      <c r="S72" s="251">
        <v>22</v>
      </c>
      <c r="T72" s="252">
        <v>1</v>
      </c>
      <c r="U72" s="259">
        <f>BD.PD[[#This Row],[Av.P1 '[%']]]*BD.PD[[#This Row],[Ppto. Orden Interna '[DOP']]]</f>
        <v>360000</v>
      </c>
      <c r="V72" s="254"/>
      <c r="W72" s="255"/>
      <c r="X72" s="259">
        <f>BD.PD[[#This Row],[Av.P2 '[%']]]*BD.PD[[#This Row],[Ppto. Orden Interna '[DOP']]]</f>
        <v>0</v>
      </c>
      <c r="Y72" s="254"/>
      <c r="Z72" s="255"/>
      <c r="AA72" s="259">
        <f>BD.PD[[#This Row],[Av.P3 '[%']]]*BD.PD[[#This Row],[Ppto. Orden Interna '[DOP']]]</f>
        <v>0</v>
      </c>
      <c r="AB72" s="254"/>
      <c r="AC72" s="255"/>
      <c r="AD72" s="259">
        <f>BD.PD[[#This Row],[Av.P4 '[%']]]*BD.PD[[#This Row],[Ppto. Orden Interna '[DOP']]]</f>
        <v>0</v>
      </c>
      <c r="AE72" s="254"/>
      <c r="AF72" s="255"/>
      <c r="AG72" s="259">
        <f>BD.PD[[#This Row],[Av.P5 '[%']]]*BD.PD[[#This Row],[Ppto. Orden Interna '[DOP']]]</f>
        <v>0</v>
      </c>
      <c r="AH72" s="256">
        <f>BD.PD[[#This Row],[Pago 5]]+BD.PD[[#This Row],[Pago 4]]+BD.PD[[#This Row],[Pago 3]]+BD.PD[[#This Row],[Pago 2]]+BD.PD[[#This Row],[Pago 1]]</f>
        <v>360000</v>
      </c>
      <c r="AI72" s="318"/>
      <c r="AJ72" s="318"/>
      <c r="AK72" s="318"/>
      <c r="AL72" s="318"/>
      <c r="AM72" s="318"/>
      <c r="AN72" s="318"/>
      <c r="AO72" s="318"/>
      <c r="AP72" s="318"/>
      <c r="AQ72" s="318"/>
      <c r="AR72" s="318"/>
      <c r="AS72" s="318"/>
      <c r="AT72" s="318"/>
      <c r="AU72" s="318"/>
      <c r="AV72" s="318"/>
      <c r="AW72" s="318"/>
      <c r="AX72" s="318"/>
      <c r="AY72" s="318"/>
      <c r="AZ72" s="318"/>
      <c r="BA72" s="318"/>
      <c r="BB72" s="318"/>
      <c r="BC72" s="318"/>
      <c r="BD72" s="318"/>
      <c r="BE72" s="318"/>
      <c r="BF72" s="318"/>
      <c r="BG72" s="318"/>
      <c r="BH72" s="318"/>
      <c r="BI72" s="318"/>
      <c r="BJ72" s="318"/>
      <c r="BK72" s="318"/>
      <c r="BL72" s="318"/>
      <c r="BM72" s="318"/>
      <c r="BN72" s="318"/>
      <c r="BO72" s="318"/>
      <c r="BP72" s="318"/>
      <c r="BQ72" s="318"/>
      <c r="BR72" s="318"/>
      <c r="BS72" s="318"/>
      <c r="BT72" s="318"/>
      <c r="BU72" s="318"/>
      <c r="BV72" s="318"/>
      <c r="BW72" s="318"/>
      <c r="BX72" s="318"/>
      <c r="BY72" s="318"/>
      <c r="BZ72" s="318"/>
      <c r="CA72" s="318"/>
      <c r="CB72" s="318"/>
      <c r="CC72" s="318"/>
      <c r="CD72" s="318"/>
      <c r="CE72" s="318"/>
      <c r="CF72" s="318"/>
      <c r="CG72" s="318"/>
      <c r="CH72" s="318"/>
      <c r="CI72" s="318"/>
      <c r="CJ72" s="318"/>
      <c r="CK72" s="318"/>
      <c r="CL72" s="318"/>
      <c r="CM72" s="318"/>
      <c r="CN72" s="318"/>
      <c r="CO72" s="318"/>
      <c r="CP72" s="318"/>
      <c r="CQ72" s="318"/>
      <c r="CR72" s="318"/>
      <c r="CS72" s="318"/>
      <c r="CT72" s="318"/>
      <c r="CU72" s="318"/>
      <c r="CV72" s="318"/>
      <c r="CW72" s="318"/>
      <c r="CX72" s="318"/>
      <c r="CY72" s="318"/>
      <c r="CZ72" s="318"/>
      <c r="DA72" s="318"/>
      <c r="DB72" s="318"/>
      <c r="DC72" s="318"/>
      <c r="DD72" s="318"/>
      <c r="DE72" s="318"/>
      <c r="DF72" s="318"/>
      <c r="DG72" s="318"/>
      <c r="DH72" s="318"/>
      <c r="DI72" s="318"/>
      <c r="DJ72" s="318"/>
      <c r="DK72" s="318"/>
      <c r="DL72" s="318"/>
      <c r="DM72" s="318"/>
      <c r="DN72" s="318"/>
      <c r="DO72" s="318"/>
      <c r="DP72" s="318"/>
      <c r="DQ72" s="318"/>
      <c r="DR72" s="318"/>
      <c r="DS72" s="318"/>
      <c r="DT72" s="318"/>
      <c r="DU72" s="318"/>
      <c r="DV72" s="318"/>
      <c r="DW72" s="318"/>
      <c r="DX72" s="318"/>
      <c r="DY72" s="318"/>
      <c r="DZ72" s="318"/>
      <c r="EA72" s="318"/>
      <c r="EB72" s="318"/>
      <c r="EC72" s="318"/>
      <c r="ED72" s="318"/>
      <c r="EE72" s="318"/>
      <c r="EF72" s="318"/>
      <c r="EG72" s="318"/>
      <c r="EH72" s="318"/>
      <c r="EI72" s="318"/>
      <c r="EJ72" s="318"/>
      <c r="EK72" s="318"/>
      <c r="EL72" s="318"/>
      <c r="EM72" s="318"/>
      <c r="EN72" s="318"/>
      <c r="EO72" s="318"/>
      <c r="EP72" s="318"/>
      <c r="EQ72" s="318"/>
      <c r="ER72" s="318"/>
      <c r="ES72" s="318"/>
      <c r="ET72" s="318"/>
      <c r="EU72" s="318"/>
      <c r="EV72" s="318"/>
      <c r="EW72" s="318"/>
      <c r="EX72" s="318"/>
      <c r="EY72" s="318"/>
      <c r="EZ72" s="318"/>
      <c r="FA72" s="318"/>
      <c r="FB72" s="318"/>
      <c r="FC72" s="318"/>
      <c r="FD72" s="318"/>
      <c r="FE72" s="318"/>
      <c r="FF72" s="318"/>
      <c r="FG72" s="318"/>
      <c r="FH72" s="318"/>
      <c r="FI72" s="318"/>
      <c r="FJ72" s="318"/>
      <c r="FK72" s="318"/>
      <c r="FL72" s="318"/>
      <c r="FM72" s="318"/>
      <c r="FN72" s="318"/>
      <c r="FO72" s="318"/>
      <c r="FP72" s="318"/>
      <c r="FQ72" s="318"/>
      <c r="FR72" s="318"/>
      <c r="FS72" s="318"/>
      <c r="FT72" s="318"/>
      <c r="FU72" s="318"/>
      <c r="FV72" s="318"/>
      <c r="FW72" s="318"/>
      <c r="FX72" s="318"/>
      <c r="FY72" s="318"/>
      <c r="FZ72" s="318"/>
      <c r="GA72" s="318"/>
      <c r="GB72" s="318"/>
      <c r="GC72" s="318"/>
      <c r="GD72" s="318"/>
      <c r="GE72" s="318"/>
      <c r="GF72" s="318"/>
      <c r="GG72" s="318"/>
      <c r="GH72" s="318"/>
      <c r="GI72" s="318"/>
      <c r="GJ72" s="318"/>
      <c r="GK72" s="318"/>
      <c r="GL72" s="318"/>
      <c r="GM72" s="318"/>
      <c r="GN72" s="318"/>
      <c r="GO72" s="318"/>
      <c r="GP72" s="318"/>
      <c r="GQ72" s="318"/>
      <c r="GR72" s="318"/>
      <c r="GS72" s="318"/>
      <c r="GT72" s="318"/>
      <c r="GU72" s="318"/>
      <c r="GV72" s="318"/>
      <c r="GW72" s="318"/>
      <c r="GX72" s="318"/>
      <c r="GY72" s="318"/>
      <c r="GZ72" s="318"/>
      <c r="HA72" s="318"/>
      <c r="HB72" s="318"/>
      <c r="HC72" s="318"/>
      <c r="HD72" s="318"/>
      <c r="HE72" s="318"/>
      <c r="HF72" s="318"/>
      <c r="HG72" s="318"/>
      <c r="HH72" s="318"/>
      <c r="HI72" s="318"/>
      <c r="HJ72" s="318"/>
      <c r="HK72" s="318"/>
      <c r="HL72" s="318"/>
      <c r="HM72" s="318"/>
      <c r="HN72" s="318"/>
      <c r="HO72" s="318"/>
      <c r="HP72" s="318"/>
      <c r="HQ72" s="318"/>
      <c r="HR72" s="318"/>
      <c r="HS72" s="318"/>
      <c r="HT72" s="318"/>
      <c r="HU72" s="318"/>
      <c r="HV72" s="318"/>
      <c r="HW72" s="318"/>
      <c r="HX72" s="318"/>
      <c r="HY72" s="318"/>
      <c r="HZ72" s="318"/>
      <c r="IA72" s="318"/>
      <c r="IB72" s="318"/>
      <c r="IC72" s="318"/>
    </row>
    <row r="73" spans="1:237" ht="15" customHeight="1" x14ac:dyDescent="0.3">
      <c r="A73" s="181">
        <v>8.08</v>
      </c>
      <c r="B73" s="239"/>
      <c r="C73" s="240" t="str">
        <f>VLOOKUP(BD.PD[[#This Row],[Pos]],PPto[],3,FALSE)</f>
        <v>8.08 Señalizacion exteriores</v>
      </c>
      <c r="D73" s="181" t="s">
        <v>40</v>
      </c>
      <c r="E73" s="242" t="str">
        <f>IF(BD.PD[[#This Row],[.]]="*",VLOOKUP(BD.PD[[#This Row],[Pos]],Presupuesto!A:H,7,FALSE),"")</f>
        <v/>
      </c>
      <c r="F73" s="243" t="s">
        <v>675</v>
      </c>
      <c r="G73" s="243" t="s">
        <v>308</v>
      </c>
      <c r="H73" s="275"/>
      <c r="I73" s="276">
        <v>1</v>
      </c>
      <c r="J73" s="181" t="s">
        <v>314</v>
      </c>
      <c r="K73" s="245">
        <f>IF(BD.PD[[#This Row],[Mon]]="DOP",1,HLOOKUP(BD.PD[[#This Row],[Mon]],$J$1:$K$2,2,FALSE))</f>
        <v>1</v>
      </c>
      <c r="L73" s="277">
        <v>1650000</v>
      </c>
      <c r="M73" s="247">
        <f>BD.PD[[#This Row],[Cant.]]*BD.PD[[#This Row],[ Tasa ]]*BD.PD[[#This Row],[ Precio Und.]]</f>
        <v>1650000</v>
      </c>
      <c r="N73" s="278">
        <v>0</v>
      </c>
      <c r="O73" s="247">
        <f>IF(BD.PD[[#This Row],[Liquid. '[%']]]&lt;&gt;0,(BD.PD[[#This Row],[Valor Neto '[DOP']]]*BD.PD[[#This Row],[Liquid. '[%']]])+BD.PD[[#This Row],[Valor Neto '[DOP']]],BD.PD[[#This Row],[Valor Neto '[DOP']]])</f>
        <v>1650000</v>
      </c>
      <c r="P73" s="257">
        <f>BD.PD[[#This Row],[Ppto. Orden Interna '[DOP']]]/HLOOKUP("USD",$J$1:$K$2,2,FALSE)</f>
        <v>27182.866556836903</v>
      </c>
      <c r="Q73" s="250" t="s">
        <v>672</v>
      </c>
      <c r="R73" s="258" t="s">
        <v>1130</v>
      </c>
      <c r="S73" s="251">
        <v>21</v>
      </c>
      <c r="T73" s="252">
        <v>0.5</v>
      </c>
      <c r="U73" s="259">
        <f>BD.PD[[#This Row],[Av.P1 '[%']]]*BD.PD[[#This Row],[Ppto. Orden Interna '[DOP']]]</f>
        <v>825000</v>
      </c>
      <c r="V73" s="254">
        <v>24</v>
      </c>
      <c r="W73" s="255">
        <v>0.5</v>
      </c>
      <c r="X73" s="259">
        <f>BD.PD[[#This Row],[Av.P2 '[%']]]*BD.PD[[#This Row],[Ppto. Orden Interna '[DOP']]]</f>
        <v>825000</v>
      </c>
      <c r="Y73" s="254"/>
      <c r="Z73" s="255"/>
      <c r="AA73" s="259">
        <f>BD.PD[[#This Row],[Av.P3 '[%']]]*BD.PD[[#This Row],[Ppto. Orden Interna '[DOP']]]</f>
        <v>0</v>
      </c>
      <c r="AB73" s="254"/>
      <c r="AC73" s="255"/>
      <c r="AD73" s="259">
        <f>BD.PD[[#This Row],[Av.P4 '[%']]]*BD.PD[[#This Row],[Ppto. Orden Interna '[DOP']]]</f>
        <v>0</v>
      </c>
      <c r="AE73" s="254"/>
      <c r="AF73" s="255"/>
      <c r="AG73" s="259">
        <f>BD.PD[[#This Row],[Av.P5 '[%']]]*BD.PD[[#This Row],[Ppto. Orden Interna '[DOP']]]</f>
        <v>0</v>
      </c>
      <c r="AH73" s="256">
        <f>BD.PD[[#This Row],[Pago 5]]+BD.PD[[#This Row],[Pago 4]]+BD.PD[[#This Row],[Pago 3]]+BD.PD[[#This Row],[Pago 2]]+BD.PD[[#This Row],[Pago 1]]</f>
        <v>1650000</v>
      </c>
      <c r="AI73" s="318"/>
    </row>
    <row r="74" spans="1:237" ht="15" customHeight="1" x14ac:dyDescent="0.3">
      <c r="A74" s="181">
        <v>8.0500000000000007</v>
      </c>
      <c r="B74" s="239"/>
      <c r="C74" s="240" t="str">
        <f>VLOOKUP(BD.PD[[#This Row],[Pos]],PPto[],3,FALSE)</f>
        <v>8.05 Mobiliario no operacional para Tiendas</v>
      </c>
      <c r="D74" s="181" t="s">
        <v>40</v>
      </c>
      <c r="E74" s="242" t="str">
        <f>IF(BD.PD[[#This Row],[.]]="*",VLOOKUP(BD.PD[[#This Row],[Pos]],Presupuesto!A:H,7,FALSE),"")</f>
        <v/>
      </c>
      <c r="F74" s="390" t="s">
        <v>578</v>
      </c>
      <c r="G74" s="243" t="s">
        <v>308</v>
      </c>
      <c r="H74" s="275"/>
      <c r="I74" s="276">
        <v>1</v>
      </c>
      <c r="J74" s="181" t="s">
        <v>314</v>
      </c>
      <c r="K74" s="245">
        <f>IF(BD.PD[[#This Row],[Mon]]="DOP",1,HLOOKUP(BD.PD[[#This Row],[Mon]],$J$1:$K$2,2,FALSE))</f>
        <v>1</v>
      </c>
      <c r="L74" s="391">
        <v>1600000</v>
      </c>
      <c r="M74" s="247">
        <f>BD.PD[[#This Row],[Cant.]]*BD.PD[[#This Row],[ Tasa ]]*BD.PD[[#This Row],[ Precio Und.]]</f>
        <v>1600000</v>
      </c>
      <c r="N74" s="278">
        <v>0</v>
      </c>
      <c r="O74" s="247">
        <f>IF(BD.PD[[#This Row],[Liquid. '[%']]]&lt;&gt;0,(BD.PD[[#This Row],[Valor Neto '[DOP']]]*BD.PD[[#This Row],[Liquid. '[%']]])+BD.PD[[#This Row],[Valor Neto '[DOP']]],BD.PD[[#This Row],[Valor Neto '[DOP']]])</f>
        <v>1600000</v>
      </c>
      <c r="P74" s="257">
        <f>BD.PD[[#This Row],[Ppto. Orden Interna '[DOP']]]/HLOOKUP("USD",$J$1:$K$2,2,FALSE)</f>
        <v>26359.143327841844</v>
      </c>
      <c r="Q74" s="250" t="s">
        <v>1122</v>
      </c>
      <c r="R74" s="258" t="s">
        <v>1123</v>
      </c>
      <c r="S74" s="251">
        <v>22</v>
      </c>
      <c r="T74" s="252">
        <v>1</v>
      </c>
      <c r="U74" s="259">
        <f>BD.PD[[#This Row],[Av.P1 '[%']]]*BD.PD[[#This Row],[Ppto. Orden Interna '[DOP']]]</f>
        <v>1600000</v>
      </c>
      <c r="V74" s="254"/>
      <c r="W74" s="255"/>
      <c r="X74" s="259">
        <f>BD.PD[[#This Row],[Av.P2 '[%']]]*BD.PD[[#This Row],[Ppto. Orden Interna '[DOP']]]</f>
        <v>0</v>
      </c>
      <c r="Y74" s="254"/>
      <c r="Z74" s="255"/>
      <c r="AA74" s="259">
        <f>BD.PD[[#This Row],[Av.P3 '[%']]]*BD.PD[[#This Row],[Ppto. Orden Interna '[DOP']]]</f>
        <v>0</v>
      </c>
      <c r="AB74" s="254"/>
      <c r="AC74" s="255"/>
      <c r="AD74" s="259">
        <f>BD.PD[[#This Row],[Av.P4 '[%']]]*BD.PD[[#This Row],[Ppto. Orden Interna '[DOP']]]</f>
        <v>0</v>
      </c>
      <c r="AE74" s="254"/>
      <c r="AF74" s="255"/>
      <c r="AG74" s="259">
        <f>BD.PD[[#This Row],[Av.P5 '[%']]]*BD.PD[[#This Row],[Ppto. Orden Interna '[DOP']]]</f>
        <v>0</v>
      </c>
      <c r="AH74" s="256">
        <f>BD.PD[[#This Row],[Pago 5]]+BD.PD[[#This Row],[Pago 4]]+BD.PD[[#This Row],[Pago 3]]+BD.PD[[#This Row],[Pago 2]]+BD.PD[[#This Row],[Pago 1]]</f>
        <v>1600000</v>
      </c>
      <c r="AI74" s="318"/>
    </row>
    <row r="75" spans="1:237" ht="15" customHeight="1" x14ac:dyDescent="0.3">
      <c r="A75" s="181">
        <v>8.06</v>
      </c>
      <c r="B75" s="239"/>
      <c r="C75" s="240" t="str">
        <f>VLOOKUP(BD.PD[[#This Row],[Pos]],PPto[],3,FALSE)</f>
        <v>8.06 Otros Equipamientos de Tienda</v>
      </c>
      <c r="D75" s="181" t="s">
        <v>40</v>
      </c>
      <c r="E75" s="242" t="str">
        <f>IF(BD.PD[[#This Row],[.]]="*",VLOOKUP(BD.PD[[#This Row],[Pos]],Presupuesto!A:H,7,FALSE),"")</f>
        <v/>
      </c>
      <c r="F75" s="302" t="s">
        <v>635</v>
      </c>
      <c r="G75" s="243" t="s">
        <v>308</v>
      </c>
      <c r="H75" s="275"/>
      <c r="I75" s="276">
        <v>1</v>
      </c>
      <c r="J75" s="181" t="s">
        <v>314</v>
      </c>
      <c r="K75" s="245">
        <f>IF(BD.PD[[#This Row],[Mon]]="DOP",1,HLOOKUP(BD.PD[[#This Row],[Mon]],$J$1:$K$2,2,FALSE))</f>
        <v>1</v>
      </c>
      <c r="L75" s="277">
        <v>17000</v>
      </c>
      <c r="M75" s="247">
        <f>BD.PD[[#This Row],[Cant.]]*BD.PD[[#This Row],[ Tasa ]]*BD.PD[[#This Row],[ Precio Und.]]</f>
        <v>17000</v>
      </c>
      <c r="N75" s="278">
        <v>0</v>
      </c>
      <c r="O75" s="247">
        <f>IF(BD.PD[[#This Row],[Liquid. '[%']]]&lt;&gt;0,(BD.PD[[#This Row],[Valor Neto '[DOP']]]*BD.PD[[#This Row],[Liquid. '[%']]])+BD.PD[[#This Row],[Valor Neto '[DOP']]],BD.PD[[#This Row],[Valor Neto '[DOP']]])</f>
        <v>17000</v>
      </c>
      <c r="P75" s="257">
        <f>BD.PD[[#This Row],[Ppto. Orden Interna '[DOP']]]/HLOOKUP("USD",$J$1:$K$2,2,FALSE)</f>
        <v>280.0658978583196</v>
      </c>
      <c r="Q75" s="250" t="s">
        <v>659</v>
      </c>
      <c r="R75" s="258" t="s">
        <v>638</v>
      </c>
      <c r="S75" s="251">
        <v>22</v>
      </c>
      <c r="T75" s="252">
        <v>1</v>
      </c>
      <c r="U75" s="259">
        <f>BD.PD[[#This Row],[Av.P1 '[%']]]*BD.PD[[#This Row],[Ppto. Orden Interna '[DOP']]]</f>
        <v>17000</v>
      </c>
      <c r="V75" s="254"/>
      <c r="W75" s="255"/>
      <c r="X75" s="259">
        <f>BD.PD[[#This Row],[Av.P2 '[%']]]*BD.PD[[#This Row],[Ppto. Orden Interna '[DOP']]]</f>
        <v>0</v>
      </c>
      <c r="Y75" s="254"/>
      <c r="Z75" s="255"/>
      <c r="AA75" s="259">
        <f>BD.PD[[#This Row],[Av.P3 '[%']]]*BD.PD[[#This Row],[Ppto. Orden Interna '[DOP']]]</f>
        <v>0</v>
      </c>
      <c r="AB75" s="254"/>
      <c r="AC75" s="255"/>
      <c r="AD75" s="259">
        <f>BD.PD[[#This Row],[Av.P4 '[%']]]*BD.PD[[#This Row],[Ppto. Orden Interna '[DOP']]]</f>
        <v>0</v>
      </c>
      <c r="AE75" s="254"/>
      <c r="AF75" s="255"/>
      <c r="AG75" s="259">
        <f>BD.PD[[#This Row],[Av.P5 '[%']]]*BD.PD[[#This Row],[Ppto. Orden Interna '[DOP']]]</f>
        <v>0</v>
      </c>
      <c r="AH75" s="256">
        <f>BD.PD[[#This Row],[Pago 5]]+BD.PD[[#This Row],[Pago 4]]+BD.PD[[#This Row],[Pago 3]]+BD.PD[[#This Row],[Pago 2]]+BD.PD[[#This Row],[Pago 1]]</f>
        <v>17000</v>
      </c>
      <c r="AI75" s="318"/>
    </row>
    <row r="76" spans="1:237" ht="15" customHeight="1" x14ac:dyDescent="0.3">
      <c r="A76" s="181">
        <v>8.0500000000000007</v>
      </c>
      <c r="B76" s="239"/>
      <c r="C76" s="240" t="str">
        <f>VLOOKUP(BD.PD[[#This Row],[Pos]],PPto[],3,FALSE)</f>
        <v>8.05 Mobiliario no operacional para Tiendas</v>
      </c>
      <c r="D76" s="181" t="s">
        <v>40</v>
      </c>
      <c r="E76" s="242" t="str">
        <f>IF(BD.PD[[#This Row],[.]]="*",VLOOKUP(BD.PD[[#This Row],[Pos]],Presupuesto!A:H,7,FALSE),"")</f>
        <v/>
      </c>
      <c r="F76" s="389" t="s">
        <v>1063</v>
      </c>
      <c r="G76" s="243" t="s">
        <v>308</v>
      </c>
      <c r="H76" s="275"/>
      <c r="I76" s="276">
        <v>2</v>
      </c>
      <c r="J76" s="181" t="s">
        <v>314</v>
      </c>
      <c r="K76" s="245">
        <f>IF(BD.PD[[#This Row],[Mon]]="DOP",1,HLOOKUP(BD.PD[[#This Row],[Mon]],$J$1:$K$2,2,FALSE))</f>
        <v>1</v>
      </c>
      <c r="L76" s="388">
        <v>18000</v>
      </c>
      <c r="M76" s="247">
        <f>BD.PD[[#This Row],[Cant.]]*BD.PD[[#This Row],[ Tasa ]]*BD.PD[[#This Row],[ Precio Und.]]</f>
        <v>36000</v>
      </c>
      <c r="N76" s="278">
        <v>0</v>
      </c>
      <c r="O76" s="247">
        <f>IF(BD.PD[[#This Row],[Liquid. '[%']]]&lt;&gt;0,(BD.PD[[#This Row],[Valor Neto '[DOP']]]*BD.PD[[#This Row],[Liquid. '[%']]])+BD.PD[[#This Row],[Valor Neto '[DOP']]],BD.PD[[#This Row],[Valor Neto '[DOP']]])</f>
        <v>36000</v>
      </c>
      <c r="P76" s="257">
        <f>BD.PD[[#This Row],[Ppto. Orden Interna '[DOP']]]/HLOOKUP("USD",$J$1:$K$2,2,FALSE)</f>
        <v>593.08072487644154</v>
      </c>
      <c r="Q76" s="250" t="s">
        <v>587</v>
      </c>
      <c r="R76" s="258" t="s">
        <v>584</v>
      </c>
      <c r="S76" s="251">
        <v>22</v>
      </c>
      <c r="T76" s="252">
        <v>1</v>
      </c>
      <c r="U76" s="259">
        <f>BD.PD[[#This Row],[Av.P1 '[%']]]*BD.PD[[#This Row],[Ppto. Orden Interna '[DOP']]]</f>
        <v>36000</v>
      </c>
      <c r="V76" s="254"/>
      <c r="W76" s="255"/>
      <c r="X76" s="259">
        <f>BD.PD[[#This Row],[Av.P2 '[%']]]*BD.PD[[#This Row],[Ppto. Orden Interna '[DOP']]]</f>
        <v>0</v>
      </c>
      <c r="Y76" s="254"/>
      <c r="Z76" s="255"/>
      <c r="AA76" s="259">
        <f>BD.PD[[#This Row],[Av.P3 '[%']]]*BD.PD[[#This Row],[Ppto. Orden Interna '[DOP']]]</f>
        <v>0</v>
      </c>
      <c r="AB76" s="254"/>
      <c r="AC76" s="255"/>
      <c r="AD76" s="259">
        <f>BD.PD[[#This Row],[Av.P4 '[%']]]*BD.PD[[#This Row],[Ppto. Orden Interna '[DOP']]]</f>
        <v>0</v>
      </c>
      <c r="AE76" s="254"/>
      <c r="AF76" s="255"/>
      <c r="AG76" s="259">
        <f>BD.PD[[#This Row],[Av.P5 '[%']]]*BD.PD[[#This Row],[Ppto. Orden Interna '[DOP']]]</f>
        <v>0</v>
      </c>
      <c r="AH76" s="256">
        <f>BD.PD[[#This Row],[Pago 5]]+BD.PD[[#This Row],[Pago 4]]+BD.PD[[#This Row],[Pago 3]]+BD.PD[[#This Row],[Pago 2]]+BD.PD[[#This Row],[Pago 1]]</f>
        <v>36000</v>
      </c>
      <c r="AI76" s="318"/>
    </row>
    <row r="77" spans="1:237" ht="15" customHeight="1" x14ac:dyDescent="0.3">
      <c r="A77" s="181">
        <v>8.0500000000000007</v>
      </c>
      <c r="B77" s="239"/>
      <c r="C77" s="240" t="str">
        <f>VLOOKUP(BD.PD[[#This Row],[Pos]],PPto[],3,FALSE)</f>
        <v>8.05 Mobiliario no operacional para Tiendas</v>
      </c>
      <c r="D77" s="181" t="s">
        <v>40</v>
      </c>
      <c r="E77" s="242" t="str">
        <f>IF(BD.PD[[#This Row],[.]]="*",VLOOKUP(BD.PD[[#This Row],[Pos]],Presupuesto!A:H,7,FALSE),"")</f>
        <v/>
      </c>
      <c r="F77" s="389" t="s">
        <v>577</v>
      </c>
      <c r="G77" s="243" t="s">
        <v>308</v>
      </c>
      <c r="H77" s="275"/>
      <c r="I77" s="276">
        <v>1</v>
      </c>
      <c r="J77" s="181" t="s">
        <v>314</v>
      </c>
      <c r="K77" s="245">
        <f>IF(BD.PD[[#This Row],[Mon]]="DOP",1,HLOOKUP(BD.PD[[#This Row],[Mon]],$J$1:$K$2,2,FALSE))</f>
        <v>1</v>
      </c>
      <c r="L77" s="388">
        <v>10000</v>
      </c>
      <c r="M77" s="247">
        <f>BD.PD[[#This Row],[Cant.]]*BD.PD[[#This Row],[ Tasa ]]*BD.PD[[#This Row],[ Precio Und.]]</f>
        <v>10000</v>
      </c>
      <c r="N77" s="278">
        <v>0</v>
      </c>
      <c r="O77" s="247">
        <f>IF(BD.PD[[#This Row],[Liquid. '[%']]]&lt;&gt;0,(BD.PD[[#This Row],[Valor Neto '[DOP']]]*BD.PD[[#This Row],[Liquid. '[%']]])+BD.PD[[#This Row],[Valor Neto '[DOP']]],BD.PD[[#This Row],[Valor Neto '[DOP']]])</f>
        <v>10000</v>
      </c>
      <c r="P77" s="257">
        <f>BD.PD[[#This Row],[Ppto. Orden Interna '[DOP']]]/HLOOKUP("USD",$J$1:$K$2,2,FALSE)</f>
        <v>164.74464579901152</v>
      </c>
      <c r="Q77" s="250" t="s">
        <v>587</v>
      </c>
      <c r="R77" s="258" t="s">
        <v>584</v>
      </c>
      <c r="S77" s="251">
        <v>22</v>
      </c>
      <c r="T77" s="252">
        <v>1</v>
      </c>
      <c r="U77" s="259">
        <f>BD.PD[[#This Row],[Av.P1 '[%']]]*BD.PD[[#This Row],[Ppto. Orden Interna '[DOP']]]</f>
        <v>10000</v>
      </c>
      <c r="V77" s="254"/>
      <c r="W77" s="255"/>
      <c r="X77" s="259">
        <f>BD.PD[[#This Row],[Av.P2 '[%']]]*BD.PD[[#This Row],[Ppto. Orden Interna '[DOP']]]</f>
        <v>0</v>
      </c>
      <c r="Y77" s="254"/>
      <c r="Z77" s="255"/>
      <c r="AA77" s="259">
        <f>BD.PD[[#This Row],[Av.P3 '[%']]]*BD.PD[[#This Row],[Ppto. Orden Interna '[DOP']]]</f>
        <v>0</v>
      </c>
      <c r="AB77" s="254"/>
      <c r="AC77" s="255"/>
      <c r="AD77" s="259">
        <f>BD.PD[[#This Row],[Av.P4 '[%']]]*BD.PD[[#This Row],[Ppto. Orden Interna '[DOP']]]</f>
        <v>0</v>
      </c>
      <c r="AE77" s="254"/>
      <c r="AF77" s="255"/>
      <c r="AG77" s="259">
        <f>BD.PD[[#This Row],[Av.P5 '[%']]]*BD.PD[[#This Row],[Ppto. Orden Interna '[DOP']]]</f>
        <v>0</v>
      </c>
      <c r="AH77" s="256">
        <f>BD.PD[[#This Row],[Pago 5]]+BD.PD[[#This Row],[Pago 4]]+BD.PD[[#This Row],[Pago 3]]+BD.PD[[#This Row],[Pago 2]]+BD.PD[[#This Row],[Pago 1]]</f>
        <v>10000</v>
      </c>
      <c r="AI77" s="318"/>
    </row>
    <row r="78" spans="1:237" ht="15" customHeight="1" x14ac:dyDescent="0.3">
      <c r="A78" s="181">
        <v>8.0500000000000007</v>
      </c>
      <c r="B78" s="239"/>
      <c r="C78" s="240" t="str">
        <f>VLOOKUP(BD.PD[[#This Row],[Pos]],PPto[],3,FALSE)</f>
        <v>8.05 Mobiliario no operacional para Tiendas</v>
      </c>
      <c r="D78" s="181" t="s">
        <v>40</v>
      </c>
      <c r="E78" s="242" t="str">
        <f>IF(BD.PD[[#This Row],[.]]="*",VLOOKUP(BD.PD[[#This Row],[Pos]],Presupuesto!A:H,7,FALSE),"")</f>
        <v/>
      </c>
      <c r="F78" s="389" t="s">
        <v>588</v>
      </c>
      <c r="G78" s="243">
        <v>4512922448</v>
      </c>
      <c r="H78" s="275"/>
      <c r="I78" s="276">
        <v>1</v>
      </c>
      <c r="J78" s="181" t="s">
        <v>314</v>
      </c>
      <c r="K78" s="245">
        <f>IF(BD.PD[[#This Row],[Mon]]="DOP",1,HLOOKUP(BD.PD[[#This Row],[Mon]],$J$1:$K$2,2,FALSE))</f>
        <v>1</v>
      </c>
      <c r="L78" s="388">
        <v>44345</v>
      </c>
      <c r="M78" s="247">
        <f>BD.PD[[#This Row],[Cant.]]*BD.PD[[#This Row],[ Tasa ]]*BD.PD[[#This Row],[ Precio Und.]]</f>
        <v>44345</v>
      </c>
      <c r="N78" s="278">
        <v>0.1</v>
      </c>
      <c r="O78" s="247">
        <f>IF(BD.PD[[#This Row],[Liquid. '[%']]]&lt;&gt;0,(BD.PD[[#This Row],[Valor Neto '[DOP']]]*BD.PD[[#This Row],[Liquid. '[%']]])+BD.PD[[#This Row],[Valor Neto '[DOP']]],BD.PD[[#This Row],[Valor Neto '[DOP']]])</f>
        <v>48779.5</v>
      </c>
      <c r="P78" s="257">
        <f>BD.PD[[#This Row],[Ppto. Orden Interna '[DOP']]]/HLOOKUP("USD",$J$1:$K$2,2,FALSE)</f>
        <v>803.61614497528831</v>
      </c>
      <c r="Q78" s="250" t="s">
        <v>1074</v>
      </c>
      <c r="R78" s="258" t="s">
        <v>584</v>
      </c>
      <c r="S78" s="251">
        <v>18</v>
      </c>
      <c r="T78" s="252">
        <v>0.5</v>
      </c>
      <c r="U78" s="259">
        <f>BD.PD[[#This Row],[Av.P1 '[%']]]*BD.PD[[#This Row],[Ppto. Orden Interna '[DOP']]]</f>
        <v>24389.75</v>
      </c>
      <c r="V78" s="254">
        <v>21</v>
      </c>
      <c r="W78" s="252">
        <v>0.5</v>
      </c>
      <c r="X78" s="259">
        <f>BD.PD[[#This Row],[Av.P2 '[%']]]*BD.PD[[#This Row],[Ppto. Orden Interna '[DOP']]]</f>
        <v>24389.75</v>
      </c>
      <c r="Y78" s="254"/>
      <c r="Z78" s="255"/>
      <c r="AA78" s="259">
        <f>BD.PD[[#This Row],[Av.P3 '[%']]]*BD.PD[[#This Row],[Ppto. Orden Interna '[DOP']]]</f>
        <v>0</v>
      </c>
      <c r="AB78" s="254"/>
      <c r="AC78" s="255"/>
      <c r="AD78" s="259">
        <f>BD.PD[[#This Row],[Av.P4 '[%']]]*BD.PD[[#This Row],[Ppto. Orden Interna '[DOP']]]</f>
        <v>0</v>
      </c>
      <c r="AE78" s="254"/>
      <c r="AF78" s="255"/>
      <c r="AG78" s="259">
        <f>BD.PD[[#This Row],[Av.P5 '[%']]]*BD.PD[[#This Row],[Ppto. Orden Interna '[DOP']]]</f>
        <v>0</v>
      </c>
      <c r="AH78" s="256">
        <f>BD.PD[[#This Row],[Pago 5]]+BD.PD[[#This Row],[Pago 4]]+BD.PD[[#This Row],[Pago 3]]+BD.PD[[#This Row],[Pago 2]]+BD.PD[[#This Row],[Pago 1]]</f>
        <v>48779.5</v>
      </c>
      <c r="AI78" s="318"/>
    </row>
    <row r="79" spans="1:237" ht="15.6" customHeight="1" x14ac:dyDescent="0.3">
      <c r="A79" s="181">
        <v>8.0500000000000007</v>
      </c>
      <c r="B79" s="239"/>
      <c r="C79" s="240" t="str">
        <f>VLOOKUP(BD.PD[[#This Row],[Pos]],PPto[],3,FALSE)</f>
        <v>8.05 Mobiliario no operacional para Tiendas</v>
      </c>
      <c r="D79" s="181" t="s">
        <v>40</v>
      </c>
      <c r="E79" s="242" t="str">
        <f>IF(BD.PD[[#This Row],[.]]="*",VLOOKUP(BD.PD[[#This Row],[Pos]],Presupuesto!A:H,7,FALSE),"")</f>
        <v/>
      </c>
      <c r="F79" s="389" t="s">
        <v>590</v>
      </c>
      <c r="G79" s="243">
        <v>4512922448</v>
      </c>
      <c r="H79" s="275"/>
      <c r="I79" s="276">
        <v>1</v>
      </c>
      <c r="J79" s="181" t="s">
        <v>314</v>
      </c>
      <c r="K79" s="245">
        <f>IF(BD.PD[[#This Row],[Mon]]="DOP",1,HLOOKUP(BD.PD[[#This Row],[Mon]],$J$1:$K$2,2,FALSE))</f>
        <v>1</v>
      </c>
      <c r="L79" s="388">
        <v>42630</v>
      </c>
      <c r="M79" s="247">
        <f>BD.PD[[#This Row],[Cant.]]*BD.PD[[#This Row],[ Tasa ]]*BD.PD[[#This Row],[ Precio Und.]]</f>
        <v>42630</v>
      </c>
      <c r="N79" s="278">
        <v>0.1</v>
      </c>
      <c r="O79" s="247">
        <f>IF(BD.PD[[#This Row],[Liquid. '[%']]]&lt;&gt;0,(BD.PD[[#This Row],[Valor Neto '[DOP']]]*BD.PD[[#This Row],[Liquid. '[%']]])+BD.PD[[#This Row],[Valor Neto '[DOP']]],BD.PD[[#This Row],[Valor Neto '[DOP']]])</f>
        <v>46893</v>
      </c>
      <c r="P79" s="257">
        <f>BD.PD[[#This Row],[Ppto. Orden Interna '[DOP']]]/HLOOKUP("USD",$J$1:$K$2,2,FALSE)</f>
        <v>772.53706754530469</v>
      </c>
      <c r="Q79" s="250" t="s">
        <v>1074</v>
      </c>
      <c r="R79" s="258" t="s">
        <v>584</v>
      </c>
      <c r="S79" s="251">
        <v>18</v>
      </c>
      <c r="T79" s="252">
        <v>0.5</v>
      </c>
      <c r="U79" s="259">
        <f>BD.PD[[#This Row],[Av.P1 '[%']]]*BD.PD[[#This Row],[Ppto. Orden Interna '[DOP']]]</f>
        <v>23446.5</v>
      </c>
      <c r="V79" s="254">
        <v>21</v>
      </c>
      <c r="W79" s="252">
        <v>0.5</v>
      </c>
      <c r="X79" s="259">
        <f>BD.PD[[#This Row],[Av.P2 '[%']]]*BD.PD[[#This Row],[Ppto. Orden Interna '[DOP']]]</f>
        <v>23446.5</v>
      </c>
      <c r="Y79" s="254"/>
      <c r="Z79" s="255"/>
      <c r="AA79" s="259">
        <f>BD.PD[[#This Row],[Av.P3 '[%']]]*BD.PD[[#This Row],[Ppto. Orden Interna '[DOP']]]</f>
        <v>0</v>
      </c>
      <c r="AB79" s="254"/>
      <c r="AC79" s="255"/>
      <c r="AD79" s="259">
        <f>BD.PD[[#This Row],[Av.P4 '[%']]]*BD.PD[[#This Row],[Ppto. Orden Interna '[DOP']]]</f>
        <v>0</v>
      </c>
      <c r="AE79" s="254"/>
      <c r="AF79" s="255"/>
      <c r="AG79" s="259">
        <f>BD.PD[[#This Row],[Av.P5 '[%']]]*BD.PD[[#This Row],[Ppto. Orden Interna '[DOP']]]</f>
        <v>0</v>
      </c>
      <c r="AH79" s="256">
        <f>BD.PD[[#This Row],[Pago 5]]+BD.PD[[#This Row],[Pago 4]]+BD.PD[[#This Row],[Pago 3]]+BD.PD[[#This Row],[Pago 2]]+BD.PD[[#This Row],[Pago 1]]</f>
        <v>46893</v>
      </c>
      <c r="AI79" s="318"/>
    </row>
    <row r="80" spans="1:237" ht="15.6" customHeight="1" x14ac:dyDescent="0.3">
      <c r="A80" s="181">
        <v>8.0500000000000007</v>
      </c>
      <c r="B80" s="239"/>
      <c r="C80" s="240" t="str">
        <f>VLOOKUP(BD.PD[[#This Row],[Pos]],PPto[],3,FALSE)</f>
        <v>8.05 Mobiliario no operacional para Tiendas</v>
      </c>
      <c r="D80" s="181" t="s">
        <v>40</v>
      </c>
      <c r="E80" s="242" t="str">
        <f>IF(BD.PD[[#This Row],[.]]="*",VLOOKUP(BD.PD[[#This Row],[Pos]],Presupuesto!A:H,7,FALSE),"")</f>
        <v/>
      </c>
      <c r="F80" s="389" t="s">
        <v>591</v>
      </c>
      <c r="G80" s="243" t="s">
        <v>308</v>
      </c>
      <c r="H80" s="275"/>
      <c r="I80" s="276">
        <v>1</v>
      </c>
      <c r="J80" s="181" t="s">
        <v>314</v>
      </c>
      <c r="K80" s="245">
        <f>IF(BD.PD[[#This Row],[Mon]]="DOP",1,HLOOKUP(BD.PD[[#This Row],[Mon]],$J$1:$K$2,2,FALSE))</f>
        <v>1</v>
      </c>
      <c r="L80" s="388">
        <v>3000</v>
      </c>
      <c r="M80" s="247">
        <f>BD.PD[[#This Row],[Cant.]]*BD.PD[[#This Row],[ Tasa ]]*BD.PD[[#This Row],[ Precio Und.]]</f>
        <v>3000</v>
      </c>
      <c r="N80" s="278">
        <v>0.1</v>
      </c>
      <c r="O80" s="247">
        <f>IF(BD.PD[[#This Row],[Liquid. '[%']]]&lt;&gt;0,(BD.PD[[#This Row],[Valor Neto '[DOP']]]*BD.PD[[#This Row],[Liquid. '[%']]])+BD.PD[[#This Row],[Valor Neto '[DOP']]],BD.PD[[#This Row],[Valor Neto '[DOP']]])</f>
        <v>3300</v>
      </c>
      <c r="P80" s="257">
        <f>BD.PD[[#This Row],[Ppto. Orden Interna '[DOP']]]/HLOOKUP("USD",$J$1:$K$2,2,FALSE)</f>
        <v>54.365733113673805</v>
      </c>
      <c r="Q80" s="250" t="s">
        <v>587</v>
      </c>
      <c r="R80" s="258" t="s">
        <v>584</v>
      </c>
      <c r="S80" s="251">
        <v>22</v>
      </c>
      <c r="T80" s="252">
        <v>0.5</v>
      </c>
      <c r="U80" s="259">
        <f>BD.PD[[#This Row],[Av.P1 '[%']]]*BD.PD[[#This Row],[Ppto. Orden Interna '[DOP']]]</f>
        <v>1650</v>
      </c>
      <c r="V80" s="254">
        <v>24</v>
      </c>
      <c r="W80" s="252">
        <v>0.5</v>
      </c>
      <c r="X80" s="259">
        <f>BD.PD[[#This Row],[Av.P2 '[%']]]*BD.PD[[#This Row],[Ppto. Orden Interna '[DOP']]]</f>
        <v>1650</v>
      </c>
      <c r="Y80" s="254"/>
      <c r="Z80" s="255"/>
      <c r="AA80" s="259">
        <f>BD.PD[[#This Row],[Av.P3 '[%']]]*BD.PD[[#This Row],[Ppto. Orden Interna '[DOP']]]</f>
        <v>0</v>
      </c>
      <c r="AB80" s="254"/>
      <c r="AC80" s="255"/>
      <c r="AD80" s="259">
        <f>BD.PD[[#This Row],[Av.P4 '[%']]]*BD.PD[[#This Row],[Ppto. Orden Interna '[DOP']]]</f>
        <v>0</v>
      </c>
      <c r="AE80" s="254"/>
      <c r="AF80" s="255"/>
      <c r="AG80" s="259">
        <f>BD.PD[[#This Row],[Av.P5 '[%']]]*BD.PD[[#This Row],[Ppto. Orden Interna '[DOP']]]</f>
        <v>0</v>
      </c>
      <c r="AH80" s="256">
        <f>BD.PD[[#This Row],[Pago 5]]+BD.PD[[#This Row],[Pago 4]]+BD.PD[[#This Row],[Pago 3]]+BD.PD[[#This Row],[Pago 2]]+BD.PD[[#This Row],[Pago 1]]</f>
        <v>3300</v>
      </c>
      <c r="AI80" s="318"/>
    </row>
    <row r="81" spans="1:35" ht="15" customHeight="1" x14ac:dyDescent="0.3">
      <c r="A81" s="181">
        <v>8.0500000000000007</v>
      </c>
      <c r="B81" s="239"/>
      <c r="C81" s="240" t="str">
        <f>VLOOKUP(BD.PD[[#This Row],[Pos]],PPto[],3,FALSE)</f>
        <v>8.05 Mobiliario no operacional para Tiendas</v>
      </c>
      <c r="D81" s="181" t="s">
        <v>40</v>
      </c>
      <c r="E81" s="242" t="str">
        <f>IF(BD.PD[[#This Row],[.]]="*",VLOOKUP(BD.PD[[#This Row],[Pos]],Presupuesto!A:H,7,FALSE),"")</f>
        <v/>
      </c>
      <c r="F81" s="389" t="s">
        <v>592</v>
      </c>
      <c r="G81" s="243" t="s">
        <v>308</v>
      </c>
      <c r="H81" s="275"/>
      <c r="I81" s="276">
        <v>11</v>
      </c>
      <c r="J81" s="181" t="s">
        <v>314</v>
      </c>
      <c r="K81" s="245">
        <f>IF(BD.PD[[#This Row],[Mon]]="DOP",1,HLOOKUP(BD.PD[[#This Row],[Mon]],$J$1:$K$2,2,FALSE))</f>
        <v>1</v>
      </c>
      <c r="L81" s="388">
        <v>8785.6</v>
      </c>
      <c r="M81" s="247">
        <f>BD.PD[[#This Row],[Cant.]]*BD.PD[[#This Row],[ Tasa ]]*BD.PD[[#This Row],[ Precio Und.]]</f>
        <v>96641.600000000006</v>
      </c>
      <c r="N81" s="278">
        <v>0.1</v>
      </c>
      <c r="O81" s="247">
        <f>IF(BD.PD[[#This Row],[Liquid. '[%']]]&lt;&gt;0,(BD.PD[[#This Row],[Valor Neto '[DOP']]]*BD.PD[[#This Row],[Liquid. '[%']]])+BD.PD[[#This Row],[Valor Neto '[DOP']]],BD.PD[[#This Row],[Valor Neto '[DOP']]])</f>
        <v>106305.76000000001</v>
      </c>
      <c r="P81" s="257">
        <f>BD.PD[[#This Row],[Ppto. Orden Interna '[DOP']]]/HLOOKUP("USD",$J$1:$K$2,2,FALSE)</f>
        <v>1751.3304777594728</v>
      </c>
      <c r="Q81" s="250" t="s">
        <v>587</v>
      </c>
      <c r="R81" s="258" t="s">
        <v>584</v>
      </c>
      <c r="S81" s="251">
        <v>22</v>
      </c>
      <c r="T81" s="252">
        <v>0.5</v>
      </c>
      <c r="U81" s="259">
        <f>BD.PD[[#This Row],[Av.P1 '[%']]]*BD.PD[[#This Row],[Ppto. Orden Interna '[DOP']]]</f>
        <v>53152.880000000005</v>
      </c>
      <c r="V81" s="254">
        <v>24</v>
      </c>
      <c r="W81" s="252">
        <v>0.5</v>
      </c>
      <c r="X81" s="259">
        <f>BD.PD[[#This Row],[Av.P2 '[%']]]*BD.PD[[#This Row],[Ppto. Orden Interna '[DOP']]]</f>
        <v>53152.880000000005</v>
      </c>
      <c r="Y81" s="254"/>
      <c r="Z81" s="255"/>
      <c r="AA81" s="259">
        <f>BD.PD[[#This Row],[Av.P3 '[%']]]*BD.PD[[#This Row],[Ppto. Orden Interna '[DOP']]]</f>
        <v>0</v>
      </c>
      <c r="AB81" s="254"/>
      <c r="AC81" s="255"/>
      <c r="AD81" s="259">
        <f>BD.PD[[#This Row],[Av.P4 '[%']]]*BD.PD[[#This Row],[Ppto. Orden Interna '[DOP']]]</f>
        <v>0</v>
      </c>
      <c r="AE81" s="254"/>
      <c r="AF81" s="255"/>
      <c r="AG81" s="259">
        <f>BD.PD[[#This Row],[Av.P5 '[%']]]*BD.PD[[#This Row],[Ppto. Orden Interna '[DOP']]]</f>
        <v>0</v>
      </c>
      <c r="AH81" s="256">
        <f>BD.PD[[#This Row],[Pago 5]]+BD.PD[[#This Row],[Pago 4]]+BD.PD[[#This Row],[Pago 3]]+BD.PD[[#This Row],[Pago 2]]+BD.PD[[#This Row],[Pago 1]]</f>
        <v>106305.76000000001</v>
      </c>
      <c r="AI81" s="318"/>
    </row>
    <row r="82" spans="1:35" ht="15" customHeight="1" x14ac:dyDescent="0.3">
      <c r="A82" s="181">
        <v>8.0500000000000007</v>
      </c>
      <c r="B82" s="239"/>
      <c r="C82" s="240" t="str">
        <f>VLOOKUP(BD.PD[[#This Row],[Pos]],PPto[],3,FALSE)</f>
        <v>8.05 Mobiliario no operacional para Tiendas</v>
      </c>
      <c r="D82" s="181" t="s">
        <v>40</v>
      </c>
      <c r="E82" s="242" t="str">
        <f>IF(BD.PD[[#This Row],[.]]="*",VLOOKUP(BD.PD[[#This Row],[Pos]],Presupuesto!A:H,7,FALSE),"")</f>
        <v/>
      </c>
      <c r="F82" s="389" t="s">
        <v>598</v>
      </c>
      <c r="G82" s="243" t="s">
        <v>308</v>
      </c>
      <c r="H82" s="275"/>
      <c r="I82" s="276">
        <v>1</v>
      </c>
      <c r="J82" s="181" t="s">
        <v>314</v>
      </c>
      <c r="K82" s="245">
        <f>IF(BD.PD[[#This Row],[Mon]]="DOP",1,HLOOKUP(BD.PD[[#This Row],[Mon]],$J$1:$K$2,2,FALSE))</f>
        <v>1</v>
      </c>
      <c r="L82" s="388">
        <v>19502.740000000002</v>
      </c>
      <c r="M82" s="247">
        <f>BD.PD[[#This Row],[Cant.]]*BD.PD[[#This Row],[ Tasa ]]*BD.PD[[#This Row],[ Precio Und.]]</f>
        <v>19502.740000000002</v>
      </c>
      <c r="N82" s="278">
        <v>0</v>
      </c>
      <c r="O82" s="247">
        <f>IF(BD.PD[[#This Row],[Liquid. '[%']]]&lt;&gt;0,(BD.PD[[#This Row],[Valor Neto '[DOP']]]*BD.PD[[#This Row],[Liquid. '[%']]])+BD.PD[[#This Row],[Valor Neto '[DOP']]],BD.PD[[#This Row],[Valor Neto '[DOP']]])</f>
        <v>19502.740000000002</v>
      </c>
      <c r="P82" s="257">
        <f>BD.PD[[#This Row],[Ppto. Orden Interna '[DOP']]]/HLOOKUP("USD",$J$1:$K$2,2,FALSE)</f>
        <v>321.29719934102144</v>
      </c>
      <c r="Q82" s="250" t="s">
        <v>587</v>
      </c>
      <c r="R82" s="258" t="s">
        <v>584</v>
      </c>
      <c r="S82" s="251">
        <v>22</v>
      </c>
      <c r="T82" s="252">
        <v>1</v>
      </c>
      <c r="U82" s="259">
        <f>BD.PD[[#This Row],[Av.P1 '[%']]]*BD.PD[[#This Row],[Ppto. Orden Interna '[DOP']]]</f>
        <v>19502.740000000002</v>
      </c>
      <c r="V82" s="254"/>
      <c r="W82" s="255"/>
      <c r="X82" s="259">
        <f>BD.PD[[#This Row],[Av.P2 '[%']]]*BD.PD[[#This Row],[Ppto. Orden Interna '[DOP']]]</f>
        <v>0</v>
      </c>
      <c r="Y82" s="254"/>
      <c r="Z82" s="255"/>
      <c r="AA82" s="259">
        <f>BD.PD[[#This Row],[Av.P3 '[%']]]*BD.PD[[#This Row],[Ppto. Orden Interna '[DOP']]]</f>
        <v>0</v>
      </c>
      <c r="AB82" s="254"/>
      <c r="AC82" s="255"/>
      <c r="AD82" s="259">
        <f>BD.PD[[#This Row],[Av.P4 '[%']]]*BD.PD[[#This Row],[Ppto. Orden Interna '[DOP']]]</f>
        <v>0</v>
      </c>
      <c r="AE82" s="254"/>
      <c r="AF82" s="255"/>
      <c r="AG82" s="259">
        <f>BD.PD[[#This Row],[Av.P5 '[%']]]*BD.PD[[#This Row],[Ppto. Orden Interna '[DOP']]]</f>
        <v>0</v>
      </c>
      <c r="AH82" s="256">
        <f>BD.PD[[#This Row],[Pago 5]]+BD.PD[[#This Row],[Pago 4]]+BD.PD[[#This Row],[Pago 3]]+BD.PD[[#This Row],[Pago 2]]+BD.PD[[#This Row],[Pago 1]]</f>
        <v>19502.740000000002</v>
      </c>
      <c r="AI82" s="318"/>
    </row>
    <row r="83" spans="1:35" ht="15" customHeight="1" x14ac:dyDescent="0.3">
      <c r="A83" s="181">
        <v>8.0500000000000007</v>
      </c>
      <c r="B83" s="239"/>
      <c r="C83" s="240" t="str">
        <f>VLOOKUP(BD.PD[[#This Row],[Pos]],PPto[],3,FALSE)</f>
        <v>8.05 Mobiliario no operacional para Tiendas</v>
      </c>
      <c r="D83" s="181" t="s">
        <v>40</v>
      </c>
      <c r="E83" s="242" t="str">
        <f>IF(BD.PD[[#This Row],[.]]="*",VLOOKUP(BD.PD[[#This Row],[Pos]],Presupuesto!A:H,7,FALSE),"")</f>
        <v/>
      </c>
      <c r="F83" s="389" t="s">
        <v>599</v>
      </c>
      <c r="G83" s="243" t="s">
        <v>308</v>
      </c>
      <c r="H83" s="275"/>
      <c r="I83" s="276">
        <v>1</v>
      </c>
      <c r="J83" s="181" t="s">
        <v>314</v>
      </c>
      <c r="K83" s="245">
        <f>IF(BD.PD[[#This Row],[Mon]]="DOP",1,HLOOKUP(BD.PD[[#This Row],[Mon]],$J$1:$K$2,2,FALSE))</f>
        <v>1</v>
      </c>
      <c r="L83" s="388">
        <v>16288</v>
      </c>
      <c r="M83" s="247">
        <f>BD.PD[[#This Row],[Cant.]]*BD.PD[[#This Row],[ Tasa ]]*BD.PD[[#This Row],[ Precio Und.]]</f>
        <v>16288</v>
      </c>
      <c r="N83" s="278">
        <v>0</v>
      </c>
      <c r="O83" s="247">
        <f>IF(BD.PD[[#This Row],[Liquid. '[%']]]&lt;&gt;0,(BD.PD[[#This Row],[Valor Neto '[DOP']]]*BD.PD[[#This Row],[Liquid. '[%']]])+BD.PD[[#This Row],[Valor Neto '[DOP']]],BD.PD[[#This Row],[Valor Neto '[DOP']]])</f>
        <v>16288</v>
      </c>
      <c r="P83" s="257">
        <f>BD.PD[[#This Row],[Ppto. Orden Interna '[DOP']]]/HLOOKUP("USD",$J$1:$K$2,2,FALSE)</f>
        <v>268.33607907742999</v>
      </c>
      <c r="Q83" s="250" t="s">
        <v>587</v>
      </c>
      <c r="R83" s="258" t="s">
        <v>584</v>
      </c>
      <c r="S83" s="251">
        <v>22</v>
      </c>
      <c r="T83" s="252">
        <v>1</v>
      </c>
      <c r="U83" s="259">
        <f>BD.PD[[#This Row],[Av.P1 '[%']]]*BD.PD[[#This Row],[Ppto. Orden Interna '[DOP']]]</f>
        <v>16288</v>
      </c>
      <c r="V83" s="254"/>
      <c r="W83" s="255"/>
      <c r="X83" s="259">
        <f>BD.PD[[#This Row],[Av.P2 '[%']]]*BD.PD[[#This Row],[Ppto. Orden Interna '[DOP']]]</f>
        <v>0</v>
      </c>
      <c r="Y83" s="254"/>
      <c r="Z83" s="255"/>
      <c r="AA83" s="259">
        <f>BD.PD[[#This Row],[Av.P3 '[%']]]*BD.PD[[#This Row],[Ppto. Orden Interna '[DOP']]]</f>
        <v>0</v>
      </c>
      <c r="AB83" s="254"/>
      <c r="AC83" s="255"/>
      <c r="AD83" s="259">
        <f>BD.PD[[#This Row],[Av.P4 '[%']]]*BD.PD[[#This Row],[Ppto. Orden Interna '[DOP']]]</f>
        <v>0</v>
      </c>
      <c r="AE83" s="254"/>
      <c r="AF83" s="255"/>
      <c r="AG83" s="259">
        <f>BD.PD[[#This Row],[Av.P5 '[%']]]*BD.PD[[#This Row],[Ppto. Orden Interna '[DOP']]]</f>
        <v>0</v>
      </c>
      <c r="AH83" s="256">
        <f>BD.PD[[#This Row],[Pago 5]]+BD.PD[[#This Row],[Pago 4]]+BD.PD[[#This Row],[Pago 3]]+BD.PD[[#This Row],[Pago 2]]+BD.PD[[#This Row],[Pago 1]]</f>
        <v>16288</v>
      </c>
      <c r="AI83" s="318"/>
    </row>
    <row r="84" spans="1:35" ht="15" customHeight="1" x14ac:dyDescent="0.3">
      <c r="A84" s="181">
        <v>8.0500000000000007</v>
      </c>
      <c r="B84" s="239"/>
      <c r="C84" s="240" t="str">
        <f>VLOOKUP(BD.PD[[#This Row],[Pos]],PPto[],3,FALSE)</f>
        <v>8.05 Mobiliario no operacional para Tiendas</v>
      </c>
      <c r="D84" s="181" t="s">
        <v>40</v>
      </c>
      <c r="E84" s="242" t="str">
        <f>IF(BD.PD[[#This Row],[.]]="*",VLOOKUP(BD.PD[[#This Row],[Pos]],Presupuesto!A:H,7,FALSE),"")</f>
        <v/>
      </c>
      <c r="F84" s="389" t="s">
        <v>597</v>
      </c>
      <c r="G84" s="243" t="s">
        <v>308</v>
      </c>
      <c r="H84" s="275"/>
      <c r="I84" s="276">
        <v>1</v>
      </c>
      <c r="J84" s="181" t="s">
        <v>314</v>
      </c>
      <c r="K84" s="245">
        <f>IF(BD.PD[[#This Row],[Mon]]="DOP",1,HLOOKUP(BD.PD[[#This Row],[Mon]],$J$1:$K$2,2,FALSE))</f>
        <v>1</v>
      </c>
      <c r="L84" s="388">
        <v>16000</v>
      </c>
      <c r="M84" s="247">
        <f>BD.PD[[#This Row],[Cant.]]*BD.PD[[#This Row],[ Tasa ]]*BD.PD[[#This Row],[ Precio Und.]]</f>
        <v>16000</v>
      </c>
      <c r="N84" s="278">
        <v>0</v>
      </c>
      <c r="O84" s="247">
        <f>IF(BD.PD[[#This Row],[Liquid. '[%']]]&lt;&gt;0,(BD.PD[[#This Row],[Valor Neto '[DOP']]]*BD.PD[[#This Row],[Liquid. '[%']]])+BD.PD[[#This Row],[Valor Neto '[DOP']]],BD.PD[[#This Row],[Valor Neto '[DOP']]])</f>
        <v>16000</v>
      </c>
      <c r="P84" s="257">
        <f>BD.PD[[#This Row],[Ppto. Orden Interna '[DOP']]]/HLOOKUP("USD",$J$1:$K$2,2,FALSE)</f>
        <v>263.59143327841844</v>
      </c>
      <c r="Q84" s="250" t="s">
        <v>587</v>
      </c>
      <c r="R84" s="258" t="s">
        <v>584</v>
      </c>
      <c r="S84" s="251">
        <v>22</v>
      </c>
      <c r="T84" s="252">
        <v>1</v>
      </c>
      <c r="U84" s="259">
        <f>BD.PD[[#This Row],[Av.P1 '[%']]]*BD.PD[[#This Row],[Ppto. Orden Interna '[DOP']]]</f>
        <v>16000</v>
      </c>
      <c r="V84" s="254"/>
      <c r="W84" s="255"/>
      <c r="X84" s="259">
        <f>BD.PD[[#This Row],[Av.P2 '[%']]]*BD.PD[[#This Row],[Ppto. Orden Interna '[DOP']]]</f>
        <v>0</v>
      </c>
      <c r="Y84" s="254"/>
      <c r="Z84" s="255"/>
      <c r="AA84" s="259">
        <f>BD.PD[[#This Row],[Av.P3 '[%']]]*BD.PD[[#This Row],[Ppto. Orden Interna '[DOP']]]</f>
        <v>0</v>
      </c>
      <c r="AB84" s="254"/>
      <c r="AC84" s="255"/>
      <c r="AD84" s="259">
        <f>BD.PD[[#This Row],[Av.P4 '[%']]]*BD.PD[[#This Row],[Ppto. Orden Interna '[DOP']]]</f>
        <v>0</v>
      </c>
      <c r="AE84" s="254"/>
      <c r="AF84" s="255"/>
      <c r="AG84" s="259">
        <f>BD.PD[[#This Row],[Av.P5 '[%']]]*BD.PD[[#This Row],[Ppto. Orden Interna '[DOP']]]</f>
        <v>0</v>
      </c>
      <c r="AH84" s="256">
        <f>BD.PD[[#This Row],[Pago 5]]+BD.PD[[#This Row],[Pago 4]]+BD.PD[[#This Row],[Pago 3]]+BD.PD[[#This Row],[Pago 2]]+BD.PD[[#This Row],[Pago 1]]</f>
        <v>16000</v>
      </c>
      <c r="AI84" s="318"/>
    </row>
    <row r="85" spans="1:35" ht="15" customHeight="1" x14ac:dyDescent="0.3">
      <c r="A85" s="181">
        <v>8.0500000000000007</v>
      </c>
      <c r="B85" s="239"/>
      <c r="C85" s="240" t="str">
        <f>VLOOKUP(BD.PD[[#This Row],[Pos]],PPto[],3,FALSE)</f>
        <v>8.05 Mobiliario no operacional para Tiendas</v>
      </c>
      <c r="D85" s="181" t="s">
        <v>40</v>
      </c>
      <c r="E85" s="242" t="str">
        <f>IF(BD.PD[[#This Row],[.]]="*",VLOOKUP(BD.PD[[#This Row],[Pos]],Presupuesto!A:H,7,FALSE),"")</f>
        <v/>
      </c>
      <c r="F85" s="243" t="s">
        <v>604</v>
      </c>
      <c r="G85" s="243" t="s">
        <v>308</v>
      </c>
      <c r="H85" s="275"/>
      <c r="I85" s="276">
        <v>1</v>
      </c>
      <c r="J85" s="181" t="s">
        <v>314</v>
      </c>
      <c r="K85" s="245">
        <f>IF(BD.PD[[#This Row],[Mon]]="DOP",1,HLOOKUP(BD.PD[[#This Row],[Mon]],$J$1:$K$2,2,FALSE))</f>
        <v>1</v>
      </c>
      <c r="L85" s="388">
        <v>900000</v>
      </c>
      <c r="M85" s="247">
        <f>BD.PD[[#This Row],[Cant.]]*BD.PD[[#This Row],[ Tasa ]]*BD.PD[[#This Row],[ Precio Und.]]</f>
        <v>900000</v>
      </c>
      <c r="N85" s="278">
        <v>0</v>
      </c>
      <c r="O85" s="247">
        <f>IF(BD.PD[[#This Row],[Liquid. '[%']]]&lt;&gt;0,(BD.PD[[#This Row],[Valor Neto '[DOP']]]*BD.PD[[#This Row],[Liquid. '[%']]])+BD.PD[[#This Row],[Valor Neto '[DOP']]],BD.PD[[#This Row],[Valor Neto '[DOP']]])</f>
        <v>900000</v>
      </c>
      <c r="P85" s="257">
        <f>BD.PD[[#This Row],[Ppto. Orden Interna '[DOP']]]/HLOOKUP("USD",$J$1:$K$2,2,FALSE)</f>
        <v>14827.018121911036</v>
      </c>
      <c r="Q85" s="250" t="s">
        <v>587</v>
      </c>
      <c r="R85" s="258" t="s">
        <v>584</v>
      </c>
      <c r="S85" s="251">
        <v>22</v>
      </c>
      <c r="T85" s="252">
        <v>1</v>
      </c>
      <c r="U85" s="259">
        <f>BD.PD[[#This Row],[Av.P1 '[%']]]*BD.PD[[#This Row],[Ppto. Orden Interna '[DOP']]]</f>
        <v>900000</v>
      </c>
      <c r="V85" s="254"/>
      <c r="W85" s="255"/>
      <c r="X85" s="259">
        <f>BD.PD[[#This Row],[Av.P2 '[%']]]*BD.PD[[#This Row],[Ppto. Orden Interna '[DOP']]]</f>
        <v>0</v>
      </c>
      <c r="Y85" s="254"/>
      <c r="Z85" s="255"/>
      <c r="AA85" s="259">
        <f>BD.PD[[#This Row],[Av.P3 '[%']]]*BD.PD[[#This Row],[Ppto. Orden Interna '[DOP']]]</f>
        <v>0</v>
      </c>
      <c r="AB85" s="254"/>
      <c r="AC85" s="255"/>
      <c r="AD85" s="259">
        <f>BD.PD[[#This Row],[Av.P4 '[%']]]*BD.PD[[#This Row],[Ppto. Orden Interna '[DOP']]]</f>
        <v>0</v>
      </c>
      <c r="AE85" s="254"/>
      <c r="AF85" s="255"/>
      <c r="AG85" s="259">
        <f>BD.PD[[#This Row],[Av.P5 '[%']]]*BD.PD[[#This Row],[Ppto. Orden Interna '[DOP']]]</f>
        <v>0</v>
      </c>
      <c r="AH85" s="256">
        <f>BD.PD[[#This Row],[Pago 5]]+BD.PD[[#This Row],[Pago 4]]+BD.PD[[#This Row],[Pago 3]]+BD.PD[[#This Row],[Pago 2]]+BD.PD[[#This Row],[Pago 1]]</f>
        <v>900000</v>
      </c>
      <c r="AI85" s="318"/>
    </row>
    <row r="86" spans="1:35" ht="15" customHeight="1" x14ac:dyDescent="0.3">
      <c r="A86" s="181">
        <v>8.0500000000000007</v>
      </c>
      <c r="B86" s="239"/>
      <c r="C86" s="240" t="str">
        <f>VLOOKUP(BD.PD[[#This Row],[Pos]],PPto[],3,FALSE)</f>
        <v>8.05 Mobiliario no operacional para Tiendas</v>
      </c>
      <c r="D86" s="181" t="s">
        <v>40</v>
      </c>
      <c r="E86" s="242" t="str">
        <f>IF(BD.PD[[#This Row],[.]]="*",VLOOKUP(BD.PD[[#This Row],[Pos]],Presupuesto!A:H,7,FALSE),"")</f>
        <v/>
      </c>
      <c r="F86" s="322" t="s">
        <v>1059</v>
      </c>
      <c r="G86" s="243" t="s">
        <v>308</v>
      </c>
      <c r="H86" s="275"/>
      <c r="I86" s="276">
        <v>1</v>
      </c>
      <c r="J86" s="181" t="s">
        <v>314</v>
      </c>
      <c r="K86" s="245">
        <f>IF(BD.PD[[#This Row],[Mon]]="DOP",1,HLOOKUP(BD.PD[[#This Row],[Mon]],$J$1:$K$2,2,FALSE))</f>
        <v>1</v>
      </c>
      <c r="L86" s="388">
        <v>10000</v>
      </c>
      <c r="M86" s="247">
        <f>BD.PD[[#This Row],[Cant.]]*BD.PD[[#This Row],[ Tasa ]]*BD.PD[[#This Row],[ Precio Und.]]</f>
        <v>10000</v>
      </c>
      <c r="N86" s="278">
        <v>0</v>
      </c>
      <c r="O86" s="247">
        <f>IF(BD.PD[[#This Row],[Liquid. '[%']]]&lt;&gt;0,(BD.PD[[#This Row],[Valor Neto '[DOP']]]*BD.PD[[#This Row],[Liquid. '[%']]])+BD.PD[[#This Row],[Valor Neto '[DOP']]],BD.PD[[#This Row],[Valor Neto '[DOP']]])</f>
        <v>10000</v>
      </c>
      <c r="P86" s="257">
        <f>BD.PD[[#This Row],[Ppto. Orden Interna '[DOP']]]/HLOOKUP("USD",$J$1:$K$2,2,FALSE)</f>
        <v>164.74464579901152</v>
      </c>
      <c r="Q86" s="250" t="s">
        <v>587</v>
      </c>
      <c r="R86" s="258" t="s">
        <v>584</v>
      </c>
      <c r="S86" s="251">
        <v>22</v>
      </c>
      <c r="T86" s="252">
        <v>1</v>
      </c>
      <c r="U86" s="259">
        <f>BD.PD[[#This Row],[Av.P1 '[%']]]*BD.PD[[#This Row],[Ppto. Orden Interna '[DOP']]]</f>
        <v>10000</v>
      </c>
      <c r="V86" s="254"/>
      <c r="W86" s="255"/>
      <c r="X86" s="259">
        <f>BD.PD[[#This Row],[Av.P2 '[%']]]*BD.PD[[#This Row],[Ppto. Orden Interna '[DOP']]]</f>
        <v>0</v>
      </c>
      <c r="Y86" s="254"/>
      <c r="Z86" s="255"/>
      <c r="AA86" s="259">
        <f>BD.PD[[#This Row],[Av.P3 '[%']]]*BD.PD[[#This Row],[Ppto. Orden Interna '[DOP']]]</f>
        <v>0</v>
      </c>
      <c r="AB86" s="254"/>
      <c r="AC86" s="255"/>
      <c r="AD86" s="259">
        <f>BD.PD[[#This Row],[Av.P4 '[%']]]*BD.PD[[#This Row],[Ppto. Orden Interna '[DOP']]]</f>
        <v>0</v>
      </c>
      <c r="AE86" s="254"/>
      <c r="AF86" s="255"/>
      <c r="AG86" s="259">
        <f>BD.PD[[#This Row],[Av.P5 '[%']]]*BD.PD[[#This Row],[Ppto. Orden Interna '[DOP']]]</f>
        <v>0</v>
      </c>
      <c r="AH86" s="256">
        <f>BD.PD[[#This Row],[Pago 5]]+BD.PD[[#This Row],[Pago 4]]+BD.PD[[#This Row],[Pago 3]]+BD.PD[[#This Row],[Pago 2]]+BD.PD[[#This Row],[Pago 1]]</f>
        <v>10000</v>
      </c>
      <c r="AI86" s="318"/>
    </row>
    <row r="87" spans="1:35" ht="15" customHeight="1" x14ac:dyDescent="0.3">
      <c r="A87" s="181">
        <v>8.0500000000000007</v>
      </c>
      <c r="B87" s="239"/>
      <c r="C87" s="240" t="str">
        <f>VLOOKUP(BD.PD[[#This Row],[Pos]],PPto[],3,FALSE)</f>
        <v>8.05 Mobiliario no operacional para Tiendas</v>
      </c>
      <c r="D87" s="181" t="s">
        <v>40</v>
      </c>
      <c r="E87" s="242" t="str">
        <f>IF(BD.PD[[#This Row],[.]]="*",VLOOKUP(BD.PD[[#This Row],[Pos]],Presupuesto!A:H,7,FALSE),"")</f>
        <v/>
      </c>
      <c r="F87" s="322" t="s">
        <v>1060</v>
      </c>
      <c r="G87" s="243" t="s">
        <v>308</v>
      </c>
      <c r="H87" s="275"/>
      <c r="I87" s="276">
        <v>1</v>
      </c>
      <c r="J87" s="181" t="s">
        <v>314</v>
      </c>
      <c r="K87" s="245">
        <f>IF(BD.PD[[#This Row],[Mon]]="DOP",1,HLOOKUP(BD.PD[[#This Row],[Mon]],$J$1:$K$2,2,FALSE))</f>
        <v>1</v>
      </c>
      <c r="L87" s="388">
        <v>11370</v>
      </c>
      <c r="M87" s="247">
        <f>BD.PD[[#This Row],[Cant.]]*BD.PD[[#This Row],[ Tasa ]]*BD.PD[[#This Row],[ Precio Und.]]</f>
        <v>11370</v>
      </c>
      <c r="N87" s="278">
        <v>0</v>
      </c>
      <c r="O87" s="247">
        <f>IF(BD.PD[[#This Row],[Liquid. '[%']]]&lt;&gt;0,(BD.PD[[#This Row],[Valor Neto '[DOP']]]*BD.PD[[#This Row],[Liquid. '[%']]])+BD.PD[[#This Row],[Valor Neto '[DOP']]],BD.PD[[#This Row],[Valor Neto '[DOP']]])</f>
        <v>11370</v>
      </c>
      <c r="P87" s="257">
        <f>BD.PD[[#This Row],[Ppto. Orden Interna '[DOP']]]/HLOOKUP("USD",$J$1:$K$2,2,FALSE)</f>
        <v>187.3146622734761</v>
      </c>
      <c r="Q87" s="250" t="s">
        <v>587</v>
      </c>
      <c r="R87" s="258" t="s">
        <v>584</v>
      </c>
      <c r="S87" s="251">
        <v>22</v>
      </c>
      <c r="T87" s="252">
        <v>1</v>
      </c>
      <c r="U87" s="259">
        <f>BD.PD[[#This Row],[Av.P1 '[%']]]*BD.PD[[#This Row],[Ppto. Orden Interna '[DOP']]]</f>
        <v>11370</v>
      </c>
      <c r="V87" s="254"/>
      <c r="W87" s="255"/>
      <c r="X87" s="259">
        <f>BD.PD[[#This Row],[Av.P2 '[%']]]*BD.PD[[#This Row],[Ppto. Orden Interna '[DOP']]]</f>
        <v>0</v>
      </c>
      <c r="Y87" s="254"/>
      <c r="Z87" s="255"/>
      <c r="AA87" s="259">
        <f>BD.PD[[#This Row],[Av.P3 '[%']]]*BD.PD[[#This Row],[Ppto. Orden Interna '[DOP']]]</f>
        <v>0</v>
      </c>
      <c r="AB87" s="254"/>
      <c r="AC87" s="255"/>
      <c r="AD87" s="259">
        <f>BD.PD[[#This Row],[Av.P4 '[%']]]*BD.PD[[#This Row],[Ppto. Orden Interna '[DOP']]]</f>
        <v>0</v>
      </c>
      <c r="AE87" s="254"/>
      <c r="AF87" s="255"/>
      <c r="AG87" s="259">
        <f>BD.PD[[#This Row],[Av.P5 '[%']]]*BD.PD[[#This Row],[Ppto. Orden Interna '[DOP']]]</f>
        <v>0</v>
      </c>
      <c r="AH87" s="256">
        <f>BD.PD[[#This Row],[Pago 5]]+BD.PD[[#This Row],[Pago 4]]+BD.PD[[#This Row],[Pago 3]]+BD.PD[[#This Row],[Pago 2]]+BD.PD[[#This Row],[Pago 1]]</f>
        <v>11370</v>
      </c>
      <c r="AI87" s="318"/>
    </row>
    <row r="88" spans="1:35" ht="15" customHeight="1" x14ac:dyDescent="0.3">
      <c r="A88" s="181">
        <v>8.0500000000000007</v>
      </c>
      <c r="B88" s="239"/>
      <c r="C88" s="240" t="str">
        <f>VLOOKUP(BD.PD[[#This Row],[Pos]],PPto[],3,FALSE)</f>
        <v>8.05 Mobiliario no operacional para Tiendas</v>
      </c>
      <c r="D88" s="181" t="s">
        <v>40</v>
      </c>
      <c r="E88" s="242" t="str">
        <f>IF(BD.PD[[#This Row],[.]]="*",VLOOKUP(BD.PD[[#This Row],[Pos]],Presupuesto!A:H,7,FALSE),"")</f>
        <v/>
      </c>
      <c r="F88" s="243" t="s">
        <v>1061</v>
      </c>
      <c r="G88" s="243" t="s">
        <v>308</v>
      </c>
      <c r="H88" s="275"/>
      <c r="I88" s="276">
        <v>2</v>
      </c>
      <c r="J88" s="181" t="s">
        <v>314</v>
      </c>
      <c r="K88" s="245">
        <f>IF(BD.PD[[#This Row],[Mon]]="DOP",1,HLOOKUP(BD.PD[[#This Row],[Mon]],$J$1:$K$2,2,FALSE))</f>
        <v>1</v>
      </c>
      <c r="L88" s="388">
        <v>121011.5</v>
      </c>
      <c r="M88" s="247">
        <f>BD.PD[[#This Row],[Cant.]]*BD.PD[[#This Row],[ Tasa ]]*BD.PD[[#This Row],[ Precio Und.]]</f>
        <v>242023</v>
      </c>
      <c r="N88" s="278">
        <v>0</v>
      </c>
      <c r="O88" s="247">
        <f>IF(BD.PD[[#This Row],[Liquid. '[%']]]&lt;&gt;0,(BD.PD[[#This Row],[Valor Neto '[DOP']]]*BD.PD[[#This Row],[Liquid. '[%']]])+BD.PD[[#This Row],[Valor Neto '[DOP']]],BD.PD[[#This Row],[Valor Neto '[DOP']]])</f>
        <v>242023</v>
      </c>
      <c r="P88" s="257">
        <f>BD.PD[[#This Row],[Ppto. Orden Interna '[DOP']]]/HLOOKUP("USD",$J$1:$K$2,2,FALSE)</f>
        <v>3987.1993410214168</v>
      </c>
      <c r="Q88" s="250" t="s">
        <v>1132</v>
      </c>
      <c r="R88" s="258" t="s">
        <v>584</v>
      </c>
      <c r="S88" s="251">
        <v>22</v>
      </c>
      <c r="T88" s="252">
        <v>1</v>
      </c>
      <c r="U88" s="259">
        <f>BD.PD[[#This Row],[Av.P1 '[%']]]*BD.PD[[#This Row],[Ppto. Orden Interna '[DOP']]]</f>
        <v>242023</v>
      </c>
      <c r="V88" s="254"/>
      <c r="W88" s="255"/>
      <c r="X88" s="259">
        <f>BD.PD[[#This Row],[Av.P2 '[%']]]*BD.PD[[#This Row],[Ppto. Orden Interna '[DOP']]]</f>
        <v>0</v>
      </c>
      <c r="Y88" s="254"/>
      <c r="Z88" s="255"/>
      <c r="AA88" s="259">
        <f>BD.PD[[#This Row],[Av.P3 '[%']]]*BD.PD[[#This Row],[Ppto. Orden Interna '[DOP']]]</f>
        <v>0</v>
      </c>
      <c r="AB88" s="254"/>
      <c r="AC88" s="255"/>
      <c r="AD88" s="259">
        <f>BD.PD[[#This Row],[Av.P4 '[%']]]*BD.PD[[#This Row],[Ppto. Orden Interna '[DOP']]]</f>
        <v>0</v>
      </c>
      <c r="AE88" s="254"/>
      <c r="AF88" s="255"/>
      <c r="AG88" s="259">
        <f>BD.PD[[#This Row],[Av.P5 '[%']]]*BD.PD[[#This Row],[Ppto. Orden Interna '[DOP']]]</f>
        <v>0</v>
      </c>
      <c r="AH88" s="256">
        <f>BD.PD[[#This Row],[Pago 5]]+BD.PD[[#This Row],[Pago 4]]+BD.PD[[#This Row],[Pago 3]]+BD.PD[[#This Row],[Pago 2]]+BD.PD[[#This Row],[Pago 1]]</f>
        <v>242023</v>
      </c>
      <c r="AI88" s="318"/>
    </row>
    <row r="89" spans="1:35" ht="15" customHeight="1" x14ac:dyDescent="0.3">
      <c r="A89" s="181">
        <v>8.0500000000000007</v>
      </c>
      <c r="B89" s="239"/>
      <c r="C89" s="240" t="str">
        <f>VLOOKUP(BD.PD[[#This Row],[Pos]],PPto[],3,FALSE)</f>
        <v>8.05 Mobiliario no operacional para Tiendas</v>
      </c>
      <c r="D89" s="181" t="s">
        <v>40</v>
      </c>
      <c r="E89" s="242" t="str">
        <f>IF(BD.PD[[#This Row],[.]]="*",VLOOKUP(BD.PD[[#This Row],[Pos]],Presupuesto!A:H,7,FALSE),"")</f>
        <v/>
      </c>
      <c r="F89" s="243" t="s">
        <v>1062</v>
      </c>
      <c r="G89" s="243" t="s">
        <v>308</v>
      </c>
      <c r="H89" s="275"/>
      <c r="I89" s="276">
        <v>2</v>
      </c>
      <c r="J89" s="181" t="s">
        <v>314</v>
      </c>
      <c r="K89" s="245">
        <f>IF(BD.PD[[#This Row],[Mon]]="DOP",1,HLOOKUP(BD.PD[[#This Row],[Mon]],$J$1:$K$2,2,FALSE))</f>
        <v>1</v>
      </c>
      <c r="L89" s="388">
        <v>3069.56</v>
      </c>
      <c r="M89" s="247">
        <f>BD.PD[[#This Row],[Cant.]]*BD.PD[[#This Row],[ Tasa ]]*BD.PD[[#This Row],[ Precio Und.]]</f>
        <v>6139.12</v>
      </c>
      <c r="N89" s="278">
        <v>0</v>
      </c>
      <c r="O89" s="247">
        <f>IF(BD.PD[[#This Row],[Liquid. '[%']]]&lt;&gt;0,(BD.PD[[#This Row],[Valor Neto '[DOP']]]*BD.PD[[#This Row],[Liquid. '[%']]])+BD.PD[[#This Row],[Valor Neto '[DOP']]],BD.PD[[#This Row],[Valor Neto '[DOP']]])</f>
        <v>6139.12</v>
      </c>
      <c r="P89" s="257">
        <f>BD.PD[[#This Row],[Ppto. Orden Interna '[DOP']]]/HLOOKUP("USD",$J$1:$K$2,2,FALSE)</f>
        <v>101.13871499176277</v>
      </c>
      <c r="Q89" s="250" t="s">
        <v>587</v>
      </c>
      <c r="R89" s="258" t="s">
        <v>584</v>
      </c>
      <c r="S89" s="251">
        <v>22</v>
      </c>
      <c r="T89" s="252">
        <v>1</v>
      </c>
      <c r="U89" s="259">
        <f>BD.PD[[#This Row],[Av.P1 '[%']]]*BD.PD[[#This Row],[Ppto. Orden Interna '[DOP']]]</f>
        <v>6139.12</v>
      </c>
      <c r="V89" s="254"/>
      <c r="W89" s="255"/>
      <c r="X89" s="259">
        <f>BD.PD[[#This Row],[Av.P2 '[%']]]*BD.PD[[#This Row],[Ppto. Orden Interna '[DOP']]]</f>
        <v>0</v>
      </c>
      <c r="Y89" s="254"/>
      <c r="Z89" s="255"/>
      <c r="AA89" s="259">
        <f>BD.PD[[#This Row],[Av.P3 '[%']]]*BD.PD[[#This Row],[Ppto. Orden Interna '[DOP']]]</f>
        <v>0</v>
      </c>
      <c r="AB89" s="254"/>
      <c r="AC89" s="255"/>
      <c r="AD89" s="259">
        <f>BD.PD[[#This Row],[Av.P4 '[%']]]*BD.PD[[#This Row],[Ppto. Orden Interna '[DOP']]]</f>
        <v>0</v>
      </c>
      <c r="AE89" s="254"/>
      <c r="AF89" s="255"/>
      <c r="AG89" s="259">
        <f>BD.PD[[#This Row],[Av.P5 '[%']]]*BD.PD[[#This Row],[Ppto. Orden Interna '[DOP']]]</f>
        <v>0</v>
      </c>
      <c r="AH89" s="256">
        <f>BD.PD[[#This Row],[Pago 5]]+BD.PD[[#This Row],[Pago 4]]+BD.PD[[#This Row],[Pago 3]]+BD.PD[[#This Row],[Pago 2]]+BD.PD[[#This Row],[Pago 1]]</f>
        <v>6139.12</v>
      </c>
      <c r="AI89" s="318"/>
    </row>
    <row r="90" spans="1:35" ht="15" customHeight="1" x14ac:dyDescent="0.3">
      <c r="A90" s="181">
        <v>8.06</v>
      </c>
      <c r="B90" s="239"/>
      <c r="C90" s="240" t="str">
        <f>VLOOKUP(BD.PD[[#This Row],[Pos]],PPto[],3,FALSE)</f>
        <v>8.06 Otros Equipamientos de Tienda</v>
      </c>
      <c r="D90" s="181" t="s">
        <v>40</v>
      </c>
      <c r="E90" s="242" t="str">
        <f>IF(BD.PD[[#This Row],[.]]="*",VLOOKUP(BD.PD[[#This Row],[Pos]],Presupuesto!A:H,7,FALSE),"")</f>
        <v/>
      </c>
      <c r="F90" s="302" t="s">
        <v>628</v>
      </c>
      <c r="G90" s="243">
        <v>4512922448</v>
      </c>
      <c r="H90" s="275"/>
      <c r="I90" s="276">
        <v>3</v>
      </c>
      <c r="J90" s="181" t="s">
        <v>314</v>
      </c>
      <c r="K90" s="245">
        <f>IF(BD.PD[[#This Row],[Mon]]="DOP",1,HLOOKUP(BD.PD[[#This Row],[Mon]],$J$1:$K$2,2,FALSE))</f>
        <v>1</v>
      </c>
      <c r="L90" s="277">
        <v>35000</v>
      </c>
      <c r="M90" s="247">
        <f>BD.PD[[#This Row],[Cant.]]*BD.PD[[#This Row],[ Tasa ]]*BD.PD[[#This Row],[ Precio Und.]]</f>
        <v>105000</v>
      </c>
      <c r="N90" s="278">
        <v>0</v>
      </c>
      <c r="O90" s="247">
        <f>IF(BD.PD[[#This Row],[Liquid. '[%']]]&lt;&gt;0,(BD.PD[[#This Row],[Valor Neto '[DOP']]]*BD.PD[[#This Row],[Liquid. '[%']]])+BD.PD[[#This Row],[Valor Neto '[DOP']]],BD.PD[[#This Row],[Valor Neto '[DOP']]])</f>
        <v>105000</v>
      </c>
      <c r="P90" s="257">
        <f>BD.PD[[#This Row],[Ppto. Orden Interna '[DOP']]]/HLOOKUP("USD",$J$1:$K$2,2,FALSE)</f>
        <v>1729.8187808896209</v>
      </c>
      <c r="Q90" s="250" t="s">
        <v>629</v>
      </c>
      <c r="R90" s="258" t="s">
        <v>630</v>
      </c>
      <c r="S90" s="251">
        <v>21</v>
      </c>
      <c r="T90" s="252">
        <v>1</v>
      </c>
      <c r="U90" s="259">
        <f>BD.PD[[#This Row],[Av.P1 '[%']]]*BD.PD[[#This Row],[Ppto. Orden Interna '[DOP']]]</f>
        <v>105000</v>
      </c>
      <c r="V90" s="254"/>
      <c r="W90" s="255"/>
      <c r="X90" s="259">
        <f>BD.PD[[#This Row],[Av.P2 '[%']]]*BD.PD[[#This Row],[Ppto. Orden Interna '[DOP']]]</f>
        <v>0</v>
      </c>
      <c r="Y90" s="254"/>
      <c r="Z90" s="255"/>
      <c r="AA90" s="259">
        <f>BD.PD[[#This Row],[Av.P3 '[%']]]*BD.PD[[#This Row],[Ppto. Orden Interna '[DOP']]]</f>
        <v>0</v>
      </c>
      <c r="AB90" s="254"/>
      <c r="AC90" s="255"/>
      <c r="AD90" s="259">
        <f>BD.PD[[#This Row],[Av.P4 '[%']]]*BD.PD[[#This Row],[Ppto. Orden Interna '[DOP']]]</f>
        <v>0</v>
      </c>
      <c r="AE90" s="254"/>
      <c r="AF90" s="255"/>
      <c r="AG90" s="259">
        <f>BD.PD[[#This Row],[Av.P5 '[%']]]*BD.PD[[#This Row],[Ppto. Orden Interna '[DOP']]]</f>
        <v>0</v>
      </c>
      <c r="AH90" s="256">
        <f>BD.PD[[#This Row],[Pago 5]]+BD.PD[[#This Row],[Pago 4]]+BD.PD[[#This Row],[Pago 3]]+BD.PD[[#This Row],[Pago 2]]+BD.PD[[#This Row],[Pago 1]]</f>
        <v>105000</v>
      </c>
      <c r="AI90" s="318"/>
    </row>
    <row r="91" spans="1:35" ht="15" customHeight="1" x14ac:dyDescent="0.3">
      <c r="A91" s="181">
        <v>8.06</v>
      </c>
      <c r="B91" s="239"/>
      <c r="C91" s="240" t="str">
        <f>VLOOKUP(BD.PD[[#This Row],[Pos]],PPto[],3,FALSE)</f>
        <v>8.06 Otros Equipamientos de Tienda</v>
      </c>
      <c r="D91" s="181" t="s">
        <v>40</v>
      </c>
      <c r="E91" s="242" t="str">
        <f>IF(BD.PD[[#This Row],[.]]="*",VLOOKUP(BD.PD[[#This Row],[Pos]],Presupuesto!A:H,7,FALSE),"")</f>
        <v/>
      </c>
      <c r="F91" s="243" t="s">
        <v>631</v>
      </c>
      <c r="G91" s="243" t="s">
        <v>308</v>
      </c>
      <c r="H91" s="275"/>
      <c r="I91" s="276">
        <v>1</v>
      </c>
      <c r="J91" s="181" t="s">
        <v>314</v>
      </c>
      <c r="K91" s="245">
        <f>IF(BD.PD[[#This Row],[Mon]]="DOP",1,HLOOKUP(BD.PD[[#This Row],[Mon]],$J$1:$K$2,2,FALSE))</f>
        <v>1</v>
      </c>
      <c r="L91" s="277">
        <v>17773.189999999999</v>
      </c>
      <c r="M91" s="247">
        <f>BD.PD[[#This Row],[Cant.]]*BD.PD[[#This Row],[ Tasa ]]*BD.PD[[#This Row],[ Precio Und.]]</f>
        <v>17773.189999999999</v>
      </c>
      <c r="N91" s="278">
        <v>0</v>
      </c>
      <c r="O91" s="247">
        <f>IF(BD.PD[[#This Row],[Liquid. '[%']]]&lt;&gt;0,(BD.PD[[#This Row],[Valor Neto '[DOP']]]*BD.PD[[#This Row],[Liquid. '[%']]])+BD.PD[[#This Row],[Valor Neto '[DOP']]],BD.PD[[#This Row],[Valor Neto '[DOP']]])</f>
        <v>17773.189999999999</v>
      </c>
      <c r="P91" s="257">
        <f>BD.PD[[#This Row],[Ppto. Orden Interna '[DOP']]]/HLOOKUP("USD",$J$1:$K$2,2,FALSE)</f>
        <v>292.80378912685336</v>
      </c>
      <c r="Q91" s="250" t="s">
        <v>667</v>
      </c>
      <c r="R91" s="258" t="s">
        <v>630</v>
      </c>
      <c r="S91" s="251">
        <v>22</v>
      </c>
      <c r="T91" s="252">
        <v>1</v>
      </c>
      <c r="U91" s="259">
        <f>BD.PD[[#This Row],[Av.P1 '[%']]]*BD.PD[[#This Row],[Ppto. Orden Interna '[DOP']]]</f>
        <v>17773.189999999999</v>
      </c>
      <c r="V91" s="254"/>
      <c r="W91" s="255"/>
      <c r="X91" s="259">
        <f>BD.PD[[#This Row],[Av.P2 '[%']]]*BD.PD[[#This Row],[Ppto. Orden Interna '[DOP']]]</f>
        <v>0</v>
      </c>
      <c r="Y91" s="254"/>
      <c r="Z91" s="255"/>
      <c r="AA91" s="259">
        <f>BD.PD[[#This Row],[Av.P3 '[%']]]*BD.PD[[#This Row],[Ppto. Orden Interna '[DOP']]]</f>
        <v>0</v>
      </c>
      <c r="AB91" s="254"/>
      <c r="AC91" s="255"/>
      <c r="AD91" s="259">
        <f>BD.PD[[#This Row],[Av.P4 '[%']]]*BD.PD[[#This Row],[Ppto. Orden Interna '[DOP']]]</f>
        <v>0</v>
      </c>
      <c r="AE91" s="254"/>
      <c r="AF91" s="255"/>
      <c r="AG91" s="259">
        <f>BD.PD[[#This Row],[Av.P5 '[%']]]*BD.PD[[#This Row],[Ppto. Orden Interna '[DOP']]]</f>
        <v>0</v>
      </c>
      <c r="AH91" s="256">
        <f>BD.PD[[#This Row],[Pago 5]]+BD.PD[[#This Row],[Pago 4]]+BD.PD[[#This Row],[Pago 3]]+BD.PD[[#This Row],[Pago 2]]+BD.PD[[#This Row],[Pago 1]]</f>
        <v>17773.189999999999</v>
      </c>
      <c r="AI91" s="318"/>
    </row>
    <row r="92" spans="1:35" ht="15" customHeight="1" x14ac:dyDescent="0.3">
      <c r="A92" s="181">
        <v>8.0500000000000007</v>
      </c>
      <c r="B92" s="239"/>
      <c r="C92" s="240" t="str">
        <f>VLOOKUP(BD.PD[[#This Row],[Pos]],PPto[],3,FALSE)</f>
        <v>8.05 Mobiliario no operacional para Tiendas</v>
      </c>
      <c r="D92" s="181" t="s">
        <v>40</v>
      </c>
      <c r="E92" s="242" t="str">
        <f>IF(BD.PD[[#This Row],[.]]="*",VLOOKUP(BD.PD[[#This Row],[Pos]],Presupuesto!A:H,7,FALSE),"")</f>
        <v/>
      </c>
      <c r="F92" s="389" t="s">
        <v>586</v>
      </c>
      <c r="G92" s="243">
        <v>4512922448</v>
      </c>
      <c r="H92" s="275"/>
      <c r="I92" s="276">
        <v>1</v>
      </c>
      <c r="J92" s="181" t="s">
        <v>314</v>
      </c>
      <c r="K92" s="245">
        <f>IF(BD.PD[[#This Row],[Mon]]="DOP",1,HLOOKUP(BD.PD[[#This Row],[Mon]],$J$1:$K$2,2,FALSE))</f>
        <v>1</v>
      </c>
      <c r="L92" s="388">
        <v>33891.339999999997</v>
      </c>
      <c r="M92" s="247">
        <f>BD.PD[[#This Row],[Cant.]]*BD.PD[[#This Row],[ Tasa ]]*BD.PD[[#This Row],[ Precio Und.]]</f>
        <v>33891.339999999997</v>
      </c>
      <c r="N92" s="278">
        <v>0.1</v>
      </c>
      <c r="O92" s="247">
        <f>IF(BD.PD[[#This Row],[Liquid. '[%']]]&lt;&gt;0,(BD.PD[[#This Row],[Valor Neto '[DOP']]]*BD.PD[[#This Row],[Liquid. '[%']]])+BD.PD[[#This Row],[Valor Neto '[DOP']]],BD.PD[[#This Row],[Valor Neto '[DOP']]])</f>
        <v>37280.473999999995</v>
      </c>
      <c r="P92" s="257">
        <f>BD.PD[[#This Row],[Ppto. Orden Interna '[DOP']]]/HLOOKUP("USD",$J$1:$K$2,2,FALSE)</f>
        <v>614.1758484349258</v>
      </c>
      <c r="Q92" s="250" t="s">
        <v>1074</v>
      </c>
      <c r="R92" s="258" t="s">
        <v>582</v>
      </c>
      <c r="S92" s="251">
        <v>18</v>
      </c>
      <c r="T92" s="252">
        <v>0.5</v>
      </c>
      <c r="U92" s="259">
        <f>BD.PD[[#This Row],[Av.P1 '[%']]]*BD.PD[[#This Row],[Ppto. Orden Interna '[DOP']]]</f>
        <v>18640.236999999997</v>
      </c>
      <c r="V92" s="254">
        <v>21</v>
      </c>
      <c r="W92" s="252">
        <v>0.5</v>
      </c>
      <c r="X92" s="259">
        <f>BD.PD[[#This Row],[Av.P2 '[%']]]*BD.PD[[#This Row],[Ppto. Orden Interna '[DOP']]]</f>
        <v>18640.236999999997</v>
      </c>
      <c r="Y92" s="254"/>
      <c r="Z92" s="255"/>
      <c r="AA92" s="259">
        <f>BD.PD[[#This Row],[Av.P3 '[%']]]*BD.PD[[#This Row],[Ppto. Orden Interna '[DOP']]]</f>
        <v>0</v>
      </c>
      <c r="AB92" s="254"/>
      <c r="AC92" s="255"/>
      <c r="AD92" s="259">
        <f>BD.PD[[#This Row],[Av.P4 '[%']]]*BD.PD[[#This Row],[Ppto. Orden Interna '[DOP']]]</f>
        <v>0</v>
      </c>
      <c r="AE92" s="254"/>
      <c r="AF92" s="255"/>
      <c r="AG92" s="259">
        <f>BD.PD[[#This Row],[Av.P5 '[%']]]*BD.PD[[#This Row],[Ppto. Orden Interna '[DOP']]]</f>
        <v>0</v>
      </c>
      <c r="AH92" s="256">
        <f>BD.PD[[#This Row],[Pago 5]]+BD.PD[[#This Row],[Pago 4]]+BD.PD[[#This Row],[Pago 3]]+BD.PD[[#This Row],[Pago 2]]+BD.PD[[#This Row],[Pago 1]]</f>
        <v>37280.473999999995</v>
      </c>
      <c r="AI92" s="318"/>
    </row>
    <row r="93" spans="1:35" ht="15" customHeight="1" x14ac:dyDescent="0.3">
      <c r="A93" s="181">
        <v>8.06</v>
      </c>
      <c r="B93" s="239"/>
      <c r="C93" s="240" t="str">
        <f>VLOOKUP(BD.PD[[#This Row],[Pos]],PPto[],3,FALSE)</f>
        <v>8.06 Otros Equipamientos de Tienda</v>
      </c>
      <c r="D93" s="181" t="s">
        <v>40</v>
      </c>
      <c r="E93" s="242" t="str">
        <f>IF(BD.PD[[#This Row],[.]]="*",VLOOKUP(BD.PD[[#This Row],[Pos]],Presupuesto!A:H,7,FALSE),"")</f>
        <v/>
      </c>
      <c r="F93" s="243" t="s">
        <v>639</v>
      </c>
      <c r="G93" s="243" t="s">
        <v>308</v>
      </c>
      <c r="H93" s="275"/>
      <c r="I93" s="343">
        <v>1</v>
      </c>
      <c r="J93" s="181" t="s">
        <v>188</v>
      </c>
      <c r="K93" s="245">
        <f>IF(BD.PD[[#This Row],[Mon]]="DOP",1,HLOOKUP(BD.PD[[#This Row],[Mon]],$J$1:$K$2,2,FALSE))</f>
        <v>60.7</v>
      </c>
      <c r="L93" s="344">
        <v>6100</v>
      </c>
      <c r="M93" s="247">
        <f>BD.PD[[#This Row],[Cant.]]*BD.PD[[#This Row],[ Tasa ]]*BD.PD[[#This Row],[ Precio Und.]]</f>
        <v>370270</v>
      </c>
      <c r="N93" s="359">
        <v>0</v>
      </c>
      <c r="O93" s="247">
        <f>IF(BD.PD[[#This Row],[Liquid. '[%']]]&lt;&gt;0,(BD.PD[[#This Row],[Valor Neto '[DOP']]]*BD.PD[[#This Row],[Liquid. '[%']]])+BD.PD[[#This Row],[Valor Neto '[DOP']]],BD.PD[[#This Row],[Valor Neto '[DOP']]])</f>
        <v>370270</v>
      </c>
      <c r="P93" s="257">
        <f>BD.PD[[#This Row],[Ppto. Orden Interna '[DOP']]]/HLOOKUP("USD",$J$1:$K$2,2,FALSE)</f>
        <v>6100</v>
      </c>
      <c r="Q93" s="250" t="s">
        <v>640</v>
      </c>
      <c r="R93" s="258" t="s">
        <v>582</v>
      </c>
      <c r="S93" s="251">
        <v>22</v>
      </c>
      <c r="T93" s="252">
        <v>1</v>
      </c>
      <c r="U93" s="259">
        <f>BD.PD[[#This Row],[Av.P1 '[%']]]*BD.PD[[#This Row],[Ppto. Orden Interna '[DOP']]]</f>
        <v>370270</v>
      </c>
      <c r="V93" s="254"/>
      <c r="W93" s="255"/>
      <c r="X93" s="259">
        <f>BD.PD[[#This Row],[Av.P2 '[%']]]*BD.PD[[#This Row],[Ppto. Orden Interna '[DOP']]]</f>
        <v>0</v>
      </c>
      <c r="Y93" s="254"/>
      <c r="Z93" s="255"/>
      <c r="AA93" s="259">
        <f>BD.PD[[#This Row],[Av.P3 '[%']]]*BD.PD[[#This Row],[Ppto. Orden Interna '[DOP']]]</f>
        <v>0</v>
      </c>
      <c r="AB93" s="254"/>
      <c r="AC93" s="255"/>
      <c r="AD93" s="259">
        <f>BD.PD[[#This Row],[Av.P4 '[%']]]*BD.PD[[#This Row],[Ppto. Orden Interna '[DOP']]]</f>
        <v>0</v>
      </c>
      <c r="AE93" s="254"/>
      <c r="AF93" s="255"/>
      <c r="AG93" s="259">
        <f>BD.PD[[#This Row],[Av.P5 '[%']]]*BD.PD[[#This Row],[Ppto. Orden Interna '[DOP']]]</f>
        <v>0</v>
      </c>
      <c r="AH93" s="256">
        <f>BD.PD[[#This Row],[Pago 5]]+BD.PD[[#This Row],[Pago 4]]+BD.PD[[#This Row],[Pago 3]]+BD.PD[[#This Row],[Pago 2]]+BD.PD[[#This Row],[Pago 1]]</f>
        <v>370270</v>
      </c>
      <c r="AI93" s="318"/>
    </row>
    <row r="94" spans="1:35" ht="15" customHeight="1" x14ac:dyDescent="0.3">
      <c r="A94" s="181">
        <v>8.06</v>
      </c>
      <c r="B94" s="239"/>
      <c r="C94" s="240" t="str">
        <f>VLOOKUP(BD.PD[[#This Row],[Pos]],PPto[],3,FALSE)</f>
        <v>8.06 Otros Equipamientos de Tienda</v>
      </c>
      <c r="D94" s="181" t="s">
        <v>40</v>
      </c>
      <c r="E94" s="242" t="str">
        <f>IF(BD.PD[[#This Row],[.]]="*",VLOOKUP(BD.PD[[#This Row],[Pos]],Presupuesto!A:H,7,FALSE),"")</f>
        <v/>
      </c>
      <c r="F94" s="302" t="s">
        <v>641</v>
      </c>
      <c r="G94" s="243" t="s">
        <v>308</v>
      </c>
      <c r="H94" s="275"/>
      <c r="I94" s="276">
        <v>4</v>
      </c>
      <c r="J94" s="181" t="s">
        <v>314</v>
      </c>
      <c r="K94" s="245">
        <f>IF(BD.PD[[#This Row],[Mon]]="DOP",1,HLOOKUP(BD.PD[[#This Row],[Mon]],$J$1:$K$2,2,FALSE))</f>
        <v>1</v>
      </c>
      <c r="L94" s="277">
        <v>34403.894999999997</v>
      </c>
      <c r="M94" s="247">
        <f>BD.PD[[#This Row],[Cant.]]*BD.PD[[#This Row],[ Tasa ]]*BD.PD[[#This Row],[ Precio Und.]]</f>
        <v>137615.57999999999</v>
      </c>
      <c r="N94" s="278">
        <v>0</v>
      </c>
      <c r="O94" s="247">
        <f>IF(BD.PD[[#This Row],[Liquid. '[%']]]&lt;&gt;0,(BD.PD[[#This Row],[Valor Neto '[DOP']]]*BD.PD[[#This Row],[Liquid. '[%']]])+BD.PD[[#This Row],[Valor Neto '[DOP']]],BD.PD[[#This Row],[Valor Neto '[DOP']]])</f>
        <v>137615.57999999999</v>
      </c>
      <c r="P94" s="257">
        <f>BD.PD[[#This Row],[Ppto. Orden Interna '[DOP']]]/HLOOKUP("USD",$J$1:$K$2,2,FALSE)</f>
        <v>2267.1429983525531</v>
      </c>
      <c r="Q94" s="250" t="s">
        <v>640</v>
      </c>
      <c r="R94" s="258" t="s">
        <v>582</v>
      </c>
      <c r="S94" s="251">
        <v>22</v>
      </c>
      <c r="T94" s="252">
        <v>1</v>
      </c>
      <c r="U94" s="259">
        <f>BD.PD[[#This Row],[Av.P1 '[%']]]*BD.PD[[#This Row],[Ppto. Orden Interna '[DOP']]]</f>
        <v>137615.57999999999</v>
      </c>
      <c r="V94" s="254"/>
      <c r="W94" s="255"/>
      <c r="X94" s="259">
        <f>BD.PD[[#This Row],[Av.P2 '[%']]]*BD.PD[[#This Row],[Ppto. Orden Interna '[DOP']]]</f>
        <v>0</v>
      </c>
      <c r="Y94" s="254"/>
      <c r="Z94" s="255"/>
      <c r="AA94" s="259">
        <f>BD.PD[[#This Row],[Av.P3 '[%']]]*BD.PD[[#This Row],[Ppto. Orden Interna '[DOP']]]</f>
        <v>0</v>
      </c>
      <c r="AB94" s="254"/>
      <c r="AC94" s="255"/>
      <c r="AD94" s="259">
        <f>BD.PD[[#This Row],[Av.P4 '[%']]]*BD.PD[[#This Row],[Ppto. Orden Interna '[DOP']]]</f>
        <v>0</v>
      </c>
      <c r="AE94" s="254"/>
      <c r="AF94" s="255"/>
      <c r="AG94" s="259">
        <f>BD.PD[[#This Row],[Av.P5 '[%']]]*BD.PD[[#This Row],[Ppto. Orden Interna '[DOP']]]</f>
        <v>0</v>
      </c>
      <c r="AH94" s="256">
        <f>BD.PD[[#This Row],[Pago 5]]+BD.PD[[#This Row],[Pago 4]]+BD.PD[[#This Row],[Pago 3]]+BD.PD[[#This Row],[Pago 2]]+BD.PD[[#This Row],[Pago 1]]</f>
        <v>137615.57999999999</v>
      </c>
      <c r="AI94" s="318"/>
    </row>
    <row r="95" spans="1:35" ht="15" customHeight="1" x14ac:dyDescent="0.3">
      <c r="A95" s="181">
        <v>8.06</v>
      </c>
      <c r="B95" s="239"/>
      <c r="C95" s="240" t="str">
        <f>VLOOKUP(BD.PD[[#This Row],[Pos]],PPto[],3,FALSE)</f>
        <v>8.06 Otros Equipamientos de Tienda</v>
      </c>
      <c r="D95" s="181" t="s">
        <v>40</v>
      </c>
      <c r="E95" s="242" t="str">
        <f>IF(BD.PD[[#This Row],[.]]="*",VLOOKUP(BD.PD[[#This Row],[Pos]],Presupuesto!A:H,7,FALSE),"")</f>
        <v/>
      </c>
      <c r="F95" s="243" t="s">
        <v>642</v>
      </c>
      <c r="G95" s="243" t="s">
        <v>308</v>
      </c>
      <c r="H95" s="275"/>
      <c r="I95" s="276">
        <v>2</v>
      </c>
      <c r="J95" s="181" t="s">
        <v>314</v>
      </c>
      <c r="K95" s="245">
        <f>IF(BD.PD[[#This Row],[Mon]]="DOP",1,HLOOKUP(BD.PD[[#This Row],[Mon]],$J$1:$K$2,2,FALSE))</f>
        <v>1</v>
      </c>
      <c r="L95" s="277">
        <v>2300</v>
      </c>
      <c r="M95" s="247">
        <f>BD.PD[[#This Row],[Cant.]]*BD.PD[[#This Row],[ Tasa ]]*BD.PD[[#This Row],[ Precio Und.]]</f>
        <v>4600</v>
      </c>
      <c r="N95" s="278">
        <v>0</v>
      </c>
      <c r="O95" s="247">
        <f>IF(BD.PD[[#This Row],[Liquid. '[%']]]&lt;&gt;0,(BD.PD[[#This Row],[Valor Neto '[DOP']]]*BD.PD[[#This Row],[Liquid. '[%']]])+BD.PD[[#This Row],[Valor Neto '[DOP']]],BD.PD[[#This Row],[Valor Neto '[DOP']]])</f>
        <v>4600</v>
      </c>
      <c r="P95" s="257">
        <f>BD.PD[[#This Row],[Ppto. Orden Interna '[DOP']]]/HLOOKUP("USD",$J$1:$K$2,2,FALSE)</f>
        <v>75.782537067545306</v>
      </c>
      <c r="Q95" s="250" t="s">
        <v>640</v>
      </c>
      <c r="R95" s="258" t="s">
        <v>582</v>
      </c>
      <c r="S95" s="251">
        <v>22</v>
      </c>
      <c r="T95" s="252">
        <v>1</v>
      </c>
      <c r="U95" s="259">
        <f>BD.PD[[#This Row],[Av.P1 '[%']]]*BD.PD[[#This Row],[Ppto. Orden Interna '[DOP']]]</f>
        <v>4600</v>
      </c>
      <c r="V95" s="254"/>
      <c r="W95" s="255"/>
      <c r="X95" s="259">
        <f>BD.PD[[#This Row],[Av.P2 '[%']]]*BD.PD[[#This Row],[Ppto. Orden Interna '[DOP']]]</f>
        <v>0</v>
      </c>
      <c r="Y95" s="254"/>
      <c r="Z95" s="255"/>
      <c r="AA95" s="259">
        <f>BD.PD[[#This Row],[Av.P3 '[%']]]*BD.PD[[#This Row],[Ppto. Orden Interna '[DOP']]]</f>
        <v>0</v>
      </c>
      <c r="AB95" s="254"/>
      <c r="AC95" s="255"/>
      <c r="AD95" s="259">
        <f>BD.PD[[#This Row],[Av.P4 '[%']]]*BD.PD[[#This Row],[Ppto. Orden Interna '[DOP']]]</f>
        <v>0</v>
      </c>
      <c r="AE95" s="254"/>
      <c r="AF95" s="255"/>
      <c r="AG95" s="259">
        <f>BD.PD[[#This Row],[Av.P5 '[%']]]*BD.PD[[#This Row],[Ppto. Orden Interna '[DOP']]]</f>
        <v>0</v>
      </c>
      <c r="AH95" s="256">
        <f>BD.PD[[#This Row],[Pago 5]]+BD.PD[[#This Row],[Pago 4]]+BD.PD[[#This Row],[Pago 3]]+BD.PD[[#This Row],[Pago 2]]+BD.PD[[#This Row],[Pago 1]]</f>
        <v>4600</v>
      </c>
      <c r="AI95" s="318"/>
    </row>
    <row r="96" spans="1:35" ht="15" customHeight="1" x14ac:dyDescent="0.3">
      <c r="A96" s="181">
        <v>8.06</v>
      </c>
      <c r="B96" s="239"/>
      <c r="C96" s="240" t="str">
        <f>VLOOKUP(BD.PD[[#This Row],[Pos]],PPto[],3,FALSE)</f>
        <v>8.06 Otros Equipamientos de Tienda</v>
      </c>
      <c r="D96" s="181" t="s">
        <v>40</v>
      </c>
      <c r="E96" s="242" t="str">
        <f>IF(BD.PD[[#This Row],[.]]="*",VLOOKUP(BD.PD[[#This Row],[Pos]],Presupuesto!A:H,7,FALSE),"")</f>
        <v/>
      </c>
      <c r="F96" s="243" t="s">
        <v>643</v>
      </c>
      <c r="G96" s="243" t="s">
        <v>308</v>
      </c>
      <c r="H96" s="275"/>
      <c r="I96" s="276">
        <v>2</v>
      </c>
      <c r="J96" s="181" t="s">
        <v>314</v>
      </c>
      <c r="K96" s="245">
        <f>IF(BD.PD[[#This Row],[Mon]]="DOP",1,HLOOKUP(BD.PD[[#This Row],[Mon]],$J$1:$K$2,2,FALSE))</f>
        <v>1</v>
      </c>
      <c r="L96" s="277">
        <v>7240.68</v>
      </c>
      <c r="M96" s="247">
        <f>BD.PD[[#This Row],[Cant.]]*BD.PD[[#This Row],[ Tasa ]]*BD.PD[[#This Row],[ Precio Und.]]</f>
        <v>14481.36</v>
      </c>
      <c r="N96" s="278">
        <v>0</v>
      </c>
      <c r="O96" s="247">
        <f>IF(BD.PD[[#This Row],[Liquid. '[%']]]&lt;&gt;0,(BD.PD[[#This Row],[Valor Neto '[DOP']]]*BD.PD[[#This Row],[Liquid. '[%']]])+BD.PD[[#This Row],[Valor Neto '[DOP']]],BD.PD[[#This Row],[Valor Neto '[DOP']]])</f>
        <v>14481.36</v>
      </c>
      <c r="P96" s="257">
        <f>BD.PD[[#This Row],[Ppto. Orden Interna '[DOP']]]/HLOOKUP("USD",$J$1:$K$2,2,FALSE)</f>
        <v>238.57265238879737</v>
      </c>
      <c r="Q96" s="250" t="s">
        <v>640</v>
      </c>
      <c r="R96" s="258" t="s">
        <v>582</v>
      </c>
      <c r="S96" s="251">
        <v>22</v>
      </c>
      <c r="T96" s="252">
        <v>1</v>
      </c>
      <c r="U96" s="259">
        <f>BD.PD[[#This Row],[Av.P1 '[%']]]*BD.PD[[#This Row],[Ppto. Orden Interna '[DOP']]]</f>
        <v>14481.36</v>
      </c>
      <c r="V96" s="254"/>
      <c r="W96" s="255"/>
      <c r="X96" s="259">
        <f>BD.PD[[#This Row],[Av.P2 '[%']]]*BD.PD[[#This Row],[Ppto. Orden Interna '[DOP']]]</f>
        <v>0</v>
      </c>
      <c r="Y96" s="254"/>
      <c r="Z96" s="255"/>
      <c r="AA96" s="259">
        <f>BD.PD[[#This Row],[Av.P3 '[%']]]*BD.PD[[#This Row],[Ppto. Orden Interna '[DOP']]]</f>
        <v>0</v>
      </c>
      <c r="AB96" s="254"/>
      <c r="AC96" s="255"/>
      <c r="AD96" s="259">
        <f>BD.PD[[#This Row],[Av.P4 '[%']]]*BD.PD[[#This Row],[Ppto. Orden Interna '[DOP']]]</f>
        <v>0</v>
      </c>
      <c r="AE96" s="254"/>
      <c r="AF96" s="255"/>
      <c r="AG96" s="259">
        <f>BD.PD[[#This Row],[Av.P5 '[%']]]*BD.PD[[#This Row],[Ppto. Orden Interna '[DOP']]]</f>
        <v>0</v>
      </c>
      <c r="AH96" s="256">
        <f>BD.PD[[#This Row],[Pago 5]]+BD.PD[[#This Row],[Pago 4]]+BD.PD[[#This Row],[Pago 3]]+BD.PD[[#This Row],[Pago 2]]+BD.PD[[#This Row],[Pago 1]]</f>
        <v>14481.36</v>
      </c>
      <c r="AI96" s="318"/>
    </row>
    <row r="97" spans="1:35" ht="15" customHeight="1" x14ac:dyDescent="0.3">
      <c r="A97" s="181">
        <v>8.06</v>
      </c>
      <c r="B97" s="239"/>
      <c r="C97" s="240" t="str">
        <f>VLOOKUP(BD.PD[[#This Row],[Pos]],PPto[],3,FALSE)</f>
        <v>8.06 Otros Equipamientos de Tienda</v>
      </c>
      <c r="D97" s="181" t="s">
        <v>40</v>
      </c>
      <c r="E97" s="242" t="str">
        <f>IF(BD.PD[[#This Row],[.]]="*",VLOOKUP(BD.PD[[#This Row],[Pos]],Presupuesto!A:H,7,FALSE),"")</f>
        <v/>
      </c>
      <c r="F97" s="243" t="s">
        <v>644</v>
      </c>
      <c r="G97" s="243" t="s">
        <v>308</v>
      </c>
      <c r="H97" s="275"/>
      <c r="I97" s="276">
        <v>2</v>
      </c>
      <c r="J97" s="181" t="s">
        <v>314</v>
      </c>
      <c r="K97" s="245">
        <f>IF(BD.PD[[#This Row],[Mon]]="DOP",1,HLOOKUP(BD.PD[[#This Row],[Mon]],$J$1:$K$2,2,FALSE))</f>
        <v>1</v>
      </c>
      <c r="L97" s="277">
        <v>16711.86</v>
      </c>
      <c r="M97" s="247">
        <f>BD.PD[[#This Row],[Cant.]]*BD.PD[[#This Row],[ Tasa ]]*BD.PD[[#This Row],[ Precio Und.]]</f>
        <v>33423.72</v>
      </c>
      <c r="N97" s="278">
        <v>0</v>
      </c>
      <c r="O97" s="247">
        <f>IF(BD.PD[[#This Row],[Liquid. '[%']]]&lt;&gt;0,(BD.PD[[#This Row],[Valor Neto '[DOP']]]*BD.PD[[#This Row],[Liquid. '[%']]])+BD.PD[[#This Row],[Valor Neto '[DOP']]],BD.PD[[#This Row],[Valor Neto '[DOP']]])</f>
        <v>33423.72</v>
      </c>
      <c r="P97" s="257">
        <f>BD.PD[[#This Row],[Ppto. Orden Interna '[DOP']]]/HLOOKUP("USD",$J$1:$K$2,2,FALSE)</f>
        <v>550.63789126853374</v>
      </c>
      <c r="Q97" s="250" t="s">
        <v>645</v>
      </c>
      <c r="R97" s="258" t="s">
        <v>582</v>
      </c>
      <c r="S97" s="251">
        <v>22</v>
      </c>
      <c r="T97" s="252">
        <v>1</v>
      </c>
      <c r="U97" s="259">
        <f>BD.PD[[#This Row],[Av.P1 '[%']]]*BD.PD[[#This Row],[Ppto. Orden Interna '[DOP']]]</f>
        <v>33423.72</v>
      </c>
      <c r="V97" s="254"/>
      <c r="W97" s="255"/>
      <c r="X97" s="259">
        <f>BD.PD[[#This Row],[Av.P2 '[%']]]*BD.PD[[#This Row],[Ppto. Orden Interna '[DOP']]]</f>
        <v>0</v>
      </c>
      <c r="Y97" s="254"/>
      <c r="Z97" s="255"/>
      <c r="AA97" s="259">
        <f>BD.PD[[#This Row],[Av.P3 '[%']]]*BD.PD[[#This Row],[Ppto. Orden Interna '[DOP']]]</f>
        <v>0</v>
      </c>
      <c r="AB97" s="254"/>
      <c r="AC97" s="255"/>
      <c r="AD97" s="259">
        <f>BD.PD[[#This Row],[Av.P4 '[%']]]*BD.PD[[#This Row],[Ppto. Orden Interna '[DOP']]]</f>
        <v>0</v>
      </c>
      <c r="AE97" s="254"/>
      <c r="AF97" s="255"/>
      <c r="AG97" s="259">
        <f>BD.PD[[#This Row],[Av.P5 '[%']]]*BD.PD[[#This Row],[Ppto. Orden Interna '[DOP']]]</f>
        <v>0</v>
      </c>
      <c r="AH97" s="256">
        <f>BD.PD[[#This Row],[Pago 5]]+BD.PD[[#This Row],[Pago 4]]+BD.PD[[#This Row],[Pago 3]]+BD.PD[[#This Row],[Pago 2]]+BD.PD[[#This Row],[Pago 1]]</f>
        <v>33423.72</v>
      </c>
      <c r="AI97" s="318"/>
    </row>
    <row r="98" spans="1:35" ht="15" customHeight="1" x14ac:dyDescent="0.3">
      <c r="A98" s="181">
        <v>8.06</v>
      </c>
      <c r="B98" s="239"/>
      <c r="C98" s="240" t="str">
        <f>VLOOKUP(BD.PD[[#This Row],[Pos]],PPto[],3,FALSE)</f>
        <v>8.06 Otros Equipamientos de Tienda</v>
      </c>
      <c r="D98" s="181" t="s">
        <v>40</v>
      </c>
      <c r="E98" s="242" t="str">
        <f>IF(BD.PD[[#This Row],[.]]="*",VLOOKUP(BD.PD[[#This Row],[Pos]],Presupuesto!A:H,7,FALSE),"")</f>
        <v/>
      </c>
      <c r="F98" s="243" t="s">
        <v>646</v>
      </c>
      <c r="G98" s="243" t="s">
        <v>308</v>
      </c>
      <c r="H98" s="275"/>
      <c r="I98" s="276">
        <v>2</v>
      </c>
      <c r="J98" s="181" t="s">
        <v>314</v>
      </c>
      <c r="K98" s="245">
        <f>IF(BD.PD[[#This Row],[Mon]]="DOP",1,HLOOKUP(BD.PD[[#This Row],[Mon]],$J$1:$K$2,2,FALSE))</f>
        <v>1</v>
      </c>
      <c r="L98" s="277">
        <v>15319.49</v>
      </c>
      <c r="M98" s="247">
        <f>BD.PD[[#This Row],[Cant.]]*BD.PD[[#This Row],[ Tasa ]]*BD.PD[[#This Row],[ Precio Und.]]</f>
        <v>30638.98</v>
      </c>
      <c r="N98" s="278">
        <v>0</v>
      </c>
      <c r="O98" s="247">
        <f>IF(BD.PD[[#This Row],[Liquid. '[%']]]&lt;&gt;0,(BD.PD[[#This Row],[Valor Neto '[DOP']]]*BD.PD[[#This Row],[Liquid. '[%']]])+BD.PD[[#This Row],[Valor Neto '[DOP']]],BD.PD[[#This Row],[Valor Neto '[DOP']]])</f>
        <v>30638.98</v>
      </c>
      <c r="P98" s="257">
        <f>BD.PD[[#This Row],[Ppto. Orden Interna '[DOP']]]/HLOOKUP("USD",$J$1:$K$2,2,FALSE)</f>
        <v>504.76079077429978</v>
      </c>
      <c r="Q98" s="250" t="s">
        <v>645</v>
      </c>
      <c r="R98" s="258" t="s">
        <v>582</v>
      </c>
      <c r="S98" s="251">
        <v>22</v>
      </c>
      <c r="T98" s="252">
        <v>1</v>
      </c>
      <c r="U98" s="259">
        <f>BD.PD[[#This Row],[Av.P1 '[%']]]*BD.PD[[#This Row],[Ppto. Orden Interna '[DOP']]]</f>
        <v>30638.98</v>
      </c>
      <c r="V98" s="254"/>
      <c r="W98" s="255"/>
      <c r="X98" s="259">
        <f>BD.PD[[#This Row],[Av.P2 '[%']]]*BD.PD[[#This Row],[Ppto. Orden Interna '[DOP']]]</f>
        <v>0</v>
      </c>
      <c r="Y98" s="254"/>
      <c r="Z98" s="255"/>
      <c r="AA98" s="259">
        <f>BD.PD[[#This Row],[Av.P3 '[%']]]*BD.PD[[#This Row],[Ppto. Orden Interna '[DOP']]]</f>
        <v>0</v>
      </c>
      <c r="AB98" s="254"/>
      <c r="AC98" s="255"/>
      <c r="AD98" s="259">
        <f>BD.PD[[#This Row],[Av.P4 '[%']]]*BD.PD[[#This Row],[Ppto. Orden Interna '[DOP']]]</f>
        <v>0</v>
      </c>
      <c r="AE98" s="254"/>
      <c r="AF98" s="255"/>
      <c r="AG98" s="259">
        <f>BD.PD[[#This Row],[Av.P5 '[%']]]*BD.PD[[#This Row],[Ppto. Orden Interna '[DOP']]]</f>
        <v>0</v>
      </c>
      <c r="AH98" s="256">
        <f>BD.PD[[#This Row],[Pago 5]]+BD.PD[[#This Row],[Pago 4]]+BD.PD[[#This Row],[Pago 3]]+BD.PD[[#This Row],[Pago 2]]+BD.PD[[#This Row],[Pago 1]]</f>
        <v>30638.98</v>
      </c>
      <c r="AI98" s="318"/>
    </row>
    <row r="99" spans="1:35" ht="15" customHeight="1" x14ac:dyDescent="0.3">
      <c r="A99" s="181">
        <v>8.06</v>
      </c>
      <c r="B99" s="239"/>
      <c r="C99" s="240" t="str">
        <f>VLOOKUP(BD.PD[[#This Row],[Pos]],PPto[],3,FALSE)</f>
        <v>8.06 Otros Equipamientos de Tienda</v>
      </c>
      <c r="D99" s="181" t="s">
        <v>40</v>
      </c>
      <c r="E99" s="242" t="str">
        <f>IF(BD.PD[[#This Row],[.]]="*",VLOOKUP(BD.PD[[#This Row],[Pos]],Presupuesto!A:H,7,FALSE),"")</f>
        <v/>
      </c>
      <c r="F99" s="243" t="s">
        <v>647</v>
      </c>
      <c r="G99" s="243" t="s">
        <v>308</v>
      </c>
      <c r="H99" s="275"/>
      <c r="I99" s="276">
        <v>6</v>
      </c>
      <c r="J99" s="181" t="s">
        <v>314</v>
      </c>
      <c r="K99" s="245">
        <f>IF(BD.PD[[#This Row],[Mon]]="DOP",1,HLOOKUP(BD.PD[[#This Row],[Mon]],$J$1:$K$2,2,FALSE))</f>
        <v>1</v>
      </c>
      <c r="L99" s="277">
        <v>261.02</v>
      </c>
      <c r="M99" s="247">
        <f>BD.PD[[#This Row],[Cant.]]*BD.PD[[#This Row],[ Tasa ]]*BD.PD[[#This Row],[ Precio Und.]]</f>
        <v>1566.12</v>
      </c>
      <c r="N99" s="278">
        <v>0</v>
      </c>
      <c r="O99" s="247">
        <f>IF(BD.PD[[#This Row],[Liquid. '[%']]]&lt;&gt;0,(BD.PD[[#This Row],[Valor Neto '[DOP']]]*BD.PD[[#This Row],[Liquid. '[%']]])+BD.PD[[#This Row],[Valor Neto '[DOP']]],BD.PD[[#This Row],[Valor Neto '[DOP']]])</f>
        <v>1566.12</v>
      </c>
      <c r="P99" s="257">
        <f>BD.PD[[#This Row],[Ppto. Orden Interna '[DOP']]]/HLOOKUP("USD",$J$1:$K$2,2,FALSE)</f>
        <v>25.800988467874792</v>
      </c>
      <c r="Q99" s="250" t="s">
        <v>648</v>
      </c>
      <c r="R99" s="258" t="s">
        <v>582</v>
      </c>
      <c r="S99" s="251">
        <v>22</v>
      </c>
      <c r="T99" s="252">
        <v>1</v>
      </c>
      <c r="U99" s="259">
        <f>BD.PD[[#This Row],[Av.P1 '[%']]]*BD.PD[[#This Row],[Ppto. Orden Interna '[DOP']]]</f>
        <v>1566.12</v>
      </c>
      <c r="V99" s="254"/>
      <c r="W99" s="255"/>
      <c r="X99" s="259">
        <f>BD.PD[[#This Row],[Av.P2 '[%']]]*BD.PD[[#This Row],[Ppto. Orden Interna '[DOP']]]</f>
        <v>0</v>
      </c>
      <c r="Y99" s="254"/>
      <c r="Z99" s="255"/>
      <c r="AA99" s="259">
        <f>BD.PD[[#This Row],[Av.P3 '[%']]]*BD.PD[[#This Row],[Ppto. Orden Interna '[DOP']]]</f>
        <v>0</v>
      </c>
      <c r="AB99" s="254"/>
      <c r="AC99" s="255"/>
      <c r="AD99" s="259">
        <f>BD.PD[[#This Row],[Av.P4 '[%']]]*BD.PD[[#This Row],[Ppto. Orden Interna '[DOP']]]</f>
        <v>0</v>
      </c>
      <c r="AE99" s="254"/>
      <c r="AF99" s="255"/>
      <c r="AG99" s="259">
        <f>BD.PD[[#This Row],[Av.P5 '[%']]]*BD.PD[[#This Row],[Ppto. Orden Interna '[DOP']]]</f>
        <v>0</v>
      </c>
      <c r="AH99" s="256">
        <f>BD.PD[[#This Row],[Pago 5]]+BD.PD[[#This Row],[Pago 4]]+BD.PD[[#This Row],[Pago 3]]+BD.PD[[#This Row],[Pago 2]]+BD.PD[[#This Row],[Pago 1]]</f>
        <v>1566.12</v>
      </c>
      <c r="AI99" s="318"/>
    </row>
    <row r="100" spans="1:35" ht="15" customHeight="1" x14ac:dyDescent="0.3">
      <c r="A100" s="181">
        <v>8.06</v>
      </c>
      <c r="B100" s="239"/>
      <c r="C100" s="240" t="str">
        <f>VLOOKUP(BD.PD[[#This Row],[Pos]],PPto[],3,FALSE)</f>
        <v>8.06 Otros Equipamientos de Tienda</v>
      </c>
      <c r="D100" s="181" t="s">
        <v>40</v>
      </c>
      <c r="E100" s="242" t="str">
        <f>IF(BD.PD[[#This Row],[.]]="*",VLOOKUP(BD.PD[[#This Row],[Pos]],Presupuesto!A:H,7,FALSE),"")</f>
        <v/>
      </c>
      <c r="F100" s="243" t="s">
        <v>649</v>
      </c>
      <c r="G100" s="243" t="s">
        <v>308</v>
      </c>
      <c r="H100" s="275"/>
      <c r="I100" s="276">
        <v>6</v>
      </c>
      <c r="J100" s="181" t="s">
        <v>314</v>
      </c>
      <c r="K100" s="245">
        <f>IF(BD.PD[[#This Row],[Mon]]="DOP",1,HLOOKUP(BD.PD[[#This Row],[Mon]],$J$1:$K$2,2,FALSE))</f>
        <v>1</v>
      </c>
      <c r="L100" s="277">
        <v>1845.76</v>
      </c>
      <c r="M100" s="247">
        <f>BD.PD[[#This Row],[Cant.]]*BD.PD[[#This Row],[ Tasa ]]*BD.PD[[#This Row],[ Precio Und.]]</f>
        <v>11074.56</v>
      </c>
      <c r="N100" s="278">
        <v>0</v>
      </c>
      <c r="O100" s="247">
        <f>IF(BD.PD[[#This Row],[Liquid. '[%']]]&lt;&gt;0,(BD.PD[[#This Row],[Valor Neto '[DOP']]]*BD.PD[[#This Row],[Liquid. '[%']]])+BD.PD[[#This Row],[Valor Neto '[DOP']]],BD.PD[[#This Row],[Valor Neto '[DOP']]])</f>
        <v>11074.56</v>
      </c>
      <c r="P100" s="257">
        <f>BD.PD[[#This Row],[Ppto. Orden Interna '[DOP']]]/HLOOKUP("USD",$J$1:$K$2,2,FALSE)</f>
        <v>182.44744645799011</v>
      </c>
      <c r="Q100" s="250" t="s">
        <v>648</v>
      </c>
      <c r="R100" s="258" t="s">
        <v>582</v>
      </c>
      <c r="S100" s="251">
        <v>22</v>
      </c>
      <c r="T100" s="252">
        <v>1</v>
      </c>
      <c r="U100" s="259">
        <f>BD.PD[[#This Row],[Av.P1 '[%']]]*BD.PD[[#This Row],[Ppto. Orden Interna '[DOP']]]</f>
        <v>11074.56</v>
      </c>
      <c r="V100" s="254"/>
      <c r="W100" s="255"/>
      <c r="X100" s="259">
        <f>BD.PD[[#This Row],[Av.P2 '[%']]]*BD.PD[[#This Row],[Ppto. Orden Interna '[DOP']]]</f>
        <v>0</v>
      </c>
      <c r="Y100" s="254"/>
      <c r="Z100" s="255"/>
      <c r="AA100" s="259">
        <f>BD.PD[[#This Row],[Av.P3 '[%']]]*BD.PD[[#This Row],[Ppto. Orden Interna '[DOP']]]</f>
        <v>0</v>
      </c>
      <c r="AB100" s="254"/>
      <c r="AC100" s="255"/>
      <c r="AD100" s="259">
        <f>BD.PD[[#This Row],[Av.P4 '[%']]]*BD.PD[[#This Row],[Ppto. Orden Interna '[DOP']]]</f>
        <v>0</v>
      </c>
      <c r="AE100" s="254"/>
      <c r="AF100" s="255"/>
      <c r="AG100" s="259">
        <f>BD.PD[[#This Row],[Av.P5 '[%']]]*BD.PD[[#This Row],[Ppto. Orden Interna '[DOP']]]</f>
        <v>0</v>
      </c>
      <c r="AH100" s="256">
        <f>BD.PD[[#This Row],[Pago 5]]+BD.PD[[#This Row],[Pago 4]]+BD.PD[[#This Row],[Pago 3]]+BD.PD[[#This Row],[Pago 2]]+BD.PD[[#This Row],[Pago 1]]</f>
        <v>11074.56</v>
      </c>
      <c r="AI100" s="318"/>
    </row>
    <row r="101" spans="1:35" ht="15.6" customHeight="1" x14ac:dyDescent="0.3">
      <c r="A101" s="181">
        <v>8.06</v>
      </c>
      <c r="B101" s="239"/>
      <c r="C101" s="240" t="str">
        <f>VLOOKUP(BD.PD[[#This Row],[Pos]],PPto[],3,FALSE)</f>
        <v>8.06 Otros Equipamientos de Tienda</v>
      </c>
      <c r="D101" s="181" t="s">
        <v>40</v>
      </c>
      <c r="E101" s="242" t="str">
        <f>IF(BD.PD[[#This Row],[.]]="*",VLOOKUP(BD.PD[[#This Row],[Pos]],Presupuesto!A:H,7,FALSE),"")</f>
        <v/>
      </c>
      <c r="F101" s="243" t="s">
        <v>650</v>
      </c>
      <c r="G101" s="243" t="s">
        <v>308</v>
      </c>
      <c r="H101" s="275"/>
      <c r="I101" s="276">
        <v>6</v>
      </c>
      <c r="J101" s="181" t="s">
        <v>314</v>
      </c>
      <c r="K101" s="245">
        <f>IF(BD.PD[[#This Row],[Mon]]="DOP",1,HLOOKUP(BD.PD[[#This Row],[Mon]],$J$1:$K$2,2,FALSE))</f>
        <v>1</v>
      </c>
      <c r="L101" s="277">
        <v>550</v>
      </c>
      <c r="M101" s="247">
        <f>BD.PD[[#This Row],[Cant.]]*BD.PD[[#This Row],[ Tasa ]]*BD.PD[[#This Row],[ Precio Und.]]</f>
        <v>3300</v>
      </c>
      <c r="N101" s="278">
        <v>0</v>
      </c>
      <c r="O101" s="247">
        <f>IF(BD.PD[[#This Row],[Liquid. '[%']]]&lt;&gt;0,(BD.PD[[#This Row],[Valor Neto '[DOP']]]*BD.PD[[#This Row],[Liquid. '[%']]])+BD.PD[[#This Row],[Valor Neto '[DOP']]],BD.PD[[#This Row],[Valor Neto '[DOP']]])</f>
        <v>3300</v>
      </c>
      <c r="P101" s="257">
        <f>BD.PD[[#This Row],[Ppto. Orden Interna '[DOP']]]/HLOOKUP("USD",$J$1:$K$2,2,FALSE)</f>
        <v>54.365733113673805</v>
      </c>
      <c r="Q101" s="250" t="s">
        <v>648</v>
      </c>
      <c r="R101" s="258" t="s">
        <v>582</v>
      </c>
      <c r="S101" s="251">
        <v>22</v>
      </c>
      <c r="T101" s="252">
        <v>1</v>
      </c>
      <c r="U101" s="259">
        <f>BD.PD[[#This Row],[Av.P1 '[%']]]*BD.PD[[#This Row],[Ppto. Orden Interna '[DOP']]]</f>
        <v>3300</v>
      </c>
      <c r="V101" s="254"/>
      <c r="W101" s="255"/>
      <c r="X101" s="259">
        <f>BD.PD[[#This Row],[Av.P2 '[%']]]*BD.PD[[#This Row],[Ppto. Orden Interna '[DOP']]]</f>
        <v>0</v>
      </c>
      <c r="Y101" s="254"/>
      <c r="Z101" s="255"/>
      <c r="AA101" s="259">
        <f>BD.PD[[#This Row],[Av.P3 '[%']]]*BD.PD[[#This Row],[Ppto. Orden Interna '[DOP']]]</f>
        <v>0</v>
      </c>
      <c r="AB101" s="254"/>
      <c r="AC101" s="255"/>
      <c r="AD101" s="259">
        <f>BD.PD[[#This Row],[Av.P4 '[%']]]*BD.PD[[#This Row],[Ppto. Orden Interna '[DOP']]]</f>
        <v>0</v>
      </c>
      <c r="AE101" s="254"/>
      <c r="AF101" s="255"/>
      <c r="AG101" s="259">
        <f>BD.PD[[#This Row],[Av.P5 '[%']]]*BD.PD[[#This Row],[Ppto. Orden Interna '[DOP']]]</f>
        <v>0</v>
      </c>
      <c r="AH101" s="256">
        <f>BD.PD[[#This Row],[Pago 5]]+BD.PD[[#This Row],[Pago 4]]+BD.PD[[#This Row],[Pago 3]]+BD.PD[[#This Row],[Pago 2]]+BD.PD[[#This Row],[Pago 1]]</f>
        <v>3300</v>
      </c>
      <c r="AI101" s="318"/>
    </row>
    <row r="102" spans="1:35" ht="15" customHeight="1" x14ac:dyDescent="0.3">
      <c r="A102" s="181">
        <v>8.06</v>
      </c>
      <c r="B102" s="239"/>
      <c r="C102" s="240" t="str">
        <f>VLOOKUP(BD.PD[[#This Row],[Pos]],PPto[],3,FALSE)</f>
        <v>8.06 Otros Equipamientos de Tienda</v>
      </c>
      <c r="D102" s="181" t="s">
        <v>40</v>
      </c>
      <c r="E102" s="242" t="str">
        <f>IF(BD.PD[[#This Row],[.]]="*",VLOOKUP(BD.PD[[#This Row],[Pos]],Presupuesto!A:H,7,FALSE),"")</f>
        <v/>
      </c>
      <c r="F102" s="243" t="s">
        <v>651</v>
      </c>
      <c r="G102" s="243" t="s">
        <v>308</v>
      </c>
      <c r="H102" s="275"/>
      <c r="I102" s="276">
        <v>6</v>
      </c>
      <c r="J102" s="181" t="s">
        <v>314</v>
      </c>
      <c r="K102" s="245">
        <f>IF(BD.PD[[#This Row],[Mon]]="DOP",1,HLOOKUP(BD.PD[[#This Row],[Mon]],$J$1:$K$2,2,FALSE))</f>
        <v>1</v>
      </c>
      <c r="L102" s="277">
        <v>1400</v>
      </c>
      <c r="M102" s="247">
        <f>BD.PD[[#This Row],[Cant.]]*BD.PD[[#This Row],[ Tasa ]]*BD.PD[[#This Row],[ Precio Und.]]</f>
        <v>8400</v>
      </c>
      <c r="N102" s="278">
        <v>0</v>
      </c>
      <c r="O102" s="247">
        <f>IF(BD.PD[[#This Row],[Liquid. '[%']]]&lt;&gt;0,(BD.PD[[#This Row],[Valor Neto '[DOP']]]*BD.PD[[#This Row],[Liquid. '[%']]])+BD.PD[[#This Row],[Valor Neto '[DOP']]],BD.PD[[#This Row],[Valor Neto '[DOP']]])</f>
        <v>8400</v>
      </c>
      <c r="P102" s="257">
        <f>BD.PD[[#This Row],[Ppto. Orden Interna '[DOP']]]/HLOOKUP("USD",$J$1:$K$2,2,FALSE)</f>
        <v>138.38550247116967</v>
      </c>
      <c r="Q102" s="250" t="s">
        <v>652</v>
      </c>
      <c r="R102" s="258" t="s">
        <v>582</v>
      </c>
      <c r="S102" s="251">
        <v>22</v>
      </c>
      <c r="T102" s="252">
        <v>1</v>
      </c>
      <c r="U102" s="259">
        <f>BD.PD[[#This Row],[Av.P1 '[%']]]*BD.PD[[#This Row],[Ppto. Orden Interna '[DOP']]]</f>
        <v>8400</v>
      </c>
      <c r="V102" s="254"/>
      <c r="W102" s="255"/>
      <c r="X102" s="259">
        <f>BD.PD[[#This Row],[Av.P2 '[%']]]*BD.PD[[#This Row],[Ppto. Orden Interna '[DOP']]]</f>
        <v>0</v>
      </c>
      <c r="Y102" s="254"/>
      <c r="Z102" s="255"/>
      <c r="AA102" s="259">
        <f>BD.PD[[#This Row],[Av.P3 '[%']]]*BD.PD[[#This Row],[Ppto. Orden Interna '[DOP']]]</f>
        <v>0</v>
      </c>
      <c r="AB102" s="254"/>
      <c r="AC102" s="255"/>
      <c r="AD102" s="259">
        <f>BD.PD[[#This Row],[Av.P4 '[%']]]*BD.PD[[#This Row],[Ppto. Orden Interna '[DOP']]]</f>
        <v>0</v>
      </c>
      <c r="AE102" s="254"/>
      <c r="AF102" s="255"/>
      <c r="AG102" s="259">
        <f>BD.PD[[#This Row],[Av.P5 '[%']]]*BD.PD[[#This Row],[Ppto. Orden Interna '[DOP']]]</f>
        <v>0</v>
      </c>
      <c r="AH102" s="256">
        <f>BD.PD[[#This Row],[Pago 5]]+BD.PD[[#This Row],[Pago 4]]+BD.PD[[#This Row],[Pago 3]]+BD.PD[[#This Row],[Pago 2]]+BD.PD[[#This Row],[Pago 1]]</f>
        <v>8400</v>
      </c>
      <c r="AI102" s="318"/>
    </row>
    <row r="103" spans="1:35" ht="15" customHeight="1" x14ac:dyDescent="0.3">
      <c r="A103" s="181">
        <v>8.06</v>
      </c>
      <c r="B103" s="239"/>
      <c r="C103" s="240" t="str">
        <f>VLOOKUP(BD.PD[[#This Row],[Pos]],PPto[],3,FALSE)</f>
        <v>8.06 Otros Equipamientos de Tienda</v>
      </c>
      <c r="D103" s="181" t="s">
        <v>40</v>
      </c>
      <c r="E103" s="242" t="str">
        <f>IF(BD.PD[[#This Row],[.]]="*",VLOOKUP(BD.PD[[#This Row],[Pos]],Presupuesto!A:H,7,FALSE),"")</f>
        <v/>
      </c>
      <c r="F103" s="243" t="s">
        <v>653</v>
      </c>
      <c r="G103" s="243" t="s">
        <v>308</v>
      </c>
      <c r="H103" s="275"/>
      <c r="I103" s="276">
        <v>2</v>
      </c>
      <c r="J103" s="181" t="s">
        <v>314</v>
      </c>
      <c r="K103" s="245">
        <f>IF(BD.PD[[#This Row],[Mon]]="DOP",1,HLOOKUP(BD.PD[[#This Row],[Mon]],$J$1:$K$2,2,FALSE))</f>
        <v>1</v>
      </c>
      <c r="L103" s="277">
        <v>18000</v>
      </c>
      <c r="M103" s="247">
        <f>BD.PD[[#This Row],[Cant.]]*BD.PD[[#This Row],[ Tasa ]]*BD.PD[[#This Row],[ Precio Und.]]</f>
        <v>36000</v>
      </c>
      <c r="N103" s="278">
        <v>0</v>
      </c>
      <c r="O103" s="247">
        <f>IF(BD.PD[[#This Row],[Liquid. '[%']]]&lt;&gt;0,(BD.PD[[#This Row],[Valor Neto '[DOP']]]*BD.PD[[#This Row],[Liquid. '[%']]])+BD.PD[[#This Row],[Valor Neto '[DOP']]],BD.PD[[#This Row],[Valor Neto '[DOP']]])</f>
        <v>36000</v>
      </c>
      <c r="P103" s="257">
        <f>BD.PD[[#This Row],[Ppto. Orden Interna '[DOP']]]/HLOOKUP("USD",$J$1:$K$2,2,FALSE)</f>
        <v>593.08072487644154</v>
      </c>
      <c r="Q103" s="250" t="s">
        <v>654</v>
      </c>
      <c r="R103" s="258" t="s">
        <v>582</v>
      </c>
      <c r="S103" s="251">
        <v>22</v>
      </c>
      <c r="T103" s="252">
        <v>1</v>
      </c>
      <c r="U103" s="259">
        <f>BD.PD[[#This Row],[Av.P1 '[%']]]*BD.PD[[#This Row],[Ppto. Orden Interna '[DOP']]]</f>
        <v>36000</v>
      </c>
      <c r="V103" s="254"/>
      <c r="W103" s="255"/>
      <c r="X103" s="259">
        <f>BD.PD[[#This Row],[Av.P2 '[%']]]*BD.PD[[#This Row],[Ppto. Orden Interna '[DOP']]]</f>
        <v>0</v>
      </c>
      <c r="Y103" s="254"/>
      <c r="Z103" s="255"/>
      <c r="AA103" s="259">
        <f>BD.PD[[#This Row],[Av.P3 '[%']]]*BD.PD[[#This Row],[Ppto. Orden Interna '[DOP']]]</f>
        <v>0</v>
      </c>
      <c r="AB103" s="254"/>
      <c r="AC103" s="255"/>
      <c r="AD103" s="259">
        <f>BD.PD[[#This Row],[Av.P4 '[%']]]*BD.PD[[#This Row],[Ppto. Orden Interna '[DOP']]]</f>
        <v>0</v>
      </c>
      <c r="AE103" s="254"/>
      <c r="AF103" s="255"/>
      <c r="AG103" s="259">
        <f>BD.PD[[#This Row],[Av.P5 '[%']]]*BD.PD[[#This Row],[Ppto. Orden Interna '[DOP']]]</f>
        <v>0</v>
      </c>
      <c r="AH103" s="256">
        <f>BD.PD[[#This Row],[Pago 5]]+BD.PD[[#This Row],[Pago 4]]+BD.PD[[#This Row],[Pago 3]]+BD.PD[[#This Row],[Pago 2]]+BD.PD[[#This Row],[Pago 1]]</f>
        <v>36000</v>
      </c>
      <c r="AI103" s="318"/>
    </row>
    <row r="104" spans="1:35" ht="15" customHeight="1" x14ac:dyDescent="0.3">
      <c r="A104" s="181">
        <v>8.06</v>
      </c>
      <c r="B104" s="239"/>
      <c r="C104" s="240" t="str">
        <f>VLOOKUP(BD.PD[[#This Row],[Pos]],PPto[],3,FALSE)</f>
        <v>8.06 Otros Equipamientos de Tienda</v>
      </c>
      <c r="D104" s="181" t="s">
        <v>40</v>
      </c>
      <c r="E104" s="242" t="str">
        <f>IF(BD.PD[[#This Row],[.]]="*",VLOOKUP(BD.PD[[#This Row],[Pos]],Presupuesto!A:H,7,FALSE),"")</f>
        <v/>
      </c>
      <c r="F104" s="243" t="s">
        <v>655</v>
      </c>
      <c r="G104" s="243" t="s">
        <v>308</v>
      </c>
      <c r="H104" s="275"/>
      <c r="I104" s="276">
        <v>1</v>
      </c>
      <c r="J104" s="181" t="s">
        <v>314</v>
      </c>
      <c r="K104" s="245">
        <f>IF(BD.PD[[#This Row],[Mon]]="DOP",1,HLOOKUP(BD.PD[[#This Row],[Mon]],$J$1:$K$2,2,FALSE))</f>
        <v>1</v>
      </c>
      <c r="L104" s="277">
        <v>5843.88</v>
      </c>
      <c r="M104" s="247">
        <f>BD.PD[[#This Row],[Cant.]]*BD.PD[[#This Row],[ Tasa ]]*BD.PD[[#This Row],[ Precio Und.]]</f>
        <v>5843.88</v>
      </c>
      <c r="N104" s="278">
        <v>0</v>
      </c>
      <c r="O104" s="247">
        <f>IF(BD.PD[[#This Row],[Liquid. '[%']]]&lt;&gt;0,(BD.PD[[#This Row],[Valor Neto '[DOP']]]*BD.PD[[#This Row],[Liquid. '[%']]])+BD.PD[[#This Row],[Valor Neto '[DOP']]],BD.PD[[#This Row],[Valor Neto '[DOP']]])</f>
        <v>5843.88</v>
      </c>
      <c r="P104" s="257">
        <f>BD.PD[[#This Row],[Ppto. Orden Interna '[DOP']]]/HLOOKUP("USD",$J$1:$K$2,2,FALSE)</f>
        <v>96.274794069192751</v>
      </c>
      <c r="Q104" s="250" t="s">
        <v>652</v>
      </c>
      <c r="R104" s="258" t="s">
        <v>582</v>
      </c>
      <c r="S104" s="251">
        <v>22</v>
      </c>
      <c r="T104" s="252">
        <v>1</v>
      </c>
      <c r="U104" s="259">
        <f>BD.PD[[#This Row],[Av.P1 '[%']]]*BD.PD[[#This Row],[Ppto. Orden Interna '[DOP']]]</f>
        <v>5843.88</v>
      </c>
      <c r="V104" s="254"/>
      <c r="W104" s="255"/>
      <c r="X104" s="259">
        <f>BD.PD[[#This Row],[Av.P2 '[%']]]*BD.PD[[#This Row],[Ppto. Orden Interna '[DOP']]]</f>
        <v>0</v>
      </c>
      <c r="Y104" s="254"/>
      <c r="Z104" s="255"/>
      <c r="AA104" s="259">
        <f>BD.PD[[#This Row],[Av.P3 '[%']]]*BD.PD[[#This Row],[Ppto. Orden Interna '[DOP']]]</f>
        <v>0</v>
      </c>
      <c r="AB104" s="254"/>
      <c r="AC104" s="255"/>
      <c r="AD104" s="259">
        <f>BD.PD[[#This Row],[Av.P4 '[%']]]*BD.PD[[#This Row],[Ppto. Orden Interna '[DOP']]]</f>
        <v>0</v>
      </c>
      <c r="AE104" s="254"/>
      <c r="AF104" s="255"/>
      <c r="AG104" s="259">
        <f>BD.PD[[#This Row],[Av.P5 '[%']]]*BD.PD[[#This Row],[Ppto. Orden Interna '[DOP']]]</f>
        <v>0</v>
      </c>
      <c r="AH104" s="256">
        <f>BD.PD[[#This Row],[Pago 5]]+BD.PD[[#This Row],[Pago 4]]+BD.PD[[#This Row],[Pago 3]]+BD.PD[[#This Row],[Pago 2]]+BD.PD[[#This Row],[Pago 1]]</f>
        <v>5843.88</v>
      </c>
      <c r="AI104" s="318"/>
    </row>
    <row r="105" spans="1:35" ht="15" customHeight="1" x14ac:dyDescent="0.3">
      <c r="A105" s="181">
        <v>8.06</v>
      </c>
      <c r="B105" s="239"/>
      <c r="C105" s="240" t="str">
        <f>VLOOKUP(BD.PD[[#This Row],[Pos]],PPto[],3,FALSE)</f>
        <v>8.06 Otros Equipamientos de Tienda</v>
      </c>
      <c r="D105" s="181" t="s">
        <v>40</v>
      </c>
      <c r="E105" s="242" t="str">
        <f>IF(BD.PD[[#This Row],[.]]="*",VLOOKUP(BD.PD[[#This Row],[Pos]],Presupuesto!A:H,7,FALSE),"")</f>
        <v/>
      </c>
      <c r="F105" s="243" t="s">
        <v>656</v>
      </c>
      <c r="G105" s="243" t="s">
        <v>308</v>
      </c>
      <c r="H105" s="275"/>
      <c r="I105" s="276">
        <v>1</v>
      </c>
      <c r="J105" s="181" t="s">
        <v>314</v>
      </c>
      <c r="K105" s="245">
        <f>IF(BD.PD[[#This Row],[Mon]]="DOP",1,HLOOKUP(BD.PD[[#This Row],[Mon]],$J$1:$K$2,2,FALSE))</f>
        <v>1</v>
      </c>
      <c r="L105" s="277">
        <v>10000</v>
      </c>
      <c r="M105" s="247">
        <f>BD.PD[[#This Row],[Cant.]]*BD.PD[[#This Row],[ Tasa ]]*BD.PD[[#This Row],[ Precio Und.]]</f>
        <v>10000</v>
      </c>
      <c r="N105" s="278">
        <v>0</v>
      </c>
      <c r="O105" s="247">
        <f>IF(BD.PD[[#This Row],[Liquid. '[%']]]&lt;&gt;0,(BD.PD[[#This Row],[Valor Neto '[DOP']]]*BD.PD[[#This Row],[Liquid. '[%']]])+BD.PD[[#This Row],[Valor Neto '[DOP']]],BD.PD[[#This Row],[Valor Neto '[DOP']]])</f>
        <v>10000</v>
      </c>
      <c r="P105" s="257">
        <f>BD.PD[[#This Row],[Ppto. Orden Interna '[DOP']]]/HLOOKUP("USD",$J$1:$K$2,2,FALSE)</f>
        <v>164.74464579901152</v>
      </c>
      <c r="Q105" s="250" t="s">
        <v>1124</v>
      </c>
      <c r="R105" s="258" t="s">
        <v>657</v>
      </c>
      <c r="S105" s="251">
        <v>22</v>
      </c>
      <c r="T105" s="252">
        <v>1</v>
      </c>
      <c r="U105" s="259">
        <f>BD.PD[[#This Row],[Av.P1 '[%']]]*BD.PD[[#This Row],[Ppto. Orden Interna '[DOP']]]</f>
        <v>10000</v>
      </c>
      <c r="V105" s="254"/>
      <c r="W105" s="255"/>
      <c r="X105" s="259">
        <f>BD.PD[[#This Row],[Av.P2 '[%']]]*BD.PD[[#This Row],[Ppto. Orden Interna '[DOP']]]</f>
        <v>0</v>
      </c>
      <c r="Y105" s="254"/>
      <c r="Z105" s="255"/>
      <c r="AA105" s="259">
        <f>BD.PD[[#This Row],[Av.P3 '[%']]]*BD.PD[[#This Row],[Ppto. Orden Interna '[DOP']]]</f>
        <v>0</v>
      </c>
      <c r="AB105" s="254"/>
      <c r="AC105" s="255"/>
      <c r="AD105" s="259">
        <f>BD.PD[[#This Row],[Av.P4 '[%']]]*BD.PD[[#This Row],[Ppto. Orden Interna '[DOP']]]</f>
        <v>0</v>
      </c>
      <c r="AE105" s="254"/>
      <c r="AF105" s="255"/>
      <c r="AG105" s="259">
        <f>BD.PD[[#This Row],[Av.P5 '[%']]]*BD.PD[[#This Row],[Ppto. Orden Interna '[DOP']]]</f>
        <v>0</v>
      </c>
      <c r="AH105" s="256">
        <f>BD.PD[[#This Row],[Pago 5]]+BD.PD[[#This Row],[Pago 4]]+BD.PD[[#This Row],[Pago 3]]+BD.PD[[#This Row],[Pago 2]]+BD.PD[[#This Row],[Pago 1]]</f>
        <v>10000</v>
      </c>
      <c r="AI105" s="318"/>
    </row>
    <row r="106" spans="1:35" ht="15" customHeight="1" x14ac:dyDescent="0.3">
      <c r="A106" s="181">
        <v>8.0500000000000007</v>
      </c>
      <c r="B106" s="239"/>
      <c r="C106" s="240" t="str">
        <f>VLOOKUP(BD.PD[[#This Row],[Pos]],PPto[],3,FALSE)</f>
        <v>8.05 Mobiliario no operacional para Tiendas</v>
      </c>
      <c r="D106" s="181" t="s">
        <v>40</v>
      </c>
      <c r="E106" s="242" t="str">
        <f>IF(BD.PD[[#This Row],[.]]="*",VLOOKUP(BD.PD[[#This Row],[Pos]],Presupuesto!A:H,7,FALSE),"")</f>
        <v/>
      </c>
      <c r="F106" s="389" t="s">
        <v>595</v>
      </c>
      <c r="G106" s="243">
        <v>4512922448</v>
      </c>
      <c r="H106" s="275"/>
      <c r="I106" s="276">
        <v>1</v>
      </c>
      <c r="J106" s="181" t="s">
        <v>314</v>
      </c>
      <c r="K106" s="245">
        <f>IF(BD.PD[[#This Row],[Mon]]="DOP",1,HLOOKUP(BD.PD[[#This Row],[Mon]],$J$1:$K$2,2,FALSE))</f>
        <v>1</v>
      </c>
      <c r="L106" s="388">
        <v>41538.28</v>
      </c>
      <c r="M106" s="247">
        <f>BD.PD[[#This Row],[Cant.]]*BD.PD[[#This Row],[ Tasa ]]*BD.PD[[#This Row],[ Precio Und.]]</f>
        <v>41538.28</v>
      </c>
      <c r="N106" s="278">
        <v>0</v>
      </c>
      <c r="O106" s="247">
        <f>IF(BD.PD[[#This Row],[Liquid. '[%']]]&lt;&gt;0,(BD.PD[[#This Row],[Valor Neto '[DOP']]]*BD.PD[[#This Row],[Liquid. '[%']]])+BD.PD[[#This Row],[Valor Neto '[DOP']]],BD.PD[[#This Row],[Valor Neto '[DOP']]])</f>
        <v>41538.28</v>
      </c>
      <c r="P106" s="257">
        <f>BD.PD[[#This Row],[Ppto. Orden Interna '[DOP']]]/HLOOKUP("USD",$J$1:$K$2,2,FALSE)</f>
        <v>684.32092257001648</v>
      </c>
      <c r="Q106" s="250" t="s">
        <v>1074</v>
      </c>
      <c r="R106" s="258" t="s">
        <v>589</v>
      </c>
      <c r="S106" s="251">
        <v>21</v>
      </c>
      <c r="T106" s="252">
        <v>1</v>
      </c>
      <c r="U106" s="259">
        <f>BD.PD[[#This Row],[Av.P1 '[%']]]*BD.PD[[#This Row],[Ppto. Orden Interna '[DOP']]]</f>
        <v>41538.28</v>
      </c>
      <c r="V106" s="254"/>
      <c r="W106" s="255"/>
      <c r="X106" s="259">
        <f>BD.PD[[#This Row],[Av.P2 '[%']]]*BD.PD[[#This Row],[Ppto. Orden Interna '[DOP']]]</f>
        <v>0</v>
      </c>
      <c r="Y106" s="254"/>
      <c r="Z106" s="255"/>
      <c r="AA106" s="259">
        <f>BD.PD[[#This Row],[Av.P3 '[%']]]*BD.PD[[#This Row],[Ppto. Orden Interna '[DOP']]]</f>
        <v>0</v>
      </c>
      <c r="AB106" s="254"/>
      <c r="AC106" s="255"/>
      <c r="AD106" s="259">
        <f>BD.PD[[#This Row],[Av.P4 '[%']]]*BD.PD[[#This Row],[Ppto. Orden Interna '[DOP']]]</f>
        <v>0</v>
      </c>
      <c r="AE106" s="254"/>
      <c r="AF106" s="255"/>
      <c r="AG106" s="259">
        <f>BD.PD[[#This Row],[Av.P5 '[%']]]*BD.PD[[#This Row],[Ppto. Orden Interna '[DOP']]]</f>
        <v>0</v>
      </c>
      <c r="AH106" s="256">
        <f>BD.PD[[#This Row],[Pago 5]]+BD.PD[[#This Row],[Pago 4]]+BD.PD[[#This Row],[Pago 3]]+BD.PD[[#This Row],[Pago 2]]+BD.PD[[#This Row],[Pago 1]]</f>
        <v>41538.28</v>
      </c>
      <c r="AI106" s="318"/>
    </row>
    <row r="107" spans="1:35" ht="15" customHeight="1" x14ac:dyDescent="0.3">
      <c r="A107" s="181">
        <v>8.07</v>
      </c>
      <c r="B107" s="239"/>
      <c r="C107" s="240" t="str">
        <f>VLOOKUP(BD.PD[[#This Row],[Pos]],PPto[],3,FALSE)</f>
        <v>8.07 Señalizacion interiores</v>
      </c>
      <c r="D107" s="181" t="s">
        <v>40</v>
      </c>
      <c r="E107" s="242" t="str">
        <f>IF(BD.PD[[#This Row],[.]]="*",VLOOKUP(BD.PD[[#This Row],[Pos]],Presupuesto!A:H,7,FALSE),"")</f>
        <v/>
      </c>
      <c r="F107" s="243" t="s">
        <v>669</v>
      </c>
      <c r="G107" s="243" t="s">
        <v>308</v>
      </c>
      <c r="H107" s="275"/>
      <c r="I107" s="276">
        <v>1</v>
      </c>
      <c r="J107" s="181" t="s">
        <v>314</v>
      </c>
      <c r="K107" s="245">
        <f>IF(BD.PD[[#This Row],[Mon]]="DOP",1,HLOOKUP(BD.PD[[#This Row],[Mon]],$J$1:$K$2,2,FALSE))</f>
        <v>1</v>
      </c>
      <c r="L107" s="277">
        <v>37556</v>
      </c>
      <c r="M107" s="247">
        <f>BD.PD[[#This Row],[Cant.]]*BD.PD[[#This Row],[ Tasa ]]*BD.PD[[#This Row],[ Precio Und.]]</f>
        <v>37556</v>
      </c>
      <c r="N107" s="278">
        <v>0</v>
      </c>
      <c r="O107" s="247">
        <f>IF(BD.PD[[#This Row],[Liquid. '[%']]]&lt;&gt;0,(BD.PD[[#This Row],[Valor Neto '[DOP']]]*BD.PD[[#This Row],[Liquid. '[%']]])+BD.PD[[#This Row],[Valor Neto '[DOP']]],BD.PD[[#This Row],[Valor Neto '[DOP']]])</f>
        <v>37556</v>
      </c>
      <c r="P107" s="257">
        <f>BD.PD[[#This Row],[Ppto. Orden Interna '[DOP']]]/HLOOKUP("USD",$J$1:$K$2,2,FALSE)</f>
        <v>618.71499176276768</v>
      </c>
      <c r="Q107" s="250" t="s">
        <v>670</v>
      </c>
      <c r="R107" s="258" t="s">
        <v>1129</v>
      </c>
      <c r="S107" s="251">
        <v>21</v>
      </c>
      <c r="T107" s="252">
        <v>0.5</v>
      </c>
      <c r="U107" s="259">
        <f>BD.PD[[#This Row],[Av.P1 '[%']]]*BD.PD[[#This Row],[Ppto. Orden Interna '[DOP']]]</f>
        <v>18778</v>
      </c>
      <c r="V107" s="254">
        <v>24</v>
      </c>
      <c r="W107" s="255">
        <v>0.5</v>
      </c>
      <c r="X107" s="259">
        <f>BD.PD[[#This Row],[Av.P2 '[%']]]*BD.PD[[#This Row],[Ppto. Orden Interna '[DOP']]]</f>
        <v>18778</v>
      </c>
      <c r="Y107" s="254"/>
      <c r="Z107" s="255"/>
      <c r="AA107" s="259">
        <f>BD.PD[[#This Row],[Av.P3 '[%']]]*BD.PD[[#This Row],[Ppto. Orden Interna '[DOP']]]</f>
        <v>0</v>
      </c>
      <c r="AB107" s="254"/>
      <c r="AC107" s="255"/>
      <c r="AD107" s="259">
        <f>BD.PD[[#This Row],[Av.P4 '[%']]]*BD.PD[[#This Row],[Ppto. Orden Interna '[DOP']]]</f>
        <v>0</v>
      </c>
      <c r="AE107" s="254"/>
      <c r="AF107" s="255"/>
      <c r="AG107" s="259">
        <f>BD.PD[[#This Row],[Av.P5 '[%']]]*BD.PD[[#This Row],[Ppto. Orden Interna '[DOP']]]</f>
        <v>0</v>
      </c>
      <c r="AH107" s="256">
        <f>BD.PD[[#This Row],[Pago 5]]+BD.PD[[#This Row],[Pago 4]]+BD.PD[[#This Row],[Pago 3]]+BD.PD[[#This Row],[Pago 2]]+BD.PD[[#This Row],[Pago 1]]</f>
        <v>37556</v>
      </c>
      <c r="AI107" s="318"/>
    </row>
    <row r="108" spans="1:35" ht="15" customHeight="1" x14ac:dyDescent="0.3">
      <c r="A108" s="181">
        <v>8.07</v>
      </c>
      <c r="B108" s="239"/>
      <c r="C108" s="240" t="str">
        <f>VLOOKUP(BD.PD[[#This Row],[Pos]],PPto[],3,FALSE)</f>
        <v>8.07 Señalizacion interiores</v>
      </c>
      <c r="D108" s="181" t="s">
        <v>40</v>
      </c>
      <c r="E108" s="242" t="str">
        <f>IF(BD.PD[[#This Row],[.]]="*",VLOOKUP(BD.PD[[#This Row],[Pos]],Presupuesto!A:H,7,FALSE),"")</f>
        <v/>
      </c>
      <c r="F108" s="243" t="s">
        <v>671</v>
      </c>
      <c r="G108" s="243" t="s">
        <v>308</v>
      </c>
      <c r="H108" s="275"/>
      <c r="I108" s="276">
        <v>1</v>
      </c>
      <c r="J108" s="181" t="s">
        <v>314</v>
      </c>
      <c r="K108" s="245">
        <f>IF(BD.PD[[#This Row],[Mon]]="DOP",1,HLOOKUP(BD.PD[[#This Row],[Mon]],$J$1:$K$2,2,FALSE))</f>
        <v>1</v>
      </c>
      <c r="L108" s="277">
        <v>6327400</v>
      </c>
      <c r="M108" s="247">
        <f>BD.PD[[#This Row],[Cant.]]*BD.PD[[#This Row],[ Tasa ]]*BD.PD[[#This Row],[ Precio Und.]]</f>
        <v>6327400</v>
      </c>
      <c r="N108" s="278">
        <v>0.05</v>
      </c>
      <c r="O108" s="247">
        <f>IF(BD.PD[[#This Row],[Liquid. '[%']]]&lt;&gt;0,(BD.PD[[#This Row],[Valor Neto '[DOP']]]*BD.PD[[#This Row],[Liquid. '[%']]])+BD.PD[[#This Row],[Valor Neto '[DOP']]],BD.PD[[#This Row],[Valor Neto '[DOP']]])</f>
        <v>6643770</v>
      </c>
      <c r="P108" s="257">
        <f>BD.PD[[#This Row],[Ppto. Orden Interna '[DOP']]]/HLOOKUP("USD",$J$1:$K$2,2,FALSE)</f>
        <v>109452.55354200987</v>
      </c>
      <c r="Q108" s="250" t="s">
        <v>670</v>
      </c>
      <c r="R108" s="258" t="s">
        <v>1129</v>
      </c>
      <c r="S108" s="251">
        <v>21</v>
      </c>
      <c r="T108" s="252">
        <v>0.5</v>
      </c>
      <c r="U108" s="259">
        <f>BD.PD[[#This Row],[Av.P1 '[%']]]*BD.PD[[#This Row],[Ppto. Orden Interna '[DOP']]]</f>
        <v>3321885</v>
      </c>
      <c r="V108" s="254">
        <v>24</v>
      </c>
      <c r="W108" s="255">
        <v>0.5</v>
      </c>
      <c r="X108" s="259">
        <f>BD.PD[[#This Row],[Av.P2 '[%']]]*BD.PD[[#This Row],[Ppto. Orden Interna '[DOP']]]</f>
        <v>3321885</v>
      </c>
      <c r="Y108" s="254"/>
      <c r="Z108" s="255"/>
      <c r="AA108" s="259">
        <f>BD.PD[[#This Row],[Av.P3 '[%']]]*BD.PD[[#This Row],[Ppto. Orden Interna '[DOP']]]</f>
        <v>0</v>
      </c>
      <c r="AB108" s="254"/>
      <c r="AC108" s="255"/>
      <c r="AD108" s="259">
        <f>BD.PD[[#This Row],[Av.P4 '[%']]]*BD.PD[[#This Row],[Ppto. Orden Interna '[DOP']]]</f>
        <v>0</v>
      </c>
      <c r="AE108" s="254"/>
      <c r="AF108" s="255"/>
      <c r="AG108" s="259">
        <f>BD.PD[[#This Row],[Av.P5 '[%']]]*BD.PD[[#This Row],[Ppto. Orden Interna '[DOP']]]</f>
        <v>0</v>
      </c>
      <c r="AH108" s="256">
        <f>BD.PD[[#This Row],[Pago 5]]+BD.PD[[#This Row],[Pago 4]]+BD.PD[[#This Row],[Pago 3]]+BD.PD[[#This Row],[Pago 2]]+BD.PD[[#This Row],[Pago 1]]</f>
        <v>6643770</v>
      </c>
      <c r="AI108" s="318"/>
    </row>
    <row r="109" spans="1:35" ht="15" customHeight="1" x14ac:dyDescent="0.3">
      <c r="A109" s="181">
        <v>8.07</v>
      </c>
      <c r="B109" s="239"/>
      <c r="C109" s="240" t="str">
        <f>VLOOKUP(BD.PD[[#This Row],[Pos]],PPto[],3,FALSE)</f>
        <v>8.07 Señalizacion interiores</v>
      </c>
      <c r="D109" s="181" t="s">
        <v>40</v>
      </c>
      <c r="E109" s="242" t="str">
        <f>IF(BD.PD[[#This Row],[.]]="*",VLOOKUP(BD.PD[[#This Row],[Pos]],Presupuesto!A:H,7,FALSE),"")</f>
        <v/>
      </c>
      <c r="F109" s="243" t="s">
        <v>673</v>
      </c>
      <c r="G109" s="243" t="s">
        <v>308</v>
      </c>
      <c r="H109" s="275"/>
      <c r="I109" s="276">
        <v>1</v>
      </c>
      <c r="J109" s="181" t="s">
        <v>314</v>
      </c>
      <c r="K109" s="245">
        <f>IF(BD.PD[[#This Row],[Mon]]="DOP",1,HLOOKUP(BD.PD[[#This Row],[Mon]],$J$1:$K$2,2,FALSE))</f>
        <v>1</v>
      </c>
      <c r="L109" s="277">
        <v>129986.4</v>
      </c>
      <c r="M109" s="247">
        <f>BD.PD[[#This Row],[Cant.]]*BD.PD[[#This Row],[ Tasa ]]*BD.PD[[#This Row],[ Precio Und.]]</f>
        <v>129986.4</v>
      </c>
      <c r="N109" s="278">
        <v>0</v>
      </c>
      <c r="O109" s="247">
        <f>IF(BD.PD[[#This Row],[Liquid. '[%']]]&lt;&gt;0,(BD.PD[[#This Row],[Valor Neto '[DOP']]]*BD.PD[[#This Row],[Liquid. '[%']]])+BD.PD[[#This Row],[Valor Neto '[DOP']]],BD.PD[[#This Row],[Valor Neto '[DOP']]])</f>
        <v>129986.4</v>
      </c>
      <c r="P109" s="257">
        <f>BD.PD[[#This Row],[Ppto. Orden Interna '[DOP']]]/HLOOKUP("USD",$J$1:$K$2,2,FALSE)</f>
        <v>2141.4563426688633</v>
      </c>
      <c r="Q109" s="250" t="s">
        <v>670</v>
      </c>
      <c r="R109" s="258" t="s">
        <v>1129</v>
      </c>
      <c r="S109" s="251">
        <v>21</v>
      </c>
      <c r="T109" s="252">
        <v>0.5</v>
      </c>
      <c r="U109" s="259">
        <f>BD.PD[[#This Row],[Av.P1 '[%']]]*BD.PD[[#This Row],[Ppto. Orden Interna '[DOP']]]</f>
        <v>64993.2</v>
      </c>
      <c r="V109" s="254">
        <v>24</v>
      </c>
      <c r="W109" s="255">
        <v>0.5</v>
      </c>
      <c r="X109" s="259">
        <f>BD.PD[[#This Row],[Av.P2 '[%']]]*BD.PD[[#This Row],[Ppto. Orden Interna '[DOP']]]</f>
        <v>64993.2</v>
      </c>
      <c r="Y109" s="254"/>
      <c r="Z109" s="255"/>
      <c r="AA109" s="259">
        <f>BD.PD[[#This Row],[Av.P3 '[%']]]*BD.PD[[#This Row],[Ppto. Orden Interna '[DOP']]]</f>
        <v>0</v>
      </c>
      <c r="AB109" s="254"/>
      <c r="AC109" s="255"/>
      <c r="AD109" s="259">
        <f>BD.PD[[#This Row],[Av.P4 '[%']]]*BD.PD[[#This Row],[Ppto. Orden Interna '[DOP']]]</f>
        <v>0</v>
      </c>
      <c r="AE109" s="254"/>
      <c r="AF109" s="255"/>
      <c r="AG109" s="259">
        <f>BD.PD[[#This Row],[Av.P5 '[%']]]*BD.PD[[#This Row],[Ppto. Orden Interna '[DOP']]]</f>
        <v>0</v>
      </c>
      <c r="AH109" s="256">
        <f>BD.PD[[#This Row],[Pago 5]]+BD.PD[[#This Row],[Pago 4]]+BD.PD[[#This Row],[Pago 3]]+BD.PD[[#This Row],[Pago 2]]+BD.PD[[#This Row],[Pago 1]]</f>
        <v>129986.4</v>
      </c>
      <c r="AI109" s="318"/>
    </row>
    <row r="110" spans="1:35" ht="15" customHeight="1" x14ac:dyDescent="0.3">
      <c r="A110" s="181">
        <v>8.08</v>
      </c>
      <c r="B110" s="239"/>
      <c r="C110" s="240" t="str">
        <f>VLOOKUP(BD.PD[[#This Row],[Pos]],PPto[],3,FALSE)</f>
        <v>8.08 Señalizacion exteriores</v>
      </c>
      <c r="D110" s="181" t="s">
        <v>40</v>
      </c>
      <c r="E110" s="242" t="str">
        <f>IF(BD.PD[[#This Row],[.]]="*",VLOOKUP(BD.PD[[#This Row],[Pos]],Presupuesto!A:H,7,FALSE),"")</f>
        <v/>
      </c>
      <c r="F110" s="243" t="s">
        <v>597</v>
      </c>
      <c r="G110" s="243" t="s">
        <v>308</v>
      </c>
      <c r="H110" s="275"/>
      <c r="I110" s="276">
        <v>1</v>
      </c>
      <c r="J110" s="181" t="s">
        <v>314</v>
      </c>
      <c r="K110" s="245">
        <f>IF(BD.PD[[#This Row],[Mon]]="DOP",1,HLOOKUP(BD.PD[[#This Row],[Mon]],$J$1:$K$2,2,FALSE))</f>
        <v>1</v>
      </c>
      <c r="L110" s="277">
        <v>68400</v>
      </c>
      <c r="M110" s="247">
        <f>BD.PD[[#This Row],[Cant.]]*BD.PD[[#This Row],[ Tasa ]]*BD.PD[[#This Row],[ Precio Und.]]</f>
        <v>68400</v>
      </c>
      <c r="N110" s="278">
        <v>0</v>
      </c>
      <c r="O110" s="247">
        <f>IF(BD.PD[[#This Row],[Liquid. '[%']]]&lt;&gt;0,(BD.PD[[#This Row],[Valor Neto '[DOP']]]*BD.PD[[#This Row],[Liquid. '[%']]])+BD.PD[[#This Row],[Valor Neto '[DOP']]],BD.PD[[#This Row],[Valor Neto '[DOP']]])</f>
        <v>68400</v>
      </c>
      <c r="P110" s="257">
        <f>BD.PD[[#This Row],[Ppto. Orden Interna '[DOP']]]/HLOOKUP("USD",$J$1:$K$2,2,FALSE)</f>
        <v>1126.8533772652388</v>
      </c>
      <c r="Q110" s="250" t="s">
        <v>676</v>
      </c>
      <c r="R110" s="258" t="s">
        <v>1129</v>
      </c>
      <c r="S110" s="251">
        <v>21</v>
      </c>
      <c r="T110" s="252">
        <v>0.5</v>
      </c>
      <c r="U110" s="259">
        <f>BD.PD[[#This Row],[Av.P1 '[%']]]*BD.PD[[#This Row],[Ppto. Orden Interna '[DOP']]]</f>
        <v>34200</v>
      </c>
      <c r="V110" s="254">
        <v>24</v>
      </c>
      <c r="W110" s="255">
        <v>0.5</v>
      </c>
      <c r="X110" s="259">
        <f>BD.PD[[#This Row],[Av.P2 '[%']]]*BD.PD[[#This Row],[Ppto. Orden Interna '[DOP']]]</f>
        <v>34200</v>
      </c>
      <c r="Y110" s="254"/>
      <c r="Z110" s="255"/>
      <c r="AA110" s="259">
        <f>BD.PD[[#This Row],[Av.P3 '[%']]]*BD.PD[[#This Row],[Ppto. Orden Interna '[DOP']]]</f>
        <v>0</v>
      </c>
      <c r="AB110" s="254"/>
      <c r="AC110" s="255"/>
      <c r="AD110" s="259">
        <f>BD.PD[[#This Row],[Av.P4 '[%']]]*BD.PD[[#This Row],[Ppto. Orden Interna '[DOP']]]</f>
        <v>0</v>
      </c>
      <c r="AE110" s="254"/>
      <c r="AF110" s="255"/>
      <c r="AG110" s="259">
        <f>BD.PD[[#This Row],[Av.P5 '[%']]]*BD.PD[[#This Row],[Ppto. Orden Interna '[DOP']]]</f>
        <v>0</v>
      </c>
      <c r="AH110" s="256">
        <f>BD.PD[[#This Row],[Pago 5]]+BD.PD[[#This Row],[Pago 4]]+BD.PD[[#This Row],[Pago 3]]+BD.PD[[#This Row],[Pago 2]]+BD.PD[[#This Row],[Pago 1]]</f>
        <v>68400</v>
      </c>
      <c r="AI110" s="318"/>
    </row>
    <row r="111" spans="1:35" ht="15" customHeight="1" x14ac:dyDescent="0.3">
      <c r="A111" s="181">
        <v>8.08</v>
      </c>
      <c r="B111" s="239"/>
      <c r="C111" s="240" t="str">
        <f>VLOOKUP(BD.PD[[#This Row],[Pos]],PPto[],3,FALSE)</f>
        <v>8.08 Señalizacion exteriores</v>
      </c>
      <c r="D111" s="181" t="s">
        <v>40</v>
      </c>
      <c r="E111" s="242" t="str">
        <f>IF(BD.PD[[#This Row],[.]]="*",VLOOKUP(BD.PD[[#This Row],[Pos]],Presupuesto!A:H,7,FALSE),"")</f>
        <v/>
      </c>
      <c r="F111" s="243" t="s">
        <v>677</v>
      </c>
      <c r="G111" s="243" t="s">
        <v>308</v>
      </c>
      <c r="H111" s="275"/>
      <c r="I111" s="276">
        <v>1</v>
      </c>
      <c r="J111" s="181" t="s">
        <v>314</v>
      </c>
      <c r="K111" s="245">
        <f>IF(BD.PD[[#This Row],[Mon]]="DOP",1,HLOOKUP(BD.PD[[#This Row],[Mon]],$J$1:$K$2,2,FALSE))</f>
        <v>1</v>
      </c>
      <c r="L111" s="277">
        <f>60000+85000</f>
        <v>145000</v>
      </c>
      <c r="M111" s="247">
        <f>BD.PD[[#This Row],[Cant.]]*BD.PD[[#This Row],[ Tasa ]]*BD.PD[[#This Row],[ Precio Und.]]</f>
        <v>145000</v>
      </c>
      <c r="N111" s="278">
        <v>0</v>
      </c>
      <c r="O111" s="247">
        <f>IF(BD.PD[[#This Row],[Liquid. '[%']]]&lt;&gt;0,(BD.PD[[#This Row],[Valor Neto '[DOP']]]*BD.PD[[#This Row],[Liquid. '[%']]])+BD.PD[[#This Row],[Valor Neto '[DOP']]],BD.PD[[#This Row],[Valor Neto '[DOP']]])</f>
        <v>145000</v>
      </c>
      <c r="P111" s="257">
        <f>BD.PD[[#This Row],[Ppto. Orden Interna '[DOP']]]/HLOOKUP("USD",$J$1:$K$2,2,FALSE)</f>
        <v>2388.7973640856671</v>
      </c>
      <c r="Q111" s="250" t="s">
        <v>676</v>
      </c>
      <c r="R111" s="258" t="s">
        <v>1129</v>
      </c>
      <c r="S111" s="251">
        <v>21</v>
      </c>
      <c r="T111" s="252">
        <v>0.5</v>
      </c>
      <c r="U111" s="259">
        <f>BD.PD[[#This Row],[Av.P1 '[%']]]*BD.PD[[#This Row],[Ppto. Orden Interna '[DOP']]]</f>
        <v>72500</v>
      </c>
      <c r="V111" s="254">
        <v>24</v>
      </c>
      <c r="W111" s="255">
        <v>0.5</v>
      </c>
      <c r="X111" s="259">
        <f>BD.PD[[#This Row],[Av.P2 '[%']]]*BD.PD[[#This Row],[Ppto. Orden Interna '[DOP']]]</f>
        <v>72500</v>
      </c>
      <c r="Y111" s="254"/>
      <c r="Z111" s="255"/>
      <c r="AA111" s="259">
        <f>BD.PD[[#This Row],[Av.P3 '[%']]]*BD.PD[[#This Row],[Ppto. Orden Interna '[DOP']]]</f>
        <v>0</v>
      </c>
      <c r="AB111" s="254"/>
      <c r="AC111" s="255"/>
      <c r="AD111" s="259">
        <f>BD.PD[[#This Row],[Av.P4 '[%']]]*BD.PD[[#This Row],[Ppto. Orden Interna '[DOP']]]</f>
        <v>0</v>
      </c>
      <c r="AE111" s="254"/>
      <c r="AF111" s="255"/>
      <c r="AG111" s="259">
        <f>BD.PD[[#This Row],[Av.P5 '[%']]]*BD.PD[[#This Row],[Ppto. Orden Interna '[DOP']]]</f>
        <v>0</v>
      </c>
      <c r="AH111" s="256">
        <f>BD.PD[[#This Row],[Pago 5]]+BD.PD[[#This Row],[Pago 4]]+BD.PD[[#This Row],[Pago 3]]+BD.PD[[#This Row],[Pago 2]]+BD.PD[[#This Row],[Pago 1]]</f>
        <v>145000</v>
      </c>
      <c r="AI111" s="318"/>
    </row>
    <row r="112" spans="1:35" ht="15" customHeight="1" x14ac:dyDescent="0.3">
      <c r="A112" s="181">
        <v>8.08</v>
      </c>
      <c r="B112" s="239"/>
      <c r="C112" s="240" t="str">
        <f>VLOOKUP(BD.PD[[#This Row],[Pos]],PPto[],3,FALSE)</f>
        <v>8.08 Señalizacion exteriores</v>
      </c>
      <c r="D112" s="181" t="s">
        <v>40</v>
      </c>
      <c r="E112" s="242" t="str">
        <f>IF(BD.PD[[#This Row],[.]]="*",VLOOKUP(BD.PD[[#This Row],[Pos]],Presupuesto!A:H,7,FALSE),"")</f>
        <v/>
      </c>
      <c r="F112" s="243" t="s">
        <v>678</v>
      </c>
      <c r="G112" s="243" t="s">
        <v>308</v>
      </c>
      <c r="H112" s="275"/>
      <c r="I112" s="276">
        <v>2</v>
      </c>
      <c r="J112" s="181" t="s">
        <v>314</v>
      </c>
      <c r="K112" s="245">
        <f>IF(BD.PD[[#This Row],[Mon]]="DOP",1,HLOOKUP(BD.PD[[#This Row],[Mon]],$J$1:$K$2,2,FALSE))</f>
        <v>1</v>
      </c>
      <c r="L112" s="277">
        <v>255000</v>
      </c>
      <c r="M112" s="247">
        <f>BD.PD[[#This Row],[Cant.]]*BD.PD[[#This Row],[ Tasa ]]*BD.PD[[#This Row],[ Precio Und.]]</f>
        <v>510000</v>
      </c>
      <c r="N112" s="278">
        <v>0</v>
      </c>
      <c r="O112" s="247">
        <f>IF(BD.PD[[#This Row],[Liquid. '[%']]]&lt;&gt;0,(BD.PD[[#This Row],[Valor Neto '[DOP']]]*BD.PD[[#This Row],[Liquid. '[%']]])+BD.PD[[#This Row],[Valor Neto '[DOP']]],BD.PD[[#This Row],[Valor Neto '[DOP']]])</f>
        <v>510000</v>
      </c>
      <c r="P112" s="257">
        <f>BD.PD[[#This Row],[Ppto. Orden Interna '[DOP']]]/HLOOKUP("USD",$J$1:$K$2,2,FALSE)</f>
        <v>8401.9769357495879</v>
      </c>
      <c r="Q112" s="250" t="s">
        <v>676</v>
      </c>
      <c r="R112" s="258" t="s">
        <v>1129</v>
      </c>
      <c r="S112" s="251">
        <v>21</v>
      </c>
      <c r="T112" s="252">
        <v>0.5</v>
      </c>
      <c r="U112" s="259">
        <f>BD.PD[[#This Row],[Av.P1 '[%']]]*BD.PD[[#This Row],[Ppto. Orden Interna '[DOP']]]</f>
        <v>255000</v>
      </c>
      <c r="V112" s="254">
        <v>24</v>
      </c>
      <c r="W112" s="255">
        <v>0.5</v>
      </c>
      <c r="X112" s="259">
        <f>BD.PD[[#This Row],[Av.P2 '[%']]]*BD.PD[[#This Row],[Ppto. Orden Interna '[DOP']]]</f>
        <v>255000</v>
      </c>
      <c r="Y112" s="254"/>
      <c r="Z112" s="255"/>
      <c r="AA112" s="259">
        <f>BD.PD[[#This Row],[Av.P3 '[%']]]*BD.PD[[#This Row],[Ppto. Orden Interna '[DOP']]]</f>
        <v>0</v>
      </c>
      <c r="AB112" s="254"/>
      <c r="AC112" s="255"/>
      <c r="AD112" s="259">
        <f>BD.PD[[#This Row],[Av.P4 '[%']]]*BD.PD[[#This Row],[Ppto. Orden Interna '[DOP']]]</f>
        <v>0</v>
      </c>
      <c r="AE112" s="254"/>
      <c r="AF112" s="255"/>
      <c r="AG112" s="259">
        <f>BD.PD[[#This Row],[Av.P5 '[%']]]*BD.PD[[#This Row],[Ppto. Orden Interna '[DOP']]]</f>
        <v>0</v>
      </c>
      <c r="AH112" s="256">
        <f>BD.PD[[#This Row],[Pago 5]]+BD.PD[[#This Row],[Pago 4]]+BD.PD[[#This Row],[Pago 3]]+BD.PD[[#This Row],[Pago 2]]+BD.PD[[#This Row],[Pago 1]]</f>
        <v>510000</v>
      </c>
      <c r="AI112" s="318"/>
    </row>
    <row r="113" spans="1:35" ht="15" customHeight="1" x14ac:dyDescent="0.3">
      <c r="A113" s="181">
        <v>8.08</v>
      </c>
      <c r="B113" s="239"/>
      <c r="C113" s="240" t="str">
        <f>VLOOKUP(BD.PD[[#This Row],[Pos]],PPto[],3,FALSE)</f>
        <v>8.08 Señalizacion exteriores</v>
      </c>
      <c r="D113" s="181" t="s">
        <v>40</v>
      </c>
      <c r="E113" s="242" t="str">
        <f>IF(BD.PD[[#This Row],[.]]="*",VLOOKUP(BD.PD[[#This Row],[Pos]],Presupuesto!A:H,7,FALSE),"")</f>
        <v/>
      </c>
      <c r="F113" s="243" t="s">
        <v>679</v>
      </c>
      <c r="G113" s="243" t="s">
        <v>308</v>
      </c>
      <c r="H113" s="275"/>
      <c r="I113" s="276">
        <v>1</v>
      </c>
      <c r="J113" s="181" t="s">
        <v>314</v>
      </c>
      <c r="K113" s="245">
        <f>IF(BD.PD[[#This Row],[Mon]]="DOP",1,HLOOKUP(BD.PD[[#This Row],[Mon]],$J$1:$K$2,2,FALSE))</f>
        <v>1</v>
      </c>
      <c r="L113" s="277">
        <v>540000</v>
      </c>
      <c r="M113" s="247">
        <f>BD.PD[[#This Row],[Cant.]]*BD.PD[[#This Row],[ Tasa ]]*BD.PD[[#This Row],[ Precio Und.]]</f>
        <v>540000</v>
      </c>
      <c r="N113" s="359">
        <v>0</v>
      </c>
      <c r="O113" s="247">
        <f>IF(BD.PD[[#This Row],[Liquid. '[%']]]&lt;&gt;0,(BD.PD[[#This Row],[Valor Neto '[DOP']]]*BD.PD[[#This Row],[Liquid. '[%']]])+BD.PD[[#This Row],[Valor Neto '[DOP']]],BD.PD[[#This Row],[Valor Neto '[DOP']]])</f>
        <v>540000</v>
      </c>
      <c r="P113" s="257">
        <f>BD.PD[[#This Row],[Ppto. Orden Interna '[DOP']]]/HLOOKUP("USD",$J$1:$K$2,2,FALSE)</f>
        <v>8896.2108731466215</v>
      </c>
      <c r="Q113" s="250" t="s">
        <v>676</v>
      </c>
      <c r="R113" s="258" t="s">
        <v>1129</v>
      </c>
      <c r="S113" s="251">
        <v>21</v>
      </c>
      <c r="T113" s="252">
        <v>0.5</v>
      </c>
      <c r="U113" s="259">
        <f>BD.PD[[#This Row],[Av.P1 '[%']]]*BD.PD[[#This Row],[Ppto. Orden Interna '[DOP']]]</f>
        <v>270000</v>
      </c>
      <c r="V113" s="254">
        <v>24</v>
      </c>
      <c r="W113" s="255">
        <v>0.5</v>
      </c>
      <c r="X113" s="259">
        <f>BD.PD[[#This Row],[Av.P2 '[%']]]*BD.PD[[#This Row],[Ppto. Orden Interna '[DOP']]]</f>
        <v>270000</v>
      </c>
      <c r="Y113" s="254"/>
      <c r="Z113" s="255"/>
      <c r="AA113" s="259">
        <f>BD.PD[[#This Row],[Av.P3 '[%']]]*BD.PD[[#This Row],[Ppto. Orden Interna '[DOP']]]</f>
        <v>0</v>
      </c>
      <c r="AB113" s="254"/>
      <c r="AC113" s="255"/>
      <c r="AD113" s="259">
        <f>BD.PD[[#This Row],[Av.P4 '[%']]]*BD.PD[[#This Row],[Ppto. Orden Interna '[DOP']]]</f>
        <v>0</v>
      </c>
      <c r="AE113" s="254"/>
      <c r="AF113" s="255"/>
      <c r="AG113" s="259">
        <f>BD.PD[[#This Row],[Av.P5 '[%']]]*BD.PD[[#This Row],[Ppto. Orden Interna '[DOP']]]</f>
        <v>0</v>
      </c>
      <c r="AH113" s="256">
        <f>BD.PD[[#This Row],[Pago 5]]+BD.PD[[#This Row],[Pago 4]]+BD.PD[[#This Row],[Pago 3]]+BD.PD[[#This Row],[Pago 2]]+BD.PD[[#This Row],[Pago 1]]</f>
        <v>540000</v>
      </c>
      <c r="AI113" s="318"/>
    </row>
    <row r="114" spans="1:35" ht="15" customHeight="1" x14ac:dyDescent="0.3">
      <c r="A114" s="181">
        <v>8.08</v>
      </c>
      <c r="B114" s="239"/>
      <c r="C114" s="240" t="str">
        <f>VLOOKUP(BD.PD[[#This Row],[Pos]],PPto[],3,FALSE)</f>
        <v>8.08 Señalizacion exteriores</v>
      </c>
      <c r="D114" s="181" t="s">
        <v>40</v>
      </c>
      <c r="E114" s="242" t="str">
        <f>IF(BD.PD[[#This Row],[.]]="*",VLOOKUP(BD.PD[[#This Row],[Pos]],Presupuesto!A:H,7,FALSE),"")</f>
        <v/>
      </c>
      <c r="F114" s="243" t="s">
        <v>680</v>
      </c>
      <c r="G114" s="243" t="s">
        <v>308</v>
      </c>
      <c r="H114" s="275"/>
      <c r="I114" s="276">
        <v>1</v>
      </c>
      <c r="J114" s="181" t="s">
        <v>314</v>
      </c>
      <c r="K114" s="245">
        <f>IF(BD.PD[[#This Row],[Mon]]="DOP",1,HLOOKUP(BD.PD[[#This Row],[Mon]],$J$1:$K$2,2,FALSE))</f>
        <v>1</v>
      </c>
      <c r="L114" s="277">
        <v>390000</v>
      </c>
      <c r="M114" s="247">
        <f>BD.PD[[#This Row],[Cant.]]*BD.PD[[#This Row],[ Tasa ]]*BD.PD[[#This Row],[ Precio Und.]]</f>
        <v>390000</v>
      </c>
      <c r="N114" s="278">
        <v>0</v>
      </c>
      <c r="O114" s="247">
        <f>IF(BD.PD[[#This Row],[Liquid. '[%']]]&lt;&gt;0,(BD.PD[[#This Row],[Valor Neto '[DOP']]]*BD.PD[[#This Row],[Liquid. '[%']]])+BD.PD[[#This Row],[Valor Neto '[DOP']]],BD.PD[[#This Row],[Valor Neto '[DOP']]])</f>
        <v>390000</v>
      </c>
      <c r="P114" s="257">
        <f>BD.PD[[#This Row],[Ppto. Orden Interna '[DOP']]]/HLOOKUP("USD",$J$1:$K$2,2,FALSE)</f>
        <v>6425.0411861614493</v>
      </c>
      <c r="Q114" s="250" t="s">
        <v>676</v>
      </c>
      <c r="R114" s="258" t="s">
        <v>1129</v>
      </c>
      <c r="S114" s="251">
        <v>21</v>
      </c>
      <c r="T114" s="252">
        <v>0.5</v>
      </c>
      <c r="U114" s="259">
        <f>BD.PD[[#This Row],[Av.P1 '[%']]]*BD.PD[[#This Row],[Ppto. Orden Interna '[DOP']]]</f>
        <v>195000</v>
      </c>
      <c r="V114" s="254">
        <v>24</v>
      </c>
      <c r="W114" s="255">
        <v>0.5</v>
      </c>
      <c r="X114" s="259">
        <f>BD.PD[[#This Row],[Av.P2 '[%']]]*BD.PD[[#This Row],[Ppto. Orden Interna '[DOP']]]</f>
        <v>195000</v>
      </c>
      <c r="Y114" s="254"/>
      <c r="Z114" s="255"/>
      <c r="AA114" s="259">
        <f>BD.PD[[#This Row],[Av.P3 '[%']]]*BD.PD[[#This Row],[Ppto. Orden Interna '[DOP']]]</f>
        <v>0</v>
      </c>
      <c r="AB114" s="254"/>
      <c r="AC114" s="255"/>
      <c r="AD114" s="259">
        <f>BD.PD[[#This Row],[Av.P4 '[%']]]*BD.PD[[#This Row],[Ppto. Orden Interna '[DOP']]]</f>
        <v>0</v>
      </c>
      <c r="AE114" s="254"/>
      <c r="AF114" s="255"/>
      <c r="AG114" s="259">
        <f>BD.PD[[#This Row],[Av.P5 '[%']]]*BD.PD[[#This Row],[Ppto. Orden Interna '[DOP']]]</f>
        <v>0</v>
      </c>
      <c r="AH114" s="256">
        <f>BD.PD[[#This Row],[Pago 5]]+BD.PD[[#This Row],[Pago 4]]+BD.PD[[#This Row],[Pago 3]]+BD.PD[[#This Row],[Pago 2]]+BD.PD[[#This Row],[Pago 1]]</f>
        <v>390000</v>
      </c>
      <c r="AI114" s="318"/>
    </row>
    <row r="115" spans="1:35" ht="15" customHeight="1" x14ac:dyDescent="0.3">
      <c r="A115" s="181">
        <v>8.08</v>
      </c>
      <c r="B115" s="239"/>
      <c r="C115" s="240" t="str">
        <f>VLOOKUP(BD.PD[[#This Row],[Pos]],PPto[],3,FALSE)</f>
        <v>8.08 Señalizacion exteriores</v>
      </c>
      <c r="D115" s="181" t="s">
        <v>40</v>
      </c>
      <c r="E115" s="242" t="str">
        <f>IF(BD.PD[[#This Row],[.]]="*",VLOOKUP(BD.PD[[#This Row],[Pos]],Presupuesto!A:H,7,FALSE),"")</f>
        <v/>
      </c>
      <c r="F115" s="243" t="s">
        <v>681</v>
      </c>
      <c r="G115" s="243" t="s">
        <v>308</v>
      </c>
      <c r="H115" s="275"/>
      <c r="I115" s="276">
        <v>1</v>
      </c>
      <c r="J115" s="181" t="s">
        <v>314</v>
      </c>
      <c r="K115" s="245">
        <f>IF(BD.PD[[#This Row],[Mon]]="DOP",1,HLOOKUP(BD.PD[[#This Row],[Mon]],$J$1:$K$2,2,FALSE))</f>
        <v>1</v>
      </c>
      <c r="L115" s="277">
        <v>350000</v>
      </c>
      <c r="M115" s="247">
        <f>BD.PD[[#This Row],[Cant.]]*BD.PD[[#This Row],[ Tasa ]]*BD.PD[[#This Row],[ Precio Und.]]</f>
        <v>350000</v>
      </c>
      <c r="N115" s="278">
        <v>0</v>
      </c>
      <c r="O115" s="247">
        <f>IF(BD.PD[[#This Row],[Liquid. '[%']]]&lt;&gt;0,(BD.PD[[#This Row],[Valor Neto '[DOP']]]*BD.PD[[#This Row],[Liquid. '[%']]])+BD.PD[[#This Row],[Valor Neto '[DOP']]],BD.PD[[#This Row],[Valor Neto '[DOP']]])</f>
        <v>350000</v>
      </c>
      <c r="P115" s="257">
        <f>BD.PD[[#This Row],[Ppto. Orden Interna '[DOP']]]/HLOOKUP("USD",$J$1:$K$2,2,FALSE)</f>
        <v>5766.0626029654031</v>
      </c>
      <c r="Q115" s="250" t="s">
        <v>676</v>
      </c>
      <c r="R115" s="258" t="s">
        <v>1129</v>
      </c>
      <c r="S115" s="251">
        <v>21</v>
      </c>
      <c r="T115" s="252">
        <v>0.5</v>
      </c>
      <c r="U115" s="259">
        <f>BD.PD[[#This Row],[Av.P1 '[%']]]*BD.PD[[#This Row],[Ppto. Orden Interna '[DOP']]]</f>
        <v>175000</v>
      </c>
      <c r="V115" s="254">
        <v>24</v>
      </c>
      <c r="W115" s="255">
        <v>0.5</v>
      </c>
      <c r="X115" s="259">
        <f>BD.PD[[#This Row],[Av.P2 '[%']]]*BD.PD[[#This Row],[Ppto. Orden Interna '[DOP']]]</f>
        <v>175000</v>
      </c>
      <c r="Y115" s="254"/>
      <c r="Z115" s="255"/>
      <c r="AA115" s="259">
        <f>BD.PD[[#This Row],[Av.P3 '[%']]]*BD.PD[[#This Row],[Ppto. Orden Interna '[DOP']]]</f>
        <v>0</v>
      </c>
      <c r="AB115" s="254"/>
      <c r="AC115" s="255"/>
      <c r="AD115" s="259">
        <f>BD.PD[[#This Row],[Av.P4 '[%']]]*BD.PD[[#This Row],[Ppto. Orden Interna '[DOP']]]</f>
        <v>0</v>
      </c>
      <c r="AE115" s="254"/>
      <c r="AF115" s="255"/>
      <c r="AG115" s="259">
        <f>BD.PD[[#This Row],[Av.P5 '[%']]]*BD.PD[[#This Row],[Ppto. Orden Interna '[DOP']]]</f>
        <v>0</v>
      </c>
      <c r="AH115" s="256">
        <f>BD.PD[[#This Row],[Pago 5]]+BD.PD[[#This Row],[Pago 4]]+BD.PD[[#This Row],[Pago 3]]+BD.PD[[#This Row],[Pago 2]]+BD.PD[[#This Row],[Pago 1]]</f>
        <v>350000</v>
      </c>
      <c r="AI115" s="318"/>
    </row>
    <row r="116" spans="1:35" ht="15" customHeight="1" x14ac:dyDescent="0.3">
      <c r="A116" s="181">
        <v>8.08</v>
      </c>
      <c r="B116" s="239"/>
      <c r="C116" s="240" t="str">
        <f>VLOOKUP(BD.PD[[#This Row],[Pos]],PPto[],3,FALSE)</f>
        <v>8.08 Señalizacion exteriores</v>
      </c>
      <c r="D116" s="181" t="s">
        <v>40</v>
      </c>
      <c r="E116" s="242" t="str">
        <f>IF(BD.PD[[#This Row],[.]]="*",VLOOKUP(BD.PD[[#This Row],[Pos]],Presupuesto!A:H,7,FALSE),"")</f>
        <v/>
      </c>
      <c r="F116" s="243" t="s">
        <v>682</v>
      </c>
      <c r="G116" s="243" t="s">
        <v>308</v>
      </c>
      <c r="H116" s="275"/>
      <c r="I116" s="343">
        <v>4</v>
      </c>
      <c r="J116" s="181" t="s">
        <v>314</v>
      </c>
      <c r="K116" s="245">
        <f>IF(BD.PD[[#This Row],[Mon]]="DOP",1,HLOOKUP(BD.PD[[#This Row],[Mon]],$J$1:$K$2,2,FALSE))</f>
        <v>1</v>
      </c>
      <c r="L116" s="344">
        <v>95000</v>
      </c>
      <c r="M116" s="247">
        <f>BD.PD[[#This Row],[Cant.]]*BD.PD[[#This Row],[ Tasa ]]*BD.PD[[#This Row],[ Precio Und.]]</f>
        <v>380000</v>
      </c>
      <c r="N116" s="278">
        <v>0</v>
      </c>
      <c r="O116" s="247">
        <f>IF(BD.PD[[#This Row],[Liquid. '[%']]]&lt;&gt;0,(BD.PD[[#This Row],[Valor Neto '[DOP']]]*BD.PD[[#This Row],[Liquid. '[%']]])+BD.PD[[#This Row],[Valor Neto '[DOP']]],BD.PD[[#This Row],[Valor Neto '[DOP']]])</f>
        <v>380000</v>
      </c>
      <c r="P116" s="257">
        <f>BD.PD[[#This Row],[Ppto. Orden Interna '[DOP']]]/HLOOKUP("USD",$J$1:$K$2,2,FALSE)</f>
        <v>6260.2965403624376</v>
      </c>
      <c r="Q116" s="250" t="s">
        <v>676</v>
      </c>
      <c r="R116" s="258" t="s">
        <v>1129</v>
      </c>
      <c r="S116" s="251">
        <v>21</v>
      </c>
      <c r="T116" s="252">
        <v>0.5</v>
      </c>
      <c r="U116" s="259">
        <f>BD.PD[[#This Row],[Av.P1 '[%']]]*BD.PD[[#This Row],[Ppto. Orden Interna '[DOP']]]</f>
        <v>190000</v>
      </c>
      <c r="V116" s="254">
        <v>24</v>
      </c>
      <c r="W116" s="255">
        <v>0.5</v>
      </c>
      <c r="X116" s="259">
        <f>BD.PD[[#This Row],[Av.P2 '[%']]]*BD.PD[[#This Row],[Ppto. Orden Interna '[DOP']]]</f>
        <v>190000</v>
      </c>
      <c r="Y116" s="254"/>
      <c r="Z116" s="255"/>
      <c r="AA116" s="259">
        <f>BD.PD[[#This Row],[Av.P3 '[%']]]*BD.PD[[#This Row],[Ppto. Orden Interna '[DOP']]]</f>
        <v>0</v>
      </c>
      <c r="AB116" s="254"/>
      <c r="AC116" s="255"/>
      <c r="AD116" s="259">
        <f>BD.PD[[#This Row],[Av.P4 '[%']]]*BD.PD[[#This Row],[Ppto. Orden Interna '[DOP']]]</f>
        <v>0</v>
      </c>
      <c r="AE116" s="254"/>
      <c r="AF116" s="255"/>
      <c r="AG116" s="259">
        <f>BD.PD[[#This Row],[Av.P5 '[%']]]*BD.PD[[#This Row],[Ppto. Orden Interna '[DOP']]]</f>
        <v>0</v>
      </c>
      <c r="AH116" s="256">
        <f>BD.PD[[#This Row],[Pago 5]]+BD.PD[[#This Row],[Pago 4]]+BD.PD[[#This Row],[Pago 3]]+BD.PD[[#This Row],[Pago 2]]+BD.PD[[#This Row],[Pago 1]]</f>
        <v>380000</v>
      </c>
      <c r="AI116" s="318"/>
    </row>
    <row r="117" spans="1:35" ht="15" customHeight="1" x14ac:dyDescent="0.3">
      <c r="A117" s="181">
        <v>6.05</v>
      </c>
      <c r="B117" s="239"/>
      <c r="C117" s="240" t="str">
        <f>VLOOKUP(BD.PD[[#This Row],[Pos]],PPto[],3,FALSE)</f>
        <v>6.05 Otros sum e inst Tecnología y Seguridad Y Tesoreria</v>
      </c>
      <c r="D117" s="181" t="s">
        <v>40</v>
      </c>
      <c r="E117" s="242" t="str">
        <f>IF(BD.PD[[#This Row],[.]]="*",VLOOKUP(BD.PD[[#This Row],[Pos]],Presupuesto!A:H,7,FALSE),"")</f>
        <v/>
      </c>
      <c r="F117" s="383" t="s">
        <v>405</v>
      </c>
      <c r="G117" s="243" t="s">
        <v>308</v>
      </c>
      <c r="H117" s="275"/>
      <c r="I117" s="276">
        <v>1</v>
      </c>
      <c r="J117" s="181" t="s">
        <v>314</v>
      </c>
      <c r="K117" s="245">
        <f>IF(BD.PD[[#This Row],[Mon]]="DOP",1,HLOOKUP(BD.PD[[#This Row],[Mon]],$J$1:$K$2,2,FALSE))</f>
        <v>1</v>
      </c>
      <c r="L117" s="346">
        <v>4418</v>
      </c>
      <c r="M117" s="247">
        <f>BD.PD[[#This Row],[Cant.]]*BD.PD[[#This Row],[ Tasa ]]*BD.PD[[#This Row],[ Precio Und.]]</f>
        <v>4418</v>
      </c>
      <c r="N117" s="278">
        <v>0</v>
      </c>
      <c r="O117" s="247">
        <f>IF(BD.PD[[#This Row],[Liquid. '[%']]]&lt;&gt;0,(BD.PD[[#This Row],[Valor Neto '[DOP']]]*BD.PD[[#This Row],[Liquid. '[%']]])+BD.PD[[#This Row],[Valor Neto '[DOP']]],BD.PD[[#This Row],[Valor Neto '[DOP']]])</f>
        <v>4418</v>
      </c>
      <c r="P117" s="257">
        <f>BD.PD[[#This Row],[Ppto. Orden Interna '[DOP']]]/HLOOKUP("USD",$J$1:$K$2,2,FALSE)</f>
        <v>72.784184514003286</v>
      </c>
      <c r="Q117" s="250" t="s">
        <v>402</v>
      </c>
      <c r="R117" s="258" t="s">
        <v>403</v>
      </c>
      <c r="S117" s="251">
        <v>22</v>
      </c>
      <c r="T117" s="252">
        <v>1</v>
      </c>
      <c r="U117" s="259">
        <f>BD.PD[[#This Row],[Av.P1 '[%']]]*BD.PD[[#This Row],[Ppto. Orden Interna '[DOP']]]</f>
        <v>4418</v>
      </c>
      <c r="V117" s="254"/>
      <c r="W117" s="255"/>
      <c r="X117" s="259">
        <f>BD.PD[[#This Row],[Av.P2 '[%']]]*BD.PD[[#This Row],[Ppto. Orden Interna '[DOP']]]</f>
        <v>0</v>
      </c>
      <c r="Y117" s="254"/>
      <c r="Z117" s="255"/>
      <c r="AA117" s="259">
        <f>BD.PD[[#This Row],[Av.P3 '[%']]]*BD.PD[[#This Row],[Ppto. Orden Interna '[DOP']]]</f>
        <v>0</v>
      </c>
      <c r="AB117" s="254"/>
      <c r="AC117" s="255"/>
      <c r="AD117" s="259">
        <f>BD.PD[[#This Row],[Av.P4 '[%']]]*BD.PD[[#This Row],[Ppto. Orden Interna '[DOP']]]</f>
        <v>0</v>
      </c>
      <c r="AE117" s="254"/>
      <c r="AF117" s="255"/>
      <c r="AG117" s="259">
        <f>BD.PD[[#This Row],[Av.P5 '[%']]]*BD.PD[[#This Row],[Ppto. Orden Interna '[DOP']]]</f>
        <v>0</v>
      </c>
      <c r="AH117" s="256">
        <f>BD.PD[[#This Row],[Pago 5]]+BD.PD[[#This Row],[Pago 4]]+BD.PD[[#This Row],[Pago 3]]+BD.PD[[#This Row],[Pago 2]]+BD.PD[[#This Row],[Pago 1]]</f>
        <v>4418</v>
      </c>
      <c r="AI117" s="318"/>
    </row>
    <row r="118" spans="1:35" ht="15" customHeight="1" x14ac:dyDescent="0.3">
      <c r="A118" s="181">
        <v>6.05</v>
      </c>
      <c r="B118" s="239"/>
      <c r="C118" s="240" t="str">
        <f>VLOOKUP(BD.PD[[#This Row],[Pos]],PPto[],3,FALSE)</f>
        <v>6.05 Otros sum e inst Tecnología y Seguridad Y Tesoreria</v>
      </c>
      <c r="D118" s="181" t="s">
        <v>40</v>
      </c>
      <c r="E118" s="242" t="str">
        <f>IF(BD.PD[[#This Row],[.]]="*",VLOOKUP(BD.PD[[#This Row],[Pos]],Presupuesto!A:H,7,FALSE),"")</f>
        <v/>
      </c>
      <c r="F118" s="383" t="s">
        <v>406</v>
      </c>
      <c r="G118" s="243" t="s">
        <v>308</v>
      </c>
      <c r="H118" s="275"/>
      <c r="I118" s="276">
        <v>1</v>
      </c>
      <c r="J118" s="181" t="s">
        <v>314</v>
      </c>
      <c r="K118" s="245">
        <f>IF(BD.PD[[#This Row],[Mon]]="DOP",1,HLOOKUP(BD.PD[[#This Row],[Mon]],$J$1:$K$2,2,FALSE))</f>
        <v>1</v>
      </c>
      <c r="L118" s="277">
        <v>11550</v>
      </c>
      <c r="M118" s="247">
        <f>BD.PD[[#This Row],[Cant.]]*BD.PD[[#This Row],[ Tasa ]]*BD.PD[[#This Row],[ Precio Und.]]</f>
        <v>11550</v>
      </c>
      <c r="N118" s="278">
        <v>0</v>
      </c>
      <c r="O118" s="247">
        <f>IF(BD.PD[[#This Row],[Liquid. '[%']]]&lt;&gt;0,(BD.PD[[#This Row],[Valor Neto '[DOP']]]*BD.PD[[#This Row],[Liquid. '[%']]])+BD.PD[[#This Row],[Valor Neto '[DOP']]],BD.PD[[#This Row],[Valor Neto '[DOP']]])</f>
        <v>11550</v>
      </c>
      <c r="P118" s="257">
        <f>BD.PD[[#This Row],[Ppto. Orden Interna '[DOP']]]/HLOOKUP("USD",$J$1:$K$2,2,FALSE)</f>
        <v>190.28006589785832</v>
      </c>
      <c r="Q118" s="250" t="s">
        <v>402</v>
      </c>
      <c r="R118" s="258" t="s">
        <v>403</v>
      </c>
      <c r="S118" s="251">
        <v>22</v>
      </c>
      <c r="T118" s="252">
        <v>1</v>
      </c>
      <c r="U118" s="259">
        <f>BD.PD[[#This Row],[Av.P1 '[%']]]*BD.PD[[#This Row],[Ppto. Orden Interna '[DOP']]]</f>
        <v>11550</v>
      </c>
      <c r="V118" s="254"/>
      <c r="W118" s="255"/>
      <c r="X118" s="259">
        <f>BD.PD[[#This Row],[Av.P2 '[%']]]*BD.PD[[#This Row],[Ppto. Orden Interna '[DOP']]]</f>
        <v>0</v>
      </c>
      <c r="Y118" s="254"/>
      <c r="Z118" s="255"/>
      <c r="AA118" s="259">
        <f>BD.PD[[#This Row],[Av.P3 '[%']]]*BD.PD[[#This Row],[Ppto. Orden Interna '[DOP']]]</f>
        <v>0</v>
      </c>
      <c r="AB118" s="254"/>
      <c r="AC118" s="255"/>
      <c r="AD118" s="259">
        <f>BD.PD[[#This Row],[Av.P4 '[%']]]*BD.PD[[#This Row],[Ppto. Orden Interna '[DOP']]]</f>
        <v>0</v>
      </c>
      <c r="AE118" s="254"/>
      <c r="AF118" s="255"/>
      <c r="AG118" s="259">
        <f>BD.PD[[#This Row],[Av.P5 '[%']]]*BD.PD[[#This Row],[Ppto. Orden Interna '[DOP']]]</f>
        <v>0</v>
      </c>
      <c r="AH118" s="256">
        <f>BD.PD[[#This Row],[Pago 5]]+BD.PD[[#This Row],[Pago 4]]+BD.PD[[#This Row],[Pago 3]]+BD.PD[[#This Row],[Pago 2]]+BD.PD[[#This Row],[Pago 1]]</f>
        <v>11550</v>
      </c>
      <c r="AI118" s="318"/>
    </row>
    <row r="119" spans="1:35" ht="15" customHeight="1" x14ac:dyDescent="0.3">
      <c r="A119" s="181">
        <v>6.05</v>
      </c>
      <c r="B119" s="239"/>
      <c r="C119" s="240" t="str">
        <f>VLOOKUP(BD.PD[[#This Row],[Pos]],PPto[],3,FALSE)</f>
        <v>6.05 Otros sum e inst Tecnología y Seguridad Y Tesoreria</v>
      </c>
      <c r="D119" s="181" t="s">
        <v>40</v>
      </c>
      <c r="E119" s="242" t="str">
        <f>IF(BD.PD[[#This Row],[.]]="*",VLOOKUP(BD.PD[[#This Row],[Pos]],Presupuesto!A:H,7,FALSE),"")</f>
        <v/>
      </c>
      <c r="F119" s="383" t="s">
        <v>407</v>
      </c>
      <c r="G119" s="243" t="s">
        <v>308</v>
      </c>
      <c r="H119" s="275"/>
      <c r="I119" s="276">
        <v>1</v>
      </c>
      <c r="J119" s="181" t="s">
        <v>314</v>
      </c>
      <c r="K119" s="245">
        <f>IF(BD.PD[[#This Row],[Mon]]="DOP",1,HLOOKUP(BD.PD[[#This Row],[Mon]],$J$1:$K$2,2,FALSE))</f>
        <v>1</v>
      </c>
      <c r="L119" s="346">
        <v>4399</v>
      </c>
      <c r="M119" s="247">
        <f>BD.PD[[#This Row],[Cant.]]*BD.PD[[#This Row],[ Tasa ]]*BD.PD[[#This Row],[ Precio Und.]]</f>
        <v>4399</v>
      </c>
      <c r="N119" s="278">
        <v>0</v>
      </c>
      <c r="O119" s="247">
        <f>IF(BD.PD[[#This Row],[Liquid. '[%']]]&lt;&gt;0,(BD.PD[[#This Row],[Valor Neto '[DOP']]]*BD.PD[[#This Row],[Liquid. '[%']]])+BD.PD[[#This Row],[Valor Neto '[DOP']]],BD.PD[[#This Row],[Valor Neto '[DOP']]])</f>
        <v>4399</v>
      </c>
      <c r="P119" s="257">
        <f>BD.PD[[#This Row],[Ppto. Orden Interna '[DOP']]]/HLOOKUP("USD",$J$1:$K$2,2,FALSE)</f>
        <v>72.471169686985164</v>
      </c>
      <c r="Q119" s="250" t="s">
        <v>402</v>
      </c>
      <c r="R119" s="258" t="s">
        <v>403</v>
      </c>
      <c r="S119" s="251">
        <v>22</v>
      </c>
      <c r="T119" s="252">
        <v>1</v>
      </c>
      <c r="U119" s="259">
        <f>BD.PD[[#This Row],[Av.P1 '[%']]]*BD.PD[[#This Row],[Ppto. Orden Interna '[DOP']]]</f>
        <v>4399</v>
      </c>
      <c r="V119" s="254"/>
      <c r="W119" s="255"/>
      <c r="X119" s="259">
        <f>BD.PD[[#This Row],[Av.P2 '[%']]]*BD.PD[[#This Row],[Ppto. Orden Interna '[DOP']]]</f>
        <v>0</v>
      </c>
      <c r="Y119" s="254"/>
      <c r="Z119" s="255"/>
      <c r="AA119" s="259">
        <f>BD.PD[[#This Row],[Av.P3 '[%']]]*BD.PD[[#This Row],[Ppto. Orden Interna '[DOP']]]</f>
        <v>0</v>
      </c>
      <c r="AB119" s="254"/>
      <c r="AC119" s="255"/>
      <c r="AD119" s="259">
        <f>BD.PD[[#This Row],[Av.P4 '[%']]]*BD.PD[[#This Row],[Ppto. Orden Interna '[DOP']]]</f>
        <v>0</v>
      </c>
      <c r="AE119" s="254"/>
      <c r="AF119" s="255"/>
      <c r="AG119" s="259">
        <f>BD.PD[[#This Row],[Av.P5 '[%']]]*BD.PD[[#This Row],[Ppto. Orden Interna '[DOP']]]</f>
        <v>0</v>
      </c>
      <c r="AH119" s="256">
        <f>BD.PD[[#This Row],[Pago 5]]+BD.PD[[#This Row],[Pago 4]]+BD.PD[[#This Row],[Pago 3]]+BD.PD[[#This Row],[Pago 2]]+BD.PD[[#This Row],[Pago 1]]</f>
        <v>4399</v>
      </c>
      <c r="AI119" s="318"/>
    </row>
    <row r="120" spans="1:35" ht="15" customHeight="1" x14ac:dyDescent="0.3">
      <c r="A120" s="181">
        <v>8.06</v>
      </c>
      <c r="B120" s="239"/>
      <c r="C120" s="240" t="str">
        <f>VLOOKUP(BD.PD[[#This Row],[Pos]],PPto[],3,FALSE)</f>
        <v>8.06 Otros Equipamientos de Tienda</v>
      </c>
      <c r="D120" s="181" t="s">
        <v>40</v>
      </c>
      <c r="E120" s="242" t="str">
        <f>IF(BD.PD[[#This Row],[.]]="*",VLOOKUP(BD.PD[[#This Row],[Pos]],Presupuesto!A:H,7,FALSE),"")</f>
        <v/>
      </c>
      <c r="F120" s="243" t="s">
        <v>658</v>
      </c>
      <c r="G120" s="243" t="s">
        <v>308</v>
      </c>
      <c r="H120" s="275"/>
      <c r="I120" s="276">
        <v>4</v>
      </c>
      <c r="J120" s="181" t="s">
        <v>314</v>
      </c>
      <c r="K120" s="245">
        <f>IF(BD.PD[[#This Row],[Mon]]="DOP",1,HLOOKUP(BD.PD[[#This Row],[Mon]],$J$1:$K$2,2,FALSE))</f>
        <v>1</v>
      </c>
      <c r="L120" s="277">
        <v>317.8</v>
      </c>
      <c r="M120" s="247">
        <f>BD.PD[[#This Row],[Cant.]]*BD.PD[[#This Row],[ Tasa ]]*BD.PD[[#This Row],[ Precio Und.]]</f>
        <v>1271.2</v>
      </c>
      <c r="N120" s="278">
        <v>0</v>
      </c>
      <c r="O120" s="247">
        <f>IF(BD.PD[[#This Row],[Liquid. '[%']]]&lt;&gt;0,(BD.PD[[#This Row],[Valor Neto '[DOP']]]*BD.PD[[#This Row],[Liquid. '[%']]])+BD.PD[[#This Row],[Valor Neto '[DOP']]],BD.PD[[#This Row],[Valor Neto '[DOP']]])</f>
        <v>1271.2</v>
      </c>
      <c r="P120" s="257">
        <f>BD.PD[[#This Row],[Ppto. Orden Interna '[DOP']]]/HLOOKUP("USD",$J$1:$K$2,2,FALSE)</f>
        <v>20.942339373970345</v>
      </c>
      <c r="Q120" s="250" t="s">
        <v>1125</v>
      </c>
      <c r="R120" s="258" t="s">
        <v>556</v>
      </c>
      <c r="S120" s="251">
        <v>22</v>
      </c>
      <c r="T120" s="252">
        <v>1</v>
      </c>
      <c r="U120" s="259">
        <f>BD.PD[[#This Row],[Av.P1 '[%']]]*BD.PD[[#This Row],[Ppto. Orden Interna '[DOP']]]</f>
        <v>1271.2</v>
      </c>
      <c r="V120" s="254"/>
      <c r="W120" s="255"/>
      <c r="X120" s="259">
        <f>BD.PD[[#This Row],[Av.P2 '[%']]]*BD.PD[[#This Row],[Ppto. Orden Interna '[DOP']]]</f>
        <v>0</v>
      </c>
      <c r="Y120" s="254"/>
      <c r="Z120" s="255"/>
      <c r="AA120" s="259">
        <f>BD.PD[[#This Row],[Av.P3 '[%']]]*BD.PD[[#This Row],[Ppto. Orden Interna '[DOP']]]</f>
        <v>0</v>
      </c>
      <c r="AB120" s="254"/>
      <c r="AC120" s="255"/>
      <c r="AD120" s="259">
        <f>BD.PD[[#This Row],[Av.P4 '[%']]]*BD.PD[[#This Row],[Ppto. Orden Interna '[DOP']]]</f>
        <v>0</v>
      </c>
      <c r="AE120" s="254"/>
      <c r="AF120" s="255"/>
      <c r="AG120" s="259">
        <f>BD.PD[[#This Row],[Av.P5 '[%']]]*BD.PD[[#This Row],[Ppto. Orden Interna '[DOP']]]</f>
        <v>0</v>
      </c>
      <c r="AH120" s="256">
        <f>BD.PD[[#This Row],[Pago 5]]+BD.PD[[#This Row],[Pago 4]]+BD.PD[[#This Row],[Pago 3]]+BD.PD[[#This Row],[Pago 2]]+BD.PD[[#This Row],[Pago 1]]</f>
        <v>1271.2</v>
      </c>
      <c r="AI120" s="318"/>
    </row>
    <row r="121" spans="1:35" ht="15" customHeight="1" x14ac:dyDescent="0.3">
      <c r="A121" s="181">
        <v>8.06</v>
      </c>
      <c r="B121" s="239"/>
      <c r="C121" s="240" t="str">
        <f>VLOOKUP(BD.PD[[#This Row],[Pos]],PPto[],3,FALSE)</f>
        <v>8.06 Otros Equipamientos de Tienda</v>
      </c>
      <c r="D121" s="181" t="s">
        <v>40</v>
      </c>
      <c r="E121" s="242" t="str">
        <f>IF(BD.PD[[#This Row],[.]]="*",VLOOKUP(BD.PD[[#This Row],[Pos]],Presupuesto!A:H,7,FALSE),"")</f>
        <v/>
      </c>
      <c r="F121" s="243" t="s">
        <v>662</v>
      </c>
      <c r="G121" s="243" t="s">
        <v>308</v>
      </c>
      <c r="H121" s="275"/>
      <c r="I121" s="276">
        <v>8</v>
      </c>
      <c r="J121" s="181" t="s">
        <v>314</v>
      </c>
      <c r="K121" s="245">
        <f>IF(BD.PD[[#This Row],[Mon]]="DOP",1,HLOOKUP(BD.PD[[#This Row],[Mon]],$J$1:$K$2,2,FALSE))</f>
        <v>1</v>
      </c>
      <c r="L121" s="277">
        <v>40470.647499999999</v>
      </c>
      <c r="M121" s="247">
        <f>BD.PD[[#This Row],[Cant.]]*BD.PD[[#This Row],[ Tasa ]]*BD.PD[[#This Row],[ Precio Und.]]</f>
        <v>323765.18</v>
      </c>
      <c r="N121" s="278">
        <v>0</v>
      </c>
      <c r="O121" s="247">
        <f>IF(BD.PD[[#This Row],[Liquid. '[%']]]&lt;&gt;0,(BD.PD[[#This Row],[Valor Neto '[DOP']]]*BD.PD[[#This Row],[Liquid. '[%']]])+BD.PD[[#This Row],[Valor Neto '[DOP']]],BD.PD[[#This Row],[Valor Neto '[DOP']]])</f>
        <v>323765.18</v>
      </c>
      <c r="P121" s="257">
        <f>BD.PD[[#This Row],[Ppto. Orden Interna '[DOP']]]/HLOOKUP("USD",$J$1:$K$2,2,FALSE)</f>
        <v>5333.8579901153207</v>
      </c>
      <c r="Q121" s="250" t="s">
        <v>1126</v>
      </c>
      <c r="R121" s="258" t="s">
        <v>556</v>
      </c>
      <c r="S121" s="251">
        <v>22</v>
      </c>
      <c r="T121" s="252">
        <v>1</v>
      </c>
      <c r="U121" s="259">
        <f>BD.PD[[#This Row],[Av.P1 '[%']]]*BD.PD[[#This Row],[Ppto. Orden Interna '[DOP']]]</f>
        <v>323765.18</v>
      </c>
      <c r="V121" s="254"/>
      <c r="W121" s="255"/>
      <c r="X121" s="259">
        <f>BD.PD[[#This Row],[Av.P2 '[%']]]*BD.PD[[#This Row],[Ppto. Orden Interna '[DOP']]]</f>
        <v>0</v>
      </c>
      <c r="Y121" s="254"/>
      <c r="Z121" s="255"/>
      <c r="AA121" s="259">
        <f>BD.PD[[#This Row],[Av.P3 '[%']]]*BD.PD[[#This Row],[Ppto. Orden Interna '[DOP']]]</f>
        <v>0</v>
      </c>
      <c r="AB121" s="254"/>
      <c r="AC121" s="255"/>
      <c r="AD121" s="259">
        <f>BD.PD[[#This Row],[Av.P4 '[%']]]*BD.PD[[#This Row],[Ppto. Orden Interna '[DOP']]]</f>
        <v>0</v>
      </c>
      <c r="AE121" s="254"/>
      <c r="AF121" s="255"/>
      <c r="AG121" s="259">
        <f>BD.PD[[#This Row],[Av.P5 '[%']]]*BD.PD[[#This Row],[Ppto. Orden Interna '[DOP']]]</f>
        <v>0</v>
      </c>
      <c r="AH121" s="256">
        <f>BD.PD[[#This Row],[Pago 5]]+BD.PD[[#This Row],[Pago 4]]+BD.PD[[#This Row],[Pago 3]]+BD.PD[[#This Row],[Pago 2]]+BD.PD[[#This Row],[Pago 1]]</f>
        <v>323765.18</v>
      </c>
      <c r="AI121" s="318"/>
    </row>
    <row r="122" spans="1:35" ht="15" customHeight="1" x14ac:dyDescent="0.3">
      <c r="A122" s="181">
        <v>4.01</v>
      </c>
      <c r="B122" s="239"/>
      <c r="C122" s="240" t="str">
        <f>VLOOKUP(BD.PD[[#This Row],[Pos]],PPto[],3,FALSE)</f>
        <v>4.01 Suministro e instalación de Equipos</v>
      </c>
      <c r="D122" s="181" t="s">
        <v>40</v>
      </c>
      <c r="E122" s="242" t="str">
        <f>IF(BD.PD[[#This Row],[.]]="*",VLOOKUP(BD.PD[[#This Row],[Pos]],Presupuesto!A:H,7,FALSE),"")</f>
        <v/>
      </c>
      <c r="F122" s="243" t="s">
        <v>352</v>
      </c>
      <c r="G122" s="243">
        <v>4600078724</v>
      </c>
      <c r="H122" s="243" t="s">
        <v>353</v>
      </c>
      <c r="I122" s="276">
        <v>6</v>
      </c>
      <c r="J122" s="181" t="s">
        <v>188</v>
      </c>
      <c r="K122" s="245">
        <f>IF(BD.PD[[#This Row],[Mon]]="DOP",1,HLOOKUP(BD.PD[[#This Row],[Mon]],$J$1:$K$2,2,FALSE))</f>
        <v>60.7</v>
      </c>
      <c r="L122" s="277">
        <v>12345</v>
      </c>
      <c r="M122" s="247">
        <f>BD.PD[[#This Row],[Cant.]]*BD.PD[[#This Row],[ Tasa ]]*BD.PD[[#This Row],[ Precio Und.]]</f>
        <v>4496049.0000000009</v>
      </c>
      <c r="N122" s="278">
        <v>0.25</v>
      </c>
      <c r="O122" s="247">
        <f>IF(BD.PD[[#This Row],[Liquid. '[%']]]&lt;&gt;0,(BD.PD[[#This Row],[Valor Neto '[DOP']]]*BD.PD[[#This Row],[Liquid. '[%']]])+BD.PD[[#This Row],[Valor Neto '[DOP']]],BD.PD[[#This Row],[Valor Neto '[DOP']]])</f>
        <v>5620061.2500000009</v>
      </c>
      <c r="P122" s="257">
        <f>BD.PD[[#This Row],[Ppto. Orden Interna '[DOP']]]/HLOOKUP("USD",$J$1:$K$2,2,FALSE)</f>
        <v>92587.500000000015</v>
      </c>
      <c r="Q122" s="250" t="s">
        <v>354</v>
      </c>
      <c r="R122" s="321" t="s">
        <v>355</v>
      </c>
      <c r="S122" s="251">
        <v>17</v>
      </c>
      <c r="T122" s="252">
        <v>0.3</v>
      </c>
      <c r="U122" s="259">
        <f>BD.PD[[#This Row],[Av.P1 '[%']]]*BD.PD[[#This Row],[Ppto. Orden Interna '[DOP']]]</f>
        <v>1686018.3750000002</v>
      </c>
      <c r="V122" s="254">
        <v>17</v>
      </c>
      <c r="W122" s="255">
        <v>0.2</v>
      </c>
      <c r="X122" s="259">
        <f>BD.PD[[#This Row],[Av.P2 '[%']]]*BD.PD[[#This Row],[Ppto. Orden Interna '[DOP']]]</f>
        <v>1124012.2500000002</v>
      </c>
      <c r="Y122" s="254">
        <v>22</v>
      </c>
      <c r="Z122" s="255">
        <v>0.5</v>
      </c>
      <c r="AA122" s="259">
        <f>BD.PD[[#This Row],[Av.P3 '[%']]]*BD.PD[[#This Row],[Ppto. Orden Interna '[DOP']]]</f>
        <v>2810030.6250000005</v>
      </c>
      <c r="AB122" s="254"/>
      <c r="AC122" s="255"/>
      <c r="AD122" s="259">
        <f>BD.PD[[#This Row],[Av.P4 '[%']]]*BD.PD[[#This Row],[Ppto. Orden Interna '[DOP']]]</f>
        <v>0</v>
      </c>
      <c r="AE122" s="254"/>
      <c r="AF122" s="255"/>
      <c r="AG122" s="259">
        <f>BD.PD[[#This Row],[Av.P5 '[%']]]*BD.PD[[#This Row],[Ppto. Orden Interna '[DOP']]]</f>
        <v>0</v>
      </c>
      <c r="AH122" s="256">
        <f>BD.PD[[#This Row],[Pago 5]]+BD.PD[[#This Row],[Pago 4]]+BD.PD[[#This Row],[Pago 3]]+BD.PD[[#This Row],[Pago 2]]+BD.PD[[#This Row],[Pago 1]]</f>
        <v>5620061.2500000009</v>
      </c>
      <c r="AI122" s="318"/>
    </row>
    <row r="123" spans="1:35" ht="15" customHeight="1" x14ac:dyDescent="0.3">
      <c r="A123" s="181">
        <v>2.0499999999999998</v>
      </c>
      <c r="B123" s="239"/>
      <c r="C123" s="240" t="str">
        <f>VLOOKUP(BD.PD[[#This Row],[Pos]],PPto[],3,FALSE)</f>
        <v>2.05 Instalaciones Sanitarias</v>
      </c>
      <c r="D123" s="181" t="s">
        <v>40</v>
      </c>
      <c r="E123" s="242" t="str">
        <f>IF(BD.PD[[#This Row],[.]]="*",VLOOKUP(BD.PD[[#This Row],[Pos]],Presupuesto!A:H,7,FALSE),"")</f>
        <v/>
      </c>
      <c r="F123" s="303" t="s">
        <v>311</v>
      </c>
      <c r="G123" s="243" t="s">
        <v>308</v>
      </c>
      <c r="H123" s="275"/>
      <c r="I123" s="276">
        <v>1</v>
      </c>
      <c r="J123" s="181" t="s">
        <v>188</v>
      </c>
      <c r="K123" s="245">
        <f>IF(BD.PD[[#This Row],[Mon]]="DOP",1,HLOOKUP(BD.PD[[#This Row],[Mon]],$J$1:$K$2,2,FALSE))</f>
        <v>60.7</v>
      </c>
      <c r="L123" s="277">
        <v>25100</v>
      </c>
      <c r="M123" s="247">
        <f>BD.PD[[#This Row],[Cant.]]*BD.PD[[#This Row],[ Tasa ]]*BD.PD[[#This Row],[ Precio Und.]]</f>
        <v>1523570</v>
      </c>
      <c r="N123" s="278">
        <v>0</v>
      </c>
      <c r="O123" s="247">
        <f>IF(BD.PD[[#This Row],[Liquid. '[%']]]&lt;&gt;0,(BD.PD[[#This Row],[Valor Neto '[DOP']]]*BD.PD[[#This Row],[Liquid. '[%']]])+BD.PD[[#This Row],[Valor Neto '[DOP']]],BD.PD[[#This Row],[Valor Neto '[DOP']]])</f>
        <v>1523570</v>
      </c>
      <c r="P123" s="257">
        <f>BD.PD[[#This Row],[Ppto. Orden Interna '[DOP']]]/HLOOKUP("USD",$J$1:$K$2,2,FALSE)</f>
        <v>25100</v>
      </c>
      <c r="Q123" s="250" t="s">
        <v>312</v>
      </c>
      <c r="R123" s="258" t="s">
        <v>1102</v>
      </c>
      <c r="S123" s="251">
        <v>21</v>
      </c>
      <c r="T123" s="252">
        <v>0.5</v>
      </c>
      <c r="U123" s="259">
        <f>BD.PD[[#This Row],[Av.P1 '[%']]]*BD.PD[[#This Row],[Ppto. Orden Interna '[DOP']]]</f>
        <v>761785</v>
      </c>
      <c r="V123" s="254">
        <v>24</v>
      </c>
      <c r="W123" s="255">
        <v>0.5</v>
      </c>
      <c r="X123" s="259">
        <f>BD.PD[[#This Row],[Av.P2 '[%']]]*BD.PD[[#This Row],[Ppto. Orden Interna '[DOP']]]</f>
        <v>761785</v>
      </c>
      <c r="Y123" s="254"/>
      <c r="Z123" s="255"/>
      <c r="AA123" s="259">
        <f>BD.PD[[#This Row],[Av.P3 '[%']]]*BD.PD[[#This Row],[Ppto. Orden Interna '[DOP']]]</f>
        <v>0</v>
      </c>
      <c r="AB123" s="254"/>
      <c r="AC123" s="255"/>
      <c r="AD123" s="259">
        <f>BD.PD[[#This Row],[Av.P4 '[%']]]*BD.PD[[#This Row],[Ppto. Orden Interna '[DOP']]]</f>
        <v>0</v>
      </c>
      <c r="AE123" s="254"/>
      <c r="AF123" s="255"/>
      <c r="AG123" s="259">
        <f>BD.PD[[#This Row],[Av.P5 '[%']]]*BD.PD[[#This Row],[Ppto. Orden Interna '[DOP']]]</f>
        <v>0</v>
      </c>
      <c r="AH123" s="256">
        <f>BD.PD[[#This Row],[Pago 5]]+BD.PD[[#This Row],[Pago 4]]+BD.PD[[#This Row],[Pago 3]]+BD.PD[[#This Row],[Pago 2]]+BD.PD[[#This Row],[Pago 1]]</f>
        <v>1523570</v>
      </c>
      <c r="AI123" s="318"/>
    </row>
    <row r="124" spans="1:35" ht="15" customHeight="1" x14ac:dyDescent="0.3">
      <c r="A124" s="181">
        <v>6.05</v>
      </c>
      <c r="B124" s="239"/>
      <c r="C124" s="240" t="str">
        <f>VLOOKUP(BD.PD[[#This Row],[Pos]],PPto[],3,FALSE)</f>
        <v>6.05 Otros sum e inst Tecnología y Seguridad Y Tesoreria</v>
      </c>
      <c r="D124" s="181" t="s">
        <v>40</v>
      </c>
      <c r="E124" s="242" t="str">
        <f>IF(BD.PD[[#This Row],[.]]="*",VLOOKUP(BD.PD[[#This Row],[Pos]],Presupuesto!A:H,7,FALSE),"")</f>
        <v/>
      </c>
      <c r="F124" s="243" t="s">
        <v>398</v>
      </c>
      <c r="G124" s="243" t="s">
        <v>308</v>
      </c>
      <c r="H124" s="275"/>
      <c r="I124" s="276">
        <v>19</v>
      </c>
      <c r="J124" s="181" t="s">
        <v>314</v>
      </c>
      <c r="K124" s="245">
        <f>IF(BD.PD[[#This Row],[Mon]]="DOP",1,HLOOKUP(BD.PD[[#This Row],[Mon]],$J$1:$K$2,2,FALSE))</f>
        <v>1</v>
      </c>
      <c r="L124" s="277">
        <v>9129.5</v>
      </c>
      <c r="M124" s="247">
        <f>BD.PD[[#This Row],[Cant.]]*BD.PD[[#This Row],[ Tasa ]]*BD.PD[[#This Row],[ Precio Und.]]</f>
        <v>173460.5</v>
      </c>
      <c r="N124" s="278">
        <v>0</v>
      </c>
      <c r="O124" s="247">
        <f>IF(BD.PD[[#This Row],[Liquid. '[%']]]&lt;&gt;0,(BD.PD[[#This Row],[Valor Neto '[DOP']]]*BD.PD[[#This Row],[Liquid. '[%']]])+BD.PD[[#This Row],[Valor Neto '[DOP']]],BD.PD[[#This Row],[Valor Neto '[DOP']]])</f>
        <v>173460.5</v>
      </c>
      <c r="P124" s="257">
        <f>BD.PD[[#This Row],[Ppto. Orden Interna '[DOP']]]/HLOOKUP("USD",$J$1:$K$2,2,FALSE)</f>
        <v>2857.6688632619439</v>
      </c>
      <c r="Q124" s="250" t="s">
        <v>410</v>
      </c>
      <c r="R124" s="258" t="s">
        <v>1113</v>
      </c>
      <c r="S124" s="251">
        <v>22</v>
      </c>
      <c r="T124" s="252">
        <v>0.5</v>
      </c>
      <c r="U124" s="259">
        <f>BD.PD[[#This Row],[Av.P1 '[%']]]*BD.PD[[#This Row],[Ppto. Orden Interna '[DOP']]]</f>
        <v>86730.25</v>
      </c>
      <c r="V124" s="254">
        <v>24</v>
      </c>
      <c r="W124" s="255">
        <v>0.5</v>
      </c>
      <c r="X124" s="259">
        <f>BD.PD[[#This Row],[Av.P2 '[%']]]*BD.PD[[#This Row],[Ppto. Orden Interna '[DOP']]]</f>
        <v>86730.25</v>
      </c>
      <c r="Y124" s="254"/>
      <c r="Z124" s="255"/>
      <c r="AA124" s="259">
        <f>BD.PD[[#This Row],[Av.P3 '[%']]]*BD.PD[[#This Row],[Ppto. Orden Interna '[DOP']]]</f>
        <v>0</v>
      </c>
      <c r="AB124" s="254"/>
      <c r="AC124" s="255"/>
      <c r="AD124" s="259">
        <f>BD.PD[[#This Row],[Av.P4 '[%']]]*BD.PD[[#This Row],[Ppto. Orden Interna '[DOP']]]</f>
        <v>0</v>
      </c>
      <c r="AE124" s="254"/>
      <c r="AF124" s="255"/>
      <c r="AG124" s="259">
        <f>BD.PD[[#This Row],[Av.P5 '[%']]]*BD.PD[[#This Row],[Ppto. Orden Interna '[DOP']]]</f>
        <v>0</v>
      </c>
      <c r="AH124" s="256">
        <f>BD.PD[[#This Row],[Pago 5]]+BD.PD[[#This Row],[Pago 4]]+BD.PD[[#This Row],[Pago 3]]+BD.PD[[#This Row],[Pago 2]]+BD.PD[[#This Row],[Pago 1]]</f>
        <v>173460.5</v>
      </c>
      <c r="AI124" s="318"/>
    </row>
    <row r="125" spans="1:35" ht="15" customHeight="1" x14ac:dyDescent="0.3">
      <c r="A125" s="181">
        <v>6.05</v>
      </c>
      <c r="B125" s="239"/>
      <c r="C125" s="240" t="str">
        <f>VLOOKUP(BD.PD[[#This Row],[Pos]],PPto[],3,FALSE)</f>
        <v>6.05 Otros sum e inst Tecnología y Seguridad Y Tesoreria</v>
      </c>
      <c r="D125" s="181" t="s">
        <v>40</v>
      </c>
      <c r="E125" s="242" t="str">
        <f>IF(BD.PD[[#This Row],[.]]="*",VLOOKUP(BD.PD[[#This Row],[Pos]],Presupuesto!A:H,7,FALSE),"")</f>
        <v/>
      </c>
      <c r="F125" s="243" t="s">
        <v>401</v>
      </c>
      <c r="G125" s="243" t="s">
        <v>308</v>
      </c>
      <c r="H125" s="275"/>
      <c r="I125" s="276">
        <v>19</v>
      </c>
      <c r="J125" s="181" t="s">
        <v>314</v>
      </c>
      <c r="K125" s="245">
        <f>IF(BD.PD[[#This Row],[Mon]]="DOP",1,HLOOKUP(BD.PD[[#This Row],[Mon]],$J$1:$K$2,2,FALSE))</f>
        <v>1</v>
      </c>
      <c r="L125" s="277">
        <v>593.22</v>
      </c>
      <c r="M125" s="247">
        <f>BD.PD[[#This Row],[Cant.]]*BD.PD[[#This Row],[ Tasa ]]*BD.PD[[#This Row],[ Precio Und.]]</f>
        <v>11271.18</v>
      </c>
      <c r="N125" s="278">
        <v>0</v>
      </c>
      <c r="O125" s="247">
        <f>IF(BD.PD[[#This Row],[Liquid. '[%']]]&lt;&gt;0,(BD.PD[[#This Row],[Valor Neto '[DOP']]]*BD.PD[[#This Row],[Liquid. '[%']]])+BD.PD[[#This Row],[Valor Neto '[DOP']]],BD.PD[[#This Row],[Valor Neto '[DOP']]])</f>
        <v>11271.18</v>
      </c>
      <c r="P125" s="257">
        <f>BD.PD[[#This Row],[Ppto. Orden Interna '[DOP']]]/HLOOKUP("USD",$J$1:$K$2,2,FALSE)</f>
        <v>185.68665568369028</v>
      </c>
      <c r="Q125" s="250" t="s">
        <v>410</v>
      </c>
      <c r="R125" s="258" t="s">
        <v>1113</v>
      </c>
      <c r="S125" s="251">
        <v>22</v>
      </c>
      <c r="T125" s="252">
        <v>0.5</v>
      </c>
      <c r="U125" s="259">
        <f>BD.PD[[#This Row],[Av.P1 '[%']]]*BD.PD[[#This Row],[Ppto. Orden Interna '[DOP']]]</f>
        <v>5635.59</v>
      </c>
      <c r="V125" s="254">
        <v>24</v>
      </c>
      <c r="W125" s="255">
        <v>0.5</v>
      </c>
      <c r="X125" s="259">
        <f>BD.PD[[#This Row],[Av.P2 '[%']]]*BD.PD[[#This Row],[Ppto. Orden Interna '[DOP']]]</f>
        <v>5635.59</v>
      </c>
      <c r="Y125" s="254"/>
      <c r="Z125" s="255"/>
      <c r="AA125" s="259">
        <f>BD.PD[[#This Row],[Av.P3 '[%']]]*BD.PD[[#This Row],[Ppto. Orden Interna '[DOP']]]</f>
        <v>0</v>
      </c>
      <c r="AB125" s="254"/>
      <c r="AC125" s="255"/>
      <c r="AD125" s="259">
        <f>BD.PD[[#This Row],[Av.P4 '[%']]]*BD.PD[[#This Row],[Ppto. Orden Interna '[DOP']]]</f>
        <v>0</v>
      </c>
      <c r="AE125" s="254"/>
      <c r="AF125" s="255"/>
      <c r="AG125" s="259">
        <f>BD.PD[[#This Row],[Av.P5 '[%']]]*BD.PD[[#This Row],[Ppto. Orden Interna '[DOP']]]</f>
        <v>0</v>
      </c>
      <c r="AH125" s="256">
        <f>BD.PD[[#This Row],[Pago 5]]+BD.PD[[#This Row],[Pago 4]]+BD.PD[[#This Row],[Pago 3]]+BD.PD[[#This Row],[Pago 2]]+BD.PD[[#This Row],[Pago 1]]</f>
        <v>11271.18</v>
      </c>
      <c r="AI125" s="318"/>
    </row>
    <row r="126" spans="1:35" ht="15" customHeight="1" x14ac:dyDescent="0.3">
      <c r="A126" s="181">
        <v>6.05</v>
      </c>
      <c r="B126" s="239"/>
      <c r="C126" s="240" t="str">
        <f>VLOOKUP(BD.PD[[#This Row],[Pos]],PPto[],3,FALSE)</f>
        <v>6.05 Otros sum e inst Tecnología y Seguridad Y Tesoreria</v>
      </c>
      <c r="D126" s="181" t="s">
        <v>40</v>
      </c>
      <c r="E126" s="242" t="str">
        <f>IF(BD.PD[[#This Row],[.]]="*",VLOOKUP(BD.PD[[#This Row],[Pos]],Presupuesto!A:H,7,FALSE),"")</f>
        <v/>
      </c>
      <c r="F126" s="243" t="s">
        <v>404</v>
      </c>
      <c r="G126" s="243" t="s">
        <v>308</v>
      </c>
      <c r="H126" s="275"/>
      <c r="I126" s="276">
        <v>5</v>
      </c>
      <c r="J126" s="181" t="s">
        <v>314</v>
      </c>
      <c r="K126" s="245">
        <f>IF(BD.PD[[#This Row],[Mon]]="DOP",1,HLOOKUP(BD.PD[[#This Row],[Mon]],$J$1:$K$2,2,FALSE))</f>
        <v>1</v>
      </c>
      <c r="L126" s="277">
        <v>2250</v>
      </c>
      <c r="M126" s="247">
        <f>BD.PD[[#This Row],[Cant.]]*BD.PD[[#This Row],[ Tasa ]]*BD.PD[[#This Row],[ Precio Und.]]</f>
        <v>11250</v>
      </c>
      <c r="N126" s="278">
        <v>0</v>
      </c>
      <c r="O126" s="247">
        <f>IF(BD.PD[[#This Row],[Liquid. '[%']]]&lt;&gt;0,(BD.PD[[#This Row],[Valor Neto '[DOP']]]*BD.PD[[#This Row],[Liquid. '[%']]])+BD.PD[[#This Row],[Valor Neto '[DOP']]],BD.PD[[#This Row],[Valor Neto '[DOP']]])</f>
        <v>11250</v>
      </c>
      <c r="P126" s="257">
        <f>BD.PD[[#This Row],[Ppto. Orden Interna '[DOP']]]/HLOOKUP("USD",$J$1:$K$2,2,FALSE)</f>
        <v>185.33772652388797</v>
      </c>
      <c r="Q126" s="250" t="s">
        <v>410</v>
      </c>
      <c r="R126" s="258" t="s">
        <v>1113</v>
      </c>
      <c r="S126" s="251">
        <v>22</v>
      </c>
      <c r="T126" s="252">
        <v>0.5</v>
      </c>
      <c r="U126" s="259">
        <f>BD.PD[[#This Row],[Av.P1 '[%']]]*BD.PD[[#This Row],[Ppto. Orden Interna '[DOP']]]</f>
        <v>5625</v>
      </c>
      <c r="V126" s="254">
        <v>24</v>
      </c>
      <c r="W126" s="255">
        <v>0.5</v>
      </c>
      <c r="X126" s="259">
        <f>BD.PD[[#This Row],[Av.P2 '[%']]]*BD.PD[[#This Row],[Ppto. Orden Interna '[DOP']]]</f>
        <v>5625</v>
      </c>
      <c r="Y126" s="254"/>
      <c r="Z126" s="255"/>
      <c r="AA126" s="259">
        <f>BD.PD[[#This Row],[Av.P3 '[%']]]*BD.PD[[#This Row],[Ppto. Orden Interna '[DOP']]]</f>
        <v>0</v>
      </c>
      <c r="AB126" s="254"/>
      <c r="AC126" s="255"/>
      <c r="AD126" s="259">
        <f>BD.PD[[#This Row],[Av.P4 '[%']]]*BD.PD[[#This Row],[Ppto. Orden Interna '[DOP']]]</f>
        <v>0</v>
      </c>
      <c r="AE126" s="254"/>
      <c r="AF126" s="255"/>
      <c r="AG126" s="259">
        <f>BD.PD[[#This Row],[Av.P5 '[%']]]*BD.PD[[#This Row],[Ppto. Orden Interna '[DOP']]]</f>
        <v>0</v>
      </c>
      <c r="AH126" s="256">
        <f>BD.PD[[#This Row],[Pago 5]]+BD.PD[[#This Row],[Pago 4]]+BD.PD[[#This Row],[Pago 3]]+BD.PD[[#This Row],[Pago 2]]+BD.PD[[#This Row],[Pago 1]]</f>
        <v>11250</v>
      </c>
      <c r="AI126" s="318"/>
    </row>
    <row r="127" spans="1:35" ht="15" customHeight="1" x14ac:dyDescent="0.3">
      <c r="A127" s="307">
        <v>7.05</v>
      </c>
      <c r="B127" s="239"/>
      <c r="C127" s="240" t="str">
        <f>VLOOKUP(BD.PD[[#This Row],[Pos]],PPto[],3,FALSE)</f>
        <v>7.05 Equipamiento de Frutas y Vegetales</v>
      </c>
      <c r="D127" s="307" t="s">
        <v>40</v>
      </c>
      <c r="E127" s="242" t="str">
        <f>IF(BD.PD[[#This Row],[.]]="*",VLOOKUP(BD.PD[[#This Row],[Pos]],Presupuesto!A:H,7,FALSE),"")</f>
        <v/>
      </c>
      <c r="F127" s="322" t="s">
        <v>555</v>
      </c>
      <c r="G127" s="243" t="s">
        <v>308</v>
      </c>
      <c r="H127" s="275"/>
      <c r="I127" s="276">
        <v>3</v>
      </c>
      <c r="J127" s="181" t="s">
        <v>188</v>
      </c>
      <c r="K127" s="245">
        <f>IF(BD.PD[[#This Row],[Mon]]="DOP",1,HLOOKUP(BD.PD[[#This Row],[Mon]],$J$1:$K$2,2,FALSE))</f>
        <v>60.7</v>
      </c>
      <c r="L127" s="277">
        <v>3300</v>
      </c>
      <c r="M127" s="247">
        <f>BD.PD[[#This Row],[Cant.]]*BD.PD[[#This Row],[ Tasa ]]*BD.PD[[#This Row],[ Precio Und.]]</f>
        <v>600930.00000000012</v>
      </c>
      <c r="N127" s="278">
        <v>0.3</v>
      </c>
      <c r="O127" s="247">
        <f>IF(BD.PD[[#This Row],[Liquid. '[%']]]&lt;&gt;0,(BD.PD[[#This Row],[Valor Neto '[DOP']]]*BD.PD[[#This Row],[Liquid. '[%']]])+BD.PD[[#This Row],[Valor Neto '[DOP']]],BD.PD[[#This Row],[Valor Neto '[DOP']]])</f>
        <v>781209.00000000012</v>
      </c>
      <c r="P127" s="257">
        <f>BD.PD[[#This Row],[Ppto. Orden Interna '[DOP']]]/HLOOKUP("USD",$J$1:$K$2,2,FALSE)</f>
        <v>12870.000000000002</v>
      </c>
      <c r="Q127" s="250" t="s">
        <v>1115</v>
      </c>
      <c r="R127" s="258" t="s">
        <v>1116</v>
      </c>
      <c r="S127" s="251">
        <v>22</v>
      </c>
      <c r="T127" s="252">
        <v>0.5</v>
      </c>
      <c r="U127" s="259">
        <f>BD.PD[[#This Row],[Av.P1 '[%']]]*BD.PD[[#This Row],[Ppto. Orden Interna '[DOP']]]</f>
        <v>390604.50000000006</v>
      </c>
      <c r="V127" s="254">
        <v>24</v>
      </c>
      <c r="W127" s="314">
        <v>0.5</v>
      </c>
      <c r="X127" s="259">
        <f>BD.PD[[#This Row],[Av.P2 '[%']]]*BD.PD[[#This Row],[Ppto. Orden Interna '[DOP']]]</f>
        <v>390604.50000000006</v>
      </c>
      <c r="Y127" s="313"/>
      <c r="Z127" s="314"/>
      <c r="AA127" s="259">
        <f>BD.PD[[#This Row],[Av.P3 '[%']]]*BD.PD[[#This Row],[Ppto. Orden Interna '[DOP']]]</f>
        <v>0</v>
      </c>
      <c r="AB127" s="313"/>
      <c r="AC127" s="314"/>
      <c r="AD127" s="259">
        <f>BD.PD[[#This Row],[Av.P4 '[%']]]*BD.PD[[#This Row],[Ppto. Orden Interna '[DOP']]]</f>
        <v>0</v>
      </c>
      <c r="AE127" s="313"/>
      <c r="AF127" s="314"/>
      <c r="AG127" s="259">
        <f>BD.PD[[#This Row],[Av.P5 '[%']]]*BD.PD[[#This Row],[Ppto. Orden Interna '[DOP']]]</f>
        <v>0</v>
      </c>
      <c r="AH127" s="256">
        <f>BD.PD[[#This Row],[Pago 5]]+BD.PD[[#This Row],[Pago 4]]+BD.PD[[#This Row],[Pago 3]]+BD.PD[[#This Row],[Pago 2]]+BD.PD[[#This Row],[Pago 1]]</f>
        <v>781209.00000000012</v>
      </c>
      <c r="AI127" s="318"/>
    </row>
    <row r="128" spans="1:35" ht="15" customHeight="1" x14ac:dyDescent="0.3">
      <c r="A128" s="181">
        <v>5.03</v>
      </c>
      <c r="B128" s="239"/>
      <c r="C128" s="240" t="str">
        <f>VLOOKUP(BD.PD[[#This Row],[Pos]],PPto[],3,FALSE)</f>
        <v>5.03 Neveras, Centrales y Evaporadores</v>
      </c>
      <c r="D128" s="181" t="s">
        <v>40</v>
      </c>
      <c r="E128" s="242" t="str">
        <f>IF(BD.PD[[#This Row],[.]]="*",VLOOKUP(BD.PD[[#This Row],[Pos]],Presupuesto!A:H,7,FALSE),"")</f>
        <v/>
      </c>
      <c r="F128" s="393" t="s">
        <v>379</v>
      </c>
      <c r="G128" s="243" t="s">
        <v>308</v>
      </c>
      <c r="H128" s="275"/>
      <c r="I128" s="276">
        <v>1</v>
      </c>
      <c r="J128" s="307" t="s">
        <v>188</v>
      </c>
      <c r="K128" s="245">
        <f>IF(BD.PD[[#This Row],[Mon]]="DOP",1,HLOOKUP(BD.PD[[#This Row],[Mon]],$J$1:$K$2,2,FALSE))</f>
        <v>60.7</v>
      </c>
      <c r="L128" s="309">
        <v>7340</v>
      </c>
      <c r="M128" s="247">
        <f>BD.PD[[#This Row],[Cant.]]*BD.PD[[#This Row],[ Tasa ]]*BD.PD[[#This Row],[ Precio Und.]]</f>
        <v>445538</v>
      </c>
      <c r="N128" s="278">
        <v>0.45</v>
      </c>
      <c r="O128" s="247">
        <f>IF(BD.PD[[#This Row],[Liquid. '[%']]]&lt;&gt;0,(BD.PD[[#This Row],[Valor Neto '[DOP']]]*BD.PD[[#This Row],[Liquid. '[%']]])+BD.PD[[#This Row],[Valor Neto '[DOP']]],BD.PD[[#This Row],[Valor Neto '[DOP']]])</f>
        <v>646030.1</v>
      </c>
      <c r="P128" s="257">
        <f>BD.PD[[#This Row],[Ppto. Orden Interna '[DOP']]]/HLOOKUP("USD",$J$1:$K$2,2,FALSE)</f>
        <v>10643</v>
      </c>
      <c r="Q128" s="250" t="s">
        <v>1111</v>
      </c>
      <c r="R128" s="354" t="s">
        <v>1112</v>
      </c>
      <c r="S128" s="251">
        <v>22</v>
      </c>
      <c r="T128" s="252">
        <v>0.5</v>
      </c>
      <c r="U128" s="259">
        <f>BD.PD[[#This Row],[Av.P1 '[%']]]*BD.PD[[#This Row],[Ppto. Orden Interna '[DOP']]]</f>
        <v>323015.05</v>
      </c>
      <c r="V128" s="254">
        <v>24</v>
      </c>
      <c r="W128" s="255">
        <v>0.5</v>
      </c>
      <c r="X128" s="259">
        <f>BD.PD[[#This Row],[Av.P2 '[%']]]*BD.PD[[#This Row],[Ppto. Orden Interna '[DOP']]]</f>
        <v>323015.05</v>
      </c>
      <c r="Y128" s="254"/>
      <c r="Z128" s="255"/>
      <c r="AA128" s="259">
        <f>BD.PD[[#This Row],[Av.P3 '[%']]]*BD.PD[[#This Row],[Ppto. Orden Interna '[DOP']]]</f>
        <v>0</v>
      </c>
      <c r="AB128" s="254"/>
      <c r="AC128" s="255"/>
      <c r="AD128" s="259">
        <f>BD.PD[[#This Row],[Av.P4 '[%']]]*BD.PD[[#This Row],[Ppto. Orden Interna '[DOP']]]</f>
        <v>0</v>
      </c>
      <c r="AE128" s="254"/>
      <c r="AF128" s="255"/>
      <c r="AG128" s="259">
        <f>BD.PD[[#This Row],[Av.P5 '[%']]]*BD.PD[[#This Row],[Ppto. Orden Interna '[DOP']]]</f>
        <v>0</v>
      </c>
      <c r="AH128" s="256">
        <f>BD.PD[[#This Row],[Pago 5]]+BD.PD[[#This Row],[Pago 4]]+BD.PD[[#This Row],[Pago 3]]+BD.PD[[#This Row],[Pago 2]]+BD.PD[[#This Row],[Pago 1]]</f>
        <v>646030.1</v>
      </c>
      <c r="AI128" s="318"/>
    </row>
    <row r="129" spans="1:237" ht="15" customHeight="1" x14ac:dyDescent="0.3">
      <c r="A129" s="181">
        <v>7.04</v>
      </c>
      <c r="B129" s="239"/>
      <c r="C129" s="240" t="str">
        <f>VLOOKUP(BD.PD[[#This Row],[Pos]],PPto[],3,FALSE)</f>
        <v>7.04 Equipamiento de Panaderia, Reposteria y Rosticería</v>
      </c>
      <c r="D129" s="181" t="s">
        <v>40</v>
      </c>
      <c r="E129" s="242" t="str">
        <f>IF(BD.PD[[#This Row],[.]]="*",VLOOKUP(BD.PD[[#This Row],[Pos]],Presupuesto!A:H,7,FALSE),"")</f>
        <v/>
      </c>
      <c r="F129" s="243" t="s">
        <v>541</v>
      </c>
      <c r="G129" s="243" t="s">
        <v>308</v>
      </c>
      <c r="H129" s="275"/>
      <c r="I129" s="276">
        <v>1</v>
      </c>
      <c r="J129" s="307" t="s">
        <v>188</v>
      </c>
      <c r="K129" s="245">
        <f>IF(BD.PD[[#This Row],[Mon]]="DOP",1,HLOOKUP(BD.PD[[#This Row],[Mon]],$J$1:$K$2,2,FALSE))</f>
        <v>60.7</v>
      </c>
      <c r="L129" s="309">
        <v>7031</v>
      </c>
      <c r="M129" s="247">
        <f>BD.PD[[#This Row],[Cant.]]*BD.PD[[#This Row],[ Tasa ]]*BD.PD[[#This Row],[ Precio Und.]]</f>
        <v>426781.7</v>
      </c>
      <c r="N129" s="278">
        <v>0.65</v>
      </c>
      <c r="O129" s="247">
        <f>IF(BD.PD[[#This Row],[Liquid. '[%']]]&lt;&gt;0,(BD.PD[[#This Row],[Valor Neto '[DOP']]]*BD.PD[[#This Row],[Liquid. '[%']]])+BD.PD[[#This Row],[Valor Neto '[DOP']]],BD.PD[[#This Row],[Valor Neto '[DOP']]])</f>
        <v>704189.80500000005</v>
      </c>
      <c r="P129" s="257">
        <f>BD.PD[[#This Row],[Ppto. Orden Interna '[DOP']]]/HLOOKUP("USD",$J$1:$K$2,2,FALSE)</f>
        <v>11601.15</v>
      </c>
      <c r="Q129" s="250" t="s">
        <v>374</v>
      </c>
      <c r="R129" s="258" t="s">
        <v>1112</v>
      </c>
      <c r="S129" s="251">
        <v>22</v>
      </c>
      <c r="T129" s="252">
        <v>0.5</v>
      </c>
      <c r="U129" s="259">
        <f>BD.PD[[#This Row],[Av.P1 '[%']]]*BD.PD[[#This Row],[Ppto. Orden Interna '[DOP']]]</f>
        <v>352094.90250000003</v>
      </c>
      <c r="V129" s="254">
        <v>24</v>
      </c>
      <c r="W129" s="255">
        <v>0.5</v>
      </c>
      <c r="X129" s="259">
        <f>BD.PD[[#This Row],[Av.P2 '[%']]]*BD.PD[[#This Row],[Ppto. Orden Interna '[DOP']]]</f>
        <v>352094.90250000003</v>
      </c>
      <c r="Y129" s="254"/>
      <c r="Z129" s="255"/>
      <c r="AA129" s="259">
        <f>BD.PD[[#This Row],[Av.P3 '[%']]]*BD.PD[[#This Row],[Ppto. Orden Interna '[DOP']]]</f>
        <v>0</v>
      </c>
      <c r="AB129" s="254"/>
      <c r="AC129" s="255"/>
      <c r="AD129" s="259">
        <f>BD.PD[[#This Row],[Av.P4 '[%']]]*BD.PD[[#This Row],[Ppto. Orden Interna '[DOP']]]</f>
        <v>0</v>
      </c>
      <c r="AE129" s="254"/>
      <c r="AF129" s="255"/>
      <c r="AG129" s="259">
        <f>BD.PD[[#This Row],[Av.P5 '[%']]]*BD.PD[[#This Row],[Ppto. Orden Interna '[DOP']]]</f>
        <v>0</v>
      </c>
      <c r="AH129" s="256">
        <f>BD.PD[[#This Row],[Pago 5]]+BD.PD[[#This Row],[Pago 4]]+BD.PD[[#This Row],[Pago 3]]+BD.PD[[#This Row],[Pago 2]]+BD.PD[[#This Row],[Pago 1]]</f>
        <v>704189.80500000005</v>
      </c>
      <c r="AI129" s="318"/>
    </row>
    <row r="130" spans="1:237" ht="15" customHeight="1" x14ac:dyDescent="0.3">
      <c r="A130" s="181">
        <v>8.01</v>
      </c>
      <c r="B130" s="239"/>
      <c r="C130" s="240" t="str">
        <f>VLOOKUP(BD.PD[[#This Row],[Pos]],PPto[],3,FALSE)</f>
        <v>8.01 Gondolas</v>
      </c>
      <c r="D130" s="181" t="s">
        <v>40</v>
      </c>
      <c r="E130" s="242" t="str">
        <f>IF(BD.PD[[#This Row],[.]]="*",VLOOKUP(BD.PD[[#This Row],[Pos]],Presupuesto!A:H,7,FALSE),"")</f>
        <v/>
      </c>
      <c r="F130" s="243" t="s">
        <v>591</v>
      </c>
      <c r="G130" s="243">
        <v>4512969521</v>
      </c>
      <c r="H130" s="275" t="s">
        <v>559</v>
      </c>
      <c r="I130" s="276">
        <v>1</v>
      </c>
      <c r="J130" s="181" t="s">
        <v>188</v>
      </c>
      <c r="K130" s="245">
        <f>IF(BD.PD[[#This Row],[Mon]]="DOP",1,HLOOKUP(BD.PD[[#This Row],[Mon]],$J$1:$K$2,2,FALSE))</f>
        <v>60.7</v>
      </c>
      <c r="L130" s="277">
        <v>1500</v>
      </c>
      <c r="M130" s="247">
        <f>BD.PD[[#This Row],[Cant.]]*BD.PD[[#This Row],[ Tasa ]]*BD.PD[[#This Row],[ Precio Und.]]</f>
        <v>91050</v>
      </c>
      <c r="N130" s="278">
        <v>0</v>
      </c>
      <c r="O130" s="247">
        <f>IF(BD.PD[[#This Row],[Liquid. '[%']]]&lt;&gt;0,(BD.PD[[#This Row],[Valor Neto '[DOP']]]*BD.PD[[#This Row],[Liquid. '[%']]])+BD.PD[[#This Row],[Valor Neto '[DOP']]],BD.PD[[#This Row],[Valor Neto '[DOP']]])</f>
        <v>91050</v>
      </c>
      <c r="P130" s="257">
        <f>BD.PD[[#This Row],[Ppto. Orden Interna '[DOP']]]/HLOOKUP("USD",$J$1:$K$2,2,FALSE)</f>
        <v>1500</v>
      </c>
      <c r="Q130" s="250" t="s">
        <v>242</v>
      </c>
      <c r="R130" s="258" t="s">
        <v>560</v>
      </c>
      <c r="S130" s="251">
        <v>18</v>
      </c>
      <c r="T130" s="252">
        <v>0.5</v>
      </c>
      <c r="U130" s="259">
        <f>BD.PD[[#This Row],[Av.P1 '[%']]]*BD.PD[[#This Row],[Ppto. Orden Interna '[DOP']]]</f>
        <v>45525</v>
      </c>
      <c r="V130" s="254">
        <v>22</v>
      </c>
      <c r="W130" s="255">
        <v>0.5</v>
      </c>
      <c r="X130" s="259">
        <f>BD.PD[[#This Row],[Av.P2 '[%']]]*BD.PD[[#This Row],[Ppto. Orden Interna '[DOP']]]</f>
        <v>45525</v>
      </c>
      <c r="Y130" s="254"/>
      <c r="Z130" s="255"/>
      <c r="AA130" s="259">
        <f>BD.PD[[#This Row],[Av.P3 '[%']]]*BD.PD[[#This Row],[Ppto. Orden Interna '[DOP']]]</f>
        <v>0</v>
      </c>
      <c r="AB130" s="254"/>
      <c r="AC130" s="255"/>
      <c r="AD130" s="259">
        <f>BD.PD[[#This Row],[Av.P4 '[%']]]*BD.PD[[#This Row],[Ppto. Orden Interna '[DOP']]]</f>
        <v>0</v>
      </c>
      <c r="AE130" s="254"/>
      <c r="AF130" s="255"/>
      <c r="AG130" s="259">
        <f>BD.PD[[#This Row],[Av.P5 '[%']]]*BD.PD[[#This Row],[Ppto. Orden Interna '[DOP']]]</f>
        <v>0</v>
      </c>
      <c r="AH130" s="256">
        <f>BD.PD[[#This Row],[Pago 5]]+BD.PD[[#This Row],[Pago 4]]+BD.PD[[#This Row],[Pago 3]]+BD.PD[[#This Row],[Pago 2]]+BD.PD[[#This Row],[Pago 1]]</f>
        <v>91050</v>
      </c>
      <c r="AI130" s="318"/>
    </row>
    <row r="131" spans="1:237" ht="15" customHeight="1" x14ac:dyDescent="0.3">
      <c r="A131" s="181">
        <v>2.08</v>
      </c>
      <c r="B131" s="239"/>
      <c r="C131" s="240" t="str">
        <f>VLOOKUP(BD.PD[[#This Row],[Pos]],PPto[],3,FALSE)</f>
        <v>2.08 Instalaciones Mecánicas</v>
      </c>
      <c r="D131" s="181" t="s">
        <v>40</v>
      </c>
      <c r="E131" s="242" t="str">
        <f>IF(BD.PD[[#This Row],[.]]="*",VLOOKUP(BD.PD[[#This Row],[Pos]],Presupuesto!A:H,7,FALSE),"")</f>
        <v/>
      </c>
      <c r="F131" s="243" t="s">
        <v>328</v>
      </c>
      <c r="G131" s="243">
        <v>4600078521</v>
      </c>
      <c r="H131" s="275" t="s">
        <v>1073</v>
      </c>
      <c r="I131" s="276">
        <v>1</v>
      </c>
      <c r="J131" s="181" t="s">
        <v>314</v>
      </c>
      <c r="K131" s="245">
        <f>IF(BD.PD[[#This Row],[Mon]]="DOP",1,HLOOKUP(BD.PD[[#This Row],[Mon]],$J$1:$K$2,2,FALSE))</f>
        <v>1</v>
      </c>
      <c r="L131" s="277">
        <v>1600515.79</v>
      </c>
      <c r="M131" s="247">
        <f>BD.PD[[#This Row],[Cant.]]*BD.PD[[#This Row],[ Tasa ]]*BD.PD[[#This Row],[ Precio Und.]]</f>
        <v>1600515.79</v>
      </c>
      <c r="N131" s="278">
        <v>0</v>
      </c>
      <c r="O131" s="247">
        <f>IF(BD.PD[[#This Row],[Liquid. '[%']]]&lt;&gt;0,(BD.PD[[#This Row],[Valor Neto '[DOP']]]*BD.PD[[#This Row],[Liquid. '[%']]])+BD.PD[[#This Row],[Valor Neto '[DOP']]],BD.PD[[#This Row],[Valor Neto '[DOP']]])</f>
        <v>1600515.79</v>
      </c>
      <c r="P131" s="257">
        <f>BD.PD[[#This Row],[Ppto. Orden Interna '[DOP']]]/HLOOKUP("USD",$J$1:$K$2,2,FALSE)</f>
        <v>26367.64069192751</v>
      </c>
      <c r="Q131" s="250" t="s">
        <v>330</v>
      </c>
      <c r="R131" s="258" t="s">
        <v>331</v>
      </c>
      <c r="S131" s="251">
        <v>5</v>
      </c>
      <c r="T131" s="252">
        <v>1</v>
      </c>
      <c r="U131" s="259">
        <f>BD.PD[[#This Row],[Av.P1 '[%']]]*BD.PD[[#This Row],[Ppto. Orden Interna '[DOP']]]</f>
        <v>1600515.79</v>
      </c>
      <c r="V131" s="254"/>
      <c r="W131" s="255"/>
      <c r="X131" s="259">
        <f>BD.PD[[#This Row],[Av.P2 '[%']]]*BD.PD[[#This Row],[Ppto. Orden Interna '[DOP']]]</f>
        <v>0</v>
      </c>
      <c r="Y131" s="254"/>
      <c r="Z131" s="255"/>
      <c r="AA131" s="259">
        <f>BD.PD[[#This Row],[Av.P3 '[%']]]*BD.PD[[#This Row],[Ppto. Orden Interna '[DOP']]]</f>
        <v>0</v>
      </c>
      <c r="AB131" s="254"/>
      <c r="AC131" s="255"/>
      <c r="AD131" s="259">
        <f>BD.PD[[#This Row],[Av.P4 '[%']]]*BD.PD[[#This Row],[Ppto. Orden Interna '[DOP']]]</f>
        <v>0</v>
      </c>
      <c r="AE131" s="254"/>
      <c r="AF131" s="255"/>
      <c r="AG131" s="259">
        <f>BD.PD[[#This Row],[Av.P5 '[%']]]*BD.PD[[#This Row],[Ppto. Orden Interna '[DOP']]]</f>
        <v>0</v>
      </c>
      <c r="AH131" s="256">
        <f>BD.PD[[#This Row],[Pago 5]]+BD.PD[[#This Row],[Pago 4]]+BD.PD[[#This Row],[Pago 3]]+BD.PD[[#This Row],[Pago 2]]+BD.PD[[#This Row],[Pago 1]]</f>
        <v>1600515.79</v>
      </c>
      <c r="AI131" s="318"/>
    </row>
    <row r="132" spans="1:237" ht="15" customHeight="1" x14ac:dyDescent="0.3">
      <c r="A132" s="181">
        <v>2.08</v>
      </c>
      <c r="B132" s="239"/>
      <c r="C132" s="240" t="str">
        <f>VLOOKUP(BD.PD[[#This Row],[Pos]],PPto[],3,FALSE)</f>
        <v>2.08 Instalaciones Mecánicas</v>
      </c>
      <c r="D132" s="181" t="s">
        <v>40</v>
      </c>
      <c r="E132" s="242" t="str">
        <f>IF(BD.PD[[#This Row],[.]]="*",VLOOKUP(BD.PD[[#This Row],[Pos]],Presupuesto!A:H,7,FALSE),"")</f>
        <v/>
      </c>
      <c r="F132" s="392" t="s">
        <v>332</v>
      </c>
      <c r="G132" s="243">
        <v>4600072915</v>
      </c>
      <c r="H132" s="275" t="s">
        <v>329</v>
      </c>
      <c r="I132" s="276">
        <v>1</v>
      </c>
      <c r="J132" s="181" t="s">
        <v>314</v>
      </c>
      <c r="K132" s="245">
        <f>IF(BD.PD[[#This Row],[Mon]]="DOP",1,HLOOKUP(BD.PD[[#This Row],[Mon]],$J$1:$K$2,2,FALSE))</f>
        <v>1</v>
      </c>
      <c r="L132" s="277">
        <v>615000</v>
      </c>
      <c r="M132" s="247">
        <f>BD.PD[[#This Row],[Cant.]]*BD.PD[[#This Row],[ Tasa ]]*BD.PD[[#This Row],[ Precio Und.]]</f>
        <v>615000</v>
      </c>
      <c r="N132" s="278">
        <v>0</v>
      </c>
      <c r="O132" s="247">
        <f>IF(BD.PD[[#This Row],[Liquid. '[%']]]&lt;&gt;0,(BD.PD[[#This Row],[Valor Neto '[DOP']]]*BD.PD[[#This Row],[Liquid. '[%']]])+BD.PD[[#This Row],[Valor Neto '[DOP']]],BD.PD[[#This Row],[Valor Neto '[DOP']]])</f>
        <v>615000</v>
      </c>
      <c r="P132" s="257">
        <f>BD.PD[[#This Row],[Ppto. Orden Interna '[DOP']]]/HLOOKUP("USD",$J$1:$K$2,2,FALSE)</f>
        <v>10131.795716639208</v>
      </c>
      <c r="Q132" s="250" t="s">
        <v>330</v>
      </c>
      <c r="R132" s="258" t="s">
        <v>331</v>
      </c>
      <c r="S132" s="251">
        <v>5</v>
      </c>
      <c r="T132" s="252">
        <v>1</v>
      </c>
      <c r="U132" s="259">
        <f>BD.PD[[#This Row],[Av.P1 '[%']]]*BD.PD[[#This Row],[Ppto. Orden Interna '[DOP']]]</f>
        <v>615000</v>
      </c>
      <c r="V132" s="254"/>
      <c r="W132" s="255"/>
      <c r="X132" s="259">
        <f>BD.PD[[#This Row],[Av.P2 '[%']]]*BD.PD[[#This Row],[Ppto. Orden Interna '[DOP']]]</f>
        <v>0</v>
      </c>
      <c r="Y132" s="254"/>
      <c r="Z132" s="255"/>
      <c r="AA132" s="259">
        <f>BD.PD[[#This Row],[Av.P3 '[%']]]*BD.PD[[#This Row],[Ppto. Orden Interna '[DOP']]]</f>
        <v>0</v>
      </c>
      <c r="AB132" s="254"/>
      <c r="AC132" s="255"/>
      <c r="AD132" s="259">
        <f>BD.PD[[#This Row],[Av.P4 '[%']]]*BD.PD[[#This Row],[Ppto. Orden Interna '[DOP']]]</f>
        <v>0</v>
      </c>
      <c r="AE132" s="254"/>
      <c r="AF132" s="255"/>
      <c r="AG132" s="259">
        <f>BD.PD[[#This Row],[Av.P5 '[%']]]*BD.PD[[#This Row],[Ppto. Orden Interna '[DOP']]]</f>
        <v>0</v>
      </c>
      <c r="AH132" s="256">
        <f>BD.PD[[#This Row],[Pago 5]]+BD.PD[[#This Row],[Pago 4]]+BD.PD[[#This Row],[Pago 3]]+BD.PD[[#This Row],[Pago 2]]+BD.PD[[#This Row],[Pago 1]]</f>
        <v>615000</v>
      </c>
      <c r="AI132" s="318"/>
    </row>
    <row r="133" spans="1:237" ht="15" customHeight="1" x14ac:dyDescent="0.3">
      <c r="A133" s="181">
        <v>2.08</v>
      </c>
      <c r="B133" s="239"/>
      <c r="C133" s="240" t="str">
        <f>VLOOKUP(BD.PD[[#This Row],[Pos]],PPto[],3,FALSE)</f>
        <v>2.08 Instalaciones Mecánicas</v>
      </c>
      <c r="D133" s="181" t="s">
        <v>40</v>
      </c>
      <c r="E133" s="242" t="str">
        <f>IF(BD.PD[[#This Row],[.]]="*",VLOOKUP(BD.PD[[#This Row],[Pos]],Presupuesto!A:H,7,FALSE),"")</f>
        <v/>
      </c>
      <c r="F133" s="302" t="s">
        <v>333</v>
      </c>
      <c r="G133" s="243" t="s">
        <v>334</v>
      </c>
      <c r="H133" s="275"/>
      <c r="I133" s="276">
        <v>2</v>
      </c>
      <c r="J133" s="181" t="s">
        <v>314</v>
      </c>
      <c r="K133" s="245">
        <f>IF(BD.PD[[#This Row],[Mon]]="DOP",1,HLOOKUP(BD.PD[[#This Row],[Mon]],$J$1:$K$2,2,FALSE))</f>
        <v>1</v>
      </c>
      <c r="L133" s="277">
        <v>238000</v>
      </c>
      <c r="M133" s="247">
        <f>BD.PD[[#This Row],[Cant.]]*BD.PD[[#This Row],[ Tasa ]]*BD.PD[[#This Row],[ Precio Und.]]</f>
        <v>476000</v>
      </c>
      <c r="N133" s="278">
        <v>0</v>
      </c>
      <c r="O133" s="247">
        <f>IF(BD.PD[[#This Row],[Liquid. '[%']]]&lt;&gt;0,(BD.PD[[#This Row],[Valor Neto '[DOP']]]*BD.PD[[#This Row],[Liquid. '[%']]])+BD.PD[[#This Row],[Valor Neto '[DOP']]],BD.PD[[#This Row],[Valor Neto '[DOP']]])</f>
        <v>476000</v>
      </c>
      <c r="P133" s="257">
        <f>BD.PD[[#This Row],[Ppto. Orden Interna '[DOP']]]/HLOOKUP("USD",$J$1:$K$2,2,FALSE)</f>
        <v>7841.8451400329486</v>
      </c>
      <c r="Q133" s="250" t="s">
        <v>330</v>
      </c>
      <c r="R133" s="258" t="s">
        <v>331</v>
      </c>
      <c r="S133" s="251">
        <v>10</v>
      </c>
      <c r="T133" s="252">
        <v>1</v>
      </c>
      <c r="U133" s="259">
        <f>BD.PD[[#This Row],[Av.P1 '[%']]]*BD.PD[[#This Row],[Ppto. Orden Interna '[DOP']]]</f>
        <v>476000</v>
      </c>
      <c r="V133" s="254"/>
      <c r="W133" s="255"/>
      <c r="X133" s="259">
        <f>BD.PD[[#This Row],[Av.P2 '[%']]]*BD.PD[[#This Row],[Ppto. Orden Interna '[DOP']]]</f>
        <v>0</v>
      </c>
      <c r="Y133" s="254"/>
      <c r="Z133" s="255"/>
      <c r="AA133" s="259">
        <f>BD.PD[[#This Row],[Av.P3 '[%']]]*BD.PD[[#This Row],[Ppto. Orden Interna '[DOP']]]</f>
        <v>0</v>
      </c>
      <c r="AB133" s="254"/>
      <c r="AC133" s="255"/>
      <c r="AD133" s="259">
        <f>BD.PD[[#This Row],[Av.P4 '[%']]]*BD.PD[[#This Row],[Ppto. Orden Interna '[DOP']]]</f>
        <v>0</v>
      </c>
      <c r="AE133" s="254"/>
      <c r="AF133" s="255"/>
      <c r="AG133" s="259">
        <f>BD.PD[[#This Row],[Av.P5 '[%']]]*BD.PD[[#This Row],[Ppto. Orden Interna '[DOP']]]</f>
        <v>0</v>
      </c>
      <c r="AH133" s="256">
        <f>BD.PD[[#This Row],[Pago 5]]+BD.PD[[#This Row],[Pago 4]]+BD.PD[[#This Row],[Pago 3]]+BD.PD[[#This Row],[Pago 2]]+BD.PD[[#This Row],[Pago 1]]</f>
        <v>476000</v>
      </c>
      <c r="AI133" s="318"/>
    </row>
    <row r="134" spans="1:237" ht="15" customHeight="1" x14ac:dyDescent="0.3">
      <c r="A134" s="181">
        <v>7.04</v>
      </c>
      <c r="B134" s="239"/>
      <c r="C134" s="240" t="str">
        <f>VLOOKUP(BD.PD[[#This Row],[Pos]],PPto[],3,FALSE)</f>
        <v>7.04 Equipamiento de Panaderia, Reposteria y Rosticería</v>
      </c>
      <c r="D134" s="181" t="s">
        <v>40</v>
      </c>
      <c r="E134" s="242" t="str">
        <f>IF(BD.PD[[#This Row],[.]]="*",VLOOKUP(BD.PD[[#This Row],[Pos]],Presupuesto!A:H,7,FALSE),"")</f>
        <v/>
      </c>
      <c r="F134" s="243" t="s">
        <v>540</v>
      </c>
      <c r="G134" s="243">
        <v>4600079168</v>
      </c>
      <c r="H134" s="275" t="s">
        <v>537</v>
      </c>
      <c r="I134" s="276">
        <v>7</v>
      </c>
      <c r="J134" s="307" t="s">
        <v>188</v>
      </c>
      <c r="K134" s="245">
        <f>IF(BD.PD[[#This Row],[Mon]]="DOP",1,HLOOKUP(BD.PD[[#This Row],[Mon]],$J$1:$K$2,2,FALSE))</f>
        <v>60.7</v>
      </c>
      <c r="L134" s="309">
        <v>2685</v>
      </c>
      <c r="M134" s="247">
        <f>BD.PD[[#This Row],[Cant.]]*BD.PD[[#This Row],[ Tasa ]]*BD.PD[[#This Row],[ Precio Und.]]</f>
        <v>1140856.5</v>
      </c>
      <c r="N134" s="278">
        <v>0.65</v>
      </c>
      <c r="O134" s="247">
        <f>IF(BD.PD[[#This Row],[Liquid. '[%']]]&lt;&gt;0,(BD.PD[[#This Row],[Valor Neto '[DOP']]]*BD.PD[[#This Row],[Liquid. '[%']]])+BD.PD[[#This Row],[Valor Neto '[DOP']]],BD.PD[[#This Row],[Valor Neto '[DOP']]])</f>
        <v>1882413.2250000001</v>
      </c>
      <c r="P134" s="257">
        <f>BD.PD[[#This Row],[Ppto. Orden Interna '[DOP']]]/HLOOKUP("USD",$J$1:$K$2,2,FALSE)</f>
        <v>31011.75</v>
      </c>
      <c r="Q134" s="250" t="s">
        <v>446</v>
      </c>
      <c r="R134" s="258" t="s">
        <v>331</v>
      </c>
      <c r="S134" s="251">
        <v>16</v>
      </c>
      <c r="T134" s="252">
        <v>0.5</v>
      </c>
      <c r="U134" s="259">
        <f>BD.PD[[#This Row],[Av.P1 '[%']]]*BD.PD[[#This Row],[Ppto. Orden Interna '[DOP']]]</f>
        <v>941206.61250000005</v>
      </c>
      <c r="V134" s="254">
        <v>19</v>
      </c>
      <c r="W134" s="255">
        <v>0.5</v>
      </c>
      <c r="X134" s="259">
        <f>BD.PD[[#This Row],[Av.P2 '[%']]]*BD.PD[[#This Row],[Ppto. Orden Interna '[DOP']]]</f>
        <v>941206.61250000005</v>
      </c>
      <c r="Y134" s="254"/>
      <c r="Z134" s="255"/>
      <c r="AA134" s="259">
        <f>BD.PD[[#This Row],[Av.P3 '[%']]]*BD.PD[[#This Row],[Ppto. Orden Interna '[DOP']]]</f>
        <v>0</v>
      </c>
      <c r="AB134" s="254"/>
      <c r="AC134" s="255"/>
      <c r="AD134" s="259">
        <f>BD.PD[[#This Row],[Av.P4 '[%']]]*BD.PD[[#This Row],[Ppto. Orden Interna '[DOP']]]</f>
        <v>0</v>
      </c>
      <c r="AE134" s="254"/>
      <c r="AF134" s="255"/>
      <c r="AG134" s="259">
        <f>BD.PD[[#This Row],[Av.P5 '[%']]]*BD.PD[[#This Row],[Ppto. Orden Interna '[DOP']]]</f>
        <v>0</v>
      </c>
      <c r="AH134" s="256">
        <f>BD.PD[[#This Row],[Pago 5]]+BD.PD[[#This Row],[Pago 4]]+BD.PD[[#This Row],[Pago 3]]+BD.PD[[#This Row],[Pago 2]]+BD.PD[[#This Row],[Pago 1]]</f>
        <v>1882413.2250000001</v>
      </c>
      <c r="AI134" s="318"/>
    </row>
    <row r="135" spans="1:237" ht="15" customHeight="1" x14ac:dyDescent="0.3">
      <c r="A135" s="181">
        <v>7.04</v>
      </c>
      <c r="B135" s="239"/>
      <c r="C135" s="240" t="str">
        <f>VLOOKUP(BD.PD[[#This Row],[Pos]],PPto[],3,FALSE)</f>
        <v>7.04 Equipamiento de Panaderia, Reposteria y Rosticería</v>
      </c>
      <c r="D135" s="181" t="s">
        <v>40</v>
      </c>
      <c r="E135" s="242" t="str">
        <f>IF(BD.PD[[#This Row],[.]]="*",VLOOKUP(BD.PD[[#This Row],[Pos]],Presupuesto!A:H,7,FALSE),"")</f>
        <v/>
      </c>
      <c r="F135" s="305" t="s">
        <v>542</v>
      </c>
      <c r="G135" s="243" t="s">
        <v>334</v>
      </c>
      <c r="H135" s="275"/>
      <c r="I135" s="276">
        <v>50</v>
      </c>
      <c r="J135" s="181" t="s">
        <v>188</v>
      </c>
      <c r="K135" s="245">
        <f>IF(BD.PD[[#This Row],[Mon]]="DOP",1,HLOOKUP(BD.PD[[#This Row],[Mon]],$J$1:$K$2,2,FALSE))</f>
        <v>60.7</v>
      </c>
      <c r="L135" s="277">
        <v>43.5</v>
      </c>
      <c r="M135" s="247">
        <f>BD.PD[[#This Row],[Cant.]]*BD.PD[[#This Row],[ Tasa ]]*BD.PD[[#This Row],[ Precio Und.]]</f>
        <v>132022.5</v>
      </c>
      <c r="N135" s="278">
        <v>0.3</v>
      </c>
      <c r="O135" s="247">
        <f>IF(BD.PD[[#This Row],[Liquid. '[%']]]&lt;&gt;0,(BD.PD[[#This Row],[Valor Neto '[DOP']]]*BD.PD[[#This Row],[Liquid. '[%']]])+BD.PD[[#This Row],[Valor Neto '[DOP']]],BD.PD[[#This Row],[Valor Neto '[DOP']]])</f>
        <v>171629.25</v>
      </c>
      <c r="P135" s="257">
        <f>BD.PD[[#This Row],[Ppto. Orden Interna '[DOP']]]/HLOOKUP("USD",$J$1:$K$2,2,FALSE)</f>
        <v>2827.5</v>
      </c>
      <c r="Q135" s="250" t="s">
        <v>446</v>
      </c>
      <c r="R135" s="258" t="s">
        <v>331</v>
      </c>
      <c r="S135" s="251">
        <v>21</v>
      </c>
      <c r="T135" s="252">
        <v>1</v>
      </c>
      <c r="U135" s="259">
        <f>BD.PD[[#This Row],[Av.P1 '[%']]]*BD.PD[[#This Row],[Ppto. Orden Interna '[DOP']]]</f>
        <v>171629.25</v>
      </c>
      <c r="V135" s="254"/>
      <c r="W135" s="255"/>
      <c r="X135" s="259">
        <f>BD.PD[[#This Row],[Av.P2 '[%']]]*BD.PD[[#This Row],[Ppto. Orden Interna '[DOP']]]</f>
        <v>0</v>
      </c>
      <c r="Y135" s="254"/>
      <c r="Z135" s="255"/>
      <c r="AA135" s="259">
        <f>BD.PD[[#This Row],[Av.P3 '[%']]]*BD.PD[[#This Row],[Ppto. Orden Interna '[DOP']]]</f>
        <v>0</v>
      </c>
      <c r="AB135" s="254"/>
      <c r="AC135" s="255"/>
      <c r="AD135" s="259">
        <f>BD.PD[[#This Row],[Av.P4 '[%']]]*BD.PD[[#This Row],[Ppto. Orden Interna '[DOP']]]</f>
        <v>0</v>
      </c>
      <c r="AE135" s="254"/>
      <c r="AF135" s="255"/>
      <c r="AG135" s="259">
        <f>BD.PD[[#This Row],[Av.P5 '[%']]]*BD.PD[[#This Row],[Ppto. Orden Interna '[DOP']]]</f>
        <v>0</v>
      </c>
      <c r="AH135" s="256">
        <f>BD.PD[[#This Row],[Pago 5]]+BD.PD[[#This Row],[Pago 4]]+BD.PD[[#This Row],[Pago 3]]+BD.PD[[#This Row],[Pago 2]]+BD.PD[[#This Row],[Pago 1]]</f>
        <v>171629.25</v>
      </c>
      <c r="AI135" s="318"/>
    </row>
    <row r="136" spans="1:237" ht="15" customHeight="1" x14ac:dyDescent="0.3">
      <c r="A136" s="181">
        <v>7.04</v>
      </c>
      <c r="B136" s="239"/>
      <c r="C136" s="240" t="str">
        <f>VLOOKUP(BD.PD[[#This Row],[Pos]],PPto[],3,FALSE)</f>
        <v>7.04 Equipamiento de Panaderia, Reposteria y Rosticería</v>
      </c>
      <c r="D136" s="181" t="s">
        <v>40</v>
      </c>
      <c r="E136" s="242" t="str">
        <f>IF(BD.PD[[#This Row],[.]]="*",VLOOKUP(BD.PD[[#This Row],[Pos]],Presupuesto!A:H,7,FALSE),"")</f>
        <v/>
      </c>
      <c r="F136" s="305" t="s">
        <v>543</v>
      </c>
      <c r="G136" s="243" t="s">
        <v>334</v>
      </c>
      <c r="H136" s="275"/>
      <c r="I136" s="276">
        <v>120</v>
      </c>
      <c r="J136" s="181" t="s">
        <v>188</v>
      </c>
      <c r="K136" s="245">
        <f>IF(BD.PD[[#This Row],[Mon]]="DOP",1,HLOOKUP(BD.PD[[#This Row],[Mon]],$J$1:$K$2,2,FALSE))</f>
        <v>60.7</v>
      </c>
      <c r="L136" s="277">
        <v>46.17</v>
      </c>
      <c r="M136" s="247">
        <f>BD.PD[[#This Row],[Cant.]]*BD.PD[[#This Row],[ Tasa ]]*BD.PD[[#This Row],[ Precio Und.]]</f>
        <v>336302.28</v>
      </c>
      <c r="N136" s="278">
        <v>0.3</v>
      </c>
      <c r="O136" s="247">
        <f>IF(BD.PD[[#This Row],[Liquid. '[%']]]&lt;&gt;0,(BD.PD[[#This Row],[Valor Neto '[DOP']]]*BD.PD[[#This Row],[Liquid. '[%']]])+BD.PD[[#This Row],[Valor Neto '[DOP']]],BD.PD[[#This Row],[Valor Neto '[DOP']]])</f>
        <v>437192.96400000004</v>
      </c>
      <c r="P136" s="257">
        <f>BD.PD[[#This Row],[Ppto. Orden Interna '[DOP']]]/HLOOKUP("USD",$J$1:$K$2,2,FALSE)</f>
        <v>7202.52</v>
      </c>
      <c r="Q136" s="250" t="s">
        <v>446</v>
      </c>
      <c r="R136" s="258" t="s">
        <v>331</v>
      </c>
      <c r="S136" s="251">
        <v>21</v>
      </c>
      <c r="T136" s="252">
        <v>1</v>
      </c>
      <c r="U136" s="259">
        <f>BD.PD[[#This Row],[Av.P1 '[%']]]*BD.PD[[#This Row],[Ppto. Orden Interna '[DOP']]]</f>
        <v>437192.96400000004</v>
      </c>
      <c r="V136" s="254"/>
      <c r="W136" s="255"/>
      <c r="X136" s="259">
        <f>BD.PD[[#This Row],[Av.P2 '[%']]]*BD.PD[[#This Row],[Ppto. Orden Interna '[DOP']]]</f>
        <v>0</v>
      </c>
      <c r="Y136" s="254"/>
      <c r="Z136" s="255"/>
      <c r="AA136" s="259">
        <f>BD.PD[[#This Row],[Av.P3 '[%']]]*BD.PD[[#This Row],[Ppto. Orden Interna '[DOP']]]</f>
        <v>0</v>
      </c>
      <c r="AB136" s="254"/>
      <c r="AC136" s="255"/>
      <c r="AD136" s="259">
        <f>BD.PD[[#This Row],[Av.P4 '[%']]]*BD.PD[[#This Row],[Ppto. Orden Interna '[DOP']]]</f>
        <v>0</v>
      </c>
      <c r="AE136" s="254"/>
      <c r="AF136" s="255"/>
      <c r="AG136" s="259">
        <f>BD.PD[[#This Row],[Av.P5 '[%']]]*BD.PD[[#This Row],[Ppto. Orden Interna '[DOP']]]</f>
        <v>0</v>
      </c>
      <c r="AH136" s="256">
        <f>BD.PD[[#This Row],[Pago 5]]+BD.PD[[#This Row],[Pago 4]]+BD.PD[[#This Row],[Pago 3]]+BD.PD[[#This Row],[Pago 2]]+BD.PD[[#This Row],[Pago 1]]</f>
        <v>437192.96400000004</v>
      </c>
      <c r="AI136" s="318"/>
    </row>
    <row r="137" spans="1:237" ht="15" customHeight="1" x14ac:dyDescent="0.3">
      <c r="A137" s="181">
        <v>8.06</v>
      </c>
      <c r="B137" s="239"/>
      <c r="C137" s="240" t="str">
        <f>VLOOKUP(BD.PD[[#This Row],[Pos]],PPto[],3,FALSE)</f>
        <v>8.06 Otros Equipamientos de Tienda</v>
      </c>
      <c r="D137" s="181" t="s">
        <v>40</v>
      </c>
      <c r="E137" s="242" t="str">
        <f>IF(BD.PD[[#This Row],[.]]="*",VLOOKUP(BD.PD[[#This Row],[Pos]],Presupuesto!A:H,7,FALSE),"")</f>
        <v/>
      </c>
      <c r="F137" s="243" t="s">
        <v>660</v>
      </c>
      <c r="G137" s="243" t="s">
        <v>308</v>
      </c>
      <c r="H137" s="275"/>
      <c r="I137" s="276">
        <v>25</v>
      </c>
      <c r="J137" s="181" t="s">
        <v>314</v>
      </c>
      <c r="K137" s="245">
        <f>IF(BD.PD[[#This Row],[Mon]]="DOP",1,HLOOKUP(BD.PD[[#This Row],[Mon]],$J$1:$K$2,2,FALSE))</f>
        <v>1</v>
      </c>
      <c r="L137" s="358">
        <v>612.78839999999991</v>
      </c>
      <c r="M137" s="247">
        <f>BD.PD[[#This Row],[Cant.]]*BD.PD[[#This Row],[ Tasa ]]*BD.PD[[#This Row],[ Precio Und.]]</f>
        <v>15319.709999999997</v>
      </c>
      <c r="N137" s="278">
        <v>0</v>
      </c>
      <c r="O137" s="247">
        <f>IF(BD.PD[[#This Row],[Liquid. '[%']]]&lt;&gt;0,(BD.PD[[#This Row],[Valor Neto '[DOP']]]*BD.PD[[#This Row],[Liquid. '[%']]])+BD.PD[[#This Row],[Valor Neto '[DOP']]],BD.PD[[#This Row],[Valor Neto '[DOP']]])</f>
        <v>15319.709999999997</v>
      </c>
      <c r="P137" s="257">
        <f>BD.PD[[#This Row],[Ppto. Orden Interna '[DOP']]]/HLOOKUP("USD",$J$1:$K$2,2,FALSE)</f>
        <v>252.38401976935745</v>
      </c>
      <c r="Q137" s="250" t="s">
        <v>661</v>
      </c>
      <c r="R137" s="258" t="s">
        <v>331</v>
      </c>
      <c r="S137" s="251">
        <v>22</v>
      </c>
      <c r="T137" s="252">
        <v>1</v>
      </c>
      <c r="U137" s="259">
        <f>BD.PD[[#This Row],[Av.P1 '[%']]]*BD.PD[[#This Row],[Ppto. Orden Interna '[DOP']]]</f>
        <v>15319.709999999997</v>
      </c>
      <c r="V137" s="254"/>
      <c r="W137" s="255"/>
      <c r="X137" s="259">
        <f>BD.PD[[#This Row],[Av.P2 '[%']]]*BD.PD[[#This Row],[Ppto. Orden Interna '[DOP']]]</f>
        <v>0</v>
      </c>
      <c r="Y137" s="254"/>
      <c r="Z137" s="255"/>
      <c r="AA137" s="259">
        <f>BD.PD[[#This Row],[Av.P3 '[%']]]*BD.PD[[#This Row],[Ppto. Orden Interna '[DOP']]]</f>
        <v>0</v>
      </c>
      <c r="AB137" s="254"/>
      <c r="AC137" s="255"/>
      <c r="AD137" s="259">
        <f>BD.PD[[#This Row],[Av.P4 '[%']]]*BD.PD[[#This Row],[Ppto. Orden Interna '[DOP']]]</f>
        <v>0</v>
      </c>
      <c r="AE137" s="254"/>
      <c r="AF137" s="255"/>
      <c r="AG137" s="259">
        <f>BD.PD[[#This Row],[Av.P5 '[%']]]*BD.PD[[#This Row],[Ppto. Orden Interna '[DOP']]]</f>
        <v>0</v>
      </c>
      <c r="AH137" s="256">
        <f>BD.PD[[#This Row],[Pago 5]]+BD.PD[[#This Row],[Pago 4]]+BD.PD[[#This Row],[Pago 3]]+BD.PD[[#This Row],[Pago 2]]+BD.PD[[#This Row],[Pago 1]]</f>
        <v>15319.709999999997</v>
      </c>
      <c r="AI137" s="318"/>
    </row>
    <row r="138" spans="1:237" ht="15" customHeight="1" x14ac:dyDescent="0.3">
      <c r="A138" s="181">
        <v>3.03</v>
      </c>
      <c r="B138" s="239"/>
      <c r="C138" s="240" t="str">
        <f>VLOOKUP(BD.PD[[#This Row],[Pos]],PPto[],3,FALSE)</f>
        <v>3.03 Generadores</v>
      </c>
      <c r="D138" s="181" t="s">
        <v>40</v>
      </c>
      <c r="E138" s="242" t="str">
        <f>IF(BD.PD[[#This Row],[.]]="*",VLOOKUP(BD.PD[[#This Row],[Pos]],Presupuesto!A:H,7,FALSE),"")</f>
        <v/>
      </c>
      <c r="F138" s="243" t="s">
        <v>342</v>
      </c>
      <c r="G138" s="243">
        <v>4512969520</v>
      </c>
      <c r="H138" s="275" t="s">
        <v>559</v>
      </c>
      <c r="I138" s="276">
        <v>2</v>
      </c>
      <c r="J138" s="181" t="s">
        <v>188</v>
      </c>
      <c r="K138" s="245">
        <f>IF(BD.PD[[#This Row],[Mon]]="DOP",1,HLOOKUP(BD.PD[[#This Row],[Mon]],$J$1:$K$2,2,FALSE))</f>
        <v>60.7</v>
      </c>
      <c r="L138" s="277">
        <v>82627.11</v>
      </c>
      <c r="M138" s="247">
        <f>BD.PD[[#This Row],[Cant.]]*BD.PD[[#This Row],[ Tasa ]]*BD.PD[[#This Row],[ Precio Und.]]</f>
        <v>10030931.154000001</v>
      </c>
      <c r="N138" s="278">
        <v>0</v>
      </c>
      <c r="O138" s="247">
        <f>IF(BD.PD[[#This Row],[Liquid. '[%']]]&lt;&gt;0,(BD.PD[[#This Row],[Valor Neto '[DOP']]]*BD.PD[[#This Row],[Liquid. '[%']]])+BD.PD[[#This Row],[Valor Neto '[DOP']]],BD.PD[[#This Row],[Valor Neto '[DOP']]])</f>
        <v>10030931.154000001</v>
      </c>
      <c r="P138" s="257">
        <f>BD.PD[[#This Row],[Ppto. Orden Interna '[DOP']]]/HLOOKUP("USD",$J$1:$K$2,2,FALSE)</f>
        <v>165254.22</v>
      </c>
      <c r="Q138" s="250" t="s">
        <v>330</v>
      </c>
      <c r="R138" s="258" t="s">
        <v>343</v>
      </c>
      <c r="S138" s="251">
        <v>22</v>
      </c>
      <c r="T138" s="252">
        <v>1</v>
      </c>
      <c r="U138" s="259">
        <f>BD.PD[[#This Row],[Av.P1 '[%']]]*BD.PD[[#This Row],[Ppto. Orden Interna '[DOP']]]</f>
        <v>10030931.154000001</v>
      </c>
      <c r="V138" s="254"/>
      <c r="W138" s="255"/>
      <c r="X138" s="259">
        <f>BD.PD[[#This Row],[Av.P2 '[%']]]*BD.PD[[#This Row],[Ppto. Orden Interna '[DOP']]]</f>
        <v>0</v>
      </c>
      <c r="Y138" s="254"/>
      <c r="Z138" s="255"/>
      <c r="AA138" s="259">
        <f>BD.PD[[#This Row],[Av.P3 '[%']]]*BD.PD[[#This Row],[Ppto. Orden Interna '[DOP']]]</f>
        <v>0</v>
      </c>
      <c r="AB138" s="254"/>
      <c r="AC138" s="255"/>
      <c r="AD138" s="259">
        <f>BD.PD[[#This Row],[Av.P4 '[%']]]*BD.PD[[#This Row],[Ppto. Orden Interna '[DOP']]]</f>
        <v>0</v>
      </c>
      <c r="AE138" s="254"/>
      <c r="AF138" s="255"/>
      <c r="AG138" s="259">
        <f>BD.PD[[#This Row],[Av.P5 '[%']]]*BD.PD[[#This Row],[Ppto. Orden Interna '[DOP']]]</f>
        <v>0</v>
      </c>
      <c r="AH138" s="256">
        <f>BD.PD[[#This Row],[Pago 5]]+BD.PD[[#This Row],[Pago 4]]+BD.PD[[#This Row],[Pago 3]]+BD.PD[[#This Row],[Pago 2]]+BD.PD[[#This Row],[Pago 1]]</f>
        <v>10030931.154000001</v>
      </c>
      <c r="AI138" s="318"/>
    </row>
    <row r="139" spans="1:237" ht="15" customHeight="1" x14ac:dyDescent="0.3">
      <c r="A139" s="307">
        <v>5.03</v>
      </c>
      <c r="B139" s="239"/>
      <c r="C139" s="240" t="str">
        <f>VLOOKUP(BD.PD[[#This Row],[Pos]],PPto[],3,FALSE)</f>
        <v>5.03 Neveras, Centrales y Evaporadores</v>
      </c>
      <c r="D139" s="307" t="s">
        <v>40</v>
      </c>
      <c r="E139" s="242" t="str">
        <f>IF(BD.PD[[#This Row],[.]]="*",VLOOKUP(BD.PD[[#This Row],[Pos]],Presupuesto!A:H,7,FALSE),"")</f>
        <v/>
      </c>
      <c r="F139" s="387" t="s">
        <v>1055</v>
      </c>
      <c r="G139" s="243">
        <v>4600078960</v>
      </c>
      <c r="H139" s="275" t="s">
        <v>371</v>
      </c>
      <c r="I139" s="276">
        <v>1</v>
      </c>
      <c r="J139" s="307" t="s">
        <v>258</v>
      </c>
      <c r="K139" s="245">
        <f>IF(BD.PD[[#This Row],[Mon]]="DOP",1,HLOOKUP(BD.PD[[#This Row],[Mon]],$J$1:$K$2,2,FALSE))</f>
        <v>69.8</v>
      </c>
      <c r="L139" s="309">
        <v>241480</v>
      </c>
      <c r="M139" s="247">
        <f>BD.PD[[#This Row],[Cant.]]*BD.PD[[#This Row],[ Tasa ]]*BD.PD[[#This Row],[ Precio Und.]]</f>
        <v>16855304</v>
      </c>
      <c r="N139" s="310">
        <v>0.15</v>
      </c>
      <c r="O139" s="247">
        <f>IF(BD.PD[[#This Row],[Liquid. '[%']]]&lt;&gt;0,(BD.PD[[#This Row],[Valor Neto '[DOP']]]*BD.PD[[#This Row],[Liquid. '[%']]])+BD.PD[[#This Row],[Valor Neto '[DOP']]],BD.PD[[#This Row],[Valor Neto '[DOP']]])</f>
        <v>19383599.600000001</v>
      </c>
      <c r="P139" s="257">
        <f>BD.PD[[#This Row],[Ppto. Orden Interna '[DOP']]]/HLOOKUP("USD",$J$1:$K$2,2,FALSE)</f>
        <v>319334.42504118616</v>
      </c>
      <c r="Q139" s="250" t="s">
        <v>372</v>
      </c>
      <c r="R139" s="311" t="s">
        <v>1133</v>
      </c>
      <c r="S139" s="251">
        <v>20</v>
      </c>
      <c r="T139" s="312">
        <v>1</v>
      </c>
      <c r="U139" s="259">
        <f>BD.PD[[#This Row],[Av.P1 '[%']]]*BD.PD[[#This Row],[Ppto. Orden Interna '[DOP']]]</f>
        <v>19383599.600000001</v>
      </c>
      <c r="V139" s="254"/>
      <c r="W139" s="314"/>
      <c r="X139" s="259">
        <f>BD.PD[[#This Row],[Av.P2 '[%']]]*BD.PD[[#This Row],[Ppto. Orden Interna '[DOP']]]</f>
        <v>0</v>
      </c>
      <c r="Y139" s="313"/>
      <c r="Z139" s="314"/>
      <c r="AA139" s="259">
        <f>BD.PD[[#This Row],[Av.P3 '[%']]]*BD.PD[[#This Row],[Ppto. Orden Interna '[DOP']]]</f>
        <v>0</v>
      </c>
      <c r="AB139" s="313"/>
      <c r="AC139" s="314"/>
      <c r="AD139" s="259">
        <f>BD.PD[[#This Row],[Av.P4 '[%']]]*BD.PD[[#This Row],[Ppto. Orden Interna '[DOP']]]</f>
        <v>0</v>
      </c>
      <c r="AE139" s="313"/>
      <c r="AF139" s="314"/>
      <c r="AG139" s="259">
        <f>BD.PD[[#This Row],[Av.P5 '[%']]]*BD.PD[[#This Row],[Ppto. Orden Interna '[DOP']]]</f>
        <v>0</v>
      </c>
      <c r="AH139" s="256">
        <f>BD.PD[[#This Row],[Pago 5]]+BD.PD[[#This Row],[Pago 4]]+BD.PD[[#This Row],[Pago 3]]+BD.PD[[#This Row],[Pago 2]]+BD.PD[[#This Row],[Pago 1]]</f>
        <v>19383599.600000001</v>
      </c>
      <c r="AI139" s="318" t="s">
        <v>373</v>
      </c>
    </row>
    <row r="140" spans="1:237" ht="15" customHeight="1" x14ac:dyDescent="0.3">
      <c r="A140" s="181">
        <v>5.0599999999999996</v>
      </c>
      <c r="B140" s="239"/>
      <c r="C140" s="240" t="str">
        <f>VLOOKUP(BD.PD[[#This Row],[Pos]],PPto[],3,FALSE)</f>
        <v xml:space="preserve">5.06 Instalacion Frio Alimentario </v>
      </c>
      <c r="D140" s="181" t="s">
        <v>40</v>
      </c>
      <c r="E140" s="242" t="str">
        <f>IF(BD.PD[[#This Row],[.]]="*",VLOOKUP(BD.PD[[#This Row],[Pos]],Presupuesto!A:H,7,FALSE),"")</f>
        <v/>
      </c>
      <c r="F140" s="243" t="s">
        <v>388</v>
      </c>
      <c r="G140" s="243" t="s">
        <v>1087</v>
      </c>
      <c r="H140" s="275">
        <v>45889</v>
      </c>
      <c r="I140" s="276">
        <v>1</v>
      </c>
      <c r="J140" s="181" t="s">
        <v>314</v>
      </c>
      <c r="K140" s="245">
        <f>IF(BD.PD[[#This Row],[Mon]]="DOP",1,HLOOKUP(BD.PD[[#This Row],[Mon]],$J$1:$K$2,2,FALSE))</f>
        <v>1</v>
      </c>
      <c r="L140" s="388">
        <v>15658154.35</v>
      </c>
      <c r="M140" s="247">
        <f>BD.PD[[#This Row],[Cant.]]*BD.PD[[#This Row],[ Tasa ]]*BD.PD[[#This Row],[ Precio Und.]]</f>
        <v>15658154.35</v>
      </c>
      <c r="N140" s="278">
        <v>0</v>
      </c>
      <c r="O140" s="247">
        <f>IF(BD.PD[[#This Row],[Liquid. '[%']]]&lt;&gt;0,(BD.PD[[#This Row],[Valor Neto '[DOP']]]*BD.PD[[#This Row],[Liquid. '[%']]])+BD.PD[[#This Row],[Valor Neto '[DOP']]],BD.PD[[#This Row],[Valor Neto '[DOP']]])</f>
        <v>15658154.35</v>
      </c>
      <c r="P140" s="257">
        <f>BD.PD[[#This Row],[Ppto. Orden Interna '[DOP']]]/HLOOKUP("USD",$J$1:$K$2,2,FALSE)</f>
        <v>257959.70922570015</v>
      </c>
      <c r="Q140" s="250" t="s">
        <v>389</v>
      </c>
      <c r="R140" s="311" t="s">
        <v>1133</v>
      </c>
      <c r="S140" s="251">
        <v>22</v>
      </c>
      <c r="T140" s="252">
        <v>0.6</v>
      </c>
      <c r="U140" s="259">
        <f>BD.PD[[#This Row],[Av.P1 '[%']]]*BD.PD[[#This Row],[Ppto. Orden Interna '[DOP']]]</f>
        <v>9394892.6099999994</v>
      </c>
      <c r="V140" s="254">
        <v>24</v>
      </c>
      <c r="W140" s="255">
        <v>0.4</v>
      </c>
      <c r="X140" s="259">
        <f>BD.PD[[#This Row],[Av.P2 '[%']]]*BD.PD[[#This Row],[Ppto. Orden Interna '[DOP']]]</f>
        <v>6263261.7400000002</v>
      </c>
      <c r="Y140" s="254"/>
      <c r="Z140" s="255"/>
      <c r="AA140" s="259">
        <f>BD.PD[[#This Row],[Av.P3 '[%']]]*BD.PD[[#This Row],[Ppto. Orden Interna '[DOP']]]</f>
        <v>0</v>
      </c>
      <c r="AB140" s="254"/>
      <c r="AC140" s="255"/>
      <c r="AD140" s="259">
        <f>BD.PD[[#This Row],[Av.P4 '[%']]]*BD.PD[[#This Row],[Ppto. Orden Interna '[DOP']]]</f>
        <v>0</v>
      </c>
      <c r="AE140" s="254"/>
      <c r="AF140" s="255"/>
      <c r="AG140" s="259">
        <f>BD.PD[[#This Row],[Av.P5 '[%']]]*BD.PD[[#This Row],[Ppto. Orden Interna '[DOP']]]</f>
        <v>0</v>
      </c>
      <c r="AH140" s="256">
        <f>BD.PD[[#This Row],[Pago 5]]+BD.PD[[#This Row],[Pago 4]]+BD.PD[[#This Row],[Pago 3]]+BD.PD[[#This Row],[Pago 2]]+BD.PD[[#This Row],[Pago 1]]</f>
        <v>15658154.35</v>
      </c>
      <c r="AI140" s="318"/>
    </row>
    <row r="141" spans="1:237" ht="15" customHeight="1" x14ac:dyDescent="0.3">
      <c r="A141" s="181">
        <v>5.0599999999999996</v>
      </c>
      <c r="B141" s="239"/>
      <c r="C141" s="240" t="str">
        <f>VLOOKUP(BD.PD[[#This Row],[Pos]],PPto[],3,FALSE)</f>
        <v xml:space="preserve">5.06 Instalacion Frio Alimentario </v>
      </c>
      <c r="D141" s="181" t="s">
        <v>40</v>
      </c>
      <c r="E141" s="242" t="str">
        <f>IF(BD.PD[[#This Row],[.]]="*",VLOOKUP(BD.PD[[#This Row],[Pos]],Presupuesto!A:H,7,FALSE),"")</f>
        <v/>
      </c>
      <c r="F141" s="274" t="s">
        <v>390</v>
      </c>
      <c r="G141" s="243" t="s">
        <v>334</v>
      </c>
      <c r="H141" s="275"/>
      <c r="I141" s="276">
        <v>1</v>
      </c>
      <c r="J141" s="181" t="s">
        <v>188</v>
      </c>
      <c r="K141" s="245">
        <f>IF(BD.PD[[#This Row],[Mon]]="DOP",1,HLOOKUP(BD.PD[[#This Row],[Mon]],$J$1:$K$2,2,FALSE))</f>
        <v>60.7</v>
      </c>
      <c r="L141" s="388">
        <v>7227</v>
      </c>
      <c r="M141" s="247">
        <f>BD.PD[[#This Row],[Cant.]]*BD.PD[[#This Row],[ Tasa ]]*BD.PD[[#This Row],[ Precio Und.]]</f>
        <v>438678.9</v>
      </c>
      <c r="N141" s="278">
        <v>0</v>
      </c>
      <c r="O141" s="247">
        <f>IF(BD.PD[[#This Row],[Liquid. '[%']]]&lt;&gt;0,(BD.PD[[#This Row],[Valor Neto '[DOP']]]*BD.PD[[#This Row],[Liquid. '[%']]])+BD.PD[[#This Row],[Valor Neto '[DOP']]],BD.PD[[#This Row],[Valor Neto '[DOP']]])</f>
        <v>438678.9</v>
      </c>
      <c r="P141" s="257">
        <f>BD.PD[[#This Row],[Ppto. Orden Interna '[DOP']]]/HLOOKUP("USD",$J$1:$K$2,2,FALSE)</f>
        <v>7227</v>
      </c>
      <c r="Q141" s="250" t="s">
        <v>389</v>
      </c>
      <c r="R141" s="349" t="s">
        <v>1134</v>
      </c>
      <c r="S141" s="251">
        <v>22</v>
      </c>
      <c r="T141" s="252">
        <v>0.6</v>
      </c>
      <c r="U141" s="259">
        <f>BD.PD[[#This Row],[Av.P1 '[%']]]*BD.PD[[#This Row],[Ppto. Orden Interna '[DOP']]]</f>
        <v>263207.34000000003</v>
      </c>
      <c r="V141" s="254">
        <v>24</v>
      </c>
      <c r="W141" s="255">
        <v>0.4</v>
      </c>
      <c r="X141" s="259">
        <f>BD.PD[[#This Row],[Av.P2 '[%']]]*BD.PD[[#This Row],[Ppto. Orden Interna '[DOP']]]</f>
        <v>175471.56000000003</v>
      </c>
      <c r="Y141" s="254"/>
      <c r="Z141" s="255"/>
      <c r="AA141" s="259">
        <f>BD.PD[[#This Row],[Av.P3 '[%']]]*BD.PD[[#This Row],[Ppto. Orden Interna '[DOP']]]</f>
        <v>0</v>
      </c>
      <c r="AB141" s="254"/>
      <c r="AC141" s="255"/>
      <c r="AD141" s="259">
        <f>BD.PD[[#This Row],[Av.P4 '[%']]]*BD.PD[[#This Row],[Ppto. Orden Interna '[DOP']]]</f>
        <v>0</v>
      </c>
      <c r="AE141" s="254"/>
      <c r="AF141" s="255"/>
      <c r="AG141" s="259">
        <f>BD.PD[[#This Row],[Av.P5 '[%']]]*BD.PD[[#This Row],[Ppto. Orden Interna '[DOP']]]</f>
        <v>0</v>
      </c>
      <c r="AH141" s="256">
        <f>BD.PD[[#This Row],[Pago 5]]+BD.PD[[#This Row],[Pago 4]]+BD.PD[[#This Row],[Pago 3]]+BD.PD[[#This Row],[Pago 2]]+BD.PD[[#This Row],[Pago 1]]</f>
        <v>438678.9</v>
      </c>
      <c r="AI141" s="318"/>
    </row>
    <row r="142" spans="1:237" ht="15" customHeight="1" x14ac:dyDescent="0.3">
      <c r="A142" s="181">
        <v>5.0599999999999996</v>
      </c>
      <c r="B142" s="239"/>
      <c r="C142" s="240" t="str">
        <f>VLOOKUP(BD.PD[[#This Row],[Pos]],PPto[],3,FALSE)</f>
        <v xml:space="preserve">5.06 Instalacion Frio Alimentario </v>
      </c>
      <c r="D142" s="181" t="s">
        <v>40</v>
      </c>
      <c r="E142" s="242" t="str">
        <f>IF(BD.PD[[#This Row],[.]]="*",VLOOKUP(BD.PD[[#This Row],[Pos]],Presupuesto!A:H,7,FALSE),"")</f>
        <v/>
      </c>
      <c r="F142" s="274" t="s">
        <v>391</v>
      </c>
      <c r="G142" s="243" t="s">
        <v>334</v>
      </c>
      <c r="H142" s="275"/>
      <c r="I142" s="276">
        <v>4</v>
      </c>
      <c r="J142" s="181" t="s">
        <v>314</v>
      </c>
      <c r="K142" s="245">
        <f>IF(BD.PD[[#This Row],[Mon]]="DOP",1,HLOOKUP(BD.PD[[#This Row],[Mon]],$J$1:$K$2,2,FALSE))</f>
        <v>1</v>
      </c>
      <c r="L142" s="388">
        <v>275000</v>
      </c>
      <c r="M142" s="247">
        <f>BD.PD[[#This Row],[Cant.]]*BD.PD[[#This Row],[ Tasa ]]*BD.PD[[#This Row],[ Precio Und.]]</f>
        <v>1100000</v>
      </c>
      <c r="N142" s="278">
        <v>0</v>
      </c>
      <c r="O142" s="247">
        <f>IF(BD.PD[[#This Row],[Liquid. '[%']]]&lt;&gt;0,(BD.PD[[#This Row],[Valor Neto '[DOP']]]*BD.PD[[#This Row],[Liquid. '[%']]])+BD.PD[[#This Row],[Valor Neto '[DOP']]],BD.PD[[#This Row],[Valor Neto '[DOP']]])</f>
        <v>1100000</v>
      </c>
      <c r="P142" s="257">
        <f>BD.PD[[#This Row],[Ppto. Orden Interna '[DOP']]]/HLOOKUP("USD",$J$1:$K$2,2,FALSE)</f>
        <v>18121.911037891266</v>
      </c>
      <c r="Q142" s="250"/>
      <c r="R142" s="258" t="s">
        <v>1134</v>
      </c>
      <c r="S142" s="251">
        <v>22</v>
      </c>
      <c r="T142" s="252">
        <v>0.6</v>
      </c>
      <c r="U142" s="259">
        <f>BD.PD[[#This Row],[Av.P1 '[%']]]*BD.PD[[#This Row],[Ppto. Orden Interna '[DOP']]]</f>
        <v>660000</v>
      </c>
      <c r="V142" s="254">
        <v>24</v>
      </c>
      <c r="W142" s="255">
        <v>0.4</v>
      </c>
      <c r="X142" s="259">
        <f>BD.PD[[#This Row],[Av.P2 '[%']]]*BD.PD[[#This Row],[Ppto. Orden Interna '[DOP']]]</f>
        <v>440000</v>
      </c>
      <c r="Y142" s="254"/>
      <c r="Z142" s="255"/>
      <c r="AA142" s="259">
        <f>BD.PD[[#This Row],[Av.P3 '[%']]]*BD.PD[[#This Row],[Ppto. Orden Interna '[DOP']]]</f>
        <v>0</v>
      </c>
      <c r="AB142" s="254"/>
      <c r="AC142" s="255"/>
      <c r="AD142" s="259">
        <f>BD.PD[[#This Row],[Av.P4 '[%']]]*BD.PD[[#This Row],[Ppto. Orden Interna '[DOP']]]</f>
        <v>0</v>
      </c>
      <c r="AE142" s="254"/>
      <c r="AF142" s="255"/>
      <c r="AG142" s="259">
        <f>BD.PD[[#This Row],[Av.P5 '[%']]]*BD.PD[[#This Row],[Ppto. Orden Interna '[DOP']]]</f>
        <v>0</v>
      </c>
      <c r="AH142" s="256">
        <f>BD.PD[[#This Row],[Pago 5]]+BD.PD[[#This Row],[Pago 4]]+BD.PD[[#This Row],[Pago 3]]+BD.PD[[#This Row],[Pago 2]]+BD.PD[[#This Row],[Pago 1]]</f>
        <v>1100000</v>
      </c>
      <c r="AI142" s="318"/>
    </row>
    <row r="143" spans="1:237" s="306" customFormat="1" ht="15" customHeight="1" x14ac:dyDescent="0.3">
      <c r="A143" s="181">
        <v>2.0699999999999998</v>
      </c>
      <c r="B143" s="239"/>
      <c r="C143" s="240" t="str">
        <f>VLOOKUP(BD.PD[[#This Row],[Pos]],PPto[],3,FALSE)</f>
        <v xml:space="preserve">2.07 Sistema Contra Incendios </v>
      </c>
      <c r="D143" s="181" t="s">
        <v>40</v>
      </c>
      <c r="E143" s="242" t="str">
        <f>IF(BD.PD[[#This Row],[.]]="*",VLOOKUP(BD.PD[[#This Row],[Pos]],Presupuesto!A:H,7,FALSE),"")</f>
        <v/>
      </c>
      <c r="F143" s="243" t="s">
        <v>318</v>
      </c>
      <c r="G143" s="243" t="s">
        <v>308</v>
      </c>
      <c r="H143" s="275"/>
      <c r="I143" s="276">
        <v>1</v>
      </c>
      <c r="J143" s="181" t="s">
        <v>188</v>
      </c>
      <c r="K143" s="245">
        <f>IF(BD.PD[[#This Row],[Mon]]="DOP",1,HLOOKUP(BD.PD[[#This Row],[Mon]],$J$1:$K$2,2,FALSE))</f>
        <v>60.7</v>
      </c>
      <c r="L143" s="277">
        <v>11000</v>
      </c>
      <c r="M143" s="247">
        <f>BD.PD[[#This Row],[Cant.]]*BD.PD[[#This Row],[ Tasa ]]*BD.PD[[#This Row],[ Precio Und.]]</f>
        <v>667700</v>
      </c>
      <c r="N143" s="278">
        <v>0</v>
      </c>
      <c r="O143" s="247">
        <f>IF(BD.PD[[#This Row],[Liquid. '[%']]]&lt;&gt;0,(BD.PD[[#This Row],[Valor Neto '[DOP']]]*BD.PD[[#This Row],[Liquid. '[%']]])+BD.PD[[#This Row],[Valor Neto '[DOP']]],BD.PD[[#This Row],[Valor Neto '[DOP']]])</f>
        <v>667700</v>
      </c>
      <c r="P143" s="257">
        <f>BD.PD[[#This Row],[Ppto. Orden Interna '[DOP']]]/HLOOKUP("USD",$J$1:$K$2,2,FALSE)</f>
        <v>11000</v>
      </c>
      <c r="Q143" s="250" t="s">
        <v>317</v>
      </c>
      <c r="R143" s="258" t="s">
        <v>1103</v>
      </c>
      <c r="S143" s="251">
        <v>22</v>
      </c>
      <c r="T143" s="252">
        <v>1</v>
      </c>
      <c r="U143" s="259">
        <f>BD.PD[[#This Row],[Av.P1 '[%']]]*BD.PD[[#This Row],[Ppto. Orden Interna '[DOP']]]</f>
        <v>667700</v>
      </c>
      <c r="V143" s="254"/>
      <c r="W143" s="255"/>
      <c r="X143" s="259">
        <f>BD.PD[[#This Row],[Av.P2 '[%']]]*BD.PD[[#This Row],[Ppto. Orden Interna '[DOP']]]</f>
        <v>0</v>
      </c>
      <c r="Y143" s="254"/>
      <c r="Z143" s="255"/>
      <c r="AA143" s="259">
        <f>BD.PD[[#This Row],[Av.P3 '[%']]]*BD.PD[[#This Row],[Ppto. Orden Interna '[DOP']]]</f>
        <v>0</v>
      </c>
      <c r="AB143" s="254"/>
      <c r="AC143" s="255"/>
      <c r="AD143" s="259">
        <f>BD.PD[[#This Row],[Av.P4 '[%']]]*BD.PD[[#This Row],[Ppto. Orden Interna '[DOP']]]</f>
        <v>0</v>
      </c>
      <c r="AE143" s="254"/>
      <c r="AF143" s="255"/>
      <c r="AG143" s="259">
        <f>BD.PD[[#This Row],[Av.P5 '[%']]]*BD.PD[[#This Row],[Ppto. Orden Interna '[DOP']]]</f>
        <v>0</v>
      </c>
      <c r="AH143" s="256">
        <f>BD.PD[[#This Row],[Pago 5]]+BD.PD[[#This Row],[Pago 4]]+BD.PD[[#This Row],[Pago 3]]+BD.PD[[#This Row],[Pago 2]]+BD.PD[[#This Row],[Pago 1]]</f>
        <v>667700</v>
      </c>
      <c r="AI143" s="318"/>
      <c r="AJ143" s="316"/>
      <c r="AK143" s="316"/>
      <c r="AL143" s="316"/>
      <c r="AM143" s="316"/>
      <c r="AN143" s="316"/>
      <c r="AO143" s="316"/>
      <c r="AP143" s="316"/>
      <c r="AQ143" s="316"/>
      <c r="AR143" s="316"/>
      <c r="AS143" s="316"/>
      <c r="AT143" s="316"/>
      <c r="AU143" s="316"/>
      <c r="AV143" s="316"/>
      <c r="AW143" s="316"/>
      <c r="AX143" s="316"/>
      <c r="AY143" s="316"/>
      <c r="AZ143" s="316"/>
      <c r="BA143" s="316"/>
      <c r="BB143" s="316"/>
      <c r="BC143" s="316"/>
      <c r="BD143" s="316"/>
      <c r="BE143" s="316"/>
      <c r="BF143" s="316"/>
      <c r="BG143" s="316"/>
      <c r="BH143" s="316"/>
      <c r="BI143" s="316"/>
      <c r="BJ143" s="316"/>
      <c r="BK143" s="316"/>
      <c r="BL143" s="316"/>
      <c r="BM143" s="316"/>
      <c r="BN143" s="316"/>
      <c r="BO143" s="316"/>
      <c r="BP143" s="316"/>
      <c r="BQ143" s="316"/>
      <c r="BR143" s="316"/>
      <c r="BS143" s="316"/>
      <c r="BT143" s="316"/>
      <c r="BU143" s="316"/>
      <c r="BV143" s="316"/>
      <c r="BW143" s="316"/>
      <c r="BX143" s="316"/>
      <c r="BY143" s="316"/>
      <c r="BZ143" s="316"/>
      <c r="CA143" s="316"/>
      <c r="CB143" s="316"/>
      <c r="CC143" s="316"/>
      <c r="CD143" s="316"/>
      <c r="CE143" s="316"/>
      <c r="CF143" s="316"/>
      <c r="CG143" s="316"/>
      <c r="CH143" s="316"/>
      <c r="CI143" s="316"/>
      <c r="CJ143" s="316"/>
      <c r="CK143" s="316"/>
      <c r="CL143" s="316"/>
      <c r="CM143" s="316"/>
      <c r="CN143" s="316"/>
      <c r="CO143" s="316"/>
      <c r="CP143" s="316"/>
      <c r="CQ143" s="316"/>
      <c r="CR143" s="316"/>
      <c r="CS143" s="316"/>
      <c r="CT143" s="316"/>
      <c r="CU143" s="316"/>
      <c r="CV143" s="316"/>
      <c r="CW143" s="316"/>
      <c r="CX143" s="316"/>
      <c r="CY143" s="316"/>
      <c r="CZ143" s="316"/>
      <c r="DA143" s="316"/>
      <c r="DB143" s="316"/>
      <c r="DC143" s="316"/>
      <c r="DD143" s="316"/>
      <c r="DE143" s="316"/>
      <c r="DF143" s="316"/>
      <c r="DG143" s="316"/>
      <c r="DH143" s="316"/>
      <c r="DI143" s="316"/>
      <c r="DJ143" s="316"/>
      <c r="DK143" s="316"/>
      <c r="DL143" s="316"/>
      <c r="DM143" s="316"/>
      <c r="DN143" s="316"/>
      <c r="DO143" s="316"/>
      <c r="DP143" s="316"/>
      <c r="DQ143" s="316"/>
      <c r="DR143" s="316"/>
      <c r="DS143" s="316"/>
      <c r="DT143" s="316"/>
      <c r="DU143" s="316"/>
      <c r="DV143" s="316"/>
      <c r="DW143" s="316"/>
      <c r="DX143" s="316"/>
      <c r="DY143" s="316"/>
      <c r="DZ143" s="316"/>
      <c r="EA143" s="316"/>
      <c r="EB143" s="316"/>
      <c r="EC143" s="316"/>
      <c r="ED143" s="316"/>
      <c r="EE143" s="316"/>
      <c r="EF143" s="316"/>
      <c r="EG143" s="316"/>
      <c r="EH143" s="316"/>
      <c r="EI143" s="316"/>
      <c r="EJ143" s="316"/>
      <c r="EK143" s="316"/>
      <c r="EL143" s="316"/>
      <c r="EM143" s="316"/>
      <c r="EN143" s="316"/>
      <c r="EO143" s="316"/>
      <c r="EP143" s="316"/>
      <c r="EQ143" s="316"/>
      <c r="ER143" s="316"/>
      <c r="ES143" s="316"/>
      <c r="ET143" s="316"/>
      <c r="EU143" s="316"/>
      <c r="EV143" s="316"/>
      <c r="EW143" s="316"/>
      <c r="EX143" s="316"/>
      <c r="EY143" s="316"/>
      <c r="EZ143" s="316"/>
      <c r="FA143" s="316"/>
      <c r="FB143" s="316"/>
      <c r="FC143" s="316"/>
      <c r="FD143" s="316"/>
      <c r="FE143" s="316"/>
      <c r="FF143" s="316"/>
      <c r="FG143" s="316"/>
      <c r="FH143" s="316"/>
      <c r="FI143" s="316"/>
      <c r="FJ143" s="316"/>
      <c r="FK143" s="316"/>
      <c r="FL143" s="316"/>
      <c r="FM143" s="316"/>
      <c r="FN143" s="316"/>
      <c r="FO143" s="316"/>
      <c r="FP143" s="316"/>
      <c r="FQ143" s="316"/>
      <c r="FR143" s="316"/>
      <c r="FS143" s="316"/>
      <c r="FT143" s="316"/>
      <c r="FU143" s="316"/>
      <c r="FV143" s="316"/>
      <c r="FW143" s="316"/>
      <c r="FX143" s="316"/>
      <c r="FY143" s="316"/>
      <c r="FZ143" s="316"/>
      <c r="GA143" s="316"/>
      <c r="GB143" s="316"/>
      <c r="GC143" s="316"/>
      <c r="GD143" s="316"/>
      <c r="GE143" s="316"/>
      <c r="GF143" s="316"/>
      <c r="GG143" s="316"/>
      <c r="GH143" s="316"/>
      <c r="GI143" s="316"/>
      <c r="GJ143" s="316"/>
      <c r="GK143" s="316"/>
      <c r="GL143" s="316"/>
      <c r="GM143" s="316"/>
      <c r="GN143" s="316"/>
      <c r="GO143" s="316"/>
      <c r="GP143" s="316"/>
      <c r="GQ143" s="316"/>
      <c r="GR143" s="316"/>
      <c r="GS143" s="316"/>
      <c r="GT143" s="316"/>
      <c r="GU143" s="316"/>
      <c r="GV143" s="316"/>
      <c r="GW143" s="316"/>
      <c r="GX143" s="316"/>
      <c r="GY143" s="316"/>
      <c r="GZ143" s="316"/>
      <c r="HA143" s="316"/>
      <c r="HB143" s="316"/>
      <c r="HC143" s="316"/>
      <c r="HD143" s="316"/>
      <c r="HE143" s="316"/>
      <c r="HF143" s="316"/>
      <c r="HG143" s="316"/>
      <c r="HH143" s="316"/>
      <c r="HI143" s="316"/>
      <c r="HJ143" s="316"/>
      <c r="HK143" s="316"/>
      <c r="HL143" s="316"/>
      <c r="HM143" s="316"/>
      <c r="HN143" s="316"/>
      <c r="HO143" s="316"/>
      <c r="HP143" s="316"/>
      <c r="HQ143" s="316"/>
      <c r="HR143" s="316"/>
      <c r="HS143" s="316"/>
      <c r="HT143" s="316"/>
      <c r="HU143" s="316"/>
      <c r="HV143" s="316"/>
      <c r="HW143" s="316"/>
      <c r="HX143" s="316"/>
      <c r="HY143" s="316"/>
      <c r="HZ143" s="316"/>
      <c r="IA143" s="316"/>
      <c r="IB143" s="316"/>
      <c r="IC143" s="316"/>
    </row>
    <row r="144" spans="1:237" ht="15" customHeight="1" x14ac:dyDescent="0.3">
      <c r="A144" s="307">
        <v>5.03</v>
      </c>
      <c r="B144" s="239"/>
      <c r="C144" s="240" t="str">
        <f>VLOOKUP(BD.PD[[#This Row],[Pos]],PPto[],3,FALSE)</f>
        <v>5.03 Neveras, Centrales y Evaporadores</v>
      </c>
      <c r="D144" s="307" t="s">
        <v>40</v>
      </c>
      <c r="E144" s="242" t="str">
        <f>IF(BD.PD[[#This Row],[.]]="*",VLOOKUP(BD.PD[[#This Row],[Pos]],Presupuesto!A:H,7,FALSE),"")</f>
        <v/>
      </c>
      <c r="F144" s="243" t="s">
        <v>1065</v>
      </c>
      <c r="G144" s="243" t="s">
        <v>308</v>
      </c>
      <c r="H144" s="275"/>
      <c r="I144" s="276">
        <v>3</v>
      </c>
      <c r="J144" s="181" t="s">
        <v>258</v>
      </c>
      <c r="K144" s="245">
        <f>IF(BD.PD[[#This Row],[Mon]]="DOP",1,HLOOKUP(BD.PD[[#This Row],[Mon]],$J$1:$K$2,2,FALSE))</f>
        <v>69.8</v>
      </c>
      <c r="L144" s="277">
        <v>2100</v>
      </c>
      <c r="M144" s="247">
        <f>BD.PD[[#This Row],[Cant.]]*BD.PD[[#This Row],[ Tasa ]]*BD.PD[[#This Row],[ Precio Und.]]</f>
        <v>439739.99999999994</v>
      </c>
      <c r="N144" s="278">
        <v>0.2</v>
      </c>
      <c r="O144" s="247">
        <f>IF(BD.PD[[#This Row],[Liquid. '[%']]]&lt;&gt;0,(BD.PD[[#This Row],[Valor Neto '[DOP']]]*BD.PD[[#This Row],[Liquid. '[%']]])+BD.PD[[#This Row],[Valor Neto '[DOP']]],BD.PD[[#This Row],[Valor Neto '[DOP']]])</f>
        <v>527688</v>
      </c>
      <c r="P144" s="257">
        <f>BD.PD[[#This Row],[Ppto. Orden Interna '[DOP']]]/HLOOKUP("USD",$J$1:$K$2,2,FALSE)</f>
        <v>8693.3772652388798</v>
      </c>
      <c r="Q144" s="304" t="s">
        <v>1109</v>
      </c>
      <c r="R144" s="258" t="s">
        <v>1107</v>
      </c>
      <c r="S144" s="251">
        <v>21</v>
      </c>
      <c r="T144" s="252">
        <v>1</v>
      </c>
      <c r="U144" s="259">
        <f>BD.PD[[#This Row],[Av.P1 '[%']]]*BD.PD[[#This Row],[Ppto. Orden Interna '[DOP']]]</f>
        <v>527688</v>
      </c>
      <c r="V144" s="254">
        <v>24</v>
      </c>
      <c r="W144" s="314"/>
      <c r="X144" s="259">
        <f>BD.PD[[#This Row],[Av.P2 '[%']]]*BD.PD[[#This Row],[Ppto. Orden Interna '[DOP']]]</f>
        <v>0</v>
      </c>
      <c r="Y144" s="313"/>
      <c r="Z144" s="314"/>
      <c r="AA144" s="259">
        <f>BD.PD[[#This Row],[Av.P3 '[%']]]*BD.PD[[#This Row],[Ppto. Orden Interna '[DOP']]]</f>
        <v>0</v>
      </c>
      <c r="AB144" s="313"/>
      <c r="AC144" s="314"/>
      <c r="AD144" s="259">
        <f>BD.PD[[#This Row],[Av.P4 '[%']]]*BD.PD[[#This Row],[Ppto. Orden Interna '[DOP']]]</f>
        <v>0</v>
      </c>
      <c r="AE144" s="313"/>
      <c r="AF144" s="314"/>
      <c r="AG144" s="259">
        <f>BD.PD[[#This Row],[Av.P5 '[%']]]*BD.PD[[#This Row],[Ppto. Orden Interna '[DOP']]]</f>
        <v>0</v>
      </c>
      <c r="AH144" s="256">
        <f>BD.PD[[#This Row],[Pago 5]]+BD.PD[[#This Row],[Pago 4]]+BD.PD[[#This Row],[Pago 3]]+BD.PD[[#This Row],[Pago 2]]+BD.PD[[#This Row],[Pago 1]]</f>
        <v>527688</v>
      </c>
      <c r="AI144" s="318"/>
    </row>
    <row r="145" spans="1:237" ht="15" customHeight="1" x14ac:dyDescent="0.3">
      <c r="A145" s="181">
        <v>5.03</v>
      </c>
      <c r="B145" s="239"/>
      <c r="C145" s="240" t="str">
        <f>VLOOKUP(BD.PD[[#This Row],[Pos]],PPto[],3,FALSE)</f>
        <v>5.03 Neveras, Centrales y Evaporadores</v>
      </c>
      <c r="D145" s="181" t="s">
        <v>40</v>
      </c>
      <c r="E145" s="242" t="str">
        <f>IF(BD.PD[[#This Row],[.]]="*",VLOOKUP(BD.PD[[#This Row],[Pos]],Presupuesto!A:H,7,FALSE),"")</f>
        <v/>
      </c>
      <c r="F145" s="305" t="s">
        <v>376</v>
      </c>
      <c r="G145" s="243" t="s">
        <v>308</v>
      </c>
      <c r="H145" s="275"/>
      <c r="I145" s="276">
        <v>1</v>
      </c>
      <c r="J145" s="307" t="s">
        <v>188</v>
      </c>
      <c r="K145" s="245">
        <f>IF(BD.PD[[#This Row],[Mon]]="DOP",1,HLOOKUP(BD.PD[[#This Row],[Mon]],$J$1:$K$2,2,FALSE))</f>
        <v>60.7</v>
      </c>
      <c r="L145" s="277">
        <v>2093</v>
      </c>
      <c r="M145" s="247">
        <f>BD.PD[[#This Row],[Cant.]]*BD.PD[[#This Row],[ Tasa ]]*BD.PD[[#This Row],[ Precio Und.]]</f>
        <v>127045.1</v>
      </c>
      <c r="N145" s="278">
        <v>0.01</v>
      </c>
      <c r="O145" s="247">
        <f>IF(BD.PD[[#This Row],[Liquid. '[%']]]&lt;&gt;0,(BD.PD[[#This Row],[Valor Neto '[DOP']]]*BD.PD[[#This Row],[Liquid. '[%']]])+BD.PD[[#This Row],[Valor Neto '[DOP']]],BD.PD[[#This Row],[Valor Neto '[DOP']]])</f>
        <v>128315.55100000001</v>
      </c>
      <c r="P145" s="257">
        <f>BD.PD[[#This Row],[Ppto. Orden Interna '[DOP']]]/HLOOKUP("USD",$J$1:$K$2,2,FALSE)</f>
        <v>2113.9299999999998</v>
      </c>
      <c r="Q145" s="250" t="s">
        <v>1108</v>
      </c>
      <c r="R145" s="258" t="s">
        <v>1107</v>
      </c>
      <c r="S145" s="251">
        <v>21</v>
      </c>
      <c r="T145" s="252">
        <v>1</v>
      </c>
      <c r="U145" s="259">
        <f>BD.PD[[#This Row],[Av.P1 '[%']]]*BD.PD[[#This Row],[Ppto. Orden Interna '[DOP']]]</f>
        <v>128315.55100000001</v>
      </c>
      <c r="V145" s="254">
        <v>24</v>
      </c>
      <c r="W145" s="255"/>
      <c r="X145" s="259">
        <f>BD.PD[[#This Row],[Av.P2 '[%']]]*BD.PD[[#This Row],[Ppto. Orden Interna '[DOP']]]</f>
        <v>0</v>
      </c>
      <c r="Y145" s="254"/>
      <c r="Z145" s="255"/>
      <c r="AA145" s="259">
        <f>BD.PD[[#This Row],[Av.P3 '[%']]]*BD.PD[[#This Row],[Ppto. Orden Interna '[DOP']]]</f>
        <v>0</v>
      </c>
      <c r="AB145" s="254"/>
      <c r="AC145" s="255"/>
      <c r="AD145" s="259">
        <f>BD.PD[[#This Row],[Av.P4 '[%']]]*BD.PD[[#This Row],[Ppto. Orden Interna '[DOP']]]</f>
        <v>0</v>
      </c>
      <c r="AE145" s="254"/>
      <c r="AF145" s="255"/>
      <c r="AG145" s="259">
        <f>BD.PD[[#This Row],[Av.P5 '[%']]]*BD.PD[[#This Row],[Ppto. Orden Interna '[DOP']]]</f>
        <v>0</v>
      </c>
      <c r="AH145" s="256">
        <f>BD.PD[[#This Row],[Pago 5]]+BD.PD[[#This Row],[Pago 4]]+BD.PD[[#This Row],[Pago 3]]+BD.PD[[#This Row],[Pago 2]]+BD.PD[[#This Row],[Pago 1]]</f>
        <v>128315.55100000001</v>
      </c>
      <c r="AI145" s="318"/>
    </row>
    <row r="146" spans="1:237" ht="15" customHeight="1" x14ac:dyDescent="0.3">
      <c r="A146" s="181">
        <v>5.03</v>
      </c>
      <c r="B146" s="239"/>
      <c r="C146" s="240" t="str">
        <f>VLOOKUP(BD.PD[[#This Row],[Pos]],PPto[],3,FALSE)</f>
        <v>5.03 Neveras, Centrales y Evaporadores</v>
      </c>
      <c r="D146" s="181" t="s">
        <v>40</v>
      </c>
      <c r="E146" s="242" t="str">
        <f>IF(BD.PD[[#This Row],[.]]="*",VLOOKUP(BD.PD[[#This Row],[Pos]],Presupuesto!A:H,7,FALSE),"")</f>
        <v/>
      </c>
      <c r="F146" s="243" t="s">
        <v>377</v>
      </c>
      <c r="G146" s="243" t="s">
        <v>308</v>
      </c>
      <c r="H146" s="275"/>
      <c r="I146" s="276">
        <v>1</v>
      </c>
      <c r="J146" s="307" t="s">
        <v>188</v>
      </c>
      <c r="K146" s="245">
        <f>IF(BD.PD[[#This Row],[Mon]]="DOP",1,HLOOKUP(BD.PD[[#This Row],[Mon]],$J$1:$K$2,2,FALSE))</f>
        <v>60.7</v>
      </c>
      <c r="L146" s="277">
        <v>1923.75</v>
      </c>
      <c r="M146" s="247">
        <f>BD.PD[[#This Row],[Cant.]]*BD.PD[[#This Row],[ Tasa ]]*BD.PD[[#This Row],[ Precio Und.]]</f>
        <v>116771.625</v>
      </c>
      <c r="N146" s="278">
        <v>0.01</v>
      </c>
      <c r="O146" s="247">
        <f>IF(BD.PD[[#This Row],[Liquid. '[%']]]&lt;&gt;0,(BD.PD[[#This Row],[Valor Neto '[DOP']]]*BD.PD[[#This Row],[Liquid. '[%']]])+BD.PD[[#This Row],[Valor Neto '[DOP']]],BD.PD[[#This Row],[Valor Neto '[DOP']]])</f>
        <v>117939.34125</v>
      </c>
      <c r="P146" s="257">
        <f>BD.PD[[#This Row],[Ppto. Orden Interna '[DOP']]]/HLOOKUP("USD",$J$1:$K$2,2,FALSE)</f>
        <v>1942.9875</v>
      </c>
      <c r="Q146" s="250" t="s">
        <v>1110</v>
      </c>
      <c r="R146" s="258" t="s">
        <v>1107</v>
      </c>
      <c r="S146" s="251">
        <v>21</v>
      </c>
      <c r="T146" s="252">
        <v>1</v>
      </c>
      <c r="U146" s="259">
        <f>BD.PD[[#This Row],[Av.P1 '[%']]]*BD.PD[[#This Row],[Ppto. Orden Interna '[DOP']]]</f>
        <v>117939.34125</v>
      </c>
      <c r="V146" s="254">
        <v>24</v>
      </c>
      <c r="W146" s="255"/>
      <c r="X146" s="259">
        <f>BD.PD[[#This Row],[Av.P2 '[%']]]*BD.PD[[#This Row],[Ppto. Orden Interna '[DOP']]]</f>
        <v>0</v>
      </c>
      <c r="Y146" s="254"/>
      <c r="Z146" s="255"/>
      <c r="AA146" s="259">
        <f>BD.PD[[#This Row],[Av.P3 '[%']]]*BD.PD[[#This Row],[Ppto. Orden Interna '[DOP']]]</f>
        <v>0</v>
      </c>
      <c r="AB146" s="254"/>
      <c r="AC146" s="255"/>
      <c r="AD146" s="259">
        <f>BD.PD[[#This Row],[Av.P4 '[%']]]*BD.PD[[#This Row],[Ppto. Orden Interna '[DOP']]]</f>
        <v>0</v>
      </c>
      <c r="AE146" s="254"/>
      <c r="AF146" s="255"/>
      <c r="AG146" s="259">
        <f>BD.PD[[#This Row],[Av.P5 '[%']]]*BD.PD[[#This Row],[Ppto. Orden Interna '[DOP']]]</f>
        <v>0</v>
      </c>
      <c r="AH146" s="256">
        <f>BD.PD[[#This Row],[Pago 5]]+BD.PD[[#This Row],[Pago 4]]+BD.PD[[#This Row],[Pago 3]]+BD.PD[[#This Row],[Pago 2]]+BD.PD[[#This Row],[Pago 1]]</f>
        <v>117939.34125</v>
      </c>
      <c r="AI146" s="318"/>
    </row>
    <row r="147" spans="1:237" ht="15" customHeight="1" x14ac:dyDescent="0.3">
      <c r="A147" s="181">
        <v>8.0500000000000007</v>
      </c>
      <c r="B147" s="239"/>
      <c r="C147" s="240" t="str">
        <f>VLOOKUP(BD.PD[[#This Row],[Pos]],PPto[],3,FALSE)</f>
        <v>8.05 Mobiliario no operacional para Tiendas</v>
      </c>
      <c r="D147" s="181" t="s">
        <v>40</v>
      </c>
      <c r="E147" s="242" t="str">
        <f>IF(BD.PD[[#This Row],[.]]="*",VLOOKUP(BD.PD[[#This Row],[Pos]],Presupuesto!A:H,7,FALSE),"")</f>
        <v/>
      </c>
      <c r="F147" s="389" t="s">
        <v>596</v>
      </c>
      <c r="G147" s="243">
        <v>4512530739</v>
      </c>
      <c r="H147" s="275" t="s">
        <v>1066</v>
      </c>
      <c r="I147" s="276">
        <v>1</v>
      </c>
      <c r="J147" s="181" t="s">
        <v>314</v>
      </c>
      <c r="K147" s="245">
        <f>IF(BD.PD[[#This Row],[Mon]]="DOP",1,HLOOKUP(BD.PD[[#This Row],[Mon]],$J$1:$K$2,2,FALSE))</f>
        <v>1</v>
      </c>
      <c r="L147" s="388">
        <v>18771.189999999999</v>
      </c>
      <c r="M147" s="247">
        <f>BD.PD[[#This Row],[Cant.]]*BD.PD[[#This Row],[ Tasa ]]*BD.PD[[#This Row],[ Precio Und.]]</f>
        <v>18771.189999999999</v>
      </c>
      <c r="N147" s="278">
        <v>0</v>
      </c>
      <c r="O147" s="247">
        <f>IF(BD.PD[[#This Row],[Liquid. '[%']]]&lt;&gt;0,(BD.PD[[#This Row],[Valor Neto '[DOP']]]*BD.PD[[#This Row],[Liquid. '[%']]])+BD.PD[[#This Row],[Valor Neto '[DOP']]],BD.PD[[#This Row],[Valor Neto '[DOP']]])</f>
        <v>18771.189999999999</v>
      </c>
      <c r="P147" s="257">
        <f>BD.PD[[#This Row],[Ppto. Orden Interna '[DOP']]]/HLOOKUP("USD",$J$1:$K$2,2,FALSE)</f>
        <v>309.2453047775947</v>
      </c>
      <c r="Q147" s="250" t="s">
        <v>593</v>
      </c>
      <c r="R147" s="258" t="s">
        <v>594</v>
      </c>
      <c r="S147" s="251">
        <v>21</v>
      </c>
      <c r="T147" s="252">
        <v>1</v>
      </c>
      <c r="U147" s="259">
        <f>BD.PD[[#This Row],[Av.P1 '[%']]]*BD.PD[[#This Row],[Ppto. Orden Interna '[DOP']]]</f>
        <v>18771.189999999999</v>
      </c>
      <c r="V147" s="254"/>
      <c r="W147" s="255"/>
      <c r="X147" s="259">
        <f>BD.PD[[#This Row],[Av.P2 '[%']]]*BD.PD[[#This Row],[Ppto. Orden Interna '[DOP']]]</f>
        <v>0</v>
      </c>
      <c r="Y147" s="254"/>
      <c r="Z147" s="255"/>
      <c r="AA147" s="259">
        <f>BD.PD[[#This Row],[Av.P3 '[%']]]*BD.PD[[#This Row],[Ppto. Orden Interna '[DOP']]]</f>
        <v>0</v>
      </c>
      <c r="AB147" s="254"/>
      <c r="AC147" s="255"/>
      <c r="AD147" s="259">
        <f>BD.PD[[#This Row],[Av.P4 '[%']]]*BD.PD[[#This Row],[Ppto. Orden Interna '[DOP']]]</f>
        <v>0</v>
      </c>
      <c r="AE147" s="254"/>
      <c r="AF147" s="255"/>
      <c r="AG147" s="259">
        <f>BD.PD[[#This Row],[Av.P5 '[%']]]*BD.PD[[#This Row],[Ppto. Orden Interna '[DOP']]]</f>
        <v>0</v>
      </c>
      <c r="AH147" s="256">
        <f>BD.PD[[#This Row],[Pago 5]]+BD.PD[[#This Row],[Pago 4]]+BD.PD[[#This Row],[Pago 3]]+BD.PD[[#This Row],[Pago 2]]+BD.PD[[#This Row],[Pago 1]]</f>
        <v>18771.189999999999</v>
      </c>
      <c r="AI147" s="318"/>
    </row>
    <row r="148" spans="1:237" ht="15" customHeight="1" x14ac:dyDescent="0.3">
      <c r="A148" s="181">
        <v>8.0500000000000007</v>
      </c>
      <c r="B148" s="239"/>
      <c r="C148" s="240" t="str">
        <f>VLOOKUP(BD.PD[[#This Row],[Pos]],PPto[],3,FALSE)</f>
        <v>8.05 Mobiliario no operacional para Tiendas</v>
      </c>
      <c r="D148" s="181" t="s">
        <v>40</v>
      </c>
      <c r="E148" s="242" t="str">
        <f>IF(BD.PD[[#This Row],[.]]="*",VLOOKUP(BD.PD[[#This Row],[Pos]],Presupuesto!A:H,7,FALSE),"")</f>
        <v/>
      </c>
      <c r="F148" s="389" t="s">
        <v>600</v>
      </c>
      <c r="G148" s="243">
        <v>4512922448</v>
      </c>
      <c r="H148" s="275"/>
      <c r="I148" s="276">
        <v>4</v>
      </c>
      <c r="J148" s="181" t="s">
        <v>314</v>
      </c>
      <c r="K148" s="245">
        <f>IF(BD.PD[[#This Row],[Mon]]="DOP",1,HLOOKUP(BD.PD[[#This Row],[Mon]],$J$1:$K$2,2,FALSE))</f>
        <v>1</v>
      </c>
      <c r="L148" s="388">
        <v>16356.2</v>
      </c>
      <c r="M148" s="247">
        <f>BD.PD[[#This Row],[Cant.]]*BD.PD[[#This Row],[ Tasa ]]*BD.PD[[#This Row],[ Precio Und.]]</f>
        <v>65424.800000000003</v>
      </c>
      <c r="N148" s="278">
        <v>0</v>
      </c>
      <c r="O148" s="247">
        <f>IF(BD.PD[[#This Row],[Liquid. '[%']]]&lt;&gt;0,(BD.PD[[#This Row],[Valor Neto '[DOP']]]*BD.PD[[#This Row],[Liquid. '[%']]])+BD.PD[[#This Row],[Valor Neto '[DOP']]],BD.PD[[#This Row],[Valor Neto '[DOP']]])</f>
        <v>65424.800000000003</v>
      </c>
      <c r="P148" s="257">
        <f>BD.PD[[#This Row],[Ppto. Orden Interna '[DOP']]]/HLOOKUP("USD",$J$1:$K$2,2,FALSE)</f>
        <v>1077.8385502471169</v>
      </c>
      <c r="Q148" s="250"/>
      <c r="R148" s="258" t="s">
        <v>594</v>
      </c>
      <c r="S148" s="251">
        <v>21</v>
      </c>
      <c r="T148" s="252">
        <v>1</v>
      </c>
      <c r="U148" s="259">
        <f>BD.PD[[#This Row],[Av.P1 '[%']]]*BD.PD[[#This Row],[Ppto. Orden Interna '[DOP']]]</f>
        <v>65424.800000000003</v>
      </c>
      <c r="V148" s="254"/>
      <c r="W148" s="255"/>
      <c r="X148" s="259">
        <f>BD.PD[[#This Row],[Av.P2 '[%']]]*BD.PD[[#This Row],[Ppto. Orden Interna '[DOP']]]</f>
        <v>0</v>
      </c>
      <c r="Y148" s="254"/>
      <c r="Z148" s="255"/>
      <c r="AA148" s="259">
        <f>BD.PD[[#This Row],[Av.P3 '[%']]]*BD.PD[[#This Row],[Ppto. Orden Interna '[DOP']]]</f>
        <v>0</v>
      </c>
      <c r="AB148" s="254"/>
      <c r="AC148" s="255"/>
      <c r="AD148" s="259">
        <f>BD.PD[[#This Row],[Av.P4 '[%']]]*BD.PD[[#This Row],[Ppto. Orden Interna '[DOP']]]</f>
        <v>0</v>
      </c>
      <c r="AE148" s="254"/>
      <c r="AF148" s="255"/>
      <c r="AG148" s="259">
        <f>BD.PD[[#This Row],[Av.P5 '[%']]]*BD.PD[[#This Row],[Ppto. Orden Interna '[DOP']]]</f>
        <v>0</v>
      </c>
      <c r="AH148" s="256">
        <f>BD.PD[[#This Row],[Pago 5]]+BD.PD[[#This Row],[Pago 4]]+BD.PD[[#This Row],[Pago 3]]+BD.PD[[#This Row],[Pago 2]]+BD.PD[[#This Row],[Pago 1]]</f>
        <v>65424.800000000003</v>
      </c>
      <c r="AI148" s="318"/>
    </row>
    <row r="149" spans="1:237" ht="15" customHeight="1" x14ac:dyDescent="0.3">
      <c r="A149" s="181">
        <v>8.0500000000000007</v>
      </c>
      <c r="B149" s="239"/>
      <c r="C149" s="240" t="str">
        <f>VLOOKUP(BD.PD[[#This Row],[Pos]],PPto[],3,FALSE)</f>
        <v>8.05 Mobiliario no operacional para Tiendas</v>
      </c>
      <c r="D149" s="181" t="s">
        <v>40</v>
      </c>
      <c r="E149" s="242" t="str">
        <f>IF(BD.PD[[#This Row],[.]]="*",VLOOKUP(BD.PD[[#This Row],[Pos]],Presupuesto!A:H,7,FALSE),"")</f>
        <v/>
      </c>
      <c r="F149" s="389" t="s">
        <v>601</v>
      </c>
      <c r="G149" s="243">
        <v>4512922448</v>
      </c>
      <c r="H149" s="275"/>
      <c r="I149" s="276">
        <v>1</v>
      </c>
      <c r="J149" s="181" t="s">
        <v>314</v>
      </c>
      <c r="K149" s="245">
        <f>IF(BD.PD[[#This Row],[Mon]]="DOP",1,HLOOKUP(BD.PD[[#This Row],[Mon]],$J$1:$K$2,2,FALSE))</f>
        <v>1</v>
      </c>
      <c r="L149" s="388">
        <v>34300</v>
      </c>
      <c r="M149" s="247">
        <f>BD.PD[[#This Row],[Cant.]]*BD.PD[[#This Row],[ Tasa ]]*BD.PD[[#This Row],[ Precio Und.]]</f>
        <v>34300</v>
      </c>
      <c r="N149" s="278">
        <v>0</v>
      </c>
      <c r="O149" s="247">
        <f>IF(BD.PD[[#This Row],[Liquid. '[%']]]&lt;&gt;0,(BD.PD[[#This Row],[Valor Neto '[DOP']]]*BD.PD[[#This Row],[Liquid. '[%']]])+BD.PD[[#This Row],[Valor Neto '[DOP']]],BD.PD[[#This Row],[Valor Neto '[DOP']]])</f>
        <v>34300</v>
      </c>
      <c r="P149" s="257">
        <f>BD.PD[[#This Row],[Ppto. Orden Interna '[DOP']]]/HLOOKUP("USD",$J$1:$K$2,2,FALSE)</f>
        <v>565.0741350906095</v>
      </c>
      <c r="Q149" s="250"/>
      <c r="R149" s="258" t="s">
        <v>594</v>
      </c>
      <c r="S149" s="251">
        <v>21</v>
      </c>
      <c r="T149" s="252">
        <v>1</v>
      </c>
      <c r="U149" s="259">
        <f>BD.PD[[#This Row],[Av.P1 '[%']]]*BD.PD[[#This Row],[Ppto. Orden Interna '[DOP']]]</f>
        <v>34300</v>
      </c>
      <c r="V149" s="254"/>
      <c r="W149" s="255"/>
      <c r="X149" s="259">
        <f>BD.PD[[#This Row],[Av.P2 '[%']]]*BD.PD[[#This Row],[Ppto. Orden Interna '[DOP']]]</f>
        <v>0</v>
      </c>
      <c r="Y149" s="254"/>
      <c r="Z149" s="255"/>
      <c r="AA149" s="259">
        <f>BD.PD[[#This Row],[Av.P3 '[%']]]*BD.PD[[#This Row],[Ppto. Orden Interna '[DOP']]]</f>
        <v>0</v>
      </c>
      <c r="AB149" s="254"/>
      <c r="AC149" s="255"/>
      <c r="AD149" s="259">
        <f>BD.PD[[#This Row],[Av.P4 '[%']]]*BD.PD[[#This Row],[Ppto. Orden Interna '[DOP']]]</f>
        <v>0</v>
      </c>
      <c r="AE149" s="254"/>
      <c r="AF149" s="255"/>
      <c r="AG149" s="259">
        <f>BD.PD[[#This Row],[Av.P5 '[%']]]*BD.PD[[#This Row],[Ppto. Orden Interna '[DOP']]]</f>
        <v>0</v>
      </c>
      <c r="AH149" s="256">
        <f>BD.PD[[#This Row],[Pago 5]]+BD.PD[[#This Row],[Pago 4]]+BD.PD[[#This Row],[Pago 3]]+BD.PD[[#This Row],[Pago 2]]+BD.PD[[#This Row],[Pago 1]]</f>
        <v>34300</v>
      </c>
      <c r="AI149" s="318"/>
    </row>
    <row r="150" spans="1:237" ht="15" customHeight="1" x14ac:dyDescent="0.3">
      <c r="A150" s="181">
        <v>8.0500000000000007</v>
      </c>
      <c r="B150" s="239"/>
      <c r="C150" s="240" t="str">
        <f>VLOOKUP(BD.PD[[#This Row],[Pos]],PPto[],3,FALSE)</f>
        <v>8.05 Mobiliario no operacional para Tiendas</v>
      </c>
      <c r="D150" s="181" t="s">
        <v>40</v>
      </c>
      <c r="E150" s="242" t="str">
        <f>IF(BD.PD[[#This Row],[.]]="*",VLOOKUP(BD.PD[[#This Row],[Pos]],Presupuesto!A:H,7,FALSE),"")</f>
        <v/>
      </c>
      <c r="F150" s="389" t="s">
        <v>602</v>
      </c>
      <c r="G150" s="243">
        <v>4512922448</v>
      </c>
      <c r="H150" s="275"/>
      <c r="I150" s="276">
        <v>6</v>
      </c>
      <c r="J150" s="181" t="s">
        <v>314</v>
      </c>
      <c r="K150" s="245">
        <f>IF(BD.PD[[#This Row],[Mon]]="DOP",1,HLOOKUP(BD.PD[[#This Row],[Mon]],$J$1:$K$2,2,FALSE))</f>
        <v>1</v>
      </c>
      <c r="L150" s="388">
        <v>61250</v>
      </c>
      <c r="M150" s="247">
        <f>BD.PD[[#This Row],[Cant.]]*BD.PD[[#This Row],[ Tasa ]]*BD.PD[[#This Row],[ Precio Und.]]</f>
        <v>367500</v>
      </c>
      <c r="N150" s="278">
        <v>0</v>
      </c>
      <c r="O150" s="247">
        <f>IF(BD.PD[[#This Row],[Liquid. '[%']]]&lt;&gt;0,(BD.PD[[#This Row],[Valor Neto '[DOP']]]*BD.PD[[#This Row],[Liquid. '[%']]])+BD.PD[[#This Row],[Valor Neto '[DOP']]],BD.PD[[#This Row],[Valor Neto '[DOP']]])</f>
        <v>367500</v>
      </c>
      <c r="P150" s="257">
        <f>BD.PD[[#This Row],[Ppto. Orden Interna '[DOP']]]/HLOOKUP("USD",$J$1:$K$2,2,FALSE)</f>
        <v>6054.3657331136737</v>
      </c>
      <c r="Q150" s="250" t="s">
        <v>1074</v>
      </c>
      <c r="R150" s="258" t="s">
        <v>594</v>
      </c>
      <c r="S150" s="251">
        <v>21</v>
      </c>
      <c r="T150" s="252">
        <v>1</v>
      </c>
      <c r="U150" s="259">
        <f>BD.PD[[#This Row],[Av.P1 '[%']]]*BD.PD[[#This Row],[Ppto. Orden Interna '[DOP']]]</f>
        <v>367500</v>
      </c>
      <c r="V150" s="254"/>
      <c r="W150" s="255"/>
      <c r="X150" s="259">
        <f>BD.PD[[#This Row],[Av.P2 '[%']]]*BD.PD[[#This Row],[Ppto. Orden Interna '[DOP']]]</f>
        <v>0</v>
      </c>
      <c r="Y150" s="254"/>
      <c r="Z150" s="255"/>
      <c r="AA150" s="259">
        <f>BD.PD[[#This Row],[Av.P3 '[%']]]*BD.PD[[#This Row],[Ppto. Orden Interna '[DOP']]]</f>
        <v>0</v>
      </c>
      <c r="AB150" s="254"/>
      <c r="AC150" s="255"/>
      <c r="AD150" s="259">
        <f>BD.PD[[#This Row],[Av.P4 '[%']]]*BD.PD[[#This Row],[Ppto. Orden Interna '[DOP']]]</f>
        <v>0</v>
      </c>
      <c r="AE150" s="254"/>
      <c r="AF150" s="255"/>
      <c r="AG150" s="259">
        <f>BD.PD[[#This Row],[Av.P5 '[%']]]*BD.PD[[#This Row],[Ppto. Orden Interna '[DOP']]]</f>
        <v>0</v>
      </c>
      <c r="AH150" s="256">
        <f>BD.PD[[#This Row],[Pago 5]]+BD.PD[[#This Row],[Pago 4]]+BD.PD[[#This Row],[Pago 3]]+BD.PD[[#This Row],[Pago 2]]+BD.PD[[#This Row],[Pago 1]]</f>
        <v>367500</v>
      </c>
      <c r="AI150" s="318"/>
    </row>
    <row r="151" spans="1:237" ht="15" customHeight="1" x14ac:dyDescent="0.3">
      <c r="A151" s="181">
        <v>8.06</v>
      </c>
      <c r="B151" s="239"/>
      <c r="C151" s="240" t="str">
        <f>VLOOKUP(BD.PD[[#This Row],[Pos]],PPto[],3,FALSE)</f>
        <v>8.06 Otros Equipamientos de Tienda</v>
      </c>
      <c r="D151" s="181" t="s">
        <v>40</v>
      </c>
      <c r="E151" s="242" t="str">
        <f>IF(BD.PD[[#This Row],[.]]="*",VLOOKUP(BD.PD[[#This Row],[Pos]],Presupuesto!A:H,7,FALSE),"")</f>
        <v/>
      </c>
      <c r="F151" s="243" t="s">
        <v>624</v>
      </c>
      <c r="G151" s="243" t="s">
        <v>308</v>
      </c>
      <c r="H151" s="275"/>
      <c r="I151" s="276">
        <v>4</v>
      </c>
      <c r="J151" s="181" t="s">
        <v>314</v>
      </c>
      <c r="K151" s="245">
        <f>IF(BD.PD[[#This Row],[Mon]]="DOP",1,HLOOKUP(BD.PD[[#This Row],[Mon]],$J$1:$K$2,2,FALSE))</f>
        <v>1</v>
      </c>
      <c r="L151" s="277">
        <v>184000</v>
      </c>
      <c r="M151" s="247">
        <f>BD.PD[[#This Row],[Cant.]]*BD.PD[[#This Row],[ Tasa ]]*BD.PD[[#This Row],[ Precio Und.]]</f>
        <v>736000</v>
      </c>
      <c r="N151" s="278">
        <v>0.05</v>
      </c>
      <c r="O151" s="247">
        <f>IF(BD.PD[[#This Row],[Liquid. '[%']]]&lt;&gt;0,(BD.PD[[#This Row],[Valor Neto '[DOP']]]*BD.PD[[#This Row],[Liquid. '[%']]])+BD.PD[[#This Row],[Valor Neto '[DOP']]],BD.PD[[#This Row],[Valor Neto '[DOP']]])</f>
        <v>772800</v>
      </c>
      <c r="P151" s="257">
        <f>BD.PD[[#This Row],[Ppto. Orden Interna '[DOP']]]/HLOOKUP("USD",$J$1:$K$2,2,FALSE)</f>
        <v>12731.466227347611</v>
      </c>
      <c r="Q151" s="250" t="s">
        <v>629</v>
      </c>
      <c r="R151" s="258" t="s">
        <v>594</v>
      </c>
      <c r="S151" s="251">
        <v>22</v>
      </c>
      <c r="T151" s="252">
        <v>0.5</v>
      </c>
      <c r="U151" s="259">
        <f>BD.PD[[#This Row],[Av.P1 '[%']]]*BD.PD[[#This Row],[Ppto. Orden Interna '[DOP']]]</f>
        <v>386400</v>
      </c>
      <c r="V151" s="254">
        <v>24</v>
      </c>
      <c r="W151" s="255">
        <v>0.5</v>
      </c>
      <c r="X151" s="259">
        <f>BD.PD[[#This Row],[Av.P2 '[%']]]*BD.PD[[#This Row],[Ppto. Orden Interna '[DOP']]]</f>
        <v>386400</v>
      </c>
      <c r="Y151" s="254"/>
      <c r="Z151" s="255"/>
      <c r="AA151" s="259">
        <f>BD.PD[[#This Row],[Av.P3 '[%']]]*BD.PD[[#This Row],[Ppto. Orden Interna '[DOP']]]</f>
        <v>0</v>
      </c>
      <c r="AB151" s="254"/>
      <c r="AC151" s="255"/>
      <c r="AD151" s="259">
        <f>BD.PD[[#This Row],[Av.P4 '[%']]]*BD.PD[[#This Row],[Ppto. Orden Interna '[DOP']]]</f>
        <v>0</v>
      </c>
      <c r="AE151" s="254"/>
      <c r="AF151" s="255"/>
      <c r="AG151" s="259">
        <f>BD.PD[[#This Row],[Av.P5 '[%']]]*BD.PD[[#This Row],[Ppto. Orden Interna '[DOP']]]</f>
        <v>0</v>
      </c>
      <c r="AH151" s="256">
        <f>BD.PD[[#This Row],[Pago 5]]+BD.PD[[#This Row],[Pago 4]]+BD.PD[[#This Row],[Pago 3]]+BD.PD[[#This Row],[Pago 2]]+BD.PD[[#This Row],[Pago 1]]</f>
        <v>772800</v>
      </c>
      <c r="AI151" s="318"/>
    </row>
    <row r="152" spans="1:237" ht="15" customHeight="1" x14ac:dyDescent="0.3">
      <c r="A152" s="181">
        <v>8.06</v>
      </c>
      <c r="B152" s="239"/>
      <c r="C152" s="240" t="str">
        <f>VLOOKUP(BD.PD[[#This Row],[Pos]],PPto[],3,FALSE)</f>
        <v>8.06 Otros Equipamientos de Tienda</v>
      </c>
      <c r="D152" s="181" t="s">
        <v>40</v>
      </c>
      <c r="E152" s="242" t="str">
        <f>IF(BD.PD[[#This Row],[.]]="*",VLOOKUP(BD.PD[[#This Row],[Pos]],Presupuesto!A:H,7,FALSE),"")</f>
        <v/>
      </c>
      <c r="F152" s="243" t="s">
        <v>625</v>
      </c>
      <c r="G152" s="243" t="s">
        <v>308</v>
      </c>
      <c r="H152" s="275"/>
      <c r="I152" s="276">
        <v>1</v>
      </c>
      <c r="J152" s="181" t="s">
        <v>314</v>
      </c>
      <c r="K152" s="245">
        <f>IF(BD.PD[[#This Row],[Mon]]="DOP",1,HLOOKUP(BD.PD[[#This Row],[Mon]],$J$1:$K$2,2,FALSE))</f>
        <v>1</v>
      </c>
      <c r="L152" s="277">
        <v>150000</v>
      </c>
      <c r="M152" s="247">
        <f>BD.PD[[#This Row],[Cant.]]*BD.PD[[#This Row],[ Tasa ]]*BD.PD[[#This Row],[ Precio Und.]]</f>
        <v>150000</v>
      </c>
      <c r="N152" s="278">
        <v>0</v>
      </c>
      <c r="O152" s="247">
        <f>IF(BD.PD[[#This Row],[Liquid. '[%']]]&lt;&gt;0,(BD.PD[[#This Row],[Valor Neto '[DOP']]]*BD.PD[[#This Row],[Liquid. '[%']]])+BD.PD[[#This Row],[Valor Neto '[DOP']]],BD.PD[[#This Row],[Valor Neto '[DOP']]])</f>
        <v>150000</v>
      </c>
      <c r="P152" s="257">
        <f>BD.PD[[#This Row],[Ppto. Orden Interna '[DOP']]]/HLOOKUP("USD",$J$1:$K$2,2,FALSE)</f>
        <v>2471.169686985173</v>
      </c>
      <c r="Q152" s="250" t="s">
        <v>626</v>
      </c>
      <c r="R152" s="258" t="s">
        <v>594</v>
      </c>
      <c r="S152" s="251">
        <v>22</v>
      </c>
      <c r="T152" s="252">
        <v>0.5</v>
      </c>
      <c r="U152" s="259">
        <f>BD.PD[[#This Row],[Av.P1 '[%']]]*BD.PD[[#This Row],[Ppto. Orden Interna '[DOP']]]</f>
        <v>75000</v>
      </c>
      <c r="V152" s="254">
        <v>24</v>
      </c>
      <c r="W152" s="255">
        <v>0.5</v>
      </c>
      <c r="X152" s="259">
        <f>BD.PD[[#This Row],[Av.P2 '[%']]]*BD.PD[[#This Row],[Ppto. Orden Interna '[DOP']]]</f>
        <v>75000</v>
      </c>
      <c r="Y152" s="254"/>
      <c r="Z152" s="255"/>
      <c r="AA152" s="259">
        <f>BD.PD[[#This Row],[Av.P3 '[%']]]*BD.PD[[#This Row],[Ppto. Orden Interna '[DOP']]]</f>
        <v>0</v>
      </c>
      <c r="AB152" s="254"/>
      <c r="AC152" s="255"/>
      <c r="AD152" s="259">
        <f>BD.PD[[#This Row],[Av.P4 '[%']]]*BD.PD[[#This Row],[Ppto. Orden Interna '[DOP']]]</f>
        <v>0</v>
      </c>
      <c r="AE152" s="254"/>
      <c r="AF152" s="255"/>
      <c r="AG152" s="259">
        <f>BD.PD[[#This Row],[Av.P5 '[%']]]*BD.PD[[#This Row],[Ppto. Orden Interna '[DOP']]]</f>
        <v>0</v>
      </c>
      <c r="AH152" s="256">
        <f>BD.PD[[#This Row],[Pago 5]]+BD.PD[[#This Row],[Pago 4]]+BD.PD[[#This Row],[Pago 3]]+BD.PD[[#This Row],[Pago 2]]+BD.PD[[#This Row],[Pago 1]]</f>
        <v>150000</v>
      </c>
      <c r="AI152" s="318"/>
    </row>
    <row r="153" spans="1:237" ht="15" customHeight="1" x14ac:dyDescent="0.3">
      <c r="A153" s="181">
        <v>8.06</v>
      </c>
      <c r="B153" s="239"/>
      <c r="C153" s="240" t="str">
        <f>VLOOKUP(BD.PD[[#This Row],[Pos]],PPto[],3,FALSE)</f>
        <v>8.06 Otros Equipamientos de Tienda</v>
      </c>
      <c r="D153" s="181" t="s">
        <v>40</v>
      </c>
      <c r="E153" s="242" t="str">
        <f>IF(BD.PD[[#This Row],[.]]="*",VLOOKUP(BD.PD[[#This Row],[Pos]],Presupuesto!A:H,7,FALSE),"")</f>
        <v/>
      </c>
      <c r="F153" s="243" t="s">
        <v>627</v>
      </c>
      <c r="G153" s="243" t="s">
        <v>308</v>
      </c>
      <c r="H153" s="275"/>
      <c r="I153" s="276">
        <v>1</v>
      </c>
      <c r="J153" s="181" t="s">
        <v>314</v>
      </c>
      <c r="K153" s="245">
        <f>IF(BD.PD[[#This Row],[Mon]]="DOP",1,HLOOKUP(BD.PD[[#This Row],[Mon]],$J$1:$K$2,2,FALSE))</f>
        <v>1</v>
      </c>
      <c r="L153" s="277">
        <v>125000</v>
      </c>
      <c r="M153" s="247">
        <f>BD.PD[[#This Row],[Cant.]]*BD.PD[[#This Row],[ Tasa ]]*BD.PD[[#This Row],[ Precio Und.]]</f>
        <v>125000</v>
      </c>
      <c r="N153" s="278">
        <v>0</v>
      </c>
      <c r="O153" s="247">
        <f>IF(BD.PD[[#This Row],[Liquid. '[%']]]&lt;&gt;0,(BD.PD[[#This Row],[Valor Neto '[DOP']]]*BD.PD[[#This Row],[Liquid. '[%']]])+BD.PD[[#This Row],[Valor Neto '[DOP']]],BD.PD[[#This Row],[Valor Neto '[DOP']]])</f>
        <v>125000</v>
      </c>
      <c r="P153" s="257">
        <f>BD.PD[[#This Row],[Ppto. Orden Interna '[DOP']]]/HLOOKUP("USD",$J$1:$K$2,2,FALSE)</f>
        <v>2059.308072487644</v>
      </c>
      <c r="Q153" s="250" t="s">
        <v>626</v>
      </c>
      <c r="R153" s="258" t="s">
        <v>594</v>
      </c>
      <c r="S153" s="251">
        <v>22</v>
      </c>
      <c r="T153" s="252">
        <v>0.5</v>
      </c>
      <c r="U153" s="259">
        <f>BD.PD[[#This Row],[Av.P1 '[%']]]*BD.PD[[#This Row],[Ppto. Orden Interna '[DOP']]]</f>
        <v>62500</v>
      </c>
      <c r="V153" s="254">
        <v>24</v>
      </c>
      <c r="W153" s="255">
        <v>0.5</v>
      </c>
      <c r="X153" s="259">
        <f>BD.PD[[#This Row],[Av.P2 '[%']]]*BD.PD[[#This Row],[Ppto. Orden Interna '[DOP']]]</f>
        <v>62500</v>
      </c>
      <c r="Y153" s="254"/>
      <c r="Z153" s="255"/>
      <c r="AA153" s="259">
        <f>BD.PD[[#This Row],[Av.P3 '[%']]]*BD.PD[[#This Row],[Ppto. Orden Interna '[DOP']]]</f>
        <v>0</v>
      </c>
      <c r="AB153" s="254"/>
      <c r="AC153" s="255"/>
      <c r="AD153" s="259">
        <f>BD.PD[[#This Row],[Av.P4 '[%']]]*BD.PD[[#This Row],[Ppto. Orden Interna '[DOP']]]</f>
        <v>0</v>
      </c>
      <c r="AE153" s="254"/>
      <c r="AF153" s="255"/>
      <c r="AG153" s="259">
        <f>BD.PD[[#This Row],[Av.P5 '[%']]]*BD.PD[[#This Row],[Ppto. Orden Interna '[DOP']]]</f>
        <v>0</v>
      </c>
      <c r="AH153" s="256">
        <f>BD.PD[[#This Row],[Pago 5]]+BD.PD[[#This Row],[Pago 4]]+BD.PD[[#This Row],[Pago 3]]+BD.PD[[#This Row],[Pago 2]]+BD.PD[[#This Row],[Pago 1]]</f>
        <v>125000</v>
      </c>
      <c r="AI153" s="318"/>
    </row>
    <row r="154" spans="1:237" s="306" customFormat="1" ht="15" customHeight="1" x14ac:dyDescent="0.3">
      <c r="A154" s="181">
        <v>2.0099999999999998</v>
      </c>
      <c r="B154" s="239"/>
      <c r="C154" s="240" t="str">
        <f>VLOOKUP(BD.PD[[#This Row],[Pos]],PPto[],3,FALSE)</f>
        <v xml:space="preserve">2.01 Edificación - Obra Civil </v>
      </c>
      <c r="D154" s="181" t="s">
        <v>40</v>
      </c>
      <c r="E154" s="242" t="str">
        <f>IF(BD.PD[[#This Row],[.]]="*",VLOOKUP(BD.PD[[#This Row],[Pos]],Presupuesto!A:H,7,FALSE),"")</f>
        <v/>
      </c>
      <c r="F154" s="308" t="s">
        <v>1075</v>
      </c>
      <c r="G154" s="243">
        <v>4513082755</v>
      </c>
      <c r="H154" s="275"/>
      <c r="I154" s="276">
        <v>86</v>
      </c>
      <c r="J154" s="181" t="s">
        <v>188</v>
      </c>
      <c r="K154" s="245">
        <f>IF(BD.PD[[#This Row],[Mon]]="DOP",1,HLOOKUP(BD.PD[[#This Row],[Mon]],$J$1:$K$2,2,FALSE))</f>
        <v>60.7</v>
      </c>
      <c r="L154" s="277">
        <v>25</v>
      </c>
      <c r="M154" s="247">
        <f>BD.PD[[#This Row],[Cant.]]*BD.PD[[#This Row],[ Tasa ]]*BD.PD[[#This Row],[ Precio Und.]]</f>
        <v>130505</v>
      </c>
      <c r="N154" s="278">
        <v>0</v>
      </c>
      <c r="O154" s="247">
        <f>IF(BD.PD[[#This Row],[Liquid. '[%']]]&lt;&gt;0,(BD.PD[[#This Row],[Valor Neto '[DOP']]]*BD.PD[[#This Row],[Liquid. '[%']]])+BD.PD[[#This Row],[Valor Neto '[DOP']]],BD.PD[[#This Row],[Valor Neto '[DOP']]])</f>
        <v>130505</v>
      </c>
      <c r="P154" s="257">
        <f>BD.PD[[#This Row],[Ppto. Orden Interna '[DOP']]]/HLOOKUP("USD",$J$1:$K$2,2,FALSE)</f>
        <v>2150</v>
      </c>
      <c r="Q154" s="250" t="s">
        <v>1076</v>
      </c>
      <c r="R154" s="258" t="s">
        <v>309</v>
      </c>
      <c r="S154" s="251">
        <v>21</v>
      </c>
      <c r="T154" s="252">
        <v>0.5</v>
      </c>
      <c r="U154" s="259">
        <f>BD.PD[[#This Row],[Av.P1 '[%']]]*BD.PD[[#This Row],[Ppto. Orden Interna '[DOP']]]</f>
        <v>65252.5</v>
      </c>
      <c r="V154" s="254">
        <v>24</v>
      </c>
      <c r="W154" s="255">
        <v>0.5</v>
      </c>
      <c r="X154" s="259">
        <f>BD.PD[[#This Row],[Av.P2 '[%']]]*BD.PD[[#This Row],[Ppto. Orden Interna '[DOP']]]</f>
        <v>65252.5</v>
      </c>
      <c r="Y154" s="254"/>
      <c r="Z154" s="255"/>
      <c r="AA154" s="259">
        <f>BD.PD[[#This Row],[Av.P3 '[%']]]*BD.PD[[#This Row],[Ppto. Orden Interna '[DOP']]]</f>
        <v>0</v>
      </c>
      <c r="AB154" s="254"/>
      <c r="AC154" s="255"/>
      <c r="AD154" s="259">
        <f>BD.PD[[#This Row],[Av.P4 '[%']]]*BD.PD[[#This Row],[Ppto. Orden Interna '[DOP']]]</f>
        <v>0</v>
      </c>
      <c r="AE154" s="254"/>
      <c r="AF154" s="255"/>
      <c r="AG154" s="259">
        <f>BD.PD[[#This Row],[Av.P5 '[%']]]*BD.PD[[#This Row],[Ppto. Orden Interna '[DOP']]]</f>
        <v>0</v>
      </c>
      <c r="AH154" s="256">
        <f>BD.PD[[#This Row],[Pago 5]]+BD.PD[[#This Row],[Pago 4]]+BD.PD[[#This Row],[Pago 3]]+BD.PD[[#This Row],[Pago 2]]+BD.PD[[#This Row],[Pago 1]]</f>
        <v>130505</v>
      </c>
      <c r="AI154" s="318"/>
      <c r="AJ154" s="316"/>
      <c r="AK154" s="316"/>
      <c r="AL154" s="316"/>
      <c r="AM154" s="316"/>
      <c r="AN154" s="316"/>
      <c r="AO154" s="316"/>
      <c r="AP154" s="316"/>
      <c r="AQ154" s="316"/>
      <c r="AR154" s="316"/>
      <c r="AS154" s="316"/>
      <c r="AT154" s="316"/>
      <c r="AU154" s="316"/>
      <c r="AV154" s="316"/>
      <c r="AW154" s="316"/>
      <c r="AX154" s="316"/>
      <c r="AY154" s="316"/>
      <c r="AZ154" s="316"/>
      <c r="BA154" s="316"/>
      <c r="BB154" s="316"/>
      <c r="BC154" s="316"/>
      <c r="BD154" s="316"/>
      <c r="BE154" s="316"/>
      <c r="BF154" s="316"/>
      <c r="BG154" s="316"/>
      <c r="BH154" s="316"/>
      <c r="BI154" s="316"/>
      <c r="BJ154" s="316"/>
      <c r="BK154" s="316"/>
      <c r="BL154" s="316"/>
      <c r="BM154" s="316"/>
      <c r="BN154" s="316"/>
      <c r="BO154" s="316"/>
      <c r="BP154" s="316"/>
      <c r="BQ154" s="316"/>
      <c r="BR154" s="316"/>
      <c r="BS154" s="316"/>
      <c r="BT154" s="316"/>
      <c r="BU154" s="316"/>
      <c r="BV154" s="316"/>
      <c r="BW154" s="316"/>
      <c r="BX154" s="316"/>
      <c r="BY154" s="316"/>
      <c r="BZ154" s="316"/>
      <c r="CA154" s="316"/>
      <c r="CB154" s="316"/>
      <c r="CC154" s="316"/>
      <c r="CD154" s="316"/>
      <c r="CE154" s="316"/>
      <c r="CF154" s="316"/>
      <c r="CG154" s="316"/>
      <c r="CH154" s="316"/>
      <c r="CI154" s="316"/>
      <c r="CJ154" s="316"/>
      <c r="CK154" s="316"/>
      <c r="CL154" s="316"/>
      <c r="CM154" s="316"/>
      <c r="CN154" s="316"/>
      <c r="CO154" s="316"/>
      <c r="CP154" s="316"/>
      <c r="CQ154" s="316"/>
      <c r="CR154" s="316"/>
      <c r="CS154" s="316"/>
      <c r="CT154" s="316"/>
      <c r="CU154" s="316"/>
      <c r="CV154" s="316"/>
      <c r="CW154" s="316"/>
      <c r="CX154" s="316"/>
      <c r="CY154" s="316"/>
      <c r="CZ154" s="316"/>
      <c r="DA154" s="316"/>
      <c r="DB154" s="316"/>
      <c r="DC154" s="316"/>
      <c r="DD154" s="316"/>
      <c r="DE154" s="316"/>
      <c r="DF154" s="316"/>
      <c r="DG154" s="316"/>
      <c r="DH154" s="316"/>
      <c r="DI154" s="316"/>
      <c r="DJ154" s="316"/>
      <c r="DK154" s="316"/>
      <c r="DL154" s="316"/>
      <c r="DM154" s="316"/>
      <c r="DN154" s="316"/>
      <c r="DO154" s="316"/>
      <c r="DP154" s="316"/>
      <c r="DQ154" s="316"/>
      <c r="DR154" s="316"/>
      <c r="DS154" s="316"/>
      <c r="DT154" s="316"/>
      <c r="DU154" s="316"/>
      <c r="DV154" s="316"/>
      <c r="DW154" s="316"/>
      <c r="DX154" s="316"/>
      <c r="DY154" s="316"/>
      <c r="DZ154" s="316"/>
      <c r="EA154" s="316"/>
      <c r="EB154" s="316"/>
      <c r="EC154" s="316"/>
      <c r="ED154" s="316"/>
      <c r="EE154" s="316"/>
      <c r="EF154" s="316"/>
      <c r="EG154" s="316"/>
      <c r="EH154" s="316"/>
      <c r="EI154" s="316"/>
      <c r="EJ154" s="316"/>
      <c r="EK154" s="316"/>
      <c r="EL154" s="316"/>
      <c r="EM154" s="316"/>
      <c r="EN154" s="316"/>
      <c r="EO154" s="316"/>
      <c r="EP154" s="316"/>
      <c r="EQ154" s="316"/>
      <c r="ER154" s="316"/>
      <c r="ES154" s="316"/>
      <c r="ET154" s="316"/>
      <c r="EU154" s="316"/>
      <c r="EV154" s="316"/>
      <c r="EW154" s="316"/>
      <c r="EX154" s="316"/>
      <c r="EY154" s="316"/>
      <c r="EZ154" s="316"/>
      <c r="FA154" s="316"/>
      <c r="FB154" s="316"/>
      <c r="FC154" s="316"/>
      <c r="FD154" s="316"/>
      <c r="FE154" s="316"/>
      <c r="FF154" s="316"/>
      <c r="FG154" s="316"/>
      <c r="FH154" s="316"/>
      <c r="FI154" s="316"/>
      <c r="FJ154" s="316"/>
      <c r="FK154" s="316"/>
      <c r="FL154" s="316"/>
      <c r="FM154" s="316"/>
      <c r="FN154" s="316"/>
      <c r="FO154" s="316"/>
      <c r="FP154" s="316"/>
      <c r="FQ154" s="316"/>
      <c r="FR154" s="316"/>
      <c r="FS154" s="316"/>
      <c r="FT154" s="316"/>
      <c r="FU154" s="316"/>
      <c r="FV154" s="316"/>
      <c r="FW154" s="316"/>
      <c r="FX154" s="316"/>
      <c r="FY154" s="316"/>
      <c r="FZ154" s="316"/>
      <c r="GA154" s="316"/>
      <c r="GB154" s="316"/>
      <c r="GC154" s="316"/>
      <c r="GD154" s="316"/>
      <c r="GE154" s="316"/>
      <c r="GF154" s="316"/>
      <c r="GG154" s="316"/>
      <c r="GH154" s="316"/>
      <c r="GI154" s="316"/>
      <c r="GJ154" s="316"/>
      <c r="GK154" s="316"/>
      <c r="GL154" s="316"/>
      <c r="GM154" s="316"/>
      <c r="GN154" s="316"/>
      <c r="GO154" s="316"/>
      <c r="GP154" s="316"/>
      <c r="GQ154" s="316"/>
      <c r="GR154" s="316"/>
      <c r="GS154" s="316"/>
      <c r="GT154" s="316"/>
      <c r="GU154" s="316"/>
      <c r="GV154" s="316"/>
      <c r="GW154" s="316"/>
      <c r="GX154" s="316"/>
      <c r="GY154" s="316"/>
      <c r="GZ154" s="316"/>
      <c r="HA154" s="316"/>
      <c r="HB154" s="316"/>
      <c r="HC154" s="316"/>
      <c r="HD154" s="316"/>
      <c r="HE154" s="316"/>
      <c r="HF154" s="316"/>
      <c r="HG154" s="316"/>
      <c r="HH154" s="316"/>
      <c r="HI154" s="316"/>
      <c r="HJ154" s="316"/>
      <c r="HK154" s="316"/>
      <c r="HL154" s="316"/>
      <c r="HM154" s="316"/>
      <c r="HN154" s="316"/>
      <c r="HO154" s="316"/>
      <c r="HP154" s="316"/>
      <c r="HQ154" s="316"/>
      <c r="HR154" s="316"/>
      <c r="HS154" s="316"/>
      <c r="HT154" s="316"/>
      <c r="HU154" s="316"/>
      <c r="HV154" s="316"/>
      <c r="HW154" s="316"/>
      <c r="HX154" s="316"/>
      <c r="HY154" s="316"/>
      <c r="HZ154" s="316"/>
      <c r="IA154" s="316"/>
      <c r="IB154" s="316"/>
      <c r="IC154" s="316"/>
    </row>
    <row r="155" spans="1:237" s="306" customFormat="1" ht="15" customHeight="1" x14ac:dyDescent="0.3">
      <c r="A155" s="181">
        <v>2.0099999999999998</v>
      </c>
      <c r="B155" s="239"/>
      <c r="C155" s="240" t="str">
        <f>VLOOKUP(BD.PD[[#This Row],[Pos]],PPto[],3,FALSE)</f>
        <v xml:space="preserve">2.01 Edificación - Obra Civil </v>
      </c>
      <c r="D155" s="181" t="s">
        <v>40</v>
      </c>
      <c r="E155" s="242" t="str">
        <f>IF(BD.PD[[#This Row],[.]]="*",VLOOKUP(BD.PD[[#This Row],[Pos]],Presupuesto!A:H,7,FALSE),"")</f>
        <v/>
      </c>
      <c r="F155" s="308" t="s">
        <v>1098</v>
      </c>
      <c r="G155" s="243">
        <v>4513082755</v>
      </c>
      <c r="H155" s="275"/>
      <c r="I155" s="276">
        <v>42.12</v>
      </c>
      <c r="J155" s="181" t="s">
        <v>188</v>
      </c>
      <c r="K155" s="245">
        <f>IF(BD.PD[[#This Row],[Mon]]="DOP",1,HLOOKUP(BD.PD[[#This Row],[Mon]],$J$1:$K$2,2,FALSE))</f>
        <v>60.7</v>
      </c>
      <c r="L155" s="277">
        <v>25</v>
      </c>
      <c r="M155" s="247">
        <f>BD.PD[[#This Row],[Cant.]]*BD.PD[[#This Row],[ Tasa ]]*BD.PD[[#This Row],[ Precio Und.]]</f>
        <v>63917.099999999991</v>
      </c>
      <c r="N155" s="278">
        <v>0</v>
      </c>
      <c r="O155" s="247">
        <f>IF(BD.PD[[#This Row],[Liquid. '[%']]]&lt;&gt;0,(BD.PD[[#This Row],[Valor Neto '[DOP']]]*BD.PD[[#This Row],[Liquid. '[%']]])+BD.PD[[#This Row],[Valor Neto '[DOP']]],BD.PD[[#This Row],[Valor Neto '[DOP']]])</f>
        <v>63917.099999999991</v>
      </c>
      <c r="P155" s="257">
        <f>BD.PD[[#This Row],[Ppto. Orden Interna '[DOP']]]/HLOOKUP("USD",$J$1:$K$2,2,FALSE)</f>
        <v>1052.9999999999998</v>
      </c>
      <c r="Q155" s="250" t="s">
        <v>1077</v>
      </c>
      <c r="R155" s="258" t="s">
        <v>309</v>
      </c>
      <c r="S155" s="251">
        <v>21</v>
      </c>
      <c r="T155" s="252">
        <v>0.5</v>
      </c>
      <c r="U155" s="259">
        <f>BD.PD[[#This Row],[Av.P1 '[%']]]*BD.PD[[#This Row],[Ppto. Orden Interna '[DOP']]]</f>
        <v>31958.549999999996</v>
      </c>
      <c r="V155" s="254">
        <v>24</v>
      </c>
      <c r="W155" s="255">
        <v>0.5</v>
      </c>
      <c r="X155" s="259">
        <f>BD.PD[[#This Row],[Av.P2 '[%']]]*BD.PD[[#This Row],[Ppto. Orden Interna '[DOP']]]</f>
        <v>31958.549999999996</v>
      </c>
      <c r="Y155" s="254"/>
      <c r="Z155" s="255"/>
      <c r="AA155" s="259">
        <f>BD.PD[[#This Row],[Av.P3 '[%']]]*BD.PD[[#This Row],[Ppto. Orden Interna '[DOP']]]</f>
        <v>0</v>
      </c>
      <c r="AB155" s="254"/>
      <c r="AC155" s="255"/>
      <c r="AD155" s="259">
        <f>BD.PD[[#This Row],[Av.P4 '[%']]]*BD.PD[[#This Row],[Ppto. Orden Interna '[DOP']]]</f>
        <v>0</v>
      </c>
      <c r="AE155" s="254"/>
      <c r="AF155" s="255"/>
      <c r="AG155" s="259">
        <f>BD.PD[[#This Row],[Av.P5 '[%']]]*BD.PD[[#This Row],[Ppto. Orden Interna '[DOP']]]</f>
        <v>0</v>
      </c>
      <c r="AH155" s="256">
        <f>BD.PD[[#This Row],[Pago 5]]+BD.PD[[#This Row],[Pago 4]]+BD.PD[[#This Row],[Pago 3]]+BD.PD[[#This Row],[Pago 2]]+BD.PD[[#This Row],[Pago 1]]</f>
        <v>63917.099999999991</v>
      </c>
      <c r="AI155" s="318"/>
      <c r="AJ155" s="316"/>
      <c r="AK155" s="316"/>
      <c r="AL155" s="316"/>
      <c r="AM155" s="316"/>
      <c r="AN155" s="316"/>
      <c r="AO155" s="316"/>
      <c r="AP155" s="316"/>
      <c r="AQ155" s="316"/>
      <c r="AR155" s="316"/>
      <c r="AS155" s="316"/>
      <c r="AT155" s="316"/>
      <c r="AU155" s="316"/>
      <c r="AV155" s="316"/>
      <c r="AW155" s="316"/>
      <c r="AX155" s="316"/>
      <c r="AY155" s="316"/>
      <c r="AZ155" s="316"/>
      <c r="BA155" s="316"/>
      <c r="BB155" s="316"/>
      <c r="BC155" s="316"/>
      <c r="BD155" s="316"/>
      <c r="BE155" s="316"/>
      <c r="BF155" s="316"/>
      <c r="BG155" s="316"/>
      <c r="BH155" s="316"/>
      <c r="BI155" s="316"/>
      <c r="BJ155" s="316"/>
      <c r="BK155" s="316"/>
      <c r="BL155" s="316"/>
      <c r="BM155" s="316"/>
      <c r="BN155" s="316"/>
      <c r="BO155" s="316"/>
      <c r="BP155" s="316"/>
      <c r="BQ155" s="316"/>
      <c r="BR155" s="316"/>
      <c r="BS155" s="316"/>
      <c r="BT155" s="316"/>
      <c r="BU155" s="316"/>
      <c r="BV155" s="316"/>
      <c r="BW155" s="316"/>
      <c r="BX155" s="316"/>
      <c r="BY155" s="316"/>
      <c r="BZ155" s="316"/>
      <c r="CA155" s="316"/>
      <c r="CB155" s="316"/>
      <c r="CC155" s="316"/>
      <c r="CD155" s="316"/>
      <c r="CE155" s="316"/>
      <c r="CF155" s="316"/>
      <c r="CG155" s="316"/>
      <c r="CH155" s="316"/>
      <c r="CI155" s="316"/>
      <c r="CJ155" s="316"/>
      <c r="CK155" s="316"/>
      <c r="CL155" s="316"/>
      <c r="CM155" s="316"/>
      <c r="CN155" s="316"/>
      <c r="CO155" s="316"/>
      <c r="CP155" s="316"/>
      <c r="CQ155" s="316"/>
      <c r="CR155" s="316"/>
      <c r="CS155" s="316"/>
      <c r="CT155" s="316"/>
      <c r="CU155" s="316"/>
      <c r="CV155" s="316"/>
      <c r="CW155" s="316"/>
      <c r="CX155" s="316"/>
      <c r="CY155" s="316"/>
      <c r="CZ155" s="316"/>
      <c r="DA155" s="316"/>
      <c r="DB155" s="316"/>
      <c r="DC155" s="316"/>
      <c r="DD155" s="316"/>
      <c r="DE155" s="316"/>
      <c r="DF155" s="316"/>
      <c r="DG155" s="316"/>
      <c r="DH155" s="316"/>
      <c r="DI155" s="316"/>
      <c r="DJ155" s="316"/>
      <c r="DK155" s="316"/>
      <c r="DL155" s="316"/>
      <c r="DM155" s="316"/>
      <c r="DN155" s="316"/>
      <c r="DO155" s="316"/>
      <c r="DP155" s="316"/>
      <c r="DQ155" s="316"/>
      <c r="DR155" s="316"/>
      <c r="DS155" s="316"/>
      <c r="DT155" s="316"/>
      <c r="DU155" s="316"/>
      <c r="DV155" s="316"/>
      <c r="DW155" s="316"/>
      <c r="DX155" s="316"/>
      <c r="DY155" s="316"/>
      <c r="DZ155" s="316"/>
      <c r="EA155" s="316"/>
      <c r="EB155" s="316"/>
      <c r="EC155" s="316"/>
      <c r="ED155" s="316"/>
      <c r="EE155" s="316"/>
      <c r="EF155" s="316"/>
      <c r="EG155" s="316"/>
      <c r="EH155" s="316"/>
      <c r="EI155" s="316"/>
      <c r="EJ155" s="316"/>
      <c r="EK155" s="316"/>
      <c r="EL155" s="316"/>
      <c r="EM155" s="316"/>
      <c r="EN155" s="316"/>
      <c r="EO155" s="316"/>
      <c r="EP155" s="316"/>
      <c r="EQ155" s="316"/>
      <c r="ER155" s="316"/>
      <c r="ES155" s="316"/>
      <c r="ET155" s="316"/>
      <c r="EU155" s="316"/>
      <c r="EV155" s="316"/>
      <c r="EW155" s="316"/>
      <c r="EX155" s="316"/>
      <c r="EY155" s="316"/>
      <c r="EZ155" s="316"/>
      <c r="FA155" s="316"/>
      <c r="FB155" s="316"/>
      <c r="FC155" s="316"/>
      <c r="FD155" s="316"/>
      <c r="FE155" s="316"/>
      <c r="FF155" s="316"/>
      <c r="FG155" s="316"/>
      <c r="FH155" s="316"/>
      <c r="FI155" s="316"/>
      <c r="FJ155" s="316"/>
      <c r="FK155" s="316"/>
      <c r="FL155" s="316"/>
      <c r="FM155" s="316"/>
      <c r="FN155" s="316"/>
      <c r="FO155" s="316"/>
      <c r="FP155" s="316"/>
      <c r="FQ155" s="316"/>
      <c r="FR155" s="316"/>
      <c r="FS155" s="316"/>
      <c r="FT155" s="316"/>
      <c r="FU155" s="316"/>
      <c r="FV155" s="316"/>
      <c r="FW155" s="316"/>
      <c r="FX155" s="316"/>
      <c r="FY155" s="316"/>
      <c r="FZ155" s="316"/>
      <c r="GA155" s="316"/>
      <c r="GB155" s="316"/>
      <c r="GC155" s="316"/>
      <c r="GD155" s="316"/>
      <c r="GE155" s="316"/>
      <c r="GF155" s="316"/>
      <c r="GG155" s="316"/>
      <c r="GH155" s="316"/>
      <c r="GI155" s="316"/>
      <c r="GJ155" s="316"/>
      <c r="GK155" s="316"/>
      <c r="GL155" s="316"/>
      <c r="GM155" s="316"/>
      <c r="GN155" s="316"/>
      <c r="GO155" s="316"/>
      <c r="GP155" s="316"/>
      <c r="GQ155" s="316"/>
      <c r="GR155" s="316"/>
      <c r="GS155" s="316"/>
      <c r="GT155" s="316"/>
      <c r="GU155" s="316"/>
      <c r="GV155" s="316"/>
      <c r="GW155" s="316"/>
      <c r="GX155" s="316"/>
      <c r="GY155" s="316"/>
      <c r="GZ155" s="316"/>
      <c r="HA155" s="316"/>
      <c r="HB155" s="316"/>
      <c r="HC155" s="316"/>
      <c r="HD155" s="316"/>
      <c r="HE155" s="316"/>
      <c r="HF155" s="316"/>
      <c r="HG155" s="316"/>
      <c r="HH155" s="316"/>
      <c r="HI155" s="316"/>
      <c r="HJ155" s="316"/>
      <c r="HK155" s="316"/>
      <c r="HL155" s="316"/>
      <c r="HM155" s="316"/>
      <c r="HN155" s="316"/>
      <c r="HO155" s="316"/>
      <c r="HP155" s="316"/>
      <c r="HQ155" s="316"/>
      <c r="HR155" s="316"/>
      <c r="HS155" s="316"/>
      <c r="HT155" s="316"/>
      <c r="HU155" s="316"/>
      <c r="HV155" s="316"/>
      <c r="HW155" s="316"/>
      <c r="HX155" s="316"/>
      <c r="HY155" s="316"/>
      <c r="HZ155" s="316"/>
      <c r="IA155" s="316"/>
      <c r="IB155" s="316"/>
      <c r="IC155" s="316"/>
    </row>
    <row r="156" spans="1:237" ht="15" customHeight="1" x14ac:dyDescent="0.3">
      <c r="A156" s="181">
        <v>2.0099999999999998</v>
      </c>
      <c r="B156" s="239"/>
      <c r="C156" s="240" t="str">
        <f>VLOOKUP(BD.PD[[#This Row],[Pos]],PPto[],3,FALSE)</f>
        <v xml:space="preserve">2.01 Edificación - Obra Civil </v>
      </c>
      <c r="D156" s="181" t="s">
        <v>40</v>
      </c>
      <c r="E156" s="242" t="str">
        <f>IF(BD.PD[[#This Row],[.]]="*",VLOOKUP(BD.PD[[#This Row],[Pos]],Presupuesto!A:H,7,FALSE),"")</f>
        <v/>
      </c>
      <c r="F156" s="308" t="s">
        <v>310</v>
      </c>
      <c r="G156" s="243">
        <v>4513082755</v>
      </c>
      <c r="H156" s="275"/>
      <c r="I156" s="276">
        <v>46.44</v>
      </c>
      <c r="J156" s="181" t="s">
        <v>188</v>
      </c>
      <c r="K156" s="245">
        <f>IF(BD.PD[[#This Row],[Mon]]="DOP",1,HLOOKUP(BD.PD[[#This Row],[Mon]],$J$1:$K$2,2,FALSE))</f>
        <v>60.7</v>
      </c>
      <c r="L156" s="277">
        <v>25.45</v>
      </c>
      <c r="M156" s="247">
        <f>BD.PD[[#This Row],[Cant.]]*BD.PD[[#This Row],[ Tasa ]]*BD.PD[[#This Row],[ Precio Und.]]</f>
        <v>71741.208599999998</v>
      </c>
      <c r="N156" s="278">
        <v>0</v>
      </c>
      <c r="O156" s="247">
        <f>IF(BD.PD[[#This Row],[Liquid. '[%']]]&lt;&gt;0,(BD.PD[[#This Row],[Valor Neto '[DOP']]]*BD.PD[[#This Row],[Liquid. '[%']]])+BD.PD[[#This Row],[Valor Neto '[DOP']]],BD.PD[[#This Row],[Valor Neto '[DOP']]])</f>
        <v>71741.208599999998</v>
      </c>
      <c r="P156" s="257">
        <f>BD.PD[[#This Row],[Ppto. Orden Interna '[DOP']]]/HLOOKUP("USD",$J$1:$K$2,2,FALSE)</f>
        <v>1181.8979999999999</v>
      </c>
      <c r="Q156" s="250" t="s">
        <v>1080</v>
      </c>
      <c r="R156" s="258" t="s">
        <v>309</v>
      </c>
      <c r="S156" s="251">
        <v>21</v>
      </c>
      <c r="T156" s="252">
        <v>0.5</v>
      </c>
      <c r="U156" s="259">
        <f>BD.PD[[#This Row],[Av.P1 '[%']]]*BD.PD[[#This Row],[Ppto. Orden Interna '[DOP']]]</f>
        <v>35870.604299999999</v>
      </c>
      <c r="V156" s="254">
        <v>24</v>
      </c>
      <c r="W156" s="255">
        <v>0.5</v>
      </c>
      <c r="X156" s="259">
        <f>BD.PD[[#This Row],[Av.P2 '[%']]]*BD.PD[[#This Row],[Ppto. Orden Interna '[DOP']]]</f>
        <v>35870.604299999999</v>
      </c>
      <c r="Y156" s="254"/>
      <c r="Z156" s="255"/>
      <c r="AA156" s="259">
        <f>BD.PD[[#This Row],[Av.P3 '[%']]]*BD.PD[[#This Row],[Ppto. Orden Interna '[DOP']]]</f>
        <v>0</v>
      </c>
      <c r="AB156" s="254"/>
      <c r="AC156" s="255"/>
      <c r="AD156" s="259">
        <f>BD.PD[[#This Row],[Av.P4 '[%']]]*BD.PD[[#This Row],[Ppto. Orden Interna '[DOP']]]</f>
        <v>0</v>
      </c>
      <c r="AE156" s="254"/>
      <c r="AF156" s="255"/>
      <c r="AG156" s="259">
        <f>BD.PD[[#This Row],[Av.P5 '[%']]]*BD.PD[[#This Row],[Ppto. Orden Interna '[DOP']]]</f>
        <v>0</v>
      </c>
      <c r="AH156" s="256">
        <f>BD.PD[[#This Row],[Pago 5]]+BD.PD[[#This Row],[Pago 4]]+BD.PD[[#This Row],[Pago 3]]+BD.PD[[#This Row],[Pago 2]]+BD.PD[[#This Row],[Pago 1]]</f>
        <v>71741.208599999998</v>
      </c>
      <c r="AI156" s="318"/>
    </row>
    <row r="157" spans="1:237" ht="15" customHeight="1" x14ac:dyDescent="0.3">
      <c r="A157" s="181">
        <v>2.0099999999999998</v>
      </c>
      <c r="B157" s="239"/>
      <c r="C157" s="240" t="str">
        <f>VLOOKUP(BD.PD[[#This Row],[Pos]],PPto[],3,FALSE)</f>
        <v xml:space="preserve">2.01 Edificación - Obra Civil </v>
      </c>
      <c r="D157" s="181" t="s">
        <v>40</v>
      </c>
      <c r="E157" s="242" t="str">
        <f>IF(BD.PD[[#This Row],[.]]="*",VLOOKUP(BD.PD[[#This Row],[Pos]],Presupuesto!A:H,7,FALSE),"")</f>
        <v/>
      </c>
      <c r="F157" s="308" t="s">
        <v>1099</v>
      </c>
      <c r="G157" s="243">
        <v>4513082755</v>
      </c>
      <c r="H157" s="275"/>
      <c r="I157" s="276">
        <v>182.52</v>
      </c>
      <c r="J157" s="181" t="s">
        <v>188</v>
      </c>
      <c r="K157" s="245">
        <f>IF(BD.PD[[#This Row],[Mon]]="DOP",1,HLOOKUP(BD.PD[[#This Row],[Mon]],$J$1:$K$2,2,FALSE))</f>
        <v>60.7</v>
      </c>
      <c r="L157" s="277">
        <v>34</v>
      </c>
      <c r="M157" s="247">
        <f>BD.PD[[#This Row],[Cant.]]*BD.PD[[#This Row],[ Tasa ]]*BD.PD[[#This Row],[ Precio Und.]]</f>
        <v>376684.77600000007</v>
      </c>
      <c r="N157" s="278">
        <v>0</v>
      </c>
      <c r="O157" s="247">
        <f>IF(BD.PD[[#This Row],[Liquid. '[%']]]&lt;&gt;0,(BD.PD[[#This Row],[Valor Neto '[DOP']]]*BD.PD[[#This Row],[Liquid. '[%']]])+BD.PD[[#This Row],[Valor Neto '[DOP']]],BD.PD[[#This Row],[Valor Neto '[DOP']]])</f>
        <v>376684.77600000007</v>
      </c>
      <c r="P157" s="257">
        <f>BD.PD[[#This Row],[Ppto. Orden Interna '[DOP']]]/HLOOKUP("USD",$J$1:$K$2,2,FALSE)</f>
        <v>6205.6800000000012</v>
      </c>
      <c r="Q157" s="250" t="s">
        <v>1078</v>
      </c>
      <c r="R157" s="258" t="s">
        <v>309</v>
      </c>
      <c r="S157" s="251">
        <v>21</v>
      </c>
      <c r="T157" s="252">
        <v>0.5</v>
      </c>
      <c r="U157" s="259">
        <f>BD.PD[[#This Row],[Av.P1 '[%']]]*BD.PD[[#This Row],[Ppto. Orden Interna '[DOP']]]</f>
        <v>188342.38800000004</v>
      </c>
      <c r="V157" s="254">
        <v>24</v>
      </c>
      <c r="W157" s="255">
        <v>0.5</v>
      </c>
      <c r="X157" s="259">
        <f>BD.PD[[#This Row],[Av.P2 '[%']]]*BD.PD[[#This Row],[Ppto. Orden Interna '[DOP']]]</f>
        <v>188342.38800000004</v>
      </c>
      <c r="Y157" s="254"/>
      <c r="Z157" s="255"/>
      <c r="AA157" s="259">
        <f>BD.PD[[#This Row],[Av.P3 '[%']]]*BD.PD[[#This Row],[Ppto. Orden Interna '[DOP']]]</f>
        <v>0</v>
      </c>
      <c r="AB157" s="254"/>
      <c r="AC157" s="255"/>
      <c r="AD157" s="259">
        <f>BD.PD[[#This Row],[Av.P4 '[%']]]*BD.PD[[#This Row],[Ppto. Orden Interna '[DOP']]]</f>
        <v>0</v>
      </c>
      <c r="AE157" s="254"/>
      <c r="AF157" s="255"/>
      <c r="AG157" s="259">
        <f>BD.PD[[#This Row],[Av.P5 '[%']]]*BD.PD[[#This Row],[Ppto. Orden Interna '[DOP']]]</f>
        <v>0</v>
      </c>
      <c r="AH157" s="256">
        <f>BD.PD[[#This Row],[Pago 5]]+BD.PD[[#This Row],[Pago 4]]+BD.PD[[#This Row],[Pago 3]]+BD.PD[[#This Row],[Pago 2]]+BD.PD[[#This Row],[Pago 1]]</f>
        <v>376684.77600000007</v>
      </c>
      <c r="AI157" s="318"/>
    </row>
    <row r="158" spans="1:237" ht="15" customHeight="1" x14ac:dyDescent="0.3">
      <c r="A158" s="181">
        <v>2.0099999999999998</v>
      </c>
      <c r="B158" s="239"/>
      <c r="C158" s="240" t="str">
        <f>VLOOKUP(BD.PD[[#This Row],[Pos]],PPto[],3,FALSE)</f>
        <v xml:space="preserve">2.01 Edificación - Obra Civil </v>
      </c>
      <c r="D158" s="181" t="s">
        <v>40</v>
      </c>
      <c r="E158" s="242" t="str">
        <f>IF(BD.PD[[#This Row],[.]]="*",VLOOKUP(BD.PD[[#This Row],[Pos]],Presupuesto!A:H,7,FALSE),"")</f>
        <v/>
      </c>
      <c r="F158" s="308" t="s">
        <v>307</v>
      </c>
      <c r="G158" s="243">
        <v>4513082755</v>
      </c>
      <c r="H158" s="275"/>
      <c r="I158" s="276">
        <v>182.52</v>
      </c>
      <c r="J158" s="181" t="s">
        <v>188</v>
      </c>
      <c r="K158" s="245">
        <f>IF(BD.PD[[#This Row],[Mon]]="DOP",1,HLOOKUP(BD.PD[[#This Row],[Mon]],$J$1:$K$2,2,FALSE))</f>
        <v>60.7</v>
      </c>
      <c r="L158" s="277">
        <v>24.7</v>
      </c>
      <c r="M158" s="247">
        <f>BD.PD[[#This Row],[Cant.]]*BD.PD[[#This Row],[ Tasa ]]*BD.PD[[#This Row],[ Precio Und.]]</f>
        <v>273650.41080000001</v>
      </c>
      <c r="N158" s="278">
        <v>0</v>
      </c>
      <c r="O158" s="247">
        <f>IF(BD.PD[[#This Row],[Liquid. '[%']]]&lt;&gt;0,(BD.PD[[#This Row],[Valor Neto '[DOP']]]*BD.PD[[#This Row],[Liquid. '[%']]])+BD.PD[[#This Row],[Valor Neto '[DOP']]],BD.PD[[#This Row],[Valor Neto '[DOP']]])</f>
        <v>273650.41080000001</v>
      </c>
      <c r="P158" s="257">
        <f>BD.PD[[#This Row],[Ppto. Orden Interna '[DOP']]]/HLOOKUP("USD",$J$1:$K$2,2,FALSE)</f>
        <v>4508.2439999999997</v>
      </c>
      <c r="Q158" s="250" t="s">
        <v>1079</v>
      </c>
      <c r="R158" s="258" t="s">
        <v>309</v>
      </c>
      <c r="S158" s="251">
        <v>21</v>
      </c>
      <c r="T158" s="252">
        <v>0.5</v>
      </c>
      <c r="U158" s="259">
        <f>BD.PD[[#This Row],[Av.P1 '[%']]]*BD.PD[[#This Row],[Ppto. Orden Interna '[DOP']]]</f>
        <v>136825.20540000001</v>
      </c>
      <c r="V158" s="254">
        <v>24</v>
      </c>
      <c r="W158" s="255">
        <v>0.5</v>
      </c>
      <c r="X158" s="259">
        <f>BD.PD[[#This Row],[Av.P2 '[%']]]*BD.PD[[#This Row],[Ppto. Orden Interna '[DOP']]]</f>
        <v>136825.20540000001</v>
      </c>
      <c r="Y158" s="254"/>
      <c r="Z158" s="255"/>
      <c r="AA158" s="259">
        <f>BD.PD[[#This Row],[Av.P3 '[%']]]*BD.PD[[#This Row],[Ppto. Orden Interna '[DOP']]]</f>
        <v>0</v>
      </c>
      <c r="AB158" s="254"/>
      <c r="AC158" s="255"/>
      <c r="AD158" s="259">
        <f>BD.PD[[#This Row],[Av.P4 '[%']]]*BD.PD[[#This Row],[Ppto. Orden Interna '[DOP']]]</f>
        <v>0</v>
      </c>
      <c r="AE158" s="254"/>
      <c r="AF158" s="255"/>
      <c r="AG158" s="259">
        <f>BD.PD[[#This Row],[Av.P5 '[%']]]*BD.PD[[#This Row],[Ppto. Orden Interna '[DOP']]]</f>
        <v>0</v>
      </c>
      <c r="AH158" s="256">
        <f>BD.PD[[#This Row],[Pago 5]]+BD.PD[[#This Row],[Pago 4]]+BD.PD[[#This Row],[Pago 3]]+BD.PD[[#This Row],[Pago 2]]+BD.PD[[#This Row],[Pago 1]]</f>
        <v>273650.41080000001</v>
      </c>
      <c r="AI158" s="318"/>
    </row>
    <row r="159" spans="1:237" ht="15" customHeight="1" x14ac:dyDescent="0.3">
      <c r="A159" s="181">
        <v>2.0099999999999998</v>
      </c>
      <c r="B159" s="239"/>
      <c r="C159" s="240" t="str">
        <f>VLOOKUP(BD.PD[[#This Row],[Pos]],PPto[],3,FALSE)</f>
        <v xml:space="preserve">2.01 Edificación - Obra Civil </v>
      </c>
      <c r="D159" s="181" t="s">
        <v>40</v>
      </c>
      <c r="E159" s="242" t="str">
        <f>IF(BD.PD[[#This Row],[.]]="*",VLOOKUP(BD.PD[[#This Row],[Pos]],Presupuesto!A:H,7,FALSE),"")</f>
        <v/>
      </c>
      <c r="F159" s="308" t="s">
        <v>1100</v>
      </c>
      <c r="G159" s="243">
        <v>4513082755</v>
      </c>
      <c r="H159" s="275"/>
      <c r="I159" s="276">
        <v>50.4</v>
      </c>
      <c r="J159" s="181" t="s">
        <v>188</v>
      </c>
      <c r="K159" s="245">
        <f>IF(BD.PD[[#This Row],[Mon]]="DOP",1,HLOOKUP(BD.PD[[#This Row],[Mon]],$J$1:$K$2,2,FALSE))</f>
        <v>60.7</v>
      </c>
      <c r="L159" s="277">
        <v>33.65</v>
      </c>
      <c r="M159" s="247">
        <f>BD.PD[[#This Row],[Cant.]]*BD.PD[[#This Row],[ Tasa ]]*BD.PD[[#This Row],[ Precio Und.]]</f>
        <v>102944.772</v>
      </c>
      <c r="N159" s="278">
        <v>0</v>
      </c>
      <c r="O159" s="247">
        <f>IF(BD.PD[[#This Row],[Liquid. '[%']]]&lt;&gt;0,(BD.PD[[#This Row],[Valor Neto '[DOP']]]*BD.PD[[#This Row],[Liquid. '[%']]])+BD.PD[[#This Row],[Valor Neto '[DOP']]],BD.PD[[#This Row],[Valor Neto '[DOP']]])</f>
        <v>102944.772</v>
      </c>
      <c r="P159" s="257">
        <f>BD.PD[[#This Row],[Ppto. Orden Interna '[DOP']]]/HLOOKUP("USD",$J$1:$K$2,2,FALSE)</f>
        <v>1695.9599999999998</v>
      </c>
      <c r="Q159" s="250" t="s">
        <v>1081</v>
      </c>
      <c r="R159" s="258" t="s">
        <v>309</v>
      </c>
      <c r="S159" s="251">
        <v>21</v>
      </c>
      <c r="T159" s="252">
        <v>0.5</v>
      </c>
      <c r="U159" s="259">
        <f>BD.PD[[#This Row],[Av.P1 '[%']]]*BD.PD[[#This Row],[Ppto. Orden Interna '[DOP']]]</f>
        <v>51472.385999999999</v>
      </c>
      <c r="V159" s="254">
        <v>24</v>
      </c>
      <c r="W159" s="255">
        <v>0.5</v>
      </c>
      <c r="X159" s="259">
        <f>BD.PD[[#This Row],[Av.P2 '[%']]]*BD.PD[[#This Row],[Ppto. Orden Interna '[DOP']]]</f>
        <v>51472.385999999999</v>
      </c>
      <c r="Y159" s="254"/>
      <c r="Z159" s="255"/>
      <c r="AA159" s="259">
        <f>BD.PD[[#This Row],[Av.P3 '[%']]]*BD.PD[[#This Row],[Ppto. Orden Interna '[DOP']]]</f>
        <v>0</v>
      </c>
      <c r="AB159" s="254"/>
      <c r="AC159" s="255"/>
      <c r="AD159" s="259">
        <f>BD.PD[[#This Row],[Av.P4 '[%']]]*BD.PD[[#This Row],[Ppto. Orden Interna '[DOP']]]</f>
        <v>0</v>
      </c>
      <c r="AE159" s="254"/>
      <c r="AF159" s="255"/>
      <c r="AG159" s="259">
        <f>BD.PD[[#This Row],[Av.P5 '[%']]]*BD.PD[[#This Row],[Ppto. Orden Interna '[DOP']]]</f>
        <v>0</v>
      </c>
      <c r="AH159" s="256">
        <f>BD.PD[[#This Row],[Pago 5]]+BD.PD[[#This Row],[Pago 4]]+BD.PD[[#This Row],[Pago 3]]+BD.PD[[#This Row],[Pago 2]]+BD.PD[[#This Row],[Pago 1]]</f>
        <v>102944.772</v>
      </c>
      <c r="AI159" s="318"/>
    </row>
    <row r="160" spans="1:237" ht="15" customHeight="1" x14ac:dyDescent="0.3">
      <c r="A160" s="181">
        <v>2.0099999999999998</v>
      </c>
      <c r="B160" s="239"/>
      <c r="C160" s="240" t="str">
        <f>VLOOKUP(BD.PD[[#This Row],[Pos]],PPto[],3,FALSE)</f>
        <v xml:space="preserve">2.01 Edificación - Obra Civil </v>
      </c>
      <c r="D160" s="181" t="s">
        <v>40</v>
      </c>
      <c r="E160" s="242" t="str">
        <f>IF(BD.PD[[#This Row],[.]]="*",VLOOKUP(BD.PD[[#This Row],[Pos]],Presupuesto!A:H,7,FALSE),"")</f>
        <v/>
      </c>
      <c r="F160" s="308" t="s">
        <v>1101</v>
      </c>
      <c r="G160" s="243">
        <v>4513082755</v>
      </c>
      <c r="H160" s="275"/>
      <c r="I160" s="276">
        <v>35.64</v>
      </c>
      <c r="J160" s="181" t="s">
        <v>188</v>
      </c>
      <c r="K160" s="245">
        <f>IF(BD.PD[[#This Row],[Mon]]="DOP",1,HLOOKUP(BD.PD[[#This Row],[Mon]],$J$1:$K$2,2,FALSE))</f>
        <v>60.7</v>
      </c>
      <c r="L160" s="277">
        <v>25</v>
      </c>
      <c r="M160" s="247">
        <f>BD.PD[[#This Row],[Cant.]]*BD.PD[[#This Row],[ Tasa ]]*BD.PD[[#This Row],[ Precio Und.]]</f>
        <v>54083.7</v>
      </c>
      <c r="N160" s="278">
        <v>0</v>
      </c>
      <c r="O160" s="247">
        <f>IF(BD.PD[[#This Row],[Liquid. '[%']]]&lt;&gt;0,(BD.PD[[#This Row],[Valor Neto '[DOP']]]*BD.PD[[#This Row],[Liquid. '[%']]])+BD.PD[[#This Row],[Valor Neto '[DOP']]],BD.PD[[#This Row],[Valor Neto '[DOP']]])</f>
        <v>54083.7</v>
      </c>
      <c r="P160" s="257">
        <f>BD.PD[[#This Row],[Ppto. Orden Interna '[DOP']]]/HLOOKUP("USD",$J$1:$K$2,2,FALSE)</f>
        <v>890.99999999999989</v>
      </c>
      <c r="Q160" s="250" t="s">
        <v>1081</v>
      </c>
      <c r="R160" s="258" t="s">
        <v>309</v>
      </c>
      <c r="S160" s="251">
        <v>21</v>
      </c>
      <c r="T160" s="252">
        <v>0.5</v>
      </c>
      <c r="U160" s="259">
        <f>BD.PD[[#This Row],[Av.P1 '[%']]]*BD.PD[[#This Row],[Ppto. Orden Interna '[DOP']]]</f>
        <v>27041.85</v>
      </c>
      <c r="V160" s="254">
        <v>24</v>
      </c>
      <c r="W160" s="255">
        <v>0.5</v>
      </c>
      <c r="X160" s="259">
        <f>BD.PD[[#This Row],[Av.P2 '[%']]]*BD.PD[[#This Row],[Ppto. Orden Interna '[DOP']]]</f>
        <v>27041.85</v>
      </c>
      <c r="Y160" s="254"/>
      <c r="Z160" s="255"/>
      <c r="AA160" s="259">
        <f>BD.PD[[#This Row],[Av.P3 '[%']]]*BD.PD[[#This Row],[Ppto. Orden Interna '[DOP']]]</f>
        <v>0</v>
      </c>
      <c r="AB160" s="254"/>
      <c r="AC160" s="255"/>
      <c r="AD160" s="259">
        <f>BD.PD[[#This Row],[Av.P4 '[%']]]*BD.PD[[#This Row],[Ppto. Orden Interna '[DOP']]]</f>
        <v>0</v>
      </c>
      <c r="AE160" s="254"/>
      <c r="AF160" s="255"/>
      <c r="AG160" s="259">
        <f>BD.PD[[#This Row],[Av.P5 '[%']]]*BD.PD[[#This Row],[Ppto. Orden Interna '[DOP']]]</f>
        <v>0</v>
      </c>
      <c r="AH160" s="256">
        <f>BD.PD[[#This Row],[Pago 5]]+BD.PD[[#This Row],[Pago 4]]+BD.PD[[#This Row],[Pago 3]]+BD.PD[[#This Row],[Pago 2]]+BD.PD[[#This Row],[Pago 1]]</f>
        <v>54083.7</v>
      </c>
      <c r="AI160" s="318"/>
    </row>
    <row r="161" spans="1:237" ht="15" customHeight="1" x14ac:dyDescent="0.3">
      <c r="A161" s="181">
        <v>2.08</v>
      </c>
      <c r="B161" s="239"/>
      <c r="C161" s="240" t="str">
        <f>VLOOKUP(BD.PD[[#This Row],[Pos]],PPto[],3,FALSE)</f>
        <v>2.08 Instalaciones Mecánicas</v>
      </c>
      <c r="D161" s="181" t="s">
        <v>40</v>
      </c>
      <c r="E161" s="242" t="str">
        <f>IF(BD.PD[[#This Row],[.]]="*",VLOOKUP(BD.PD[[#This Row],[Pos]],Presupuesto!A:H,7,FALSE),"")</f>
        <v/>
      </c>
      <c r="F161" s="243" t="s">
        <v>336</v>
      </c>
      <c r="G161" s="243">
        <v>4513077225</v>
      </c>
      <c r="H161" s="275" t="s">
        <v>1088</v>
      </c>
      <c r="I161" s="276">
        <v>1</v>
      </c>
      <c r="J161" s="181" t="s">
        <v>314</v>
      </c>
      <c r="K161" s="245">
        <f>IF(BD.PD[[#This Row],[Mon]]="DOP",1,HLOOKUP(BD.PD[[#This Row],[Mon]],$J$1:$K$2,2,FALSE))</f>
        <v>1</v>
      </c>
      <c r="L161" s="388">
        <v>460000</v>
      </c>
      <c r="M161" s="247">
        <f>BD.PD[[#This Row],[Cant.]]*BD.PD[[#This Row],[ Tasa ]]*BD.PD[[#This Row],[ Precio Und.]]</f>
        <v>460000</v>
      </c>
      <c r="N161" s="278">
        <v>0</v>
      </c>
      <c r="O161" s="247">
        <f>IF(BD.PD[[#This Row],[Liquid. '[%']]]&lt;&gt;0,(BD.PD[[#This Row],[Valor Neto '[DOP']]]*BD.PD[[#This Row],[Liquid. '[%']]])+BD.PD[[#This Row],[Valor Neto '[DOP']]],BD.PD[[#This Row],[Valor Neto '[DOP']]])</f>
        <v>460000</v>
      </c>
      <c r="P161" s="257">
        <f>BD.PD[[#This Row],[Ppto. Orden Interna '[DOP']]]/HLOOKUP("USD",$J$1:$K$2,2,FALSE)</f>
        <v>7578.25370675453</v>
      </c>
      <c r="Q161" s="250" t="s">
        <v>1090</v>
      </c>
      <c r="R161" s="258" t="s">
        <v>337</v>
      </c>
      <c r="S161" s="251">
        <v>21</v>
      </c>
      <c r="T161" s="252">
        <v>0.5</v>
      </c>
      <c r="U161" s="259">
        <f>BD.PD[[#This Row],[Av.P1 '[%']]]*BD.PD[[#This Row],[Ppto. Orden Interna '[DOP']]]</f>
        <v>230000</v>
      </c>
      <c r="V161" s="254">
        <v>24</v>
      </c>
      <c r="W161" s="255">
        <v>0.5</v>
      </c>
      <c r="X161" s="259">
        <f>BD.PD[[#This Row],[Av.P2 '[%']]]*BD.PD[[#This Row],[Ppto. Orden Interna '[DOP']]]</f>
        <v>230000</v>
      </c>
      <c r="Y161" s="254"/>
      <c r="Z161" s="255"/>
      <c r="AA161" s="259">
        <f>BD.PD[[#This Row],[Av.P3 '[%']]]*BD.PD[[#This Row],[Ppto. Orden Interna '[DOP']]]</f>
        <v>0</v>
      </c>
      <c r="AB161" s="254"/>
      <c r="AC161" s="255"/>
      <c r="AD161" s="259">
        <f>BD.PD[[#This Row],[Av.P4 '[%']]]*BD.PD[[#This Row],[Ppto. Orden Interna '[DOP']]]</f>
        <v>0</v>
      </c>
      <c r="AE161" s="254"/>
      <c r="AF161" s="255"/>
      <c r="AG161" s="259">
        <f>BD.PD[[#This Row],[Av.P5 '[%']]]*BD.PD[[#This Row],[Ppto. Orden Interna '[DOP']]]</f>
        <v>0</v>
      </c>
      <c r="AH161" s="256">
        <f>BD.PD[[#This Row],[Pago 5]]+BD.PD[[#This Row],[Pago 4]]+BD.PD[[#This Row],[Pago 3]]+BD.PD[[#This Row],[Pago 2]]+BD.PD[[#This Row],[Pago 1]]</f>
        <v>460000</v>
      </c>
      <c r="AI161" s="318"/>
    </row>
    <row r="162" spans="1:237" ht="15" customHeight="1" x14ac:dyDescent="0.3">
      <c r="A162" s="181">
        <v>2.08</v>
      </c>
      <c r="B162" s="239"/>
      <c r="C162" s="240" t="str">
        <f>VLOOKUP(BD.PD[[#This Row],[Pos]],PPto[],3,FALSE)</f>
        <v>2.08 Instalaciones Mecánicas</v>
      </c>
      <c r="D162" s="181" t="s">
        <v>40</v>
      </c>
      <c r="E162" s="242" t="str">
        <f>IF(BD.PD[[#This Row],[.]]="*",VLOOKUP(BD.PD[[#This Row],[Pos]],Presupuesto!A:H,7,FALSE),"")</f>
        <v/>
      </c>
      <c r="F162" s="243" t="s">
        <v>1089</v>
      </c>
      <c r="G162" s="243">
        <v>4513077242</v>
      </c>
      <c r="H162" s="275" t="s">
        <v>1088</v>
      </c>
      <c r="I162" s="276">
        <v>1</v>
      </c>
      <c r="J162" s="181" t="s">
        <v>314</v>
      </c>
      <c r="K162" s="245">
        <f>IF(BD.PD[[#This Row],[Mon]]="DOP",1,HLOOKUP(BD.PD[[#This Row],[Mon]],$J$1:$K$2,2,FALSE))</f>
        <v>1</v>
      </c>
      <c r="L162" s="388">
        <v>529706.23999999999</v>
      </c>
      <c r="M162" s="247">
        <f>BD.PD[[#This Row],[Cant.]]*BD.PD[[#This Row],[ Tasa ]]*BD.PD[[#This Row],[ Precio Und.]]</f>
        <v>529706.23999999999</v>
      </c>
      <c r="N162" s="278">
        <v>0</v>
      </c>
      <c r="O162" s="247">
        <f>IF(BD.PD[[#This Row],[Liquid. '[%']]]&lt;&gt;0,(BD.PD[[#This Row],[Valor Neto '[DOP']]]*BD.PD[[#This Row],[Liquid. '[%']]])+BD.PD[[#This Row],[Valor Neto '[DOP']]],BD.PD[[#This Row],[Valor Neto '[DOP']]])</f>
        <v>529706.23999999999</v>
      </c>
      <c r="P162" s="257">
        <f>BD.PD[[#This Row],[Ppto. Orden Interna '[DOP']]]/HLOOKUP("USD",$J$1:$K$2,2,FALSE)</f>
        <v>8726.6266886326193</v>
      </c>
      <c r="Q162" s="250" t="s">
        <v>1090</v>
      </c>
      <c r="R162" s="258" t="s">
        <v>337</v>
      </c>
      <c r="S162" s="251">
        <v>21</v>
      </c>
      <c r="T162" s="252">
        <v>0.5</v>
      </c>
      <c r="U162" s="259">
        <f>BD.PD[[#This Row],[Av.P1 '[%']]]*BD.PD[[#This Row],[Ppto. Orden Interna '[DOP']]]</f>
        <v>264853.12</v>
      </c>
      <c r="V162" s="254">
        <v>24</v>
      </c>
      <c r="W162" s="255">
        <v>0.5</v>
      </c>
      <c r="X162" s="259">
        <f>BD.PD[[#This Row],[Av.P2 '[%']]]*BD.PD[[#This Row],[Ppto. Orden Interna '[DOP']]]</f>
        <v>264853.12</v>
      </c>
      <c r="Y162" s="254"/>
      <c r="Z162" s="255"/>
      <c r="AA162" s="259">
        <f>BD.PD[[#This Row],[Av.P3 '[%']]]*BD.PD[[#This Row],[Ppto. Orden Interna '[DOP']]]</f>
        <v>0</v>
      </c>
      <c r="AB162" s="254"/>
      <c r="AC162" s="255"/>
      <c r="AD162" s="259">
        <f>BD.PD[[#This Row],[Av.P4 '[%']]]*BD.PD[[#This Row],[Ppto. Orden Interna '[DOP']]]</f>
        <v>0</v>
      </c>
      <c r="AE162" s="254"/>
      <c r="AF162" s="255"/>
      <c r="AG162" s="259">
        <f>BD.PD[[#This Row],[Av.P5 '[%']]]*BD.PD[[#This Row],[Ppto. Orden Interna '[DOP']]]</f>
        <v>0</v>
      </c>
      <c r="AH162" s="256">
        <f>BD.PD[[#This Row],[Pago 5]]+BD.PD[[#This Row],[Pago 4]]+BD.PD[[#This Row],[Pago 3]]+BD.PD[[#This Row],[Pago 2]]+BD.PD[[#This Row],[Pago 1]]</f>
        <v>529706.23999999999</v>
      </c>
      <c r="AI162" s="318"/>
    </row>
    <row r="163" spans="1:237" ht="15" customHeight="1" x14ac:dyDescent="0.3">
      <c r="A163" s="181">
        <v>6.05</v>
      </c>
      <c r="B163" s="239"/>
      <c r="C163" s="240" t="str">
        <f>VLOOKUP(BD.PD[[#This Row],[Pos]],PPto[],3,FALSE)</f>
        <v>6.05 Otros sum e inst Tecnología y Seguridad Y Tesoreria</v>
      </c>
      <c r="D163" s="181" t="s">
        <v>40</v>
      </c>
      <c r="E163" s="242" t="str">
        <f>IF(BD.PD[[#This Row],[.]]="*",VLOOKUP(BD.PD[[#This Row],[Pos]],Presupuesto!A:H,7,FALSE),"")</f>
        <v/>
      </c>
      <c r="F163" s="304" t="s">
        <v>395</v>
      </c>
      <c r="G163" s="243">
        <v>4513044086</v>
      </c>
      <c r="H163" s="275"/>
      <c r="I163" s="276">
        <v>11</v>
      </c>
      <c r="J163" s="181" t="s">
        <v>314</v>
      </c>
      <c r="K163" s="245">
        <f>IF(BD.PD[[#This Row],[Mon]]="DOP",1,HLOOKUP(BD.PD[[#This Row],[Mon]],$J$1:$K$2,2,FALSE))</f>
        <v>1</v>
      </c>
      <c r="L163" s="277">
        <v>850</v>
      </c>
      <c r="M163" s="247">
        <f>BD.PD[[#This Row],[Cant.]]*BD.PD[[#This Row],[ Tasa ]]*BD.PD[[#This Row],[ Precio Und.]]</f>
        <v>9350</v>
      </c>
      <c r="N163" s="278">
        <v>0</v>
      </c>
      <c r="O163" s="247">
        <f>IF(BD.PD[[#This Row],[Liquid. '[%']]]&lt;&gt;0,(BD.PD[[#This Row],[Valor Neto '[DOP']]]*BD.PD[[#This Row],[Liquid. '[%']]])+BD.PD[[#This Row],[Valor Neto '[DOP']]],BD.PD[[#This Row],[Valor Neto '[DOP']]])</f>
        <v>9350</v>
      </c>
      <c r="P163" s="257">
        <f>BD.PD[[#This Row],[Ppto. Orden Interna '[DOP']]]/HLOOKUP("USD",$J$1:$K$2,2,FALSE)</f>
        <v>154.03624382207579</v>
      </c>
      <c r="Q163" s="250" t="s">
        <v>393</v>
      </c>
      <c r="R163" s="258" t="s">
        <v>394</v>
      </c>
      <c r="S163" s="251">
        <v>18</v>
      </c>
      <c r="T163" s="252">
        <v>1</v>
      </c>
      <c r="U163" s="259">
        <f>BD.PD[[#This Row],[Av.P1 '[%']]]*BD.PD[[#This Row],[Ppto. Orden Interna '[DOP']]]</f>
        <v>9350</v>
      </c>
      <c r="V163" s="254"/>
      <c r="W163" s="255"/>
      <c r="X163" s="259">
        <f>BD.PD[[#This Row],[Av.P2 '[%']]]*BD.PD[[#This Row],[Ppto. Orden Interna '[DOP']]]</f>
        <v>0</v>
      </c>
      <c r="Y163" s="254"/>
      <c r="Z163" s="255"/>
      <c r="AA163" s="259">
        <f>BD.PD[[#This Row],[Av.P3 '[%']]]*BD.PD[[#This Row],[Ppto. Orden Interna '[DOP']]]</f>
        <v>0</v>
      </c>
      <c r="AB163" s="254"/>
      <c r="AC163" s="255"/>
      <c r="AD163" s="259">
        <f>BD.PD[[#This Row],[Av.P4 '[%']]]*BD.PD[[#This Row],[Ppto. Orden Interna '[DOP']]]</f>
        <v>0</v>
      </c>
      <c r="AE163" s="254"/>
      <c r="AF163" s="255"/>
      <c r="AG163" s="259">
        <f>BD.PD[[#This Row],[Av.P5 '[%']]]*BD.PD[[#This Row],[Ppto. Orden Interna '[DOP']]]</f>
        <v>0</v>
      </c>
      <c r="AH163" s="256">
        <f>BD.PD[[#This Row],[Pago 5]]+BD.PD[[#This Row],[Pago 4]]+BD.PD[[#This Row],[Pago 3]]+BD.PD[[#This Row],[Pago 2]]+BD.PD[[#This Row],[Pago 1]]</f>
        <v>9350</v>
      </c>
      <c r="AI163" s="318"/>
    </row>
    <row r="164" spans="1:237" ht="15" customHeight="1" x14ac:dyDescent="0.3">
      <c r="A164" s="181">
        <v>6.05</v>
      </c>
      <c r="B164" s="239"/>
      <c r="C164" s="240" t="str">
        <f>VLOOKUP(BD.PD[[#This Row],[Pos]],PPto[],3,FALSE)</f>
        <v>6.05 Otros sum e inst Tecnología y Seguridad Y Tesoreria</v>
      </c>
      <c r="D164" s="181" t="s">
        <v>40</v>
      </c>
      <c r="E164" s="242" t="str">
        <f>IF(BD.PD[[#This Row],[.]]="*",VLOOKUP(BD.PD[[#This Row],[Pos]],Presupuesto!A:H,7,FALSE),"")</f>
        <v/>
      </c>
      <c r="F164" s="304" t="s">
        <v>396</v>
      </c>
      <c r="G164" s="243">
        <v>4513044086</v>
      </c>
      <c r="H164" s="275"/>
      <c r="I164" s="276">
        <v>1</v>
      </c>
      <c r="J164" s="181" t="s">
        <v>314</v>
      </c>
      <c r="K164" s="245">
        <f>IF(BD.PD[[#This Row],[Mon]]="DOP",1,HLOOKUP(BD.PD[[#This Row],[Mon]],$J$1:$K$2,2,FALSE))</f>
        <v>1</v>
      </c>
      <c r="L164" s="277">
        <v>24950</v>
      </c>
      <c r="M164" s="247">
        <f>BD.PD[[#This Row],[Cant.]]*BD.PD[[#This Row],[ Tasa ]]*BD.PD[[#This Row],[ Precio Und.]]</f>
        <v>24950</v>
      </c>
      <c r="N164" s="278">
        <v>0</v>
      </c>
      <c r="O164" s="247">
        <f>IF(BD.PD[[#This Row],[Liquid. '[%']]]&lt;&gt;0,(BD.PD[[#This Row],[Valor Neto '[DOP']]]*BD.PD[[#This Row],[Liquid. '[%']]])+BD.PD[[#This Row],[Valor Neto '[DOP']]],BD.PD[[#This Row],[Valor Neto '[DOP']]])</f>
        <v>24950</v>
      </c>
      <c r="P164" s="257">
        <f>BD.PD[[#This Row],[Ppto. Orden Interna '[DOP']]]/HLOOKUP("USD",$J$1:$K$2,2,FALSE)</f>
        <v>411.03789126853377</v>
      </c>
      <c r="Q164" s="250" t="s">
        <v>393</v>
      </c>
      <c r="R164" s="258" t="s">
        <v>394</v>
      </c>
      <c r="S164" s="251">
        <v>18</v>
      </c>
      <c r="T164" s="252">
        <v>1</v>
      </c>
      <c r="U164" s="259">
        <f>BD.PD[[#This Row],[Av.P1 '[%']]]*BD.PD[[#This Row],[Ppto. Orden Interna '[DOP']]]</f>
        <v>24950</v>
      </c>
      <c r="V164" s="254"/>
      <c r="W164" s="255"/>
      <c r="X164" s="259">
        <f>BD.PD[[#This Row],[Av.P2 '[%']]]*BD.PD[[#This Row],[Ppto. Orden Interna '[DOP']]]</f>
        <v>0</v>
      </c>
      <c r="Y164" s="254"/>
      <c r="Z164" s="255"/>
      <c r="AA164" s="259">
        <f>BD.PD[[#This Row],[Av.P3 '[%']]]*BD.PD[[#This Row],[Ppto. Orden Interna '[DOP']]]</f>
        <v>0</v>
      </c>
      <c r="AB164" s="254"/>
      <c r="AC164" s="255"/>
      <c r="AD164" s="259">
        <f>BD.PD[[#This Row],[Av.P4 '[%']]]*BD.PD[[#This Row],[Ppto. Orden Interna '[DOP']]]</f>
        <v>0</v>
      </c>
      <c r="AE164" s="254"/>
      <c r="AF164" s="255"/>
      <c r="AG164" s="259">
        <f>BD.PD[[#This Row],[Av.P5 '[%']]]*BD.PD[[#This Row],[Ppto. Orden Interna '[DOP']]]</f>
        <v>0</v>
      </c>
      <c r="AH164" s="256">
        <f>BD.PD[[#This Row],[Pago 5]]+BD.PD[[#This Row],[Pago 4]]+BD.PD[[#This Row],[Pago 3]]+BD.PD[[#This Row],[Pago 2]]+BD.PD[[#This Row],[Pago 1]]</f>
        <v>24950</v>
      </c>
      <c r="AI164" s="318"/>
    </row>
    <row r="165" spans="1:237" ht="15" customHeight="1" x14ac:dyDescent="0.3">
      <c r="A165" s="181">
        <v>6.05</v>
      </c>
      <c r="B165" s="239"/>
      <c r="C165" s="240" t="str">
        <f>VLOOKUP(BD.PD[[#This Row],[Pos]],PPto[],3,FALSE)</f>
        <v>6.05 Otros sum e inst Tecnología y Seguridad Y Tesoreria</v>
      </c>
      <c r="D165" s="181" t="s">
        <v>40</v>
      </c>
      <c r="E165" s="242" t="str">
        <f>IF(BD.PD[[#This Row],[.]]="*",VLOOKUP(BD.PD[[#This Row],[Pos]],Presupuesto!A:H,7,FALSE),"")</f>
        <v/>
      </c>
      <c r="F165" s="304" t="s">
        <v>397</v>
      </c>
      <c r="G165" s="243">
        <v>4513044086</v>
      </c>
      <c r="H165" s="275"/>
      <c r="I165" s="276">
        <v>1</v>
      </c>
      <c r="J165" s="181" t="s">
        <v>314</v>
      </c>
      <c r="K165" s="245">
        <f>IF(BD.PD[[#This Row],[Mon]]="DOP",1,HLOOKUP(BD.PD[[#This Row],[Mon]],$J$1:$K$2,2,FALSE))</f>
        <v>1</v>
      </c>
      <c r="L165" s="277">
        <v>48000</v>
      </c>
      <c r="M165" s="247">
        <f>BD.PD[[#This Row],[Cant.]]*BD.PD[[#This Row],[ Tasa ]]*BD.PD[[#This Row],[ Precio Und.]]</f>
        <v>48000</v>
      </c>
      <c r="N165" s="278">
        <v>0</v>
      </c>
      <c r="O165" s="247">
        <f>IF(BD.PD[[#This Row],[Liquid. '[%']]]&lt;&gt;0,(BD.PD[[#This Row],[Valor Neto '[DOP']]]*BD.PD[[#This Row],[Liquid. '[%']]])+BD.PD[[#This Row],[Valor Neto '[DOP']]],BD.PD[[#This Row],[Valor Neto '[DOP']]])</f>
        <v>48000</v>
      </c>
      <c r="P165" s="257">
        <f>BD.PD[[#This Row],[Ppto. Orden Interna '[DOP']]]/HLOOKUP("USD",$J$1:$K$2,2,FALSE)</f>
        <v>790.77429983525531</v>
      </c>
      <c r="Q165" s="250" t="s">
        <v>393</v>
      </c>
      <c r="R165" s="258" t="s">
        <v>394</v>
      </c>
      <c r="S165" s="251">
        <v>18</v>
      </c>
      <c r="T165" s="252">
        <v>1</v>
      </c>
      <c r="U165" s="259">
        <f>BD.PD[[#This Row],[Av.P1 '[%']]]*BD.PD[[#This Row],[Ppto. Orden Interna '[DOP']]]</f>
        <v>48000</v>
      </c>
      <c r="V165" s="254"/>
      <c r="W165" s="255"/>
      <c r="X165" s="259">
        <f>BD.PD[[#This Row],[Av.P2 '[%']]]*BD.PD[[#This Row],[Ppto. Orden Interna '[DOP']]]</f>
        <v>0</v>
      </c>
      <c r="Y165" s="254"/>
      <c r="Z165" s="255"/>
      <c r="AA165" s="259">
        <f>BD.PD[[#This Row],[Av.P3 '[%']]]*BD.PD[[#This Row],[Ppto. Orden Interna '[DOP']]]</f>
        <v>0</v>
      </c>
      <c r="AB165" s="254"/>
      <c r="AC165" s="255"/>
      <c r="AD165" s="259">
        <f>BD.PD[[#This Row],[Av.P4 '[%']]]*BD.PD[[#This Row],[Ppto. Orden Interna '[DOP']]]</f>
        <v>0</v>
      </c>
      <c r="AE165" s="254"/>
      <c r="AF165" s="255"/>
      <c r="AG165" s="259">
        <f>BD.PD[[#This Row],[Av.P5 '[%']]]*BD.PD[[#This Row],[Ppto. Orden Interna '[DOP']]]</f>
        <v>0</v>
      </c>
      <c r="AH165" s="256">
        <f>BD.PD[[#This Row],[Pago 5]]+BD.PD[[#This Row],[Pago 4]]+BD.PD[[#This Row],[Pago 3]]+BD.PD[[#This Row],[Pago 2]]+BD.PD[[#This Row],[Pago 1]]</f>
        <v>48000</v>
      </c>
      <c r="AI165" s="318"/>
    </row>
    <row r="166" spans="1:237" s="260" customFormat="1" ht="15" customHeight="1" x14ac:dyDescent="0.3">
      <c r="A166" s="181">
        <v>6.05</v>
      </c>
      <c r="B166" s="239"/>
      <c r="C166" s="240" t="str">
        <f>VLOOKUP(BD.PD[[#This Row],[Pos]],PPto[],3,FALSE)</f>
        <v>6.05 Otros sum e inst Tecnología y Seguridad Y Tesoreria</v>
      </c>
      <c r="D166" s="181" t="s">
        <v>40</v>
      </c>
      <c r="E166" s="242" t="str">
        <f>IF(BD.PD[[#This Row],[.]]="*",VLOOKUP(BD.PD[[#This Row],[Pos]],Presupuesto!A:H,7,FALSE),"")</f>
        <v/>
      </c>
      <c r="F166" s="305" t="s">
        <v>408</v>
      </c>
      <c r="G166" s="243" t="s">
        <v>308</v>
      </c>
      <c r="H166" s="275"/>
      <c r="I166" s="276">
        <v>1</v>
      </c>
      <c r="J166" s="181" t="s">
        <v>314</v>
      </c>
      <c r="K166" s="245">
        <f>IF(BD.PD[[#This Row],[Mon]]="DOP",1,HLOOKUP(BD.PD[[#This Row],[Mon]],$J$1:$K$2,2,FALSE))</f>
        <v>1</v>
      </c>
      <c r="L166" s="277">
        <v>36291.53</v>
      </c>
      <c r="M166" s="247">
        <f>BD.PD[[#This Row],[Cant.]]*BD.PD[[#This Row],[ Tasa ]]*BD.PD[[#This Row],[ Precio Und.]]</f>
        <v>36291.53</v>
      </c>
      <c r="N166" s="278">
        <v>0</v>
      </c>
      <c r="O166" s="247">
        <f>IF(BD.PD[[#This Row],[Liquid. '[%']]]&lt;&gt;0,(BD.PD[[#This Row],[Valor Neto '[DOP']]]*BD.PD[[#This Row],[Liquid. '[%']]])+BD.PD[[#This Row],[Valor Neto '[DOP']]],BD.PD[[#This Row],[Valor Neto '[DOP']]])</f>
        <v>36291.53</v>
      </c>
      <c r="P166" s="257">
        <f>BD.PD[[#This Row],[Ppto. Orden Interna '[DOP']]]/HLOOKUP("USD",$J$1:$K$2,2,FALSE)</f>
        <v>597.88352553542006</v>
      </c>
      <c r="Q166" s="250" t="s">
        <v>393</v>
      </c>
      <c r="R166" s="258" t="s">
        <v>394</v>
      </c>
      <c r="S166" s="251">
        <v>22</v>
      </c>
      <c r="T166" s="252">
        <v>0.5</v>
      </c>
      <c r="U166" s="259">
        <f>BD.PD[[#This Row],[Av.P1 '[%']]]*BD.PD[[#This Row],[Ppto. Orden Interna '[DOP']]]</f>
        <v>18145.764999999999</v>
      </c>
      <c r="V166" s="254">
        <v>24</v>
      </c>
      <c r="W166" s="255">
        <v>0.5</v>
      </c>
      <c r="X166" s="259">
        <f>BD.PD[[#This Row],[Av.P2 '[%']]]*BD.PD[[#This Row],[Ppto. Orden Interna '[DOP']]]</f>
        <v>18145.764999999999</v>
      </c>
      <c r="Y166" s="254"/>
      <c r="Z166" s="255"/>
      <c r="AA166" s="259">
        <f>BD.PD[[#This Row],[Av.P3 '[%']]]*BD.PD[[#This Row],[Ppto. Orden Interna '[DOP']]]</f>
        <v>0</v>
      </c>
      <c r="AB166" s="254"/>
      <c r="AC166" s="255"/>
      <c r="AD166" s="259">
        <f>BD.PD[[#This Row],[Av.P4 '[%']]]*BD.PD[[#This Row],[Ppto. Orden Interna '[DOP']]]</f>
        <v>0</v>
      </c>
      <c r="AE166" s="254"/>
      <c r="AF166" s="255"/>
      <c r="AG166" s="259">
        <f>BD.PD[[#This Row],[Av.P5 '[%']]]*BD.PD[[#This Row],[Ppto. Orden Interna '[DOP']]]</f>
        <v>0</v>
      </c>
      <c r="AH166" s="256">
        <f>BD.PD[[#This Row],[Pago 5]]+BD.PD[[#This Row],[Pago 4]]+BD.PD[[#This Row],[Pago 3]]+BD.PD[[#This Row],[Pago 2]]+BD.PD[[#This Row],[Pago 1]]</f>
        <v>36291.53</v>
      </c>
      <c r="AI166" s="318"/>
      <c r="AJ166" s="318"/>
      <c r="AK166" s="318"/>
      <c r="AL166" s="318"/>
      <c r="AM166" s="318"/>
      <c r="AN166" s="318"/>
      <c r="AO166" s="318"/>
      <c r="AP166" s="318"/>
      <c r="AQ166" s="318"/>
      <c r="AR166" s="318"/>
      <c r="AS166" s="318"/>
      <c r="AT166" s="318"/>
      <c r="AU166" s="318"/>
      <c r="AV166" s="318"/>
      <c r="AW166" s="318"/>
      <c r="AX166" s="318"/>
      <c r="AY166" s="318"/>
      <c r="AZ166" s="318"/>
      <c r="BA166" s="318"/>
      <c r="BB166" s="318"/>
      <c r="BC166" s="318"/>
      <c r="BD166" s="318"/>
      <c r="BE166" s="318"/>
      <c r="BF166" s="318"/>
      <c r="BG166" s="318"/>
      <c r="BH166" s="318"/>
      <c r="BI166" s="318"/>
      <c r="BJ166" s="318"/>
      <c r="BK166" s="318"/>
      <c r="BL166" s="318"/>
      <c r="BM166" s="318"/>
      <c r="BN166" s="318"/>
      <c r="BO166" s="318"/>
      <c r="BP166" s="318"/>
      <c r="BQ166" s="318"/>
      <c r="BR166" s="318"/>
      <c r="BS166" s="318"/>
      <c r="BT166" s="318"/>
      <c r="BU166" s="318"/>
      <c r="BV166" s="318"/>
      <c r="BW166" s="318"/>
      <c r="BX166" s="318"/>
      <c r="BY166" s="318"/>
      <c r="BZ166" s="318"/>
      <c r="CA166" s="318"/>
      <c r="CB166" s="318"/>
      <c r="CC166" s="318"/>
      <c r="CD166" s="318"/>
      <c r="CE166" s="318"/>
      <c r="CF166" s="318"/>
      <c r="CG166" s="318"/>
      <c r="CH166" s="318"/>
      <c r="CI166" s="318"/>
      <c r="CJ166" s="318"/>
      <c r="CK166" s="318"/>
      <c r="CL166" s="318"/>
      <c r="CM166" s="318"/>
      <c r="CN166" s="318"/>
      <c r="CO166" s="318"/>
      <c r="CP166" s="318"/>
      <c r="CQ166" s="318"/>
      <c r="CR166" s="318"/>
      <c r="CS166" s="318"/>
      <c r="CT166" s="318"/>
      <c r="CU166" s="318"/>
      <c r="CV166" s="318"/>
      <c r="CW166" s="318"/>
      <c r="CX166" s="318"/>
      <c r="CY166" s="318"/>
      <c r="CZ166" s="318"/>
      <c r="DA166" s="318"/>
      <c r="DB166" s="318"/>
      <c r="DC166" s="318"/>
      <c r="DD166" s="318"/>
      <c r="DE166" s="318"/>
      <c r="DF166" s="318"/>
      <c r="DG166" s="318"/>
      <c r="DH166" s="318"/>
      <c r="DI166" s="318"/>
      <c r="DJ166" s="318"/>
      <c r="DK166" s="318"/>
      <c r="DL166" s="318"/>
      <c r="DM166" s="318"/>
      <c r="DN166" s="318"/>
      <c r="DO166" s="318"/>
      <c r="DP166" s="318"/>
      <c r="DQ166" s="318"/>
      <c r="DR166" s="318"/>
      <c r="DS166" s="318"/>
      <c r="DT166" s="318"/>
      <c r="DU166" s="318"/>
      <c r="DV166" s="318"/>
      <c r="DW166" s="318"/>
      <c r="DX166" s="318"/>
      <c r="DY166" s="318"/>
      <c r="DZ166" s="318"/>
      <c r="EA166" s="318"/>
      <c r="EB166" s="318"/>
      <c r="EC166" s="318"/>
      <c r="ED166" s="318"/>
      <c r="EE166" s="318"/>
      <c r="EF166" s="318"/>
      <c r="EG166" s="318"/>
      <c r="EH166" s="318"/>
      <c r="EI166" s="318"/>
      <c r="EJ166" s="318"/>
      <c r="EK166" s="318"/>
      <c r="EL166" s="318"/>
      <c r="EM166" s="318"/>
      <c r="EN166" s="318"/>
      <c r="EO166" s="318"/>
      <c r="EP166" s="318"/>
      <c r="EQ166" s="318"/>
      <c r="ER166" s="318"/>
      <c r="ES166" s="318"/>
      <c r="ET166" s="318"/>
      <c r="EU166" s="318"/>
      <c r="EV166" s="318"/>
      <c r="EW166" s="318"/>
      <c r="EX166" s="318"/>
      <c r="EY166" s="318"/>
      <c r="EZ166" s="318"/>
      <c r="FA166" s="318"/>
      <c r="FB166" s="318"/>
      <c r="FC166" s="318"/>
      <c r="FD166" s="318"/>
      <c r="FE166" s="318"/>
      <c r="FF166" s="318"/>
      <c r="FG166" s="318"/>
      <c r="FH166" s="318"/>
      <c r="FI166" s="318"/>
      <c r="FJ166" s="318"/>
      <c r="FK166" s="318"/>
      <c r="FL166" s="318"/>
      <c r="FM166" s="318"/>
      <c r="FN166" s="318"/>
      <c r="FO166" s="318"/>
      <c r="FP166" s="318"/>
      <c r="FQ166" s="318"/>
      <c r="FR166" s="318"/>
      <c r="FS166" s="318"/>
      <c r="FT166" s="318"/>
      <c r="FU166" s="318"/>
      <c r="FV166" s="318"/>
      <c r="FW166" s="318"/>
      <c r="FX166" s="318"/>
      <c r="FY166" s="318"/>
      <c r="FZ166" s="318"/>
      <c r="GA166" s="318"/>
      <c r="GB166" s="318"/>
      <c r="GC166" s="318"/>
      <c r="GD166" s="318"/>
      <c r="GE166" s="318"/>
      <c r="GF166" s="318"/>
      <c r="GG166" s="318"/>
      <c r="GH166" s="318"/>
      <c r="GI166" s="318"/>
      <c r="GJ166" s="318"/>
      <c r="GK166" s="318"/>
      <c r="GL166" s="318"/>
      <c r="GM166" s="318"/>
      <c r="GN166" s="318"/>
      <c r="GO166" s="318"/>
      <c r="GP166" s="318"/>
      <c r="GQ166" s="318"/>
      <c r="GR166" s="318"/>
      <c r="GS166" s="318"/>
      <c r="GT166" s="318"/>
      <c r="GU166" s="318"/>
      <c r="GV166" s="318"/>
      <c r="GW166" s="318"/>
      <c r="GX166" s="318"/>
      <c r="GY166" s="318"/>
      <c r="GZ166" s="318"/>
      <c r="HA166" s="318"/>
      <c r="HB166" s="318"/>
      <c r="HC166" s="318"/>
      <c r="HD166" s="318"/>
      <c r="HE166" s="318"/>
      <c r="HF166" s="318"/>
      <c r="HG166" s="318"/>
      <c r="HH166" s="318"/>
      <c r="HI166" s="318"/>
      <c r="HJ166" s="318"/>
      <c r="HK166" s="318"/>
      <c r="HL166" s="318"/>
      <c r="HM166" s="318"/>
      <c r="HN166" s="318"/>
      <c r="HO166" s="318"/>
      <c r="HP166" s="318"/>
      <c r="HQ166" s="318"/>
      <c r="HR166" s="318"/>
      <c r="HS166" s="318"/>
      <c r="HT166" s="318"/>
      <c r="HU166" s="318"/>
      <c r="HV166" s="318"/>
      <c r="HW166" s="318"/>
      <c r="HX166" s="318"/>
      <c r="HY166" s="318"/>
      <c r="HZ166" s="318"/>
      <c r="IA166" s="318"/>
      <c r="IB166" s="318"/>
      <c r="IC166" s="318"/>
    </row>
    <row r="167" spans="1:237" s="306" customFormat="1" ht="15" customHeight="1" x14ac:dyDescent="0.3">
      <c r="A167" s="181">
        <v>6.05</v>
      </c>
      <c r="B167" s="239"/>
      <c r="C167" s="240" t="str">
        <f>VLOOKUP(BD.PD[[#This Row],[Pos]],PPto[],3,FALSE)</f>
        <v>6.05 Otros sum e inst Tecnología y Seguridad Y Tesoreria</v>
      </c>
      <c r="D167" s="181" t="s">
        <v>40</v>
      </c>
      <c r="E167" s="242" t="str">
        <f>IF(BD.PD[[#This Row],[.]]="*",VLOOKUP(BD.PD[[#This Row],[Pos]],Presupuesto!A:H,7,FALSE),"")</f>
        <v/>
      </c>
      <c r="F167" s="305" t="s">
        <v>409</v>
      </c>
      <c r="G167" s="243" t="s">
        <v>308</v>
      </c>
      <c r="H167" s="275"/>
      <c r="I167" s="276">
        <v>1</v>
      </c>
      <c r="J167" s="181" t="s">
        <v>314</v>
      </c>
      <c r="K167" s="245">
        <f>IF(BD.PD[[#This Row],[Mon]]="DOP",1,HLOOKUP(BD.PD[[#This Row],[Mon]],$J$1:$K$2,2,FALSE))</f>
        <v>1</v>
      </c>
      <c r="L167" s="277">
        <v>27923.73</v>
      </c>
      <c r="M167" s="247">
        <f>BD.PD[[#This Row],[Cant.]]*BD.PD[[#This Row],[ Tasa ]]*BD.PD[[#This Row],[ Precio Und.]]</f>
        <v>27923.73</v>
      </c>
      <c r="N167" s="278">
        <v>0</v>
      </c>
      <c r="O167" s="247">
        <f>IF(BD.PD[[#This Row],[Liquid. '[%']]]&lt;&gt;0,(BD.PD[[#This Row],[Valor Neto '[DOP']]]*BD.PD[[#This Row],[Liquid. '[%']]])+BD.PD[[#This Row],[Valor Neto '[DOP']]],BD.PD[[#This Row],[Valor Neto '[DOP']]])</f>
        <v>27923.73</v>
      </c>
      <c r="P167" s="257">
        <f>BD.PD[[#This Row],[Ppto. Orden Interna '[DOP']]]/HLOOKUP("USD",$J$1:$K$2,2,FALSE)</f>
        <v>460.02850082372322</v>
      </c>
      <c r="Q167" s="250" t="s">
        <v>393</v>
      </c>
      <c r="R167" s="258" t="s">
        <v>394</v>
      </c>
      <c r="S167" s="251">
        <v>22</v>
      </c>
      <c r="T167" s="252">
        <v>0.5</v>
      </c>
      <c r="U167" s="259">
        <f>BD.PD[[#This Row],[Av.P1 '[%']]]*BD.PD[[#This Row],[Ppto. Orden Interna '[DOP']]]</f>
        <v>13961.865</v>
      </c>
      <c r="V167" s="254">
        <v>24</v>
      </c>
      <c r="W167" s="255">
        <v>0.5</v>
      </c>
      <c r="X167" s="259">
        <f>BD.PD[[#This Row],[Av.P2 '[%']]]*BD.PD[[#This Row],[Ppto. Orden Interna '[DOP']]]</f>
        <v>13961.865</v>
      </c>
      <c r="Y167" s="254"/>
      <c r="Z167" s="255"/>
      <c r="AA167" s="259">
        <f>BD.PD[[#This Row],[Av.P3 '[%']]]*BD.PD[[#This Row],[Ppto. Orden Interna '[DOP']]]</f>
        <v>0</v>
      </c>
      <c r="AB167" s="254"/>
      <c r="AC167" s="255"/>
      <c r="AD167" s="259">
        <f>BD.PD[[#This Row],[Av.P4 '[%']]]*BD.PD[[#This Row],[Ppto. Orden Interna '[DOP']]]</f>
        <v>0</v>
      </c>
      <c r="AE167" s="254"/>
      <c r="AF167" s="255"/>
      <c r="AG167" s="259">
        <f>BD.PD[[#This Row],[Av.P5 '[%']]]*BD.PD[[#This Row],[Ppto. Orden Interna '[DOP']]]</f>
        <v>0</v>
      </c>
      <c r="AH167" s="256">
        <f>BD.PD[[#This Row],[Pago 5]]+BD.PD[[#This Row],[Pago 4]]+BD.PD[[#This Row],[Pago 3]]+BD.PD[[#This Row],[Pago 2]]+BD.PD[[#This Row],[Pago 1]]</f>
        <v>27923.73</v>
      </c>
      <c r="AI167" s="318"/>
      <c r="AJ167" s="316"/>
      <c r="AK167" s="316"/>
      <c r="AL167" s="316"/>
      <c r="AM167" s="316"/>
      <c r="AN167" s="316"/>
      <c r="AO167" s="316"/>
      <c r="AP167" s="316"/>
      <c r="AQ167" s="316"/>
      <c r="AR167" s="316"/>
      <c r="AS167" s="316"/>
      <c r="AT167" s="316"/>
      <c r="AU167" s="316"/>
      <c r="AV167" s="316"/>
      <c r="AW167" s="316"/>
      <c r="AX167" s="316"/>
      <c r="AY167" s="316"/>
      <c r="AZ167" s="316"/>
      <c r="BA167" s="316"/>
      <c r="BB167" s="316"/>
      <c r="BC167" s="316"/>
      <c r="BD167" s="316"/>
      <c r="BE167" s="316"/>
      <c r="BF167" s="316"/>
      <c r="BG167" s="316"/>
      <c r="BH167" s="316"/>
      <c r="BI167" s="316"/>
      <c r="BJ167" s="316"/>
      <c r="BK167" s="316"/>
      <c r="BL167" s="316"/>
      <c r="BM167" s="316"/>
      <c r="BN167" s="316"/>
      <c r="BO167" s="316"/>
      <c r="BP167" s="316"/>
      <c r="BQ167" s="316"/>
      <c r="BR167" s="316"/>
      <c r="BS167" s="316"/>
      <c r="BT167" s="316"/>
      <c r="BU167" s="316"/>
      <c r="BV167" s="316"/>
      <c r="BW167" s="316"/>
      <c r="BX167" s="316"/>
      <c r="BY167" s="316"/>
      <c r="BZ167" s="316"/>
      <c r="CA167" s="316"/>
      <c r="CB167" s="316"/>
      <c r="CC167" s="316"/>
      <c r="CD167" s="316"/>
      <c r="CE167" s="316"/>
      <c r="CF167" s="316"/>
      <c r="CG167" s="316"/>
      <c r="CH167" s="316"/>
      <c r="CI167" s="316"/>
      <c r="CJ167" s="316"/>
      <c r="CK167" s="316"/>
      <c r="CL167" s="316"/>
      <c r="CM167" s="316"/>
      <c r="CN167" s="316"/>
      <c r="CO167" s="316"/>
      <c r="CP167" s="316"/>
      <c r="CQ167" s="316"/>
      <c r="CR167" s="316"/>
      <c r="CS167" s="316"/>
      <c r="CT167" s="316"/>
      <c r="CU167" s="316"/>
      <c r="CV167" s="316"/>
      <c r="CW167" s="316"/>
      <c r="CX167" s="316"/>
      <c r="CY167" s="316"/>
      <c r="CZ167" s="316"/>
      <c r="DA167" s="316"/>
      <c r="DB167" s="316"/>
      <c r="DC167" s="316"/>
      <c r="DD167" s="316"/>
      <c r="DE167" s="316"/>
      <c r="DF167" s="316"/>
      <c r="DG167" s="316"/>
      <c r="DH167" s="316"/>
      <c r="DI167" s="316"/>
      <c r="DJ167" s="316"/>
      <c r="DK167" s="316"/>
      <c r="DL167" s="316"/>
      <c r="DM167" s="316"/>
      <c r="DN167" s="316"/>
      <c r="DO167" s="316"/>
      <c r="DP167" s="316"/>
      <c r="DQ167" s="316"/>
      <c r="DR167" s="316"/>
      <c r="DS167" s="316"/>
      <c r="DT167" s="316"/>
      <c r="DU167" s="316"/>
      <c r="DV167" s="316"/>
      <c r="DW167" s="316"/>
      <c r="DX167" s="316"/>
      <c r="DY167" s="316"/>
      <c r="DZ167" s="316"/>
      <c r="EA167" s="316"/>
      <c r="EB167" s="316"/>
      <c r="EC167" s="316"/>
      <c r="ED167" s="316"/>
      <c r="EE167" s="316"/>
      <c r="EF167" s="316"/>
      <c r="EG167" s="316"/>
      <c r="EH167" s="316"/>
      <c r="EI167" s="316"/>
      <c r="EJ167" s="316"/>
      <c r="EK167" s="316"/>
      <c r="EL167" s="316"/>
      <c r="EM167" s="316"/>
      <c r="EN167" s="316"/>
      <c r="EO167" s="316"/>
      <c r="EP167" s="316"/>
      <c r="EQ167" s="316"/>
      <c r="ER167" s="316"/>
      <c r="ES167" s="316"/>
      <c r="ET167" s="316"/>
      <c r="EU167" s="316"/>
      <c r="EV167" s="316"/>
      <c r="EW167" s="316"/>
      <c r="EX167" s="316"/>
      <c r="EY167" s="316"/>
      <c r="EZ167" s="316"/>
      <c r="FA167" s="316"/>
      <c r="FB167" s="316"/>
      <c r="FC167" s="316"/>
      <c r="FD167" s="316"/>
      <c r="FE167" s="316"/>
      <c r="FF167" s="316"/>
      <c r="FG167" s="316"/>
      <c r="FH167" s="316"/>
      <c r="FI167" s="316"/>
      <c r="FJ167" s="316"/>
      <c r="FK167" s="316"/>
      <c r="FL167" s="316"/>
      <c r="FM167" s="316"/>
      <c r="FN167" s="316"/>
      <c r="FO167" s="316"/>
      <c r="FP167" s="316"/>
      <c r="FQ167" s="316"/>
      <c r="FR167" s="316"/>
      <c r="FS167" s="316"/>
      <c r="FT167" s="316"/>
      <c r="FU167" s="316"/>
      <c r="FV167" s="316"/>
      <c r="FW167" s="316"/>
      <c r="FX167" s="316"/>
      <c r="FY167" s="316"/>
      <c r="FZ167" s="316"/>
      <c r="GA167" s="316"/>
      <c r="GB167" s="316"/>
      <c r="GC167" s="316"/>
      <c r="GD167" s="316"/>
      <c r="GE167" s="316"/>
      <c r="GF167" s="316"/>
      <c r="GG167" s="316"/>
      <c r="GH167" s="316"/>
      <c r="GI167" s="316"/>
      <c r="GJ167" s="316"/>
      <c r="GK167" s="316"/>
      <c r="GL167" s="316"/>
      <c r="GM167" s="316"/>
      <c r="GN167" s="316"/>
      <c r="GO167" s="316"/>
      <c r="GP167" s="316"/>
      <c r="GQ167" s="316"/>
      <c r="GR167" s="316"/>
      <c r="GS167" s="316"/>
      <c r="GT167" s="316"/>
      <c r="GU167" s="316"/>
      <c r="GV167" s="316"/>
      <c r="GW167" s="316"/>
      <c r="GX167" s="316"/>
      <c r="GY167" s="316"/>
      <c r="GZ167" s="316"/>
      <c r="HA167" s="316"/>
      <c r="HB167" s="316"/>
      <c r="HC167" s="316"/>
      <c r="HD167" s="316"/>
      <c r="HE167" s="316"/>
      <c r="HF167" s="316"/>
      <c r="HG167" s="316"/>
      <c r="HH167" s="316"/>
      <c r="HI167" s="316"/>
      <c r="HJ167" s="316"/>
      <c r="HK167" s="316"/>
      <c r="HL167" s="316"/>
      <c r="HM167" s="316"/>
      <c r="HN167" s="316"/>
      <c r="HO167" s="316"/>
      <c r="HP167" s="316"/>
      <c r="HQ167" s="316"/>
      <c r="HR167" s="316"/>
      <c r="HS167" s="316"/>
      <c r="HT167" s="316"/>
      <c r="HU167" s="316"/>
      <c r="HV167" s="316"/>
      <c r="HW167" s="316"/>
      <c r="HX167" s="316"/>
      <c r="HY167" s="316"/>
      <c r="HZ167" s="316"/>
      <c r="IA167" s="316"/>
      <c r="IB167" s="316"/>
      <c r="IC167" s="316"/>
    </row>
    <row r="168" spans="1:237" s="306" customFormat="1" ht="15" customHeight="1" x14ac:dyDescent="0.3">
      <c r="A168" s="181">
        <v>6.05</v>
      </c>
      <c r="B168" s="239"/>
      <c r="C168" s="240" t="str">
        <f>VLOOKUP(BD.PD[[#This Row],[Pos]],PPto[],3,FALSE)</f>
        <v>6.05 Otros sum e inst Tecnología y Seguridad Y Tesoreria</v>
      </c>
      <c r="D168" s="181" t="s">
        <v>40</v>
      </c>
      <c r="E168" s="242" t="str">
        <f>IF(BD.PD[[#This Row],[.]]="*",VLOOKUP(BD.PD[[#This Row],[Pos]],Presupuesto!A:H,7,FALSE),"")</f>
        <v/>
      </c>
      <c r="F168" s="305" t="s">
        <v>412</v>
      </c>
      <c r="G168" s="243" t="s">
        <v>308</v>
      </c>
      <c r="H168" s="275"/>
      <c r="I168" s="276">
        <v>1</v>
      </c>
      <c r="J168" s="181" t="s">
        <v>314</v>
      </c>
      <c r="K168" s="245">
        <f>IF(BD.PD[[#This Row],[Mon]]="DOP",1,HLOOKUP(BD.PD[[#This Row],[Mon]],$J$1:$K$2,2,FALSE))</f>
        <v>1</v>
      </c>
      <c r="L168" s="277">
        <v>23500</v>
      </c>
      <c r="M168" s="247">
        <f>BD.PD[[#This Row],[Cant.]]*BD.PD[[#This Row],[ Tasa ]]*BD.PD[[#This Row],[ Precio Und.]]</f>
        <v>23500</v>
      </c>
      <c r="N168" s="278">
        <v>0</v>
      </c>
      <c r="O168" s="247">
        <f>IF(BD.PD[[#This Row],[Liquid. '[%']]]&lt;&gt;0,(BD.PD[[#This Row],[Valor Neto '[DOP']]]*BD.PD[[#This Row],[Liquid. '[%']]])+BD.PD[[#This Row],[Valor Neto '[DOP']]],BD.PD[[#This Row],[Valor Neto '[DOP']]])</f>
        <v>23500</v>
      </c>
      <c r="P168" s="257">
        <f>BD.PD[[#This Row],[Ppto. Orden Interna '[DOP']]]/HLOOKUP("USD",$J$1:$K$2,2,FALSE)</f>
        <v>387.1499176276771</v>
      </c>
      <c r="Q168" s="250" t="s">
        <v>393</v>
      </c>
      <c r="R168" s="258" t="s">
        <v>394</v>
      </c>
      <c r="S168" s="251">
        <v>22</v>
      </c>
      <c r="T168" s="252">
        <v>1</v>
      </c>
      <c r="U168" s="259">
        <f>BD.PD[[#This Row],[Av.P1 '[%']]]*BD.PD[[#This Row],[Ppto. Orden Interna '[DOP']]]</f>
        <v>23500</v>
      </c>
      <c r="V168" s="254">
        <v>24</v>
      </c>
      <c r="W168" s="255"/>
      <c r="X168" s="259">
        <f>BD.PD[[#This Row],[Av.P2 '[%']]]*BD.PD[[#This Row],[Ppto. Orden Interna '[DOP']]]</f>
        <v>0</v>
      </c>
      <c r="Y168" s="254"/>
      <c r="Z168" s="255"/>
      <c r="AA168" s="259">
        <f>BD.PD[[#This Row],[Av.P3 '[%']]]*BD.PD[[#This Row],[Ppto. Orden Interna '[DOP']]]</f>
        <v>0</v>
      </c>
      <c r="AB168" s="254"/>
      <c r="AC168" s="255"/>
      <c r="AD168" s="259">
        <f>BD.PD[[#This Row],[Av.P4 '[%']]]*BD.PD[[#This Row],[Ppto. Orden Interna '[DOP']]]</f>
        <v>0</v>
      </c>
      <c r="AE168" s="254"/>
      <c r="AF168" s="255"/>
      <c r="AG168" s="259">
        <f>BD.PD[[#This Row],[Av.P5 '[%']]]*BD.PD[[#This Row],[Ppto. Orden Interna '[DOP']]]</f>
        <v>0</v>
      </c>
      <c r="AH168" s="256">
        <f>BD.PD[[#This Row],[Pago 5]]+BD.PD[[#This Row],[Pago 4]]+BD.PD[[#This Row],[Pago 3]]+BD.PD[[#This Row],[Pago 2]]+BD.PD[[#This Row],[Pago 1]]</f>
        <v>23500</v>
      </c>
      <c r="AI168" s="318"/>
      <c r="AJ168" s="316"/>
      <c r="AK168" s="316"/>
      <c r="AL168" s="316"/>
      <c r="AM168" s="316"/>
      <c r="AN168" s="316"/>
      <c r="AO168" s="316"/>
      <c r="AP168" s="316"/>
      <c r="AQ168" s="316"/>
      <c r="AR168" s="316"/>
      <c r="AS168" s="316"/>
      <c r="AT168" s="316"/>
      <c r="AU168" s="316"/>
      <c r="AV168" s="316"/>
      <c r="AW168" s="316"/>
      <c r="AX168" s="316"/>
      <c r="AY168" s="316"/>
      <c r="AZ168" s="316"/>
      <c r="BA168" s="316"/>
      <c r="BB168" s="316"/>
      <c r="BC168" s="316"/>
      <c r="BD168" s="316"/>
      <c r="BE168" s="316"/>
      <c r="BF168" s="316"/>
      <c r="BG168" s="316"/>
      <c r="BH168" s="316"/>
      <c r="BI168" s="316"/>
      <c r="BJ168" s="316"/>
      <c r="BK168" s="316"/>
      <c r="BL168" s="316"/>
      <c r="BM168" s="316"/>
      <c r="BN168" s="316"/>
      <c r="BO168" s="316"/>
      <c r="BP168" s="316"/>
      <c r="BQ168" s="316"/>
      <c r="BR168" s="316"/>
      <c r="BS168" s="316"/>
      <c r="BT168" s="316"/>
      <c r="BU168" s="316"/>
      <c r="BV168" s="316"/>
      <c r="BW168" s="316"/>
      <c r="BX168" s="316"/>
      <c r="BY168" s="316"/>
      <c r="BZ168" s="316"/>
      <c r="CA168" s="316"/>
      <c r="CB168" s="316"/>
      <c r="CC168" s="316"/>
      <c r="CD168" s="316"/>
      <c r="CE168" s="316"/>
      <c r="CF168" s="316"/>
      <c r="CG168" s="316"/>
      <c r="CH168" s="316"/>
      <c r="CI168" s="316"/>
      <c r="CJ168" s="316"/>
      <c r="CK168" s="316"/>
      <c r="CL168" s="316"/>
      <c r="CM168" s="316"/>
      <c r="CN168" s="316"/>
      <c r="CO168" s="316"/>
      <c r="CP168" s="316"/>
      <c r="CQ168" s="316"/>
      <c r="CR168" s="316"/>
      <c r="CS168" s="316"/>
      <c r="CT168" s="316"/>
      <c r="CU168" s="316"/>
      <c r="CV168" s="316"/>
      <c r="CW168" s="316"/>
      <c r="CX168" s="316"/>
      <c r="CY168" s="316"/>
      <c r="CZ168" s="316"/>
      <c r="DA168" s="316"/>
      <c r="DB168" s="316"/>
      <c r="DC168" s="316"/>
      <c r="DD168" s="316"/>
      <c r="DE168" s="316"/>
      <c r="DF168" s="316"/>
      <c r="DG168" s="316"/>
      <c r="DH168" s="316"/>
      <c r="DI168" s="316"/>
      <c r="DJ168" s="316"/>
      <c r="DK168" s="316"/>
      <c r="DL168" s="316"/>
      <c r="DM168" s="316"/>
      <c r="DN168" s="316"/>
      <c r="DO168" s="316"/>
      <c r="DP168" s="316"/>
      <c r="DQ168" s="316"/>
      <c r="DR168" s="316"/>
      <c r="DS168" s="316"/>
      <c r="DT168" s="316"/>
      <c r="DU168" s="316"/>
      <c r="DV168" s="316"/>
      <c r="DW168" s="316"/>
      <c r="DX168" s="316"/>
      <c r="DY168" s="316"/>
      <c r="DZ168" s="316"/>
      <c r="EA168" s="316"/>
      <c r="EB168" s="316"/>
      <c r="EC168" s="316"/>
      <c r="ED168" s="316"/>
      <c r="EE168" s="316"/>
      <c r="EF168" s="316"/>
      <c r="EG168" s="316"/>
      <c r="EH168" s="316"/>
      <c r="EI168" s="316"/>
      <c r="EJ168" s="316"/>
      <c r="EK168" s="316"/>
      <c r="EL168" s="316"/>
      <c r="EM168" s="316"/>
      <c r="EN168" s="316"/>
      <c r="EO168" s="316"/>
      <c r="EP168" s="316"/>
      <c r="EQ168" s="316"/>
      <c r="ER168" s="316"/>
      <c r="ES168" s="316"/>
      <c r="ET168" s="316"/>
      <c r="EU168" s="316"/>
      <c r="EV168" s="316"/>
      <c r="EW168" s="316"/>
      <c r="EX168" s="316"/>
      <c r="EY168" s="316"/>
      <c r="EZ168" s="316"/>
      <c r="FA168" s="316"/>
      <c r="FB168" s="316"/>
      <c r="FC168" s="316"/>
      <c r="FD168" s="316"/>
      <c r="FE168" s="316"/>
      <c r="FF168" s="316"/>
      <c r="FG168" s="316"/>
      <c r="FH168" s="316"/>
      <c r="FI168" s="316"/>
      <c r="FJ168" s="316"/>
      <c r="FK168" s="316"/>
      <c r="FL168" s="316"/>
      <c r="FM168" s="316"/>
      <c r="FN168" s="316"/>
      <c r="FO168" s="316"/>
      <c r="FP168" s="316"/>
      <c r="FQ168" s="316"/>
      <c r="FR168" s="316"/>
      <c r="FS168" s="316"/>
      <c r="FT168" s="316"/>
      <c r="FU168" s="316"/>
      <c r="FV168" s="316"/>
      <c r="FW168" s="316"/>
      <c r="FX168" s="316"/>
      <c r="FY168" s="316"/>
      <c r="FZ168" s="316"/>
      <c r="GA168" s="316"/>
      <c r="GB168" s="316"/>
      <c r="GC168" s="316"/>
      <c r="GD168" s="316"/>
      <c r="GE168" s="316"/>
      <c r="GF168" s="316"/>
      <c r="GG168" s="316"/>
      <c r="GH168" s="316"/>
      <c r="GI168" s="316"/>
      <c r="GJ168" s="316"/>
      <c r="GK168" s="316"/>
      <c r="GL168" s="316"/>
      <c r="GM168" s="316"/>
      <c r="GN168" s="316"/>
      <c r="GO168" s="316"/>
      <c r="GP168" s="316"/>
      <c r="GQ168" s="316"/>
      <c r="GR168" s="316"/>
      <c r="GS168" s="316"/>
      <c r="GT168" s="316"/>
      <c r="GU168" s="316"/>
      <c r="GV168" s="316"/>
      <c r="GW168" s="316"/>
      <c r="GX168" s="316"/>
      <c r="GY168" s="316"/>
      <c r="GZ168" s="316"/>
      <c r="HA168" s="316"/>
      <c r="HB168" s="316"/>
      <c r="HC168" s="316"/>
      <c r="HD168" s="316"/>
      <c r="HE168" s="316"/>
      <c r="HF168" s="316"/>
      <c r="HG168" s="316"/>
      <c r="HH168" s="316"/>
      <c r="HI168" s="316"/>
      <c r="HJ168" s="316"/>
      <c r="HK168" s="316"/>
      <c r="HL168" s="316"/>
      <c r="HM168" s="316"/>
      <c r="HN168" s="316"/>
      <c r="HO168" s="316"/>
      <c r="HP168" s="316"/>
      <c r="HQ168" s="316"/>
      <c r="HR168" s="316"/>
      <c r="HS168" s="316"/>
      <c r="HT168" s="316"/>
      <c r="HU168" s="316"/>
      <c r="HV168" s="316"/>
      <c r="HW168" s="316"/>
      <c r="HX168" s="316"/>
      <c r="HY168" s="316"/>
      <c r="HZ168" s="316"/>
      <c r="IA168" s="316"/>
      <c r="IB168" s="316"/>
      <c r="IC168" s="316"/>
    </row>
    <row r="169" spans="1:237" ht="15" customHeight="1" x14ac:dyDescent="0.3">
      <c r="A169" s="181">
        <v>8.06</v>
      </c>
      <c r="B169" s="239"/>
      <c r="C169" s="240" t="str">
        <f>VLOOKUP(BD.PD[[#This Row],[Pos]],PPto[],3,FALSE)</f>
        <v>8.06 Otros Equipamientos de Tienda</v>
      </c>
      <c r="D169" s="181" t="s">
        <v>40</v>
      </c>
      <c r="E169" s="242" t="str">
        <f>IF(BD.PD[[#This Row],[.]]="*",VLOOKUP(BD.PD[[#This Row],[Pos]],Presupuesto!A:H,7,FALSE),"")</f>
        <v/>
      </c>
      <c r="F169" s="303" t="s">
        <v>611</v>
      </c>
      <c r="G169" s="243" t="s">
        <v>308</v>
      </c>
      <c r="H169" s="275"/>
      <c r="I169" s="276">
        <v>4</v>
      </c>
      <c r="J169" s="181" t="s">
        <v>314</v>
      </c>
      <c r="K169" s="245">
        <f>IF(BD.PD[[#This Row],[Mon]]="DOP",1,HLOOKUP(BD.PD[[#This Row],[Mon]],$J$1:$K$2,2,FALSE))</f>
        <v>1</v>
      </c>
      <c r="L169" s="277">
        <v>4237.29</v>
      </c>
      <c r="M169" s="247">
        <f>BD.PD[[#This Row],[Cant.]]*BD.PD[[#This Row],[ Tasa ]]*BD.PD[[#This Row],[ Precio Und.]]</f>
        <v>16949.16</v>
      </c>
      <c r="N169" s="278">
        <v>0.05</v>
      </c>
      <c r="O169" s="247">
        <f>IF(BD.PD[[#This Row],[Liquid. '[%']]]&lt;&gt;0,(BD.PD[[#This Row],[Valor Neto '[DOP']]]*BD.PD[[#This Row],[Liquid. '[%']]])+BD.PD[[#This Row],[Valor Neto '[DOP']]],BD.PD[[#This Row],[Valor Neto '[DOP']]])</f>
        <v>17796.617999999999</v>
      </c>
      <c r="P169" s="257">
        <f>BD.PD[[#This Row],[Ppto. Orden Interna '[DOP']]]/HLOOKUP("USD",$J$1:$K$2,2,FALSE)</f>
        <v>293.18975288303125</v>
      </c>
      <c r="Q169" s="250" t="s">
        <v>614</v>
      </c>
      <c r="R169" s="258" t="s">
        <v>615</v>
      </c>
      <c r="S169" s="251">
        <v>22</v>
      </c>
      <c r="T169" s="252">
        <v>1</v>
      </c>
      <c r="U169" s="259">
        <f>BD.PD[[#This Row],[Av.P1 '[%']]]*BD.PD[[#This Row],[Ppto. Orden Interna '[DOP']]]</f>
        <v>17796.617999999999</v>
      </c>
      <c r="V169" s="254"/>
      <c r="W169" s="255"/>
      <c r="X169" s="259">
        <f>BD.PD[[#This Row],[Av.P2 '[%']]]*BD.PD[[#This Row],[Ppto. Orden Interna '[DOP']]]</f>
        <v>0</v>
      </c>
      <c r="Y169" s="254"/>
      <c r="Z169" s="255"/>
      <c r="AA169" s="259">
        <f>BD.PD[[#This Row],[Av.P3 '[%']]]*BD.PD[[#This Row],[Ppto. Orden Interna '[DOP']]]</f>
        <v>0</v>
      </c>
      <c r="AB169" s="254"/>
      <c r="AC169" s="255"/>
      <c r="AD169" s="259">
        <f>BD.PD[[#This Row],[Av.P4 '[%']]]*BD.PD[[#This Row],[Ppto. Orden Interna '[DOP']]]</f>
        <v>0</v>
      </c>
      <c r="AE169" s="254"/>
      <c r="AF169" s="255"/>
      <c r="AG169" s="259">
        <f>BD.PD[[#This Row],[Av.P5 '[%']]]*BD.PD[[#This Row],[Ppto. Orden Interna '[DOP']]]</f>
        <v>0</v>
      </c>
      <c r="AH169" s="256">
        <f>BD.PD[[#This Row],[Pago 5]]+BD.PD[[#This Row],[Pago 4]]+BD.PD[[#This Row],[Pago 3]]+BD.PD[[#This Row],[Pago 2]]+BD.PD[[#This Row],[Pago 1]]</f>
        <v>17796.617999999999</v>
      </c>
      <c r="AI169" s="318"/>
    </row>
    <row r="170" spans="1:237" s="306" customFormat="1" ht="15" customHeight="1" x14ac:dyDescent="0.3">
      <c r="A170" s="181">
        <v>8.06</v>
      </c>
      <c r="B170" s="239"/>
      <c r="C170" s="240" t="str">
        <f>VLOOKUP(BD.PD[[#This Row],[Pos]],PPto[],3,FALSE)</f>
        <v>8.06 Otros Equipamientos de Tienda</v>
      </c>
      <c r="D170" s="181" t="s">
        <v>40</v>
      </c>
      <c r="E170" s="242" t="str">
        <f>IF(BD.PD[[#This Row],[.]]="*",VLOOKUP(BD.PD[[#This Row],[Pos]],Presupuesto!A:H,7,FALSE),"")</f>
        <v/>
      </c>
      <c r="F170" s="303" t="s">
        <v>611</v>
      </c>
      <c r="G170" s="243" t="s">
        <v>308</v>
      </c>
      <c r="H170" s="275"/>
      <c r="I170" s="276">
        <v>6</v>
      </c>
      <c r="J170" s="181" t="s">
        <v>314</v>
      </c>
      <c r="K170" s="245">
        <f>IF(BD.PD[[#This Row],[Mon]]="DOP",1,HLOOKUP(BD.PD[[#This Row],[Mon]],$J$1:$K$2,2,FALSE))</f>
        <v>1</v>
      </c>
      <c r="L170" s="277">
        <v>4237.29</v>
      </c>
      <c r="M170" s="247">
        <f>BD.PD[[#This Row],[Cant.]]*BD.PD[[#This Row],[ Tasa ]]*BD.PD[[#This Row],[ Precio Und.]]</f>
        <v>25423.739999999998</v>
      </c>
      <c r="N170" s="278">
        <v>0.05</v>
      </c>
      <c r="O170" s="247">
        <f>IF(BD.PD[[#This Row],[Liquid. '[%']]]&lt;&gt;0,(BD.PD[[#This Row],[Valor Neto '[DOP']]]*BD.PD[[#This Row],[Liquid. '[%']]])+BD.PD[[#This Row],[Valor Neto '[DOP']]],BD.PD[[#This Row],[Valor Neto '[DOP']]])</f>
        <v>26694.926999999996</v>
      </c>
      <c r="P170" s="257">
        <f>BD.PD[[#This Row],[Ppto. Orden Interna '[DOP']]]/HLOOKUP("USD",$J$1:$K$2,2,FALSE)</f>
        <v>439.78462932454687</v>
      </c>
      <c r="Q170" s="250" t="s">
        <v>614</v>
      </c>
      <c r="R170" s="258" t="s">
        <v>615</v>
      </c>
      <c r="S170" s="251">
        <v>22</v>
      </c>
      <c r="T170" s="252">
        <v>1</v>
      </c>
      <c r="U170" s="259">
        <f>BD.PD[[#This Row],[Av.P1 '[%']]]*BD.PD[[#This Row],[Ppto. Orden Interna '[DOP']]]</f>
        <v>26694.926999999996</v>
      </c>
      <c r="V170" s="254"/>
      <c r="W170" s="255"/>
      <c r="X170" s="259">
        <f>BD.PD[[#This Row],[Av.P2 '[%']]]*BD.PD[[#This Row],[Ppto. Orden Interna '[DOP']]]</f>
        <v>0</v>
      </c>
      <c r="Y170" s="254"/>
      <c r="Z170" s="255"/>
      <c r="AA170" s="259">
        <f>BD.PD[[#This Row],[Av.P3 '[%']]]*BD.PD[[#This Row],[Ppto. Orden Interna '[DOP']]]</f>
        <v>0</v>
      </c>
      <c r="AB170" s="254"/>
      <c r="AC170" s="255"/>
      <c r="AD170" s="259">
        <f>BD.PD[[#This Row],[Av.P4 '[%']]]*BD.PD[[#This Row],[Ppto. Orden Interna '[DOP']]]</f>
        <v>0</v>
      </c>
      <c r="AE170" s="254"/>
      <c r="AF170" s="255"/>
      <c r="AG170" s="259">
        <f>BD.PD[[#This Row],[Av.P5 '[%']]]*BD.PD[[#This Row],[Ppto. Orden Interna '[DOP']]]</f>
        <v>0</v>
      </c>
      <c r="AH170" s="256">
        <f>BD.PD[[#This Row],[Pago 5]]+BD.PD[[#This Row],[Pago 4]]+BD.PD[[#This Row],[Pago 3]]+BD.PD[[#This Row],[Pago 2]]+BD.PD[[#This Row],[Pago 1]]</f>
        <v>26694.926999999996</v>
      </c>
      <c r="AI170" s="318"/>
      <c r="AJ170" s="316"/>
      <c r="AK170" s="316"/>
      <c r="AL170" s="316"/>
      <c r="AM170" s="316"/>
      <c r="AN170" s="316"/>
      <c r="AO170" s="316"/>
      <c r="AP170" s="316"/>
      <c r="AQ170" s="316"/>
      <c r="AR170" s="316"/>
      <c r="AS170" s="316"/>
      <c r="AT170" s="316"/>
      <c r="AU170" s="316"/>
      <c r="AV170" s="316"/>
      <c r="AW170" s="316"/>
      <c r="AX170" s="316"/>
      <c r="AY170" s="316"/>
      <c r="AZ170" s="316"/>
      <c r="BA170" s="316"/>
      <c r="BB170" s="316"/>
      <c r="BC170" s="316"/>
      <c r="BD170" s="316"/>
      <c r="BE170" s="316"/>
      <c r="BF170" s="316"/>
      <c r="BG170" s="316"/>
      <c r="BH170" s="316"/>
      <c r="BI170" s="316"/>
      <c r="BJ170" s="316"/>
      <c r="BK170" s="316"/>
      <c r="BL170" s="316"/>
      <c r="BM170" s="316"/>
      <c r="BN170" s="316"/>
      <c r="BO170" s="316"/>
      <c r="BP170" s="316"/>
      <c r="BQ170" s="316"/>
      <c r="BR170" s="316"/>
      <c r="BS170" s="316"/>
      <c r="BT170" s="316"/>
      <c r="BU170" s="316"/>
      <c r="BV170" s="316"/>
      <c r="BW170" s="316"/>
      <c r="BX170" s="316"/>
      <c r="BY170" s="316"/>
      <c r="BZ170" s="316"/>
      <c r="CA170" s="316"/>
      <c r="CB170" s="316"/>
      <c r="CC170" s="316"/>
      <c r="CD170" s="316"/>
      <c r="CE170" s="316"/>
      <c r="CF170" s="316"/>
      <c r="CG170" s="316"/>
      <c r="CH170" s="316"/>
      <c r="CI170" s="316"/>
      <c r="CJ170" s="316"/>
      <c r="CK170" s="316"/>
      <c r="CL170" s="316"/>
      <c r="CM170" s="316"/>
      <c r="CN170" s="316"/>
      <c r="CO170" s="316"/>
      <c r="CP170" s="316"/>
      <c r="CQ170" s="316"/>
      <c r="CR170" s="316"/>
      <c r="CS170" s="316"/>
      <c r="CT170" s="316"/>
      <c r="CU170" s="316"/>
      <c r="CV170" s="316"/>
      <c r="CW170" s="316"/>
      <c r="CX170" s="316"/>
      <c r="CY170" s="316"/>
      <c r="CZ170" s="316"/>
      <c r="DA170" s="316"/>
      <c r="DB170" s="316"/>
      <c r="DC170" s="316"/>
      <c r="DD170" s="316"/>
      <c r="DE170" s="316"/>
      <c r="DF170" s="316"/>
      <c r="DG170" s="316"/>
      <c r="DH170" s="316"/>
      <c r="DI170" s="316"/>
      <c r="DJ170" s="316"/>
      <c r="DK170" s="316"/>
      <c r="DL170" s="316"/>
      <c r="DM170" s="316"/>
      <c r="DN170" s="316"/>
      <c r="DO170" s="316"/>
      <c r="DP170" s="316"/>
      <c r="DQ170" s="316"/>
      <c r="DR170" s="316"/>
      <c r="DS170" s="316"/>
      <c r="DT170" s="316"/>
      <c r="DU170" s="316"/>
      <c r="DV170" s="316"/>
      <c r="DW170" s="316"/>
      <c r="DX170" s="316"/>
      <c r="DY170" s="316"/>
      <c r="DZ170" s="316"/>
      <c r="EA170" s="316"/>
      <c r="EB170" s="316"/>
      <c r="EC170" s="316"/>
      <c r="ED170" s="316"/>
      <c r="EE170" s="316"/>
      <c r="EF170" s="316"/>
      <c r="EG170" s="316"/>
      <c r="EH170" s="316"/>
      <c r="EI170" s="316"/>
      <c r="EJ170" s="316"/>
      <c r="EK170" s="316"/>
      <c r="EL170" s="316"/>
      <c r="EM170" s="316"/>
      <c r="EN170" s="316"/>
      <c r="EO170" s="316"/>
      <c r="EP170" s="316"/>
      <c r="EQ170" s="316"/>
      <c r="ER170" s="316"/>
      <c r="ES170" s="316"/>
      <c r="ET170" s="316"/>
      <c r="EU170" s="316"/>
      <c r="EV170" s="316"/>
      <c r="EW170" s="316"/>
      <c r="EX170" s="316"/>
      <c r="EY170" s="316"/>
      <c r="EZ170" s="316"/>
      <c r="FA170" s="316"/>
      <c r="FB170" s="316"/>
      <c r="FC170" s="316"/>
      <c r="FD170" s="316"/>
      <c r="FE170" s="316"/>
      <c r="FF170" s="316"/>
      <c r="FG170" s="316"/>
      <c r="FH170" s="316"/>
      <c r="FI170" s="316"/>
      <c r="FJ170" s="316"/>
      <c r="FK170" s="316"/>
      <c r="FL170" s="316"/>
      <c r="FM170" s="316"/>
      <c r="FN170" s="316"/>
      <c r="FO170" s="316"/>
      <c r="FP170" s="316"/>
      <c r="FQ170" s="316"/>
      <c r="FR170" s="316"/>
      <c r="FS170" s="316"/>
      <c r="FT170" s="316"/>
      <c r="FU170" s="316"/>
      <c r="FV170" s="316"/>
      <c r="FW170" s="316"/>
      <c r="FX170" s="316"/>
      <c r="FY170" s="316"/>
      <c r="FZ170" s="316"/>
      <c r="GA170" s="316"/>
      <c r="GB170" s="316"/>
      <c r="GC170" s="316"/>
      <c r="GD170" s="316"/>
      <c r="GE170" s="316"/>
      <c r="GF170" s="316"/>
      <c r="GG170" s="316"/>
      <c r="GH170" s="316"/>
      <c r="GI170" s="316"/>
      <c r="GJ170" s="316"/>
      <c r="GK170" s="316"/>
      <c r="GL170" s="316"/>
      <c r="GM170" s="316"/>
      <c r="GN170" s="316"/>
      <c r="GO170" s="316"/>
      <c r="GP170" s="316"/>
      <c r="GQ170" s="316"/>
      <c r="GR170" s="316"/>
      <c r="GS170" s="316"/>
      <c r="GT170" s="316"/>
      <c r="GU170" s="316"/>
      <c r="GV170" s="316"/>
      <c r="GW170" s="316"/>
      <c r="GX170" s="316"/>
      <c r="GY170" s="316"/>
      <c r="GZ170" s="316"/>
      <c r="HA170" s="316"/>
      <c r="HB170" s="316"/>
      <c r="HC170" s="316"/>
      <c r="HD170" s="316"/>
      <c r="HE170" s="316"/>
      <c r="HF170" s="316"/>
      <c r="HG170" s="316"/>
      <c r="HH170" s="316"/>
      <c r="HI170" s="316"/>
      <c r="HJ170" s="316"/>
      <c r="HK170" s="316"/>
      <c r="HL170" s="316"/>
      <c r="HM170" s="316"/>
      <c r="HN170" s="316"/>
      <c r="HO170" s="316"/>
      <c r="HP170" s="316"/>
      <c r="HQ170" s="316"/>
      <c r="HR170" s="316"/>
      <c r="HS170" s="316"/>
      <c r="HT170" s="316"/>
      <c r="HU170" s="316"/>
      <c r="HV170" s="316"/>
      <c r="HW170" s="316"/>
      <c r="HX170" s="316"/>
      <c r="HY170" s="316"/>
      <c r="HZ170" s="316"/>
      <c r="IA170" s="316"/>
      <c r="IB170" s="316"/>
      <c r="IC170" s="316"/>
    </row>
    <row r="171" spans="1:237" ht="15" customHeight="1" x14ac:dyDescent="0.3">
      <c r="A171" s="181">
        <v>8.06</v>
      </c>
      <c r="B171" s="239"/>
      <c r="C171" s="240" t="str">
        <f>VLOOKUP(BD.PD[[#This Row],[Pos]],PPto[],3,FALSE)</f>
        <v>8.06 Otros Equipamientos de Tienda</v>
      </c>
      <c r="D171" s="181" t="s">
        <v>40</v>
      </c>
      <c r="E171" s="242" t="str">
        <f>IF(BD.PD[[#This Row],[.]]="*",VLOOKUP(BD.PD[[#This Row],[Pos]],Presupuesto!A:H,7,FALSE),"")</f>
        <v/>
      </c>
      <c r="F171" s="302" t="s">
        <v>612</v>
      </c>
      <c r="G171" s="243" t="s">
        <v>308</v>
      </c>
      <c r="H171" s="275"/>
      <c r="I171" s="276">
        <v>2</v>
      </c>
      <c r="J171" s="181" t="s">
        <v>314</v>
      </c>
      <c r="K171" s="245">
        <f>IF(BD.PD[[#This Row],[Mon]]="DOP",1,HLOOKUP(BD.PD[[#This Row],[Mon]],$J$1:$K$2,2,FALSE))</f>
        <v>1</v>
      </c>
      <c r="L171" s="346">
        <v>8940.68</v>
      </c>
      <c r="M171" s="247">
        <f>BD.PD[[#This Row],[Cant.]]*BD.PD[[#This Row],[ Tasa ]]*BD.PD[[#This Row],[ Precio Und.]]</f>
        <v>17881.36</v>
      </c>
      <c r="N171" s="278">
        <v>0</v>
      </c>
      <c r="O171" s="247">
        <f>IF(BD.PD[[#This Row],[Liquid. '[%']]]&lt;&gt;0,(BD.PD[[#This Row],[Valor Neto '[DOP']]]*BD.PD[[#This Row],[Liquid. '[%']]])+BD.PD[[#This Row],[Valor Neto '[DOP']]],BD.PD[[#This Row],[Valor Neto '[DOP']]])</f>
        <v>17881.36</v>
      </c>
      <c r="P171" s="257">
        <f>BD.PD[[#This Row],[Ppto. Orden Interna '[DOP']]]/HLOOKUP("USD",$J$1:$K$2,2,FALSE)</f>
        <v>294.58583196046129</v>
      </c>
      <c r="Q171" s="250" t="s">
        <v>614</v>
      </c>
      <c r="R171" s="258" t="s">
        <v>615</v>
      </c>
      <c r="S171" s="251">
        <v>22</v>
      </c>
      <c r="T171" s="252">
        <v>1</v>
      </c>
      <c r="U171" s="259">
        <f>BD.PD[[#This Row],[Av.P1 '[%']]]*BD.PD[[#This Row],[Ppto. Orden Interna '[DOP']]]</f>
        <v>17881.36</v>
      </c>
      <c r="V171" s="254"/>
      <c r="W171" s="255"/>
      <c r="X171" s="259">
        <f>BD.PD[[#This Row],[Av.P2 '[%']]]*BD.PD[[#This Row],[Ppto. Orden Interna '[DOP']]]</f>
        <v>0</v>
      </c>
      <c r="Y171" s="254"/>
      <c r="Z171" s="255"/>
      <c r="AA171" s="259">
        <f>BD.PD[[#This Row],[Av.P3 '[%']]]*BD.PD[[#This Row],[Ppto. Orden Interna '[DOP']]]</f>
        <v>0</v>
      </c>
      <c r="AB171" s="254"/>
      <c r="AC171" s="255"/>
      <c r="AD171" s="259">
        <f>BD.PD[[#This Row],[Av.P4 '[%']]]*BD.PD[[#This Row],[Ppto. Orden Interna '[DOP']]]</f>
        <v>0</v>
      </c>
      <c r="AE171" s="254"/>
      <c r="AF171" s="255"/>
      <c r="AG171" s="259">
        <f>BD.PD[[#This Row],[Av.P5 '[%']]]*BD.PD[[#This Row],[Ppto. Orden Interna '[DOP']]]</f>
        <v>0</v>
      </c>
      <c r="AH171" s="256">
        <f>BD.PD[[#This Row],[Pago 5]]+BD.PD[[#This Row],[Pago 4]]+BD.PD[[#This Row],[Pago 3]]+BD.PD[[#This Row],[Pago 2]]+BD.PD[[#This Row],[Pago 1]]</f>
        <v>17881.36</v>
      </c>
      <c r="AI171" s="318"/>
    </row>
    <row r="172" spans="1:237" ht="15" customHeight="1" x14ac:dyDescent="0.3">
      <c r="A172" s="181">
        <v>8.06</v>
      </c>
      <c r="B172" s="239"/>
      <c r="C172" s="240" t="str">
        <f>VLOOKUP(BD.PD[[#This Row],[Pos]],PPto[],3,FALSE)</f>
        <v>8.06 Otros Equipamientos de Tienda</v>
      </c>
      <c r="D172" s="181" t="s">
        <v>40</v>
      </c>
      <c r="E172" s="242" t="str">
        <f>IF(BD.PD[[#This Row],[.]]="*",VLOOKUP(BD.PD[[#This Row],[Pos]],Presupuesto!A:H,7,FALSE),"")</f>
        <v/>
      </c>
      <c r="F172" s="302" t="s">
        <v>613</v>
      </c>
      <c r="G172" s="243" t="s">
        <v>308</v>
      </c>
      <c r="H172" s="275"/>
      <c r="I172" s="276">
        <v>2</v>
      </c>
      <c r="J172" s="181" t="s">
        <v>314</v>
      </c>
      <c r="K172" s="245">
        <f>IF(BD.PD[[#This Row],[Mon]]="DOP",1,HLOOKUP(BD.PD[[#This Row],[Mon]],$J$1:$K$2,2,FALSE))</f>
        <v>1</v>
      </c>
      <c r="L172" s="277">
        <v>5500</v>
      </c>
      <c r="M172" s="247">
        <f>BD.PD[[#This Row],[Cant.]]*BD.PD[[#This Row],[ Tasa ]]*BD.PD[[#This Row],[ Precio Und.]]</f>
        <v>11000</v>
      </c>
      <c r="N172" s="278">
        <v>0</v>
      </c>
      <c r="O172" s="247">
        <f>IF(BD.PD[[#This Row],[Liquid. '[%']]]&lt;&gt;0,(BD.PD[[#This Row],[Valor Neto '[DOP']]]*BD.PD[[#This Row],[Liquid. '[%']]])+BD.PD[[#This Row],[Valor Neto '[DOP']]],BD.PD[[#This Row],[Valor Neto '[DOP']]])</f>
        <v>11000</v>
      </c>
      <c r="P172" s="257">
        <f>BD.PD[[#This Row],[Ppto. Orden Interna '[DOP']]]/HLOOKUP("USD",$J$1:$K$2,2,FALSE)</f>
        <v>181.21911037891269</v>
      </c>
      <c r="Q172" s="250" t="s">
        <v>614</v>
      </c>
      <c r="R172" s="258" t="s">
        <v>615</v>
      </c>
      <c r="S172" s="251">
        <v>22</v>
      </c>
      <c r="T172" s="252">
        <v>1</v>
      </c>
      <c r="U172" s="259">
        <f>BD.PD[[#This Row],[Av.P1 '[%']]]*BD.PD[[#This Row],[Ppto. Orden Interna '[DOP']]]</f>
        <v>11000</v>
      </c>
      <c r="V172" s="254"/>
      <c r="W172" s="255"/>
      <c r="X172" s="259">
        <f>BD.PD[[#This Row],[Av.P2 '[%']]]*BD.PD[[#This Row],[Ppto. Orden Interna '[DOP']]]</f>
        <v>0</v>
      </c>
      <c r="Y172" s="254"/>
      <c r="Z172" s="255"/>
      <c r="AA172" s="259">
        <f>BD.PD[[#This Row],[Av.P3 '[%']]]*BD.PD[[#This Row],[Ppto. Orden Interna '[DOP']]]</f>
        <v>0</v>
      </c>
      <c r="AB172" s="254"/>
      <c r="AC172" s="255"/>
      <c r="AD172" s="259">
        <f>BD.PD[[#This Row],[Av.P4 '[%']]]*BD.PD[[#This Row],[Ppto. Orden Interna '[DOP']]]</f>
        <v>0</v>
      </c>
      <c r="AE172" s="254"/>
      <c r="AF172" s="255"/>
      <c r="AG172" s="259">
        <f>BD.PD[[#This Row],[Av.P5 '[%']]]*BD.PD[[#This Row],[Ppto. Orden Interna '[DOP']]]</f>
        <v>0</v>
      </c>
      <c r="AH172" s="256">
        <f>BD.PD[[#This Row],[Pago 5]]+BD.PD[[#This Row],[Pago 4]]+BD.PD[[#This Row],[Pago 3]]+BD.PD[[#This Row],[Pago 2]]+BD.PD[[#This Row],[Pago 1]]</f>
        <v>11000</v>
      </c>
      <c r="AI172" s="318"/>
    </row>
    <row r="173" spans="1:237" ht="15" customHeight="1" x14ac:dyDescent="0.3">
      <c r="A173" s="181">
        <v>8.06</v>
      </c>
      <c r="B173" s="239"/>
      <c r="C173" s="240" t="str">
        <f>VLOOKUP(BD.PD[[#This Row],[Pos]],PPto[],3,FALSE)</f>
        <v>8.06 Otros Equipamientos de Tienda</v>
      </c>
      <c r="D173" s="181" t="s">
        <v>40</v>
      </c>
      <c r="E173" s="242" t="str">
        <f>IF(BD.PD[[#This Row],[.]]="*",VLOOKUP(BD.PD[[#This Row],[Pos]],Presupuesto!A:H,7,FALSE),"")</f>
        <v/>
      </c>
      <c r="F173" s="302" t="s">
        <v>616</v>
      </c>
      <c r="G173" s="243" t="s">
        <v>308</v>
      </c>
      <c r="H173" s="275"/>
      <c r="I173" s="276">
        <v>3</v>
      </c>
      <c r="J173" s="181" t="s">
        <v>314</v>
      </c>
      <c r="K173" s="245">
        <f>IF(BD.PD[[#This Row],[Mon]]="DOP",1,HLOOKUP(BD.PD[[#This Row],[Mon]],$J$1:$K$2,2,FALSE))</f>
        <v>1</v>
      </c>
      <c r="L173" s="277">
        <v>11822.029999999999</v>
      </c>
      <c r="M173" s="247">
        <f>BD.PD[[#This Row],[Cant.]]*BD.PD[[#This Row],[ Tasa ]]*BD.PD[[#This Row],[ Precio Und.]]</f>
        <v>35466.089999999997</v>
      </c>
      <c r="N173" s="278">
        <v>0</v>
      </c>
      <c r="O173" s="247">
        <f>IF(BD.PD[[#This Row],[Liquid. '[%']]]&lt;&gt;0,(BD.PD[[#This Row],[Valor Neto '[DOP']]]*BD.PD[[#This Row],[Liquid. '[%']]])+BD.PD[[#This Row],[Valor Neto '[DOP']]],BD.PD[[#This Row],[Valor Neto '[DOP']]])</f>
        <v>35466.089999999997</v>
      </c>
      <c r="P173" s="257">
        <f>BD.PD[[#This Row],[Ppto. Orden Interna '[DOP']]]/HLOOKUP("USD",$J$1:$K$2,2,FALSE)</f>
        <v>584.28484349258645</v>
      </c>
      <c r="Q173" s="250" t="s">
        <v>614</v>
      </c>
      <c r="R173" s="258" t="s">
        <v>615</v>
      </c>
      <c r="S173" s="251">
        <v>22</v>
      </c>
      <c r="T173" s="252">
        <v>1</v>
      </c>
      <c r="U173" s="259">
        <f>BD.PD[[#This Row],[Av.P1 '[%']]]*BD.PD[[#This Row],[Ppto. Orden Interna '[DOP']]]</f>
        <v>35466.089999999997</v>
      </c>
      <c r="V173" s="254"/>
      <c r="W173" s="255"/>
      <c r="X173" s="259">
        <f>BD.PD[[#This Row],[Av.P2 '[%']]]*BD.PD[[#This Row],[Ppto. Orden Interna '[DOP']]]</f>
        <v>0</v>
      </c>
      <c r="Y173" s="254"/>
      <c r="Z173" s="255"/>
      <c r="AA173" s="259">
        <f>BD.PD[[#This Row],[Av.P3 '[%']]]*BD.PD[[#This Row],[Ppto. Orden Interna '[DOP']]]</f>
        <v>0</v>
      </c>
      <c r="AB173" s="254"/>
      <c r="AC173" s="255"/>
      <c r="AD173" s="259">
        <f>BD.PD[[#This Row],[Av.P4 '[%']]]*BD.PD[[#This Row],[Ppto. Orden Interna '[DOP']]]</f>
        <v>0</v>
      </c>
      <c r="AE173" s="254"/>
      <c r="AF173" s="255"/>
      <c r="AG173" s="259">
        <f>BD.PD[[#This Row],[Av.P5 '[%']]]*BD.PD[[#This Row],[Ppto. Orden Interna '[DOP']]]</f>
        <v>0</v>
      </c>
      <c r="AH173" s="256">
        <f>BD.PD[[#This Row],[Pago 5]]+BD.PD[[#This Row],[Pago 4]]+BD.PD[[#This Row],[Pago 3]]+BD.PD[[#This Row],[Pago 2]]+BD.PD[[#This Row],[Pago 1]]</f>
        <v>35466.089999999997</v>
      </c>
      <c r="AI173" s="318"/>
    </row>
    <row r="174" spans="1:237" ht="15" customHeight="1" x14ac:dyDescent="0.3">
      <c r="A174" s="181">
        <v>8.06</v>
      </c>
      <c r="B174" s="239"/>
      <c r="C174" s="240" t="str">
        <f>VLOOKUP(BD.PD[[#This Row],[Pos]],PPto[],3,FALSE)</f>
        <v>8.06 Otros Equipamientos de Tienda</v>
      </c>
      <c r="D174" s="181" t="s">
        <v>40</v>
      </c>
      <c r="E174" s="242" t="str">
        <f>IF(BD.PD[[#This Row],[.]]="*",VLOOKUP(BD.PD[[#This Row],[Pos]],Presupuesto!A:H,7,FALSE),"")</f>
        <v/>
      </c>
      <c r="F174" s="302" t="s">
        <v>617</v>
      </c>
      <c r="G174" s="243" t="s">
        <v>308</v>
      </c>
      <c r="H174" s="275"/>
      <c r="I174" s="276">
        <v>2</v>
      </c>
      <c r="J174" s="181" t="s">
        <v>314</v>
      </c>
      <c r="K174" s="245">
        <f>IF(BD.PD[[#This Row],[Mon]]="DOP",1,HLOOKUP(BD.PD[[#This Row],[Mon]],$J$1:$K$2,2,FALSE))</f>
        <v>1</v>
      </c>
      <c r="L174" s="277">
        <v>5500</v>
      </c>
      <c r="M174" s="247">
        <f>BD.PD[[#This Row],[Cant.]]*BD.PD[[#This Row],[ Tasa ]]*BD.PD[[#This Row],[ Precio Und.]]</f>
        <v>11000</v>
      </c>
      <c r="N174" s="278">
        <v>0</v>
      </c>
      <c r="O174" s="247">
        <f>IF(BD.PD[[#This Row],[Liquid. '[%']]]&lt;&gt;0,(BD.PD[[#This Row],[Valor Neto '[DOP']]]*BD.PD[[#This Row],[Liquid. '[%']]])+BD.PD[[#This Row],[Valor Neto '[DOP']]],BD.PD[[#This Row],[Valor Neto '[DOP']]])</f>
        <v>11000</v>
      </c>
      <c r="P174" s="257">
        <f>BD.PD[[#This Row],[Ppto. Orden Interna '[DOP']]]/HLOOKUP("USD",$J$1:$K$2,2,FALSE)</f>
        <v>181.21911037891269</v>
      </c>
      <c r="Q174" s="250" t="s">
        <v>614</v>
      </c>
      <c r="R174" s="258" t="s">
        <v>615</v>
      </c>
      <c r="S174" s="251">
        <v>22</v>
      </c>
      <c r="T174" s="252">
        <v>1</v>
      </c>
      <c r="U174" s="259">
        <f>BD.PD[[#This Row],[Av.P1 '[%']]]*BD.PD[[#This Row],[Ppto. Orden Interna '[DOP']]]</f>
        <v>11000</v>
      </c>
      <c r="V174" s="254"/>
      <c r="W174" s="255"/>
      <c r="X174" s="259">
        <f>BD.PD[[#This Row],[Av.P2 '[%']]]*BD.PD[[#This Row],[Ppto. Orden Interna '[DOP']]]</f>
        <v>0</v>
      </c>
      <c r="Y174" s="254"/>
      <c r="Z174" s="255"/>
      <c r="AA174" s="259">
        <f>BD.PD[[#This Row],[Av.P3 '[%']]]*BD.PD[[#This Row],[Ppto. Orden Interna '[DOP']]]</f>
        <v>0</v>
      </c>
      <c r="AB174" s="254"/>
      <c r="AC174" s="255"/>
      <c r="AD174" s="259">
        <f>BD.PD[[#This Row],[Av.P4 '[%']]]*BD.PD[[#This Row],[Ppto. Orden Interna '[DOP']]]</f>
        <v>0</v>
      </c>
      <c r="AE174" s="254"/>
      <c r="AF174" s="255"/>
      <c r="AG174" s="259">
        <f>BD.PD[[#This Row],[Av.P5 '[%']]]*BD.PD[[#This Row],[Ppto. Orden Interna '[DOP']]]</f>
        <v>0</v>
      </c>
      <c r="AH174" s="256">
        <f>BD.PD[[#This Row],[Pago 5]]+BD.PD[[#This Row],[Pago 4]]+BD.PD[[#This Row],[Pago 3]]+BD.PD[[#This Row],[Pago 2]]+BD.PD[[#This Row],[Pago 1]]</f>
        <v>11000</v>
      </c>
      <c r="AI174" s="318"/>
    </row>
    <row r="175" spans="1:237" ht="15" customHeight="1" x14ac:dyDescent="0.3">
      <c r="A175" s="181">
        <v>8.06</v>
      </c>
      <c r="B175" s="239"/>
      <c r="C175" s="240" t="str">
        <f>VLOOKUP(BD.PD[[#This Row],[Pos]],PPto[],3,FALSE)</f>
        <v>8.06 Otros Equipamientos de Tienda</v>
      </c>
      <c r="D175" s="181" t="s">
        <v>40</v>
      </c>
      <c r="E175" s="242" t="str">
        <f>IF(BD.PD[[#This Row],[.]]="*",VLOOKUP(BD.PD[[#This Row],[Pos]],Presupuesto!A:H,7,FALSE),"")</f>
        <v/>
      </c>
      <c r="F175" s="302" t="s">
        <v>618</v>
      </c>
      <c r="G175" s="243" t="s">
        <v>308</v>
      </c>
      <c r="H175" s="275"/>
      <c r="I175" s="276">
        <v>1</v>
      </c>
      <c r="J175" s="181" t="s">
        <v>314</v>
      </c>
      <c r="K175" s="245">
        <f>IF(BD.PD[[#This Row],[Mon]]="DOP",1,HLOOKUP(BD.PD[[#This Row],[Mon]],$J$1:$K$2,2,FALSE))</f>
        <v>1</v>
      </c>
      <c r="L175" s="277">
        <v>16398.310000000001</v>
      </c>
      <c r="M175" s="247">
        <f>BD.PD[[#This Row],[Cant.]]*BD.PD[[#This Row],[ Tasa ]]*BD.PD[[#This Row],[ Precio Und.]]</f>
        <v>16398.310000000001</v>
      </c>
      <c r="N175" s="278">
        <v>0</v>
      </c>
      <c r="O175" s="247">
        <f>IF(BD.PD[[#This Row],[Liquid. '[%']]]&lt;&gt;0,(BD.PD[[#This Row],[Valor Neto '[DOP']]]*BD.PD[[#This Row],[Liquid. '[%']]])+BD.PD[[#This Row],[Valor Neto '[DOP']]],BD.PD[[#This Row],[Valor Neto '[DOP']]])</f>
        <v>16398.310000000001</v>
      </c>
      <c r="P175" s="257">
        <f>BD.PD[[#This Row],[Ppto. Orden Interna '[DOP']]]/HLOOKUP("USD",$J$1:$K$2,2,FALSE)</f>
        <v>270.15337726523887</v>
      </c>
      <c r="Q175" s="250" t="s">
        <v>614</v>
      </c>
      <c r="R175" s="258" t="s">
        <v>615</v>
      </c>
      <c r="S175" s="251">
        <v>22</v>
      </c>
      <c r="T175" s="252">
        <v>1</v>
      </c>
      <c r="U175" s="259">
        <f>BD.PD[[#This Row],[Av.P1 '[%']]]*BD.PD[[#This Row],[Ppto. Orden Interna '[DOP']]]</f>
        <v>16398.310000000001</v>
      </c>
      <c r="V175" s="254"/>
      <c r="W175" s="255"/>
      <c r="X175" s="259">
        <f>BD.PD[[#This Row],[Av.P2 '[%']]]*BD.PD[[#This Row],[Ppto. Orden Interna '[DOP']]]</f>
        <v>0</v>
      </c>
      <c r="Y175" s="254"/>
      <c r="Z175" s="255"/>
      <c r="AA175" s="259">
        <f>BD.PD[[#This Row],[Av.P3 '[%']]]*BD.PD[[#This Row],[Ppto. Orden Interna '[DOP']]]</f>
        <v>0</v>
      </c>
      <c r="AB175" s="254"/>
      <c r="AC175" s="255"/>
      <c r="AD175" s="259">
        <f>BD.PD[[#This Row],[Av.P4 '[%']]]*BD.PD[[#This Row],[Ppto. Orden Interna '[DOP']]]</f>
        <v>0</v>
      </c>
      <c r="AE175" s="254"/>
      <c r="AF175" s="255"/>
      <c r="AG175" s="259">
        <f>BD.PD[[#This Row],[Av.P5 '[%']]]*BD.PD[[#This Row],[Ppto. Orden Interna '[DOP']]]</f>
        <v>0</v>
      </c>
      <c r="AH175" s="256">
        <f>BD.PD[[#This Row],[Pago 5]]+BD.PD[[#This Row],[Pago 4]]+BD.PD[[#This Row],[Pago 3]]+BD.PD[[#This Row],[Pago 2]]+BD.PD[[#This Row],[Pago 1]]</f>
        <v>16398.310000000001</v>
      </c>
      <c r="AI175" s="318"/>
    </row>
    <row r="176" spans="1:237" ht="15" customHeight="1" x14ac:dyDescent="0.3">
      <c r="A176" s="181">
        <v>8.06</v>
      </c>
      <c r="B176" s="239"/>
      <c r="C176" s="240" t="str">
        <f>VLOOKUP(BD.PD[[#This Row],[Pos]],PPto[],3,FALSE)</f>
        <v>8.06 Otros Equipamientos de Tienda</v>
      </c>
      <c r="D176" s="181" t="s">
        <v>40</v>
      </c>
      <c r="E176" s="242" t="str">
        <f>IF(BD.PD[[#This Row],[.]]="*",VLOOKUP(BD.PD[[#This Row],[Pos]],Presupuesto!A:H,7,FALSE),"")</f>
        <v/>
      </c>
      <c r="F176" s="302" t="s">
        <v>619</v>
      </c>
      <c r="G176" s="243" t="s">
        <v>308</v>
      </c>
      <c r="H176" s="275"/>
      <c r="I176" s="276">
        <v>2</v>
      </c>
      <c r="J176" s="181" t="s">
        <v>314</v>
      </c>
      <c r="K176" s="245">
        <f>IF(BD.PD[[#This Row],[Mon]]="DOP",1,HLOOKUP(BD.PD[[#This Row],[Mon]],$J$1:$K$2,2,FALSE))</f>
        <v>1</v>
      </c>
      <c r="L176" s="277">
        <v>12700</v>
      </c>
      <c r="M176" s="247">
        <f>BD.PD[[#This Row],[Cant.]]*BD.PD[[#This Row],[ Tasa ]]*BD.PD[[#This Row],[ Precio Und.]]</f>
        <v>25400</v>
      </c>
      <c r="N176" s="278">
        <v>0</v>
      </c>
      <c r="O176" s="247">
        <f>IF(BD.PD[[#This Row],[Liquid. '[%']]]&lt;&gt;0,(BD.PD[[#This Row],[Valor Neto '[DOP']]]*BD.PD[[#This Row],[Liquid. '[%']]])+BD.PD[[#This Row],[Valor Neto '[DOP']]],BD.PD[[#This Row],[Valor Neto '[DOP']]])</f>
        <v>25400</v>
      </c>
      <c r="P176" s="257">
        <f>BD.PD[[#This Row],[Ppto. Orden Interna '[DOP']]]/HLOOKUP("USD",$J$1:$K$2,2,FALSE)</f>
        <v>418.45140032948927</v>
      </c>
      <c r="Q176" s="250" t="s">
        <v>614</v>
      </c>
      <c r="R176" s="258" t="s">
        <v>615</v>
      </c>
      <c r="S176" s="251">
        <v>22</v>
      </c>
      <c r="T176" s="252">
        <v>1</v>
      </c>
      <c r="U176" s="259">
        <f>BD.PD[[#This Row],[Av.P1 '[%']]]*BD.PD[[#This Row],[Ppto. Orden Interna '[DOP']]]</f>
        <v>25400</v>
      </c>
      <c r="V176" s="254"/>
      <c r="W176" s="255"/>
      <c r="X176" s="259">
        <f>BD.PD[[#This Row],[Av.P2 '[%']]]*BD.PD[[#This Row],[Ppto. Orden Interna '[DOP']]]</f>
        <v>0</v>
      </c>
      <c r="Y176" s="254"/>
      <c r="Z176" s="255"/>
      <c r="AA176" s="259">
        <f>BD.PD[[#This Row],[Av.P3 '[%']]]*BD.PD[[#This Row],[Ppto. Orden Interna '[DOP']]]</f>
        <v>0</v>
      </c>
      <c r="AB176" s="254"/>
      <c r="AC176" s="255"/>
      <c r="AD176" s="259">
        <f>BD.PD[[#This Row],[Av.P4 '[%']]]*BD.PD[[#This Row],[Ppto. Orden Interna '[DOP']]]</f>
        <v>0</v>
      </c>
      <c r="AE176" s="254"/>
      <c r="AF176" s="255"/>
      <c r="AG176" s="259">
        <f>BD.PD[[#This Row],[Av.P5 '[%']]]*BD.PD[[#This Row],[Ppto. Orden Interna '[DOP']]]</f>
        <v>0</v>
      </c>
      <c r="AH176" s="256">
        <f>BD.PD[[#This Row],[Pago 5]]+BD.PD[[#This Row],[Pago 4]]+BD.PD[[#This Row],[Pago 3]]+BD.PD[[#This Row],[Pago 2]]+BD.PD[[#This Row],[Pago 1]]</f>
        <v>25400</v>
      </c>
      <c r="AI176" s="318"/>
    </row>
    <row r="177" spans="1:35" ht="15" customHeight="1" x14ac:dyDescent="0.3">
      <c r="A177" s="181">
        <v>8.06</v>
      </c>
      <c r="B177" s="239"/>
      <c r="C177" s="240" t="str">
        <f>VLOOKUP(BD.PD[[#This Row],[Pos]],PPto[],3,FALSE)</f>
        <v>8.06 Otros Equipamientos de Tienda</v>
      </c>
      <c r="D177" s="181" t="s">
        <v>40</v>
      </c>
      <c r="E177" s="242" t="str">
        <f>IF(BD.PD[[#This Row],[.]]="*",VLOOKUP(BD.PD[[#This Row],[Pos]],Presupuesto!A:H,7,FALSE),"")</f>
        <v/>
      </c>
      <c r="F177" s="302" t="s">
        <v>620</v>
      </c>
      <c r="G177" s="243" t="s">
        <v>308</v>
      </c>
      <c r="H177" s="275"/>
      <c r="I177" s="276">
        <v>1</v>
      </c>
      <c r="J177" s="181" t="s">
        <v>314</v>
      </c>
      <c r="K177" s="245">
        <f>IF(BD.PD[[#This Row],[Mon]]="DOP",1,HLOOKUP(BD.PD[[#This Row],[Mon]],$J$1:$K$2,2,FALSE))</f>
        <v>1</v>
      </c>
      <c r="L177" s="277">
        <v>9279.66</v>
      </c>
      <c r="M177" s="247">
        <f>BD.PD[[#This Row],[Cant.]]*BD.PD[[#This Row],[ Tasa ]]*BD.PD[[#This Row],[ Precio Und.]]</f>
        <v>9279.66</v>
      </c>
      <c r="N177" s="278">
        <v>0.05</v>
      </c>
      <c r="O177" s="247">
        <f>IF(BD.PD[[#This Row],[Liquid. '[%']]]&lt;&gt;0,(BD.PD[[#This Row],[Valor Neto '[DOP']]]*BD.PD[[#This Row],[Liquid. '[%']]])+BD.PD[[#This Row],[Valor Neto '[DOP']]],BD.PD[[#This Row],[Valor Neto '[DOP']]])</f>
        <v>9743.643</v>
      </c>
      <c r="P177" s="257">
        <f>BD.PD[[#This Row],[Ppto. Orden Interna '[DOP']]]/HLOOKUP("USD",$J$1:$K$2,2,FALSE)</f>
        <v>160.5213014827018</v>
      </c>
      <c r="Q177" s="250" t="s">
        <v>614</v>
      </c>
      <c r="R177" s="258" t="s">
        <v>615</v>
      </c>
      <c r="S177" s="251">
        <v>22</v>
      </c>
      <c r="T177" s="252">
        <v>1</v>
      </c>
      <c r="U177" s="259">
        <f>BD.PD[[#This Row],[Av.P1 '[%']]]*BD.PD[[#This Row],[Ppto. Orden Interna '[DOP']]]</f>
        <v>9743.643</v>
      </c>
      <c r="V177" s="254"/>
      <c r="W177" s="255"/>
      <c r="X177" s="259">
        <f>BD.PD[[#This Row],[Av.P2 '[%']]]*BD.PD[[#This Row],[Ppto. Orden Interna '[DOP']]]</f>
        <v>0</v>
      </c>
      <c r="Y177" s="254"/>
      <c r="Z177" s="255"/>
      <c r="AA177" s="259">
        <f>BD.PD[[#This Row],[Av.P3 '[%']]]*BD.PD[[#This Row],[Ppto. Orden Interna '[DOP']]]</f>
        <v>0</v>
      </c>
      <c r="AB177" s="254"/>
      <c r="AC177" s="255"/>
      <c r="AD177" s="259">
        <f>BD.PD[[#This Row],[Av.P4 '[%']]]*BD.PD[[#This Row],[Ppto. Orden Interna '[DOP']]]</f>
        <v>0</v>
      </c>
      <c r="AE177" s="254"/>
      <c r="AF177" s="255"/>
      <c r="AG177" s="259">
        <f>BD.PD[[#This Row],[Av.P5 '[%']]]*BD.PD[[#This Row],[Ppto. Orden Interna '[DOP']]]</f>
        <v>0</v>
      </c>
      <c r="AH177" s="256">
        <f>BD.PD[[#This Row],[Pago 5]]+BD.PD[[#This Row],[Pago 4]]+BD.PD[[#This Row],[Pago 3]]+BD.PD[[#This Row],[Pago 2]]+BD.PD[[#This Row],[Pago 1]]</f>
        <v>9743.643</v>
      </c>
      <c r="AI177" s="318"/>
    </row>
    <row r="178" spans="1:35" ht="15" customHeight="1" x14ac:dyDescent="0.3">
      <c r="A178" s="181">
        <v>8.06</v>
      </c>
      <c r="B178" s="239"/>
      <c r="C178" s="240" t="str">
        <f>VLOOKUP(BD.PD[[#This Row],[Pos]],PPto[],3,FALSE)</f>
        <v>8.06 Otros Equipamientos de Tienda</v>
      </c>
      <c r="D178" s="181" t="s">
        <v>40</v>
      </c>
      <c r="E178" s="242" t="str">
        <f>IF(BD.PD[[#This Row],[.]]="*",VLOOKUP(BD.PD[[#This Row],[Pos]],Presupuesto!A:H,7,FALSE),"")</f>
        <v/>
      </c>
      <c r="F178" s="303" t="s">
        <v>621</v>
      </c>
      <c r="G178" s="243" t="s">
        <v>308</v>
      </c>
      <c r="H178" s="275"/>
      <c r="I178" s="276">
        <v>2</v>
      </c>
      <c r="J178" s="181" t="s">
        <v>314</v>
      </c>
      <c r="K178" s="245">
        <f>IF(BD.PD[[#This Row],[Mon]]="DOP",1,HLOOKUP(BD.PD[[#This Row],[Mon]],$J$1:$K$2,2,FALSE))</f>
        <v>1</v>
      </c>
      <c r="L178" s="277">
        <v>41101.69</v>
      </c>
      <c r="M178" s="247">
        <f>BD.PD[[#This Row],[Cant.]]*BD.PD[[#This Row],[ Tasa ]]*BD.PD[[#This Row],[ Precio Und.]]</f>
        <v>82203.38</v>
      </c>
      <c r="N178" s="278">
        <v>0</v>
      </c>
      <c r="O178" s="247">
        <f>IF(BD.PD[[#This Row],[Liquid. '[%']]]&lt;&gt;0,(BD.PD[[#This Row],[Valor Neto '[DOP']]]*BD.PD[[#This Row],[Liquid. '[%']]])+BD.PD[[#This Row],[Valor Neto '[DOP']]],BD.PD[[#This Row],[Valor Neto '[DOP']]])</f>
        <v>82203.38</v>
      </c>
      <c r="P178" s="257">
        <f>BD.PD[[#This Row],[Ppto. Orden Interna '[DOP']]]/HLOOKUP("USD",$J$1:$K$2,2,FALSE)</f>
        <v>1354.256672158155</v>
      </c>
      <c r="Q178" s="250" t="s">
        <v>614</v>
      </c>
      <c r="R178" s="258" t="s">
        <v>615</v>
      </c>
      <c r="S178" s="251">
        <v>22</v>
      </c>
      <c r="T178" s="252">
        <v>1</v>
      </c>
      <c r="U178" s="259">
        <f>BD.PD[[#This Row],[Av.P1 '[%']]]*BD.PD[[#This Row],[Ppto. Orden Interna '[DOP']]]</f>
        <v>82203.38</v>
      </c>
      <c r="V178" s="254"/>
      <c r="W178" s="255"/>
      <c r="X178" s="259">
        <f>BD.PD[[#This Row],[Av.P2 '[%']]]*BD.PD[[#This Row],[Ppto. Orden Interna '[DOP']]]</f>
        <v>0</v>
      </c>
      <c r="Y178" s="254"/>
      <c r="Z178" s="255"/>
      <c r="AA178" s="259">
        <f>BD.PD[[#This Row],[Av.P3 '[%']]]*BD.PD[[#This Row],[Ppto. Orden Interna '[DOP']]]</f>
        <v>0</v>
      </c>
      <c r="AB178" s="254"/>
      <c r="AC178" s="255"/>
      <c r="AD178" s="259">
        <f>BD.PD[[#This Row],[Av.P4 '[%']]]*BD.PD[[#This Row],[Ppto. Orden Interna '[DOP']]]</f>
        <v>0</v>
      </c>
      <c r="AE178" s="254"/>
      <c r="AF178" s="255"/>
      <c r="AG178" s="259">
        <f>BD.PD[[#This Row],[Av.P5 '[%']]]*BD.PD[[#This Row],[Ppto. Orden Interna '[DOP']]]</f>
        <v>0</v>
      </c>
      <c r="AH178" s="256">
        <f>BD.PD[[#This Row],[Pago 5]]+BD.PD[[#This Row],[Pago 4]]+BD.PD[[#This Row],[Pago 3]]+BD.PD[[#This Row],[Pago 2]]+BD.PD[[#This Row],[Pago 1]]</f>
        <v>82203.38</v>
      </c>
      <c r="AI178" s="318"/>
    </row>
    <row r="179" spans="1:35" ht="15" customHeight="1" x14ac:dyDescent="0.3">
      <c r="A179" s="181">
        <v>8.06</v>
      </c>
      <c r="B179" s="239"/>
      <c r="C179" s="240" t="str">
        <f>VLOOKUP(BD.PD[[#This Row],[Pos]],PPto[],3,FALSE)</f>
        <v>8.06 Otros Equipamientos de Tienda</v>
      </c>
      <c r="D179" s="181" t="s">
        <v>40</v>
      </c>
      <c r="E179" s="242" t="str">
        <f>IF(BD.PD[[#This Row],[.]]="*",VLOOKUP(BD.PD[[#This Row],[Pos]],Presupuesto!A:H,7,FALSE),"")</f>
        <v/>
      </c>
      <c r="F179" s="303" t="s">
        <v>622</v>
      </c>
      <c r="G179" s="243" t="s">
        <v>308</v>
      </c>
      <c r="H179" s="275"/>
      <c r="I179" s="276">
        <v>3</v>
      </c>
      <c r="J179" s="181" t="s">
        <v>314</v>
      </c>
      <c r="K179" s="245">
        <f>IF(BD.PD[[#This Row],[Mon]]="DOP",1,HLOOKUP(BD.PD[[#This Row],[Mon]],$J$1:$K$2,2,FALSE))</f>
        <v>1</v>
      </c>
      <c r="L179" s="277">
        <v>15967.980000000001</v>
      </c>
      <c r="M179" s="247">
        <f>BD.PD[[#This Row],[Cant.]]*BD.PD[[#This Row],[ Tasa ]]*BD.PD[[#This Row],[ Precio Und.]]</f>
        <v>47903.94</v>
      </c>
      <c r="N179" s="278">
        <v>0</v>
      </c>
      <c r="O179" s="247">
        <f>IF(BD.PD[[#This Row],[Liquid. '[%']]]&lt;&gt;0,(BD.PD[[#This Row],[Valor Neto '[DOP']]]*BD.PD[[#This Row],[Liquid. '[%']]])+BD.PD[[#This Row],[Valor Neto '[DOP']]],BD.PD[[#This Row],[Valor Neto '[DOP']]])</f>
        <v>47903.94</v>
      </c>
      <c r="P179" s="257">
        <f>BD.PD[[#This Row],[Ppto. Orden Interna '[DOP']]]/HLOOKUP("USD",$J$1:$K$2,2,FALSE)</f>
        <v>789.19176276771009</v>
      </c>
      <c r="Q179" s="250" t="s">
        <v>614</v>
      </c>
      <c r="R179" s="258" t="s">
        <v>615</v>
      </c>
      <c r="S179" s="251">
        <v>22</v>
      </c>
      <c r="T179" s="252">
        <v>1</v>
      </c>
      <c r="U179" s="259">
        <f>BD.PD[[#This Row],[Av.P1 '[%']]]*BD.PD[[#This Row],[Ppto. Orden Interna '[DOP']]]</f>
        <v>47903.94</v>
      </c>
      <c r="V179" s="254"/>
      <c r="W179" s="255"/>
      <c r="X179" s="259">
        <f>BD.PD[[#This Row],[Av.P2 '[%']]]*BD.PD[[#This Row],[Ppto. Orden Interna '[DOP']]]</f>
        <v>0</v>
      </c>
      <c r="Y179" s="254"/>
      <c r="Z179" s="255"/>
      <c r="AA179" s="259">
        <f>BD.PD[[#This Row],[Av.P3 '[%']]]*BD.PD[[#This Row],[Ppto. Orden Interna '[DOP']]]</f>
        <v>0</v>
      </c>
      <c r="AB179" s="254"/>
      <c r="AC179" s="255"/>
      <c r="AD179" s="259">
        <f>BD.PD[[#This Row],[Av.P4 '[%']]]*BD.PD[[#This Row],[Ppto. Orden Interna '[DOP']]]</f>
        <v>0</v>
      </c>
      <c r="AE179" s="254"/>
      <c r="AF179" s="255"/>
      <c r="AG179" s="259">
        <f>BD.PD[[#This Row],[Av.P5 '[%']]]*BD.PD[[#This Row],[Ppto. Orden Interna '[DOP']]]</f>
        <v>0</v>
      </c>
      <c r="AH179" s="256">
        <f>BD.PD[[#This Row],[Pago 5]]+BD.PD[[#This Row],[Pago 4]]+BD.PD[[#This Row],[Pago 3]]+BD.PD[[#This Row],[Pago 2]]+BD.PD[[#This Row],[Pago 1]]</f>
        <v>47903.94</v>
      </c>
      <c r="AI179" s="318"/>
    </row>
    <row r="180" spans="1:35" ht="15" customHeight="1" x14ac:dyDescent="0.3">
      <c r="A180" s="181">
        <v>8.06</v>
      </c>
      <c r="B180" s="239"/>
      <c r="C180" s="240" t="str">
        <f>VLOOKUP(BD.PD[[#This Row],[Pos]],PPto[],3,FALSE)</f>
        <v>8.06 Otros Equipamientos de Tienda</v>
      </c>
      <c r="D180" s="181" t="s">
        <v>40</v>
      </c>
      <c r="E180" s="242" t="str">
        <f>IF(BD.PD[[#This Row],[.]]="*",VLOOKUP(BD.PD[[#This Row],[Pos]],Presupuesto!A:H,7,FALSE),"")</f>
        <v/>
      </c>
      <c r="F180" s="303" t="s">
        <v>623</v>
      </c>
      <c r="G180" s="243" t="s">
        <v>308</v>
      </c>
      <c r="H180" s="275"/>
      <c r="I180" s="276">
        <v>5</v>
      </c>
      <c r="J180" s="181" t="s">
        <v>314</v>
      </c>
      <c r="K180" s="245">
        <f>IF(BD.PD[[#This Row],[Mon]]="DOP",1,HLOOKUP(BD.PD[[#This Row],[Mon]],$J$1:$K$2,2,FALSE))</f>
        <v>1</v>
      </c>
      <c r="L180" s="277">
        <v>21271.19</v>
      </c>
      <c r="M180" s="247">
        <f>BD.PD[[#This Row],[Cant.]]*BD.PD[[#This Row],[ Tasa ]]*BD.PD[[#This Row],[ Precio Und.]]</f>
        <v>106355.95</v>
      </c>
      <c r="N180" s="278">
        <v>0</v>
      </c>
      <c r="O180" s="247">
        <f>IF(BD.PD[[#This Row],[Liquid. '[%']]]&lt;&gt;0,(BD.PD[[#This Row],[Valor Neto '[DOP']]]*BD.PD[[#This Row],[Liquid. '[%']]])+BD.PD[[#This Row],[Valor Neto '[DOP']]],BD.PD[[#This Row],[Valor Neto '[DOP']]])</f>
        <v>106355.95</v>
      </c>
      <c r="P180" s="257">
        <f>BD.PD[[#This Row],[Ppto. Orden Interna '[DOP']]]/HLOOKUP("USD",$J$1:$K$2,2,FALSE)</f>
        <v>1752.1573311367379</v>
      </c>
      <c r="Q180" s="250" t="s">
        <v>614</v>
      </c>
      <c r="R180" s="258" t="s">
        <v>615</v>
      </c>
      <c r="S180" s="251">
        <v>22</v>
      </c>
      <c r="T180" s="252">
        <v>1</v>
      </c>
      <c r="U180" s="259">
        <f>BD.PD[[#This Row],[Av.P1 '[%']]]*BD.PD[[#This Row],[Ppto. Orden Interna '[DOP']]]</f>
        <v>106355.95</v>
      </c>
      <c r="V180" s="254"/>
      <c r="W180" s="255"/>
      <c r="X180" s="259">
        <f>BD.PD[[#This Row],[Av.P2 '[%']]]*BD.PD[[#This Row],[Ppto. Orden Interna '[DOP']]]</f>
        <v>0</v>
      </c>
      <c r="Y180" s="254"/>
      <c r="Z180" s="255"/>
      <c r="AA180" s="259">
        <f>BD.PD[[#This Row],[Av.P3 '[%']]]*BD.PD[[#This Row],[Ppto. Orden Interna '[DOP']]]</f>
        <v>0</v>
      </c>
      <c r="AB180" s="254"/>
      <c r="AC180" s="255"/>
      <c r="AD180" s="259">
        <f>BD.PD[[#This Row],[Av.P4 '[%']]]*BD.PD[[#This Row],[Ppto. Orden Interna '[DOP']]]</f>
        <v>0</v>
      </c>
      <c r="AE180" s="254"/>
      <c r="AF180" s="255"/>
      <c r="AG180" s="259">
        <f>BD.PD[[#This Row],[Av.P5 '[%']]]*BD.PD[[#This Row],[Ppto. Orden Interna '[DOP']]]</f>
        <v>0</v>
      </c>
      <c r="AH180" s="256">
        <f>BD.PD[[#This Row],[Pago 5]]+BD.PD[[#This Row],[Pago 4]]+BD.PD[[#This Row],[Pago 3]]+BD.PD[[#This Row],[Pago 2]]+BD.PD[[#This Row],[Pago 1]]</f>
        <v>106355.95</v>
      </c>
      <c r="AI180" s="318"/>
    </row>
    <row r="181" spans="1:35" ht="15" customHeight="1" x14ac:dyDescent="0.3">
      <c r="A181" s="181">
        <v>2.0699999999999998</v>
      </c>
      <c r="B181" s="239"/>
      <c r="C181" s="240" t="str">
        <f>VLOOKUP(BD.PD[[#This Row],[Pos]],PPto[],3,FALSE)</f>
        <v xml:space="preserve">2.07 Sistema Contra Incendios </v>
      </c>
      <c r="D181" s="181" t="s">
        <v>40</v>
      </c>
      <c r="E181" s="242" t="str">
        <f>IF(BD.PD[[#This Row],[.]]="*",VLOOKUP(BD.PD[[#This Row],[Pos]],Presupuesto!A:H,7,FALSE),"")</f>
        <v/>
      </c>
      <c r="F181" s="303" t="s">
        <v>319</v>
      </c>
      <c r="G181" s="243" t="s">
        <v>308</v>
      </c>
      <c r="H181" s="275"/>
      <c r="I181" s="276">
        <v>7</v>
      </c>
      <c r="J181" s="181" t="s">
        <v>188</v>
      </c>
      <c r="K181" s="245">
        <f>IF(BD.PD[[#This Row],[Mon]]="DOP",1,HLOOKUP(BD.PD[[#This Row],[Mon]],$J$1:$K$2,2,FALSE))</f>
        <v>60.7</v>
      </c>
      <c r="L181" s="277">
        <v>173</v>
      </c>
      <c r="M181" s="247">
        <f>BD.PD[[#This Row],[Cant.]]*BD.PD[[#This Row],[ Tasa ]]*BD.PD[[#This Row],[ Precio Und.]]</f>
        <v>73507.700000000012</v>
      </c>
      <c r="N181" s="278">
        <v>0.01</v>
      </c>
      <c r="O181" s="247">
        <f>IF(BD.PD[[#This Row],[Liquid. '[%']]]&lt;&gt;0,(BD.PD[[#This Row],[Valor Neto '[DOP']]]*BD.PD[[#This Row],[Liquid. '[%']]])+BD.PD[[#This Row],[Valor Neto '[DOP']]],BD.PD[[#This Row],[Valor Neto '[DOP']]])</f>
        <v>74242.777000000016</v>
      </c>
      <c r="P181" s="257">
        <f>BD.PD[[#This Row],[Ppto. Orden Interna '[DOP']]]/HLOOKUP("USD",$J$1:$K$2,2,FALSE)</f>
        <v>1223.1100000000001</v>
      </c>
      <c r="Q181" s="250" t="s">
        <v>320</v>
      </c>
      <c r="R181" s="258" t="s">
        <v>1104</v>
      </c>
      <c r="S181" s="251">
        <v>22</v>
      </c>
      <c r="T181" s="252">
        <v>1</v>
      </c>
      <c r="U181" s="259">
        <f>BD.PD[[#This Row],[Av.P1 '[%']]]*BD.PD[[#This Row],[Ppto. Orden Interna '[DOP']]]</f>
        <v>74242.777000000016</v>
      </c>
      <c r="V181" s="254"/>
      <c r="W181" s="255"/>
      <c r="X181" s="259">
        <f>BD.PD[[#This Row],[Av.P2 '[%']]]*BD.PD[[#This Row],[Ppto. Orden Interna '[DOP']]]</f>
        <v>0</v>
      </c>
      <c r="Y181" s="254"/>
      <c r="Z181" s="255"/>
      <c r="AA181" s="259">
        <f>BD.PD[[#This Row],[Av.P3 '[%']]]*BD.PD[[#This Row],[Ppto. Orden Interna '[DOP']]]</f>
        <v>0</v>
      </c>
      <c r="AB181" s="254"/>
      <c r="AC181" s="255"/>
      <c r="AD181" s="259">
        <f>BD.PD[[#This Row],[Av.P4 '[%']]]*BD.PD[[#This Row],[Ppto. Orden Interna '[DOP']]]</f>
        <v>0</v>
      </c>
      <c r="AE181" s="254"/>
      <c r="AF181" s="255"/>
      <c r="AG181" s="259">
        <f>BD.PD[[#This Row],[Av.P5 '[%']]]*BD.PD[[#This Row],[Ppto. Orden Interna '[DOP']]]</f>
        <v>0</v>
      </c>
      <c r="AH181" s="256">
        <f>BD.PD[[#This Row],[Pago 5]]+BD.PD[[#This Row],[Pago 4]]+BD.PD[[#This Row],[Pago 3]]+BD.PD[[#This Row],[Pago 2]]+BD.PD[[#This Row],[Pago 1]]</f>
        <v>74242.777000000016</v>
      </c>
      <c r="AI181" s="318"/>
    </row>
    <row r="182" spans="1:35" ht="15" customHeight="1" x14ac:dyDescent="0.3">
      <c r="A182" s="181">
        <v>2.0699999999999998</v>
      </c>
      <c r="B182" s="239"/>
      <c r="C182" s="240" t="str">
        <f>VLOOKUP(BD.PD[[#This Row],[Pos]],PPto[],3,FALSE)</f>
        <v xml:space="preserve">2.07 Sistema Contra Incendios </v>
      </c>
      <c r="D182" s="181" t="s">
        <v>40</v>
      </c>
      <c r="E182" s="242" t="str">
        <f>IF(BD.PD[[#This Row],[.]]="*",VLOOKUP(BD.PD[[#This Row],[Pos]],Presupuesto!A:H,7,FALSE),"")</f>
        <v/>
      </c>
      <c r="F182" s="303" t="s">
        <v>321</v>
      </c>
      <c r="G182" s="243" t="s">
        <v>308</v>
      </c>
      <c r="H182" s="275"/>
      <c r="I182" s="276">
        <v>5</v>
      </c>
      <c r="J182" s="181" t="s">
        <v>188</v>
      </c>
      <c r="K182" s="245">
        <f>IF(BD.PD[[#This Row],[Mon]]="DOP",1,HLOOKUP(BD.PD[[#This Row],[Mon]],$J$1:$K$2,2,FALSE))</f>
        <v>60.7</v>
      </c>
      <c r="L182" s="277">
        <v>284</v>
      </c>
      <c r="M182" s="247">
        <f>BD.PD[[#This Row],[Cant.]]*BD.PD[[#This Row],[ Tasa ]]*BD.PD[[#This Row],[ Precio Und.]]</f>
        <v>86194</v>
      </c>
      <c r="N182" s="278">
        <v>0.01</v>
      </c>
      <c r="O182" s="247">
        <f>IF(BD.PD[[#This Row],[Liquid. '[%']]]&lt;&gt;0,(BD.PD[[#This Row],[Valor Neto '[DOP']]]*BD.PD[[#This Row],[Liquid. '[%']]])+BD.PD[[#This Row],[Valor Neto '[DOP']]],BD.PD[[#This Row],[Valor Neto '[DOP']]])</f>
        <v>87055.94</v>
      </c>
      <c r="P182" s="257">
        <f>BD.PD[[#This Row],[Ppto. Orden Interna '[DOP']]]/HLOOKUP("USD",$J$1:$K$2,2,FALSE)</f>
        <v>1434.2</v>
      </c>
      <c r="Q182" s="250" t="s">
        <v>320</v>
      </c>
      <c r="R182" s="258" t="s">
        <v>1104</v>
      </c>
      <c r="S182" s="251">
        <v>22</v>
      </c>
      <c r="T182" s="252">
        <v>1</v>
      </c>
      <c r="U182" s="259">
        <f>BD.PD[[#This Row],[Av.P1 '[%']]]*BD.PD[[#This Row],[Ppto. Orden Interna '[DOP']]]</f>
        <v>87055.94</v>
      </c>
      <c r="V182" s="254"/>
      <c r="W182" s="255"/>
      <c r="X182" s="259">
        <f>BD.PD[[#This Row],[Av.P2 '[%']]]*BD.PD[[#This Row],[Ppto. Orden Interna '[DOP']]]</f>
        <v>0</v>
      </c>
      <c r="Y182" s="254"/>
      <c r="Z182" s="255"/>
      <c r="AA182" s="259">
        <f>BD.PD[[#This Row],[Av.P3 '[%']]]*BD.PD[[#This Row],[Ppto. Orden Interna '[DOP']]]</f>
        <v>0</v>
      </c>
      <c r="AB182" s="254"/>
      <c r="AC182" s="255"/>
      <c r="AD182" s="259">
        <f>BD.PD[[#This Row],[Av.P4 '[%']]]*BD.PD[[#This Row],[Ppto. Orden Interna '[DOP']]]</f>
        <v>0</v>
      </c>
      <c r="AE182" s="254"/>
      <c r="AF182" s="255"/>
      <c r="AG182" s="259">
        <f>BD.PD[[#This Row],[Av.P5 '[%']]]*BD.PD[[#This Row],[Ppto. Orden Interna '[DOP']]]</f>
        <v>0</v>
      </c>
      <c r="AH182" s="256">
        <f>BD.PD[[#This Row],[Pago 5]]+BD.PD[[#This Row],[Pago 4]]+BD.PD[[#This Row],[Pago 3]]+BD.PD[[#This Row],[Pago 2]]+BD.PD[[#This Row],[Pago 1]]</f>
        <v>87055.94</v>
      </c>
      <c r="AI182" s="318"/>
    </row>
    <row r="183" spans="1:35" ht="15" customHeight="1" x14ac:dyDescent="0.3">
      <c r="A183" s="181">
        <v>2.0699999999999998</v>
      </c>
      <c r="B183" s="239"/>
      <c r="C183" s="240" t="str">
        <f>VLOOKUP(BD.PD[[#This Row],[Pos]],PPto[],3,FALSE)</f>
        <v xml:space="preserve">2.07 Sistema Contra Incendios </v>
      </c>
      <c r="D183" s="181" t="s">
        <v>40</v>
      </c>
      <c r="E183" s="242" t="str">
        <f>IF(BD.PD[[#This Row],[.]]="*",VLOOKUP(BD.PD[[#This Row],[Pos]],Presupuesto!A:H,7,FALSE),"")</f>
        <v/>
      </c>
      <c r="F183" s="303" t="s">
        <v>322</v>
      </c>
      <c r="G183" s="243" t="s">
        <v>308</v>
      </c>
      <c r="H183" s="275"/>
      <c r="I183" s="276">
        <v>5</v>
      </c>
      <c r="J183" s="181" t="s">
        <v>188</v>
      </c>
      <c r="K183" s="245">
        <f>IF(BD.PD[[#This Row],[Mon]]="DOP",1,HLOOKUP(BD.PD[[#This Row],[Mon]],$J$1:$K$2,2,FALSE))</f>
        <v>60.7</v>
      </c>
      <c r="L183" s="277">
        <v>327</v>
      </c>
      <c r="M183" s="247">
        <f>BD.PD[[#This Row],[Cant.]]*BD.PD[[#This Row],[ Tasa ]]*BD.PD[[#This Row],[ Precio Und.]]</f>
        <v>99244.5</v>
      </c>
      <c r="N183" s="278">
        <v>0.01</v>
      </c>
      <c r="O183" s="247">
        <f>IF(BD.PD[[#This Row],[Liquid. '[%']]]&lt;&gt;0,(BD.PD[[#This Row],[Valor Neto '[DOP']]]*BD.PD[[#This Row],[Liquid. '[%']]])+BD.PD[[#This Row],[Valor Neto '[DOP']]],BD.PD[[#This Row],[Valor Neto '[DOP']]])</f>
        <v>100236.94500000001</v>
      </c>
      <c r="P183" s="257">
        <f>BD.PD[[#This Row],[Ppto. Orden Interna '[DOP']]]/HLOOKUP("USD",$J$1:$K$2,2,FALSE)</f>
        <v>1651.3500000000001</v>
      </c>
      <c r="Q183" s="250" t="s">
        <v>320</v>
      </c>
      <c r="R183" s="258" t="s">
        <v>1104</v>
      </c>
      <c r="S183" s="251">
        <v>22</v>
      </c>
      <c r="T183" s="252">
        <v>1</v>
      </c>
      <c r="U183" s="259">
        <f>BD.PD[[#This Row],[Av.P1 '[%']]]*BD.PD[[#This Row],[Ppto. Orden Interna '[DOP']]]</f>
        <v>100236.94500000001</v>
      </c>
      <c r="V183" s="254"/>
      <c r="W183" s="255"/>
      <c r="X183" s="259">
        <f>BD.PD[[#This Row],[Av.P2 '[%']]]*BD.PD[[#This Row],[Ppto. Orden Interna '[DOP']]]</f>
        <v>0</v>
      </c>
      <c r="Y183" s="254"/>
      <c r="Z183" s="255"/>
      <c r="AA183" s="259">
        <f>BD.PD[[#This Row],[Av.P3 '[%']]]*BD.PD[[#This Row],[Ppto. Orden Interna '[DOP']]]</f>
        <v>0</v>
      </c>
      <c r="AB183" s="254"/>
      <c r="AC183" s="255"/>
      <c r="AD183" s="259">
        <f>BD.PD[[#This Row],[Av.P4 '[%']]]*BD.PD[[#This Row],[Ppto. Orden Interna '[DOP']]]</f>
        <v>0</v>
      </c>
      <c r="AE183" s="254"/>
      <c r="AF183" s="255"/>
      <c r="AG183" s="259">
        <f>BD.PD[[#This Row],[Av.P5 '[%']]]*BD.PD[[#This Row],[Ppto. Orden Interna '[DOP']]]</f>
        <v>0</v>
      </c>
      <c r="AH183" s="256">
        <f>BD.PD[[#This Row],[Pago 5]]+BD.PD[[#This Row],[Pago 4]]+BD.PD[[#This Row],[Pago 3]]+BD.PD[[#This Row],[Pago 2]]+BD.PD[[#This Row],[Pago 1]]</f>
        <v>100236.94500000001</v>
      </c>
      <c r="AI183" s="318"/>
    </row>
    <row r="184" spans="1:35" ht="15" customHeight="1" x14ac:dyDescent="0.3">
      <c r="A184" s="181">
        <v>2.0699999999999998</v>
      </c>
      <c r="B184" s="239"/>
      <c r="C184" s="240" t="str">
        <f>VLOOKUP(BD.PD[[#This Row],[Pos]],PPto[],3,FALSE)</f>
        <v xml:space="preserve">2.07 Sistema Contra Incendios </v>
      </c>
      <c r="D184" s="181" t="s">
        <v>40</v>
      </c>
      <c r="E184" s="242" t="str">
        <f>IF(BD.PD[[#This Row],[.]]="*",VLOOKUP(BD.PD[[#This Row],[Pos]],Presupuesto!A:H,7,FALSE),"")</f>
        <v/>
      </c>
      <c r="F184" s="303" t="s">
        <v>323</v>
      </c>
      <c r="G184" s="243" t="s">
        <v>308</v>
      </c>
      <c r="H184" s="275"/>
      <c r="I184" s="276">
        <v>4</v>
      </c>
      <c r="J184" s="181" t="s">
        <v>188</v>
      </c>
      <c r="K184" s="245">
        <f>IF(BD.PD[[#This Row],[Mon]]="DOP",1,HLOOKUP(BD.PD[[#This Row],[Mon]],$J$1:$K$2,2,FALSE))</f>
        <v>60.7</v>
      </c>
      <c r="L184" s="277">
        <v>1155</v>
      </c>
      <c r="M184" s="247">
        <f>BD.PD[[#This Row],[Cant.]]*BD.PD[[#This Row],[ Tasa ]]*BD.PD[[#This Row],[ Precio Und.]]</f>
        <v>280434</v>
      </c>
      <c r="N184" s="278">
        <v>0.01</v>
      </c>
      <c r="O184" s="247">
        <f>IF(BD.PD[[#This Row],[Liquid. '[%']]]&lt;&gt;0,(BD.PD[[#This Row],[Valor Neto '[DOP']]]*BD.PD[[#This Row],[Liquid. '[%']]])+BD.PD[[#This Row],[Valor Neto '[DOP']]],BD.PD[[#This Row],[Valor Neto '[DOP']]])</f>
        <v>283238.34000000003</v>
      </c>
      <c r="P184" s="257">
        <f>BD.PD[[#This Row],[Ppto. Orden Interna '[DOP']]]/HLOOKUP("USD",$J$1:$K$2,2,FALSE)</f>
        <v>4666.2</v>
      </c>
      <c r="Q184" s="250" t="s">
        <v>320</v>
      </c>
      <c r="R184" s="258" t="s">
        <v>1104</v>
      </c>
      <c r="S184" s="251">
        <v>22</v>
      </c>
      <c r="T184" s="252">
        <v>1</v>
      </c>
      <c r="U184" s="259">
        <f>BD.PD[[#This Row],[Av.P1 '[%']]]*BD.PD[[#This Row],[Ppto. Orden Interna '[DOP']]]</f>
        <v>283238.34000000003</v>
      </c>
      <c r="V184" s="254"/>
      <c r="W184" s="255"/>
      <c r="X184" s="259">
        <f>BD.PD[[#This Row],[Av.P2 '[%']]]*BD.PD[[#This Row],[Ppto. Orden Interna '[DOP']]]</f>
        <v>0</v>
      </c>
      <c r="Y184" s="254"/>
      <c r="Z184" s="255"/>
      <c r="AA184" s="259">
        <f>BD.PD[[#This Row],[Av.P3 '[%']]]*BD.PD[[#This Row],[Ppto. Orden Interna '[DOP']]]</f>
        <v>0</v>
      </c>
      <c r="AB184" s="254"/>
      <c r="AC184" s="255"/>
      <c r="AD184" s="259">
        <f>BD.PD[[#This Row],[Av.P4 '[%']]]*BD.PD[[#This Row],[Ppto. Orden Interna '[DOP']]]</f>
        <v>0</v>
      </c>
      <c r="AE184" s="254"/>
      <c r="AF184" s="255"/>
      <c r="AG184" s="259">
        <f>BD.PD[[#This Row],[Av.P5 '[%']]]*BD.PD[[#This Row],[Ppto. Orden Interna '[DOP']]]</f>
        <v>0</v>
      </c>
      <c r="AH184" s="256">
        <f>BD.PD[[#This Row],[Pago 5]]+BD.PD[[#This Row],[Pago 4]]+BD.PD[[#This Row],[Pago 3]]+BD.PD[[#This Row],[Pago 2]]+BD.PD[[#This Row],[Pago 1]]</f>
        <v>283238.34000000003</v>
      </c>
      <c r="AI184" s="318"/>
    </row>
    <row r="185" spans="1:35" ht="15" customHeight="1" x14ac:dyDescent="0.3">
      <c r="A185" s="181">
        <v>2.0699999999999998</v>
      </c>
      <c r="B185" s="239"/>
      <c r="C185" s="240" t="str">
        <f>VLOOKUP(BD.PD[[#This Row],[Pos]],PPto[],3,FALSE)</f>
        <v xml:space="preserve">2.07 Sistema Contra Incendios </v>
      </c>
      <c r="D185" s="181" t="s">
        <v>40</v>
      </c>
      <c r="E185" s="242" t="str">
        <f>IF(BD.PD[[#This Row],[.]]="*",VLOOKUP(BD.PD[[#This Row],[Pos]],Presupuesto!A:H,7,FALSE),"")</f>
        <v/>
      </c>
      <c r="F185" s="303" t="s">
        <v>324</v>
      </c>
      <c r="G185" s="243" t="s">
        <v>308</v>
      </c>
      <c r="H185" s="275"/>
      <c r="I185" s="276">
        <v>2</v>
      </c>
      <c r="J185" s="181" t="s">
        <v>188</v>
      </c>
      <c r="K185" s="245">
        <f>IF(BD.PD[[#This Row],[Mon]]="DOP",1,HLOOKUP(BD.PD[[#This Row],[Mon]],$J$1:$K$2,2,FALSE))</f>
        <v>60.7</v>
      </c>
      <c r="L185" s="277">
        <v>40</v>
      </c>
      <c r="M185" s="247">
        <f>BD.PD[[#This Row],[Cant.]]*BD.PD[[#This Row],[ Tasa ]]*BD.PD[[#This Row],[ Precio Und.]]</f>
        <v>4856</v>
      </c>
      <c r="N185" s="278">
        <v>0.01</v>
      </c>
      <c r="O185" s="247">
        <f>IF(BD.PD[[#This Row],[Liquid. '[%']]]&lt;&gt;0,(BD.PD[[#This Row],[Valor Neto '[DOP']]]*BD.PD[[#This Row],[Liquid. '[%']]])+BD.PD[[#This Row],[Valor Neto '[DOP']]],BD.PD[[#This Row],[Valor Neto '[DOP']]])</f>
        <v>4904.5600000000004</v>
      </c>
      <c r="P185" s="257">
        <f>BD.PD[[#This Row],[Ppto. Orden Interna '[DOP']]]/HLOOKUP("USD",$J$1:$K$2,2,FALSE)</f>
        <v>80.8</v>
      </c>
      <c r="Q185" s="250" t="s">
        <v>320</v>
      </c>
      <c r="R185" s="258" t="s">
        <v>1104</v>
      </c>
      <c r="S185" s="251">
        <v>22</v>
      </c>
      <c r="T185" s="252">
        <v>1</v>
      </c>
      <c r="U185" s="259">
        <f>BD.PD[[#This Row],[Av.P1 '[%']]]*BD.PD[[#This Row],[Ppto. Orden Interna '[DOP']]]</f>
        <v>4904.5600000000004</v>
      </c>
      <c r="V185" s="254"/>
      <c r="W185" s="255"/>
      <c r="X185" s="259">
        <f>BD.PD[[#This Row],[Av.P2 '[%']]]*BD.PD[[#This Row],[Ppto. Orden Interna '[DOP']]]</f>
        <v>0</v>
      </c>
      <c r="Y185" s="254"/>
      <c r="Z185" s="255"/>
      <c r="AA185" s="259">
        <f>BD.PD[[#This Row],[Av.P3 '[%']]]*BD.PD[[#This Row],[Ppto. Orden Interna '[DOP']]]</f>
        <v>0</v>
      </c>
      <c r="AB185" s="254"/>
      <c r="AC185" s="255"/>
      <c r="AD185" s="259">
        <f>BD.PD[[#This Row],[Av.P4 '[%']]]*BD.PD[[#This Row],[Ppto. Orden Interna '[DOP']]]</f>
        <v>0</v>
      </c>
      <c r="AE185" s="254"/>
      <c r="AF185" s="255"/>
      <c r="AG185" s="259">
        <f>BD.PD[[#This Row],[Av.P5 '[%']]]*BD.PD[[#This Row],[Ppto. Orden Interna '[DOP']]]</f>
        <v>0</v>
      </c>
      <c r="AH185" s="256">
        <f>BD.PD[[#This Row],[Pago 5]]+BD.PD[[#This Row],[Pago 4]]+BD.PD[[#This Row],[Pago 3]]+BD.PD[[#This Row],[Pago 2]]+BD.PD[[#This Row],[Pago 1]]</f>
        <v>4904.5600000000004</v>
      </c>
      <c r="AI185" s="318"/>
    </row>
    <row r="186" spans="1:35" ht="15" customHeight="1" x14ac:dyDescent="0.3">
      <c r="A186" s="181">
        <v>2.0699999999999998</v>
      </c>
      <c r="B186" s="239"/>
      <c r="C186" s="240" t="str">
        <f>VLOOKUP(BD.PD[[#This Row],[Pos]],PPto[],3,FALSE)</f>
        <v xml:space="preserve">2.07 Sistema Contra Incendios </v>
      </c>
      <c r="D186" s="181" t="s">
        <v>40</v>
      </c>
      <c r="E186" s="242" t="str">
        <f>IF(BD.PD[[#This Row],[.]]="*",VLOOKUP(BD.PD[[#This Row],[Pos]],Presupuesto!A:H,7,FALSE),"")</f>
        <v/>
      </c>
      <c r="F186" s="303" t="s">
        <v>325</v>
      </c>
      <c r="G186" s="243" t="s">
        <v>308</v>
      </c>
      <c r="H186" s="275"/>
      <c r="I186" s="276">
        <v>1</v>
      </c>
      <c r="J186" s="181" t="s">
        <v>188</v>
      </c>
      <c r="K186" s="245">
        <f>IF(BD.PD[[#This Row],[Mon]]="DOP",1,HLOOKUP(BD.PD[[#This Row],[Mon]],$J$1:$K$2,2,FALSE))</f>
        <v>60.7</v>
      </c>
      <c r="L186" s="277">
        <v>125</v>
      </c>
      <c r="M186" s="247">
        <f>BD.PD[[#This Row],[Cant.]]*BD.PD[[#This Row],[ Tasa ]]*BD.PD[[#This Row],[ Precio Und.]]</f>
        <v>7587.5</v>
      </c>
      <c r="N186" s="278">
        <v>0.01</v>
      </c>
      <c r="O186" s="247">
        <f>IF(BD.PD[[#This Row],[Liquid. '[%']]]&lt;&gt;0,(BD.PD[[#This Row],[Valor Neto '[DOP']]]*BD.PD[[#This Row],[Liquid. '[%']]])+BD.PD[[#This Row],[Valor Neto '[DOP']]],BD.PD[[#This Row],[Valor Neto '[DOP']]])</f>
        <v>7663.375</v>
      </c>
      <c r="P186" s="257">
        <f>BD.PD[[#This Row],[Ppto. Orden Interna '[DOP']]]/HLOOKUP("USD",$J$1:$K$2,2,FALSE)</f>
        <v>126.25</v>
      </c>
      <c r="Q186" s="250" t="s">
        <v>320</v>
      </c>
      <c r="R186" s="258" t="s">
        <v>1104</v>
      </c>
      <c r="S186" s="251">
        <v>22</v>
      </c>
      <c r="T186" s="252">
        <v>1</v>
      </c>
      <c r="U186" s="259">
        <f>BD.PD[[#This Row],[Av.P1 '[%']]]*BD.PD[[#This Row],[Ppto. Orden Interna '[DOP']]]</f>
        <v>7663.375</v>
      </c>
      <c r="V186" s="254"/>
      <c r="W186" s="255"/>
      <c r="X186" s="259">
        <f>BD.PD[[#This Row],[Av.P2 '[%']]]*BD.PD[[#This Row],[Ppto. Orden Interna '[DOP']]]</f>
        <v>0</v>
      </c>
      <c r="Y186" s="254"/>
      <c r="Z186" s="255"/>
      <c r="AA186" s="259">
        <f>BD.PD[[#This Row],[Av.P3 '[%']]]*BD.PD[[#This Row],[Ppto. Orden Interna '[DOP']]]</f>
        <v>0</v>
      </c>
      <c r="AB186" s="254"/>
      <c r="AC186" s="255"/>
      <c r="AD186" s="259">
        <f>BD.PD[[#This Row],[Av.P4 '[%']]]*BD.PD[[#This Row],[Ppto. Orden Interna '[DOP']]]</f>
        <v>0</v>
      </c>
      <c r="AE186" s="254"/>
      <c r="AF186" s="255"/>
      <c r="AG186" s="259">
        <f>BD.PD[[#This Row],[Av.P5 '[%']]]*BD.PD[[#This Row],[Ppto. Orden Interna '[DOP']]]</f>
        <v>0</v>
      </c>
      <c r="AH186" s="256">
        <f>BD.PD[[#This Row],[Pago 5]]+BD.PD[[#This Row],[Pago 4]]+BD.PD[[#This Row],[Pago 3]]+BD.PD[[#This Row],[Pago 2]]+BD.PD[[#This Row],[Pago 1]]</f>
        <v>7663.375</v>
      </c>
      <c r="AI186" s="318"/>
    </row>
    <row r="187" spans="1:35" ht="15" customHeight="1" x14ac:dyDescent="0.3">
      <c r="A187" s="181">
        <v>2.0699999999999998</v>
      </c>
      <c r="B187" s="239"/>
      <c r="C187" s="240" t="str">
        <f>VLOOKUP(BD.PD[[#This Row],[Pos]],PPto[],3,FALSE)</f>
        <v xml:space="preserve">2.07 Sistema Contra Incendios </v>
      </c>
      <c r="D187" s="181" t="s">
        <v>40</v>
      </c>
      <c r="E187" s="242" t="str">
        <f>IF(BD.PD[[#This Row],[.]]="*",VLOOKUP(BD.PD[[#This Row],[Pos]],Presupuesto!A:H,7,FALSE),"")</f>
        <v/>
      </c>
      <c r="F187" s="303" t="s">
        <v>326</v>
      </c>
      <c r="G187" s="243" t="s">
        <v>308</v>
      </c>
      <c r="H187" s="275"/>
      <c r="I187" s="276">
        <v>1</v>
      </c>
      <c r="J187" s="181" t="s">
        <v>188</v>
      </c>
      <c r="K187" s="245">
        <f>IF(BD.PD[[#This Row],[Mon]]="DOP",1,HLOOKUP(BD.PD[[#This Row],[Mon]],$J$1:$K$2,2,FALSE))</f>
        <v>60.7</v>
      </c>
      <c r="L187" s="277">
        <v>340</v>
      </c>
      <c r="M187" s="247">
        <f>BD.PD[[#This Row],[Cant.]]*BD.PD[[#This Row],[ Tasa ]]*BD.PD[[#This Row],[ Precio Und.]]</f>
        <v>20638</v>
      </c>
      <c r="N187" s="278">
        <v>0.01</v>
      </c>
      <c r="O187" s="247">
        <f>IF(BD.PD[[#This Row],[Liquid. '[%']]]&lt;&gt;0,(BD.PD[[#This Row],[Valor Neto '[DOP']]]*BD.PD[[#This Row],[Liquid. '[%']]])+BD.PD[[#This Row],[Valor Neto '[DOP']]],BD.PD[[#This Row],[Valor Neto '[DOP']]])</f>
        <v>20844.38</v>
      </c>
      <c r="P187" s="257">
        <f>BD.PD[[#This Row],[Ppto. Orden Interna '[DOP']]]/HLOOKUP("USD",$J$1:$K$2,2,FALSE)</f>
        <v>343.4</v>
      </c>
      <c r="Q187" s="250" t="s">
        <v>320</v>
      </c>
      <c r="R187" s="258" t="s">
        <v>1104</v>
      </c>
      <c r="S187" s="251">
        <v>22</v>
      </c>
      <c r="T187" s="252">
        <v>1</v>
      </c>
      <c r="U187" s="259">
        <f>BD.PD[[#This Row],[Av.P1 '[%']]]*BD.PD[[#This Row],[Ppto. Orden Interna '[DOP']]]</f>
        <v>20844.38</v>
      </c>
      <c r="V187" s="254"/>
      <c r="W187" s="255"/>
      <c r="X187" s="259">
        <f>BD.PD[[#This Row],[Av.P2 '[%']]]*BD.PD[[#This Row],[Ppto. Orden Interna '[DOP']]]</f>
        <v>0</v>
      </c>
      <c r="Y187" s="254"/>
      <c r="Z187" s="255"/>
      <c r="AA187" s="259">
        <f>BD.PD[[#This Row],[Av.P3 '[%']]]*BD.PD[[#This Row],[Ppto. Orden Interna '[DOP']]]</f>
        <v>0</v>
      </c>
      <c r="AB187" s="254"/>
      <c r="AC187" s="255"/>
      <c r="AD187" s="259">
        <f>BD.PD[[#This Row],[Av.P4 '[%']]]*BD.PD[[#This Row],[Ppto. Orden Interna '[DOP']]]</f>
        <v>0</v>
      </c>
      <c r="AE187" s="254"/>
      <c r="AF187" s="255"/>
      <c r="AG187" s="259">
        <f>BD.PD[[#This Row],[Av.P5 '[%']]]*BD.PD[[#This Row],[Ppto. Orden Interna '[DOP']]]</f>
        <v>0</v>
      </c>
      <c r="AH187" s="256">
        <f>BD.PD[[#This Row],[Pago 5]]+BD.PD[[#This Row],[Pago 4]]+BD.PD[[#This Row],[Pago 3]]+BD.PD[[#This Row],[Pago 2]]+BD.PD[[#This Row],[Pago 1]]</f>
        <v>20844.38</v>
      </c>
      <c r="AI187" s="318"/>
    </row>
    <row r="188" spans="1:35" ht="15" customHeight="1" x14ac:dyDescent="0.3">
      <c r="A188" s="181">
        <v>2.0699999999999998</v>
      </c>
      <c r="B188" s="239"/>
      <c r="C188" s="240" t="str">
        <f>VLOOKUP(BD.PD[[#This Row],[Pos]],PPto[],3,FALSE)</f>
        <v xml:space="preserve">2.07 Sistema Contra Incendios </v>
      </c>
      <c r="D188" s="181" t="s">
        <v>40</v>
      </c>
      <c r="E188" s="242" t="str">
        <f>IF(BD.PD[[#This Row],[.]]="*",VLOOKUP(BD.PD[[#This Row],[Pos]],Presupuesto!A:H,7,FALSE),"")</f>
        <v/>
      </c>
      <c r="F188" s="303" t="s">
        <v>327</v>
      </c>
      <c r="G188" s="243" t="s">
        <v>308</v>
      </c>
      <c r="H188" s="275"/>
      <c r="I188" s="276">
        <v>4</v>
      </c>
      <c r="J188" s="181" t="s">
        <v>188</v>
      </c>
      <c r="K188" s="245">
        <f>IF(BD.PD[[#This Row],[Mon]]="DOP",1,HLOOKUP(BD.PD[[#This Row],[Mon]],$J$1:$K$2,2,FALSE))</f>
        <v>60.7</v>
      </c>
      <c r="L188" s="277">
        <v>131</v>
      </c>
      <c r="M188" s="247">
        <f>BD.PD[[#This Row],[Cant.]]*BD.PD[[#This Row],[ Tasa ]]*BD.PD[[#This Row],[ Precio Und.]]</f>
        <v>31806.800000000003</v>
      </c>
      <c r="N188" s="278">
        <v>0.01</v>
      </c>
      <c r="O188" s="247">
        <f>IF(BD.PD[[#This Row],[Liquid. '[%']]]&lt;&gt;0,(BD.PD[[#This Row],[Valor Neto '[DOP']]]*BD.PD[[#This Row],[Liquid. '[%']]])+BD.PD[[#This Row],[Valor Neto '[DOP']]],BD.PD[[#This Row],[Valor Neto '[DOP']]])</f>
        <v>32124.868000000002</v>
      </c>
      <c r="P188" s="257">
        <f>BD.PD[[#This Row],[Ppto. Orden Interna '[DOP']]]/HLOOKUP("USD",$J$1:$K$2,2,FALSE)</f>
        <v>529.24</v>
      </c>
      <c r="Q188" s="250" t="s">
        <v>320</v>
      </c>
      <c r="R188" s="258" t="s">
        <v>1104</v>
      </c>
      <c r="S188" s="251">
        <v>22</v>
      </c>
      <c r="T188" s="252">
        <v>1</v>
      </c>
      <c r="U188" s="259">
        <f>BD.PD[[#This Row],[Av.P1 '[%']]]*BD.PD[[#This Row],[Ppto. Orden Interna '[DOP']]]</f>
        <v>32124.868000000002</v>
      </c>
      <c r="V188" s="254"/>
      <c r="W188" s="255"/>
      <c r="X188" s="259">
        <f>BD.PD[[#This Row],[Av.P2 '[%']]]*BD.PD[[#This Row],[Ppto. Orden Interna '[DOP']]]</f>
        <v>0</v>
      </c>
      <c r="Y188" s="254"/>
      <c r="Z188" s="255"/>
      <c r="AA188" s="259">
        <f>BD.PD[[#This Row],[Av.P3 '[%']]]*BD.PD[[#This Row],[Ppto. Orden Interna '[DOP']]]</f>
        <v>0</v>
      </c>
      <c r="AB188" s="254"/>
      <c r="AC188" s="255"/>
      <c r="AD188" s="259">
        <f>BD.PD[[#This Row],[Av.P4 '[%']]]*BD.PD[[#This Row],[Ppto. Orden Interna '[DOP']]]</f>
        <v>0</v>
      </c>
      <c r="AE188" s="254"/>
      <c r="AF188" s="255"/>
      <c r="AG188" s="259">
        <f>BD.PD[[#This Row],[Av.P5 '[%']]]*BD.PD[[#This Row],[Ppto. Orden Interna '[DOP']]]</f>
        <v>0</v>
      </c>
      <c r="AH188" s="256">
        <f>BD.PD[[#This Row],[Pago 5]]+BD.PD[[#This Row],[Pago 4]]+BD.PD[[#This Row],[Pago 3]]+BD.PD[[#This Row],[Pago 2]]+BD.PD[[#This Row],[Pago 1]]</f>
        <v>32124.868000000002</v>
      </c>
      <c r="AI188" s="318"/>
    </row>
    <row r="189" spans="1:35" ht="15" customHeight="1" x14ac:dyDescent="0.3">
      <c r="A189" s="181">
        <v>7.04</v>
      </c>
      <c r="B189" s="239"/>
      <c r="C189" s="240" t="str">
        <f>VLOOKUP(BD.PD[[#This Row],[Pos]],PPto[],3,FALSE)</f>
        <v>7.04 Equipamiento de Panaderia, Reposteria y Rosticería</v>
      </c>
      <c r="D189" s="181" t="s">
        <v>40</v>
      </c>
      <c r="E189" s="242" t="str">
        <f>IF(BD.PD[[#This Row],[.]]="*",VLOOKUP(BD.PD[[#This Row],[Pos]],Presupuesto!A:H,7,FALSE),"")</f>
        <v/>
      </c>
      <c r="F189" s="305" t="s">
        <v>544</v>
      </c>
      <c r="G189" s="243" t="s">
        <v>334</v>
      </c>
      <c r="H189" s="275"/>
      <c r="I189" s="276">
        <v>17</v>
      </c>
      <c r="J189" s="181" t="s">
        <v>188</v>
      </c>
      <c r="K189" s="245">
        <f>IF(BD.PD[[#This Row],[Mon]]="DOP",1,HLOOKUP(BD.PD[[#This Row],[Mon]],$J$1:$K$2,2,FALSE))</f>
        <v>60.7</v>
      </c>
      <c r="L189" s="277">
        <v>21.15</v>
      </c>
      <c r="M189" s="247">
        <f>BD.PD[[#This Row],[Cant.]]*BD.PD[[#This Row],[ Tasa ]]*BD.PD[[#This Row],[ Precio Und.]]</f>
        <v>21824.685000000001</v>
      </c>
      <c r="N189" s="278">
        <v>0.3</v>
      </c>
      <c r="O189" s="247">
        <f>IF(BD.PD[[#This Row],[Liquid. '[%']]]&lt;&gt;0,(BD.PD[[#This Row],[Valor Neto '[DOP']]]*BD.PD[[#This Row],[Liquid. '[%']]])+BD.PD[[#This Row],[Valor Neto '[DOP']]],BD.PD[[#This Row],[Valor Neto '[DOP']]])</f>
        <v>28372.090500000002</v>
      </c>
      <c r="P189" s="257">
        <f>BD.PD[[#This Row],[Ppto. Orden Interna '[DOP']]]/HLOOKUP("USD",$J$1:$K$2,2,FALSE)</f>
        <v>467.41500000000002</v>
      </c>
      <c r="Q189" s="250" t="s">
        <v>545</v>
      </c>
      <c r="R189" s="258" t="s">
        <v>546</v>
      </c>
      <c r="S189" s="251">
        <v>21</v>
      </c>
      <c r="T189" s="252">
        <v>1</v>
      </c>
      <c r="U189" s="259">
        <f>BD.PD[[#This Row],[Av.P1 '[%']]]*BD.PD[[#This Row],[Ppto. Orden Interna '[DOP']]]</f>
        <v>28372.090500000002</v>
      </c>
      <c r="V189" s="254"/>
      <c r="W189" s="255"/>
      <c r="X189" s="259">
        <f>BD.PD[[#This Row],[Av.P2 '[%']]]*BD.PD[[#This Row],[Ppto. Orden Interna '[DOP']]]</f>
        <v>0</v>
      </c>
      <c r="Y189" s="254"/>
      <c r="Z189" s="255"/>
      <c r="AA189" s="259">
        <f>BD.PD[[#This Row],[Av.P3 '[%']]]*BD.PD[[#This Row],[Ppto. Orden Interna '[DOP']]]</f>
        <v>0</v>
      </c>
      <c r="AB189" s="254"/>
      <c r="AC189" s="255"/>
      <c r="AD189" s="259">
        <f>BD.PD[[#This Row],[Av.P4 '[%']]]*BD.PD[[#This Row],[Ppto. Orden Interna '[DOP']]]</f>
        <v>0</v>
      </c>
      <c r="AE189" s="254"/>
      <c r="AF189" s="255"/>
      <c r="AG189" s="259">
        <f>BD.PD[[#This Row],[Av.P5 '[%']]]*BD.PD[[#This Row],[Ppto. Orden Interna '[DOP']]]</f>
        <v>0</v>
      </c>
      <c r="AH189" s="256">
        <f>BD.PD[[#This Row],[Pago 5]]+BD.PD[[#This Row],[Pago 4]]+BD.PD[[#This Row],[Pago 3]]+BD.PD[[#This Row],[Pago 2]]+BD.PD[[#This Row],[Pago 1]]</f>
        <v>28372.090500000002</v>
      </c>
      <c r="AI189" s="318"/>
    </row>
    <row r="190" spans="1:35" ht="15" customHeight="1" x14ac:dyDescent="0.3">
      <c r="A190" s="181">
        <v>7.04</v>
      </c>
      <c r="B190" s="239"/>
      <c r="C190" s="240" t="str">
        <f>VLOOKUP(BD.PD[[#This Row],[Pos]],PPto[],3,FALSE)</f>
        <v>7.04 Equipamiento de Panaderia, Reposteria y Rosticería</v>
      </c>
      <c r="D190" s="181" t="s">
        <v>40</v>
      </c>
      <c r="E190" s="242" t="str">
        <f>IF(BD.PD[[#This Row],[.]]="*",VLOOKUP(BD.PD[[#This Row],[Pos]],Presupuesto!A:H,7,FALSE),"")</f>
        <v/>
      </c>
      <c r="F190" s="243" t="s">
        <v>547</v>
      </c>
      <c r="G190" s="243" t="s">
        <v>334</v>
      </c>
      <c r="H190" s="275"/>
      <c r="I190" s="276">
        <v>510</v>
      </c>
      <c r="J190" s="181" t="s">
        <v>188</v>
      </c>
      <c r="K190" s="245">
        <f>IF(BD.PD[[#This Row],[Mon]]="DOP",1,HLOOKUP(BD.PD[[#This Row],[Mon]],$J$1:$K$2,2,FALSE))</f>
        <v>60.7</v>
      </c>
      <c r="L190" s="277">
        <v>23.05</v>
      </c>
      <c r="M190" s="247">
        <f>BD.PD[[#This Row],[Cant.]]*BD.PD[[#This Row],[ Tasa ]]*BD.PD[[#This Row],[ Precio Und.]]</f>
        <v>713558.85</v>
      </c>
      <c r="N190" s="278">
        <v>0.3</v>
      </c>
      <c r="O190" s="247">
        <f>IF(BD.PD[[#This Row],[Liquid. '[%']]]&lt;&gt;0,(BD.PD[[#This Row],[Valor Neto '[DOP']]]*BD.PD[[#This Row],[Liquid. '[%']]])+BD.PD[[#This Row],[Valor Neto '[DOP']]],BD.PD[[#This Row],[Valor Neto '[DOP']]])</f>
        <v>927626.505</v>
      </c>
      <c r="P190" s="257">
        <f>BD.PD[[#This Row],[Ppto. Orden Interna '[DOP']]]/HLOOKUP("USD",$J$1:$K$2,2,FALSE)</f>
        <v>15282.15</v>
      </c>
      <c r="Q190" s="250" t="s">
        <v>548</v>
      </c>
      <c r="R190" s="258" t="s">
        <v>546</v>
      </c>
      <c r="S190" s="251">
        <v>21</v>
      </c>
      <c r="T190" s="252">
        <v>1</v>
      </c>
      <c r="U190" s="259">
        <f>BD.PD[[#This Row],[Av.P1 '[%']]]*BD.PD[[#This Row],[Ppto. Orden Interna '[DOP']]]</f>
        <v>927626.505</v>
      </c>
      <c r="V190" s="254"/>
      <c r="W190" s="255"/>
      <c r="X190" s="259">
        <f>BD.PD[[#This Row],[Av.P2 '[%']]]*BD.PD[[#This Row],[Ppto. Orden Interna '[DOP']]]</f>
        <v>0</v>
      </c>
      <c r="Y190" s="254"/>
      <c r="Z190" s="255"/>
      <c r="AA190" s="259">
        <f>BD.PD[[#This Row],[Av.P3 '[%']]]*BD.PD[[#This Row],[Ppto. Orden Interna '[DOP']]]</f>
        <v>0</v>
      </c>
      <c r="AB190" s="254"/>
      <c r="AC190" s="255"/>
      <c r="AD190" s="259">
        <f>BD.PD[[#This Row],[Av.P4 '[%']]]*BD.PD[[#This Row],[Ppto. Orden Interna '[DOP']]]</f>
        <v>0</v>
      </c>
      <c r="AE190" s="254"/>
      <c r="AF190" s="255"/>
      <c r="AG190" s="259">
        <f>BD.PD[[#This Row],[Av.P5 '[%']]]*BD.PD[[#This Row],[Ppto. Orden Interna '[DOP']]]</f>
        <v>0</v>
      </c>
      <c r="AH190" s="256">
        <f>BD.PD[[#This Row],[Pago 5]]+BD.PD[[#This Row],[Pago 4]]+BD.PD[[#This Row],[Pago 3]]+BD.PD[[#This Row],[Pago 2]]+BD.PD[[#This Row],[Pago 1]]</f>
        <v>927626.505</v>
      </c>
      <c r="AI190" s="318"/>
    </row>
    <row r="191" spans="1:35" ht="15" customHeight="1" x14ac:dyDescent="0.3">
      <c r="A191" s="181">
        <v>8.0500000000000007</v>
      </c>
      <c r="B191" s="239"/>
      <c r="C191" s="240" t="str">
        <f>VLOOKUP(BD.PD[[#This Row],[Pos]],PPto[],3,FALSE)</f>
        <v>8.05 Mobiliario no operacional para Tiendas</v>
      </c>
      <c r="D191" s="181" t="s">
        <v>40</v>
      </c>
      <c r="E191" s="242" t="str">
        <f>IF(BD.PD[[#This Row],[.]]="*",VLOOKUP(BD.PD[[#This Row],[Pos]],Presupuesto!A:H,7,FALSE),"")</f>
        <v/>
      </c>
      <c r="F191" s="389" t="s">
        <v>607</v>
      </c>
      <c r="G191" s="243" t="s">
        <v>308</v>
      </c>
      <c r="H191" s="275"/>
      <c r="I191" s="276">
        <v>5</v>
      </c>
      <c r="J191" s="181" t="s">
        <v>314</v>
      </c>
      <c r="K191" s="245">
        <f>IF(BD.PD[[#This Row],[Mon]]="DOP",1,HLOOKUP(BD.PD[[#This Row],[Mon]],$J$1:$K$2,2,FALSE))</f>
        <v>1</v>
      </c>
      <c r="L191" s="388">
        <v>69597.457999999999</v>
      </c>
      <c r="M191" s="247">
        <f>BD.PD[[#This Row],[Cant.]]*BD.PD[[#This Row],[ Tasa ]]*BD.PD[[#This Row],[ Precio Und.]]</f>
        <v>347987.29</v>
      </c>
      <c r="N191" s="278">
        <v>0</v>
      </c>
      <c r="O191" s="247">
        <f>IF(BD.PD[[#This Row],[Liquid. '[%']]]&lt;&gt;0,(BD.PD[[#This Row],[Valor Neto '[DOP']]]*BD.PD[[#This Row],[Liquid. '[%']]])+BD.PD[[#This Row],[Valor Neto '[DOP']]],BD.PD[[#This Row],[Valor Neto '[DOP']]])</f>
        <v>347987.29</v>
      </c>
      <c r="P191" s="257">
        <f>BD.PD[[#This Row],[Ppto. Orden Interna '[DOP']]]/HLOOKUP("USD",$J$1:$K$2,2,FALSE)</f>
        <v>5732.90428336079</v>
      </c>
      <c r="Q191" s="250" t="s">
        <v>312</v>
      </c>
      <c r="R191" s="258" t="s">
        <v>1120</v>
      </c>
      <c r="S191" s="251">
        <v>22</v>
      </c>
      <c r="T191" s="252">
        <v>1</v>
      </c>
      <c r="U191" s="259">
        <f>BD.PD[[#This Row],[Av.P1 '[%']]]*BD.PD[[#This Row],[Ppto. Orden Interna '[DOP']]]</f>
        <v>347987.29</v>
      </c>
      <c r="V191" s="254"/>
      <c r="W191" s="255"/>
      <c r="X191" s="259">
        <f>BD.PD[[#This Row],[Av.P2 '[%']]]*BD.PD[[#This Row],[Ppto. Orden Interna '[DOP']]]</f>
        <v>0</v>
      </c>
      <c r="Y191" s="254"/>
      <c r="Z191" s="255"/>
      <c r="AA191" s="259">
        <f>BD.PD[[#This Row],[Av.P3 '[%']]]*BD.PD[[#This Row],[Ppto. Orden Interna '[DOP']]]</f>
        <v>0</v>
      </c>
      <c r="AB191" s="254"/>
      <c r="AC191" s="255"/>
      <c r="AD191" s="259">
        <f>BD.PD[[#This Row],[Av.P4 '[%']]]*BD.PD[[#This Row],[Ppto. Orden Interna '[DOP']]]</f>
        <v>0</v>
      </c>
      <c r="AE191" s="254"/>
      <c r="AF191" s="255"/>
      <c r="AG191" s="259">
        <f>BD.PD[[#This Row],[Av.P5 '[%']]]*BD.PD[[#This Row],[Ppto. Orden Interna '[DOP']]]</f>
        <v>0</v>
      </c>
      <c r="AH191" s="256">
        <f>BD.PD[[#This Row],[Pago 5]]+BD.PD[[#This Row],[Pago 4]]+BD.PD[[#This Row],[Pago 3]]+BD.PD[[#This Row],[Pago 2]]+BD.PD[[#This Row],[Pago 1]]</f>
        <v>347987.29</v>
      </c>
      <c r="AI191" s="318"/>
    </row>
    <row r="192" spans="1:35" ht="15" customHeight="1" x14ac:dyDescent="0.3">
      <c r="A192" s="181">
        <v>8.0500000000000007</v>
      </c>
      <c r="B192" s="239"/>
      <c r="C192" s="240" t="str">
        <f>VLOOKUP(BD.PD[[#This Row],[Pos]],PPto[],3,FALSE)</f>
        <v>8.05 Mobiliario no operacional para Tiendas</v>
      </c>
      <c r="D192" s="181" t="s">
        <v>40</v>
      </c>
      <c r="E192" s="242" t="str">
        <f>IF(BD.PD[[#This Row],[.]]="*",VLOOKUP(BD.PD[[#This Row],[Pos]],Presupuesto!A:H,7,FALSE),"")</f>
        <v/>
      </c>
      <c r="F192" s="389" t="s">
        <v>608</v>
      </c>
      <c r="G192" s="243" t="s">
        <v>308</v>
      </c>
      <c r="H192" s="275"/>
      <c r="I192" s="276">
        <v>60</v>
      </c>
      <c r="J192" s="181" t="s">
        <v>314</v>
      </c>
      <c r="K192" s="245">
        <f>IF(BD.PD[[#This Row],[Mon]]="DOP",1,HLOOKUP(BD.PD[[#This Row],[Mon]],$J$1:$K$2,2,FALSE))</f>
        <v>1</v>
      </c>
      <c r="L192" s="388">
        <v>1517.7958333333333</v>
      </c>
      <c r="M192" s="247">
        <f>BD.PD[[#This Row],[Cant.]]*BD.PD[[#This Row],[ Tasa ]]*BD.PD[[#This Row],[ Precio Und.]]</f>
        <v>91067.75</v>
      </c>
      <c r="N192" s="278">
        <v>0</v>
      </c>
      <c r="O192" s="247">
        <f>IF(BD.PD[[#This Row],[Liquid. '[%']]]&lt;&gt;0,(BD.PD[[#This Row],[Valor Neto '[DOP']]]*BD.PD[[#This Row],[Liquid. '[%']]])+BD.PD[[#This Row],[Valor Neto '[DOP']]],BD.PD[[#This Row],[Valor Neto '[DOP']]])</f>
        <v>91067.75</v>
      </c>
      <c r="P192" s="257">
        <f>BD.PD[[#This Row],[Ppto. Orden Interna '[DOP']]]/HLOOKUP("USD",$J$1:$K$2,2,FALSE)</f>
        <v>1500.2924217462933</v>
      </c>
      <c r="Q192" s="250" t="s">
        <v>312</v>
      </c>
      <c r="R192" s="258" t="s">
        <v>1120</v>
      </c>
      <c r="S192" s="251">
        <v>22</v>
      </c>
      <c r="T192" s="252">
        <v>1</v>
      </c>
      <c r="U192" s="259">
        <f>BD.PD[[#This Row],[Av.P1 '[%']]]*BD.PD[[#This Row],[Ppto. Orden Interna '[DOP']]]</f>
        <v>91067.75</v>
      </c>
      <c r="V192" s="254"/>
      <c r="W192" s="255"/>
      <c r="X192" s="259">
        <f>BD.PD[[#This Row],[Av.P2 '[%']]]*BD.PD[[#This Row],[Ppto. Orden Interna '[DOP']]]</f>
        <v>0</v>
      </c>
      <c r="Y192" s="254"/>
      <c r="Z192" s="255"/>
      <c r="AA192" s="259">
        <f>BD.PD[[#This Row],[Av.P3 '[%']]]*BD.PD[[#This Row],[Ppto. Orden Interna '[DOP']]]</f>
        <v>0</v>
      </c>
      <c r="AB192" s="254"/>
      <c r="AC192" s="255"/>
      <c r="AD192" s="259">
        <f>BD.PD[[#This Row],[Av.P4 '[%']]]*BD.PD[[#This Row],[Ppto. Orden Interna '[DOP']]]</f>
        <v>0</v>
      </c>
      <c r="AE192" s="254"/>
      <c r="AF192" s="255"/>
      <c r="AG192" s="259">
        <f>BD.PD[[#This Row],[Av.P5 '[%']]]*BD.PD[[#This Row],[Ppto. Orden Interna '[DOP']]]</f>
        <v>0</v>
      </c>
      <c r="AH192" s="256">
        <f>BD.PD[[#This Row],[Pago 5]]+BD.PD[[#This Row],[Pago 4]]+BD.PD[[#This Row],[Pago 3]]+BD.PD[[#This Row],[Pago 2]]+BD.PD[[#This Row],[Pago 1]]</f>
        <v>91067.75</v>
      </c>
      <c r="AI192" s="318"/>
    </row>
    <row r="193" spans="1:35" ht="15" customHeight="1" x14ac:dyDescent="0.3">
      <c r="A193" s="181">
        <v>3.01</v>
      </c>
      <c r="B193" s="239"/>
      <c r="C193" s="240" t="str">
        <f>VLOOKUP(BD.PD[[#This Row],[Pos]],PPto[],3,FALSE)</f>
        <v>3.01 Instalaciones Eléctricas</v>
      </c>
      <c r="D193" s="181" t="s">
        <v>40</v>
      </c>
      <c r="E193" s="242" t="str">
        <f>IF(BD.PD[[#This Row],[.]]="*",VLOOKUP(BD.PD[[#This Row],[Pos]],Presupuesto!A:H,7,FALSE),"")</f>
        <v/>
      </c>
      <c r="F193" s="243" t="s">
        <v>341</v>
      </c>
      <c r="G193" s="243" t="s">
        <v>308</v>
      </c>
      <c r="H193" s="243"/>
      <c r="I193" s="276">
        <v>1</v>
      </c>
      <c r="J193" s="181" t="s">
        <v>188</v>
      </c>
      <c r="K193" s="245">
        <f>IF(BD.PD[[#This Row],[Mon]]="DOP",1,HLOOKUP(BD.PD[[#This Row],[Mon]],$J$1:$K$2,2,FALSE))</f>
        <v>60.7</v>
      </c>
      <c r="L193" s="277">
        <v>265000</v>
      </c>
      <c r="M193" s="247">
        <f>BD.PD[[#This Row],[Cant.]]*BD.PD[[#This Row],[ Tasa ]]*BD.PD[[#This Row],[ Precio Und.]]</f>
        <v>16085500</v>
      </c>
      <c r="N193" s="278">
        <v>0.22</v>
      </c>
      <c r="O193" s="247">
        <f>IF(BD.PD[[#This Row],[Liquid. '[%']]]&lt;&gt;0,(BD.PD[[#This Row],[Valor Neto '[DOP']]]*BD.PD[[#This Row],[Liquid. '[%']]])+BD.PD[[#This Row],[Valor Neto '[DOP']]],BD.PD[[#This Row],[Valor Neto '[DOP']]])</f>
        <v>19624310</v>
      </c>
      <c r="P193" s="257">
        <f>BD.PD[[#This Row],[Ppto. Orden Interna '[DOP']]]/HLOOKUP("USD",$J$1:$K$2,2,FALSE)</f>
        <v>323300</v>
      </c>
      <c r="Q193" s="250"/>
      <c r="R193" s="258" t="s">
        <v>1106</v>
      </c>
      <c r="S193" s="251">
        <v>21</v>
      </c>
      <c r="T193" s="252">
        <v>0.5</v>
      </c>
      <c r="U193" s="259">
        <f>BD.PD[[#This Row],[Av.P1 '[%']]]*BD.PD[[#This Row],[Ppto. Orden Interna '[DOP']]]</f>
        <v>9812155</v>
      </c>
      <c r="V193" s="254">
        <v>24</v>
      </c>
      <c r="W193" s="255">
        <v>0.5</v>
      </c>
      <c r="X193" s="259">
        <f>BD.PD[[#This Row],[Av.P2 '[%']]]*BD.PD[[#This Row],[Ppto. Orden Interna '[DOP']]]</f>
        <v>9812155</v>
      </c>
      <c r="Y193" s="254"/>
      <c r="Z193" s="255"/>
      <c r="AA193" s="259">
        <f>BD.PD[[#This Row],[Av.P3 '[%']]]*BD.PD[[#This Row],[Ppto. Orden Interna '[DOP']]]</f>
        <v>0</v>
      </c>
      <c r="AB193" s="254"/>
      <c r="AC193" s="255"/>
      <c r="AD193" s="259">
        <f>BD.PD[[#This Row],[Av.P4 '[%']]]*BD.PD[[#This Row],[Ppto. Orden Interna '[DOP']]]</f>
        <v>0</v>
      </c>
      <c r="AE193" s="254"/>
      <c r="AF193" s="255"/>
      <c r="AG193" s="259">
        <f>BD.PD[[#This Row],[Av.P5 '[%']]]*BD.PD[[#This Row],[Ppto. Orden Interna '[DOP']]]</f>
        <v>0</v>
      </c>
      <c r="AH193" s="256">
        <f>BD.PD[[#This Row],[Pago 5]]+BD.PD[[#This Row],[Pago 4]]+BD.PD[[#This Row],[Pago 3]]+BD.PD[[#This Row],[Pago 2]]+BD.PD[[#This Row],[Pago 1]]</f>
        <v>19624310</v>
      </c>
      <c r="AI193" s="318"/>
    </row>
    <row r="194" spans="1:35" ht="15" customHeight="1" x14ac:dyDescent="0.3">
      <c r="A194" s="181">
        <v>7.05</v>
      </c>
      <c r="B194" s="239"/>
      <c r="C194" s="240" t="str">
        <f>VLOOKUP(BD.PD[[#This Row],[Pos]],PPto[],3,FALSE)</f>
        <v>7.05 Equipamiento de Frutas y Vegetales</v>
      </c>
      <c r="D194" s="181" t="s">
        <v>40</v>
      </c>
      <c r="E194" s="242" t="str">
        <f>IF(BD.PD[[#This Row],[.]]="*",VLOOKUP(BD.PD[[#This Row],[Pos]],Presupuesto!A:H,7,FALSE),"")</f>
        <v/>
      </c>
      <c r="F194" s="305" t="s">
        <v>549</v>
      </c>
      <c r="G194" s="243" t="s">
        <v>334</v>
      </c>
      <c r="H194" s="275"/>
      <c r="I194" s="276">
        <v>20</v>
      </c>
      <c r="J194" s="181" t="s">
        <v>314</v>
      </c>
      <c r="K194" s="245">
        <f>IF(BD.PD[[#This Row],[Mon]]="DOP",1,HLOOKUP(BD.PD[[#This Row],[Mon]],$J$1:$K$2,2,FALSE))</f>
        <v>1</v>
      </c>
      <c r="L194" s="277">
        <v>356.72899999999998</v>
      </c>
      <c r="M194" s="247">
        <f>BD.PD[[#This Row],[Cant.]]*BD.PD[[#This Row],[ Tasa ]]*BD.PD[[#This Row],[ Precio Und.]]</f>
        <v>7134.58</v>
      </c>
      <c r="N194" s="278">
        <v>0</v>
      </c>
      <c r="O194" s="247">
        <f>IF(BD.PD[[#This Row],[Liquid. '[%']]]&lt;&gt;0,(BD.PD[[#This Row],[Valor Neto '[DOP']]]*BD.PD[[#This Row],[Liquid. '[%']]])+BD.PD[[#This Row],[Valor Neto '[DOP']]],BD.PD[[#This Row],[Valor Neto '[DOP']]])</f>
        <v>7134.58</v>
      </c>
      <c r="P194" s="257">
        <f>BD.PD[[#This Row],[Ppto. Orden Interna '[DOP']]]/HLOOKUP("USD",$J$1:$K$2,2,FALSE)</f>
        <v>117.53838550247116</v>
      </c>
      <c r="Q194" s="250" t="s">
        <v>550</v>
      </c>
      <c r="R194" s="258" t="s">
        <v>551</v>
      </c>
      <c r="S194" s="251">
        <v>21</v>
      </c>
      <c r="T194" s="252">
        <v>1</v>
      </c>
      <c r="U194" s="259">
        <f>BD.PD[[#This Row],[Av.P1 '[%']]]*BD.PD[[#This Row],[Ppto. Orden Interna '[DOP']]]</f>
        <v>7134.58</v>
      </c>
      <c r="V194" s="254"/>
      <c r="W194" s="255"/>
      <c r="X194" s="259">
        <f>BD.PD[[#This Row],[Av.P2 '[%']]]*BD.PD[[#This Row],[Ppto. Orden Interna '[DOP']]]</f>
        <v>0</v>
      </c>
      <c r="Y194" s="254"/>
      <c r="Z194" s="255"/>
      <c r="AA194" s="259">
        <f>BD.PD[[#This Row],[Av.P3 '[%']]]*BD.PD[[#This Row],[Ppto. Orden Interna '[DOP']]]</f>
        <v>0</v>
      </c>
      <c r="AB194" s="254"/>
      <c r="AC194" s="255"/>
      <c r="AD194" s="259">
        <f>BD.PD[[#This Row],[Av.P4 '[%']]]*BD.PD[[#This Row],[Ppto. Orden Interna '[DOP']]]</f>
        <v>0</v>
      </c>
      <c r="AE194" s="254"/>
      <c r="AF194" s="255"/>
      <c r="AG194" s="259">
        <f>BD.PD[[#This Row],[Av.P5 '[%']]]*BD.PD[[#This Row],[Ppto. Orden Interna '[DOP']]]</f>
        <v>0</v>
      </c>
      <c r="AH194" s="256">
        <f>BD.PD[[#This Row],[Pago 5]]+BD.PD[[#This Row],[Pago 4]]+BD.PD[[#This Row],[Pago 3]]+BD.PD[[#This Row],[Pago 2]]+BD.PD[[#This Row],[Pago 1]]</f>
        <v>7134.58</v>
      </c>
      <c r="AI194" s="318"/>
    </row>
    <row r="195" spans="1:35" ht="14.1" customHeight="1" x14ac:dyDescent="0.3">
      <c r="A195" s="181">
        <v>8.06</v>
      </c>
      <c r="B195" s="239"/>
      <c r="C195" s="240" t="str">
        <f>VLOOKUP(BD.PD[[#This Row],[Pos]],PPto[],3,FALSE)</f>
        <v>8.06 Otros Equipamientos de Tienda</v>
      </c>
      <c r="D195" s="181" t="s">
        <v>40</v>
      </c>
      <c r="E195" s="242" t="str">
        <f>IF(BD.PD[[#This Row],[.]]="*",VLOOKUP(BD.PD[[#This Row],[Pos]],Presupuesto!A:H,7,FALSE),"")</f>
        <v/>
      </c>
      <c r="F195" s="243" t="s">
        <v>663</v>
      </c>
      <c r="G195" s="243" t="s">
        <v>308</v>
      </c>
      <c r="H195" s="275"/>
      <c r="I195" s="276">
        <v>16</v>
      </c>
      <c r="J195" s="181" t="s">
        <v>314</v>
      </c>
      <c r="K195" s="245">
        <f>IF(BD.PD[[#This Row],[Mon]]="DOP",1,HLOOKUP(BD.PD[[#This Row],[Mon]],$J$1:$K$2,2,FALSE))</f>
        <v>1</v>
      </c>
      <c r="L195" s="277">
        <v>446.23636363636365</v>
      </c>
      <c r="M195" s="247">
        <f>BD.PD[[#This Row],[Cant.]]*BD.PD[[#This Row],[ Tasa ]]*BD.PD[[#This Row],[ Precio Und.]]</f>
        <v>7139.7818181818184</v>
      </c>
      <c r="N195" s="278">
        <v>0</v>
      </c>
      <c r="O195" s="247">
        <f>IF(BD.PD[[#This Row],[Liquid. '[%']]]&lt;&gt;0,(BD.PD[[#This Row],[Valor Neto '[DOP']]]*BD.PD[[#This Row],[Liquid. '[%']]])+BD.PD[[#This Row],[Valor Neto '[DOP']]],BD.PD[[#This Row],[Valor Neto '[DOP']]])</f>
        <v>7139.7818181818184</v>
      </c>
      <c r="P195" s="257">
        <f>BD.PD[[#This Row],[Ppto. Orden Interna '[DOP']]]/HLOOKUP("USD",$J$1:$K$2,2,FALSE)</f>
        <v>117.62408267185862</v>
      </c>
      <c r="Q195" s="250" t="s">
        <v>664</v>
      </c>
      <c r="R195" s="258" t="s">
        <v>665</v>
      </c>
      <c r="S195" s="251">
        <v>22</v>
      </c>
      <c r="T195" s="252">
        <v>1</v>
      </c>
      <c r="U195" s="259">
        <f>BD.PD[[#This Row],[Av.P1 '[%']]]*BD.PD[[#This Row],[Ppto. Orden Interna '[DOP']]]</f>
        <v>7139.7818181818184</v>
      </c>
      <c r="V195" s="254"/>
      <c r="W195" s="255"/>
      <c r="X195" s="259">
        <f>BD.PD[[#This Row],[Av.P2 '[%']]]*BD.PD[[#This Row],[Ppto. Orden Interna '[DOP']]]</f>
        <v>0</v>
      </c>
      <c r="Y195" s="254"/>
      <c r="Z195" s="255"/>
      <c r="AA195" s="259">
        <f>BD.PD[[#This Row],[Av.P3 '[%']]]*BD.PD[[#This Row],[Ppto. Orden Interna '[DOP']]]</f>
        <v>0</v>
      </c>
      <c r="AB195" s="254"/>
      <c r="AC195" s="255"/>
      <c r="AD195" s="259">
        <f>BD.PD[[#This Row],[Av.P4 '[%']]]*BD.PD[[#This Row],[Ppto. Orden Interna '[DOP']]]</f>
        <v>0</v>
      </c>
      <c r="AE195" s="254"/>
      <c r="AF195" s="255"/>
      <c r="AG195" s="259">
        <f>BD.PD[[#This Row],[Av.P5 '[%']]]*BD.PD[[#This Row],[Ppto. Orden Interna '[DOP']]]</f>
        <v>0</v>
      </c>
      <c r="AH195" s="256">
        <f>BD.PD[[#This Row],[Pago 5]]+BD.PD[[#This Row],[Pago 4]]+BD.PD[[#This Row],[Pago 3]]+BD.PD[[#This Row],[Pago 2]]+BD.PD[[#This Row],[Pago 1]]</f>
        <v>7139.7818181818184</v>
      </c>
      <c r="AI195" s="318"/>
    </row>
    <row r="196" spans="1:35" ht="15" customHeight="1" x14ac:dyDescent="0.3">
      <c r="A196" s="181">
        <v>8.06</v>
      </c>
      <c r="B196" s="239"/>
      <c r="C196" s="240" t="str">
        <f>VLOOKUP(BD.PD[[#This Row],[Pos]],PPto[],3,FALSE)</f>
        <v>8.06 Otros Equipamientos de Tienda</v>
      </c>
      <c r="D196" s="181" t="s">
        <v>40</v>
      </c>
      <c r="E196" s="242" t="str">
        <f>IF(BD.PD[[#This Row],[.]]="*",VLOOKUP(BD.PD[[#This Row],[Pos]],Presupuesto!A:H,7,FALSE),"")</f>
        <v/>
      </c>
      <c r="F196" s="243" t="s">
        <v>668</v>
      </c>
      <c r="G196" s="243" t="s">
        <v>308</v>
      </c>
      <c r="H196" s="275"/>
      <c r="I196" s="276">
        <v>12</v>
      </c>
      <c r="J196" s="181" t="s">
        <v>314</v>
      </c>
      <c r="K196" s="245">
        <f>IF(BD.PD[[#This Row],[Mon]]="DOP",1,HLOOKUP(BD.PD[[#This Row],[Mon]],$J$1:$K$2,2,FALSE))</f>
        <v>1</v>
      </c>
      <c r="L196" s="277">
        <v>1772.9475</v>
      </c>
      <c r="M196" s="247">
        <f>BD.PD[[#This Row],[Cant.]]*BD.PD[[#This Row],[ Tasa ]]*BD.PD[[#This Row],[ Precio Und.]]</f>
        <v>21275.37</v>
      </c>
      <c r="N196" s="278">
        <v>0</v>
      </c>
      <c r="O196" s="247">
        <f>IF(BD.PD[[#This Row],[Liquid. '[%']]]&lt;&gt;0,(BD.PD[[#This Row],[Valor Neto '[DOP']]]*BD.PD[[#This Row],[Liquid. '[%']]])+BD.PD[[#This Row],[Valor Neto '[DOP']]],BD.PD[[#This Row],[Valor Neto '[DOP']]])</f>
        <v>21275.37</v>
      </c>
      <c r="P196" s="257">
        <f>BD.PD[[#This Row],[Ppto. Orden Interna '[DOP']]]/HLOOKUP("USD",$J$1:$K$2,2,FALSE)</f>
        <v>350.50032948929157</v>
      </c>
      <c r="Q196" s="250" t="s">
        <v>1128</v>
      </c>
      <c r="R196" s="258" t="s">
        <v>665</v>
      </c>
      <c r="S196" s="251">
        <v>22</v>
      </c>
      <c r="T196" s="252">
        <v>1</v>
      </c>
      <c r="U196" s="259">
        <f>BD.PD[[#This Row],[Av.P1 '[%']]]*BD.PD[[#This Row],[Ppto. Orden Interna '[DOP']]]</f>
        <v>21275.37</v>
      </c>
      <c r="V196" s="254"/>
      <c r="W196" s="255"/>
      <c r="X196" s="259">
        <f>BD.PD[[#This Row],[Av.P2 '[%']]]*BD.PD[[#This Row],[Ppto. Orden Interna '[DOP']]]</f>
        <v>0</v>
      </c>
      <c r="Y196" s="254"/>
      <c r="Z196" s="255"/>
      <c r="AA196" s="259">
        <f>BD.PD[[#This Row],[Av.P3 '[%']]]*BD.PD[[#This Row],[Ppto. Orden Interna '[DOP']]]</f>
        <v>0</v>
      </c>
      <c r="AB196" s="254"/>
      <c r="AC196" s="255"/>
      <c r="AD196" s="259">
        <f>BD.PD[[#This Row],[Av.P4 '[%']]]*BD.PD[[#This Row],[Ppto. Orden Interna '[DOP']]]</f>
        <v>0</v>
      </c>
      <c r="AE196" s="254"/>
      <c r="AF196" s="255"/>
      <c r="AG196" s="259">
        <f>BD.PD[[#This Row],[Av.P5 '[%']]]*BD.PD[[#This Row],[Ppto. Orden Interna '[DOP']]]</f>
        <v>0</v>
      </c>
      <c r="AH196" s="256">
        <f>BD.PD[[#This Row],[Pago 5]]+BD.PD[[#This Row],[Pago 4]]+BD.PD[[#This Row],[Pago 3]]+BD.PD[[#This Row],[Pago 2]]+BD.PD[[#This Row],[Pago 1]]</f>
        <v>21275.37</v>
      </c>
      <c r="AI196" s="318"/>
    </row>
    <row r="197" spans="1:35" ht="15" customHeight="1" x14ac:dyDescent="0.3">
      <c r="A197" s="181">
        <v>5.03</v>
      </c>
      <c r="B197" s="239"/>
      <c r="C197" s="240" t="str">
        <f>VLOOKUP(BD.PD[[#This Row],[Pos]],PPto[],3,FALSE)</f>
        <v>5.03 Neveras, Centrales y Evaporadores</v>
      </c>
      <c r="D197" s="181" t="s">
        <v>40</v>
      </c>
      <c r="E197" s="242" t="str">
        <f>IF(BD.PD[[#This Row],[.]]="*",VLOOKUP(BD.PD[[#This Row],[Pos]],Presupuesto!A:H,7,FALSE),"")</f>
        <v/>
      </c>
      <c r="F197" s="393" t="s">
        <v>378</v>
      </c>
      <c r="G197" s="243">
        <v>4600079168</v>
      </c>
      <c r="H197" s="275">
        <v>46176</v>
      </c>
      <c r="I197" s="276">
        <v>1</v>
      </c>
      <c r="J197" s="307" t="s">
        <v>188</v>
      </c>
      <c r="K197" s="245">
        <f>IF(BD.PD[[#This Row],[Mon]]="DOP",1,HLOOKUP(BD.PD[[#This Row],[Mon]],$J$1:$K$2,2,FALSE))</f>
        <v>60.7</v>
      </c>
      <c r="L197" s="309">
        <v>547</v>
      </c>
      <c r="M197" s="247">
        <f>BD.PD[[#This Row],[Cant.]]*BD.PD[[#This Row],[ Tasa ]]*BD.PD[[#This Row],[ Precio Und.]]</f>
        <v>33202.9</v>
      </c>
      <c r="N197" s="278">
        <v>0.45</v>
      </c>
      <c r="O197" s="247">
        <f>IF(BD.PD[[#This Row],[Liquid. '[%']]]&lt;&gt;0,(BD.PD[[#This Row],[Valor Neto '[DOP']]]*BD.PD[[#This Row],[Liquid. '[%']]])+BD.PD[[#This Row],[Valor Neto '[DOP']]],BD.PD[[#This Row],[Valor Neto '[DOP']]])</f>
        <v>48144.205000000002</v>
      </c>
      <c r="P197" s="257">
        <f>BD.PD[[#This Row],[Ppto. Orden Interna '[DOP']]]/HLOOKUP("USD",$J$1:$K$2,2,FALSE)</f>
        <v>793.15</v>
      </c>
      <c r="Q197" s="250"/>
      <c r="R197" s="321" t="s">
        <v>1112</v>
      </c>
      <c r="S197" s="251">
        <v>18</v>
      </c>
      <c r="T197" s="252">
        <v>0.5</v>
      </c>
      <c r="U197" s="259">
        <f>BD.PD[[#This Row],[Av.P1 '[%']]]*BD.PD[[#This Row],[Ppto. Orden Interna '[DOP']]]</f>
        <v>24072.102500000001</v>
      </c>
      <c r="V197" s="254">
        <v>19</v>
      </c>
      <c r="W197" s="255">
        <v>0.5</v>
      </c>
      <c r="X197" s="259">
        <f>BD.PD[[#This Row],[Av.P2 '[%']]]*BD.PD[[#This Row],[Ppto. Orden Interna '[DOP']]]</f>
        <v>24072.102500000001</v>
      </c>
      <c r="Y197" s="254"/>
      <c r="Z197" s="255"/>
      <c r="AA197" s="259">
        <f>BD.PD[[#This Row],[Av.P3 '[%']]]*BD.PD[[#This Row],[Ppto. Orden Interna '[DOP']]]</f>
        <v>0</v>
      </c>
      <c r="AB197" s="254"/>
      <c r="AC197" s="255"/>
      <c r="AD197" s="259">
        <f>BD.PD[[#This Row],[Av.P4 '[%']]]*BD.PD[[#This Row],[Ppto. Orden Interna '[DOP']]]</f>
        <v>0</v>
      </c>
      <c r="AE197" s="254"/>
      <c r="AF197" s="255"/>
      <c r="AG197" s="259">
        <f>BD.PD[[#This Row],[Av.P5 '[%']]]*BD.PD[[#This Row],[Ppto. Orden Interna '[DOP']]]</f>
        <v>0</v>
      </c>
      <c r="AH197" s="256">
        <f>BD.PD[[#This Row],[Pago 5]]+BD.PD[[#This Row],[Pago 4]]+BD.PD[[#This Row],[Pago 3]]+BD.PD[[#This Row],[Pago 2]]+BD.PD[[#This Row],[Pago 1]]</f>
        <v>48144.205000000002</v>
      </c>
      <c r="AI197" s="318"/>
    </row>
    <row r="198" spans="1:35" ht="15" customHeight="1" x14ac:dyDescent="0.3">
      <c r="A198" s="181">
        <v>5.03</v>
      </c>
      <c r="B198" s="239"/>
      <c r="C198" s="240" t="str">
        <f>VLOOKUP(BD.PD[[#This Row],[Pos]],PPto[],3,FALSE)</f>
        <v>5.03 Neveras, Centrales y Evaporadores</v>
      </c>
      <c r="D198" s="181" t="s">
        <v>40</v>
      </c>
      <c r="E198" s="242" t="str">
        <f>IF(BD.PD[[#This Row],[.]]="*",VLOOKUP(BD.PD[[#This Row],[Pos]],Presupuesto!A:H,7,FALSE),"")</f>
        <v/>
      </c>
      <c r="F198" s="243" t="s">
        <v>1067</v>
      </c>
      <c r="G198" s="243">
        <v>4600079539</v>
      </c>
      <c r="H198" s="275" t="s">
        <v>1064</v>
      </c>
      <c r="I198" s="276">
        <v>1</v>
      </c>
      <c r="J198" s="307" t="s">
        <v>258</v>
      </c>
      <c r="K198" s="245">
        <f>IF(BD.PD[[#This Row],[Mon]]="DOP",1,HLOOKUP(BD.PD[[#This Row],[Mon]],$J$1:$K$2,2,FALSE))</f>
        <v>69.8</v>
      </c>
      <c r="L198" s="309">
        <v>162387.32</v>
      </c>
      <c r="M198" s="247">
        <f>BD.PD[[#This Row],[Cant.]]*BD.PD[[#This Row],[ Tasa ]]*BD.PD[[#This Row],[ Precio Und.]]</f>
        <v>11334634.936000001</v>
      </c>
      <c r="N198" s="278">
        <v>0.25</v>
      </c>
      <c r="O198" s="247">
        <f>IF(BD.PD[[#This Row],[Liquid. '[%']]]&lt;&gt;0,(BD.PD[[#This Row],[Valor Neto '[DOP']]]*BD.PD[[#This Row],[Liquid. '[%']]])+BD.PD[[#This Row],[Valor Neto '[DOP']]],BD.PD[[#This Row],[Valor Neto '[DOP']]])</f>
        <v>14168293.670000002</v>
      </c>
      <c r="P198" s="257">
        <f>BD.PD[[#This Row],[Ppto. Orden Interna '[DOP']]]/HLOOKUP("USD",$J$1:$K$2,2,FALSE)</f>
        <v>233415.05222405275</v>
      </c>
      <c r="Q198" s="250" t="s">
        <v>370</v>
      </c>
      <c r="R198" s="258" t="s">
        <v>1082</v>
      </c>
      <c r="S198" s="251">
        <v>18</v>
      </c>
      <c r="T198" s="252">
        <v>0.5</v>
      </c>
      <c r="U198" s="259">
        <f>BD.PD[[#This Row],[Av.P1 '[%']]]*BD.PD[[#This Row],[Ppto. Orden Interna '[DOP']]]</f>
        <v>7084146.8350000009</v>
      </c>
      <c r="V198" s="254">
        <v>22</v>
      </c>
      <c r="W198" s="255">
        <v>0.5</v>
      </c>
      <c r="X198" s="259">
        <f>BD.PD[[#This Row],[Av.P2 '[%']]]*BD.PD[[#This Row],[Ppto. Orden Interna '[DOP']]]</f>
        <v>7084146.8350000009</v>
      </c>
      <c r="Y198" s="254"/>
      <c r="Z198" s="255"/>
      <c r="AA198" s="259">
        <f>BD.PD[[#This Row],[Av.P3 '[%']]]*BD.PD[[#This Row],[Ppto. Orden Interna '[DOP']]]</f>
        <v>0</v>
      </c>
      <c r="AB198" s="254"/>
      <c r="AC198" s="255"/>
      <c r="AD198" s="259">
        <f>BD.PD[[#This Row],[Av.P4 '[%']]]*BD.PD[[#This Row],[Ppto. Orden Interna '[DOP']]]</f>
        <v>0</v>
      </c>
      <c r="AE198" s="254"/>
      <c r="AF198" s="255"/>
      <c r="AG198" s="259">
        <f>BD.PD[[#This Row],[Av.P5 '[%']]]*BD.PD[[#This Row],[Ppto. Orden Interna '[DOP']]]</f>
        <v>0</v>
      </c>
      <c r="AH198" s="256">
        <f>BD.PD[[#This Row],[Pago 5]]+BD.PD[[#This Row],[Pago 4]]+BD.PD[[#This Row],[Pago 3]]+BD.PD[[#This Row],[Pago 2]]+BD.PD[[#This Row],[Pago 1]]</f>
        <v>14168293.670000002</v>
      </c>
      <c r="AI198" s="318"/>
    </row>
    <row r="199" spans="1:35" ht="14.4" customHeight="1" x14ac:dyDescent="0.3">
      <c r="A199" s="181">
        <v>8.0299999999999994</v>
      </c>
      <c r="B199" s="239"/>
      <c r="C199" s="240" t="str">
        <f>VLOOKUP(BD.PD[[#This Row],[Pos]],PPto[],3,FALSE)</f>
        <v>8.03 Carritos, Canastas y Accesorios</v>
      </c>
      <c r="D199" s="181" t="s">
        <v>40</v>
      </c>
      <c r="E199" s="242" t="str">
        <f>IF(BD.PD[[#This Row],[.]]="*",VLOOKUP(BD.PD[[#This Row],[Pos]],Presupuesto!A:H,7,FALSE),"")</f>
        <v/>
      </c>
      <c r="F199" s="243" t="s">
        <v>564</v>
      </c>
      <c r="G199" s="243" t="s">
        <v>308</v>
      </c>
      <c r="H199" s="275"/>
      <c r="I199" s="276">
        <v>1</v>
      </c>
      <c r="J199" s="181" t="s">
        <v>188</v>
      </c>
      <c r="K199" s="245">
        <f>IF(BD.PD[[#This Row],[Mon]]="DOP",1,HLOOKUP(BD.PD[[#This Row],[Mon]],$J$1:$K$2,2,FALSE))</f>
        <v>60.7</v>
      </c>
      <c r="L199" s="277">
        <v>1283</v>
      </c>
      <c r="M199" s="247">
        <f>BD.PD[[#This Row],[Cant.]]*BD.PD[[#This Row],[ Tasa ]]*BD.PD[[#This Row],[ Precio Und.]]</f>
        <v>77878.100000000006</v>
      </c>
      <c r="N199" s="278">
        <v>0.3</v>
      </c>
      <c r="O199" s="247">
        <f>IF(BD.PD[[#This Row],[Liquid. '[%']]]&lt;&gt;0,(BD.PD[[#This Row],[Valor Neto '[DOP']]]*BD.PD[[#This Row],[Liquid. '[%']]])+BD.PD[[#This Row],[Valor Neto '[DOP']]],BD.PD[[#This Row],[Valor Neto '[DOP']]])</f>
        <v>101241.53</v>
      </c>
      <c r="P199" s="257">
        <f>BD.PD[[#This Row],[Ppto. Orden Interna '[DOP']]]/HLOOKUP("USD",$J$1:$K$2,2,FALSE)</f>
        <v>1667.8999999999999</v>
      </c>
      <c r="Q199" s="250" t="s">
        <v>565</v>
      </c>
      <c r="R199" s="258" t="s">
        <v>566</v>
      </c>
      <c r="S199" s="251">
        <v>22</v>
      </c>
      <c r="T199" s="252">
        <v>0.5</v>
      </c>
      <c r="U199" s="259">
        <f>BD.PD[[#This Row],[Av.P1 '[%']]]*BD.PD[[#This Row],[Ppto. Orden Interna '[DOP']]]</f>
        <v>50620.764999999999</v>
      </c>
      <c r="V199" s="254">
        <v>24</v>
      </c>
      <c r="W199" s="255">
        <v>0.5</v>
      </c>
      <c r="X199" s="259">
        <f>BD.PD[[#This Row],[Av.P2 '[%']]]*BD.PD[[#This Row],[Ppto. Orden Interna '[DOP']]]</f>
        <v>50620.764999999999</v>
      </c>
      <c r="Y199" s="254"/>
      <c r="Z199" s="255"/>
      <c r="AA199" s="259">
        <f>BD.PD[[#This Row],[Av.P3 '[%']]]*BD.PD[[#This Row],[Ppto. Orden Interna '[DOP']]]</f>
        <v>0</v>
      </c>
      <c r="AB199" s="254"/>
      <c r="AC199" s="255"/>
      <c r="AD199" s="259">
        <f>BD.PD[[#This Row],[Av.P4 '[%']]]*BD.PD[[#This Row],[Ppto. Orden Interna '[DOP']]]</f>
        <v>0</v>
      </c>
      <c r="AE199" s="254"/>
      <c r="AF199" s="255"/>
      <c r="AG199" s="259">
        <f>BD.PD[[#This Row],[Av.P5 '[%']]]*BD.PD[[#This Row],[Ppto. Orden Interna '[DOP']]]</f>
        <v>0</v>
      </c>
      <c r="AH199" s="256">
        <f>BD.PD[[#This Row],[Pago 5]]+BD.PD[[#This Row],[Pago 4]]+BD.PD[[#This Row],[Pago 3]]+BD.PD[[#This Row],[Pago 2]]+BD.PD[[#This Row],[Pago 1]]</f>
        <v>101241.53</v>
      </c>
      <c r="AI199" s="318"/>
    </row>
    <row r="200" spans="1:35" ht="15" customHeight="1" x14ac:dyDescent="0.3">
      <c r="A200" s="181">
        <v>8.0299999999999994</v>
      </c>
      <c r="B200" s="239"/>
      <c r="C200" s="240" t="str">
        <f>VLOOKUP(BD.PD[[#This Row],[Pos]],PPto[],3,FALSE)</f>
        <v>8.03 Carritos, Canastas y Accesorios</v>
      </c>
      <c r="D200" s="181" t="s">
        <v>40</v>
      </c>
      <c r="E200" s="242" t="str">
        <f>IF(BD.PD[[#This Row],[.]]="*",VLOOKUP(BD.PD[[#This Row],[Pos]],Presupuesto!A:H,7,FALSE),"")</f>
        <v/>
      </c>
      <c r="F200" s="243" t="s">
        <v>570</v>
      </c>
      <c r="G200" s="243" t="s">
        <v>308</v>
      </c>
      <c r="H200" s="275"/>
      <c r="I200" s="276">
        <v>1</v>
      </c>
      <c r="J200" s="181" t="s">
        <v>258</v>
      </c>
      <c r="K200" s="245">
        <f>IF(BD.PD[[#This Row],[Mon]]="DOP",1,HLOOKUP(BD.PD[[#This Row],[Mon]],$J$1:$K$2,2,FALSE))</f>
        <v>69.8</v>
      </c>
      <c r="L200" s="277">
        <v>95330.28</v>
      </c>
      <c r="M200" s="247">
        <f>BD.PD[[#This Row],[Cant.]]*BD.PD[[#This Row],[ Tasa ]]*BD.PD[[#This Row],[ Precio Und.]]</f>
        <v>6654053.5439999998</v>
      </c>
      <c r="N200" s="278">
        <v>0.3</v>
      </c>
      <c r="O200" s="247">
        <f>IF(BD.PD[[#This Row],[Liquid. '[%']]]&lt;&gt;0,(BD.PD[[#This Row],[Valor Neto '[DOP']]]*BD.PD[[#This Row],[Liquid. '[%']]])+BD.PD[[#This Row],[Valor Neto '[DOP']]],BD.PD[[#This Row],[Valor Neto '[DOP']]])</f>
        <v>8650269.6072000004</v>
      </c>
      <c r="P200" s="257">
        <f>BD.PD[[#This Row],[Ppto. Orden Interna '[DOP']]]/HLOOKUP("USD",$J$1:$K$2,2,FALSE)</f>
        <v>142508.56025041186</v>
      </c>
      <c r="Q200" s="250" t="s">
        <v>568</v>
      </c>
      <c r="R200" s="258" t="s">
        <v>566</v>
      </c>
      <c r="S200" s="251">
        <v>22</v>
      </c>
      <c r="T200" s="252">
        <v>0.5</v>
      </c>
      <c r="U200" s="259">
        <f>BD.PD[[#This Row],[Av.P1 '[%']]]*BD.PD[[#This Row],[Ppto. Orden Interna '[DOP']]]</f>
        <v>4325134.8036000002</v>
      </c>
      <c r="V200" s="254">
        <v>24</v>
      </c>
      <c r="W200" s="255">
        <v>0.5</v>
      </c>
      <c r="X200" s="259">
        <f>BD.PD[[#This Row],[Av.P2 '[%']]]*BD.PD[[#This Row],[Ppto. Orden Interna '[DOP']]]</f>
        <v>4325134.8036000002</v>
      </c>
      <c r="Y200" s="254"/>
      <c r="Z200" s="255"/>
      <c r="AA200" s="259">
        <f>BD.PD[[#This Row],[Av.P3 '[%']]]*BD.PD[[#This Row],[Ppto. Orden Interna '[DOP']]]</f>
        <v>0</v>
      </c>
      <c r="AB200" s="254"/>
      <c r="AC200" s="255"/>
      <c r="AD200" s="259">
        <f>BD.PD[[#This Row],[Av.P4 '[%']]]*BD.PD[[#This Row],[Ppto. Orden Interna '[DOP']]]</f>
        <v>0</v>
      </c>
      <c r="AE200" s="254"/>
      <c r="AF200" s="255"/>
      <c r="AG200" s="259">
        <f>BD.PD[[#This Row],[Av.P5 '[%']]]*BD.PD[[#This Row],[Ppto. Orden Interna '[DOP']]]</f>
        <v>0</v>
      </c>
      <c r="AH200" s="256">
        <f>BD.PD[[#This Row],[Pago 5]]+BD.PD[[#This Row],[Pago 4]]+BD.PD[[#This Row],[Pago 3]]+BD.PD[[#This Row],[Pago 2]]+BD.PD[[#This Row],[Pago 1]]</f>
        <v>8650269.6072000004</v>
      </c>
      <c r="AI200" s="318"/>
    </row>
    <row r="201" spans="1:35" ht="15.6" customHeight="1" x14ac:dyDescent="0.3">
      <c r="A201" s="181">
        <v>8.0299999999999994</v>
      </c>
      <c r="B201" s="239"/>
      <c r="C201" s="240" t="str">
        <f>VLOOKUP(BD.PD[[#This Row],[Pos]],PPto[],3,FALSE)</f>
        <v>8.03 Carritos, Canastas y Accesorios</v>
      </c>
      <c r="D201" s="181" t="s">
        <v>40</v>
      </c>
      <c r="E201" s="242" t="str">
        <f>IF(BD.PD[[#This Row],[.]]="*",VLOOKUP(BD.PD[[#This Row],[Pos]],Presupuesto!A:H,7,FALSE),"")</f>
        <v/>
      </c>
      <c r="F201" s="243" t="s">
        <v>567</v>
      </c>
      <c r="G201" s="243">
        <v>4600078828</v>
      </c>
      <c r="H201" s="275" t="s">
        <v>1056</v>
      </c>
      <c r="I201" s="276">
        <v>250</v>
      </c>
      <c r="J201" s="181" t="s">
        <v>258</v>
      </c>
      <c r="K201" s="245">
        <f>IF(BD.PD[[#This Row],[Mon]]="DOP",1,HLOOKUP(BD.PD[[#This Row],[Mon]],$J$1:$K$2,2,FALSE))</f>
        <v>69.8</v>
      </c>
      <c r="L201" s="277">
        <v>128.16</v>
      </c>
      <c r="M201" s="247">
        <f>BD.PD[[#This Row],[Cant.]]*BD.PD[[#This Row],[ Tasa ]]*BD.PD[[#This Row],[ Precio Und.]]</f>
        <v>2236392</v>
      </c>
      <c r="N201" s="278">
        <v>0.3</v>
      </c>
      <c r="O201" s="247">
        <f>IF(BD.PD[[#This Row],[Liquid. '[%']]]&lt;&gt;0,(BD.PD[[#This Row],[Valor Neto '[DOP']]]*BD.PD[[#This Row],[Liquid. '[%']]])+BD.PD[[#This Row],[Valor Neto '[DOP']]],BD.PD[[#This Row],[Valor Neto '[DOP']]])</f>
        <v>2907309.6</v>
      </c>
      <c r="P201" s="257">
        <f>BD.PD[[#This Row],[Ppto. Orden Interna '[DOP']]]/HLOOKUP("USD",$J$1:$K$2,2,FALSE)</f>
        <v>47896.369028006586</v>
      </c>
      <c r="Q201" s="250" t="s">
        <v>565</v>
      </c>
      <c r="R201" s="258" t="s">
        <v>566</v>
      </c>
      <c r="S201" s="251">
        <v>17</v>
      </c>
      <c r="T201" s="252">
        <v>0.5</v>
      </c>
      <c r="U201" s="259">
        <f>BD.PD[[#This Row],[Av.P1 '[%']]]*BD.PD[[#This Row],[Ppto. Orden Interna '[DOP']]]</f>
        <v>1453654.8</v>
      </c>
      <c r="V201" s="254">
        <v>19</v>
      </c>
      <c r="W201" s="255">
        <v>0.5</v>
      </c>
      <c r="X201" s="259">
        <f>BD.PD[[#This Row],[Av.P2 '[%']]]*BD.PD[[#This Row],[Ppto. Orden Interna '[DOP']]]</f>
        <v>1453654.8</v>
      </c>
      <c r="Y201" s="254"/>
      <c r="Z201" s="255"/>
      <c r="AA201" s="259">
        <f>BD.PD[[#This Row],[Av.P3 '[%']]]*BD.PD[[#This Row],[Ppto. Orden Interna '[DOP']]]</f>
        <v>0</v>
      </c>
      <c r="AB201" s="254"/>
      <c r="AC201" s="255"/>
      <c r="AD201" s="259">
        <f>BD.PD[[#This Row],[Av.P4 '[%']]]*BD.PD[[#This Row],[Ppto. Orden Interna '[DOP']]]</f>
        <v>0</v>
      </c>
      <c r="AE201" s="254"/>
      <c r="AF201" s="255"/>
      <c r="AG201" s="259">
        <f>BD.PD[[#This Row],[Av.P5 '[%']]]*BD.PD[[#This Row],[Ppto. Orden Interna '[DOP']]]</f>
        <v>0</v>
      </c>
      <c r="AH201" s="256">
        <f>BD.PD[[#This Row],[Pago 5]]+BD.PD[[#This Row],[Pago 4]]+BD.PD[[#This Row],[Pago 3]]+BD.PD[[#This Row],[Pago 2]]+BD.PD[[#This Row],[Pago 1]]</f>
        <v>2907309.6</v>
      </c>
      <c r="AI201" s="318"/>
    </row>
    <row r="202" spans="1:35" ht="15" customHeight="1" x14ac:dyDescent="0.3">
      <c r="A202" s="181">
        <v>8.0299999999999994</v>
      </c>
      <c r="B202" s="239"/>
      <c r="C202" s="240" t="str">
        <f>VLOOKUP(BD.PD[[#This Row],[Pos]],PPto[],3,FALSE)</f>
        <v>8.03 Carritos, Canastas y Accesorios</v>
      </c>
      <c r="D202" s="181" t="s">
        <v>40</v>
      </c>
      <c r="E202" s="242" t="str">
        <f>IF(BD.PD[[#This Row],[.]]="*",VLOOKUP(BD.PD[[#This Row],[Pos]],Presupuesto!A:H,7,FALSE),"")</f>
        <v/>
      </c>
      <c r="F202" s="243" t="s">
        <v>569</v>
      </c>
      <c r="G202" s="243">
        <v>4600078828</v>
      </c>
      <c r="H202" s="275" t="s">
        <v>1056</v>
      </c>
      <c r="I202" s="276">
        <v>200</v>
      </c>
      <c r="J202" s="181" t="s">
        <v>258</v>
      </c>
      <c r="K202" s="245">
        <f>IF(BD.PD[[#This Row],[Mon]]="DOP",1,HLOOKUP(BD.PD[[#This Row],[Mon]],$J$1:$K$2,2,FALSE))</f>
        <v>69.8</v>
      </c>
      <c r="L202" s="277">
        <v>95.89</v>
      </c>
      <c r="M202" s="247">
        <f>BD.PD[[#This Row],[Cant.]]*BD.PD[[#This Row],[ Tasa ]]*BD.PD[[#This Row],[ Precio Und.]]</f>
        <v>1338624.3999999999</v>
      </c>
      <c r="N202" s="278">
        <v>0.3</v>
      </c>
      <c r="O202" s="247">
        <f>IF(BD.PD[[#This Row],[Liquid. '[%']]]&lt;&gt;0,(BD.PD[[#This Row],[Valor Neto '[DOP']]]*BD.PD[[#This Row],[Liquid. '[%']]])+BD.PD[[#This Row],[Valor Neto '[DOP']]],BD.PD[[#This Row],[Valor Neto '[DOP']]])</f>
        <v>1740211.7199999997</v>
      </c>
      <c r="P202" s="257">
        <f>BD.PD[[#This Row],[Ppto. Orden Interna '[DOP']]]/HLOOKUP("USD",$J$1:$K$2,2,FALSE)</f>
        <v>28669.056342668857</v>
      </c>
      <c r="Q202" s="250" t="s">
        <v>565</v>
      </c>
      <c r="R202" s="258" t="s">
        <v>566</v>
      </c>
      <c r="S202" s="251">
        <v>17</v>
      </c>
      <c r="T202" s="252">
        <v>0.5</v>
      </c>
      <c r="U202" s="259">
        <f>BD.PD[[#This Row],[Av.P1 '[%']]]*BD.PD[[#This Row],[Ppto. Orden Interna '[DOP']]]</f>
        <v>870105.85999999987</v>
      </c>
      <c r="V202" s="254">
        <v>19</v>
      </c>
      <c r="W202" s="255">
        <v>0.5</v>
      </c>
      <c r="X202" s="259">
        <f>BD.PD[[#This Row],[Av.P2 '[%']]]*BD.PD[[#This Row],[Ppto. Orden Interna '[DOP']]]</f>
        <v>870105.85999999987</v>
      </c>
      <c r="Y202" s="254"/>
      <c r="Z202" s="255"/>
      <c r="AA202" s="259">
        <f>BD.PD[[#This Row],[Av.P3 '[%']]]*BD.PD[[#This Row],[Ppto. Orden Interna '[DOP']]]</f>
        <v>0</v>
      </c>
      <c r="AB202" s="254"/>
      <c r="AC202" s="255"/>
      <c r="AD202" s="259">
        <f>BD.PD[[#This Row],[Av.P4 '[%']]]*BD.PD[[#This Row],[Ppto. Orden Interna '[DOP']]]</f>
        <v>0</v>
      </c>
      <c r="AE202" s="254"/>
      <c r="AF202" s="255"/>
      <c r="AG202" s="259">
        <f>BD.PD[[#This Row],[Av.P5 '[%']]]*BD.PD[[#This Row],[Ppto. Orden Interna '[DOP']]]</f>
        <v>0</v>
      </c>
      <c r="AH202" s="256">
        <f>BD.PD[[#This Row],[Pago 5]]+BD.PD[[#This Row],[Pago 4]]+BD.PD[[#This Row],[Pago 3]]+BD.PD[[#This Row],[Pago 2]]+BD.PD[[#This Row],[Pago 1]]</f>
        <v>1740211.7199999997</v>
      </c>
      <c r="AI202" s="318"/>
    </row>
    <row r="203" spans="1:35" ht="15" customHeight="1" x14ac:dyDescent="0.3">
      <c r="A203" s="181">
        <v>8.0299999999999994</v>
      </c>
      <c r="B203" s="239"/>
      <c r="C203" s="240" t="str">
        <f>VLOOKUP(BD.PD[[#This Row],[Pos]],PPto[],3,FALSE)</f>
        <v>8.03 Carritos, Canastas y Accesorios</v>
      </c>
      <c r="D203" s="181" t="s">
        <v>40</v>
      </c>
      <c r="E203" s="242" t="str">
        <f>IF(BD.PD[[#This Row],[.]]="*",VLOOKUP(BD.PD[[#This Row],[Pos]],Presupuesto!A:H,7,FALSE),"")</f>
        <v/>
      </c>
      <c r="F203" s="243" t="s">
        <v>1057</v>
      </c>
      <c r="G203" s="243">
        <v>4600078828</v>
      </c>
      <c r="H203" s="275" t="s">
        <v>1056</v>
      </c>
      <c r="I203" s="276">
        <v>2</v>
      </c>
      <c r="J203" s="181" t="s">
        <v>314</v>
      </c>
      <c r="K203" s="245">
        <f>IF(BD.PD[[#This Row],[Mon]]="DOP",1,HLOOKUP(BD.PD[[#This Row],[Mon]],$J$1:$K$2,2,FALSE))</f>
        <v>1</v>
      </c>
      <c r="L203" s="277">
        <v>85.75</v>
      </c>
      <c r="M203" s="247">
        <f>BD.PD[[#This Row],[Cant.]]*BD.PD[[#This Row],[ Tasa ]]*BD.PD[[#This Row],[ Precio Und.]]</f>
        <v>171.5</v>
      </c>
      <c r="N203" s="278">
        <v>0.3</v>
      </c>
      <c r="O203" s="247">
        <f>IF(BD.PD[[#This Row],[Liquid. '[%']]]&lt;&gt;0,(BD.PD[[#This Row],[Valor Neto '[DOP']]]*BD.PD[[#This Row],[Liquid. '[%']]])+BD.PD[[#This Row],[Valor Neto '[DOP']]],BD.PD[[#This Row],[Valor Neto '[DOP']]])</f>
        <v>222.95</v>
      </c>
      <c r="P203" s="257">
        <f>BD.PD[[#This Row],[Ppto. Orden Interna '[DOP']]]/HLOOKUP("USD",$J$1:$K$2,2,FALSE)</f>
        <v>3.6729818780889616</v>
      </c>
      <c r="Q203" s="250" t="s">
        <v>571</v>
      </c>
      <c r="R203" s="258" t="s">
        <v>566</v>
      </c>
      <c r="S203" s="251">
        <v>18</v>
      </c>
      <c r="T203" s="252">
        <v>0.5</v>
      </c>
      <c r="U203" s="259">
        <f>BD.PD[[#This Row],[Av.P1 '[%']]]*BD.PD[[#This Row],[Ppto. Orden Interna '[DOP']]]</f>
        <v>111.47499999999999</v>
      </c>
      <c r="V203" s="254">
        <v>19</v>
      </c>
      <c r="W203" s="255">
        <v>0.5</v>
      </c>
      <c r="X203" s="259">
        <f>BD.PD[[#This Row],[Av.P2 '[%']]]*BD.PD[[#This Row],[Ppto. Orden Interna '[DOP']]]</f>
        <v>111.47499999999999</v>
      </c>
      <c r="Y203" s="254"/>
      <c r="Z203" s="255"/>
      <c r="AA203" s="259">
        <f>BD.PD[[#This Row],[Av.P3 '[%']]]*BD.PD[[#This Row],[Ppto. Orden Interna '[DOP']]]</f>
        <v>0</v>
      </c>
      <c r="AB203" s="254"/>
      <c r="AC203" s="255"/>
      <c r="AD203" s="259">
        <f>BD.PD[[#This Row],[Av.P4 '[%']]]*BD.PD[[#This Row],[Ppto. Orden Interna '[DOP']]]</f>
        <v>0</v>
      </c>
      <c r="AE203" s="254"/>
      <c r="AF203" s="255"/>
      <c r="AG203" s="259">
        <f>BD.PD[[#This Row],[Av.P5 '[%']]]*BD.PD[[#This Row],[Ppto. Orden Interna '[DOP']]]</f>
        <v>0</v>
      </c>
      <c r="AH203" s="256">
        <f>BD.PD[[#This Row],[Pago 5]]+BD.PD[[#This Row],[Pago 4]]+BD.PD[[#This Row],[Pago 3]]+BD.PD[[#This Row],[Pago 2]]+BD.PD[[#This Row],[Pago 1]]</f>
        <v>222.95</v>
      </c>
      <c r="AI203" s="318"/>
    </row>
    <row r="204" spans="1:35" ht="15" customHeight="1" x14ac:dyDescent="0.3">
      <c r="A204" s="181">
        <v>8.0299999999999994</v>
      </c>
      <c r="B204" s="239"/>
      <c r="C204" s="240" t="str">
        <f>VLOOKUP(BD.PD[[#This Row],[Pos]],PPto[],3,FALSE)</f>
        <v>8.03 Carritos, Canastas y Accesorios</v>
      </c>
      <c r="D204" s="181" t="s">
        <v>40</v>
      </c>
      <c r="E204" s="242" t="str">
        <f>IF(BD.PD[[#This Row],[.]]="*",VLOOKUP(BD.PD[[#This Row],[Pos]],Presupuesto!A:H,7,FALSE),"")</f>
        <v/>
      </c>
      <c r="F204" s="243" t="s">
        <v>572</v>
      </c>
      <c r="G204" s="243">
        <v>4600078828</v>
      </c>
      <c r="H204" s="275" t="s">
        <v>1056</v>
      </c>
      <c r="I204" s="276">
        <v>2</v>
      </c>
      <c r="J204" s="181" t="s">
        <v>258</v>
      </c>
      <c r="K204" s="245">
        <f>IF(BD.PD[[#This Row],[Mon]]="DOP",1,HLOOKUP(BD.PD[[#This Row],[Mon]],$J$1:$K$2,2,FALSE))</f>
        <v>69.8</v>
      </c>
      <c r="L204" s="277">
        <v>90.06</v>
      </c>
      <c r="M204" s="247">
        <f>BD.PD[[#This Row],[Cant.]]*BD.PD[[#This Row],[ Tasa ]]*BD.PD[[#This Row],[ Precio Und.]]</f>
        <v>12572.376</v>
      </c>
      <c r="N204" s="278">
        <v>0.3</v>
      </c>
      <c r="O204" s="247">
        <f>IF(BD.PD[[#This Row],[Liquid. '[%']]]&lt;&gt;0,(BD.PD[[#This Row],[Valor Neto '[DOP']]]*BD.PD[[#This Row],[Liquid. '[%']]])+BD.PD[[#This Row],[Valor Neto '[DOP']]],BD.PD[[#This Row],[Valor Neto '[DOP']]])</f>
        <v>16344.0888</v>
      </c>
      <c r="P204" s="257">
        <f>BD.PD[[#This Row],[Ppto. Orden Interna '[DOP']]]/HLOOKUP("USD",$J$1:$K$2,2,FALSE)</f>
        <v>269.26011202635914</v>
      </c>
      <c r="Q204" s="250" t="s">
        <v>565</v>
      </c>
      <c r="R204" s="258" t="s">
        <v>566</v>
      </c>
      <c r="S204" s="251">
        <v>17</v>
      </c>
      <c r="T204" s="252">
        <v>0.5</v>
      </c>
      <c r="U204" s="259">
        <f>BD.PD[[#This Row],[Av.P1 '[%']]]*BD.PD[[#This Row],[Ppto. Orden Interna '[DOP']]]</f>
        <v>8172.0443999999998</v>
      </c>
      <c r="V204" s="254">
        <v>19</v>
      </c>
      <c r="W204" s="255">
        <v>0.5</v>
      </c>
      <c r="X204" s="259">
        <f>BD.PD[[#This Row],[Av.P2 '[%']]]*BD.PD[[#This Row],[Ppto. Orden Interna '[DOP']]]</f>
        <v>8172.0443999999998</v>
      </c>
      <c r="Y204" s="254"/>
      <c r="Z204" s="255"/>
      <c r="AA204" s="259">
        <f>BD.PD[[#This Row],[Av.P3 '[%']]]*BD.PD[[#This Row],[Ppto. Orden Interna '[DOP']]]</f>
        <v>0</v>
      </c>
      <c r="AB204" s="254"/>
      <c r="AC204" s="255"/>
      <c r="AD204" s="259">
        <f>BD.PD[[#This Row],[Av.P4 '[%']]]*BD.PD[[#This Row],[Ppto. Orden Interna '[DOP']]]</f>
        <v>0</v>
      </c>
      <c r="AE204" s="254"/>
      <c r="AF204" s="255"/>
      <c r="AG204" s="259">
        <f>BD.PD[[#This Row],[Av.P5 '[%']]]*BD.PD[[#This Row],[Ppto. Orden Interna '[DOP']]]</f>
        <v>0</v>
      </c>
      <c r="AH204" s="256">
        <f>BD.PD[[#This Row],[Pago 5]]+BD.PD[[#This Row],[Pago 4]]+BD.PD[[#This Row],[Pago 3]]+BD.PD[[#This Row],[Pago 2]]+BD.PD[[#This Row],[Pago 1]]</f>
        <v>16344.0888</v>
      </c>
      <c r="AI204" s="318"/>
    </row>
    <row r="205" spans="1:35" ht="15" customHeight="1" x14ac:dyDescent="0.3">
      <c r="A205" s="181">
        <v>8.06</v>
      </c>
      <c r="B205" s="239"/>
      <c r="C205" s="240" t="str">
        <f>VLOOKUP(BD.PD[[#This Row],[Pos]],PPto[],3,FALSE)</f>
        <v>8.06 Otros Equipamientos de Tienda</v>
      </c>
      <c r="D205" s="181" t="s">
        <v>40</v>
      </c>
      <c r="E205" s="242" t="str">
        <f>IF(BD.PD[[#This Row],[.]]="*",VLOOKUP(BD.PD[[#This Row],[Pos]],Presupuesto!A:H,7,FALSE),"")</f>
        <v/>
      </c>
      <c r="F205" s="243" t="s">
        <v>632</v>
      </c>
      <c r="G205" s="243" t="s">
        <v>308</v>
      </c>
      <c r="H205" s="275"/>
      <c r="I205" s="276">
        <v>1</v>
      </c>
      <c r="J205" s="181" t="s">
        <v>314</v>
      </c>
      <c r="K205" s="245">
        <f>IF(BD.PD[[#This Row],[Mon]]="DOP",1,HLOOKUP(BD.PD[[#This Row],[Mon]],$J$1:$K$2,2,FALSE))</f>
        <v>1</v>
      </c>
      <c r="L205" s="277">
        <v>2210.6999999999998</v>
      </c>
      <c r="M205" s="247">
        <f>BD.PD[[#This Row],[Cant.]]*BD.PD[[#This Row],[ Tasa ]]*BD.PD[[#This Row],[ Precio Und.]]</f>
        <v>2210.6999999999998</v>
      </c>
      <c r="N205" s="278">
        <v>0</v>
      </c>
      <c r="O205" s="247">
        <f>IF(BD.PD[[#This Row],[Liquid. '[%']]]&lt;&gt;0,(BD.PD[[#This Row],[Valor Neto '[DOP']]]*BD.PD[[#This Row],[Liquid. '[%']]])+BD.PD[[#This Row],[Valor Neto '[DOP']]],BD.PD[[#This Row],[Valor Neto '[DOP']]])</f>
        <v>2210.6999999999998</v>
      </c>
      <c r="P205" s="257">
        <f>BD.PD[[#This Row],[Ppto. Orden Interna '[DOP']]]/HLOOKUP("USD",$J$1:$K$2,2,FALSE)</f>
        <v>36.420098846787475</v>
      </c>
      <c r="Q205" s="250" t="s">
        <v>629</v>
      </c>
      <c r="R205" s="258" t="s">
        <v>496</v>
      </c>
      <c r="S205" s="251">
        <v>22</v>
      </c>
      <c r="T205" s="252">
        <v>1</v>
      </c>
      <c r="U205" s="259">
        <f>BD.PD[[#This Row],[Av.P1 '[%']]]*BD.PD[[#This Row],[Ppto. Orden Interna '[DOP']]]</f>
        <v>2210.6999999999998</v>
      </c>
      <c r="V205" s="254"/>
      <c r="W205" s="255"/>
      <c r="X205" s="259">
        <f>BD.PD[[#This Row],[Av.P2 '[%']]]*BD.PD[[#This Row],[Ppto. Orden Interna '[DOP']]]</f>
        <v>0</v>
      </c>
      <c r="Y205" s="254"/>
      <c r="Z205" s="255"/>
      <c r="AA205" s="259">
        <f>BD.PD[[#This Row],[Av.P3 '[%']]]*BD.PD[[#This Row],[Ppto. Orden Interna '[DOP']]]</f>
        <v>0</v>
      </c>
      <c r="AB205" s="254"/>
      <c r="AC205" s="255"/>
      <c r="AD205" s="259">
        <f>BD.PD[[#This Row],[Av.P4 '[%']]]*BD.PD[[#This Row],[Ppto. Orden Interna '[DOP']]]</f>
        <v>0</v>
      </c>
      <c r="AE205" s="254"/>
      <c r="AF205" s="255"/>
      <c r="AG205" s="259">
        <f>BD.PD[[#This Row],[Av.P5 '[%']]]*BD.PD[[#This Row],[Ppto. Orden Interna '[DOP']]]</f>
        <v>0</v>
      </c>
      <c r="AH205" s="256">
        <f>BD.PD[[#This Row],[Pago 5]]+BD.PD[[#This Row],[Pago 4]]+BD.PD[[#This Row],[Pago 3]]+BD.PD[[#This Row],[Pago 2]]+BD.PD[[#This Row],[Pago 1]]</f>
        <v>2210.6999999999998</v>
      </c>
      <c r="AI205" s="318"/>
    </row>
    <row r="206" spans="1:35" ht="15" customHeight="1" x14ac:dyDescent="0.3">
      <c r="A206" s="181">
        <v>8.06</v>
      </c>
      <c r="B206" s="239"/>
      <c r="C206" s="240" t="str">
        <f>VLOOKUP(BD.PD[[#This Row],[Pos]],PPto[],3,FALSE)</f>
        <v>8.06 Otros Equipamientos de Tienda</v>
      </c>
      <c r="D206" s="181" t="s">
        <v>40</v>
      </c>
      <c r="E206" s="242" t="str">
        <f>IF(BD.PD[[#This Row],[.]]="*",VLOOKUP(BD.PD[[#This Row],[Pos]],Presupuesto!A:H,7,FALSE),"")</f>
        <v/>
      </c>
      <c r="F206" s="303" t="s">
        <v>633</v>
      </c>
      <c r="G206" s="243" t="s">
        <v>308</v>
      </c>
      <c r="H206" s="275"/>
      <c r="I206" s="276">
        <v>1</v>
      </c>
      <c r="J206" s="181" t="s">
        <v>314</v>
      </c>
      <c r="K206" s="245">
        <f>IF(BD.PD[[#This Row],[Mon]]="DOP",1,HLOOKUP(BD.PD[[#This Row],[Mon]],$J$1:$K$2,2,FALSE))</f>
        <v>1</v>
      </c>
      <c r="L206" s="277">
        <v>22000</v>
      </c>
      <c r="M206" s="247">
        <f>BD.PD[[#This Row],[Cant.]]*BD.PD[[#This Row],[ Tasa ]]*BD.PD[[#This Row],[ Precio Und.]]</f>
        <v>22000</v>
      </c>
      <c r="N206" s="278">
        <v>0</v>
      </c>
      <c r="O206" s="247">
        <f>IF(BD.PD[[#This Row],[Liquid. '[%']]]&lt;&gt;0,(BD.PD[[#This Row],[Valor Neto '[DOP']]]*BD.PD[[#This Row],[Liquid. '[%']]])+BD.PD[[#This Row],[Valor Neto '[DOP']]],BD.PD[[#This Row],[Valor Neto '[DOP']]])</f>
        <v>22000</v>
      </c>
      <c r="P206" s="257">
        <f>BD.PD[[#This Row],[Ppto. Orden Interna '[DOP']]]/HLOOKUP("USD",$J$1:$K$2,2,FALSE)</f>
        <v>362.43822075782538</v>
      </c>
      <c r="Q206" s="250" t="s">
        <v>667</v>
      </c>
      <c r="R206" s="258" t="s">
        <v>496</v>
      </c>
      <c r="S206" s="251">
        <v>22</v>
      </c>
      <c r="T206" s="252">
        <v>1</v>
      </c>
      <c r="U206" s="259">
        <f>BD.PD[[#This Row],[Av.P1 '[%']]]*BD.PD[[#This Row],[Ppto. Orden Interna '[DOP']]]</f>
        <v>22000</v>
      </c>
      <c r="V206" s="254"/>
      <c r="W206" s="255"/>
      <c r="X206" s="259">
        <f>BD.PD[[#This Row],[Av.P2 '[%']]]*BD.PD[[#This Row],[Ppto. Orden Interna '[DOP']]]</f>
        <v>0</v>
      </c>
      <c r="Y206" s="254"/>
      <c r="Z206" s="255"/>
      <c r="AA206" s="259">
        <f>BD.PD[[#This Row],[Av.P3 '[%']]]*BD.PD[[#This Row],[Ppto. Orden Interna '[DOP']]]</f>
        <v>0</v>
      </c>
      <c r="AB206" s="254"/>
      <c r="AC206" s="255"/>
      <c r="AD206" s="259">
        <f>BD.PD[[#This Row],[Av.P4 '[%']]]*BD.PD[[#This Row],[Ppto. Orden Interna '[DOP']]]</f>
        <v>0</v>
      </c>
      <c r="AE206" s="254"/>
      <c r="AF206" s="255"/>
      <c r="AG206" s="259">
        <f>BD.PD[[#This Row],[Av.P5 '[%']]]*BD.PD[[#This Row],[Ppto. Orden Interna '[DOP']]]</f>
        <v>0</v>
      </c>
      <c r="AH206" s="256">
        <f>BD.PD[[#This Row],[Pago 5]]+BD.PD[[#This Row],[Pago 4]]+BD.PD[[#This Row],[Pago 3]]+BD.PD[[#This Row],[Pago 2]]+BD.PD[[#This Row],[Pago 1]]</f>
        <v>22000</v>
      </c>
      <c r="AI206" s="318"/>
    </row>
    <row r="207" spans="1:35" ht="15" customHeight="1" x14ac:dyDescent="0.3">
      <c r="A207" s="181">
        <v>8.06</v>
      </c>
      <c r="B207" s="239"/>
      <c r="C207" s="240" t="str">
        <f>VLOOKUP(BD.PD[[#This Row],[Pos]],PPto[],3,FALSE)</f>
        <v>8.06 Otros Equipamientos de Tienda</v>
      </c>
      <c r="D207" s="181" t="s">
        <v>40</v>
      </c>
      <c r="E207" s="242" t="str">
        <f>IF(BD.PD[[#This Row],[.]]="*",VLOOKUP(BD.PD[[#This Row],[Pos]],Presupuesto!A:H,7,FALSE),"")</f>
        <v/>
      </c>
      <c r="F207" s="243" t="s">
        <v>666</v>
      </c>
      <c r="G207" s="243" t="s">
        <v>308</v>
      </c>
      <c r="H207" s="275"/>
      <c r="I207" s="276">
        <v>75</v>
      </c>
      <c r="J207" s="181" t="s">
        <v>314</v>
      </c>
      <c r="K207" s="245">
        <f>IF(BD.PD[[#This Row],[Mon]]="DOP",1,HLOOKUP(BD.PD[[#This Row],[Mon]],$J$1:$K$2,2,FALSE))</f>
        <v>1</v>
      </c>
      <c r="L207" s="277">
        <v>233.05</v>
      </c>
      <c r="M207" s="247">
        <f>BD.PD[[#This Row],[Cant.]]*BD.PD[[#This Row],[ Tasa ]]*BD.PD[[#This Row],[ Precio Und.]]</f>
        <v>17478.75</v>
      </c>
      <c r="N207" s="278">
        <v>0</v>
      </c>
      <c r="O207" s="247">
        <f>IF(BD.PD[[#This Row],[Liquid. '[%']]]&lt;&gt;0,(BD.PD[[#This Row],[Valor Neto '[DOP']]]*BD.PD[[#This Row],[Liquid. '[%']]])+BD.PD[[#This Row],[Valor Neto '[DOP']]],BD.PD[[#This Row],[Valor Neto '[DOP']]])</f>
        <v>17478.75</v>
      </c>
      <c r="P207" s="257">
        <f>BD.PD[[#This Row],[Ppto. Orden Interna '[DOP']]]/HLOOKUP("USD",$J$1:$K$2,2,FALSE)</f>
        <v>287.95304777594725</v>
      </c>
      <c r="Q207" s="250" t="s">
        <v>1127</v>
      </c>
      <c r="R207" s="258" t="s">
        <v>496</v>
      </c>
      <c r="S207" s="251">
        <v>22</v>
      </c>
      <c r="T207" s="252">
        <v>1</v>
      </c>
      <c r="U207" s="259">
        <f>BD.PD[[#This Row],[Av.P1 '[%']]]*BD.PD[[#This Row],[Ppto. Orden Interna '[DOP']]]</f>
        <v>17478.75</v>
      </c>
      <c r="V207" s="254"/>
      <c r="W207" s="255"/>
      <c r="X207" s="259">
        <f>BD.PD[[#This Row],[Av.P2 '[%']]]*BD.PD[[#This Row],[Ppto. Orden Interna '[DOP']]]</f>
        <v>0</v>
      </c>
      <c r="Y207" s="254"/>
      <c r="Z207" s="255"/>
      <c r="AA207" s="259">
        <f>BD.PD[[#This Row],[Av.P3 '[%']]]*BD.PD[[#This Row],[Ppto. Orden Interna '[DOP']]]</f>
        <v>0</v>
      </c>
      <c r="AB207" s="254"/>
      <c r="AC207" s="255"/>
      <c r="AD207" s="259">
        <f>BD.PD[[#This Row],[Av.P4 '[%']]]*BD.PD[[#This Row],[Ppto. Orden Interna '[DOP']]]</f>
        <v>0</v>
      </c>
      <c r="AE207" s="254"/>
      <c r="AF207" s="255"/>
      <c r="AG207" s="259">
        <f>BD.PD[[#This Row],[Av.P5 '[%']]]*BD.PD[[#This Row],[Ppto. Orden Interna '[DOP']]]</f>
        <v>0</v>
      </c>
      <c r="AH207" s="256">
        <f>BD.PD[[#This Row],[Pago 5]]+BD.PD[[#This Row],[Pago 4]]+BD.PD[[#This Row],[Pago 3]]+BD.PD[[#This Row],[Pago 2]]+BD.PD[[#This Row],[Pago 1]]</f>
        <v>17478.75</v>
      </c>
      <c r="AI207" s="318"/>
    </row>
    <row r="208" spans="1:35" ht="15" customHeight="1" x14ac:dyDescent="0.3">
      <c r="A208" s="181">
        <v>2.09</v>
      </c>
      <c r="B208" s="239"/>
      <c r="C208" s="240" t="str">
        <f>VLOOKUP(BD.PD[[#This Row],[Pos]],PPto[],3,FALSE)</f>
        <v>2.09 Rejillas y Sumideros</v>
      </c>
      <c r="D208" s="181" t="s">
        <v>40</v>
      </c>
      <c r="E208" s="242" t="str">
        <f>IF(BD.PD[[#This Row],[.]]="*",VLOOKUP(BD.PD[[#This Row],[Pos]],Presupuesto!A:H,7,FALSE),"")</f>
        <v/>
      </c>
      <c r="F208" s="322" t="s">
        <v>338</v>
      </c>
      <c r="G208" s="243">
        <v>4600074369</v>
      </c>
      <c r="H208" s="275" t="s">
        <v>1070</v>
      </c>
      <c r="I208" s="276">
        <v>1</v>
      </c>
      <c r="J208" s="181" t="s">
        <v>314</v>
      </c>
      <c r="K208" s="245">
        <f>IF(BD.PD[[#This Row],[Mon]]="DOP",1,HLOOKUP(BD.PD[[#This Row],[Mon]],$J$1:$K$2,2,FALSE))</f>
        <v>1</v>
      </c>
      <c r="L208" s="277">
        <v>900000</v>
      </c>
      <c r="M208" s="247">
        <f>BD.PD[[#This Row],[Cant.]]*BD.PD[[#This Row],[ Tasa ]]*BD.PD[[#This Row],[ Precio Und.]]</f>
        <v>900000</v>
      </c>
      <c r="N208" s="278">
        <v>0</v>
      </c>
      <c r="O208" s="247">
        <f>IF(BD.PD[[#This Row],[Liquid. '[%']]]&lt;&gt;0,(BD.PD[[#This Row],[Valor Neto '[DOP']]]*BD.PD[[#This Row],[Liquid. '[%']]])+BD.PD[[#This Row],[Valor Neto '[DOP']]],BD.PD[[#This Row],[Valor Neto '[DOP']]])</f>
        <v>900000</v>
      </c>
      <c r="P208" s="257">
        <f>BD.PD[[#This Row],[Ppto. Orden Interna '[DOP']]]/HLOOKUP("USD",$J$1:$K$2,2,FALSE)</f>
        <v>14827.018121911036</v>
      </c>
      <c r="Q208" s="250" t="s">
        <v>339</v>
      </c>
      <c r="R208" s="258" t="s">
        <v>340</v>
      </c>
      <c r="S208" s="251">
        <v>19</v>
      </c>
      <c r="T208" s="252">
        <v>0.5</v>
      </c>
      <c r="U208" s="259">
        <f>BD.PD[[#This Row],[Av.P1 '[%']]]*BD.PD[[#This Row],[Ppto. Orden Interna '[DOP']]]</f>
        <v>450000</v>
      </c>
      <c r="V208" s="254">
        <v>20</v>
      </c>
      <c r="W208" s="255">
        <v>0.5</v>
      </c>
      <c r="X208" s="259">
        <f>BD.PD[[#This Row],[Av.P2 '[%']]]*BD.PD[[#This Row],[Ppto. Orden Interna '[DOP']]]</f>
        <v>450000</v>
      </c>
      <c r="Y208" s="254"/>
      <c r="Z208" s="255"/>
      <c r="AA208" s="259">
        <f>BD.PD[[#This Row],[Av.P3 '[%']]]*BD.PD[[#This Row],[Ppto. Orden Interna '[DOP']]]</f>
        <v>0</v>
      </c>
      <c r="AB208" s="254"/>
      <c r="AC208" s="255"/>
      <c r="AD208" s="259">
        <f>BD.PD[[#This Row],[Av.P4 '[%']]]*BD.PD[[#This Row],[Ppto. Orden Interna '[DOP']]]</f>
        <v>0</v>
      </c>
      <c r="AE208" s="254"/>
      <c r="AF208" s="255"/>
      <c r="AG208" s="259">
        <f>BD.PD[[#This Row],[Av.P5 '[%']]]*BD.PD[[#This Row],[Ppto. Orden Interna '[DOP']]]</f>
        <v>0</v>
      </c>
      <c r="AH208" s="256">
        <f>BD.PD[[#This Row],[Pago 5]]+BD.PD[[#This Row],[Pago 4]]+BD.PD[[#This Row],[Pago 3]]+BD.PD[[#This Row],[Pago 2]]+BD.PD[[#This Row],[Pago 1]]</f>
        <v>900000</v>
      </c>
      <c r="AI208" s="318"/>
    </row>
    <row r="209" spans="1:35" ht="15" customHeight="1" x14ac:dyDescent="0.3">
      <c r="A209" s="181">
        <v>5.01</v>
      </c>
      <c r="B209" s="239"/>
      <c r="C209" s="240" t="str">
        <f>VLOOKUP(BD.PD[[#This Row],[Pos]],PPto[],3,FALSE)</f>
        <v>5.01 Paneles</v>
      </c>
      <c r="D209" s="181" t="s">
        <v>40</v>
      </c>
      <c r="E209" s="242" t="str">
        <f>IF(BD.PD[[#This Row],[.]]="*",VLOOKUP(BD.PD[[#This Row],[Pos]],Presupuesto!A:H,7,FALSE),"")</f>
        <v/>
      </c>
      <c r="F209" s="337" t="s">
        <v>1083</v>
      </c>
      <c r="G209" s="243">
        <v>4513050225</v>
      </c>
      <c r="H209" s="275">
        <v>46240</v>
      </c>
      <c r="I209" s="276">
        <v>1</v>
      </c>
      <c r="J209" s="307" t="s">
        <v>188</v>
      </c>
      <c r="K209" s="245">
        <f>IF(BD.PD[[#This Row],[Mon]]="DOP",1,HLOOKUP(BD.PD[[#This Row],[Mon]],$J$1:$K$2,2,FALSE))</f>
        <v>60.7</v>
      </c>
      <c r="L209" s="277">
        <v>125834.42</v>
      </c>
      <c r="M209" s="247">
        <f>BD.PD[[#This Row],[Cant.]]*BD.PD[[#This Row],[ Tasa ]]*BD.PD[[#This Row],[ Precio Und.]]</f>
        <v>7638149.2940000007</v>
      </c>
      <c r="N209" s="278">
        <v>0</v>
      </c>
      <c r="O209" s="247">
        <f>IF(BD.PD[[#This Row],[Liquid. '[%']]]&lt;&gt;0,(BD.PD[[#This Row],[Valor Neto '[DOP']]]*BD.PD[[#This Row],[Liquid. '[%']]])+BD.PD[[#This Row],[Valor Neto '[DOP']]],BD.PD[[#This Row],[Valor Neto '[DOP']]])</f>
        <v>7638149.2940000007</v>
      </c>
      <c r="P209" s="257">
        <f>BD.PD[[#This Row],[Ppto. Orden Interna '[DOP']]]/HLOOKUP("USD",$J$1:$K$2,2,FALSE)</f>
        <v>125834.42</v>
      </c>
      <c r="Q209" s="250" t="s">
        <v>367</v>
      </c>
      <c r="R209" s="258" t="s">
        <v>368</v>
      </c>
      <c r="S209" s="251">
        <v>20</v>
      </c>
      <c r="T209" s="252">
        <v>0.5</v>
      </c>
      <c r="U209" s="259">
        <f>BD.PD[[#This Row],[Av.P1 '[%']]]*BD.PD[[#This Row],[Ppto. Orden Interna '[DOP']]]</f>
        <v>3819074.6470000003</v>
      </c>
      <c r="V209" s="254">
        <v>24</v>
      </c>
      <c r="W209" s="255">
        <v>0.5</v>
      </c>
      <c r="X209" s="259">
        <f>BD.PD[[#This Row],[Av.P2 '[%']]]*BD.PD[[#This Row],[Ppto. Orden Interna '[DOP']]]</f>
        <v>3819074.6470000003</v>
      </c>
      <c r="Y209" s="254"/>
      <c r="Z209" s="255"/>
      <c r="AA209" s="259">
        <f>BD.PD[[#This Row],[Av.P3 '[%']]]*BD.PD[[#This Row],[Ppto. Orden Interna '[DOP']]]</f>
        <v>0</v>
      </c>
      <c r="AB209" s="254"/>
      <c r="AC209" s="255"/>
      <c r="AD209" s="259">
        <f>BD.PD[[#This Row],[Av.P4 '[%']]]*BD.PD[[#This Row],[Ppto. Orden Interna '[DOP']]]</f>
        <v>0</v>
      </c>
      <c r="AE209" s="254"/>
      <c r="AF209" s="255"/>
      <c r="AG209" s="259">
        <f>BD.PD[[#This Row],[Av.P5 '[%']]]*BD.PD[[#This Row],[Ppto. Orden Interna '[DOP']]]</f>
        <v>0</v>
      </c>
      <c r="AH209" s="256">
        <f>BD.PD[[#This Row],[Pago 5]]+BD.PD[[#This Row],[Pago 4]]+BD.PD[[#This Row],[Pago 3]]+BD.PD[[#This Row],[Pago 2]]+BD.PD[[#This Row],[Pago 1]]</f>
        <v>7638149.2940000007</v>
      </c>
      <c r="AI209" s="318"/>
    </row>
    <row r="210" spans="1:35" ht="15" customHeight="1" x14ac:dyDescent="0.3">
      <c r="A210" s="181">
        <v>5.01</v>
      </c>
      <c r="B210" s="239"/>
      <c r="C210" s="240" t="str">
        <f>VLOOKUP(BD.PD[[#This Row],[Pos]],PPto[],3,FALSE)</f>
        <v>5.01 Paneles</v>
      </c>
      <c r="D210" s="181" t="s">
        <v>40</v>
      </c>
      <c r="E210" s="242" t="str">
        <f>IF(BD.PD[[#This Row],[.]]="*",VLOOKUP(BD.PD[[#This Row],[Pos]],Presupuesto!A:H,7,FALSE),"")</f>
        <v/>
      </c>
      <c r="F210" s="243" t="s">
        <v>369</v>
      </c>
      <c r="G210" s="243">
        <v>4513050280</v>
      </c>
      <c r="H210" s="275">
        <v>46240</v>
      </c>
      <c r="I210" s="276">
        <v>1</v>
      </c>
      <c r="J210" s="307" t="s">
        <v>188</v>
      </c>
      <c r="K210" s="245">
        <f>IF(BD.PD[[#This Row],[Mon]]="DOP",1,HLOOKUP(BD.PD[[#This Row],[Mon]],$J$1:$K$2,2,FALSE))</f>
        <v>60.7</v>
      </c>
      <c r="L210" s="277">
        <v>29660.97</v>
      </c>
      <c r="M210" s="247">
        <f>BD.PD[[#This Row],[Cant.]]*BD.PD[[#This Row],[ Tasa ]]*BD.PD[[#This Row],[ Precio Und.]]</f>
        <v>1800420.8790000002</v>
      </c>
      <c r="N210" s="278">
        <v>0</v>
      </c>
      <c r="O210" s="247">
        <f>IF(BD.PD[[#This Row],[Liquid. '[%']]]&lt;&gt;0,(BD.PD[[#This Row],[Valor Neto '[DOP']]]*BD.PD[[#This Row],[Liquid. '[%']]])+BD.PD[[#This Row],[Valor Neto '[DOP']]],BD.PD[[#This Row],[Valor Neto '[DOP']]])</f>
        <v>1800420.8790000002</v>
      </c>
      <c r="P210" s="257">
        <f>BD.PD[[#This Row],[Ppto. Orden Interna '[DOP']]]/HLOOKUP("USD",$J$1:$K$2,2,FALSE)</f>
        <v>29660.97</v>
      </c>
      <c r="Q210" s="250" t="s">
        <v>367</v>
      </c>
      <c r="R210" s="258" t="s">
        <v>368</v>
      </c>
      <c r="S210" s="251">
        <v>20</v>
      </c>
      <c r="T210" s="252">
        <v>0.5</v>
      </c>
      <c r="U210" s="259">
        <f>BD.PD[[#This Row],[Av.P1 '[%']]]*BD.PD[[#This Row],[Ppto. Orden Interna '[DOP']]]</f>
        <v>900210.43950000009</v>
      </c>
      <c r="V210" s="254">
        <v>24</v>
      </c>
      <c r="W210" s="255">
        <v>0.5</v>
      </c>
      <c r="X210" s="259">
        <f>BD.PD[[#This Row],[Av.P2 '[%']]]*BD.PD[[#This Row],[Ppto. Orden Interna '[DOP']]]</f>
        <v>900210.43950000009</v>
      </c>
      <c r="Y210" s="254"/>
      <c r="Z210" s="255"/>
      <c r="AA210" s="259">
        <f>BD.PD[[#This Row],[Av.P3 '[%']]]*BD.PD[[#This Row],[Ppto. Orden Interna '[DOP']]]</f>
        <v>0</v>
      </c>
      <c r="AB210" s="254"/>
      <c r="AC210" s="255"/>
      <c r="AD210" s="259">
        <f>BD.PD[[#This Row],[Av.P4 '[%']]]*BD.PD[[#This Row],[Ppto. Orden Interna '[DOP']]]</f>
        <v>0</v>
      </c>
      <c r="AE210" s="254"/>
      <c r="AF210" s="255"/>
      <c r="AG210" s="259">
        <f>BD.PD[[#This Row],[Av.P5 '[%']]]*BD.PD[[#This Row],[Ppto. Orden Interna '[DOP']]]</f>
        <v>0</v>
      </c>
      <c r="AH210" s="256">
        <f>BD.PD[[#This Row],[Pago 5]]+BD.PD[[#This Row],[Pago 4]]+BD.PD[[#This Row],[Pago 3]]+BD.PD[[#This Row],[Pago 2]]+BD.PD[[#This Row],[Pago 1]]</f>
        <v>1800420.8790000002</v>
      </c>
      <c r="AI210" s="318"/>
    </row>
    <row r="211" spans="1:35" ht="15" customHeight="1" x14ac:dyDescent="0.3">
      <c r="A211" s="181">
        <v>5.07</v>
      </c>
      <c r="B211" s="239"/>
      <c r="C211" s="240" t="str">
        <f>VLOOKUP(BD.PD[[#This Row],[Pos]],PPto[],3,FALSE)</f>
        <v>5.07 Chase Doors</v>
      </c>
      <c r="D211" s="181" t="s">
        <v>40</v>
      </c>
      <c r="E211" s="242" t="str">
        <f>IF(BD.PD[[#This Row],[.]]="*",VLOOKUP(BD.PD[[#This Row],[Pos]],Presupuesto!A:H,7,FALSE),"")</f>
        <v/>
      </c>
      <c r="F211" s="243" t="s">
        <v>1085</v>
      </c>
      <c r="G211" s="243">
        <v>4513050280</v>
      </c>
      <c r="H211" s="275">
        <v>46240</v>
      </c>
      <c r="I211" s="276">
        <v>1</v>
      </c>
      <c r="J211" s="307" t="s">
        <v>188</v>
      </c>
      <c r="K211" s="245">
        <f>IF(BD.PD[[#This Row],[Mon]]="DOP",1,HLOOKUP(BD.PD[[#This Row],[Mon]],$J$1:$K$2,2,FALSE))</f>
        <v>60.7</v>
      </c>
      <c r="L211" s="277">
        <v>84800.72</v>
      </c>
      <c r="M211" s="247">
        <f>BD.PD[[#This Row],[Cant.]]*BD.PD[[#This Row],[ Tasa ]]*BD.PD[[#This Row],[ Precio Und.]]</f>
        <v>5147403.7039999999</v>
      </c>
      <c r="N211" s="278">
        <v>0</v>
      </c>
      <c r="O211" s="247">
        <f>IF(BD.PD[[#This Row],[Liquid. '[%']]]&lt;&gt;0,(BD.PD[[#This Row],[Valor Neto '[DOP']]]*BD.PD[[#This Row],[Liquid. '[%']]])+BD.PD[[#This Row],[Valor Neto '[DOP']]],BD.PD[[#This Row],[Valor Neto '[DOP']]])</f>
        <v>5147403.7039999999</v>
      </c>
      <c r="P211" s="257">
        <f>BD.PD[[#This Row],[Ppto. Orden Interna '[DOP']]]/HLOOKUP("USD",$J$1:$K$2,2,FALSE)</f>
        <v>84800.72</v>
      </c>
      <c r="Q211" s="250" t="s">
        <v>367</v>
      </c>
      <c r="R211" s="258" t="s">
        <v>368</v>
      </c>
      <c r="S211" s="251">
        <v>20</v>
      </c>
      <c r="T211" s="252">
        <v>0.5</v>
      </c>
      <c r="U211" s="259">
        <f>BD.PD[[#This Row],[Av.P1 '[%']]]*BD.PD[[#This Row],[Ppto. Orden Interna '[DOP']]]</f>
        <v>2573701.852</v>
      </c>
      <c r="V211" s="254">
        <v>24</v>
      </c>
      <c r="W211" s="255">
        <v>0.5</v>
      </c>
      <c r="X211" s="259">
        <f>BD.PD[[#This Row],[Av.P2 '[%']]]*BD.PD[[#This Row],[Ppto. Orden Interna '[DOP']]]</f>
        <v>2573701.852</v>
      </c>
      <c r="Y211" s="254"/>
      <c r="Z211" s="255"/>
      <c r="AA211" s="259">
        <f>BD.PD[[#This Row],[Av.P3 '[%']]]*BD.PD[[#This Row],[Ppto. Orden Interna '[DOP']]]</f>
        <v>0</v>
      </c>
      <c r="AB211" s="254"/>
      <c r="AC211" s="255"/>
      <c r="AD211" s="259">
        <f>BD.PD[[#This Row],[Av.P4 '[%']]]*BD.PD[[#This Row],[Ppto. Orden Interna '[DOP']]]</f>
        <v>0</v>
      </c>
      <c r="AE211" s="254"/>
      <c r="AF211" s="255"/>
      <c r="AG211" s="259">
        <f>BD.PD[[#This Row],[Av.P5 '[%']]]*BD.PD[[#This Row],[Ppto. Orden Interna '[DOP']]]</f>
        <v>0</v>
      </c>
      <c r="AH211" s="256">
        <f>BD.PD[[#This Row],[Pago 5]]+BD.PD[[#This Row],[Pago 4]]+BD.PD[[#This Row],[Pago 3]]+BD.PD[[#This Row],[Pago 2]]+BD.PD[[#This Row],[Pago 1]]</f>
        <v>5147403.7039999999</v>
      </c>
      <c r="AI211" s="318"/>
    </row>
    <row r="212" spans="1:35" ht="15" customHeight="1" x14ac:dyDescent="0.3">
      <c r="A212" s="181">
        <v>5.01</v>
      </c>
      <c r="B212" s="239"/>
      <c r="C212" s="240" t="str">
        <f>VLOOKUP(BD.PD[[#This Row],[Pos]],PPto[],3,FALSE)</f>
        <v>5.01 Paneles</v>
      </c>
      <c r="D212" s="181" t="s">
        <v>40</v>
      </c>
      <c r="E212" s="242" t="str">
        <f>IF(BD.PD[[#This Row],[.]]="*",VLOOKUP(BD.PD[[#This Row],[Pos]],Presupuesto!A:H,7,FALSE),"")</f>
        <v/>
      </c>
      <c r="F212" s="243" t="s">
        <v>1084</v>
      </c>
      <c r="G212" s="243">
        <v>4513049205</v>
      </c>
      <c r="H212" s="275">
        <v>46240</v>
      </c>
      <c r="I212" s="276">
        <v>1</v>
      </c>
      <c r="J212" s="307" t="s">
        <v>188</v>
      </c>
      <c r="K212" s="245">
        <f>IF(BD.PD[[#This Row],[Mon]]="DOP",1,HLOOKUP(BD.PD[[#This Row],[Mon]],$J$1:$K$2,2,FALSE))</f>
        <v>60.7</v>
      </c>
      <c r="L212" s="277">
        <v>28723.93</v>
      </c>
      <c r="M212" s="247">
        <f>BD.PD[[#This Row],[Cant.]]*BD.PD[[#This Row],[ Tasa ]]*BD.PD[[#This Row],[ Precio Und.]]</f>
        <v>1743542.5510000002</v>
      </c>
      <c r="N212" s="278">
        <v>0</v>
      </c>
      <c r="O212" s="247">
        <f>IF(BD.PD[[#This Row],[Liquid. '[%']]]&lt;&gt;0,(BD.PD[[#This Row],[Valor Neto '[DOP']]]*BD.PD[[#This Row],[Liquid. '[%']]])+BD.PD[[#This Row],[Valor Neto '[DOP']]],BD.PD[[#This Row],[Valor Neto '[DOP']]])</f>
        <v>1743542.5510000002</v>
      </c>
      <c r="P212" s="257">
        <f>BD.PD[[#This Row],[Ppto. Orden Interna '[DOP']]]/HLOOKUP("USD",$J$1:$K$2,2,FALSE)</f>
        <v>28723.930000000004</v>
      </c>
      <c r="Q212" s="250" t="s">
        <v>367</v>
      </c>
      <c r="R212" s="258" t="s">
        <v>368</v>
      </c>
      <c r="S212" s="251">
        <v>20</v>
      </c>
      <c r="T212" s="252">
        <v>0.5</v>
      </c>
      <c r="U212" s="259">
        <f>BD.PD[[#This Row],[Av.P1 '[%']]]*BD.PD[[#This Row],[Ppto. Orden Interna '[DOP']]]</f>
        <v>871771.27550000011</v>
      </c>
      <c r="V212" s="254">
        <v>24</v>
      </c>
      <c r="W212" s="255">
        <v>0.5</v>
      </c>
      <c r="X212" s="259">
        <f>BD.PD[[#This Row],[Av.P2 '[%']]]*BD.PD[[#This Row],[Ppto. Orden Interna '[DOP']]]</f>
        <v>871771.27550000011</v>
      </c>
      <c r="Y212" s="254"/>
      <c r="Z212" s="255"/>
      <c r="AA212" s="259">
        <f>BD.PD[[#This Row],[Av.P3 '[%']]]*BD.PD[[#This Row],[Ppto. Orden Interna '[DOP']]]</f>
        <v>0</v>
      </c>
      <c r="AB212" s="254"/>
      <c r="AC212" s="255"/>
      <c r="AD212" s="259">
        <f>BD.PD[[#This Row],[Av.P4 '[%']]]*BD.PD[[#This Row],[Ppto. Orden Interna '[DOP']]]</f>
        <v>0</v>
      </c>
      <c r="AE212" s="254"/>
      <c r="AF212" s="255"/>
      <c r="AG212" s="259">
        <f>BD.PD[[#This Row],[Av.P5 '[%']]]*BD.PD[[#This Row],[Ppto. Orden Interna '[DOP']]]</f>
        <v>0</v>
      </c>
      <c r="AH212" s="256">
        <f>BD.PD[[#This Row],[Pago 5]]+BD.PD[[#This Row],[Pago 4]]+BD.PD[[#This Row],[Pago 3]]+BD.PD[[#This Row],[Pago 2]]+BD.PD[[#This Row],[Pago 1]]</f>
        <v>1743542.5510000002</v>
      </c>
      <c r="AI212" s="318"/>
    </row>
    <row r="213" spans="1:35" ht="15" customHeight="1" x14ac:dyDescent="0.3">
      <c r="A213" s="181">
        <v>5.05</v>
      </c>
      <c r="B213" s="239"/>
      <c r="C213" s="240" t="str">
        <f>VLOOKUP(BD.PD[[#This Row],[Pos]],PPto[],3,FALSE)</f>
        <v xml:space="preserve">5.05 Trameria Cuarto Frio </v>
      </c>
      <c r="D213" s="181" t="s">
        <v>40</v>
      </c>
      <c r="E213" s="242" t="str">
        <f>IF(BD.PD[[#This Row],[.]]="*",VLOOKUP(BD.PD[[#This Row],[Pos]],Presupuesto!A:H,7,FALSE),"")</f>
        <v/>
      </c>
      <c r="F213" s="226" t="s">
        <v>382</v>
      </c>
      <c r="G213" s="243" t="s">
        <v>308</v>
      </c>
      <c r="H213" s="275"/>
      <c r="I213" s="276">
        <v>42</v>
      </c>
      <c r="J213" s="181" t="s">
        <v>314</v>
      </c>
      <c r="K213" s="245">
        <f>IF(BD.PD[[#This Row],[Mon]]="DOP",1,HLOOKUP(BD.PD[[#This Row],[Mon]],$J$1:$K$2,2,FALSE))</f>
        <v>1</v>
      </c>
      <c r="L213" s="277">
        <v>48000</v>
      </c>
      <c r="M213" s="247">
        <f>BD.PD[[#This Row],[Cant.]]*BD.PD[[#This Row],[ Tasa ]]*BD.PD[[#This Row],[ Precio Und.]]</f>
        <v>2016000</v>
      </c>
      <c r="N213" s="278">
        <v>0</v>
      </c>
      <c r="O213" s="247">
        <f>IF(BD.PD[[#This Row],[Liquid. '[%']]]&lt;&gt;0,(BD.PD[[#This Row],[Valor Neto '[DOP']]]*BD.PD[[#This Row],[Liquid. '[%']]])+BD.PD[[#This Row],[Valor Neto '[DOP']]],BD.PD[[#This Row],[Valor Neto '[DOP']]])</f>
        <v>2016000</v>
      </c>
      <c r="P213" s="257">
        <f>BD.PD[[#This Row],[Ppto. Orden Interna '[DOP']]]/HLOOKUP("USD",$J$1:$K$2,2,FALSE)</f>
        <v>33212.520593080721</v>
      </c>
      <c r="Q213" s="243" t="s">
        <v>383</v>
      </c>
      <c r="R213" s="258" t="s">
        <v>384</v>
      </c>
      <c r="S213" s="251">
        <v>22</v>
      </c>
      <c r="T213" s="252">
        <v>1</v>
      </c>
      <c r="U213" s="259">
        <f>BD.PD[[#This Row],[Av.P1 '[%']]]*BD.PD[[#This Row],[Ppto. Orden Interna '[DOP']]]</f>
        <v>2016000</v>
      </c>
      <c r="V213" s="254"/>
      <c r="W213" s="255"/>
      <c r="X213" s="259">
        <f>BD.PD[[#This Row],[Av.P2 '[%']]]*BD.PD[[#This Row],[Ppto. Orden Interna '[DOP']]]</f>
        <v>0</v>
      </c>
      <c r="Y213" s="254"/>
      <c r="Z213" s="255"/>
      <c r="AA213" s="259">
        <f>BD.PD[[#This Row],[Av.P3 '[%']]]*BD.PD[[#This Row],[Ppto. Orden Interna '[DOP']]]</f>
        <v>0</v>
      </c>
      <c r="AB213" s="254"/>
      <c r="AC213" s="255"/>
      <c r="AD213" s="259">
        <f>BD.PD[[#This Row],[Av.P4 '[%']]]*BD.PD[[#This Row],[Ppto. Orden Interna '[DOP']]]</f>
        <v>0</v>
      </c>
      <c r="AE213" s="254"/>
      <c r="AF213" s="255"/>
      <c r="AG213" s="259">
        <f>BD.PD[[#This Row],[Av.P5 '[%']]]*BD.PD[[#This Row],[Ppto. Orden Interna '[DOP']]]</f>
        <v>0</v>
      </c>
      <c r="AH213" s="256">
        <f>BD.PD[[#This Row],[Pago 5]]+BD.PD[[#This Row],[Pago 4]]+BD.PD[[#This Row],[Pago 3]]+BD.PD[[#This Row],[Pago 2]]+BD.PD[[#This Row],[Pago 1]]</f>
        <v>2016000</v>
      </c>
      <c r="AI213" s="318"/>
    </row>
    <row r="214" spans="1:35" ht="15" customHeight="1" x14ac:dyDescent="0.3">
      <c r="A214" s="181">
        <v>7.01</v>
      </c>
      <c r="B214" s="239"/>
      <c r="C214" s="240" t="str">
        <f>VLOOKUP(BD.PD[[#This Row],[Pos]],PPto[],3,FALSE)</f>
        <v xml:space="preserve">7.01 Equipamiento de Acero Inoxidable </v>
      </c>
      <c r="D214" s="181" t="s">
        <v>40</v>
      </c>
      <c r="E214" s="242" t="str">
        <f>IF(BD.PD[[#This Row],[.]]="*",VLOOKUP(BD.PD[[#This Row],[Pos]],Presupuesto!A:H,7,FALSE),"")</f>
        <v/>
      </c>
      <c r="F214" s="243" t="s">
        <v>415</v>
      </c>
      <c r="G214" s="243" t="s">
        <v>308</v>
      </c>
      <c r="H214" s="275"/>
      <c r="I214" s="276">
        <v>4</v>
      </c>
      <c r="J214" s="181" t="s">
        <v>314</v>
      </c>
      <c r="K214" s="245">
        <f>IF(BD.PD[[#This Row],[Mon]]="DOP",1,HLOOKUP(BD.PD[[#This Row],[Mon]],$J$1:$K$2,2,FALSE))</f>
        <v>1</v>
      </c>
      <c r="L214" s="277">
        <v>28918</v>
      </c>
      <c r="M214" s="247">
        <f>BD.PD[[#This Row],[Cant.]]*BD.PD[[#This Row],[ Tasa ]]*BD.PD[[#This Row],[ Precio Und.]]</f>
        <v>115672</v>
      </c>
      <c r="N214" s="278">
        <v>0</v>
      </c>
      <c r="O214" s="247">
        <f>IF(BD.PD[[#This Row],[Liquid. '[%']]]&lt;&gt;0,(BD.PD[[#This Row],[Valor Neto '[DOP']]]*BD.PD[[#This Row],[Liquid. '[%']]])+BD.PD[[#This Row],[Valor Neto '[DOP']]],BD.PD[[#This Row],[Valor Neto '[DOP']]])</f>
        <v>115672</v>
      </c>
      <c r="P214" s="257">
        <f>BD.PD[[#This Row],[Ppto. Orden Interna '[DOP']]]/HLOOKUP("USD",$J$1:$K$2,2,FALSE)</f>
        <v>1905.634266886326</v>
      </c>
      <c r="Q214" s="250" t="s">
        <v>416</v>
      </c>
      <c r="R214" s="258" t="s">
        <v>384</v>
      </c>
      <c r="S214" s="251">
        <v>22</v>
      </c>
      <c r="T214" s="252">
        <v>0.5</v>
      </c>
      <c r="U214" s="259">
        <f>BD.PD[[#This Row],[Av.P1 '[%']]]*BD.PD[[#This Row],[Ppto. Orden Interna '[DOP']]]</f>
        <v>57836</v>
      </c>
      <c r="V214" s="254">
        <v>24</v>
      </c>
      <c r="W214" s="255">
        <v>0.5</v>
      </c>
      <c r="X214" s="259">
        <f>BD.PD[[#This Row],[Av.P2 '[%']]]*BD.PD[[#This Row],[Ppto. Orden Interna '[DOP']]]</f>
        <v>57836</v>
      </c>
      <c r="Y214" s="254"/>
      <c r="Z214" s="255"/>
      <c r="AA214" s="259">
        <f>BD.PD[[#This Row],[Av.P3 '[%']]]*BD.PD[[#This Row],[Ppto. Orden Interna '[DOP']]]</f>
        <v>0</v>
      </c>
      <c r="AB214" s="254"/>
      <c r="AC214" s="255"/>
      <c r="AD214" s="259">
        <f>BD.PD[[#This Row],[Av.P4 '[%']]]*BD.PD[[#This Row],[Ppto. Orden Interna '[DOP']]]</f>
        <v>0</v>
      </c>
      <c r="AE214" s="254"/>
      <c r="AF214" s="255"/>
      <c r="AG214" s="259">
        <f>BD.PD[[#This Row],[Av.P5 '[%']]]*BD.PD[[#This Row],[Ppto. Orden Interna '[DOP']]]</f>
        <v>0</v>
      </c>
      <c r="AH214" s="256">
        <f>BD.PD[[#This Row],[Pago 5]]+BD.PD[[#This Row],[Pago 4]]+BD.PD[[#This Row],[Pago 3]]+BD.PD[[#This Row],[Pago 2]]+BD.PD[[#This Row],[Pago 1]]</f>
        <v>115672</v>
      </c>
      <c r="AI214" s="318"/>
    </row>
    <row r="215" spans="1:35" ht="15" customHeight="1" x14ac:dyDescent="0.3">
      <c r="A215" s="181">
        <v>7.01</v>
      </c>
      <c r="B215" s="239"/>
      <c r="C215" s="240" t="str">
        <f>VLOOKUP(BD.PD[[#This Row],[Pos]],PPto[],3,FALSE)</f>
        <v xml:space="preserve">7.01 Equipamiento de Acero Inoxidable </v>
      </c>
      <c r="D215" s="181" t="s">
        <v>40</v>
      </c>
      <c r="E215" s="242" t="str">
        <f>IF(BD.PD[[#This Row],[.]]="*",VLOOKUP(BD.PD[[#This Row],[Pos]],Presupuesto!A:H,7,FALSE),"")</f>
        <v/>
      </c>
      <c r="F215" s="243" t="s">
        <v>417</v>
      </c>
      <c r="G215" s="243" t="s">
        <v>308</v>
      </c>
      <c r="H215" s="275"/>
      <c r="I215" s="276">
        <v>3</v>
      </c>
      <c r="J215" s="181" t="s">
        <v>314</v>
      </c>
      <c r="K215" s="245">
        <f>IF(BD.PD[[#This Row],[Mon]]="DOP",1,HLOOKUP(BD.PD[[#This Row],[Mon]],$J$1:$K$2,2,FALSE))</f>
        <v>1</v>
      </c>
      <c r="L215" s="277">
        <v>55545</v>
      </c>
      <c r="M215" s="247">
        <f>BD.PD[[#This Row],[Cant.]]*BD.PD[[#This Row],[ Tasa ]]*BD.PD[[#This Row],[ Precio Und.]]</f>
        <v>166635</v>
      </c>
      <c r="N215" s="278">
        <v>0</v>
      </c>
      <c r="O215" s="247">
        <f>IF(BD.PD[[#This Row],[Liquid. '[%']]]&lt;&gt;0,(BD.PD[[#This Row],[Valor Neto '[DOP']]]*BD.PD[[#This Row],[Liquid. '[%']]])+BD.PD[[#This Row],[Valor Neto '[DOP']]],BD.PD[[#This Row],[Valor Neto '[DOP']]])</f>
        <v>166635</v>
      </c>
      <c r="P215" s="257">
        <f>BD.PD[[#This Row],[Ppto. Orden Interna '[DOP']]]/HLOOKUP("USD",$J$1:$K$2,2,FALSE)</f>
        <v>2745.2224052718284</v>
      </c>
      <c r="Q215" s="250" t="s">
        <v>416</v>
      </c>
      <c r="R215" s="258" t="s">
        <v>384</v>
      </c>
      <c r="S215" s="251">
        <v>22</v>
      </c>
      <c r="T215" s="252">
        <v>0.5</v>
      </c>
      <c r="U215" s="259">
        <f>BD.PD[[#This Row],[Av.P1 '[%']]]*BD.PD[[#This Row],[Ppto. Orden Interna '[DOP']]]</f>
        <v>83317.5</v>
      </c>
      <c r="V215" s="254">
        <v>24</v>
      </c>
      <c r="W215" s="255">
        <v>0.5</v>
      </c>
      <c r="X215" s="259">
        <f>BD.PD[[#This Row],[Av.P2 '[%']]]*BD.PD[[#This Row],[Ppto. Orden Interna '[DOP']]]</f>
        <v>83317.5</v>
      </c>
      <c r="Y215" s="254"/>
      <c r="Z215" s="255"/>
      <c r="AA215" s="259">
        <f>BD.PD[[#This Row],[Av.P3 '[%']]]*BD.PD[[#This Row],[Ppto. Orden Interna '[DOP']]]</f>
        <v>0</v>
      </c>
      <c r="AB215" s="254"/>
      <c r="AC215" s="255"/>
      <c r="AD215" s="259">
        <f>BD.PD[[#This Row],[Av.P4 '[%']]]*BD.PD[[#This Row],[Ppto. Orden Interna '[DOP']]]</f>
        <v>0</v>
      </c>
      <c r="AE215" s="254"/>
      <c r="AF215" s="255"/>
      <c r="AG215" s="259">
        <f>BD.PD[[#This Row],[Av.P5 '[%']]]*BD.PD[[#This Row],[Ppto. Orden Interna '[DOP']]]</f>
        <v>0</v>
      </c>
      <c r="AH215" s="256">
        <f>BD.PD[[#This Row],[Pago 5]]+BD.PD[[#This Row],[Pago 4]]+BD.PD[[#This Row],[Pago 3]]+BD.PD[[#This Row],[Pago 2]]+BD.PD[[#This Row],[Pago 1]]</f>
        <v>166635</v>
      </c>
      <c r="AI215" s="318"/>
    </row>
    <row r="216" spans="1:35" ht="15" customHeight="1" x14ac:dyDescent="0.3">
      <c r="A216" s="181">
        <v>7.01</v>
      </c>
      <c r="B216" s="239"/>
      <c r="C216" s="240" t="str">
        <f>VLOOKUP(BD.PD[[#This Row],[Pos]],PPto[],3,FALSE)</f>
        <v xml:space="preserve">7.01 Equipamiento de Acero Inoxidable </v>
      </c>
      <c r="D216" s="181" t="s">
        <v>40</v>
      </c>
      <c r="E216" s="242" t="str">
        <f>IF(BD.PD[[#This Row],[.]]="*",VLOOKUP(BD.PD[[#This Row],[Pos]],Presupuesto!A:H,7,FALSE),"")</f>
        <v/>
      </c>
      <c r="F216" s="243" t="s">
        <v>418</v>
      </c>
      <c r="G216" s="243" t="s">
        <v>308</v>
      </c>
      <c r="H216" s="275"/>
      <c r="I216" s="276">
        <v>3</v>
      </c>
      <c r="J216" s="181" t="s">
        <v>314</v>
      </c>
      <c r="K216" s="245">
        <f>IF(BD.PD[[#This Row],[Mon]]="DOP",1,HLOOKUP(BD.PD[[#This Row],[Mon]],$J$1:$K$2,2,FALSE))</f>
        <v>1</v>
      </c>
      <c r="L216" s="346">
        <v>69680</v>
      </c>
      <c r="M216" s="247">
        <f>BD.PD[[#This Row],[Cant.]]*BD.PD[[#This Row],[ Tasa ]]*BD.PD[[#This Row],[ Precio Und.]]</f>
        <v>209040</v>
      </c>
      <c r="N216" s="278">
        <v>0</v>
      </c>
      <c r="O216" s="247">
        <f>IF(BD.PD[[#This Row],[Liquid. '[%']]]&lt;&gt;0,(BD.PD[[#This Row],[Valor Neto '[DOP']]]*BD.PD[[#This Row],[Liquid. '[%']]])+BD.PD[[#This Row],[Valor Neto '[DOP']]],BD.PD[[#This Row],[Valor Neto '[DOP']]])</f>
        <v>209040</v>
      </c>
      <c r="P216" s="257">
        <f>BD.PD[[#This Row],[Ppto. Orden Interna '[DOP']]]/HLOOKUP("USD",$J$1:$K$2,2,FALSE)</f>
        <v>3443.822075782537</v>
      </c>
      <c r="Q216" s="250" t="s">
        <v>416</v>
      </c>
      <c r="R216" s="258" t="s">
        <v>384</v>
      </c>
      <c r="S216" s="251">
        <v>22</v>
      </c>
      <c r="T216" s="252">
        <v>0.5</v>
      </c>
      <c r="U216" s="259">
        <f>BD.PD[[#This Row],[Av.P1 '[%']]]*BD.PD[[#This Row],[Ppto. Orden Interna '[DOP']]]</f>
        <v>104520</v>
      </c>
      <c r="V216" s="254">
        <v>24</v>
      </c>
      <c r="W216" s="255">
        <v>0.5</v>
      </c>
      <c r="X216" s="259">
        <f>BD.PD[[#This Row],[Av.P2 '[%']]]*BD.PD[[#This Row],[Ppto. Orden Interna '[DOP']]]</f>
        <v>104520</v>
      </c>
      <c r="Y216" s="254"/>
      <c r="Z216" s="255"/>
      <c r="AA216" s="259">
        <f>BD.PD[[#This Row],[Av.P3 '[%']]]*BD.PD[[#This Row],[Ppto. Orden Interna '[DOP']]]</f>
        <v>0</v>
      </c>
      <c r="AB216" s="254"/>
      <c r="AC216" s="255"/>
      <c r="AD216" s="259">
        <f>BD.PD[[#This Row],[Av.P4 '[%']]]*BD.PD[[#This Row],[Ppto. Orden Interna '[DOP']]]</f>
        <v>0</v>
      </c>
      <c r="AE216" s="254"/>
      <c r="AF216" s="255"/>
      <c r="AG216" s="259">
        <f>BD.PD[[#This Row],[Av.P5 '[%']]]*BD.PD[[#This Row],[Ppto. Orden Interna '[DOP']]]</f>
        <v>0</v>
      </c>
      <c r="AH216" s="256">
        <f>BD.PD[[#This Row],[Pago 5]]+BD.PD[[#This Row],[Pago 4]]+BD.PD[[#This Row],[Pago 3]]+BD.PD[[#This Row],[Pago 2]]+BD.PD[[#This Row],[Pago 1]]</f>
        <v>209040</v>
      </c>
      <c r="AI216" s="318"/>
    </row>
    <row r="217" spans="1:35" ht="15" customHeight="1" x14ac:dyDescent="0.3">
      <c r="A217" s="181">
        <v>7.01</v>
      </c>
      <c r="B217" s="239"/>
      <c r="C217" s="240" t="str">
        <f>VLOOKUP(BD.PD[[#This Row],[Pos]],PPto[],3,FALSE)</f>
        <v xml:space="preserve">7.01 Equipamiento de Acero Inoxidable </v>
      </c>
      <c r="D217" s="181" t="s">
        <v>40</v>
      </c>
      <c r="E217" s="242" t="str">
        <f>IF(BD.PD[[#This Row],[.]]="*",VLOOKUP(BD.PD[[#This Row],[Pos]],Presupuesto!A:H,7,FALSE),"")</f>
        <v/>
      </c>
      <c r="F217" s="243" t="s">
        <v>419</v>
      </c>
      <c r="G217" s="243" t="s">
        <v>308</v>
      </c>
      <c r="H217" s="275"/>
      <c r="I217" s="276">
        <v>1</v>
      </c>
      <c r="J217" s="181" t="s">
        <v>314</v>
      </c>
      <c r="K217" s="245">
        <f>IF(BD.PD[[#This Row],[Mon]]="DOP",1,HLOOKUP(BD.PD[[#This Row],[Mon]],$J$1:$K$2,2,FALSE))</f>
        <v>1</v>
      </c>
      <c r="L217" s="277">
        <v>250000</v>
      </c>
      <c r="M217" s="247">
        <f>BD.PD[[#This Row],[Cant.]]*BD.PD[[#This Row],[ Tasa ]]*BD.PD[[#This Row],[ Precio Und.]]</f>
        <v>250000</v>
      </c>
      <c r="N217" s="278">
        <v>0</v>
      </c>
      <c r="O217" s="247">
        <f>IF(BD.PD[[#This Row],[Liquid. '[%']]]&lt;&gt;0,(BD.PD[[#This Row],[Valor Neto '[DOP']]]*BD.PD[[#This Row],[Liquid. '[%']]])+BD.PD[[#This Row],[Valor Neto '[DOP']]],BD.PD[[#This Row],[Valor Neto '[DOP']]])</f>
        <v>250000</v>
      </c>
      <c r="P217" s="257">
        <f>BD.PD[[#This Row],[Ppto. Orden Interna '[DOP']]]/HLOOKUP("USD",$J$1:$K$2,2,FALSE)</f>
        <v>4118.6161449752881</v>
      </c>
      <c r="Q217" s="250" t="s">
        <v>416</v>
      </c>
      <c r="R217" s="258" t="s">
        <v>384</v>
      </c>
      <c r="S217" s="251">
        <v>22</v>
      </c>
      <c r="T217" s="252">
        <v>0.5</v>
      </c>
      <c r="U217" s="259">
        <f>BD.PD[[#This Row],[Av.P1 '[%']]]*BD.PD[[#This Row],[Ppto. Orden Interna '[DOP']]]</f>
        <v>125000</v>
      </c>
      <c r="V217" s="254">
        <v>24</v>
      </c>
      <c r="W217" s="255">
        <v>0.5</v>
      </c>
      <c r="X217" s="259">
        <f>BD.PD[[#This Row],[Av.P2 '[%']]]*BD.PD[[#This Row],[Ppto. Orden Interna '[DOP']]]</f>
        <v>125000</v>
      </c>
      <c r="Y217" s="254"/>
      <c r="Z217" s="255"/>
      <c r="AA217" s="259">
        <f>BD.PD[[#This Row],[Av.P3 '[%']]]*BD.PD[[#This Row],[Ppto. Orden Interna '[DOP']]]</f>
        <v>0</v>
      </c>
      <c r="AB217" s="254"/>
      <c r="AC217" s="255"/>
      <c r="AD217" s="259">
        <f>BD.PD[[#This Row],[Av.P4 '[%']]]*BD.PD[[#This Row],[Ppto. Orden Interna '[DOP']]]</f>
        <v>0</v>
      </c>
      <c r="AE217" s="254"/>
      <c r="AF217" s="255"/>
      <c r="AG217" s="259">
        <f>BD.PD[[#This Row],[Av.P5 '[%']]]*BD.PD[[#This Row],[Ppto. Orden Interna '[DOP']]]</f>
        <v>0</v>
      </c>
      <c r="AH217" s="256">
        <f>BD.PD[[#This Row],[Pago 5]]+BD.PD[[#This Row],[Pago 4]]+BD.PD[[#This Row],[Pago 3]]+BD.PD[[#This Row],[Pago 2]]+BD.PD[[#This Row],[Pago 1]]</f>
        <v>250000</v>
      </c>
      <c r="AI217" s="318"/>
    </row>
    <row r="218" spans="1:35" ht="15" customHeight="1" x14ac:dyDescent="0.3">
      <c r="A218" s="181">
        <v>7.01</v>
      </c>
      <c r="B218" s="239"/>
      <c r="C218" s="240" t="str">
        <f>VLOOKUP(BD.PD[[#This Row],[Pos]],PPto[],3,FALSE)</f>
        <v xml:space="preserve">7.01 Equipamiento de Acero Inoxidable </v>
      </c>
      <c r="D218" s="181" t="s">
        <v>40</v>
      </c>
      <c r="E218" s="242" t="str">
        <f>IF(BD.PD[[#This Row],[.]]="*",VLOOKUP(BD.PD[[#This Row],[Pos]],Presupuesto!A:H,7,FALSE),"")</f>
        <v/>
      </c>
      <c r="F218" s="243" t="s">
        <v>420</v>
      </c>
      <c r="G218" s="243" t="s">
        <v>308</v>
      </c>
      <c r="H218" s="275"/>
      <c r="I218" s="276">
        <v>9</v>
      </c>
      <c r="J218" s="181" t="s">
        <v>314</v>
      </c>
      <c r="K218" s="245">
        <f>IF(BD.PD[[#This Row],[Mon]]="DOP",1,HLOOKUP(BD.PD[[#This Row],[Mon]],$J$1:$K$2,2,FALSE))</f>
        <v>1</v>
      </c>
      <c r="L218" s="277">
        <v>28500</v>
      </c>
      <c r="M218" s="247">
        <f>BD.PD[[#This Row],[Cant.]]*BD.PD[[#This Row],[ Tasa ]]*BD.PD[[#This Row],[ Precio Und.]]</f>
        <v>256500</v>
      </c>
      <c r="N218" s="278">
        <v>0</v>
      </c>
      <c r="O218" s="247">
        <f>IF(BD.PD[[#This Row],[Liquid. '[%']]]&lt;&gt;0,(BD.PD[[#This Row],[Valor Neto '[DOP']]]*BD.PD[[#This Row],[Liquid. '[%']]])+BD.PD[[#This Row],[Valor Neto '[DOP']]],BD.PD[[#This Row],[Valor Neto '[DOP']]])</f>
        <v>256500</v>
      </c>
      <c r="P218" s="257">
        <f>BD.PD[[#This Row],[Ppto. Orden Interna '[DOP']]]/HLOOKUP("USD",$J$1:$K$2,2,FALSE)</f>
        <v>4225.7001647446459</v>
      </c>
      <c r="Q218" s="250" t="s">
        <v>416</v>
      </c>
      <c r="R218" s="258" t="s">
        <v>384</v>
      </c>
      <c r="S218" s="251">
        <v>22</v>
      </c>
      <c r="T218" s="252">
        <v>0.5</v>
      </c>
      <c r="U218" s="259">
        <f>BD.PD[[#This Row],[Av.P1 '[%']]]*BD.PD[[#This Row],[Ppto. Orden Interna '[DOP']]]</f>
        <v>128250</v>
      </c>
      <c r="V218" s="254">
        <v>24</v>
      </c>
      <c r="W218" s="255">
        <v>0.5</v>
      </c>
      <c r="X218" s="259">
        <f>BD.PD[[#This Row],[Av.P2 '[%']]]*BD.PD[[#This Row],[Ppto. Orden Interna '[DOP']]]</f>
        <v>128250</v>
      </c>
      <c r="Y218" s="254"/>
      <c r="Z218" s="255"/>
      <c r="AA218" s="259">
        <f>BD.PD[[#This Row],[Av.P3 '[%']]]*BD.PD[[#This Row],[Ppto. Orden Interna '[DOP']]]</f>
        <v>0</v>
      </c>
      <c r="AB218" s="254"/>
      <c r="AC218" s="255"/>
      <c r="AD218" s="259">
        <f>BD.PD[[#This Row],[Av.P4 '[%']]]*BD.PD[[#This Row],[Ppto. Orden Interna '[DOP']]]</f>
        <v>0</v>
      </c>
      <c r="AE218" s="254"/>
      <c r="AF218" s="255"/>
      <c r="AG218" s="259">
        <f>BD.PD[[#This Row],[Av.P5 '[%']]]*BD.PD[[#This Row],[Ppto. Orden Interna '[DOP']]]</f>
        <v>0</v>
      </c>
      <c r="AH218" s="256">
        <f>BD.PD[[#This Row],[Pago 5]]+BD.PD[[#This Row],[Pago 4]]+BD.PD[[#This Row],[Pago 3]]+BD.PD[[#This Row],[Pago 2]]+BD.PD[[#This Row],[Pago 1]]</f>
        <v>256500</v>
      </c>
      <c r="AI218" s="318"/>
    </row>
    <row r="219" spans="1:35" ht="15" customHeight="1" x14ac:dyDescent="0.3">
      <c r="A219" s="181">
        <v>7.01</v>
      </c>
      <c r="B219" s="239"/>
      <c r="C219" s="240" t="str">
        <f>VLOOKUP(BD.PD[[#This Row],[Pos]],PPto[],3,FALSE)</f>
        <v xml:space="preserve">7.01 Equipamiento de Acero Inoxidable </v>
      </c>
      <c r="D219" s="181" t="s">
        <v>40</v>
      </c>
      <c r="E219" s="242" t="str">
        <f>IF(BD.PD[[#This Row],[.]]="*",VLOOKUP(BD.PD[[#This Row],[Pos]],Presupuesto!A:H,7,FALSE),"")</f>
        <v/>
      </c>
      <c r="F219" s="243" t="s">
        <v>421</v>
      </c>
      <c r="G219" s="243" t="s">
        <v>308</v>
      </c>
      <c r="H219" s="275"/>
      <c r="I219" s="276">
        <v>3</v>
      </c>
      <c r="J219" s="181" t="s">
        <v>314</v>
      </c>
      <c r="K219" s="245">
        <f>IF(BD.PD[[#This Row],[Mon]]="DOP",1,HLOOKUP(BD.PD[[#This Row],[Mon]],$J$1:$K$2,2,FALSE))</f>
        <v>1</v>
      </c>
      <c r="L219" s="277">
        <v>52720</v>
      </c>
      <c r="M219" s="247">
        <f>BD.PD[[#This Row],[Cant.]]*BD.PD[[#This Row],[ Tasa ]]*BD.PD[[#This Row],[ Precio Und.]]</f>
        <v>158160</v>
      </c>
      <c r="N219" s="278">
        <v>0</v>
      </c>
      <c r="O219" s="247">
        <f>IF(BD.PD[[#This Row],[Liquid. '[%']]]&lt;&gt;0,(BD.PD[[#This Row],[Valor Neto '[DOP']]]*BD.PD[[#This Row],[Liquid. '[%']]])+BD.PD[[#This Row],[Valor Neto '[DOP']]],BD.PD[[#This Row],[Valor Neto '[DOP']]])</f>
        <v>158160</v>
      </c>
      <c r="P219" s="257">
        <f>BD.PD[[#This Row],[Ppto. Orden Interna '[DOP']]]/HLOOKUP("USD",$J$1:$K$2,2,FALSE)</f>
        <v>2605.6013179571664</v>
      </c>
      <c r="Q219" s="250" t="s">
        <v>416</v>
      </c>
      <c r="R219" s="424" t="s">
        <v>384</v>
      </c>
      <c r="S219" s="251">
        <v>22</v>
      </c>
      <c r="T219" s="252">
        <v>0.5</v>
      </c>
      <c r="U219" s="259">
        <f>BD.PD[[#This Row],[Av.P1 '[%']]]*BD.PD[[#This Row],[Ppto. Orden Interna '[DOP']]]</f>
        <v>79080</v>
      </c>
      <c r="V219" s="254">
        <v>24</v>
      </c>
      <c r="W219" s="255">
        <v>0.5</v>
      </c>
      <c r="X219" s="259">
        <f>BD.PD[[#This Row],[Av.P2 '[%']]]*BD.PD[[#This Row],[Ppto. Orden Interna '[DOP']]]</f>
        <v>79080</v>
      </c>
      <c r="Y219" s="254"/>
      <c r="Z219" s="255"/>
      <c r="AA219" s="259">
        <f>BD.PD[[#This Row],[Av.P3 '[%']]]*BD.PD[[#This Row],[Ppto. Orden Interna '[DOP']]]</f>
        <v>0</v>
      </c>
      <c r="AB219" s="254"/>
      <c r="AC219" s="255"/>
      <c r="AD219" s="259">
        <f>BD.PD[[#This Row],[Av.P4 '[%']]]*BD.PD[[#This Row],[Ppto. Orden Interna '[DOP']]]</f>
        <v>0</v>
      </c>
      <c r="AE219" s="254"/>
      <c r="AF219" s="255"/>
      <c r="AG219" s="259">
        <f>BD.PD[[#This Row],[Av.P5 '[%']]]*BD.PD[[#This Row],[Ppto. Orden Interna '[DOP']]]</f>
        <v>0</v>
      </c>
      <c r="AH219" s="256">
        <f>BD.PD[[#This Row],[Pago 5]]+BD.PD[[#This Row],[Pago 4]]+BD.PD[[#This Row],[Pago 3]]+BD.PD[[#This Row],[Pago 2]]+BD.PD[[#This Row],[Pago 1]]</f>
        <v>158160</v>
      </c>
      <c r="AI219" s="318"/>
    </row>
    <row r="220" spans="1:35" ht="15" customHeight="1" x14ac:dyDescent="0.3">
      <c r="A220" s="181">
        <v>7.01</v>
      </c>
      <c r="B220" s="239"/>
      <c r="C220" s="240" t="str">
        <f>VLOOKUP(BD.PD[[#This Row],[Pos]],PPto[],3,FALSE)</f>
        <v xml:space="preserve">7.01 Equipamiento de Acero Inoxidable </v>
      </c>
      <c r="D220" s="181" t="s">
        <v>40</v>
      </c>
      <c r="E220" s="242" t="str">
        <f>IF(BD.PD[[#This Row],[.]]="*",VLOOKUP(BD.PD[[#This Row],[Pos]],Presupuesto!A:H,7,FALSE),"")</f>
        <v/>
      </c>
      <c r="F220" s="243" t="s">
        <v>422</v>
      </c>
      <c r="G220" s="243" t="s">
        <v>308</v>
      </c>
      <c r="H220" s="275"/>
      <c r="I220" s="276">
        <v>4</v>
      </c>
      <c r="J220" s="181" t="s">
        <v>314</v>
      </c>
      <c r="K220" s="245">
        <f>IF(BD.PD[[#This Row],[Mon]]="DOP",1,HLOOKUP(BD.PD[[#This Row],[Mon]],$J$1:$K$2,2,FALSE))</f>
        <v>1</v>
      </c>
      <c r="L220" s="277">
        <v>64894</v>
      </c>
      <c r="M220" s="247">
        <f>BD.PD[[#This Row],[Cant.]]*BD.PD[[#This Row],[ Tasa ]]*BD.PD[[#This Row],[ Precio Und.]]</f>
        <v>259576</v>
      </c>
      <c r="N220" s="278">
        <v>0</v>
      </c>
      <c r="O220" s="247">
        <f>IF(BD.PD[[#This Row],[Liquid. '[%']]]&lt;&gt;0,(BD.PD[[#This Row],[Valor Neto '[DOP']]]*BD.PD[[#This Row],[Liquid. '[%']]])+BD.PD[[#This Row],[Valor Neto '[DOP']]],BD.PD[[#This Row],[Valor Neto '[DOP']]])</f>
        <v>259576</v>
      </c>
      <c r="P220" s="257">
        <f>BD.PD[[#This Row],[Ppto. Orden Interna '[DOP']]]/HLOOKUP("USD",$J$1:$K$2,2,FALSE)</f>
        <v>4276.3756177924215</v>
      </c>
      <c r="Q220" s="250" t="s">
        <v>416</v>
      </c>
      <c r="R220" s="424" t="s">
        <v>384</v>
      </c>
      <c r="S220" s="251">
        <v>22</v>
      </c>
      <c r="T220" s="252">
        <v>0.5</v>
      </c>
      <c r="U220" s="259">
        <f>BD.PD[[#This Row],[Av.P1 '[%']]]*BD.PD[[#This Row],[Ppto. Orden Interna '[DOP']]]</f>
        <v>129788</v>
      </c>
      <c r="V220" s="254">
        <v>24</v>
      </c>
      <c r="W220" s="255">
        <v>0.5</v>
      </c>
      <c r="X220" s="259">
        <f>BD.PD[[#This Row],[Av.P2 '[%']]]*BD.PD[[#This Row],[Ppto. Orden Interna '[DOP']]]</f>
        <v>129788</v>
      </c>
      <c r="Y220" s="254"/>
      <c r="Z220" s="255"/>
      <c r="AA220" s="259">
        <f>BD.PD[[#This Row],[Av.P3 '[%']]]*BD.PD[[#This Row],[Ppto. Orden Interna '[DOP']]]</f>
        <v>0</v>
      </c>
      <c r="AB220" s="254"/>
      <c r="AC220" s="255"/>
      <c r="AD220" s="259">
        <f>BD.PD[[#This Row],[Av.P4 '[%']]]*BD.PD[[#This Row],[Ppto. Orden Interna '[DOP']]]</f>
        <v>0</v>
      </c>
      <c r="AE220" s="254"/>
      <c r="AF220" s="255"/>
      <c r="AG220" s="259">
        <f>BD.PD[[#This Row],[Av.P5 '[%']]]*BD.PD[[#This Row],[Ppto. Orden Interna '[DOP']]]</f>
        <v>0</v>
      </c>
      <c r="AH220" s="256">
        <f>BD.PD[[#This Row],[Pago 5]]+BD.PD[[#This Row],[Pago 4]]+BD.PD[[#This Row],[Pago 3]]+BD.PD[[#This Row],[Pago 2]]+BD.PD[[#This Row],[Pago 1]]</f>
        <v>259576</v>
      </c>
      <c r="AI220" s="318"/>
    </row>
    <row r="221" spans="1:35" ht="15" customHeight="1" x14ac:dyDescent="0.3">
      <c r="A221" s="181">
        <v>7.01</v>
      </c>
      <c r="B221" s="239"/>
      <c r="C221" s="240" t="str">
        <f>VLOOKUP(BD.PD[[#This Row],[Pos]],PPto[],3,FALSE)</f>
        <v xml:space="preserve">7.01 Equipamiento de Acero Inoxidable </v>
      </c>
      <c r="D221" s="181" t="s">
        <v>40</v>
      </c>
      <c r="E221" s="242" t="str">
        <f>IF(BD.PD[[#This Row],[.]]="*",VLOOKUP(BD.PD[[#This Row],[Pos]],Presupuesto!A:H,7,FALSE),"")</f>
        <v/>
      </c>
      <c r="F221" s="243" t="s">
        <v>423</v>
      </c>
      <c r="G221" s="243" t="s">
        <v>308</v>
      </c>
      <c r="H221" s="275"/>
      <c r="I221" s="276">
        <v>1</v>
      </c>
      <c r="J221" s="181" t="s">
        <v>314</v>
      </c>
      <c r="K221" s="245">
        <f>IF(BD.PD[[#This Row],[Mon]]="DOP",1,HLOOKUP(BD.PD[[#This Row],[Mon]],$J$1:$K$2,2,FALSE))</f>
        <v>1</v>
      </c>
      <c r="L221" s="277">
        <v>70150</v>
      </c>
      <c r="M221" s="247">
        <f>BD.PD[[#This Row],[Cant.]]*BD.PD[[#This Row],[ Tasa ]]*BD.PD[[#This Row],[ Precio Und.]]</f>
        <v>70150</v>
      </c>
      <c r="N221" s="278">
        <v>0</v>
      </c>
      <c r="O221" s="247">
        <f>IF(BD.PD[[#This Row],[Liquid. '[%']]]&lt;&gt;0,(BD.PD[[#This Row],[Valor Neto '[DOP']]]*BD.PD[[#This Row],[Liquid. '[%']]])+BD.PD[[#This Row],[Valor Neto '[DOP']]],BD.PD[[#This Row],[Valor Neto '[DOP']]])</f>
        <v>70150</v>
      </c>
      <c r="P221" s="257">
        <f>BD.PD[[#This Row],[Ppto. Orden Interna '[DOP']]]/HLOOKUP("USD",$J$1:$K$2,2,FALSE)</f>
        <v>1155.6836902800658</v>
      </c>
      <c r="Q221" s="250" t="s">
        <v>416</v>
      </c>
      <c r="R221" s="424" t="s">
        <v>384</v>
      </c>
      <c r="S221" s="251">
        <v>22</v>
      </c>
      <c r="T221" s="252">
        <v>0.5</v>
      </c>
      <c r="U221" s="259">
        <f>BD.PD[[#This Row],[Av.P1 '[%']]]*BD.PD[[#This Row],[Ppto. Orden Interna '[DOP']]]</f>
        <v>35075</v>
      </c>
      <c r="V221" s="254">
        <v>24</v>
      </c>
      <c r="W221" s="255">
        <v>0.5</v>
      </c>
      <c r="X221" s="259">
        <f>BD.PD[[#This Row],[Av.P2 '[%']]]*BD.PD[[#This Row],[Ppto. Orden Interna '[DOP']]]</f>
        <v>35075</v>
      </c>
      <c r="Y221" s="254"/>
      <c r="Z221" s="255"/>
      <c r="AA221" s="259">
        <f>BD.PD[[#This Row],[Av.P3 '[%']]]*BD.PD[[#This Row],[Ppto. Orden Interna '[DOP']]]</f>
        <v>0</v>
      </c>
      <c r="AB221" s="254"/>
      <c r="AC221" s="255"/>
      <c r="AD221" s="259">
        <f>BD.PD[[#This Row],[Av.P4 '[%']]]*BD.PD[[#This Row],[Ppto. Orden Interna '[DOP']]]</f>
        <v>0</v>
      </c>
      <c r="AE221" s="254"/>
      <c r="AF221" s="255"/>
      <c r="AG221" s="259">
        <f>BD.PD[[#This Row],[Av.P5 '[%']]]*BD.PD[[#This Row],[Ppto. Orden Interna '[DOP']]]</f>
        <v>0</v>
      </c>
      <c r="AH221" s="256">
        <f>BD.PD[[#This Row],[Pago 5]]+BD.PD[[#This Row],[Pago 4]]+BD.PD[[#This Row],[Pago 3]]+BD.PD[[#This Row],[Pago 2]]+BD.PD[[#This Row],[Pago 1]]</f>
        <v>70150</v>
      </c>
      <c r="AI221" s="318"/>
    </row>
    <row r="222" spans="1:35" ht="15" customHeight="1" x14ac:dyDescent="0.3">
      <c r="A222" s="181">
        <v>7.01</v>
      </c>
      <c r="B222" s="239"/>
      <c r="C222" s="240" t="str">
        <f>VLOOKUP(BD.PD[[#This Row],[Pos]],PPto[],3,FALSE)</f>
        <v xml:space="preserve">7.01 Equipamiento de Acero Inoxidable </v>
      </c>
      <c r="D222" s="181" t="s">
        <v>40</v>
      </c>
      <c r="E222" s="242" t="str">
        <f>IF(BD.PD[[#This Row],[.]]="*",VLOOKUP(BD.PD[[#This Row],[Pos]],Presupuesto!A:H,7,FALSE),"")</f>
        <v/>
      </c>
      <c r="F222" s="243" t="s">
        <v>424</v>
      </c>
      <c r="G222" s="243" t="s">
        <v>308</v>
      </c>
      <c r="H222" s="275"/>
      <c r="I222" s="357">
        <v>6</v>
      </c>
      <c r="J222" s="181" t="s">
        <v>314</v>
      </c>
      <c r="K222" s="245">
        <f>IF(BD.PD[[#This Row],[Mon]]="DOP",1,HLOOKUP(BD.PD[[#This Row],[Mon]],$J$1:$K$2,2,FALSE))</f>
        <v>1</v>
      </c>
      <c r="L222" s="277">
        <v>52750</v>
      </c>
      <c r="M222" s="247">
        <f>BD.PD[[#This Row],[Cant.]]*BD.PD[[#This Row],[ Tasa ]]*BD.PD[[#This Row],[ Precio Und.]]</f>
        <v>316500</v>
      </c>
      <c r="N222" s="278">
        <v>0</v>
      </c>
      <c r="O222" s="247">
        <f>IF(BD.PD[[#This Row],[Liquid. '[%']]]&lt;&gt;0,(BD.PD[[#This Row],[Valor Neto '[DOP']]]*BD.PD[[#This Row],[Liquid. '[%']]])+BD.PD[[#This Row],[Valor Neto '[DOP']]],BD.PD[[#This Row],[Valor Neto '[DOP']]])</f>
        <v>316500</v>
      </c>
      <c r="P222" s="257">
        <f>BD.PD[[#This Row],[Ppto. Orden Interna '[DOP']]]/HLOOKUP("USD",$J$1:$K$2,2,FALSE)</f>
        <v>5214.1680395387148</v>
      </c>
      <c r="Q222" s="250" t="s">
        <v>416</v>
      </c>
      <c r="R222" s="424" t="s">
        <v>384</v>
      </c>
      <c r="S222" s="251">
        <v>22</v>
      </c>
      <c r="T222" s="252">
        <v>0.5</v>
      </c>
      <c r="U222" s="259">
        <f>BD.PD[[#This Row],[Av.P1 '[%']]]*BD.PD[[#This Row],[Ppto. Orden Interna '[DOP']]]</f>
        <v>158250</v>
      </c>
      <c r="V222" s="254">
        <v>24</v>
      </c>
      <c r="W222" s="255">
        <v>0.5</v>
      </c>
      <c r="X222" s="259">
        <f>BD.PD[[#This Row],[Av.P2 '[%']]]*BD.PD[[#This Row],[Ppto. Orden Interna '[DOP']]]</f>
        <v>158250</v>
      </c>
      <c r="Y222" s="254"/>
      <c r="Z222" s="255"/>
      <c r="AA222" s="259">
        <f>BD.PD[[#This Row],[Av.P3 '[%']]]*BD.PD[[#This Row],[Ppto. Orden Interna '[DOP']]]</f>
        <v>0</v>
      </c>
      <c r="AB222" s="254"/>
      <c r="AC222" s="255"/>
      <c r="AD222" s="259">
        <f>BD.PD[[#This Row],[Av.P4 '[%']]]*BD.PD[[#This Row],[Ppto. Orden Interna '[DOP']]]</f>
        <v>0</v>
      </c>
      <c r="AE222" s="254"/>
      <c r="AF222" s="255"/>
      <c r="AG222" s="259">
        <f>BD.PD[[#This Row],[Av.P5 '[%']]]*BD.PD[[#This Row],[Ppto. Orden Interna '[DOP']]]</f>
        <v>0</v>
      </c>
      <c r="AH222" s="256">
        <f>BD.PD[[#This Row],[Pago 5]]+BD.PD[[#This Row],[Pago 4]]+BD.PD[[#This Row],[Pago 3]]+BD.PD[[#This Row],[Pago 2]]+BD.PD[[#This Row],[Pago 1]]</f>
        <v>316500</v>
      </c>
      <c r="AI222" s="318"/>
    </row>
    <row r="223" spans="1:35" ht="15" customHeight="1" x14ac:dyDescent="0.3">
      <c r="A223" s="181">
        <v>7.01</v>
      </c>
      <c r="B223" s="239"/>
      <c r="C223" s="240" t="str">
        <f>VLOOKUP(BD.PD[[#This Row],[Pos]],PPto[],3,FALSE)</f>
        <v xml:space="preserve">7.01 Equipamiento de Acero Inoxidable </v>
      </c>
      <c r="D223" s="181" t="s">
        <v>40</v>
      </c>
      <c r="E223" s="242" t="str">
        <f>IF(BD.PD[[#This Row],[.]]="*",VLOOKUP(BD.PD[[#This Row],[Pos]],Presupuesto!A:H,7,FALSE),"")</f>
        <v/>
      </c>
      <c r="F223" s="243" t="s">
        <v>425</v>
      </c>
      <c r="G223" s="243" t="s">
        <v>308</v>
      </c>
      <c r="H223" s="275"/>
      <c r="I223" s="357">
        <v>5</v>
      </c>
      <c r="J223" s="181" t="s">
        <v>314</v>
      </c>
      <c r="K223" s="245">
        <f>IF(BD.PD[[#This Row],[Mon]]="DOP",1,HLOOKUP(BD.PD[[#This Row],[Mon]],$J$1:$K$2,2,FALSE))</f>
        <v>1</v>
      </c>
      <c r="L223" s="277">
        <v>68000</v>
      </c>
      <c r="M223" s="247">
        <f>BD.PD[[#This Row],[Cant.]]*BD.PD[[#This Row],[ Tasa ]]*BD.PD[[#This Row],[ Precio Und.]]</f>
        <v>340000</v>
      </c>
      <c r="N223" s="278">
        <v>0</v>
      </c>
      <c r="O223" s="247">
        <f>IF(BD.PD[[#This Row],[Liquid. '[%']]]&lt;&gt;0,(BD.PD[[#This Row],[Valor Neto '[DOP']]]*BD.PD[[#This Row],[Liquid. '[%']]])+BD.PD[[#This Row],[Valor Neto '[DOP']]],BD.PD[[#This Row],[Valor Neto '[DOP']]])</f>
        <v>340000</v>
      </c>
      <c r="P223" s="257">
        <f>BD.PD[[#This Row],[Ppto. Orden Interna '[DOP']]]/HLOOKUP("USD",$J$1:$K$2,2,FALSE)</f>
        <v>5601.3179571663923</v>
      </c>
      <c r="Q223" s="250" t="s">
        <v>416</v>
      </c>
      <c r="R223" s="424" t="s">
        <v>384</v>
      </c>
      <c r="S223" s="251">
        <v>22</v>
      </c>
      <c r="T223" s="252">
        <v>0.5</v>
      </c>
      <c r="U223" s="259">
        <f>BD.PD[[#This Row],[Av.P1 '[%']]]*BD.PD[[#This Row],[Ppto. Orden Interna '[DOP']]]</f>
        <v>170000</v>
      </c>
      <c r="V223" s="254">
        <v>24</v>
      </c>
      <c r="W223" s="255">
        <v>0.5</v>
      </c>
      <c r="X223" s="259">
        <f>BD.PD[[#This Row],[Av.P2 '[%']]]*BD.PD[[#This Row],[Ppto. Orden Interna '[DOP']]]</f>
        <v>170000</v>
      </c>
      <c r="Y223" s="254"/>
      <c r="Z223" s="255"/>
      <c r="AA223" s="259">
        <f>BD.PD[[#This Row],[Av.P3 '[%']]]*BD.PD[[#This Row],[Ppto. Orden Interna '[DOP']]]</f>
        <v>0</v>
      </c>
      <c r="AB223" s="254"/>
      <c r="AC223" s="255"/>
      <c r="AD223" s="259">
        <f>BD.PD[[#This Row],[Av.P4 '[%']]]*BD.PD[[#This Row],[Ppto. Orden Interna '[DOP']]]</f>
        <v>0</v>
      </c>
      <c r="AE223" s="254"/>
      <c r="AF223" s="255"/>
      <c r="AG223" s="259">
        <f>BD.PD[[#This Row],[Av.P5 '[%']]]*BD.PD[[#This Row],[Ppto. Orden Interna '[DOP']]]</f>
        <v>0</v>
      </c>
      <c r="AH223" s="256">
        <f>BD.PD[[#This Row],[Pago 5]]+BD.PD[[#This Row],[Pago 4]]+BD.PD[[#This Row],[Pago 3]]+BD.PD[[#This Row],[Pago 2]]+BD.PD[[#This Row],[Pago 1]]</f>
        <v>340000</v>
      </c>
      <c r="AI223" s="318"/>
    </row>
    <row r="224" spans="1:35" ht="15" customHeight="1" x14ac:dyDescent="0.3">
      <c r="A224" s="181">
        <v>7.01</v>
      </c>
      <c r="B224" s="239"/>
      <c r="C224" s="240" t="str">
        <f>VLOOKUP(BD.PD[[#This Row],[Pos]],PPto[],3,FALSE)</f>
        <v xml:space="preserve">7.01 Equipamiento de Acero Inoxidable </v>
      </c>
      <c r="D224" s="181" t="s">
        <v>40</v>
      </c>
      <c r="E224" s="242" t="str">
        <f>IF(BD.PD[[#This Row],[.]]="*",VLOOKUP(BD.PD[[#This Row],[Pos]],Presupuesto!A:H,7,FALSE),"")</f>
        <v/>
      </c>
      <c r="F224" s="243" t="s">
        <v>426</v>
      </c>
      <c r="G224" s="243" t="s">
        <v>308</v>
      </c>
      <c r="H224" s="275"/>
      <c r="I224" s="357">
        <v>3</v>
      </c>
      <c r="J224" s="181" t="s">
        <v>314</v>
      </c>
      <c r="K224" s="245">
        <f>IF(BD.PD[[#This Row],[Mon]]="DOP",1,HLOOKUP(BD.PD[[#This Row],[Mon]],$J$1:$K$2,2,FALSE))</f>
        <v>1</v>
      </c>
      <c r="L224" s="277">
        <v>28000</v>
      </c>
      <c r="M224" s="247">
        <f>BD.PD[[#This Row],[Cant.]]*BD.PD[[#This Row],[ Tasa ]]*BD.PD[[#This Row],[ Precio Und.]]</f>
        <v>84000</v>
      </c>
      <c r="N224" s="278">
        <v>0</v>
      </c>
      <c r="O224" s="247">
        <f>IF(BD.PD[[#This Row],[Liquid. '[%']]]&lt;&gt;0,(BD.PD[[#This Row],[Valor Neto '[DOP']]]*BD.PD[[#This Row],[Liquid. '[%']]])+BD.PD[[#This Row],[Valor Neto '[DOP']]],BD.PD[[#This Row],[Valor Neto '[DOP']]])</f>
        <v>84000</v>
      </c>
      <c r="P224" s="257">
        <f>BD.PD[[#This Row],[Ppto. Orden Interna '[DOP']]]/HLOOKUP("USD",$J$1:$K$2,2,FALSE)</f>
        <v>1383.8550247116968</v>
      </c>
      <c r="Q224" s="250" t="s">
        <v>416</v>
      </c>
      <c r="R224" s="424" t="s">
        <v>384</v>
      </c>
      <c r="S224" s="251">
        <v>22</v>
      </c>
      <c r="T224" s="252">
        <v>0.5</v>
      </c>
      <c r="U224" s="259">
        <f>BD.PD[[#This Row],[Av.P1 '[%']]]*BD.PD[[#This Row],[Ppto. Orden Interna '[DOP']]]</f>
        <v>42000</v>
      </c>
      <c r="V224" s="254">
        <v>24</v>
      </c>
      <c r="W224" s="255">
        <v>0.5</v>
      </c>
      <c r="X224" s="259">
        <f>BD.PD[[#This Row],[Av.P2 '[%']]]*BD.PD[[#This Row],[Ppto. Orden Interna '[DOP']]]</f>
        <v>42000</v>
      </c>
      <c r="Y224" s="254"/>
      <c r="Z224" s="255"/>
      <c r="AA224" s="259">
        <f>BD.PD[[#This Row],[Av.P3 '[%']]]*BD.PD[[#This Row],[Ppto. Orden Interna '[DOP']]]</f>
        <v>0</v>
      </c>
      <c r="AB224" s="254"/>
      <c r="AC224" s="255"/>
      <c r="AD224" s="259">
        <f>BD.PD[[#This Row],[Av.P4 '[%']]]*BD.PD[[#This Row],[Ppto. Orden Interna '[DOP']]]</f>
        <v>0</v>
      </c>
      <c r="AE224" s="254"/>
      <c r="AF224" s="255"/>
      <c r="AG224" s="259">
        <f>BD.PD[[#This Row],[Av.P5 '[%']]]*BD.PD[[#This Row],[Ppto. Orden Interna '[DOP']]]</f>
        <v>0</v>
      </c>
      <c r="AH224" s="256">
        <f>BD.PD[[#This Row],[Pago 5]]+BD.PD[[#This Row],[Pago 4]]+BD.PD[[#This Row],[Pago 3]]+BD.PD[[#This Row],[Pago 2]]+BD.PD[[#This Row],[Pago 1]]</f>
        <v>84000</v>
      </c>
      <c r="AI224" s="318"/>
    </row>
    <row r="225" spans="1:35" ht="15" customHeight="1" x14ac:dyDescent="0.3">
      <c r="A225" s="181">
        <v>7.01</v>
      </c>
      <c r="B225" s="239"/>
      <c r="C225" s="240" t="str">
        <f>VLOOKUP(BD.PD[[#This Row],[Pos]],PPto[],3,FALSE)</f>
        <v xml:space="preserve">7.01 Equipamiento de Acero Inoxidable </v>
      </c>
      <c r="D225" s="181" t="s">
        <v>40</v>
      </c>
      <c r="E225" s="242" t="str">
        <f>IF(BD.PD[[#This Row],[.]]="*",VLOOKUP(BD.PD[[#This Row],[Pos]],Presupuesto!A:H,7,FALSE),"")</f>
        <v/>
      </c>
      <c r="F225" s="243" t="s">
        <v>427</v>
      </c>
      <c r="G225" s="243" t="s">
        <v>308</v>
      </c>
      <c r="H225" s="275"/>
      <c r="I225" s="357">
        <v>1</v>
      </c>
      <c r="J225" s="181" t="s">
        <v>314</v>
      </c>
      <c r="K225" s="245">
        <f>IF(BD.PD[[#This Row],[Mon]]="DOP",1,HLOOKUP(BD.PD[[#This Row],[Mon]],$J$1:$K$2,2,FALSE))</f>
        <v>1</v>
      </c>
      <c r="L225" s="277">
        <v>50000</v>
      </c>
      <c r="M225" s="247">
        <f>BD.PD[[#This Row],[Cant.]]*BD.PD[[#This Row],[ Tasa ]]*BD.PD[[#This Row],[ Precio Und.]]</f>
        <v>50000</v>
      </c>
      <c r="N225" s="278">
        <v>0</v>
      </c>
      <c r="O225" s="247">
        <f>IF(BD.PD[[#This Row],[Liquid. '[%']]]&lt;&gt;0,(BD.PD[[#This Row],[Valor Neto '[DOP']]]*BD.PD[[#This Row],[Liquid. '[%']]])+BD.PD[[#This Row],[Valor Neto '[DOP']]],BD.PD[[#This Row],[Valor Neto '[DOP']]])</f>
        <v>50000</v>
      </c>
      <c r="P225" s="257">
        <f>BD.PD[[#This Row],[Ppto. Orden Interna '[DOP']]]/HLOOKUP("USD",$J$1:$K$2,2,FALSE)</f>
        <v>823.72322899505764</v>
      </c>
      <c r="Q225" s="250" t="s">
        <v>416</v>
      </c>
      <c r="R225" s="424" t="s">
        <v>384</v>
      </c>
      <c r="S225" s="251">
        <v>22</v>
      </c>
      <c r="T225" s="252">
        <v>0.5</v>
      </c>
      <c r="U225" s="259">
        <f>BD.PD[[#This Row],[Av.P1 '[%']]]*BD.PD[[#This Row],[Ppto. Orden Interna '[DOP']]]</f>
        <v>25000</v>
      </c>
      <c r="V225" s="254">
        <v>24</v>
      </c>
      <c r="W225" s="255">
        <v>0.5</v>
      </c>
      <c r="X225" s="259">
        <f>BD.PD[[#This Row],[Av.P2 '[%']]]*BD.PD[[#This Row],[Ppto. Orden Interna '[DOP']]]</f>
        <v>25000</v>
      </c>
      <c r="Y225" s="254"/>
      <c r="Z225" s="255"/>
      <c r="AA225" s="259">
        <f>BD.PD[[#This Row],[Av.P3 '[%']]]*BD.PD[[#This Row],[Ppto. Orden Interna '[DOP']]]</f>
        <v>0</v>
      </c>
      <c r="AB225" s="254"/>
      <c r="AC225" s="255"/>
      <c r="AD225" s="259">
        <f>BD.PD[[#This Row],[Av.P4 '[%']]]*BD.PD[[#This Row],[Ppto. Orden Interna '[DOP']]]</f>
        <v>0</v>
      </c>
      <c r="AE225" s="254"/>
      <c r="AF225" s="255"/>
      <c r="AG225" s="259">
        <f>BD.PD[[#This Row],[Av.P5 '[%']]]*BD.PD[[#This Row],[Ppto. Orden Interna '[DOP']]]</f>
        <v>0</v>
      </c>
      <c r="AH225" s="256">
        <f>BD.PD[[#This Row],[Pago 5]]+BD.PD[[#This Row],[Pago 4]]+BD.PD[[#This Row],[Pago 3]]+BD.PD[[#This Row],[Pago 2]]+BD.PD[[#This Row],[Pago 1]]</f>
        <v>50000</v>
      </c>
      <c r="AI225" s="318"/>
    </row>
    <row r="226" spans="1:35" ht="15" customHeight="1" x14ac:dyDescent="0.3">
      <c r="A226" s="181">
        <v>7.01</v>
      </c>
      <c r="B226" s="239"/>
      <c r="C226" s="240" t="str">
        <f>VLOOKUP(BD.PD[[#This Row],[Pos]],PPto[],3,FALSE)</f>
        <v xml:space="preserve">7.01 Equipamiento de Acero Inoxidable </v>
      </c>
      <c r="D226" s="181" t="s">
        <v>40</v>
      </c>
      <c r="E226" s="242" t="str">
        <f>IF(BD.PD[[#This Row],[.]]="*",VLOOKUP(BD.PD[[#This Row],[Pos]],Presupuesto!A:H,7,FALSE),"")</f>
        <v/>
      </c>
      <c r="F226" s="243" t="s">
        <v>428</v>
      </c>
      <c r="G226" s="243" t="s">
        <v>308</v>
      </c>
      <c r="H226" s="275"/>
      <c r="I226" s="357">
        <v>3</v>
      </c>
      <c r="J226" s="181" t="s">
        <v>314</v>
      </c>
      <c r="K226" s="245">
        <f>IF(BD.PD[[#This Row],[Mon]]="DOP",1,HLOOKUP(BD.PD[[#This Row],[Mon]],$J$1:$K$2,2,FALSE))</f>
        <v>1</v>
      </c>
      <c r="L226" s="277">
        <v>44435</v>
      </c>
      <c r="M226" s="247">
        <f>BD.PD[[#This Row],[Cant.]]*BD.PD[[#This Row],[ Tasa ]]*BD.PD[[#This Row],[ Precio Und.]]</f>
        <v>133305</v>
      </c>
      <c r="N226" s="278">
        <v>0</v>
      </c>
      <c r="O226" s="247">
        <f>IF(BD.PD[[#This Row],[Liquid. '[%']]]&lt;&gt;0,(BD.PD[[#This Row],[Valor Neto '[DOP']]]*BD.PD[[#This Row],[Liquid. '[%']]])+BD.PD[[#This Row],[Valor Neto '[DOP']]],BD.PD[[#This Row],[Valor Neto '[DOP']]])</f>
        <v>133305</v>
      </c>
      <c r="P226" s="257">
        <f>BD.PD[[#This Row],[Ppto. Orden Interna '[DOP']]]/HLOOKUP("USD",$J$1:$K$2,2,FALSE)</f>
        <v>2196.1285008237232</v>
      </c>
      <c r="Q226" s="250" t="s">
        <v>416</v>
      </c>
      <c r="R226" s="424" t="s">
        <v>384</v>
      </c>
      <c r="S226" s="251">
        <v>22</v>
      </c>
      <c r="T226" s="252">
        <v>0.5</v>
      </c>
      <c r="U226" s="259">
        <f>BD.PD[[#This Row],[Av.P1 '[%']]]*BD.PD[[#This Row],[Ppto. Orden Interna '[DOP']]]</f>
        <v>66652.5</v>
      </c>
      <c r="V226" s="254">
        <v>24</v>
      </c>
      <c r="W226" s="255">
        <v>0.5</v>
      </c>
      <c r="X226" s="259">
        <f>BD.PD[[#This Row],[Av.P2 '[%']]]*BD.PD[[#This Row],[Ppto. Orden Interna '[DOP']]]</f>
        <v>66652.5</v>
      </c>
      <c r="Y226" s="254"/>
      <c r="Z226" s="255"/>
      <c r="AA226" s="259">
        <f>BD.PD[[#This Row],[Av.P3 '[%']]]*BD.PD[[#This Row],[Ppto. Orden Interna '[DOP']]]</f>
        <v>0</v>
      </c>
      <c r="AB226" s="254"/>
      <c r="AC226" s="255"/>
      <c r="AD226" s="259">
        <f>BD.PD[[#This Row],[Av.P4 '[%']]]*BD.PD[[#This Row],[Ppto. Orden Interna '[DOP']]]</f>
        <v>0</v>
      </c>
      <c r="AE226" s="254"/>
      <c r="AF226" s="255"/>
      <c r="AG226" s="259">
        <f>BD.PD[[#This Row],[Av.P5 '[%']]]*BD.PD[[#This Row],[Ppto. Orden Interna '[DOP']]]</f>
        <v>0</v>
      </c>
      <c r="AH226" s="256">
        <f>BD.PD[[#This Row],[Pago 5]]+BD.PD[[#This Row],[Pago 4]]+BD.PD[[#This Row],[Pago 3]]+BD.PD[[#This Row],[Pago 2]]+BD.PD[[#This Row],[Pago 1]]</f>
        <v>133305</v>
      </c>
      <c r="AI226" s="318"/>
    </row>
    <row r="227" spans="1:35" ht="15" customHeight="1" x14ac:dyDescent="0.3">
      <c r="A227" s="181">
        <v>7.01</v>
      </c>
      <c r="B227" s="239"/>
      <c r="C227" s="240" t="str">
        <f>VLOOKUP(BD.PD[[#This Row],[Pos]],PPto[],3,FALSE)</f>
        <v xml:space="preserve">7.01 Equipamiento de Acero Inoxidable </v>
      </c>
      <c r="D227" s="181" t="s">
        <v>40</v>
      </c>
      <c r="E227" s="242" t="str">
        <f>IF(BD.PD[[#This Row],[.]]="*",VLOOKUP(BD.PD[[#This Row],[Pos]],Presupuesto!A:H,7,FALSE),"")</f>
        <v/>
      </c>
      <c r="F227" s="243" t="s">
        <v>429</v>
      </c>
      <c r="G227" s="243" t="s">
        <v>308</v>
      </c>
      <c r="H227" s="275"/>
      <c r="I227" s="357">
        <v>3</v>
      </c>
      <c r="J227" s="181" t="s">
        <v>314</v>
      </c>
      <c r="K227" s="245">
        <f>IF(BD.PD[[#This Row],[Mon]]="DOP",1,HLOOKUP(BD.PD[[#This Row],[Mon]],$J$1:$K$2,2,FALSE))</f>
        <v>1</v>
      </c>
      <c r="L227" s="346">
        <v>70150</v>
      </c>
      <c r="M227" s="247">
        <f>BD.PD[[#This Row],[Cant.]]*BD.PD[[#This Row],[ Tasa ]]*BD.PD[[#This Row],[ Precio Und.]]</f>
        <v>210450</v>
      </c>
      <c r="N227" s="278">
        <v>0</v>
      </c>
      <c r="O227" s="247">
        <f>IF(BD.PD[[#This Row],[Liquid. '[%']]]&lt;&gt;0,(BD.PD[[#This Row],[Valor Neto '[DOP']]]*BD.PD[[#This Row],[Liquid. '[%']]])+BD.PD[[#This Row],[Valor Neto '[DOP']]],BD.PD[[#This Row],[Valor Neto '[DOP']]])</f>
        <v>210450</v>
      </c>
      <c r="P227" s="257">
        <f>BD.PD[[#This Row],[Ppto. Orden Interna '[DOP']]]/HLOOKUP("USD",$J$1:$K$2,2,FALSE)</f>
        <v>3467.0510708401976</v>
      </c>
      <c r="Q227" s="250" t="s">
        <v>416</v>
      </c>
      <c r="R227" s="424" t="s">
        <v>384</v>
      </c>
      <c r="S227" s="251">
        <v>22</v>
      </c>
      <c r="T227" s="252">
        <v>0.5</v>
      </c>
      <c r="U227" s="259">
        <f>BD.PD[[#This Row],[Av.P1 '[%']]]*BD.PD[[#This Row],[Ppto. Orden Interna '[DOP']]]</f>
        <v>105225</v>
      </c>
      <c r="V227" s="254">
        <v>24</v>
      </c>
      <c r="W227" s="255">
        <v>0.5</v>
      </c>
      <c r="X227" s="259">
        <f>BD.PD[[#This Row],[Av.P2 '[%']]]*BD.PD[[#This Row],[Ppto. Orden Interna '[DOP']]]</f>
        <v>105225</v>
      </c>
      <c r="Y227" s="254"/>
      <c r="Z227" s="255"/>
      <c r="AA227" s="259">
        <f>BD.PD[[#This Row],[Av.P3 '[%']]]*BD.PD[[#This Row],[Ppto. Orden Interna '[DOP']]]</f>
        <v>0</v>
      </c>
      <c r="AB227" s="254"/>
      <c r="AC227" s="255"/>
      <c r="AD227" s="259">
        <f>BD.PD[[#This Row],[Av.P4 '[%']]]*BD.PD[[#This Row],[Ppto. Orden Interna '[DOP']]]</f>
        <v>0</v>
      </c>
      <c r="AE227" s="254"/>
      <c r="AF227" s="255"/>
      <c r="AG227" s="259">
        <f>BD.PD[[#This Row],[Av.P5 '[%']]]*BD.PD[[#This Row],[Ppto. Orden Interna '[DOP']]]</f>
        <v>0</v>
      </c>
      <c r="AH227" s="256">
        <f>BD.PD[[#This Row],[Pago 5]]+BD.PD[[#This Row],[Pago 4]]+BD.PD[[#This Row],[Pago 3]]+BD.PD[[#This Row],[Pago 2]]+BD.PD[[#This Row],[Pago 1]]</f>
        <v>210450</v>
      </c>
      <c r="AI227" s="318"/>
    </row>
    <row r="228" spans="1:35" ht="15" customHeight="1" x14ac:dyDescent="0.3">
      <c r="A228" s="181">
        <v>7.01</v>
      </c>
      <c r="B228" s="239"/>
      <c r="C228" s="240" t="str">
        <f>VLOOKUP(BD.PD[[#This Row],[Pos]],PPto[],3,FALSE)</f>
        <v xml:space="preserve">7.01 Equipamiento de Acero Inoxidable </v>
      </c>
      <c r="D228" s="181" t="s">
        <v>40</v>
      </c>
      <c r="E228" s="242" t="str">
        <f>IF(BD.PD[[#This Row],[.]]="*",VLOOKUP(BD.PD[[#This Row],[Pos]],Presupuesto!A:H,7,FALSE),"")</f>
        <v/>
      </c>
      <c r="F228" s="243" t="s">
        <v>430</v>
      </c>
      <c r="G228" s="243" t="s">
        <v>308</v>
      </c>
      <c r="H228" s="275"/>
      <c r="I228" s="357">
        <v>1</v>
      </c>
      <c r="J228" s="181" t="s">
        <v>314</v>
      </c>
      <c r="K228" s="245">
        <f>IF(BD.PD[[#This Row],[Mon]]="DOP",1,HLOOKUP(BD.PD[[#This Row],[Mon]],$J$1:$K$2,2,FALSE))</f>
        <v>1</v>
      </c>
      <c r="L228" s="346">
        <v>69000</v>
      </c>
      <c r="M228" s="247">
        <f>BD.PD[[#This Row],[Cant.]]*BD.PD[[#This Row],[ Tasa ]]*BD.PD[[#This Row],[ Precio Und.]]</f>
        <v>69000</v>
      </c>
      <c r="N228" s="278">
        <v>0</v>
      </c>
      <c r="O228" s="247">
        <f>IF(BD.PD[[#This Row],[Liquid. '[%']]]&lt;&gt;0,(BD.PD[[#This Row],[Valor Neto '[DOP']]]*BD.PD[[#This Row],[Liquid. '[%']]])+BD.PD[[#This Row],[Valor Neto '[DOP']]],BD.PD[[#This Row],[Valor Neto '[DOP']]])</f>
        <v>69000</v>
      </c>
      <c r="P228" s="257">
        <f>BD.PD[[#This Row],[Ppto. Orden Interna '[DOP']]]/HLOOKUP("USD",$J$1:$K$2,2,FALSE)</f>
        <v>1136.7380560131796</v>
      </c>
      <c r="Q228" s="250" t="s">
        <v>416</v>
      </c>
      <c r="R228" s="258" t="s">
        <v>384</v>
      </c>
      <c r="S228" s="251">
        <v>22</v>
      </c>
      <c r="T228" s="252">
        <v>0.5</v>
      </c>
      <c r="U228" s="259">
        <f>BD.PD[[#This Row],[Av.P1 '[%']]]*BD.PD[[#This Row],[Ppto. Orden Interna '[DOP']]]</f>
        <v>34500</v>
      </c>
      <c r="V228" s="254">
        <v>24</v>
      </c>
      <c r="W228" s="255">
        <v>0.5</v>
      </c>
      <c r="X228" s="259">
        <f>BD.PD[[#This Row],[Av.P2 '[%']]]*BD.PD[[#This Row],[Ppto. Orden Interna '[DOP']]]</f>
        <v>34500</v>
      </c>
      <c r="Y228" s="254"/>
      <c r="Z228" s="255"/>
      <c r="AA228" s="259">
        <f>BD.PD[[#This Row],[Av.P3 '[%']]]*BD.PD[[#This Row],[Ppto. Orden Interna '[DOP']]]</f>
        <v>0</v>
      </c>
      <c r="AB228" s="254"/>
      <c r="AC228" s="255"/>
      <c r="AD228" s="259">
        <f>BD.PD[[#This Row],[Av.P4 '[%']]]*BD.PD[[#This Row],[Ppto. Orden Interna '[DOP']]]</f>
        <v>0</v>
      </c>
      <c r="AE228" s="254"/>
      <c r="AF228" s="255"/>
      <c r="AG228" s="259">
        <f>BD.PD[[#This Row],[Av.P5 '[%']]]*BD.PD[[#This Row],[Ppto. Orden Interna '[DOP']]]</f>
        <v>0</v>
      </c>
      <c r="AH228" s="256">
        <f>BD.PD[[#This Row],[Pago 5]]+BD.PD[[#This Row],[Pago 4]]+BD.PD[[#This Row],[Pago 3]]+BD.PD[[#This Row],[Pago 2]]+BD.PD[[#This Row],[Pago 1]]</f>
        <v>69000</v>
      </c>
      <c r="AI228" s="318"/>
    </row>
    <row r="229" spans="1:35" ht="15" customHeight="1" x14ac:dyDescent="0.3">
      <c r="A229" s="181">
        <v>7.01</v>
      </c>
      <c r="B229" s="239"/>
      <c r="C229" s="240" t="str">
        <f>VLOOKUP(BD.PD[[#This Row],[Pos]],PPto[],3,FALSE)</f>
        <v xml:space="preserve">7.01 Equipamiento de Acero Inoxidable </v>
      </c>
      <c r="D229" s="181" t="s">
        <v>40</v>
      </c>
      <c r="E229" s="242" t="str">
        <f>IF(BD.PD[[#This Row],[.]]="*",VLOOKUP(BD.PD[[#This Row],[Pos]],Presupuesto!A:H,7,FALSE),"")</f>
        <v/>
      </c>
      <c r="F229" s="243" t="s">
        <v>431</v>
      </c>
      <c r="G229" s="243" t="s">
        <v>308</v>
      </c>
      <c r="H229" s="275"/>
      <c r="I229" s="357">
        <v>1</v>
      </c>
      <c r="J229" s="181" t="s">
        <v>314</v>
      </c>
      <c r="K229" s="245">
        <f>IF(BD.PD[[#This Row],[Mon]]="DOP",1,HLOOKUP(BD.PD[[#This Row],[Mon]],$J$1:$K$2,2,FALSE))</f>
        <v>1</v>
      </c>
      <c r="L229" s="346">
        <v>28000</v>
      </c>
      <c r="M229" s="247">
        <f>BD.PD[[#This Row],[Cant.]]*BD.PD[[#This Row],[ Tasa ]]*BD.PD[[#This Row],[ Precio Und.]]</f>
        <v>28000</v>
      </c>
      <c r="N229" s="278">
        <v>0</v>
      </c>
      <c r="O229" s="247">
        <f>IF(BD.PD[[#This Row],[Liquid. '[%']]]&lt;&gt;0,(BD.PD[[#This Row],[Valor Neto '[DOP']]]*BD.PD[[#This Row],[Liquid. '[%']]])+BD.PD[[#This Row],[Valor Neto '[DOP']]],BD.PD[[#This Row],[Valor Neto '[DOP']]])</f>
        <v>28000</v>
      </c>
      <c r="P229" s="257">
        <f>BD.PD[[#This Row],[Ppto. Orden Interna '[DOP']]]/HLOOKUP("USD",$J$1:$K$2,2,FALSE)</f>
        <v>461.28500823723226</v>
      </c>
      <c r="Q229" s="250" t="s">
        <v>416</v>
      </c>
      <c r="R229" s="258" t="s">
        <v>384</v>
      </c>
      <c r="S229" s="251">
        <v>22</v>
      </c>
      <c r="T229" s="252">
        <v>0.5</v>
      </c>
      <c r="U229" s="259">
        <f>BD.PD[[#This Row],[Av.P1 '[%']]]*BD.PD[[#This Row],[Ppto. Orden Interna '[DOP']]]</f>
        <v>14000</v>
      </c>
      <c r="V229" s="254">
        <v>24</v>
      </c>
      <c r="W229" s="255">
        <v>0.5</v>
      </c>
      <c r="X229" s="259">
        <f>BD.PD[[#This Row],[Av.P2 '[%']]]*BD.PD[[#This Row],[Ppto. Orden Interna '[DOP']]]</f>
        <v>14000</v>
      </c>
      <c r="Y229" s="254"/>
      <c r="Z229" s="255"/>
      <c r="AA229" s="259">
        <f>BD.PD[[#This Row],[Av.P3 '[%']]]*BD.PD[[#This Row],[Ppto. Orden Interna '[DOP']]]</f>
        <v>0</v>
      </c>
      <c r="AB229" s="254"/>
      <c r="AC229" s="255"/>
      <c r="AD229" s="259">
        <f>BD.PD[[#This Row],[Av.P4 '[%']]]*BD.PD[[#This Row],[Ppto. Orden Interna '[DOP']]]</f>
        <v>0</v>
      </c>
      <c r="AE229" s="254"/>
      <c r="AF229" s="255"/>
      <c r="AG229" s="259">
        <f>BD.PD[[#This Row],[Av.P5 '[%']]]*BD.PD[[#This Row],[Ppto. Orden Interna '[DOP']]]</f>
        <v>0</v>
      </c>
      <c r="AH229" s="256">
        <f>BD.PD[[#This Row],[Pago 5]]+BD.PD[[#This Row],[Pago 4]]+BD.PD[[#This Row],[Pago 3]]+BD.PD[[#This Row],[Pago 2]]+BD.PD[[#This Row],[Pago 1]]</f>
        <v>28000</v>
      </c>
      <c r="AI229" s="318"/>
    </row>
    <row r="230" spans="1:35" ht="15" customHeight="1" x14ac:dyDescent="0.3">
      <c r="A230" s="181">
        <v>7.01</v>
      </c>
      <c r="B230" s="239"/>
      <c r="C230" s="240" t="str">
        <f>VLOOKUP(BD.PD[[#This Row],[Pos]],PPto[],3,FALSE)</f>
        <v xml:space="preserve">7.01 Equipamiento de Acero Inoxidable </v>
      </c>
      <c r="D230" s="181" t="s">
        <v>40</v>
      </c>
      <c r="E230" s="242" t="str">
        <f>IF(BD.PD[[#This Row],[.]]="*",VLOOKUP(BD.PD[[#This Row],[Pos]],Presupuesto!A:H,7,FALSE),"")</f>
        <v/>
      </c>
      <c r="F230" s="243" t="s">
        <v>432</v>
      </c>
      <c r="G230" s="243" t="s">
        <v>308</v>
      </c>
      <c r="H230" s="275"/>
      <c r="I230" s="357">
        <v>2</v>
      </c>
      <c r="J230" s="181" t="s">
        <v>314</v>
      </c>
      <c r="K230" s="245">
        <f>IF(BD.PD[[#This Row],[Mon]]="DOP",1,HLOOKUP(BD.PD[[#This Row],[Mon]],$J$1:$K$2,2,FALSE))</f>
        <v>1</v>
      </c>
      <c r="L230" s="277">
        <v>70000</v>
      </c>
      <c r="M230" s="247">
        <f>BD.PD[[#This Row],[Cant.]]*BD.PD[[#This Row],[ Tasa ]]*BD.PD[[#This Row],[ Precio Und.]]</f>
        <v>140000</v>
      </c>
      <c r="N230" s="278">
        <v>0</v>
      </c>
      <c r="O230" s="247">
        <f>IF(BD.PD[[#This Row],[Liquid. '[%']]]&lt;&gt;0,(BD.PD[[#This Row],[Valor Neto '[DOP']]]*BD.PD[[#This Row],[Liquid. '[%']]])+BD.PD[[#This Row],[Valor Neto '[DOP']]],BD.PD[[#This Row],[Valor Neto '[DOP']]])</f>
        <v>140000</v>
      </c>
      <c r="P230" s="257">
        <f>BD.PD[[#This Row],[Ppto. Orden Interna '[DOP']]]/HLOOKUP("USD",$J$1:$K$2,2,FALSE)</f>
        <v>2306.4250411861613</v>
      </c>
      <c r="Q230" s="250" t="s">
        <v>416</v>
      </c>
      <c r="R230" s="258" t="s">
        <v>384</v>
      </c>
      <c r="S230" s="251">
        <v>22</v>
      </c>
      <c r="T230" s="252">
        <v>0.5</v>
      </c>
      <c r="U230" s="259">
        <f>BD.PD[[#This Row],[Av.P1 '[%']]]*BD.PD[[#This Row],[Ppto. Orden Interna '[DOP']]]</f>
        <v>70000</v>
      </c>
      <c r="V230" s="254">
        <v>24</v>
      </c>
      <c r="W230" s="255">
        <v>0.5</v>
      </c>
      <c r="X230" s="259">
        <f>BD.PD[[#This Row],[Av.P2 '[%']]]*BD.PD[[#This Row],[Ppto. Orden Interna '[DOP']]]</f>
        <v>70000</v>
      </c>
      <c r="Y230" s="254"/>
      <c r="Z230" s="255"/>
      <c r="AA230" s="259">
        <f>BD.PD[[#This Row],[Av.P3 '[%']]]*BD.PD[[#This Row],[Ppto. Orden Interna '[DOP']]]</f>
        <v>0</v>
      </c>
      <c r="AB230" s="254"/>
      <c r="AC230" s="255"/>
      <c r="AD230" s="259">
        <f>BD.PD[[#This Row],[Av.P4 '[%']]]*BD.PD[[#This Row],[Ppto. Orden Interna '[DOP']]]</f>
        <v>0</v>
      </c>
      <c r="AE230" s="254"/>
      <c r="AF230" s="255"/>
      <c r="AG230" s="259">
        <f>BD.PD[[#This Row],[Av.P5 '[%']]]*BD.PD[[#This Row],[Ppto. Orden Interna '[DOP']]]</f>
        <v>0</v>
      </c>
      <c r="AH230" s="256">
        <f>BD.PD[[#This Row],[Pago 5]]+BD.PD[[#This Row],[Pago 4]]+BD.PD[[#This Row],[Pago 3]]+BD.PD[[#This Row],[Pago 2]]+BD.PD[[#This Row],[Pago 1]]</f>
        <v>140000</v>
      </c>
      <c r="AI230" s="318"/>
    </row>
    <row r="231" spans="1:35" ht="15" customHeight="1" x14ac:dyDescent="0.3">
      <c r="A231" s="181">
        <v>7.01</v>
      </c>
      <c r="B231" s="239"/>
      <c r="C231" s="240" t="str">
        <f>VLOOKUP(BD.PD[[#This Row],[Pos]],PPto[],3,FALSE)</f>
        <v xml:space="preserve">7.01 Equipamiento de Acero Inoxidable </v>
      </c>
      <c r="D231" s="181" t="s">
        <v>40</v>
      </c>
      <c r="E231" s="242" t="str">
        <f>IF(BD.PD[[#This Row],[.]]="*",VLOOKUP(BD.PD[[#This Row],[Pos]],Presupuesto!A:H,7,FALSE),"")</f>
        <v/>
      </c>
      <c r="F231" s="243" t="s">
        <v>433</v>
      </c>
      <c r="G231" s="243" t="s">
        <v>308</v>
      </c>
      <c r="H231" s="275"/>
      <c r="I231" s="276">
        <v>1</v>
      </c>
      <c r="J231" s="181" t="s">
        <v>314</v>
      </c>
      <c r="K231" s="245">
        <f>IF(BD.PD[[#This Row],[Mon]]="DOP",1,HLOOKUP(BD.PD[[#This Row],[Mon]],$J$1:$K$2,2,FALSE))</f>
        <v>1</v>
      </c>
      <c r="L231" s="277">
        <v>250000</v>
      </c>
      <c r="M231" s="247">
        <f>BD.PD[[#This Row],[Cant.]]*BD.PD[[#This Row],[ Tasa ]]*BD.PD[[#This Row],[ Precio Und.]]</f>
        <v>250000</v>
      </c>
      <c r="N231" s="278">
        <v>0</v>
      </c>
      <c r="O231" s="247">
        <f>IF(BD.PD[[#This Row],[Liquid. '[%']]]&lt;&gt;0,(BD.PD[[#This Row],[Valor Neto '[DOP']]]*BD.PD[[#This Row],[Liquid. '[%']]])+BD.PD[[#This Row],[Valor Neto '[DOP']]],BD.PD[[#This Row],[Valor Neto '[DOP']]])</f>
        <v>250000</v>
      </c>
      <c r="P231" s="257">
        <f>BD.PD[[#This Row],[Ppto. Orden Interna '[DOP']]]/HLOOKUP("USD",$J$1:$K$2,2,FALSE)</f>
        <v>4118.6161449752881</v>
      </c>
      <c r="Q231" s="250" t="s">
        <v>416</v>
      </c>
      <c r="R231" s="258" t="s">
        <v>384</v>
      </c>
      <c r="S231" s="251">
        <v>22</v>
      </c>
      <c r="T231" s="252">
        <v>1</v>
      </c>
      <c r="U231" s="259">
        <f>BD.PD[[#This Row],[Av.P1 '[%']]]*BD.PD[[#This Row],[Ppto. Orden Interna '[DOP']]]</f>
        <v>250000</v>
      </c>
      <c r="V231" s="254"/>
      <c r="W231" s="255"/>
      <c r="X231" s="259">
        <f>BD.PD[[#This Row],[Av.P2 '[%']]]*BD.PD[[#This Row],[Ppto. Orden Interna '[DOP']]]</f>
        <v>0</v>
      </c>
      <c r="Y231" s="254"/>
      <c r="Z231" s="255"/>
      <c r="AA231" s="259">
        <f>BD.PD[[#This Row],[Av.P3 '[%']]]*BD.PD[[#This Row],[Ppto. Orden Interna '[DOP']]]</f>
        <v>0</v>
      </c>
      <c r="AB231" s="254"/>
      <c r="AC231" s="255"/>
      <c r="AD231" s="259">
        <f>BD.PD[[#This Row],[Av.P4 '[%']]]*BD.PD[[#This Row],[Ppto. Orden Interna '[DOP']]]</f>
        <v>0</v>
      </c>
      <c r="AE231" s="254"/>
      <c r="AF231" s="255"/>
      <c r="AG231" s="259">
        <f>BD.PD[[#This Row],[Av.P5 '[%']]]*BD.PD[[#This Row],[Ppto. Orden Interna '[DOP']]]</f>
        <v>0</v>
      </c>
      <c r="AH231" s="256">
        <f>BD.PD[[#This Row],[Pago 5]]+BD.PD[[#This Row],[Pago 4]]+BD.PD[[#This Row],[Pago 3]]+BD.PD[[#This Row],[Pago 2]]+BD.PD[[#This Row],[Pago 1]]</f>
        <v>250000</v>
      </c>
      <c r="AI231" s="318"/>
    </row>
    <row r="232" spans="1:35" ht="15" customHeight="1" x14ac:dyDescent="0.3">
      <c r="A232" s="181">
        <v>7.02</v>
      </c>
      <c r="B232" s="239"/>
      <c r="C232" s="240" t="str">
        <f>VLOOKUP(BD.PD[[#This Row],[Pos]],PPto[],3,FALSE)</f>
        <v>7.02 Cocina, Patio Comidas y Rostizería</v>
      </c>
      <c r="D232" s="181" t="s">
        <v>40</v>
      </c>
      <c r="E232" s="242" t="str">
        <f>IF(BD.PD[[#This Row],[.]]="*",VLOOKUP(BD.PD[[#This Row],[Pos]],Presupuesto!A:H,7,FALSE),"")</f>
        <v/>
      </c>
      <c r="F232" s="305" t="s">
        <v>445</v>
      </c>
      <c r="G232" s="243" t="s">
        <v>1069</v>
      </c>
      <c r="H232" s="275" t="s">
        <v>1071</v>
      </c>
      <c r="I232" s="276">
        <v>1</v>
      </c>
      <c r="J232" s="181" t="s">
        <v>314</v>
      </c>
      <c r="K232" s="245">
        <f>IF(BD.PD[[#This Row],[Mon]]="DOP",1,HLOOKUP(BD.PD[[#This Row],[Mon]],$J$1:$K$2,2,FALSE))</f>
        <v>1</v>
      </c>
      <c r="L232" s="277">
        <v>64770.41</v>
      </c>
      <c r="M232" s="247">
        <f>BD.PD[[#This Row],[Cant.]]*BD.PD[[#This Row],[ Tasa ]]*BD.PD[[#This Row],[ Precio Und.]]</f>
        <v>64770.41</v>
      </c>
      <c r="N232" s="278">
        <v>0</v>
      </c>
      <c r="O232" s="247">
        <f>IF(BD.PD[[#This Row],[Liquid. '[%']]]&lt;&gt;0,(BD.PD[[#This Row],[Valor Neto '[DOP']]]*BD.PD[[#This Row],[Liquid. '[%']]])+BD.PD[[#This Row],[Valor Neto '[DOP']]],BD.PD[[#This Row],[Valor Neto '[DOP']]])</f>
        <v>64770.41</v>
      </c>
      <c r="P232" s="257">
        <f>BD.PD[[#This Row],[Ppto. Orden Interna '[DOP']]]/HLOOKUP("USD",$J$1:$K$2,2,FALSE)</f>
        <v>1067.0578253706756</v>
      </c>
      <c r="Q232" s="250" t="s">
        <v>446</v>
      </c>
      <c r="R232" s="258" t="s">
        <v>447</v>
      </c>
      <c r="S232" s="251">
        <v>21</v>
      </c>
      <c r="T232" s="252">
        <v>1</v>
      </c>
      <c r="U232" s="259">
        <f>BD.PD[[#This Row],[Av.P1 '[%']]]*BD.PD[[#This Row],[Ppto. Orden Interna '[DOP']]]</f>
        <v>64770.41</v>
      </c>
      <c r="V232" s="254"/>
      <c r="W232" s="255"/>
      <c r="X232" s="259">
        <f>BD.PD[[#This Row],[Av.P2 '[%']]]*BD.PD[[#This Row],[Ppto. Orden Interna '[DOP']]]</f>
        <v>0</v>
      </c>
      <c r="Y232" s="254"/>
      <c r="Z232" s="255"/>
      <c r="AA232" s="259">
        <f>BD.PD[[#This Row],[Av.P3 '[%']]]*BD.PD[[#This Row],[Ppto. Orden Interna '[DOP']]]</f>
        <v>0</v>
      </c>
      <c r="AB232" s="254"/>
      <c r="AC232" s="255"/>
      <c r="AD232" s="259">
        <f>BD.PD[[#This Row],[Av.P4 '[%']]]*BD.PD[[#This Row],[Ppto. Orden Interna '[DOP']]]</f>
        <v>0</v>
      </c>
      <c r="AE232" s="254"/>
      <c r="AF232" s="255"/>
      <c r="AG232" s="259">
        <f>BD.PD[[#This Row],[Av.P5 '[%']]]*BD.PD[[#This Row],[Ppto. Orden Interna '[DOP']]]</f>
        <v>0</v>
      </c>
      <c r="AH232" s="256">
        <f>BD.PD[[#This Row],[Pago 5]]+BD.PD[[#This Row],[Pago 4]]+BD.PD[[#This Row],[Pago 3]]+BD.PD[[#This Row],[Pago 2]]+BD.PD[[#This Row],[Pago 1]]</f>
        <v>64770.41</v>
      </c>
      <c r="AI232" s="318"/>
    </row>
    <row r="233" spans="1:35" ht="15" customHeight="1" x14ac:dyDescent="0.3">
      <c r="A233" s="181">
        <v>7.02</v>
      </c>
      <c r="B233" s="239"/>
      <c r="C233" s="240" t="str">
        <f>VLOOKUP(BD.PD[[#This Row],[Pos]],PPto[],3,FALSE)</f>
        <v>7.02 Cocina, Patio Comidas y Rostizería</v>
      </c>
      <c r="D233" s="181" t="s">
        <v>40</v>
      </c>
      <c r="E233" s="242" t="str">
        <f>IF(BD.PD[[#This Row],[.]]="*",VLOOKUP(BD.PD[[#This Row],[Pos]],Presupuesto!A:H,7,FALSE),"")</f>
        <v/>
      </c>
      <c r="F233" s="305" t="s">
        <v>452</v>
      </c>
      <c r="G233" s="243" t="s">
        <v>1068</v>
      </c>
      <c r="H233" s="275" t="s">
        <v>1071</v>
      </c>
      <c r="I233" s="276">
        <v>1</v>
      </c>
      <c r="J233" s="181" t="s">
        <v>314</v>
      </c>
      <c r="K233" s="245">
        <f>IF(BD.PD[[#This Row],[Mon]]="DOP",1,HLOOKUP(BD.PD[[#This Row],[Mon]],$J$1:$K$2,2,FALSE))</f>
        <v>1</v>
      </c>
      <c r="L233" s="277">
        <v>307391.34000000003</v>
      </c>
      <c r="M233" s="247">
        <f>BD.PD[[#This Row],[Cant.]]*BD.PD[[#This Row],[ Tasa ]]*BD.PD[[#This Row],[ Precio Und.]]</f>
        <v>307391.34000000003</v>
      </c>
      <c r="N233" s="278">
        <v>0</v>
      </c>
      <c r="O233" s="247">
        <f>IF(BD.PD[[#This Row],[Liquid. '[%']]]&lt;&gt;0,(BD.PD[[#This Row],[Valor Neto '[DOP']]]*BD.PD[[#This Row],[Liquid. '[%']]])+BD.PD[[#This Row],[Valor Neto '[DOP']]],BD.PD[[#This Row],[Valor Neto '[DOP']]])</f>
        <v>307391.34000000003</v>
      </c>
      <c r="P233" s="257">
        <f>BD.PD[[#This Row],[Ppto. Orden Interna '[DOP']]]/HLOOKUP("USD",$J$1:$K$2,2,FALSE)</f>
        <v>5064.1077429983525</v>
      </c>
      <c r="Q233" s="250" t="s">
        <v>449</v>
      </c>
      <c r="R233" s="258" t="s">
        <v>447</v>
      </c>
      <c r="S233" s="251">
        <v>21</v>
      </c>
      <c r="T233" s="252">
        <v>1</v>
      </c>
      <c r="U233" s="259">
        <f>BD.PD[[#This Row],[Av.P1 '[%']]]*BD.PD[[#This Row],[Ppto. Orden Interna '[DOP']]]</f>
        <v>307391.34000000003</v>
      </c>
      <c r="V233" s="254"/>
      <c r="W233" s="255"/>
      <c r="X233" s="259">
        <f>BD.PD[[#This Row],[Av.P2 '[%']]]*BD.PD[[#This Row],[Ppto. Orden Interna '[DOP']]]</f>
        <v>0</v>
      </c>
      <c r="Y233" s="254"/>
      <c r="Z233" s="255"/>
      <c r="AA233" s="259">
        <f>BD.PD[[#This Row],[Av.P3 '[%']]]*BD.PD[[#This Row],[Ppto. Orden Interna '[DOP']]]</f>
        <v>0</v>
      </c>
      <c r="AB233" s="254"/>
      <c r="AC233" s="255"/>
      <c r="AD233" s="259">
        <f>BD.PD[[#This Row],[Av.P4 '[%']]]*BD.PD[[#This Row],[Ppto. Orden Interna '[DOP']]]</f>
        <v>0</v>
      </c>
      <c r="AE233" s="254"/>
      <c r="AF233" s="255"/>
      <c r="AG233" s="259">
        <f>BD.PD[[#This Row],[Av.P5 '[%']]]*BD.PD[[#This Row],[Ppto. Orden Interna '[DOP']]]</f>
        <v>0</v>
      </c>
      <c r="AH233" s="256">
        <f>BD.PD[[#This Row],[Pago 5]]+BD.PD[[#This Row],[Pago 4]]+BD.PD[[#This Row],[Pago 3]]+BD.PD[[#This Row],[Pago 2]]+BD.PD[[#This Row],[Pago 1]]</f>
        <v>307391.34000000003</v>
      </c>
      <c r="AI233" s="318"/>
    </row>
    <row r="234" spans="1:35" ht="15" customHeight="1" x14ac:dyDescent="0.3">
      <c r="A234" s="181">
        <v>3.04</v>
      </c>
      <c r="B234" s="239"/>
      <c r="C234" s="240" t="str">
        <f>VLOOKUP(BD.PD[[#This Row],[Pos]],PPto[],3,FALSE)</f>
        <v>3.04 Inversor y UPS</v>
      </c>
      <c r="D234" s="181" t="s">
        <v>40</v>
      </c>
      <c r="E234" s="242" t="str">
        <f>IF(BD.PD[[#This Row],[.]]="*",VLOOKUP(BD.PD[[#This Row],[Pos]],Presupuesto!A:H,7,FALSE),"")</f>
        <v/>
      </c>
      <c r="F234" s="303" t="s">
        <v>344</v>
      </c>
      <c r="G234" s="243" t="s">
        <v>308</v>
      </c>
      <c r="H234" s="275"/>
      <c r="I234" s="276">
        <v>5</v>
      </c>
      <c r="J234" s="181" t="s">
        <v>188</v>
      </c>
      <c r="K234" s="245">
        <f>IF(BD.PD[[#This Row],[Mon]]="DOP",1,HLOOKUP(BD.PD[[#This Row],[Mon]],$J$1:$K$2,2,FALSE))</f>
        <v>60.7</v>
      </c>
      <c r="L234" s="277">
        <v>1664</v>
      </c>
      <c r="M234" s="247">
        <f>BD.PD[[#This Row],[Cant.]]*BD.PD[[#This Row],[ Tasa ]]*BD.PD[[#This Row],[ Precio Und.]]</f>
        <v>505024</v>
      </c>
      <c r="N234" s="278">
        <v>0</v>
      </c>
      <c r="O234" s="247">
        <f>IF(BD.PD[[#This Row],[Liquid. '[%']]]&lt;&gt;0,(BD.PD[[#This Row],[Valor Neto '[DOP']]]*BD.PD[[#This Row],[Liquid. '[%']]])+BD.PD[[#This Row],[Valor Neto '[DOP']]],BD.PD[[#This Row],[Valor Neto '[DOP']]])</f>
        <v>505024</v>
      </c>
      <c r="P234" s="257">
        <f>BD.PD[[#This Row],[Ppto. Orden Interna '[DOP']]]/HLOOKUP("USD",$J$1:$K$2,2,FALSE)</f>
        <v>8320</v>
      </c>
      <c r="Q234" s="250" t="s">
        <v>345</v>
      </c>
      <c r="R234" s="258" t="s">
        <v>346</v>
      </c>
      <c r="S234" s="251">
        <v>22</v>
      </c>
      <c r="T234" s="252">
        <v>1</v>
      </c>
      <c r="U234" s="259">
        <f>BD.PD[[#This Row],[Av.P1 '[%']]]*BD.PD[[#This Row],[Ppto. Orden Interna '[DOP']]]</f>
        <v>505024</v>
      </c>
      <c r="V234" s="254"/>
      <c r="W234" s="255"/>
      <c r="X234" s="259">
        <f>BD.PD[[#This Row],[Av.P2 '[%']]]*BD.PD[[#This Row],[Ppto. Orden Interna '[DOP']]]</f>
        <v>0</v>
      </c>
      <c r="Y234" s="254"/>
      <c r="Z234" s="255"/>
      <c r="AA234" s="259">
        <f>BD.PD[[#This Row],[Av.P3 '[%']]]*BD.PD[[#This Row],[Ppto. Orden Interna '[DOP']]]</f>
        <v>0</v>
      </c>
      <c r="AB234" s="254"/>
      <c r="AC234" s="255"/>
      <c r="AD234" s="259">
        <f>BD.PD[[#This Row],[Av.P4 '[%']]]*BD.PD[[#This Row],[Ppto. Orden Interna '[DOP']]]</f>
        <v>0</v>
      </c>
      <c r="AE234" s="254"/>
      <c r="AF234" s="255"/>
      <c r="AG234" s="259">
        <f>BD.PD[[#This Row],[Av.P5 '[%']]]*BD.PD[[#This Row],[Ppto. Orden Interna '[DOP']]]</f>
        <v>0</v>
      </c>
      <c r="AH234" s="256">
        <f>BD.PD[[#This Row],[Pago 5]]+BD.PD[[#This Row],[Pago 4]]+BD.PD[[#This Row],[Pago 3]]+BD.PD[[#This Row],[Pago 2]]+BD.PD[[#This Row],[Pago 1]]</f>
        <v>505024</v>
      </c>
      <c r="AI234" s="318"/>
    </row>
    <row r="235" spans="1:35" ht="15" customHeight="1" x14ac:dyDescent="0.3">
      <c r="A235" s="181">
        <v>3.04</v>
      </c>
      <c r="B235" s="239"/>
      <c r="C235" s="240" t="str">
        <f>VLOOKUP(BD.PD[[#This Row],[Pos]],PPto[],3,FALSE)</f>
        <v>3.04 Inversor y UPS</v>
      </c>
      <c r="D235" s="181" t="s">
        <v>40</v>
      </c>
      <c r="E235" s="242" t="str">
        <f>IF(BD.PD[[#This Row],[.]]="*",VLOOKUP(BD.PD[[#This Row],[Pos]],Presupuesto!A:H,7,FALSE),"")</f>
        <v/>
      </c>
      <c r="F235" s="303" t="s">
        <v>347</v>
      </c>
      <c r="G235" s="243" t="s">
        <v>308</v>
      </c>
      <c r="H235" s="275"/>
      <c r="I235" s="276">
        <v>4</v>
      </c>
      <c r="J235" s="181" t="s">
        <v>188</v>
      </c>
      <c r="K235" s="245">
        <f>IF(BD.PD[[#This Row],[Mon]]="DOP",1,HLOOKUP(BD.PD[[#This Row],[Mon]],$J$1:$K$2,2,FALSE))</f>
        <v>60.7</v>
      </c>
      <c r="L235" s="277">
        <v>425</v>
      </c>
      <c r="M235" s="247">
        <f>BD.PD[[#This Row],[Cant.]]*BD.PD[[#This Row],[ Tasa ]]*BD.PD[[#This Row],[ Precio Und.]]</f>
        <v>103190</v>
      </c>
      <c r="N235" s="278">
        <v>0</v>
      </c>
      <c r="O235" s="247">
        <f>IF(BD.PD[[#This Row],[Liquid. '[%']]]&lt;&gt;0,(BD.PD[[#This Row],[Valor Neto '[DOP']]]*BD.PD[[#This Row],[Liquid. '[%']]])+BD.PD[[#This Row],[Valor Neto '[DOP']]],BD.PD[[#This Row],[Valor Neto '[DOP']]])</f>
        <v>103190</v>
      </c>
      <c r="P235" s="257">
        <f>BD.PD[[#This Row],[Ppto. Orden Interna '[DOP']]]/HLOOKUP("USD",$J$1:$K$2,2,FALSE)</f>
        <v>1700</v>
      </c>
      <c r="Q235" s="250" t="s">
        <v>345</v>
      </c>
      <c r="R235" s="258" t="s">
        <v>346</v>
      </c>
      <c r="S235" s="251">
        <v>22</v>
      </c>
      <c r="T235" s="252">
        <v>1</v>
      </c>
      <c r="U235" s="259">
        <f>BD.PD[[#This Row],[Av.P1 '[%']]]*BD.PD[[#This Row],[Ppto. Orden Interna '[DOP']]]</f>
        <v>103190</v>
      </c>
      <c r="V235" s="254"/>
      <c r="W235" s="255"/>
      <c r="X235" s="259">
        <f>BD.PD[[#This Row],[Av.P2 '[%']]]*BD.PD[[#This Row],[Ppto. Orden Interna '[DOP']]]</f>
        <v>0</v>
      </c>
      <c r="Y235" s="254"/>
      <c r="Z235" s="255"/>
      <c r="AA235" s="259">
        <f>BD.PD[[#This Row],[Av.P3 '[%']]]*BD.PD[[#This Row],[Ppto. Orden Interna '[DOP']]]</f>
        <v>0</v>
      </c>
      <c r="AB235" s="254"/>
      <c r="AC235" s="255"/>
      <c r="AD235" s="259">
        <f>BD.PD[[#This Row],[Av.P4 '[%']]]*BD.PD[[#This Row],[Ppto. Orden Interna '[DOP']]]</f>
        <v>0</v>
      </c>
      <c r="AE235" s="254"/>
      <c r="AF235" s="255"/>
      <c r="AG235" s="259">
        <f>BD.PD[[#This Row],[Av.P5 '[%']]]*BD.PD[[#This Row],[Ppto. Orden Interna '[DOP']]]</f>
        <v>0</v>
      </c>
      <c r="AH235" s="256">
        <f>BD.PD[[#This Row],[Pago 5]]+BD.PD[[#This Row],[Pago 4]]+BD.PD[[#This Row],[Pago 3]]+BD.PD[[#This Row],[Pago 2]]+BD.PD[[#This Row],[Pago 1]]</f>
        <v>103190</v>
      </c>
      <c r="AI235" s="318"/>
    </row>
    <row r="236" spans="1:35" ht="15" customHeight="1" x14ac:dyDescent="0.3">
      <c r="A236" s="181">
        <v>3.04</v>
      </c>
      <c r="B236" s="239"/>
      <c r="C236" s="240" t="str">
        <f>VLOOKUP(BD.PD[[#This Row],[Pos]],PPto[],3,FALSE)</f>
        <v>3.04 Inversor y UPS</v>
      </c>
      <c r="D236" s="181" t="s">
        <v>40</v>
      </c>
      <c r="E236" s="242" t="str">
        <f>IF(BD.PD[[#This Row],[.]]="*",VLOOKUP(BD.PD[[#This Row],[Pos]],Presupuesto!A:H,7,FALSE),"")</f>
        <v/>
      </c>
      <c r="F236" s="303" t="s">
        <v>348</v>
      </c>
      <c r="G236" s="243" t="s">
        <v>308</v>
      </c>
      <c r="H236" s="275"/>
      <c r="I236" s="276">
        <v>16</v>
      </c>
      <c r="J236" s="181" t="s">
        <v>188</v>
      </c>
      <c r="K236" s="245">
        <f>IF(BD.PD[[#This Row],[Mon]]="DOP",1,HLOOKUP(BD.PD[[#This Row],[Mon]],$J$1:$K$2,2,FALSE))</f>
        <v>60.7</v>
      </c>
      <c r="L236" s="277">
        <v>187</v>
      </c>
      <c r="M236" s="247">
        <f>BD.PD[[#This Row],[Cant.]]*BD.PD[[#This Row],[ Tasa ]]*BD.PD[[#This Row],[ Precio Und.]]</f>
        <v>181614.4</v>
      </c>
      <c r="N236" s="278">
        <v>0</v>
      </c>
      <c r="O236" s="247">
        <f>IF(BD.PD[[#This Row],[Liquid. '[%']]]&lt;&gt;0,(BD.PD[[#This Row],[Valor Neto '[DOP']]]*BD.PD[[#This Row],[Liquid. '[%']]])+BD.PD[[#This Row],[Valor Neto '[DOP']]],BD.PD[[#This Row],[Valor Neto '[DOP']]])</f>
        <v>181614.4</v>
      </c>
      <c r="P236" s="257">
        <f>BD.PD[[#This Row],[Ppto. Orden Interna '[DOP']]]/HLOOKUP("USD",$J$1:$K$2,2,FALSE)</f>
        <v>2991.9999999999995</v>
      </c>
      <c r="Q236" s="250" t="s">
        <v>345</v>
      </c>
      <c r="R236" s="258" t="s">
        <v>346</v>
      </c>
      <c r="S236" s="251">
        <v>22</v>
      </c>
      <c r="T236" s="252">
        <v>1</v>
      </c>
      <c r="U236" s="259">
        <f>BD.PD[[#This Row],[Av.P1 '[%']]]*BD.PD[[#This Row],[Ppto. Orden Interna '[DOP']]]</f>
        <v>181614.4</v>
      </c>
      <c r="V236" s="254"/>
      <c r="W236" s="255"/>
      <c r="X236" s="259">
        <f>BD.PD[[#This Row],[Av.P2 '[%']]]*BD.PD[[#This Row],[Ppto. Orden Interna '[DOP']]]</f>
        <v>0</v>
      </c>
      <c r="Y236" s="254"/>
      <c r="Z236" s="255"/>
      <c r="AA236" s="259">
        <f>BD.PD[[#This Row],[Av.P3 '[%']]]*BD.PD[[#This Row],[Ppto. Orden Interna '[DOP']]]</f>
        <v>0</v>
      </c>
      <c r="AB236" s="254"/>
      <c r="AC236" s="255"/>
      <c r="AD236" s="259">
        <f>BD.PD[[#This Row],[Av.P4 '[%']]]*BD.PD[[#This Row],[Ppto. Orden Interna '[DOP']]]</f>
        <v>0</v>
      </c>
      <c r="AE236" s="254"/>
      <c r="AF236" s="255"/>
      <c r="AG236" s="259">
        <f>BD.PD[[#This Row],[Av.P5 '[%']]]*BD.PD[[#This Row],[Ppto. Orden Interna '[DOP']]]</f>
        <v>0</v>
      </c>
      <c r="AH236" s="256">
        <f>BD.PD[[#This Row],[Pago 5]]+BD.PD[[#This Row],[Pago 4]]+BD.PD[[#This Row],[Pago 3]]+BD.PD[[#This Row],[Pago 2]]+BD.PD[[#This Row],[Pago 1]]</f>
        <v>181614.4</v>
      </c>
      <c r="AI236" s="318"/>
    </row>
    <row r="237" spans="1:35" ht="15" customHeight="1" x14ac:dyDescent="0.3">
      <c r="A237" s="181">
        <v>3.04</v>
      </c>
      <c r="B237" s="239"/>
      <c r="C237" s="240" t="str">
        <f>VLOOKUP(BD.PD[[#This Row],[Pos]],PPto[],3,FALSE)</f>
        <v>3.04 Inversor y UPS</v>
      </c>
      <c r="D237" s="181" t="s">
        <v>40</v>
      </c>
      <c r="E237" s="242" t="str">
        <f>IF(BD.PD[[#This Row],[.]]="*",VLOOKUP(BD.PD[[#This Row],[Pos]],Presupuesto!A:H,7,FALSE),"")</f>
        <v/>
      </c>
      <c r="F237" s="303" t="s">
        <v>349</v>
      </c>
      <c r="G237" s="243" t="s">
        <v>308</v>
      </c>
      <c r="H237" s="275"/>
      <c r="I237" s="276">
        <v>1</v>
      </c>
      <c r="J237" s="181" t="s">
        <v>188</v>
      </c>
      <c r="K237" s="245">
        <f>IF(BD.PD[[#This Row],[Mon]]="DOP",1,HLOOKUP(BD.PD[[#This Row],[Mon]],$J$1:$K$2,2,FALSE))</f>
        <v>60.7</v>
      </c>
      <c r="L237" s="277">
        <v>1832</v>
      </c>
      <c r="M237" s="247">
        <f>BD.PD[[#This Row],[Cant.]]*BD.PD[[#This Row],[ Tasa ]]*BD.PD[[#This Row],[ Precio Und.]]</f>
        <v>111202.40000000001</v>
      </c>
      <c r="N237" s="278">
        <v>0</v>
      </c>
      <c r="O237" s="247">
        <f>IF(BD.PD[[#This Row],[Liquid. '[%']]]&lt;&gt;0,(BD.PD[[#This Row],[Valor Neto '[DOP']]]*BD.PD[[#This Row],[Liquid. '[%']]])+BD.PD[[#This Row],[Valor Neto '[DOP']]],BD.PD[[#This Row],[Valor Neto '[DOP']]])</f>
        <v>111202.40000000001</v>
      </c>
      <c r="P237" s="257">
        <f>BD.PD[[#This Row],[Ppto. Orden Interna '[DOP']]]/HLOOKUP("USD",$J$1:$K$2,2,FALSE)</f>
        <v>1832</v>
      </c>
      <c r="Q237" s="250" t="s">
        <v>345</v>
      </c>
      <c r="R237" s="258" t="s">
        <v>346</v>
      </c>
      <c r="S237" s="251">
        <v>22</v>
      </c>
      <c r="T237" s="252">
        <v>1</v>
      </c>
      <c r="U237" s="259">
        <f>BD.PD[[#This Row],[Av.P1 '[%']]]*BD.PD[[#This Row],[Ppto. Orden Interna '[DOP']]]</f>
        <v>111202.40000000001</v>
      </c>
      <c r="V237" s="254"/>
      <c r="W237" s="255"/>
      <c r="X237" s="259">
        <f>BD.PD[[#This Row],[Av.P2 '[%']]]*BD.PD[[#This Row],[Ppto. Orden Interna '[DOP']]]</f>
        <v>0</v>
      </c>
      <c r="Y237" s="254"/>
      <c r="Z237" s="255"/>
      <c r="AA237" s="259">
        <f>BD.PD[[#This Row],[Av.P3 '[%']]]*BD.PD[[#This Row],[Ppto. Orden Interna '[DOP']]]</f>
        <v>0</v>
      </c>
      <c r="AB237" s="254"/>
      <c r="AC237" s="255"/>
      <c r="AD237" s="259">
        <f>BD.PD[[#This Row],[Av.P4 '[%']]]*BD.PD[[#This Row],[Ppto. Orden Interna '[DOP']]]</f>
        <v>0</v>
      </c>
      <c r="AE237" s="254"/>
      <c r="AF237" s="255"/>
      <c r="AG237" s="259">
        <f>BD.PD[[#This Row],[Av.P5 '[%']]]*BD.PD[[#This Row],[Ppto. Orden Interna '[DOP']]]</f>
        <v>0</v>
      </c>
      <c r="AH237" s="256">
        <f>BD.PD[[#This Row],[Pago 5]]+BD.PD[[#This Row],[Pago 4]]+BD.PD[[#This Row],[Pago 3]]+BD.PD[[#This Row],[Pago 2]]+BD.PD[[#This Row],[Pago 1]]</f>
        <v>111202.40000000001</v>
      </c>
      <c r="AI237" s="318"/>
    </row>
    <row r="238" spans="1:35" ht="15" customHeight="1" x14ac:dyDescent="0.3">
      <c r="A238" s="181">
        <v>3.04</v>
      </c>
      <c r="B238" s="239"/>
      <c r="C238" s="240" t="str">
        <f>VLOOKUP(BD.PD[[#This Row],[Pos]],PPto[],3,FALSE)</f>
        <v>3.04 Inversor y UPS</v>
      </c>
      <c r="D238" s="181" t="s">
        <v>40</v>
      </c>
      <c r="E238" s="242" t="str">
        <f>IF(BD.PD[[#This Row],[.]]="*",VLOOKUP(BD.PD[[#This Row],[Pos]],Presupuesto!A:H,7,FALSE),"")</f>
        <v/>
      </c>
      <c r="F238" s="303" t="s">
        <v>350</v>
      </c>
      <c r="G238" s="243" t="s">
        <v>308</v>
      </c>
      <c r="H238" s="275"/>
      <c r="I238" s="276">
        <v>1</v>
      </c>
      <c r="J238" s="181" t="s">
        <v>188</v>
      </c>
      <c r="K238" s="245">
        <f>IF(BD.PD[[#This Row],[Mon]]="DOP",1,HLOOKUP(BD.PD[[#This Row],[Mon]],$J$1:$K$2,2,FALSE))</f>
        <v>60.7</v>
      </c>
      <c r="L238" s="277">
        <v>2315</v>
      </c>
      <c r="M238" s="247">
        <f>BD.PD[[#This Row],[Cant.]]*BD.PD[[#This Row],[ Tasa ]]*BD.PD[[#This Row],[ Precio Und.]]</f>
        <v>140520.5</v>
      </c>
      <c r="N238" s="278">
        <v>0</v>
      </c>
      <c r="O238" s="247">
        <f>IF(BD.PD[[#This Row],[Liquid. '[%']]]&lt;&gt;0,(BD.PD[[#This Row],[Valor Neto '[DOP']]]*BD.PD[[#This Row],[Liquid. '[%']]])+BD.PD[[#This Row],[Valor Neto '[DOP']]],BD.PD[[#This Row],[Valor Neto '[DOP']]])</f>
        <v>140520.5</v>
      </c>
      <c r="P238" s="257">
        <f>BD.PD[[#This Row],[Ppto. Orden Interna '[DOP']]]/HLOOKUP("USD",$J$1:$K$2,2,FALSE)</f>
        <v>2315</v>
      </c>
      <c r="Q238" s="250" t="s">
        <v>345</v>
      </c>
      <c r="R238" s="258" t="s">
        <v>346</v>
      </c>
      <c r="S238" s="251">
        <v>22</v>
      </c>
      <c r="T238" s="252">
        <v>1</v>
      </c>
      <c r="U238" s="259">
        <f>BD.PD[[#This Row],[Av.P1 '[%']]]*BD.PD[[#This Row],[Ppto. Orden Interna '[DOP']]]</f>
        <v>140520.5</v>
      </c>
      <c r="V238" s="254"/>
      <c r="W238" s="255"/>
      <c r="X238" s="259">
        <f>BD.PD[[#This Row],[Av.P2 '[%']]]*BD.PD[[#This Row],[Ppto. Orden Interna '[DOP']]]</f>
        <v>0</v>
      </c>
      <c r="Y238" s="254"/>
      <c r="Z238" s="255"/>
      <c r="AA238" s="259">
        <f>BD.PD[[#This Row],[Av.P3 '[%']]]*BD.PD[[#This Row],[Ppto. Orden Interna '[DOP']]]</f>
        <v>0</v>
      </c>
      <c r="AB238" s="254"/>
      <c r="AC238" s="255"/>
      <c r="AD238" s="259">
        <f>BD.PD[[#This Row],[Av.P4 '[%']]]*BD.PD[[#This Row],[Ppto. Orden Interna '[DOP']]]</f>
        <v>0</v>
      </c>
      <c r="AE238" s="254"/>
      <c r="AF238" s="255"/>
      <c r="AG238" s="259">
        <f>BD.PD[[#This Row],[Av.P5 '[%']]]*BD.PD[[#This Row],[Ppto. Orden Interna '[DOP']]]</f>
        <v>0</v>
      </c>
      <c r="AH238" s="256">
        <f>BD.PD[[#This Row],[Pago 5]]+BD.PD[[#This Row],[Pago 4]]+BD.PD[[#This Row],[Pago 3]]+BD.PD[[#This Row],[Pago 2]]+BD.PD[[#This Row],[Pago 1]]</f>
        <v>140520.5</v>
      </c>
      <c r="AI238" s="318"/>
    </row>
    <row r="239" spans="1:35" ht="15" customHeight="1" x14ac:dyDescent="0.3">
      <c r="A239" s="181">
        <v>3.04</v>
      </c>
      <c r="B239" s="239"/>
      <c r="C239" s="240" t="str">
        <f>VLOOKUP(BD.PD[[#This Row],[Pos]],PPto[],3,FALSE)</f>
        <v>3.04 Inversor y UPS</v>
      </c>
      <c r="D239" s="181" t="s">
        <v>40</v>
      </c>
      <c r="E239" s="242" t="str">
        <f>IF(BD.PD[[#This Row],[.]]="*",VLOOKUP(BD.PD[[#This Row],[Pos]],Presupuesto!A:H,7,FALSE),"")</f>
        <v/>
      </c>
      <c r="F239" s="303" t="s">
        <v>351</v>
      </c>
      <c r="G239" s="243" t="s">
        <v>308</v>
      </c>
      <c r="H239" s="275"/>
      <c r="I239" s="276">
        <v>1</v>
      </c>
      <c r="J239" s="181" t="s">
        <v>188</v>
      </c>
      <c r="K239" s="245">
        <f>IF(BD.PD[[#This Row],[Mon]]="DOP",1,HLOOKUP(BD.PD[[#This Row],[Mon]],$J$1:$K$2,2,FALSE))</f>
        <v>60.7</v>
      </c>
      <c r="L239" s="277">
        <v>314</v>
      </c>
      <c r="M239" s="247">
        <f>BD.PD[[#This Row],[Cant.]]*BD.PD[[#This Row],[ Tasa ]]*BD.PD[[#This Row],[ Precio Und.]]</f>
        <v>19059.8</v>
      </c>
      <c r="N239" s="278">
        <v>0</v>
      </c>
      <c r="O239" s="247">
        <f>IF(BD.PD[[#This Row],[Liquid. '[%']]]&lt;&gt;0,(BD.PD[[#This Row],[Valor Neto '[DOP']]]*BD.PD[[#This Row],[Liquid. '[%']]])+BD.PD[[#This Row],[Valor Neto '[DOP']]],BD.PD[[#This Row],[Valor Neto '[DOP']]])</f>
        <v>19059.8</v>
      </c>
      <c r="P239" s="257">
        <f>BD.PD[[#This Row],[Ppto. Orden Interna '[DOP']]]/HLOOKUP("USD",$J$1:$K$2,2,FALSE)</f>
        <v>314</v>
      </c>
      <c r="Q239" s="250" t="s">
        <v>345</v>
      </c>
      <c r="R239" s="258" t="s">
        <v>346</v>
      </c>
      <c r="S239" s="251">
        <v>22</v>
      </c>
      <c r="T239" s="252">
        <v>1</v>
      </c>
      <c r="U239" s="259">
        <f>BD.PD[[#This Row],[Av.P1 '[%']]]*BD.PD[[#This Row],[Ppto. Orden Interna '[DOP']]]</f>
        <v>19059.8</v>
      </c>
      <c r="V239" s="254"/>
      <c r="W239" s="255"/>
      <c r="X239" s="259">
        <f>BD.PD[[#This Row],[Av.P2 '[%']]]*BD.PD[[#This Row],[Ppto. Orden Interna '[DOP']]]</f>
        <v>0</v>
      </c>
      <c r="Y239" s="254"/>
      <c r="Z239" s="255"/>
      <c r="AA239" s="259">
        <f>BD.PD[[#This Row],[Av.P3 '[%']]]*BD.PD[[#This Row],[Ppto. Orden Interna '[DOP']]]</f>
        <v>0</v>
      </c>
      <c r="AB239" s="254"/>
      <c r="AC239" s="255"/>
      <c r="AD239" s="259">
        <f>BD.PD[[#This Row],[Av.P4 '[%']]]*BD.PD[[#This Row],[Ppto. Orden Interna '[DOP']]]</f>
        <v>0</v>
      </c>
      <c r="AE239" s="254"/>
      <c r="AF239" s="255"/>
      <c r="AG239" s="259">
        <f>BD.PD[[#This Row],[Av.P5 '[%']]]*BD.PD[[#This Row],[Ppto. Orden Interna '[DOP']]]</f>
        <v>0</v>
      </c>
      <c r="AH239" s="256">
        <f>BD.PD[[#This Row],[Pago 5]]+BD.PD[[#This Row],[Pago 4]]+BD.PD[[#This Row],[Pago 3]]+BD.PD[[#This Row],[Pago 2]]+BD.PD[[#This Row],[Pago 1]]</f>
        <v>19059.8</v>
      </c>
      <c r="AI239" s="318"/>
    </row>
    <row r="240" spans="1:35" ht="15" customHeight="1" x14ac:dyDescent="0.3">
      <c r="A240" s="181">
        <v>7.02</v>
      </c>
      <c r="B240" s="239"/>
      <c r="C240" s="240" t="str">
        <f>VLOOKUP(BD.PD[[#This Row],[Pos]],PPto[],3,FALSE)</f>
        <v>7.02 Cocina, Patio Comidas y Rostizería</v>
      </c>
      <c r="D240" s="181" t="s">
        <v>40</v>
      </c>
      <c r="E240" s="242" t="str">
        <f>IF(BD.PD[[#This Row],[.]]="*",VLOOKUP(BD.PD[[#This Row],[Pos]],Presupuesto!A:H,7,FALSE),"")</f>
        <v/>
      </c>
      <c r="F240" s="305" t="s">
        <v>434</v>
      </c>
      <c r="G240" s="243">
        <v>4512501402</v>
      </c>
      <c r="H240" s="275" t="s">
        <v>435</v>
      </c>
      <c r="I240" s="276">
        <v>1</v>
      </c>
      <c r="J240" s="181" t="s">
        <v>188</v>
      </c>
      <c r="K240" s="245">
        <f>IF(BD.PD[[#This Row],[Mon]]="DOP",1,HLOOKUP(BD.PD[[#This Row],[Mon]],$J$1:$K$2,2,FALSE))</f>
        <v>60.7</v>
      </c>
      <c r="L240" s="277">
        <v>14131.67</v>
      </c>
      <c r="M240" s="247">
        <f>BD.PD[[#This Row],[Cant.]]*BD.PD[[#This Row],[ Tasa ]]*BD.PD[[#This Row],[ Precio Und.]]</f>
        <v>857792.36900000006</v>
      </c>
      <c r="N240" s="278">
        <v>0</v>
      </c>
      <c r="O240" s="247">
        <f>IF(BD.PD[[#This Row],[Liquid. '[%']]]&lt;&gt;0,(BD.PD[[#This Row],[Valor Neto '[DOP']]]*BD.PD[[#This Row],[Liquid. '[%']]])+BD.PD[[#This Row],[Valor Neto '[DOP']]],BD.PD[[#This Row],[Valor Neto '[DOP']]])</f>
        <v>857792.36900000006</v>
      </c>
      <c r="P240" s="257">
        <f>BD.PD[[#This Row],[Ppto. Orden Interna '[DOP']]]/HLOOKUP("USD",$J$1:$K$2,2,FALSE)</f>
        <v>14131.67</v>
      </c>
      <c r="Q240" s="250" t="s">
        <v>436</v>
      </c>
      <c r="R240" s="258" t="s">
        <v>437</v>
      </c>
      <c r="S240" s="251">
        <v>8</v>
      </c>
      <c r="T240" s="252">
        <v>0.5</v>
      </c>
      <c r="U240" s="259">
        <f>BD.PD[[#This Row],[Av.P1 '[%']]]*BD.PD[[#This Row],[Ppto. Orden Interna '[DOP']]]</f>
        <v>428896.18450000003</v>
      </c>
      <c r="V240" s="254">
        <v>22</v>
      </c>
      <c r="W240" s="255">
        <v>0.5</v>
      </c>
      <c r="X240" s="259">
        <f>BD.PD[[#This Row],[Av.P2 '[%']]]*BD.PD[[#This Row],[Ppto. Orden Interna '[DOP']]]</f>
        <v>428896.18450000003</v>
      </c>
      <c r="Y240" s="254"/>
      <c r="Z240" s="255"/>
      <c r="AA240" s="259">
        <f>BD.PD[[#This Row],[Av.P3 '[%']]]*BD.PD[[#This Row],[Ppto. Orden Interna '[DOP']]]</f>
        <v>0</v>
      </c>
      <c r="AB240" s="254"/>
      <c r="AC240" s="255"/>
      <c r="AD240" s="259">
        <f>BD.PD[[#This Row],[Av.P4 '[%']]]*BD.PD[[#This Row],[Ppto. Orden Interna '[DOP']]]</f>
        <v>0</v>
      </c>
      <c r="AE240" s="254"/>
      <c r="AF240" s="255"/>
      <c r="AG240" s="259">
        <f>BD.PD[[#This Row],[Av.P5 '[%']]]*BD.PD[[#This Row],[Ppto. Orden Interna '[DOP']]]</f>
        <v>0</v>
      </c>
      <c r="AH240" s="256">
        <f>BD.PD[[#This Row],[Pago 5]]+BD.PD[[#This Row],[Pago 4]]+BD.PD[[#This Row],[Pago 3]]+BD.PD[[#This Row],[Pago 2]]+BD.PD[[#This Row],[Pago 1]]</f>
        <v>857792.36900000006</v>
      </c>
      <c r="AI240" s="318"/>
    </row>
    <row r="241" spans="1:35" ht="15" customHeight="1" x14ac:dyDescent="0.3">
      <c r="A241" s="181">
        <v>7.02</v>
      </c>
      <c r="B241" s="239"/>
      <c r="C241" s="240" t="str">
        <f>VLOOKUP(BD.PD[[#This Row],[Pos]],PPto[],3,FALSE)</f>
        <v>7.02 Cocina, Patio Comidas y Rostizería</v>
      </c>
      <c r="D241" s="181" t="s">
        <v>40</v>
      </c>
      <c r="E241" s="242" t="str">
        <f>IF(BD.PD[[#This Row],[.]]="*",VLOOKUP(BD.PD[[#This Row],[Pos]],Presupuesto!A:H,7,FALSE),"")</f>
        <v/>
      </c>
      <c r="F241" s="243" t="s">
        <v>438</v>
      </c>
      <c r="G241" s="243">
        <v>4512501402</v>
      </c>
      <c r="H241" s="275" t="s">
        <v>435</v>
      </c>
      <c r="I241" s="276">
        <v>1</v>
      </c>
      <c r="J241" s="181" t="s">
        <v>188</v>
      </c>
      <c r="K241" s="245">
        <f>IF(BD.PD[[#This Row],[Mon]]="DOP",1,HLOOKUP(BD.PD[[#This Row],[Mon]],$J$1:$K$2,2,FALSE))</f>
        <v>60.7</v>
      </c>
      <c r="L241" s="277">
        <v>1690.92</v>
      </c>
      <c r="M241" s="247">
        <f>BD.PD[[#This Row],[Cant.]]*BD.PD[[#This Row],[ Tasa ]]*BD.PD[[#This Row],[ Precio Und.]]</f>
        <v>102638.84400000001</v>
      </c>
      <c r="N241" s="278">
        <v>0</v>
      </c>
      <c r="O241" s="247">
        <f>IF(BD.PD[[#This Row],[Liquid. '[%']]]&lt;&gt;0,(BD.PD[[#This Row],[Valor Neto '[DOP']]]*BD.PD[[#This Row],[Liquid. '[%']]])+BD.PD[[#This Row],[Valor Neto '[DOP']]],BD.PD[[#This Row],[Valor Neto '[DOP']]])</f>
        <v>102638.84400000001</v>
      </c>
      <c r="P241" s="257">
        <f>BD.PD[[#This Row],[Ppto. Orden Interna '[DOP']]]/HLOOKUP("USD",$J$1:$K$2,2,FALSE)</f>
        <v>1690.92</v>
      </c>
      <c r="Q241" s="250" t="s">
        <v>436</v>
      </c>
      <c r="R241" s="258" t="s">
        <v>437</v>
      </c>
      <c r="S241" s="251">
        <v>8</v>
      </c>
      <c r="T241" s="252">
        <v>0.5</v>
      </c>
      <c r="U241" s="259">
        <f>BD.PD[[#This Row],[Av.P1 '[%']]]*BD.PD[[#This Row],[Ppto. Orden Interna '[DOP']]]</f>
        <v>51319.422000000006</v>
      </c>
      <c r="V241" s="254">
        <v>22</v>
      </c>
      <c r="W241" s="255">
        <v>0.5</v>
      </c>
      <c r="X241" s="259">
        <f>BD.PD[[#This Row],[Av.P2 '[%']]]*BD.PD[[#This Row],[Ppto. Orden Interna '[DOP']]]</f>
        <v>51319.422000000006</v>
      </c>
      <c r="Y241" s="254"/>
      <c r="Z241" s="255"/>
      <c r="AA241" s="259">
        <f>BD.PD[[#This Row],[Av.P3 '[%']]]*BD.PD[[#This Row],[Ppto. Orden Interna '[DOP']]]</f>
        <v>0</v>
      </c>
      <c r="AB241" s="254"/>
      <c r="AC241" s="255"/>
      <c r="AD241" s="259">
        <f>BD.PD[[#This Row],[Av.P4 '[%']]]*BD.PD[[#This Row],[Ppto. Orden Interna '[DOP']]]</f>
        <v>0</v>
      </c>
      <c r="AE241" s="254"/>
      <c r="AF241" s="255"/>
      <c r="AG241" s="259">
        <f>BD.PD[[#This Row],[Av.P5 '[%']]]*BD.PD[[#This Row],[Ppto. Orden Interna '[DOP']]]</f>
        <v>0</v>
      </c>
      <c r="AH241" s="256">
        <f>BD.PD[[#This Row],[Pago 5]]+BD.PD[[#This Row],[Pago 4]]+BD.PD[[#This Row],[Pago 3]]+BD.PD[[#This Row],[Pago 2]]+BD.PD[[#This Row],[Pago 1]]</f>
        <v>102638.84400000001</v>
      </c>
      <c r="AI241" s="318"/>
    </row>
    <row r="242" spans="1:35" ht="15" customHeight="1" x14ac:dyDescent="0.3">
      <c r="A242" s="181">
        <v>7.02</v>
      </c>
      <c r="B242" s="239"/>
      <c r="C242" s="240" t="str">
        <f>VLOOKUP(BD.PD[[#This Row],[Pos]],PPto[],3,FALSE)</f>
        <v>7.02 Cocina, Patio Comidas y Rostizería</v>
      </c>
      <c r="D242" s="181" t="s">
        <v>40</v>
      </c>
      <c r="E242" s="242" t="str">
        <f>IF(BD.PD[[#This Row],[.]]="*",VLOOKUP(BD.PD[[#This Row],[Pos]],Presupuesto!A:H,7,FALSE),"")</f>
        <v/>
      </c>
      <c r="F242" s="243" t="s">
        <v>439</v>
      </c>
      <c r="G242" s="243">
        <v>4512501402</v>
      </c>
      <c r="H242" s="275" t="s">
        <v>435</v>
      </c>
      <c r="I242" s="276">
        <v>1</v>
      </c>
      <c r="J242" s="181" t="s">
        <v>188</v>
      </c>
      <c r="K242" s="245">
        <f>IF(BD.PD[[#This Row],[Mon]]="DOP",1,HLOOKUP(BD.PD[[#This Row],[Mon]],$J$1:$K$2,2,FALSE))</f>
        <v>60.7</v>
      </c>
      <c r="L242" s="277">
        <v>300</v>
      </c>
      <c r="M242" s="247">
        <f>BD.PD[[#This Row],[Cant.]]*BD.PD[[#This Row],[ Tasa ]]*BD.PD[[#This Row],[ Precio Und.]]</f>
        <v>18210</v>
      </c>
      <c r="N242" s="278">
        <v>0</v>
      </c>
      <c r="O242" s="247">
        <f>IF(BD.PD[[#This Row],[Liquid. '[%']]]&lt;&gt;0,(BD.PD[[#This Row],[Valor Neto '[DOP']]]*BD.PD[[#This Row],[Liquid. '[%']]])+BD.PD[[#This Row],[Valor Neto '[DOP']]],BD.PD[[#This Row],[Valor Neto '[DOP']]])</f>
        <v>18210</v>
      </c>
      <c r="P242" s="257">
        <f>BD.PD[[#This Row],[Ppto. Orden Interna '[DOP']]]/HLOOKUP("USD",$J$1:$K$2,2,FALSE)</f>
        <v>300</v>
      </c>
      <c r="Q242" s="250" t="s">
        <v>436</v>
      </c>
      <c r="R242" s="258" t="s">
        <v>437</v>
      </c>
      <c r="S242" s="251">
        <v>8</v>
      </c>
      <c r="T242" s="252">
        <v>0.5</v>
      </c>
      <c r="U242" s="259">
        <f>BD.PD[[#This Row],[Av.P1 '[%']]]*BD.PD[[#This Row],[Ppto. Orden Interna '[DOP']]]</f>
        <v>9105</v>
      </c>
      <c r="V242" s="254">
        <v>22</v>
      </c>
      <c r="W242" s="255">
        <v>0.5</v>
      </c>
      <c r="X242" s="259">
        <f>BD.PD[[#This Row],[Av.P2 '[%']]]*BD.PD[[#This Row],[Ppto. Orden Interna '[DOP']]]</f>
        <v>9105</v>
      </c>
      <c r="Y242" s="254"/>
      <c r="Z242" s="255"/>
      <c r="AA242" s="259">
        <f>BD.PD[[#This Row],[Av.P3 '[%']]]*BD.PD[[#This Row],[Ppto. Orden Interna '[DOP']]]</f>
        <v>0</v>
      </c>
      <c r="AB242" s="254"/>
      <c r="AC242" s="255"/>
      <c r="AD242" s="259">
        <f>BD.PD[[#This Row],[Av.P4 '[%']]]*BD.PD[[#This Row],[Ppto. Orden Interna '[DOP']]]</f>
        <v>0</v>
      </c>
      <c r="AE242" s="254"/>
      <c r="AF242" s="255"/>
      <c r="AG242" s="259">
        <f>BD.PD[[#This Row],[Av.P5 '[%']]]*BD.PD[[#This Row],[Ppto. Orden Interna '[DOP']]]</f>
        <v>0</v>
      </c>
      <c r="AH242" s="256">
        <f>BD.PD[[#This Row],[Pago 5]]+BD.PD[[#This Row],[Pago 4]]+BD.PD[[#This Row],[Pago 3]]+BD.PD[[#This Row],[Pago 2]]+BD.PD[[#This Row],[Pago 1]]</f>
        <v>18210</v>
      </c>
      <c r="AI242" s="318"/>
    </row>
    <row r="243" spans="1:35" ht="15" customHeight="1" x14ac:dyDescent="0.3">
      <c r="A243" s="181">
        <v>7.02</v>
      </c>
      <c r="B243" s="239"/>
      <c r="C243" s="240" t="str">
        <f>VLOOKUP(BD.PD[[#This Row],[Pos]],PPto[],3,FALSE)</f>
        <v>7.02 Cocina, Patio Comidas y Rostizería</v>
      </c>
      <c r="D243" s="181" t="s">
        <v>40</v>
      </c>
      <c r="E243" s="242" t="str">
        <f>IF(BD.PD[[#This Row],[.]]="*",VLOOKUP(BD.PD[[#This Row],[Pos]],Presupuesto!A:H,7,FALSE),"")</f>
        <v/>
      </c>
      <c r="F243" s="243" t="s">
        <v>440</v>
      </c>
      <c r="G243" s="243">
        <v>4512501402</v>
      </c>
      <c r="H243" s="275" t="s">
        <v>435</v>
      </c>
      <c r="I243" s="276">
        <v>16</v>
      </c>
      <c r="J243" s="181" t="s">
        <v>188</v>
      </c>
      <c r="K243" s="245">
        <f>IF(BD.PD[[#This Row],[Mon]]="DOP",1,HLOOKUP(BD.PD[[#This Row],[Mon]],$J$1:$K$2,2,FALSE))</f>
        <v>60.7</v>
      </c>
      <c r="L243" s="277">
        <v>100.51</v>
      </c>
      <c r="M243" s="247">
        <f>BD.PD[[#This Row],[Cant.]]*BD.PD[[#This Row],[ Tasa ]]*BD.PD[[#This Row],[ Precio Und.]]</f>
        <v>97615.312000000005</v>
      </c>
      <c r="N243" s="278">
        <v>0</v>
      </c>
      <c r="O243" s="247">
        <f>IF(BD.PD[[#This Row],[Liquid. '[%']]]&lt;&gt;0,(BD.PD[[#This Row],[Valor Neto '[DOP']]]*BD.PD[[#This Row],[Liquid. '[%']]])+BD.PD[[#This Row],[Valor Neto '[DOP']]],BD.PD[[#This Row],[Valor Neto '[DOP']]])</f>
        <v>97615.312000000005</v>
      </c>
      <c r="P243" s="257">
        <f>BD.PD[[#This Row],[Ppto. Orden Interna '[DOP']]]/HLOOKUP("USD",$J$1:$K$2,2,FALSE)</f>
        <v>1608.16</v>
      </c>
      <c r="Q243" s="250" t="s">
        <v>436</v>
      </c>
      <c r="R243" s="258" t="s">
        <v>437</v>
      </c>
      <c r="S243" s="251">
        <v>8</v>
      </c>
      <c r="T243" s="252">
        <v>0.5</v>
      </c>
      <c r="U243" s="259">
        <f>BD.PD[[#This Row],[Av.P1 '[%']]]*BD.PD[[#This Row],[Ppto. Orden Interna '[DOP']]]</f>
        <v>48807.656000000003</v>
      </c>
      <c r="V243" s="254">
        <v>22</v>
      </c>
      <c r="W243" s="255">
        <v>0.5</v>
      </c>
      <c r="X243" s="259">
        <f>BD.PD[[#This Row],[Av.P2 '[%']]]*BD.PD[[#This Row],[Ppto. Orden Interna '[DOP']]]</f>
        <v>48807.656000000003</v>
      </c>
      <c r="Y243" s="254"/>
      <c r="Z243" s="255"/>
      <c r="AA243" s="259">
        <f>BD.PD[[#This Row],[Av.P3 '[%']]]*BD.PD[[#This Row],[Ppto. Orden Interna '[DOP']]]</f>
        <v>0</v>
      </c>
      <c r="AB243" s="254"/>
      <c r="AC243" s="255"/>
      <c r="AD243" s="259">
        <f>BD.PD[[#This Row],[Av.P4 '[%']]]*BD.PD[[#This Row],[Ppto. Orden Interna '[DOP']]]</f>
        <v>0</v>
      </c>
      <c r="AE243" s="254"/>
      <c r="AF243" s="255"/>
      <c r="AG243" s="259">
        <f>BD.PD[[#This Row],[Av.P5 '[%']]]*BD.PD[[#This Row],[Ppto. Orden Interna '[DOP']]]</f>
        <v>0</v>
      </c>
      <c r="AH243" s="256">
        <f>BD.PD[[#This Row],[Pago 5]]+BD.PD[[#This Row],[Pago 4]]+BD.PD[[#This Row],[Pago 3]]+BD.PD[[#This Row],[Pago 2]]+BD.PD[[#This Row],[Pago 1]]</f>
        <v>97615.312000000005</v>
      </c>
      <c r="AI243" s="318"/>
    </row>
    <row r="244" spans="1:35" ht="15" customHeight="1" x14ac:dyDescent="0.3">
      <c r="A244" s="181">
        <v>7.02</v>
      </c>
      <c r="B244" s="239"/>
      <c r="C244" s="240" t="str">
        <f>VLOOKUP(BD.PD[[#This Row],[Pos]],PPto[],3,FALSE)</f>
        <v>7.02 Cocina, Patio Comidas y Rostizería</v>
      </c>
      <c r="D244" s="181" t="s">
        <v>40</v>
      </c>
      <c r="E244" s="242" t="str">
        <f>IF(BD.PD[[#This Row],[.]]="*",VLOOKUP(BD.PD[[#This Row],[Pos]],Presupuesto!A:H,7,FALSE),"")</f>
        <v/>
      </c>
      <c r="F244" s="243" t="s">
        <v>441</v>
      </c>
      <c r="G244" s="243">
        <v>4512501402</v>
      </c>
      <c r="H244" s="275" t="s">
        <v>435</v>
      </c>
      <c r="I244" s="276">
        <v>10</v>
      </c>
      <c r="J244" s="181" t="s">
        <v>188</v>
      </c>
      <c r="K244" s="245">
        <f>IF(BD.PD[[#This Row],[Mon]]="DOP",1,HLOOKUP(BD.PD[[#This Row],[Mon]],$J$1:$K$2,2,FALSE))</f>
        <v>60.7</v>
      </c>
      <c r="L244" s="277">
        <v>63.75</v>
      </c>
      <c r="M244" s="247">
        <f>BD.PD[[#This Row],[Cant.]]*BD.PD[[#This Row],[ Tasa ]]*BD.PD[[#This Row],[ Precio Und.]]</f>
        <v>38696.25</v>
      </c>
      <c r="N244" s="278">
        <v>0</v>
      </c>
      <c r="O244" s="247">
        <f>IF(BD.PD[[#This Row],[Liquid. '[%']]]&lt;&gt;0,(BD.PD[[#This Row],[Valor Neto '[DOP']]]*BD.PD[[#This Row],[Liquid. '[%']]])+BD.PD[[#This Row],[Valor Neto '[DOP']]],BD.PD[[#This Row],[Valor Neto '[DOP']]])</f>
        <v>38696.25</v>
      </c>
      <c r="P244" s="257">
        <f>BD.PD[[#This Row],[Ppto. Orden Interna '[DOP']]]/HLOOKUP("USD",$J$1:$K$2,2,FALSE)</f>
        <v>637.5</v>
      </c>
      <c r="Q244" s="250" t="s">
        <v>436</v>
      </c>
      <c r="R244" s="258" t="s">
        <v>437</v>
      </c>
      <c r="S244" s="251">
        <v>8</v>
      </c>
      <c r="T244" s="252">
        <v>0.5</v>
      </c>
      <c r="U244" s="259">
        <f>BD.PD[[#This Row],[Av.P1 '[%']]]*BD.PD[[#This Row],[Ppto. Orden Interna '[DOP']]]</f>
        <v>19348.125</v>
      </c>
      <c r="V244" s="254">
        <v>22</v>
      </c>
      <c r="W244" s="255">
        <v>0.5</v>
      </c>
      <c r="X244" s="259">
        <f>BD.PD[[#This Row],[Av.P2 '[%']]]*BD.PD[[#This Row],[Ppto. Orden Interna '[DOP']]]</f>
        <v>19348.125</v>
      </c>
      <c r="Y244" s="254"/>
      <c r="Z244" s="255"/>
      <c r="AA244" s="259">
        <f>BD.PD[[#This Row],[Av.P3 '[%']]]*BD.PD[[#This Row],[Ppto. Orden Interna '[DOP']]]</f>
        <v>0</v>
      </c>
      <c r="AB244" s="254"/>
      <c r="AC244" s="255"/>
      <c r="AD244" s="259">
        <f>BD.PD[[#This Row],[Av.P4 '[%']]]*BD.PD[[#This Row],[Ppto. Orden Interna '[DOP']]]</f>
        <v>0</v>
      </c>
      <c r="AE244" s="254"/>
      <c r="AF244" s="255"/>
      <c r="AG244" s="259">
        <f>BD.PD[[#This Row],[Av.P5 '[%']]]*BD.PD[[#This Row],[Ppto. Orden Interna '[DOP']]]</f>
        <v>0</v>
      </c>
      <c r="AH244" s="256">
        <f>BD.PD[[#This Row],[Pago 5]]+BD.PD[[#This Row],[Pago 4]]+BD.PD[[#This Row],[Pago 3]]+BD.PD[[#This Row],[Pago 2]]+BD.PD[[#This Row],[Pago 1]]</f>
        <v>38696.25</v>
      </c>
      <c r="AI244" s="318"/>
    </row>
    <row r="245" spans="1:35" ht="15" customHeight="1" x14ac:dyDescent="0.3">
      <c r="A245" s="181">
        <v>7.02</v>
      </c>
      <c r="B245" s="239"/>
      <c r="C245" s="240" t="str">
        <f>VLOOKUP(BD.PD[[#This Row],[Pos]],PPto[],3,FALSE)</f>
        <v>7.02 Cocina, Patio Comidas y Rostizería</v>
      </c>
      <c r="D245" s="181" t="s">
        <v>40</v>
      </c>
      <c r="E245" s="242" t="str">
        <f>IF(BD.PD[[#This Row],[.]]="*",VLOOKUP(BD.PD[[#This Row],[Pos]],Presupuesto!A:H,7,FALSE),"")</f>
        <v/>
      </c>
      <c r="F245" s="243" t="s">
        <v>442</v>
      </c>
      <c r="G245" s="243">
        <v>4512501402</v>
      </c>
      <c r="H245" s="275" t="s">
        <v>435</v>
      </c>
      <c r="I245" s="276">
        <v>20</v>
      </c>
      <c r="J245" s="181" t="s">
        <v>188</v>
      </c>
      <c r="K245" s="245">
        <f>IF(BD.PD[[#This Row],[Mon]]="DOP",1,HLOOKUP(BD.PD[[#This Row],[Mon]],$J$1:$K$2,2,FALSE))</f>
        <v>60.7</v>
      </c>
      <c r="L245" s="277">
        <v>106.59</v>
      </c>
      <c r="M245" s="247">
        <f>BD.PD[[#This Row],[Cant.]]*BD.PD[[#This Row],[ Tasa ]]*BD.PD[[#This Row],[ Precio Und.]]</f>
        <v>129400.26000000001</v>
      </c>
      <c r="N245" s="278">
        <v>0</v>
      </c>
      <c r="O245" s="247">
        <f>IF(BD.PD[[#This Row],[Liquid. '[%']]]&lt;&gt;0,(BD.PD[[#This Row],[Valor Neto '[DOP']]]*BD.PD[[#This Row],[Liquid. '[%']]])+BD.PD[[#This Row],[Valor Neto '[DOP']]],BD.PD[[#This Row],[Valor Neto '[DOP']]])</f>
        <v>129400.26000000001</v>
      </c>
      <c r="P245" s="257">
        <f>BD.PD[[#This Row],[Ppto. Orden Interna '[DOP']]]/HLOOKUP("USD",$J$1:$K$2,2,FALSE)</f>
        <v>2131.8000000000002</v>
      </c>
      <c r="Q245" s="250" t="s">
        <v>436</v>
      </c>
      <c r="R245" s="258" t="s">
        <v>437</v>
      </c>
      <c r="S245" s="251">
        <v>8</v>
      </c>
      <c r="T245" s="252">
        <v>0.5</v>
      </c>
      <c r="U245" s="259">
        <f>BD.PD[[#This Row],[Av.P1 '[%']]]*BD.PD[[#This Row],[Ppto. Orden Interna '[DOP']]]</f>
        <v>64700.130000000005</v>
      </c>
      <c r="V245" s="254">
        <v>22</v>
      </c>
      <c r="W245" s="255">
        <v>0.5</v>
      </c>
      <c r="X245" s="259">
        <f>BD.PD[[#This Row],[Av.P2 '[%']]]*BD.PD[[#This Row],[Ppto. Orden Interna '[DOP']]]</f>
        <v>64700.130000000005</v>
      </c>
      <c r="Y245" s="254"/>
      <c r="Z245" s="255"/>
      <c r="AA245" s="259">
        <f>BD.PD[[#This Row],[Av.P3 '[%']]]*BD.PD[[#This Row],[Ppto. Orden Interna '[DOP']]]</f>
        <v>0</v>
      </c>
      <c r="AB245" s="254"/>
      <c r="AC245" s="255"/>
      <c r="AD245" s="259">
        <f>BD.PD[[#This Row],[Av.P4 '[%']]]*BD.PD[[#This Row],[Ppto. Orden Interna '[DOP']]]</f>
        <v>0</v>
      </c>
      <c r="AE245" s="254"/>
      <c r="AF245" s="255"/>
      <c r="AG245" s="259">
        <f>BD.PD[[#This Row],[Av.P5 '[%']]]*BD.PD[[#This Row],[Ppto. Orden Interna '[DOP']]]</f>
        <v>0</v>
      </c>
      <c r="AH245" s="256">
        <f>BD.PD[[#This Row],[Pago 5]]+BD.PD[[#This Row],[Pago 4]]+BD.PD[[#This Row],[Pago 3]]+BD.PD[[#This Row],[Pago 2]]+BD.PD[[#This Row],[Pago 1]]</f>
        <v>129400.26000000001</v>
      </c>
      <c r="AI245" s="318"/>
    </row>
    <row r="246" spans="1:35" ht="15" customHeight="1" x14ac:dyDescent="0.3">
      <c r="A246" s="181">
        <v>7.02</v>
      </c>
      <c r="B246" s="239"/>
      <c r="C246" s="240" t="str">
        <f>VLOOKUP(BD.PD[[#This Row],[Pos]],PPto[],3,FALSE)</f>
        <v>7.02 Cocina, Patio Comidas y Rostizería</v>
      </c>
      <c r="D246" s="181" t="s">
        <v>40</v>
      </c>
      <c r="E246" s="242" t="str">
        <f>IF(BD.PD[[#This Row],[.]]="*",VLOOKUP(BD.PD[[#This Row],[Pos]],Presupuesto!A:H,7,FALSE),"")</f>
        <v/>
      </c>
      <c r="F246" s="243" t="s">
        <v>443</v>
      </c>
      <c r="G246" s="243">
        <v>4512501402</v>
      </c>
      <c r="H246" s="275" t="s">
        <v>435</v>
      </c>
      <c r="I246" s="276">
        <v>2</v>
      </c>
      <c r="J246" s="181" t="s">
        <v>188</v>
      </c>
      <c r="K246" s="245">
        <f>IF(BD.PD[[#This Row],[Mon]]="DOP",1,HLOOKUP(BD.PD[[#This Row],[Mon]],$J$1:$K$2,2,FALSE))</f>
        <v>60.7</v>
      </c>
      <c r="L246" s="277">
        <v>158.01</v>
      </c>
      <c r="M246" s="247">
        <f>BD.PD[[#This Row],[Cant.]]*BD.PD[[#This Row],[ Tasa ]]*BD.PD[[#This Row],[ Precio Und.]]</f>
        <v>19182.414000000001</v>
      </c>
      <c r="N246" s="278">
        <v>0</v>
      </c>
      <c r="O246" s="247">
        <f>IF(BD.PD[[#This Row],[Liquid. '[%']]]&lt;&gt;0,(BD.PD[[#This Row],[Valor Neto '[DOP']]]*BD.PD[[#This Row],[Liquid. '[%']]])+BD.PD[[#This Row],[Valor Neto '[DOP']]],BD.PD[[#This Row],[Valor Neto '[DOP']]])</f>
        <v>19182.414000000001</v>
      </c>
      <c r="P246" s="257">
        <f>BD.PD[[#This Row],[Ppto. Orden Interna '[DOP']]]/HLOOKUP("USD",$J$1:$K$2,2,FALSE)</f>
        <v>316.02</v>
      </c>
      <c r="Q246" s="250" t="s">
        <v>436</v>
      </c>
      <c r="R246" s="258" t="s">
        <v>437</v>
      </c>
      <c r="S246" s="251">
        <v>8</v>
      </c>
      <c r="T246" s="252">
        <v>0.5</v>
      </c>
      <c r="U246" s="259">
        <f>BD.PD[[#This Row],[Av.P1 '[%']]]*BD.PD[[#This Row],[Ppto. Orden Interna '[DOP']]]</f>
        <v>9591.2070000000003</v>
      </c>
      <c r="V246" s="254">
        <v>22</v>
      </c>
      <c r="W246" s="255">
        <v>0.5</v>
      </c>
      <c r="X246" s="259">
        <f>BD.PD[[#This Row],[Av.P2 '[%']]]*BD.PD[[#This Row],[Ppto. Orden Interna '[DOP']]]</f>
        <v>9591.2070000000003</v>
      </c>
      <c r="Y246" s="254"/>
      <c r="Z246" s="255"/>
      <c r="AA246" s="259">
        <f>BD.PD[[#This Row],[Av.P3 '[%']]]*BD.PD[[#This Row],[Ppto. Orden Interna '[DOP']]]</f>
        <v>0</v>
      </c>
      <c r="AB246" s="254"/>
      <c r="AC246" s="255"/>
      <c r="AD246" s="259">
        <f>BD.PD[[#This Row],[Av.P4 '[%']]]*BD.PD[[#This Row],[Ppto. Orden Interna '[DOP']]]</f>
        <v>0</v>
      </c>
      <c r="AE246" s="254"/>
      <c r="AF246" s="255"/>
      <c r="AG246" s="259">
        <f>BD.PD[[#This Row],[Av.P5 '[%']]]*BD.PD[[#This Row],[Ppto. Orden Interna '[DOP']]]</f>
        <v>0</v>
      </c>
      <c r="AH246" s="256">
        <f>BD.PD[[#This Row],[Pago 5]]+BD.PD[[#This Row],[Pago 4]]+BD.PD[[#This Row],[Pago 3]]+BD.PD[[#This Row],[Pago 2]]+BD.PD[[#This Row],[Pago 1]]</f>
        <v>19182.414000000001</v>
      </c>
      <c r="AI246" s="318"/>
    </row>
    <row r="247" spans="1:35" ht="15" customHeight="1" x14ac:dyDescent="0.3">
      <c r="A247" s="181">
        <v>7.02</v>
      </c>
      <c r="B247" s="239"/>
      <c r="C247" s="240" t="str">
        <f>VLOOKUP(BD.PD[[#This Row],[Pos]],PPto[],3,FALSE)</f>
        <v>7.02 Cocina, Patio Comidas y Rostizería</v>
      </c>
      <c r="D247" s="181" t="s">
        <v>40</v>
      </c>
      <c r="E247" s="242" t="str">
        <f>IF(BD.PD[[#This Row],[.]]="*",VLOOKUP(BD.PD[[#This Row],[Pos]],Presupuesto!A:H,7,FALSE),"")</f>
        <v/>
      </c>
      <c r="F247" s="243" t="s">
        <v>444</v>
      </c>
      <c r="G247" s="243">
        <v>4512501402</v>
      </c>
      <c r="H247" s="275" t="s">
        <v>435</v>
      </c>
      <c r="I247" s="276">
        <v>2</v>
      </c>
      <c r="J247" s="181" t="s">
        <v>188</v>
      </c>
      <c r="K247" s="245">
        <f>IF(BD.PD[[#This Row],[Mon]]="DOP",1,HLOOKUP(BD.PD[[#This Row],[Mon]],$J$1:$K$2,2,FALSE))</f>
        <v>60.7</v>
      </c>
      <c r="L247" s="277">
        <v>119.83</v>
      </c>
      <c r="M247" s="247">
        <f>BD.PD[[#This Row],[Cant.]]*BD.PD[[#This Row],[ Tasa ]]*BD.PD[[#This Row],[ Precio Und.]]</f>
        <v>14547.362000000001</v>
      </c>
      <c r="N247" s="278">
        <v>0</v>
      </c>
      <c r="O247" s="247">
        <f>IF(BD.PD[[#This Row],[Liquid. '[%']]]&lt;&gt;0,(BD.PD[[#This Row],[Valor Neto '[DOP']]]*BD.PD[[#This Row],[Liquid. '[%']]])+BD.PD[[#This Row],[Valor Neto '[DOP']]],BD.PD[[#This Row],[Valor Neto '[DOP']]])</f>
        <v>14547.362000000001</v>
      </c>
      <c r="P247" s="257">
        <f>BD.PD[[#This Row],[Ppto. Orden Interna '[DOP']]]/HLOOKUP("USD",$J$1:$K$2,2,FALSE)</f>
        <v>239.66</v>
      </c>
      <c r="Q247" s="250" t="s">
        <v>436</v>
      </c>
      <c r="R247" s="258" t="s">
        <v>437</v>
      </c>
      <c r="S247" s="251">
        <v>8</v>
      </c>
      <c r="T247" s="252">
        <v>0.5</v>
      </c>
      <c r="U247" s="259">
        <f>BD.PD[[#This Row],[Av.P1 '[%']]]*BD.PD[[#This Row],[Ppto. Orden Interna '[DOP']]]</f>
        <v>7273.6810000000005</v>
      </c>
      <c r="V247" s="254">
        <v>22</v>
      </c>
      <c r="W247" s="255">
        <v>0.5</v>
      </c>
      <c r="X247" s="259">
        <f>BD.PD[[#This Row],[Av.P2 '[%']]]*BD.PD[[#This Row],[Ppto. Orden Interna '[DOP']]]</f>
        <v>7273.6810000000005</v>
      </c>
      <c r="Y247" s="254"/>
      <c r="Z247" s="255"/>
      <c r="AA247" s="259">
        <f>BD.PD[[#This Row],[Av.P3 '[%']]]*BD.PD[[#This Row],[Ppto. Orden Interna '[DOP']]]</f>
        <v>0</v>
      </c>
      <c r="AB247" s="254"/>
      <c r="AC247" s="255"/>
      <c r="AD247" s="259">
        <f>BD.PD[[#This Row],[Av.P4 '[%']]]*BD.PD[[#This Row],[Ppto. Orden Interna '[DOP']]]</f>
        <v>0</v>
      </c>
      <c r="AE247" s="254"/>
      <c r="AF247" s="255"/>
      <c r="AG247" s="259">
        <f>BD.PD[[#This Row],[Av.P5 '[%']]]*BD.PD[[#This Row],[Ppto. Orden Interna '[DOP']]]</f>
        <v>0</v>
      </c>
      <c r="AH247" s="256">
        <f>BD.PD[[#This Row],[Pago 5]]+BD.PD[[#This Row],[Pago 4]]+BD.PD[[#This Row],[Pago 3]]+BD.PD[[#This Row],[Pago 2]]+BD.PD[[#This Row],[Pago 1]]</f>
        <v>14547.362000000001</v>
      </c>
      <c r="AI247" s="318"/>
    </row>
    <row r="248" spans="1:35" ht="15" customHeight="1" x14ac:dyDescent="0.3">
      <c r="A248" s="181">
        <v>7.03</v>
      </c>
      <c r="B248" s="239"/>
      <c r="C248" s="240" t="str">
        <f>VLOOKUP(BD.PD[[#This Row],[Pos]],PPto[],3,FALSE)</f>
        <v>7.03 Equipamiento Carniceria, Pescadería y Delicatesen</v>
      </c>
      <c r="D248" s="181" t="s">
        <v>40</v>
      </c>
      <c r="E248" s="242" t="str">
        <f>IF(BD.PD[[#This Row],[.]]="*",VLOOKUP(BD.PD[[#This Row],[Pos]],Presupuesto!A:H,7,FALSE),"")</f>
        <v/>
      </c>
      <c r="F248" s="305" t="s">
        <v>516</v>
      </c>
      <c r="G248" s="243" t="s">
        <v>1068</v>
      </c>
      <c r="H248" s="275" t="s">
        <v>1071</v>
      </c>
      <c r="I248" s="276">
        <v>1</v>
      </c>
      <c r="J248" s="181" t="s">
        <v>314</v>
      </c>
      <c r="K248" s="245">
        <f>IF(BD.PD[[#This Row],[Mon]]="DOP",1,HLOOKUP(BD.PD[[#This Row],[Mon]],$J$1:$K$2,2,FALSE))</f>
        <v>1</v>
      </c>
      <c r="L248" s="277">
        <v>165106.71</v>
      </c>
      <c r="M248" s="247">
        <f>BD.PD[[#This Row],[Cant.]]*BD.PD[[#This Row],[ Tasa ]]*BD.PD[[#This Row],[ Precio Und.]]</f>
        <v>165106.71</v>
      </c>
      <c r="N248" s="278">
        <v>0</v>
      </c>
      <c r="O248" s="247">
        <f>IF(BD.PD[[#This Row],[Liquid. '[%']]]&lt;&gt;0,(BD.PD[[#This Row],[Valor Neto '[DOP']]]*BD.PD[[#This Row],[Liquid. '[%']]])+BD.PD[[#This Row],[Valor Neto '[DOP']]],BD.PD[[#This Row],[Valor Neto '[DOP']]])</f>
        <v>165106.71</v>
      </c>
      <c r="P248" s="257">
        <f>BD.PD[[#This Row],[Ppto. Orden Interna '[DOP']]]/HLOOKUP("USD",$J$1:$K$2,2,FALSE)</f>
        <v>2720.0446457990111</v>
      </c>
      <c r="Q248" s="250" t="s">
        <v>436</v>
      </c>
      <c r="R248" s="258" t="s">
        <v>437</v>
      </c>
      <c r="S248" s="251">
        <v>21</v>
      </c>
      <c r="T248" s="252">
        <v>1</v>
      </c>
      <c r="U248" s="259">
        <f>BD.PD[[#This Row],[Av.P1 '[%']]]*BD.PD[[#This Row],[Ppto. Orden Interna '[DOP']]]</f>
        <v>165106.71</v>
      </c>
      <c r="V248" s="254"/>
      <c r="W248" s="255"/>
      <c r="X248" s="259">
        <f>BD.PD[[#This Row],[Av.P2 '[%']]]*BD.PD[[#This Row],[Ppto. Orden Interna '[DOP']]]</f>
        <v>0</v>
      </c>
      <c r="Y248" s="254"/>
      <c r="Z248" s="255"/>
      <c r="AA248" s="259">
        <f>BD.PD[[#This Row],[Av.P3 '[%']]]*BD.PD[[#This Row],[Ppto. Orden Interna '[DOP']]]</f>
        <v>0</v>
      </c>
      <c r="AB248" s="254"/>
      <c r="AC248" s="255"/>
      <c r="AD248" s="259">
        <f>BD.PD[[#This Row],[Av.P4 '[%']]]*BD.PD[[#This Row],[Ppto. Orden Interna '[DOP']]]</f>
        <v>0</v>
      </c>
      <c r="AE248" s="254"/>
      <c r="AF248" s="255"/>
      <c r="AG248" s="259">
        <f>BD.PD[[#This Row],[Av.P5 '[%']]]*BD.PD[[#This Row],[Ppto. Orden Interna '[DOP']]]</f>
        <v>0</v>
      </c>
      <c r="AH248" s="256">
        <f>BD.PD[[#This Row],[Pago 5]]+BD.PD[[#This Row],[Pago 4]]+BD.PD[[#This Row],[Pago 3]]+BD.PD[[#This Row],[Pago 2]]+BD.PD[[#This Row],[Pago 1]]</f>
        <v>165106.71</v>
      </c>
      <c r="AI248" s="318"/>
    </row>
    <row r="249" spans="1:35" ht="15" customHeight="1" x14ac:dyDescent="0.3">
      <c r="A249" s="181">
        <v>7.03</v>
      </c>
      <c r="B249" s="239"/>
      <c r="C249" s="240" t="str">
        <f>VLOOKUP(BD.PD[[#This Row],[Pos]],PPto[],3,FALSE)</f>
        <v>7.03 Equipamiento Carniceria, Pescadería y Delicatesen</v>
      </c>
      <c r="D249" s="181" t="s">
        <v>40</v>
      </c>
      <c r="E249" s="242" t="str">
        <f>IF(BD.PD[[#This Row],[.]]="*",VLOOKUP(BD.PD[[#This Row],[Pos]],Presupuesto!A:H,7,FALSE),"")</f>
        <v/>
      </c>
      <c r="F249" s="305" t="s">
        <v>517</v>
      </c>
      <c r="G249" s="243" t="s">
        <v>1069</v>
      </c>
      <c r="H249" s="275" t="s">
        <v>1071</v>
      </c>
      <c r="I249" s="276">
        <v>2</v>
      </c>
      <c r="J249" s="181" t="s">
        <v>314</v>
      </c>
      <c r="K249" s="245">
        <f>IF(BD.PD[[#This Row],[Mon]]="DOP",1,HLOOKUP(BD.PD[[#This Row],[Mon]],$J$1:$K$2,2,FALSE))</f>
        <v>1</v>
      </c>
      <c r="L249" s="277">
        <v>294000</v>
      </c>
      <c r="M249" s="247">
        <f>BD.PD[[#This Row],[Cant.]]*BD.PD[[#This Row],[ Tasa ]]*BD.PD[[#This Row],[ Precio Und.]]</f>
        <v>588000</v>
      </c>
      <c r="N249" s="278">
        <v>0</v>
      </c>
      <c r="O249" s="247">
        <f>IF(BD.PD[[#This Row],[Liquid. '[%']]]&lt;&gt;0,(BD.PD[[#This Row],[Valor Neto '[DOP']]]*BD.PD[[#This Row],[Liquid. '[%']]])+BD.PD[[#This Row],[Valor Neto '[DOP']]],BD.PD[[#This Row],[Valor Neto '[DOP']]])</f>
        <v>588000</v>
      </c>
      <c r="P249" s="257">
        <f>BD.PD[[#This Row],[Ppto. Orden Interna '[DOP']]]/HLOOKUP("USD",$J$1:$K$2,2,FALSE)</f>
        <v>9686.9851729818783</v>
      </c>
      <c r="Q249" s="250" t="s">
        <v>436</v>
      </c>
      <c r="R249" s="258" t="s">
        <v>437</v>
      </c>
      <c r="S249" s="251">
        <v>21</v>
      </c>
      <c r="T249" s="252">
        <v>1</v>
      </c>
      <c r="U249" s="259">
        <f>BD.PD[[#This Row],[Av.P1 '[%']]]*BD.PD[[#This Row],[Ppto. Orden Interna '[DOP']]]</f>
        <v>588000</v>
      </c>
      <c r="V249" s="254"/>
      <c r="W249" s="255"/>
      <c r="X249" s="259">
        <f>BD.PD[[#This Row],[Av.P2 '[%']]]*BD.PD[[#This Row],[Ppto. Orden Interna '[DOP']]]</f>
        <v>0</v>
      </c>
      <c r="Y249" s="254"/>
      <c r="Z249" s="255"/>
      <c r="AA249" s="259">
        <f>BD.PD[[#This Row],[Av.P3 '[%']]]*BD.PD[[#This Row],[Ppto. Orden Interna '[DOP']]]</f>
        <v>0</v>
      </c>
      <c r="AB249" s="254"/>
      <c r="AC249" s="255"/>
      <c r="AD249" s="259">
        <f>BD.PD[[#This Row],[Av.P4 '[%']]]*BD.PD[[#This Row],[Ppto. Orden Interna '[DOP']]]</f>
        <v>0</v>
      </c>
      <c r="AE249" s="254"/>
      <c r="AF249" s="255"/>
      <c r="AG249" s="259">
        <f>BD.PD[[#This Row],[Av.P5 '[%']]]*BD.PD[[#This Row],[Ppto. Orden Interna '[DOP']]]</f>
        <v>0</v>
      </c>
      <c r="AH249" s="256">
        <f>BD.PD[[#This Row],[Pago 5]]+BD.PD[[#This Row],[Pago 4]]+BD.PD[[#This Row],[Pago 3]]+BD.PD[[#This Row],[Pago 2]]+BD.PD[[#This Row],[Pago 1]]</f>
        <v>588000</v>
      </c>
      <c r="AI249" s="318"/>
    </row>
    <row r="250" spans="1:35" ht="15" customHeight="1" x14ac:dyDescent="0.3">
      <c r="A250" s="181">
        <v>7.03</v>
      </c>
      <c r="B250" s="239"/>
      <c r="C250" s="240" t="str">
        <f>VLOOKUP(BD.PD[[#This Row],[Pos]],PPto[],3,FALSE)</f>
        <v>7.03 Equipamiento Carniceria, Pescadería y Delicatesen</v>
      </c>
      <c r="D250" s="181" t="s">
        <v>40</v>
      </c>
      <c r="E250" s="242" t="str">
        <f>IF(BD.PD[[#This Row],[.]]="*",VLOOKUP(BD.PD[[#This Row],[Pos]],Presupuesto!A:H,7,FALSE),"")</f>
        <v/>
      </c>
      <c r="F250" s="305" t="s">
        <v>518</v>
      </c>
      <c r="G250" s="243" t="s">
        <v>1069</v>
      </c>
      <c r="H250" s="275" t="s">
        <v>1071</v>
      </c>
      <c r="I250" s="276">
        <v>2</v>
      </c>
      <c r="J250" s="181" t="s">
        <v>314</v>
      </c>
      <c r="K250" s="245">
        <f>IF(BD.PD[[#This Row],[Mon]]="DOP",1,HLOOKUP(BD.PD[[#This Row],[Mon]],$J$1:$K$2,2,FALSE))</f>
        <v>1</v>
      </c>
      <c r="L250" s="277">
        <v>151549.5</v>
      </c>
      <c r="M250" s="247">
        <f>BD.PD[[#This Row],[Cant.]]*BD.PD[[#This Row],[ Tasa ]]*BD.PD[[#This Row],[ Precio Und.]]</f>
        <v>303099</v>
      </c>
      <c r="N250" s="278">
        <v>0</v>
      </c>
      <c r="O250" s="247">
        <f>IF(BD.PD[[#This Row],[Liquid. '[%']]]&lt;&gt;0,(BD.PD[[#This Row],[Valor Neto '[DOP']]]*BD.PD[[#This Row],[Liquid. '[%']]])+BD.PD[[#This Row],[Valor Neto '[DOP']]],BD.PD[[#This Row],[Valor Neto '[DOP']]])</f>
        <v>303099</v>
      </c>
      <c r="P250" s="257">
        <f>BD.PD[[#This Row],[Ppto. Orden Interna '[DOP']]]/HLOOKUP("USD",$J$1:$K$2,2,FALSE)</f>
        <v>4993.3937397034597</v>
      </c>
      <c r="Q250" s="250" t="s">
        <v>436</v>
      </c>
      <c r="R250" s="258" t="s">
        <v>437</v>
      </c>
      <c r="S250" s="251">
        <v>21</v>
      </c>
      <c r="T250" s="252">
        <v>1</v>
      </c>
      <c r="U250" s="259">
        <f>BD.PD[[#This Row],[Av.P1 '[%']]]*BD.PD[[#This Row],[Ppto. Orden Interna '[DOP']]]</f>
        <v>303099</v>
      </c>
      <c r="V250" s="254"/>
      <c r="W250" s="255"/>
      <c r="X250" s="259">
        <f>BD.PD[[#This Row],[Av.P2 '[%']]]*BD.PD[[#This Row],[Ppto. Orden Interna '[DOP']]]</f>
        <v>0</v>
      </c>
      <c r="Y250" s="254"/>
      <c r="Z250" s="255"/>
      <c r="AA250" s="259">
        <f>BD.PD[[#This Row],[Av.P3 '[%']]]*BD.PD[[#This Row],[Ppto. Orden Interna '[DOP']]]</f>
        <v>0</v>
      </c>
      <c r="AB250" s="254"/>
      <c r="AC250" s="255"/>
      <c r="AD250" s="259">
        <f>BD.PD[[#This Row],[Av.P4 '[%']]]*BD.PD[[#This Row],[Ppto. Orden Interna '[DOP']]]</f>
        <v>0</v>
      </c>
      <c r="AE250" s="254"/>
      <c r="AF250" s="255"/>
      <c r="AG250" s="259">
        <f>BD.PD[[#This Row],[Av.P5 '[%']]]*BD.PD[[#This Row],[Ppto. Orden Interna '[DOP']]]</f>
        <v>0</v>
      </c>
      <c r="AH250" s="256">
        <f>BD.PD[[#This Row],[Pago 5]]+BD.PD[[#This Row],[Pago 4]]+BD.PD[[#This Row],[Pago 3]]+BD.PD[[#This Row],[Pago 2]]+BD.PD[[#This Row],[Pago 1]]</f>
        <v>303099</v>
      </c>
      <c r="AI250" s="318"/>
    </row>
    <row r="251" spans="1:35" ht="15" customHeight="1" x14ac:dyDescent="0.3">
      <c r="A251" s="181">
        <v>7.03</v>
      </c>
      <c r="B251" s="239"/>
      <c r="C251" s="240" t="str">
        <f>VLOOKUP(BD.PD[[#This Row],[Pos]],PPto[],3,FALSE)</f>
        <v>7.03 Equipamiento Carniceria, Pescadería y Delicatesen</v>
      </c>
      <c r="D251" s="181" t="s">
        <v>40</v>
      </c>
      <c r="E251" s="242" t="str">
        <f>IF(BD.PD[[#This Row],[.]]="*",VLOOKUP(BD.PD[[#This Row],[Pos]],Presupuesto!A:H,7,FALSE),"")</f>
        <v/>
      </c>
      <c r="F251" s="243" t="s">
        <v>519</v>
      </c>
      <c r="G251" s="243" t="s">
        <v>308</v>
      </c>
      <c r="H251" s="275"/>
      <c r="I251" s="276">
        <v>2</v>
      </c>
      <c r="J251" s="181" t="s">
        <v>314</v>
      </c>
      <c r="K251" s="245">
        <f>IF(BD.PD[[#This Row],[Mon]]="DOP",1,HLOOKUP(BD.PD[[#This Row],[Mon]],$J$1:$K$2,2,FALSE))</f>
        <v>1</v>
      </c>
      <c r="L251" s="277">
        <v>8808.0550000000003</v>
      </c>
      <c r="M251" s="247">
        <f>BD.PD[[#This Row],[Cant.]]*BD.PD[[#This Row],[ Tasa ]]*BD.PD[[#This Row],[ Precio Und.]]</f>
        <v>17616.11</v>
      </c>
      <c r="N251" s="278">
        <v>0</v>
      </c>
      <c r="O251" s="247">
        <f>IF(BD.PD[[#This Row],[Liquid. '[%']]]&lt;&gt;0,(BD.PD[[#This Row],[Valor Neto '[DOP']]]*BD.PD[[#This Row],[Liquid. '[%']]])+BD.PD[[#This Row],[Valor Neto '[DOP']]],BD.PD[[#This Row],[Valor Neto '[DOP']]])</f>
        <v>17616.11</v>
      </c>
      <c r="P251" s="257">
        <f>BD.PD[[#This Row],[Ppto. Orden Interna '[DOP']]]/HLOOKUP("USD",$J$1:$K$2,2,FALSE)</f>
        <v>290.21598023064251</v>
      </c>
      <c r="Q251" s="250" t="s">
        <v>436</v>
      </c>
      <c r="R251" s="258" t="s">
        <v>437</v>
      </c>
      <c r="S251" s="251">
        <v>22</v>
      </c>
      <c r="T251" s="252">
        <v>1</v>
      </c>
      <c r="U251" s="259">
        <f>BD.PD[[#This Row],[Av.P1 '[%']]]*BD.PD[[#This Row],[Ppto. Orden Interna '[DOP']]]</f>
        <v>17616.11</v>
      </c>
      <c r="V251" s="254"/>
      <c r="W251" s="255"/>
      <c r="X251" s="259">
        <f>BD.PD[[#This Row],[Av.P2 '[%']]]*BD.PD[[#This Row],[Ppto. Orden Interna '[DOP']]]</f>
        <v>0</v>
      </c>
      <c r="Y251" s="254"/>
      <c r="Z251" s="255"/>
      <c r="AA251" s="259">
        <f>BD.PD[[#This Row],[Av.P3 '[%']]]*BD.PD[[#This Row],[Ppto. Orden Interna '[DOP']]]</f>
        <v>0</v>
      </c>
      <c r="AB251" s="254"/>
      <c r="AC251" s="255"/>
      <c r="AD251" s="259">
        <f>BD.PD[[#This Row],[Av.P4 '[%']]]*BD.PD[[#This Row],[Ppto. Orden Interna '[DOP']]]</f>
        <v>0</v>
      </c>
      <c r="AE251" s="254"/>
      <c r="AF251" s="255"/>
      <c r="AG251" s="259">
        <f>BD.PD[[#This Row],[Av.P5 '[%']]]*BD.PD[[#This Row],[Ppto. Orden Interna '[DOP']]]</f>
        <v>0</v>
      </c>
      <c r="AH251" s="256">
        <f>BD.PD[[#This Row],[Pago 5]]+BD.PD[[#This Row],[Pago 4]]+BD.PD[[#This Row],[Pago 3]]+BD.PD[[#This Row],[Pago 2]]+BD.PD[[#This Row],[Pago 1]]</f>
        <v>17616.11</v>
      </c>
      <c r="AI251" s="318"/>
    </row>
    <row r="252" spans="1:35" ht="15" customHeight="1" x14ac:dyDescent="0.3">
      <c r="A252" s="181">
        <v>7.03</v>
      </c>
      <c r="B252" s="239"/>
      <c r="C252" s="240" t="str">
        <f>VLOOKUP(BD.PD[[#This Row],[Pos]],PPto[],3,FALSE)</f>
        <v>7.03 Equipamiento Carniceria, Pescadería y Delicatesen</v>
      </c>
      <c r="D252" s="181" t="s">
        <v>40</v>
      </c>
      <c r="E252" s="242" t="str">
        <f>IF(BD.PD[[#This Row],[.]]="*",VLOOKUP(BD.PD[[#This Row],[Pos]],Presupuesto!A:H,7,FALSE),"")</f>
        <v/>
      </c>
      <c r="F252" s="243" t="s">
        <v>520</v>
      </c>
      <c r="G252" s="243" t="s">
        <v>308</v>
      </c>
      <c r="H252" s="275"/>
      <c r="I252" s="276">
        <v>6</v>
      </c>
      <c r="J252" s="181" t="s">
        <v>314</v>
      </c>
      <c r="K252" s="245">
        <f>IF(BD.PD[[#This Row],[Mon]]="DOP",1,HLOOKUP(BD.PD[[#This Row],[Mon]],$J$1:$K$2,2,FALSE))</f>
        <v>1</v>
      </c>
      <c r="L252" s="277">
        <v>1337.0183333333332</v>
      </c>
      <c r="M252" s="247">
        <f>BD.PD[[#This Row],[Cant.]]*BD.PD[[#This Row],[ Tasa ]]*BD.PD[[#This Row],[ Precio Und.]]</f>
        <v>8022.1099999999988</v>
      </c>
      <c r="N252" s="278">
        <v>0</v>
      </c>
      <c r="O252" s="247">
        <f>IF(BD.PD[[#This Row],[Liquid. '[%']]]&lt;&gt;0,(BD.PD[[#This Row],[Valor Neto '[DOP']]]*BD.PD[[#This Row],[Liquid. '[%']]])+BD.PD[[#This Row],[Valor Neto '[DOP']]],BD.PD[[#This Row],[Valor Neto '[DOP']]])</f>
        <v>8022.1099999999988</v>
      </c>
      <c r="P252" s="257">
        <f>BD.PD[[#This Row],[Ppto. Orden Interna '[DOP']]]/HLOOKUP("USD",$J$1:$K$2,2,FALSE)</f>
        <v>132.15996705107082</v>
      </c>
      <c r="Q252" s="250" t="s">
        <v>436</v>
      </c>
      <c r="R252" s="258" t="s">
        <v>437</v>
      </c>
      <c r="S252" s="251">
        <v>22</v>
      </c>
      <c r="T252" s="252">
        <v>1</v>
      </c>
      <c r="U252" s="259">
        <f>BD.PD[[#This Row],[Av.P1 '[%']]]*BD.PD[[#This Row],[Ppto. Orden Interna '[DOP']]]</f>
        <v>8022.1099999999988</v>
      </c>
      <c r="V252" s="254"/>
      <c r="W252" s="255"/>
      <c r="X252" s="259">
        <f>BD.PD[[#This Row],[Av.P2 '[%']]]*BD.PD[[#This Row],[Ppto. Orden Interna '[DOP']]]</f>
        <v>0</v>
      </c>
      <c r="Y252" s="254"/>
      <c r="Z252" s="255"/>
      <c r="AA252" s="259">
        <f>BD.PD[[#This Row],[Av.P3 '[%']]]*BD.PD[[#This Row],[Ppto. Orden Interna '[DOP']]]</f>
        <v>0</v>
      </c>
      <c r="AB252" s="254"/>
      <c r="AC252" s="255"/>
      <c r="AD252" s="259">
        <f>BD.PD[[#This Row],[Av.P4 '[%']]]*BD.PD[[#This Row],[Ppto. Orden Interna '[DOP']]]</f>
        <v>0</v>
      </c>
      <c r="AE252" s="254"/>
      <c r="AF252" s="255"/>
      <c r="AG252" s="259">
        <f>BD.PD[[#This Row],[Av.P5 '[%']]]*BD.PD[[#This Row],[Ppto. Orden Interna '[DOP']]]</f>
        <v>0</v>
      </c>
      <c r="AH252" s="256">
        <f>BD.PD[[#This Row],[Pago 5]]+BD.PD[[#This Row],[Pago 4]]+BD.PD[[#This Row],[Pago 3]]+BD.PD[[#This Row],[Pago 2]]+BD.PD[[#This Row],[Pago 1]]</f>
        <v>8022.1099999999988</v>
      </c>
      <c r="AI252" s="318"/>
    </row>
    <row r="253" spans="1:35" ht="15" customHeight="1" x14ac:dyDescent="0.3">
      <c r="A253" s="181">
        <v>7.03</v>
      </c>
      <c r="B253" s="239"/>
      <c r="C253" s="240" t="str">
        <f>VLOOKUP(BD.PD[[#This Row],[Pos]],PPto[],3,FALSE)</f>
        <v>7.03 Equipamiento Carniceria, Pescadería y Delicatesen</v>
      </c>
      <c r="D253" s="181" t="s">
        <v>40</v>
      </c>
      <c r="E253" s="242" t="str">
        <f>IF(BD.PD[[#This Row],[.]]="*",VLOOKUP(BD.PD[[#This Row],[Pos]],Presupuesto!A:H,7,FALSE),"")</f>
        <v/>
      </c>
      <c r="F253" s="243" t="s">
        <v>521</v>
      </c>
      <c r="G253" s="243" t="s">
        <v>308</v>
      </c>
      <c r="H253" s="275"/>
      <c r="I253" s="276">
        <v>3</v>
      </c>
      <c r="J253" s="181" t="s">
        <v>314</v>
      </c>
      <c r="K253" s="245">
        <f>IF(BD.PD[[#This Row],[Mon]]="DOP",1,HLOOKUP(BD.PD[[#This Row],[Mon]],$J$1:$K$2,2,FALSE))</f>
        <v>1</v>
      </c>
      <c r="L253" s="277">
        <v>2626.0833333333335</v>
      </c>
      <c r="M253" s="247">
        <f>BD.PD[[#This Row],[Cant.]]*BD.PD[[#This Row],[ Tasa ]]*BD.PD[[#This Row],[ Precio Und.]]</f>
        <v>7878.25</v>
      </c>
      <c r="N253" s="278">
        <v>0</v>
      </c>
      <c r="O253" s="247">
        <f>IF(BD.PD[[#This Row],[Liquid. '[%']]]&lt;&gt;0,(BD.PD[[#This Row],[Valor Neto '[DOP']]]*BD.PD[[#This Row],[Liquid. '[%']]])+BD.PD[[#This Row],[Valor Neto '[DOP']]],BD.PD[[#This Row],[Valor Neto '[DOP']]])</f>
        <v>7878.25</v>
      </c>
      <c r="P253" s="257">
        <f>BD.PD[[#This Row],[Ppto. Orden Interna '[DOP']]]/HLOOKUP("USD",$J$1:$K$2,2,FALSE)</f>
        <v>129.78995057660626</v>
      </c>
      <c r="Q253" s="250" t="s">
        <v>436</v>
      </c>
      <c r="R253" s="258" t="s">
        <v>437</v>
      </c>
      <c r="S253" s="251">
        <v>22</v>
      </c>
      <c r="T253" s="252">
        <v>1</v>
      </c>
      <c r="U253" s="259">
        <f>BD.PD[[#This Row],[Av.P1 '[%']]]*BD.PD[[#This Row],[Ppto. Orden Interna '[DOP']]]</f>
        <v>7878.25</v>
      </c>
      <c r="V253" s="254"/>
      <c r="W253" s="255"/>
      <c r="X253" s="259">
        <f>BD.PD[[#This Row],[Av.P2 '[%']]]*BD.PD[[#This Row],[Ppto. Orden Interna '[DOP']]]</f>
        <v>0</v>
      </c>
      <c r="Y253" s="254"/>
      <c r="Z253" s="255"/>
      <c r="AA253" s="259">
        <f>BD.PD[[#This Row],[Av.P3 '[%']]]*BD.PD[[#This Row],[Ppto. Orden Interna '[DOP']]]</f>
        <v>0</v>
      </c>
      <c r="AB253" s="254"/>
      <c r="AC253" s="255"/>
      <c r="AD253" s="259">
        <f>BD.PD[[#This Row],[Av.P4 '[%']]]*BD.PD[[#This Row],[Ppto. Orden Interna '[DOP']]]</f>
        <v>0</v>
      </c>
      <c r="AE253" s="254"/>
      <c r="AF253" s="255"/>
      <c r="AG253" s="259">
        <f>BD.PD[[#This Row],[Av.P5 '[%']]]*BD.PD[[#This Row],[Ppto. Orden Interna '[DOP']]]</f>
        <v>0</v>
      </c>
      <c r="AH253" s="256">
        <f>BD.PD[[#This Row],[Pago 5]]+BD.PD[[#This Row],[Pago 4]]+BD.PD[[#This Row],[Pago 3]]+BD.PD[[#This Row],[Pago 2]]+BD.PD[[#This Row],[Pago 1]]</f>
        <v>7878.25</v>
      </c>
      <c r="AI253" s="318"/>
    </row>
    <row r="254" spans="1:35" ht="15" customHeight="1" x14ac:dyDescent="0.3">
      <c r="A254" s="181">
        <v>7.03</v>
      </c>
      <c r="B254" s="239"/>
      <c r="C254" s="240" t="str">
        <f>VLOOKUP(BD.PD[[#This Row],[Pos]],PPto[],3,FALSE)</f>
        <v>7.03 Equipamiento Carniceria, Pescadería y Delicatesen</v>
      </c>
      <c r="D254" s="181" t="s">
        <v>40</v>
      </c>
      <c r="E254" s="242" t="str">
        <f>IF(BD.PD[[#This Row],[.]]="*",VLOOKUP(BD.PD[[#This Row],[Pos]],Presupuesto!A:H,7,FALSE),"")</f>
        <v/>
      </c>
      <c r="F254" s="243" t="s">
        <v>522</v>
      </c>
      <c r="G254" s="243" t="s">
        <v>308</v>
      </c>
      <c r="H254" s="275"/>
      <c r="I254" s="276">
        <v>5</v>
      </c>
      <c r="J254" s="181" t="s">
        <v>314</v>
      </c>
      <c r="K254" s="245">
        <f>IF(BD.PD[[#This Row],[Mon]]="DOP",1,HLOOKUP(BD.PD[[#This Row],[Mon]],$J$1:$K$2,2,FALSE))</f>
        <v>1</v>
      </c>
      <c r="L254" s="277">
        <v>3567.6959999999999</v>
      </c>
      <c r="M254" s="247">
        <f>BD.PD[[#This Row],[Cant.]]*BD.PD[[#This Row],[ Tasa ]]*BD.PD[[#This Row],[ Precio Und.]]</f>
        <v>17838.48</v>
      </c>
      <c r="N254" s="278">
        <v>0</v>
      </c>
      <c r="O254" s="247">
        <f>IF(BD.PD[[#This Row],[Liquid. '[%']]]&lt;&gt;0,(BD.PD[[#This Row],[Valor Neto '[DOP']]]*BD.PD[[#This Row],[Liquid. '[%']]])+BD.PD[[#This Row],[Valor Neto '[DOP']]],BD.PD[[#This Row],[Valor Neto '[DOP']]])</f>
        <v>17838.48</v>
      </c>
      <c r="P254" s="257">
        <f>BD.PD[[#This Row],[Ppto. Orden Interna '[DOP']]]/HLOOKUP("USD",$J$1:$K$2,2,FALSE)</f>
        <v>293.87940691927508</v>
      </c>
      <c r="Q254" s="250" t="s">
        <v>436</v>
      </c>
      <c r="R254" s="258" t="s">
        <v>437</v>
      </c>
      <c r="S254" s="251">
        <v>22</v>
      </c>
      <c r="T254" s="252">
        <v>1</v>
      </c>
      <c r="U254" s="259">
        <f>BD.PD[[#This Row],[Av.P1 '[%']]]*BD.PD[[#This Row],[Ppto. Orden Interna '[DOP']]]</f>
        <v>17838.48</v>
      </c>
      <c r="V254" s="254"/>
      <c r="W254" s="255"/>
      <c r="X254" s="259">
        <f>BD.PD[[#This Row],[Av.P2 '[%']]]*BD.PD[[#This Row],[Ppto. Orden Interna '[DOP']]]</f>
        <v>0</v>
      </c>
      <c r="Y254" s="254"/>
      <c r="Z254" s="255"/>
      <c r="AA254" s="259">
        <f>BD.PD[[#This Row],[Av.P3 '[%']]]*BD.PD[[#This Row],[Ppto. Orden Interna '[DOP']]]</f>
        <v>0</v>
      </c>
      <c r="AB254" s="254"/>
      <c r="AC254" s="255"/>
      <c r="AD254" s="259">
        <f>BD.PD[[#This Row],[Av.P4 '[%']]]*BD.PD[[#This Row],[Ppto. Orden Interna '[DOP']]]</f>
        <v>0</v>
      </c>
      <c r="AE254" s="254"/>
      <c r="AF254" s="255"/>
      <c r="AG254" s="259">
        <f>BD.PD[[#This Row],[Av.P5 '[%']]]*BD.PD[[#This Row],[Ppto. Orden Interna '[DOP']]]</f>
        <v>0</v>
      </c>
      <c r="AH254" s="256">
        <f>BD.PD[[#This Row],[Pago 5]]+BD.PD[[#This Row],[Pago 4]]+BD.PD[[#This Row],[Pago 3]]+BD.PD[[#This Row],[Pago 2]]+BD.PD[[#This Row],[Pago 1]]</f>
        <v>17838.48</v>
      </c>
      <c r="AI254" s="318"/>
    </row>
    <row r="255" spans="1:35" ht="15" customHeight="1" x14ac:dyDescent="0.3">
      <c r="A255" s="181">
        <v>7.03</v>
      </c>
      <c r="B255" s="239"/>
      <c r="C255" s="240" t="str">
        <f>VLOOKUP(BD.PD[[#This Row],[Pos]],PPto[],3,FALSE)</f>
        <v>7.03 Equipamiento Carniceria, Pescadería y Delicatesen</v>
      </c>
      <c r="D255" s="181" t="s">
        <v>40</v>
      </c>
      <c r="E255" s="242" t="str">
        <f>IF(BD.PD[[#This Row],[.]]="*",VLOOKUP(BD.PD[[#This Row],[Pos]],Presupuesto!A:H,7,FALSE),"")</f>
        <v/>
      </c>
      <c r="F255" s="303" t="s">
        <v>523</v>
      </c>
      <c r="G255" s="243" t="s">
        <v>308</v>
      </c>
      <c r="H255" s="275"/>
      <c r="I255" s="276">
        <v>1</v>
      </c>
      <c r="J255" s="181" t="s">
        <v>314</v>
      </c>
      <c r="K255" s="245">
        <f>IF(BD.PD[[#This Row],[Mon]]="DOP",1,HLOOKUP(BD.PD[[#This Row],[Mon]],$J$1:$K$2,2,FALSE))</f>
        <v>1</v>
      </c>
      <c r="L255" s="277">
        <v>8316.0499999999993</v>
      </c>
      <c r="M255" s="247">
        <f>BD.PD[[#This Row],[Cant.]]*BD.PD[[#This Row],[ Tasa ]]*BD.PD[[#This Row],[ Precio Und.]]</f>
        <v>8316.0499999999993</v>
      </c>
      <c r="N255" s="278">
        <v>0</v>
      </c>
      <c r="O255" s="247">
        <f>IF(BD.PD[[#This Row],[Liquid. '[%']]]&lt;&gt;0,(BD.PD[[#This Row],[Valor Neto '[DOP']]]*BD.PD[[#This Row],[Liquid. '[%']]])+BD.PD[[#This Row],[Valor Neto '[DOP']]],BD.PD[[#This Row],[Valor Neto '[DOP']]])</f>
        <v>8316.0499999999993</v>
      </c>
      <c r="P255" s="257">
        <f>BD.PD[[#This Row],[Ppto. Orden Interna '[DOP']]]/HLOOKUP("USD",$J$1:$K$2,2,FALSE)</f>
        <v>137.00247116968697</v>
      </c>
      <c r="Q255" s="250" t="s">
        <v>436</v>
      </c>
      <c r="R255" s="258" t="s">
        <v>437</v>
      </c>
      <c r="S255" s="251">
        <v>22</v>
      </c>
      <c r="T255" s="252">
        <v>1</v>
      </c>
      <c r="U255" s="259">
        <f>BD.PD[[#This Row],[Av.P1 '[%']]]*BD.PD[[#This Row],[Ppto. Orden Interna '[DOP']]]</f>
        <v>8316.0499999999993</v>
      </c>
      <c r="V255" s="254"/>
      <c r="W255" s="255"/>
      <c r="X255" s="259">
        <f>BD.PD[[#This Row],[Av.P2 '[%']]]*BD.PD[[#This Row],[Ppto. Orden Interna '[DOP']]]</f>
        <v>0</v>
      </c>
      <c r="Y255" s="254"/>
      <c r="Z255" s="255"/>
      <c r="AA255" s="259">
        <f>BD.PD[[#This Row],[Av.P3 '[%']]]*BD.PD[[#This Row],[Ppto. Orden Interna '[DOP']]]</f>
        <v>0</v>
      </c>
      <c r="AB255" s="254"/>
      <c r="AC255" s="255"/>
      <c r="AD255" s="259">
        <f>BD.PD[[#This Row],[Av.P4 '[%']]]*BD.PD[[#This Row],[Ppto. Orden Interna '[DOP']]]</f>
        <v>0</v>
      </c>
      <c r="AE255" s="254"/>
      <c r="AF255" s="255"/>
      <c r="AG255" s="259">
        <f>BD.PD[[#This Row],[Av.P5 '[%']]]*BD.PD[[#This Row],[Ppto. Orden Interna '[DOP']]]</f>
        <v>0</v>
      </c>
      <c r="AH255" s="256">
        <f>BD.PD[[#This Row],[Pago 5]]+BD.PD[[#This Row],[Pago 4]]+BD.PD[[#This Row],[Pago 3]]+BD.PD[[#This Row],[Pago 2]]+BD.PD[[#This Row],[Pago 1]]</f>
        <v>8316.0499999999993</v>
      </c>
      <c r="AI255" s="318"/>
    </row>
    <row r="256" spans="1:35" ht="15" customHeight="1" x14ac:dyDescent="0.3">
      <c r="A256" s="181">
        <v>7.04</v>
      </c>
      <c r="B256" s="239"/>
      <c r="C256" s="240" t="str">
        <f>VLOOKUP(BD.PD[[#This Row],[Pos]],PPto[],3,FALSE)</f>
        <v>7.04 Equipamiento de Panaderia, Reposteria y Rosticería</v>
      </c>
      <c r="D256" s="181" t="s">
        <v>40</v>
      </c>
      <c r="E256" s="242" t="str">
        <f>IF(BD.PD[[#This Row],[.]]="*",VLOOKUP(BD.PD[[#This Row],[Pos]],Presupuesto!A:H,7,FALSE),"")</f>
        <v/>
      </c>
      <c r="F256" s="305" t="s">
        <v>533</v>
      </c>
      <c r="G256" s="243" t="s">
        <v>334</v>
      </c>
      <c r="H256" s="275"/>
      <c r="I256" s="276">
        <v>1</v>
      </c>
      <c r="J256" s="181" t="s">
        <v>188</v>
      </c>
      <c r="K256" s="245">
        <f>IF(BD.PD[[#This Row],[Mon]]="DOP",1,HLOOKUP(BD.PD[[#This Row],[Mon]],$J$1:$K$2,2,FALSE))</f>
        <v>60.7</v>
      </c>
      <c r="L256" s="277">
        <v>25116</v>
      </c>
      <c r="M256" s="247">
        <f>BD.PD[[#This Row],[Cant.]]*BD.PD[[#This Row],[ Tasa ]]*BD.PD[[#This Row],[ Precio Und.]]</f>
        <v>1524541.2000000002</v>
      </c>
      <c r="N256" s="278">
        <v>0</v>
      </c>
      <c r="O256" s="247">
        <f>IF(BD.PD[[#This Row],[Liquid. '[%']]]&lt;&gt;0,(BD.PD[[#This Row],[Valor Neto '[DOP']]]*BD.PD[[#This Row],[Liquid. '[%']]])+BD.PD[[#This Row],[Valor Neto '[DOP']]],BD.PD[[#This Row],[Valor Neto '[DOP']]])</f>
        <v>1524541.2000000002</v>
      </c>
      <c r="P256" s="257">
        <f>BD.PD[[#This Row],[Ppto. Orden Interna '[DOP']]]/HLOOKUP("USD",$J$1:$K$2,2,FALSE)</f>
        <v>25116.000000000004</v>
      </c>
      <c r="Q256" s="250" t="s">
        <v>534</v>
      </c>
      <c r="R256" s="258" t="s">
        <v>437</v>
      </c>
      <c r="S256" s="251">
        <v>22</v>
      </c>
      <c r="T256" s="252">
        <v>0.5</v>
      </c>
      <c r="U256" s="259">
        <f>BD.PD[[#This Row],[Av.P1 '[%']]]*BD.PD[[#This Row],[Ppto. Orden Interna '[DOP']]]</f>
        <v>762270.60000000009</v>
      </c>
      <c r="V256" s="254">
        <v>24</v>
      </c>
      <c r="W256" s="255">
        <v>0.5</v>
      </c>
      <c r="X256" s="259">
        <f>BD.PD[[#This Row],[Av.P2 '[%']]]*BD.PD[[#This Row],[Ppto. Orden Interna '[DOP']]]</f>
        <v>762270.60000000009</v>
      </c>
      <c r="Y256" s="254"/>
      <c r="Z256" s="255"/>
      <c r="AA256" s="259">
        <f>BD.PD[[#This Row],[Av.P3 '[%']]]*BD.PD[[#This Row],[Ppto. Orden Interna '[DOP']]]</f>
        <v>0</v>
      </c>
      <c r="AB256" s="254"/>
      <c r="AC256" s="255"/>
      <c r="AD256" s="259">
        <f>BD.PD[[#This Row],[Av.P4 '[%']]]*BD.PD[[#This Row],[Ppto. Orden Interna '[DOP']]]</f>
        <v>0</v>
      </c>
      <c r="AE256" s="254"/>
      <c r="AF256" s="255"/>
      <c r="AG256" s="259">
        <f>BD.PD[[#This Row],[Av.P5 '[%']]]*BD.PD[[#This Row],[Ppto. Orden Interna '[DOP']]]</f>
        <v>0</v>
      </c>
      <c r="AH256" s="256">
        <f>BD.PD[[#This Row],[Pago 5]]+BD.PD[[#This Row],[Pago 4]]+BD.PD[[#This Row],[Pago 3]]+BD.PD[[#This Row],[Pago 2]]+BD.PD[[#This Row],[Pago 1]]</f>
        <v>1524541.2000000002</v>
      </c>
      <c r="AI256" s="318"/>
    </row>
    <row r="257" spans="1:35" ht="15" customHeight="1" x14ac:dyDescent="0.3">
      <c r="A257" s="181">
        <v>7.04</v>
      </c>
      <c r="B257" s="239"/>
      <c r="C257" s="240" t="str">
        <f>VLOOKUP(BD.PD[[#This Row],[Pos]],PPto[],3,FALSE)</f>
        <v>7.04 Equipamiento de Panaderia, Reposteria y Rosticería</v>
      </c>
      <c r="D257" s="181" t="s">
        <v>40</v>
      </c>
      <c r="E257" s="242" t="str">
        <f>IF(BD.PD[[#This Row],[.]]="*",VLOOKUP(BD.PD[[#This Row],[Pos]],Presupuesto!A:H,7,FALSE),"")</f>
        <v/>
      </c>
      <c r="F257" s="243" t="s">
        <v>1093</v>
      </c>
      <c r="G257" s="243">
        <v>4600080322</v>
      </c>
      <c r="H257" s="275">
        <v>46260</v>
      </c>
      <c r="I257" s="276">
        <v>16</v>
      </c>
      <c r="J257" s="181" t="s">
        <v>258</v>
      </c>
      <c r="K257" s="245">
        <f>IF(BD.PD[[#This Row],[Mon]]="DOP",1,HLOOKUP(BD.PD[[#This Row],[Mon]],$J$1:$K$2,2,FALSE))</f>
        <v>69.8</v>
      </c>
      <c r="L257" s="277">
        <v>260</v>
      </c>
      <c r="M257" s="247">
        <f>BD.PD[[#This Row],[Cant.]]*BD.PD[[#This Row],[ Tasa ]]*BD.PD[[#This Row],[ Precio Und.]]</f>
        <v>290368</v>
      </c>
      <c r="N257" s="278">
        <v>0</v>
      </c>
      <c r="O257" s="247">
        <f>IF(BD.PD[[#This Row],[Liquid. '[%']]]&lt;&gt;0,(BD.PD[[#This Row],[Valor Neto '[DOP']]]*BD.PD[[#This Row],[Liquid. '[%']]])+BD.PD[[#This Row],[Valor Neto '[DOP']]],BD.PD[[#This Row],[Valor Neto '[DOP']]])</f>
        <v>290368</v>
      </c>
      <c r="P257" s="257">
        <f>BD.PD[[#This Row],[Ppto. Orden Interna '[DOP']]]/HLOOKUP("USD",$J$1:$K$2,2,FALSE)</f>
        <v>4783.6573311367374</v>
      </c>
      <c r="Q257" s="250" t="s">
        <v>1095</v>
      </c>
      <c r="R257" s="258" t="s">
        <v>535</v>
      </c>
      <c r="S257" s="251">
        <v>21</v>
      </c>
      <c r="T257" s="252">
        <v>0.5</v>
      </c>
      <c r="U257" s="259">
        <f>BD.PD[[#This Row],[Av.P1 '[%']]]*BD.PD[[#This Row],[Ppto. Orden Interna '[DOP']]]</f>
        <v>145184</v>
      </c>
      <c r="V257" s="254">
        <v>24</v>
      </c>
      <c r="W257" s="255">
        <v>0.5</v>
      </c>
      <c r="X257" s="259">
        <f>BD.PD[[#This Row],[Av.P2 '[%']]]*BD.PD[[#This Row],[Ppto. Orden Interna '[DOP']]]</f>
        <v>145184</v>
      </c>
      <c r="Y257" s="254"/>
      <c r="Z257" s="255"/>
      <c r="AA257" s="259">
        <f>BD.PD[[#This Row],[Av.P3 '[%']]]*BD.PD[[#This Row],[Ppto. Orden Interna '[DOP']]]</f>
        <v>0</v>
      </c>
      <c r="AB257" s="254"/>
      <c r="AC257" s="255"/>
      <c r="AD257" s="259">
        <f>BD.PD[[#This Row],[Av.P4 '[%']]]*BD.PD[[#This Row],[Ppto. Orden Interna '[DOP']]]</f>
        <v>0</v>
      </c>
      <c r="AE257" s="254"/>
      <c r="AF257" s="255"/>
      <c r="AG257" s="259">
        <f>BD.PD[[#This Row],[Av.P5 '[%']]]*BD.PD[[#This Row],[Ppto. Orden Interna '[DOP']]]</f>
        <v>0</v>
      </c>
      <c r="AH257" s="256">
        <f>BD.PD[[#This Row],[Pago 5]]+BD.PD[[#This Row],[Pago 4]]+BD.PD[[#This Row],[Pago 3]]+BD.PD[[#This Row],[Pago 2]]+BD.PD[[#This Row],[Pago 1]]</f>
        <v>290368</v>
      </c>
      <c r="AI257" s="318"/>
    </row>
    <row r="258" spans="1:35" ht="15" customHeight="1" x14ac:dyDescent="0.3">
      <c r="A258" s="181">
        <v>4.03</v>
      </c>
      <c r="B258" s="239"/>
      <c r="C258" s="240" t="str">
        <f>VLOOKUP(BD.PD[[#This Row],[Pos]],PPto[],3,FALSE)</f>
        <v>4.03 Sistema de Extracción cocina</v>
      </c>
      <c r="D258" s="181" t="s">
        <v>40</v>
      </c>
      <c r="E258" s="242" t="str">
        <f>IF(BD.PD[[#This Row],[.]]="*",VLOOKUP(BD.PD[[#This Row],[Pos]],Presupuesto!A:H,7,FALSE),"")</f>
        <v/>
      </c>
      <c r="F258" s="243" t="s">
        <v>356</v>
      </c>
      <c r="G258" s="243" t="s">
        <v>308</v>
      </c>
      <c r="H258" s="275"/>
      <c r="I258" s="276">
        <v>1</v>
      </c>
      <c r="J258" s="181" t="s">
        <v>314</v>
      </c>
      <c r="K258" s="245">
        <f>IF(BD.PD[[#This Row],[Mon]]="DOP",1,HLOOKUP(BD.PD[[#This Row],[Mon]],$J$1:$K$2,2,FALSE))</f>
        <v>1</v>
      </c>
      <c r="L258" s="277">
        <v>150000</v>
      </c>
      <c r="M258" s="247">
        <f>BD.PD[[#This Row],[Cant.]]*BD.PD[[#This Row],[ Tasa ]]*BD.PD[[#This Row],[ Precio Und.]]</f>
        <v>150000</v>
      </c>
      <c r="N258" s="278">
        <v>0.01</v>
      </c>
      <c r="O258" s="247">
        <f>IF(BD.PD[[#This Row],[Liquid. '[%']]]&lt;&gt;0,(BD.PD[[#This Row],[Valor Neto '[DOP']]]*BD.PD[[#This Row],[Liquid. '[%']]])+BD.PD[[#This Row],[Valor Neto '[DOP']]],BD.PD[[#This Row],[Valor Neto '[DOP']]])</f>
        <v>151500</v>
      </c>
      <c r="P258" s="257">
        <f>BD.PD[[#This Row],[Ppto. Orden Interna '[DOP']]]/HLOOKUP("USD",$J$1:$K$2,2,FALSE)</f>
        <v>2495.8813838550245</v>
      </c>
      <c r="Q258" s="250" t="s">
        <v>357</v>
      </c>
      <c r="R258" s="321" t="s">
        <v>358</v>
      </c>
      <c r="S258" s="251">
        <v>22</v>
      </c>
      <c r="T258" s="252">
        <v>0.6</v>
      </c>
      <c r="U258" s="259">
        <f>BD.PD[[#This Row],[Av.P1 '[%']]]*BD.PD[[#This Row],[Ppto. Orden Interna '[DOP']]]</f>
        <v>90900</v>
      </c>
      <c r="V258" s="254">
        <v>24</v>
      </c>
      <c r="W258" s="255">
        <v>0.4</v>
      </c>
      <c r="X258" s="259">
        <f>BD.PD[[#This Row],[Av.P2 '[%']]]*BD.PD[[#This Row],[Ppto. Orden Interna '[DOP']]]</f>
        <v>60600</v>
      </c>
      <c r="Y258" s="254"/>
      <c r="Z258" s="255"/>
      <c r="AA258" s="259">
        <f>BD.PD[[#This Row],[Av.P3 '[%']]]*BD.PD[[#This Row],[Ppto. Orden Interna '[DOP']]]</f>
        <v>0</v>
      </c>
      <c r="AB258" s="254"/>
      <c r="AC258" s="255"/>
      <c r="AD258" s="259">
        <f>BD.PD[[#This Row],[Av.P4 '[%']]]*BD.PD[[#This Row],[Ppto. Orden Interna '[DOP']]]</f>
        <v>0</v>
      </c>
      <c r="AE258" s="254"/>
      <c r="AF258" s="255"/>
      <c r="AG258" s="259">
        <f>BD.PD[[#This Row],[Av.P5 '[%']]]*BD.PD[[#This Row],[Ppto. Orden Interna '[DOP']]]</f>
        <v>0</v>
      </c>
      <c r="AH258" s="256">
        <f>BD.PD[[#This Row],[Pago 5]]+BD.PD[[#This Row],[Pago 4]]+BD.PD[[#This Row],[Pago 3]]+BD.PD[[#This Row],[Pago 2]]+BD.PD[[#This Row],[Pago 1]]</f>
        <v>151500</v>
      </c>
      <c r="AI258" s="318"/>
    </row>
    <row r="259" spans="1:35" ht="15" customHeight="1" x14ac:dyDescent="0.3">
      <c r="A259" s="181">
        <v>4.03</v>
      </c>
      <c r="B259" s="239"/>
      <c r="C259" s="240" t="str">
        <f>VLOOKUP(BD.PD[[#This Row],[Pos]],PPto[],3,FALSE)</f>
        <v>4.03 Sistema de Extracción cocina</v>
      </c>
      <c r="D259" s="181" t="s">
        <v>40</v>
      </c>
      <c r="E259" s="242" t="str">
        <f>IF(BD.PD[[#This Row],[.]]="*",VLOOKUP(BD.PD[[#This Row],[Pos]],Presupuesto!A:H,7,FALSE),"")</f>
        <v/>
      </c>
      <c r="F259" s="243" t="s">
        <v>359</v>
      </c>
      <c r="G259" s="243" t="s">
        <v>308</v>
      </c>
      <c r="H259" s="275"/>
      <c r="I259" s="276">
        <v>1</v>
      </c>
      <c r="J259" s="181" t="s">
        <v>314</v>
      </c>
      <c r="K259" s="245">
        <f>IF(BD.PD[[#This Row],[Mon]]="DOP",1,HLOOKUP(BD.PD[[#This Row],[Mon]],$J$1:$K$2,2,FALSE))</f>
        <v>1</v>
      </c>
      <c r="L259" s="277">
        <v>252000</v>
      </c>
      <c r="M259" s="247">
        <f>BD.PD[[#This Row],[Cant.]]*BD.PD[[#This Row],[ Tasa ]]*BD.PD[[#This Row],[ Precio Und.]]</f>
        <v>252000</v>
      </c>
      <c r="N259" s="278">
        <v>0.01</v>
      </c>
      <c r="O259" s="247">
        <f>IF(BD.PD[[#This Row],[Liquid. '[%']]]&lt;&gt;0,(BD.PD[[#This Row],[Valor Neto '[DOP']]]*BD.PD[[#This Row],[Liquid. '[%']]])+BD.PD[[#This Row],[Valor Neto '[DOP']]],BD.PD[[#This Row],[Valor Neto '[DOP']]])</f>
        <v>254520</v>
      </c>
      <c r="P259" s="257">
        <f>BD.PD[[#This Row],[Ppto. Orden Interna '[DOP']]]/HLOOKUP("USD",$J$1:$K$2,2,FALSE)</f>
        <v>4193.0807248764413</v>
      </c>
      <c r="Q259" s="250" t="s">
        <v>357</v>
      </c>
      <c r="R259" s="321" t="s">
        <v>358</v>
      </c>
      <c r="S259" s="251">
        <v>22</v>
      </c>
      <c r="T259" s="252">
        <v>0.6</v>
      </c>
      <c r="U259" s="259">
        <f>BD.PD[[#This Row],[Av.P1 '[%']]]*BD.PD[[#This Row],[Ppto. Orden Interna '[DOP']]]</f>
        <v>152712</v>
      </c>
      <c r="V259" s="254">
        <v>24</v>
      </c>
      <c r="W259" s="255">
        <v>0.4</v>
      </c>
      <c r="X259" s="259">
        <f>BD.PD[[#This Row],[Av.P2 '[%']]]*BD.PD[[#This Row],[Ppto. Orden Interna '[DOP']]]</f>
        <v>101808</v>
      </c>
      <c r="Y259" s="254"/>
      <c r="Z259" s="255"/>
      <c r="AA259" s="259">
        <f>BD.PD[[#This Row],[Av.P3 '[%']]]*BD.PD[[#This Row],[Ppto. Orden Interna '[DOP']]]</f>
        <v>0</v>
      </c>
      <c r="AB259" s="254"/>
      <c r="AC259" s="255"/>
      <c r="AD259" s="259">
        <f>BD.PD[[#This Row],[Av.P4 '[%']]]*BD.PD[[#This Row],[Ppto. Orden Interna '[DOP']]]</f>
        <v>0</v>
      </c>
      <c r="AE259" s="254"/>
      <c r="AF259" s="255"/>
      <c r="AG259" s="259">
        <f>BD.PD[[#This Row],[Av.P5 '[%']]]*BD.PD[[#This Row],[Ppto. Orden Interna '[DOP']]]</f>
        <v>0</v>
      </c>
      <c r="AH259" s="256">
        <f>BD.PD[[#This Row],[Pago 5]]+BD.PD[[#This Row],[Pago 4]]+BD.PD[[#This Row],[Pago 3]]+BD.PD[[#This Row],[Pago 2]]+BD.PD[[#This Row],[Pago 1]]</f>
        <v>254520</v>
      </c>
      <c r="AI259" s="318"/>
    </row>
    <row r="260" spans="1:35" ht="15" customHeight="1" x14ac:dyDescent="0.3">
      <c r="A260" s="181">
        <v>4.03</v>
      </c>
      <c r="B260" s="239"/>
      <c r="C260" s="240" t="str">
        <f>VLOOKUP(BD.PD[[#This Row],[Pos]],PPto[],3,FALSE)</f>
        <v>4.03 Sistema de Extracción cocina</v>
      </c>
      <c r="D260" s="181" t="s">
        <v>40</v>
      </c>
      <c r="E260" s="242" t="str">
        <f>IF(BD.PD[[#This Row],[.]]="*",VLOOKUP(BD.PD[[#This Row],[Pos]],Presupuesto!A:H,7,FALSE),"")</f>
        <v/>
      </c>
      <c r="F260" s="243" t="s">
        <v>360</v>
      </c>
      <c r="G260" s="243" t="s">
        <v>308</v>
      </c>
      <c r="H260" s="275"/>
      <c r="I260" s="276">
        <v>1</v>
      </c>
      <c r="J260" s="181" t="s">
        <v>314</v>
      </c>
      <c r="K260" s="245">
        <f>IF(BD.PD[[#This Row],[Mon]]="DOP",1,HLOOKUP(BD.PD[[#This Row],[Mon]],$J$1:$K$2,2,FALSE))</f>
        <v>1</v>
      </c>
      <c r="L260" s="277">
        <v>224000</v>
      </c>
      <c r="M260" s="247">
        <f>BD.PD[[#This Row],[Cant.]]*BD.PD[[#This Row],[ Tasa ]]*BD.PD[[#This Row],[ Precio Und.]]</f>
        <v>224000</v>
      </c>
      <c r="N260" s="278">
        <v>0.01</v>
      </c>
      <c r="O260" s="247">
        <f>IF(BD.PD[[#This Row],[Liquid. '[%']]]&lt;&gt;0,(BD.PD[[#This Row],[Valor Neto '[DOP']]]*BD.PD[[#This Row],[Liquid. '[%']]])+BD.PD[[#This Row],[Valor Neto '[DOP']]],BD.PD[[#This Row],[Valor Neto '[DOP']]])</f>
        <v>226240</v>
      </c>
      <c r="P260" s="257">
        <f>BD.PD[[#This Row],[Ppto. Orden Interna '[DOP']]]/HLOOKUP("USD",$J$1:$K$2,2,FALSE)</f>
        <v>3727.1828665568369</v>
      </c>
      <c r="Q260" s="250" t="s">
        <v>357</v>
      </c>
      <c r="R260" s="321" t="s">
        <v>358</v>
      </c>
      <c r="S260" s="251">
        <v>22</v>
      </c>
      <c r="T260" s="252">
        <v>0.6</v>
      </c>
      <c r="U260" s="259">
        <f>BD.PD[[#This Row],[Av.P1 '[%']]]*BD.PD[[#This Row],[Ppto. Orden Interna '[DOP']]]</f>
        <v>135744</v>
      </c>
      <c r="V260" s="254">
        <v>24</v>
      </c>
      <c r="W260" s="255">
        <v>0.4</v>
      </c>
      <c r="X260" s="259">
        <f>BD.PD[[#This Row],[Av.P2 '[%']]]*BD.PD[[#This Row],[Ppto. Orden Interna '[DOP']]]</f>
        <v>90496</v>
      </c>
      <c r="Y260" s="254"/>
      <c r="Z260" s="255"/>
      <c r="AA260" s="259">
        <f>BD.PD[[#This Row],[Av.P3 '[%']]]*BD.PD[[#This Row],[Ppto. Orden Interna '[DOP']]]</f>
        <v>0</v>
      </c>
      <c r="AB260" s="254"/>
      <c r="AC260" s="255"/>
      <c r="AD260" s="259">
        <f>BD.PD[[#This Row],[Av.P4 '[%']]]*BD.PD[[#This Row],[Ppto. Orden Interna '[DOP']]]</f>
        <v>0</v>
      </c>
      <c r="AE260" s="254"/>
      <c r="AF260" s="255"/>
      <c r="AG260" s="259">
        <f>BD.PD[[#This Row],[Av.P5 '[%']]]*BD.PD[[#This Row],[Ppto. Orden Interna '[DOP']]]</f>
        <v>0</v>
      </c>
      <c r="AH260" s="256">
        <f>BD.PD[[#This Row],[Pago 5]]+BD.PD[[#This Row],[Pago 4]]+BD.PD[[#This Row],[Pago 3]]+BD.PD[[#This Row],[Pago 2]]+BD.PD[[#This Row],[Pago 1]]</f>
        <v>226240</v>
      </c>
      <c r="AI260" s="318"/>
    </row>
    <row r="261" spans="1:35" ht="15" customHeight="1" x14ac:dyDescent="0.3">
      <c r="A261" s="181">
        <v>4.03</v>
      </c>
      <c r="B261" s="239"/>
      <c r="C261" s="240" t="str">
        <f>VLOOKUP(BD.PD[[#This Row],[Pos]],PPto[],3,FALSE)</f>
        <v>4.03 Sistema de Extracción cocina</v>
      </c>
      <c r="D261" s="181" t="s">
        <v>40</v>
      </c>
      <c r="E261" s="242" t="str">
        <f>IF(BD.PD[[#This Row],[.]]="*",VLOOKUP(BD.PD[[#This Row],[Pos]],Presupuesto!A:H,7,FALSE),"")</f>
        <v/>
      </c>
      <c r="F261" s="243" t="s">
        <v>361</v>
      </c>
      <c r="G261" s="243" t="s">
        <v>308</v>
      </c>
      <c r="H261" s="275"/>
      <c r="I261" s="276">
        <v>1</v>
      </c>
      <c r="J261" s="181" t="s">
        <v>314</v>
      </c>
      <c r="K261" s="245">
        <f>IF(BD.PD[[#This Row],[Mon]]="DOP",1,HLOOKUP(BD.PD[[#This Row],[Mon]],$J$1:$K$2,2,FALSE))</f>
        <v>1</v>
      </c>
      <c r="L261" s="277">
        <v>260285</v>
      </c>
      <c r="M261" s="247">
        <f>BD.PD[[#This Row],[Cant.]]*BD.PD[[#This Row],[ Tasa ]]*BD.PD[[#This Row],[ Precio Und.]]</f>
        <v>260285</v>
      </c>
      <c r="N261" s="278">
        <v>0.01</v>
      </c>
      <c r="O261" s="247">
        <f>IF(BD.PD[[#This Row],[Liquid. '[%']]]&lt;&gt;0,(BD.PD[[#This Row],[Valor Neto '[DOP']]]*BD.PD[[#This Row],[Liquid. '[%']]])+BD.PD[[#This Row],[Valor Neto '[DOP']]],BD.PD[[#This Row],[Valor Neto '[DOP']]])</f>
        <v>262887.84999999998</v>
      </c>
      <c r="P261" s="257">
        <f>BD.PD[[#This Row],[Ppto. Orden Interna '[DOP']]]/HLOOKUP("USD",$J$1:$K$2,2,FALSE)</f>
        <v>4330.9365733113664</v>
      </c>
      <c r="Q261" s="250" t="s">
        <v>357</v>
      </c>
      <c r="R261" s="321" t="s">
        <v>358</v>
      </c>
      <c r="S261" s="251">
        <v>22</v>
      </c>
      <c r="T261" s="252">
        <v>0.6</v>
      </c>
      <c r="U261" s="259">
        <f>BD.PD[[#This Row],[Av.P1 '[%']]]*BD.PD[[#This Row],[Ppto. Orden Interna '[DOP']]]</f>
        <v>157732.71</v>
      </c>
      <c r="V261" s="254">
        <v>24</v>
      </c>
      <c r="W261" s="255">
        <v>0.4</v>
      </c>
      <c r="X261" s="259">
        <f>BD.PD[[#This Row],[Av.P2 '[%']]]*BD.PD[[#This Row],[Ppto. Orden Interna '[DOP']]]</f>
        <v>105155.14</v>
      </c>
      <c r="Y261" s="254"/>
      <c r="Z261" s="255"/>
      <c r="AA261" s="259">
        <f>BD.PD[[#This Row],[Av.P3 '[%']]]*BD.PD[[#This Row],[Ppto. Orden Interna '[DOP']]]</f>
        <v>0</v>
      </c>
      <c r="AB261" s="254"/>
      <c r="AC261" s="255"/>
      <c r="AD261" s="259">
        <f>BD.PD[[#This Row],[Av.P4 '[%']]]*BD.PD[[#This Row],[Ppto. Orden Interna '[DOP']]]</f>
        <v>0</v>
      </c>
      <c r="AE261" s="254"/>
      <c r="AF261" s="255"/>
      <c r="AG261" s="259">
        <f>BD.PD[[#This Row],[Av.P5 '[%']]]*BD.PD[[#This Row],[Ppto. Orden Interna '[DOP']]]</f>
        <v>0</v>
      </c>
      <c r="AH261" s="256">
        <f>BD.PD[[#This Row],[Pago 5]]+BD.PD[[#This Row],[Pago 4]]+BD.PD[[#This Row],[Pago 3]]+BD.PD[[#This Row],[Pago 2]]+BD.PD[[#This Row],[Pago 1]]</f>
        <v>262887.84999999998</v>
      </c>
      <c r="AI261" s="318"/>
    </row>
    <row r="262" spans="1:35" ht="15.6" customHeight="1" x14ac:dyDescent="0.3">
      <c r="A262" s="181">
        <v>4.03</v>
      </c>
      <c r="B262" s="239"/>
      <c r="C262" s="240" t="str">
        <f>VLOOKUP(BD.PD[[#This Row],[Pos]],PPto[],3,FALSE)</f>
        <v>4.03 Sistema de Extracción cocina</v>
      </c>
      <c r="D262" s="181" t="s">
        <v>40</v>
      </c>
      <c r="E262" s="242" t="str">
        <f>IF(BD.PD[[#This Row],[.]]="*",VLOOKUP(BD.PD[[#This Row],[Pos]],Presupuesto!A:H,7,FALSE),"")</f>
        <v/>
      </c>
      <c r="F262" s="243" t="s">
        <v>362</v>
      </c>
      <c r="G262" s="243" t="s">
        <v>308</v>
      </c>
      <c r="H262" s="275"/>
      <c r="I262" s="276">
        <v>1</v>
      </c>
      <c r="J262" s="181" t="s">
        <v>314</v>
      </c>
      <c r="K262" s="245">
        <f>IF(BD.PD[[#This Row],[Mon]]="DOP",1,HLOOKUP(BD.PD[[#This Row],[Mon]],$J$1:$K$2,2,FALSE))</f>
        <v>1</v>
      </c>
      <c r="L262" s="277">
        <v>30000</v>
      </c>
      <c r="M262" s="247">
        <f>BD.PD[[#This Row],[Cant.]]*BD.PD[[#This Row],[ Tasa ]]*BD.PD[[#This Row],[ Precio Und.]]</f>
        <v>30000</v>
      </c>
      <c r="N262" s="278">
        <v>0.01</v>
      </c>
      <c r="O262" s="247">
        <f>IF(BD.PD[[#This Row],[Liquid. '[%']]]&lt;&gt;0,(BD.PD[[#This Row],[Valor Neto '[DOP']]]*BD.PD[[#This Row],[Liquid. '[%']]])+BD.PD[[#This Row],[Valor Neto '[DOP']]],BD.PD[[#This Row],[Valor Neto '[DOP']]])</f>
        <v>30300</v>
      </c>
      <c r="P262" s="257">
        <f>BD.PD[[#This Row],[Ppto. Orden Interna '[DOP']]]/HLOOKUP("USD",$J$1:$K$2,2,FALSE)</f>
        <v>499.17627677100489</v>
      </c>
      <c r="Q262" s="250" t="s">
        <v>357</v>
      </c>
      <c r="R262" s="321" t="s">
        <v>358</v>
      </c>
      <c r="S262" s="251">
        <v>22</v>
      </c>
      <c r="T262" s="252">
        <v>0.6</v>
      </c>
      <c r="U262" s="259">
        <f>BD.PD[[#This Row],[Av.P1 '[%']]]*BD.PD[[#This Row],[Ppto. Orden Interna '[DOP']]]</f>
        <v>18180</v>
      </c>
      <c r="V262" s="254">
        <v>24</v>
      </c>
      <c r="W262" s="255">
        <v>0.4</v>
      </c>
      <c r="X262" s="259">
        <f>BD.PD[[#This Row],[Av.P2 '[%']]]*BD.PD[[#This Row],[Ppto. Orden Interna '[DOP']]]</f>
        <v>12120</v>
      </c>
      <c r="Y262" s="254"/>
      <c r="Z262" s="255"/>
      <c r="AA262" s="259">
        <f>BD.PD[[#This Row],[Av.P3 '[%']]]*BD.PD[[#This Row],[Ppto. Orden Interna '[DOP']]]</f>
        <v>0</v>
      </c>
      <c r="AB262" s="254"/>
      <c r="AC262" s="255"/>
      <c r="AD262" s="259">
        <f>BD.PD[[#This Row],[Av.P4 '[%']]]*BD.PD[[#This Row],[Ppto. Orden Interna '[DOP']]]</f>
        <v>0</v>
      </c>
      <c r="AE262" s="254"/>
      <c r="AF262" s="255"/>
      <c r="AG262" s="259">
        <f>BD.PD[[#This Row],[Av.P5 '[%']]]*BD.PD[[#This Row],[Ppto. Orden Interna '[DOP']]]</f>
        <v>0</v>
      </c>
      <c r="AH262" s="256">
        <f>BD.PD[[#This Row],[Pago 5]]+BD.PD[[#This Row],[Pago 4]]+BD.PD[[#This Row],[Pago 3]]+BD.PD[[#This Row],[Pago 2]]+BD.PD[[#This Row],[Pago 1]]</f>
        <v>30300</v>
      </c>
      <c r="AI262" s="318"/>
    </row>
    <row r="263" spans="1:35" ht="15" customHeight="1" x14ac:dyDescent="0.3">
      <c r="A263" s="181">
        <v>4.03</v>
      </c>
      <c r="B263" s="239"/>
      <c r="C263" s="240" t="str">
        <f>VLOOKUP(BD.PD[[#This Row],[Pos]],PPto[],3,FALSE)</f>
        <v>4.03 Sistema de Extracción cocina</v>
      </c>
      <c r="D263" s="181" t="s">
        <v>40</v>
      </c>
      <c r="E263" s="242" t="str">
        <f>IF(BD.PD[[#This Row],[.]]="*",VLOOKUP(BD.PD[[#This Row],[Pos]],Presupuesto!A:H,7,FALSE),"")</f>
        <v/>
      </c>
      <c r="F263" s="243" t="s">
        <v>363</v>
      </c>
      <c r="G263" s="243" t="s">
        <v>308</v>
      </c>
      <c r="H263" s="275"/>
      <c r="I263" s="276">
        <v>1</v>
      </c>
      <c r="J263" s="181" t="s">
        <v>314</v>
      </c>
      <c r="K263" s="245">
        <f>IF(BD.PD[[#This Row],[Mon]]="DOP",1,HLOOKUP(BD.PD[[#This Row],[Mon]],$J$1:$K$2,2,FALSE))</f>
        <v>1</v>
      </c>
      <c r="L263" s="277">
        <v>15000</v>
      </c>
      <c r="M263" s="247">
        <f>BD.PD[[#This Row],[Cant.]]*BD.PD[[#This Row],[ Tasa ]]*BD.PD[[#This Row],[ Precio Und.]]</f>
        <v>15000</v>
      </c>
      <c r="N263" s="278">
        <v>0.01</v>
      </c>
      <c r="O263" s="247">
        <f>IF(BD.PD[[#This Row],[Liquid. '[%']]]&lt;&gt;0,(BD.PD[[#This Row],[Valor Neto '[DOP']]]*BD.PD[[#This Row],[Liquid. '[%']]])+BD.PD[[#This Row],[Valor Neto '[DOP']]],BD.PD[[#This Row],[Valor Neto '[DOP']]])</f>
        <v>15150</v>
      </c>
      <c r="P263" s="257">
        <f>BD.PD[[#This Row],[Ppto. Orden Interna '[DOP']]]/HLOOKUP("USD",$J$1:$K$2,2,FALSE)</f>
        <v>249.58813838550245</v>
      </c>
      <c r="Q263" s="250" t="s">
        <v>357</v>
      </c>
      <c r="R263" s="321" t="s">
        <v>358</v>
      </c>
      <c r="S263" s="251">
        <v>22</v>
      </c>
      <c r="T263" s="252">
        <v>0.6</v>
      </c>
      <c r="U263" s="259">
        <f>BD.PD[[#This Row],[Av.P1 '[%']]]*BD.PD[[#This Row],[Ppto. Orden Interna '[DOP']]]</f>
        <v>9090</v>
      </c>
      <c r="V263" s="254">
        <v>24</v>
      </c>
      <c r="W263" s="255">
        <v>0.4</v>
      </c>
      <c r="X263" s="259">
        <f>BD.PD[[#This Row],[Av.P2 '[%']]]*BD.PD[[#This Row],[Ppto. Orden Interna '[DOP']]]</f>
        <v>6060</v>
      </c>
      <c r="Y263" s="254"/>
      <c r="Z263" s="255"/>
      <c r="AA263" s="259">
        <f>BD.PD[[#This Row],[Av.P3 '[%']]]*BD.PD[[#This Row],[Ppto. Orden Interna '[DOP']]]</f>
        <v>0</v>
      </c>
      <c r="AB263" s="254"/>
      <c r="AC263" s="255"/>
      <c r="AD263" s="259">
        <f>BD.PD[[#This Row],[Av.P4 '[%']]]*BD.PD[[#This Row],[Ppto. Orden Interna '[DOP']]]</f>
        <v>0</v>
      </c>
      <c r="AE263" s="254"/>
      <c r="AF263" s="255"/>
      <c r="AG263" s="259">
        <f>BD.PD[[#This Row],[Av.P5 '[%']]]*BD.PD[[#This Row],[Ppto. Orden Interna '[DOP']]]</f>
        <v>0</v>
      </c>
      <c r="AH263" s="256">
        <f>BD.PD[[#This Row],[Pago 5]]+BD.PD[[#This Row],[Pago 4]]+BD.PD[[#This Row],[Pago 3]]+BD.PD[[#This Row],[Pago 2]]+BD.PD[[#This Row],[Pago 1]]</f>
        <v>15150</v>
      </c>
      <c r="AI263" s="318"/>
    </row>
    <row r="264" spans="1:35" ht="15" customHeight="1" x14ac:dyDescent="0.3">
      <c r="A264" s="181">
        <v>4.03</v>
      </c>
      <c r="B264" s="239"/>
      <c r="C264" s="240" t="str">
        <f>VLOOKUP(BD.PD[[#This Row],[Pos]],PPto[],3,FALSE)</f>
        <v>4.03 Sistema de Extracción cocina</v>
      </c>
      <c r="D264" s="181" t="s">
        <v>40</v>
      </c>
      <c r="E264" s="242" t="str">
        <f>IF(BD.PD[[#This Row],[.]]="*",VLOOKUP(BD.PD[[#This Row],[Pos]],Presupuesto!A:H,7,FALSE),"")</f>
        <v/>
      </c>
      <c r="F264" s="243" t="s">
        <v>364</v>
      </c>
      <c r="G264" s="243" t="s">
        <v>308</v>
      </c>
      <c r="H264" s="275"/>
      <c r="I264" s="276">
        <v>2</v>
      </c>
      <c r="J264" s="181" t="s">
        <v>314</v>
      </c>
      <c r="K264" s="245">
        <f>IF(BD.PD[[#This Row],[Mon]]="DOP",1,HLOOKUP(BD.PD[[#This Row],[Mon]],$J$1:$K$2,2,FALSE))</f>
        <v>1</v>
      </c>
      <c r="L264" s="277">
        <v>28500</v>
      </c>
      <c r="M264" s="247">
        <f>BD.PD[[#This Row],[Cant.]]*BD.PD[[#This Row],[ Tasa ]]*BD.PD[[#This Row],[ Precio Und.]]</f>
        <v>57000</v>
      </c>
      <c r="N264" s="278">
        <v>0.01</v>
      </c>
      <c r="O264" s="247">
        <f>IF(BD.PD[[#This Row],[Liquid. '[%']]]&lt;&gt;0,(BD.PD[[#This Row],[Valor Neto '[DOP']]]*BD.PD[[#This Row],[Liquid. '[%']]])+BD.PD[[#This Row],[Valor Neto '[DOP']]],BD.PD[[#This Row],[Valor Neto '[DOP']]])</f>
        <v>57570</v>
      </c>
      <c r="P264" s="257">
        <f>BD.PD[[#This Row],[Ppto. Orden Interna '[DOP']]]/HLOOKUP("USD",$J$1:$K$2,2,FALSE)</f>
        <v>948.43492586490936</v>
      </c>
      <c r="Q264" s="250" t="s">
        <v>357</v>
      </c>
      <c r="R264" s="321" t="s">
        <v>358</v>
      </c>
      <c r="S264" s="251">
        <v>22</v>
      </c>
      <c r="T264" s="252">
        <v>0.6</v>
      </c>
      <c r="U264" s="259">
        <f>BD.PD[[#This Row],[Av.P1 '[%']]]*BD.PD[[#This Row],[Ppto. Orden Interna '[DOP']]]</f>
        <v>34542</v>
      </c>
      <c r="V264" s="254">
        <v>24</v>
      </c>
      <c r="W264" s="255">
        <v>0.4</v>
      </c>
      <c r="X264" s="259">
        <f>BD.PD[[#This Row],[Av.P2 '[%']]]*BD.PD[[#This Row],[Ppto. Orden Interna '[DOP']]]</f>
        <v>23028</v>
      </c>
      <c r="Y264" s="254"/>
      <c r="Z264" s="255"/>
      <c r="AA264" s="259">
        <f>BD.PD[[#This Row],[Av.P3 '[%']]]*BD.PD[[#This Row],[Ppto. Orden Interna '[DOP']]]</f>
        <v>0</v>
      </c>
      <c r="AB264" s="254"/>
      <c r="AC264" s="255"/>
      <c r="AD264" s="259">
        <f>BD.PD[[#This Row],[Av.P4 '[%']]]*BD.PD[[#This Row],[Ppto. Orden Interna '[DOP']]]</f>
        <v>0</v>
      </c>
      <c r="AE264" s="254"/>
      <c r="AF264" s="255"/>
      <c r="AG264" s="259">
        <f>BD.PD[[#This Row],[Av.P5 '[%']]]*BD.PD[[#This Row],[Ppto. Orden Interna '[DOP']]]</f>
        <v>0</v>
      </c>
      <c r="AH264" s="256">
        <f>BD.PD[[#This Row],[Pago 5]]+BD.PD[[#This Row],[Pago 4]]+BD.PD[[#This Row],[Pago 3]]+BD.PD[[#This Row],[Pago 2]]+BD.PD[[#This Row],[Pago 1]]</f>
        <v>57570</v>
      </c>
      <c r="AI264" s="318"/>
    </row>
    <row r="265" spans="1:35" ht="15" customHeight="1" x14ac:dyDescent="0.3">
      <c r="A265" s="181">
        <v>4.03</v>
      </c>
      <c r="B265" s="239"/>
      <c r="C265" s="240" t="str">
        <f>VLOOKUP(BD.PD[[#This Row],[Pos]],PPto[],3,FALSE)</f>
        <v>4.03 Sistema de Extracción cocina</v>
      </c>
      <c r="D265" s="181" t="s">
        <v>40</v>
      </c>
      <c r="E265" s="242" t="str">
        <f>IF(BD.PD[[#This Row],[.]]="*",VLOOKUP(BD.PD[[#This Row],[Pos]],Presupuesto!A:H,7,FALSE),"")</f>
        <v/>
      </c>
      <c r="F265" s="243" t="s">
        <v>365</v>
      </c>
      <c r="G265" s="243" t="s">
        <v>308</v>
      </c>
      <c r="H265" s="275"/>
      <c r="I265" s="276">
        <v>2</v>
      </c>
      <c r="J265" s="181" t="s">
        <v>314</v>
      </c>
      <c r="K265" s="245">
        <f>IF(BD.PD[[#This Row],[Mon]]="DOP",1,HLOOKUP(BD.PD[[#This Row],[Mon]],$J$1:$K$2,2,FALSE))</f>
        <v>1</v>
      </c>
      <c r="L265" s="277">
        <v>45000</v>
      </c>
      <c r="M265" s="247">
        <f>BD.PD[[#This Row],[Cant.]]*BD.PD[[#This Row],[ Tasa ]]*BD.PD[[#This Row],[ Precio Und.]]</f>
        <v>90000</v>
      </c>
      <c r="N265" s="278">
        <v>0.01</v>
      </c>
      <c r="O265" s="247">
        <f>IF(BD.PD[[#This Row],[Liquid. '[%']]]&lt;&gt;0,(BD.PD[[#This Row],[Valor Neto '[DOP']]]*BD.PD[[#This Row],[Liquid. '[%']]])+BD.PD[[#This Row],[Valor Neto '[DOP']]],BD.PD[[#This Row],[Valor Neto '[DOP']]])</f>
        <v>90900</v>
      </c>
      <c r="P265" s="257">
        <f>BD.PD[[#This Row],[Ppto. Orden Interna '[DOP']]]/HLOOKUP("USD",$J$1:$K$2,2,FALSE)</f>
        <v>1497.5288303130149</v>
      </c>
      <c r="Q265" s="250" t="s">
        <v>357</v>
      </c>
      <c r="R265" s="321" t="s">
        <v>358</v>
      </c>
      <c r="S265" s="251">
        <v>22</v>
      </c>
      <c r="T265" s="252">
        <v>0.6</v>
      </c>
      <c r="U265" s="259">
        <f>BD.PD[[#This Row],[Av.P1 '[%']]]*BD.PD[[#This Row],[Ppto. Orden Interna '[DOP']]]</f>
        <v>54540</v>
      </c>
      <c r="V265" s="254">
        <v>24</v>
      </c>
      <c r="W265" s="255">
        <v>0.4</v>
      </c>
      <c r="X265" s="259">
        <f>BD.PD[[#This Row],[Av.P2 '[%']]]*BD.PD[[#This Row],[Ppto. Orden Interna '[DOP']]]</f>
        <v>36360</v>
      </c>
      <c r="Y265" s="254"/>
      <c r="Z265" s="255"/>
      <c r="AA265" s="259">
        <f>BD.PD[[#This Row],[Av.P3 '[%']]]*BD.PD[[#This Row],[Ppto. Orden Interna '[DOP']]]</f>
        <v>0</v>
      </c>
      <c r="AB265" s="254"/>
      <c r="AC265" s="255"/>
      <c r="AD265" s="259">
        <f>BD.PD[[#This Row],[Av.P4 '[%']]]*BD.PD[[#This Row],[Ppto. Orden Interna '[DOP']]]</f>
        <v>0</v>
      </c>
      <c r="AE265" s="254"/>
      <c r="AF265" s="255"/>
      <c r="AG265" s="259">
        <f>BD.PD[[#This Row],[Av.P5 '[%']]]*BD.PD[[#This Row],[Ppto. Orden Interna '[DOP']]]</f>
        <v>0</v>
      </c>
      <c r="AH265" s="256">
        <f>BD.PD[[#This Row],[Pago 5]]+BD.PD[[#This Row],[Pago 4]]+BD.PD[[#This Row],[Pago 3]]+BD.PD[[#This Row],[Pago 2]]+BD.PD[[#This Row],[Pago 1]]</f>
        <v>90900</v>
      </c>
      <c r="AI265" s="318"/>
    </row>
    <row r="266" spans="1:35" ht="15" customHeight="1" x14ac:dyDescent="0.3">
      <c r="A266" s="181">
        <v>4.03</v>
      </c>
      <c r="B266" s="239"/>
      <c r="C266" s="240" t="str">
        <f>VLOOKUP(BD.PD[[#This Row],[Pos]],PPto[],3,FALSE)</f>
        <v>4.03 Sistema de Extracción cocina</v>
      </c>
      <c r="D266" s="181" t="s">
        <v>40</v>
      </c>
      <c r="E266" s="242" t="str">
        <f>IF(BD.PD[[#This Row],[.]]="*",VLOOKUP(BD.PD[[#This Row],[Pos]],Presupuesto!A:H,7,FALSE),"")</f>
        <v/>
      </c>
      <c r="F266" s="243" t="s">
        <v>366</v>
      </c>
      <c r="G266" s="243" t="s">
        <v>308</v>
      </c>
      <c r="H266" s="275"/>
      <c r="I266" s="276">
        <v>1</v>
      </c>
      <c r="J266" s="181" t="s">
        <v>314</v>
      </c>
      <c r="K266" s="245">
        <f>IF(BD.PD[[#This Row],[Mon]]="DOP",1,HLOOKUP(BD.PD[[#This Row],[Mon]],$J$1:$K$2,2,FALSE))</f>
        <v>1</v>
      </c>
      <c r="L266" s="277">
        <v>30000</v>
      </c>
      <c r="M266" s="247">
        <f>BD.PD[[#This Row],[Cant.]]*BD.PD[[#This Row],[ Tasa ]]*BD.PD[[#This Row],[ Precio Und.]]</f>
        <v>30000</v>
      </c>
      <c r="N266" s="278">
        <v>0.01</v>
      </c>
      <c r="O266" s="247">
        <f>IF(BD.PD[[#This Row],[Liquid. '[%']]]&lt;&gt;0,(BD.PD[[#This Row],[Valor Neto '[DOP']]]*BD.PD[[#This Row],[Liquid. '[%']]])+BD.PD[[#This Row],[Valor Neto '[DOP']]],BD.PD[[#This Row],[Valor Neto '[DOP']]])</f>
        <v>30300</v>
      </c>
      <c r="P266" s="257">
        <f>BD.PD[[#This Row],[Ppto. Orden Interna '[DOP']]]/HLOOKUP("USD",$J$1:$K$2,2,FALSE)</f>
        <v>499.17627677100489</v>
      </c>
      <c r="Q266" s="250" t="s">
        <v>357</v>
      </c>
      <c r="R266" s="321" t="s">
        <v>358</v>
      </c>
      <c r="S266" s="251">
        <v>22</v>
      </c>
      <c r="T266" s="252">
        <v>0.6</v>
      </c>
      <c r="U266" s="259">
        <f>BD.PD[[#This Row],[Av.P1 '[%']]]*BD.PD[[#This Row],[Ppto. Orden Interna '[DOP']]]</f>
        <v>18180</v>
      </c>
      <c r="V266" s="254">
        <v>24</v>
      </c>
      <c r="W266" s="255">
        <v>0.4</v>
      </c>
      <c r="X266" s="259">
        <f>BD.PD[[#This Row],[Av.P2 '[%']]]*BD.PD[[#This Row],[Ppto. Orden Interna '[DOP']]]</f>
        <v>12120</v>
      </c>
      <c r="Y266" s="254"/>
      <c r="Z266" s="255"/>
      <c r="AA266" s="259">
        <f>BD.PD[[#This Row],[Av.P3 '[%']]]*BD.PD[[#This Row],[Ppto. Orden Interna '[DOP']]]</f>
        <v>0</v>
      </c>
      <c r="AB266" s="254"/>
      <c r="AC266" s="255"/>
      <c r="AD266" s="259">
        <f>BD.PD[[#This Row],[Av.P4 '[%']]]*BD.PD[[#This Row],[Ppto. Orden Interna '[DOP']]]</f>
        <v>0</v>
      </c>
      <c r="AE266" s="254"/>
      <c r="AF266" s="255"/>
      <c r="AG266" s="259">
        <f>BD.PD[[#This Row],[Av.P5 '[%']]]*BD.PD[[#This Row],[Ppto. Orden Interna '[DOP']]]</f>
        <v>0</v>
      </c>
      <c r="AH266" s="256">
        <f>BD.PD[[#This Row],[Pago 5]]+BD.PD[[#This Row],[Pago 4]]+BD.PD[[#This Row],[Pago 3]]+BD.PD[[#This Row],[Pago 2]]+BD.PD[[#This Row],[Pago 1]]</f>
        <v>30300</v>
      </c>
      <c r="AI266" s="318"/>
    </row>
    <row r="267" spans="1:35" ht="15" customHeight="1" x14ac:dyDescent="0.3">
      <c r="A267" s="307">
        <v>5.03</v>
      </c>
      <c r="B267" s="239"/>
      <c r="C267" s="240" t="str">
        <f>VLOOKUP(BD.PD[[#This Row],[Pos]],PPto[],3,FALSE)</f>
        <v>5.03 Neveras, Centrales y Evaporadores</v>
      </c>
      <c r="D267" s="307" t="s">
        <v>40</v>
      </c>
      <c r="E267" s="242" t="str">
        <f>IF(BD.PD[[#This Row],[.]]="*",VLOOKUP(BD.PD[[#This Row],[Pos]],Presupuesto!A:H,7,FALSE),"")</f>
        <v/>
      </c>
      <c r="F267" s="243" t="s">
        <v>1072</v>
      </c>
      <c r="G267" s="243">
        <v>4600080008</v>
      </c>
      <c r="H267" s="275">
        <v>46232</v>
      </c>
      <c r="I267" s="276">
        <v>1</v>
      </c>
      <c r="J267" s="307" t="s">
        <v>258</v>
      </c>
      <c r="K267" s="245">
        <f>IF(BD.PD[[#This Row],[Mon]]="DOP",1,HLOOKUP(BD.PD[[#This Row],[Mon]],$J$1:$K$2,2,FALSE))</f>
        <v>69.8</v>
      </c>
      <c r="L267" s="309">
        <v>14000</v>
      </c>
      <c r="M267" s="247">
        <f>BD.PD[[#This Row],[Cant.]]*BD.PD[[#This Row],[ Tasa ]]*BD.PD[[#This Row],[ Precio Und.]]</f>
        <v>977200</v>
      </c>
      <c r="N267" s="278">
        <v>0.2</v>
      </c>
      <c r="O267" s="247">
        <f>IF(BD.PD[[#This Row],[Liquid. '[%']]]&lt;&gt;0,(BD.PD[[#This Row],[Valor Neto '[DOP']]]*BD.PD[[#This Row],[Liquid. '[%']]])+BD.PD[[#This Row],[Valor Neto '[DOP']]],BD.PD[[#This Row],[Valor Neto '[DOP']]])</f>
        <v>1172640</v>
      </c>
      <c r="P267" s="257">
        <f>BD.PD[[#This Row],[Ppto. Orden Interna '[DOP']]]/HLOOKUP("USD",$J$1:$K$2,2,FALSE)</f>
        <v>19318.616144975287</v>
      </c>
      <c r="Q267" s="250" t="s">
        <v>374</v>
      </c>
      <c r="R267" s="258" t="s">
        <v>375</v>
      </c>
      <c r="S267" s="251">
        <v>18</v>
      </c>
      <c r="T267" s="252">
        <v>0.5</v>
      </c>
      <c r="U267" s="259">
        <f>BD.PD[[#This Row],[Av.P1 '[%']]]*BD.PD[[#This Row],[Ppto. Orden Interna '[DOP']]]</f>
        <v>586320</v>
      </c>
      <c r="V267" s="254">
        <v>19</v>
      </c>
      <c r="W267" s="314">
        <v>0.5</v>
      </c>
      <c r="X267" s="259">
        <f>BD.PD[[#This Row],[Av.P2 '[%']]]*BD.PD[[#This Row],[Ppto. Orden Interna '[DOP']]]</f>
        <v>586320</v>
      </c>
      <c r="Y267" s="313"/>
      <c r="Z267" s="314"/>
      <c r="AA267" s="259">
        <f>BD.PD[[#This Row],[Av.P3 '[%']]]*BD.PD[[#This Row],[Ppto. Orden Interna '[DOP']]]</f>
        <v>0</v>
      </c>
      <c r="AB267" s="313"/>
      <c r="AC267" s="314"/>
      <c r="AD267" s="259">
        <f>BD.PD[[#This Row],[Av.P4 '[%']]]*BD.PD[[#This Row],[Ppto. Orden Interna '[DOP']]]</f>
        <v>0</v>
      </c>
      <c r="AE267" s="313"/>
      <c r="AF267" s="314"/>
      <c r="AG267" s="259">
        <f>BD.PD[[#This Row],[Av.P5 '[%']]]*BD.PD[[#This Row],[Ppto. Orden Interna '[DOP']]]</f>
        <v>0</v>
      </c>
      <c r="AH267" s="315">
        <f>BD.PD[[#This Row],[Pago 5]]+BD.PD[[#This Row],[Pago 4]]+BD.PD[[#This Row],[Pago 3]]+BD.PD[[#This Row],[Pago 2]]+BD.PD[[#This Row],[Pago 1]]</f>
        <v>1172640</v>
      </c>
      <c r="AI267" s="318"/>
    </row>
    <row r="268" spans="1:35" ht="15" customHeight="1" x14ac:dyDescent="0.3">
      <c r="A268" s="307">
        <v>7.04</v>
      </c>
      <c r="B268" s="239"/>
      <c r="C268" s="240" t="str">
        <f>VLOOKUP(BD.PD[[#This Row],[Pos]],PPto[],3,FALSE)</f>
        <v>7.04 Equipamiento de Panaderia, Reposteria y Rosticería</v>
      </c>
      <c r="D268" s="307" t="s">
        <v>40</v>
      </c>
      <c r="E268" s="242" t="str">
        <f>IF(BD.PD[[#This Row],[.]]="*",VLOOKUP(BD.PD[[#This Row],[Pos]],Presupuesto!A:H,7,FALSE),"")</f>
        <v/>
      </c>
      <c r="F268" s="243" t="s">
        <v>1094</v>
      </c>
      <c r="G268" s="243">
        <v>4600080322</v>
      </c>
      <c r="H268" s="275">
        <v>46260</v>
      </c>
      <c r="I268" s="276">
        <v>8</v>
      </c>
      <c r="J268" s="181" t="s">
        <v>258</v>
      </c>
      <c r="K268" s="245">
        <f>IF(BD.PD[[#This Row],[Mon]]="DOP",1,HLOOKUP(BD.PD[[#This Row],[Mon]],$J$1:$K$2,2,FALSE))</f>
        <v>69.8</v>
      </c>
      <c r="L268" s="277">
        <v>325</v>
      </c>
      <c r="M268" s="247">
        <f>BD.PD[[#This Row],[Cant.]]*BD.PD[[#This Row],[ Tasa ]]*BD.PD[[#This Row],[ Precio Und.]]</f>
        <v>181480</v>
      </c>
      <c r="N268" s="278">
        <v>0</v>
      </c>
      <c r="O268" s="247">
        <f>IF(BD.PD[[#This Row],[Liquid. '[%']]]&lt;&gt;0,(BD.PD[[#This Row],[Valor Neto '[DOP']]]*BD.PD[[#This Row],[Liquid. '[%']]])+BD.PD[[#This Row],[Valor Neto '[DOP']]],BD.PD[[#This Row],[Valor Neto '[DOP']]])</f>
        <v>181480</v>
      </c>
      <c r="P268" s="257">
        <f>BD.PD[[#This Row],[Ppto. Orden Interna '[DOP']]]/HLOOKUP("USD",$J$1:$K$2,2,FALSE)</f>
        <v>2989.7858319604611</v>
      </c>
      <c r="Q268" s="250" t="s">
        <v>1095</v>
      </c>
      <c r="R268" s="258" t="s">
        <v>375</v>
      </c>
      <c r="S268" s="251">
        <v>21</v>
      </c>
      <c r="T268" s="252">
        <v>0.5</v>
      </c>
      <c r="U268" s="259">
        <f>BD.PD[[#This Row],[Av.P1 '[%']]]*BD.PD[[#This Row],[Ppto. Orden Interna '[DOP']]]</f>
        <v>90740</v>
      </c>
      <c r="V268" s="254">
        <v>24</v>
      </c>
      <c r="W268" s="255">
        <v>0.5</v>
      </c>
      <c r="X268" s="259">
        <f>BD.PD[[#This Row],[Av.P2 '[%']]]*BD.PD[[#This Row],[Ppto. Orden Interna '[DOP']]]</f>
        <v>90740</v>
      </c>
      <c r="Y268" s="313"/>
      <c r="Z268" s="314"/>
      <c r="AA268" s="259">
        <f>BD.PD[[#This Row],[Av.P3 '[%']]]*BD.PD[[#This Row],[Ppto. Orden Interna '[DOP']]]</f>
        <v>0</v>
      </c>
      <c r="AB268" s="313"/>
      <c r="AC268" s="314"/>
      <c r="AD268" s="259">
        <f>BD.PD[[#This Row],[Av.P4 '[%']]]*BD.PD[[#This Row],[Ppto. Orden Interna '[DOP']]]</f>
        <v>0</v>
      </c>
      <c r="AE268" s="313"/>
      <c r="AF268" s="314"/>
      <c r="AG268" s="259">
        <f>BD.PD[[#This Row],[Av.P5 '[%']]]*BD.PD[[#This Row],[Ppto. Orden Interna '[DOP']]]</f>
        <v>0</v>
      </c>
      <c r="AH268" s="315">
        <f>BD.PD[[#This Row],[Pago 5]]+BD.PD[[#This Row],[Pago 4]]+BD.PD[[#This Row],[Pago 3]]+BD.PD[[#This Row],[Pago 2]]+BD.PD[[#This Row],[Pago 1]]</f>
        <v>181480</v>
      </c>
      <c r="AI268" s="318"/>
    </row>
    <row r="269" spans="1:35" ht="15" customHeight="1" x14ac:dyDescent="0.3">
      <c r="A269" s="307">
        <v>7.04</v>
      </c>
      <c r="B269" s="239"/>
      <c r="C269" s="240" t="str">
        <f>VLOOKUP(BD.PD[[#This Row],[Pos]],PPto[],3,FALSE)</f>
        <v>7.04 Equipamiento de Panaderia, Reposteria y Rosticería</v>
      </c>
      <c r="D269" s="307" t="s">
        <v>40</v>
      </c>
      <c r="E269" s="242" t="str">
        <f>IF(BD.PD[[#This Row],[.]]="*",VLOOKUP(BD.PD[[#This Row],[Pos]],Presupuesto!A:H,7,FALSE),"")</f>
        <v/>
      </c>
      <c r="F269" s="243" t="s">
        <v>1097</v>
      </c>
      <c r="G269" s="243">
        <v>4600080322</v>
      </c>
      <c r="H269" s="275">
        <v>46260</v>
      </c>
      <c r="I269" s="276">
        <v>1</v>
      </c>
      <c r="J269" s="181" t="s">
        <v>258</v>
      </c>
      <c r="K269" s="245">
        <f>IF(BD.PD[[#This Row],[Mon]]="DOP",1,HLOOKUP(BD.PD[[#This Row],[Mon]],$J$1:$K$2,2,FALSE))</f>
        <v>69.8</v>
      </c>
      <c r="L269" s="277">
        <v>15200</v>
      </c>
      <c r="M269" s="247">
        <f>BD.PD[[#This Row],[Cant.]]*BD.PD[[#This Row],[ Tasa ]]*BD.PD[[#This Row],[ Precio Und.]]</f>
        <v>1060960</v>
      </c>
      <c r="N269" s="278">
        <v>0.25</v>
      </c>
      <c r="O269" s="247">
        <f>IF(BD.PD[[#This Row],[Liquid. '[%']]]&lt;&gt;0,(BD.PD[[#This Row],[Valor Neto '[DOP']]]*BD.PD[[#This Row],[Liquid. '[%']]])+BD.PD[[#This Row],[Valor Neto '[DOP']]],BD.PD[[#This Row],[Valor Neto '[DOP']]])</f>
        <v>1326200</v>
      </c>
      <c r="P269" s="257">
        <f>BD.PD[[#This Row],[Ppto. Orden Interna '[DOP']]]/HLOOKUP("USD",$J$1:$K$2,2,FALSE)</f>
        <v>21848.434925864909</v>
      </c>
      <c r="Q269" s="250" t="s">
        <v>374</v>
      </c>
      <c r="R269" s="258" t="s">
        <v>375</v>
      </c>
      <c r="S269" s="251">
        <v>22</v>
      </c>
      <c r="T269" s="252">
        <v>0.5</v>
      </c>
      <c r="U269" s="259">
        <f>BD.PD[[#This Row],[Av.P1 '[%']]]*BD.PD[[#This Row],[Ppto. Orden Interna '[DOP']]]</f>
        <v>663100</v>
      </c>
      <c r="V269" s="254">
        <v>24</v>
      </c>
      <c r="W269" s="255">
        <v>0.5</v>
      </c>
      <c r="X269" s="259">
        <f>BD.PD[[#This Row],[Av.P2 '[%']]]*BD.PD[[#This Row],[Ppto. Orden Interna '[DOP']]]</f>
        <v>663100</v>
      </c>
      <c r="Y269" s="313"/>
      <c r="Z269" s="314"/>
      <c r="AA269" s="259">
        <f>BD.PD[[#This Row],[Av.P3 '[%']]]*BD.PD[[#This Row],[Ppto. Orden Interna '[DOP']]]</f>
        <v>0</v>
      </c>
      <c r="AB269" s="313"/>
      <c r="AC269" s="314"/>
      <c r="AD269" s="259">
        <f>BD.PD[[#This Row],[Av.P4 '[%']]]*BD.PD[[#This Row],[Ppto. Orden Interna '[DOP']]]</f>
        <v>0</v>
      </c>
      <c r="AE269" s="313"/>
      <c r="AF269" s="314"/>
      <c r="AG269" s="259">
        <f>BD.PD[[#This Row],[Av.P5 '[%']]]*BD.PD[[#This Row],[Ppto. Orden Interna '[DOP']]]</f>
        <v>0</v>
      </c>
      <c r="AH269" s="315">
        <f>BD.PD[[#This Row],[Pago 5]]+BD.PD[[#This Row],[Pago 4]]+BD.PD[[#This Row],[Pago 3]]+BD.PD[[#This Row],[Pago 2]]+BD.PD[[#This Row],[Pago 1]]</f>
        <v>1326200</v>
      </c>
      <c r="AI269" s="318"/>
    </row>
    <row r="270" spans="1:35" ht="15" customHeight="1" x14ac:dyDescent="0.3">
      <c r="A270" s="307">
        <v>7.04</v>
      </c>
      <c r="B270" s="239"/>
      <c r="C270" s="240" t="str">
        <f>VLOOKUP(BD.PD[[#This Row],[Pos]],PPto[],3,FALSE)</f>
        <v>7.04 Equipamiento de Panaderia, Reposteria y Rosticería</v>
      </c>
      <c r="D270" s="307" t="s">
        <v>40</v>
      </c>
      <c r="E270" s="242" t="str">
        <f>IF(BD.PD[[#This Row],[.]]="*",VLOOKUP(BD.PD[[#This Row],[Pos]],Presupuesto!A:H,7,FALSE),"")</f>
        <v/>
      </c>
      <c r="F270" s="243" t="s">
        <v>1096</v>
      </c>
      <c r="G270" s="243">
        <v>4600080322</v>
      </c>
      <c r="H270" s="275">
        <v>46260</v>
      </c>
      <c r="I270" s="276">
        <v>1</v>
      </c>
      <c r="J270" s="181" t="s">
        <v>258</v>
      </c>
      <c r="K270" s="245">
        <f>IF(BD.PD[[#This Row],[Mon]]="DOP",1,HLOOKUP(BD.PD[[#This Row],[Mon]],$J$1:$K$2,2,FALSE))</f>
        <v>69.8</v>
      </c>
      <c r="L270" s="277">
        <v>12700</v>
      </c>
      <c r="M270" s="247">
        <f>BD.PD[[#This Row],[Cant.]]*BD.PD[[#This Row],[ Tasa ]]*BD.PD[[#This Row],[ Precio Und.]]</f>
        <v>886460</v>
      </c>
      <c r="N270" s="278">
        <v>0.25</v>
      </c>
      <c r="O270" s="247">
        <f>IF(BD.PD[[#This Row],[Liquid. '[%']]]&lt;&gt;0,(BD.PD[[#This Row],[Valor Neto '[DOP']]]*BD.PD[[#This Row],[Liquid. '[%']]])+BD.PD[[#This Row],[Valor Neto '[DOP']]],BD.PD[[#This Row],[Valor Neto '[DOP']]])</f>
        <v>1108075</v>
      </c>
      <c r="P270" s="257">
        <f>BD.PD[[#This Row],[Ppto. Orden Interna '[DOP']]]/HLOOKUP("USD",$J$1:$K$2,2,FALSE)</f>
        <v>18254.942339373971</v>
      </c>
      <c r="Q270" s="250" t="s">
        <v>374</v>
      </c>
      <c r="R270" s="258" t="s">
        <v>375</v>
      </c>
      <c r="S270" s="251">
        <v>22</v>
      </c>
      <c r="T270" s="252">
        <v>0.5</v>
      </c>
      <c r="U270" s="259">
        <f>BD.PD[[#This Row],[Av.P1 '[%']]]*BD.PD[[#This Row],[Ppto. Orden Interna '[DOP']]]</f>
        <v>554037.5</v>
      </c>
      <c r="V270" s="254">
        <v>24</v>
      </c>
      <c r="W270" s="255">
        <v>0.5</v>
      </c>
      <c r="X270" s="259">
        <f>BD.PD[[#This Row],[Av.P2 '[%']]]*BD.PD[[#This Row],[Ppto. Orden Interna '[DOP']]]</f>
        <v>554037.5</v>
      </c>
      <c r="Y270" s="313"/>
      <c r="Z270" s="314"/>
      <c r="AA270" s="259">
        <f>BD.PD[[#This Row],[Av.P3 '[%']]]*BD.PD[[#This Row],[Ppto. Orden Interna '[DOP']]]</f>
        <v>0</v>
      </c>
      <c r="AB270" s="313"/>
      <c r="AC270" s="314"/>
      <c r="AD270" s="259">
        <f>BD.PD[[#This Row],[Av.P4 '[%']]]*BD.PD[[#This Row],[Ppto. Orden Interna '[DOP']]]</f>
        <v>0</v>
      </c>
      <c r="AE270" s="313"/>
      <c r="AF270" s="314"/>
      <c r="AG270" s="259">
        <f>BD.PD[[#This Row],[Av.P5 '[%']]]*BD.PD[[#This Row],[Ppto. Orden Interna '[DOP']]]</f>
        <v>0</v>
      </c>
      <c r="AH270" s="315">
        <f>BD.PD[[#This Row],[Pago 5]]+BD.PD[[#This Row],[Pago 4]]+BD.PD[[#This Row],[Pago 3]]+BD.PD[[#This Row],[Pago 2]]+BD.PD[[#This Row],[Pago 1]]</f>
        <v>1108075</v>
      </c>
      <c r="AI270" s="318"/>
    </row>
    <row r="271" spans="1:35" ht="15" customHeight="1" x14ac:dyDescent="0.3">
      <c r="A271" s="181">
        <v>7.04</v>
      </c>
      <c r="B271" s="239"/>
      <c r="C271" s="240" t="str">
        <f>VLOOKUP(BD.PD[[#This Row],[Pos]],PPto[],3,FALSE)</f>
        <v>7.04 Equipamiento de Panaderia, Reposteria y Rosticería</v>
      </c>
      <c r="D271" s="307" t="s">
        <v>40</v>
      </c>
      <c r="E271" s="242" t="str">
        <f>IF(BD.PD[[#This Row],[.]]="*",VLOOKUP(BD.PD[[#This Row],[Pos]],Presupuesto!A:H,7,FALSE),"")</f>
        <v/>
      </c>
      <c r="F271" s="243" t="s">
        <v>536</v>
      </c>
      <c r="G271" s="243">
        <v>4600079168</v>
      </c>
      <c r="H271" s="275" t="s">
        <v>537</v>
      </c>
      <c r="I271" s="276">
        <v>3</v>
      </c>
      <c r="J271" s="307" t="s">
        <v>188</v>
      </c>
      <c r="K271" s="245">
        <f>IF(BD.PD[[#This Row],[Mon]]="DOP",1,HLOOKUP(BD.PD[[#This Row],[Mon]],$J$1:$K$2,2,FALSE))</f>
        <v>60.7</v>
      </c>
      <c r="L271" s="309">
        <v>2733</v>
      </c>
      <c r="M271" s="247">
        <f>BD.PD[[#This Row],[Cant.]]*BD.PD[[#This Row],[ Tasa ]]*BD.PD[[#This Row],[ Precio Und.]]</f>
        <v>497679.30000000005</v>
      </c>
      <c r="N271" s="278">
        <v>0.45</v>
      </c>
      <c r="O271" s="247">
        <f>IF(BD.PD[[#This Row],[Liquid. '[%']]]&lt;&gt;0,(BD.PD[[#This Row],[Valor Neto '[DOP']]]*BD.PD[[#This Row],[Liquid. '[%']]])+BD.PD[[#This Row],[Valor Neto '[DOP']]],BD.PD[[#This Row],[Valor Neto '[DOP']]])</f>
        <v>721634.9850000001</v>
      </c>
      <c r="P271" s="257">
        <f>BD.PD[[#This Row],[Ppto. Orden Interna '[DOP']]]/HLOOKUP("USD",$J$1:$K$2,2,FALSE)</f>
        <v>11888.550000000001</v>
      </c>
      <c r="Q271" s="250" t="s">
        <v>374</v>
      </c>
      <c r="R271" s="258" t="s">
        <v>375</v>
      </c>
      <c r="S271" s="251">
        <v>16</v>
      </c>
      <c r="T271" s="252">
        <v>0.5</v>
      </c>
      <c r="U271" s="259">
        <f>BD.PD[[#This Row],[Av.P1 '[%']]]*BD.PD[[#This Row],[Ppto. Orden Interna '[DOP']]]</f>
        <v>360817.49250000005</v>
      </c>
      <c r="V271" s="254">
        <v>19</v>
      </c>
      <c r="W271" s="314">
        <v>0.5</v>
      </c>
      <c r="X271" s="259">
        <f>BD.PD[[#This Row],[Av.P2 '[%']]]*BD.PD[[#This Row],[Ppto. Orden Interna '[DOP']]]</f>
        <v>360817.49250000005</v>
      </c>
      <c r="Y271" s="313"/>
      <c r="Z271" s="314"/>
      <c r="AA271" s="259">
        <f>BD.PD[[#This Row],[Av.P3 '[%']]]*BD.PD[[#This Row],[Ppto. Orden Interna '[DOP']]]</f>
        <v>0</v>
      </c>
      <c r="AB271" s="313"/>
      <c r="AC271" s="314"/>
      <c r="AD271" s="259">
        <f>BD.PD[[#This Row],[Av.P4 '[%']]]*BD.PD[[#This Row],[Ppto. Orden Interna '[DOP']]]</f>
        <v>0</v>
      </c>
      <c r="AE271" s="313"/>
      <c r="AF271" s="314"/>
      <c r="AG271" s="259">
        <f>BD.PD[[#This Row],[Av.P5 '[%']]]*BD.PD[[#This Row],[Ppto. Orden Interna '[DOP']]]</f>
        <v>0</v>
      </c>
      <c r="AH271" s="315">
        <f>BD.PD[[#This Row],[Pago 5]]+BD.PD[[#This Row],[Pago 4]]+BD.PD[[#This Row],[Pago 3]]+BD.PD[[#This Row],[Pago 2]]+BD.PD[[#This Row],[Pago 1]]</f>
        <v>721634.9850000001</v>
      </c>
      <c r="AI271" s="318"/>
    </row>
    <row r="272" spans="1:35" ht="15" customHeight="1" x14ac:dyDescent="0.3">
      <c r="A272" s="181">
        <v>7.04</v>
      </c>
      <c r="B272" s="239"/>
      <c r="C272" s="240" t="str">
        <f>VLOOKUP(BD.PD[[#This Row],[Pos]],PPto[],3,FALSE)</f>
        <v>7.04 Equipamiento de Panaderia, Reposteria y Rosticería</v>
      </c>
      <c r="D272" s="307" t="s">
        <v>40</v>
      </c>
      <c r="E272" s="242" t="str">
        <f>IF(BD.PD[[#This Row],[.]]="*",VLOOKUP(BD.PD[[#This Row],[Pos]],Presupuesto!A:H,7,FALSE),"")</f>
        <v/>
      </c>
      <c r="F272" s="243" t="s">
        <v>538</v>
      </c>
      <c r="G272" s="243">
        <v>4600079168</v>
      </c>
      <c r="H272" s="275" t="s">
        <v>537</v>
      </c>
      <c r="I272" s="276">
        <v>1</v>
      </c>
      <c r="J272" s="307" t="s">
        <v>188</v>
      </c>
      <c r="K272" s="245">
        <f>IF(BD.PD[[#This Row],[Mon]]="DOP",1,HLOOKUP(BD.PD[[#This Row],[Mon]],$J$1:$K$2,2,FALSE))</f>
        <v>60.7</v>
      </c>
      <c r="L272" s="309">
        <v>4739</v>
      </c>
      <c r="M272" s="247">
        <f>BD.PD[[#This Row],[Cant.]]*BD.PD[[#This Row],[ Tasa ]]*BD.PD[[#This Row],[ Precio Und.]]</f>
        <v>287657.3</v>
      </c>
      <c r="N272" s="278">
        <v>0.45</v>
      </c>
      <c r="O272" s="247">
        <f>IF(BD.PD[[#This Row],[Liquid. '[%']]]&lt;&gt;0,(BD.PD[[#This Row],[Valor Neto '[DOP']]]*BD.PD[[#This Row],[Liquid. '[%']]])+BD.PD[[#This Row],[Valor Neto '[DOP']]],BD.PD[[#This Row],[Valor Neto '[DOP']]])</f>
        <v>417103.08499999996</v>
      </c>
      <c r="P272" s="257">
        <f>BD.PD[[#This Row],[Ppto. Orden Interna '[DOP']]]/HLOOKUP("USD",$J$1:$K$2,2,FALSE)</f>
        <v>6871.5499999999993</v>
      </c>
      <c r="Q272" s="250" t="s">
        <v>374</v>
      </c>
      <c r="R272" s="258" t="s">
        <v>375</v>
      </c>
      <c r="S272" s="251">
        <v>16</v>
      </c>
      <c r="T272" s="252">
        <v>0.5</v>
      </c>
      <c r="U272" s="259">
        <f>BD.PD[[#This Row],[Av.P1 '[%']]]*BD.PD[[#This Row],[Ppto. Orden Interna '[DOP']]]</f>
        <v>208551.54249999998</v>
      </c>
      <c r="V272" s="254">
        <v>19</v>
      </c>
      <c r="W272" s="314">
        <v>0.5</v>
      </c>
      <c r="X272" s="259">
        <f>BD.PD[[#This Row],[Av.P2 '[%']]]*BD.PD[[#This Row],[Ppto. Orden Interna '[DOP']]]</f>
        <v>208551.54249999998</v>
      </c>
      <c r="Y272" s="313"/>
      <c r="Z272" s="314"/>
      <c r="AA272" s="259">
        <f>BD.PD[[#This Row],[Av.P3 '[%']]]*BD.PD[[#This Row],[Ppto. Orden Interna '[DOP']]]</f>
        <v>0</v>
      </c>
      <c r="AB272" s="313"/>
      <c r="AC272" s="314"/>
      <c r="AD272" s="259">
        <f>BD.PD[[#This Row],[Av.P4 '[%']]]*BD.PD[[#This Row],[Ppto. Orden Interna '[DOP']]]</f>
        <v>0</v>
      </c>
      <c r="AE272" s="313"/>
      <c r="AF272" s="314"/>
      <c r="AG272" s="259">
        <f>BD.PD[[#This Row],[Av.P5 '[%']]]*BD.PD[[#This Row],[Ppto. Orden Interna '[DOP']]]</f>
        <v>0</v>
      </c>
      <c r="AH272" s="256">
        <f>BD.PD[[#This Row],[Pago 5]]+BD.PD[[#This Row],[Pago 4]]+BD.PD[[#This Row],[Pago 3]]+BD.PD[[#This Row],[Pago 2]]+BD.PD[[#This Row],[Pago 1]]</f>
        <v>417103.08499999996</v>
      </c>
      <c r="AI272" s="318"/>
    </row>
    <row r="273" spans="1:35" ht="15" customHeight="1" x14ac:dyDescent="0.3">
      <c r="A273" s="307">
        <v>7.04</v>
      </c>
      <c r="B273" s="239"/>
      <c r="C273" s="240" t="str">
        <f>VLOOKUP(BD.PD[[#This Row],[Pos]],PPto[],3,FALSE)</f>
        <v>7.04 Equipamiento de Panaderia, Reposteria y Rosticería</v>
      </c>
      <c r="D273" s="307" t="s">
        <v>40</v>
      </c>
      <c r="E273" s="242" t="str">
        <f>IF(BD.PD[[#This Row],[.]]="*",VLOOKUP(BD.PD[[#This Row],[Pos]],Presupuesto!A:H,7,FALSE),"")</f>
        <v/>
      </c>
      <c r="F273" s="243" t="s">
        <v>539</v>
      </c>
      <c r="G273" s="243">
        <v>4600079168</v>
      </c>
      <c r="H273" s="275" t="s">
        <v>537</v>
      </c>
      <c r="I273" s="276">
        <v>2</v>
      </c>
      <c r="J273" s="307" t="s">
        <v>188</v>
      </c>
      <c r="K273" s="245">
        <f>IF(BD.PD[[#This Row],[Mon]]="DOP",1,HLOOKUP(BD.PD[[#This Row],[Mon]],$J$1:$K$2,2,FALSE))</f>
        <v>60.7</v>
      </c>
      <c r="L273" s="309">
        <v>3560</v>
      </c>
      <c r="M273" s="247">
        <f>BD.PD[[#This Row],[Cant.]]*BD.PD[[#This Row],[ Tasa ]]*BD.PD[[#This Row],[ Precio Und.]]</f>
        <v>432184</v>
      </c>
      <c r="N273" s="278">
        <v>0.45</v>
      </c>
      <c r="O273" s="247">
        <f>IF(BD.PD[[#This Row],[Liquid. '[%']]]&lt;&gt;0,(BD.PD[[#This Row],[Valor Neto '[DOP']]]*BD.PD[[#This Row],[Liquid. '[%']]])+BD.PD[[#This Row],[Valor Neto '[DOP']]],BD.PD[[#This Row],[Valor Neto '[DOP']]])</f>
        <v>626666.80000000005</v>
      </c>
      <c r="P273" s="257">
        <f>BD.PD[[#This Row],[Ppto. Orden Interna '[DOP']]]/HLOOKUP("USD",$J$1:$K$2,2,FALSE)</f>
        <v>10324</v>
      </c>
      <c r="Q273" s="250" t="s">
        <v>374</v>
      </c>
      <c r="R273" s="258" t="s">
        <v>375</v>
      </c>
      <c r="S273" s="251">
        <v>16</v>
      </c>
      <c r="T273" s="252">
        <v>0.5</v>
      </c>
      <c r="U273" s="259">
        <f>BD.PD[[#This Row],[Av.P1 '[%']]]*BD.PD[[#This Row],[Ppto. Orden Interna '[DOP']]]</f>
        <v>313333.40000000002</v>
      </c>
      <c r="V273" s="254">
        <v>19</v>
      </c>
      <c r="W273" s="314">
        <v>0.5</v>
      </c>
      <c r="X273" s="259">
        <f>BD.PD[[#This Row],[Av.P2 '[%']]]*BD.PD[[#This Row],[Ppto. Orden Interna '[DOP']]]</f>
        <v>313333.40000000002</v>
      </c>
      <c r="Y273" s="313"/>
      <c r="Z273" s="314"/>
      <c r="AA273" s="259">
        <f>BD.PD[[#This Row],[Av.P3 '[%']]]*BD.PD[[#This Row],[Ppto. Orden Interna '[DOP']]]</f>
        <v>0</v>
      </c>
      <c r="AB273" s="313"/>
      <c r="AC273" s="314"/>
      <c r="AD273" s="259">
        <f>BD.PD[[#This Row],[Av.P4 '[%']]]*BD.PD[[#This Row],[Ppto. Orden Interna '[DOP']]]</f>
        <v>0</v>
      </c>
      <c r="AE273" s="313"/>
      <c r="AF273" s="314"/>
      <c r="AG273" s="259">
        <f>BD.PD[[#This Row],[Av.P5 '[%']]]*BD.PD[[#This Row],[Ppto. Orden Interna '[DOP']]]</f>
        <v>0</v>
      </c>
      <c r="AH273" s="256">
        <f>BD.PD[[#This Row],[Pago 5]]+BD.PD[[#This Row],[Pago 4]]+BD.PD[[#This Row],[Pago 3]]+BD.PD[[#This Row],[Pago 2]]+BD.PD[[#This Row],[Pago 1]]</f>
        <v>626666.80000000005</v>
      </c>
      <c r="AI273" s="318"/>
    </row>
    <row r="274" spans="1:35" ht="15" customHeight="1" x14ac:dyDescent="0.3">
      <c r="A274" s="181">
        <v>7.05</v>
      </c>
      <c r="B274" s="239"/>
      <c r="C274" s="240" t="str">
        <f>VLOOKUP(BD.PD[[#This Row],[Pos]],PPto[],3,FALSE)</f>
        <v>7.05 Equipamiento de Frutas y Vegetales</v>
      </c>
      <c r="D274" s="307" t="s">
        <v>40</v>
      </c>
      <c r="E274" s="242" t="str">
        <f>IF(BD.PD[[#This Row],[.]]="*",VLOOKUP(BD.PD[[#This Row],[Pos]],Presupuesto!A:H,7,FALSE),"")</f>
        <v/>
      </c>
      <c r="F274" s="243" t="s">
        <v>554</v>
      </c>
      <c r="G274" s="243"/>
      <c r="H274" s="275"/>
      <c r="I274" s="276">
        <v>18</v>
      </c>
      <c r="J274" s="307" t="s">
        <v>188</v>
      </c>
      <c r="K274" s="245">
        <f>IF(BD.PD[[#This Row],[Mon]]="DOP",1,HLOOKUP(BD.PD[[#This Row],[Mon]],$J$1:$K$2,2,FALSE))</f>
        <v>60.7</v>
      </c>
      <c r="L274" s="309">
        <v>2655</v>
      </c>
      <c r="M274" s="247">
        <f>BD.PD[[#This Row],[Cant.]]*BD.PD[[#This Row],[ Tasa ]]*BD.PD[[#This Row],[ Precio Und.]]</f>
        <v>2900853.0000000005</v>
      </c>
      <c r="N274" s="278">
        <v>0.45</v>
      </c>
      <c r="O274" s="247">
        <f>IF(BD.PD[[#This Row],[Liquid. '[%']]]&lt;&gt;0,(BD.PD[[#This Row],[Valor Neto '[DOP']]]*BD.PD[[#This Row],[Liquid. '[%']]])+BD.PD[[#This Row],[Valor Neto '[DOP']]],BD.PD[[#This Row],[Valor Neto '[DOP']]])</f>
        <v>4206236.8500000006</v>
      </c>
      <c r="P274" s="257">
        <f>BD.PD[[#This Row],[Ppto. Orden Interna '[DOP']]]/HLOOKUP("USD",$J$1:$K$2,2,FALSE)</f>
        <v>69295.5</v>
      </c>
      <c r="Q274" s="250" t="s">
        <v>374</v>
      </c>
      <c r="R274" s="258" t="s">
        <v>375</v>
      </c>
      <c r="S274" s="251">
        <v>16</v>
      </c>
      <c r="T274" s="252">
        <v>0.5</v>
      </c>
      <c r="U274" s="259">
        <f>BD.PD[[#This Row],[Av.P1 '[%']]]*BD.PD[[#This Row],[Ppto. Orden Interna '[DOP']]]</f>
        <v>2103118.4250000003</v>
      </c>
      <c r="V274" s="254">
        <v>19</v>
      </c>
      <c r="W274" s="314">
        <v>0.5</v>
      </c>
      <c r="X274" s="259">
        <f>BD.PD[[#This Row],[Av.P2 '[%']]]*BD.PD[[#This Row],[Ppto. Orden Interna '[DOP']]]</f>
        <v>2103118.4250000003</v>
      </c>
      <c r="Y274" s="313"/>
      <c r="Z274" s="314"/>
      <c r="AA274" s="259">
        <f>BD.PD[[#This Row],[Av.P3 '[%']]]*BD.PD[[#This Row],[Ppto. Orden Interna '[DOP']]]</f>
        <v>0</v>
      </c>
      <c r="AB274" s="313"/>
      <c r="AC274" s="314"/>
      <c r="AD274" s="259">
        <f>BD.PD[[#This Row],[Av.P4 '[%']]]*BD.PD[[#This Row],[Ppto. Orden Interna '[DOP']]]</f>
        <v>0</v>
      </c>
      <c r="AE274" s="313"/>
      <c r="AF274" s="314"/>
      <c r="AG274" s="259">
        <f>BD.PD[[#This Row],[Av.P5 '[%']]]*BD.PD[[#This Row],[Ppto. Orden Interna '[DOP']]]</f>
        <v>0</v>
      </c>
      <c r="AH274" s="256">
        <f>BD.PD[[#This Row],[Pago 5]]+BD.PD[[#This Row],[Pago 4]]+BD.PD[[#This Row],[Pago 3]]+BD.PD[[#This Row],[Pago 2]]+BD.PD[[#This Row],[Pago 1]]</f>
        <v>4206236.8500000006</v>
      </c>
      <c r="AI274" s="318"/>
    </row>
    <row r="275" spans="1:35" ht="15" customHeight="1" x14ac:dyDescent="0.3">
      <c r="A275" s="181">
        <v>5.04</v>
      </c>
      <c r="B275" s="239"/>
      <c r="C275" s="240" t="str">
        <f>VLOOKUP(BD.PD[[#This Row],[Pos]],PPto[],3,FALSE)</f>
        <v>5.04 Bumpers Mcue/ Rack</v>
      </c>
      <c r="D275" s="181" t="s">
        <v>40</v>
      </c>
      <c r="E275" s="242" t="str">
        <f>IF(BD.PD[[#This Row],[.]]="*",VLOOKUP(BD.PD[[#This Row],[Pos]],Presupuesto!A:H,7,FALSE),"")</f>
        <v/>
      </c>
      <c r="F275" s="225" t="s">
        <v>1086</v>
      </c>
      <c r="G275" s="243">
        <v>4513071731</v>
      </c>
      <c r="H275" s="275">
        <v>46255</v>
      </c>
      <c r="I275" s="276">
        <v>1</v>
      </c>
      <c r="J275" s="181" t="s">
        <v>314</v>
      </c>
      <c r="K275" s="245">
        <f>IF(BD.PD[[#This Row],[Mon]]="DOP",1,HLOOKUP(BD.PD[[#This Row],[Mon]],$J$1:$K$2,2,FALSE))</f>
        <v>1</v>
      </c>
      <c r="L275" s="277">
        <v>2027497.6</v>
      </c>
      <c r="M275" s="247">
        <f>BD.PD[[#This Row],[Cant.]]*BD.PD[[#This Row],[ Tasa ]]*BD.PD[[#This Row],[ Precio Und.]]</f>
        <v>2027497.6</v>
      </c>
      <c r="N275" s="278">
        <v>0</v>
      </c>
      <c r="O275" s="247">
        <f>IF(BD.PD[[#This Row],[Liquid. '[%']]]&lt;&gt;0,(BD.PD[[#This Row],[Valor Neto '[DOP']]]*BD.PD[[#This Row],[Liquid. '[%']]])+BD.PD[[#This Row],[Valor Neto '[DOP']]],BD.PD[[#This Row],[Valor Neto '[DOP']]])</f>
        <v>2027497.6</v>
      </c>
      <c r="P275" s="257">
        <f>BD.PD[[#This Row],[Ppto. Orden Interna '[DOP']]]/HLOOKUP("USD",$J$1:$K$2,2,FALSE)</f>
        <v>33401.937397034599</v>
      </c>
      <c r="Q275" s="250" t="s">
        <v>380</v>
      </c>
      <c r="R275" s="258" t="s">
        <v>381</v>
      </c>
      <c r="S275" s="251">
        <v>22</v>
      </c>
      <c r="T275" s="252">
        <v>0.5</v>
      </c>
      <c r="U275" s="259">
        <f>BD.PD[[#This Row],[Av.P1 '[%']]]*BD.PD[[#This Row],[Ppto. Orden Interna '[DOP']]]</f>
        <v>1013748.8</v>
      </c>
      <c r="V275" s="254">
        <v>24</v>
      </c>
      <c r="W275" s="255">
        <v>0.5</v>
      </c>
      <c r="X275" s="259">
        <f>BD.PD[[#This Row],[Av.P2 '[%']]]*BD.PD[[#This Row],[Ppto. Orden Interna '[DOP']]]</f>
        <v>1013748.8</v>
      </c>
      <c r="Y275" s="254"/>
      <c r="Z275" s="255"/>
      <c r="AA275" s="259">
        <f>BD.PD[[#This Row],[Av.P3 '[%']]]*BD.PD[[#This Row],[Ppto. Orden Interna '[DOP']]]</f>
        <v>0</v>
      </c>
      <c r="AB275" s="254"/>
      <c r="AC275" s="255"/>
      <c r="AD275" s="259">
        <f>BD.PD[[#This Row],[Av.P4 '[%']]]*BD.PD[[#This Row],[Ppto. Orden Interna '[DOP']]]</f>
        <v>0</v>
      </c>
      <c r="AE275" s="254"/>
      <c r="AF275" s="255"/>
      <c r="AG275" s="259">
        <f>BD.PD[[#This Row],[Av.P5 '[%']]]*BD.PD[[#This Row],[Ppto. Orden Interna '[DOP']]]</f>
        <v>0</v>
      </c>
      <c r="AH275" s="256">
        <f>BD.PD[[#This Row],[Pago 5]]+BD.PD[[#This Row],[Pago 4]]+BD.PD[[#This Row],[Pago 3]]+BD.PD[[#This Row],[Pago 2]]+BD.PD[[#This Row],[Pago 1]]</f>
        <v>2027497.6</v>
      </c>
      <c r="AI275" s="318"/>
    </row>
    <row r="276" spans="1:35" ht="15" customHeight="1" x14ac:dyDescent="0.3">
      <c r="A276" s="181">
        <v>6.05</v>
      </c>
      <c r="B276" s="239"/>
      <c r="C276" s="240" t="str">
        <f>VLOOKUP(BD.PD[[#This Row],[Pos]],PPto[],3,FALSE)</f>
        <v>6.05 Otros sum e inst Tecnología y Seguridad Y Tesoreria</v>
      </c>
      <c r="D276" s="181" t="s">
        <v>40</v>
      </c>
      <c r="E276" s="242" t="str">
        <f>IF(BD.PD[[#This Row],[.]]="*",VLOOKUP(BD.PD[[#This Row],[Pos]],Presupuesto!A:H,7,FALSE),"")</f>
        <v/>
      </c>
      <c r="F276" s="383" t="s">
        <v>413</v>
      </c>
      <c r="G276" s="243">
        <v>4512504513</v>
      </c>
      <c r="H276" s="275" t="s">
        <v>414</v>
      </c>
      <c r="I276" s="276">
        <v>1</v>
      </c>
      <c r="J276" s="181" t="s">
        <v>314</v>
      </c>
      <c r="K276" s="245">
        <f>IF(BD.PD[[#This Row],[Mon]]="DOP",1,HLOOKUP(BD.PD[[#This Row],[Mon]],$J$1:$K$2,2,FALSE))</f>
        <v>1</v>
      </c>
      <c r="L276" s="277">
        <v>1204516.0900000001</v>
      </c>
      <c r="M276" s="247">
        <f>BD.PD[[#This Row],[Cant.]]*BD.PD[[#This Row],[ Tasa ]]*BD.PD[[#This Row],[ Precio Und.]]</f>
        <v>1204516.0900000001</v>
      </c>
      <c r="N276" s="278">
        <v>0</v>
      </c>
      <c r="O276" s="247">
        <f>IF(BD.PD[[#This Row],[Liquid. '[%']]]&lt;&gt;0,(BD.PD[[#This Row],[Valor Neto '[DOP']]]*BD.PD[[#This Row],[Liquid. '[%']]])+BD.PD[[#This Row],[Valor Neto '[DOP']]],BD.PD[[#This Row],[Valor Neto '[DOP']]])</f>
        <v>1204516.0900000001</v>
      </c>
      <c r="P276" s="257">
        <f>BD.PD[[#This Row],[Ppto. Orden Interna '[DOP']]]/HLOOKUP("USD",$J$1:$K$2,2,FALSE)</f>
        <v>19843.75766062603</v>
      </c>
      <c r="Q276" s="250" t="s">
        <v>410</v>
      </c>
      <c r="R276" s="258" t="s">
        <v>411</v>
      </c>
      <c r="S276" s="251">
        <v>17</v>
      </c>
      <c r="T276" s="252">
        <v>0.5</v>
      </c>
      <c r="U276" s="259">
        <f>BD.PD[[#This Row],[Av.P1 '[%']]]*BD.PD[[#This Row],[Ppto. Orden Interna '[DOP']]]</f>
        <v>602258.04500000004</v>
      </c>
      <c r="V276" s="254">
        <v>21</v>
      </c>
      <c r="W276" s="255">
        <v>0.5</v>
      </c>
      <c r="X276" s="259">
        <f>BD.PD[[#This Row],[Av.P2 '[%']]]*BD.PD[[#This Row],[Ppto. Orden Interna '[DOP']]]</f>
        <v>602258.04500000004</v>
      </c>
      <c r="Y276" s="254"/>
      <c r="Z276" s="255"/>
      <c r="AA276" s="259">
        <f>BD.PD[[#This Row],[Av.P3 '[%']]]*BD.PD[[#This Row],[Ppto. Orden Interna '[DOP']]]</f>
        <v>0</v>
      </c>
      <c r="AB276" s="254"/>
      <c r="AC276" s="255"/>
      <c r="AD276" s="259">
        <f>BD.PD[[#This Row],[Av.P4 '[%']]]*BD.PD[[#This Row],[Ppto. Orden Interna '[DOP']]]</f>
        <v>0</v>
      </c>
      <c r="AE276" s="254"/>
      <c r="AF276" s="255"/>
      <c r="AG276" s="259">
        <f>BD.PD[[#This Row],[Av.P5 '[%']]]*BD.PD[[#This Row],[Ppto. Orden Interna '[DOP']]]</f>
        <v>0</v>
      </c>
      <c r="AH276" s="256">
        <f>BD.PD[[#This Row],[Pago 5]]+BD.PD[[#This Row],[Pago 4]]+BD.PD[[#This Row],[Pago 3]]+BD.PD[[#This Row],[Pago 2]]+BD.PD[[#This Row],[Pago 1]]</f>
        <v>1204516.0900000001</v>
      </c>
      <c r="AI276" s="318"/>
    </row>
    <row r="277" spans="1:35" ht="15" customHeight="1" x14ac:dyDescent="0.3">
      <c r="A277" s="181">
        <v>1.01</v>
      </c>
      <c r="B277" s="239" t="s">
        <v>306</v>
      </c>
      <c r="C277" s="240" t="str">
        <f>VLOOKUP(BD.PD[[#This Row],[Pos]],PPto[],3,FALSE)</f>
        <v>1.01 Diseño arquitectónico</v>
      </c>
      <c r="D277" s="241" t="s">
        <v>306</v>
      </c>
      <c r="E277" s="242">
        <f>IF(BD.PD[[#This Row],[.]]="*",VLOOKUP(BD.PD[[#This Row],[Pos]],Presupuesto!A:H,7,FALSE),"")</f>
        <v>0</v>
      </c>
      <c r="F277" s="243"/>
      <c r="G277" s="243"/>
      <c r="H277" s="243"/>
      <c r="I277" s="244">
        <v>1</v>
      </c>
      <c r="J277" s="241" t="s">
        <v>188</v>
      </c>
      <c r="K277" s="245">
        <f>IF(BD.PD[[#This Row],[Mon]]="DOP",1,HLOOKUP(BD.PD[[#This Row],[Mon]],$J$1:$K$2,2,FALSE))</f>
        <v>60.7</v>
      </c>
      <c r="L277" s="246"/>
      <c r="M277" s="247">
        <f>BD.PD[[#This Row],[Cant.]]*BD.PD[[#This Row],[ Tasa ]]*BD.PD[[#This Row],[ Precio Und.]]</f>
        <v>0</v>
      </c>
      <c r="N277" s="248">
        <v>0</v>
      </c>
      <c r="O277" s="247">
        <f>IF(BD.PD[[#This Row],[Liquid. '[%']]]&lt;&gt;0,(BD.PD[[#This Row],[Valor Neto '[DOP']]]*BD.PD[[#This Row],[Liquid. '[%']]])+BD.PD[[#This Row],[Valor Neto '[DOP']]],BD.PD[[#This Row],[Valor Neto '[DOP']]])</f>
        <v>0</v>
      </c>
      <c r="P277" s="257">
        <f>BD.PD[[#This Row],[Ppto. Orden Interna '[DOP']]]/HLOOKUP("USD",$J$1:$K$2,2,FALSE)</f>
        <v>0</v>
      </c>
      <c r="Q277" s="250"/>
      <c r="R277" s="258"/>
      <c r="S277" s="251"/>
      <c r="T277" s="252"/>
      <c r="U277" s="259">
        <f>BD.PD[[#This Row],[Av.P1 '[%']]]*BD.PD[[#This Row],[Ppto. Orden Interna '[DOP']]]</f>
        <v>0</v>
      </c>
      <c r="V277" s="254"/>
      <c r="W277" s="255"/>
      <c r="X277" s="259">
        <f>BD.PD[[#This Row],[Av.P2 '[%']]]*BD.PD[[#This Row],[Ppto. Orden Interna '[DOP']]]</f>
        <v>0</v>
      </c>
      <c r="Y277" s="254"/>
      <c r="Z277" s="255"/>
      <c r="AA277" s="259">
        <f>BD.PD[[#This Row],[Av.P3 '[%']]]*BD.PD[[#This Row],[Ppto. Orden Interna '[DOP']]]</f>
        <v>0</v>
      </c>
      <c r="AB277" s="254"/>
      <c r="AC277" s="255"/>
      <c r="AD277" s="259">
        <f>BD.PD[[#This Row],[Av.P4 '[%']]]*BD.PD[[#This Row],[Ppto. Orden Interna '[DOP']]]</f>
        <v>0</v>
      </c>
      <c r="AE277" s="254"/>
      <c r="AF277" s="255"/>
      <c r="AG277" s="259">
        <f>BD.PD[[#This Row],[Av.P5 '[%']]]*BD.PD[[#This Row],[Ppto. Orden Interna '[DOP']]]</f>
        <v>0</v>
      </c>
      <c r="AH277" s="256">
        <f>BD.PD[[#This Row],[Pago 5]]+BD.PD[[#This Row],[Pago 4]]+BD.PD[[#This Row],[Pago 3]]+BD.PD[[#This Row],[Pago 2]]+BD.PD[[#This Row],[Pago 1]]</f>
        <v>0</v>
      </c>
      <c r="AI277" s="318"/>
    </row>
    <row r="278" spans="1:35" ht="15" customHeight="1" x14ac:dyDescent="0.3">
      <c r="A278" s="181">
        <v>1.02</v>
      </c>
      <c r="B278" s="239" t="s">
        <v>306</v>
      </c>
      <c r="C278" s="240" t="str">
        <f>VLOOKUP(BD.PD[[#This Row],[Pos]],PPto[],3,FALSE)</f>
        <v>1.02 Diseño estructural</v>
      </c>
      <c r="D278" s="241" t="s">
        <v>306</v>
      </c>
      <c r="E278" s="242">
        <f>IF(BD.PD[[#This Row],[.]]="*",VLOOKUP(BD.PD[[#This Row],[Pos]],Presupuesto!A:H,7,FALSE),"")</f>
        <v>0</v>
      </c>
      <c r="F278" s="243"/>
      <c r="G278" s="243"/>
      <c r="H278" s="243"/>
      <c r="I278" s="244">
        <v>1</v>
      </c>
      <c r="J278" s="241" t="s">
        <v>188</v>
      </c>
      <c r="K278" s="245">
        <f>IF(BD.PD[[#This Row],[Mon]]="DOP",1,HLOOKUP(BD.PD[[#This Row],[Mon]],$J$1:$K$2,2,FALSE))</f>
        <v>60.7</v>
      </c>
      <c r="L278" s="246">
        <v>0</v>
      </c>
      <c r="M278" s="247">
        <f>BD.PD[[#This Row],[Cant.]]*BD.PD[[#This Row],[ Tasa ]]*BD.PD[[#This Row],[ Precio Und.]]</f>
        <v>0</v>
      </c>
      <c r="N278" s="248">
        <v>0</v>
      </c>
      <c r="O278" s="247">
        <f>IF(BD.PD[[#This Row],[Liquid. '[%']]]&lt;&gt;0,(BD.PD[[#This Row],[Valor Neto '[DOP']]]*BD.PD[[#This Row],[Liquid. '[%']]])+BD.PD[[#This Row],[Valor Neto '[DOP']]],BD.PD[[#This Row],[Valor Neto '[DOP']]])</f>
        <v>0</v>
      </c>
      <c r="P278" s="257">
        <f>BD.PD[[#This Row],[Ppto. Orden Interna '[DOP']]]/HLOOKUP("USD",$J$1:$K$2,2,FALSE)</f>
        <v>0</v>
      </c>
      <c r="Q278" s="250"/>
      <c r="R278" s="258"/>
      <c r="S278" s="251"/>
      <c r="T278" s="252"/>
      <c r="U278" s="259">
        <f>BD.PD[[#This Row],[Av.P1 '[%']]]*BD.PD[[#This Row],[Ppto. Orden Interna '[DOP']]]</f>
        <v>0</v>
      </c>
      <c r="V278" s="254"/>
      <c r="W278" s="255"/>
      <c r="X278" s="259">
        <f>BD.PD[[#This Row],[Av.P2 '[%']]]*BD.PD[[#This Row],[Ppto. Orden Interna '[DOP']]]</f>
        <v>0</v>
      </c>
      <c r="Y278" s="254"/>
      <c r="Z278" s="255"/>
      <c r="AA278" s="259">
        <f>BD.PD[[#This Row],[Av.P3 '[%']]]*BD.PD[[#This Row],[Ppto. Orden Interna '[DOP']]]</f>
        <v>0</v>
      </c>
      <c r="AB278" s="254"/>
      <c r="AC278" s="255"/>
      <c r="AD278" s="259">
        <f>BD.PD[[#This Row],[Av.P4 '[%']]]*BD.PD[[#This Row],[Ppto. Orden Interna '[DOP']]]</f>
        <v>0</v>
      </c>
      <c r="AE278" s="254"/>
      <c r="AF278" s="255"/>
      <c r="AG278" s="259">
        <f>BD.PD[[#This Row],[Av.P5 '[%']]]*BD.PD[[#This Row],[Ppto. Orden Interna '[DOP']]]</f>
        <v>0</v>
      </c>
      <c r="AH278" s="256">
        <f>BD.PD[[#This Row],[Pago 5]]+BD.PD[[#This Row],[Pago 4]]+BD.PD[[#This Row],[Pago 3]]+BD.PD[[#This Row],[Pago 2]]+BD.PD[[#This Row],[Pago 1]]</f>
        <v>0</v>
      </c>
      <c r="AI278" s="318"/>
    </row>
    <row r="279" spans="1:35" ht="15" customHeight="1" x14ac:dyDescent="0.3">
      <c r="A279" s="181">
        <v>1.03</v>
      </c>
      <c r="B279" s="239" t="s">
        <v>306</v>
      </c>
      <c r="C279" s="240" t="str">
        <f>VLOOKUP(BD.PD[[#This Row],[Pos]],PPto[],3,FALSE)</f>
        <v>1.03 Diseño electromecánico</v>
      </c>
      <c r="D279" s="241" t="s">
        <v>306</v>
      </c>
      <c r="E279" s="242">
        <f>IF(BD.PD[[#This Row],[.]]="*",VLOOKUP(BD.PD[[#This Row],[Pos]],Presupuesto!A:H,7,FALSE),"")</f>
        <v>0</v>
      </c>
      <c r="F279" s="243"/>
      <c r="G279" s="243"/>
      <c r="H279" s="243"/>
      <c r="I279" s="244">
        <v>1</v>
      </c>
      <c r="J279" s="241" t="s">
        <v>188</v>
      </c>
      <c r="K279" s="245">
        <f>IF(BD.PD[[#This Row],[Mon]]="DOP",1,HLOOKUP(BD.PD[[#This Row],[Mon]],$J$1:$K$2,2,FALSE))</f>
        <v>60.7</v>
      </c>
      <c r="L279" s="246">
        <v>0</v>
      </c>
      <c r="M279" s="247">
        <f>BD.PD[[#This Row],[Cant.]]*BD.PD[[#This Row],[ Tasa ]]*BD.PD[[#This Row],[ Precio Und.]]</f>
        <v>0</v>
      </c>
      <c r="N279" s="248">
        <v>0</v>
      </c>
      <c r="O279" s="247">
        <f>IF(BD.PD[[#This Row],[Liquid. '[%']]]&lt;&gt;0,(BD.PD[[#This Row],[Valor Neto '[DOP']]]*BD.PD[[#This Row],[Liquid. '[%']]])+BD.PD[[#This Row],[Valor Neto '[DOP']]],BD.PD[[#This Row],[Valor Neto '[DOP']]])</f>
        <v>0</v>
      </c>
      <c r="P279" s="257">
        <f>BD.PD[[#This Row],[Ppto. Orden Interna '[DOP']]]/HLOOKUP("USD",$J$1:$K$2,2,FALSE)</f>
        <v>0</v>
      </c>
      <c r="Q279" s="250"/>
      <c r="R279" s="258"/>
      <c r="S279" s="251"/>
      <c r="T279" s="252"/>
      <c r="U279" s="259">
        <f>BD.PD[[#This Row],[Av.P1 '[%']]]*BD.PD[[#This Row],[Ppto. Orden Interna '[DOP']]]</f>
        <v>0</v>
      </c>
      <c r="V279" s="254"/>
      <c r="W279" s="255"/>
      <c r="X279" s="259">
        <f>BD.PD[[#This Row],[Av.P2 '[%']]]*BD.PD[[#This Row],[Ppto. Orden Interna '[DOP']]]</f>
        <v>0</v>
      </c>
      <c r="Y279" s="254"/>
      <c r="Z279" s="255"/>
      <c r="AA279" s="259">
        <f>BD.PD[[#This Row],[Av.P3 '[%']]]*BD.PD[[#This Row],[Ppto. Orden Interna '[DOP']]]</f>
        <v>0</v>
      </c>
      <c r="AB279" s="254"/>
      <c r="AC279" s="255"/>
      <c r="AD279" s="259">
        <f>BD.PD[[#This Row],[Av.P4 '[%']]]*BD.PD[[#This Row],[Ppto. Orden Interna '[DOP']]]</f>
        <v>0</v>
      </c>
      <c r="AE279" s="254"/>
      <c r="AF279" s="255"/>
      <c r="AG279" s="259">
        <f>BD.PD[[#This Row],[Av.P5 '[%']]]*BD.PD[[#This Row],[Ppto. Orden Interna '[DOP']]]</f>
        <v>0</v>
      </c>
      <c r="AH279" s="256">
        <f>BD.PD[[#This Row],[Pago 5]]+BD.PD[[#This Row],[Pago 4]]+BD.PD[[#This Row],[Pago 3]]+BD.PD[[#This Row],[Pago 2]]+BD.PD[[#This Row],[Pago 1]]</f>
        <v>0</v>
      </c>
      <c r="AI279" s="318"/>
    </row>
    <row r="280" spans="1:35" ht="15" customHeight="1" x14ac:dyDescent="0.3">
      <c r="A280" s="181">
        <v>1.04</v>
      </c>
      <c r="B280" s="239" t="s">
        <v>306</v>
      </c>
      <c r="C280" s="240" t="str">
        <f>VLOOKUP(BD.PD[[#This Row],[Pos]],PPto[],3,FALSE)</f>
        <v>1.04 Diseño sanitario</v>
      </c>
      <c r="D280" s="241" t="s">
        <v>306</v>
      </c>
      <c r="E280" s="242">
        <f>IF(BD.PD[[#This Row],[.]]="*",VLOOKUP(BD.PD[[#This Row],[Pos]],Presupuesto!A:H,7,FALSE),"")</f>
        <v>0</v>
      </c>
      <c r="F280" s="243"/>
      <c r="G280" s="243"/>
      <c r="H280" s="243"/>
      <c r="I280" s="244">
        <v>1</v>
      </c>
      <c r="J280" s="241" t="s">
        <v>188</v>
      </c>
      <c r="K280" s="245">
        <f>IF(BD.PD[[#This Row],[Mon]]="DOP",1,HLOOKUP(BD.PD[[#This Row],[Mon]],$J$1:$K$2,2,FALSE))</f>
        <v>60.7</v>
      </c>
      <c r="L280" s="246">
        <v>0</v>
      </c>
      <c r="M280" s="247">
        <f>BD.PD[[#This Row],[Cant.]]*BD.PD[[#This Row],[ Tasa ]]*BD.PD[[#This Row],[ Precio Und.]]</f>
        <v>0</v>
      </c>
      <c r="N280" s="248">
        <v>0</v>
      </c>
      <c r="O280" s="247">
        <f>IF(BD.PD[[#This Row],[Liquid. '[%']]]&lt;&gt;0,(BD.PD[[#This Row],[Valor Neto '[DOP']]]*BD.PD[[#This Row],[Liquid. '[%']]])+BD.PD[[#This Row],[Valor Neto '[DOP']]],BD.PD[[#This Row],[Valor Neto '[DOP']]])</f>
        <v>0</v>
      </c>
      <c r="P280" s="257">
        <f>BD.PD[[#This Row],[Ppto. Orden Interna '[DOP']]]/HLOOKUP("USD",$J$1:$K$2,2,FALSE)</f>
        <v>0</v>
      </c>
      <c r="Q280" s="250"/>
      <c r="R280" s="258"/>
      <c r="S280" s="251"/>
      <c r="T280" s="252"/>
      <c r="U280" s="259">
        <f>BD.PD[[#This Row],[Av.P1 '[%']]]*BD.PD[[#This Row],[Ppto. Orden Interna '[DOP']]]</f>
        <v>0</v>
      </c>
      <c r="V280" s="254"/>
      <c r="W280" s="255"/>
      <c r="X280" s="259">
        <f>BD.PD[[#This Row],[Av.P2 '[%']]]*BD.PD[[#This Row],[Ppto. Orden Interna '[DOP']]]</f>
        <v>0</v>
      </c>
      <c r="Y280" s="254"/>
      <c r="Z280" s="255"/>
      <c r="AA280" s="259">
        <f>BD.PD[[#This Row],[Av.P3 '[%']]]*BD.PD[[#This Row],[Ppto. Orden Interna '[DOP']]]</f>
        <v>0</v>
      </c>
      <c r="AB280" s="254"/>
      <c r="AC280" s="255"/>
      <c r="AD280" s="259">
        <f>BD.PD[[#This Row],[Av.P4 '[%']]]*BD.PD[[#This Row],[Ppto. Orden Interna '[DOP']]]</f>
        <v>0</v>
      </c>
      <c r="AE280" s="254"/>
      <c r="AF280" s="255"/>
      <c r="AG280" s="259">
        <f>BD.PD[[#This Row],[Av.P5 '[%']]]*BD.PD[[#This Row],[Ppto. Orden Interna '[DOP']]]</f>
        <v>0</v>
      </c>
      <c r="AH280" s="256">
        <f>BD.PD[[#This Row],[Pago 5]]+BD.PD[[#This Row],[Pago 4]]+BD.PD[[#This Row],[Pago 3]]+BD.PD[[#This Row],[Pago 2]]+BD.PD[[#This Row],[Pago 1]]</f>
        <v>0</v>
      </c>
      <c r="AI280" s="318"/>
    </row>
    <row r="281" spans="1:35" ht="15" customHeight="1" x14ac:dyDescent="0.3">
      <c r="A281" s="181">
        <v>1.05</v>
      </c>
      <c r="B281" s="239" t="s">
        <v>306</v>
      </c>
      <c r="C281" s="240" t="str">
        <f>VLOOKUP(BD.PD[[#This Row],[Pos]],PPto[],3,FALSE)</f>
        <v>1.05 Estudio Geotécnico</v>
      </c>
      <c r="D281" s="241" t="s">
        <v>306</v>
      </c>
      <c r="E281" s="242">
        <f>IF(BD.PD[[#This Row],[.]]="*",VLOOKUP(BD.PD[[#This Row],[Pos]],Presupuesto!A:H,7,FALSE),"")</f>
        <v>0</v>
      </c>
      <c r="F281" s="243"/>
      <c r="G281" s="243"/>
      <c r="H281" s="243"/>
      <c r="I281" s="244">
        <v>1</v>
      </c>
      <c r="J281" s="241" t="s">
        <v>188</v>
      </c>
      <c r="K281" s="245">
        <f>IF(BD.PD[[#This Row],[Mon]]="DOP",1,HLOOKUP(BD.PD[[#This Row],[Mon]],$J$1:$K$2,2,FALSE))</f>
        <v>60.7</v>
      </c>
      <c r="L281" s="246">
        <v>0</v>
      </c>
      <c r="M281" s="247">
        <f>BD.PD[[#This Row],[Cant.]]*BD.PD[[#This Row],[ Tasa ]]*BD.PD[[#This Row],[ Precio Und.]]</f>
        <v>0</v>
      </c>
      <c r="N281" s="248">
        <v>0</v>
      </c>
      <c r="O281" s="247">
        <f>IF(BD.PD[[#This Row],[Liquid. '[%']]]&lt;&gt;0,(BD.PD[[#This Row],[Valor Neto '[DOP']]]*BD.PD[[#This Row],[Liquid. '[%']]])+BD.PD[[#This Row],[Valor Neto '[DOP']]],BD.PD[[#This Row],[Valor Neto '[DOP']]])</f>
        <v>0</v>
      </c>
      <c r="P281" s="257">
        <f>BD.PD[[#This Row],[Ppto. Orden Interna '[DOP']]]/HLOOKUP("USD",$J$1:$K$2,2,FALSE)</f>
        <v>0</v>
      </c>
      <c r="Q281" s="250"/>
      <c r="R281" s="258"/>
      <c r="S281" s="251"/>
      <c r="T281" s="252"/>
      <c r="U281" s="259">
        <f>BD.PD[[#This Row],[Av.P1 '[%']]]*BD.PD[[#This Row],[Ppto. Orden Interna '[DOP']]]</f>
        <v>0</v>
      </c>
      <c r="V281" s="254"/>
      <c r="W281" s="255"/>
      <c r="X281" s="259">
        <f>BD.PD[[#This Row],[Av.P2 '[%']]]*BD.PD[[#This Row],[Ppto. Orden Interna '[DOP']]]</f>
        <v>0</v>
      </c>
      <c r="Y281" s="254"/>
      <c r="Z281" s="255"/>
      <c r="AA281" s="259">
        <f>BD.PD[[#This Row],[Av.P3 '[%']]]*BD.PD[[#This Row],[Ppto. Orden Interna '[DOP']]]</f>
        <v>0</v>
      </c>
      <c r="AB281" s="254"/>
      <c r="AC281" s="255"/>
      <c r="AD281" s="259">
        <f>BD.PD[[#This Row],[Av.P4 '[%']]]*BD.PD[[#This Row],[Ppto. Orden Interna '[DOP']]]</f>
        <v>0</v>
      </c>
      <c r="AE281" s="254"/>
      <c r="AF281" s="255"/>
      <c r="AG281" s="259">
        <f>BD.PD[[#This Row],[Av.P5 '[%']]]*BD.PD[[#This Row],[Ppto. Orden Interna '[DOP']]]</f>
        <v>0</v>
      </c>
      <c r="AH281" s="256">
        <f>BD.PD[[#This Row],[Pago 5]]+BD.PD[[#This Row],[Pago 4]]+BD.PD[[#This Row],[Pago 3]]+BD.PD[[#This Row],[Pago 2]]+BD.PD[[#This Row],[Pago 1]]</f>
        <v>0</v>
      </c>
      <c r="AI281" s="318"/>
    </row>
    <row r="282" spans="1:35" ht="15" customHeight="1" x14ac:dyDescent="0.3">
      <c r="A282" s="181">
        <v>1.06</v>
      </c>
      <c r="B282" s="239" t="s">
        <v>306</v>
      </c>
      <c r="C282" s="240" t="str">
        <f>VLOOKUP(BD.PD[[#This Row],[Pos]],PPto[],3,FALSE)</f>
        <v>1.06 Levantamiento topográfico</v>
      </c>
      <c r="D282" s="241" t="s">
        <v>306</v>
      </c>
      <c r="E282" s="242">
        <f>IF(BD.PD[[#This Row],[.]]="*",VLOOKUP(BD.PD[[#This Row],[Pos]],Presupuesto!A:H,7,FALSE),"")</f>
        <v>0</v>
      </c>
      <c r="F282" s="243"/>
      <c r="G282" s="243"/>
      <c r="H282" s="243"/>
      <c r="I282" s="244">
        <v>1</v>
      </c>
      <c r="J282" s="241" t="s">
        <v>188</v>
      </c>
      <c r="K282" s="245">
        <f>IF(BD.PD[[#This Row],[Mon]]="DOP",1,HLOOKUP(BD.PD[[#This Row],[Mon]],$J$1:$K$2,2,FALSE))</f>
        <v>60.7</v>
      </c>
      <c r="L282" s="246">
        <v>0</v>
      </c>
      <c r="M282" s="247">
        <f>BD.PD[[#This Row],[Cant.]]*BD.PD[[#This Row],[ Tasa ]]*BD.PD[[#This Row],[ Precio Und.]]</f>
        <v>0</v>
      </c>
      <c r="N282" s="248">
        <v>0</v>
      </c>
      <c r="O282" s="247">
        <f>IF(BD.PD[[#This Row],[Liquid. '[%']]]&lt;&gt;0,(BD.PD[[#This Row],[Valor Neto '[DOP']]]*BD.PD[[#This Row],[Liquid. '[%']]])+BD.PD[[#This Row],[Valor Neto '[DOP']]],BD.PD[[#This Row],[Valor Neto '[DOP']]])</f>
        <v>0</v>
      </c>
      <c r="P282" s="257">
        <f>BD.PD[[#This Row],[Ppto. Orden Interna '[DOP']]]/HLOOKUP("USD",$J$1:$K$2,2,FALSE)</f>
        <v>0</v>
      </c>
      <c r="Q282" s="250"/>
      <c r="R282" s="258"/>
      <c r="S282" s="251"/>
      <c r="T282" s="252"/>
      <c r="U282" s="259">
        <f>BD.PD[[#This Row],[Av.P1 '[%']]]*BD.PD[[#This Row],[Ppto. Orden Interna '[DOP']]]</f>
        <v>0</v>
      </c>
      <c r="V282" s="254"/>
      <c r="W282" s="255"/>
      <c r="X282" s="259">
        <f>BD.PD[[#This Row],[Av.P2 '[%']]]*BD.PD[[#This Row],[Ppto. Orden Interna '[DOP']]]</f>
        <v>0</v>
      </c>
      <c r="Y282" s="254"/>
      <c r="Z282" s="255"/>
      <c r="AA282" s="259">
        <f>BD.PD[[#This Row],[Av.P3 '[%']]]*BD.PD[[#This Row],[Ppto. Orden Interna '[DOP']]]</f>
        <v>0</v>
      </c>
      <c r="AB282" s="254"/>
      <c r="AC282" s="255"/>
      <c r="AD282" s="259">
        <f>BD.PD[[#This Row],[Av.P4 '[%']]]*BD.PD[[#This Row],[Ppto. Orden Interna '[DOP']]]</f>
        <v>0</v>
      </c>
      <c r="AE282" s="254"/>
      <c r="AF282" s="255"/>
      <c r="AG282" s="259">
        <f>BD.PD[[#This Row],[Av.P5 '[%']]]*BD.PD[[#This Row],[Ppto. Orden Interna '[DOP']]]</f>
        <v>0</v>
      </c>
      <c r="AH282" s="256">
        <f>BD.PD[[#This Row],[Pago 5]]+BD.PD[[#This Row],[Pago 4]]+BD.PD[[#This Row],[Pago 3]]+BD.PD[[#This Row],[Pago 2]]+BD.PD[[#This Row],[Pago 1]]</f>
        <v>0</v>
      </c>
      <c r="AI282" s="318"/>
    </row>
    <row r="283" spans="1:35" ht="15" customHeight="1" x14ac:dyDescent="0.3">
      <c r="A283" s="181">
        <v>1.07</v>
      </c>
      <c r="B283" s="239" t="s">
        <v>306</v>
      </c>
      <c r="C283" s="240" t="str">
        <f>VLOOKUP(BD.PD[[#This Row],[Pos]],PPto[],3,FALSE)</f>
        <v>1.07 Permisos</v>
      </c>
      <c r="D283" s="241" t="s">
        <v>306</v>
      </c>
      <c r="E283" s="242">
        <f>IF(BD.PD[[#This Row],[.]]="*",VLOOKUP(BD.PD[[#This Row],[Pos]],Presupuesto!A:H,7,FALSE),"")</f>
        <v>0</v>
      </c>
      <c r="F283" s="243"/>
      <c r="G283" s="243"/>
      <c r="H283" s="243"/>
      <c r="I283" s="244">
        <v>1</v>
      </c>
      <c r="J283" s="241" t="s">
        <v>188</v>
      </c>
      <c r="K283" s="245">
        <f>IF(BD.PD[[#This Row],[Mon]]="DOP",1,HLOOKUP(BD.PD[[#This Row],[Mon]],$J$1:$K$2,2,FALSE))</f>
        <v>60.7</v>
      </c>
      <c r="L283" s="246">
        <v>0</v>
      </c>
      <c r="M283" s="247">
        <f>BD.PD[[#This Row],[Cant.]]*BD.PD[[#This Row],[ Tasa ]]*BD.PD[[#This Row],[ Precio Und.]]</f>
        <v>0</v>
      </c>
      <c r="N283" s="248">
        <v>0</v>
      </c>
      <c r="O283" s="247">
        <f>IF(BD.PD[[#This Row],[Liquid. '[%']]]&lt;&gt;0,(BD.PD[[#This Row],[Valor Neto '[DOP']]]*BD.PD[[#This Row],[Liquid. '[%']]])+BD.PD[[#This Row],[Valor Neto '[DOP']]],BD.PD[[#This Row],[Valor Neto '[DOP']]])</f>
        <v>0</v>
      </c>
      <c r="P283" s="257">
        <f>BD.PD[[#This Row],[Ppto. Orden Interna '[DOP']]]/HLOOKUP("USD",$J$1:$K$2,2,FALSE)</f>
        <v>0</v>
      </c>
      <c r="Q283" s="250"/>
      <c r="R283" s="258"/>
      <c r="S283" s="251"/>
      <c r="T283" s="252"/>
      <c r="U283" s="259">
        <f>BD.PD[[#This Row],[Av.P1 '[%']]]*BD.PD[[#This Row],[Ppto. Orden Interna '[DOP']]]</f>
        <v>0</v>
      </c>
      <c r="V283" s="254"/>
      <c r="W283" s="255"/>
      <c r="X283" s="259">
        <f>BD.PD[[#This Row],[Av.P2 '[%']]]*BD.PD[[#This Row],[Ppto. Orden Interna '[DOP']]]</f>
        <v>0</v>
      </c>
      <c r="Y283" s="254"/>
      <c r="Z283" s="255"/>
      <c r="AA283" s="259">
        <f>BD.PD[[#This Row],[Av.P3 '[%']]]*BD.PD[[#This Row],[Ppto. Orden Interna '[DOP']]]</f>
        <v>0</v>
      </c>
      <c r="AB283" s="254"/>
      <c r="AC283" s="255"/>
      <c r="AD283" s="259">
        <f>BD.PD[[#This Row],[Av.P4 '[%']]]*BD.PD[[#This Row],[Ppto. Orden Interna '[DOP']]]</f>
        <v>0</v>
      </c>
      <c r="AE283" s="254"/>
      <c r="AF283" s="255"/>
      <c r="AG283" s="259">
        <f>BD.PD[[#This Row],[Av.P5 '[%']]]*BD.PD[[#This Row],[Ppto. Orden Interna '[DOP']]]</f>
        <v>0</v>
      </c>
      <c r="AH283" s="256">
        <f>BD.PD[[#This Row],[Pago 5]]+BD.PD[[#This Row],[Pago 4]]+BD.PD[[#This Row],[Pago 3]]+BD.PD[[#This Row],[Pago 2]]+BD.PD[[#This Row],[Pago 1]]</f>
        <v>0</v>
      </c>
      <c r="AI283" s="318"/>
    </row>
    <row r="284" spans="1:35" ht="15" customHeight="1" x14ac:dyDescent="0.3">
      <c r="A284" s="181">
        <v>1.08</v>
      </c>
      <c r="B284" s="239" t="s">
        <v>306</v>
      </c>
      <c r="C284" s="240" t="str">
        <f>VLOOKUP(BD.PD[[#This Row],[Pos]],PPto[],3,FALSE)</f>
        <v>1.08 Diseño sistema contra incendios</v>
      </c>
      <c r="D284" s="241" t="s">
        <v>306</v>
      </c>
      <c r="E284" s="242">
        <f>IF(BD.PD[[#This Row],[.]]="*",VLOOKUP(BD.PD[[#This Row],[Pos]],Presupuesto!A:H,7,FALSE),"")</f>
        <v>0</v>
      </c>
      <c r="F284" s="243"/>
      <c r="G284" s="243"/>
      <c r="H284" s="243"/>
      <c r="I284" s="244">
        <v>1</v>
      </c>
      <c r="J284" s="241" t="s">
        <v>188</v>
      </c>
      <c r="K284" s="245">
        <f>IF(BD.PD[[#This Row],[Mon]]="DOP",1,HLOOKUP(BD.PD[[#This Row],[Mon]],$J$1:$K$2,2,FALSE))</f>
        <v>60.7</v>
      </c>
      <c r="L284" s="246">
        <v>0</v>
      </c>
      <c r="M284" s="247">
        <f>BD.PD[[#This Row],[Cant.]]*BD.PD[[#This Row],[ Tasa ]]*BD.PD[[#This Row],[ Precio Und.]]</f>
        <v>0</v>
      </c>
      <c r="N284" s="248">
        <v>0</v>
      </c>
      <c r="O284" s="247">
        <f>IF(BD.PD[[#This Row],[Liquid. '[%']]]&lt;&gt;0,(BD.PD[[#This Row],[Valor Neto '[DOP']]]*BD.PD[[#This Row],[Liquid. '[%']]])+BD.PD[[#This Row],[Valor Neto '[DOP']]],BD.PD[[#This Row],[Valor Neto '[DOP']]])</f>
        <v>0</v>
      </c>
      <c r="P284" s="257">
        <f>BD.PD[[#This Row],[Ppto. Orden Interna '[DOP']]]/HLOOKUP("USD",$J$1:$K$2,2,FALSE)</f>
        <v>0</v>
      </c>
      <c r="Q284" s="250"/>
      <c r="R284" s="258"/>
      <c r="S284" s="251"/>
      <c r="T284" s="252"/>
      <c r="U284" s="259">
        <f>BD.PD[[#This Row],[Av.P1 '[%']]]*BD.PD[[#This Row],[Ppto. Orden Interna '[DOP']]]</f>
        <v>0</v>
      </c>
      <c r="V284" s="254"/>
      <c r="W284" s="255"/>
      <c r="X284" s="259">
        <f>BD.PD[[#This Row],[Av.P2 '[%']]]*BD.PD[[#This Row],[Ppto. Orden Interna '[DOP']]]</f>
        <v>0</v>
      </c>
      <c r="Y284" s="254"/>
      <c r="Z284" s="255"/>
      <c r="AA284" s="259">
        <f>BD.PD[[#This Row],[Av.P3 '[%']]]*BD.PD[[#This Row],[Ppto. Orden Interna '[DOP']]]</f>
        <v>0</v>
      </c>
      <c r="AB284" s="254"/>
      <c r="AC284" s="255"/>
      <c r="AD284" s="259">
        <f>BD.PD[[#This Row],[Av.P4 '[%']]]*BD.PD[[#This Row],[Ppto. Orden Interna '[DOP']]]</f>
        <v>0</v>
      </c>
      <c r="AE284" s="254"/>
      <c r="AF284" s="255"/>
      <c r="AG284" s="259">
        <f>BD.PD[[#This Row],[Av.P5 '[%']]]*BD.PD[[#This Row],[Ppto. Orden Interna '[DOP']]]</f>
        <v>0</v>
      </c>
      <c r="AH284" s="256">
        <f>BD.PD[[#This Row],[Pago 5]]+BD.PD[[#This Row],[Pago 4]]+BD.PD[[#This Row],[Pago 3]]+BD.PD[[#This Row],[Pago 2]]+BD.PD[[#This Row],[Pago 1]]</f>
        <v>0</v>
      </c>
      <c r="AI284" s="318"/>
    </row>
    <row r="285" spans="1:35" ht="15" customHeight="1" x14ac:dyDescent="0.3">
      <c r="A285" s="181">
        <v>1.0900000000000001</v>
      </c>
      <c r="B285" s="239" t="s">
        <v>306</v>
      </c>
      <c r="C285" s="240" t="str">
        <f>VLOOKUP(BD.PD[[#This Row],[Pos]],PPto[],3,FALSE)</f>
        <v>1.09 Diseño sistema gas</v>
      </c>
      <c r="D285" s="241" t="s">
        <v>306</v>
      </c>
      <c r="E285" s="242">
        <f>IF(BD.PD[[#This Row],[.]]="*",VLOOKUP(BD.PD[[#This Row],[Pos]],Presupuesto!A:H,7,FALSE),"")</f>
        <v>0</v>
      </c>
      <c r="F285" s="243"/>
      <c r="G285" s="243"/>
      <c r="H285" s="243"/>
      <c r="I285" s="244">
        <v>1</v>
      </c>
      <c r="J285" s="241" t="s">
        <v>188</v>
      </c>
      <c r="K285" s="245">
        <f>IF(BD.PD[[#This Row],[Mon]]="DOP",1,HLOOKUP(BD.PD[[#This Row],[Mon]],$J$1:$K$2,2,FALSE))</f>
        <v>60.7</v>
      </c>
      <c r="L285" s="246">
        <v>0</v>
      </c>
      <c r="M285" s="247">
        <f>BD.PD[[#This Row],[Cant.]]*BD.PD[[#This Row],[ Tasa ]]*BD.PD[[#This Row],[ Precio Und.]]</f>
        <v>0</v>
      </c>
      <c r="N285" s="248">
        <v>0</v>
      </c>
      <c r="O285" s="247">
        <f>IF(BD.PD[[#This Row],[Liquid. '[%']]]&lt;&gt;0,(BD.PD[[#This Row],[Valor Neto '[DOP']]]*BD.PD[[#This Row],[Liquid. '[%']]])+BD.PD[[#This Row],[Valor Neto '[DOP']]],BD.PD[[#This Row],[Valor Neto '[DOP']]])</f>
        <v>0</v>
      </c>
      <c r="P285" s="257">
        <f>BD.PD[[#This Row],[Ppto. Orden Interna '[DOP']]]/HLOOKUP("USD",$J$1:$K$2,2,FALSE)</f>
        <v>0</v>
      </c>
      <c r="Q285" s="250"/>
      <c r="R285" s="258"/>
      <c r="S285" s="251"/>
      <c r="T285" s="252"/>
      <c r="U285" s="259">
        <f>BD.PD[[#This Row],[Av.P1 '[%']]]*BD.PD[[#This Row],[Ppto. Orden Interna '[DOP']]]</f>
        <v>0</v>
      </c>
      <c r="V285" s="254"/>
      <c r="W285" s="255"/>
      <c r="X285" s="259">
        <f>BD.PD[[#This Row],[Av.P2 '[%']]]*BD.PD[[#This Row],[Ppto. Orden Interna '[DOP']]]</f>
        <v>0</v>
      </c>
      <c r="Y285" s="254"/>
      <c r="Z285" s="255"/>
      <c r="AA285" s="259">
        <f>BD.PD[[#This Row],[Av.P3 '[%']]]*BD.PD[[#This Row],[Ppto. Orden Interna '[DOP']]]</f>
        <v>0</v>
      </c>
      <c r="AB285" s="254"/>
      <c r="AC285" s="255"/>
      <c r="AD285" s="259">
        <f>BD.PD[[#This Row],[Av.P4 '[%']]]*BD.PD[[#This Row],[Ppto. Orden Interna '[DOP']]]</f>
        <v>0</v>
      </c>
      <c r="AE285" s="254"/>
      <c r="AF285" s="255"/>
      <c r="AG285" s="259">
        <f>BD.PD[[#This Row],[Av.P5 '[%']]]*BD.PD[[#This Row],[Ppto. Orden Interna '[DOP']]]</f>
        <v>0</v>
      </c>
      <c r="AH285" s="256">
        <f>BD.PD[[#This Row],[Pago 5]]+BD.PD[[#This Row],[Pago 4]]+BD.PD[[#This Row],[Pago 3]]+BD.PD[[#This Row],[Pago 2]]+BD.PD[[#This Row],[Pago 1]]</f>
        <v>0</v>
      </c>
      <c r="AI285" s="318"/>
    </row>
    <row r="286" spans="1:35" ht="15" customHeight="1" x14ac:dyDescent="0.3">
      <c r="A286" s="181">
        <v>2.0099999999999998</v>
      </c>
      <c r="B286" s="239" t="s">
        <v>306</v>
      </c>
      <c r="C286" s="240" t="str">
        <f>VLOOKUP(BD.PD[[#This Row],[Pos]],PPto[],3,FALSE)</f>
        <v xml:space="preserve">2.01 Edificación - Obra Civil </v>
      </c>
      <c r="D286" s="241" t="s">
        <v>306</v>
      </c>
      <c r="E286" s="242">
        <f>IF(BD.PD[[#This Row],[.]]="*",VLOOKUP(BD.PD[[#This Row],[Pos]],Presupuesto!A:H,7,FALSE),"")</f>
        <v>8353.66</v>
      </c>
      <c r="F286" s="243"/>
      <c r="G286" s="243"/>
      <c r="H286" s="243"/>
      <c r="I286" s="244">
        <v>1</v>
      </c>
      <c r="J286" s="241" t="s">
        <v>188</v>
      </c>
      <c r="K286" s="245">
        <f>IF(BD.PD[[#This Row],[Mon]]="DOP",1,HLOOKUP(BD.PD[[#This Row],[Mon]],$J$1:$K$2,2,FALSE))</f>
        <v>60.7</v>
      </c>
      <c r="L286" s="246">
        <v>0</v>
      </c>
      <c r="M286" s="247">
        <f>BD.PD[[#This Row],[Cant.]]*BD.PD[[#This Row],[ Tasa ]]*BD.PD[[#This Row],[ Precio Und.]]</f>
        <v>0</v>
      </c>
      <c r="N286" s="248">
        <v>0</v>
      </c>
      <c r="O286" s="247">
        <f>IF(BD.PD[[#This Row],[Liquid. '[%']]]&lt;&gt;0,(BD.PD[[#This Row],[Valor Neto '[DOP']]]*BD.PD[[#This Row],[Liquid. '[%']]])+BD.PD[[#This Row],[Valor Neto '[DOP']]],BD.PD[[#This Row],[Valor Neto '[DOP']]])</f>
        <v>0</v>
      </c>
      <c r="P286" s="257">
        <f>BD.PD[[#This Row],[Ppto. Orden Interna '[DOP']]]/HLOOKUP("USD",$J$1:$K$2,2,FALSE)</f>
        <v>0</v>
      </c>
      <c r="Q286" s="250"/>
      <c r="R286" s="258"/>
      <c r="S286" s="251"/>
      <c r="T286" s="252"/>
      <c r="U286" s="259">
        <f>BD.PD[[#This Row],[Av.P1 '[%']]]*BD.PD[[#This Row],[Ppto. Orden Interna '[DOP']]]</f>
        <v>0</v>
      </c>
      <c r="V286" s="254"/>
      <c r="W286" s="255"/>
      <c r="X286" s="259">
        <f>BD.PD[[#This Row],[Av.P2 '[%']]]*BD.PD[[#This Row],[Ppto. Orden Interna '[DOP']]]</f>
        <v>0</v>
      </c>
      <c r="Y286" s="254"/>
      <c r="Z286" s="255"/>
      <c r="AA286" s="259">
        <f>BD.PD[[#This Row],[Av.P3 '[%']]]*BD.PD[[#This Row],[Ppto. Orden Interna '[DOP']]]</f>
        <v>0</v>
      </c>
      <c r="AB286" s="254"/>
      <c r="AC286" s="255"/>
      <c r="AD286" s="259">
        <f>BD.PD[[#This Row],[Av.P4 '[%']]]*BD.PD[[#This Row],[Ppto. Orden Interna '[DOP']]]</f>
        <v>0</v>
      </c>
      <c r="AE286" s="254"/>
      <c r="AF286" s="255"/>
      <c r="AG286" s="259">
        <f>BD.PD[[#This Row],[Av.P5 '[%']]]*BD.PD[[#This Row],[Ppto. Orden Interna '[DOP']]]</f>
        <v>0</v>
      </c>
      <c r="AH286" s="256">
        <f>BD.PD[[#This Row],[Pago 5]]+BD.PD[[#This Row],[Pago 4]]+BD.PD[[#This Row],[Pago 3]]+BD.PD[[#This Row],[Pago 2]]+BD.PD[[#This Row],[Pago 1]]</f>
        <v>0</v>
      </c>
      <c r="AI286" s="318"/>
    </row>
    <row r="287" spans="1:35" ht="15" customHeight="1" x14ac:dyDescent="0.3">
      <c r="A287" s="181">
        <v>2.02</v>
      </c>
      <c r="B287" s="239" t="s">
        <v>306</v>
      </c>
      <c r="C287" s="240" t="str">
        <f>VLOOKUP(BD.PD[[#This Row],[Pos]],PPto[],3,FALSE)</f>
        <v>2.02 Edificación - Estructura Metálica</v>
      </c>
      <c r="D287" s="241" t="s">
        <v>306</v>
      </c>
      <c r="E287" s="242">
        <f>IF(BD.PD[[#This Row],[.]]="*",VLOOKUP(BD.PD[[#This Row],[Pos]],Presupuesto!A:H,7,FALSE),"")</f>
        <v>0</v>
      </c>
      <c r="F287" s="243"/>
      <c r="G287" s="243"/>
      <c r="H287" s="243"/>
      <c r="I287" s="244">
        <v>1</v>
      </c>
      <c r="J287" s="241" t="s">
        <v>188</v>
      </c>
      <c r="K287" s="245">
        <f>IF(BD.PD[[#This Row],[Mon]]="DOP",1,HLOOKUP(BD.PD[[#This Row],[Mon]],$J$1:$K$2,2,FALSE))</f>
        <v>60.7</v>
      </c>
      <c r="L287" s="246">
        <v>0</v>
      </c>
      <c r="M287" s="247">
        <f>BD.PD[[#This Row],[Cant.]]*BD.PD[[#This Row],[ Tasa ]]*BD.PD[[#This Row],[ Precio Und.]]</f>
        <v>0</v>
      </c>
      <c r="N287" s="248">
        <v>0</v>
      </c>
      <c r="O287" s="247">
        <f>IF(BD.PD[[#This Row],[Liquid. '[%']]]&lt;&gt;0,(BD.PD[[#This Row],[Valor Neto '[DOP']]]*BD.PD[[#This Row],[Liquid. '[%']]])+BD.PD[[#This Row],[Valor Neto '[DOP']]],BD.PD[[#This Row],[Valor Neto '[DOP']]])</f>
        <v>0</v>
      </c>
      <c r="P287" s="257">
        <f>BD.PD[[#This Row],[Ppto. Orden Interna '[DOP']]]/HLOOKUP("USD",$J$1:$K$2,2,FALSE)</f>
        <v>0</v>
      </c>
      <c r="Q287" s="250"/>
      <c r="R287" s="258"/>
      <c r="S287" s="251"/>
      <c r="T287" s="252"/>
      <c r="U287" s="259">
        <f>BD.PD[[#This Row],[Av.P1 '[%']]]*BD.PD[[#This Row],[Ppto. Orden Interna '[DOP']]]</f>
        <v>0</v>
      </c>
      <c r="V287" s="254"/>
      <c r="W287" s="255"/>
      <c r="X287" s="259">
        <f>BD.PD[[#This Row],[Av.P2 '[%']]]*BD.PD[[#This Row],[Ppto. Orden Interna '[DOP']]]</f>
        <v>0</v>
      </c>
      <c r="Y287" s="254"/>
      <c r="Z287" s="255"/>
      <c r="AA287" s="259">
        <f>BD.PD[[#This Row],[Av.P3 '[%']]]*BD.PD[[#This Row],[Ppto. Orden Interna '[DOP']]]</f>
        <v>0</v>
      </c>
      <c r="AB287" s="254"/>
      <c r="AC287" s="255"/>
      <c r="AD287" s="259">
        <f>BD.PD[[#This Row],[Av.P4 '[%']]]*BD.PD[[#This Row],[Ppto. Orden Interna '[DOP']]]</f>
        <v>0</v>
      </c>
      <c r="AE287" s="254"/>
      <c r="AF287" s="255"/>
      <c r="AG287" s="259">
        <f>BD.PD[[#This Row],[Av.P5 '[%']]]*BD.PD[[#This Row],[Ppto. Orden Interna '[DOP']]]</f>
        <v>0</v>
      </c>
      <c r="AH287" s="256">
        <f>BD.PD[[#This Row],[Pago 5]]+BD.PD[[#This Row],[Pago 4]]+BD.PD[[#This Row],[Pago 3]]+BD.PD[[#This Row],[Pago 2]]+BD.PD[[#This Row],[Pago 1]]</f>
        <v>0</v>
      </c>
      <c r="AI287" s="318"/>
    </row>
    <row r="288" spans="1:35" ht="15" customHeight="1" x14ac:dyDescent="0.3">
      <c r="A288" s="181">
        <v>2.0299999999999998</v>
      </c>
      <c r="B288" s="239" t="s">
        <v>306</v>
      </c>
      <c r="C288" s="240" t="str">
        <f>VLOOKUP(BD.PD[[#This Row],[Pos]],PPto[],3,FALSE)</f>
        <v>2.03 Edificación - Techo S.S. y Cerramientos Multipanel</v>
      </c>
      <c r="D288" s="241" t="s">
        <v>306</v>
      </c>
      <c r="E288" s="242">
        <f>IF(BD.PD[[#This Row],[.]]="*",VLOOKUP(BD.PD[[#This Row],[Pos]],Presupuesto!A:H,7,FALSE),"")</f>
        <v>0</v>
      </c>
      <c r="F288" s="243"/>
      <c r="G288" s="243"/>
      <c r="H288" s="243"/>
      <c r="I288" s="244">
        <v>1</v>
      </c>
      <c r="J288" s="241" t="s">
        <v>188</v>
      </c>
      <c r="K288" s="245">
        <f>IF(BD.PD[[#This Row],[Mon]]="DOP",1,HLOOKUP(BD.PD[[#This Row],[Mon]],$J$1:$K$2,2,FALSE))</f>
        <v>60.7</v>
      </c>
      <c r="L288" s="246">
        <v>0</v>
      </c>
      <c r="M288" s="247">
        <f>BD.PD[[#This Row],[Cant.]]*BD.PD[[#This Row],[ Tasa ]]*BD.PD[[#This Row],[ Precio Und.]]</f>
        <v>0</v>
      </c>
      <c r="N288" s="248">
        <v>0</v>
      </c>
      <c r="O288" s="247">
        <f>IF(BD.PD[[#This Row],[Liquid. '[%']]]&lt;&gt;0,(BD.PD[[#This Row],[Valor Neto '[DOP']]]*BD.PD[[#This Row],[Liquid. '[%']]])+BD.PD[[#This Row],[Valor Neto '[DOP']]],BD.PD[[#This Row],[Valor Neto '[DOP']]])</f>
        <v>0</v>
      </c>
      <c r="P288" s="257">
        <f>BD.PD[[#This Row],[Ppto. Orden Interna '[DOP']]]/HLOOKUP("USD",$J$1:$K$2,2,FALSE)</f>
        <v>0</v>
      </c>
      <c r="Q288" s="250"/>
      <c r="R288" s="258"/>
      <c r="S288" s="251"/>
      <c r="T288" s="252"/>
      <c r="U288" s="259">
        <f>BD.PD[[#This Row],[Av.P1 '[%']]]*BD.PD[[#This Row],[Ppto. Orden Interna '[DOP']]]</f>
        <v>0</v>
      </c>
      <c r="V288" s="254"/>
      <c r="W288" s="255"/>
      <c r="X288" s="259">
        <f>BD.PD[[#This Row],[Av.P2 '[%']]]*BD.PD[[#This Row],[Ppto. Orden Interna '[DOP']]]</f>
        <v>0</v>
      </c>
      <c r="Y288" s="254"/>
      <c r="Z288" s="255"/>
      <c r="AA288" s="259">
        <f>BD.PD[[#This Row],[Av.P3 '[%']]]*BD.PD[[#This Row],[Ppto. Orden Interna '[DOP']]]</f>
        <v>0</v>
      </c>
      <c r="AB288" s="254"/>
      <c r="AC288" s="255"/>
      <c r="AD288" s="259">
        <f>BD.PD[[#This Row],[Av.P4 '[%']]]*BD.PD[[#This Row],[Ppto. Orden Interna '[DOP']]]</f>
        <v>0</v>
      </c>
      <c r="AE288" s="254"/>
      <c r="AF288" s="255"/>
      <c r="AG288" s="259">
        <f>BD.PD[[#This Row],[Av.P5 '[%']]]*BD.PD[[#This Row],[Ppto. Orden Interna '[DOP']]]</f>
        <v>0</v>
      </c>
      <c r="AH288" s="256">
        <f>BD.PD[[#This Row],[Pago 5]]+BD.PD[[#This Row],[Pago 4]]+BD.PD[[#This Row],[Pago 3]]+BD.PD[[#This Row],[Pago 2]]+BD.PD[[#This Row],[Pago 1]]</f>
        <v>0</v>
      </c>
      <c r="AI288" s="318"/>
    </row>
    <row r="289" spans="1:35" ht="15" customHeight="1" x14ac:dyDescent="0.3">
      <c r="A289" s="181">
        <v>2.04</v>
      </c>
      <c r="B289" s="239" t="s">
        <v>306</v>
      </c>
      <c r="C289" s="240" t="str">
        <f>VLOOKUP(BD.PD[[#This Row],[Pos]],PPto[],3,FALSE)</f>
        <v>2.04 Edificación - Tragaluces "Skylights"</v>
      </c>
      <c r="D289" s="241" t="s">
        <v>306</v>
      </c>
      <c r="E289" s="242">
        <f>IF(BD.PD[[#This Row],[.]]="*",VLOOKUP(BD.PD[[#This Row],[Pos]],Presupuesto!A:H,7,FALSE),"")</f>
        <v>0</v>
      </c>
      <c r="F289" s="243"/>
      <c r="G289" s="243"/>
      <c r="H289" s="243"/>
      <c r="I289" s="244">
        <v>1</v>
      </c>
      <c r="J289" s="241" t="s">
        <v>188</v>
      </c>
      <c r="K289" s="245">
        <f>IF(BD.PD[[#This Row],[Mon]]="DOP",1,HLOOKUP(BD.PD[[#This Row],[Mon]],$J$1:$K$2,2,FALSE))</f>
        <v>60.7</v>
      </c>
      <c r="L289" s="246">
        <v>0</v>
      </c>
      <c r="M289" s="247">
        <f>BD.PD[[#This Row],[Cant.]]*BD.PD[[#This Row],[ Tasa ]]*BD.PD[[#This Row],[ Precio Und.]]</f>
        <v>0</v>
      </c>
      <c r="N289" s="248">
        <v>0</v>
      </c>
      <c r="O289" s="247">
        <f>IF(BD.PD[[#This Row],[Liquid. '[%']]]&lt;&gt;0,(BD.PD[[#This Row],[Valor Neto '[DOP']]]*BD.PD[[#This Row],[Liquid. '[%']]])+BD.PD[[#This Row],[Valor Neto '[DOP']]],BD.PD[[#This Row],[Valor Neto '[DOP']]])</f>
        <v>0</v>
      </c>
      <c r="P289" s="257">
        <f>BD.PD[[#This Row],[Ppto. Orden Interna '[DOP']]]/HLOOKUP("USD",$J$1:$K$2,2,FALSE)</f>
        <v>0</v>
      </c>
      <c r="Q289" s="250"/>
      <c r="R289" s="258"/>
      <c r="S289" s="251"/>
      <c r="T289" s="252"/>
      <c r="U289" s="259">
        <f>BD.PD[[#This Row],[Av.P1 '[%']]]*BD.PD[[#This Row],[Ppto. Orden Interna '[DOP']]]</f>
        <v>0</v>
      </c>
      <c r="V289" s="254"/>
      <c r="W289" s="255"/>
      <c r="X289" s="259">
        <f>BD.PD[[#This Row],[Av.P2 '[%']]]*BD.PD[[#This Row],[Ppto. Orden Interna '[DOP']]]</f>
        <v>0</v>
      </c>
      <c r="Y289" s="254"/>
      <c r="Z289" s="255"/>
      <c r="AA289" s="259">
        <f>BD.PD[[#This Row],[Av.P3 '[%']]]*BD.PD[[#This Row],[Ppto. Orden Interna '[DOP']]]</f>
        <v>0</v>
      </c>
      <c r="AB289" s="254"/>
      <c r="AC289" s="255"/>
      <c r="AD289" s="259">
        <f>BD.PD[[#This Row],[Av.P4 '[%']]]*BD.PD[[#This Row],[Ppto. Orden Interna '[DOP']]]</f>
        <v>0</v>
      </c>
      <c r="AE289" s="254"/>
      <c r="AF289" s="255"/>
      <c r="AG289" s="259">
        <f>BD.PD[[#This Row],[Av.P5 '[%']]]*BD.PD[[#This Row],[Ppto. Orden Interna '[DOP']]]</f>
        <v>0</v>
      </c>
      <c r="AH289" s="256">
        <f>BD.PD[[#This Row],[Pago 5]]+BD.PD[[#This Row],[Pago 4]]+BD.PD[[#This Row],[Pago 3]]+BD.PD[[#This Row],[Pago 2]]+BD.PD[[#This Row],[Pago 1]]</f>
        <v>0</v>
      </c>
      <c r="AI289" s="318"/>
    </row>
    <row r="290" spans="1:35" ht="15" customHeight="1" x14ac:dyDescent="0.3">
      <c r="A290" s="181">
        <v>2.0499999999999998</v>
      </c>
      <c r="B290" s="239" t="s">
        <v>306</v>
      </c>
      <c r="C290" s="240" t="str">
        <f>VLOOKUP(BD.PD[[#This Row],[Pos]],PPto[],3,FALSE)</f>
        <v>2.05 Instalaciones Sanitarias</v>
      </c>
      <c r="D290" s="241" t="s">
        <v>306</v>
      </c>
      <c r="E290" s="242">
        <f>IF(BD.PD[[#This Row],[.]]="*",VLOOKUP(BD.PD[[#This Row],[Pos]],Presupuesto!A:H,7,FALSE),"")</f>
        <v>15099.420287539935</v>
      </c>
      <c r="F290" s="243"/>
      <c r="G290" s="243"/>
      <c r="H290" s="243"/>
      <c r="I290" s="244">
        <v>1</v>
      </c>
      <c r="J290" s="241" t="s">
        <v>188</v>
      </c>
      <c r="K290" s="245">
        <f>IF(BD.PD[[#This Row],[Mon]]="DOP",1,HLOOKUP(BD.PD[[#This Row],[Mon]],$J$1:$K$2,2,FALSE))</f>
        <v>60.7</v>
      </c>
      <c r="L290" s="246">
        <v>0</v>
      </c>
      <c r="M290" s="247">
        <f>BD.PD[[#This Row],[Cant.]]*BD.PD[[#This Row],[ Tasa ]]*BD.PD[[#This Row],[ Precio Und.]]</f>
        <v>0</v>
      </c>
      <c r="N290" s="248">
        <v>0</v>
      </c>
      <c r="O290" s="247">
        <f>IF(BD.PD[[#This Row],[Liquid. '[%']]]&lt;&gt;0,(BD.PD[[#This Row],[Valor Neto '[DOP']]]*BD.PD[[#This Row],[Liquid. '[%']]])+BD.PD[[#This Row],[Valor Neto '[DOP']]],BD.PD[[#This Row],[Valor Neto '[DOP']]])</f>
        <v>0</v>
      </c>
      <c r="P290" s="257">
        <f>BD.PD[[#This Row],[Ppto. Orden Interna '[DOP']]]/HLOOKUP("USD",$J$1:$K$2,2,FALSE)</f>
        <v>0</v>
      </c>
      <c r="Q290" s="250"/>
      <c r="R290" s="258"/>
      <c r="S290" s="251"/>
      <c r="T290" s="252"/>
      <c r="U290" s="259">
        <f>BD.PD[[#This Row],[Av.P1 '[%']]]*BD.PD[[#This Row],[Ppto. Orden Interna '[DOP']]]</f>
        <v>0</v>
      </c>
      <c r="V290" s="254"/>
      <c r="W290" s="255"/>
      <c r="X290" s="259">
        <f>BD.PD[[#This Row],[Av.P2 '[%']]]*BD.PD[[#This Row],[Ppto. Orden Interna '[DOP']]]</f>
        <v>0</v>
      </c>
      <c r="Y290" s="254"/>
      <c r="Z290" s="255"/>
      <c r="AA290" s="259">
        <f>BD.PD[[#This Row],[Av.P3 '[%']]]*BD.PD[[#This Row],[Ppto. Orden Interna '[DOP']]]</f>
        <v>0</v>
      </c>
      <c r="AB290" s="254"/>
      <c r="AC290" s="255"/>
      <c r="AD290" s="259">
        <f>BD.PD[[#This Row],[Av.P4 '[%']]]*BD.PD[[#This Row],[Ppto. Orden Interna '[DOP']]]</f>
        <v>0</v>
      </c>
      <c r="AE290" s="254"/>
      <c r="AF290" s="255"/>
      <c r="AG290" s="259">
        <f>BD.PD[[#This Row],[Av.P5 '[%']]]*BD.PD[[#This Row],[Ppto. Orden Interna '[DOP']]]</f>
        <v>0</v>
      </c>
      <c r="AH290" s="256">
        <f>BD.PD[[#This Row],[Pago 5]]+BD.PD[[#This Row],[Pago 4]]+BD.PD[[#This Row],[Pago 3]]+BD.PD[[#This Row],[Pago 2]]+BD.PD[[#This Row],[Pago 1]]</f>
        <v>0</v>
      </c>
      <c r="AI290" s="318"/>
    </row>
    <row r="291" spans="1:35" ht="15" customHeight="1" x14ac:dyDescent="0.3">
      <c r="A291" s="181">
        <v>2.06</v>
      </c>
      <c r="B291" s="239" t="s">
        <v>306</v>
      </c>
      <c r="C291" s="240" t="str">
        <f>VLOOKUP(BD.PD[[#This Row],[Pos]],PPto[],3,FALSE)</f>
        <v>2.06 Instalación de Gas</v>
      </c>
      <c r="D291" s="241" t="s">
        <v>306</v>
      </c>
      <c r="E291" s="242">
        <f>IF(BD.PD[[#This Row],[.]]="*",VLOOKUP(BD.PD[[#This Row],[Pos]],Presupuesto!A:H,7,FALSE),"")</f>
        <v>7260.3833865814695</v>
      </c>
      <c r="F291" s="243"/>
      <c r="G291" s="243"/>
      <c r="H291" s="243"/>
      <c r="I291" s="244">
        <v>1</v>
      </c>
      <c r="J291" s="241" t="s">
        <v>188</v>
      </c>
      <c r="K291" s="245">
        <f>IF(BD.PD[[#This Row],[Mon]]="DOP",1,HLOOKUP(BD.PD[[#This Row],[Mon]],$J$1:$K$2,2,FALSE))</f>
        <v>60.7</v>
      </c>
      <c r="L291" s="246">
        <v>0</v>
      </c>
      <c r="M291" s="247">
        <f>BD.PD[[#This Row],[Cant.]]*BD.PD[[#This Row],[ Tasa ]]*BD.PD[[#This Row],[ Precio Und.]]</f>
        <v>0</v>
      </c>
      <c r="N291" s="248">
        <v>0</v>
      </c>
      <c r="O291" s="247">
        <f>IF(BD.PD[[#This Row],[Liquid. '[%']]]&lt;&gt;0,(BD.PD[[#This Row],[Valor Neto '[DOP']]]*BD.PD[[#This Row],[Liquid. '[%']]])+BD.PD[[#This Row],[Valor Neto '[DOP']]],BD.PD[[#This Row],[Valor Neto '[DOP']]])</f>
        <v>0</v>
      </c>
      <c r="P291" s="257">
        <f>BD.PD[[#This Row],[Ppto. Orden Interna '[DOP']]]/HLOOKUP("USD",$J$1:$K$2,2,FALSE)</f>
        <v>0</v>
      </c>
      <c r="Q291" s="250"/>
      <c r="R291" s="258"/>
      <c r="S291" s="251"/>
      <c r="T291" s="252"/>
      <c r="U291" s="259">
        <f>BD.PD[[#This Row],[Av.P1 '[%']]]*BD.PD[[#This Row],[Ppto. Orden Interna '[DOP']]]</f>
        <v>0</v>
      </c>
      <c r="V291" s="254"/>
      <c r="W291" s="255"/>
      <c r="X291" s="259">
        <f>BD.PD[[#This Row],[Av.P2 '[%']]]*BD.PD[[#This Row],[Ppto. Orden Interna '[DOP']]]</f>
        <v>0</v>
      </c>
      <c r="Y291" s="254"/>
      <c r="Z291" s="255"/>
      <c r="AA291" s="259">
        <f>BD.PD[[#This Row],[Av.P3 '[%']]]*BD.PD[[#This Row],[Ppto. Orden Interna '[DOP']]]</f>
        <v>0</v>
      </c>
      <c r="AB291" s="254"/>
      <c r="AC291" s="255"/>
      <c r="AD291" s="259">
        <f>BD.PD[[#This Row],[Av.P4 '[%']]]*BD.PD[[#This Row],[Ppto. Orden Interna '[DOP']]]</f>
        <v>0</v>
      </c>
      <c r="AE291" s="254"/>
      <c r="AF291" s="255"/>
      <c r="AG291" s="259">
        <f>BD.PD[[#This Row],[Av.P5 '[%']]]*BD.PD[[#This Row],[Ppto. Orden Interna '[DOP']]]</f>
        <v>0</v>
      </c>
      <c r="AH291" s="256">
        <f>BD.PD[[#This Row],[Pago 5]]+BD.PD[[#This Row],[Pago 4]]+BD.PD[[#This Row],[Pago 3]]+BD.PD[[#This Row],[Pago 2]]+BD.PD[[#This Row],[Pago 1]]</f>
        <v>0</v>
      </c>
      <c r="AI291" s="318"/>
    </row>
    <row r="292" spans="1:35" ht="15" customHeight="1" x14ac:dyDescent="0.3">
      <c r="A292" s="181">
        <v>2.06</v>
      </c>
      <c r="B292" s="239"/>
      <c r="C292" s="240" t="str">
        <f>VLOOKUP(BD.PD[[#This Row],[Pos]],PPto[],3,FALSE)</f>
        <v>2.06 Instalación de Gas</v>
      </c>
      <c r="D292" s="181" t="s">
        <v>40</v>
      </c>
      <c r="E292" s="242" t="str">
        <f>IF(BD.PD[[#This Row],[.]]="*",VLOOKUP(BD.PD[[#This Row],[Pos]],Presupuesto!A:H,7,FALSE),"")</f>
        <v/>
      </c>
      <c r="F292" s="243" t="s">
        <v>313</v>
      </c>
      <c r="G292" s="243" t="s">
        <v>180</v>
      </c>
      <c r="H292" s="243"/>
      <c r="I292" s="276">
        <v>1</v>
      </c>
      <c r="J292" s="181" t="s">
        <v>314</v>
      </c>
      <c r="K292" s="245">
        <f>IF(BD.PD[[#This Row],[Mon]]="DOP",1,HLOOKUP(BD.PD[[#This Row],[Mon]],$J$1:$K$2,2,FALSE))</f>
        <v>1</v>
      </c>
      <c r="L292" s="356">
        <v>450000</v>
      </c>
      <c r="M292" s="247">
        <f>BD.PD[[#This Row],[Cant.]]*BD.PD[[#This Row],[ Tasa ]]*BD.PD[[#This Row],[ Precio Und.]]</f>
        <v>450000</v>
      </c>
      <c r="N292" s="278">
        <v>0.01</v>
      </c>
      <c r="O292" s="247">
        <f>IF(BD.PD[[#This Row],[Liquid. '[%']]]&lt;&gt;0,(BD.PD[[#This Row],[Valor Neto '[DOP']]]*BD.PD[[#This Row],[Liquid. '[%']]])+BD.PD[[#This Row],[Valor Neto '[DOP']]],BD.PD[[#This Row],[Valor Neto '[DOP']]])</f>
        <v>454500</v>
      </c>
      <c r="P292" s="257">
        <f>BD.PD[[#This Row],[Ppto. Orden Interna '[DOP']]]/HLOOKUP("USD",$J$1:$K$2,2,FALSE)</f>
        <v>7487.644151565074</v>
      </c>
      <c r="Q292" s="250" t="s">
        <v>315</v>
      </c>
      <c r="R292" s="258"/>
      <c r="S292" s="251">
        <v>21</v>
      </c>
      <c r="T292" s="252">
        <v>0.5</v>
      </c>
      <c r="U292" s="259">
        <f>BD.PD[[#This Row],[Av.P1 '[%']]]*BD.PD[[#This Row],[Ppto. Orden Interna '[DOP']]]</f>
        <v>227250</v>
      </c>
      <c r="V292" s="254">
        <v>24</v>
      </c>
      <c r="W292" s="255">
        <v>0.5</v>
      </c>
      <c r="X292" s="259">
        <f>BD.PD[[#This Row],[Av.P2 '[%']]]*BD.PD[[#This Row],[Ppto. Orden Interna '[DOP']]]</f>
        <v>227250</v>
      </c>
      <c r="Y292" s="254"/>
      <c r="Z292" s="255"/>
      <c r="AA292" s="259">
        <f>BD.PD[[#This Row],[Av.P3 '[%']]]*BD.PD[[#This Row],[Ppto. Orden Interna '[DOP']]]</f>
        <v>0</v>
      </c>
      <c r="AB292" s="254"/>
      <c r="AC292" s="255"/>
      <c r="AD292" s="259">
        <f>BD.PD[[#This Row],[Av.P4 '[%']]]*BD.PD[[#This Row],[Ppto. Orden Interna '[DOP']]]</f>
        <v>0</v>
      </c>
      <c r="AE292" s="254"/>
      <c r="AF292" s="255"/>
      <c r="AG292" s="259">
        <f>BD.PD[[#This Row],[Av.P5 '[%']]]*BD.PD[[#This Row],[Ppto. Orden Interna '[DOP']]]</f>
        <v>0</v>
      </c>
      <c r="AH292" s="256">
        <f>BD.PD[[#This Row],[Pago 5]]+BD.PD[[#This Row],[Pago 4]]+BD.PD[[#This Row],[Pago 3]]+BD.PD[[#This Row],[Pago 2]]+BD.PD[[#This Row],[Pago 1]]</f>
        <v>454500</v>
      </c>
      <c r="AI292" s="318"/>
    </row>
    <row r="293" spans="1:35" ht="15" customHeight="1" x14ac:dyDescent="0.3">
      <c r="A293" s="181">
        <v>2.0699999999999998</v>
      </c>
      <c r="B293" s="239" t="s">
        <v>306</v>
      </c>
      <c r="C293" s="240" t="str">
        <f>VLOOKUP(BD.PD[[#This Row],[Pos]],PPto[],3,FALSE)</f>
        <v xml:space="preserve">2.07 Sistema Contra Incendios </v>
      </c>
      <c r="D293" s="241" t="s">
        <v>306</v>
      </c>
      <c r="E293" s="242">
        <f>IF(BD.PD[[#This Row],[.]]="*",VLOOKUP(BD.PD[[#This Row],[Pos]],Presupuesto!A:H,7,FALSE),"")</f>
        <v>114712.486</v>
      </c>
      <c r="F293" s="243"/>
      <c r="G293" s="243"/>
      <c r="H293" s="243"/>
      <c r="I293" s="244">
        <v>1</v>
      </c>
      <c r="J293" s="241" t="s">
        <v>188</v>
      </c>
      <c r="K293" s="245">
        <f>IF(BD.PD[[#This Row],[Mon]]="DOP",1,HLOOKUP(BD.PD[[#This Row],[Mon]],$J$1:$K$2,2,FALSE))</f>
        <v>60.7</v>
      </c>
      <c r="L293" s="246">
        <v>0</v>
      </c>
      <c r="M293" s="247">
        <f>BD.PD[[#This Row],[Cant.]]*BD.PD[[#This Row],[ Tasa ]]*BD.PD[[#This Row],[ Precio Und.]]</f>
        <v>0</v>
      </c>
      <c r="N293" s="248">
        <v>0</v>
      </c>
      <c r="O293" s="247">
        <f>IF(BD.PD[[#This Row],[Liquid. '[%']]]&lt;&gt;0,(BD.PD[[#This Row],[Valor Neto '[DOP']]]*BD.PD[[#This Row],[Liquid. '[%']]])+BD.PD[[#This Row],[Valor Neto '[DOP']]],BD.PD[[#This Row],[Valor Neto '[DOP']]])</f>
        <v>0</v>
      </c>
      <c r="P293" s="257">
        <f>BD.PD[[#This Row],[Ppto. Orden Interna '[DOP']]]/HLOOKUP("USD",$J$1:$K$2,2,FALSE)</f>
        <v>0</v>
      </c>
      <c r="Q293" s="250"/>
      <c r="R293" s="258"/>
      <c r="S293" s="251"/>
      <c r="T293" s="252"/>
      <c r="U293" s="259">
        <f>BD.PD[[#This Row],[Av.P1 '[%']]]*BD.PD[[#This Row],[Ppto. Orden Interna '[DOP']]]</f>
        <v>0</v>
      </c>
      <c r="V293" s="254"/>
      <c r="W293" s="255"/>
      <c r="X293" s="259">
        <f>BD.PD[[#This Row],[Av.P2 '[%']]]*BD.PD[[#This Row],[Ppto. Orden Interna '[DOP']]]</f>
        <v>0</v>
      </c>
      <c r="Y293" s="254"/>
      <c r="Z293" s="255"/>
      <c r="AA293" s="259">
        <f>BD.PD[[#This Row],[Av.P3 '[%']]]*BD.PD[[#This Row],[Ppto. Orden Interna '[DOP']]]</f>
        <v>0</v>
      </c>
      <c r="AB293" s="254"/>
      <c r="AC293" s="255"/>
      <c r="AD293" s="259">
        <f>BD.PD[[#This Row],[Av.P4 '[%']]]*BD.PD[[#This Row],[Ppto. Orden Interna '[DOP']]]</f>
        <v>0</v>
      </c>
      <c r="AE293" s="254"/>
      <c r="AF293" s="255"/>
      <c r="AG293" s="259">
        <f>BD.PD[[#This Row],[Av.P5 '[%']]]*BD.PD[[#This Row],[Ppto. Orden Interna '[DOP']]]</f>
        <v>0</v>
      </c>
      <c r="AH293" s="256">
        <f>BD.PD[[#This Row],[Pago 5]]+BD.PD[[#This Row],[Pago 4]]+BD.PD[[#This Row],[Pago 3]]+BD.PD[[#This Row],[Pago 2]]+BD.PD[[#This Row],[Pago 1]]</f>
        <v>0</v>
      </c>
      <c r="AI293" s="318"/>
    </row>
    <row r="294" spans="1:35" ht="15" customHeight="1" x14ac:dyDescent="0.3">
      <c r="A294" s="181">
        <v>2.0699999999999998</v>
      </c>
      <c r="B294" s="239"/>
      <c r="C294" s="240" t="str">
        <f>VLOOKUP(BD.PD[[#This Row],[Pos]],PPto[],3,FALSE)</f>
        <v xml:space="preserve">2.07 Sistema Contra Incendios </v>
      </c>
      <c r="D294" s="181" t="s">
        <v>40</v>
      </c>
      <c r="E294" s="242" t="str">
        <f>IF(BD.PD[[#This Row],[.]]="*",VLOOKUP(BD.PD[[#This Row],[Pos]],Presupuesto!A:H,7,FALSE),"")</f>
        <v/>
      </c>
      <c r="F294" s="243" t="s">
        <v>1054</v>
      </c>
      <c r="G294" s="243">
        <v>4600073045</v>
      </c>
      <c r="H294" s="275" t="s">
        <v>316</v>
      </c>
      <c r="I294" s="276">
        <v>1</v>
      </c>
      <c r="J294" s="181" t="s">
        <v>188</v>
      </c>
      <c r="K294" s="245">
        <f>IF(BD.PD[[#This Row],[Mon]]="DOP",1,HLOOKUP(BD.PD[[#This Row],[Mon]],$J$1:$K$2,2,FALSE))</f>
        <v>60.7</v>
      </c>
      <c r="L294" s="277">
        <v>79527.8</v>
      </c>
      <c r="M294" s="247">
        <f>BD.PD[[#This Row],[Cant.]]*BD.PD[[#This Row],[ Tasa ]]*BD.PD[[#This Row],[ Precio Und.]]</f>
        <v>4827337.46</v>
      </c>
      <c r="N294" s="278">
        <v>0</v>
      </c>
      <c r="O294" s="247">
        <f>IF(BD.PD[[#This Row],[Liquid. '[%']]]&lt;&gt;0,(BD.PD[[#This Row],[Valor Neto '[DOP']]]*BD.PD[[#This Row],[Liquid. '[%']]])+BD.PD[[#This Row],[Valor Neto '[DOP']]],BD.PD[[#This Row],[Valor Neto '[DOP']]])</f>
        <v>4827337.46</v>
      </c>
      <c r="P294" s="257">
        <f>BD.PD[[#This Row],[Ppto. Orden Interna '[DOP']]]/HLOOKUP("USD",$J$1:$K$2,2,FALSE)</f>
        <v>79527.8</v>
      </c>
      <c r="Q294" s="250" t="s">
        <v>317</v>
      </c>
      <c r="R294" s="258"/>
      <c r="S294" s="251">
        <v>3</v>
      </c>
      <c r="T294" s="252">
        <v>0.5</v>
      </c>
      <c r="U294" s="259">
        <f>BD.PD[[#This Row],[Av.P1 '[%']]]*BD.PD[[#This Row],[Ppto. Orden Interna '[DOP']]]</f>
        <v>2413668.73</v>
      </c>
      <c r="V294" s="254">
        <v>9</v>
      </c>
      <c r="W294" s="255">
        <v>0.5</v>
      </c>
      <c r="X294" s="259">
        <f>BD.PD[[#This Row],[Av.P2 '[%']]]*BD.PD[[#This Row],[Ppto. Orden Interna '[DOP']]]</f>
        <v>2413668.73</v>
      </c>
      <c r="Y294" s="254"/>
      <c r="Z294" s="255"/>
      <c r="AA294" s="259">
        <f>BD.PD[[#This Row],[Av.P3 '[%']]]*BD.PD[[#This Row],[Ppto. Orden Interna '[DOP']]]</f>
        <v>0</v>
      </c>
      <c r="AB294" s="254"/>
      <c r="AC294" s="255"/>
      <c r="AD294" s="259">
        <f>BD.PD[[#This Row],[Av.P4 '[%']]]*BD.PD[[#This Row],[Ppto. Orden Interna '[DOP']]]</f>
        <v>0</v>
      </c>
      <c r="AE294" s="254"/>
      <c r="AF294" s="255"/>
      <c r="AG294" s="259">
        <f>BD.PD[[#This Row],[Av.P5 '[%']]]*BD.PD[[#This Row],[Ppto. Orden Interna '[DOP']]]</f>
        <v>0</v>
      </c>
      <c r="AH294" s="256">
        <f>BD.PD[[#This Row],[Pago 5]]+BD.PD[[#This Row],[Pago 4]]+BD.PD[[#This Row],[Pago 3]]+BD.PD[[#This Row],[Pago 2]]+BD.PD[[#This Row],[Pago 1]]</f>
        <v>4827337.46</v>
      </c>
      <c r="AI294" s="318"/>
    </row>
    <row r="295" spans="1:35" ht="15" customHeight="1" x14ac:dyDescent="0.3">
      <c r="A295" s="181">
        <v>2.08</v>
      </c>
      <c r="B295" s="239" t="s">
        <v>306</v>
      </c>
      <c r="C295" s="240" t="str">
        <f>VLOOKUP(BD.PD[[#This Row],[Pos]],PPto[],3,FALSE)</f>
        <v>2.08 Instalaciones Mecánicas</v>
      </c>
      <c r="D295" s="241" t="s">
        <v>306</v>
      </c>
      <c r="E295" s="242">
        <f>IF(BD.PD[[#This Row],[.]]="*",VLOOKUP(BD.PD[[#This Row],[Pos]],Presupuesto!A:H,7,FALSE),"")</f>
        <v>65014.422349840257</v>
      </c>
      <c r="F295" s="243"/>
      <c r="G295" s="243"/>
      <c r="H295" s="243"/>
      <c r="I295" s="244">
        <v>1</v>
      </c>
      <c r="J295" s="241" t="s">
        <v>188</v>
      </c>
      <c r="K295" s="245">
        <f>IF(BD.PD[[#This Row],[Mon]]="DOP",1,HLOOKUP(BD.PD[[#This Row],[Mon]],$J$1:$K$2,2,FALSE))</f>
        <v>60.7</v>
      </c>
      <c r="L295" s="246">
        <v>0</v>
      </c>
      <c r="M295" s="247">
        <f>BD.PD[[#This Row],[Cant.]]*BD.PD[[#This Row],[ Tasa ]]*BD.PD[[#This Row],[ Precio Und.]]</f>
        <v>0</v>
      </c>
      <c r="N295" s="248">
        <v>0</v>
      </c>
      <c r="O295" s="247">
        <f>IF(BD.PD[[#This Row],[Liquid. '[%']]]&lt;&gt;0,(BD.PD[[#This Row],[Valor Neto '[DOP']]]*BD.PD[[#This Row],[Liquid. '[%']]])+BD.PD[[#This Row],[Valor Neto '[DOP']]],BD.PD[[#This Row],[Valor Neto '[DOP']]])</f>
        <v>0</v>
      </c>
      <c r="P295" s="257">
        <f>BD.PD[[#This Row],[Ppto. Orden Interna '[DOP']]]/HLOOKUP("USD",$J$1:$K$2,2,FALSE)</f>
        <v>0</v>
      </c>
      <c r="Q295" s="250"/>
      <c r="R295" s="258"/>
      <c r="S295" s="251"/>
      <c r="T295" s="252"/>
      <c r="U295" s="259">
        <f>BD.PD[[#This Row],[Av.P1 '[%']]]*BD.PD[[#This Row],[Ppto. Orden Interna '[DOP']]]</f>
        <v>0</v>
      </c>
      <c r="V295" s="254"/>
      <c r="W295" s="255"/>
      <c r="X295" s="259">
        <f>BD.PD[[#This Row],[Av.P2 '[%']]]*BD.PD[[#This Row],[Ppto. Orden Interna '[DOP']]]</f>
        <v>0</v>
      </c>
      <c r="Y295" s="254"/>
      <c r="Z295" s="255"/>
      <c r="AA295" s="259">
        <f>BD.PD[[#This Row],[Av.P3 '[%']]]*BD.PD[[#This Row],[Ppto. Orden Interna '[DOP']]]</f>
        <v>0</v>
      </c>
      <c r="AB295" s="254"/>
      <c r="AC295" s="255"/>
      <c r="AD295" s="259">
        <f>BD.PD[[#This Row],[Av.P4 '[%']]]*BD.PD[[#This Row],[Ppto. Orden Interna '[DOP']]]</f>
        <v>0</v>
      </c>
      <c r="AE295" s="254"/>
      <c r="AF295" s="255"/>
      <c r="AG295" s="259">
        <f>BD.PD[[#This Row],[Av.P5 '[%']]]*BD.PD[[#This Row],[Ppto. Orden Interna '[DOP']]]</f>
        <v>0</v>
      </c>
      <c r="AH295" s="256">
        <f>BD.PD[[#This Row],[Pago 5]]+BD.PD[[#This Row],[Pago 4]]+BD.PD[[#This Row],[Pago 3]]+BD.PD[[#This Row],[Pago 2]]+BD.PD[[#This Row],[Pago 1]]</f>
        <v>0</v>
      </c>
      <c r="AI295" s="318"/>
    </row>
    <row r="296" spans="1:35" ht="15" customHeight="1" x14ac:dyDescent="0.3">
      <c r="A296" s="181">
        <v>2.08</v>
      </c>
      <c r="B296" s="239"/>
      <c r="C296" s="240" t="str">
        <f>VLOOKUP(BD.PD[[#This Row],[Pos]],PPto[],3,FALSE)</f>
        <v>2.08 Instalaciones Mecánicas</v>
      </c>
      <c r="D296" s="181" t="s">
        <v>40</v>
      </c>
      <c r="E296" s="242" t="str">
        <f>IF(BD.PD[[#This Row],[.]]="*",VLOOKUP(BD.PD[[#This Row],[Pos]],Presupuesto!A:H,7,FALSE),"")</f>
        <v/>
      </c>
      <c r="F296" s="386" t="s">
        <v>683</v>
      </c>
      <c r="G296" s="243">
        <v>4513077225</v>
      </c>
      <c r="H296" s="275">
        <v>46260</v>
      </c>
      <c r="I296" s="276">
        <v>1</v>
      </c>
      <c r="J296" s="181" t="s">
        <v>314</v>
      </c>
      <c r="K296" s="245">
        <f>IF(BD.PD[[#This Row],[Mon]]="DOP",1,HLOOKUP(BD.PD[[#This Row],[Mon]],$J$1:$K$2,2,FALSE))</f>
        <v>1</v>
      </c>
      <c r="L296" s="277">
        <v>662703.43999999994</v>
      </c>
      <c r="M296" s="247">
        <f>BD.PD[[#This Row],[Cant.]]*BD.PD[[#This Row],[ Tasa ]]*BD.PD[[#This Row],[ Precio Und.]]</f>
        <v>662703.43999999994</v>
      </c>
      <c r="N296" s="278">
        <v>0</v>
      </c>
      <c r="O296" s="247">
        <f>IF(BD.PD[[#This Row],[Liquid. '[%']]]&lt;&gt;0,(BD.PD[[#This Row],[Valor Neto '[DOP']]]*BD.PD[[#This Row],[Liquid. '[%']]])+BD.PD[[#This Row],[Valor Neto '[DOP']]],BD.PD[[#This Row],[Valor Neto '[DOP']]])</f>
        <v>662703.43999999994</v>
      </c>
      <c r="P296" s="257">
        <f>BD.PD[[#This Row],[Ppto. Orden Interna '[DOP']]]/HLOOKUP("USD",$J$1:$K$2,2,FALSE)</f>
        <v>10917.684349258647</v>
      </c>
      <c r="Q296" s="250" t="s">
        <v>1091</v>
      </c>
      <c r="R296" s="258"/>
      <c r="S296" s="251">
        <v>21</v>
      </c>
      <c r="T296" s="252">
        <v>0.5</v>
      </c>
      <c r="U296" s="259">
        <f>BD.PD[[#This Row],[Av.P1 '[%']]]*BD.PD[[#This Row],[Ppto. Orden Interna '[DOP']]]</f>
        <v>331351.71999999997</v>
      </c>
      <c r="V296" s="254">
        <v>24</v>
      </c>
      <c r="W296" s="255">
        <v>0.5</v>
      </c>
      <c r="X296" s="259">
        <f>BD.PD[[#This Row],[Av.P2 '[%']]]*BD.PD[[#This Row],[Ppto. Orden Interna '[DOP']]]</f>
        <v>331351.71999999997</v>
      </c>
      <c r="Y296" s="254"/>
      <c r="Z296" s="255"/>
      <c r="AA296" s="259">
        <f>BD.PD[[#This Row],[Av.P3 '[%']]]*BD.PD[[#This Row],[Ppto. Orden Interna '[DOP']]]</f>
        <v>0</v>
      </c>
      <c r="AB296" s="254"/>
      <c r="AC296" s="255"/>
      <c r="AD296" s="259">
        <f>BD.PD[[#This Row],[Av.P4 '[%']]]*BD.PD[[#This Row],[Ppto. Orden Interna '[DOP']]]</f>
        <v>0</v>
      </c>
      <c r="AE296" s="254"/>
      <c r="AF296" s="255"/>
      <c r="AG296" s="259">
        <f>BD.PD[[#This Row],[Av.P5 '[%']]]*BD.PD[[#This Row],[Ppto. Orden Interna '[DOP']]]</f>
        <v>0</v>
      </c>
      <c r="AH296" s="256">
        <f>BD.PD[[#This Row],[Pago 5]]+BD.PD[[#This Row],[Pago 4]]+BD.PD[[#This Row],[Pago 3]]+BD.PD[[#This Row],[Pago 2]]+BD.PD[[#This Row],[Pago 1]]</f>
        <v>662703.43999999994</v>
      </c>
      <c r="AI296" s="318"/>
    </row>
    <row r="297" spans="1:35" ht="15" customHeight="1" x14ac:dyDescent="0.3">
      <c r="A297" s="181">
        <v>2.08</v>
      </c>
      <c r="B297" s="239"/>
      <c r="C297" s="240" t="str">
        <f>VLOOKUP(BD.PD[[#This Row],[Pos]],PPto[],3,FALSE)</f>
        <v>2.08 Instalaciones Mecánicas</v>
      </c>
      <c r="D297" s="181" t="s">
        <v>40</v>
      </c>
      <c r="E297" s="242" t="str">
        <f>IF(BD.PD[[#This Row],[.]]="*",VLOOKUP(BD.PD[[#This Row],[Pos]],Presupuesto!A:H,7,FALSE),"")</f>
        <v/>
      </c>
      <c r="F297" s="386" t="s">
        <v>684</v>
      </c>
      <c r="G297" s="243">
        <v>4513077225</v>
      </c>
      <c r="H297" s="275" t="s">
        <v>1088</v>
      </c>
      <c r="I297" s="276">
        <v>1</v>
      </c>
      <c r="J297" s="181" t="s">
        <v>314</v>
      </c>
      <c r="K297" s="245">
        <f>IF(BD.PD[[#This Row],[Mon]]="DOP",1,HLOOKUP(BD.PD[[#This Row],[Mon]],$J$1:$K$2,2,FALSE))</f>
        <v>1</v>
      </c>
      <c r="L297" s="277">
        <v>662703.43999999994</v>
      </c>
      <c r="M297" s="247">
        <f>BD.PD[[#This Row],[Cant.]]*BD.PD[[#This Row],[ Tasa ]]*BD.PD[[#This Row],[ Precio Und.]]</f>
        <v>662703.43999999994</v>
      </c>
      <c r="N297" s="278">
        <v>0</v>
      </c>
      <c r="O297" s="247">
        <f>IF(BD.PD[[#This Row],[Liquid. '[%']]]&lt;&gt;0,(BD.PD[[#This Row],[Valor Neto '[DOP']]]*BD.PD[[#This Row],[Liquid. '[%']]])+BD.PD[[#This Row],[Valor Neto '[DOP']]],BD.PD[[#This Row],[Valor Neto '[DOP']]])</f>
        <v>662703.43999999994</v>
      </c>
      <c r="P297" s="257">
        <f>BD.PD[[#This Row],[Ppto. Orden Interna '[DOP']]]/HLOOKUP("USD",$J$1:$K$2,2,FALSE)</f>
        <v>10917.684349258647</v>
      </c>
      <c r="Q297" s="250" t="s">
        <v>1091</v>
      </c>
      <c r="R297" s="258"/>
      <c r="S297" s="251">
        <v>21</v>
      </c>
      <c r="T297" s="252">
        <v>0.5</v>
      </c>
      <c r="U297" s="259">
        <f>BD.PD[[#This Row],[Av.P1 '[%']]]*BD.PD[[#This Row],[Ppto. Orden Interna '[DOP']]]</f>
        <v>331351.71999999997</v>
      </c>
      <c r="V297" s="254">
        <v>24</v>
      </c>
      <c r="W297" s="255">
        <v>0.5</v>
      </c>
      <c r="X297" s="259">
        <f>BD.PD[[#This Row],[Av.P2 '[%']]]*BD.PD[[#This Row],[Ppto. Orden Interna '[DOP']]]</f>
        <v>331351.71999999997</v>
      </c>
      <c r="Y297" s="254"/>
      <c r="Z297" s="255"/>
      <c r="AA297" s="259">
        <f>BD.PD[[#This Row],[Av.P3 '[%']]]*BD.PD[[#This Row],[Ppto. Orden Interna '[DOP']]]</f>
        <v>0</v>
      </c>
      <c r="AB297" s="254"/>
      <c r="AC297" s="255"/>
      <c r="AD297" s="259">
        <f>BD.PD[[#This Row],[Av.P4 '[%']]]*BD.PD[[#This Row],[Ppto. Orden Interna '[DOP']]]</f>
        <v>0</v>
      </c>
      <c r="AE297" s="254"/>
      <c r="AF297" s="255"/>
      <c r="AG297" s="259">
        <f>BD.PD[[#This Row],[Av.P5 '[%']]]*BD.PD[[#This Row],[Ppto. Orden Interna '[DOP']]]</f>
        <v>0</v>
      </c>
      <c r="AH297" s="256">
        <f>BD.PD[[#This Row],[Pago 5]]+BD.PD[[#This Row],[Pago 4]]+BD.PD[[#This Row],[Pago 3]]+BD.PD[[#This Row],[Pago 2]]+BD.PD[[#This Row],[Pago 1]]</f>
        <v>662703.43999999994</v>
      </c>
      <c r="AI297" s="318"/>
    </row>
    <row r="298" spans="1:35" ht="15" customHeight="1" x14ac:dyDescent="0.3">
      <c r="A298" s="181">
        <v>2.09</v>
      </c>
      <c r="B298" s="239" t="s">
        <v>306</v>
      </c>
      <c r="C298" s="240" t="str">
        <f>VLOOKUP(BD.PD[[#This Row],[Pos]],PPto[],3,FALSE)</f>
        <v>2.09 Rejillas y Sumideros</v>
      </c>
      <c r="D298" s="241" t="s">
        <v>306</v>
      </c>
      <c r="E298" s="242">
        <f>IF(BD.PD[[#This Row],[.]]="*",VLOOKUP(BD.PD[[#This Row],[Pos]],Presupuesto!A:H,7,FALSE),"")</f>
        <v>11673.35</v>
      </c>
      <c r="F298" s="243"/>
      <c r="G298" s="243"/>
      <c r="H298" s="243"/>
      <c r="I298" s="244">
        <v>1</v>
      </c>
      <c r="J298" s="241" t="s">
        <v>188</v>
      </c>
      <c r="K298" s="245">
        <f>IF(BD.PD[[#This Row],[Mon]]="DOP",1,HLOOKUP(BD.PD[[#This Row],[Mon]],$J$1:$K$2,2,FALSE))</f>
        <v>60.7</v>
      </c>
      <c r="L298" s="246">
        <v>0</v>
      </c>
      <c r="M298" s="247">
        <f>BD.PD[[#This Row],[Cant.]]*BD.PD[[#This Row],[ Tasa ]]*BD.PD[[#This Row],[ Precio Und.]]</f>
        <v>0</v>
      </c>
      <c r="N298" s="248">
        <v>0</v>
      </c>
      <c r="O298" s="247">
        <f>IF(BD.PD[[#This Row],[Liquid. '[%']]]&lt;&gt;0,(BD.PD[[#This Row],[Valor Neto '[DOP']]]*BD.PD[[#This Row],[Liquid. '[%']]])+BD.PD[[#This Row],[Valor Neto '[DOP']]],BD.PD[[#This Row],[Valor Neto '[DOP']]])</f>
        <v>0</v>
      </c>
      <c r="P298" s="257">
        <f>BD.PD[[#This Row],[Ppto. Orden Interna '[DOP']]]/HLOOKUP("USD",$J$1:$K$2,2,FALSE)</f>
        <v>0</v>
      </c>
      <c r="Q298" s="250"/>
      <c r="R298" s="258"/>
      <c r="S298" s="251"/>
      <c r="T298" s="252"/>
      <c r="U298" s="259">
        <f>BD.PD[[#This Row],[Av.P1 '[%']]]*BD.PD[[#This Row],[Ppto. Orden Interna '[DOP']]]</f>
        <v>0</v>
      </c>
      <c r="V298" s="254"/>
      <c r="W298" s="255"/>
      <c r="X298" s="259">
        <f>BD.PD[[#This Row],[Av.P2 '[%']]]*BD.PD[[#This Row],[Ppto. Orden Interna '[DOP']]]</f>
        <v>0</v>
      </c>
      <c r="Y298" s="254"/>
      <c r="Z298" s="255"/>
      <c r="AA298" s="259">
        <f>BD.PD[[#This Row],[Av.P3 '[%']]]*BD.PD[[#This Row],[Ppto. Orden Interna '[DOP']]]</f>
        <v>0</v>
      </c>
      <c r="AB298" s="254"/>
      <c r="AC298" s="255"/>
      <c r="AD298" s="259">
        <f>BD.PD[[#This Row],[Av.P4 '[%']]]*BD.PD[[#This Row],[Ppto. Orden Interna '[DOP']]]</f>
        <v>0</v>
      </c>
      <c r="AE298" s="254"/>
      <c r="AF298" s="255"/>
      <c r="AG298" s="259">
        <f>BD.PD[[#This Row],[Av.P5 '[%']]]*BD.PD[[#This Row],[Ppto. Orden Interna '[DOP']]]</f>
        <v>0</v>
      </c>
      <c r="AH298" s="256">
        <f>BD.PD[[#This Row],[Pago 5]]+BD.PD[[#This Row],[Pago 4]]+BD.PD[[#This Row],[Pago 3]]+BD.PD[[#This Row],[Pago 2]]+BD.PD[[#This Row],[Pago 1]]</f>
        <v>0</v>
      </c>
      <c r="AI298" s="318"/>
    </row>
    <row r="299" spans="1:35" ht="15" customHeight="1" x14ac:dyDescent="0.3">
      <c r="A299" s="181">
        <v>2.1</v>
      </c>
      <c r="B299" s="239" t="s">
        <v>306</v>
      </c>
      <c r="C299" s="240" t="str">
        <f>VLOOKUP(BD.PD[[#This Row],[Pos]],PPto[],3,FALSE)</f>
        <v>2.10 Supervisión Civil y Sanitaria</v>
      </c>
      <c r="D299" s="241" t="s">
        <v>306</v>
      </c>
      <c r="E299" s="242">
        <f>IF(BD.PD[[#This Row],[.]]="*",VLOOKUP(BD.PD[[#This Row],[Pos]],Presupuesto!A:H,7,FALSE),"")</f>
        <v>0</v>
      </c>
      <c r="F299" s="243"/>
      <c r="G299" s="243"/>
      <c r="H299" s="243"/>
      <c r="I299" s="244">
        <v>1</v>
      </c>
      <c r="J299" s="241" t="s">
        <v>188</v>
      </c>
      <c r="K299" s="245">
        <f>IF(BD.PD[[#This Row],[Mon]]="DOP",1,HLOOKUP(BD.PD[[#This Row],[Mon]],$J$1:$K$2,2,FALSE))</f>
        <v>60.7</v>
      </c>
      <c r="L299" s="246">
        <v>0</v>
      </c>
      <c r="M299" s="247">
        <f>BD.PD[[#This Row],[Cant.]]*BD.PD[[#This Row],[ Tasa ]]*BD.PD[[#This Row],[ Precio Und.]]</f>
        <v>0</v>
      </c>
      <c r="N299" s="248">
        <v>0</v>
      </c>
      <c r="O299" s="247">
        <f>IF(BD.PD[[#This Row],[Liquid. '[%']]]&lt;&gt;0,(BD.PD[[#This Row],[Valor Neto '[DOP']]]*BD.PD[[#This Row],[Liquid. '[%']]])+BD.PD[[#This Row],[Valor Neto '[DOP']]],BD.PD[[#This Row],[Valor Neto '[DOP']]])</f>
        <v>0</v>
      </c>
      <c r="P299" s="257">
        <f>BD.PD[[#This Row],[Ppto. Orden Interna '[DOP']]]/HLOOKUP("USD",$J$1:$K$2,2,FALSE)</f>
        <v>0</v>
      </c>
      <c r="Q299" s="250"/>
      <c r="R299" s="258"/>
      <c r="S299" s="251"/>
      <c r="T299" s="252"/>
      <c r="U299" s="259">
        <f>BD.PD[[#This Row],[Av.P1 '[%']]]*BD.PD[[#This Row],[Ppto. Orden Interna '[DOP']]]</f>
        <v>0</v>
      </c>
      <c r="V299" s="254"/>
      <c r="W299" s="255"/>
      <c r="X299" s="259">
        <f>BD.PD[[#This Row],[Av.P2 '[%']]]*BD.PD[[#This Row],[Ppto. Orden Interna '[DOP']]]</f>
        <v>0</v>
      </c>
      <c r="Y299" s="254"/>
      <c r="Z299" s="255"/>
      <c r="AA299" s="259">
        <f>BD.PD[[#This Row],[Av.P3 '[%']]]*BD.PD[[#This Row],[Ppto. Orden Interna '[DOP']]]</f>
        <v>0</v>
      </c>
      <c r="AB299" s="254"/>
      <c r="AC299" s="255"/>
      <c r="AD299" s="259">
        <f>BD.PD[[#This Row],[Av.P4 '[%']]]*BD.PD[[#This Row],[Ppto. Orden Interna '[DOP']]]</f>
        <v>0</v>
      </c>
      <c r="AE299" s="254"/>
      <c r="AF299" s="255"/>
      <c r="AG299" s="259">
        <f>BD.PD[[#This Row],[Av.P5 '[%']]]*BD.PD[[#This Row],[Ppto. Orden Interna '[DOP']]]</f>
        <v>0</v>
      </c>
      <c r="AH299" s="256">
        <f>BD.PD[[#This Row],[Pago 5]]+BD.PD[[#This Row],[Pago 4]]+BD.PD[[#This Row],[Pago 3]]+BD.PD[[#This Row],[Pago 2]]+BD.PD[[#This Row],[Pago 1]]</f>
        <v>0</v>
      </c>
      <c r="AI299" s="318"/>
    </row>
    <row r="300" spans="1:35" ht="15" customHeight="1" x14ac:dyDescent="0.3">
      <c r="A300" s="181">
        <v>2.11</v>
      </c>
      <c r="B300" s="239" t="s">
        <v>306</v>
      </c>
      <c r="C300" s="240" t="str">
        <f>VLOOKUP(BD.PD[[#This Row],[Pos]],PPto[],3,FALSE)</f>
        <v>2.11 Supervisión Arquitectónica</v>
      </c>
      <c r="D300" s="241" t="s">
        <v>306</v>
      </c>
      <c r="E300" s="242">
        <f>IF(BD.PD[[#This Row],[.]]="*",VLOOKUP(BD.PD[[#This Row],[Pos]],Presupuesto!A:H,7,FALSE),"")</f>
        <v>0</v>
      </c>
      <c r="F300" s="243"/>
      <c r="G300" s="243"/>
      <c r="H300" s="243"/>
      <c r="I300" s="244">
        <v>1</v>
      </c>
      <c r="J300" s="241" t="s">
        <v>188</v>
      </c>
      <c r="K300" s="245">
        <f>IF(BD.PD[[#This Row],[Mon]]="DOP",1,HLOOKUP(BD.PD[[#This Row],[Mon]],$J$1:$K$2,2,FALSE))</f>
        <v>60.7</v>
      </c>
      <c r="L300" s="246">
        <v>0</v>
      </c>
      <c r="M300" s="247">
        <f>BD.PD[[#This Row],[Cant.]]*BD.PD[[#This Row],[ Tasa ]]*BD.PD[[#This Row],[ Precio Und.]]</f>
        <v>0</v>
      </c>
      <c r="N300" s="248">
        <v>0</v>
      </c>
      <c r="O300" s="247">
        <f>IF(BD.PD[[#This Row],[Liquid. '[%']]]&lt;&gt;0,(BD.PD[[#This Row],[Valor Neto '[DOP']]]*BD.PD[[#This Row],[Liquid. '[%']]])+BD.PD[[#This Row],[Valor Neto '[DOP']]],BD.PD[[#This Row],[Valor Neto '[DOP']]])</f>
        <v>0</v>
      </c>
      <c r="P300" s="257">
        <f>BD.PD[[#This Row],[Ppto. Orden Interna '[DOP']]]/HLOOKUP("USD",$J$1:$K$2,2,FALSE)</f>
        <v>0</v>
      </c>
      <c r="Q300" s="250"/>
      <c r="R300" s="258"/>
      <c r="S300" s="251"/>
      <c r="T300" s="252"/>
      <c r="U300" s="259">
        <f>BD.PD[[#This Row],[Av.P1 '[%']]]*BD.PD[[#This Row],[Ppto. Orden Interna '[DOP']]]</f>
        <v>0</v>
      </c>
      <c r="V300" s="254"/>
      <c r="W300" s="255"/>
      <c r="X300" s="259">
        <f>BD.PD[[#This Row],[Av.P2 '[%']]]*BD.PD[[#This Row],[Ppto. Orden Interna '[DOP']]]</f>
        <v>0</v>
      </c>
      <c r="Y300" s="254"/>
      <c r="Z300" s="255"/>
      <c r="AA300" s="259">
        <f>BD.PD[[#This Row],[Av.P3 '[%']]]*BD.PD[[#This Row],[Ppto. Orden Interna '[DOP']]]</f>
        <v>0</v>
      </c>
      <c r="AB300" s="254"/>
      <c r="AC300" s="255"/>
      <c r="AD300" s="259">
        <f>BD.PD[[#This Row],[Av.P4 '[%']]]*BD.PD[[#This Row],[Ppto. Orden Interna '[DOP']]]</f>
        <v>0</v>
      </c>
      <c r="AE300" s="254"/>
      <c r="AF300" s="255"/>
      <c r="AG300" s="259">
        <f>BD.PD[[#This Row],[Av.P5 '[%']]]*BD.PD[[#This Row],[Ppto. Orden Interna '[DOP']]]</f>
        <v>0</v>
      </c>
      <c r="AH300" s="256">
        <f>BD.PD[[#This Row],[Pago 5]]+BD.PD[[#This Row],[Pago 4]]+BD.PD[[#This Row],[Pago 3]]+BD.PD[[#This Row],[Pago 2]]+BD.PD[[#This Row],[Pago 1]]</f>
        <v>0</v>
      </c>
      <c r="AI300" s="318"/>
    </row>
    <row r="301" spans="1:35" ht="15" customHeight="1" x14ac:dyDescent="0.3">
      <c r="A301" s="181">
        <v>3.01</v>
      </c>
      <c r="B301" s="239" t="s">
        <v>306</v>
      </c>
      <c r="C301" s="240" t="str">
        <f>VLOOKUP(BD.PD[[#This Row],[Pos]],PPto[],3,FALSE)</f>
        <v>3.01 Instalaciones Eléctricas</v>
      </c>
      <c r="D301" s="241" t="s">
        <v>306</v>
      </c>
      <c r="E301" s="242">
        <f>IF(BD.PD[[#This Row],[.]]="*",VLOOKUP(BD.PD[[#This Row],[Pos]],Presupuesto!A:H,7,FALSE),"")</f>
        <v>0</v>
      </c>
      <c r="F301" s="243"/>
      <c r="G301" s="243"/>
      <c r="H301" s="243"/>
      <c r="I301" s="244">
        <v>1</v>
      </c>
      <c r="J301" s="241" t="s">
        <v>188</v>
      </c>
      <c r="K301" s="245">
        <f>IF(BD.PD[[#This Row],[Mon]]="DOP",1,HLOOKUP(BD.PD[[#This Row],[Mon]],$J$1:$K$2,2,FALSE))</f>
        <v>60.7</v>
      </c>
      <c r="L301" s="246">
        <v>0</v>
      </c>
      <c r="M301" s="247">
        <f>BD.PD[[#This Row],[Cant.]]*BD.PD[[#This Row],[ Tasa ]]*BD.PD[[#This Row],[ Precio Und.]]</f>
        <v>0</v>
      </c>
      <c r="N301" s="248">
        <v>0</v>
      </c>
      <c r="O301" s="247">
        <f>IF(BD.PD[[#This Row],[Liquid. '[%']]]&lt;&gt;0,(BD.PD[[#This Row],[Valor Neto '[DOP']]]*BD.PD[[#This Row],[Liquid. '[%']]])+BD.PD[[#This Row],[Valor Neto '[DOP']]],BD.PD[[#This Row],[Valor Neto '[DOP']]])</f>
        <v>0</v>
      </c>
      <c r="P301" s="257">
        <f>BD.PD[[#This Row],[Ppto. Orden Interna '[DOP']]]/HLOOKUP("USD",$J$1:$K$2,2,FALSE)</f>
        <v>0</v>
      </c>
      <c r="Q301" s="250"/>
      <c r="R301" s="258"/>
      <c r="S301" s="251"/>
      <c r="T301" s="252"/>
      <c r="U301" s="259">
        <f>BD.PD[[#This Row],[Av.P1 '[%']]]*BD.PD[[#This Row],[Ppto. Orden Interna '[DOP']]]</f>
        <v>0</v>
      </c>
      <c r="V301" s="254"/>
      <c r="W301" s="255"/>
      <c r="X301" s="259">
        <f>BD.PD[[#This Row],[Av.P2 '[%']]]*BD.PD[[#This Row],[Ppto. Orden Interna '[DOP']]]</f>
        <v>0</v>
      </c>
      <c r="Y301" s="254"/>
      <c r="Z301" s="255"/>
      <c r="AA301" s="259">
        <f>BD.PD[[#This Row],[Av.P3 '[%']]]*BD.PD[[#This Row],[Ppto. Orden Interna '[DOP']]]</f>
        <v>0</v>
      </c>
      <c r="AB301" s="254"/>
      <c r="AC301" s="255"/>
      <c r="AD301" s="259">
        <f>BD.PD[[#This Row],[Av.P4 '[%']]]*BD.PD[[#This Row],[Ppto. Orden Interna '[DOP']]]</f>
        <v>0</v>
      </c>
      <c r="AE301" s="254"/>
      <c r="AF301" s="255"/>
      <c r="AG301" s="259">
        <f>BD.PD[[#This Row],[Av.P5 '[%']]]*BD.PD[[#This Row],[Ppto. Orden Interna '[DOP']]]</f>
        <v>0</v>
      </c>
      <c r="AH301" s="256">
        <f>BD.PD[[#This Row],[Pago 5]]+BD.PD[[#This Row],[Pago 4]]+BD.PD[[#This Row],[Pago 3]]+BD.PD[[#This Row],[Pago 2]]+BD.PD[[#This Row],[Pago 1]]</f>
        <v>0</v>
      </c>
      <c r="AI301" s="318"/>
    </row>
    <row r="302" spans="1:35" ht="15" customHeight="1" x14ac:dyDescent="0.3">
      <c r="A302" s="181">
        <v>3.02</v>
      </c>
      <c r="B302" s="239" t="s">
        <v>306</v>
      </c>
      <c r="C302" s="240" t="str">
        <f>VLOOKUP(BD.PD[[#This Row],[Pos]],PPto[],3,FALSE)</f>
        <v>3.02 Supervisión Eléctrica</v>
      </c>
      <c r="D302" s="241" t="s">
        <v>306</v>
      </c>
      <c r="E302" s="242">
        <f>IF(BD.PD[[#This Row],[.]]="*",VLOOKUP(BD.PD[[#This Row],[Pos]],Presupuesto!A:H,7,FALSE),"")</f>
        <v>0</v>
      </c>
      <c r="F302" s="243"/>
      <c r="G302" s="243"/>
      <c r="H302" s="243"/>
      <c r="I302" s="244">
        <v>1</v>
      </c>
      <c r="J302" s="241" t="s">
        <v>188</v>
      </c>
      <c r="K302" s="245">
        <f>IF(BD.PD[[#This Row],[Mon]]="DOP",1,HLOOKUP(BD.PD[[#This Row],[Mon]],$J$1:$K$2,2,FALSE))</f>
        <v>60.7</v>
      </c>
      <c r="L302" s="246">
        <v>0</v>
      </c>
      <c r="M302" s="247">
        <f>BD.PD[[#This Row],[Cant.]]*BD.PD[[#This Row],[ Tasa ]]*BD.PD[[#This Row],[ Precio Und.]]</f>
        <v>0</v>
      </c>
      <c r="N302" s="248">
        <v>0</v>
      </c>
      <c r="O302" s="247">
        <f>IF(BD.PD[[#This Row],[Liquid. '[%']]]&lt;&gt;0,(BD.PD[[#This Row],[Valor Neto '[DOP']]]*BD.PD[[#This Row],[Liquid. '[%']]])+BD.PD[[#This Row],[Valor Neto '[DOP']]],BD.PD[[#This Row],[Valor Neto '[DOP']]])</f>
        <v>0</v>
      </c>
      <c r="P302" s="257">
        <f>BD.PD[[#This Row],[Ppto. Orden Interna '[DOP']]]/HLOOKUP("USD",$J$1:$K$2,2,FALSE)</f>
        <v>0</v>
      </c>
      <c r="Q302" s="250"/>
      <c r="R302" s="258"/>
      <c r="S302" s="251"/>
      <c r="T302" s="252"/>
      <c r="U302" s="259">
        <f>BD.PD[[#This Row],[Av.P1 '[%']]]*BD.PD[[#This Row],[Ppto. Orden Interna '[DOP']]]</f>
        <v>0</v>
      </c>
      <c r="V302" s="254"/>
      <c r="W302" s="255"/>
      <c r="X302" s="259">
        <f>BD.PD[[#This Row],[Av.P2 '[%']]]*BD.PD[[#This Row],[Ppto. Orden Interna '[DOP']]]</f>
        <v>0</v>
      </c>
      <c r="Y302" s="254"/>
      <c r="Z302" s="255"/>
      <c r="AA302" s="259">
        <f>BD.PD[[#This Row],[Av.P3 '[%']]]*BD.PD[[#This Row],[Ppto. Orden Interna '[DOP']]]</f>
        <v>0</v>
      </c>
      <c r="AB302" s="254"/>
      <c r="AC302" s="255"/>
      <c r="AD302" s="259">
        <f>BD.PD[[#This Row],[Av.P4 '[%']]]*BD.PD[[#This Row],[Ppto. Orden Interna '[DOP']]]</f>
        <v>0</v>
      </c>
      <c r="AE302" s="254"/>
      <c r="AF302" s="255"/>
      <c r="AG302" s="259">
        <f>BD.PD[[#This Row],[Av.P5 '[%']]]*BD.PD[[#This Row],[Ppto. Orden Interna '[DOP']]]</f>
        <v>0</v>
      </c>
      <c r="AH302" s="256">
        <f>BD.PD[[#This Row],[Pago 5]]+BD.PD[[#This Row],[Pago 4]]+BD.PD[[#This Row],[Pago 3]]+BD.PD[[#This Row],[Pago 2]]+BD.PD[[#This Row],[Pago 1]]</f>
        <v>0</v>
      </c>
      <c r="AI302" s="318"/>
    </row>
    <row r="303" spans="1:35" ht="15" customHeight="1" x14ac:dyDescent="0.3">
      <c r="A303" s="181">
        <v>3.03</v>
      </c>
      <c r="B303" s="239" t="s">
        <v>306</v>
      </c>
      <c r="C303" s="240" t="str">
        <f>VLOOKUP(BD.PD[[#This Row],[Pos]],PPto[],3,FALSE)</f>
        <v>3.03 Generadores</v>
      </c>
      <c r="D303" s="241" t="s">
        <v>306</v>
      </c>
      <c r="E303" s="242">
        <f>IF(BD.PD[[#This Row],[.]]="*",VLOOKUP(BD.PD[[#This Row],[Pos]],Presupuesto!A:H,7,FALSE),"")</f>
        <v>165254.22</v>
      </c>
      <c r="F303" s="243"/>
      <c r="G303" s="243"/>
      <c r="H303" s="243"/>
      <c r="I303" s="244">
        <v>1</v>
      </c>
      <c r="J303" s="241" t="s">
        <v>188</v>
      </c>
      <c r="K303" s="245">
        <f>IF(BD.PD[[#This Row],[Mon]]="DOP",1,HLOOKUP(BD.PD[[#This Row],[Mon]],$J$1:$K$2,2,FALSE))</f>
        <v>60.7</v>
      </c>
      <c r="L303" s="246">
        <v>0</v>
      </c>
      <c r="M303" s="247">
        <f>BD.PD[[#This Row],[Cant.]]*BD.PD[[#This Row],[ Tasa ]]*BD.PD[[#This Row],[ Precio Und.]]</f>
        <v>0</v>
      </c>
      <c r="N303" s="248">
        <v>0</v>
      </c>
      <c r="O303" s="247">
        <f>IF(BD.PD[[#This Row],[Liquid. '[%']]]&lt;&gt;0,(BD.PD[[#This Row],[Valor Neto '[DOP']]]*BD.PD[[#This Row],[Liquid. '[%']]])+BD.PD[[#This Row],[Valor Neto '[DOP']]],BD.PD[[#This Row],[Valor Neto '[DOP']]])</f>
        <v>0</v>
      </c>
      <c r="P303" s="257">
        <f>BD.PD[[#This Row],[Ppto. Orden Interna '[DOP']]]/HLOOKUP("USD",$J$1:$K$2,2,FALSE)</f>
        <v>0</v>
      </c>
      <c r="Q303" s="250"/>
      <c r="R303" s="258"/>
      <c r="S303" s="251"/>
      <c r="T303" s="252"/>
      <c r="U303" s="259">
        <f>BD.PD[[#This Row],[Av.P1 '[%']]]*BD.PD[[#This Row],[Ppto. Orden Interna '[DOP']]]</f>
        <v>0</v>
      </c>
      <c r="V303" s="254"/>
      <c r="W303" s="255"/>
      <c r="X303" s="259">
        <f>BD.PD[[#This Row],[Av.P2 '[%']]]*BD.PD[[#This Row],[Ppto. Orden Interna '[DOP']]]</f>
        <v>0</v>
      </c>
      <c r="Y303" s="254"/>
      <c r="Z303" s="255"/>
      <c r="AA303" s="259">
        <f>BD.PD[[#This Row],[Av.P3 '[%']]]*BD.PD[[#This Row],[Ppto. Orden Interna '[DOP']]]</f>
        <v>0</v>
      </c>
      <c r="AB303" s="254"/>
      <c r="AC303" s="255"/>
      <c r="AD303" s="259">
        <f>BD.PD[[#This Row],[Av.P4 '[%']]]*BD.PD[[#This Row],[Ppto. Orden Interna '[DOP']]]</f>
        <v>0</v>
      </c>
      <c r="AE303" s="254"/>
      <c r="AF303" s="255"/>
      <c r="AG303" s="259">
        <f>BD.PD[[#This Row],[Av.P5 '[%']]]*BD.PD[[#This Row],[Ppto. Orden Interna '[DOP']]]</f>
        <v>0</v>
      </c>
      <c r="AH303" s="256">
        <f>BD.PD[[#This Row],[Pago 5]]+BD.PD[[#This Row],[Pago 4]]+BD.PD[[#This Row],[Pago 3]]+BD.PD[[#This Row],[Pago 2]]+BD.PD[[#This Row],[Pago 1]]</f>
        <v>0</v>
      </c>
      <c r="AI303" s="318"/>
    </row>
    <row r="304" spans="1:35" ht="15" customHeight="1" x14ac:dyDescent="0.3">
      <c r="A304" s="181">
        <v>3.04</v>
      </c>
      <c r="B304" s="239" t="s">
        <v>306</v>
      </c>
      <c r="C304" s="240" t="str">
        <f>VLOOKUP(BD.PD[[#This Row],[Pos]],PPto[],3,FALSE)</f>
        <v>3.04 Inversor y UPS</v>
      </c>
      <c r="D304" s="241" t="s">
        <v>306</v>
      </c>
      <c r="E304" s="242">
        <f>IF(BD.PD[[#This Row],[.]]="*",VLOOKUP(BD.PD[[#This Row],[Pos]],Presupuesto!A:H,7,FALSE),"")</f>
        <v>15304.913597444089</v>
      </c>
      <c r="F304" s="243"/>
      <c r="G304" s="243"/>
      <c r="H304" s="243"/>
      <c r="I304" s="244">
        <v>1</v>
      </c>
      <c r="J304" s="241" t="s">
        <v>188</v>
      </c>
      <c r="K304" s="245">
        <f>IF(BD.PD[[#This Row],[Mon]]="DOP",1,HLOOKUP(BD.PD[[#This Row],[Mon]],$J$1:$K$2,2,FALSE))</f>
        <v>60.7</v>
      </c>
      <c r="L304" s="246">
        <v>0</v>
      </c>
      <c r="M304" s="247">
        <f>BD.PD[[#This Row],[Cant.]]*BD.PD[[#This Row],[ Tasa ]]*BD.PD[[#This Row],[ Precio Und.]]</f>
        <v>0</v>
      </c>
      <c r="N304" s="248">
        <v>0</v>
      </c>
      <c r="O304" s="247">
        <f>IF(BD.PD[[#This Row],[Liquid. '[%']]]&lt;&gt;0,(BD.PD[[#This Row],[Valor Neto '[DOP']]]*BD.PD[[#This Row],[Liquid. '[%']]])+BD.PD[[#This Row],[Valor Neto '[DOP']]],BD.PD[[#This Row],[Valor Neto '[DOP']]])</f>
        <v>0</v>
      </c>
      <c r="P304" s="257">
        <f>BD.PD[[#This Row],[Ppto. Orden Interna '[DOP']]]/HLOOKUP("USD",$J$1:$K$2,2,FALSE)</f>
        <v>0</v>
      </c>
      <c r="Q304" s="250"/>
      <c r="R304" s="258"/>
      <c r="S304" s="251"/>
      <c r="T304" s="252"/>
      <c r="U304" s="259">
        <f>BD.PD[[#This Row],[Av.P1 '[%']]]*BD.PD[[#This Row],[Ppto. Orden Interna '[DOP']]]</f>
        <v>0</v>
      </c>
      <c r="V304" s="254"/>
      <c r="W304" s="255"/>
      <c r="X304" s="259">
        <f>BD.PD[[#This Row],[Av.P2 '[%']]]*BD.PD[[#This Row],[Ppto. Orden Interna '[DOP']]]</f>
        <v>0</v>
      </c>
      <c r="Y304" s="254"/>
      <c r="Z304" s="255"/>
      <c r="AA304" s="259">
        <f>BD.PD[[#This Row],[Av.P3 '[%']]]*BD.PD[[#This Row],[Ppto. Orden Interna '[DOP']]]</f>
        <v>0</v>
      </c>
      <c r="AB304" s="254"/>
      <c r="AC304" s="255"/>
      <c r="AD304" s="259">
        <f>BD.PD[[#This Row],[Av.P4 '[%']]]*BD.PD[[#This Row],[Ppto. Orden Interna '[DOP']]]</f>
        <v>0</v>
      </c>
      <c r="AE304" s="254"/>
      <c r="AF304" s="255"/>
      <c r="AG304" s="259">
        <f>BD.PD[[#This Row],[Av.P5 '[%']]]*BD.PD[[#This Row],[Ppto. Orden Interna '[DOP']]]</f>
        <v>0</v>
      </c>
      <c r="AH304" s="256">
        <f>BD.PD[[#This Row],[Pago 5]]+BD.PD[[#This Row],[Pago 4]]+BD.PD[[#This Row],[Pago 3]]+BD.PD[[#This Row],[Pago 2]]+BD.PD[[#This Row],[Pago 1]]</f>
        <v>0</v>
      </c>
      <c r="AI304" s="318"/>
    </row>
    <row r="305" spans="1:35" ht="15" customHeight="1" x14ac:dyDescent="0.3">
      <c r="A305" s="181">
        <v>4.01</v>
      </c>
      <c r="B305" s="239" t="s">
        <v>306</v>
      </c>
      <c r="C305" s="240" t="str">
        <f>VLOOKUP(BD.PD[[#This Row],[Pos]],PPto[],3,FALSE)</f>
        <v>4.01 Suministro e instalación de Equipos</v>
      </c>
      <c r="D305" s="241" t="s">
        <v>306</v>
      </c>
      <c r="E305" s="242">
        <f>IF(BD.PD[[#This Row],[.]]="*",VLOOKUP(BD.PD[[#This Row],[Pos]],Presupuesto!A:H,7,FALSE),"")</f>
        <v>255437.67022763577</v>
      </c>
      <c r="F305" s="243"/>
      <c r="G305" s="243"/>
      <c r="H305" s="243"/>
      <c r="I305" s="244">
        <v>1</v>
      </c>
      <c r="J305" s="241" t="s">
        <v>188</v>
      </c>
      <c r="K305" s="245">
        <f>IF(BD.PD[[#This Row],[Mon]]="DOP",1,HLOOKUP(BD.PD[[#This Row],[Mon]],$J$1:$K$2,2,FALSE))</f>
        <v>60.7</v>
      </c>
      <c r="L305" s="246">
        <v>0</v>
      </c>
      <c r="M305" s="247">
        <f>BD.PD[[#This Row],[Cant.]]*BD.PD[[#This Row],[ Tasa ]]*BD.PD[[#This Row],[ Precio Und.]]</f>
        <v>0</v>
      </c>
      <c r="N305" s="248">
        <v>0</v>
      </c>
      <c r="O305" s="247">
        <f>IF(BD.PD[[#This Row],[Liquid. '[%']]]&lt;&gt;0,(BD.PD[[#This Row],[Valor Neto '[DOP']]]*BD.PD[[#This Row],[Liquid. '[%']]])+BD.PD[[#This Row],[Valor Neto '[DOP']]],BD.PD[[#This Row],[Valor Neto '[DOP']]])</f>
        <v>0</v>
      </c>
      <c r="P305" s="257">
        <f>BD.PD[[#This Row],[Ppto. Orden Interna '[DOP']]]/HLOOKUP("USD",$J$1:$K$2,2,FALSE)</f>
        <v>0</v>
      </c>
      <c r="Q305" s="250"/>
      <c r="R305" s="258"/>
      <c r="S305" s="251"/>
      <c r="T305" s="252"/>
      <c r="U305" s="259">
        <f>BD.PD[[#This Row],[Av.P1 '[%']]]*BD.PD[[#This Row],[Ppto. Orden Interna '[DOP']]]</f>
        <v>0</v>
      </c>
      <c r="V305" s="254"/>
      <c r="W305" s="255"/>
      <c r="X305" s="259">
        <f>BD.PD[[#This Row],[Av.P2 '[%']]]*BD.PD[[#This Row],[Ppto. Orden Interna '[DOP']]]</f>
        <v>0</v>
      </c>
      <c r="Y305" s="254"/>
      <c r="Z305" s="255"/>
      <c r="AA305" s="259">
        <f>BD.PD[[#This Row],[Av.P3 '[%']]]*BD.PD[[#This Row],[Ppto. Orden Interna '[DOP']]]</f>
        <v>0</v>
      </c>
      <c r="AB305" s="254"/>
      <c r="AC305" s="255"/>
      <c r="AD305" s="259">
        <f>BD.PD[[#This Row],[Av.P4 '[%']]]*BD.PD[[#This Row],[Ppto. Orden Interna '[DOP']]]</f>
        <v>0</v>
      </c>
      <c r="AE305" s="254"/>
      <c r="AF305" s="255"/>
      <c r="AG305" s="259">
        <f>BD.PD[[#This Row],[Av.P5 '[%']]]*BD.PD[[#This Row],[Ppto. Orden Interna '[DOP']]]</f>
        <v>0</v>
      </c>
      <c r="AH305" s="256">
        <f>BD.PD[[#This Row],[Pago 5]]+BD.PD[[#This Row],[Pago 4]]+BD.PD[[#This Row],[Pago 3]]+BD.PD[[#This Row],[Pago 2]]+BD.PD[[#This Row],[Pago 1]]</f>
        <v>0</v>
      </c>
      <c r="AI305" s="318"/>
    </row>
    <row r="306" spans="1:35" ht="15" customHeight="1" x14ac:dyDescent="0.3">
      <c r="A306" s="181">
        <v>4.0199999999999996</v>
      </c>
      <c r="B306" s="239" t="s">
        <v>306</v>
      </c>
      <c r="C306" s="240" t="str">
        <f>VLOOKUP(BD.PD[[#This Row],[Pos]],PPto[],3,FALSE)</f>
        <v>4.02 Supervisión Mecánica</v>
      </c>
      <c r="D306" s="241" t="s">
        <v>306</v>
      </c>
      <c r="E306" s="242">
        <f>IF(BD.PD[[#This Row],[.]]="*",VLOOKUP(BD.PD[[#This Row],[Pos]],Presupuesto!A:H,7,FALSE),"")</f>
        <v>0</v>
      </c>
      <c r="F306" s="243"/>
      <c r="G306" s="243"/>
      <c r="H306" s="243"/>
      <c r="I306" s="244">
        <v>1</v>
      </c>
      <c r="J306" s="241" t="s">
        <v>188</v>
      </c>
      <c r="K306" s="245">
        <f>IF(BD.PD[[#This Row],[Mon]]="DOP",1,HLOOKUP(BD.PD[[#This Row],[Mon]],$J$1:$K$2,2,FALSE))</f>
        <v>60.7</v>
      </c>
      <c r="L306" s="246">
        <v>0</v>
      </c>
      <c r="M306" s="247">
        <f>BD.PD[[#This Row],[Cant.]]*BD.PD[[#This Row],[ Tasa ]]*BD.PD[[#This Row],[ Precio Und.]]</f>
        <v>0</v>
      </c>
      <c r="N306" s="248">
        <v>0</v>
      </c>
      <c r="O306" s="247">
        <f>IF(BD.PD[[#This Row],[Liquid. '[%']]]&lt;&gt;0,(BD.PD[[#This Row],[Valor Neto '[DOP']]]*BD.PD[[#This Row],[Liquid. '[%']]])+BD.PD[[#This Row],[Valor Neto '[DOP']]],BD.PD[[#This Row],[Valor Neto '[DOP']]])</f>
        <v>0</v>
      </c>
      <c r="P306" s="257">
        <f>BD.PD[[#This Row],[Ppto. Orden Interna '[DOP']]]/HLOOKUP("USD",$J$1:$K$2,2,FALSE)</f>
        <v>0</v>
      </c>
      <c r="Q306" s="250"/>
      <c r="R306" s="258"/>
      <c r="S306" s="251"/>
      <c r="T306" s="252"/>
      <c r="U306" s="259">
        <f>BD.PD[[#This Row],[Av.P1 '[%']]]*BD.PD[[#This Row],[Ppto. Orden Interna '[DOP']]]</f>
        <v>0</v>
      </c>
      <c r="V306" s="254"/>
      <c r="W306" s="255"/>
      <c r="X306" s="259">
        <f>BD.PD[[#This Row],[Av.P2 '[%']]]*BD.PD[[#This Row],[Ppto. Orden Interna '[DOP']]]</f>
        <v>0</v>
      </c>
      <c r="Y306" s="254"/>
      <c r="Z306" s="255"/>
      <c r="AA306" s="259">
        <f>BD.PD[[#This Row],[Av.P3 '[%']]]*BD.PD[[#This Row],[Ppto. Orden Interna '[DOP']]]</f>
        <v>0</v>
      </c>
      <c r="AB306" s="254"/>
      <c r="AC306" s="255"/>
      <c r="AD306" s="259">
        <f>BD.PD[[#This Row],[Av.P4 '[%']]]*BD.PD[[#This Row],[Ppto. Orden Interna '[DOP']]]</f>
        <v>0</v>
      </c>
      <c r="AE306" s="254"/>
      <c r="AF306" s="255"/>
      <c r="AG306" s="259">
        <f>BD.PD[[#This Row],[Av.P5 '[%']]]*BD.PD[[#This Row],[Ppto. Orden Interna '[DOP']]]</f>
        <v>0</v>
      </c>
      <c r="AH306" s="256">
        <f>BD.PD[[#This Row],[Pago 5]]+BD.PD[[#This Row],[Pago 4]]+BD.PD[[#This Row],[Pago 3]]+BD.PD[[#This Row],[Pago 2]]+BD.PD[[#This Row],[Pago 1]]</f>
        <v>0</v>
      </c>
      <c r="AI306" s="318"/>
    </row>
    <row r="307" spans="1:35" ht="15" customHeight="1" x14ac:dyDescent="0.3">
      <c r="A307" s="181">
        <v>4.03</v>
      </c>
      <c r="B307" s="239" t="s">
        <v>306</v>
      </c>
      <c r="C307" s="240" t="str">
        <f>VLOOKUP(BD.PD[[#This Row],[Pos]],PPto[],3,FALSE)</f>
        <v>4.03 Sistema de Extracción cocina</v>
      </c>
      <c r="D307" s="241" t="s">
        <v>306</v>
      </c>
      <c r="E307" s="242">
        <f>IF(BD.PD[[#This Row],[.]]="*",VLOOKUP(BD.PD[[#This Row],[Pos]],Presupuesto!A:H,7,FALSE),"")</f>
        <v>18966.438498402556</v>
      </c>
      <c r="F307" s="243"/>
      <c r="G307" s="243"/>
      <c r="H307" s="243"/>
      <c r="I307" s="244">
        <v>1</v>
      </c>
      <c r="J307" s="241" t="s">
        <v>188</v>
      </c>
      <c r="K307" s="245">
        <f>IF(BD.PD[[#This Row],[Mon]]="DOP",1,HLOOKUP(BD.PD[[#This Row],[Mon]],$J$1:$K$2,2,FALSE))</f>
        <v>60.7</v>
      </c>
      <c r="L307" s="246">
        <v>0</v>
      </c>
      <c r="M307" s="247">
        <f>BD.PD[[#This Row],[Cant.]]*BD.PD[[#This Row],[ Tasa ]]*BD.PD[[#This Row],[ Precio Und.]]</f>
        <v>0</v>
      </c>
      <c r="N307" s="248">
        <v>0</v>
      </c>
      <c r="O307" s="247">
        <f>IF(BD.PD[[#This Row],[Liquid. '[%']]]&lt;&gt;0,(BD.PD[[#This Row],[Valor Neto '[DOP']]]*BD.PD[[#This Row],[Liquid. '[%']]])+BD.PD[[#This Row],[Valor Neto '[DOP']]],BD.PD[[#This Row],[Valor Neto '[DOP']]])</f>
        <v>0</v>
      </c>
      <c r="P307" s="257">
        <f>BD.PD[[#This Row],[Ppto. Orden Interna '[DOP']]]/HLOOKUP("USD",$J$1:$K$2,2,FALSE)</f>
        <v>0</v>
      </c>
      <c r="Q307" s="250"/>
      <c r="R307" s="258"/>
      <c r="S307" s="251"/>
      <c r="T307" s="252"/>
      <c r="U307" s="259">
        <f>BD.PD[[#This Row],[Av.P1 '[%']]]*BD.PD[[#This Row],[Ppto. Orden Interna '[DOP']]]</f>
        <v>0</v>
      </c>
      <c r="V307" s="254"/>
      <c r="W307" s="255"/>
      <c r="X307" s="259">
        <f>BD.PD[[#This Row],[Av.P2 '[%']]]*BD.PD[[#This Row],[Ppto. Orden Interna '[DOP']]]</f>
        <v>0</v>
      </c>
      <c r="Y307" s="254"/>
      <c r="Z307" s="255"/>
      <c r="AA307" s="259">
        <f>BD.PD[[#This Row],[Av.P3 '[%']]]*BD.PD[[#This Row],[Ppto. Orden Interna '[DOP']]]</f>
        <v>0</v>
      </c>
      <c r="AB307" s="254"/>
      <c r="AC307" s="255"/>
      <c r="AD307" s="259">
        <f>BD.PD[[#This Row],[Av.P4 '[%']]]*BD.PD[[#This Row],[Ppto. Orden Interna '[DOP']]]</f>
        <v>0</v>
      </c>
      <c r="AE307" s="254"/>
      <c r="AF307" s="255"/>
      <c r="AG307" s="259">
        <f>BD.PD[[#This Row],[Av.P5 '[%']]]*BD.PD[[#This Row],[Ppto. Orden Interna '[DOP']]]</f>
        <v>0</v>
      </c>
      <c r="AH307" s="256">
        <f>BD.PD[[#This Row],[Pago 5]]+BD.PD[[#This Row],[Pago 4]]+BD.PD[[#This Row],[Pago 3]]+BD.PD[[#This Row],[Pago 2]]+BD.PD[[#This Row],[Pago 1]]</f>
        <v>0</v>
      </c>
      <c r="AI307" s="318"/>
    </row>
    <row r="308" spans="1:35" ht="15" customHeight="1" x14ac:dyDescent="0.3">
      <c r="A308" s="181">
        <v>5.01</v>
      </c>
      <c r="B308" s="239" t="s">
        <v>306</v>
      </c>
      <c r="C308" s="240" t="str">
        <f>VLOOKUP(BD.PD[[#This Row],[Pos]],PPto[],3,FALSE)</f>
        <v>5.01 Paneles</v>
      </c>
      <c r="D308" s="241" t="s">
        <v>306</v>
      </c>
      <c r="E308" s="242">
        <f>IF(BD.PD[[#This Row],[.]]="*",VLOOKUP(BD.PD[[#This Row],[Pos]],Presupuesto!A:H,7,FALSE),"")</f>
        <v>157500</v>
      </c>
      <c r="F308" s="243"/>
      <c r="G308" s="243"/>
      <c r="H308" s="243"/>
      <c r="I308" s="244">
        <v>1</v>
      </c>
      <c r="J308" s="241" t="s">
        <v>188</v>
      </c>
      <c r="K308" s="245">
        <f>IF(BD.PD[[#This Row],[Mon]]="DOP",1,HLOOKUP(BD.PD[[#This Row],[Mon]],$J$1:$K$2,2,FALSE))</f>
        <v>60.7</v>
      </c>
      <c r="L308" s="246">
        <v>0</v>
      </c>
      <c r="M308" s="247">
        <f>BD.PD[[#This Row],[Cant.]]*BD.PD[[#This Row],[ Tasa ]]*BD.PD[[#This Row],[ Precio Und.]]</f>
        <v>0</v>
      </c>
      <c r="N308" s="248">
        <v>0</v>
      </c>
      <c r="O308" s="247">
        <f>IF(BD.PD[[#This Row],[Liquid. '[%']]]&lt;&gt;0,(BD.PD[[#This Row],[Valor Neto '[DOP']]]*BD.PD[[#This Row],[Liquid. '[%']]])+BD.PD[[#This Row],[Valor Neto '[DOP']]],BD.PD[[#This Row],[Valor Neto '[DOP']]])</f>
        <v>0</v>
      </c>
      <c r="P308" s="257">
        <f>BD.PD[[#This Row],[Ppto. Orden Interna '[DOP']]]/HLOOKUP("USD",$J$1:$K$2,2,FALSE)</f>
        <v>0</v>
      </c>
      <c r="Q308" s="250"/>
      <c r="R308" s="258"/>
      <c r="S308" s="251"/>
      <c r="T308" s="252"/>
      <c r="U308" s="259">
        <f>BD.PD[[#This Row],[Av.P1 '[%']]]*BD.PD[[#This Row],[Ppto. Orden Interna '[DOP']]]</f>
        <v>0</v>
      </c>
      <c r="V308" s="254"/>
      <c r="W308" s="255"/>
      <c r="X308" s="259">
        <f>BD.PD[[#This Row],[Av.P2 '[%']]]*BD.PD[[#This Row],[Ppto. Orden Interna '[DOP']]]</f>
        <v>0</v>
      </c>
      <c r="Y308" s="254"/>
      <c r="Z308" s="255"/>
      <c r="AA308" s="259">
        <f>BD.PD[[#This Row],[Av.P3 '[%']]]*BD.PD[[#This Row],[Ppto. Orden Interna '[DOP']]]</f>
        <v>0</v>
      </c>
      <c r="AB308" s="254"/>
      <c r="AC308" s="255"/>
      <c r="AD308" s="259">
        <f>BD.PD[[#This Row],[Av.P4 '[%']]]*BD.PD[[#This Row],[Ppto. Orden Interna '[DOP']]]</f>
        <v>0</v>
      </c>
      <c r="AE308" s="254"/>
      <c r="AF308" s="255"/>
      <c r="AG308" s="259">
        <f>BD.PD[[#This Row],[Av.P5 '[%']]]*BD.PD[[#This Row],[Ppto. Orden Interna '[DOP']]]</f>
        <v>0</v>
      </c>
      <c r="AH308" s="256">
        <f>BD.PD[[#This Row],[Pago 5]]+BD.PD[[#This Row],[Pago 4]]+BD.PD[[#This Row],[Pago 3]]+BD.PD[[#This Row],[Pago 2]]+BD.PD[[#This Row],[Pago 1]]</f>
        <v>0</v>
      </c>
      <c r="AI308" s="318"/>
    </row>
    <row r="309" spans="1:35" ht="15" customHeight="1" x14ac:dyDescent="0.3">
      <c r="A309" s="181">
        <v>5.0199999999999996</v>
      </c>
      <c r="B309" s="239" t="s">
        <v>306</v>
      </c>
      <c r="C309" s="240" t="str">
        <f>VLOOKUP(BD.PD[[#This Row],[Pos]],PPto[],3,FALSE)</f>
        <v>5.02 FRP y Diamond Plate</v>
      </c>
      <c r="D309" s="241" t="s">
        <v>306</v>
      </c>
      <c r="E309" s="242">
        <f>IF(BD.PD[[#This Row],[.]]="*",VLOOKUP(BD.PD[[#This Row],[Pos]],Presupuesto!A:H,7,FALSE),"")</f>
        <v>32571.3465</v>
      </c>
      <c r="F309" s="243"/>
      <c r="G309" s="243"/>
      <c r="H309" s="243"/>
      <c r="I309" s="244">
        <v>1</v>
      </c>
      <c r="J309" s="241" t="s">
        <v>188</v>
      </c>
      <c r="K309" s="245">
        <f>IF(BD.PD[[#This Row],[Mon]]="DOP",1,HLOOKUP(BD.PD[[#This Row],[Mon]],$J$1:$K$2,2,FALSE))</f>
        <v>60.7</v>
      </c>
      <c r="L309" s="246">
        <v>0</v>
      </c>
      <c r="M309" s="247">
        <f>BD.PD[[#This Row],[Cant.]]*BD.PD[[#This Row],[ Tasa ]]*BD.PD[[#This Row],[ Precio Und.]]</f>
        <v>0</v>
      </c>
      <c r="N309" s="248">
        <v>0</v>
      </c>
      <c r="O309" s="247">
        <f>IF(BD.PD[[#This Row],[Liquid. '[%']]]&lt;&gt;0,(BD.PD[[#This Row],[Valor Neto '[DOP']]]*BD.PD[[#This Row],[Liquid. '[%']]])+BD.PD[[#This Row],[Valor Neto '[DOP']]],BD.PD[[#This Row],[Valor Neto '[DOP']]])</f>
        <v>0</v>
      </c>
      <c r="P309" s="257">
        <f>BD.PD[[#This Row],[Ppto. Orden Interna '[DOP']]]/HLOOKUP("USD",$J$1:$K$2,2,FALSE)</f>
        <v>0</v>
      </c>
      <c r="Q309" s="250"/>
      <c r="R309" s="258"/>
      <c r="S309" s="251"/>
      <c r="T309" s="252"/>
      <c r="U309" s="259">
        <f>BD.PD[[#This Row],[Av.P1 '[%']]]*BD.PD[[#This Row],[Ppto. Orden Interna '[DOP']]]</f>
        <v>0</v>
      </c>
      <c r="V309" s="254"/>
      <c r="W309" s="255"/>
      <c r="X309" s="259">
        <f>BD.PD[[#This Row],[Av.P2 '[%']]]*BD.PD[[#This Row],[Ppto. Orden Interna '[DOP']]]</f>
        <v>0</v>
      </c>
      <c r="Y309" s="254"/>
      <c r="Z309" s="255"/>
      <c r="AA309" s="259">
        <f>BD.PD[[#This Row],[Av.P3 '[%']]]*BD.PD[[#This Row],[Ppto. Orden Interna '[DOP']]]</f>
        <v>0</v>
      </c>
      <c r="AB309" s="254"/>
      <c r="AC309" s="255"/>
      <c r="AD309" s="259">
        <f>BD.PD[[#This Row],[Av.P4 '[%']]]*BD.PD[[#This Row],[Ppto. Orden Interna '[DOP']]]</f>
        <v>0</v>
      </c>
      <c r="AE309" s="254"/>
      <c r="AF309" s="255"/>
      <c r="AG309" s="259">
        <f>BD.PD[[#This Row],[Av.P5 '[%']]]*BD.PD[[#This Row],[Ppto. Orden Interna '[DOP']]]</f>
        <v>0</v>
      </c>
      <c r="AH309" s="256">
        <f>BD.PD[[#This Row],[Pago 5]]+BD.PD[[#This Row],[Pago 4]]+BD.PD[[#This Row],[Pago 3]]+BD.PD[[#This Row],[Pago 2]]+BD.PD[[#This Row],[Pago 1]]</f>
        <v>0</v>
      </c>
      <c r="AI309" s="318"/>
    </row>
    <row r="310" spans="1:35" ht="15" customHeight="1" x14ac:dyDescent="0.3">
      <c r="A310" s="181">
        <v>5.0199999999999996</v>
      </c>
      <c r="B310" s="239"/>
      <c r="C310" s="240" t="str">
        <f>VLOOKUP(BD.PD[[#This Row],[Pos]],PPto[],3,FALSE)</f>
        <v>5.02 FRP y Diamond Plate</v>
      </c>
      <c r="D310" s="181" t="s">
        <v>40</v>
      </c>
      <c r="E310" s="242" t="str">
        <f>IF(BD.PD[[#This Row],[.]]="*",VLOOKUP(BD.PD[[#This Row],[Pos]],Presupuesto!A:H,7,FALSE),"")</f>
        <v/>
      </c>
      <c r="F310" s="387" t="s">
        <v>1058</v>
      </c>
      <c r="G310" s="243">
        <v>4513050225</v>
      </c>
      <c r="H310" s="275">
        <v>45141</v>
      </c>
      <c r="I310" s="276">
        <v>1</v>
      </c>
      <c r="J310" s="307" t="s">
        <v>188</v>
      </c>
      <c r="K310" s="245">
        <f>IF(BD.PD[[#This Row],[Mon]]="DOP",1,HLOOKUP(BD.PD[[#This Row],[Mon]],$J$1:$K$2,2,FALSE))</f>
        <v>60.7</v>
      </c>
      <c r="L310" s="388">
        <v>125834.42</v>
      </c>
      <c r="M310" s="247">
        <f>BD.PD[[#This Row],[Cant.]]*BD.PD[[#This Row],[ Tasa ]]*BD.PD[[#This Row],[ Precio Und.]]</f>
        <v>7638149.2940000007</v>
      </c>
      <c r="N310" s="278"/>
      <c r="O310" s="247">
        <f>IF(BD.PD[[#This Row],[Liquid. '[%']]]&lt;&gt;0,(BD.PD[[#This Row],[Valor Neto '[DOP']]]*BD.PD[[#This Row],[Liquid. '[%']]])+BD.PD[[#This Row],[Valor Neto '[DOP']]],BD.PD[[#This Row],[Valor Neto '[DOP']]])</f>
        <v>7638149.2940000007</v>
      </c>
      <c r="P310" s="257">
        <f>BD.PD[[#This Row],[Ppto. Orden Interna '[DOP']]]/HLOOKUP("USD",$J$1:$K$2,2,FALSE)</f>
        <v>125834.42</v>
      </c>
      <c r="Q310" s="250"/>
      <c r="R310" s="258"/>
      <c r="S310" s="251">
        <v>21</v>
      </c>
      <c r="T310" s="252">
        <v>0.5</v>
      </c>
      <c r="U310" s="259">
        <f>BD.PD[[#This Row],[Av.P1 '[%']]]*BD.PD[[#This Row],[Ppto. Orden Interna '[DOP']]]</f>
        <v>3819074.6470000003</v>
      </c>
      <c r="V310" s="254">
        <v>21</v>
      </c>
      <c r="W310" s="255">
        <v>0.5</v>
      </c>
      <c r="X310" s="259">
        <f>BD.PD[[#This Row],[Av.P2 '[%']]]*BD.PD[[#This Row],[Ppto. Orden Interna '[DOP']]]</f>
        <v>3819074.6470000003</v>
      </c>
      <c r="Y310" s="254"/>
      <c r="Z310" s="255"/>
      <c r="AA310" s="259">
        <f>BD.PD[[#This Row],[Av.P3 '[%']]]*BD.PD[[#This Row],[Ppto. Orden Interna '[DOP']]]</f>
        <v>0</v>
      </c>
      <c r="AB310" s="254"/>
      <c r="AC310" s="255"/>
      <c r="AD310" s="259">
        <f>BD.PD[[#This Row],[Av.P4 '[%']]]*BD.PD[[#This Row],[Ppto. Orden Interna '[DOP']]]</f>
        <v>0</v>
      </c>
      <c r="AE310" s="254"/>
      <c r="AF310" s="255"/>
      <c r="AG310" s="259">
        <f>BD.PD[[#This Row],[Av.P5 '[%']]]*BD.PD[[#This Row],[Ppto. Orden Interna '[DOP']]]</f>
        <v>0</v>
      </c>
      <c r="AH310" s="256">
        <f>BD.PD[[#This Row],[Pago 5]]+BD.PD[[#This Row],[Pago 4]]+BD.PD[[#This Row],[Pago 3]]+BD.PD[[#This Row],[Pago 2]]+BD.PD[[#This Row],[Pago 1]]</f>
        <v>7638149.2940000007</v>
      </c>
      <c r="AI310" s="318"/>
    </row>
    <row r="311" spans="1:35" ht="15" customHeight="1" x14ac:dyDescent="0.3">
      <c r="A311" s="181">
        <v>5.03</v>
      </c>
      <c r="B311" s="239" t="s">
        <v>306</v>
      </c>
      <c r="C311" s="240" t="str">
        <f>VLOOKUP(BD.PD[[#This Row],[Pos]],PPto[],3,FALSE)</f>
        <v>5.03 Neveras, Centrales y Evaporadores</v>
      </c>
      <c r="D311" s="241" t="s">
        <v>306</v>
      </c>
      <c r="E311" s="242">
        <f>IF(BD.PD[[#This Row],[.]]="*",VLOOKUP(BD.PD[[#This Row],[Pos]],Presupuesto!A:H,7,FALSE),"")</f>
        <v>545308.28391773161</v>
      </c>
      <c r="F311" s="243"/>
      <c r="G311" s="243"/>
      <c r="H311" s="243"/>
      <c r="I311" s="244">
        <v>1</v>
      </c>
      <c r="J311" s="241" t="s">
        <v>188</v>
      </c>
      <c r="K311" s="245">
        <f>IF(BD.PD[[#This Row],[Mon]]="DOP",1,HLOOKUP(BD.PD[[#This Row],[Mon]],$J$1:$K$2,2,FALSE))</f>
        <v>60.7</v>
      </c>
      <c r="L311" s="246">
        <v>0</v>
      </c>
      <c r="M311" s="247">
        <f>BD.PD[[#This Row],[Cant.]]*BD.PD[[#This Row],[ Tasa ]]*BD.PD[[#This Row],[ Precio Und.]]</f>
        <v>0</v>
      </c>
      <c r="N311" s="248">
        <v>0</v>
      </c>
      <c r="O311" s="247">
        <f>IF(BD.PD[[#This Row],[Liquid. '[%']]]&lt;&gt;0,(BD.PD[[#This Row],[Valor Neto '[DOP']]]*BD.PD[[#This Row],[Liquid. '[%']]])+BD.PD[[#This Row],[Valor Neto '[DOP']]],BD.PD[[#This Row],[Valor Neto '[DOP']]])</f>
        <v>0</v>
      </c>
      <c r="P311" s="257">
        <f>BD.PD[[#This Row],[Ppto. Orden Interna '[DOP']]]/HLOOKUP("USD",$J$1:$K$2,2,FALSE)</f>
        <v>0</v>
      </c>
      <c r="Q311" s="250"/>
      <c r="R311" s="258"/>
      <c r="S311" s="251"/>
      <c r="T311" s="252"/>
      <c r="U311" s="259">
        <f>BD.PD[[#This Row],[Av.P1 '[%']]]*BD.PD[[#This Row],[Ppto. Orden Interna '[DOP']]]</f>
        <v>0</v>
      </c>
      <c r="V311" s="254"/>
      <c r="W311" s="255"/>
      <c r="X311" s="259">
        <f>BD.PD[[#This Row],[Av.P2 '[%']]]*BD.PD[[#This Row],[Ppto. Orden Interna '[DOP']]]</f>
        <v>0</v>
      </c>
      <c r="Y311" s="254"/>
      <c r="Z311" s="255"/>
      <c r="AA311" s="259">
        <f>BD.PD[[#This Row],[Av.P3 '[%']]]*BD.PD[[#This Row],[Ppto. Orden Interna '[DOP']]]</f>
        <v>0</v>
      </c>
      <c r="AB311" s="254"/>
      <c r="AC311" s="255"/>
      <c r="AD311" s="259">
        <f>BD.PD[[#This Row],[Av.P4 '[%']]]*BD.PD[[#This Row],[Ppto. Orden Interna '[DOP']]]</f>
        <v>0</v>
      </c>
      <c r="AE311" s="254"/>
      <c r="AF311" s="255"/>
      <c r="AG311" s="259">
        <f>BD.PD[[#This Row],[Av.P5 '[%']]]*BD.PD[[#This Row],[Ppto. Orden Interna '[DOP']]]</f>
        <v>0</v>
      </c>
      <c r="AH311" s="256">
        <f>BD.PD[[#This Row],[Pago 5]]+BD.PD[[#This Row],[Pago 4]]+BD.PD[[#This Row],[Pago 3]]+BD.PD[[#This Row],[Pago 2]]+BD.PD[[#This Row],[Pago 1]]</f>
        <v>0</v>
      </c>
      <c r="AI311" s="318"/>
    </row>
    <row r="312" spans="1:35" ht="15" customHeight="1" x14ac:dyDescent="0.3">
      <c r="A312" s="181">
        <v>5.04</v>
      </c>
      <c r="B312" s="239" t="s">
        <v>306</v>
      </c>
      <c r="C312" s="240" t="str">
        <f>VLOOKUP(BD.PD[[#This Row],[Pos]],PPto[],3,FALSE)</f>
        <v>5.04 Bumpers Mcue/ Rack</v>
      </c>
      <c r="D312" s="241" t="s">
        <v>306</v>
      </c>
      <c r="E312" s="242">
        <f>IF(BD.PD[[#This Row],[.]]="*",VLOOKUP(BD.PD[[#This Row],[Pos]],Presupuesto!A:H,7,FALSE),"")</f>
        <v>28768.600000000006</v>
      </c>
      <c r="F312" s="243"/>
      <c r="G312" s="243"/>
      <c r="H312" s="243"/>
      <c r="I312" s="244">
        <v>1</v>
      </c>
      <c r="J312" s="241" t="s">
        <v>188</v>
      </c>
      <c r="K312" s="245">
        <f>IF(BD.PD[[#This Row],[Mon]]="DOP",1,HLOOKUP(BD.PD[[#This Row],[Mon]],$J$1:$K$2,2,FALSE))</f>
        <v>60.7</v>
      </c>
      <c r="L312" s="246">
        <v>0</v>
      </c>
      <c r="M312" s="247">
        <f>BD.PD[[#This Row],[Cant.]]*BD.PD[[#This Row],[ Tasa ]]*BD.PD[[#This Row],[ Precio Und.]]</f>
        <v>0</v>
      </c>
      <c r="N312" s="248">
        <v>0</v>
      </c>
      <c r="O312" s="247">
        <f>IF(BD.PD[[#This Row],[Liquid. '[%']]]&lt;&gt;0,(BD.PD[[#This Row],[Valor Neto '[DOP']]]*BD.PD[[#This Row],[Liquid. '[%']]])+BD.PD[[#This Row],[Valor Neto '[DOP']]],BD.PD[[#This Row],[Valor Neto '[DOP']]])</f>
        <v>0</v>
      </c>
      <c r="P312" s="257">
        <f>BD.PD[[#This Row],[Ppto. Orden Interna '[DOP']]]/HLOOKUP("USD",$J$1:$K$2,2,FALSE)</f>
        <v>0</v>
      </c>
      <c r="Q312" s="250"/>
      <c r="R312" s="258"/>
      <c r="S312" s="251"/>
      <c r="T312" s="252"/>
      <c r="U312" s="259">
        <f>BD.PD[[#This Row],[Av.P1 '[%']]]*BD.PD[[#This Row],[Ppto. Orden Interna '[DOP']]]</f>
        <v>0</v>
      </c>
      <c r="V312" s="254"/>
      <c r="W312" s="255"/>
      <c r="X312" s="259">
        <f>BD.PD[[#This Row],[Av.P2 '[%']]]*BD.PD[[#This Row],[Ppto. Orden Interna '[DOP']]]</f>
        <v>0</v>
      </c>
      <c r="Y312" s="254"/>
      <c r="Z312" s="255"/>
      <c r="AA312" s="259">
        <f>BD.PD[[#This Row],[Av.P3 '[%']]]*BD.PD[[#This Row],[Ppto. Orden Interna '[DOP']]]</f>
        <v>0</v>
      </c>
      <c r="AB312" s="254"/>
      <c r="AC312" s="255"/>
      <c r="AD312" s="259">
        <f>BD.PD[[#This Row],[Av.P4 '[%']]]*BD.PD[[#This Row],[Ppto. Orden Interna '[DOP']]]</f>
        <v>0</v>
      </c>
      <c r="AE312" s="254"/>
      <c r="AF312" s="255"/>
      <c r="AG312" s="259">
        <f>BD.PD[[#This Row],[Av.P5 '[%']]]*BD.PD[[#This Row],[Ppto. Orden Interna '[DOP']]]</f>
        <v>0</v>
      </c>
      <c r="AH312" s="256">
        <f>BD.PD[[#This Row],[Pago 5]]+BD.PD[[#This Row],[Pago 4]]+BD.PD[[#This Row],[Pago 3]]+BD.PD[[#This Row],[Pago 2]]+BD.PD[[#This Row],[Pago 1]]</f>
        <v>0</v>
      </c>
      <c r="AI312" s="318"/>
    </row>
    <row r="313" spans="1:35" ht="15" customHeight="1" x14ac:dyDescent="0.3">
      <c r="A313" s="181">
        <v>5.05</v>
      </c>
      <c r="B313" s="239" t="s">
        <v>306</v>
      </c>
      <c r="C313" s="240" t="str">
        <f>VLOOKUP(BD.PD[[#This Row],[Pos]],PPto[],3,FALSE)</f>
        <v xml:space="preserve">5.05 Trameria Cuarto Frio </v>
      </c>
      <c r="D313" s="241" t="s">
        <v>306</v>
      </c>
      <c r="E313" s="242">
        <f>IF(BD.PD[[#This Row],[.]]="*",VLOOKUP(BD.PD[[#This Row],[Pos]],Presupuesto!A:H,7,FALSE),"")</f>
        <v>37028.753993610226</v>
      </c>
      <c r="F313" s="243"/>
      <c r="G313" s="243"/>
      <c r="H313" s="243"/>
      <c r="I313" s="244">
        <v>1</v>
      </c>
      <c r="J313" s="241" t="s">
        <v>188</v>
      </c>
      <c r="K313" s="245">
        <f>IF(BD.PD[[#This Row],[Mon]]="DOP",1,HLOOKUP(BD.PD[[#This Row],[Mon]],$J$1:$K$2,2,FALSE))</f>
        <v>60.7</v>
      </c>
      <c r="L313" s="246">
        <v>0</v>
      </c>
      <c r="M313" s="247">
        <f>BD.PD[[#This Row],[Cant.]]*BD.PD[[#This Row],[ Tasa ]]*BD.PD[[#This Row],[ Precio Und.]]</f>
        <v>0</v>
      </c>
      <c r="N313" s="248">
        <v>0</v>
      </c>
      <c r="O313" s="247">
        <f>IF(BD.PD[[#This Row],[Liquid. '[%']]]&lt;&gt;0,(BD.PD[[#This Row],[Valor Neto '[DOP']]]*BD.PD[[#This Row],[Liquid. '[%']]])+BD.PD[[#This Row],[Valor Neto '[DOP']]],BD.PD[[#This Row],[Valor Neto '[DOP']]])</f>
        <v>0</v>
      </c>
      <c r="P313" s="257">
        <f>BD.PD[[#This Row],[Ppto. Orden Interna '[DOP']]]/HLOOKUP("USD",$J$1:$K$2,2,FALSE)</f>
        <v>0</v>
      </c>
      <c r="Q313" s="250"/>
      <c r="R313" s="258"/>
      <c r="S313" s="251"/>
      <c r="T313" s="252"/>
      <c r="U313" s="259">
        <f>BD.PD[[#This Row],[Av.P1 '[%']]]*BD.PD[[#This Row],[Ppto. Orden Interna '[DOP']]]</f>
        <v>0</v>
      </c>
      <c r="V313" s="254"/>
      <c r="W313" s="255"/>
      <c r="X313" s="259">
        <f>BD.PD[[#This Row],[Av.P2 '[%']]]*BD.PD[[#This Row],[Ppto. Orden Interna '[DOP']]]</f>
        <v>0</v>
      </c>
      <c r="Y313" s="254"/>
      <c r="Z313" s="255"/>
      <c r="AA313" s="259">
        <f>BD.PD[[#This Row],[Av.P3 '[%']]]*BD.PD[[#This Row],[Ppto. Orden Interna '[DOP']]]</f>
        <v>0</v>
      </c>
      <c r="AB313" s="254"/>
      <c r="AC313" s="255"/>
      <c r="AD313" s="259">
        <f>BD.PD[[#This Row],[Av.P4 '[%']]]*BD.PD[[#This Row],[Ppto. Orden Interna '[DOP']]]</f>
        <v>0</v>
      </c>
      <c r="AE313" s="254"/>
      <c r="AF313" s="255"/>
      <c r="AG313" s="259">
        <f>BD.PD[[#This Row],[Av.P5 '[%']]]*BD.PD[[#This Row],[Ppto. Orden Interna '[DOP']]]</f>
        <v>0</v>
      </c>
      <c r="AH313" s="256">
        <f>BD.PD[[#This Row],[Pago 5]]+BD.PD[[#This Row],[Pago 4]]+BD.PD[[#This Row],[Pago 3]]+BD.PD[[#This Row],[Pago 2]]+BD.PD[[#This Row],[Pago 1]]</f>
        <v>0</v>
      </c>
      <c r="AI313" s="318"/>
    </row>
    <row r="314" spans="1:35" ht="15" customHeight="1" x14ac:dyDescent="0.3">
      <c r="A314" s="181">
        <v>5.0599999999999996</v>
      </c>
      <c r="B314" s="239" t="s">
        <v>306</v>
      </c>
      <c r="C314" s="240" t="str">
        <f>VLOOKUP(BD.PD[[#This Row],[Pos]],PPto[],3,FALSE)</f>
        <v xml:space="preserve">5.06 Instalacion Frio Alimentario </v>
      </c>
      <c r="D314" s="241" t="s">
        <v>306</v>
      </c>
      <c r="E314" s="242">
        <f>IF(BD.PD[[#This Row],[.]]="*",VLOOKUP(BD.PD[[#This Row],[Pos]],Presupuesto!A:H,7,FALSE),"")</f>
        <v>168492.01277955272</v>
      </c>
      <c r="F314" s="243"/>
      <c r="G314" s="243"/>
      <c r="H314" s="243"/>
      <c r="I314" s="244">
        <v>1</v>
      </c>
      <c r="J314" s="241" t="s">
        <v>188</v>
      </c>
      <c r="K314" s="245">
        <f>IF(BD.PD[[#This Row],[Mon]]="DOP",1,HLOOKUP(BD.PD[[#This Row],[Mon]],$J$1:$K$2,2,FALSE))</f>
        <v>60.7</v>
      </c>
      <c r="L314" s="246">
        <v>0</v>
      </c>
      <c r="M314" s="247">
        <f>BD.PD[[#This Row],[Cant.]]*BD.PD[[#This Row],[ Tasa ]]*BD.PD[[#This Row],[ Precio Und.]]</f>
        <v>0</v>
      </c>
      <c r="N314" s="248">
        <v>0</v>
      </c>
      <c r="O314" s="247">
        <f>IF(BD.PD[[#This Row],[Liquid. '[%']]]&lt;&gt;0,(BD.PD[[#This Row],[Valor Neto '[DOP']]]*BD.PD[[#This Row],[Liquid. '[%']]])+BD.PD[[#This Row],[Valor Neto '[DOP']]],BD.PD[[#This Row],[Valor Neto '[DOP']]])</f>
        <v>0</v>
      </c>
      <c r="P314" s="257">
        <f>BD.PD[[#This Row],[Ppto. Orden Interna '[DOP']]]/HLOOKUP("USD",$J$1:$K$2,2,FALSE)</f>
        <v>0</v>
      </c>
      <c r="Q314" s="250"/>
      <c r="R314" s="258"/>
      <c r="S314" s="251"/>
      <c r="T314" s="252"/>
      <c r="U314" s="259">
        <f>BD.PD[[#This Row],[Av.P1 '[%']]]*BD.PD[[#This Row],[Ppto. Orden Interna '[DOP']]]</f>
        <v>0</v>
      </c>
      <c r="V314" s="254"/>
      <c r="W314" s="255"/>
      <c r="X314" s="259">
        <f>BD.PD[[#This Row],[Av.P2 '[%']]]*BD.PD[[#This Row],[Ppto. Orden Interna '[DOP']]]</f>
        <v>0</v>
      </c>
      <c r="Y314" s="254"/>
      <c r="Z314" s="255"/>
      <c r="AA314" s="259">
        <f>BD.PD[[#This Row],[Av.P3 '[%']]]*BD.PD[[#This Row],[Ppto. Orden Interna '[DOP']]]</f>
        <v>0</v>
      </c>
      <c r="AB314" s="254"/>
      <c r="AC314" s="255"/>
      <c r="AD314" s="259">
        <f>BD.PD[[#This Row],[Av.P4 '[%']]]*BD.PD[[#This Row],[Ppto. Orden Interna '[DOP']]]</f>
        <v>0</v>
      </c>
      <c r="AE314" s="254"/>
      <c r="AF314" s="255"/>
      <c r="AG314" s="259">
        <f>BD.PD[[#This Row],[Av.P5 '[%']]]*BD.PD[[#This Row],[Ppto. Orden Interna '[DOP']]]</f>
        <v>0</v>
      </c>
      <c r="AH314" s="256">
        <f>BD.PD[[#This Row],[Pago 5]]+BD.PD[[#This Row],[Pago 4]]+BD.PD[[#This Row],[Pago 3]]+BD.PD[[#This Row],[Pago 2]]+BD.PD[[#This Row],[Pago 1]]</f>
        <v>0</v>
      </c>
      <c r="AI314" s="318"/>
    </row>
    <row r="315" spans="1:35" ht="15" customHeight="1" x14ac:dyDescent="0.3">
      <c r="A315" s="181">
        <v>5.07</v>
      </c>
      <c r="B315" s="239" t="s">
        <v>306</v>
      </c>
      <c r="C315" s="240" t="str">
        <f>VLOOKUP(BD.PD[[#This Row],[Pos]],PPto[],3,FALSE)</f>
        <v>5.07 Chase Doors</v>
      </c>
      <c r="D315" s="241" t="s">
        <v>306</v>
      </c>
      <c r="E315" s="242">
        <f>IF(BD.PD[[#This Row],[.]]="*",VLOOKUP(BD.PD[[#This Row],[Pos]],Presupuesto!A:H,7,FALSE),"")</f>
        <v>73693.434500000003</v>
      </c>
      <c r="F315" s="243"/>
      <c r="G315" s="243"/>
      <c r="H315" s="243"/>
      <c r="I315" s="244">
        <v>1</v>
      </c>
      <c r="J315" s="241" t="s">
        <v>188</v>
      </c>
      <c r="K315" s="245">
        <f>IF(BD.PD[[#This Row],[Mon]]="DOP",1,HLOOKUP(BD.PD[[#This Row],[Mon]],$J$1:$K$2,2,FALSE))</f>
        <v>60.7</v>
      </c>
      <c r="L315" s="246">
        <v>0</v>
      </c>
      <c r="M315" s="247">
        <f>BD.PD[[#This Row],[Cant.]]*BD.PD[[#This Row],[ Tasa ]]*BD.PD[[#This Row],[ Precio Und.]]</f>
        <v>0</v>
      </c>
      <c r="N315" s="248">
        <v>0</v>
      </c>
      <c r="O315" s="247">
        <f>IF(BD.PD[[#This Row],[Liquid. '[%']]]&lt;&gt;0,(BD.PD[[#This Row],[Valor Neto '[DOP']]]*BD.PD[[#This Row],[Liquid. '[%']]])+BD.PD[[#This Row],[Valor Neto '[DOP']]],BD.PD[[#This Row],[Valor Neto '[DOP']]])</f>
        <v>0</v>
      </c>
      <c r="P315" s="257">
        <f>BD.PD[[#This Row],[Ppto. Orden Interna '[DOP']]]/HLOOKUP("USD",$J$1:$K$2,2,FALSE)</f>
        <v>0</v>
      </c>
      <c r="Q315" s="250"/>
      <c r="R315" s="258"/>
      <c r="S315" s="251"/>
      <c r="T315" s="252"/>
      <c r="U315" s="259">
        <f>BD.PD[[#This Row],[Av.P1 '[%']]]*BD.PD[[#This Row],[Ppto. Orden Interna '[DOP']]]</f>
        <v>0</v>
      </c>
      <c r="V315" s="254"/>
      <c r="W315" s="255"/>
      <c r="X315" s="259">
        <f>BD.PD[[#This Row],[Av.P2 '[%']]]*BD.PD[[#This Row],[Ppto. Orden Interna '[DOP']]]</f>
        <v>0</v>
      </c>
      <c r="Y315" s="254"/>
      <c r="Z315" s="255"/>
      <c r="AA315" s="259">
        <f>BD.PD[[#This Row],[Av.P3 '[%']]]*BD.PD[[#This Row],[Ppto. Orden Interna '[DOP']]]</f>
        <v>0</v>
      </c>
      <c r="AB315" s="254"/>
      <c r="AC315" s="255"/>
      <c r="AD315" s="259">
        <f>BD.PD[[#This Row],[Av.P4 '[%']]]*BD.PD[[#This Row],[Ppto. Orden Interna '[DOP']]]</f>
        <v>0</v>
      </c>
      <c r="AE315" s="254"/>
      <c r="AF315" s="255"/>
      <c r="AG315" s="259">
        <f>BD.PD[[#This Row],[Av.P5 '[%']]]*BD.PD[[#This Row],[Ppto. Orden Interna '[DOP']]]</f>
        <v>0</v>
      </c>
      <c r="AH315" s="256">
        <f>BD.PD[[#This Row],[Pago 5]]+BD.PD[[#This Row],[Pago 4]]+BD.PD[[#This Row],[Pago 3]]+BD.PD[[#This Row],[Pago 2]]+BD.PD[[#This Row],[Pago 1]]</f>
        <v>0</v>
      </c>
      <c r="AI315" s="318"/>
    </row>
    <row r="316" spans="1:35" ht="15" customHeight="1" x14ac:dyDescent="0.3">
      <c r="A316" s="181">
        <v>6.01</v>
      </c>
      <c r="B316" s="239" t="s">
        <v>306</v>
      </c>
      <c r="C316" s="240" t="str">
        <f>VLOOKUP(BD.PD[[#This Row],[Pos]],PPto[],3,FALSE)</f>
        <v>6.01 Sistema de cámaras CCTV</v>
      </c>
      <c r="D316" s="241" t="s">
        <v>306</v>
      </c>
      <c r="E316" s="242">
        <f>IF(BD.PD[[#This Row],[.]]="*",VLOOKUP(BD.PD[[#This Row],[Pos]],Presupuesto!A:H,7,FALSE),"")</f>
        <v>0</v>
      </c>
      <c r="F316" s="243"/>
      <c r="G316" s="243"/>
      <c r="H316" s="243"/>
      <c r="I316" s="244">
        <v>1</v>
      </c>
      <c r="J316" s="241" t="s">
        <v>188</v>
      </c>
      <c r="K316" s="245">
        <f>IF(BD.PD[[#This Row],[Mon]]="DOP",1,HLOOKUP(BD.PD[[#This Row],[Mon]],$J$1:$K$2,2,FALSE))</f>
        <v>60.7</v>
      </c>
      <c r="L316" s="246">
        <v>0</v>
      </c>
      <c r="M316" s="247">
        <f>BD.PD[[#This Row],[Cant.]]*BD.PD[[#This Row],[ Tasa ]]*BD.PD[[#This Row],[ Precio Und.]]</f>
        <v>0</v>
      </c>
      <c r="N316" s="248">
        <v>0</v>
      </c>
      <c r="O316" s="247">
        <f>IF(BD.PD[[#This Row],[Liquid. '[%']]]&lt;&gt;0,(BD.PD[[#This Row],[Valor Neto '[DOP']]]*BD.PD[[#This Row],[Liquid. '[%']]])+BD.PD[[#This Row],[Valor Neto '[DOP']]],BD.PD[[#This Row],[Valor Neto '[DOP']]])</f>
        <v>0</v>
      </c>
      <c r="P316" s="257">
        <f>BD.PD[[#This Row],[Ppto. Orden Interna '[DOP']]]/HLOOKUP("USD",$J$1:$K$2,2,FALSE)</f>
        <v>0</v>
      </c>
      <c r="Q316" s="250"/>
      <c r="R316" s="258"/>
      <c r="S316" s="251"/>
      <c r="T316" s="252"/>
      <c r="U316" s="259">
        <f>BD.PD[[#This Row],[Av.P1 '[%']]]*BD.PD[[#This Row],[Ppto. Orden Interna '[DOP']]]</f>
        <v>0</v>
      </c>
      <c r="V316" s="254"/>
      <c r="W316" s="255"/>
      <c r="X316" s="259">
        <f>BD.PD[[#This Row],[Av.P2 '[%']]]*BD.PD[[#This Row],[Ppto. Orden Interna '[DOP']]]</f>
        <v>0</v>
      </c>
      <c r="Y316" s="254"/>
      <c r="Z316" s="255"/>
      <c r="AA316" s="259">
        <f>BD.PD[[#This Row],[Av.P3 '[%']]]*BD.PD[[#This Row],[Ppto. Orden Interna '[DOP']]]</f>
        <v>0</v>
      </c>
      <c r="AB316" s="254"/>
      <c r="AC316" s="255"/>
      <c r="AD316" s="259">
        <f>BD.PD[[#This Row],[Av.P4 '[%']]]*BD.PD[[#This Row],[Ppto. Orden Interna '[DOP']]]</f>
        <v>0</v>
      </c>
      <c r="AE316" s="254"/>
      <c r="AF316" s="255"/>
      <c r="AG316" s="259">
        <f>BD.PD[[#This Row],[Av.P5 '[%']]]*BD.PD[[#This Row],[Ppto. Orden Interna '[DOP']]]</f>
        <v>0</v>
      </c>
      <c r="AH316" s="256">
        <f>BD.PD[[#This Row],[Pago 5]]+BD.PD[[#This Row],[Pago 4]]+BD.PD[[#This Row],[Pago 3]]+BD.PD[[#This Row],[Pago 2]]+BD.PD[[#This Row],[Pago 1]]</f>
        <v>0</v>
      </c>
      <c r="AI316" s="318"/>
    </row>
    <row r="317" spans="1:35" ht="15" customHeight="1" x14ac:dyDescent="0.3">
      <c r="A317" s="181">
        <v>6.02</v>
      </c>
      <c r="B317" s="239" t="s">
        <v>306</v>
      </c>
      <c r="C317" s="240" t="str">
        <f>VLOOKUP(BD.PD[[#This Row],[Pos]],PPto[],3,FALSE)</f>
        <v>6.02 Antenas detección de robo</v>
      </c>
      <c r="D317" s="241" t="s">
        <v>306</v>
      </c>
      <c r="E317" s="242">
        <f>IF(BD.PD[[#This Row],[.]]="*",VLOOKUP(BD.PD[[#This Row],[Pos]],Presupuesto!A:H,7,FALSE),"")</f>
        <v>0</v>
      </c>
      <c r="F317" s="243"/>
      <c r="G317" s="243"/>
      <c r="H317" s="243"/>
      <c r="I317" s="244">
        <v>1</v>
      </c>
      <c r="J317" s="241" t="s">
        <v>188</v>
      </c>
      <c r="K317" s="245">
        <f>IF(BD.PD[[#This Row],[Mon]]="DOP",1,HLOOKUP(BD.PD[[#This Row],[Mon]],$J$1:$K$2,2,FALSE))</f>
        <v>60.7</v>
      </c>
      <c r="L317" s="246">
        <v>0</v>
      </c>
      <c r="M317" s="247">
        <f>BD.PD[[#This Row],[Cant.]]*BD.PD[[#This Row],[ Tasa ]]*BD.PD[[#This Row],[ Precio Und.]]</f>
        <v>0</v>
      </c>
      <c r="N317" s="248">
        <v>0</v>
      </c>
      <c r="O317" s="247">
        <f>IF(BD.PD[[#This Row],[Liquid. '[%']]]&lt;&gt;0,(BD.PD[[#This Row],[Valor Neto '[DOP']]]*BD.PD[[#This Row],[Liquid. '[%']]])+BD.PD[[#This Row],[Valor Neto '[DOP']]],BD.PD[[#This Row],[Valor Neto '[DOP']]])</f>
        <v>0</v>
      </c>
      <c r="P317" s="257">
        <f>BD.PD[[#This Row],[Ppto. Orden Interna '[DOP']]]/HLOOKUP("USD",$J$1:$K$2,2,FALSE)</f>
        <v>0</v>
      </c>
      <c r="Q317" s="250"/>
      <c r="R317" s="258"/>
      <c r="S317" s="251"/>
      <c r="T317" s="252"/>
      <c r="U317" s="259">
        <f>BD.PD[[#This Row],[Av.P1 '[%']]]*BD.PD[[#This Row],[Ppto. Orden Interna '[DOP']]]</f>
        <v>0</v>
      </c>
      <c r="V317" s="254"/>
      <c r="W317" s="255"/>
      <c r="X317" s="259">
        <f>BD.PD[[#This Row],[Av.P2 '[%']]]*BD.PD[[#This Row],[Ppto. Orden Interna '[DOP']]]</f>
        <v>0</v>
      </c>
      <c r="Y317" s="254"/>
      <c r="Z317" s="255"/>
      <c r="AA317" s="259">
        <f>BD.PD[[#This Row],[Av.P3 '[%']]]*BD.PD[[#This Row],[Ppto. Orden Interna '[DOP']]]</f>
        <v>0</v>
      </c>
      <c r="AB317" s="254"/>
      <c r="AC317" s="255"/>
      <c r="AD317" s="259">
        <f>BD.PD[[#This Row],[Av.P4 '[%']]]*BD.PD[[#This Row],[Ppto. Orden Interna '[DOP']]]</f>
        <v>0</v>
      </c>
      <c r="AE317" s="254"/>
      <c r="AF317" s="255"/>
      <c r="AG317" s="259">
        <f>BD.PD[[#This Row],[Av.P5 '[%']]]*BD.PD[[#This Row],[Ppto. Orden Interna '[DOP']]]</f>
        <v>0</v>
      </c>
      <c r="AH317" s="256">
        <f>BD.PD[[#This Row],[Pago 5]]+BD.PD[[#This Row],[Pago 4]]+BD.PD[[#This Row],[Pago 3]]+BD.PD[[#This Row],[Pago 2]]+BD.PD[[#This Row],[Pago 1]]</f>
        <v>0</v>
      </c>
      <c r="AI317" s="318"/>
    </row>
    <row r="318" spans="1:35" ht="15" customHeight="1" x14ac:dyDescent="0.3">
      <c r="A318" s="181">
        <v>6.03</v>
      </c>
      <c r="B318" s="239" t="s">
        <v>306</v>
      </c>
      <c r="C318" s="240" t="str">
        <f>VLOOKUP(BD.PD[[#This Row],[Pos]],PPto[],3,FALSE)</f>
        <v>6.03 Puntos de Venta</v>
      </c>
      <c r="D318" s="241" t="s">
        <v>306</v>
      </c>
      <c r="E318" s="242">
        <f>IF(BD.PD[[#This Row],[.]]="*",VLOOKUP(BD.PD[[#This Row],[Pos]],Presupuesto!A:H,7,FALSE),"")</f>
        <v>0</v>
      </c>
      <c r="F318" s="243"/>
      <c r="G318" s="243"/>
      <c r="H318" s="243"/>
      <c r="I318" s="244">
        <v>1</v>
      </c>
      <c r="J318" s="241" t="s">
        <v>188</v>
      </c>
      <c r="K318" s="245">
        <f>IF(BD.PD[[#This Row],[Mon]]="DOP",1,HLOOKUP(BD.PD[[#This Row],[Mon]],$J$1:$K$2,2,FALSE))</f>
        <v>60.7</v>
      </c>
      <c r="L318" s="246">
        <v>0</v>
      </c>
      <c r="M318" s="247">
        <f>BD.PD[[#This Row],[Cant.]]*BD.PD[[#This Row],[ Tasa ]]*BD.PD[[#This Row],[ Precio Und.]]</f>
        <v>0</v>
      </c>
      <c r="N318" s="248">
        <v>0</v>
      </c>
      <c r="O318" s="247">
        <f>IF(BD.PD[[#This Row],[Liquid. '[%']]]&lt;&gt;0,(BD.PD[[#This Row],[Valor Neto '[DOP']]]*BD.PD[[#This Row],[Liquid. '[%']]])+BD.PD[[#This Row],[Valor Neto '[DOP']]],BD.PD[[#This Row],[Valor Neto '[DOP']]])</f>
        <v>0</v>
      </c>
      <c r="P318" s="257">
        <f>BD.PD[[#This Row],[Ppto. Orden Interna '[DOP']]]/HLOOKUP("USD",$J$1:$K$2,2,FALSE)</f>
        <v>0</v>
      </c>
      <c r="Q318" s="250"/>
      <c r="R318" s="258"/>
      <c r="S318" s="251"/>
      <c r="T318" s="252"/>
      <c r="U318" s="259">
        <f>BD.PD[[#This Row],[Av.P1 '[%']]]*BD.PD[[#This Row],[Ppto. Orden Interna '[DOP']]]</f>
        <v>0</v>
      </c>
      <c r="V318" s="254"/>
      <c r="W318" s="255"/>
      <c r="X318" s="259">
        <f>BD.PD[[#This Row],[Av.P2 '[%']]]*BD.PD[[#This Row],[Ppto. Orden Interna '[DOP']]]</f>
        <v>0</v>
      </c>
      <c r="Y318" s="254"/>
      <c r="Z318" s="255"/>
      <c r="AA318" s="259">
        <f>BD.PD[[#This Row],[Av.P3 '[%']]]*BD.PD[[#This Row],[Ppto. Orden Interna '[DOP']]]</f>
        <v>0</v>
      </c>
      <c r="AB318" s="254"/>
      <c r="AC318" s="255"/>
      <c r="AD318" s="259">
        <f>BD.PD[[#This Row],[Av.P4 '[%']]]*BD.PD[[#This Row],[Ppto. Orden Interna '[DOP']]]</f>
        <v>0</v>
      </c>
      <c r="AE318" s="254"/>
      <c r="AF318" s="255"/>
      <c r="AG318" s="259">
        <f>BD.PD[[#This Row],[Av.P5 '[%']]]*BD.PD[[#This Row],[Ppto. Orden Interna '[DOP']]]</f>
        <v>0</v>
      </c>
      <c r="AH318" s="256">
        <f>BD.PD[[#This Row],[Pago 5]]+BD.PD[[#This Row],[Pago 4]]+BD.PD[[#This Row],[Pago 3]]+BD.PD[[#This Row],[Pago 2]]+BD.PD[[#This Row],[Pago 1]]</f>
        <v>0</v>
      </c>
      <c r="AI318" s="318"/>
    </row>
    <row r="319" spans="1:35" ht="15" customHeight="1" x14ac:dyDescent="0.3">
      <c r="A319" s="181">
        <v>6.04</v>
      </c>
      <c r="B319" s="239" t="s">
        <v>306</v>
      </c>
      <c r="C319" s="240" t="str">
        <f>VLOOKUP(BD.PD[[#This Row],[Pos]],PPto[],3,FALSE)</f>
        <v>6.04 Instalación de data y voz / Antenas de techo</v>
      </c>
      <c r="D319" s="241" t="s">
        <v>306</v>
      </c>
      <c r="E319" s="242">
        <f>IF(BD.PD[[#This Row],[.]]="*",VLOOKUP(BD.PD[[#This Row],[Pos]],Presupuesto!A:H,7,FALSE),"")</f>
        <v>0</v>
      </c>
      <c r="F319" s="243"/>
      <c r="G319" s="243"/>
      <c r="H319" s="243"/>
      <c r="I319" s="244">
        <v>1</v>
      </c>
      <c r="J319" s="241" t="s">
        <v>188</v>
      </c>
      <c r="K319" s="245">
        <f>IF(BD.PD[[#This Row],[Mon]]="DOP",1,HLOOKUP(BD.PD[[#This Row],[Mon]],$J$1:$K$2,2,FALSE))</f>
        <v>60.7</v>
      </c>
      <c r="L319" s="246">
        <v>0</v>
      </c>
      <c r="M319" s="247">
        <f>BD.PD[[#This Row],[Cant.]]*BD.PD[[#This Row],[ Tasa ]]*BD.PD[[#This Row],[ Precio Und.]]</f>
        <v>0</v>
      </c>
      <c r="N319" s="248">
        <v>0</v>
      </c>
      <c r="O319" s="247">
        <f>IF(BD.PD[[#This Row],[Liquid. '[%']]]&lt;&gt;0,(BD.PD[[#This Row],[Valor Neto '[DOP']]]*BD.PD[[#This Row],[Liquid. '[%']]])+BD.PD[[#This Row],[Valor Neto '[DOP']]],BD.PD[[#This Row],[Valor Neto '[DOP']]])</f>
        <v>0</v>
      </c>
      <c r="P319" s="257">
        <f>BD.PD[[#This Row],[Ppto. Orden Interna '[DOP']]]/HLOOKUP("USD",$J$1:$K$2,2,FALSE)</f>
        <v>0</v>
      </c>
      <c r="Q319" s="250"/>
      <c r="R319" s="258"/>
      <c r="S319" s="251"/>
      <c r="T319" s="252"/>
      <c r="U319" s="259">
        <f>BD.PD[[#This Row],[Av.P1 '[%']]]*BD.PD[[#This Row],[Ppto. Orden Interna '[DOP']]]</f>
        <v>0</v>
      </c>
      <c r="V319" s="254"/>
      <c r="W319" s="255"/>
      <c r="X319" s="259">
        <f>BD.PD[[#This Row],[Av.P2 '[%']]]*BD.PD[[#This Row],[Ppto. Orden Interna '[DOP']]]</f>
        <v>0</v>
      </c>
      <c r="Y319" s="254"/>
      <c r="Z319" s="255"/>
      <c r="AA319" s="259">
        <f>BD.PD[[#This Row],[Av.P3 '[%']]]*BD.PD[[#This Row],[Ppto. Orden Interna '[DOP']]]</f>
        <v>0</v>
      </c>
      <c r="AB319" s="254"/>
      <c r="AC319" s="255"/>
      <c r="AD319" s="259">
        <f>BD.PD[[#This Row],[Av.P4 '[%']]]*BD.PD[[#This Row],[Ppto. Orden Interna '[DOP']]]</f>
        <v>0</v>
      </c>
      <c r="AE319" s="254"/>
      <c r="AF319" s="255"/>
      <c r="AG319" s="259">
        <f>BD.PD[[#This Row],[Av.P5 '[%']]]*BD.PD[[#This Row],[Ppto. Orden Interna '[DOP']]]</f>
        <v>0</v>
      </c>
      <c r="AH319" s="256">
        <f>BD.PD[[#This Row],[Pago 5]]+BD.PD[[#This Row],[Pago 4]]+BD.PD[[#This Row],[Pago 3]]+BD.PD[[#This Row],[Pago 2]]+BD.PD[[#This Row],[Pago 1]]</f>
        <v>0</v>
      </c>
      <c r="AI319" s="318"/>
    </row>
    <row r="320" spans="1:35" ht="15" customHeight="1" x14ac:dyDescent="0.3">
      <c r="A320" s="181">
        <v>6.05</v>
      </c>
      <c r="B320" s="239" t="s">
        <v>306</v>
      </c>
      <c r="C320" s="240" t="str">
        <f>VLOOKUP(BD.PD[[#This Row],[Pos]],PPto[],3,FALSE)</f>
        <v>6.05 Otros sum e inst Tecnología y Seguridad Y Tesoreria</v>
      </c>
      <c r="D320" s="241" t="s">
        <v>306</v>
      </c>
      <c r="E320" s="242">
        <f>IF(BD.PD[[#This Row],[.]]="*",VLOOKUP(BD.PD[[#This Row],[Pos]],Presupuesto!A:H,7,FALSE),"")</f>
        <v>38430.064728434503</v>
      </c>
      <c r="F320" s="243"/>
      <c r="G320" s="243"/>
      <c r="H320" s="243"/>
      <c r="I320" s="244">
        <v>1</v>
      </c>
      <c r="J320" s="241" t="s">
        <v>188</v>
      </c>
      <c r="K320" s="245">
        <f>IF(BD.PD[[#This Row],[Mon]]="DOP",1,HLOOKUP(BD.PD[[#This Row],[Mon]],$J$1:$K$2,2,FALSE))</f>
        <v>60.7</v>
      </c>
      <c r="L320" s="246">
        <v>0</v>
      </c>
      <c r="M320" s="247">
        <f>BD.PD[[#This Row],[Cant.]]*BD.PD[[#This Row],[ Tasa ]]*BD.PD[[#This Row],[ Precio Und.]]</f>
        <v>0</v>
      </c>
      <c r="N320" s="248">
        <v>0</v>
      </c>
      <c r="O320" s="247">
        <f>IF(BD.PD[[#This Row],[Liquid. '[%']]]&lt;&gt;0,(BD.PD[[#This Row],[Valor Neto '[DOP']]]*BD.PD[[#This Row],[Liquid. '[%']]])+BD.PD[[#This Row],[Valor Neto '[DOP']]],BD.PD[[#This Row],[Valor Neto '[DOP']]])</f>
        <v>0</v>
      </c>
      <c r="P320" s="257">
        <f>BD.PD[[#This Row],[Ppto. Orden Interna '[DOP']]]/HLOOKUP("USD",$J$1:$K$2,2,FALSE)</f>
        <v>0</v>
      </c>
      <c r="Q320" s="250"/>
      <c r="R320" s="258"/>
      <c r="S320" s="251"/>
      <c r="T320" s="252"/>
      <c r="U320" s="259">
        <f>BD.PD[[#This Row],[Av.P1 '[%']]]*BD.PD[[#This Row],[Ppto. Orden Interna '[DOP']]]</f>
        <v>0</v>
      </c>
      <c r="V320" s="254"/>
      <c r="W320" s="255"/>
      <c r="X320" s="259">
        <f>BD.PD[[#This Row],[Av.P2 '[%']]]*BD.PD[[#This Row],[Ppto. Orden Interna '[DOP']]]</f>
        <v>0</v>
      </c>
      <c r="Y320" s="254"/>
      <c r="Z320" s="255"/>
      <c r="AA320" s="259">
        <f>BD.PD[[#This Row],[Av.P3 '[%']]]*BD.PD[[#This Row],[Ppto. Orden Interna '[DOP']]]</f>
        <v>0</v>
      </c>
      <c r="AB320" s="254"/>
      <c r="AC320" s="255"/>
      <c r="AD320" s="259">
        <f>BD.PD[[#This Row],[Av.P4 '[%']]]*BD.PD[[#This Row],[Ppto. Orden Interna '[DOP']]]</f>
        <v>0</v>
      </c>
      <c r="AE320" s="254"/>
      <c r="AF320" s="255"/>
      <c r="AG320" s="259">
        <f>BD.PD[[#This Row],[Av.P5 '[%']]]*BD.PD[[#This Row],[Ppto. Orden Interna '[DOP']]]</f>
        <v>0</v>
      </c>
      <c r="AH320" s="256">
        <f>BD.PD[[#This Row],[Pago 5]]+BD.PD[[#This Row],[Pago 4]]+BD.PD[[#This Row],[Pago 3]]+BD.PD[[#This Row],[Pago 2]]+BD.PD[[#This Row],[Pago 1]]</f>
        <v>0</v>
      </c>
      <c r="AI320" s="318"/>
    </row>
    <row r="321" spans="1:35" ht="15" customHeight="1" x14ac:dyDescent="0.3">
      <c r="A321" s="181">
        <v>7.01</v>
      </c>
      <c r="B321" s="239" t="s">
        <v>306</v>
      </c>
      <c r="C321" s="240" t="str">
        <f>VLOOKUP(BD.PD[[#This Row],[Pos]],PPto[],3,FALSE)</f>
        <v xml:space="preserve">7.01 Equipamiento de Acero Inoxidable </v>
      </c>
      <c r="D321" s="241" t="s">
        <v>306</v>
      </c>
      <c r="E321" s="242">
        <f>IF(BD.PD[[#This Row],[.]]="*",VLOOKUP(BD.PD[[#This Row],[Pos]],Presupuesto!A:H,7,FALSE),"")</f>
        <v>30264.520766773167</v>
      </c>
      <c r="F321" s="243"/>
      <c r="G321" s="243"/>
      <c r="H321" s="243"/>
      <c r="I321" s="244">
        <v>1</v>
      </c>
      <c r="J321" s="241" t="s">
        <v>188</v>
      </c>
      <c r="K321" s="245">
        <f>IF(BD.PD[[#This Row],[Mon]]="DOP",1,HLOOKUP(BD.PD[[#This Row],[Mon]],$J$1:$K$2,2,FALSE))</f>
        <v>60.7</v>
      </c>
      <c r="L321" s="246">
        <v>0</v>
      </c>
      <c r="M321" s="247">
        <f>BD.PD[[#This Row],[Cant.]]*BD.PD[[#This Row],[ Tasa ]]*BD.PD[[#This Row],[ Precio Und.]]</f>
        <v>0</v>
      </c>
      <c r="N321" s="248">
        <v>0</v>
      </c>
      <c r="O321" s="247">
        <f>IF(BD.PD[[#This Row],[Liquid. '[%']]]&lt;&gt;0,(BD.PD[[#This Row],[Valor Neto '[DOP']]]*BD.PD[[#This Row],[Liquid. '[%']]])+BD.PD[[#This Row],[Valor Neto '[DOP']]],BD.PD[[#This Row],[Valor Neto '[DOP']]])</f>
        <v>0</v>
      </c>
      <c r="P321" s="257">
        <f>BD.PD[[#This Row],[Ppto. Orden Interna '[DOP']]]/HLOOKUP("USD",$J$1:$K$2,2,FALSE)</f>
        <v>0</v>
      </c>
      <c r="Q321" s="250"/>
      <c r="R321" s="258"/>
      <c r="S321" s="251"/>
      <c r="T321" s="252"/>
      <c r="U321" s="259">
        <f>BD.PD[[#This Row],[Av.P1 '[%']]]*BD.PD[[#This Row],[Ppto. Orden Interna '[DOP']]]</f>
        <v>0</v>
      </c>
      <c r="V321" s="254"/>
      <c r="W321" s="255"/>
      <c r="X321" s="259">
        <f>BD.PD[[#This Row],[Av.P2 '[%']]]*BD.PD[[#This Row],[Ppto. Orden Interna '[DOP']]]</f>
        <v>0</v>
      </c>
      <c r="Y321" s="254"/>
      <c r="Z321" s="255"/>
      <c r="AA321" s="259">
        <f>BD.PD[[#This Row],[Av.P3 '[%']]]*BD.PD[[#This Row],[Ppto. Orden Interna '[DOP']]]</f>
        <v>0</v>
      </c>
      <c r="AB321" s="254"/>
      <c r="AC321" s="255"/>
      <c r="AD321" s="259">
        <f>BD.PD[[#This Row],[Av.P4 '[%']]]*BD.PD[[#This Row],[Ppto. Orden Interna '[DOP']]]</f>
        <v>0</v>
      </c>
      <c r="AE321" s="254"/>
      <c r="AF321" s="255"/>
      <c r="AG321" s="259">
        <f>BD.PD[[#This Row],[Av.P5 '[%']]]*BD.PD[[#This Row],[Ppto. Orden Interna '[DOP']]]</f>
        <v>0</v>
      </c>
      <c r="AH321" s="256">
        <f>BD.PD[[#This Row],[Pago 5]]+BD.PD[[#This Row],[Pago 4]]+BD.PD[[#This Row],[Pago 3]]+BD.PD[[#This Row],[Pago 2]]+BD.PD[[#This Row],[Pago 1]]</f>
        <v>0</v>
      </c>
      <c r="AI321" s="318"/>
    </row>
    <row r="322" spans="1:35" ht="15" customHeight="1" x14ac:dyDescent="0.3">
      <c r="A322" s="181">
        <v>7.02</v>
      </c>
      <c r="B322" s="239" t="s">
        <v>306</v>
      </c>
      <c r="C322" s="240" t="str">
        <f>VLOOKUP(BD.PD[[#This Row],[Pos]],PPto[],3,FALSE)</f>
        <v>7.02 Cocina, Patio Comidas y Rostizería</v>
      </c>
      <c r="D322" s="241" t="s">
        <v>306</v>
      </c>
      <c r="E322" s="242">
        <f>IF(BD.PD[[#This Row],[.]]="*",VLOOKUP(BD.PD[[#This Row],[Pos]],Presupuesto!A:H,7,FALSE),"")</f>
        <v>65026.094984025556</v>
      </c>
      <c r="F322" s="243"/>
      <c r="G322" s="243"/>
      <c r="H322" s="243"/>
      <c r="I322" s="244">
        <v>1</v>
      </c>
      <c r="J322" s="241" t="s">
        <v>188</v>
      </c>
      <c r="K322" s="245">
        <f>IF(BD.PD[[#This Row],[Mon]]="DOP",1,HLOOKUP(BD.PD[[#This Row],[Mon]],$J$1:$K$2,2,FALSE))</f>
        <v>60.7</v>
      </c>
      <c r="L322" s="246">
        <v>0</v>
      </c>
      <c r="M322" s="247">
        <f>BD.PD[[#This Row],[Cant.]]*BD.PD[[#This Row],[ Tasa ]]*BD.PD[[#This Row],[ Precio Und.]]</f>
        <v>0</v>
      </c>
      <c r="N322" s="248">
        <v>0</v>
      </c>
      <c r="O322" s="247">
        <f>IF(BD.PD[[#This Row],[Liquid. '[%']]]&lt;&gt;0,(BD.PD[[#This Row],[Valor Neto '[DOP']]]*BD.PD[[#This Row],[Liquid. '[%']]])+BD.PD[[#This Row],[Valor Neto '[DOP']]],BD.PD[[#This Row],[Valor Neto '[DOP']]])</f>
        <v>0</v>
      </c>
      <c r="P322" s="257">
        <f>BD.PD[[#This Row],[Ppto. Orden Interna '[DOP']]]/HLOOKUP("USD",$J$1:$K$2,2,FALSE)</f>
        <v>0</v>
      </c>
      <c r="Q322" s="250"/>
      <c r="R322" s="258"/>
      <c r="S322" s="251"/>
      <c r="T322" s="252"/>
      <c r="U322" s="259">
        <f>BD.PD[[#This Row],[Av.P1 '[%']]]*BD.PD[[#This Row],[Ppto. Orden Interna '[DOP']]]</f>
        <v>0</v>
      </c>
      <c r="V322" s="254"/>
      <c r="W322" s="255"/>
      <c r="X322" s="259">
        <f>BD.PD[[#This Row],[Av.P2 '[%']]]*BD.PD[[#This Row],[Ppto. Orden Interna '[DOP']]]</f>
        <v>0</v>
      </c>
      <c r="Y322" s="254"/>
      <c r="Z322" s="255"/>
      <c r="AA322" s="259">
        <f>BD.PD[[#This Row],[Av.P3 '[%']]]*BD.PD[[#This Row],[Ppto. Orden Interna '[DOP']]]</f>
        <v>0</v>
      </c>
      <c r="AB322" s="254"/>
      <c r="AC322" s="255"/>
      <c r="AD322" s="259">
        <f>BD.PD[[#This Row],[Av.P4 '[%']]]*BD.PD[[#This Row],[Ppto. Orden Interna '[DOP']]]</f>
        <v>0</v>
      </c>
      <c r="AE322" s="254"/>
      <c r="AF322" s="255"/>
      <c r="AG322" s="259">
        <f>BD.PD[[#This Row],[Av.P5 '[%']]]*BD.PD[[#This Row],[Ppto. Orden Interna '[DOP']]]</f>
        <v>0</v>
      </c>
      <c r="AH322" s="256">
        <f>BD.PD[[#This Row],[Pago 5]]+BD.PD[[#This Row],[Pago 4]]+BD.PD[[#This Row],[Pago 3]]+BD.PD[[#This Row],[Pago 2]]+BD.PD[[#This Row],[Pago 1]]</f>
        <v>0</v>
      </c>
      <c r="AI322" s="318"/>
    </row>
    <row r="323" spans="1:35" ht="15" customHeight="1" x14ac:dyDescent="0.3">
      <c r="A323" s="181">
        <v>7.02</v>
      </c>
      <c r="B323" s="239"/>
      <c r="C323" s="240" t="str">
        <f>VLOOKUP(BD.PD[[#This Row],[Pos]],PPto[],3,FALSE)</f>
        <v>7.02 Cocina, Patio Comidas y Rostizería</v>
      </c>
      <c r="D323" s="181" t="s">
        <v>40</v>
      </c>
      <c r="E323" s="242" t="str">
        <f>IF(BD.PD[[#This Row],[.]]="*",VLOOKUP(BD.PD[[#This Row],[Pos]],Presupuesto!A:H,7,FALSE),"")</f>
        <v/>
      </c>
      <c r="F323" s="243" t="s">
        <v>506</v>
      </c>
      <c r="G323" s="243" t="s">
        <v>1069</v>
      </c>
      <c r="H323" s="275" t="s">
        <v>1071</v>
      </c>
      <c r="I323" s="276">
        <v>3</v>
      </c>
      <c r="J323" s="181" t="s">
        <v>314</v>
      </c>
      <c r="K323" s="245">
        <f>IF(BD.PD[[#This Row],[Mon]]="DOP",1,HLOOKUP(BD.PD[[#This Row],[Mon]],$J$1:$K$2,2,FALSE))</f>
        <v>1</v>
      </c>
      <c r="L323" s="277">
        <v>300</v>
      </c>
      <c r="M323" s="247">
        <f>BD.PD[[#This Row],[Cant.]]*BD.PD[[#This Row],[ Tasa ]]*BD.PD[[#This Row],[ Precio Und.]]</f>
        <v>900</v>
      </c>
      <c r="N323" s="278">
        <v>0</v>
      </c>
      <c r="O323" s="247">
        <f>IF(BD.PD[[#This Row],[Liquid. '[%']]]&lt;&gt;0,(BD.PD[[#This Row],[Valor Neto '[DOP']]]*BD.PD[[#This Row],[Liquid. '[%']]])+BD.PD[[#This Row],[Valor Neto '[DOP']]],BD.PD[[#This Row],[Valor Neto '[DOP']]])</f>
        <v>900</v>
      </c>
      <c r="P323" s="257">
        <f>BD.PD[[#This Row],[Ppto. Orden Interna '[DOP']]]/HLOOKUP("USD",$J$1:$K$2,2,FALSE)</f>
        <v>14.827018121911037</v>
      </c>
      <c r="Q323" s="250" t="s">
        <v>456</v>
      </c>
      <c r="R323" s="258"/>
      <c r="S323" s="251">
        <v>21</v>
      </c>
      <c r="T323" s="252">
        <v>1</v>
      </c>
      <c r="U323" s="259">
        <f>BD.PD[[#This Row],[Av.P1 '[%']]]*BD.PD[[#This Row],[Ppto. Orden Interna '[DOP']]]</f>
        <v>900</v>
      </c>
      <c r="V323" s="254"/>
      <c r="W323" s="255"/>
      <c r="X323" s="259">
        <f>BD.PD[[#This Row],[Av.P2 '[%']]]*BD.PD[[#This Row],[Ppto. Orden Interna '[DOP']]]</f>
        <v>0</v>
      </c>
      <c r="Y323" s="254"/>
      <c r="Z323" s="255"/>
      <c r="AA323" s="259">
        <f>BD.PD[[#This Row],[Av.P3 '[%']]]*BD.PD[[#This Row],[Ppto. Orden Interna '[DOP']]]</f>
        <v>0</v>
      </c>
      <c r="AB323" s="254"/>
      <c r="AC323" s="255"/>
      <c r="AD323" s="259">
        <f>BD.PD[[#This Row],[Av.P4 '[%']]]*BD.PD[[#This Row],[Ppto. Orden Interna '[DOP']]]</f>
        <v>0</v>
      </c>
      <c r="AE323" s="254"/>
      <c r="AF323" s="255"/>
      <c r="AG323" s="259">
        <f>BD.PD[[#This Row],[Av.P5 '[%']]]*BD.PD[[#This Row],[Ppto. Orden Interna '[DOP']]]</f>
        <v>0</v>
      </c>
      <c r="AH323" s="256">
        <f>BD.PD[[#This Row],[Pago 5]]+BD.PD[[#This Row],[Pago 4]]+BD.PD[[#This Row],[Pago 3]]+BD.PD[[#This Row],[Pago 2]]+BD.PD[[#This Row],[Pago 1]]</f>
        <v>900</v>
      </c>
      <c r="AI323" s="318"/>
    </row>
    <row r="324" spans="1:35" ht="15" customHeight="1" x14ac:dyDescent="0.3">
      <c r="A324" s="181">
        <v>7.02</v>
      </c>
      <c r="B324" s="239"/>
      <c r="C324" s="240" t="str">
        <f>VLOOKUP(BD.PD[[#This Row],[Pos]],PPto[],3,FALSE)</f>
        <v>7.02 Cocina, Patio Comidas y Rostizería</v>
      </c>
      <c r="D324" s="181" t="s">
        <v>40</v>
      </c>
      <c r="E324" s="242" t="str">
        <f>IF(BD.PD[[#This Row],[.]]="*",VLOOKUP(BD.PD[[#This Row],[Pos]],Presupuesto!A:H,7,FALSE),"")</f>
        <v/>
      </c>
      <c r="F324" s="243" t="s">
        <v>507</v>
      </c>
      <c r="G324" s="243" t="s">
        <v>1069</v>
      </c>
      <c r="H324" s="275" t="s">
        <v>1071</v>
      </c>
      <c r="I324" s="276">
        <v>3</v>
      </c>
      <c r="J324" s="181" t="s">
        <v>314</v>
      </c>
      <c r="K324" s="245">
        <f>IF(BD.PD[[#This Row],[Mon]]="DOP",1,HLOOKUP(BD.PD[[#This Row],[Mon]],$J$1:$K$2,2,FALSE))</f>
        <v>1</v>
      </c>
      <c r="L324" s="277">
        <v>300</v>
      </c>
      <c r="M324" s="247">
        <f>BD.PD[[#This Row],[Cant.]]*BD.PD[[#This Row],[ Tasa ]]*BD.PD[[#This Row],[ Precio Und.]]</f>
        <v>900</v>
      </c>
      <c r="N324" s="278">
        <v>0</v>
      </c>
      <c r="O324" s="247">
        <f>IF(BD.PD[[#This Row],[Liquid. '[%']]]&lt;&gt;0,(BD.PD[[#This Row],[Valor Neto '[DOP']]]*BD.PD[[#This Row],[Liquid. '[%']]])+BD.PD[[#This Row],[Valor Neto '[DOP']]],BD.PD[[#This Row],[Valor Neto '[DOP']]])</f>
        <v>900</v>
      </c>
      <c r="P324" s="257">
        <f>BD.PD[[#This Row],[Ppto. Orden Interna '[DOP']]]/HLOOKUP("USD",$J$1:$K$2,2,FALSE)</f>
        <v>14.827018121911037</v>
      </c>
      <c r="Q324" s="250" t="s">
        <v>456</v>
      </c>
      <c r="R324" s="258"/>
      <c r="S324" s="251">
        <v>21</v>
      </c>
      <c r="T324" s="252">
        <v>1</v>
      </c>
      <c r="U324" s="259">
        <f>BD.PD[[#This Row],[Av.P1 '[%']]]*BD.PD[[#This Row],[Ppto. Orden Interna '[DOP']]]</f>
        <v>900</v>
      </c>
      <c r="V324" s="254"/>
      <c r="W324" s="255"/>
      <c r="X324" s="259">
        <f>BD.PD[[#This Row],[Av.P2 '[%']]]*BD.PD[[#This Row],[Ppto. Orden Interna '[DOP']]]</f>
        <v>0</v>
      </c>
      <c r="Y324" s="254"/>
      <c r="Z324" s="255"/>
      <c r="AA324" s="259">
        <f>BD.PD[[#This Row],[Av.P3 '[%']]]*BD.PD[[#This Row],[Ppto. Orden Interna '[DOP']]]</f>
        <v>0</v>
      </c>
      <c r="AB324" s="254"/>
      <c r="AC324" s="255"/>
      <c r="AD324" s="259">
        <f>BD.PD[[#This Row],[Av.P4 '[%']]]*BD.PD[[#This Row],[Ppto. Orden Interna '[DOP']]]</f>
        <v>0</v>
      </c>
      <c r="AE324" s="254"/>
      <c r="AF324" s="255"/>
      <c r="AG324" s="259">
        <f>BD.PD[[#This Row],[Av.P5 '[%']]]*BD.PD[[#This Row],[Ppto. Orden Interna '[DOP']]]</f>
        <v>0</v>
      </c>
      <c r="AH324" s="256">
        <f>BD.PD[[#This Row],[Pago 5]]+BD.PD[[#This Row],[Pago 4]]+BD.PD[[#This Row],[Pago 3]]+BD.PD[[#This Row],[Pago 2]]+BD.PD[[#This Row],[Pago 1]]</f>
        <v>900</v>
      </c>
      <c r="AI324" s="318"/>
    </row>
    <row r="325" spans="1:35" ht="15" customHeight="1" x14ac:dyDescent="0.3">
      <c r="A325" s="181">
        <v>7.02</v>
      </c>
      <c r="B325" s="239"/>
      <c r="C325" s="240" t="str">
        <f>VLOOKUP(BD.PD[[#This Row],[Pos]],PPto[],3,FALSE)</f>
        <v>7.02 Cocina, Patio Comidas y Rostizería</v>
      </c>
      <c r="D325" s="181" t="s">
        <v>40</v>
      </c>
      <c r="E325" s="242" t="str">
        <f>IF(BD.PD[[#This Row],[.]]="*",VLOOKUP(BD.PD[[#This Row],[Pos]],Presupuesto!A:H,7,FALSE),"")</f>
        <v/>
      </c>
      <c r="F325" s="305" t="s">
        <v>508</v>
      </c>
      <c r="G325" s="243" t="s">
        <v>1069</v>
      </c>
      <c r="H325" s="275" t="s">
        <v>1071</v>
      </c>
      <c r="I325" s="276">
        <v>1</v>
      </c>
      <c r="J325" s="181" t="s">
        <v>314</v>
      </c>
      <c r="K325" s="245">
        <f>IF(BD.PD[[#This Row],[Mon]]="DOP",1,HLOOKUP(BD.PD[[#This Row],[Mon]],$J$1:$K$2,2,FALSE))</f>
        <v>1</v>
      </c>
      <c r="L325" s="277">
        <v>3650.85</v>
      </c>
      <c r="M325" s="247">
        <f>BD.PD[[#This Row],[Cant.]]*BD.PD[[#This Row],[ Tasa ]]*BD.PD[[#This Row],[ Precio Und.]]</f>
        <v>3650.85</v>
      </c>
      <c r="N325" s="278">
        <v>0</v>
      </c>
      <c r="O325" s="247">
        <f>IF(BD.PD[[#This Row],[Liquid. '[%']]]&lt;&gt;0,(BD.PD[[#This Row],[Valor Neto '[DOP']]]*BD.PD[[#This Row],[Liquid. '[%']]])+BD.PD[[#This Row],[Valor Neto '[DOP']]],BD.PD[[#This Row],[Valor Neto '[DOP']]])</f>
        <v>3650.85</v>
      </c>
      <c r="P325" s="257">
        <f>BD.PD[[#This Row],[Ppto. Orden Interna '[DOP']]]/HLOOKUP("USD",$J$1:$K$2,2,FALSE)</f>
        <v>60.145799011532119</v>
      </c>
      <c r="Q325" s="250" t="s">
        <v>456</v>
      </c>
      <c r="R325" s="258"/>
      <c r="S325" s="251">
        <v>21</v>
      </c>
      <c r="T325" s="252">
        <v>1</v>
      </c>
      <c r="U325" s="259">
        <f>BD.PD[[#This Row],[Av.P1 '[%']]]*BD.PD[[#This Row],[Ppto. Orden Interna '[DOP']]]</f>
        <v>3650.85</v>
      </c>
      <c r="V325" s="254"/>
      <c r="W325" s="255"/>
      <c r="X325" s="259">
        <f>BD.PD[[#This Row],[Av.P2 '[%']]]*BD.PD[[#This Row],[Ppto. Orden Interna '[DOP']]]</f>
        <v>0</v>
      </c>
      <c r="Y325" s="254"/>
      <c r="Z325" s="255"/>
      <c r="AA325" s="259">
        <f>BD.PD[[#This Row],[Av.P3 '[%']]]*BD.PD[[#This Row],[Ppto. Orden Interna '[DOP']]]</f>
        <v>0</v>
      </c>
      <c r="AB325" s="254"/>
      <c r="AC325" s="255"/>
      <c r="AD325" s="259">
        <f>BD.PD[[#This Row],[Av.P4 '[%']]]*BD.PD[[#This Row],[Ppto. Orden Interna '[DOP']]]</f>
        <v>0</v>
      </c>
      <c r="AE325" s="254"/>
      <c r="AF325" s="255"/>
      <c r="AG325" s="259">
        <f>BD.PD[[#This Row],[Av.P5 '[%']]]*BD.PD[[#This Row],[Ppto. Orden Interna '[DOP']]]</f>
        <v>0</v>
      </c>
      <c r="AH325" s="256">
        <f>BD.PD[[#This Row],[Pago 5]]+BD.PD[[#This Row],[Pago 4]]+BD.PD[[#This Row],[Pago 3]]+BD.PD[[#This Row],[Pago 2]]+BD.PD[[#This Row],[Pago 1]]</f>
        <v>3650.85</v>
      </c>
      <c r="AI325" s="318"/>
    </row>
    <row r="326" spans="1:35" ht="15" customHeight="1" x14ac:dyDescent="0.3">
      <c r="A326" s="181">
        <v>7.02</v>
      </c>
      <c r="B326" s="239"/>
      <c r="C326" s="240" t="str">
        <f>VLOOKUP(BD.PD[[#This Row],[Pos]],PPto[],3,FALSE)</f>
        <v>7.02 Cocina, Patio Comidas y Rostizería</v>
      </c>
      <c r="D326" s="181" t="s">
        <v>40</v>
      </c>
      <c r="E326" s="242" t="str">
        <f>IF(BD.PD[[#This Row],[.]]="*",VLOOKUP(BD.PD[[#This Row],[Pos]],Presupuesto!A:H,7,FALSE),"")</f>
        <v/>
      </c>
      <c r="F326" s="305" t="s">
        <v>508</v>
      </c>
      <c r="G326" s="243" t="s">
        <v>1069</v>
      </c>
      <c r="H326" s="275" t="s">
        <v>1071</v>
      </c>
      <c r="I326" s="276">
        <v>1</v>
      </c>
      <c r="J326" s="181" t="s">
        <v>314</v>
      </c>
      <c r="K326" s="245">
        <f>IF(BD.PD[[#This Row],[Mon]]="DOP",1,HLOOKUP(BD.PD[[#This Row],[Mon]],$J$1:$K$2,2,FALSE))</f>
        <v>1</v>
      </c>
      <c r="L326" s="277">
        <v>4242.25</v>
      </c>
      <c r="M326" s="247">
        <f>BD.PD[[#This Row],[Cant.]]*BD.PD[[#This Row],[ Tasa ]]*BD.PD[[#This Row],[ Precio Und.]]</f>
        <v>4242.25</v>
      </c>
      <c r="N326" s="278">
        <v>0</v>
      </c>
      <c r="O326" s="247">
        <f>IF(BD.PD[[#This Row],[Liquid. '[%']]]&lt;&gt;0,(BD.PD[[#This Row],[Valor Neto '[DOP']]]*BD.PD[[#This Row],[Liquid. '[%']]])+BD.PD[[#This Row],[Valor Neto '[DOP']]],BD.PD[[#This Row],[Valor Neto '[DOP']]])</f>
        <v>4242.25</v>
      </c>
      <c r="P326" s="257">
        <f>BD.PD[[#This Row],[Ppto. Orden Interna '[DOP']]]/HLOOKUP("USD",$J$1:$K$2,2,FALSE)</f>
        <v>69.888797364085661</v>
      </c>
      <c r="Q326" s="250" t="s">
        <v>456</v>
      </c>
      <c r="R326" s="258"/>
      <c r="S326" s="251">
        <v>21</v>
      </c>
      <c r="T326" s="252">
        <v>1</v>
      </c>
      <c r="U326" s="259">
        <f>BD.PD[[#This Row],[Av.P1 '[%']]]*BD.PD[[#This Row],[Ppto. Orden Interna '[DOP']]]</f>
        <v>4242.25</v>
      </c>
      <c r="V326" s="254"/>
      <c r="W326" s="255"/>
      <c r="X326" s="259">
        <f>BD.PD[[#This Row],[Av.P2 '[%']]]*BD.PD[[#This Row],[Ppto. Orden Interna '[DOP']]]</f>
        <v>0</v>
      </c>
      <c r="Y326" s="254"/>
      <c r="Z326" s="255"/>
      <c r="AA326" s="259">
        <f>BD.PD[[#This Row],[Av.P3 '[%']]]*BD.PD[[#This Row],[Ppto. Orden Interna '[DOP']]]</f>
        <v>0</v>
      </c>
      <c r="AB326" s="254"/>
      <c r="AC326" s="255"/>
      <c r="AD326" s="259">
        <f>BD.PD[[#This Row],[Av.P4 '[%']]]*BD.PD[[#This Row],[Ppto. Orden Interna '[DOP']]]</f>
        <v>0</v>
      </c>
      <c r="AE326" s="254"/>
      <c r="AF326" s="255"/>
      <c r="AG326" s="259">
        <f>BD.PD[[#This Row],[Av.P5 '[%']]]*BD.PD[[#This Row],[Ppto. Orden Interna '[DOP']]]</f>
        <v>0</v>
      </c>
      <c r="AH326" s="256">
        <f>BD.PD[[#This Row],[Pago 5]]+BD.PD[[#This Row],[Pago 4]]+BD.PD[[#This Row],[Pago 3]]+BD.PD[[#This Row],[Pago 2]]+BD.PD[[#This Row],[Pago 1]]</f>
        <v>4242.25</v>
      </c>
      <c r="AI326" s="318"/>
    </row>
    <row r="327" spans="1:35" ht="15" customHeight="1" x14ac:dyDescent="0.3">
      <c r="A327" s="181">
        <v>7.02</v>
      </c>
      <c r="B327" s="239"/>
      <c r="C327" s="240" t="str">
        <f>VLOOKUP(BD.PD[[#This Row],[Pos]],PPto[],3,FALSE)</f>
        <v>7.02 Cocina, Patio Comidas y Rostizería</v>
      </c>
      <c r="D327" s="181" t="s">
        <v>40</v>
      </c>
      <c r="E327" s="242" t="str">
        <f>IF(BD.PD[[#This Row],[.]]="*",VLOOKUP(BD.PD[[#This Row],[Pos]],Presupuesto!A:H,7,FALSE),"")</f>
        <v/>
      </c>
      <c r="F327" s="305" t="s">
        <v>509</v>
      </c>
      <c r="G327" s="243" t="s">
        <v>1069</v>
      </c>
      <c r="H327" s="275" t="s">
        <v>1071</v>
      </c>
      <c r="I327" s="276">
        <v>1</v>
      </c>
      <c r="J327" s="181" t="s">
        <v>314</v>
      </c>
      <c r="K327" s="245">
        <f>IF(BD.PD[[#This Row],[Mon]]="DOP",1,HLOOKUP(BD.PD[[#This Row],[Mon]],$J$1:$K$2,2,FALSE))</f>
        <v>1</v>
      </c>
      <c r="L327" s="277">
        <v>4853</v>
      </c>
      <c r="M327" s="247">
        <f>BD.PD[[#This Row],[Cant.]]*BD.PD[[#This Row],[ Tasa ]]*BD.PD[[#This Row],[ Precio Und.]]</f>
        <v>4853</v>
      </c>
      <c r="N327" s="278">
        <v>0</v>
      </c>
      <c r="O327" s="247">
        <f>IF(BD.PD[[#This Row],[Liquid. '[%']]]&lt;&gt;0,(BD.PD[[#This Row],[Valor Neto '[DOP']]]*BD.PD[[#This Row],[Liquid. '[%']]])+BD.PD[[#This Row],[Valor Neto '[DOP']]],BD.PD[[#This Row],[Valor Neto '[DOP']]])</f>
        <v>4853</v>
      </c>
      <c r="P327" s="257">
        <f>BD.PD[[#This Row],[Ppto. Orden Interna '[DOP']]]/HLOOKUP("USD",$J$1:$K$2,2,FALSE)</f>
        <v>79.950576606260299</v>
      </c>
      <c r="Q327" s="250"/>
      <c r="R327" s="258"/>
      <c r="S327" s="251">
        <v>21</v>
      </c>
      <c r="T327" s="252">
        <v>1</v>
      </c>
      <c r="U327" s="259">
        <f>BD.PD[[#This Row],[Av.P1 '[%']]]*BD.PD[[#This Row],[Ppto. Orden Interna '[DOP']]]</f>
        <v>4853</v>
      </c>
      <c r="V327" s="254"/>
      <c r="W327" s="255"/>
      <c r="X327" s="259">
        <f>BD.PD[[#This Row],[Av.P2 '[%']]]*BD.PD[[#This Row],[Ppto. Orden Interna '[DOP']]]</f>
        <v>0</v>
      </c>
      <c r="Y327" s="254"/>
      <c r="Z327" s="255"/>
      <c r="AA327" s="259">
        <f>BD.PD[[#This Row],[Av.P3 '[%']]]*BD.PD[[#This Row],[Ppto. Orden Interna '[DOP']]]</f>
        <v>0</v>
      </c>
      <c r="AB327" s="254"/>
      <c r="AC327" s="255"/>
      <c r="AD327" s="259">
        <f>BD.PD[[#This Row],[Av.P4 '[%']]]*BD.PD[[#This Row],[Ppto. Orden Interna '[DOP']]]</f>
        <v>0</v>
      </c>
      <c r="AE327" s="254"/>
      <c r="AF327" s="255"/>
      <c r="AG327" s="259">
        <f>BD.PD[[#This Row],[Av.P5 '[%']]]*BD.PD[[#This Row],[Ppto. Orden Interna '[DOP']]]</f>
        <v>0</v>
      </c>
      <c r="AH327" s="256">
        <f>BD.PD[[#This Row],[Pago 5]]+BD.PD[[#This Row],[Pago 4]]+BD.PD[[#This Row],[Pago 3]]+BD.PD[[#This Row],[Pago 2]]+BD.PD[[#This Row],[Pago 1]]</f>
        <v>4853</v>
      </c>
      <c r="AI327" s="318"/>
    </row>
    <row r="328" spans="1:35" ht="15" customHeight="1" x14ac:dyDescent="0.3">
      <c r="A328" s="181">
        <v>7.02</v>
      </c>
      <c r="B328" s="239"/>
      <c r="C328" s="240" t="str">
        <f>VLOOKUP(BD.PD[[#This Row],[Pos]],PPto[],3,FALSE)</f>
        <v>7.02 Cocina, Patio Comidas y Rostizería</v>
      </c>
      <c r="D328" s="181" t="s">
        <v>40</v>
      </c>
      <c r="E328" s="242" t="str">
        <f>IF(BD.PD[[#This Row],[.]]="*",VLOOKUP(BD.PD[[#This Row],[Pos]],Presupuesto!A:H,7,FALSE),"")</f>
        <v/>
      </c>
      <c r="F328" s="305" t="s">
        <v>510</v>
      </c>
      <c r="G328" s="243" t="s">
        <v>1069</v>
      </c>
      <c r="H328" s="275" t="s">
        <v>1071</v>
      </c>
      <c r="I328" s="276">
        <v>1</v>
      </c>
      <c r="J328" s="181" t="s">
        <v>314</v>
      </c>
      <c r="K328" s="245">
        <f>IF(BD.PD[[#This Row],[Mon]]="DOP",1,HLOOKUP(BD.PD[[#This Row],[Mon]],$J$1:$K$2,2,FALSE))</f>
        <v>1</v>
      </c>
      <c r="L328" s="277">
        <v>5821.21</v>
      </c>
      <c r="M328" s="247">
        <f>BD.PD[[#This Row],[Cant.]]*BD.PD[[#This Row],[ Tasa ]]*BD.PD[[#This Row],[ Precio Und.]]</f>
        <v>5821.21</v>
      </c>
      <c r="N328" s="278">
        <v>0</v>
      </c>
      <c r="O328" s="247">
        <f>IF(BD.PD[[#This Row],[Liquid. '[%']]]&lt;&gt;0,(BD.PD[[#This Row],[Valor Neto '[DOP']]]*BD.PD[[#This Row],[Liquid. '[%']]])+BD.PD[[#This Row],[Valor Neto '[DOP']]],BD.PD[[#This Row],[Valor Neto '[DOP']]])</f>
        <v>5821.21</v>
      </c>
      <c r="P328" s="257">
        <f>BD.PD[[#This Row],[Ppto. Orden Interna '[DOP']]]/HLOOKUP("USD",$J$1:$K$2,2,FALSE)</f>
        <v>95.901317957166384</v>
      </c>
      <c r="Q328" s="250"/>
      <c r="R328" s="258"/>
      <c r="S328" s="251">
        <v>21</v>
      </c>
      <c r="T328" s="252">
        <v>1</v>
      </c>
      <c r="U328" s="259">
        <f>BD.PD[[#This Row],[Av.P1 '[%']]]*BD.PD[[#This Row],[Ppto. Orden Interna '[DOP']]]</f>
        <v>5821.21</v>
      </c>
      <c r="V328" s="254"/>
      <c r="W328" s="255"/>
      <c r="X328" s="259">
        <f>BD.PD[[#This Row],[Av.P2 '[%']]]*BD.PD[[#This Row],[Ppto. Orden Interna '[DOP']]]</f>
        <v>0</v>
      </c>
      <c r="Y328" s="254"/>
      <c r="Z328" s="255"/>
      <c r="AA328" s="259">
        <f>BD.PD[[#This Row],[Av.P3 '[%']]]*BD.PD[[#This Row],[Ppto. Orden Interna '[DOP']]]</f>
        <v>0</v>
      </c>
      <c r="AB328" s="254"/>
      <c r="AC328" s="255"/>
      <c r="AD328" s="259">
        <f>BD.PD[[#This Row],[Av.P4 '[%']]]*BD.PD[[#This Row],[Ppto. Orden Interna '[DOP']]]</f>
        <v>0</v>
      </c>
      <c r="AE328" s="254"/>
      <c r="AF328" s="255"/>
      <c r="AG328" s="259">
        <f>BD.PD[[#This Row],[Av.P5 '[%']]]*BD.PD[[#This Row],[Ppto. Orden Interna '[DOP']]]</f>
        <v>0</v>
      </c>
      <c r="AH328" s="256">
        <f>BD.PD[[#This Row],[Pago 5]]+BD.PD[[#This Row],[Pago 4]]+BD.PD[[#This Row],[Pago 3]]+BD.PD[[#This Row],[Pago 2]]+BD.PD[[#This Row],[Pago 1]]</f>
        <v>5821.21</v>
      </c>
      <c r="AI328" s="318"/>
    </row>
    <row r="329" spans="1:35" ht="15" customHeight="1" x14ac:dyDescent="0.3">
      <c r="A329" s="181">
        <v>7.02</v>
      </c>
      <c r="B329" s="239"/>
      <c r="C329" s="240" t="str">
        <f>VLOOKUP(BD.PD[[#This Row],[Pos]],PPto[],3,FALSE)</f>
        <v>7.02 Cocina, Patio Comidas y Rostizería</v>
      </c>
      <c r="D329" s="181" t="s">
        <v>40</v>
      </c>
      <c r="E329" s="242" t="str">
        <f>IF(BD.PD[[#This Row],[.]]="*",VLOOKUP(BD.PD[[#This Row],[Pos]],Presupuesto!A:H,7,FALSE),"")</f>
        <v/>
      </c>
      <c r="F329" s="305" t="s">
        <v>511</v>
      </c>
      <c r="G329" s="243" t="s">
        <v>1069</v>
      </c>
      <c r="H329" s="275" t="s">
        <v>1071</v>
      </c>
      <c r="I329" s="276">
        <v>1</v>
      </c>
      <c r="J329" s="181" t="s">
        <v>314</v>
      </c>
      <c r="K329" s="245">
        <f>IF(BD.PD[[#This Row],[Mon]]="DOP",1,HLOOKUP(BD.PD[[#This Row],[Mon]],$J$1:$K$2,2,FALSE))</f>
        <v>1</v>
      </c>
      <c r="L329" s="277">
        <v>6438.22</v>
      </c>
      <c r="M329" s="247">
        <f>BD.PD[[#This Row],[Cant.]]*BD.PD[[#This Row],[ Tasa ]]*BD.PD[[#This Row],[ Precio Und.]]</f>
        <v>6438.22</v>
      </c>
      <c r="N329" s="278">
        <v>0</v>
      </c>
      <c r="O329" s="247">
        <f>IF(BD.PD[[#This Row],[Liquid. '[%']]]&lt;&gt;0,(BD.PD[[#This Row],[Valor Neto '[DOP']]]*BD.PD[[#This Row],[Liquid. '[%']]])+BD.PD[[#This Row],[Valor Neto '[DOP']]],BD.PD[[#This Row],[Valor Neto '[DOP']]])</f>
        <v>6438.22</v>
      </c>
      <c r="P329" s="257">
        <f>BD.PD[[#This Row],[Ppto. Orden Interna '[DOP']]]/HLOOKUP("USD",$J$1:$K$2,2,FALSE)</f>
        <v>106.0662273476112</v>
      </c>
      <c r="Q329" s="250"/>
      <c r="R329" s="258"/>
      <c r="S329" s="251">
        <v>21</v>
      </c>
      <c r="T329" s="252">
        <v>1</v>
      </c>
      <c r="U329" s="259">
        <f>BD.PD[[#This Row],[Av.P1 '[%']]]*BD.PD[[#This Row],[Ppto. Orden Interna '[DOP']]]</f>
        <v>6438.22</v>
      </c>
      <c r="V329" s="254"/>
      <c r="W329" s="255"/>
      <c r="X329" s="259">
        <f>BD.PD[[#This Row],[Av.P2 '[%']]]*BD.PD[[#This Row],[Ppto. Orden Interna '[DOP']]]</f>
        <v>0</v>
      </c>
      <c r="Y329" s="254"/>
      <c r="Z329" s="255"/>
      <c r="AA329" s="259">
        <f>BD.PD[[#This Row],[Av.P3 '[%']]]*BD.PD[[#This Row],[Ppto. Orden Interna '[DOP']]]</f>
        <v>0</v>
      </c>
      <c r="AB329" s="254"/>
      <c r="AC329" s="255"/>
      <c r="AD329" s="259">
        <f>BD.PD[[#This Row],[Av.P4 '[%']]]*BD.PD[[#This Row],[Ppto. Orden Interna '[DOP']]]</f>
        <v>0</v>
      </c>
      <c r="AE329" s="254"/>
      <c r="AF329" s="255"/>
      <c r="AG329" s="259">
        <f>BD.PD[[#This Row],[Av.P5 '[%']]]*BD.PD[[#This Row],[Ppto. Orden Interna '[DOP']]]</f>
        <v>0</v>
      </c>
      <c r="AH329" s="256">
        <f>BD.PD[[#This Row],[Pago 5]]+BD.PD[[#This Row],[Pago 4]]+BD.PD[[#This Row],[Pago 3]]+BD.PD[[#This Row],[Pago 2]]+BD.PD[[#This Row],[Pago 1]]</f>
        <v>6438.22</v>
      </c>
      <c r="AI329" s="318"/>
    </row>
    <row r="330" spans="1:35" ht="15" customHeight="1" x14ac:dyDescent="0.3">
      <c r="A330" s="181">
        <v>7.02</v>
      </c>
      <c r="B330" s="239"/>
      <c r="C330" s="240" t="str">
        <f>VLOOKUP(BD.PD[[#This Row],[Pos]],PPto[],3,FALSE)</f>
        <v>7.02 Cocina, Patio Comidas y Rostizería</v>
      </c>
      <c r="D330" s="181" t="s">
        <v>40</v>
      </c>
      <c r="E330" s="242" t="str">
        <f>IF(BD.PD[[#This Row],[.]]="*",VLOOKUP(BD.PD[[#This Row],[Pos]],Presupuesto!A:H,7,FALSE),"")</f>
        <v/>
      </c>
      <c r="F330" s="305" t="s">
        <v>512</v>
      </c>
      <c r="G330" s="243" t="s">
        <v>1069</v>
      </c>
      <c r="H330" s="275" t="s">
        <v>1071</v>
      </c>
      <c r="I330" s="276">
        <v>1</v>
      </c>
      <c r="J330" s="181" t="s">
        <v>314</v>
      </c>
      <c r="K330" s="245">
        <f>IF(BD.PD[[#This Row],[Mon]]="DOP",1,HLOOKUP(BD.PD[[#This Row],[Mon]],$J$1:$K$2,2,FALSE))</f>
        <v>1</v>
      </c>
      <c r="L330" s="277">
        <v>2433.33</v>
      </c>
      <c r="M330" s="247">
        <f>BD.PD[[#This Row],[Cant.]]*BD.PD[[#This Row],[ Tasa ]]*BD.PD[[#This Row],[ Precio Und.]]</f>
        <v>2433.33</v>
      </c>
      <c r="N330" s="278">
        <v>0</v>
      </c>
      <c r="O330" s="247">
        <f>IF(BD.PD[[#This Row],[Liquid. '[%']]]&lt;&gt;0,(BD.PD[[#This Row],[Valor Neto '[DOP']]]*BD.PD[[#This Row],[Liquid. '[%']]])+BD.PD[[#This Row],[Valor Neto '[DOP']]],BD.PD[[#This Row],[Valor Neto '[DOP']]])</f>
        <v>2433.33</v>
      </c>
      <c r="P330" s="257">
        <f>BD.PD[[#This Row],[Ppto. Orden Interna '[DOP']]]/HLOOKUP("USD",$J$1:$K$2,2,FALSE)</f>
        <v>40.087808896210873</v>
      </c>
      <c r="Q330" s="250"/>
      <c r="R330" s="258"/>
      <c r="S330" s="251">
        <v>21</v>
      </c>
      <c r="T330" s="252">
        <v>1</v>
      </c>
      <c r="U330" s="259">
        <f>BD.PD[[#This Row],[Av.P1 '[%']]]*BD.PD[[#This Row],[Ppto. Orden Interna '[DOP']]]</f>
        <v>2433.33</v>
      </c>
      <c r="V330" s="254"/>
      <c r="W330" s="255"/>
      <c r="X330" s="259">
        <f>BD.PD[[#This Row],[Av.P2 '[%']]]*BD.PD[[#This Row],[Ppto. Orden Interna '[DOP']]]</f>
        <v>0</v>
      </c>
      <c r="Y330" s="254"/>
      <c r="Z330" s="255"/>
      <c r="AA330" s="259">
        <f>BD.PD[[#This Row],[Av.P3 '[%']]]*BD.PD[[#This Row],[Ppto. Orden Interna '[DOP']]]</f>
        <v>0</v>
      </c>
      <c r="AB330" s="254"/>
      <c r="AC330" s="255"/>
      <c r="AD330" s="259">
        <f>BD.PD[[#This Row],[Av.P4 '[%']]]*BD.PD[[#This Row],[Ppto. Orden Interna '[DOP']]]</f>
        <v>0</v>
      </c>
      <c r="AE330" s="254"/>
      <c r="AF330" s="255"/>
      <c r="AG330" s="259">
        <f>BD.PD[[#This Row],[Av.P5 '[%']]]*BD.PD[[#This Row],[Ppto. Orden Interna '[DOP']]]</f>
        <v>0</v>
      </c>
      <c r="AH330" s="256">
        <f>BD.PD[[#This Row],[Pago 5]]+BD.PD[[#This Row],[Pago 4]]+BD.PD[[#This Row],[Pago 3]]+BD.PD[[#This Row],[Pago 2]]+BD.PD[[#This Row],[Pago 1]]</f>
        <v>2433.33</v>
      </c>
      <c r="AI330" s="318"/>
    </row>
    <row r="331" spans="1:35" ht="15" customHeight="1" x14ac:dyDescent="0.3">
      <c r="A331" s="181">
        <v>7.02</v>
      </c>
      <c r="B331" s="239"/>
      <c r="C331" s="240" t="str">
        <f>VLOOKUP(BD.PD[[#This Row],[Pos]],PPto[],3,FALSE)</f>
        <v>7.02 Cocina, Patio Comidas y Rostizería</v>
      </c>
      <c r="D331" s="181" t="s">
        <v>40</v>
      </c>
      <c r="E331" s="242" t="str">
        <f>IF(BD.PD[[#This Row],[.]]="*",VLOOKUP(BD.PD[[#This Row],[Pos]],Presupuesto!A:H,7,FALSE),"")</f>
        <v/>
      </c>
      <c r="F331" s="243" t="s">
        <v>515</v>
      </c>
      <c r="G331" s="243" t="s">
        <v>1069</v>
      </c>
      <c r="H331" s="275" t="s">
        <v>1071</v>
      </c>
      <c r="I331" s="276">
        <v>1</v>
      </c>
      <c r="J331" s="181" t="s">
        <v>314</v>
      </c>
      <c r="K331" s="245">
        <f>IF(BD.PD[[#This Row],[Mon]]="DOP",1,HLOOKUP(BD.PD[[#This Row],[Mon]],$J$1:$K$2,2,FALSE))</f>
        <v>1</v>
      </c>
      <c r="L331" s="277">
        <v>22251.88</v>
      </c>
      <c r="M331" s="247">
        <f>BD.PD[[#This Row],[Cant.]]*BD.PD[[#This Row],[ Tasa ]]*BD.PD[[#This Row],[ Precio Und.]]</f>
        <v>22251.88</v>
      </c>
      <c r="N331" s="278">
        <v>0</v>
      </c>
      <c r="O331" s="247">
        <f>IF(BD.PD[[#This Row],[Liquid. '[%']]]&lt;&gt;0,(BD.PD[[#This Row],[Valor Neto '[DOP']]]*BD.PD[[#This Row],[Liquid. '[%']]])+BD.PD[[#This Row],[Valor Neto '[DOP']]],BD.PD[[#This Row],[Valor Neto '[DOP']]])</f>
        <v>22251.88</v>
      </c>
      <c r="P331" s="257">
        <f>BD.PD[[#This Row],[Ppto. Orden Interna '[DOP']]]/HLOOKUP("USD",$J$1:$K$2,2,FALSE)</f>
        <v>366.58780889621084</v>
      </c>
      <c r="Q331" s="250" t="s">
        <v>456</v>
      </c>
      <c r="R331" s="258"/>
      <c r="S331" s="251">
        <v>21</v>
      </c>
      <c r="T331" s="252">
        <v>1</v>
      </c>
      <c r="U331" s="259">
        <f>BD.PD[[#This Row],[Av.P1 '[%']]]*BD.PD[[#This Row],[Ppto. Orden Interna '[DOP']]]</f>
        <v>22251.88</v>
      </c>
      <c r="V331" s="254"/>
      <c r="W331" s="255"/>
      <c r="X331" s="259">
        <f>BD.PD[[#This Row],[Av.P2 '[%']]]*BD.PD[[#This Row],[Ppto. Orden Interna '[DOP']]]</f>
        <v>0</v>
      </c>
      <c r="Y331" s="254"/>
      <c r="Z331" s="255"/>
      <c r="AA331" s="259">
        <f>BD.PD[[#This Row],[Av.P3 '[%']]]*BD.PD[[#This Row],[Ppto. Orden Interna '[DOP']]]</f>
        <v>0</v>
      </c>
      <c r="AB331" s="254"/>
      <c r="AC331" s="255"/>
      <c r="AD331" s="259">
        <f>BD.PD[[#This Row],[Av.P4 '[%']]]*BD.PD[[#This Row],[Ppto. Orden Interna '[DOP']]]</f>
        <v>0</v>
      </c>
      <c r="AE331" s="254"/>
      <c r="AF331" s="255"/>
      <c r="AG331" s="259">
        <f>BD.PD[[#This Row],[Av.P5 '[%']]]*BD.PD[[#This Row],[Ppto. Orden Interna '[DOP']]]</f>
        <v>0</v>
      </c>
      <c r="AH331" s="256">
        <f>BD.PD[[#This Row],[Pago 5]]+BD.PD[[#This Row],[Pago 4]]+BD.PD[[#This Row],[Pago 3]]+BD.PD[[#This Row],[Pago 2]]+BD.PD[[#This Row],[Pago 1]]</f>
        <v>22251.88</v>
      </c>
      <c r="AI331" s="318"/>
    </row>
    <row r="332" spans="1:35" ht="15" customHeight="1" x14ac:dyDescent="0.3">
      <c r="A332" s="181">
        <v>7.03</v>
      </c>
      <c r="B332" s="239" t="s">
        <v>306</v>
      </c>
      <c r="C332" s="240" t="str">
        <f>VLOOKUP(BD.PD[[#This Row],[Pos]],PPto[],3,FALSE)</f>
        <v>7.03 Equipamiento Carniceria, Pescadería y Delicatesen</v>
      </c>
      <c r="D332" s="241" t="s">
        <v>306</v>
      </c>
      <c r="E332" s="242">
        <f>IF(BD.PD[[#This Row],[.]]="*",VLOOKUP(BD.PD[[#This Row],[Pos]],Presupuesto!A:H,7,FALSE),"")</f>
        <v>53605.920479233231</v>
      </c>
      <c r="F332" s="243"/>
      <c r="G332" s="243"/>
      <c r="H332" s="243"/>
      <c r="I332" s="244">
        <v>1</v>
      </c>
      <c r="J332" s="241" t="s">
        <v>188</v>
      </c>
      <c r="K332" s="245">
        <f>IF(BD.PD[[#This Row],[Mon]]="DOP",1,HLOOKUP(BD.PD[[#This Row],[Mon]],$J$1:$K$2,2,FALSE))</f>
        <v>60.7</v>
      </c>
      <c r="L332" s="246">
        <v>0</v>
      </c>
      <c r="M332" s="247">
        <f>BD.PD[[#This Row],[Cant.]]*BD.PD[[#This Row],[ Tasa ]]*BD.PD[[#This Row],[ Precio Und.]]</f>
        <v>0</v>
      </c>
      <c r="N332" s="248">
        <v>0</v>
      </c>
      <c r="O332" s="247">
        <f>IF(BD.PD[[#This Row],[Liquid. '[%']]]&lt;&gt;0,(BD.PD[[#This Row],[Valor Neto '[DOP']]]*BD.PD[[#This Row],[Liquid. '[%']]])+BD.PD[[#This Row],[Valor Neto '[DOP']]],BD.PD[[#This Row],[Valor Neto '[DOP']]])</f>
        <v>0</v>
      </c>
      <c r="P332" s="257">
        <f>BD.PD[[#This Row],[Ppto. Orden Interna '[DOP']]]/HLOOKUP("USD",$J$1:$K$2,2,FALSE)</f>
        <v>0</v>
      </c>
      <c r="Q332" s="250"/>
      <c r="R332" s="258"/>
      <c r="S332" s="251"/>
      <c r="T332" s="252"/>
      <c r="U332" s="259">
        <f>BD.PD[[#This Row],[Av.P1 '[%']]]*BD.PD[[#This Row],[Ppto. Orden Interna '[DOP']]]</f>
        <v>0</v>
      </c>
      <c r="V332" s="254"/>
      <c r="W332" s="255"/>
      <c r="X332" s="259">
        <f>BD.PD[[#This Row],[Av.P2 '[%']]]*BD.PD[[#This Row],[Ppto. Orden Interna '[DOP']]]</f>
        <v>0</v>
      </c>
      <c r="Y332" s="254"/>
      <c r="Z332" s="255"/>
      <c r="AA332" s="259">
        <f>BD.PD[[#This Row],[Av.P3 '[%']]]*BD.PD[[#This Row],[Ppto. Orden Interna '[DOP']]]</f>
        <v>0</v>
      </c>
      <c r="AB332" s="254"/>
      <c r="AC332" s="255"/>
      <c r="AD332" s="259">
        <f>BD.PD[[#This Row],[Av.P4 '[%']]]*BD.PD[[#This Row],[Ppto. Orden Interna '[DOP']]]</f>
        <v>0</v>
      </c>
      <c r="AE332" s="254"/>
      <c r="AF332" s="255"/>
      <c r="AG332" s="259">
        <f>BD.PD[[#This Row],[Av.P5 '[%']]]*BD.PD[[#This Row],[Ppto. Orden Interna '[DOP']]]</f>
        <v>0</v>
      </c>
      <c r="AH332" s="256">
        <f>BD.PD[[#This Row],[Pago 5]]+BD.PD[[#This Row],[Pago 4]]+BD.PD[[#This Row],[Pago 3]]+BD.PD[[#This Row],[Pago 2]]+BD.PD[[#This Row],[Pago 1]]</f>
        <v>0</v>
      </c>
      <c r="AI332" s="318"/>
    </row>
    <row r="333" spans="1:35" ht="15" customHeight="1" x14ac:dyDescent="0.3">
      <c r="A333" s="181">
        <v>7.03</v>
      </c>
      <c r="B333" s="239"/>
      <c r="C333" s="240" t="str">
        <f>VLOOKUP(BD.PD[[#This Row],[Pos]],PPto[],3,FALSE)</f>
        <v>7.03 Equipamiento Carniceria, Pescadería y Delicatesen</v>
      </c>
      <c r="D333" s="181" t="s">
        <v>40</v>
      </c>
      <c r="E333" s="242" t="str">
        <f>IF(BD.PD[[#This Row],[.]]="*",VLOOKUP(BD.PD[[#This Row],[Pos]],Presupuesto!A:H,7,FALSE),"")</f>
        <v/>
      </c>
      <c r="F333" s="305" t="s">
        <v>526</v>
      </c>
      <c r="G333" s="243" t="s">
        <v>1068</v>
      </c>
      <c r="H333" s="275" t="s">
        <v>1071</v>
      </c>
      <c r="I333" s="276">
        <v>1</v>
      </c>
      <c r="J333" s="181" t="s">
        <v>314</v>
      </c>
      <c r="K333" s="245">
        <f>IF(BD.PD[[#This Row],[Mon]]="DOP",1,HLOOKUP(BD.PD[[#This Row],[Mon]],$J$1:$K$2,2,FALSE))</f>
        <v>1</v>
      </c>
      <c r="L333" s="277">
        <v>397260.62</v>
      </c>
      <c r="M333" s="247">
        <f>BD.PD[[#This Row],[Cant.]]*BD.PD[[#This Row],[ Tasa ]]*BD.PD[[#This Row],[ Precio Und.]]</f>
        <v>397260.62</v>
      </c>
      <c r="N333" s="278">
        <v>0</v>
      </c>
      <c r="O333" s="247">
        <f>IF(BD.PD[[#This Row],[Liquid. '[%']]]&lt;&gt;0,(BD.PD[[#This Row],[Valor Neto '[DOP']]]*BD.PD[[#This Row],[Liquid. '[%']]])+BD.PD[[#This Row],[Valor Neto '[DOP']]],BD.PD[[#This Row],[Valor Neto '[DOP']]])</f>
        <v>397260.62</v>
      </c>
      <c r="P333" s="257">
        <f>BD.PD[[#This Row],[Ppto. Orden Interna '[DOP']]]/HLOOKUP("USD",$J$1:$K$2,2,FALSE)</f>
        <v>6544.6560131795713</v>
      </c>
      <c r="Q333" s="250" t="s">
        <v>527</v>
      </c>
      <c r="R333" s="258"/>
      <c r="S333" s="251">
        <v>21</v>
      </c>
      <c r="T333" s="252">
        <v>1</v>
      </c>
      <c r="U333" s="259">
        <f>BD.PD[[#This Row],[Av.P1 '[%']]]*BD.PD[[#This Row],[Ppto. Orden Interna '[DOP']]]</f>
        <v>397260.62</v>
      </c>
      <c r="V333" s="254"/>
      <c r="W333" s="255"/>
      <c r="X333" s="259">
        <f>BD.PD[[#This Row],[Av.P2 '[%']]]*BD.PD[[#This Row],[Ppto. Orden Interna '[DOP']]]</f>
        <v>0</v>
      </c>
      <c r="Y333" s="254"/>
      <c r="Z333" s="255"/>
      <c r="AA333" s="259">
        <f>BD.PD[[#This Row],[Av.P3 '[%']]]*BD.PD[[#This Row],[Ppto. Orden Interna '[DOP']]]</f>
        <v>0</v>
      </c>
      <c r="AB333" s="254"/>
      <c r="AC333" s="255"/>
      <c r="AD333" s="259">
        <f>BD.PD[[#This Row],[Av.P4 '[%']]]*BD.PD[[#This Row],[Ppto. Orden Interna '[DOP']]]</f>
        <v>0</v>
      </c>
      <c r="AE333" s="254"/>
      <c r="AF333" s="255"/>
      <c r="AG333" s="259">
        <f>BD.PD[[#This Row],[Av.P5 '[%']]]*BD.PD[[#This Row],[Ppto. Orden Interna '[DOP']]]</f>
        <v>0</v>
      </c>
      <c r="AH333" s="256">
        <f>BD.PD[[#This Row],[Pago 5]]+BD.PD[[#This Row],[Pago 4]]+BD.PD[[#This Row],[Pago 3]]+BD.PD[[#This Row],[Pago 2]]+BD.PD[[#This Row],[Pago 1]]</f>
        <v>397260.62</v>
      </c>
      <c r="AI333" s="318"/>
    </row>
    <row r="334" spans="1:35" ht="15" customHeight="1" x14ac:dyDescent="0.3">
      <c r="A334" s="181">
        <v>7.03</v>
      </c>
      <c r="B334" s="239"/>
      <c r="C334" s="240" t="str">
        <f>VLOOKUP(BD.PD[[#This Row],[Pos]],PPto[],3,FALSE)</f>
        <v>7.03 Equipamiento Carniceria, Pescadería y Delicatesen</v>
      </c>
      <c r="D334" s="181" t="s">
        <v>40</v>
      </c>
      <c r="E334" s="242" t="str">
        <f>IF(BD.PD[[#This Row],[.]]="*",VLOOKUP(BD.PD[[#This Row],[Pos]],Presupuesto!A:H,7,FALSE),"")</f>
        <v/>
      </c>
      <c r="F334" s="305" t="s">
        <v>528</v>
      </c>
      <c r="G334" s="243" t="s">
        <v>1068</v>
      </c>
      <c r="H334" s="275" t="s">
        <v>1071</v>
      </c>
      <c r="I334" s="276">
        <v>1</v>
      </c>
      <c r="J334" s="181" t="s">
        <v>314</v>
      </c>
      <c r="K334" s="245">
        <f>IF(BD.PD[[#This Row],[Mon]]="DOP",1,HLOOKUP(BD.PD[[#This Row],[Mon]],$J$1:$K$2,2,FALSE))</f>
        <v>1</v>
      </c>
      <c r="L334" s="277">
        <v>181574.8</v>
      </c>
      <c r="M334" s="247">
        <f>BD.PD[[#This Row],[Cant.]]*BD.PD[[#This Row],[ Tasa ]]*BD.PD[[#This Row],[ Precio Und.]]</f>
        <v>181574.8</v>
      </c>
      <c r="N334" s="278">
        <v>0</v>
      </c>
      <c r="O334" s="247">
        <f>IF(BD.PD[[#This Row],[Liquid. '[%']]]&lt;&gt;0,(BD.PD[[#This Row],[Valor Neto '[DOP']]]*BD.PD[[#This Row],[Liquid. '[%']]])+BD.PD[[#This Row],[Valor Neto '[DOP']]],BD.PD[[#This Row],[Valor Neto '[DOP']]])</f>
        <v>181574.8</v>
      </c>
      <c r="P334" s="257">
        <f>BD.PD[[#This Row],[Ppto. Orden Interna '[DOP']]]/HLOOKUP("USD",$J$1:$K$2,2,FALSE)</f>
        <v>2991.3476112026356</v>
      </c>
      <c r="Q334" s="250" t="s">
        <v>527</v>
      </c>
      <c r="R334" s="258"/>
      <c r="S334" s="251">
        <v>21</v>
      </c>
      <c r="T334" s="252">
        <v>1</v>
      </c>
      <c r="U334" s="259">
        <f>BD.PD[[#This Row],[Av.P1 '[%']]]*BD.PD[[#This Row],[Ppto. Orden Interna '[DOP']]]</f>
        <v>181574.8</v>
      </c>
      <c r="V334" s="254"/>
      <c r="W334" s="255"/>
      <c r="X334" s="259">
        <f>BD.PD[[#This Row],[Av.P2 '[%']]]*BD.PD[[#This Row],[Ppto. Orden Interna '[DOP']]]</f>
        <v>0</v>
      </c>
      <c r="Y334" s="254"/>
      <c r="Z334" s="255"/>
      <c r="AA334" s="259">
        <f>BD.PD[[#This Row],[Av.P3 '[%']]]*BD.PD[[#This Row],[Ppto. Orden Interna '[DOP']]]</f>
        <v>0</v>
      </c>
      <c r="AB334" s="254"/>
      <c r="AC334" s="255"/>
      <c r="AD334" s="259">
        <f>BD.PD[[#This Row],[Av.P4 '[%']]]*BD.PD[[#This Row],[Ppto. Orden Interna '[DOP']]]</f>
        <v>0</v>
      </c>
      <c r="AE334" s="254"/>
      <c r="AF334" s="255"/>
      <c r="AG334" s="259">
        <f>BD.PD[[#This Row],[Av.P5 '[%']]]*BD.PD[[#This Row],[Ppto. Orden Interna '[DOP']]]</f>
        <v>0</v>
      </c>
      <c r="AH334" s="256">
        <f>BD.PD[[#This Row],[Pago 5]]+BD.PD[[#This Row],[Pago 4]]+BD.PD[[#This Row],[Pago 3]]+BD.PD[[#This Row],[Pago 2]]+BD.PD[[#This Row],[Pago 1]]</f>
        <v>181574.8</v>
      </c>
      <c r="AI334" s="318"/>
    </row>
    <row r="335" spans="1:35" ht="15" customHeight="1" x14ac:dyDescent="0.3">
      <c r="A335" s="181">
        <v>7.03</v>
      </c>
      <c r="B335" s="239"/>
      <c r="C335" s="240" t="str">
        <f>VLOOKUP(BD.PD[[#This Row],[Pos]],PPto[],3,FALSE)</f>
        <v>7.03 Equipamiento Carniceria, Pescadería y Delicatesen</v>
      </c>
      <c r="D335" s="181" t="s">
        <v>40</v>
      </c>
      <c r="E335" s="242" t="str">
        <f>IF(BD.PD[[#This Row],[.]]="*",VLOOKUP(BD.PD[[#This Row],[Pos]],Presupuesto!A:H,7,FALSE),"")</f>
        <v/>
      </c>
      <c r="F335" s="305" t="s">
        <v>529</v>
      </c>
      <c r="G335" s="243" t="s">
        <v>1068</v>
      </c>
      <c r="H335" s="275" t="s">
        <v>1071</v>
      </c>
      <c r="I335" s="276">
        <v>1</v>
      </c>
      <c r="J335" s="181" t="s">
        <v>314</v>
      </c>
      <c r="K335" s="245">
        <f>IF(BD.PD[[#This Row],[Mon]]="DOP",1,HLOOKUP(BD.PD[[#This Row],[Mon]],$J$1:$K$2,2,FALSE))</f>
        <v>1</v>
      </c>
      <c r="L335" s="277">
        <v>546727.98</v>
      </c>
      <c r="M335" s="247">
        <f>BD.PD[[#This Row],[Cant.]]*BD.PD[[#This Row],[ Tasa ]]*BD.PD[[#This Row],[ Precio Und.]]</f>
        <v>546727.98</v>
      </c>
      <c r="N335" s="278">
        <v>0</v>
      </c>
      <c r="O335" s="247">
        <f>IF(BD.PD[[#This Row],[Liquid. '[%']]]&lt;&gt;0,(BD.PD[[#This Row],[Valor Neto '[DOP']]]*BD.PD[[#This Row],[Liquid. '[%']]])+BD.PD[[#This Row],[Valor Neto '[DOP']]],BD.PD[[#This Row],[Valor Neto '[DOP']]])</f>
        <v>546727.98</v>
      </c>
      <c r="P335" s="257">
        <f>BD.PD[[#This Row],[Ppto. Orden Interna '[DOP']]]/HLOOKUP("USD",$J$1:$K$2,2,FALSE)</f>
        <v>9007.0507413509058</v>
      </c>
      <c r="Q335" s="250" t="s">
        <v>527</v>
      </c>
      <c r="R335" s="258"/>
      <c r="S335" s="251">
        <v>21</v>
      </c>
      <c r="T335" s="252">
        <v>1</v>
      </c>
      <c r="U335" s="259">
        <f>BD.PD[[#This Row],[Av.P1 '[%']]]*BD.PD[[#This Row],[Ppto. Orden Interna '[DOP']]]</f>
        <v>546727.98</v>
      </c>
      <c r="V335" s="254"/>
      <c r="W335" s="255"/>
      <c r="X335" s="259">
        <f>BD.PD[[#This Row],[Av.P2 '[%']]]*BD.PD[[#This Row],[Ppto. Orden Interna '[DOP']]]</f>
        <v>0</v>
      </c>
      <c r="Y335" s="254"/>
      <c r="Z335" s="255"/>
      <c r="AA335" s="259">
        <f>BD.PD[[#This Row],[Av.P3 '[%']]]*BD.PD[[#This Row],[Ppto. Orden Interna '[DOP']]]</f>
        <v>0</v>
      </c>
      <c r="AB335" s="254"/>
      <c r="AC335" s="255"/>
      <c r="AD335" s="259">
        <f>BD.PD[[#This Row],[Av.P4 '[%']]]*BD.PD[[#This Row],[Ppto. Orden Interna '[DOP']]]</f>
        <v>0</v>
      </c>
      <c r="AE335" s="254"/>
      <c r="AF335" s="255"/>
      <c r="AG335" s="259">
        <f>BD.PD[[#This Row],[Av.P5 '[%']]]*BD.PD[[#This Row],[Ppto. Orden Interna '[DOP']]]</f>
        <v>0</v>
      </c>
      <c r="AH335" s="256">
        <f>BD.PD[[#This Row],[Pago 5]]+BD.PD[[#This Row],[Pago 4]]+BD.PD[[#This Row],[Pago 3]]+BD.PD[[#This Row],[Pago 2]]+BD.PD[[#This Row],[Pago 1]]</f>
        <v>546727.98</v>
      </c>
      <c r="AI335" s="318"/>
    </row>
    <row r="336" spans="1:35" ht="15" customHeight="1" x14ac:dyDescent="0.3">
      <c r="A336" s="181">
        <v>7.03</v>
      </c>
      <c r="B336" s="239"/>
      <c r="C336" s="240" t="str">
        <f>VLOOKUP(BD.PD[[#This Row],[Pos]],PPto[],3,FALSE)</f>
        <v>7.03 Equipamiento Carniceria, Pescadería y Delicatesen</v>
      </c>
      <c r="D336" s="181" t="s">
        <v>40</v>
      </c>
      <c r="E336" s="242" t="str">
        <f>IF(BD.PD[[#This Row],[.]]="*",VLOOKUP(BD.PD[[#This Row],[Pos]],Presupuesto!A:H,7,FALSE),"")</f>
        <v/>
      </c>
      <c r="F336" s="305" t="s">
        <v>530</v>
      </c>
      <c r="G336" s="243" t="s">
        <v>1068</v>
      </c>
      <c r="H336" s="275" t="s">
        <v>1071</v>
      </c>
      <c r="I336" s="276">
        <v>1</v>
      </c>
      <c r="J336" s="181" t="s">
        <v>314</v>
      </c>
      <c r="K336" s="245">
        <f>IF(BD.PD[[#This Row],[Mon]]="DOP",1,HLOOKUP(BD.PD[[#This Row],[Mon]],$J$1:$K$2,2,FALSE))</f>
        <v>1</v>
      </c>
      <c r="L336" s="277">
        <v>937877.67</v>
      </c>
      <c r="M336" s="247">
        <f>BD.PD[[#This Row],[Cant.]]*BD.PD[[#This Row],[ Tasa ]]*BD.PD[[#This Row],[ Precio Und.]]</f>
        <v>937877.67</v>
      </c>
      <c r="N336" s="278">
        <v>0</v>
      </c>
      <c r="O336" s="247">
        <f>IF(BD.PD[[#This Row],[Liquid. '[%']]]&lt;&gt;0,(BD.PD[[#This Row],[Valor Neto '[DOP']]]*BD.PD[[#This Row],[Liquid. '[%']]])+BD.PD[[#This Row],[Valor Neto '[DOP']]],BD.PD[[#This Row],[Valor Neto '[DOP']]])</f>
        <v>937877.67</v>
      </c>
      <c r="P336" s="257">
        <f>BD.PD[[#This Row],[Ppto. Orden Interna '[DOP']]]/HLOOKUP("USD",$J$1:$K$2,2,FALSE)</f>
        <v>15451.032454695222</v>
      </c>
      <c r="Q336" s="250" t="s">
        <v>527</v>
      </c>
      <c r="R336" s="258"/>
      <c r="S336" s="251">
        <v>21</v>
      </c>
      <c r="T336" s="252">
        <v>1</v>
      </c>
      <c r="U336" s="259">
        <f>BD.PD[[#This Row],[Av.P1 '[%']]]*BD.PD[[#This Row],[Ppto. Orden Interna '[DOP']]]</f>
        <v>937877.67</v>
      </c>
      <c r="V336" s="254"/>
      <c r="W336" s="255"/>
      <c r="X336" s="259">
        <f>BD.PD[[#This Row],[Av.P2 '[%']]]*BD.PD[[#This Row],[Ppto. Orden Interna '[DOP']]]</f>
        <v>0</v>
      </c>
      <c r="Y336" s="254"/>
      <c r="Z336" s="255"/>
      <c r="AA336" s="259">
        <f>BD.PD[[#This Row],[Av.P3 '[%']]]*BD.PD[[#This Row],[Ppto. Orden Interna '[DOP']]]</f>
        <v>0</v>
      </c>
      <c r="AB336" s="254"/>
      <c r="AC336" s="255"/>
      <c r="AD336" s="259">
        <f>BD.PD[[#This Row],[Av.P4 '[%']]]*BD.PD[[#This Row],[Ppto. Orden Interna '[DOP']]]</f>
        <v>0</v>
      </c>
      <c r="AE336" s="254"/>
      <c r="AF336" s="255"/>
      <c r="AG336" s="259">
        <f>BD.PD[[#This Row],[Av.P5 '[%']]]*BD.PD[[#This Row],[Ppto. Orden Interna '[DOP']]]</f>
        <v>0</v>
      </c>
      <c r="AH336" s="256">
        <f>BD.PD[[#This Row],[Pago 5]]+BD.PD[[#This Row],[Pago 4]]+BD.PD[[#This Row],[Pago 3]]+BD.PD[[#This Row],[Pago 2]]+BD.PD[[#This Row],[Pago 1]]</f>
        <v>937877.67</v>
      </c>
      <c r="AI336" s="318"/>
    </row>
    <row r="337" spans="1:35" ht="15" customHeight="1" x14ac:dyDescent="0.3">
      <c r="A337" s="181">
        <v>7.03</v>
      </c>
      <c r="B337" s="239"/>
      <c r="C337" s="240" t="str">
        <f>VLOOKUP(BD.PD[[#This Row],[Pos]],PPto[],3,FALSE)</f>
        <v>7.03 Equipamiento Carniceria, Pescadería y Delicatesen</v>
      </c>
      <c r="D337" s="181" t="s">
        <v>40</v>
      </c>
      <c r="E337" s="242" t="str">
        <f>IF(BD.PD[[#This Row],[.]]="*",VLOOKUP(BD.PD[[#This Row],[Pos]],Presupuesto!A:H,7,FALSE),"")</f>
        <v/>
      </c>
      <c r="F337" s="305" t="s">
        <v>531</v>
      </c>
      <c r="G337" s="243" t="s">
        <v>1068</v>
      </c>
      <c r="H337" s="275" t="s">
        <v>1071</v>
      </c>
      <c r="I337" s="276">
        <v>1</v>
      </c>
      <c r="J337" s="181" t="s">
        <v>314</v>
      </c>
      <c r="K337" s="245">
        <f>IF(BD.PD[[#This Row],[Mon]]="DOP",1,HLOOKUP(BD.PD[[#This Row],[Mon]],$J$1:$K$2,2,FALSE))</f>
        <v>1</v>
      </c>
      <c r="L337" s="277">
        <v>140501.32999999999</v>
      </c>
      <c r="M337" s="247">
        <f>BD.PD[[#This Row],[Cant.]]*BD.PD[[#This Row],[ Tasa ]]*BD.PD[[#This Row],[ Precio Und.]]</f>
        <v>140501.32999999999</v>
      </c>
      <c r="N337" s="278">
        <v>0</v>
      </c>
      <c r="O337" s="247">
        <f>IF(BD.PD[[#This Row],[Liquid. '[%']]]&lt;&gt;0,(BD.PD[[#This Row],[Valor Neto '[DOP']]]*BD.PD[[#This Row],[Liquid. '[%']]])+BD.PD[[#This Row],[Valor Neto '[DOP']]],BD.PD[[#This Row],[Valor Neto '[DOP']]])</f>
        <v>140501.32999999999</v>
      </c>
      <c r="P337" s="257">
        <f>BD.PD[[#This Row],[Ppto. Orden Interna '[DOP']]]/HLOOKUP("USD",$J$1:$K$2,2,FALSE)</f>
        <v>2314.6841845140029</v>
      </c>
      <c r="Q337" s="250" t="s">
        <v>527</v>
      </c>
      <c r="R337" s="258"/>
      <c r="S337" s="251">
        <v>21</v>
      </c>
      <c r="T337" s="252">
        <v>1</v>
      </c>
      <c r="U337" s="259">
        <f>BD.PD[[#This Row],[Av.P1 '[%']]]*BD.PD[[#This Row],[Ppto. Orden Interna '[DOP']]]</f>
        <v>140501.32999999999</v>
      </c>
      <c r="V337" s="254"/>
      <c r="W337" s="255"/>
      <c r="X337" s="259">
        <f>BD.PD[[#This Row],[Av.P2 '[%']]]*BD.PD[[#This Row],[Ppto. Orden Interna '[DOP']]]</f>
        <v>0</v>
      </c>
      <c r="Y337" s="254"/>
      <c r="Z337" s="255"/>
      <c r="AA337" s="259">
        <f>BD.PD[[#This Row],[Av.P3 '[%']]]*BD.PD[[#This Row],[Ppto. Orden Interna '[DOP']]]</f>
        <v>0</v>
      </c>
      <c r="AB337" s="254"/>
      <c r="AC337" s="255"/>
      <c r="AD337" s="259">
        <f>BD.PD[[#This Row],[Av.P4 '[%']]]*BD.PD[[#This Row],[Ppto. Orden Interna '[DOP']]]</f>
        <v>0</v>
      </c>
      <c r="AE337" s="254"/>
      <c r="AF337" s="255"/>
      <c r="AG337" s="259">
        <f>BD.PD[[#This Row],[Av.P5 '[%']]]*BD.PD[[#This Row],[Ppto. Orden Interna '[DOP']]]</f>
        <v>0</v>
      </c>
      <c r="AH337" s="256">
        <f>BD.PD[[#This Row],[Pago 5]]+BD.PD[[#This Row],[Pago 4]]+BD.PD[[#This Row],[Pago 3]]+BD.PD[[#This Row],[Pago 2]]+BD.PD[[#This Row],[Pago 1]]</f>
        <v>140501.32999999999</v>
      </c>
      <c r="AI337" s="318"/>
    </row>
    <row r="338" spans="1:35" ht="15" customHeight="1" x14ac:dyDescent="0.3">
      <c r="A338" s="181">
        <v>7.03</v>
      </c>
      <c r="B338" s="239"/>
      <c r="C338" s="240" t="str">
        <f>VLOOKUP(BD.PD[[#This Row],[Pos]],PPto[],3,FALSE)</f>
        <v>7.03 Equipamiento Carniceria, Pescadería y Delicatesen</v>
      </c>
      <c r="D338" s="181" t="s">
        <v>40</v>
      </c>
      <c r="E338" s="242" t="str">
        <f>IF(BD.PD[[#This Row],[.]]="*",VLOOKUP(BD.PD[[#This Row],[Pos]],Presupuesto!A:H,7,FALSE),"")</f>
        <v/>
      </c>
      <c r="F338" s="243" t="s">
        <v>532</v>
      </c>
      <c r="G338" s="243" t="s">
        <v>334</v>
      </c>
      <c r="H338" s="275"/>
      <c r="I338" s="276">
        <v>18</v>
      </c>
      <c r="J338" s="181" t="s">
        <v>314</v>
      </c>
      <c r="K338" s="245">
        <f>IF(BD.PD[[#This Row],[Mon]]="DOP",1,HLOOKUP(BD.PD[[#This Row],[Mon]],$J$1:$K$2,2,FALSE))</f>
        <v>1</v>
      </c>
      <c r="L338" s="277">
        <v>475.52000000000004</v>
      </c>
      <c r="M338" s="247">
        <f>BD.PD[[#This Row],[Cant.]]*BD.PD[[#This Row],[ Tasa ]]*BD.PD[[#This Row],[ Precio Und.]]</f>
        <v>8559.36</v>
      </c>
      <c r="N338" s="278">
        <v>0</v>
      </c>
      <c r="O338" s="247">
        <f>IF(BD.PD[[#This Row],[Liquid. '[%']]]&lt;&gt;0,(BD.PD[[#This Row],[Valor Neto '[DOP']]]*BD.PD[[#This Row],[Liquid. '[%']]])+BD.PD[[#This Row],[Valor Neto '[DOP']]],BD.PD[[#This Row],[Valor Neto '[DOP']]])</f>
        <v>8559.36</v>
      </c>
      <c r="P338" s="257">
        <f>BD.PD[[#This Row],[Ppto. Orden Interna '[DOP']]]/HLOOKUP("USD",$J$1:$K$2,2,FALSE)</f>
        <v>141.01087314662274</v>
      </c>
      <c r="Q338" s="250" t="s">
        <v>456</v>
      </c>
      <c r="R338" s="258"/>
      <c r="S338" s="251">
        <v>21</v>
      </c>
      <c r="T338" s="252">
        <v>1</v>
      </c>
      <c r="U338" s="259">
        <f>BD.PD[[#This Row],[Av.P1 '[%']]]*BD.PD[[#This Row],[Ppto. Orden Interna '[DOP']]]</f>
        <v>8559.36</v>
      </c>
      <c r="V338" s="254"/>
      <c r="W338" s="255"/>
      <c r="X338" s="259">
        <f>BD.PD[[#This Row],[Av.P2 '[%']]]*BD.PD[[#This Row],[Ppto. Orden Interna '[DOP']]]</f>
        <v>0</v>
      </c>
      <c r="Y338" s="254"/>
      <c r="Z338" s="255"/>
      <c r="AA338" s="259">
        <f>BD.PD[[#This Row],[Av.P3 '[%']]]*BD.PD[[#This Row],[Ppto. Orden Interna '[DOP']]]</f>
        <v>0</v>
      </c>
      <c r="AB338" s="254"/>
      <c r="AC338" s="255"/>
      <c r="AD338" s="259">
        <f>BD.PD[[#This Row],[Av.P4 '[%']]]*BD.PD[[#This Row],[Ppto. Orden Interna '[DOP']]]</f>
        <v>0</v>
      </c>
      <c r="AE338" s="254"/>
      <c r="AF338" s="255"/>
      <c r="AG338" s="259">
        <f>BD.PD[[#This Row],[Av.P5 '[%']]]*BD.PD[[#This Row],[Ppto. Orden Interna '[DOP']]]</f>
        <v>0</v>
      </c>
      <c r="AH338" s="256">
        <f>BD.PD[[#This Row],[Pago 5]]+BD.PD[[#This Row],[Pago 4]]+BD.PD[[#This Row],[Pago 3]]+BD.PD[[#This Row],[Pago 2]]+BD.PD[[#This Row],[Pago 1]]</f>
        <v>8559.36</v>
      </c>
      <c r="AI338" s="318"/>
    </row>
    <row r="339" spans="1:35" ht="15" customHeight="1" x14ac:dyDescent="0.3">
      <c r="A339" s="181">
        <v>7.04</v>
      </c>
      <c r="B339" s="239" t="s">
        <v>306</v>
      </c>
      <c r="C339" s="240" t="str">
        <f>VLOOKUP(BD.PD[[#This Row],[Pos]],PPto[],3,FALSE)</f>
        <v>7.04 Equipamiento de Panaderia, Reposteria y Rosticería</v>
      </c>
      <c r="D339" s="241" t="s">
        <v>306</v>
      </c>
      <c r="E339" s="242">
        <f>IF(BD.PD[[#This Row],[.]]="*",VLOOKUP(BD.PD[[#This Row],[Pos]],Presupuesto!A:H,7,FALSE),"")</f>
        <v>170136.8638977636</v>
      </c>
      <c r="F339" s="243"/>
      <c r="G339" s="243"/>
      <c r="H339" s="243"/>
      <c r="I339" s="244">
        <v>1</v>
      </c>
      <c r="J339" s="241" t="s">
        <v>188</v>
      </c>
      <c r="K339" s="245">
        <f>IF(BD.PD[[#This Row],[Mon]]="DOP",1,HLOOKUP(BD.PD[[#This Row],[Mon]],$J$1:$K$2,2,FALSE))</f>
        <v>60.7</v>
      </c>
      <c r="L339" s="246">
        <v>0</v>
      </c>
      <c r="M339" s="247">
        <f>BD.PD[[#This Row],[Cant.]]*BD.PD[[#This Row],[ Tasa ]]*BD.PD[[#This Row],[ Precio Und.]]</f>
        <v>0</v>
      </c>
      <c r="N339" s="248">
        <v>0</v>
      </c>
      <c r="O339" s="247">
        <f>IF(BD.PD[[#This Row],[Liquid. '[%']]]&lt;&gt;0,(BD.PD[[#This Row],[Valor Neto '[DOP']]]*BD.PD[[#This Row],[Liquid. '[%']]])+BD.PD[[#This Row],[Valor Neto '[DOP']]],BD.PD[[#This Row],[Valor Neto '[DOP']]])</f>
        <v>0</v>
      </c>
      <c r="P339" s="257">
        <f>BD.PD[[#This Row],[Ppto. Orden Interna '[DOP']]]/HLOOKUP("USD",$J$1:$K$2,2,FALSE)</f>
        <v>0</v>
      </c>
      <c r="Q339" s="250"/>
      <c r="R339" s="258"/>
      <c r="S339" s="251"/>
      <c r="T339" s="252"/>
      <c r="U339" s="259">
        <f>BD.PD[[#This Row],[Av.P1 '[%']]]*BD.PD[[#This Row],[Ppto. Orden Interna '[DOP']]]</f>
        <v>0</v>
      </c>
      <c r="V339" s="254"/>
      <c r="W339" s="255"/>
      <c r="X339" s="259">
        <f>BD.PD[[#This Row],[Av.P2 '[%']]]*BD.PD[[#This Row],[Ppto. Orden Interna '[DOP']]]</f>
        <v>0</v>
      </c>
      <c r="Y339" s="254"/>
      <c r="Z339" s="255"/>
      <c r="AA339" s="259">
        <f>BD.PD[[#This Row],[Av.P3 '[%']]]*BD.PD[[#This Row],[Ppto. Orden Interna '[DOP']]]</f>
        <v>0</v>
      </c>
      <c r="AB339" s="254"/>
      <c r="AC339" s="255"/>
      <c r="AD339" s="259">
        <f>BD.PD[[#This Row],[Av.P4 '[%']]]*BD.PD[[#This Row],[Ppto. Orden Interna '[DOP']]]</f>
        <v>0</v>
      </c>
      <c r="AE339" s="254"/>
      <c r="AF339" s="255"/>
      <c r="AG339" s="259">
        <f>BD.PD[[#This Row],[Av.P5 '[%']]]*BD.PD[[#This Row],[Ppto. Orden Interna '[DOP']]]</f>
        <v>0</v>
      </c>
      <c r="AH339" s="256">
        <f>BD.PD[[#This Row],[Pago 5]]+BD.PD[[#This Row],[Pago 4]]+BD.PD[[#This Row],[Pago 3]]+BD.PD[[#This Row],[Pago 2]]+BD.PD[[#This Row],[Pago 1]]</f>
        <v>0</v>
      </c>
      <c r="AI339" s="318"/>
    </row>
    <row r="340" spans="1:35" ht="15" customHeight="1" x14ac:dyDescent="0.3">
      <c r="A340" s="181">
        <v>7.05</v>
      </c>
      <c r="B340" s="239" t="s">
        <v>306</v>
      </c>
      <c r="C340" s="240" t="str">
        <f>VLOOKUP(BD.PD[[#This Row],[Pos]],PPto[],3,FALSE)</f>
        <v>7.05 Equipamiento de Frutas y Vegetales</v>
      </c>
      <c r="D340" s="241" t="s">
        <v>306</v>
      </c>
      <c r="E340" s="242">
        <f>IF(BD.PD[[#This Row],[.]]="*",VLOOKUP(BD.PD[[#This Row],[Pos]],Presupuesto!A:H,7,FALSE),"")</f>
        <v>62951.349201277946</v>
      </c>
      <c r="F340" s="243"/>
      <c r="G340" s="243"/>
      <c r="H340" s="243"/>
      <c r="I340" s="244">
        <v>1</v>
      </c>
      <c r="J340" s="241" t="s">
        <v>188</v>
      </c>
      <c r="K340" s="245">
        <f>IF(BD.PD[[#This Row],[Mon]]="DOP",1,HLOOKUP(BD.PD[[#This Row],[Mon]],$J$1:$K$2,2,FALSE))</f>
        <v>60.7</v>
      </c>
      <c r="L340" s="246">
        <v>0</v>
      </c>
      <c r="M340" s="247">
        <f>BD.PD[[#This Row],[Cant.]]*BD.PD[[#This Row],[ Tasa ]]*BD.PD[[#This Row],[ Precio Und.]]</f>
        <v>0</v>
      </c>
      <c r="N340" s="248">
        <v>0</v>
      </c>
      <c r="O340" s="247">
        <f>IF(BD.PD[[#This Row],[Liquid. '[%']]]&lt;&gt;0,(BD.PD[[#This Row],[Valor Neto '[DOP']]]*BD.PD[[#This Row],[Liquid. '[%']]])+BD.PD[[#This Row],[Valor Neto '[DOP']]],BD.PD[[#This Row],[Valor Neto '[DOP']]])</f>
        <v>0</v>
      </c>
      <c r="P340" s="257">
        <f>BD.PD[[#This Row],[Ppto. Orden Interna '[DOP']]]/HLOOKUP("USD",$J$1:$K$2,2,FALSE)</f>
        <v>0</v>
      </c>
      <c r="Q340" s="250"/>
      <c r="R340" s="258"/>
      <c r="S340" s="251"/>
      <c r="T340" s="252"/>
      <c r="U340" s="259">
        <f>BD.PD[[#This Row],[Av.P1 '[%']]]*BD.PD[[#This Row],[Ppto. Orden Interna '[DOP']]]</f>
        <v>0</v>
      </c>
      <c r="V340" s="254"/>
      <c r="W340" s="255"/>
      <c r="X340" s="259">
        <f>BD.PD[[#This Row],[Av.P2 '[%']]]*BD.PD[[#This Row],[Ppto. Orden Interna '[DOP']]]</f>
        <v>0</v>
      </c>
      <c r="Y340" s="254"/>
      <c r="Z340" s="255"/>
      <c r="AA340" s="259">
        <f>BD.PD[[#This Row],[Av.P3 '[%']]]*BD.PD[[#This Row],[Ppto. Orden Interna '[DOP']]]</f>
        <v>0</v>
      </c>
      <c r="AB340" s="254"/>
      <c r="AC340" s="255"/>
      <c r="AD340" s="259">
        <f>BD.PD[[#This Row],[Av.P4 '[%']]]*BD.PD[[#This Row],[Ppto. Orden Interna '[DOP']]]</f>
        <v>0</v>
      </c>
      <c r="AE340" s="254"/>
      <c r="AF340" s="255"/>
      <c r="AG340" s="259">
        <f>BD.PD[[#This Row],[Av.P5 '[%']]]*BD.PD[[#This Row],[Ppto. Orden Interna '[DOP']]]</f>
        <v>0</v>
      </c>
      <c r="AH340" s="256">
        <f>BD.PD[[#This Row],[Pago 5]]+BD.PD[[#This Row],[Pago 4]]+BD.PD[[#This Row],[Pago 3]]+BD.PD[[#This Row],[Pago 2]]+BD.PD[[#This Row],[Pago 1]]</f>
        <v>0</v>
      </c>
      <c r="AI340" s="318"/>
    </row>
    <row r="341" spans="1:35" ht="15" customHeight="1" x14ac:dyDescent="0.3">
      <c r="A341" s="181">
        <v>7.05</v>
      </c>
      <c r="B341" s="239"/>
      <c r="C341" s="240" t="str">
        <f>VLOOKUP(BD.PD[[#This Row],[Pos]],PPto[],3,FALSE)</f>
        <v>7.05 Equipamiento de Frutas y Vegetales</v>
      </c>
      <c r="D341" s="181" t="s">
        <v>40</v>
      </c>
      <c r="E341" s="242" t="str">
        <f>IF(BD.PD[[#This Row],[.]]="*",VLOOKUP(BD.PD[[#This Row],[Pos]],Presupuesto!A:H,7,FALSE),"")</f>
        <v/>
      </c>
      <c r="F341" s="305" t="s">
        <v>557</v>
      </c>
      <c r="G341" s="243" t="s">
        <v>334</v>
      </c>
      <c r="H341" s="275"/>
      <c r="I341" s="276">
        <v>2</v>
      </c>
      <c r="J341" s="181" t="s">
        <v>314</v>
      </c>
      <c r="K341" s="245">
        <f>IF(BD.PD[[#This Row],[Mon]]="DOP",1,HLOOKUP(BD.PD[[#This Row],[Mon]],$J$1:$K$2,2,FALSE))</f>
        <v>1</v>
      </c>
      <c r="L341" s="277">
        <v>900</v>
      </c>
      <c r="M341" s="247">
        <f>BD.PD[[#This Row],[Cant.]]*BD.PD[[#This Row],[ Tasa ]]*BD.PD[[#This Row],[ Precio Und.]]</f>
        <v>1800</v>
      </c>
      <c r="N341" s="278">
        <v>0</v>
      </c>
      <c r="O341" s="247">
        <f>IF(BD.PD[[#This Row],[Liquid. '[%']]]&lt;&gt;0,(BD.PD[[#This Row],[Valor Neto '[DOP']]]*BD.PD[[#This Row],[Liquid. '[%']]])+BD.PD[[#This Row],[Valor Neto '[DOP']]],BD.PD[[#This Row],[Valor Neto '[DOP']]])</f>
        <v>1800</v>
      </c>
      <c r="P341" s="257">
        <f>BD.PD[[#This Row],[Ppto. Orden Interna '[DOP']]]/HLOOKUP("USD",$J$1:$K$2,2,FALSE)</f>
        <v>29.654036243822073</v>
      </c>
      <c r="Q341" s="250"/>
      <c r="R341" s="258"/>
      <c r="S341" s="251">
        <v>21</v>
      </c>
      <c r="T341" s="252">
        <v>1</v>
      </c>
      <c r="U341" s="259">
        <f>BD.PD[[#This Row],[Av.P1 '[%']]]*BD.PD[[#This Row],[Ppto. Orden Interna '[DOP']]]</f>
        <v>1800</v>
      </c>
      <c r="V341" s="254"/>
      <c r="W341" s="255"/>
      <c r="X341" s="259">
        <f>BD.PD[[#This Row],[Av.P2 '[%']]]*BD.PD[[#This Row],[Ppto. Orden Interna '[DOP']]]</f>
        <v>0</v>
      </c>
      <c r="Y341" s="254"/>
      <c r="Z341" s="255"/>
      <c r="AA341" s="259">
        <f>BD.PD[[#This Row],[Av.P3 '[%']]]*BD.PD[[#This Row],[Ppto. Orden Interna '[DOP']]]</f>
        <v>0</v>
      </c>
      <c r="AB341" s="254"/>
      <c r="AC341" s="255"/>
      <c r="AD341" s="259">
        <f>BD.PD[[#This Row],[Av.P4 '[%']]]*BD.PD[[#This Row],[Ppto. Orden Interna '[DOP']]]</f>
        <v>0</v>
      </c>
      <c r="AE341" s="254"/>
      <c r="AF341" s="255"/>
      <c r="AG341" s="259">
        <f>BD.PD[[#This Row],[Av.P5 '[%']]]*BD.PD[[#This Row],[Ppto. Orden Interna '[DOP']]]</f>
        <v>0</v>
      </c>
      <c r="AH341" s="256">
        <f>BD.PD[[#This Row],[Pago 5]]+BD.PD[[#This Row],[Pago 4]]+BD.PD[[#This Row],[Pago 3]]+BD.PD[[#This Row],[Pago 2]]+BD.PD[[#This Row],[Pago 1]]</f>
        <v>1800</v>
      </c>
      <c r="AI341" s="318"/>
    </row>
    <row r="342" spans="1:35" ht="15" customHeight="1" x14ac:dyDescent="0.3">
      <c r="A342" s="181">
        <v>7.06</v>
      </c>
      <c r="B342" s="239" t="s">
        <v>306</v>
      </c>
      <c r="C342" s="240" t="str">
        <f>VLOOKUP(BD.PD[[#This Row],[Pos]],PPto[],3,FALSE)</f>
        <v>7.06 Balanzas</v>
      </c>
      <c r="D342" s="241" t="s">
        <v>306</v>
      </c>
      <c r="E342" s="242">
        <f>IF(BD.PD[[#This Row],[.]]="*",VLOOKUP(BD.PD[[#This Row],[Pos]],Presupuesto!A:H,7,FALSE),"")</f>
        <v>0</v>
      </c>
      <c r="F342" s="243"/>
      <c r="G342" s="243"/>
      <c r="H342" s="243"/>
      <c r="I342" s="244">
        <v>1</v>
      </c>
      <c r="J342" s="241" t="s">
        <v>188</v>
      </c>
      <c r="K342" s="245">
        <f>IF(BD.PD[[#This Row],[Mon]]="DOP",1,HLOOKUP(BD.PD[[#This Row],[Mon]],$J$1:$K$2,2,FALSE))</f>
        <v>60.7</v>
      </c>
      <c r="L342" s="246">
        <v>0</v>
      </c>
      <c r="M342" s="247">
        <f>BD.PD[[#This Row],[Cant.]]*BD.PD[[#This Row],[ Tasa ]]*BD.PD[[#This Row],[ Precio Und.]]</f>
        <v>0</v>
      </c>
      <c r="N342" s="248">
        <v>0</v>
      </c>
      <c r="O342" s="247">
        <f>IF(BD.PD[[#This Row],[Liquid. '[%']]]&lt;&gt;0,(BD.PD[[#This Row],[Valor Neto '[DOP']]]*BD.PD[[#This Row],[Liquid. '[%']]])+BD.PD[[#This Row],[Valor Neto '[DOP']]],BD.PD[[#This Row],[Valor Neto '[DOP']]])</f>
        <v>0</v>
      </c>
      <c r="P342" s="257">
        <f>BD.PD[[#This Row],[Ppto. Orden Interna '[DOP']]]/HLOOKUP("USD",$J$1:$K$2,2,FALSE)</f>
        <v>0</v>
      </c>
      <c r="Q342" s="250"/>
      <c r="R342" s="258"/>
      <c r="S342" s="251"/>
      <c r="T342" s="252"/>
      <c r="U342" s="259">
        <f>BD.PD[[#This Row],[Av.P1 '[%']]]*BD.PD[[#This Row],[Ppto. Orden Interna '[DOP']]]</f>
        <v>0</v>
      </c>
      <c r="V342" s="254"/>
      <c r="W342" s="255"/>
      <c r="X342" s="259">
        <f>BD.PD[[#This Row],[Av.P2 '[%']]]*BD.PD[[#This Row],[Ppto. Orden Interna '[DOP']]]</f>
        <v>0</v>
      </c>
      <c r="Y342" s="254"/>
      <c r="Z342" s="255"/>
      <c r="AA342" s="259">
        <f>BD.PD[[#This Row],[Av.P3 '[%']]]*BD.PD[[#This Row],[Ppto. Orden Interna '[DOP']]]</f>
        <v>0</v>
      </c>
      <c r="AB342" s="254"/>
      <c r="AC342" s="255"/>
      <c r="AD342" s="259">
        <f>BD.PD[[#This Row],[Av.P4 '[%']]]*BD.PD[[#This Row],[Ppto. Orden Interna '[DOP']]]</f>
        <v>0</v>
      </c>
      <c r="AE342" s="254"/>
      <c r="AF342" s="255"/>
      <c r="AG342" s="259">
        <f>BD.PD[[#This Row],[Av.P5 '[%']]]*BD.PD[[#This Row],[Ppto. Orden Interna '[DOP']]]</f>
        <v>0</v>
      </c>
      <c r="AH342" s="256">
        <f>BD.PD[[#This Row],[Pago 5]]+BD.PD[[#This Row],[Pago 4]]+BD.PD[[#This Row],[Pago 3]]+BD.PD[[#This Row],[Pago 2]]+BD.PD[[#This Row],[Pago 1]]</f>
        <v>0</v>
      </c>
      <c r="AI342" s="318"/>
    </row>
    <row r="343" spans="1:35" ht="15" customHeight="1" x14ac:dyDescent="0.3">
      <c r="A343" s="181">
        <v>7.07</v>
      </c>
      <c r="B343" s="239" t="s">
        <v>306</v>
      </c>
      <c r="C343" s="240" t="str">
        <f>VLOOKUP(BD.PD[[#This Row],[Pos]],PPto[],3,FALSE)</f>
        <v>7.07 Otros Equipamientos de Producción</v>
      </c>
      <c r="D343" s="241" t="s">
        <v>306</v>
      </c>
      <c r="E343" s="242">
        <f>IF(BD.PD[[#This Row],[.]]="*",VLOOKUP(BD.PD[[#This Row],[Pos]],Presupuesto!A:H,7,FALSE),"")</f>
        <v>0</v>
      </c>
      <c r="F343" s="243"/>
      <c r="G343" s="243"/>
      <c r="H343" s="243"/>
      <c r="I343" s="244">
        <v>1</v>
      </c>
      <c r="J343" s="241" t="s">
        <v>188</v>
      </c>
      <c r="K343" s="245">
        <f>IF(BD.PD[[#This Row],[Mon]]="DOP",1,HLOOKUP(BD.PD[[#This Row],[Mon]],$J$1:$K$2,2,FALSE))</f>
        <v>60.7</v>
      </c>
      <c r="L343" s="246">
        <v>0</v>
      </c>
      <c r="M343" s="247">
        <f>BD.PD[[#This Row],[Cant.]]*BD.PD[[#This Row],[ Tasa ]]*BD.PD[[#This Row],[ Precio Und.]]</f>
        <v>0</v>
      </c>
      <c r="N343" s="248">
        <v>0</v>
      </c>
      <c r="O343" s="247">
        <f>IF(BD.PD[[#This Row],[Liquid. '[%']]]&lt;&gt;0,(BD.PD[[#This Row],[Valor Neto '[DOP']]]*BD.PD[[#This Row],[Liquid. '[%']]])+BD.PD[[#This Row],[Valor Neto '[DOP']]],BD.PD[[#This Row],[Valor Neto '[DOP']]])</f>
        <v>0</v>
      </c>
      <c r="P343" s="257">
        <f>BD.PD[[#This Row],[Ppto. Orden Interna '[DOP']]]/HLOOKUP("USD",$J$1:$K$2,2,FALSE)</f>
        <v>0</v>
      </c>
      <c r="Q343" s="250"/>
      <c r="R343" s="258"/>
      <c r="S343" s="251"/>
      <c r="T343" s="252"/>
      <c r="U343" s="259">
        <f>BD.PD[[#This Row],[Av.P1 '[%']]]*BD.PD[[#This Row],[Ppto. Orden Interna '[DOP']]]</f>
        <v>0</v>
      </c>
      <c r="V343" s="254"/>
      <c r="W343" s="255"/>
      <c r="X343" s="259">
        <f>BD.PD[[#This Row],[Av.P2 '[%']]]*BD.PD[[#This Row],[Ppto. Orden Interna '[DOP']]]</f>
        <v>0</v>
      </c>
      <c r="Y343" s="254"/>
      <c r="Z343" s="255"/>
      <c r="AA343" s="259">
        <f>BD.PD[[#This Row],[Av.P3 '[%']]]*BD.PD[[#This Row],[Ppto. Orden Interna '[DOP']]]</f>
        <v>0</v>
      </c>
      <c r="AB343" s="254"/>
      <c r="AC343" s="255"/>
      <c r="AD343" s="259">
        <f>BD.PD[[#This Row],[Av.P4 '[%']]]*BD.PD[[#This Row],[Ppto. Orden Interna '[DOP']]]</f>
        <v>0</v>
      </c>
      <c r="AE343" s="254"/>
      <c r="AF343" s="255"/>
      <c r="AG343" s="259">
        <f>BD.PD[[#This Row],[Av.P5 '[%']]]*BD.PD[[#This Row],[Ppto. Orden Interna '[DOP']]]</f>
        <v>0</v>
      </c>
      <c r="AH343" s="256">
        <f>BD.PD[[#This Row],[Pago 5]]+BD.PD[[#This Row],[Pago 4]]+BD.PD[[#This Row],[Pago 3]]+BD.PD[[#This Row],[Pago 2]]+BD.PD[[#This Row],[Pago 1]]</f>
        <v>0</v>
      </c>
      <c r="AI343" s="318"/>
    </row>
    <row r="344" spans="1:35" ht="15" customHeight="1" x14ac:dyDescent="0.3">
      <c r="A344" s="181">
        <v>8.01</v>
      </c>
      <c r="B344" s="239" t="s">
        <v>306</v>
      </c>
      <c r="C344" s="240" t="str">
        <f>VLOOKUP(BD.PD[[#This Row],[Pos]],PPto[],3,FALSE)</f>
        <v>8.01 Gondolas</v>
      </c>
      <c r="D344" s="241" t="s">
        <v>306</v>
      </c>
      <c r="E344" s="242">
        <f>IF(BD.PD[[#This Row],[.]]="*",VLOOKUP(BD.PD[[#This Row],[Pos]],Presupuesto!A:H,7,FALSE),"")</f>
        <v>355288.99980431306</v>
      </c>
      <c r="F344" s="243"/>
      <c r="G344" s="243"/>
      <c r="H344" s="243"/>
      <c r="I344" s="244">
        <v>1</v>
      </c>
      <c r="J344" s="241" t="s">
        <v>188</v>
      </c>
      <c r="K344" s="245">
        <f>IF(BD.PD[[#This Row],[Mon]]="DOP",1,HLOOKUP(BD.PD[[#This Row],[Mon]],$J$1:$K$2,2,FALSE))</f>
        <v>60.7</v>
      </c>
      <c r="L344" s="246">
        <v>0</v>
      </c>
      <c r="M344" s="247">
        <f>BD.PD[[#This Row],[Cant.]]*BD.PD[[#This Row],[ Tasa ]]*BD.PD[[#This Row],[ Precio Und.]]</f>
        <v>0</v>
      </c>
      <c r="N344" s="248">
        <v>0</v>
      </c>
      <c r="O344" s="247">
        <f>IF(BD.PD[[#This Row],[Liquid. '[%']]]&lt;&gt;0,(BD.PD[[#This Row],[Valor Neto '[DOP']]]*BD.PD[[#This Row],[Liquid. '[%']]])+BD.PD[[#This Row],[Valor Neto '[DOP']]],BD.PD[[#This Row],[Valor Neto '[DOP']]])</f>
        <v>0</v>
      </c>
      <c r="P344" s="257">
        <f>BD.PD[[#This Row],[Ppto. Orden Interna '[DOP']]]/HLOOKUP("USD",$J$1:$K$2,2,FALSE)</f>
        <v>0</v>
      </c>
      <c r="Q344" s="250"/>
      <c r="R344" s="258"/>
      <c r="S344" s="251"/>
      <c r="T344" s="252"/>
      <c r="U344" s="259">
        <f>BD.PD[[#This Row],[Av.P1 '[%']]]*BD.PD[[#This Row],[Ppto. Orden Interna '[DOP']]]</f>
        <v>0</v>
      </c>
      <c r="V344" s="254"/>
      <c r="W344" s="255"/>
      <c r="X344" s="259">
        <f>BD.PD[[#This Row],[Av.P2 '[%']]]*BD.PD[[#This Row],[Ppto. Orden Interna '[DOP']]]</f>
        <v>0</v>
      </c>
      <c r="Y344" s="254"/>
      <c r="Z344" s="255"/>
      <c r="AA344" s="259">
        <f>BD.PD[[#This Row],[Av.P3 '[%']]]*BD.PD[[#This Row],[Ppto. Orden Interna '[DOP']]]</f>
        <v>0</v>
      </c>
      <c r="AB344" s="254"/>
      <c r="AC344" s="255"/>
      <c r="AD344" s="259">
        <f>BD.PD[[#This Row],[Av.P4 '[%']]]*BD.PD[[#This Row],[Ppto. Orden Interna '[DOP']]]</f>
        <v>0</v>
      </c>
      <c r="AE344" s="254"/>
      <c r="AF344" s="255"/>
      <c r="AG344" s="259">
        <f>BD.PD[[#This Row],[Av.P5 '[%']]]*BD.PD[[#This Row],[Ppto. Orden Interna '[DOP']]]</f>
        <v>0</v>
      </c>
      <c r="AH344" s="256">
        <f>BD.PD[[#This Row],[Pago 5]]+BD.PD[[#This Row],[Pago 4]]+BD.PD[[#This Row],[Pago 3]]+BD.PD[[#This Row],[Pago 2]]+BD.PD[[#This Row],[Pago 1]]</f>
        <v>0</v>
      </c>
      <c r="AI344" s="318"/>
    </row>
    <row r="345" spans="1:35" ht="15" customHeight="1" x14ac:dyDescent="0.3">
      <c r="A345" s="181">
        <v>8.02</v>
      </c>
      <c r="B345" s="239" t="s">
        <v>306</v>
      </c>
      <c r="C345" s="240" t="str">
        <f>VLOOKUP(BD.PD[[#This Row],[Pos]],PPto[],3,FALSE)</f>
        <v>8.02 Checkout</v>
      </c>
      <c r="D345" s="241" t="s">
        <v>306</v>
      </c>
      <c r="E345" s="242">
        <f>IF(BD.PD[[#This Row],[.]]="*",VLOOKUP(BD.PD[[#This Row],[Pos]],Presupuesto!A:H,7,FALSE),"")</f>
        <v>48231.140750798724</v>
      </c>
      <c r="F345" s="243"/>
      <c r="G345" s="243"/>
      <c r="H345" s="243"/>
      <c r="I345" s="244">
        <v>1</v>
      </c>
      <c r="J345" s="241" t="s">
        <v>188</v>
      </c>
      <c r="K345" s="245">
        <f>IF(BD.PD[[#This Row],[Mon]]="DOP",1,HLOOKUP(BD.PD[[#This Row],[Mon]],$J$1:$K$2,2,FALSE))</f>
        <v>60.7</v>
      </c>
      <c r="L345" s="246">
        <v>0</v>
      </c>
      <c r="M345" s="247">
        <f>BD.PD[[#This Row],[Cant.]]*BD.PD[[#This Row],[ Tasa ]]*BD.PD[[#This Row],[ Precio Und.]]</f>
        <v>0</v>
      </c>
      <c r="N345" s="248">
        <v>0</v>
      </c>
      <c r="O345" s="247">
        <f>IF(BD.PD[[#This Row],[Liquid. '[%']]]&lt;&gt;0,(BD.PD[[#This Row],[Valor Neto '[DOP']]]*BD.PD[[#This Row],[Liquid. '[%']]])+BD.PD[[#This Row],[Valor Neto '[DOP']]],BD.PD[[#This Row],[Valor Neto '[DOP']]])</f>
        <v>0</v>
      </c>
      <c r="P345" s="257">
        <f>BD.PD[[#This Row],[Ppto. Orden Interna '[DOP']]]/HLOOKUP("USD",$J$1:$K$2,2,FALSE)</f>
        <v>0</v>
      </c>
      <c r="Q345" s="250"/>
      <c r="R345" s="258"/>
      <c r="S345" s="251"/>
      <c r="T345" s="252"/>
      <c r="U345" s="259">
        <f>BD.PD[[#This Row],[Av.P1 '[%']]]*BD.PD[[#This Row],[Ppto. Orden Interna '[DOP']]]</f>
        <v>0</v>
      </c>
      <c r="V345" s="254"/>
      <c r="W345" s="255"/>
      <c r="X345" s="259">
        <f>BD.PD[[#This Row],[Av.P2 '[%']]]*BD.PD[[#This Row],[Ppto. Orden Interna '[DOP']]]</f>
        <v>0</v>
      </c>
      <c r="Y345" s="254"/>
      <c r="Z345" s="255"/>
      <c r="AA345" s="259">
        <f>BD.PD[[#This Row],[Av.P3 '[%']]]*BD.PD[[#This Row],[Ppto. Orden Interna '[DOP']]]</f>
        <v>0</v>
      </c>
      <c r="AB345" s="254"/>
      <c r="AC345" s="255"/>
      <c r="AD345" s="259">
        <f>BD.PD[[#This Row],[Av.P4 '[%']]]*BD.PD[[#This Row],[Ppto. Orden Interna '[DOP']]]</f>
        <v>0</v>
      </c>
      <c r="AE345" s="254"/>
      <c r="AF345" s="255"/>
      <c r="AG345" s="259">
        <f>BD.PD[[#This Row],[Av.P5 '[%']]]*BD.PD[[#This Row],[Ppto. Orden Interna '[DOP']]]</f>
        <v>0</v>
      </c>
      <c r="AH345" s="256">
        <f>BD.PD[[#This Row],[Pago 5]]+BD.PD[[#This Row],[Pago 4]]+BD.PD[[#This Row],[Pago 3]]+BD.PD[[#This Row],[Pago 2]]+BD.PD[[#This Row],[Pago 1]]</f>
        <v>0</v>
      </c>
      <c r="AI345" s="318"/>
    </row>
    <row r="346" spans="1:35" ht="15" customHeight="1" x14ac:dyDescent="0.3">
      <c r="A346" s="181">
        <v>8.0299999999999994</v>
      </c>
      <c r="B346" s="239" t="s">
        <v>306</v>
      </c>
      <c r="C346" s="240" t="str">
        <f>VLOOKUP(BD.PD[[#This Row],[Pos]],PPto[],3,FALSE)</f>
        <v>8.03 Carritos, Canastas y Accesorios</v>
      </c>
      <c r="D346" s="241" t="s">
        <v>306</v>
      </c>
      <c r="E346" s="242">
        <f>IF(BD.PD[[#This Row],[.]]="*",VLOOKUP(BD.PD[[#This Row],[Pos]],Presupuesto!A:H,7,FALSE),"")</f>
        <v>46512.175439940249</v>
      </c>
      <c r="F346" s="243"/>
      <c r="G346" s="243"/>
      <c r="H346" s="243"/>
      <c r="I346" s="244">
        <v>1</v>
      </c>
      <c r="J346" s="241" t="s">
        <v>188</v>
      </c>
      <c r="K346" s="245">
        <f>IF(BD.PD[[#This Row],[Mon]]="DOP",1,HLOOKUP(BD.PD[[#This Row],[Mon]],$J$1:$K$2,2,FALSE))</f>
        <v>60.7</v>
      </c>
      <c r="L346" s="246">
        <v>0</v>
      </c>
      <c r="M346" s="247">
        <f>BD.PD[[#This Row],[Cant.]]*BD.PD[[#This Row],[ Tasa ]]*BD.PD[[#This Row],[ Precio Und.]]</f>
        <v>0</v>
      </c>
      <c r="N346" s="248">
        <v>0</v>
      </c>
      <c r="O346" s="247">
        <f>IF(BD.PD[[#This Row],[Liquid. '[%']]]&lt;&gt;0,(BD.PD[[#This Row],[Valor Neto '[DOP']]]*BD.PD[[#This Row],[Liquid. '[%']]])+BD.PD[[#This Row],[Valor Neto '[DOP']]],BD.PD[[#This Row],[Valor Neto '[DOP']]])</f>
        <v>0</v>
      </c>
      <c r="P346" s="257">
        <f>BD.PD[[#This Row],[Ppto. Orden Interna '[DOP']]]/HLOOKUP("USD",$J$1:$K$2,2,FALSE)</f>
        <v>0</v>
      </c>
      <c r="Q346" s="250"/>
      <c r="R346" s="258"/>
      <c r="S346" s="251"/>
      <c r="T346" s="252"/>
      <c r="U346" s="259">
        <f>BD.PD[[#This Row],[Av.P1 '[%']]]*BD.PD[[#This Row],[Ppto. Orden Interna '[DOP']]]</f>
        <v>0</v>
      </c>
      <c r="V346" s="254"/>
      <c r="W346" s="255"/>
      <c r="X346" s="259">
        <f>BD.PD[[#This Row],[Av.P2 '[%']]]*BD.PD[[#This Row],[Ppto. Orden Interna '[DOP']]]</f>
        <v>0</v>
      </c>
      <c r="Y346" s="254"/>
      <c r="Z346" s="255"/>
      <c r="AA346" s="259">
        <f>BD.PD[[#This Row],[Av.P3 '[%']]]*BD.PD[[#This Row],[Ppto. Orden Interna '[DOP']]]</f>
        <v>0</v>
      </c>
      <c r="AB346" s="254"/>
      <c r="AC346" s="255"/>
      <c r="AD346" s="259">
        <f>BD.PD[[#This Row],[Av.P4 '[%']]]*BD.PD[[#This Row],[Ppto. Orden Interna '[DOP']]]</f>
        <v>0</v>
      </c>
      <c r="AE346" s="254"/>
      <c r="AF346" s="255"/>
      <c r="AG346" s="259">
        <f>BD.PD[[#This Row],[Av.P5 '[%']]]*BD.PD[[#This Row],[Ppto. Orden Interna '[DOP']]]</f>
        <v>0</v>
      </c>
      <c r="AH346" s="256">
        <f>BD.PD[[#This Row],[Pago 5]]+BD.PD[[#This Row],[Pago 4]]+BD.PD[[#This Row],[Pago 3]]+BD.PD[[#This Row],[Pago 2]]+BD.PD[[#This Row],[Pago 1]]</f>
        <v>0</v>
      </c>
      <c r="AI346" s="318"/>
    </row>
    <row r="347" spans="1:35" ht="15" customHeight="1" x14ac:dyDescent="0.3">
      <c r="A347" s="181">
        <v>8.0399999999999991</v>
      </c>
      <c r="B347" s="239" t="s">
        <v>306</v>
      </c>
      <c r="C347" s="240" t="str">
        <f>VLOOKUP(BD.PD[[#This Row],[Pos]],PPto[],3,FALSE)</f>
        <v>8.04 Trameria Almacen</v>
      </c>
      <c r="D347" s="241" t="s">
        <v>306</v>
      </c>
      <c r="E347" s="242">
        <f>IF(BD.PD[[#This Row],[.]]="*",VLOOKUP(BD.PD[[#This Row],[Pos]],Presupuesto!A:H,7,FALSE),"")</f>
        <v>23083.509503194888</v>
      </c>
      <c r="F347" s="243"/>
      <c r="G347" s="243"/>
      <c r="H347" s="243"/>
      <c r="I347" s="244">
        <v>1</v>
      </c>
      <c r="J347" s="241" t="s">
        <v>188</v>
      </c>
      <c r="K347" s="245">
        <f>IF(BD.PD[[#This Row],[Mon]]="DOP",1,HLOOKUP(BD.PD[[#This Row],[Mon]],$J$1:$K$2,2,FALSE))</f>
        <v>60.7</v>
      </c>
      <c r="L347" s="246">
        <v>0</v>
      </c>
      <c r="M347" s="247">
        <f>BD.PD[[#This Row],[Cant.]]*BD.PD[[#This Row],[ Tasa ]]*BD.PD[[#This Row],[ Precio Und.]]</f>
        <v>0</v>
      </c>
      <c r="N347" s="248">
        <v>0</v>
      </c>
      <c r="O347" s="247">
        <f>IF(BD.PD[[#This Row],[Liquid. '[%']]]&lt;&gt;0,(BD.PD[[#This Row],[Valor Neto '[DOP']]]*BD.PD[[#This Row],[Liquid. '[%']]])+BD.PD[[#This Row],[Valor Neto '[DOP']]],BD.PD[[#This Row],[Valor Neto '[DOP']]])</f>
        <v>0</v>
      </c>
      <c r="P347" s="257">
        <f>BD.PD[[#This Row],[Ppto. Orden Interna '[DOP']]]/HLOOKUP("USD",$J$1:$K$2,2,FALSE)</f>
        <v>0</v>
      </c>
      <c r="Q347" s="250"/>
      <c r="R347" s="258"/>
      <c r="S347" s="251"/>
      <c r="T347" s="252"/>
      <c r="U347" s="259">
        <f>BD.PD[[#This Row],[Av.P1 '[%']]]*BD.PD[[#This Row],[Ppto. Orden Interna '[DOP']]]</f>
        <v>0</v>
      </c>
      <c r="V347" s="254"/>
      <c r="W347" s="255"/>
      <c r="X347" s="259">
        <f>BD.PD[[#This Row],[Av.P2 '[%']]]*BD.PD[[#This Row],[Ppto. Orden Interna '[DOP']]]</f>
        <v>0</v>
      </c>
      <c r="Y347" s="254"/>
      <c r="Z347" s="255"/>
      <c r="AA347" s="259">
        <f>BD.PD[[#This Row],[Av.P3 '[%']]]*BD.PD[[#This Row],[Ppto. Orden Interna '[DOP']]]</f>
        <v>0</v>
      </c>
      <c r="AB347" s="254"/>
      <c r="AC347" s="255"/>
      <c r="AD347" s="259">
        <f>BD.PD[[#This Row],[Av.P4 '[%']]]*BD.PD[[#This Row],[Ppto. Orden Interna '[DOP']]]</f>
        <v>0</v>
      </c>
      <c r="AE347" s="254"/>
      <c r="AF347" s="255"/>
      <c r="AG347" s="259">
        <f>BD.PD[[#This Row],[Av.P5 '[%']]]*BD.PD[[#This Row],[Ppto. Orden Interna '[DOP']]]</f>
        <v>0</v>
      </c>
      <c r="AH347" s="256">
        <f>BD.PD[[#This Row],[Pago 5]]+BD.PD[[#This Row],[Pago 4]]+BD.PD[[#This Row],[Pago 3]]+BD.PD[[#This Row],[Pago 2]]+BD.PD[[#This Row],[Pago 1]]</f>
        <v>0</v>
      </c>
      <c r="AI347" s="318"/>
    </row>
    <row r="348" spans="1:35" ht="15" customHeight="1" x14ac:dyDescent="0.3">
      <c r="A348" s="181">
        <v>8.0500000000000007</v>
      </c>
      <c r="B348" s="239" t="s">
        <v>306</v>
      </c>
      <c r="C348" s="240" t="str">
        <f>VLOOKUP(BD.PD[[#This Row],[Pos]],PPto[],3,FALSE)</f>
        <v>8.05 Mobiliario no operacional para Tiendas</v>
      </c>
      <c r="D348" s="241" t="s">
        <v>306</v>
      </c>
      <c r="E348" s="242">
        <f>IF(BD.PD[[#This Row],[.]]="*",VLOOKUP(BD.PD[[#This Row],[Pos]],Presupuesto!A:H,7,FALSE),"")</f>
        <v>106439.12076677317</v>
      </c>
      <c r="F348" s="243"/>
      <c r="G348" s="243"/>
      <c r="H348" s="243"/>
      <c r="I348" s="244">
        <v>1</v>
      </c>
      <c r="J348" s="241" t="s">
        <v>188</v>
      </c>
      <c r="K348" s="245">
        <f>IF(BD.PD[[#This Row],[Mon]]="DOP",1,HLOOKUP(BD.PD[[#This Row],[Mon]],$J$1:$K$2,2,FALSE))</f>
        <v>60.7</v>
      </c>
      <c r="L348" s="246">
        <v>0</v>
      </c>
      <c r="M348" s="247">
        <f>BD.PD[[#This Row],[Cant.]]*BD.PD[[#This Row],[ Tasa ]]*BD.PD[[#This Row],[ Precio Und.]]</f>
        <v>0</v>
      </c>
      <c r="N348" s="248">
        <v>0</v>
      </c>
      <c r="O348" s="247">
        <f>IF(BD.PD[[#This Row],[Liquid. '[%']]]&lt;&gt;0,(BD.PD[[#This Row],[Valor Neto '[DOP']]]*BD.PD[[#This Row],[Liquid. '[%']]])+BD.PD[[#This Row],[Valor Neto '[DOP']]],BD.PD[[#This Row],[Valor Neto '[DOP']]])</f>
        <v>0</v>
      </c>
      <c r="P348" s="257">
        <f>BD.PD[[#This Row],[Ppto. Orden Interna '[DOP']]]/HLOOKUP("USD",$J$1:$K$2,2,FALSE)</f>
        <v>0</v>
      </c>
      <c r="Q348" s="250"/>
      <c r="R348" s="258"/>
      <c r="S348" s="251"/>
      <c r="T348" s="252"/>
      <c r="U348" s="259">
        <f>BD.PD[[#This Row],[Av.P1 '[%']]]*BD.PD[[#This Row],[Ppto. Orden Interna '[DOP']]]</f>
        <v>0</v>
      </c>
      <c r="V348" s="254"/>
      <c r="W348" s="255"/>
      <c r="X348" s="259">
        <f>BD.PD[[#This Row],[Av.P2 '[%']]]*BD.PD[[#This Row],[Ppto. Orden Interna '[DOP']]]</f>
        <v>0</v>
      </c>
      <c r="Y348" s="254"/>
      <c r="Z348" s="255"/>
      <c r="AA348" s="259">
        <f>BD.PD[[#This Row],[Av.P3 '[%']]]*BD.PD[[#This Row],[Ppto. Orden Interna '[DOP']]]</f>
        <v>0</v>
      </c>
      <c r="AB348" s="254"/>
      <c r="AC348" s="255"/>
      <c r="AD348" s="259">
        <f>BD.PD[[#This Row],[Av.P4 '[%']]]*BD.PD[[#This Row],[Ppto. Orden Interna '[DOP']]]</f>
        <v>0</v>
      </c>
      <c r="AE348" s="254"/>
      <c r="AF348" s="255"/>
      <c r="AG348" s="259">
        <f>BD.PD[[#This Row],[Av.P5 '[%']]]*BD.PD[[#This Row],[Ppto. Orden Interna '[DOP']]]</f>
        <v>0</v>
      </c>
      <c r="AH348" s="256">
        <f>BD.PD[[#This Row],[Pago 5]]+BD.PD[[#This Row],[Pago 4]]+BD.PD[[#This Row],[Pago 3]]+BD.PD[[#This Row],[Pago 2]]+BD.PD[[#This Row],[Pago 1]]</f>
        <v>0</v>
      </c>
      <c r="AI348" s="318"/>
    </row>
    <row r="349" spans="1:35" ht="15" customHeight="1" x14ac:dyDescent="0.3">
      <c r="A349" s="181">
        <v>8.0500000000000007</v>
      </c>
      <c r="B349" s="239"/>
      <c r="C349" s="240" t="str">
        <f>VLOOKUP(BD.PD[[#This Row],[Pos]],PPto[],3,FALSE)</f>
        <v>8.05 Mobiliario no operacional para Tiendas</v>
      </c>
      <c r="D349" s="181" t="s">
        <v>40</v>
      </c>
      <c r="E349" s="242" t="str">
        <f>IF(BD.PD[[#This Row],[.]]="*",VLOOKUP(BD.PD[[#This Row],[Pos]],Presupuesto!A:H,7,FALSE),"")</f>
        <v/>
      </c>
      <c r="F349" s="390" t="s">
        <v>579</v>
      </c>
      <c r="G349" s="243">
        <v>4512922448</v>
      </c>
      <c r="H349" s="275"/>
      <c r="I349" s="276">
        <v>1</v>
      </c>
      <c r="J349" s="181" t="s">
        <v>314</v>
      </c>
      <c r="K349" s="245">
        <f>IF(BD.PD[[#This Row],[Mon]]="DOP",1,HLOOKUP(BD.PD[[#This Row],[Mon]],$J$1:$K$2,2,FALSE))</f>
        <v>1</v>
      </c>
      <c r="L349" s="391">
        <v>37718.239999999998</v>
      </c>
      <c r="M349" s="247">
        <f>BD.PD[[#This Row],[Cant.]]*BD.PD[[#This Row],[ Tasa ]]*BD.PD[[#This Row],[ Precio Und.]]</f>
        <v>37718.239999999998</v>
      </c>
      <c r="N349" s="278">
        <v>0.02</v>
      </c>
      <c r="O349" s="247">
        <f>IF(BD.PD[[#This Row],[Liquid. '[%']]]&lt;&gt;0,(BD.PD[[#This Row],[Valor Neto '[DOP']]]*BD.PD[[#This Row],[Liquid. '[%']]])+BD.PD[[#This Row],[Valor Neto '[DOP']]],BD.PD[[#This Row],[Valor Neto '[DOP']]])</f>
        <v>38472.604800000001</v>
      </c>
      <c r="P349" s="257">
        <f>BD.PD[[#This Row],[Ppto. Orden Interna '[DOP']]]/HLOOKUP("USD",$J$1:$K$2,2,FALSE)</f>
        <v>633.81556507413507</v>
      </c>
      <c r="Q349" s="250" t="s">
        <v>1074</v>
      </c>
      <c r="R349" s="258"/>
      <c r="S349" s="251">
        <v>21</v>
      </c>
      <c r="T349" s="252">
        <v>1</v>
      </c>
      <c r="U349" s="259">
        <f>BD.PD[[#This Row],[Av.P1 '[%']]]*BD.PD[[#This Row],[Ppto. Orden Interna '[DOP']]]</f>
        <v>38472.604800000001</v>
      </c>
      <c r="V349" s="254"/>
      <c r="W349" s="255"/>
      <c r="X349" s="259">
        <f>BD.PD[[#This Row],[Av.P2 '[%']]]*BD.PD[[#This Row],[Ppto. Orden Interna '[DOP']]]</f>
        <v>0</v>
      </c>
      <c r="Y349" s="254"/>
      <c r="Z349" s="255"/>
      <c r="AA349" s="259">
        <f>BD.PD[[#This Row],[Av.P3 '[%']]]*BD.PD[[#This Row],[Ppto. Orden Interna '[DOP']]]</f>
        <v>0</v>
      </c>
      <c r="AB349" s="254"/>
      <c r="AC349" s="255"/>
      <c r="AD349" s="259">
        <f>BD.PD[[#This Row],[Av.P4 '[%']]]*BD.PD[[#This Row],[Ppto. Orden Interna '[DOP']]]</f>
        <v>0</v>
      </c>
      <c r="AE349" s="254"/>
      <c r="AF349" s="255"/>
      <c r="AG349" s="259">
        <f>BD.PD[[#This Row],[Av.P5 '[%']]]*BD.PD[[#This Row],[Ppto. Orden Interna '[DOP']]]</f>
        <v>0</v>
      </c>
      <c r="AH349" s="256">
        <f>BD.PD[[#This Row],[Pago 5]]+BD.PD[[#This Row],[Pago 4]]+BD.PD[[#This Row],[Pago 3]]+BD.PD[[#This Row],[Pago 2]]+BD.PD[[#This Row],[Pago 1]]</f>
        <v>38472.604800000001</v>
      </c>
      <c r="AI349" s="318"/>
    </row>
    <row r="350" spans="1:35" ht="15" customHeight="1" x14ac:dyDescent="0.3">
      <c r="A350" s="181">
        <v>8.0500000000000007</v>
      </c>
      <c r="B350" s="239"/>
      <c r="C350" s="240" t="str">
        <f>VLOOKUP(BD.PD[[#This Row],[Pos]],PPto[],3,FALSE)</f>
        <v>8.05 Mobiliario no operacional para Tiendas</v>
      </c>
      <c r="D350" s="181" t="s">
        <v>40</v>
      </c>
      <c r="E350" s="242" t="str">
        <f>IF(BD.PD[[#This Row],[.]]="*",VLOOKUP(BD.PD[[#This Row],[Pos]],Presupuesto!A:H,7,FALSE),"")</f>
        <v/>
      </c>
      <c r="F350" s="390" t="s">
        <v>581</v>
      </c>
      <c r="G350" s="243">
        <v>4512922448</v>
      </c>
      <c r="H350" s="275"/>
      <c r="I350" s="276">
        <v>1</v>
      </c>
      <c r="J350" s="181" t="s">
        <v>314</v>
      </c>
      <c r="K350" s="245">
        <f>IF(BD.PD[[#This Row],[Mon]]="DOP",1,HLOOKUP(BD.PD[[#This Row],[Mon]],$J$1:$K$2,2,FALSE))</f>
        <v>1</v>
      </c>
      <c r="L350" s="391">
        <v>58496.2</v>
      </c>
      <c r="M350" s="247">
        <f>BD.PD[[#This Row],[Cant.]]*BD.PD[[#This Row],[ Tasa ]]*BD.PD[[#This Row],[ Precio Und.]]</f>
        <v>58496.2</v>
      </c>
      <c r="N350" s="278">
        <v>0</v>
      </c>
      <c r="O350" s="247">
        <f>IF(BD.PD[[#This Row],[Liquid. '[%']]]&lt;&gt;0,(BD.PD[[#This Row],[Valor Neto '[DOP']]]*BD.PD[[#This Row],[Liquid. '[%']]])+BD.PD[[#This Row],[Valor Neto '[DOP']]],BD.PD[[#This Row],[Valor Neto '[DOP']]])</f>
        <v>58496.2</v>
      </c>
      <c r="P350" s="257">
        <f>BD.PD[[#This Row],[Ppto. Orden Interna '[DOP']]]/HLOOKUP("USD",$J$1:$K$2,2,FALSE)</f>
        <v>963.69357495881377</v>
      </c>
      <c r="Q350" s="250" t="s">
        <v>1074</v>
      </c>
      <c r="R350" s="258"/>
      <c r="S350" s="251">
        <v>21</v>
      </c>
      <c r="T350" s="252">
        <v>1</v>
      </c>
      <c r="U350" s="259">
        <f>BD.PD[[#This Row],[Av.P1 '[%']]]*BD.PD[[#This Row],[Ppto. Orden Interna '[DOP']]]</f>
        <v>58496.2</v>
      </c>
      <c r="V350" s="254"/>
      <c r="W350" s="255"/>
      <c r="X350" s="259">
        <f>BD.PD[[#This Row],[Av.P2 '[%']]]*BD.PD[[#This Row],[Ppto. Orden Interna '[DOP']]]</f>
        <v>0</v>
      </c>
      <c r="Y350" s="254"/>
      <c r="Z350" s="255"/>
      <c r="AA350" s="259">
        <f>BD.PD[[#This Row],[Av.P3 '[%']]]*BD.PD[[#This Row],[Ppto. Orden Interna '[DOP']]]</f>
        <v>0</v>
      </c>
      <c r="AB350" s="254"/>
      <c r="AC350" s="255"/>
      <c r="AD350" s="259">
        <f>BD.PD[[#This Row],[Av.P4 '[%']]]*BD.PD[[#This Row],[Ppto. Orden Interna '[DOP']]]</f>
        <v>0</v>
      </c>
      <c r="AE350" s="254"/>
      <c r="AF350" s="255"/>
      <c r="AG350" s="259">
        <f>BD.PD[[#This Row],[Av.P5 '[%']]]*BD.PD[[#This Row],[Ppto. Orden Interna '[DOP']]]</f>
        <v>0</v>
      </c>
      <c r="AH350" s="256">
        <f>BD.PD[[#This Row],[Pago 5]]+BD.PD[[#This Row],[Pago 4]]+BD.PD[[#This Row],[Pago 3]]+BD.PD[[#This Row],[Pago 2]]+BD.PD[[#This Row],[Pago 1]]</f>
        <v>58496.2</v>
      </c>
      <c r="AI350" s="318"/>
    </row>
    <row r="351" spans="1:35" ht="15" customHeight="1" x14ac:dyDescent="0.3">
      <c r="A351" s="181">
        <v>8.06</v>
      </c>
      <c r="B351" s="239" t="s">
        <v>306</v>
      </c>
      <c r="C351" s="240" t="str">
        <f>VLOOKUP(BD.PD[[#This Row],[Pos]],PPto[],3,FALSE)</f>
        <v>8.06 Otros Equipamientos de Tienda</v>
      </c>
      <c r="D351" s="241" t="s">
        <v>306</v>
      </c>
      <c r="E351" s="242">
        <f>IF(BD.PD[[#This Row],[.]]="*",VLOOKUP(BD.PD[[#This Row],[Pos]],Presupuesto!A:H,7,FALSE),"")</f>
        <v>44550.663258785949</v>
      </c>
      <c r="F351" s="243"/>
      <c r="G351" s="243"/>
      <c r="H351" s="243"/>
      <c r="I351" s="244">
        <v>1</v>
      </c>
      <c r="J351" s="241" t="s">
        <v>188</v>
      </c>
      <c r="K351" s="245">
        <f>IF(BD.PD[[#This Row],[Mon]]="DOP",1,HLOOKUP(BD.PD[[#This Row],[Mon]],$J$1:$K$2,2,FALSE))</f>
        <v>60.7</v>
      </c>
      <c r="L351" s="246">
        <v>0</v>
      </c>
      <c r="M351" s="247">
        <f>BD.PD[[#This Row],[Cant.]]*BD.PD[[#This Row],[ Tasa ]]*BD.PD[[#This Row],[ Precio Und.]]</f>
        <v>0</v>
      </c>
      <c r="N351" s="248">
        <v>0</v>
      </c>
      <c r="O351" s="247">
        <f>IF(BD.PD[[#This Row],[Liquid. '[%']]]&lt;&gt;0,(BD.PD[[#This Row],[Valor Neto '[DOP']]]*BD.PD[[#This Row],[Liquid. '[%']]])+BD.PD[[#This Row],[Valor Neto '[DOP']]],BD.PD[[#This Row],[Valor Neto '[DOP']]])</f>
        <v>0</v>
      </c>
      <c r="P351" s="257">
        <f>BD.PD[[#This Row],[Ppto. Orden Interna '[DOP']]]/HLOOKUP("USD",$J$1:$K$2,2,FALSE)</f>
        <v>0</v>
      </c>
      <c r="Q351" s="250"/>
      <c r="R351" s="258"/>
      <c r="S351" s="251"/>
      <c r="T351" s="252"/>
      <c r="U351" s="259">
        <f>BD.PD[[#This Row],[Av.P1 '[%']]]*BD.PD[[#This Row],[Ppto. Orden Interna '[DOP']]]</f>
        <v>0</v>
      </c>
      <c r="V351" s="254"/>
      <c r="W351" s="255"/>
      <c r="X351" s="259">
        <f>BD.PD[[#This Row],[Av.P2 '[%']]]*BD.PD[[#This Row],[Ppto. Orden Interna '[DOP']]]</f>
        <v>0</v>
      </c>
      <c r="Y351" s="254"/>
      <c r="Z351" s="255"/>
      <c r="AA351" s="259">
        <f>BD.PD[[#This Row],[Av.P3 '[%']]]*BD.PD[[#This Row],[Ppto. Orden Interna '[DOP']]]</f>
        <v>0</v>
      </c>
      <c r="AB351" s="254"/>
      <c r="AC351" s="255"/>
      <c r="AD351" s="259">
        <f>BD.PD[[#This Row],[Av.P4 '[%']]]*BD.PD[[#This Row],[Ppto. Orden Interna '[DOP']]]</f>
        <v>0</v>
      </c>
      <c r="AE351" s="254"/>
      <c r="AF351" s="255"/>
      <c r="AG351" s="259">
        <f>BD.PD[[#This Row],[Av.P5 '[%']]]*BD.PD[[#This Row],[Ppto. Orden Interna '[DOP']]]</f>
        <v>0</v>
      </c>
      <c r="AH351" s="256">
        <f>BD.PD[[#This Row],[Pago 5]]+BD.PD[[#This Row],[Pago 4]]+BD.PD[[#This Row],[Pago 3]]+BD.PD[[#This Row],[Pago 2]]+BD.PD[[#This Row],[Pago 1]]</f>
        <v>0</v>
      </c>
      <c r="AI351" s="318"/>
    </row>
    <row r="352" spans="1:35" ht="15" customHeight="1" x14ac:dyDescent="0.3">
      <c r="A352" s="181">
        <v>8.07</v>
      </c>
      <c r="B352" s="239" t="s">
        <v>306</v>
      </c>
      <c r="C352" s="240" t="str">
        <f>VLOOKUP(BD.PD[[#This Row],[Pos]],PPto[],3,FALSE)</f>
        <v>8.07 Señalizacion interiores</v>
      </c>
      <c r="D352" s="241" t="s">
        <v>306</v>
      </c>
      <c r="E352" s="242">
        <f>IF(BD.PD[[#This Row],[.]]="*",VLOOKUP(BD.PD[[#This Row],[Pos]],Presupuesto!A:H,7,FALSE),"")</f>
        <v>123730.70926517571</v>
      </c>
      <c r="F352" s="243"/>
      <c r="G352" s="243"/>
      <c r="H352" s="243"/>
      <c r="I352" s="244">
        <v>1</v>
      </c>
      <c r="J352" s="241" t="s">
        <v>188</v>
      </c>
      <c r="K352" s="245">
        <f>IF(BD.PD[[#This Row],[Mon]]="DOP",1,HLOOKUP(BD.PD[[#This Row],[Mon]],$J$1:$K$2,2,FALSE))</f>
        <v>60.7</v>
      </c>
      <c r="L352" s="246">
        <v>0</v>
      </c>
      <c r="M352" s="247">
        <f>BD.PD[[#This Row],[Cant.]]*BD.PD[[#This Row],[ Tasa ]]*BD.PD[[#This Row],[ Precio Und.]]</f>
        <v>0</v>
      </c>
      <c r="N352" s="248">
        <v>0</v>
      </c>
      <c r="O352" s="247">
        <f>IF(BD.PD[[#This Row],[Liquid. '[%']]]&lt;&gt;0,(BD.PD[[#This Row],[Valor Neto '[DOP']]]*BD.PD[[#This Row],[Liquid. '[%']]])+BD.PD[[#This Row],[Valor Neto '[DOP']]],BD.PD[[#This Row],[Valor Neto '[DOP']]])</f>
        <v>0</v>
      </c>
      <c r="P352" s="257">
        <f>BD.PD[[#This Row],[Ppto. Orden Interna '[DOP']]]/HLOOKUP("USD",$J$1:$K$2,2,FALSE)</f>
        <v>0</v>
      </c>
      <c r="Q352" s="250"/>
      <c r="R352" s="258"/>
      <c r="S352" s="251"/>
      <c r="T352" s="252"/>
      <c r="U352" s="259">
        <f>BD.PD[[#This Row],[Av.P1 '[%']]]*BD.PD[[#This Row],[Ppto. Orden Interna '[DOP']]]</f>
        <v>0</v>
      </c>
      <c r="V352" s="254"/>
      <c r="W352" s="255"/>
      <c r="X352" s="259">
        <f>BD.PD[[#This Row],[Av.P2 '[%']]]*BD.PD[[#This Row],[Ppto. Orden Interna '[DOP']]]</f>
        <v>0</v>
      </c>
      <c r="Y352" s="254"/>
      <c r="Z352" s="255"/>
      <c r="AA352" s="259">
        <f>BD.PD[[#This Row],[Av.P3 '[%']]]*BD.PD[[#This Row],[Ppto. Orden Interna '[DOP']]]</f>
        <v>0</v>
      </c>
      <c r="AB352" s="254"/>
      <c r="AC352" s="255"/>
      <c r="AD352" s="259">
        <f>BD.PD[[#This Row],[Av.P4 '[%']]]*BD.PD[[#This Row],[Ppto. Orden Interna '[DOP']]]</f>
        <v>0</v>
      </c>
      <c r="AE352" s="254"/>
      <c r="AF352" s="255"/>
      <c r="AG352" s="259">
        <f>BD.PD[[#This Row],[Av.P5 '[%']]]*BD.PD[[#This Row],[Ppto. Orden Interna '[DOP']]]</f>
        <v>0</v>
      </c>
      <c r="AH352" s="256">
        <f>BD.PD[[#This Row],[Pago 5]]+BD.PD[[#This Row],[Pago 4]]+BD.PD[[#This Row],[Pago 3]]+BD.PD[[#This Row],[Pago 2]]+BD.PD[[#This Row],[Pago 1]]</f>
        <v>0</v>
      </c>
      <c r="AI352" s="318"/>
    </row>
    <row r="353" spans="1:35" ht="15" customHeight="1" x14ac:dyDescent="0.3">
      <c r="A353" s="181">
        <v>8.08</v>
      </c>
      <c r="B353" s="239" t="s">
        <v>306</v>
      </c>
      <c r="C353" s="240" t="str">
        <f>VLOOKUP(BD.PD[[#This Row],[Pos]],PPto[],3,FALSE)</f>
        <v>8.08 Señalizacion exteriores</v>
      </c>
      <c r="D353" s="241" t="s">
        <v>306</v>
      </c>
      <c r="E353" s="242">
        <f>IF(BD.PD[[#This Row],[.]]="*",VLOOKUP(BD.PD[[#This Row],[Pos]],Presupuesto!A:H,7,FALSE),"")</f>
        <v>61875.39936102237</v>
      </c>
      <c r="F353" s="243"/>
      <c r="G353" s="243"/>
      <c r="H353" s="243"/>
      <c r="I353" s="244">
        <v>1</v>
      </c>
      <c r="J353" s="241" t="s">
        <v>188</v>
      </c>
      <c r="K353" s="245">
        <f>IF(BD.PD[[#This Row],[Mon]]="DOP",1,HLOOKUP(BD.PD[[#This Row],[Mon]],$J$1:$K$2,2,FALSE))</f>
        <v>60.7</v>
      </c>
      <c r="L353" s="246">
        <v>0</v>
      </c>
      <c r="M353" s="247">
        <f>BD.PD[[#This Row],[Cant.]]*BD.PD[[#This Row],[ Tasa ]]*BD.PD[[#This Row],[ Precio Und.]]</f>
        <v>0</v>
      </c>
      <c r="N353" s="248">
        <v>0</v>
      </c>
      <c r="O353" s="247">
        <f>IF(BD.PD[[#This Row],[Liquid. '[%']]]&lt;&gt;0,(BD.PD[[#This Row],[Valor Neto '[DOP']]]*BD.PD[[#This Row],[Liquid. '[%']]])+BD.PD[[#This Row],[Valor Neto '[DOP']]],BD.PD[[#This Row],[Valor Neto '[DOP']]])</f>
        <v>0</v>
      </c>
      <c r="P353" s="257">
        <f>BD.PD[[#This Row],[Ppto. Orden Interna '[DOP']]]/HLOOKUP("USD",$J$1:$K$2,2,FALSE)</f>
        <v>0</v>
      </c>
      <c r="Q353" s="250"/>
      <c r="R353" s="258"/>
      <c r="S353" s="251"/>
      <c r="T353" s="252"/>
      <c r="U353" s="259">
        <f>BD.PD[[#This Row],[Av.P1 '[%']]]*BD.PD[[#This Row],[Ppto. Orden Interna '[DOP']]]</f>
        <v>0</v>
      </c>
      <c r="V353" s="254"/>
      <c r="W353" s="255"/>
      <c r="X353" s="259">
        <f>BD.PD[[#This Row],[Av.P2 '[%']]]*BD.PD[[#This Row],[Ppto. Orden Interna '[DOP']]]</f>
        <v>0</v>
      </c>
      <c r="Y353" s="254"/>
      <c r="Z353" s="255"/>
      <c r="AA353" s="259">
        <f>BD.PD[[#This Row],[Av.P3 '[%']]]*BD.PD[[#This Row],[Ppto. Orden Interna '[DOP']]]</f>
        <v>0</v>
      </c>
      <c r="AB353" s="254"/>
      <c r="AC353" s="255"/>
      <c r="AD353" s="259">
        <f>BD.PD[[#This Row],[Av.P4 '[%']]]*BD.PD[[#This Row],[Ppto. Orden Interna '[DOP']]]</f>
        <v>0</v>
      </c>
      <c r="AE353" s="254"/>
      <c r="AF353" s="255"/>
      <c r="AG353" s="259">
        <f>BD.PD[[#This Row],[Av.P5 '[%']]]*BD.PD[[#This Row],[Ppto. Orden Interna '[DOP']]]</f>
        <v>0</v>
      </c>
      <c r="AH353" s="256">
        <f>BD.PD[[#This Row],[Pago 5]]+BD.PD[[#This Row],[Pago 4]]+BD.PD[[#This Row],[Pago 3]]+BD.PD[[#This Row],[Pago 2]]+BD.PD[[#This Row],[Pago 1]]</f>
        <v>0</v>
      </c>
      <c r="AI353" s="318"/>
    </row>
    <row r="354" spans="1:35" ht="15" customHeight="1" x14ac:dyDescent="0.3">
      <c r="A354" s="181">
        <v>9.01</v>
      </c>
      <c r="B354" s="239" t="s">
        <v>306</v>
      </c>
      <c r="C354" s="240" t="str">
        <f>VLOOKUP(BD.PD[[#This Row],[Pos]],PPto[],3,FALSE)</f>
        <v>9.01 COMERCIALIZACION</v>
      </c>
      <c r="D354" s="241" t="s">
        <v>306</v>
      </c>
      <c r="E354" s="242">
        <f>IF(BD.PD[[#This Row],[.]]="*",VLOOKUP(BD.PD[[#This Row],[Pos]],Presupuesto!A:H,7,FALSE),"")</f>
        <v>0</v>
      </c>
      <c r="F354" s="243"/>
      <c r="G354" s="243"/>
      <c r="H354" s="243"/>
      <c r="I354" s="244">
        <v>1</v>
      </c>
      <c r="J354" s="241" t="s">
        <v>188</v>
      </c>
      <c r="K354" s="245">
        <f>IF(BD.PD[[#This Row],[Mon]]="DOP",1,HLOOKUP(BD.PD[[#This Row],[Mon]],$J$1:$K$2,2,FALSE))</f>
        <v>60.7</v>
      </c>
      <c r="L354" s="246">
        <v>0</v>
      </c>
      <c r="M354" s="247">
        <f>BD.PD[[#This Row],[Cant.]]*BD.PD[[#This Row],[ Tasa ]]*BD.PD[[#This Row],[ Precio Und.]]</f>
        <v>0</v>
      </c>
      <c r="N354" s="248">
        <v>0</v>
      </c>
      <c r="O354" s="247">
        <f>IF(BD.PD[[#This Row],[Liquid. '[%']]]&lt;&gt;0,(BD.PD[[#This Row],[Valor Neto '[DOP']]]*BD.PD[[#This Row],[Liquid. '[%']]])+BD.PD[[#This Row],[Valor Neto '[DOP']]],BD.PD[[#This Row],[Valor Neto '[DOP']]])</f>
        <v>0</v>
      </c>
      <c r="P354" s="257">
        <f>BD.PD[[#This Row],[Ppto. Orden Interna '[DOP']]]/HLOOKUP("USD",$J$1:$K$2,2,FALSE)</f>
        <v>0</v>
      </c>
      <c r="Q354" s="250"/>
      <c r="R354" s="258"/>
      <c r="S354" s="251"/>
      <c r="T354" s="252"/>
      <c r="U354" s="259">
        <f>BD.PD[[#This Row],[Av.P1 '[%']]]*BD.PD[[#This Row],[Ppto. Orden Interna '[DOP']]]</f>
        <v>0</v>
      </c>
      <c r="V354" s="254"/>
      <c r="W354" s="255"/>
      <c r="X354" s="259">
        <f>BD.PD[[#This Row],[Av.P2 '[%']]]*BD.PD[[#This Row],[Ppto. Orden Interna '[DOP']]]</f>
        <v>0</v>
      </c>
      <c r="Y354" s="254"/>
      <c r="Z354" s="255"/>
      <c r="AA354" s="259">
        <f>BD.PD[[#This Row],[Av.P3 '[%']]]*BD.PD[[#This Row],[Ppto. Orden Interna '[DOP']]]</f>
        <v>0</v>
      </c>
      <c r="AB354" s="254"/>
      <c r="AC354" s="255"/>
      <c r="AD354" s="259">
        <f>BD.PD[[#This Row],[Av.P4 '[%']]]*BD.PD[[#This Row],[Ppto. Orden Interna '[DOP']]]</f>
        <v>0</v>
      </c>
      <c r="AE354" s="254"/>
      <c r="AF354" s="255"/>
      <c r="AG354" s="259">
        <f>BD.PD[[#This Row],[Av.P5 '[%']]]*BD.PD[[#This Row],[Ppto. Orden Interna '[DOP']]]</f>
        <v>0</v>
      </c>
      <c r="AH354" s="256">
        <f>BD.PD[[#This Row],[Pago 5]]+BD.PD[[#This Row],[Pago 4]]+BD.PD[[#This Row],[Pago 3]]+BD.PD[[#This Row],[Pago 2]]+BD.PD[[#This Row],[Pago 1]]</f>
        <v>0</v>
      </c>
      <c r="AI354" s="318"/>
    </row>
    <row r="355" spans="1:35" ht="15" customHeight="1" x14ac:dyDescent="0.3">
      <c r="A355" s="181">
        <v>9.02</v>
      </c>
      <c r="B355" s="239" t="s">
        <v>306</v>
      </c>
      <c r="C355" s="240" t="str">
        <f>VLOOKUP(BD.PD[[#This Row],[Pos]],PPto[],3,FALSE)</f>
        <v>9.02 INSUMOS</v>
      </c>
      <c r="D355" s="241" t="s">
        <v>306</v>
      </c>
      <c r="E355" s="242">
        <f>IF(BD.PD[[#This Row],[.]]="*",VLOOKUP(BD.PD[[#This Row],[Pos]],Presupuesto!A:H,7,FALSE),"")</f>
        <v>0</v>
      </c>
      <c r="F355" s="243"/>
      <c r="G355" s="243"/>
      <c r="H355" s="243"/>
      <c r="I355" s="244">
        <v>1</v>
      </c>
      <c r="J355" s="241" t="s">
        <v>188</v>
      </c>
      <c r="K355" s="245">
        <f>IF(BD.PD[[#This Row],[Mon]]="DOP",1,HLOOKUP(BD.PD[[#This Row],[Mon]],$J$1:$K$2,2,FALSE))</f>
        <v>60.7</v>
      </c>
      <c r="L355" s="246">
        <v>0</v>
      </c>
      <c r="M355" s="247">
        <f>BD.PD[[#This Row],[Cant.]]*BD.PD[[#This Row],[ Tasa ]]*BD.PD[[#This Row],[ Precio Und.]]</f>
        <v>0</v>
      </c>
      <c r="N355" s="248">
        <v>0</v>
      </c>
      <c r="O355" s="247">
        <f>IF(BD.PD[[#This Row],[Liquid. '[%']]]&lt;&gt;0,(BD.PD[[#This Row],[Valor Neto '[DOP']]]*BD.PD[[#This Row],[Liquid. '[%']]])+BD.PD[[#This Row],[Valor Neto '[DOP']]],BD.PD[[#This Row],[Valor Neto '[DOP']]])</f>
        <v>0</v>
      </c>
      <c r="P355" s="257">
        <f>BD.PD[[#This Row],[Ppto. Orden Interna '[DOP']]]/HLOOKUP("USD",$J$1:$K$2,2,FALSE)</f>
        <v>0</v>
      </c>
      <c r="Q355" s="250"/>
      <c r="R355" s="258"/>
      <c r="S355" s="251"/>
      <c r="T355" s="252"/>
      <c r="U355" s="259">
        <f>BD.PD[[#This Row],[Av.P1 '[%']]]*BD.PD[[#This Row],[Ppto. Orden Interna '[DOP']]]</f>
        <v>0</v>
      </c>
      <c r="V355" s="254"/>
      <c r="W355" s="255"/>
      <c r="X355" s="259">
        <f>BD.PD[[#This Row],[Av.P2 '[%']]]*BD.PD[[#This Row],[Ppto. Orden Interna '[DOP']]]</f>
        <v>0</v>
      </c>
      <c r="Y355" s="254"/>
      <c r="Z355" s="255"/>
      <c r="AA355" s="259">
        <f>BD.PD[[#This Row],[Av.P3 '[%']]]*BD.PD[[#This Row],[Ppto. Orden Interna '[DOP']]]</f>
        <v>0</v>
      </c>
      <c r="AB355" s="254"/>
      <c r="AC355" s="255"/>
      <c r="AD355" s="259">
        <f>BD.PD[[#This Row],[Av.P4 '[%']]]*BD.PD[[#This Row],[Ppto. Orden Interna '[DOP']]]</f>
        <v>0</v>
      </c>
      <c r="AE355" s="254"/>
      <c r="AF355" s="255"/>
      <c r="AG355" s="259">
        <f>BD.PD[[#This Row],[Av.P5 '[%']]]*BD.PD[[#This Row],[Ppto. Orden Interna '[DOP']]]</f>
        <v>0</v>
      </c>
      <c r="AH355" s="256">
        <f>BD.PD[[#This Row],[Pago 5]]+BD.PD[[#This Row],[Pago 4]]+BD.PD[[#This Row],[Pago 3]]+BD.PD[[#This Row],[Pago 2]]+BD.PD[[#This Row],[Pago 1]]</f>
        <v>0</v>
      </c>
      <c r="AI355" s="318"/>
    </row>
    <row r="356" spans="1:35" ht="15" customHeight="1" x14ac:dyDescent="0.3">
      <c r="A356" s="181">
        <v>9.0299999999999994</v>
      </c>
      <c r="B356" s="239" t="s">
        <v>306</v>
      </c>
      <c r="C356" s="240" t="str">
        <f>VLOOKUP(BD.PD[[#This Row],[Pos]],PPto[],3,FALSE)</f>
        <v>9.03 PUBLICIDAD Y MERCADEO</v>
      </c>
      <c r="D356" s="241" t="s">
        <v>306</v>
      </c>
      <c r="E356" s="242">
        <f>IF(BD.PD[[#This Row],[.]]="*",VLOOKUP(BD.PD[[#This Row],[Pos]],Presupuesto!A:H,7,FALSE),"")</f>
        <v>0</v>
      </c>
      <c r="F356" s="243"/>
      <c r="G356" s="243"/>
      <c r="H356" s="243"/>
      <c r="I356" s="244">
        <v>1</v>
      </c>
      <c r="J356" s="241" t="s">
        <v>188</v>
      </c>
      <c r="K356" s="245">
        <f>IF(BD.PD[[#This Row],[Mon]]="DOP",1,HLOOKUP(BD.PD[[#This Row],[Mon]],$J$1:$K$2,2,FALSE))</f>
        <v>60.7</v>
      </c>
      <c r="L356" s="246">
        <v>0</v>
      </c>
      <c r="M356" s="247">
        <f>BD.PD[[#This Row],[Cant.]]*BD.PD[[#This Row],[ Tasa ]]*BD.PD[[#This Row],[ Precio Und.]]</f>
        <v>0</v>
      </c>
      <c r="N356" s="248">
        <v>0</v>
      </c>
      <c r="O356" s="247">
        <f>IF(BD.PD[[#This Row],[Liquid. '[%']]]&lt;&gt;0,(BD.PD[[#This Row],[Valor Neto '[DOP']]]*BD.PD[[#This Row],[Liquid. '[%']]])+BD.PD[[#This Row],[Valor Neto '[DOP']]],BD.PD[[#This Row],[Valor Neto '[DOP']]])</f>
        <v>0</v>
      </c>
      <c r="P356" s="257">
        <f>BD.PD[[#This Row],[Ppto. Orden Interna '[DOP']]]/HLOOKUP("USD",$J$1:$K$2,2,FALSE)</f>
        <v>0</v>
      </c>
      <c r="Q356" s="250"/>
      <c r="R356" s="258"/>
      <c r="S356" s="251"/>
      <c r="T356" s="252"/>
      <c r="U356" s="259">
        <f>BD.PD[[#This Row],[Av.P1 '[%']]]*BD.PD[[#This Row],[Ppto. Orden Interna '[DOP']]]</f>
        <v>0</v>
      </c>
      <c r="V356" s="254"/>
      <c r="W356" s="255"/>
      <c r="X356" s="259">
        <f>BD.PD[[#This Row],[Av.P2 '[%']]]*BD.PD[[#This Row],[Ppto. Orden Interna '[DOP']]]</f>
        <v>0</v>
      </c>
      <c r="Y356" s="254"/>
      <c r="Z356" s="255"/>
      <c r="AA356" s="259">
        <f>BD.PD[[#This Row],[Av.P3 '[%']]]*BD.PD[[#This Row],[Ppto. Orden Interna '[DOP']]]</f>
        <v>0</v>
      </c>
      <c r="AB356" s="254"/>
      <c r="AC356" s="255"/>
      <c r="AD356" s="259">
        <f>BD.PD[[#This Row],[Av.P4 '[%']]]*BD.PD[[#This Row],[Ppto. Orden Interna '[DOP']]]</f>
        <v>0</v>
      </c>
      <c r="AE356" s="254"/>
      <c r="AF356" s="255"/>
      <c r="AG356" s="259">
        <f>BD.PD[[#This Row],[Av.P5 '[%']]]*BD.PD[[#This Row],[Ppto. Orden Interna '[DOP']]]</f>
        <v>0</v>
      </c>
      <c r="AH356" s="256">
        <f>BD.PD[[#This Row],[Pago 5]]+BD.PD[[#This Row],[Pago 4]]+BD.PD[[#This Row],[Pago 3]]+BD.PD[[#This Row],[Pago 2]]+BD.PD[[#This Row],[Pago 1]]</f>
        <v>0</v>
      </c>
      <c r="AI356" s="318"/>
    </row>
    <row r="357" spans="1:35" ht="15" customHeight="1" x14ac:dyDescent="0.3">
      <c r="A357" s="181">
        <v>9.0399999999999991</v>
      </c>
      <c r="B357" s="239" t="s">
        <v>306</v>
      </c>
      <c r="C357" s="240" t="str">
        <f>VLOOKUP(BD.PD[[#This Row],[Pos]],PPto[],3,FALSE)</f>
        <v>9.04 MONTAJE</v>
      </c>
      <c r="D357" s="241" t="s">
        <v>306</v>
      </c>
      <c r="E357" s="242">
        <f>IF(BD.PD[[#This Row],[.]]="*",VLOOKUP(BD.PD[[#This Row],[Pos]],Presupuesto!A:H,7,FALSE),"")</f>
        <v>0</v>
      </c>
      <c r="F357" s="243"/>
      <c r="G357" s="243"/>
      <c r="H357" s="243"/>
      <c r="I357" s="244">
        <v>1</v>
      </c>
      <c r="J357" s="241" t="s">
        <v>188</v>
      </c>
      <c r="K357" s="245">
        <f>IF(BD.PD[[#This Row],[Mon]]="DOP",1,HLOOKUP(BD.PD[[#This Row],[Mon]],$J$1:$K$2,2,FALSE))</f>
        <v>60.7</v>
      </c>
      <c r="L357" s="246">
        <v>0</v>
      </c>
      <c r="M357" s="247">
        <f>BD.PD[[#This Row],[Cant.]]*BD.PD[[#This Row],[ Tasa ]]*BD.PD[[#This Row],[ Precio Und.]]</f>
        <v>0</v>
      </c>
      <c r="N357" s="248">
        <v>0</v>
      </c>
      <c r="O357" s="247">
        <f>IF(BD.PD[[#This Row],[Liquid. '[%']]]&lt;&gt;0,(BD.PD[[#This Row],[Valor Neto '[DOP']]]*BD.PD[[#This Row],[Liquid. '[%']]])+BD.PD[[#This Row],[Valor Neto '[DOP']]],BD.PD[[#This Row],[Valor Neto '[DOP']]])</f>
        <v>0</v>
      </c>
      <c r="P357" s="257">
        <f>BD.PD[[#This Row],[Ppto. Orden Interna '[DOP']]]/HLOOKUP("USD",$J$1:$K$2,2,FALSE)</f>
        <v>0</v>
      </c>
      <c r="Q357" s="250"/>
      <c r="R357" s="258"/>
      <c r="S357" s="251"/>
      <c r="T357" s="252"/>
      <c r="U357" s="259">
        <f>BD.PD[[#This Row],[Av.P1 '[%']]]*BD.PD[[#This Row],[Ppto. Orden Interna '[DOP']]]</f>
        <v>0</v>
      </c>
      <c r="V357" s="254"/>
      <c r="W357" s="255"/>
      <c r="X357" s="259">
        <f>BD.PD[[#This Row],[Av.P2 '[%']]]*BD.PD[[#This Row],[Ppto. Orden Interna '[DOP']]]</f>
        <v>0</v>
      </c>
      <c r="Y357" s="254"/>
      <c r="Z357" s="255"/>
      <c r="AA357" s="259">
        <f>BD.PD[[#This Row],[Av.P3 '[%']]]*BD.PD[[#This Row],[Ppto. Orden Interna '[DOP']]]</f>
        <v>0</v>
      </c>
      <c r="AB357" s="254"/>
      <c r="AC357" s="255"/>
      <c r="AD357" s="259">
        <f>BD.PD[[#This Row],[Av.P4 '[%']]]*BD.PD[[#This Row],[Ppto. Orden Interna '[DOP']]]</f>
        <v>0</v>
      </c>
      <c r="AE357" s="254"/>
      <c r="AF357" s="255"/>
      <c r="AG357" s="259">
        <f>BD.PD[[#This Row],[Av.P5 '[%']]]*BD.PD[[#This Row],[Ppto. Orden Interna '[DOP']]]</f>
        <v>0</v>
      </c>
      <c r="AH357" s="256">
        <f>BD.PD[[#This Row],[Pago 5]]+BD.PD[[#This Row],[Pago 4]]+BD.PD[[#This Row],[Pago 3]]+BD.PD[[#This Row],[Pago 2]]+BD.PD[[#This Row],[Pago 1]]</f>
        <v>0</v>
      </c>
      <c r="AI357" s="318"/>
    </row>
    <row r="358" spans="1:35" ht="15" customHeight="1" x14ac:dyDescent="0.3">
      <c r="A358" s="181">
        <v>9.0499999999999989</v>
      </c>
      <c r="B358" s="239" t="s">
        <v>306</v>
      </c>
      <c r="C358" s="240" t="str">
        <f>VLOOKUP(BD.PD[[#This Row],[Pos]],PPto[],3,FALSE)</f>
        <v>9.05 DECORACIÓN TEMPORADAS</v>
      </c>
      <c r="D358" s="241" t="s">
        <v>306</v>
      </c>
      <c r="E358" s="242">
        <f>IF(BD.PD[[#This Row],[.]]="*",VLOOKUP(BD.PD[[#This Row],[Pos]],Presupuesto!A:H,7,FALSE),"")</f>
        <v>0</v>
      </c>
      <c r="F358" s="243"/>
      <c r="G358" s="243"/>
      <c r="H358" s="243"/>
      <c r="I358" s="244">
        <v>1</v>
      </c>
      <c r="J358" s="241" t="s">
        <v>188</v>
      </c>
      <c r="K358" s="245">
        <f>IF(BD.PD[[#This Row],[Mon]]="DOP",1,HLOOKUP(BD.PD[[#This Row],[Mon]],$J$1:$K$2,2,FALSE))</f>
        <v>60.7</v>
      </c>
      <c r="L358" s="246">
        <v>0</v>
      </c>
      <c r="M358" s="247">
        <f>BD.PD[[#This Row],[Cant.]]*BD.PD[[#This Row],[ Tasa ]]*BD.PD[[#This Row],[ Precio Und.]]</f>
        <v>0</v>
      </c>
      <c r="N358" s="248">
        <v>0</v>
      </c>
      <c r="O358" s="247">
        <f>IF(BD.PD[[#This Row],[Liquid. '[%']]]&lt;&gt;0,(BD.PD[[#This Row],[Valor Neto '[DOP']]]*BD.PD[[#This Row],[Liquid. '[%']]])+BD.PD[[#This Row],[Valor Neto '[DOP']]],BD.PD[[#This Row],[Valor Neto '[DOP']]])</f>
        <v>0</v>
      </c>
      <c r="P358" s="257">
        <f>BD.PD[[#This Row],[Ppto. Orden Interna '[DOP']]]/HLOOKUP("USD",$J$1:$K$2,2,FALSE)</f>
        <v>0</v>
      </c>
      <c r="Q358" s="250"/>
      <c r="R358" s="258"/>
      <c r="S358" s="251"/>
      <c r="T358" s="252"/>
      <c r="U358" s="259">
        <f>BD.PD[[#This Row],[Av.P1 '[%']]]*BD.PD[[#This Row],[Ppto. Orden Interna '[DOP']]]</f>
        <v>0</v>
      </c>
      <c r="V358" s="254"/>
      <c r="W358" s="255"/>
      <c r="X358" s="259">
        <f>BD.PD[[#This Row],[Av.P2 '[%']]]*BD.PD[[#This Row],[Ppto. Orden Interna '[DOP']]]</f>
        <v>0</v>
      </c>
      <c r="Y358" s="254"/>
      <c r="Z358" s="255"/>
      <c r="AA358" s="259">
        <f>BD.PD[[#This Row],[Av.P3 '[%']]]*BD.PD[[#This Row],[Ppto. Orden Interna '[DOP']]]</f>
        <v>0</v>
      </c>
      <c r="AB358" s="254"/>
      <c r="AC358" s="255"/>
      <c r="AD358" s="259">
        <f>BD.PD[[#This Row],[Av.P4 '[%']]]*BD.PD[[#This Row],[Ppto. Orden Interna '[DOP']]]</f>
        <v>0</v>
      </c>
      <c r="AE358" s="254"/>
      <c r="AF358" s="255"/>
      <c r="AG358" s="259">
        <f>BD.PD[[#This Row],[Av.P5 '[%']]]*BD.PD[[#This Row],[Ppto. Orden Interna '[DOP']]]</f>
        <v>0</v>
      </c>
      <c r="AH358" s="256">
        <f>BD.PD[[#This Row],[Pago 5]]+BD.PD[[#This Row],[Pago 4]]+BD.PD[[#This Row],[Pago 3]]+BD.PD[[#This Row],[Pago 2]]+BD.PD[[#This Row],[Pago 1]]</f>
        <v>0</v>
      </c>
      <c r="AI358" s="318"/>
    </row>
    <row r="359" spans="1:35" ht="15" customHeight="1" x14ac:dyDescent="0.3">
      <c r="A359" s="181">
        <v>9.06</v>
      </c>
      <c r="B359" s="239" t="s">
        <v>306</v>
      </c>
      <c r="C359" s="240" t="str">
        <f>VLOOKUP(BD.PD[[#This Row],[Pos]],PPto[],3,FALSE)</f>
        <v>9.06 -</v>
      </c>
      <c r="D359" s="241" t="s">
        <v>306</v>
      </c>
      <c r="E359" s="242">
        <f>IF(BD.PD[[#This Row],[.]]="*",VLOOKUP(BD.PD[[#This Row],[Pos]],Presupuesto!A:H,7,FALSE),"")</f>
        <v>0</v>
      </c>
      <c r="F359" s="243"/>
      <c r="G359" s="243"/>
      <c r="H359" s="243"/>
      <c r="I359" s="244">
        <v>1</v>
      </c>
      <c r="J359" s="241" t="s">
        <v>188</v>
      </c>
      <c r="K359" s="245">
        <f>IF(BD.PD[[#This Row],[Mon]]="DOP",1,HLOOKUP(BD.PD[[#This Row],[Mon]],$J$1:$K$2,2,FALSE))</f>
        <v>60.7</v>
      </c>
      <c r="L359" s="246">
        <v>0</v>
      </c>
      <c r="M359" s="247">
        <f>BD.PD[[#This Row],[Cant.]]*BD.PD[[#This Row],[ Tasa ]]*BD.PD[[#This Row],[ Precio Und.]]</f>
        <v>0</v>
      </c>
      <c r="N359" s="248">
        <v>0</v>
      </c>
      <c r="O359" s="247">
        <f>IF(BD.PD[[#This Row],[Liquid. '[%']]]&lt;&gt;0,(BD.PD[[#This Row],[Valor Neto '[DOP']]]*BD.PD[[#This Row],[Liquid. '[%']]])+BD.PD[[#This Row],[Valor Neto '[DOP']]],BD.PD[[#This Row],[Valor Neto '[DOP']]])</f>
        <v>0</v>
      </c>
      <c r="P359" s="257">
        <f>BD.PD[[#This Row],[Ppto. Orden Interna '[DOP']]]/HLOOKUP("USD",$J$1:$K$2,2,FALSE)</f>
        <v>0</v>
      </c>
      <c r="Q359" s="250"/>
      <c r="R359" s="258"/>
      <c r="S359" s="251"/>
      <c r="T359" s="252"/>
      <c r="U359" s="259">
        <f>BD.PD[[#This Row],[Av.P1 '[%']]]*BD.PD[[#This Row],[Ppto. Orden Interna '[DOP']]]</f>
        <v>0</v>
      </c>
      <c r="V359" s="254"/>
      <c r="W359" s="255"/>
      <c r="X359" s="259">
        <f>BD.PD[[#This Row],[Av.P2 '[%']]]*BD.PD[[#This Row],[Ppto. Orden Interna '[DOP']]]</f>
        <v>0</v>
      </c>
      <c r="Y359" s="254"/>
      <c r="Z359" s="255"/>
      <c r="AA359" s="259">
        <f>BD.PD[[#This Row],[Av.P3 '[%']]]*BD.PD[[#This Row],[Ppto. Orden Interna '[DOP']]]</f>
        <v>0</v>
      </c>
      <c r="AB359" s="254"/>
      <c r="AC359" s="255"/>
      <c r="AD359" s="259">
        <f>BD.PD[[#This Row],[Av.P4 '[%']]]*BD.PD[[#This Row],[Ppto. Orden Interna '[DOP']]]</f>
        <v>0</v>
      </c>
      <c r="AE359" s="254"/>
      <c r="AF359" s="255"/>
      <c r="AG359" s="259">
        <f>BD.PD[[#This Row],[Av.P5 '[%']]]*BD.PD[[#This Row],[Ppto. Orden Interna '[DOP']]]</f>
        <v>0</v>
      </c>
      <c r="AH359" s="256">
        <f>BD.PD[[#This Row],[Pago 5]]+BD.PD[[#This Row],[Pago 4]]+BD.PD[[#This Row],[Pago 3]]+BD.PD[[#This Row],[Pago 2]]+BD.PD[[#This Row],[Pago 1]]</f>
        <v>0</v>
      </c>
      <c r="AI359" s="318"/>
    </row>
    <row r="360" spans="1:35" ht="15" customHeight="1" x14ac:dyDescent="0.3">
      <c r="A360" s="262" t="s">
        <v>174</v>
      </c>
      <c r="B360" s="263"/>
      <c r="C360" s="263"/>
      <c r="D360" s="264"/>
      <c r="E360" s="265">
        <f>SUBTOTAL(109,BD.PD[Plan])</f>
        <v>2950565.9282458508</v>
      </c>
      <c r="F360" s="262"/>
      <c r="G360" s="262"/>
      <c r="H360" s="262"/>
      <c r="I360" s="262"/>
      <c r="J360" s="262"/>
      <c r="K360" s="263"/>
      <c r="L360" s="260"/>
      <c r="M360" s="266">
        <f>SUBTOTAL(109,BD.PD[Valor Neto '[DOP']])</f>
        <v>191811747.28792411</v>
      </c>
      <c r="N360" s="267"/>
      <c r="O360" s="266">
        <f>SUBTOTAL(109,BD.PD[Ppto. Orden Interna '[DOP']])</f>
        <v>210750934.83052412</v>
      </c>
      <c r="P360" s="268">
        <f>SUBTOTAL(109,BD.PD[Ppto. Orden Interna '[USD']])</f>
        <v>3472008.8110465235</v>
      </c>
      <c r="Q360" s="262"/>
      <c r="R360" s="267"/>
      <c r="S360" s="269"/>
      <c r="T360" s="270"/>
      <c r="U360" s="262"/>
      <c r="V360" s="269"/>
      <c r="W360" s="262"/>
      <c r="X360" s="262"/>
      <c r="Y360" s="269"/>
      <c r="Z360" s="262"/>
      <c r="AA360" s="262"/>
      <c r="AB360" s="269"/>
      <c r="AC360" s="262"/>
      <c r="AD360" s="262"/>
      <c r="AE360" s="269"/>
      <c r="AF360" s="262"/>
      <c r="AG360" s="262"/>
      <c r="AH360" s="271">
        <f>SUBTOTAL(109,BD.PD[Total Flujo Caja])</f>
        <v>210750934.83052412</v>
      </c>
      <c r="AI360" s="262"/>
    </row>
    <row r="363" spans="1:35" ht="15" customHeight="1" x14ac:dyDescent="0.3">
      <c r="L363" s="331"/>
    </row>
    <row r="364" spans="1:35" ht="15" customHeight="1" x14ac:dyDescent="0.3">
      <c r="J364" s="331"/>
    </row>
    <row r="365" spans="1:35" ht="15" customHeight="1" x14ac:dyDescent="0.3">
      <c r="L365" s="323"/>
      <c r="M365" s="324">
        <f>+L365*J2</f>
        <v>0</v>
      </c>
    </row>
    <row r="367" spans="1:35" ht="15" customHeight="1" x14ac:dyDescent="0.3">
      <c r="L367" s="395"/>
    </row>
    <row r="368" spans="1:35" ht="15" customHeight="1" x14ac:dyDescent="0.3">
      <c r="K368" s="394"/>
    </row>
    <row r="369" spans="8:13" ht="15" customHeight="1" x14ac:dyDescent="0.3">
      <c r="H369" s="395"/>
      <c r="L369" s="325"/>
      <c r="M369" s="324"/>
    </row>
    <row r="370" spans="8:13" ht="15" customHeight="1" x14ac:dyDescent="0.3">
      <c r="H370" s="395"/>
      <c r="K370" s="325"/>
    </row>
    <row r="371" spans="8:13" ht="15" customHeight="1" x14ac:dyDescent="0.3">
      <c r="H371" s="395"/>
    </row>
    <row r="373" spans="8:13" ht="15" customHeight="1" x14ac:dyDescent="0.3">
      <c r="H373" s="395"/>
    </row>
    <row r="374" spans="8:13" ht="15" customHeight="1" x14ac:dyDescent="0.3">
      <c r="H374" s="395"/>
    </row>
    <row r="380" spans="8:13" ht="15" customHeight="1" x14ac:dyDescent="0.3">
      <c r="H380" s="395"/>
    </row>
    <row r="381" spans="8:13" ht="15" customHeight="1" x14ac:dyDescent="0.3">
      <c r="H381" s="395"/>
    </row>
    <row r="382" spans="8:13" ht="15" customHeight="1" x14ac:dyDescent="0.3">
      <c r="H382" s="395"/>
    </row>
    <row r="391" spans="9:9" ht="15" customHeight="1" x14ac:dyDescent="0.3">
      <c r="I391" s="396"/>
    </row>
  </sheetData>
  <dataConsolidate/>
  <mergeCells count="9">
    <mergeCell ref="AH1:AH3"/>
    <mergeCell ref="AE3:AG3"/>
    <mergeCell ref="A1:F1"/>
    <mergeCell ref="A2:F2"/>
    <mergeCell ref="S3:U3"/>
    <mergeCell ref="V3:X3"/>
    <mergeCell ref="Y3:AA3"/>
    <mergeCell ref="AB3:AD3"/>
    <mergeCell ref="S2:AG2"/>
  </mergeCells>
  <phoneticPr fontId="5" type="noConversion"/>
  <conditionalFormatting sqref="AH5:AH359">
    <cfRule type="expression" dxfId="160" priority="172">
      <formula>$AH5&lt;&gt;$O5</formula>
    </cfRule>
  </conditionalFormatting>
  <dataValidations count="2">
    <dataValidation operator="equal" allowBlank="1" showInputMessage="1" showErrorMessage="1" sqref="R43 Q56:Q57 Q1:Q2 Q49:Q54 O49:P359 C5:E359 M5:M359 K5:K359 O5:Q48 R15:R21" xr:uid="{4BA023C2-8680-4AD2-A3CF-3A4B435DE2C5}"/>
    <dataValidation type="whole" operator="greaterThanOrEqual" allowBlank="1" showInputMessage="1" showErrorMessage="1" sqref="V5:V359 AB5:AB359 AE5:AE359 Y5:Y359 S5:S359" xr:uid="{A03CE7B6-5E7D-43CF-B55A-EF2F8BB8EEE1}">
      <formula1>0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E700D-F3D7-44CF-95F9-E7643DA3C8A5}">
  <sheetPr codeName="Hoja6"/>
  <dimension ref="A1:D11"/>
  <sheetViews>
    <sheetView workbookViewId="0">
      <selection activeCell="A10" sqref="A10:B10"/>
    </sheetView>
  </sheetViews>
  <sheetFormatPr baseColWidth="10" defaultColWidth="11.44140625" defaultRowHeight="14.4" x14ac:dyDescent="0.3"/>
  <cols>
    <col min="1" max="1" width="7" bestFit="1" customWidth="1"/>
    <col min="2" max="2" width="14.109375" bestFit="1" customWidth="1"/>
    <col min="3" max="3" width="13.33203125" bestFit="1" customWidth="1"/>
    <col min="4" max="4" width="67.88671875" bestFit="1" customWidth="1"/>
  </cols>
  <sheetData>
    <row r="1" spans="1:4" x14ac:dyDescent="0.3">
      <c r="A1" s="380" t="s">
        <v>685</v>
      </c>
      <c r="B1" s="381" t="s">
        <v>686</v>
      </c>
      <c r="C1" s="381" t="s">
        <v>687</v>
      </c>
      <c r="D1" s="382" t="s">
        <v>688</v>
      </c>
    </row>
    <row r="2" spans="1:4" x14ac:dyDescent="0.3">
      <c r="A2" s="372">
        <v>801612</v>
      </c>
      <c r="B2" s="372" t="s">
        <v>689</v>
      </c>
      <c r="C2" s="373">
        <v>598</v>
      </c>
      <c r="D2" s="374" t="s">
        <v>690</v>
      </c>
    </row>
    <row r="3" spans="1:4" x14ac:dyDescent="0.3">
      <c r="A3" s="375">
        <v>801623</v>
      </c>
      <c r="B3" s="376" t="s">
        <v>691</v>
      </c>
      <c r="C3" s="376" t="s">
        <v>692</v>
      </c>
      <c r="D3" s="377" t="s">
        <v>693</v>
      </c>
    </row>
    <row r="4" spans="1:4" x14ac:dyDescent="0.3">
      <c r="A4" s="378">
        <v>801684</v>
      </c>
      <c r="B4" s="373" t="s">
        <v>694</v>
      </c>
      <c r="C4" s="373">
        <v>598</v>
      </c>
      <c r="D4" s="379" t="s">
        <v>695</v>
      </c>
    </row>
    <row r="5" spans="1:4" x14ac:dyDescent="0.3">
      <c r="A5" s="378">
        <v>801685</v>
      </c>
      <c r="B5" s="373" t="s">
        <v>696</v>
      </c>
      <c r="C5" s="373">
        <v>598</v>
      </c>
      <c r="D5" s="379" t="s">
        <v>697</v>
      </c>
    </row>
    <row r="6" spans="1:4" x14ac:dyDescent="0.3">
      <c r="A6" s="378">
        <v>801686</v>
      </c>
      <c r="B6" s="373" t="s">
        <v>698</v>
      </c>
      <c r="C6" s="373">
        <v>598</v>
      </c>
      <c r="D6" s="379" t="s">
        <v>699</v>
      </c>
    </row>
    <row r="7" spans="1:4" x14ac:dyDescent="0.3">
      <c r="A7" s="378">
        <v>801687</v>
      </c>
      <c r="B7" s="373" t="s">
        <v>700</v>
      </c>
      <c r="C7" s="373">
        <v>598</v>
      </c>
      <c r="D7" s="379" t="s">
        <v>701</v>
      </c>
    </row>
    <row r="8" spans="1:4" x14ac:dyDescent="0.3">
      <c r="A8" s="378">
        <v>801688</v>
      </c>
      <c r="B8" s="373" t="s">
        <v>702</v>
      </c>
      <c r="C8" s="373">
        <v>598</v>
      </c>
      <c r="D8" s="379" t="s">
        <v>703</v>
      </c>
    </row>
    <row r="9" spans="1:4" x14ac:dyDescent="0.3">
      <c r="A9" s="378">
        <v>801689</v>
      </c>
      <c r="B9" s="373" t="s">
        <v>704</v>
      </c>
      <c r="C9" s="373">
        <v>598</v>
      </c>
      <c r="D9" s="379" t="s">
        <v>705</v>
      </c>
    </row>
    <row r="10" spans="1:4" x14ac:dyDescent="0.3">
      <c r="A10" s="378">
        <v>801690</v>
      </c>
      <c r="B10" s="373" t="s">
        <v>706</v>
      </c>
      <c r="C10" s="373">
        <v>598</v>
      </c>
      <c r="D10" s="379" t="s">
        <v>707</v>
      </c>
    </row>
    <row r="11" spans="1:4" x14ac:dyDescent="0.3">
      <c r="B11" s="373" t="s">
        <v>708</v>
      </c>
      <c r="C11" s="373">
        <v>598</v>
      </c>
      <c r="D11" s="379" t="s">
        <v>709</v>
      </c>
    </row>
  </sheetData>
  <conditionalFormatting sqref="A2">
    <cfRule type="duplicateValues" dxfId="159" priority="2"/>
  </conditionalFormatting>
  <conditionalFormatting sqref="A3:B3">
    <cfRule type="expression" dxfId="158" priority="1">
      <formula>$D3&lt;&gt;""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C36C-2B38-4BA5-A460-AF8EC91F01E9}">
  <sheetPr codeName="Hoja7"/>
  <dimension ref="A1:IG121"/>
  <sheetViews>
    <sheetView zoomScale="73" zoomScaleNormal="73" workbookViewId="0">
      <selection activeCell="H90" sqref="H90"/>
    </sheetView>
  </sheetViews>
  <sheetFormatPr baseColWidth="10" defaultColWidth="11.44140625" defaultRowHeight="13.8" x14ac:dyDescent="0.3"/>
  <cols>
    <col min="1" max="1" width="7.33203125" style="238" customWidth="1"/>
    <col min="2" max="2" width="3.88671875" style="226" customWidth="1"/>
    <col min="3" max="3" width="29.88671875" style="226" customWidth="1"/>
    <col min="4" max="4" width="3" style="226" customWidth="1"/>
    <col min="5" max="5" width="11.6640625" style="226" customWidth="1"/>
    <col min="6" max="6" width="48.109375" style="226" customWidth="1"/>
    <col min="7" max="7" width="18.33203125" style="226" bestFit="1" customWidth="1"/>
    <col min="8" max="8" width="10.44140625" style="226" bestFit="1" customWidth="1"/>
    <col min="9" max="9" width="5.6640625" style="226" customWidth="1"/>
    <col min="10" max="10" width="7" style="226" customWidth="1"/>
    <col min="11" max="11" width="8.33203125" style="226" customWidth="1"/>
    <col min="12" max="12" width="13.6640625" style="226" customWidth="1"/>
    <col min="13" max="13" width="14.6640625" style="226" bestFit="1" customWidth="1"/>
    <col min="14" max="14" width="4.33203125" style="226" customWidth="1"/>
    <col min="15" max="15" width="14.33203125" style="226" customWidth="1"/>
    <col min="16" max="16" width="13.6640625" style="226" customWidth="1"/>
    <col min="17" max="17" width="27.109375" style="226" customWidth="1"/>
    <col min="18" max="18" width="8.109375" style="226" bestFit="1" customWidth="1"/>
    <col min="19" max="19" width="13.5546875" style="226" customWidth="1"/>
    <col min="20" max="20" width="10.109375" style="226" customWidth="1"/>
    <col min="21" max="21" width="6.5546875" style="226" customWidth="1"/>
    <col min="22" max="22" width="27.109375" style="226" customWidth="1"/>
    <col min="23" max="23" width="4.6640625" style="226" customWidth="1"/>
    <col min="24" max="24" width="7.44140625" style="229" customWidth="1"/>
    <col min="25" max="25" width="12.33203125" style="226" customWidth="1"/>
    <col min="26" max="26" width="4.6640625" style="226" customWidth="1"/>
    <col min="27" max="27" width="7.44140625" style="226" customWidth="1"/>
    <col min="28" max="28" width="12.33203125" style="226" customWidth="1"/>
    <col min="29" max="29" width="4.6640625" style="226" customWidth="1"/>
    <col min="30" max="30" width="7.44140625" style="226" customWidth="1"/>
    <col min="31" max="31" width="12.33203125" style="226" customWidth="1"/>
    <col min="32" max="32" width="4.6640625" style="226" customWidth="1"/>
    <col min="33" max="33" width="7.44140625" style="226" customWidth="1"/>
    <col min="34" max="34" width="12.33203125" style="226" customWidth="1"/>
    <col min="35" max="35" width="4.6640625" style="226" customWidth="1"/>
    <col min="36" max="36" width="7.44140625" style="226" customWidth="1"/>
    <col min="37" max="37" width="12.33203125" style="226" customWidth="1"/>
    <col min="38" max="38" width="16.44140625" style="226" customWidth="1"/>
    <col min="39" max="39" width="14.109375" style="316" bestFit="1" customWidth="1"/>
    <col min="40" max="241" width="11.44140625" style="316"/>
    <col min="242" max="16384" width="11.44140625" style="226"/>
  </cols>
  <sheetData>
    <row r="1" spans="1:241" ht="15" customHeight="1" x14ac:dyDescent="0.3">
      <c r="A1" s="400" t="s">
        <v>710</v>
      </c>
      <c r="B1" s="400"/>
      <c r="C1" s="400"/>
      <c r="D1" s="400"/>
      <c r="E1" s="400"/>
      <c r="F1" s="400"/>
      <c r="G1" s="225"/>
      <c r="H1" s="225"/>
      <c r="J1" s="360" t="s">
        <v>188</v>
      </c>
      <c r="K1" s="360" t="s">
        <v>258</v>
      </c>
      <c r="Q1" s="228" t="s">
        <v>41</v>
      </c>
      <c r="AL1" s="398" t="s">
        <v>134</v>
      </c>
    </row>
    <row r="2" spans="1:241" ht="15" customHeight="1" x14ac:dyDescent="0.3">
      <c r="A2" s="401" t="s">
        <v>711</v>
      </c>
      <c r="B2" s="401"/>
      <c r="C2" s="400"/>
      <c r="D2" s="400"/>
      <c r="E2" s="400"/>
      <c r="F2" s="400"/>
      <c r="G2" s="225"/>
      <c r="H2" s="225"/>
      <c r="I2" s="360" t="s">
        <v>260</v>
      </c>
      <c r="J2" s="230">
        <v>64</v>
      </c>
      <c r="K2" s="231">
        <v>72.45</v>
      </c>
      <c r="Q2" s="228" t="s">
        <v>40</v>
      </c>
      <c r="W2" s="403" t="s">
        <v>261</v>
      </c>
      <c r="X2" s="403"/>
      <c r="Y2" s="403"/>
      <c r="Z2" s="403"/>
      <c r="AA2" s="403"/>
      <c r="AB2" s="403"/>
      <c r="AC2" s="403"/>
      <c r="AD2" s="403"/>
      <c r="AE2" s="403"/>
      <c r="AF2" s="403"/>
      <c r="AG2" s="403"/>
      <c r="AH2" s="403"/>
      <c r="AI2" s="403"/>
      <c r="AJ2" s="403"/>
      <c r="AK2" s="403"/>
      <c r="AL2" s="398"/>
    </row>
    <row r="3" spans="1:241" ht="15" customHeight="1" x14ac:dyDescent="0.3">
      <c r="D3" s="226" t="s">
        <v>262</v>
      </c>
      <c r="O3" s="232">
        <f>SUBTOTAL(109,BD.PD5[Ppto. Orden Interna '[DOP']])</f>
        <v>3181332.29</v>
      </c>
      <c r="P3" s="233">
        <f>SUBTOTAL(109,BD.PD5[Ppto. Orden Interna '[USD']])</f>
        <v>49708.317031250001</v>
      </c>
      <c r="W3" s="399" t="s">
        <v>263</v>
      </c>
      <c r="X3" s="399"/>
      <c r="Y3" s="402"/>
      <c r="Z3" s="399" t="s">
        <v>264</v>
      </c>
      <c r="AA3" s="399"/>
      <c r="AB3" s="402"/>
      <c r="AC3" s="399" t="s">
        <v>265</v>
      </c>
      <c r="AD3" s="399"/>
      <c r="AE3" s="402"/>
      <c r="AF3" s="399" t="s">
        <v>266</v>
      </c>
      <c r="AG3" s="399"/>
      <c r="AH3" s="402"/>
      <c r="AI3" s="399" t="s">
        <v>267</v>
      </c>
      <c r="AJ3" s="399"/>
      <c r="AK3" s="399"/>
      <c r="AL3" s="398"/>
    </row>
    <row r="4" spans="1:241" s="238" customFormat="1" ht="55.2" x14ac:dyDescent="0.3">
      <c r="A4" s="234" t="s">
        <v>268</v>
      </c>
      <c r="B4" s="234" t="s">
        <v>269</v>
      </c>
      <c r="C4" s="234" t="s">
        <v>270</v>
      </c>
      <c r="D4" s="234" t="s">
        <v>271</v>
      </c>
      <c r="E4" s="234" t="s">
        <v>272</v>
      </c>
      <c r="F4" s="234" t="s">
        <v>273</v>
      </c>
      <c r="G4" s="234" t="s">
        <v>274</v>
      </c>
      <c r="H4" s="234" t="s">
        <v>1</v>
      </c>
      <c r="I4" s="234" t="s">
        <v>275</v>
      </c>
      <c r="J4" s="234" t="s">
        <v>276</v>
      </c>
      <c r="K4" s="234" t="s">
        <v>277</v>
      </c>
      <c r="L4" s="234" t="s">
        <v>278</v>
      </c>
      <c r="M4" s="234" t="s">
        <v>279</v>
      </c>
      <c r="N4" s="234" t="s">
        <v>280</v>
      </c>
      <c r="O4" s="234" t="s">
        <v>281</v>
      </c>
      <c r="P4" s="235" t="s">
        <v>282</v>
      </c>
      <c r="Q4" s="234" t="s">
        <v>283</v>
      </c>
      <c r="R4" s="234" t="s">
        <v>284</v>
      </c>
      <c r="S4" s="234" t="s">
        <v>285</v>
      </c>
      <c r="T4" s="234" t="s">
        <v>286</v>
      </c>
      <c r="U4" s="234" t="s">
        <v>287</v>
      </c>
      <c r="V4" s="234" t="s">
        <v>288</v>
      </c>
      <c r="W4" s="234" t="s">
        <v>289</v>
      </c>
      <c r="X4" s="234" t="s">
        <v>290</v>
      </c>
      <c r="Y4" s="236" t="s">
        <v>291</v>
      </c>
      <c r="Z4" s="234" t="s">
        <v>292</v>
      </c>
      <c r="AA4" s="234" t="s">
        <v>293</v>
      </c>
      <c r="AB4" s="236" t="s">
        <v>294</v>
      </c>
      <c r="AC4" s="234" t="s">
        <v>295</v>
      </c>
      <c r="AD4" s="234" t="s">
        <v>296</v>
      </c>
      <c r="AE4" s="236" t="s">
        <v>297</v>
      </c>
      <c r="AF4" s="234" t="s">
        <v>298</v>
      </c>
      <c r="AG4" s="234" t="s">
        <v>299</v>
      </c>
      <c r="AH4" s="236" t="s">
        <v>300</v>
      </c>
      <c r="AI4" s="234" t="s">
        <v>301</v>
      </c>
      <c r="AJ4" s="234" t="s">
        <v>302</v>
      </c>
      <c r="AK4" s="234" t="s">
        <v>303</v>
      </c>
      <c r="AL4" s="237" t="s">
        <v>304</v>
      </c>
      <c r="AM4" s="319" t="s">
        <v>305</v>
      </c>
      <c r="AN4" s="317"/>
      <c r="AO4" s="317"/>
      <c r="AP4" s="317"/>
      <c r="AQ4" s="317"/>
      <c r="AR4" s="317"/>
      <c r="AS4" s="317"/>
      <c r="AT4" s="317"/>
      <c r="AU4" s="317"/>
      <c r="AV4" s="317"/>
      <c r="AW4" s="317"/>
      <c r="AX4" s="317"/>
      <c r="AY4" s="317"/>
      <c r="AZ4" s="317"/>
      <c r="BA4" s="317"/>
      <c r="BB4" s="317"/>
      <c r="BC4" s="317"/>
      <c r="BD4" s="317"/>
      <c r="BE4" s="317"/>
      <c r="BF4" s="317"/>
      <c r="BG4" s="317"/>
      <c r="BH4" s="317"/>
      <c r="BI4" s="317"/>
      <c r="BJ4" s="317"/>
      <c r="BK4" s="317"/>
      <c r="BL4" s="317"/>
      <c r="BM4" s="317"/>
      <c r="BN4" s="317"/>
      <c r="BO4" s="317"/>
      <c r="BP4" s="317"/>
      <c r="BQ4" s="317"/>
      <c r="BR4" s="317"/>
      <c r="BS4" s="317"/>
      <c r="BT4" s="317"/>
      <c r="BU4" s="317"/>
      <c r="BV4" s="317"/>
      <c r="BW4" s="317"/>
      <c r="BX4" s="317"/>
      <c r="BY4" s="317"/>
      <c r="BZ4" s="317"/>
      <c r="CA4" s="317"/>
      <c r="CB4" s="317"/>
      <c r="CC4" s="317"/>
      <c r="CD4" s="317"/>
      <c r="CE4" s="317"/>
      <c r="CF4" s="317"/>
      <c r="CG4" s="317"/>
      <c r="CH4" s="317"/>
      <c r="CI4" s="317"/>
      <c r="CJ4" s="317"/>
      <c r="CK4" s="317"/>
      <c r="CL4" s="317"/>
      <c r="CM4" s="317"/>
      <c r="CN4" s="317"/>
      <c r="CO4" s="317"/>
      <c r="CP4" s="317"/>
      <c r="CQ4" s="317"/>
      <c r="CR4" s="317"/>
      <c r="CS4" s="317"/>
      <c r="CT4" s="317"/>
      <c r="CU4" s="317"/>
      <c r="CV4" s="317"/>
      <c r="CW4" s="317"/>
      <c r="CX4" s="317"/>
      <c r="CY4" s="317"/>
      <c r="CZ4" s="317"/>
      <c r="DA4" s="317"/>
      <c r="DB4" s="317"/>
      <c r="DC4" s="317"/>
      <c r="DD4" s="317"/>
      <c r="DE4" s="317"/>
      <c r="DF4" s="317"/>
      <c r="DG4" s="317"/>
      <c r="DH4" s="317"/>
      <c r="DI4" s="317"/>
      <c r="DJ4" s="317"/>
      <c r="DK4" s="317"/>
      <c r="DL4" s="317"/>
      <c r="DM4" s="317"/>
      <c r="DN4" s="317"/>
      <c r="DO4" s="317"/>
      <c r="DP4" s="317"/>
      <c r="DQ4" s="317"/>
      <c r="DR4" s="317"/>
      <c r="DS4" s="317"/>
      <c r="DT4" s="317"/>
      <c r="DU4" s="317"/>
      <c r="DV4" s="317"/>
      <c r="DW4" s="317"/>
      <c r="DX4" s="317"/>
      <c r="DY4" s="317"/>
      <c r="DZ4" s="317"/>
      <c r="EA4" s="317"/>
      <c r="EB4" s="317"/>
      <c r="EC4" s="317"/>
      <c r="ED4" s="317"/>
      <c r="EE4" s="317"/>
      <c r="EF4" s="317"/>
      <c r="EG4" s="317"/>
      <c r="EH4" s="317"/>
      <c r="EI4" s="317"/>
      <c r="EJ4" s="317"/>
      <c r="EK4" s="317"/>
      <c r="EL4" s="317"/>
      <c r="EM4" s="317"/>
      <c r="EN4" s="317"/>
      <c r="EO4" s="317"/>
      <c r="EP4" s="317"/>
      <c r="EQ4" s="317"/>
      <c r="ER4" s="317"/>
      <c r="ES4" s="317"/>
      <c r="ET4" s="317"/>
      <c r="EU4" s="317"/>
      <c r="EV4" s="317"/>
      <c r="EW4" s="317"/>
      <c r="EX4" s="317"/>
      <c r="EY4" s="317"/>
      <c r="EZ4" s="317"/>
      <c r="FA4" s="317"/>
      <c r="FB4" s="317"/>
      <c r="FC4" s="317"/>
      <c r="FD4" s="317"/>
      <c r="FE4" s="317"/>
      <c r="FF4" s="317"/>
      <c r="FG4" s="317"/>
      <c r="FH4" s="317"/>
      <c r="FI4" s="317"/>
      <c r="FJ4" s="317"/>
      <c r="FK4" s="317"/>
      <c r="FL4" s="317"/>
      <c r="FM4" s="317"/>
      <c r="FN4" s="317"/>
      <c r="FO4" s="317"/>
      <c r="FP4" s="317"/>
      <c r="FQ4" s="317"/>
      <c r="FR4" s="317"/>
      <c r="FS4" s="317"/>
      <c r="FT4" s="317"/>
      <c r="FU4" s="317"/>
      <c r="FV4" s="317"/>
      <c r="FW4" s="317"/>
      <c r="FX4" s="317"/>
      <c r="FY4" s="317"/>
      <c r="FZ4" s="317"/>
      <c r="GA4" s="317"/>
      <c r="GB4" s="317"/>
      <c r="GC4" s="317"/>
      <c r="GD4" s="317"/>
      <c r="GE4" s="317"/>
      <c r="GF4" s="317"/>
      <c r="GG4" s="317"/>
      <c r="GH4" s="317"/>
      <c r="GI4" s="317"/>
      <c r="GJ4" s="317"/>
      <c r="GK4" s="317"/>
      <c r="GL4" s="317"/>
      <c r="GM4" s="317"/>
      <c r="GN4" s="317"/>
      <c r="GO4" s="317"/>
      <c r="GP4" s="317"/>
      <c r="GQ4" s="317"/>
      <c r="GR4" s="317"/>
      <c r="GS4" s="317"/>
      <c r="GT4" s="317"/>
      <c r="GU4" s="317"/>
      <c r="GV4" s="317"/>
      <c r="GW4" s="317"/>
      <c r="GX4" s="317"/>
      <c r="GY4" s="317"/>
      <c r="GZ4" s="317"/>
      <c r="HA4" s="317"/>
      <c r="HB4" s="317"/>
      <c r="HC4" s="317"/>
      <c r="HD4" s="317"/>
      <c r="HE4" s="317"/>
      <c r="HF4" s="317"/>
      <c r="HG4" s="317"/>
      <c r="HH4" s="317"/>
      <c r="HI4" s="317"/>
      <c r="HJ4" s="317"/>
      <c r="HK4" s="317"/>
      <c r="HL4" s="317"/>
      <c r="HM4" s="317"/>
      <c r="HN4" s="317"/>
      <c r="HO4" s="317"/>
      <c r="HP4" s="317"/>
      <c r="HQ4" s="317"/>
      <c r="HR4" s="317"/>
      <c r="HS4" s="317"/>
      <c r="HT4" s="317"/>
      <c r="HU4" s="317"/>
      <c r="HV4" s="317"/>
      <c r="HW4" s="317"/>
      <c r="HX4" s="317"/>
      <c r="HY4" s="317"/>
      <c r="HZ4" s="317"/>
      <c r="IA4" s="317"/>
      <c r="IB4" s="317"/>
      <c r="IC4" s="317"/>
      <c r="ID4" s="317"/>
      <c r="IE4" s="317"/>
      <c r="IF4" s="317"/>
      <c r="IG4" s="317"/>
    </row>
    <row r="5" spans="1:241" s="260" customFormat="1" ht="15" hidden="1" customHeight="1" x14ac:dyDescent="0.3">
      <c r="A5" s="181">
        <v>1.01</v>
      </c>
      <c r="B5" s="239" t="s">
        <v>306</v>
      </c>
      <c r="C5" s="240" t="str">
        <f>VLOOKUP(BD.PD5[[#This Row],[Pos]],PPto[],3,FALSE)</f>
        <v>1.01 Diseño arquitectónico</v>
      </c>
      <c r="D5" s="241" t="s">
        <v>306</v>
      </c>
      <c r="E5" s="242">
        <f>IF(BD.PD5[[#This Row],[.]]="*",VLOOKUP(BD.PD5[[#This Row],[Pos]],[15]Presupuesto!A:H,7,FALSE),"")</f>
        <v>0</v>
      </c>
      <c r="F5" s="243"/>
      <c r="G5" s="243"/>
      <c r="H5" s="243"/>
      <c r="I5" s="244"/>
      <c r="J5" s="241" t="s">
        <v>188</v>
      </c>
      <c r="K5" s="245">
        <f>IF(BD.PD5[[#This Row],[Mon]]="DOP",1,HLOOKUP(BD.PD5[[#This Row],[Mon]],$J$1:$K$2,2,FALSE))</f>
        <v>64</v>
      </c>
      <c r="L5" s="246">
        <v>0</v>
      </c>
      <c r="M5" s="247">
        <f>BD.PD5[[#This Row],[Cant.]]*BD.PD5[[#This Row],[ Tasa ]]*BD.PD5[[#This Row],[ Precio Und.]]</f>
        <v>0</v>
      </c>
      <c r="N5" s="248"/>
      <c r="O5" s="247">
        <f>IF(BD.PD5[[#This Row],[Liquid. '[%']]]&lt;&gt;0,(BD.PD5[[#This Row],[Valor Neto '[DOP']]]*BD.PD5[[#This Row],[Liquid. '[%']]])+BD.PD5[[#This Row],[Valor Neto '[DOP']]],BD.PD5[[#This Row],[Valor Neto '[DOP']]])</f>
        <v>0</v>
      </c>
      <c r="P5" s="249">
        <f>BD.PD5[[#This Row],[Ppto. Orden Interna '[DOP']]]/HLOOKUP("USD",$J$1:$K$2,2,FALSE)</f>
        <v>0</v>
      </c>
      <c r="Q5" s="250"/>
      <c r="R5" s="250"/>
      <c r="S5" s="250"/>
      <c r="T5" s="250"/>
      <c r="U5" s="250"/>
      <c r="V5" s="243"/>
      <c r="W5" s="251"/>
      <c r="X5" s="252"/>
      <c r="Y5" s="253">
        <f>BD.PD5[[#This Row],[Av.P1 '[%']]]*BD.PD5[[#This Row],[Ppto. Orden Interna '[DOP']]]</f>
        <v>0</v>
      </c>
      <c r="Z5" s="254"/>
      <c r="AA5" s="255"/>
      <c r="AB5" s="253">
        <f>BD.PD5[[#This Row],[Av.P2 '[%']]]*BD.PD5[[#This Row],[Ppto. Orden Interna '[DOP']]]</f>
        <v>0</v>
      </c>
      <c r="AC5" s="254"/>
      <c r="AD5" s="255"/>
      <c r="AE5" s="253">
        <f>BD.PD5[[#This Row],[Av.P3 '[%']]]*BD.PD5[[#This Row],[Ppto. Orden Interna '[DOP']]]</f>
        <v>0</v>
      </c>
      <c r="AF5" s="254"/>
      <c r="AG5" s="255"/>
      <c r="AH5" s="253">
        <f>BD.PD5[[#This Row],[Av.P4 '[%']]]*BD.PD5[[#This Row],[Ppto. Orden Interna '[DOP']]]</f>
        <v>0</v>
      </c>
      <c r="AI5" s="254"/>
      <c r="AJ5" s="255"/>
      <c r="AK5" s="253">
        <f>BD.PD5[[#This Row],[Av.P5 '[%']]]*BD.PD5[[#This Row],[Ppto. Orden Interna '[DOP']]]</f>
        <v>0</v>
      </c>
      <c r="AL5" s="256">
        <f>BD.PD5[[#This Row],[Pago 5]]+BD.PD5[[#This Row],[Pago 4]]+BD.PD5[[#This Row],[Pago 3]]+BD.PD5[[#This Row],[Pago 2]]+BD.PD5[[#This Row],[Pago 1]]</f>
        <v>0</v>
      </c>
      <c r="AM5" s="318"/>
      <c r="AN5" s="318"/>
      <c r="AO5" s="318"/>
      <c r="AP5" s="318"/>
      <c r="AQ5" s="318"/>
      <c r="AR5" s="318"/>
      <c r="AS5" s="318"/>
      <c r="AT5" s="318"/>
      <c r="AU5" s="318"/>
      <c r="AV5" s="318"/>
      <c r="AW5" s="318"/>
      <c r="AX5" s="318"/>
      <c r="AY5" s="318"/>
      <c r="AZ5" s="318"/>
      <c r="BA5" s="318"/>
      <c r="BB5" s="318"/>
      <c r="BC5" s="318"/>
      <c r="BD5" s="318"/>
      <c r="BE5" s="318"/>
      <c r="BF5" s="318"/>
      <c r="BG5" s="318"/>
      <c r="BH5" s="318"/>
      <c r="BI5" s="318"/>
      <c r="BJ5" s="318"/>
      <c r="BK5" s="318"/>
      <c r="BL5" s="318"/>
      <c r="BM5" s="318"/>
      <c r="BN5" s="318"/>
      <c r="BO5" s="318"/>
      <c r="BP5" s="318"/>
      <c r="BQ5" s="318"/>
      <c r="BR5" s="318"/>
      <c r="BS5" s="318"/>
      <c r="BT5" s="318"/>
      <c r="BU5" s="318"/>
      <c r="BV5" s="318"/>
      <c r="BW5" s="318"/>
      <c r="BX5" s="318"/>
      <c r="BY5" s="318"/>
      <c r="BZ5" s="318"/>
      <c r="CA5" s="318"/>
      <c r="CB5" s="318"/>
      <c r="CC5" s="318"/>
      <c r="CD5" s="318"/>
      <c r="CE5" s="318"/>
      <c r="CF5" s="318"/>
      <c r="CG5" s="318"/>
      <c r="CH5" s="318"/>
      <c r="CI5" s="318"/>
      <c r="CJ5" s="318"/>
      <c r="CK5" s="318"/>
      <c r="CL5" s="318"/>
      <c r="CM5" s="318"/>
      <c r="CN5" s="318"/>
      <c r="CO5" s="318"/>
      <c r="CP5" s="318"/>
      <c r="CQ5" s="318"/>
      <c r="CR5" s="318"/>
      <c r="CS5" s="318"/>
      <c r="CT5" s="318"/>
      <c r="CU5" s="318"/>
      <c r="CV5" s="318"/>
      <c r="CW5" s="318"/>
      <c r="CX5" s="318"/>
      <c r="CY5" s="318"/>
      <c r="CZ5" s="318"/>
      <c r="DA5" s="318"/>
      <c r="DB5" s="318"/>
      <c r="DC5" s="318"/>
      <c r="DD5" s="318"/>
      <c r="DE5" s="318"/>
      <c r="DF5" s="318"/>
      <c r="DG5" s="318"/>
      <c r="DH5" s="318"/>
      <c r="DI5" s="318"/>
      <c r="DJ5" s="318"/>
      <c r="DK5" s="318"/>
      <c r="DL5" s="318"/>
      <c r="DM5" s="318"/>
      <c r="DN5" s="318"/>
      <c r="DO5" s="318"/>
      <c r="DP5" s="318"/>
      <c r="DQ5" s="318"/>
      <c r="DR5" s="318"/>
      <c r="DS5" s="318"/>
      <c r="DT5" s="318"/>
      <c r="DU5" s="318"/>
      <c r="DV5" s="318"/>
      <c r="DW5" s="318"/>
      <c r="DX5" s="318"/>
      <c r="DY5" s="318"/>
      <c r="DZ5" s="318"/>
      <c r="EA5" s="318"/>
      <c r="EB5" s="318"/>
      <c r="EC5" s="318"/>
      <c r="ED5" s="318"/>
      <c r="EE5" s="318"/>
      <c r="EF5" s="318"/>
      <c r="EG5" s="318"/>
      <c r="EH5" s="318"/>
      <c r="EI5" s="318"/>
      <c r="EJ5" s="318"/>
      <c r="EK5" s="318"/>
      <c r="EL5" s="318"/>
      <c r="EM5" s="318"/>
      <c r="EN5" s="318"/>
      <c r="EO5" s="318"/>
      <c r="EP5" s="318"/>
      <c r="EQ5" s="318"/>
      <c r="ER5" s="318"/>
      <c r="ES5" s="318"/>
      <c r="ET5" s="318"/>
      <c r="EU5" s="318"/>
      <c r="EV5" s="318"/>
      <c r="EW5" s="318"/>
      <c r="EX5" s="318"/>
      <c r="EY5" s="318"/>
      <c r="EZ5" s="318"/>
      <c r="FA5" s="318"/>
      <c r="FB5" s="318"/>
      <c r="FC5" s="318"/>
      <c r="FD5" s="318"/>
      <c r="FE5" s="318"/>
      <c r="FF5" s="318"/>
      <c r="FG5" s="318"/>
      <c r="FH5" s="318"/>
      <c r="FI5" s="318"/>
      <c r="FJ5" s="318"/>
      <c r="FK5" s="318"/>
      <c r="FL5" s="318"/>
      <c r="FM5" s="318"/>
      <c r="FN5" s="318"/>
      <c r="FO5" s="318"/>
      <c r="FP5" s="318"/>
      <c r="FQ5" s="318"/>
      <c r="FR5" s="318"/>
      <c r="FS5" s="318"/>
      <c r="FT5" s="318"/>
      <c r="FU5" s="318"/>
      <c r="FV5" s="318"/>
      <c r="FW5" s="318"/>
      <c r="FX5" s="318"/>
      <c r="FY5" s="318"/>
      <c r="FZ5" s="318"/>
      <c r="GA5" s="318"/>
      <c r="GB5" s="318"/>
      <c r="GC5" s="318"/>
      <c r="GD5" s="318"/>
      <c r="GE5" s="318"/>
      <c r="GF5" s="318"/>
      <c r="GG5" s="318"/>
      <c r="GH5" s="318"/>
      <c r="GI5" s="318"/>
      <c r="GJ5" s="318"/>
      <c r="GK5" s="318"/>
      <c r="GL5" s="318"/>
      <c r="GM5" s="318"/>
      <c r="GN5" s="318"/>
      <c r="GO5" s="318"/>
      <c r="GP5" s="318"/>
      <c r="GQ5" s="318"/>
      <c r="GR5" s="318"/>
      <c r="GS5" s="318"/>
      <c r="GT5" s="318"/>
      <c r="GU5" s="318"/>
      <c r="GV5" s="318"/>
      <c r="GW5" s="318"/>
      <c r="GX5" s="318"/>
      <c r="GY5" s="318"/>
      <c r="GZ5" s="318"/>
      <c r="HA5" s="318"/>
      <c r="HB5" s="318"/>
      <c r="HC5" s="318"/>
      <c r="HD5" s="318"/>
      <c r="HE5" s="318"/>
      <c r="HF5" s="318"/>
      <c r="HG5" s="318"/>
      <c r="HH5" s="318"/>
      <c r="HI5" s="318"/>
      <c r="HJ5" s="318"/>
      <c r="HK5" s="318"/>
      <c r="HL5" s="318"/>
      <c r="HM5" s="318"/>
      <c r="HN5" s="318"/>
      <c r="HO5" s="318"/>
      <c r="HP5" s="318"/>
      <c r="HQ5" s="318"/>
      <c r="HR5" s="318"/>
      <c r="HS5" s="318"/>
      <c r="HT5" s="318"/>
      <c r="HU5" s="318"/>
      <c r="HV5" s="318"/>
      <c r="HW5" s="318"/>
      <c r="HX5" s="318"/>
      <c r="HY5" s="318"/>
      <c r="HZ5" s="318"/>
      <c r="IA5" s="318"/>
      <c r="IB5" s="318"/>
      <c r="IC5" s="318"/>
      <c r="ID5" s="318"/>
      <c r="IE5" s="318"/>
      <c r="IF5" s="318"/>
      <c r="IG5" s="318"/>
    </row>
    <row r="6" spans="1:241" s="260" customFormat="1" ht="15" hidden="1" customHeight="1" x14ac:dyDescent="0.3">
      <c r="A6" s="181">
        <v>1.02</v>
      </c>
      <c r="B6" s="239" t="s">
        <v>306</v>
      </c>
      <c r="C6" s="240" t="str">
        <f>VLOOKUP(BD.PD5[[#This Row],[Pos]],PPto[],3,FALSE)</f>
        <v>1.02 Diseño estructural</v>
      </c>
      <c r="D6" s="241" t="s">
        <v>306</v>
      </c>
      <c r="E6" s="242">
        <f>IF(BD.PD5[[#This Row],[.]]="*",VLOOKUP(BD.PD5[[#This Row],[Pos]],[15]Presupuesto!A:H,7,FALSE),"")</f>
        <v>0</v>
      </c>
      <c r="F6" s="243"/>
      <c r="G6" s="243"/>
      <c r="H6" s="243"/>
      <c r="I6" s="244"/>
      <c r="J6" s="241" t="s">
        <v>188</v>
      </c>
      <c r="K6" s="245">
        <f>IF(BD.PD5[[#This Row],[Mon]]="DOP",1,HLOOKUP(BD.PD5[[#This Row],[Mon]],$J$1:$K$2,2,FALSE))</f>
        <v>64</v>
      </c>
      <c r="L6" s="246">
        <v>0</v>
      </c>
      <c r="M6" s="247">
        <f>BD.PD5[[#This Row],[Cant.]]*BD.PD5[[#This Row],[ Tasa ]]*BD.PD5[[#This Row],[ Precio Und.]]</f>
        <v>0</v>
      </c>
      <c r="N6" s="248"/>
      <c r="O6" s="247">
        <f>IF(BD.PD5[[#This Row],[Liquid. '[%']]]&lt;&gt;0,(BD.PD5[[#This Row],[Valor Neto '[DOP']]]*BD.PD5[[#This Row],[Liquid. '[%']]])+BD.PD5[[#This Row],[Valor Neto '[DOP']]],BD.PD5[[#This Row],[Valor Neto '[DOP']]])</f>
        <v>0</v>
      </c>
      <c r="P6" s="249">
        <f>BD.PD5[[#This Row],[Ppto. Orden Interna '[DOP']]]/HLOOKUP("USD",$J$1:$K$2,2,FALSE)</f>
        <v>0</v>
      </c>
      <c r="Q6" s="250"/>
      <c r="R6" s="250"/>
      <c r="S6" s="250"/>
      <c r="T6" s="250"/>
      <c r="U6" s="250"/>
      <c r="V6" s="243"/>
      <c r="W6" s="251"/>
      <c r="X6" s="252"/>
      <c r="Y6" s="253">
        <f>BD.PD5[[#This Row],[Av.P1 '[%']]]*BD.PD5[[#This Row],[Ppto. Orden Interna '[DOP']]]</f>
        <v>0</v>
      </c>
      <c r="Z6" s="254"/>
      <c r="AA6" s="255"/>
      <c r="AB6" s="253">
        <f>BD.PD5[[#This Row],[Av.P2 '[%']]]*BD.PD5[[#This Row],[Ppto. Orden Interna '[DOP']]]</f>
        <v>0</v>
      </c>
      <c r="AC6" s="254"/>
      <c r="AD6" s="255"/>
      <c r="AE6" s="253">
        <f>BD.PD5[[#This Row],[Av.P3 '[%']]]*BD.PD5[[#This Row],[Ppto. Orden Interna '[DOP']]]</f>
        <v>0</v>
      </c>
      <c r="AF6" s="254"/>
      <c r="AG6" s="255"/>
      <c r="AH6" s="253">
        <f>BD.PD5[[#This Row],[Av.P4 '[%']]]*BD.PD5[[#This Row],[Ppto. Orden Interna '[DOP']]]</f>
        <v>0</v>
      </c>
      <c r="AI6" s="254"/>
      <c r="AJ6" s="255"/>
      <c r="AK6" s="253">
        <f>BD.PD5[[#This Row],[Av.P5 '[%']]]*BD.PD5[[#This Row],[Ppto. Orden Interna '[DOP']]]</f>
        <v>0</v>
      </c>
      <c r="AL6" s="256">
        <f>BD.PD5[[#This Row],[Pago 5]]+BD.PD5[[#This Row],[Pago 4]]+BD.PD5[[#This Row],[Pago 3]]+BD.PD5[[#This Row],[Pago 2]]+BD.PD5[[#This Row],[Pago 1]]</f>
        <v>0</v>
      </c>
      <c r="AM6" s="318"/>
      <c r="AN6" s="318"/>
      <c r="AO6" s="318"/>
      <c r="AP6" s="318"/>
      <c r="AQ6" s="318"/>
      <c r="AR6" s="318"/>
      <c r="AS6" s="318"/>
      <c r="AT6" s="318"/>
      <c r="AU6" s="318"/>
      <c r="AV6" s="318"/>
      <c r="AW6" s="318"/>
      <c r="AX6" s="318"/>
      <c r="AY6" s="318"/>
      <c r="AZ6" s="318"/>
      <c r="BA6" s="318"/>
      <c r="BB6" s="318"/>
      <c r="BC6" s="318"/>
      <c r="BD6" s="318"/>
      <c r="BE6" s="318"/>
      <c r="BF6" s="318"/>
      <c r="BG6" s="318"/>
      <c r="BH6" s="318"/>
      <c r="BI6" s="318"/>
      <c r="BJ6" s="318"/>
      <c r="BK6" s="318"/>
      <c r="BL6" s="318"/>
      <c r="BM6" s="318"/>
      <c r="BN6" s="318"/>
      <c r="BO6" s="318"/>
      <c r="BP6" s="318"/>
      <c r="BQ6" s="318"/>
      <c r="BR6" s="318"/>
      <c r="BS6" s="318"/>
      <c r="BT6" s="318"/>
      <c r="BU6" s="318"/>
      <c r="BV6" s="318"/>
      <c r="BW6" s="318"/>
      <c r="BX6" s="318"/>
      <c r="BY6" s="318"/>
      <c r="BZ6" s="318"/>
      <c r="CA6" s="318"/>
      <c r="CB6" s="318"/>
      <c r="CC6" s="318"/>
      <c r="CD6" s="318"/>
      <c r="CE6" s="318"/>
      <c r="CF6" s="318"/>
      <c r="CG6" s="318"/>
      <c r="CH6" s="318"/>
      <c r="CI6" s="318"/>
      <c r="CJ6" s="318"/>
      <c r="CK6" s="318"/>
      <c r="CL6" s="318"/>
      <c r="CM6" s="318"/>
      <c r="CN6" s="318"/>
      <c r="CO6" s="318"/>
      <c r="CP6" s="318"/>
      <c r="CQ6" s="318"/>
      <c r="CR6" s="318"/>
      <c r="CS6" s="318"/>
      <c r="CT6" s="318"/>
      <c r="CU6" s="318"/>
      <c r="CV6" s="318"/>
      <c r="CW6" s="318"/>
      <c r="CX6" s="318"/>
      <c r="CY6" s="318"/>
      <c r="CZ6" s="318"/>
      <c r="DA6" s="318"/>
      <c r="DB6" s="318"/>
      <c r="DC6" s="318"/>
      <c r="DD6" s="318"/>
      <c r="DE6" s="318"/>
      <c r="DF6" s="318"/>
      <c r="DG6" s="318"/>
      <c r="DH6" s="318"/>
      <c r="DI6" s="318"/>
      <c r="DJ6" s="318"/>
      <c r="DK6" s="318"/>
      <c r="DL6" s="318"/>
      <c r="DM6" s="318"/>
      <c r="DN6" s="318"/>
      <c r="DO6" s="318"/>
      <c r="DP6" s="318"/>
      <c r="DQ6" s="318"/>
      <c r="DR6" s="318"/>
      <c r="DS6" s="318"/>
      <c r="DT6" s="318"/>
      <c r="DU6" s="318"/>
      <c r="DV6" s="318"/>
      <c r="DW6" s="318"/>
      <c r="DX6" s="318"/>
      <c r="DY6" s="318"/>
      <c r="DZ6" s="318"/>
      <c r="EA6" s="318"/>
      <c r="EB6" s="318"/>
      <c r="EC6" s="318"/>
      <c r="ED6" s="318"/>
      <c r="EE6" s="318"/>
      <c r="EF6" s="318"/>
      <c r="EG6" s="318"/>
      <c r="EH6" s="318"/>
      <c r="EI6" s="318"/>
      <c r="EJ6" s="318"/>
      <c r="EK6" s="318"/>
      <c r="EL6" s="318"/>
      <c r="EM6" s="318"/>
      <c r="EN6" s="318"/>
      <c r="EO6" s="318"/>
      <c r="EP6" s="318"/>
      <c r="EQ6" s="318"/>
      <c r="ER6" s="318"/>
      <c r="ES6" s="318"/>
      <c r="ET6" s="318"/>
      <c r="EU6" s="318"/>
      <c r="EV6" s="318"/>
      <c r="EW6" s="318"/>
      <c r="EX6" s="318"/>
      <c r="EY6" s="318"/>
      <c r="EZ6" s="318"/>
      <c r="FA6" s="318"/>
      <c r="FB6" s="318"/>
      <c r="FC6" s="318"/>
      <c r="FD6" s="318"/>
      <c r="FE6" s="318"/>
      <c r="FF6" s="318"/>
      <c r="FG6" s="318"/>
      <c r="FH6" s="318"/>
      <c r="FI6" s="318"/>
      <c r="FJ6" s="318"/>
      <c r="FK6" s="318"/>
      <c r="FL6" s="318"/>
      <c r="FM6" s="318"/>
      <c r="FN6" s="318"/>
      <c r="FO6" s="318"/>
      <c r="FP6" s="318"/>
      <c r="FQ6" s="318"/>
      <c r="FR6" s="318"/>
      <c r="FS6" s="318"/>
      <c r="FT6" s="318"/>
      <c r="FU6" s="318"/>
      <c r="FV6" s="318"/>
      <c r="FW6" s="318"/>
      <c r="FX6" s="318"/>
      <c r="FY6" s="318"/>
      <c r="FZ6" s="318"/>
      <c r="GA6" s="318"/>
      <c r="GB6" s="318"/>
      <c r="GC6" s="318"/>
      <c r="GD6" s="318"/>
      <c r="GE6" s="318"/>
      <c r="GF6" s="318"/>
      <c r="GG6" s="318"/>
      <c r="GH6" s="318"/>
      <c r="GI6" s="318"/>
      <c r="GJ6" s="318"/>
      <c r="GK6" s="318"/>
      <c r="GL6" s="318"/>
      <c r="GM6" s="318"/>
      <c r="GN6" s="318"/>
      <c r="GO6" s="318"/>
      <c r="GP6" s="318"/>
      <c r="GQ6" s="318"/>
      <c r="GR6" s="318"/>
      <c r="GS6" s="318"/>
      <c r="GT6" s="318"/>
      <c r="GU6" s="318"/>
      <c r="GV6" s="318"/>
      <c r="GW6" s="318"/>
      <c r="GX6" s="318"/>
      <c r="GY6" s="318"/>
      <c r="GZ6" s="318"/>
      <c r="HA6" s="318"/>
      <c r="HB6" s="318"/>
      <c r="HC6" s="318"/>
      <c r="HD6" s="318"/>
      <c r="HE6" s="318"/>
      <c r="HF6" s="318"/>
      <c r="HG6" s="318"/>
      <c r="HH6" s="318"/>
      <c r="HI6" s="318"/>
      <c r="HJ6" s="318"/>
      <c r="HK6" s="318"/>
      <c r="HL6" s="318"/>
      <c r="HM6" s="318"/>
      <c r="HN6" s="318"/>
      <c r="HO6" s="318"/>
      <c r="HP6" s="318"/>
      <c r="HQ6" s="318"/>
      <c r="HR6" s="318"/>
      <c r="HS6" s="318"/>
      <c r="HT6" s="318"/>
      <c r="HU6" s="318"/>
      <c r="HV6" s="318"/>
      <c r="HW6" s="318"/>
      <c r="HX6" s="318"/>
      <c r="HY6" s="318"/>
      <c r="HZ6" s="318"/>
      <c r="IA6" s="318"/>
      <c r="IB6" s="318"/>
      <c r="IC6" s="318"/>
      <c r="ID6" s="318"/>
      <c r="IE6" s="318"/>
      <c r="IF6" s="318"/>
      <c r="IG6" s="318"/>
    </row>
    <row r="7" spans="1:241" s="260" customFormat="1" hidden="1" x14ac:dyDescent="0.3">
      <c r="A7" s="181">
        <v>1.03</v>
      </c>
      <c r="B7" s="239" t="s">
        <v>306</v>
      </c>
      <c r="C7" s="240" t="str">
        <f>VLOOKUP(BD.PD5[[#This Row],[Pos]],PPto[],3,FALSE)</f>
        <v>1.03 Diseño electromecánico</v>
      </c>
      <c r="D7" s="241" t="s">
        <v>306</v>
      </c>
      <c r="E7" s="242">
        <f>IF(BD.PD5[[#This Row],[.]]="*",VLOOKUP(BD.PD5[[#This Row],[Pos]],[15]Presupuesto!A:H,7,FALSE),"")</f>
        <v>0</v>
      </c>
      <c r="F7" s="243"/>
      <c r="G7" s="243"/>
      <c r="H7" s="243"/>
      <c r="I7" s="244"/>
      <c r="J7" s="241" t="s">
        <v>188</v>
      </c>
      <c r="K7" s="245">
        <f>IF(BD.PD5[[#This Row],[Mon]]="DOP",1,HLOOKUP(BD.PD5[[#This Row],[Mon]],$J$1:$K$2,2,FALSE))</f>
        <v>64</v>
      </c>
      <c r="L7" s="246">
        <v>0</v>
      </c>
      <c r="M7" s="247">
        <f>BD.PD5[[#This Row],[Cant.]]*BD.PD5[[#This Row],[ Tasa ]]*BD.PD5[[#This Row],[ Precio Und.]]</f>
        <v>0</v>
      </c>
      <c r="N7" s="248"/>
      <c r="O7" s="247">
        <f>IF(BD.PD5[[#This Row],[Liquid. '[%']]]&lt;&gt;0,(BD.PD5[[#This Row],[Valor Neto '[DOP']]]*BD.PD5[[#This Row],[Liquid. '[%']]])+BD.PD5[[#This Row],[Valor Neto '[DOP']]],BD.PD5[[#This Row],[Valor Neto '[DOP']]])</f>
        <v>0</v>
      </c>
      <c r="P7" s="249">
        <f>BD.PD5[[#This Row],[Ppto. Orden Interna '[DOP']]]/HLOOKUP("USD",$J$1:$K$2,2,FALSE)</f>
        <v>0</v>
      </c>
      <c r="Q7" s="250"/>
      <c r="R7" s="250"/>
      <c r="S7" s="250"/>
      <c r="T7" s="250"/>
      <c r="U7" s="250"/>
      <c r="V7" s="243"/>
      <c r="W7" s="251"/>
      <c r="X7" s="252"/>
      <c r="Y7" s="253">
        <f>BD.PD5[[#This Row],[Av.P1 '[%']]]*BD.PD5[[#This Row],[Ppto. Orden Interna '[DOP']]]</f>
        <v>0</v>
      </c>
      <c r="Z7" s="254"/>
      <c r="AA7" s="255"/>
      <c r="AB7" s="253">
        <f>BD.PD5[[#This Row],[Av.P2 '[%']]]*BD.PD5[[#This Row],[Ppto. Orden Interna '[DOP']]]</f>
        <v>0</v>
      </c>
      <c r="AC7" s="254"/>
      <c r="AD7" s="255"/>
      <c r="AE7" s="253">
        <f>BD.PD5[[#This Row],[Av.P3 '[%']]]*BD.PD5[[#This Row],[Ppto. Orden Interna '[DOP']]]</f>
        <v>0</v>
      </c>
      <c r="AF7" s="254"/>
      <c r="AG7" s="255"/>
      <c r="AH7" s="253">
        <f>BD.PD5[[#This Row],[Av.P4 '[%']]]*BD.PD5[[#This Row],[Ppto. Orden Interna '[DOP']]]</f>
        <v>0</v>
      </c>
      <c r="AI7" s="254"/>
      <c r="AJ7" s="255"/>
      <c r="AK7" s="253">
        <f>BD.PD5[[#This Row],[Av.P5 '[%']]]*BD.PD5[[#This Row],[Ppto. Orden Interna '[DOP']]]</f>
        <v>0</v>
      </c>
      <c r="AL7" s="256">
        <f>BD.PD5[[#This Row],[Pago 5]]+BD.PD5[[#This Row],[Pago 4]]+BD.PD5[[#This Row],[Pago 3]]+BD.PD5[[#This Row],[Pago 2]]+BD.PD5[[#This Row],[Pago 1]]</f>
        <v>0</v>
      </c>
      <c r="AM7" s="318"/>
      <c r="AN7" s="318"/>
      <c r="AO7" s="318"/>
      <c r="AP7" s="318"/>
      <c r="AQ7" s="318"/>
      <c r="AR7" s="318"/>
      <c r="AS7" s="318"/>
      <c r="AT7" s="318"/>
      <c r="AU7" s="318"/>
      <c r="AV7" s="318"/>
      <c r="AW7" s="318"/>
      <c r="AX7" s="318"/>
      <c r="AY7" s="318"/>
      <c r="AZ7" s="318"/>
      <c r="BA7" s="318"/>
      <c r="BB7" s="318"/>
      <c r="BC7" s="318"/>
      <c r="BD7" s="318"/>
      <c r="BE7" s="318"/>
      <c r="BF7" s="318"/>
      <c r="BG7" s="318"/>
      <c r="BH7" s="318"/>
      <c r="BI7" s="318"/>
      <c r="BJ7" s="318"/>
      <c r="BK7" s="318"/>
      <c r="BL7" s="318"/>
      <c r="BM7" s="318"/>
      <c r="BN7" s="318"/>
      <c r="BO7" s="318"/>
      <c r="BP7" s="318"/>
      <c r="BQ7" s="318"/>
      <c r="BR7" s="318"/>
      <c r="BS7" s="318"/>
      <c r="BT7" s="318"/>
      <c r="BU7" s="318"/>
      <c r="BV7" s="318"/>
      <c r="BW7" s="318"/>
      <c r="BX7" s="318"/>
      <c r="BY7" s="318"/>
      <c r="BZ7" s="318"/>
      <c r="CA7" s="318"/>
      <c r="CB7" s="318"/>
      <c r="CC7" s="318"/>
      <c r="CD7" s="318"/>
      <c r="CE7" s="318"/>
      <c r="CF7" s="318"/>
      <c r="CG7" s="318"/>
      <c r="CH7" s="318"/>
      <c r="CI7" s="318"/>
      <c r="CJ7" s="318"/>
      <c r="CK7" s="318"/>
      <c r="CL7" s="318"/>
      <c r="CM7" s="318"/>
      <c r="CN7" s="318"/>
      <c r="CO7" s="318"/>
      <c r="CP7" s="318"/>
      <c r="CQ7" s="318"/>
      <c r="CR7" s="318"/>
      <c r="CS7" s="318"/>
      <c r="CT7" s="318"/>
      <c r="CU7" s="318"/>
      <c r="CV7" s="318"/>
      <c r="CW7" s="318"/>
      <c r="CX7" s="318"/>
      <c r="CY7" s="318"/>
      <c r="CZ7" s="318"/>
      <c r="DA7" s="318"/>
      <c r="DB7" s="318"/>
      <c r="DC7" s="318"/>
      <c r="DD7" s="318"/>
      <c r="DE7" s="318"/>
      <c r="DF7" s="318"/>
      <c r="DG7" s="318"/>
      <c r="DH7" s="318"/>
      <c r="DI7" s="318"/>
      <c r="DJ7" s="318"/>
      <c r="DK7" s="318"/>
      <c r="DL7" s="318"/>
      <c r="DM7" s="318"/>
      <c r="DN7" s="318"/>
      <c r="DO7" s="318"/>
      <c r="DP7" s="318"/>
      <c r="DQ7" s="318"/>
      <c r="DR7" s="318"/>
      <c r="DS7" s="318"/>
      <c r="DT7" s="318"/>
      <c r="DU7" s="318"/>
      <c r="DV7" s="318"/>
      <c r="DW7" s="318"/>
      <c r="DX7" s="318"/>
      <c r="DY7" s="318"/>
      <c r="DZ7" s="318"/>
      <c r="EA7" s="318"/>
      <c r="EB7" s="318"/>
      <c r="EC7" s="318"/>
      <c r="ED7" s="318"/>
      <c r="EE7" s="318"/>
      <c r="EF7" s="318"/>
      <c r="EG7" s="318"/>
      <c r="EH7" s="318"/>
      <c r="EI7" s="318"/>
      <c r="EJ7" s="318"/>
      <c r="EK7" s="318"/>
      <c r="EL7" s="318"/>
      <c r="EM7" s="318"/>
      <c r="EN7" s="318"/>
      <c r="EO7" s="318"/>
      <c r="EP7" s="318"/>
      <c r="EQ7" s="318"/>
      <c r="ER7" s="318"/>
      <c r="ES7" s="318"/>
      <c r="ET7" s="318"/>
      <c r="EU7" s="318"/>
      <c r="EV7" s="318"/>
      <c r="EW7" s="318"/>
      <c r="EX7" s="318"/>
      <c r="EY7" s="318"/>
      <c r="EZ7" s="318"/>
      <c r="FA7" s="318"/>
      <c r="FB7" s="318"/>
      <c r="FC7" s="318"/>
      <c r="FD7" s="318"/>
      <c r="FE7" s="318"/>
      <c r="FF7" s="318"/>
      <c r="FG7" s="318"/>
      <c r="FH7" s="318"/>
      <c r="FI7" s="318"/>
      <c r="FJ7" s="318"/>
      <c r="FK7" s="318"/>
      <c r="FL7" s="318"/>
      <c r="FM7" s="318"/>
      <c r="FN7" s="318"/>
      <c r="FO7" s="318"/>
      <c r="FP7" s="318"/>
      <c r="FQ7" s="318"/>
      <c r="FR7" s="318"/>
      <c r="FS7" s="318"/>
      <c r="FT7" s="318"/>
      <c r="FU7" s="318"/>
      <c r="FV7" s="318"/>
      <c r="FW7" s="318"/>
      <c r="FX7" s="318"/>
      <c r="FY7" s="318"/>
      <c r="FZ7" s="318"/>
      <c r="GA7" s="318"/>
      <c r="GB7" s="318"/>
      <c r="GC7" s="318"/>
      <c r="GD7" s="318"/>
      <c r="GE7" s="318"/>
      <c r="GF7" s="318"/>
      <c r="GG7" s="318"/>
      <c r="GH7" s="318"/>
      <c r="GI7" s="318"/>
      <c r="GJ7" s="318"/>
      <c r="GK7" s="318"/>
      <c r="GL7" s="318"/>
      <c r="GM7" s="318"/>
      <c r="GN7" s="318"/>
      <c r="GO7" s="318"/>
      <c r="GP7" s="318"/>
      <c r="GQ7" s="318"/>
      <c r="GR7" s="318"/>
      <c r="GS7" s="318"/>
      <c r="GT7" s="318"/>
      <c r="GU7" s="318"/>
      <c r="GV7" s="318"/>
      <c r="GW7" s="318"/>
      <c r="GX7" s="318"/>
      <c r="GY7" s="318"/>
      <c r="GZ7" s="318"/>
      <c r="HA7" s="318"/>
      <c r="HB7" s="318"/>
      <c r="HC7" s="318"/>
      <c r="HD7" s="318"/>
      <c r="HE7" s="318"/>
      <c r="HF7" s="318"/>
      <c r="HG7" s="318"/>
      <c r="HH7" s="318"/>
      <c r="HI7" s="318"/>
      <c r="HJ7" s="318"/>
      <c r="HK7" s="318"/>
      <c r="HL7" s="318"/>
      <c r="HM7" s="318"/>
      <c r="HN7" s="318"/>
      <c r="HO7" s="318"/>
      <c r="HP7" s="318"/>
      <c r="HQ7" s="318"/>
      <c r="HR7" s="318"/>
      <c r="HS7" s="318"/>
      <c r="HT7" s="318"/>
      <c r="HU7" s="318"/>
      <c r="HV7" s="318"/>
      <c r="HW7" s="318"/>
      <c r="HX7" s="318"/>
      <c r="HY7" s="318"/>
      <c r="HZ7" s="318"/>
      <c r="IA7" s="318"/>
      <c r="IB7" s="318"/>
      <c r="IC7" s="318"/>
      <c r="ID7" s="318"/>
      <c r="IE7" s="318"/>
      <c r="IF7" s="318"/>
      <c r="IG7" s="318"/>
    </row>
    <row r="8" spans="1:241" s="260" customFormat="1" hidden="1" x14ac:dyDescent="0.3">
      <c r="A8" s="181">
        <v>1.04</v>
      </c>
      <c r="B8" s="239" t="s">
        <v>306</v>
      </c>
      <c r="C8" s="240" t="str">
        <f>VLOOKUP(BD.PD5[[#This Row],[Pos]],PPto[],3,FALSE)</f>
        <v>1.04 Diseño sanitario</v>
      </c>
      <c r="D8" s="241" t="s">
        <v>306</v>
      </c>
      <c r="E8" s="242">
        <f>IF(BD.PD5[[#This Row],[.]]="*",VLOOKUP(BD.PD5[[#This Row],[Pos]],[15]Presupuesto!A:H,7,FALSE),"")</f>
        <v>0</v>
      </c>
      <c r="F8" s="243"/>
      <c r="G8" s="243"/>
      <c r="H8" s="243"/>
      <c r="I8" s="244"/>
      <c r="J8" s="241" t="s">
        <v>188</v>
      </c>
      <c r="K8" s="245">
        <f>IF(BD.PD5[[#This Row],[Mon]]="DOP",1,HLOOKUP(BD.PD5[[#This Row],[Mon]],$J$1:$K$2,2,FALSE))</f>
        <v>64</v>
      </c>
      <c r="L8" s="246">
        <v>0</v>
      </c>
      <c r="M8" s="247">
        <f>BD.PD5[[#This Row],[Cant.]]*BD.PD5[[#This Row],[ Tasa ]]*BD.PD5[[#This Row],[ Precio Und.]]</f>
        <v>0</v>
      </c>
      <c r="N8" s="248"/>
      <c r="O8" s="247">
        <f>IF(BD.PD5[[#This Row],[Liquid. '[%']]]&lt;&gt;0,(BD.PD5[[#This Row],[Valor Neto '[DOP']]]*BD.PD5[[#This Row],[Liquid. '[%']]])+BD.PD5[[#This Row],[Valor Neto '[DOP']]],BD.PD5[[#This Row],[Valor Neto '[DOP']]])</f>
        <v>0</v>
      </c>
      <c r="P8" s="249">
        <f>BD.PD5[[#This Row],[Ppto. Orden Interna '[DOP']]]/HLOOKUP("USD",$J$1:$K$2,2,FALSE)</f>
        <v>0</v>
      </c>
      <c r="Q8" s="250"/>
      <c r="R8" s="250"/>
      <c r="S8" s="250"/>
      <c r="T8" s="250"/>
      <c r="U8" s="250"/>
      <c r="V8" s="243"/>
      <c r="W8" s="251"/>
      <c r="X8" s="252"/>
      <c r="Y8" s="253">
        <f>BD.PD5[[#This Row],[Av.P1 '[%']]]*BD.PD5[[#This Row],[Ppto. Orden Interna '[DOP']]]</f>
        <v>0</v>
      </c>
      <c r="Z8" s="254"/>
      <c r="AA8" s="255"/>
      <c r="AB8" s="253">
        <f>BD.PD5[[#This Row],[Av.P2 '[%']]]*BD.PD5[[#This Row],[Ppto. Orden Interna '[DOP']]]</f>
        <v>0</v>
      </c>
      <c r="AC8" s="254"/>
      <c r="AD8" s="255"/>
      <c r="AE8" s="253">
        <f>BD.PD5[[#This Row],[Av.P3 '[%']]]*BD.PD5[[#This Row],[Ppto. Orden Interna '[DOP']]]</f>
        <v>0</v>
      </c>
      <c r="AF8" s="254"/>
      <c r="AG8" s="255"/>
      <c r="AH8" s="253">
        <f>BD.PD5[[#This Row],[Av.P4 '[%']]]*BD.PD5[[#This Row],[Ppto. Orden Interna '[DOP']]]</f>
        <v>0</v>
      </c>
      <c r="AI8" s="254"/>
      <c r="AJ8" s="255"/>
      <c r="AK8" s="253">
        <f>BD.PD5[[#This Row],[Av.P5 '[%']]]*BD.PD5[[#This Row],[Ppto. Orden Interna '[DOP']]]</f>
        <v>0</v>
      </c>
      <c r="AL8" s="256">
        <f>BD.PD5[[#This Row],[Pago 5]]+BD.PD5[[#This Row],[Pago 4]]+BD.PD5[[#This Row],[Pago 3]]+BD.PD5[[#This Row],[Pago 2]]+BD.PD5[[#This Row],[Pago 1]]</f>
        <v>0</v>
      </c>
      <c r="AM8" s="318"/>
      <c r="AN8" s="318"/>
      <c r="AO8" s="318"/>
      <c r="AP8" s="318"/>
      <c r="AQ8" s="318"/>
      <c r="AR8" s="318"/>
      <c r="AS8" s="318"/>
      <c r="AT8" s="318"/>
      <c r="AU8" s="318"/>
      <c r="AV8" s="318"/>
      <c r="AW8" s="318"/>
      <c r="AX8" s="318"/>
      <c r="AY8" s="318"/>
      <c r="AZ8" s="318"/>
      <c r="BA8" s="318"/>
      <c r="BB8" s="318"/>
      <c r="BC8" s="318"/>
      <c r="BD8" s="318"/>
      <c r="BE8" s="318"/>
      <c r="BF8" s="318"/>
      <c r="BG8" s="318"/>
      <c r="BH8" s="318"/>
      <c r="BI8" s="318"/>
      <c r="BJ8" s="318"/>
      <c r="BK8" s="318"/>
      <c r="BL8" s="318"/>
      <c r="BM8" s="318"/>
      <c r="BN8" s="318"/>
      <c r="BO8" s="318"/>
      <c r="BP8" s="318"/>
      <c r="BQ8" s="318"/>
      <c r="BR8" s="318"/>
      <c r="BS8" s="318"/>
      <c r="BT8" s="318"/>
      <c r="BU8" s="318"/>
      <c r="BV8" s="318"/>
      <c r="BW8" s="318"/>
      <c r="BX8" s="318"/>
      <c r="BY8" s="318"/>
      <c r="BZ8" s="318"/>
      <c r="CA8" s="318"/>
      <c r="CB8" s="318"/>
      <c r="CC8" s="318"/>
      <c r="CD8" s="318"/>
      <c r="CE8" s="318"/>
      <c r="CF8" s="318"/>
      <c r="CG8" s="318"/>
      <c r="CH8" s="318"/>
      <c r="CI8" s="318"/>
      <c r="CJ8" s="318"/>
      <c r="CK8" s="318"/>
      <c r="CL8" s="318"/>
      <c r="CM8" s="318"/>
      <c r="CN8" s="318"/>
      <c r="CO8" s="318"/>
      <c r="CP8" s="318"/>
      <c r="CQ8" s="318"/>
      <c r="CR8" s="318"/>
      <c r="CS8" s="318"/>
      <c r="CT8" s="318"/>
      <c r="CU8" s="318"/>
      <c r="CV8" s="318"/>
      <c r="CW8" s="318"/>
      <c r="CX8" s="318"/>
      <c r="CY8" s="318"/>
      <c r="CZ8" s="318"/>
      <c r="DA8" s="318"/>
      <c r="DB8" s="318"/>
      <c r="DC8" s="318"/>
      <c r="DD8" s="318"/>
      <c r="DE8" s="318"/>
      <c r="DF8" s="318"/>
      <c r="DG8" s="318"/>
      <c r="DH8" s="318"/>
      <c r="DI8" s="318"/>
      <c r="DJ8" s="318"/>
      <c r="DK8" s="318"/>
      <c r="DL8" s="318"/>
      <c r="DM8" s="318"/>
      <c r="DN8" s="318"/>
      <c r="DO8" s="318"/>
      <c r="DP8" s="318"/>
      <c r="DQ8" s="318"/>
      <c r="DR8" s="318"/>
      <c r="DS8" s="318"/>
      <c r="DT8" s="318"/>
      <c r="DU8" s="318"/>
      <c r="DV8" s="318"/>
      <c r="DW8" s="318"/>
      <c r="DX8" s="318"/>
      <c r="DY8" s="318"/>
      <c r="DZ8" s="318"/>
      <c r="EA8" s="318"/>
      <c r="EB8" s="318"/>
      <c r="EC8" s="318"/>
      <c r="ED8" s="318"/>
      <c r="EE8" s="318"/>
      <c r="EF8" s="318"/>
      <c r="EG8" s="318"/>
      <c r="EH8" s="318"/>
      <c r="EI8" s="318"/>
      <c r="EJ8" s="318"/>
      <c r="EK8" s="318"/>
      <c r="EL8" s="318"/>
      <c r="EM8" s="318"/>
      <c r="EN8" s="318"/>
      <c r="EO8" s="318"/>
      <c r="EP8" s="318"/>
      <c r="EQ8" s="318"/>
      <c r="ER8" s="318"/>
      <c r="ES8" s="318"/>
      <c r="ET8" s="318"/>
      <c r="EU8" s="318"/>
      <c r="EV8" s="318"/>
      <c r="EW8" s="318"/>
      <c r="EX8" s="318"/>
      <c r="EY8" s="318"/>
      <c r="EZ8" s="318"/>
      <c r="FA8" s="318"/>
      <c r="FB8" s="318"/>
      <c r="FC8" s="318"/>
      <c r="FD8" s="318"/>
      <c r="FE8" s="318"/>
      <c r="FF8" s="318"/>
      <c r="FG8" s="318"/>
      <c r="FH8" s="318"/>
      <c r="FI8" s="318"/>
      <c r="FJ8" s="318"/>
      <c r="FK8" s="318"/>
      <c r="FL8" s="318"/>
      <c r="FM8" s="318"/>
      <c r="FN8" s="318"/>
      <c r="FO8" s="318"/>
      <c r="FP8" s="318"/>
      <c r="FQ8" s="318"/>
      <c r="FR8" s="318"/>
      <c r="FS8" s="318"/>
      <c r="FT8" s="318"/>
      <c r="FU8" s="318"/>
      <c r="FV8" s="318"/>
      <c r="FW8" s="318"/>
      <c r="FX8" s="318"/>
      <c r="FY8" s="318"/>
      <c r="FZ8" s="318"/>
      <c r="GA8" s="318"/>
      <c r="GB8" s="318"/>
      <c r="GC8" s="318"/>
      <c r="GD8" s="318"/>
      <c r="GE8" s="318"/>
      <c r="GF8" s="318"/>
      <c r="GG8" s="318"/>
      <c r="GH8" s="318"/>
      <c r="GI8" s="318"/>
      <c r="GJ8" s="318"/>
      <c r="GK8" s="318"/>
      <c r="GL8" s="318"/>
      <c r="GM8" s="318"/>
      <c r="GN8" s="318"/>
      <c r="GO8" s="318"/>
      <c r="GP8" s="318"/>
      <c r="GQ8" s="318"/>
      <c r="GR8" s="318"/>
      <c r="GS8" s="318"/>
      <c r="GT8" s="318"/>
      <c r="GU8" s="318"/>
      <c r="GV8" s="318"/>
      <c r="GW8" s="318"/>
      <c r="GX8" s="318"/>
      <c r="GY8" s="318"/>
      <c r="GZ8" s="318"/>
      <c r="HA8" s="318"/>
      <c r="HB8" s="318"/>
      <c r="HC8" s="318"/>
      <c r="HD8" s="318"/>
      <c r="HE8" s="318"/>
      <c r="HF8" s="318"/>
      <c r="HG8" s="318"/>
      <c r="HH8" s="318"/>
      <c r="HI8" s="318"/>
      <c r="HJ8" s="318"/>
      <c r="HK8" s="318"/>
      <c r="HL8" s="318"/>
      <c r="HM8" s="318"/>
      <c r="HN8" s="318"/>
      <c r="HO8" s="318"/>
      <c r="HP8" s="318"/>
      <c r="HQ8" s="318"/>
      <c r="HR8" s="318"/>
      <c r="HS8" s="318"/>
      <c r="HT8" s="318"/>
      <c r="HU8" s="318"/>
      <c r="HV8" s="318"/>
      <c r="HW8" s="318"/>
      <c r="HX8" s="318"/>
      <c r="HY8" s="318"/>
      <c r="HZ8" s="318"/>
      <c r="IA8" s="318"/>
      <c r="IB8" s="318"/>
      <c r="IC8" s="318"/>
      <c r="ID8" s="318"/>
      <c r="IE8" s="318"/>
      <c r="IF8" s="318"/>
      <c r="IG8" s="318"/>
    </row>
    <row r="9" spans="1:241" s="260" customFormat="1" ht="15" hidden="1" customHeight="1" x14ac:dyDescent="0.3">
      <c r="A9" s="181">
        <v>1.05</v>
      </c>
      <c r="B9" s="239" t="s">
        <v>306</v>
      </c>
      <c r="C9" s="240" t="str">
        <f>VLOOKUP(BD.PD5[[#This Row],[Pos]],PPto[],3,FALSE)</f>
        <v>1.05 Estudio Geotécnico</v>
      </c>
      <c r="D9" s="241" t="s">
        <v>306</v>
      </c>
      <c r="E9" s="242">
        <f>IF(BD.PD5[[#This Row],[.]]="*",VLOOKUP(BD.PD5[[#This Row],[Pos]],[15]Presupuesto!A:H,7,FALSE),"")</f>
        <v>0</v>
      </c>
      <c r="F9" s="243"/>
      <c r="G9" s="243"/>
      <c r="H9" s="243"/>
      <c r="I9" s="244"/>
      <c r="J9" s="241" t="s">
        <v>188</v>
      </c>
      <c r="K9" s="245">
        <f>IF(BD.PD5[[#This Row],[Mon]]="DOP",1,HLOOKUP(BD.PD5[[#This Row],[Mon]],$J$1:$K$2,2,FALSE))</f>
        <v>64</v>
      </c>
      <c r="L9" s="246">
        <v>0</v>
      </c>
      <c r="M9" s="247">
        <f>BD.PD5[[#This Row],[Cant.]]*BD.PD5[[#This Row],[ Tasa ]]*BD.PD5[[#This Row],[ Precio Und.]]</f>
        <v>0</v>
      </c>
      <c r="N9" s="248"/>
      <c r="O9" s="247">
        <f>IF(BD.PD5[[#This Row],[Liquid. '[%']]]&lt;&gt;0,(BD.PD5[[#This Row],[Valor Neto '[DOP']]]*BD.PD5[[#This Row],[Liquid. '[%']]])+BD.PD5[[#This Row],[Valor Neto '[DOP']]],BD.PD5[[#This Row],[Valor Neto '[DOP']]])</f>
        <v>0</v>
      </c>
      <c r="P9" s="249">
        <f>BD.PD5[[#This Row],[Ppto. Orden Interna '[DOP']]]/HLOOKUP("USD",$J$1:$K$2,2,FALSE)</f>
        <v>0</v>
      </c>
      <c r="Q9" s="250"/>
      <c r="R9" s="250"/>
      <c r="S9" s="250"/>
      <c r="T9" s="250"/>
      <c r="U9" s="250"/>
      <c r="V9" s="243"/>
      <c r="W9" s="251"/>
      <c r="X9" s="252"/>
      <c r="Y9" s="253">
        <f>BD.PD5[[#This Row],[Av.P1 '[%']]]*BD.PD5[[#This Row],[Ppto. Orden Interna '[DOP']]]</f>
        <v>0</v>
      </c>
      <c r="Z9" s="254"/>
      <c r="AA9" s="255"/>
      <c r="AB9" s="253">
        <f>BD.PD5[[#This Row],[Av.P2 '[%']]]*BD.PD5[[#This Row],[Ppto. Orden Interna '[DOP']]]</f>
        <v>0</v>
      </c>
      <c r="AC9" s="254"/>
      <c r="AD9" s="255"/>
      <c r="AE9" s="253">
        <f>BD.PD5[[#This Row],[Av.P3 '[%']]]*BD.PD5[[#This Row],[Ppto. Orden Interna '[DOP']]]</f>
        <v>0</v>
      </c>
      <c r="AF9" s="254"/>
      <c r="AG9" s="255"/>
      <c r="AH9" s="253">
        <f>BD.PD5[[#This Row],[Av.P4 '[%']]]*BD.PD5[[#This Row],[Ppto. Orden Interna '[DOP']]]</f>
        <v>0</v>
      </c>
      <c r="AI9" s="254"/>
      <c r="AJ9" s="255"/>
      <c r="AK9" s="253">
        <f>BD.PD5[[#This Row],[Av.P5 '[%']]]*BD.PD5[[#This Row],[Ppto. Orden Interna '[DOP']]]</f>
        <v>0</v>
      </c>
      <c r="AL9" s="256">
        <f>BD.PD5[[#This Row],[Pago 5]]+BD.PD5[[#This Row],[Pago 4]]+BD.PD5[[#This Row],[Pago 3]]+BD.PD5[[#This Row],[Pago 2]]+BD.PD5[[#This Row],[Pago 1]]</f>
        <v>0</v>
      </c>
      <c r="AM9" s="318"/>
      <c r="AN9" s="318"/>
      <c r="AO9" s="318"/>
      <c r="AP9" s="318"/>
      <c r="AQ9" s="318"/>
      <c r="AR9" s="318"/>
      <c r="AS9" s="318"/>
      <c r="AT9" s="318"/>
      <c r="AU9" s="318"/>
      <c r="AV9" s="318"/>
      <c r="AW9" s="318"/>
      <c r="AX9" s="318"/>
      <c r="AY9" s="318"/>
      <c r="AZ9" s="318"/>
      <c r="BA9" s="318"/>
      <c r="BB9" s="318"/>
      <c r="BC9" s="318"/>
      <c r="BD9" s="318"/>
      <c r="BE9" s="318"/>
      <c r="BF9" s="318"/>
      <c r="BG9" s="318"/>
      <c r="BH9" s="318"/>
      <c r="BI9" s="318"/>
      <c r="BJ9" s="318"/>
      <c r="BK9" s="318"/>
      <c r="BL9" s="318"/>
      <c r="BM9" s="318"/>
      <c r="BN9" s="318"/>
      <c r="BO9" s="318"/>
      <c r="BP9" s="318"/>
      <c r="BQ9" s="318"/>
      <c r="BR9" s="318"/>
      <c r="BS9" s="318"/>
      <c r="BT9" s="318"/>
      <c r="BU9" s="318"/>
      <c r="BV9" s="318"/>
      <c r="BW9" s="318"/>
      <c r="BX9" s="318"/>
      <c r="BY9" s="318"/>
      <c r="BZ9" s="318"/>
      <c r="CA9" s="318"/>
      <c r="CB9" s="318"/>
      <c r="CC9" s="318"/>
      <c r="CD9" s="318"/>
      <c r="CE9" s="318"/>
      <c r="CF9" s="318"/>
      <c r="CG9" s="318"/>
      <c r="CH9" s="318"/>
      <c r="CI9" s="318"/>
      <c r="CJ9" s="318"/>
      <c r="CK9" s="318"/>
      <c r="CL9" s="318"/>
      <c r="CM9" s="318"/>
      <c r="CN9" s="318"/>
      <c r="CO9" s="318"/>
      <c r="CP9" s="318"/>
      <c r="CQ9" s="318"/>
      <c r="CR9" s="318"/>
      <c r="CS9" s="318"/>
      <c r="CT9" s="318"/>
      <c r="CU9" s="318"/>
      <c r="CV9" s="318"/>
      <c r="CW9" s="318"/>
      <c r="CX9" s="318"/>
      <c r="CY9" s="318"/>
      <c r="CZ9" s="318"/>
      <c r="DA9" s="318"/>
      <c r="DB9" s="318"/>
      <c r="DC9" s="318"/>
      <c r="DD9" s="318"/>
      <c r="DE9" s="318"/>
      <c r="DF9" s="318"/>
      <c r="DG9" s="318"/>
      <c r="DH9" s="318"/>
      <c r="DI9" s="318"/>
      <c r="DJ9" s="318"/>
      <c r="DK9" s="318"/>
      <c r="DL9" s="318"/>
      <c r="DM9" s="318"/>
      <c r="DN9" s="318"/>
      <c r="DO9" s="318"/>
      <c r="DP9" s="318"/>
      <c r="DQ9" s="318"/>
      <c r="DR9" s="318"/>
      <c r="DS9" s="318"/>
      <c r="DT9" s="318"/>
      <c r="DU9" s="318"/>
      <c r="DV9" s="318"/>
      <c r="DW9" s="318"/>
      <c r="DX9" s="318"/>
      <c r="DY9" s="318"/>
      <c r="DZ9" s="318"/>
      <c r="EA9" s="318"/>
      <c r="EB9" s="318"/>
      <c r="EC9" s="318"/>
      <c r="ED9" s="318"/>
      <c r="EE9" s="318"/>
      <c r="EF9" s="318"/>
      <c r="EG9" s="318"/>
      <c r="EH9" s="318"/>
      <c r="EI9" s="318"/>
      <c r="EJ9" s="318"/>
      <c r="EK9" s="318"/>
      <c r="EL9" s="318"/>
      <c r="EM9" s="318"/>
      <c r="EN9" s="318"/>
      <c r="EO9" s="318"/>
      <c r="EP9" s="318"/>
      <c r="EQ9" s="318"/>
      <c r="ER9" s="318"/>
      <c r="ES9" s="318"/>
      <c r="ET9" s="318"/>
      <c r="EU9" s="318"/>
      <c r="EV9" s="318"/>
      <c r="EW9" s="318"/>
      <c r="EX9" s="318"/>
      <c r="EY9" s="318"/>
      <c r="EZ9" s="318"/>
      <c r="FA9" s="318"/>
      <c r="FB9" s="318"/>
      <c r="FC9" s="318"/>
      <c r="FD9" s="318"/>
      <c r="FE9" s="318"/>
      <c r="FF9" s="318"/>
      <c r="FG9" s="318"/>
      <c r="FH9" s="318"/>
      <c r="FI9" s="318"/>
      <c r="FJ9" s="318"/>
      <c r="FK9" s="318"/>
      <c r="FL9" s="318"/>
      <c r="FM9" s="318"/>
      <c r="FN9" s="318"/>
      <c r="FO9" s="318"/>
      <c r="FP9" s="318"/>
      <c r="FQ9" s="318"/>
      <c r="FR9" s="318"/>
      <c r="FS9" s="318"/>
      <c r="FT9" s="318"/>
      <c r="FU9" s="318"/>
      <c r="FV9" s="318"/>
      <c r="FW9" s="318"/>
      <c r="FX9" s="318"/>
      <c r="FY9" s="318"/>
      <c r="FZ9" s="318"/>
      <c r="GA9" s="318"/>
      <c r="GB9" s="318"/>
      <c r="GC9" s="318"/>
      <c r="GD9" s="318"/>
      <c r="GE9" s="318"/>
      <c r="GF9" s="318"/>
      <c r="GG9" s="318"/>
      <c r="GH9" s="318"/>
      <c r="GI9" s="318"/>
      <c r="GJ9" s="318"/>
      <c r="GK9" s="318"/>
      <c r="GL9" s="318"/>
      <c r="GM9" s="318"/>
      <c r="GN9" s="318"/>
      <c r="GO9" s="318"/>
      <c r="GP9" s="318"/>
      <c r="GQ9" s="318"/>
      <c r="GR9" s="318"/>
      <c r="GS9" s="318"/>
      <c r="GT9" s="318"/>
      <c r="GU9" s="318"/>
      <c r="GV9" s="318"/>
      <c r="GW9" s="318"/>
      <c r="GX9" s="318"/>
      <c r="GY9" s="318"/>
      <c r="GZ9" s="318"/>
      <c r="HA9" s="318"/>
      <c r="HB9" s="318"/>
      <c r="HC9" s="318"/>
      <c r="HD9" s="318"/>
      <c r="HE9" s="318"/>
      <c r="HF9" s="318"/>
      <c r="HG9" s="318"/>
      <c r="HH9" s="318"/>
      <c r="HI9" s="318"/>
      <c r="HJ9" s="318"/>
      <c r="HK9" s="318"/>
      <c r="HL9" s="318"/>
      <c r="HM9" s="318"/>
      <c r="HN9" s="318"/>
      <c r="HO9" s="318"/>
      <c r="HP9" s="318"/>
      <c r="HQ9" s="318"/>
      <c r="HR9" s="318"/>
      <c r="HS9" s="318"/>
      <c r="HT9" s="318"/>
      <c r="HU9" s="318"/>
      <c r="HV9" s="318"/>
      <c r="HW9" s="318"/>
      <c r="HX9" s="318"/>
      <c r="HY9" s="318"/>
      <c r="HZ9" s="318"/>
      <c r="IA9" s="318"/>
      <c r="IB9" s="318"/>
      <c r="IC9" s="318"/>
      <c r="ID9" s="318"/>
      <c r="IE9" s="318"/>
      <c r="IF9" s="318"/>
      <c r="IG9" s="318"/>
    </row>
    <row r="10" spans="1:241" s="260" customFormat="1" ht="14.7" hidden="1" customHeight="1" x14ac:dyDescent="0.3">
      <c r="A10" s="181">
        <v>1.06</v>
      </c>
      <c r="B10" s="239" t="s">
        <v>306</v>
      </c>
      <c r="C10" s="240" t="str">
        <f>VLOOKUP(BD.PD5[[#This Row],[Pos]],PPto[],3,FALSE)</f>
        <v>1.06 Levantamiento topográfico</v>
      </c>
      <c r="D10" s="241" t="s">
        <v>306</v>
      </c>
      <c r="E10" s="242">
        <f>IF(BD.PD5[[#This Row],[.]]="*",VLOOKUP(BD.PD5[[#This Row],[Pos]],[15]Presupuesto!A:H,7,FALSE),"")</f>
        <v>0</v>
      </c>
      <c r="F10" s="243"/>
      <c r="G10" s="243"/>
      <c r="H10" s="243"/>
      <c r="I10" s="244"/>
      <c r="J10" s="241" t="s">
        <v>188</v>
      </c>
      <c r="K10" s="245">
        <f>IF(BD.PD5[[#This Row],[Mon]]="DOP",1,HLOOKUP(BD.PD5[[#This Row],[Mon]],$J$1:$K$2,2,FALSE))</f>
        <v>64</v>
      </c>
      <c r="L10" s="246">
        <v>0</v>
      </c>
      <c r="M10" s="247">
        <f>BD.PD5[[#This Row],[Cant.]]*BD.PD5[[#This Row],[ Tasa ]]*BD.PD5[[#This Row],[ Precio Und.]]</f>
        <v>0</v>
      </c>
      <c r="N10" s="248"/>
      <c r="O10" s="247">
        <f>IF(BD.PD5[[#This Row],[Liquid. '[%']]]&lt;&gt;0,(BD.PD5[[#This Row],[Valor Neto '[DOP']]]*BD.PD5[[#This Row],[Liquid. '[%']]])+BD.PD5[[#This Row],[Valor Neto '[DOP']]],BD.PD5[[#This Row],[Valor Neto '[DOP']]])</f>
        <v>0</v>
      </c>
      <c r="P10" s="249">
        <f>BD.PD5[[#This Row],[Ppto. Orden Interna '[DOP']]]/HLOOKUP("USD",$J$1:$K$2,2,FALSE)</f>
        <v>0</v>
      </c>
      <c r="Q10" s="250"/>
      <c r="R10" s="250"/>
      <c r="S10" s="250"/>
      <c r="T10" s="250"/>
      <c r="U10" s="250"/>
      <c r="V10" s="243"/>
      <c r="W10" s="251"/>
      <c r="X10" s="252"/>
      <c r="Y10" s="253">
        <f>BD.PD5[[#This Row],[Av.P1 '[%']]]*BD.PD5[[#This Row],[Ppto. Orden Interna '[DOP']]]</f>
        <v>0</v>
      </c>
      <c r="Z10" s="254"/>
      <c r="AA10" s="255"/>
      <c r="AB10" s="253">
        <f>BD.PD5[[#This Row],[Av.P2 '[%']]]*BD.PD5[[#This Row],[Ppto. Orden Interna '[DOP']]]</f>
        <v>0</v>
      </c>
      <c r="AC10" s="254"/>
      <c r="AD10" s="255"/>
      <c r="AE10" s="253">
        <f>BD.PD5[[#This Row],[Av.P3 '[%']]]*BD.PD5[[#This Row],[Ppto. Orden Interna '[DOP']]]</f>
        <v>0</v>
      </c>
      <c r="AF10" s="254"/>
      <c r="AG10" s="255"/>
      <c r="AH10" s="253">
        <f>BD.PD5[[#This Row],[Av.P4 '[%']]]*BD.PD5[[#This Row],[Ppto. Orden Interna '[DOP']]]</f>
        <v>0</v>
      </c>
      <c r="AI10" s="254"/>
      <c r="AJ10" s="255"/>
      <c r="AK10" s="253">
        <f>BD.PD5[[#This Row],[Av.P5 '[%']]]*BD.PD5[[#This Row],[Ppto. Orden Interna '[DOP']]]</f>
        <v>0</v>
      </c>
      <c r="AL10" s="256">
        <f>BD.PD5[[#This Row],[Pago 5]]+BD.PD5[[#This Row],[Pago 4]]+BD.PD5[[#This Row],[Pago 3]]+BD.PD5[[#This Row],[Pago 2]]+BD.PD5[[#This Row],[Pago 1]]</f>
        <v>0</v>
      </c>
      <c r="AM10" s="318"/>
      <c r="AN10" s="318"/>
      <c r="AO10" s="318"/>
      <c r="AP10" s="318"/>
      <c r="AQ10" s="318"/>
      <c r="AR10" s="318"/>
      <c r="AS10" s="318"/>
      <c r="AT10" s="318"/>
      <c r="AU10" s="318"/>
      <c r="AV10" s="318"/>
      <c r="AW10" s="318"/>
      <c r="AX10" s="318"/>
      <c r="AY10" s="318"/>
      <c r="AZ10" s="318"/>
      <c r="BA10" s="318"/>
      <c r="BB10" s="318"/>
      <c r="BC10" s="318"/>
      <c r="BD10" s="318"/>
      <c r="BE10" s="318"/>
      <c r="BF10" s="318"/>
      <c r="BG10" s="318"/>
      <c r="BH10" s="318"/>
      <c r="BI10" s="318"/>
      <c r="BJ10" s="318"/>
      <c r="BK10" s="318"/>
      <c r="BL10" s="318"/>
      <c r="BM10" s="318"/>
      <c r="BN10" s="318"/>
      <c r="BO10" s="318"/>
      <c r="BP10" s="318"/>
      <c r="BQ10" s="318"/>
      <c r="BR10" s="318"/>
      <c r="BS10" s="318"/>
      <c r="BT10" s="318"/>
      <c r="BU10" s="318"/>
      <c r="BV10" s="318"/>
      <c r="BW10" s="318"/>
      <c r="BX10" s="318"/>
      <c r="BY10" s="318"/>
      <c r="BZ10" s="318"/>
      <c r="CA10" s="318"/>
      <c r="CB10" s="318"/>
      <c r="CC10" s="318"/>
      <c r="CD10" s="318"/>
      <c r="CE10" s="318"/>
      <c r="CF10" s="318"/>
      <c r="CG10" s="318"/>
      <c r="CH10" s="318"/>
      <c r="CI10" s="318"/>
      <c r="CJ10" s="318"/>
      <c r="CK10" s="318"/>
      <c r="CL10" s="318"/>
      <c r="CM10" s="318"/>
      <c r="CN10" s="318"/>
      <c r="CO10" s="318"/>
      <c r="CP10" s="318"/>
      <c r="CQ10" s="318"/>
      <c r="CR10" s="318"/>
      <c r="CS10" s="318"/>
      <c r="CT10" s="318"/>
      <c r="CU10" s="318"/>
      <c r="CV10" s="318"/>
      <c r="CW10" s="318"/>
      <c r="CX10" s="318"/>
      <c r="CY10" s="318"/>
      <c r="CZ10" s="318"/>
      <c r="DA10" s="318"/>
      <c r="DB10" s="318"/>
      <c r="DC10" s="318"/>
      <c r="DD10" s="318"/>
      <c r="DE10" s="318"/>
      <c r="DF10" s="318"/>
      <c r="DG10" s="318"/>
      <c r="DH10" s="318"/>
      <c r="DI10" s="318"/>
      <c r="DJ10" s="318"/>
      <c r="DK10" s="318"/>
      <c r="DL10" s="318"/>
      <c r="DM10" s="318"/>
      <c r="DN10" s="318"/>
      <c r="DO10" s="318"/>
      <c r="DP10" s="318"/>
      <c r="DQ10" s="318"/>
      <c r="DR10" s="318"/>
      <c r="DS10" s="318"/>
      <c r="DT10" s="318"/>
      <c r="DU10" s="318"/>
      <c r="DV10" s="318"/>
      <c r="DW10" s="318"/>
      <c r="DX10" s="318"/>
      <c r="DY10" s="318"/>
      <c r="DZ10" s="318"/>
      <c r="EA10" s="318"/>
      <c r="EB10" s="318"/>
      <c r="EC10" s="318"/>
      <c r="ED10" s="318"/>
      <c r="EE10" s="318"/>
      <c r="EF10" s="318"/>
      <c r="EG10" s="318"/>
      <c r="EH10" s="318"/>
      <c r="EI10" s="318"/>
      <c r="EJ10" s="318"/>
      <c r="EK10" s="318"/>
      <c r="EL10" s="318"/>
      <c r="EM10" s="318"/>
      <c r="EN10" s="318"/>
      <c r="EO10" s="318"/>
      <c r="EP10" s="318"/>
      <c r="EQ10" s="318"/>
      <c r="ER10" s="318"/>
      <c r="ES10" s="318"/>
      <c r="ET10" s="318"/>
      <c r="EU10" s="318"/>
      <c r="EV10" s="318"/>
      <c r="EW10" s="318"/>
      <c r="EX10" s="318"/>
      <c r="EY10" s="318"/>
      <c r="EZ10" s="318"/>
      <c r="FA10" s="318"/>
      <c r="FB10" s="318"/>
      <c r="FC10" s="318"/>
      <c r="FD10" s="318"/>
      <c r="FE10" s="318"/>
      <c r="FF10" s="318"/>
      <c r="FG10" s="318"/>
      <c r="FH10" s="318"/>
      <c r="FI10" s="318"/>
      <c r="FJ10" s="318"/>
      <c r="FK10" s="318"/>
      <c r="FL10" s="318"/>
      <c r="FM10" s="318"/>
      <c r="FN10" s="318"/>
      <c r="FO10" s="318"/>
      <c r="FP10" s="318"/>
      <c r="FQ10" s="318"/>
      <c r="FR10" s="318"/>
      <c r="FS10" s="318"/>
      <c r="FT10" s="318"/>
      <c r="FU10" s="318"/>
      <c r="FV10" s="318"/>
      <c r="FW10" s="318"/>
      <c r="FX10" s="318"/>
      <c r="FY10" s="318"/>
      <c r="FZ10" s="318"/>
      <c r="GA10" s="318"/>
      <c r="GB10" s="318"/>
      <c r="GC10" s="318"/>
      <c r="GD10" s="318"/>
      <c r="GE10" s="318"/>
      <c r="GF10" s="318"/>
      <c r="GG10" s="318"/>
      <c r="GH10" s="318"/>
      <c r="GI10" s="318"/>
      <c r="GJ10" s="318"/>
      <c r="GK10" s="318"/>
      <c r="GL10" s="318"/>
      <c r="GM10" s="318"/>
      <c r="GN10" s="318"/>
      <c r="GO10" s="318"/>
      <c r="GP10" s="318"/>
      <c r="GQ10" s="318"/>
      <c r="GR10" s="318"/>
      <c r="GS10" s="318"/>
      <c r="GT10" s="318"/>
      <c r="GU10" s="318"/>
      <c r="GV10" s="318"/>
      <c r="GW10" s="318"/>
      <c r="GX10" s="318"/>
      <c r="GY10" s="318"/>
      <c r="GZ10" s="318"/>
      <c r="HA10" s="318"/>
      <c r="HB10" s="318"/>
      <c r="HC10" s="318"/>
      <c r="HD10" s="318"/>
      <c r="HE10" s="318"/>
      <c r="HF10" s="318"/>
      <c r="HG10" s="318"/>
      <c r="HH10" s="318"/>
      <c r="HI10" s="318"/>
      <c r="HJ10" s="318"/>
      <c r="HK10" s="318"/>
      <c r="HL10" s="318"/>
      <c r="HM10" s="318"/>
      <c r="HN10" s="318"/>
      <c r="HO10" s="318"/>
      <c r="HP10" s="318"/>
      <c r="HQ10" s="318"/>
      <c r="HR10" s="318"/>
      <c r="HS10" s="318"/>
      <c r="HT10" s="318"/>
      <c r="HU10" s="318"/>
      <c r="HV10" s="318"/>
      <c r="HW10" s="318"/>
      <c r="HX10" s="318"/>
      <c r="HY10" s="318"/>
      <c r="HZ10" s="318"/>
      <c r="IA10" s="318"/>
      <c r="IB10" s="318"/>
      <c r="IC10" s="318"/>
      <c r="ID10" s="318"/>
      <c r="IE10" s="318"/>
      <c r="IF10" s="318"/>
      <c r="IG10" s="318"/>
    </row>
    <row r="11" spans="1:241" s="260" customFormat="1" ht="14.7" hidden="1" customHeight="1" x14ac:dyDescent="0.3">
      <c r="A11" s="181">
        <v>1.07</v>
      </c>
      <c r="B11" s="239" t="s">
        <v>306</v>
      </c>
      <c r="C11" s="240" t="str">
        <f>VLOOKUP(BD.PD5[[#This Row],[Pos]],PPto[],3,FALSE)</f>
        <v>1.07 Permisos</v>
      </c>
      <c r="D11" s="241" t="s">
        <v>306</v>
      </c>
      <c r="E11" s="242">
        <f>IF(BD.PD5[[#This Row],[.]]="*",VLOOKUP(BD.PD5[[#This Row],[Pos]],[15]Presupuesto!A:H,7,FALSE),"")</f>
        <v>0</v>
      </c>
      <c r="F11" s="243"/>
      <c r="G11" s="243"/>
      <c r="H11" s="243"/>
      <c r="I11" s="244"/>
      <c r="J11" s="241" t="s">
        <v>188</v>
      </c>
      <c r="K11" s="245">
        <f>IF(BD.PD5[[#This Row],[Mon]]="DOP",1,HLOOKUP(BD.PD5[[#This Row],[Mon]],$J$1:$K$2,2,FALSE))</f>
        <v>64</v>
      </c>
      <c r="L11" s="246">
        <v>0</v>
      </c>
      <c r="M11" s="247">
        <f>BD.PD5[[#This Row],[Cant.]]*BD.PD5[[#This Row],[ Tasa ]]*BD.PD5[[#This Row],[ Precio Und.]]</f>
        <v>0</v>
      </c>
      <c r="N11" s="248"/>
      <c r="O11" s="247">
        <f>IF(BD.PD5[[#This Row],[Liquid. '[%']]]&lt;&gt;0,(BD.PD5[[#This Row],[Valor Neto '[DOP']]]*BD.PD5[[#This Row],[Liquid. '[%']]])+BD.PD5[[#This Row],[Valor Neto '[DOP']]],BD.PD5[[#This Row],[Valor Neto '[DOP']]])</f>
        <v>0</v>
      </c>
      <c r="P11" s="249">
        <f>BD.PD5[[#This Row],[Ppto. Orden Interna '[DOP']]]/HLOOKUP("USD",$J$1:$K$2,2,FALSE)</f>
        <v>0</v>
      </c>
      <c r="Q11" s="250"/>
      <c r="R11" s="250"/>
      <c r="S11" s="250"/>
      <c r="T11" s="250"/>
      <c r="U11" s="250"/>
      <c r="V11" s="243"/>
      <c r="W11" s="251"/>
      <c r="X11" s="252"/>
      <c r="Y11" s="253">
        <f>BD.PD5[[#This Row],[Av.P1 '[%']]]*BD.PD5[[#This Row],[Ppto. Orden Interna '[DOP']]]</f>
        <v>0</v>
      </c>
      <c r="Z11" s="254"/>
      <c r="AA11" s="255"/>
      <c r="AB11" s="253">
        <f>BD.PD5[[#This Row],[Av.P2 '[%']]]*BD.PD5[[#This Row],[Ppto. Orden Interna '[DOP']]]</f>
        <v>0</v>
      </c>
      <c r="AC11" s="254"/>
      <c r="AD11" s="255"/>
      <c r="AE11" s="253">
        <f>BD.PD5[[#This Row],[Av.P3 '[%']]]*BD.PD5[[#This Row],[Ppto. Orden Interna '[DOP']]]</f>
        <v>0</v>
      </c>
      <c r="AF11" s="254"/>
      <c r="AG11" s="255"/>
      <c r="AH11" s="253">
        <f>BD.PD5[[#This Row],[Av.P4 '[%']]]*BD.PD5[[#This Row],[Ppto. Orden Interna '[DOP']]]</f>
        <v>0</v>
      </c>
      <c r="AI11" s="254"/>
      <c r="AJ11" s="255"/>
      <c r="AK11" s="253">
        <f>BD.PD5[[#This Row],[Av.P5 '[%']]]*BD.PD5[[#This Row],[Ppto. Orden Interna '[DOP']]]</f>
        <v>0</v>
      </c>
      <c r="AL11" s="256">
        <f>BD.PD5[[#This Row],[Pago 5]]+BD.PD5[[#This Row],[Pago 4]]+BD.PD5[[#This Row],[Pago 3]]+BD.PD5[[#This Row],[Pago 2]]+BD.PD5[[#This Row],[Pago 1]]</f>
        <v>0</v>
      </c>
      <c r="AM11" s="318"/>
      <c r="AN11" s="318"/>
      <c r="AO11" s="318"/>
      <c r="AP11" s="318"/>
      <c r="AQ11" s="318"/>
      <c r="AR11" s="318"/>
      <c r="AS11" s="318"/>
      <c r="AT11" s="318"/>
      <c r="AU11" s="318"/>
      <c r="AV11" s="318"/>
      <c r="AW11" s="318"/>
      <c r="AX11" s="318"/>
      <c r="AY11" s="318"/>
      <c r="AZ11" s="318"/>
      <c r="BA11" s="318"/>
      <c r="BB11" s="318"/>
      <c r="BC11" s="318"/>
      <c r="BD11" s="318"/>
      <c r="BE11" s="318"/>
      <c r="BF11" s="318"/>
      <c r="BG11" s="318"/>
      <c r="BH11" s="318"/>
      <c r="BI11" s="318"/>
      <c r="BJ11" s="318"/>
      <c r="BK11" s="318"/>
      <c r="BL11" s="318"/>
      <c r="BM11" s="318"/>
      <c r="BN11" s="318"/>
      <c r="BO11" s="318"/>
      <c r="BP11" s="318"/>
      <c r="BQ11" s="318"/>
      <c r="BR11" s="318"/>
      <c r="BS11" s="318"/>
      <c r="BT11" s="318"/>
      <c r="BU11" s="318"/>
      <c r="BV11" s="318"/>
      <c r="BW11" s="318"/>
      <c r="BX11" s="318"/>
      <c r="BY11" s="318"/>
      <c r="BZ11" s="318"/>
      <c r="CA11" s="318"/>
      <c r="CB11" s="318"/>
      <c r="CC11" s="318"/>
      <c r="CD11" s="318"/>
      <c r="CE11" s="318"/>
      <c r="CF11" s="318"/>
      <c r="CG11" s="318"/>
      <c r="CH11" s="318"/>
      <c r="CI11" s="318"/>
      <c r="CJ11" s="318"/>
      <c r="CK11" s="318"/>
      <c r="CL11" s="318"/>
      <c r="CM11" s="318"/>
      <c r="CN11" s="318"/>
      <c r="CO11" s="318"/>
      <c r="CP11" s="318"/>
      <c r="CQ11" s="318"/>
      <c r="CR11" s="318"/>
      <c r="CS11" s="318"/>
      <c r="CT11" s="318"/>
      <c r="CU11" s="318"/>
      <c r="CV11" s="318"/>
      <c r="CW11" s="318"/>
      <c r="CX11" s="318"/>
      <c r="CY11" s="318"/>
      <c r="CZ11" s="318"/>
      <c r="DA11" s="318"/>
      <c r="DB11" s="318"/>
      <c r="DC11" s="318"/>
      <c r="DD11" s="318"/>
      <c r="DE11" s="318"/>
      <c r="DF11" s="318"/>
      <c r="DG11" s="318"/>
      <c r="DH11" s="318"/>
      <c r="DI11" s="318"/>
      <c r="DJ11" s="318"/>
      <c r="DK11" s="318"/>
      <c r="DL11" s="318"/>
      <c r="DM11" s="318"/>
      <c r="DN11" s="318"/>
      <c r="DO11" s="318"/>
      <c r="DP11" s="318"/>
      <c r="DQ11" s="318"/>
      <c r="DR11" s="318"/>
      <c r="DS11" s="318"/>
      <c r="DT11" s="318"/>
      <c r="DU11" s="318"/>
      <c r="DV11" s="318"/>
      <c r="DW11" s="318"/>
      <c r="DX11" s="318"/>
      <c r="DY11" s="318"/>
      <c r="DZ11" s="318"/>
      <c r="EA11" s="318"/>
      <c r="EB11" s="318"/>
      <c r="EC11" s="318"/>
      <c r="ED11" s="318"/>
      <c r="EE11" s="318"/>
      <c r="EF11" s="318"/>
      <c r="EG11" s="318"/>
      <c r="EH11" s="318"/>
      <c r="EI11" s="318"/>
      <c r="EJ11" s="318"/>
      <c r="EK11" s="318"/>
      <c r="EL11" s="318"/>
      <c r="EM11" s="318"/>
      <c r="EN11" s="318"/>
      <c r="EO11" s="318"/>
      <c r="EP11" s="318"/>
      <c r="EQ11" s="318"/>
      <c r="ER11" s="318"/>
      <c r="ES11" s="318"/>
      <c r="ET11" s="318"/>
      <c r="EU11" s="318"/>
      <c r="EV11" s="318"/>
      <c r="EW11" s="318"/>
      <c r="EX11" s="318"/>
      <c r="EY11" s="318"/>
      <c r="EZ11" s="318"/>
      <c r="FA11" s="318"/>
      <c r="FB11" s="318"/>
      <c r="FC11" s="318"/>
      <c r="FD11" s="318"/>
      <c r="FE11" s="318"/>
      <c r="FF11" s="318"/>
      <c r="FG11" s="318"/>
      <c r="FH11" s="318"/>
      <c r="FI11" s="318"/>
      <c r="FJ11" s="318"/>
      <c r="FK11" s="318"/>
      <c r="FL11" s="318"/>
      <c r="FM11" s="318"/>
      <c r="FN11" s="318"/>
      <c r="FO11" s="318"/>
      <c r="FP11" s="318"/>
      <c r="FQ11" s="318"/>
      <c r="FR11" s="318"/>
      <c r="FS11" s="318"/>
      <c r="FT11" s="318"/>
      <c r="FU11" s="318"/>
      <c r="FV11" s="318"/>
      <c r="FW11" s="318"/>
      <c r="FX11" s="318"/>
      <c r="FY11" s="318"/>
      <c r="FZ11" s="318"/>
      <c r="GA11" s="318"/>
      <c r="GB11" s="318"/>
      <c r="GC11" s="318"/>
      <c r="GD11" s="318"/>
      <c r="GE11" s="318"/>
      <c r="GF11" s="318"/>
      <c r="GG11" s="318"/>
      <c r="GH11" s="318"/>
      <c r="GI11" s="318"/>
      <c r="GJ11" s="318"/>
      <c r="GK11" s="318"/>
      <c r="GL11" s="318"/>
      <c r="GM11" s="318"/>
      <c r="GN11" s="318"/>
      <c r="GO11" s="318"/>
      <c r="GP11" s="318"/>
      <c r="GQ11" s="318"/>
      <c r="GR11" s="318"/>
      <c r="GS11" s="318"/>
      <c r="GT11" s="318"/>
      <c r="GU11" s="318"/>
      <c r="GV11" s="318"/>
      <c r="GW11" s="318"/>
      <c r="GX11" s="318"/>
      <c r="GY11" s="318"/>
      <c r="GZ11" s="318"/>
      <c r="HA11" s="318"/>
      <c r="HB11" s="318"/>
      <c r="HC11" s="318"/>
      <c r="HD11" s="318"/>
      <c r="HE11" s="318"/>
      <c r="HF11" s="318"/>
      <c r="HG11" s="318"/>
      <c r="HH11" s="318"/>
      <c r="HI11" s="318"/>
      <c r="HJ11" s="318"/>
      <c r="HK11" s="318"/>
      <c r="HL11" s="318"/>
      <c r="HM11" s="318"/>
      <c r="HN11" s="318"/>
      <c r="HO11" s="318"/>
      <c r="HP11" s="318"/>
      <c r="HQ11" s="318"/>
      <c r="HR11" s="318"/>
      <c r="HS11" s="318"/>
      <c r="HT11" s="318"/>
      <c r="HU11" s="318"/>
      <c r="HV11" s="318"/>
      <c r="HW11" s="318"/>
      <c r="HX11" s="318"/>
      <c r="HY11" s="318"/>
      <c r="HZ11" s="318"/>
      <c r="IA11" s="318"/>
      <c r="IB11" s="318"/>
      <c r="IC11" s="318"/>
      <c r="ID11" s="318"/>
      <c r="IE11" s="318"/>
      <c r="IF11" s="318"/>
      <c r="IG11" s="318"/>
    </row>
    <row r="12" spans="1:241" s="260" customFormat="1" hidden="1" x14ac:dyDescent="0.3">
      <c r="A12" s="181">
        <v>1.08</v>
      </c>
      <c r="B12" s="239" t="s">
        <v>306</v>
      </c>
      <c r="C12" s="240" t="str">
        <f>VLOOKUP(BD.PD5[[#This Row],[Pos]],PPto[],3,FALSE)</f>
        <v>1.08 Diseño sistema contra incendios</v>
      </c>
      <c r="D12" s="241" t="s">
        <v>306</v>
      </c>
      <c r="E12" s="242">
        <f>IF(BD.PD5[[#This Row],[.]]="*",VLOOKUP(BD.PD5[[#This Row],[Pos]],[15]Presupuesto!A:H,7,FALSE),"")</f>
        <v>0</v>
      </c>
      <c r="F12" s="243"/>
      <c r="G12" s="243"/>
      <c r="H12" s="243"/>
      <c r="I12" s="244"/>
      <c r="J12" s="241" t="s">
        <v>188</v>
      </c>
      <c r="K12" s="245">
        <f>IF(BD.PD5[[#This Row],[Mon]]="DOP",1,HLOOKUP(BD.PD5[[#This Row],[Mon]],$J$1:$K$2,2,FALSE))</f>
        <v>64</v>
      </c>
      <c r="L12" s="246">
        <v>0</v>
      </c>
      <c r="M12" s="247">
        <f>BD.PD5[[#This Row],[Cant.]]*BD.PD5[[#This Row],[ Tasa ]]*BD.PD5[[#This Row],[ Precio Und.]]</f>
        <v>0</v>
      </c>
      <c r="N12" s="248"/>
      <c r="O12" s="247">
        <f>IF(BD.PD5[[#This Row],[Liquid. '[%']]]&lt;&gt;0,(BD.PD5[[#This Row],[Valor Neto '[DOP']]]*BD.PD5[[#This Row],[Liquid. '[%']]])+BD.PD5[[#This Row],[Valor Neto '[DOP']]],BD.PD5[[#This Row],[Valor Neto '[DOP']]])</f>
        <v>0</v>
      </c>
      <c r="P12" s="249">
        <f>BD.PD5[[#This Row],[Ppto. Orden Interna '[DOP']]]/HLOOKUP("USD",$J$1:$K$2,2,FALSE)</f>
        <v>0</v>
      </c>
      <c r="Q12" s="250"/>
      <c r="R12" s="250"/>
      <c r="S12" s="250"/>
      <c r="T12" s="250"/>
      <c r="U12" s="250"/>
      <c r="V12" s="243"/>
      <c r="W12" s="251"/>
      <c r="X12" s="252"/>
      <c r="Y12" s="253">
        <f>BD.PD5[[#This Row],[Av.P1 '[%']]]*BD.PD5[[#This Row],[Ppto. Orden Interna '[DOP']]]</f>
        <v>0</v>
      </c>
      <c r="Z12" s="254"/>
      <c r="AA12" s="255"/>
      <c r="AB12" s="253">
        <f>BD.PD5[[#This Row],[Av.P2 '[%']]]*BD.PD5[[#This Row],[Ppto. Orden Interna '[DOP']]]</f>
        <v>0</v>
      </c>
      <c r="AC12" s="254"/>
      <c r="AD12" s="255"/>
      <c r="AE12" s="253">
        <f>BD.PD5[[#This Row],[Av.P3 '[%']]]*BD.PD5[[#This Row],[Ppto. Orden Interna '[DOP']]]</f>
        <v>0</v>
      </c>
      <c r="AF12" s="254"/>
      <c r="AG12" s="255"/>
      <c r="AH12" s="253">
        <f>BD.PD5[[#This Row],[Av.P4 '[%']]]*BD.PD5[[#This Row],[Ppto. Orden Interna '[DOP']]]</f>
        <v>0</v>
      </c>
      <c r="AI12" s="254"/>
      <c r="AJ12" s="255"/>
      <c r="AK12" s="253">
        <f>BD.PD5[[#This Row],[Av.P5 '[%']]]*BD.PD5[[#This Row],[Ppto. Orden Interna '[DOP']]]</f>
        <v>0</v>
      </c>
      <c r="AL12" s="256">
        <f>BD.PD5[[#This Row],[Pago 5]]+BD.PD5[[#This Row],[Pago 4]]+BD.PD5[[#This Row],[Pago 3]]+BD.PD5[[#This Row],[Pago 2]]+BD.PD5[[#This Row],[Pago 1]]</f>
        <v>0</v>
      </c>
      <c r="AM12" s="318"/>
      <c r="AN12" s="318"/>
      <c r="AO12" s="318"/>
      <c r="AP12" s="318"/>
      <c r="AQ12" s="318"/>
      <c r="AR12" s="318"/>
      <c r="AS12" s="318"/>
      <c r="AT12" s="318"/>
      <c r="AU12" s="318"/>
      <c r="AV12" s="318"/>
      <c r="AW12" s="318"/>
      <c r="AX12" s="318"/>
      <c r="AY12" s="318"/>
      <c r="AZ12" s="318"/>
      <c r="BA12" s="318"/>
      <c r="BB12" s="318"/>
      <c r="BC12" s="318"/>
      <c r="BD12" s="318"/>
      <c r="BE12" s="318"/>
      <c r="BF12" s="318"/>
      <c r="BG12" s="318"/>
      <c r="BH12" s="318"/>
      <c r="BI12" s="318"/>
      <c r="BJ12" s="318"/>
      <c r="BK12" s="318"/>
      <c r="BL12" s="318"/>
      <c r="BM12" s="318"/>
      <c r="BN12" s="318"/>
      <c r="BO12" s="318"/>
      <c r="BP12" s="318"/>
      <c r="BQ12" s="318"/>
      <c r="BR12" s="318"/>
      <c r="BS12" s="318"/>
      <c r="BT12" s="318"/>
      <c r="BU12" s="318"/>
      <c r="BV12" s="318"/>
      <c r="BW12" s="318"/>
      <c r="BX12" s="318"/>
      <c r="BY12" s="318"/>
      <c r="BZ12" s="318"/>
      <c r="CA12" s="318"/>
      <c r="CB12" s="318"/>
      <c r="CC12" s="318"/>
      <c r="CD12" s="318"/>
      <c r="CE12" s="318"/>
      <c r="CF12" s="318"/>
      <c r="CG12" s="318"/>
      <c r="CH12" s="318"/>
      <c r="CI12" s="318"/>
      <c r="CJ12" s="318"/>
      <c r="CK12" s="318"/>
      <c r="CL12" s="318"/>
      <c r="CM12" s="318"/>
      <c r="CN12" s="318"/>
      <c r="CO12" s="318"/>
      <c r="CP12" s="318"/>
      <c r="CQ12" s="318"/>
      <c r="CR12" s="318"/>
      <c r="CS12" s="318"/>
      <c r="CT12" s="318"/>
      <c r="CU12" s="318"/>
      <c r="CV12" s="318"/>
      <c r="CW12" s="318"/>
      <c r="CX12" s="318"/>
      <c r="CY12" s="318"/>
      <c r="CZ12" s="318"/>
      <c r="DA12" s="318"/>
      <c r="DB12" s="318"/>
      <c r="DC12" s="318"/>
      <c r="DD12" s="318"/>
      <c r="DE12" s="318"/>
      <c r="DF12" s="318"/>
      <c r="DG12" s="318"/>
      <c r="DH12" s="318"/>
      <c r="DI12" s="318"/>
      <c r="DJ12" s="318"/>
      <c r="DK12" s="318"/>
      <c r="DL12" s="318"/>
      <c r="DM12" s="318"/>
      <c r="DN12" s="318"/>
      <c r="DO12" s="318"/>
      <c r="DP12" s="318"/>
      <c r="DQ12" s="318"/>
      <c r="DR12" s="318"/>
      <c r="DS12" s="318"/>
      <c r="DT12" s="318"/>
      <c r="DU12" s="318"/>
      <c r="DV12" s="318"/>
      <c r="DW12" s="318"/>
      <c r="DX12" s="318"/>
      <c r="DY12" s="318"/>
      <c r="DZ12" s="318"/>
      <c r="EA12" s="318"/>
      <c r="EB12" s="318"/>
      <c r="EC12" s="318"/>
      <c r="ED12" s="318"/>
      <c r="EE12" s="318"/>
      <c r="EF12" s="318"/>
      <c r="EG12" s="318"/>
      <c r="EH12" s="318"/>
      <c r="EI12" s="318"/>
      <c r="EJ12" s="318"/>
      <c r="EK12" s="318"/>
      <c r="EL12" s="318"/>
      <c r="EM12" s="318"/>
      <c r="EN12" s="318"/>
      <c r="EO12" s="318"/>
      <c r="EP12" s="318"/>
      <c r="EQ12" s="318"/>
      <c r="ER12" s="318"/>
      <c r="ES12" s="318"/>
      <c r="ET12" s="318"/>
      <c r="EU12" s="318"/>
      <c r="EV12" s="318"/>
      <c r="EW12" s="318"/>
      <c r="EX12" s="318"/>
      <c r="EY12" s="318"/>
      <c r="EZ12" s="318"/>
      <c r="FA12" s="318"/>
      <c r="FB12" s="318"/>
      <c r="FC12" s="318"/>
      <c r="FD12" s="318"/>
      <c r="FE12" s="318"/>
      <c r="FF12" s="318"/>
      <c r="FG12" s="318"/>
      <c r="FH12" s="318"/>
      <c r="FI12" s="318"/>
      <c r="FJ12" s="318"/>
      <c r="FK12" s="318"/>
      <c r="FL12" s="318"/>
      <c r="FM12" s="318"/>
      <c r="FN12" s="318"/>
      <c r="FO12" s="318"/>
      <c r="FP12" s="318"/>
      <c r="FQ12" s="318"/>
      <c r="FR12" s="318"/>
      <c r="FS12" s="318"/>
      <c r="FT12" s="318"/>
      <c r="FU12" s="318"/>
      <c r="FV12" s="318"/>
      <c r="FW12" s="318"/>
      <c r="FX12" s="318"/>
      <c r="FY12" s="318"/>
      <c r="FZ12" s="318"/>
      <c r="GA12" s="318"/>
      <c r="GB12" s="318"/>
      <c r="GC12" s="318"/>
      <c r="GD12" s="318"/>
      <c r="GE12" s="318"/>
      <c r="GF12" s="318"/>
      <c r="GG12" s="318"/>
      <c r="GH12" s="318"/>
      <c r="GI12" s="318"/>
      <c r="GJ12" s="318"/>
      <c r="GK12" s="318"/>
      <c r="GL12" s="318"/>
      <c r="GM12" s="318"/>
      <c r="GN12" s="318"/>
      <c r="GO12" s="318"/>
      <c r="GP12" s="318"/>
      <c r="GQ12" s="318"/>
      <c r="GR12" s="318"/>
      <c r="GS12" s="318"/>
      <c r="GT12" s="318"/>
      <c r="GU12" s="318"/>
      <c r="GV12" s="318"/>
      <c r="GW12" s="318"/>
      <c r="GX12" s="318"/>
      <c r="GY12" s="318"/>
      <c r="GZ12" s="318"/>
      <c r="HA12" s="318"/>
      <c r="HB12" s="318"/>
      <c r="HC12" s="318"/>
      <c r="HD12" s="318"/>
      <c r="HE12" s="318"/>
      <c r="HF12" s="318"/>
      <c r="HG12" s="318"/>
      <c r="HH12" s="318"/>
      <c r="HI12" s="318"/>
      <c r="HJ12" s="318"/>
      <c r="HK12" s="318"/>
      <c r="HL12" s="318"/>
      <c r="HM12" s="318"/>
      <c r="HN12" s="318"/>
      <c r="HO12" s="318"/>
      <c r="HP12" s="318"/>
      <c r="HQ12" s="318"/>
      <c r="HR12" s="318"/>
      <c r="HS12" s="318"/>
      <c r="HT12" s="318"/>
      <c r="HU12" s="318"/>
      <c r="HV12" s="318"/>
      <c r="HW12" s="318"/>
      <c r="HX12" s="318"/>
      <c r="HY12" s="318"/>
      <c r="HZ12" s="318"/>
      <c r="IA12" s="318"/>
      <c r="IB12" s="318"/>
      <c r="IC12" s="318"/>
      <c r="ID12" s="318"/>
      <c r="IE12" s="318"/>
      <c r="IF12" s="318"/>
      <c r="IG12" s="318"/>
    </row>
    <row r="13" spans="1:241" s="260" customFormat="1" hidden="1" x14ac:dyDescent="0.3">
      <c r="A13" s="181">
        <v>1.0900000000000001</v>
      </c>
      <c r="B13" s="239" t="s">
        <v>306</v>
      </c>
      <c r="C13" s="240" t="str">
        <f>VLOOKUP(BD.PD5[[#This Row],[Pos]],PPto[],3,FALSE)</f>
        <v>1.09 Diseño sistema gas</v>
      </c>
      <c r="D13" s="241" t="s">
        <v>306</v>
      </c>
      <c r="E13" s="242">
        <f>IF(BD.PD5[[#This Row],[.]]="*",VLOOKUP(BD.PD5[[#This Row],[Pos]],[15]Presupuesto!A:H,7,FALSE),"")</f>
        <v>0</v>
      </c>
      <c r="F13" s="243"/>
      <c r="G13" s="243"/>
      <c r="H13" s="243"/>
      <c r="I13" s="244"/>
      <c r="J13" s="241" t="s">
        <v>188</v>
      </c>
      <c r="K13" s="245">
        <f>IF(BD.PD5[[#This Row],[Mon]]="DOP",1,HLOOKUP(BD.PD5[[#This Row],[Mon]],$J$1:$K$2,2,FALSE))</f>
        <v>64</v>
      </c>
      <c r="L13" s="246">
        <v>0</v>
      </c>
      <c r="M13" s="247">
        <f>BD.PD5[[#This Row],[Cant.]]*BD.PD5[[#This Row],[ Tasa ]]*BD.PD5[[#This Row],[ Precio Und.]]</f>
        <v>0</v>
      </c>
      <c r="N13" s="248"/>
      <c r="O13" s="247">
        <f>IF(BD.PD5[[#This Row],[Liquid. '[%']]]&lt;&gt;0,(BD.PD5[[#This Row],[Valor Neto '[DOP']]]*BD.PD5[[#This Row],[Liquid. '[%']]])+BD.PD5[[#This Row],[Valor Neto '[DOP']]],BD.PD5[[#This Row],[Valor Neto '[DOP']]])</f>
        <v>0</v>
      </c>
      <c r="P13" s="249">
        <f>BD.PD5[[#This Row],[Ppto. Orden Interna '[DOP']]]/HLOOKUP("USD",$J$1:$K$2,2,FALSE)</f>
        <v>0</v>
      </c>
      <c r="Q13" s="250"/>
      <c r="R13" s="250"/>
      <c r="S13" s="250"/>
      <c r="T13" s="250"/>
      <c r="U13" s="250"/>
      <c r="V13" s="243"/>
      <c r="W13" s="251"/>
      <c r="X13" s="252"/>
      <c r="Y13" s="253">
        <f>BD.PD5[[#This Row],[Av.P1 '[%']]]*BD.PD5[[#This Row],[Ppto. Orden Interna '[DOP']]]</f>
        <v>0</v>
      </c>
      <c r="Z13" s="254"/>
      <c r="AA13" s="255"/>
      <c r="AB13" s="253">
        <f>BD.PD5[[#This Row],[Av.P2 '[%']]]*BD.PD5[[#This Row],[Ppto. Orden Interna '[DOP']]]</f>
        <v>0</v>
      </c>
      <c r="AC13" s="254"/>
      <c r="AD13" s="255"/>
      <c r="AE13" s="253">
        <f>BD.PD5[[#This Row],[Av.P3 '[%']]]*BD.PD5[[#This Row],[Ppto. Orden Interna '[DOP']]]</f>
        <v>0</v>
      </c>
      <c r="AF13" s="254"/>
      <c r="AG13" s="255"/>
      <c r="AH13" s="253">
        <f>BD.PD5[[#This Row],[Av.P4 '[%']]]*BD.PD5[[#This Row],[Ppto. Orden Interna '[DOP']]]</f>
        <v>0</v>
      </c>
      <c r="AI13" s="254"/>
      <c r="AJ13" s="255"/>
      <c r="AK13" s="253">
        <f>BD.PD5[[#This Row],[Av.P5 '[%']]]*BD.PD5[[#This Row],[Ppto. Orden Interna '[DOP']]]</f>
        <v>0</v>
      </c>
      <c r="AL13" s="256">
        <f>BD.PD5[[#This Row],[Pago 5]]+BD.PD5[[#This Row],[Pago 4]]+BD.PD5[[#This Row],[Pago 3]]+BD.PD5[[#This Row],[Pago 2]]+BD.PD5[[#This Row],[Pago 1]]</f>
        <v>0</v>
      </c>
      <c r="AM13" s="318"/>
      <c r="AN13" s="318"/>
      <c r="AO13" s="318"/>
      <c r="AP13" s="318"/>
      <c r="AQ13" s="318"/>
      <c r="AR13" s="318"/>
      <c r="AS13" s="318"/>
      <c r="AT13" s="318"/>
      <c r="AU13" s="318"/>
      <c r="AV13" s="318"/>
      <c r="AW13" s="318"/>
      <c r="AX13" s="318"/>
      <c r="AY13" s="318"/>
      <c r="AZ13" s="318"/>
      <c r="BA13" s="318"/>
      <c r="BB13" s="318"/>
      <c r="BC13" s="318"/>
      <c r="BD13" s="318"/>
      <c r="BE13" s="318"/>
      <c r="BF13" s="318"/>
      <c r="BG13" s="318"/>
      <c r="BH13" s="318"/>
      <c r="BI13" s="318"/>
      <c r="BJ13" s="318"/>
      <c r="BK13" s="318"/>
      <c r="BL13" s="318"/>
      <c r="BM13" s="318"/>
      <c r="BN13" s="318"/>
      <c r="BO13" s="318"/>
      <c r="BP13" s="318"/>
      <c r="BQ13" s="318"/>
      <c r="BR13" s="318"/>
      <c r="BS13" s="318"/>
      <c r="BT13" s="318"/>
      <c r="BU13" s="318"/>
      <c r="BV13" s="318"/>
      <c r="BW13" s="318"/>
      <c r="BX13" s="318"/>
      <c r="BY13" s="318"/>
      <c r="BZ13" s="318"/>
      <c r="CA13" s="318"/>
      <c r="CB13" s="318"/>
      <c r="CC13" s="318"/>
      <c r="CD13" s="318"/>
      <c r="CE13" s="318"/>
      <c r="CF13" s="318"/>
      <c r="CG13" s="318"/>
      <c r="CH13" s="318"/>
      <c r="CI13" s="318"/>
      <c r="CJ13" s="318"/>
      <c r="CK13" s="318"/>
      <c r="CL13" s="318"/>
      <c r="CM13" s="318"/>
      <c r="CN13" s="318"/>
      <c r="CO13" s="318"/>
      <c r="CP13" s="318"/>
      <c r="CQ13" s="318"/>
      <c r="CR13" s="318"/>
      <c r="CS13" s="318"/>
      <c r="CT13" s="318"/>
      <c r="CU13" s="318"/>
      <c r="CV13" s="318"/>
      <c r="CW13" s="318"/>
      <c r="CX13" s="318"/>
      <c r="CY13" s="318"/>
      <c r="CZ13" s="318"/>
      <c r="DA13" s="318"/>
      <c r="DB13" s="318"/>
      <c r="DC13" s="318"/>
      <c r="DD13" s="318"/>
      <c r="DE13" s="318"/>
      <c r="DF13" s="318"/>
      <c r="DG13" s="318"/>
      <c r="DH13" s="318"/>
      <c r="DI13" s="318"/>
      <c r="DJ13" s="318"/>
      <c r="DK13" s="318"/>
      <c r="DL13" s="318"/>
      <c r="DM13" s="318"/>
      <c r="DN13" s="318"/>
      <c r="DO13" s="318"/>
      <c r="DP13" s="318"/>
      <c r="DQ13" s="318"/>
      <c r="DR13" s="318"/>
      <c r="DS13" s="318"/>
      <c r="DT13" s="318"/>
      <c r="DU13" s="318"/>
      <c r="DV13" s="318"/>
      <c r="DW13" s="318"/>
      <c r="DX13" s="318"/>
      <c r="DY13" s="318"/>
      <c r="DZ13" s="318"/>
      <c r="EA13" s="318"/>
      <c r="EB13" s="318"/>
      <c r="EC13" s="318"/>
      <c r="ED13" s="318"/>
      <c r="EE13" s="318"/>
      <c r="EF13" s="318"/>
      <c r="EG13" s="318"/>
      <c r="EH13" s="318"/>
      <c r="EI13" s="318"/>
      <c r="EJ13" s="318"/>
      <c r="EK13" s="318"/>
      <c r="EL13" s="318"/>
      <c r="EM13" s="318"/>
      <c r="EN13" s="318"/>
      <c r="EO13" s="318"/>
      <c r="EP13" s="318"/>
      <c r="EQ13" s="318"/>
      <c r="ER13" s="318"/>
      <c r="ES13" s="318"/>
      <c r="ET13" s="318"/>
      <c r="EU13" s="318"/>
      <c r="EV13" s="318"/>
      <c r="EW13" s="318"/>
      <c r="EX13" s="318"/>
      <c r="EY13" s="318"/>
      <c r="EZ13" s="318"/>
      <c r="FA13" s="318"/>
      <c r="FB13" s="318"/>
      <c r="FC13" s="318"/>
      <c r="FD13" s="318"/>
      <c r="FE13" s="318"/>
      <c r="FF13" s="318"/>
      <c r="FG13" s="318"/>
      <c r="FH13" s="318"/>
      <c r="FI13" s="318"/>
      <c r="FJ13" s="318"/>
      <c r="FK13" s="318"/>
      <c r="FL13" s="318"/>
      <c r="FM13" s="318"/>
      <c r="FN13" s="318"/>
      <c r="FO13" s="318"/>
      <c r="FP13" s="318"/>
      <c r="FQ13" s="318"/>
      <c r="FR13" s="318"/>
      <c r="FS13" s="318"/>
      <c r="FT13" s="318"/>
      <c r="FU13" s="318"/>
      <c r="FV13" s="318"/>
      <c r="FW13" s="318"/>
      <c r="FX13" s="318"/>
      <c r="FY13" s="318"/>
      <c r="FZ13" s="318"/>
      <c r="GA13" s="318"/>
      <c r="GB13" s="318"/>
      <c r="GC13" s="318"/>
      <c r="GD13" s="318"/>
      <c r="GE13" s="318"/>
      <c r="GF13" s="318"/>
      <c r="GG13" s="318"/>
      <c r="GH13" s="318"/>
      <c r="GI13" s="318"/>
      <c r="GJ13" s="318"/>
      <c r="GK13" s="318"/>
      <c r="GL13" s="318"/>
      <c r="GM13" s="318"/>
      <c r="GN13" s="318"/>
      <c r="GO13" s="318"/>
      <c r="GP13" s="318"/>
      <c r="GQ13" s="318"/>
      <c r="GR13" s="318"/>
      <c r="GS13" s="318"/>
      <c r="GT13" s="318"/>
      <c r="GU13" s="318"/>
      <c r="GV13" s="318"/>
      <c r="GW13" s="318"/>
      <c r="GX13" s="318"/>
      <c r="GY13" s="318"/>
      <c r="GZ13" s="318"/>
      <c r="HA13" s="318"/>
      <c r="HB13" s="318"/>
      <c r="HC13" s="318"/>
      <c r="HD13" s="318"/>
      <c r="HE13" s="318"/>
      <c r="HF13" s="318"/>
      <c r="HG13" s="318"/>
      <c r="HH13" s="318"/>
      <c r="HI13" s="318"/>
      <c r="HJ13" s="318"/>
      <c r="HK13" s="318"/>
      <c r="HL13" s="318"/>
      <c r="HM13" s="318"/>
      <c r="HN13" s="318"/>
      <c r="HO13" s="318"/>
      <c r="HP13" s="318"/>
      <c r="HQ13" s="318"/>
      <c r="HR13" s="318"/>
      <c r="HS13" s="318"/>
      <c r="HT13" s="318"/>
      <c r="HU13" s="318"/>
      <c r="HV13" s="318"/>
      <c r="HW13" s="318"/>
      <c r="HX13" s="318"/>
      <c r="HY13" s="318"/>
      <c r="HZ13" s="318"/>
      <c r="IA13" s="318"/>
      <c r="IB13" s="318"/>
      <c r="IC13" s="318"/>
      <c r="ID13" s="318"/>
      <c r="IE13" s="318"/>
      <c r="IF13" s="318"/>
      <c r="IG13" s="318"/>
    </row>
    <row r="14" spans="1:241" s="260" customFormat="1" hidden="1" x14ac:dyDescent="0.3">
      <c r="A14" s="181">
        <v>2.02</v>
      </c>
      <c r="B14" s="239" t="s">
        <v>306</v>
      </c>
      <c r="C14" s="240" t="str">
        <f>VLOOKUP(BD.PD5[[#This Row],[Pos]],PPto[],3,FALSE)</f>
        <v>2.02 Edificación - Estructura Metálica</v>
      </c>
      <c r="D14" s="241" t="s">
        <v>306</v>
      </c>
      <c r="E14" s="242">
        <f>IF(BD.PD5[[#This Row],[.]]="*",VLOOKUP(BD.PD5[[#This Row],[Pos]],[15]Presupuesto!A:H,7,FALSE),"")</f>
        <v>0</v>
      </c>
      <c r="F14" s="243"/>
      <c r="G14" s="243"/>
      <c r="H14" s="243"/>
      <c r="I14" s="244"/>
      <c r="J14" s="241" t="s">
        <v>188</v>
      </c>
      <c r="K14" s="245">
        <f>IF(BD.PD5[[#This Row],[Mon]]="DOP",1,HLOOKUP(BD.PD5[[#This Row],[Mon]],$J$1:$K$2,2,FALSE))</f>
        <v>64</v>
      </c>
      <c r="L14" s="246">
        <v>0</v>
      </c>
      <c r="M14" s="247">
        <f>BD.PD5[[#This Row],[Cant.]]*BD.PD5[[#This Row],[ Tasa ]]*BD.PD5[[#This Row],[ Precio Und.]]</f>
        <v>0</v>
      </c>
      <c r="N14" s="248"/>
      <c r="O14" s="247">
        <f>IF(BD.PD5[[#This Row],[Liquid. '[%']]]&lt;&gt;0,(BD.PD5[[#This Row],[Valor Neto '[DOP']]]*BD.PD5[[#This Row],[Liquid. '[%']]])+BD.PD5[[#This Row],[Valor Neto '[DOP']]],BD.PD5[[#This Row],[Valor Neto '[DOP']]])</f>
        <v>0</v>
      </c>
      <c r="P14" s="249">
        <f>BD.PD5[[#This Row],[Ppto. Orden Interna '[DOP']]]/HLOOKUP("USD",$J$1:$K$2,2,FALSE)</f>
        <v>0</v>
      </c>
      <c r="Q14" s="250"/>
      <c r="R14" s="250"/>
      <c r="S14" s="250"/>
      <c r="T14" s="250"/>
      <c r="U14" s="250"/>
      <c r="V14" s="243"/>
      <c r="W14" s="251"/>
      <c r="X14" s="252"/>
      <c r="Y14" s="253">
        <f>BD.PD5[[#This Row],[Av.P1 '[%']]]*BD.PD5[[#This Row],[Ppto. Orden Interna '[DOP']]]</f>
        <v>0</v>
      </c>
      <c r="Z14" s="254"/>
      <c r="AA14" s="255"/>
      <c r="AB14" s="253">
        <f>BD.PD5[[#This Row],[Av.P2 '[%']]]*BD.PD5[[#This Row],[Ppto. Orden Interna '[DOP']]]</f>
        <v>0</v>
      </c>
      <c r="AC14" s="254"/>
      <c r="AD14" s="255"/>
      <c r="AE14" s="253">
        <f>BD.PD5[[#This Row],[Av.P3 '[%']]]*BD.PD5[[#This Row],[Ppto. Orden Interna '[DOP']]]</f>
        <v>0</v>
      </c>
      <c r="AF14" s="254"/>
      <c r="AG14" s="255"/>
      <c r="AH14" s="253">
        <f>BD.PD5[[#This Row],[Av.P4 '[%']]]*BD.PD5[[#This Row],[Ppto. Orden Interna '[DOP']]]</f>
        <v>0</v>
      </c>
      <c r="AI14" s="254"/>
      <c r="AJ14" s="255"/>
      <c r="AK14" s="253">
        <f>BD.PD5[[#This Row],[Av.P5 '[%']]]*BD.PD5[[#This Row],[Ppto. Orden Interna '[DOP']]]</f>
        <v>0</v>
      </c>
      <c r="AL14" s="256">
        <f>BD.PD5[[#This Row],[Pago 5]]+BD.PD5[[#This Row],[Pago 4]]+BD.PD5[[#This Row],[Pago 3]]+BD.PD5[[#This Row],[Pago 2]]+BD.PD5[[#This Row],[Pago 1]]</f>
        <v>0</v>
      </c>
      <c r="AM14" s="318"/>
      <c r="AN14" s="318"/>
      <c r="AO14" s="318"/>
      <c r="AP14" s="318"/>
      <c r="AQ14" s="318"/>
      <c r="AR14" s="318"/>
      <c r="AS14" s="318"/>
      <c r="AT14" s="318"/>
      <c r="AU14" s="318"/>
      <c r="AV14" s="318"/>
      <c r="AW14" s="318"/>
      <c r="AX14" s="318"/>
      <c r="AY14" s="318"/>
      <c r="AZ14" s="318"/>
      <c r="BA14" s="318"/>
      <c r="BB14" s="318"/>
      <c r="BC14" s="318"/>
      <c r="BD14" s="318"/>
      <c r="BE14" s="318"/>
      <c r="BF14" s="318"/>
      <c r="BG14" s="318"/>
      <c r="BH14" s="318"/>
      <c r="BI14" s="318"/>
      <c r="BJ14" s="318"/>
      <c r="BK14" s="318"/>
      <c r="BL14" s="318"/>
      <c r="BM14" s="318"/>
      <c r="BN14" s="318"/>
      <c r="BO14" s="318"/>
      <c r="BP14" s="318"/>
      <c r="BQ14" s="318"/>
      <c r="BR14" s="318"/>
      <c r="BS14" s="318"/>
      <c r="BT14" s="318"/>
      <c r="BU14" s="318"/>
      <c r="BV14" s="318"/>
      <c r="BW14" s="318"/>
      <c r="BX14" s="318"/>
      <c r="BY14" s="318"/>
      <c r="BZ14" s="318"/>
      <c r="CA14" s="318"/>
      <c r="CB14" s="318"/>
      <c r="CC14" s="318"/>
      <c r="CD14" s="318"/>
      <c r="CE14" s="318"/>
      <c r="CF14" s="318"/>
      <c r="CG14" s="318"/>
      <c r="CH14" s="318"/>
      <c r="CI14" s="318"/>
      <c r="CJ14" s="318"/>
      <c r="CK14" s="318"/>
      <c r="CL14" s="318"/>
      <c r="CM14" s="318"/>
      <c r="CN14" s="318"/>
      <c r="CO14" s="318"/>
      <c r="CP14" s="318"/>
      <c r="CQ14" s="318"/>
      <c r="CR14" s="318"/>
      <c r="CS14" s="318"/>
      <c r="CT14" s="318"/>
      <c r="CU14" s="318"/>
      <c r="CV14" s="318"/>
      <c r="CW14" s="318"/>
      <c r="CX14" s="318"/>
      <c r="CY14" s="318"/>
      <c r="CZ14" s="318"/>
      <c r="DA14" s="318"/>
      <c r="DB14" s="318"/>
      <c r="DC14" s="318"/>
      <c r="DD14" s="318"/>
      <c r="DE14" s="318"/>
      <c r="DF14" s="318"/>
      <c r="DG14" s="318"/>
      <c r="DH14" s="318"/>
      <c r="DI14" s="318"/>
      <c r="DJ14" s="318"/>
      <c r="DK14" s="318"/>
      <c r="DL14" s="318"/>
      <c r="DM14" s="318"/>
      <c r="DN14" s="318"/>
      <c r="DO14" s="318"/>
      <c r="DP14" s="318"/>
      <c r="DQ14" s="318"/>
      <c r="DR14" s="318"/>
      <c r="DS14" s="318"/>
      <c r="DT14" s="318"/>
      <c r="DU14" s="318"/>
      <c r="DV14" s="318"/>
      <c r="DW14" s="318"/>
      <c r="DX14" s="318"/>
      <c r="DY14" s="318"/>
      <c r="DZ14" s="318"/>
      <c r="EA14" s="318"/>
      <c r="EB14" s="318"/>
      <c r="EC14" s="318"/>
      <c r="ED14" s="318"/>
      <c r="EE14" s="318"/>
      <c r="EF14" s="318"/>
      <c r="EG14" s="318"/>
      <c r="EH14" s="318"/>
      <c r="EI14" s="318"/>
      <c r="EJ14" s="318"/>
      <c r="EK14" s="318"/>
      <c r="EL14" s="318"/>
      <c r="EM14" s="318"/>
      <c r="EN14" s="318"/>
      <c r="EO14" s="318"/>
      <c r="EP14" s="318"/>
      <c r="EQ14" s="318"/>
      <c r="ER14" s="318"/>
      <c r="ES14" s="318"/>
      <c r="ET14" s="318"/>
      <c r="EU14" s="318"/>
      <c r="EV14" s="318"/>
      <c r="EW14" s="318"/>
      <c r="EX14" s="318"/>
      <c r="EY14" s="318"/>
      <c r="EZ14" s="318"/>
      <c r="FA14" s="318"/>
      <c r="FB14" s="318"/>
      <c r="FC14" s="318"/>
      <c r="FD14" s="318"/>
      <c r="FE14" s="318"/>
      <c r="FF14" s="318"/>
      <c r="FG14" s="318"/>
      <c r="FH14" s="318"/>
      <c r="FI14" s="318"/>
      <c r="FJ14" s="318"/>
      <c r="FK14" s="318"/>
      <c r="FL14" s="318"/>
      <c r="FM14" s="318"/>
      <c r="FN14" s="318"/>
      <c r="FO14" s="318"/>
      <c r="FP14" s="318"/>
      <c r="FQ14" s="318"/>
      <c r="FR14" s="318"/>
      <c r="FS14" s="318"/>
      <c r="FT14" s="318"/>
      <c r="FU14" s="318"/>
      <c r="FV14" s="318"/>
      <c r="FW14" s="318"/>
      <c r="FX14" s="318"/>
      <c r="FY14" s="318"/>
      <c r="FZ14" s="318"/>
      <c r="GA14" s="318"/>
      <c r="GB14" s="318"/>
      <c r="GC14" s="318"/>
      <c r="GD14" s="318"/>
      <c r="GE14" s="318"/>
      <c r="GF14" s="318"/>
      <c r="GG14" s="318"/>
      <c r="GH14" s="318"/>
      <c r="GI14" s="318"/>
      <c r="GJ14" s="318"/>
      <c r="GK14" s="318"/>
      <c r="GL14" s="318"/>
      <c r="GM14" s="318"/>
      <c r="GN14" s="318"/>
      <c r="GO14" s="318"/>
      <c r="GP14" s="318"/>
      <c r="GQ14" s="318"/>
      <c r="GR14" s="318"/>
      <c r="GS14" s="318"/>
      <c r="GT14" s="318"/>
      <c r="GU14" s="318"/>
      <c r="GV14" s="318"/>
      <c r="GW14" s="318"/>
      <c r="GX14" s="318"/>
      <c r="GY14" s="318"/>
      <c r="GZ14" s="318"/>
      <c r="HA14" s="318"/>
      <c r="HB14" s="318"/>
      <c r="HC14" s="318"/>
      <c r="HD14" s="318"/>
      <c r="HE14" s="318"/>
      <c r="HF14" s="318"/>
      <c r="HG14" s="318"/>
      <c r="HH14" s="318"/>
      <c r="HI14" s="318"/>
      <c r="HJ14" s="318"/>
      <c r="HK14" s="318"/>
      <c r="HL14" s="318"/>
      <c r="HM14" s="318"/>
      <c r="HN14" s="318"/>
      <c r="HO14" s="318"/>
      <c r="HP14" s="318"/>
      <c r="HQ14" s="318"/>
      <c r="HR14" s="318"/>
      <c r="HS14" s="318"/>
      <c r="HT14" s="318"/>
      <c r="HU14" s="318"/>
      <c r="HV14" s="318"/>
      <c r="HW14" s="318"/>
      <c r="HX14" s="318"/>
      <c r="HY14" s="318"/>
      <c r="HZ14" s="318"/>
      <c r="IA14" s="318"/>
      <c r="IB14" s="318"/>
      <c r="IC14" s="318"/>
      <c r="ID14" s="318"/>
      <c r="IE14" s="318"/>
      <c r="IF14" s="318"/>
      <c r="IG14" s="318"/>
    </row>
    <row r="15" spans="1:241" s="260" customFormat="1" hidden="1" x14ac:dyDescent="0.3">
      <c r="A15" s="181">
        <v>2.0299999999999998</v>
      </c>
      <c r="B15" s="239" t="s">
        <v>306</v>
      </c>
      <c r="C15" s="240" t="str">
        <f>VLOOKUP(BD.PD5[[#This Row],[Pos]],PPto[],3,FALSE)</f>
        <v>2.03 Edificación - Techo S.S. y Cerramientos Multipanel</v>
      </c>
      <c r="D15" s="241" t="s">
        <v>306</v>
      </c>
      <c r="E15" s="242">
        <f>IF(BD.PD5[[#This Row],[.]]="*",VLOOKUP(BD.PD5[[#This Row],[Pos]],[15]Presupuesto!A:H,7,FALSE),"")</f>
        <v>0</v>
      </c>
      <c r="F15" s="243"/>
      <c r="G15" s="243"/>
      <c r="H15" s="243"/>
      <c r="I15" s="244"/>
      <c r="J15" s="241" t="s">
        <v>188</v>
      </c>
      <c r="K15" s="245">
        <f>IF(BD.PD5[[#This Row],[Mon]]="DOP",1,HLOOKUP(BD.PD5[[#This Row],[Mon]],$J$1:$K$2,2,FALSE))</f>
        <v>64</v>
      </c>
      <c r="L15" s="246">
        <v>0</v>
      </c>
      <c r="M15" s="247">
        <f>BD.PD5[[#This Row],[Cant.]]*BD.PD5[[#This Row],[ Tasa ]]*BD.PD5[[#This Row],[ Precio Und.]]</f>
        <v>0</v>
      </c>
      <c r="N15" s="248"/>
      <c r="O15" s="247">
        <f>IF(BD.PD5[[#This Row],[Liquid. '[%']]]&lt;&gt;0,(BD.PD5[[#This Row],[Valor Neto '[DOP']]]*BD.PD5[[#This Row],[Liquid. '[%']]])+BD.PD5[[#This Row],[Valor Neto '[DOP']]],BD.PD5[[#This Row],[Valor Neto '[DOP']]])</f>
        <v>0</v>
      </c>
      <c r="P15" s="249">
        <f>BD.PD5[[#This Row],[Ppto. Orden Interna '[DOP']]]/HLOOKUP("USD",$J$1:$K$2,2,FALSE)</f>
        <v>0</v>
      </c>
      <c r="Q15" s="250"/>
      <c r="R15" s="250"/>
      <c r="S15" s="250"/>
      <c r="T15" s="250"/>
      <c r="U15" s="250"/>
      <c r="V15" s="243"/>
      <c r="W15" s="251"/>
      <c r="X15" s="252"/>
      <c r="Y15" s="253">
        <f>BD.PD5[[#This Row],[Av.P1 '[%']]]*BD.PD5[[#This Row],[Ppto. Orden Interna '[DOP']]]</f>
        <v>0</v>
      </c>
      <c r="Z15" s="254"/>
      <c r="AA15" s="255"/>
      <c r="AB15" s="253">
        <f>BD.PD5[[#This Row],[Av.P2 '[%']]]*BD.PD5[[#This Row],[Ppto. Orden Interna '[DOP']]]</f>
        <v>0</v>
      </c>
      <c r="AC15" s="254"/>
      <c r="AD15" s="255"/>
      <c r="AE15" s="253">
        <f>BD.PD5[[#This Row],[Av.P3 '[%']]]*BD.PD5[[#This Row],[Ppto. Orden Interna '[DOP']]]</f>
        <v>0</v>
      </c>
      <c r="AF15" s="254"/>
      <c r="AG15" s="255"/>
      <c r="AH15" s="253">
        <f>BD.PD5[[#This Row],[Av.P4 '[%']]]*BD.PD5[[#This Row],[Ppto. Orden Interna '[DOP']]]</f>
        <v>0</v>
      </c>
      <c r="AI15" s="254"/>
      <c r="AJ15" s="255"/>
      <c r="AK15" s="253">
        <f>BD.PD5[[#This Row],[Av.P5 '[%']]]*BD.PD5[[#This Row],[Ppto. Orden Interna '[DOP']]]</f>
        <v>0</v>
      </c>
      <c r="AL15" s="256">
        <f>BD.PD5[[#This Row],[Pago 5]]+BD.PD5[[#This Row],[Pago 4]]+BD.PD5[[#This Row],[Pago 3]]+BD.PD5[[#This Row],[Pago 2]]+BD.PD5[[#This Row],[Pago 1]]</f>
        <v>0</v>
      </c>
      <c r="AM15" s="318"/>
      <c r="AN15" s="318"/>
      <c r="AO15" s="318"/>
      <c r="AP15" s="318"/>
      <c r="AQ15" s="318"/>
      <c r="AR15" s="318"/>
      <c r="AS15" s="318"/>
      <c r="AT15" s="318"/>
      <c r="AU15" s="318"/>
      <c r="AV15" s="318"/>
      <c r="AW15" s="318"/>
      <c r="AX15" s="318"/>
      <c r="AY15" s="318"/>
      <c r="AZ15" s="318"/>
      <c r="BA15" s="318"/>
      <c r="BB15" s="318"/>
      <c r="BC15" s="318"/>
      <c r="BD15" s="318"/>
      <c r="BE15" s="318"/>
      <c r="BF15" s="318"/>
      <c r="BG15" s="318"/>
      <c r="BH15" s="318"/>
      <c r="BI15" s="318"/>
      <c r="BJ15" s="318"/>
      <c r="BK15" s="318"/>
      <c r="BL15" s="318"/>
      <c r="BM15" s="318"/>
      <c r="BN15" s="318"/>
      <c r="BO15" s="318"/>
      <c r="BP15" s="318"/>
      <c r="BQ15" s="318"/>
      <c r="BR15" s="318"/>
      <c r="BS15" s="318"/>
      <c r="BT15" s="318"/>
      <c r="BU15" s="318"/>
      <c r="BV15" s="318"/>
      <c r="BW15" s="318"/>
      <c r="BX15" s="318"/>
      <c r="BY15" s="318"/>
      <c r="BZ15" s="318"/>
      <c r="CA15" s="318"/>
      <c r="CB15" s="318"/>
      <c r="CC15" s="318"/>
      <c r="CD15" s="318"/>
      <c r="CE15" s="318"/>
      <c r="CF15" s="318"/>
      <c r="CG15" s="318"/>
      <c r="CH15" s="318"/>
      <c r="CI15" s="318"/>
      <c r="CJ15" s="318"/>
      <c r="CK15" s="318"/>
      <c r="CL15" s="318"/>
      <c r="CM15" s="318"/>
      <c r="CN15" s="318"/>
      <c r="CO15" s="318"/>
      <c r="CP15" s="318"/>
      <c r="CQ15" s="318"/>
      <c r="CR15" s="318"/>
      <c r="CS15" s="318"/>
      <c r="CT15" s="318"/>
      <c r="CU15" s="318"/>
      <c r="CV15" s="318"/>
      <c r="CW15" s="318"/>
      <c r="CX15" s="318"/>
      <c r="CY15" s="318"/>
      <c r="CZ15" s="318"/>
      <c r="DA15" s="318"/>
      <c r="DB15" s="318"/>
      <c r="DC15" s="318"/>
      <c r="DD15" s="318"/>
      <c r="DE15" s="318"/>
      <c r="DF15" s="318"/>
      <c r="DG15" s="318"/>
      <c r="DH15" s="318"/>
      <c r="DI15" s="318"/>
      <c r="DJ15" s="318"/>
      <c r="DK15" s="318"/>
      <c r="DL15" s="318"/>
      <c r="DM15" s="318"/>
      <c r="DN15" s="318"/>
      <c r="DO15" s="318"/>
      <c r="DP15" s="318"/>
      <c r="DQ15" s="318"/>
      <c r="DR15" s="318"/>
      <c r="DS15" s="318"/>
      <c r="DT15" s="318"/>
      <c r="DU15" s="318"/>
      <c r="DV15" s="318"/>
      <c r="DW15" s="318"/>
      <c r="DX15" s="318"/>
      <c r="DY15" s="318"/>
      <c r="DZ15" s="318"/>
      <c r="EA15" s="318"/>
      <c r="EB15" s="318"/>
      <c r="EC15" s="318"/>
      <c r="ED15" s="318"/>
      <c r="EE15" s="318"/>
      <c r="EF15" s="318"/>
      <c r="EG15" s="318"/>
      <c r="EH15" s="318"/>
      <c r="EI15" s="318"/>
      <c r="EJ15" s="318"/>
      <c r="EK15" s="318"/>
      <c r="EL15" s="318"/>
      <c r="EM15" s="318"/>
      <c r="EN15" s="318"/>
      <c r="EO15" s="318"/>
      <c r="EP15" s="318"/>
      <c r="EQ15" s="318"/>
      <c r="ER15" s="318"/>
      <c r="ES15" s="318"/>
      <c r="ET15" s="318"/>
      <c r="EU15" s="318"/>
      <c r="EV15" s="318"/>
      <c r="EW15" s="318"/>
      <c r="EX15" s="318"/>
      <c r="EY15" s="318"/>
      <c r="EZ15" s="318"/>
      <c r="FA15" s="318"/>
      <c r="FB15" s="318"/>
      <c r="FC15" s="318"/>
      <c r="FD15" s="318"/>
      <c r="FE15" s="318"/>
      <c r="FF15" s="318"/>
      <c r="FG15" s="318"/>
      <c r="FH15" s="318"/>
      <c r="FI15" s="318"/>
      <c r="FJ15" s="318"/>
      <c r="FK15" s="318"/>
      <c r="FL15" s="318"/>
      <c r="FM15" s="318"/>
      <c r="FN15" s="318"/>
      <c r="FO15" s="318"/>
      <c r="FP15" s="318"/>
      <c r="FQ15" s="318"/>
      <c r="FR15" s="318"/>
      <c r="FS15" s="318"/>
      <c r="FT15" s="318"/>
      <c r="FU15" s="318"/>
      <c r="FV15" s="318"/>
      <c r="FW15" s="318"/>
      <c r="FX15" s="318"/>
      <c r="FY15" s="318"/>
      <c r="FZ15" s="318"/>
      <c r="GA15" s="318"/>
      <c r="GB15" s="318"/>
      <c r="GC15" s="318"/>
      <c r="GD15" s="318"/>
      <c r="GE15" s="318"/>
      <c r="GF15" s="318"/>
      <c r="GG15" s="318"/>
      <c r="GH15" s="318"/>
      <c r="GI15" s="318"/>
      <c r="GJ15" s="318"/>
      <c r="GK15" s="318"/>
      <c r="GL15" s="318"/>
      <c r="GM15" s="318"/>
      <c r="GN15" s="318"/>
      <c r="GO15" s="318"/>
      <c r="GP15" s="318"/>
      <c r="GQ15" s="318"/>
      <c r="GR15" s="318"/>
      <c r="GS15" s="318"/>
      <c r="GT15" s="318"/>
      <c r="GU15" s="318"/>
      <c r="GV15" s="318"/>
      <c r="GW15" s="318"/>
      <c r="GX15" s="318"/>
      <c r="GY15" s="318"/>
      <c r="GZ15" s="318"/>
      <c r="HA15" s="318"/>
      <c r="HB15" s="318"/>
      <c r="HC15" s="318"/>
      <c r="HD15" s="318"/>
      <c r="HE15" s="318"/>
      <c r="HF15" s="318"/>
      <c r="HG15" s="318"/>
      <c r="HH15" s="318"/>
      <c r="HI15" s="318"/>
      <c r="HJ15" s="318"/>
      <c r="HK15" s="318"/>
      <c r="HL15" s="318"/>
      <c r="HM15" s="318"/>
      <c r="HN15" s="318"/>
      <c r="HO15" s="318"/>
      <c r="HP15" s="318"/>
      <c r="HQ15" s="318"/>
      <c r="HR15" s="318"/>
      <c r="HS15" s="318"/>
      <c r="HT15" s="318"/>
      <c r="HU15" s="318"/>
      <c r="HV15" s="318"/>
      <c r="HW15" s="318"/>
      <c r="HX15" s="318"/>
      <c r="HY15" s="318"/>
      <c r="HZ15" s="318"/>
      <c r="IA15" s="318"/>
      <c r="IB15" s="318"/>
      <c r="IC15" s="318"/>
      <c r="ID15" s="318"/>
      <c r="IE15" s="318"/>
      <c r="IF15" s="318"/>
      <c r="IG15" s="318"/>
    </row>
    <row r="16" spans="1:241" s="260" customFormat="1" hidden="1" x14ac:dyDescent="0.3">
      <c r="A16" s="181">
        <v>2.04</v>
      </c>
      <c r="B16" s="239" t="s">
        <v>306</v>
      </c>
      <c r="C16" s="240" t="str">
        <f>VLOOKUP(BD.PD5[[#This Row],[Pos]],PPto[],3,FALSE)</f>
        <v>2.04 Edificación - Tragaluces "Skylights"</v>
      </c>
      <c r="D16" s="241" t="s">
        <v>306</v>
      </c>
      <c r="E16" s="242">
        <f>IF(BD.PD5[[#This Row],[.]]="*",VLOOKUP(BD.PD5[[#This Row],[Pos]],[15]Presupuesto!A:H,7,FALSE),"")</f>
        <v>0</v>
      </c>
      <c r="F16" s="243"/>
      <c r="G16" s="243"/>
      <c r="H16" s="243"/>
      <c r="I16" s="244"/>
      <c r="J16" s="241" t="s">
        <v>188</v>
      </c>
      <c r="K16" s="245">
        <f>IF(BD.PD5[[#This Row],[Mon]]="DOP",1,HLOOKUP(BD.PD5[[#This Row],[Mon]],$J$1:$K$2,2,FALSE))</f>
        <v>64</v>
      </c>
      <c r="L16" s="246">
        <v>0</v>
      </c>
      <c r="M16" s="247">
        <f>BD.PD5[[#This Row],[Cant.]]*BD.PD5[[#This Row],[ Tasa ]]*BD.PD5[[#This Row],[ Precio Und.]]</f>
        <v>0</v>
      </c>
      <c r="N16" s="248"/>
      <c r="O16" s="247">
        <f>IF(BD.PD5[[#This Row],[Liquid. '[%']]]&lt;&gt;0,(BD.PD5[[#This Row],[Valor Neto '[DOP']]]*BD.PD5[[#This Row],[Liquid. '[%']]])+BD.PD5[[#This Row],[Valor Neto '[DOP']]],BD.PD5[[#This Row],[Valor Neto '[DOP']]])</f>
        <v>0</v>
      </c>
      <c r="P16" s="249">
        <f>BD.PD5[[#This Row],[Ppto. Orden Interna '[DOP']]]/HLOOKUP("USD",$J$1:$K$2,2,FALSE)</f>
        <v>0</v>
      </c>
      <c r="Q16" s="250"/>
      <c r="R16" s="250"/>
      <c r="S16" s="250"/>
      <c r="T16" s="250"/>
      <c r="U16" s="250"/>
      <c r="V16" s="243"/>
      <c r="W16" s="251"/>
      <c r="X16" s="252"/>
      <c r="Y16" s="253">
        <f>BD.PD5[[#This Row],[Av.P1 '[%']]]*BD.PD5[[#This Row],[Ppto. Orden Interna '[DOP']]]</f>
        <v>0</v>
      </c>
      <c r="Z16" s="254"/>
      <c r="AA16" s="255"/>
      <c r="AB16" s="253">
        <f>BD.PD5[[#This Row],[Av.P2 '[%']]]*BD.PD5[[#This Row],[Ppto. Orden Interna '[DOP']]]</f>
        <v>0</v>
      </c>
      <c r="AC16" s="254"/>
      <c r="AD16" s="255"/>
      <c r="AE16" s="253">
        <f>BD.PD5[[#This Row],[Av.P3 '[%']]]*BD.PD5[[#This Row],[Ppto. Orden Interna '[DOP']]]</f>
        <v>0</v>
      </c>
      <c r="AF16" s="254"/>
      <c r="AG16" s="255"/>
      <c r="AH16" s="253">
        <f>BD.PD5[[#This Row],[Av.P4 '[%']]]*BD.PD5[[#This Row],[Ppto. Orden Interna '[DOP']]]</f>
        <v>0</v>
      </c>
      <c r="AI16" s="254"/>
      <c r="AJ16" s="255"/>
      <c r="AK16" s="253">
        <f>BD.PD5[[#This Row],[Av.P5 '[%']]]*BD.PD5[[#This Row],[Ppto. Orden Interna '[DOP']]]</f>
        <v>0</v>
      </c>
      <c r="AL16" s="256">
        <f>BD.PD5[[#This Row],[Pago 5]]+BD.PD5[[#This Row],[Pago 4]]+BD.PD5[[#This Row],[Pago 3]]+BD.PD5[[#This Row],[Pago 2]]+BD.PD5[[#This Row],[Pago 1]]</f>
        <v>0</v>
      </c>
      <c r="AM16" s="318"/>
      <c r="AN16" s="318"/>
      <c r="AO16" s="318"/>
      <c r="AP16" s="318"/>
      <c r="AQ16" s="318"/>
      <c r="AR16" s="318"/>
      <c r="AS16" s="318"/>
      <c r="AT16" s="318"/>
      <c r="AU16" s="318"/>
      <c r="AV16" s="318"/>
      <c r="AW16" s="318"/>
      <c r="AX16" s="318"/>
      <c r="AY16" s="318"/>
      <c r="AZ16" s="318"/>
      <c r="BA16" s="318"/>
      <c r="BB16" s="318"/>
      <c r="BC16" s="318"/>
      <c r="BD16" s="318"/>
      <c r="BE16" s="318"/>
      <c r="BF16" s="318"/>
      <c r="BG16" s="318"/>
      <c r="BH16" s="318"/>
      <c r="BI16" s="318"/>
      <c r="BJ16" s="318"/>
      <c r="BK16" s="318"/>
      <c r="BL16" s="318"/>
      <c r="BM16" s="318"/>
      <c r="BN16" s="318"/>
      <c r="BO16" s="318"/>
      <c r="BP16" s="318"/>
      <c r="BQ16" s="318"/>
      <c r="BR16" s="318"/>
      <c r="BS16" s="318"/>
      <c r="BT16" s="318"/>
      <c r="BU16" s="318"/>
      <c r="BV16" s="318"/>
      <c r="BW16" s="318"/>
      <c r="BX16" s="318"/>
      <c r="BY16" s="318"/>
      <c r="BZ16" s="318"/>
      <c r="CA16" s="318"/>
      <c r="CB16" s="318"/>
      <c r="CC16" s="318"/>
      <c r="CD16" s="318"/>
      <c r="CE16" s="318"/>
      <c r="CF16" s="318"/>
      <c r="CG16" s="318"/>
      <c r="CH16" s="318"/>
      <c r="CI16" s="318"/>
      <c r="CJ16" s="318"/>
      <c r="CK16" s="318"/>
      <c r="CL16" s="318"/>
      <c r="CM16" s="318"/>
      <c r="CN16" s="318"/>
      <c r="CO16" s="318"/>
      <c r="CP16" s="318"/>
      <c r="CQ16" s="318"/>
      <c r="CR16" s="318"/>
      <c r="CS16" s="318"/>
      <c r="CT16" s="318"/>
      <c r="CU16" s="318"/>
      <c r="CV16" s="318"/>
      <c r="CW16" s="318"/>
      <c r="CX16" s="318"/>
      <c r="CY16" s="318"/>
      <c r="CZ16" s="318"/>
      <c r="DA16" s="318"/>
      <c r="DB16" s="318"/>
      <c r="DC16" s="318"/>
      <c r="DD16" s="318"/>
      <c r="DE16" s="318"/>
      <c r="DF16" s="318"/>
      <c r="DG16" s="318"/>
      <c r="DH16" s="318"/>
      <c r="DI16" s="318"/>
      <c r="DJ16" s="318"/>
      <c r="DK16" s="318"/>
      <c r="DL16" s="318"/>
      <c r="DM16" s="318"/>
      <c r="DN16" s="318"/>
      <c r="DO16" s="318"/>
      <c r="DP16" s="318"/>
      <c r="DQ16" s="318"/>
      <c r="DR16" s="318"/>
      <c r="DS16" s="318"/>
      <c r="DT16" s="318"/>
      <c r="DU16" s="318"/>
      <c r="DV16" s="318"/>
      <c r="DW16" s="318"/>
      <c r="DX16" s="318"/>
      <c r="DY16" s="318"/>
      <c r="DZ16" s="318"/>
      <c r="EA16" s="318"/>
      <c r="EB16" s="318"/>
      <c r="EC16" s="318"/>
      <c r="ED16" s="318"/>
      <c r="EE16" s="318"/>
      <c r="EF16" s="318"/>
      <c r="EG16" s="318"/>
      <c r="EH16" s="318"/>
      <c r="EI16" s="318"/>
      <c r="EJ16" s="318"/>
      <c r="EK16" s="318"/>
      <c r="EL16" s="318"/>
      <c r="EM16" s="318"/>
      <c r="EN16" s="318"/>
      <c r="EO16" s="318"/>
      <c r="EP16" s="318"/>
      <c r="EQ16" s="318"/>
      <c r="ER16" s="318"/>
      <c r="ES16" s="318"/>
      <c r="ET16" s="318"/>
      <c r="EU16" s="318"/>
      <c r="EV16" s="318"/>
      <c r="EW16" s="318"/>
      <c r="EX16" s="318"/>
      <c r="EY16" s="318"/>
      <c r="EZ16" s="318"/>
      <c r="FA16" s="318"/>
      <c r="FB16" s="318"/>
      <c r="FC16" s="318"/>
      <c r="FD16" s="318"/>
      <c r="FE16" s="318"/>
      <c r="FF16" s="318"/>
      <c r="FG16" s="318"/>
      <c r="FH16" s="318"/>
      <c r="FI16" s="318"/>
      <c r="FJ16" s="318"/>
      <c r="FK16" s="318"/>
      <c r="FL16" s="318"/>
      <c r="FM16" s="318"/>
      <c r="FN16" s="318"/>
      <c r="FO16" s="318"/>
      <c r="FP16" s="318"/>
      <c r="FQ16" s="318"/>
      <c r="FR16" s="318"/>
      <c r="FS16" s="318"/>
      <c r="FT16" s="318"/>
      <c r="FU16" s="318"/>
      <c r="FV16" s="318"/>
      <c r="FW16" s="318"/>
      <c r="FX16" s="318"/>
      <c r="FY16" s="318"/>
      <c r="FZ16" s="318"/>
      <c r="GA16" s="318"/>
      <c r="GB16" s="318"/>
      <c r="GC16" s="318"/>
      <c r="GD16" s="318"/>
      <c r="GE16" s="318"/>
      <c r="GF16" s="318"/>
      <c r="GG16" s="318"/>
      <c r="GH16" s="318"/>
      <c r="GI16" s="318"/>
      <c r="GJ16" s="318"/>
      <c r="GK16" s="318"/>
      <c r="GL16" s="318"/>
      <c r="GM16" s="318"/>
      <c r="GN16" s="318"/>
      <c r="GO16" s="318"/>
      <c r="GP16" s="318"/>
      <c r="GQ16" s="318"/>
      <c r="GR16" s="318"/>
      <c r="GS16" s="318"/>
      <c r="GT16" s="318"/>
      <c r="GU16" s="318"/>
      <c r="GV16" s="318"/>
      <c r="GW16" s="318"/>
      <c r="GX16" s="318"/>
      <c r="GY16" s="318"/>
      <c r="GZ16" s="318"/>
      <c r="HA16" s="318"/>
      <c r="HB16" s="318"/>
      <c r="HC16" s="318"/>
      <c r="HD16" s="318"/>
      <c r="HE16" s="318"/>
      <c r="HF16" s="318"/>
      <c r="HG16" s="318"/>
      <c r="HH16" s="318"/>
      <c r="HI16" s="318"/>
      <c r="HJ16" s="318"/>
      <c r="HK16" s="318"/>
      <c r="HL16" s="318"/>
      <c r="HM16" s="318"/>
      <c r="HN16" s="318"/>
      <c r="HO16" s="318"/>
      <c r="HP16" s="318"/>
      <c r="HQ16" s="318"/>
      <c r="HR16" s="318"/>
      <c r="HS16" s="318"/>
      <c r="HT16" s="318"/>
      <c r="HU16" s="318"/>
      <c r="HV16" s="318"/>
      <c r="HW16" s="318"/>
      <c r="HX16" s="318"/>
      <c r="HY16" s="318"/>
      <c r="HZ16" s="318"/>
      <c r="IA16" s="318"/>
      <c r="IB16" s="318"/>
      <c r="IC16" s="318"/>
      <c r="ID16" s="318"/>
      <c r="IE16" s="318"/>
      <c r="IF16" s="318"/>
      <c r="IG16" s="318"/>
    </row>
    <row r="17" spans="1:241" s="260" customFormat="1" hidden="1" x14ac:dyDescent="0.3">
      <c r="A17" s="181">
        <v>2.0499999999999998</v>
      </c>
      <c r="B17" s="239" t="s">
        <v>306</v>
      </c>
      <c r="C17" s="240" t="str">
        <f>VLOOKUP(BD.PD5[[#This Row],[Pos]],PPto[],3,FALSE)</f>
        <v>2.05 Instalaciones Sanitarias</v>
      </c>
      <c r="D17" s="241" t="s">
        <v>306</v>
      </c>
      <c r="E17" s="242">
        <f>IF(BD.PD5[[#This Row],[.]]="*",VLOOKUP(BD.PD5[[#This Row],[Pos]],[15]Presupuesto!A:H,7,FALSE),"")</f>
        <v>0</v>
      </c>
      <c r="F17" s="243"/>
      <c r="G17" s="243"/>
      <c r="H17" s="243"/>
      <c r="I17" s="244"/>
      <c r="J17" s="241" t="s">
        <v>188</v>
      </c>
      <c r="K17" s="245">
        <f>IF(BD.PD5[[#This Row],[Mon]]="DOP",1,HLOOKUP(BD.PD5[[#This Row],[Mon]],$J$1:$K$2,2,FALSE))</f>
        <v>64</v>
      </c>
      <c r="L17" s="246">
        <v>0</v>
      </c>
      <c r="M17" s="247">
        <f>BD.PD5[[#This Row],[Cant.]]*BD.PD5[[#This Row],[ Tasa ]]*BD.PD5[[#This Row],[ Precio Und.]]</f>
        <v>0</v>
      </c>
      <c r="N17" s="248"/>
      <c r="O17" s="247">
        <f>IF(BD.PD5[[#This Row],[Liquid. '[%']]]&lt;&gt;0,(BD.PD5[[#This Row],[Valor Neto '[DOP']]]*BD.PD5[[#This Row],[Liquid. '[%']]])+BD.PD5[[#This Row],[Valor Neto '[DOP']]],BD.PD5[[#This Row],[Valor Neto '[DOP']]])</f>
        <v>0</v>
      </c>
      <c r="P17" s="249">
        <f>BD.PD5[[#This Row],[Ppto. Orden Interna '[DOP']]]/HLOOKUP("USD",$J$1:$K$2,2,FALSE)</f>
        <v>0</v>
      </c>
      <c r="Q17" s="250"/>
      <c r="R17" s="250"/>
      <c r="S17" s="250"/>
      <c r="T17" s="250"/>
      <c r="U17" s="250"/>
      <c r="V17" s="243"/>
      <c r="W17" s="251"/>
      <c r="X17" s="252"/>
      <c r="Y17" s="253">
        <f>BD.PD5[[#This Row],[Av.P1 '[%']]]*BD.PD5[[#This Row],[Ppto. Orden Interna '[DOP']]]</f>
        <v>0</v>
      </c>
      <c r="Z17" s="254"/>
      <c r="AA17" s="255"/>
      <c r="AB17" s="253">
        <f>BD.PD5[[#This Row],[Av.P2 '[%']]]*BD.PD5[[#This Row],[Ppto. Orden Interna '[DOP']]]</f>
        <v>0</v>
      </c>
      <c r="AC17" s="254"/>
      <c r="AD17" s="255"/>
      <c r="AE17" s="253">
        <f>BD.PD5[[#This Row],[Av.P3 '[%']]]*BD.PD5[[#This Row],[Ppto. Orden Interna '[DOP']]]</f>
        <v>0</v>
      </c>
      <c r="AF17" s="254"/>
      <c r="AG17" s="255"/>
      <c r="AH17" s="253">
        <f>BD.PD5[[#This Row],[Av.P4 '[%']]]*BD.PD5[[#This Row],[Ppto. Orden Interna '[DOP']]]</f>
        <v>0</v>
      </c>
      <c r="AI17" s="254"/>
      <c r="AJ17" s="255"/>
      <c r="AK17" s="253">
        <f>BD.PD5[[#This Row],[Av.P5 '[%']]]*BD.PD5[[#This Row],[Ppto. Orden Interna '[DOP']]]</f>
        <v>0</v>
      </c>
      <c r="AL17" s="256">
        <f>BD.PD5[[#This Row],[Pago 5]]+BD.PD5[[#This Row],[Pago 4]]+BD.PD5[[#This Row],[Pago 3]]+BD.PD5[[#This Row],[Pago 2]]+BD.PD5[[#This Row],[Pago 1]]</f>
        <v>0</v>
      </c>
      <c r="AM17" s="318"/>
      <c r="AN17" s="318"/>
      <c r="AO17" s="318"/>
      <c r="AP17" s="318"/>
      <c r="AQ17" s="318"/>
      <c r="AR17" s="318"/>
      <c r="AS17" s="318"/>
      <c r="AT17" s="318"/>
      <c r="AU17" s="318"/>
      <c r="AV17" s="318"/>
      <c r="AW17" s="318"/>
      <c r="AX17" s="318"/>
      <c r="AY17" s="318"/>
      <c r="AZ17" s="318"/>
      <c r="BA17" s="318"/>
      <c r="BB17" s="318"/>
      <c r="BC17" s="318"/>
      <c r="BD17" s="318"/>
      <c r="BE17" s="318"/>
      <c r="BF17" s="318"/>
      <c r="BG17" s="318"/>
      <c r="BH17" s="318"/>
      <c r="BI17" s="318"/>
      <c r="BJ17" s="318"/>
      <c r="BK17" s="318"/>
      <c r="BL17" s="318"/>
      <c r="BM17" s="318"/>
      <c r="BN17" s="318"/>
      <c r="BO17" s="318"/>
      <c r="BP17" s="318"/>
      <c r="BQ17" s="318"/>
      <c r="BR17" s="318"/>
      <c r="BS17" s="318"/>
      <c r="BT17" s="318"/>
      <c r="BU17" s="318"/>
      <c r="BV17" s="318"/>
      <c r="BW17" s="318"/>
      <c r="BX17" s="318"/>
      <c r="BY17" s="318"/>
      <c r="BZ17" s="318"/>
      <c r="CA17" s="318"/>
      <c r="CB17" s="318"/>
      <c r="CC17" s="318"/>
      <c r="CD17" s="318"/>
      <c r="CE17" s="318"/>
      <c r="CF17" s="318"/>
      <c r="CG17" s="318"/>
      <c r="CH17" s="318"/>
      <c r="CI17" s="318"/>
      <c r="CJ17" s="318"/>
      <c r="CK17" s="318"/>
      <c r="CL17" s="318"/>
      <c r="CM17" s="318"/>
      <c r="CN17" s="318"/>
      <c r="CO17" s="318"/>
      <c r="CP17" s="318"/>
      <c r="CQ17" s="318"/>
      <c r="CR17" s="318"/>
      <c r="CS17" s="318"/>
      <c r="CT17" s="318"/>
      <c r="CU17" s="318"/>
      <c r="CV17" s="318"/>
      <c r="CW17" s="318"/>
      <c r="CX17" s="318"/>
      <c r="CY17" s="318"/>
      <c r="CZ17" s="318"/>
      <c r="DA17" s="318"/>
      <c r="DB17" s="318"/>
      <c r="DC17" s="318"/>
      <c r="DD17" s="318"/>
      <c r="DE17" s="318"/>
      <c r="DF17" s="318"/>
      <c r="DG17" s="318"/>
      <c r="DH17" s="318"/>
      <c r="DI17" s="318"/>
      <c r="DJ17" s="318"/>
      <c r="DK17" s="318"/>
      <c r="DL17" s="318"/>
      <c r="DM17" s="318"/>
      <c r="DN17" s="318"/>
      <c r="DO17" s="318"/>
      <c r="DP17" s="318"/>
      <c r="DQ17" s="318"/>
      <c r="DR17" s="318"/>
      <c r="DS17" s="318"/>
      <c r="DT17" s="318"/>
      <c r="DU17" s="318"/>
      <c r="DV17" s="318"/>
      <c r="DW17" s="318"/>
      <c r="DX17" s="318"/>
      <c r="DY17" s="318"/>
      <c r="DZ17" s="318"/>
      <c r="EA17" s="318"/>
      <c r="EB17" s="318"/>
      <c r="EC17" s="318"/>
      <c r="ED17" s="318"/>
      <c r="EE17" s="318"/>
      <c r="EF17" s="318"/>
      <c r="EG17" s="318"/>
      <c r="EH17" s="318"/>
      <c r="EI17" s="318"/>
      <c r="EJ17" s="318"/>
      <c r="EK17" s="318"/>
      <c r="EL17" s="318"/>
      <c r="EM17" s="318"/>
      <c r="EN17" s="318"/>
      <c r="EO17" s="318"/>
      <c r="EP17" s="318"/>
      <c r="EQ17" s="318"/>
      <c r="ER17" s="318"/>
      <c r="ES17" s="318"/>
      <c r="ET17" s="318"/>
      <c r="EU17" s="318"/>
      <c r="EV17" s="318"/>
      <c r="EW17" s="318"/>
      <c r="EX17" s="318"/>
      <c r="EY17" s="318"/>
      <c r="EZ17" s="318"/>
      <c r="FA17" s="318"/>
      <c r="FB17" s="318"/>
      <c r="FC17" s="318"/>
      <c r="FD17" s="318"/>
      <c r="FE17" s="318"/>
      <c r="FF17" s="318"/>
      <c r="FG17" s="318"/>
      <c r="FH17" s="318"/>
      <c r="FI17" s="318"/>
      <c r="FJ17" s="318"/>
      <c r="FK17" s="318"/>
      <c r="FL17" s="318"/>
      <c r="FM17" s="318"/>
      <c r="FN17" s="318"/>
      <c r="FO17" s="318"/>
      <c r="FP17" s="318"/>
      <c r="FQ17" s="318"/>
      <c r="FR17" s="318"/>
      <c r="FS17" s="318"/>
      <c r="FT17" s="318"/>
      <c r="FU17" s="318"/>
      <c r="FV17" s="318"/>
      <c r="FW17" s="318"/>
      <c r="FX17" s="318"/>
      <c r="FY17" s="318"/>
      <c r="FZ17" s="318"/>
      <c r="GA17" s="318"/>
      <c r="GB17" s="318"/>
      <c r="GC17" s="318"/>
      <c r="GD17" s="318"/>
      <c r="GE17" s="318"/>
      <c r="GF17" s="318"/>
      <c r="GG17" s="318"/>
      <c r="GH17" s="318"/>
      <c r="GI17" s="318"/>
      <c r="GJ17" s="318"/>
      <c r="GK17" s="318"/>
      <c r="GL17" s="318"/>
      <c r="GM17" s="318"/>
      <c r="GN17" s="318"/>
      <c r="GO17" s="318"/>
      <c r="GP17" s="318"/>
      <c r="GQ17" s="318"/>
      <c r="GR17" s="318"/>
      <c r="GS17" s="318"/>
      <c r="GT17" s="318"/>
      <c r="GU17" s="318"/>
      <c r="GV17" s="318"/>
      <c r="GW17" s="318"/>
      <c r="GX17" s="318"/>
      <c r="GY17" s="318"/>
      <c r="GZ17" s="318"/>
      <c r="HA17" s="318"/>
      <c r="HB17" s="318"/>
      <c r="HC17" s="318"/>
      <c r="HD17" s="318"/>
      <c r="HE17" s="318"/>
      <c r="HF17" s="318"/>
      <c r="HG17" s="318"/>
      <c r="HH17" s="318"/>
      <c r="HI17" s="318"/>
      <c r="HJ17" s="318"/>
      <c r="HK17" s="318"/>
      <c r="HL17" s="318"/>
      <c r="HM17" s="318"/>
      <c r="HN17" s="318"/>
      <c r="HO17" s="318"/>
      <c r="HP17" s="318"/>
      <c r="HQ17" s="318"/>
      <c r="HR17" s="318"/>
      <c r="HS17" s="318"/>
      <c r="HT17" s="318"/>
      <c r="HU17" s="318"/>
      <c r="HV17" s="318"/>
      <c r="HW17" s="318"/>
      <c r="HX17" s="318"/>
      <c r="HY17" s="318"/>
      <c r="HZ17" s="318"/>
      <c r="IA17" s="318"/>
      <c r="IB17" s="318"/>
      <c r="IC17" s="318"/>
      <c r="ID17" s="318"/>
      <c r="IE17" s="318"/>
      <c r="IF17" s="318"/>
      <c r="IG17" s="318"/>
    </row>
    <row r="18" spans="1:241" s="260" customFormat="1" hidden="1" x14ac:dyDescent="0.3">
      <c r="A18" s="181">
        <v>2.06</v>
      </c>
      <c r="B18" s="239" t="s">
        <v>306</v>
      </c>
      <c r="C18" s="240" t="str">
        <f>VLOOKUP(BD.PD5[[#This Row],[Pos]],PPto[],3,FALSE)</f>
        <v>2.06 Instalación de Gas</v>
      </c>
      <c r="D18" s="241" t="s">
        <v>306</v>
      </c>
      <c r="E18" s="242">
        <f>IF(BD.PD5[[#This Row],[.]]="*",VLOOKUP(BD.PD5[[#This Row],[Pos]],[15]Presupuesto!A:H,7,FALSE),"")</f>
        <v>0</v>
      </c>
      <c r="F18" s="243"/>
      <c r="G18" s="243"/>
      <c r="H18" s="243"/>
      <c r="I18" s="244"/>
      <c r="J18" s="241" t="s">
        <v>188</v>
      </c>
      <c r="K18" s="245">
        <f>IF(BD.PD5[[#This Row],[Mon]]="DOP",1,HLOOKUP(BD.PD5[[#This Row],[Mon]],$J$1:$K$2,2,FALSE))</f>
        <v>64</v>
      </c>
      <c r="L18" s="246">
        <v>0</v>
      </c>
      <c r="M18" s="247">
        <f>BD.PD5[[#This Row],[Cant.]]*BD.PD5[[#This Row],[ Tasa ]]*BD.PD5[[#This Row],[ Precio Und.]]</f>
        <v>0</v>
      </c>
      <c r="N18" s="248"/>
      <c r="O18" s="247">
        <f>IF(BD.PD5[[#This Row],[Liquid. '[%']]]&lt;&gt;0,(BD.PD5[[#This Row],[Valor Neto '[DOP']]]*BD.PD5[[#This Row],[Liquid. '[%']]])+BD.PD5[[#This Row],[Valor Neto '[DOP']]],BD.PD5[[#This Row],[Valor Neto '[DOP']]])</f>
        <v>0</v>
      </c>
      <c r="P18" s="249">
        <f>BD.PD5[[#This Row],[Ppto. Orden Interna '[DOP']]]/HLOOKUP("USD",$J$1:$K$2,2,FALSE)</f>
        <v>0</v>
      </c>
      <c r="Q18" s="250"/>
      <c r="R18" s="250"/>
      <c r="S18" s="250"/>
      <c r="T18" s="250"/>
      <c r="U18" s="250"/>
      <c r="V18" s="243"/>
      <c r="W18" s="251"/>
      <c r="X18" s="252"/>
      <c r="Y18" s="253">
        <f>BD.PD5[[#This Row],[Av.P1 '[%']]]*BD.PD5[[#This Row],[Ppto. Orden Interna '[DOP']]]</f>
        <v>0</v>
      </c>
      <c r="Z18" s="254"/>
      <c r="AA18" s="255"/>
      <c r="AB18" s="253">
        <f>BD.PD5[[#This Row],[Av.P2 '[%']]]*BD.PD5[[#This Row],[Ppto. Orden Interna '[DOP']]]</f>
        <v>0</v>
      </c>
      <c r="AC18" s="254"/>
      <c r="AD18" s="255"/>
      <c r="AE18" s="253">
        <f>BD.PD5[[#This Row],[Av.P3 '[%']]]*BD.PD5[[#This Row],[Ppto. Orden Interna '[DOP']]]</f>
        <v>0</v>
      </c>
      <c r="AF18" s="254"/>
      <c r="AG18" s="255"/>
      <c r="AH18" s="253">
        <f>BD.PD5[[#This Row],[Av.P4 '[%']]]*BD.PD5[[#This Row],[Ppto. Orden Interna '[DOP']]]</f>
        <v>0</v>
      </c>
      <c r="AI18" s="254"/>
      <c r="AJ18" s="255"/>
      <c r="AK18" s="253">
        <f>BD.PD5[[#This Row],[Av.P5 '[%']]]*BD.PD5[[#This Row],[Ppto. Orden Interna '[DOP']]]</f>
        <v>0</v>
      </c>
      <c r="AL18" s="256">
        <f>BD.PD5[[#This Row],[Pago 5]]+BD.PD5[[#This Row],[Pago 4]]+BD.PD5[[#This Row],[Pago 3]]+BD.PD5[[#This Row],[Pago 2]]+BD.PD5[[#This Row],[Pago 1]]</f>
        <v>0</v>
      </c>
      <c r="AM18" s="318"/>
      <c r="AN18" s="318"/>
      <c r="AO18" s="318"/>
      <c r="AP18" s="318"/>
      <c r="AQ18" s="318"/>
      <c r="AR18" s="318"/>
      <c r="AS18" s="318"/>
      <c r="AT18" s="318"/>
      <c r="AU18" s="318"/>
      <c r="AV18" s="318"/>
      <c r="AW18" s="318"/>
      <c r="AX18" s="318"/>
      <c r="AY18" s="318"/>
      <c r="AZ18" s="318"/>
      <c r="BA18" s="318"/>
      <c r="BB18" s="318"/>
      <c r="BC18" s="318"/>
      <c r="BD18" s="318"/>
      <c r="BE18" s="318"/>
      <c r="BF18" s="318"/>
      <c r="BG18" s="318"/>
      <c r="BH18" s="318"/>
      <c r="BI18" s="318"/>
      <c r="BJ18" s="318"/>
      <c r="BK18" s="318"/>
      <c r="BL18" s="318"/>
      <c r="BM18" s="318"/>
      <c r="BN18" s="318"/>
      <c r="BO18" s="318"/>
      <c r="BP18" s="318"/>
      <c r="BQ18" s="318"/>
      <c r="BR18" s="318"/>
      <c r="BS18" s="318"/>
      <c r="BT18" s="318"/>
      <c r="BU18" s="318"/>
      <c r="BV18" s="318"/>
      <c r="BW18" s="318"/>
      <c r="BX18" s="318"/>
      <c r="BY18" s="318"/>
      <c r="BZ18" s="318"/>
      <c r="CA18" s="318"/>
      <c r="CB18" s="318"/>
      <c r="CC18" s="318"/>
      <c r="CD18" s="318"/>
      <c r="CE18" s="318"/>
      <c r="CF18" s="318"/>
      <c r="CG18" s="318"/>
      <c r="CH18" s="318"/>
      <c r="CI18" s="318"/>
      <c r="CJ18" s="318"/>
      <c r="CK18" s="318"/>
      <c r="CL18" s="318"/>
      <c r="CM18" s="318"/>
      <c r="CN18" s="318"/>
      <c r="CO18" s="318"/>
      <c r="CP18" s="318"/>
      <c r="CQ18" s="318"/>
      <c r="CR18" s="318"/>
      <c r="CS18" s="318"/>
      <c r="CT18" s="318"/>
      <c r="CU18" s="318"/>
      <c r="CV18" s="318"/>
      <c r="CW18" s="318"/>
      <c r="CX18" s="318"/>
      <c r="CY18" s="318"/>
      <c r="CZ18" s="318"/>
      <c r="DA18" s="318"/>
      <c r="DB18" s="318"/>
      <c r="DC18" s="318"/>
      <c r="DD18" s="318"/>
      <c r="DE18" s="318"/>
      <c r="DF18" s="318"/>
      <c r="DG18" s="318"/>
      <c r="DH18" s="318"/>
      <c r="DI18" s="318"/>
      <c r="DJ18" s="318"/>
      <c r="DK18" s="318"/>
      <c r="DL18" s="318"/>
      <c r="DM18" s="318"/>
      <c r="DN18" s="318"/>
      <c r="DO18" s="318"/>
      <c r="DP18" s="318"/>
      <c r="DQ18" s="318"/>
      <c r="DR18" s="318"/>
      <c r="DS18" s="318"/>
      <c r="DT18" s="318"/>
      <c r="DU18" s="318"/>
      <c r="DV18" s="318"/>
      <c r="DW18" s="318"/>
      <c r="DX18" s="318"/>
      <c r="DY18" s="318"/>
      <c r="DZ18" s="318"/>
      <c r="EA18" s="318"/>
      <c r="EB18" s="318"/>
      <c r="EC18" s="318"/>
      <c r="ED18" s="318"/>
      <c r="EE18" s="318"/>
      <c r="EF18" s="318"/>
      <c r="EG18" s="318"/>
      <c r="EH18" s="318"/>
      <c r="EI18" s="318"/>
      <c r="EJ18" s="318"/>
      <c r="EK18" s="318"/>
      <c r="EL18" s="318"/>
      <c r="EM18" s="318"/>
      <c r="EN18" s="318"/>
      <c r="EO18" s="318"/>
      <c r="EP18" s="318"/>
      <c r="EQ18" s="318"/>
      <c r="ER18" s="318"/>
      <c r="ES18" s="318"/>
      <c r="ET18" s="318"/>
      <c r="EU18" s="318"/>
      <c r="EV18" s="318"/>
      <c r="EW18" s="318"/>
      <c r="EX18" s="318"/>
      <c r="EY18" s="318"/>
      <c r="EZ18" s="318"/>
      <c r="FA18" s="318"/>
      <c r="FB18" s="318"/>
      <c r="FC18" s="318"/>
      <c r="FD18" s="318"/>
      <c r="FE18" s="318"/>
      <c r="FF18" s="318"/>
      <c r="FG18" s="318"/>
      <c r="FH18" s="318"/>
      <c r="FI18" s="318"/>
      <c r="FJ18" s="318"/>
      <c r="FK18" s="318"/>
      <c r="FL18" s="318"/>
      <c r="FM18" s="318"/>
      <c r="FN18" s="318"/>
      <c r="FO18" s="318"/>
      <c r="FP18" s="318"/>
      <c r="FQ18" s="318"/>
      <c r="FR18" s="318"/>
      <c r="FS18" s="318"/>
      <c r="FT18" s="318"/>
      <c r="FU18" s="318"/>
      <c r="FV18" s="318"/>
      <c r="FW18" s="318"/>
      <c r="FX18" s="318"/>
      <c r="FY18" s="318"/>
      <c r="FZ18" s="318"/>
      <c r="GA18" s="318"/>
      <c r="GB18" s="318"/>
      <c r="GC18" s="318"/>
      <c r="GD18" s="318"/>
      <c r="GE18" s="318"/>
      <c r="GF18" s="318"/>
      <c r="GG18" s="318"/>
      <c r="GH18" s="318"/>
      <c r="GI18" s="318"/>
      <c r="GJ18" s="318"/>
      <c r="GK18" s="318"/>
      <c r="GL18" s="318"/>
      <c r="GM18" s="318"/>
      <c r="GN18" s="318"/>
      <c r="GO18" s="318"/>
      <c r="GP18" s="318"/>
      <c r="GQ18" s="318"/>
      <c r="GR18" s="318"/>
      <c r="GS18" s="318"/>
      <c r="GT18" s="318"/>
      <c r="GU18" s="318"/>
      <c r="GV18" s="318"/>
      <c r="GW18" s="318"/>
      <c r="GX18" s="318"/>
      <c r="GY18" s="318"/>
      <c r="GZ18" s="318"/>
      <c r="HA18" s="318"/>
      <c r="HB18" s="318"/>
      <c r="HC18" s="318"/>
      <c r="HD18" s="318"/>
      <c r="HE18" s="318"/>
      <c r="HF18" s="318"/>
      <c r="HG18" s="318"/>
      <c r="HH18" s="318"/>
      <c r="HI18" s="318"/>
      <c r="HJ18" s="318"/>
      <c r="HK18" s="318"/>
      <c r="HL18" s="318"/>
      <c r="HM18" s="318"/>
      <c r="HN18" s="318"/>
      <c r="HO18" s="318"/>
      <c r="HP18" s="318"/>
      <c r="HQ18" s="318"/>
      <c r="HR18" s="318"/>
      <c r="HS18" s="318"/>
      <c r="HT18" s="318"/>
      <c r="HU18" s="318"/>
      <c r="HV18" s="318"/>
      <c r="HW18" s="318"/>
      <c r="HX18" s="318"/>
      <c r="HY18" s="318"/>
      <c r="HZ18" s="318"/>
      <c r="IA18" s="318"/>
      <c r="IB18" s="318"/>
      <c r="IC18" s="318"/>
      <c r="ID18" s="318"/>
      <c r="IE18" s="318"/>
      <c r="IF18" s="318"/>
      <c r="IG18" s="318"/>
    </row>
    <row r="19" spans="1:241" s="260" customFormat="1" ht="13.95" hidden="1" customHeight="1" x14ac:dyDescent="0.3">
      <c r="A19" s="181">
        <v>2.0699999999999998</v>
      </c>
      <c r="B19" s="239" t="s">
        <v>306</v>
      </c>
      <c r="C19" s="240" t="str">
        <f>VLOOKUP(BD.PD5[[#This Row],[Pos]],PPto[],3,FALSE)</f>
        <v xml:space="preserve">2.07 Sistema Contra Incendios </v>
      </c>
      <c r="D19" s="241" t="s">
        <v>306</v>
      </c>
      <c r="E19" s="242">
        <f>IF(BD.PD5[[#This Row],[.]]="*",VLOOKUP(BD.PD5[[#This Row],[Pos]],[15]Presupuesto!A:H,7,FALSE),"")</f>
        <v>0</v>
      </c>
      <c r="F19" s="243"/>
      <c r="G19" s="243"/>
      <c r="H19" s="243"/>
      <c r="I19" s="244"/>
      <c r="J19" s="241" t="s">
        <v>188</v>
      </c>
      <c r="K19" s="245">
        <f>IF(BD.PD5[[#This Row],[Mon]]="DOP",1,HLOOKUP(BD.PD5[[#This Row],[Mon]],$J$1:$K$2,2,FALSE))</f>
        <v>64</v>
      </c>
      <c r="L19" s="246">
        <v>0</v>
      </c>
      <c r="M19" s="247">
        <f>BD.PD5[[#This Row],[Cant.]]*BD.PD5[[#This Row],[ Tasa ]]*BD.PD5[[#This Row],[ Precio Und.]]</f>
        <v>0</v>
      </c>
      <c r="N19" s="248"/>
      <c r="O19" s="247">
        <f>IF(BD.PD5[[#This Row],[Liquid. '[%']]]&lt;&gt;0,(BD.PD5[[#This Row],[Valor Neto '[DOP']]]*BD.PD5[[#This Row],[Liquid. '[%']]])+BD.PD5[[#This Row],[Valor Neto '[DOP']]],BD.PD5[[#This Row],[Valor Neto '[DOP']]])</f>
        <v>0</v>
      </c>
      <c r="P19" s="249">
        <f>BD.PD5[[#This Row],[Ppto. Orden Interna '[DOP']]]/HLOOKUP("USD",$J$1:$K$2,2,FALSE)</f>
        <v>0</v>
      </c>
      <c r="Q19" s="250"/>
      <c r="R19" s="250"/>
      <c r="S19" s="250"/>
      <c r="T19" s="250"/>
      <c r="U19" s="250"/>
      <c r="V19" s="243"/>
      <c r="W19" s="251"/>
      <c r="X19" s="252"/>
      <c r="Y19" s="253">
        <f>BD.PD5[[#This Row],[Av.P1 '[%']]]*BD.PD5[[#This Row],[Ppto. Orden Interna '[DOP']]]</f>
        <v>0</v>
      </c>
      <c r="Z19" s="254"/>
      <c r="AA19" s="255"/>
      <c r="AB19" s="253">
        <f>BD.PD5[[#This Row],[Av.P2 '[%']]]*BD.PD5[[#This Row],[Ppto. Orden Interna '[DOP']]]</f>
        <v>0</v>
      </c>
      <c r="AC19" s="254"/>
      <c r="AD19" s="255"/>
      <c r="AE19" s="253">
        <f>BD.PD5[[#This Row],[Av.P3 '[%']]]*BD.PD5[[#This Row],[Ppto. Orden Interna '[DOP']]]</f>
        <v>0</v>
      </c>
      <c r="AF19" s="254"/>
      <c r="AG19" s="255"/>
      <c r="AH19" s="253">
        <f>BD.PD5[[#This Row],[Av.P4 '[%']]]*BD.PD5[[#This Row],[Ppto. Orden Interna '[DOP']]]</f>
        <v>0</v>
      </c>
      <c r="AI19" s="254"/>
      <c r="AJ19" s="255"/>
      <c r="AK19" s="253">
        <f>BD.PD5[[#This Row],[Av.P5 '[%']]]*BD.PD5[[#This Row],[Ppto. Orden Interna '[DOP']]]</f>
        <v>0</v>
      </c>
      <c r="AL19" s="256">
        <f>BD.PD5[[#This Row],[Pago 5]]+BD.PD5[[#This Row],[Pago 4]]+BD.PD5[[#This Row],[Pago 3]]+BD.PD5[[#This Row],[Pago 2]]+BD.PD5[[#This Row],[Pago 1]]</f>
        <v>0</v>
      </c>
      <c r="AM19" s="318"/>
      <c r="AN19" s="318"/>
      <c r="AO19" s="318"/>
      <c r="AP19" s="318"/>
      <c r="AQ19" s="318"/>
      <c r="AR19" s="318"/>
      <c r="AS19" s="318"/>
      <c r="AT19" s="318"/>
      <c r="AU19" s="318"/>
      <c r="AV19" s="318"/>
      <c r="AW19" s="318"/>
      <c r="AX19" s="318"/>
      <c r="AY19" s="318"/>
      <c r="AZ19" s="318"/>
      <c r="BA19" s="318"/>
      <c r="BB19" s="318"/>
      <c r="BC19" s="318"/>
      <c r="BD19" s="318"/>
      <c r="BE19" s="318"/>
      <c r="BF19" s="318"/>
      <c r="BG19" s="318"/>
      <c r="BH19" s="318"/>
      <c r="BI19" s="318"/>
      <c r="BJ19" s="318"/>
      <c r="BK19" s="318"/>
      <c r="BL19" s="318"/>
      <c r="BM19" s="318"/>
      <c r="BN19" s="318"/>
      <c r="BO19" s="318"/>
      <c r="BP19" s="318"/>
      <c r="BQ19" s="318"/>
      <c r="BR19" s="318"/>
      <c r="BS19" s="318"/>
      <c r="BT19" s="318"/>
      <c r="BU19" s="318"/>
      <c r="BV19" s="318"/>
      <c r="BW19" s="318"/>
      <c r="BX19" s="318"/>
      <c r="BY19" s="318"/>
      <c r="BZ19" s="318"/>
      <c r="CA19" s="318"/>
      <c r="CB19" s="318"/>
      <c r="CC19" s="318"/>
      <c r="CD19" s="318"/>
      <c r="CE19" s="318"/>
      <c r="CF19" s="318"/>
      <c r="CG19" s="318"/>
      <c r="CH19" s="318"/>
      <c r="CI19" s="318"/>
      <c r="CJ19" s="318"/>
      <c r="CK19" s="318"/>
      <c r="CL19" s="318"/>
      <c r="CM19" s="318"/>
      <c r="CN19" s="318"/>
      <c r="CO19" s="318"/>
      <c r="CP19" s="318"/>
      <c r="CQ19" s="318"/>
      <c r="CR19" s="318"/>
      <c r="CS19" s="318"/>
      <c r="CT19" s="318"/>
      <c r="CU19" s="318"/>
      <c r="CV19" s="318"/>
      <c r="CW19" s="318"/>
      <c r="CX19" s="318"/>
      <c r="CY19" s="318"/>
      <c r="CZ19" s="318"/>
      <c r="DA19" s="318"/>
      <c r="DB19" s="318"/>
      <c r="DC19" s="318"/>
      <c r="DD19" s="318"/>
      <c r="DE19" s="318"/>
      <c r="DF19" s="318"/>
      <c r="DG19" s="318"/>
      <c r="DH19" s="318"/>
      <c r="DI19" s="318"/>
      <c r="DJ19" s="318"/>
      <c r="DK19" s="318"/>
      <c r="DL19" s="318"/>
      <c r="DM19" s="318"/>
      <c r="DN19" s="318"/>
      <c r="DO19" s="318"/>
      <c r="DP19" s="318"/>
      <c r="DQ19" s="318"/>
      <c r="DR19" s="318"/>
      <c r="DS19" s="318"/>
      <c r="DT19" s="318"/>
      <c r="DU19" s="318"/>
      <c r="DV19" s="318"/>
      <c r="DW19" s="318"/>
      <c r="DX19" s="318"/>
      <c r="DY19" s="318"/>
      <c r="DZ19" s="318"/>
      <c r="EA19" s="318"/>
      <c r="EB19" s="318"/>
      <c r="EC19" s="318"/>
      <c r="ED19" s="318"/>
      <c r="EE19" s="318"/>
      <c r="EF19" s="318"/>
      <c r="EG19" s="318"/>
      <c r="EH19" s="318"/>
      <c r="EI19" s="318"/>
      <c r="EJ19" s="318"/>
      <c r="EK19" s="318"/>
      <c r="EL19" s="318"/>
      <c r="EM19" s="318"/>
      <c r="EN19" s="318"/>
      <c r="EO19" s="318"/>
      <c r="EP19" s="318"/>
      <c r="EQ19" s="318"/>
      <c r="ER19" s="318"/>
      <c r="ES19" s="318"/>
      <c r="ET19" s="318"/>
      <c r="EU19" s="318"/>
      <c r="EV19" s="318"/>
      <c r="EW19" s="318"/>
      <c r="EX19" s="318"/>
      <c r="EY19" s="318"/>
      <c r="EZ19" s="318"/>
      <c r="FA19" s="318"/>
      <c r="FB19" s="318"/>
      <c r="FC19" s="318"/>
      <c r="FD19" s="318"/>
      <c r="FE19" s="318"/>
      <c r="FF19" s="318"/>
      <c r="FG19" s="318"/>
      <c r="FH19" s="318"/>
      <c r="FI19" s="318"/>
      <c r="FJ19" s="318"/>
      <c r="FK19" s="318"/>
      <c r="FL19" s="318"/>
      <c r="FM19" s="318"/>
      <c r="FN19" s="318"/>
      <c r="FO19" s="318"/>
      <c r="FP19" s="318"/>
      <c r="FQ19" s="318"/>
      <c r="FR19" s="318"/>
      <c r="FS19" s="318"/>
      <c r="FT19" s="318"/>
      <c r="FU19" s="318"/>
      <c r="FV19" s="318"/>
      <c r="FW19" s="318"/>
      <c r="FX19" s="318"/>
      <c r="FY19" s="318"/>
      <c r="FZ19" s="318"/>
      <c r="GA19" s="318"/>
      <c r="GB19" s="318"/>
      <c r="GC19" s="318"/>
      <c r="GD19" s="318"/>
      <c r="GE19" s="318"/>
      <c r="GF19" s="318"/>
      <c r="GG19" s="318"/>
      <c r="GH19" s="318"/>
      <c r="GI19" s="318"/>
      <c r="GJ19" s="318"/>
      <c r="GK19" s="318"/>
      <c r="GL19" s="318"/>
      <c r="GM19" s="318"/>
      <c r="GN19" s="318"/>
      <c r="GO19" s="318"/>
      <c r="GP19" s="318"/>
      <c r="GQ19" s="318"/>
      <c r="GR19" s="318"/>
      <c r="GS19" s="318"/>
      <c r="GT19" s="318"/>
      <c r="GU19" s="318"/>
      <c r="GV19" s="318"/>
      <c r="GW19" s="318"/>
      <c r="GX19" s="318"/>
      <c r="GY19" s="318"/>
      <c r="GZ19" s="318"/>
      <c r="HA19" s="318"/>
      <c r="HB19" s="318"/>
      <c r="HC19" s="318"/>
      <c r="HD19" s="318"/>
      <c r="HE19" s="318"/>
      <c r="HF19" s="318"/>
      <c r="HG19" s="318"/>
      <c r="HH19" s="318"/>
      <c r="HI19" s="318"/>
      <c r="HJ19" s="318"/>
      <c r="HK19" s="318"/>
      <c r="HL19" s="318"/>
      <c r="HM19" s="318"/>
      <c r="HN19" s="318"/>
      <c r="HO19" s="318"/>
      <c r="HP19" s="318"/>
      <c r="HQ19" s="318"/>
      <c r="HR19" s="318"/>
      <c r="HS19" s="318"/>
      <c r="HT19" s="318"/>
      <c r="HU19" s="318"/>
      <c r="HV19" s="318"/>
      <c r="HW19" s="318"/>
      <c r="HX19" s="318"/>
      <c r="HY19" s="318"/>
      <c r="HZ19" s="318"/>
      <c r="IA19" s="318"/>
      <c r="IB19" s="318"/>
      <c r="IC19" s="318"/>
      <c r="ID19" s="318"/>
      <c r="IE19" s="318"/>
      <c r="IF19" s="318"/>
      <c r="IG19" s="318"/>
    </row>
    <row r="20" spans="1:241" s="260" customFormat="1" hidden="1" x14ac:dyDescent="0.3">
      <c r="A20" s="181">
        <v>2.08</v>
      </c>
      <c r="B20" s="239" t="s">
        <v>306</v>
      </c>
      <c r="C20" s="240" t="str">
        <f>VLOOKUP(BD.PD5[[#This Row],[Pos]],PPto[],3,FALSE)</f>
        <v>2.08 Instalaciones Mecánicas</v>
      </c>
      <c r="D20" s="241" t="s">
        <v>306</v>
      </c>
      <c r="E20" s="242">
        <f>IF(BD.PD5[[#This Row],[.]]="*",VLOOKUP(BD.PD5[[#This Row],[Pos]],[15]Presupuesto!A:H,7,FALSE),"")</f>
        <v>0</v>
      </c>
      <c r="F20" s="243"/>
      <c r="G20" s="243"/>
      <c r="H20" s="243"/>
      <c r="I20" s="244"/>
      <c r="J20" s="241" t="s">
        <v>188</v>
      </c>
      <c r="K20" s="245">
        <f>IF(BD.PD5[[#This Row],[Mon]]="DOP",1,HLOOKUP(BD.PD5[[#This Row],[Mon]],$J$1:$K$2,2,FALSE))</f>
        <v>64</v>
      </c>
      <c r="L20" s="246">
        <v>0</v>
      </c>
      <c r="M20" s="247">
        <f>BD.PD5[[#This Row],[Cant.]]*BD.PD5[[#This Row],[ Tasa ]]*BD.PD5[[#This Row],[ Precio Und.]]</f>
        <v>0</v>
      </c>
      <c r="N20" s="248"/>
      <c r="O20" s="247">
        <f>IF(BD.PD5[[#This Row],[Liquid. '[%']]]&lt;&gt;0,(BD.PD5[[#This Row],[Valor Neto '[DOP']]]*BD.PD5[[#This Row],[Liquid. '[%']]])+BD.PD5[[#This Row],[Valor Neto '[DOP']]],BD.PD5[[#This Row],[Valor Neto '[DOP']]])</f>
        <v>0</v>
      </c>
      <c r="P20" s="249">
        <f>BD.PD5[[#This Row],[Ppto. Orden Interna '[DOP']]]/HLOOKUP("USD",$J$1:$K$2,2,FALSE)</f>
        <v>0</v>
      </c>
      <c r="Q20" s="250"/>
      <c r="R20" s="250"/>
      <c r="S20" s="250"/>
      <c r="T20" s="250"/>
      <c r="U20" s="250"/>
      <c r="V20" s="258"/>
      <c r="W20" s="251"/>
      <c r="X20" s="252"/>
      <c r="Y20" s="253">
        <f>BD.PD5[[#This Row],[Av.P1 '[%']]]*BD.PD5[[#This Row],[Ppto. Orden Interna '[DOP']]]</f>
        <v>0</v>
      </c>
      <c r="Z20" s="254"/>
      <c r="AA20" s="255"/>
      <c r="AB20" s="253">
        <f>BD.PD5[[#This Row],[Av.P2 '[%']]]*BD.PD5[[#This Row],[Ppto. Orden Interna '[DOP']]]</f>
        <v>0</v>
      </c>
      <c r="AC20" s="254"/>
      <c r="AD20" s="255"/>
      <c r="AE20" s="253">
        <f>BD.PD5[[#This Row],[Av.P3 '[%']]]*BD.PD5[[#This Row],[Ppto. Orden Interna '[DOP']]]</f>
        <v>0</v>
      </c>
      <c r="AF20" s="254"/>
      <c r="AG20" s="255"/>
      <c r="AH20" s="253">
        <f>BD.PD5[[#This Row],[Av.P4 '[%']]]*BD.PD5[[#This Row],[Ppto. Orden Interna '[DOP']]]</f>
        <v>0</v>
      </c>
      <c r="AI20" s="254"/>
      <c r="AJ20" s="255"/>
      <c r="AK20" s="253">
        <f>BD.PD5[[#This Row],[Av.P5 '[%']]]*BD.PD5[[#This Row],[Ppto. Orden Interna '[DOP']]]</f>
        <v>0</v>
      </c>
      <c r="AL20" s="256">
        <f>BD.PD5[[#This Row],[Pago 5]]+BD.PD5[[#This Row],[Pago 4]]+BD.PD5[[#This Row],[Pago 3]]+BD.PD5[[#This Row],[Pago 2]]+BD.PD5[[#This Row],[Pago 1]]</f>
        <v>0</v>
      </c>
      <c r="AM20" s="318"/>
      <c r="AN20" s="318"/>
      <c r="AO20" s="318"/>
      <c r="AP20" s="318"/>
      <c r="AQ20" s="318"/>
      <c r="AR20" s="318"/>
      <c r="AS20" s="318"/>
      <c r="AT20" s="318"/>
      <c r="AU20" s="318"/>
      <c r="AV20" s="318"/>
      <c r="AW20" s="318"/>
      <c r="AX20" s="318"/>
      <c r="AY20" s="318"/>
      <c r="AZ20" s="318"/>
      <c r="BA20" s="318"/>
      <c r="BB20" s="318"/>
      <c r="BC20" s="318"/>
      <c r="BD20" s="318"/>
      <c r="BE20" s="318"/>
      <c r="BF20" s="318"/>
      <c r="BG20" s="318"/>
      <c r="BH20" s="318"/>
      <c r="BI20" s="318"/>
      <c r="BJ20" s="318"/>
      <c r="BK20" s="318"/>
      <c r="BL20" s="318"/>
      <c r="BM20" s="318"/>
      <c r="BN20" s="318"/>
      <c r="BO20" s="318"/>
      <c r="BP20" s="318"/>
      <c r="BQ20" s="318"/>
      <c r="BR20" s="318"/>
      <c r="BS20" s="318"/>
      <c r="BT20" s="318"/>
      <c r="BU20" s="318"/>
      <c r="BV20" s="318"/>
      <c r="BW20" s="318"/>
      <c r="BX20" s="318"/>
      <c r="BY20" s="318"/>
      <c r="BZ20" s="318"/>
      <c r="CA20" s="318"/>
      <c r="CB20" s="318"/>
      <c r="CC20" s="318"/>
      <c r="CD20" s="318"/>
      <c r="CE20" s="318"/>
      <c r="CF20" s="318"/>
      <c r="CG20" s="318"/>
      <c r="CH20" s="318"/>
      <c r="CI20" s="318"/>
      <c r="CJ20" s="318"/>
      <c r="CK20" s="318"/>
      <c r="CL20" s="318"/>
      <c r="CM20" s="318"/>
      <c r="CN20" s="318"/>
      <c r="CO20" s="318"/>
      <c r="CP20" s="318"/>
      <c r="CQ20" s="318"/>
      <c r="CR20" s="318"/>
      <c r="CS20" s="318"/>
      <c r="CT20" s="318"/>
      <c r="CU20" s="318"/>
      <c r="CV20" s="318"/>
      <c r="CW20" s="318"/>
      <c r="CX20" s="318"/>
      <c r="CY20" s="318"/>
      <c r="CZ20" s="318"/>
      <c r="DA20" s="318"/>
      <c r="DB20" s="318"/>
      <c r="DC20" s="318"/>
      <c r="DD20" s="318"/>
      <c r="DE20" s="318"/>
      <c r="DF20" s="318"/>
      <c r="DG20" s="318"/>
      <c r="DH20" s="318"/>
      <c r="DI20" s="318"/>
      <c r="DJ20" s="318"/>
      <c r="DK20" s="318"/>
      <c r="DL20" s="318"/>
      <c r="DM20" s="318"/>
      <c r="DN20" s="318"/>
      <c r="DO20" s="318"/>
      <c r="DP20" s="318"/>
      <c r="DQ20" s="318"/>
      <c r="DR20" s="318"/>
      <c r="DS20" s="318"/>
      <c r="DT20" s="318"/>
      <c r="DU20" s="318"/>
      <c r="DV20" s="318"/>
      <c r="DW20" s="318"/>
      <c r="DX20" s="318"/>
      <c r="DY20" s="318"/>
      <c r="DZ20" s="318"/>
      <c r="EA20" s="318"/>
      <c r="EB20" s="318"/>
      <c r="EC20" s="318"/>
      <c r="ED20" s="318"/>
      <c r="EE20" s="318"/>
      <c r="EF20" s="318"/>
      <c r="EG20" s="318"/>
      <c r="EH20" s="318"/>
      <c r="EI20" s="318"/>
      <c r="EJ20" s="318"/>
      <c r="EK20" s="318"/>
      <c r="EL20" s="318"/>
      <c r="EM20" s="318"/>
      <c r="EN20" s="318"/>
      <c r="EO20" s="318"/>
      <c r="EP20" s="318"/>
      <c r="EQ20" s="318"/>
      <c r="ER20" s="318"/>
      <c r="ES20" s="318"/>
      <c r="ET20" s="318"/>
      <c r="EU20" s="318"/>
      <c r="EV20" s="318"/>
      <c r="EW20" s="318"/>
      <c r="EX20" s="318"/>
      <c r="EY20" s="318"/>
      <c r="EZ20" s="318"/>
      <c r="FA20" s="318"/>
      <c r="FB20" s="318"/>
      <c r="FC20" s="318"/>
      <c r="FD20" s="318"/>
      <c r="FE20" s="318"/>
      <c r="FF20" s="318"/>
      <c r="FG20" s="318"/>
      <c r="FH20" s="318"/>
      <c r="FI20" s="318"/>
      <c r="FJ20" s="318"/>
      <c r="FK20" s="318"/>
      <c r="FL20" s="318"/>
      <c r="FM20" s="318"/>
      <c r="FN20" s="318"/>
      <c r="FO20" s="318"/>
      <c r="FP20" s="318"/>
      <c r="FQ20" s="318"/>
      <c r="FR20" s="318"/>
      <c r="FS20" s="318"/>
      <c r="FT20" s="318"/>
      <c r="FU20" s="318"/>
      <c r="FV20" s="318"/>
      <c r="FW20" s="318"/>
      <c r="FX20" s="318"/>
      <c r="FY20" s="318"/>
      <c r="FZ20" s="318"/>
      <c r="GA20" s="318"/>
      <c r="GB20" s="318"/>
      <c r="GC20" s="318"/>
      <c r="GD20" s="318"/>
      <c r="GE20" s="318"/>
      <c r="GF20" s="318"/>
      <c r="GG20" s="318"/>
      <c r="GH20" s="318"/>
      <c r="GI20" s="318"/>
      <c r="GJ20" s="318"/>
      <c r="GK20" s="318"/>
      <c r="GL20" s="318"/>
      <c r="GM20" s="318"/>
      <c r="GN20" s="318"/>
      <c r="GO20" s="318"/>
      <c r="GP20" s="318"/>
      <c r="GQ20" s="318"/>
      <c r="GR20" s="318"/>
      <c r="GS20" s="318"/>
      <c r="GT20" s="318"/>
      <c r="GU20" s="318"/>
      <c r="GV20" s="318"/>
      <c r="GW20" s="318"/>
      <c r="GX20" s="318"/>
      <c r="GY20" s="318"/>
      <c r="GZ20" s="318"/>
      <c r="HA20" s="318"/>
      <c r="HB20" s="318"/>
      <c r="HC20" s="318"/>
      <c r="HD20" s="318"/>
      <c r="HE20" s="318"/>
      <c r="HF20" s="318"/>
      <c r="HG20" s="318"/>
      <c r="HH20" s="318"/>
      <c r="HI20" s="318"/>
      <c r="HJ20" s="318"/>
      <c r="HK20" s="318"/>
      <c r="HL20" s="318"/>
      <c r="HM20" s="318"/>
      <c r="HN20" s="318"/>
      <c r="HO20" s="318"/>
      <c r="HP20" s="318"/>
      <c r="HQ20" s="318"/>
      <c r="HR20" s="318"/>
      <c r="HS20" s="318"/>
      <c r="HT20" s="318"/>
      <c r="HU20" s="318"/>
      <c r="HV20" s="318"/>
      <c r="HW20" s="318"/>
      <c r="HX20" s="318"/>
      <c r="HY20" s="318"/>
      <c r="HZ20" s="318"/>
      <c r="IA20" s="318"/>
      <c r="IB20" s="318"/>
      <c r="IC20" s="318"/>
      <c r="ID20" s="318"/>
      <c r="IE20" s="318"/>
      <c r="IF20" s="318"/>
      <c r="IG20" s="318"/>
    </row>
    <row r="21" spans="1:241" s="260" customFormat="1" ht="14.4" x14ac:dyDescent="0.3">
      <c r="A21" s="181">
        <v>2.08</v>
      </c>
      <c r="B21" s="239"/>
      <c r="C21" s="240" t="str">
        <f>VLOOKUP(BD.PD5[[#This Row],[Pos]],PPto[],3,FALSE)</f>
        <v>2.08 Instalaciones Mecánicas</v>
      </c>
      <c r="D21" s="181" t="s">
        <v>40</v>
      </c>
      <c r="E21" s="242" t="str">
        <f>IF(BD.PD5[[#This Row],[.]]="*",VLOOKUP(BD.PD5[[#This Row],[Pos]],[15]Presupuesto!A:H,7,FALSE),"")</f>
        <v/>
      </c>
      <c r="F21" s="361" t="s">
        <v>712</v>
      </c>
      <c r="G21" s="243" t="s">
        <v>308</v>
      </c>
      <c r="H21" s="243"/>
      <c r="I21" s="345">
        <v>1</v>
      </c>
      <c r="J21" s="181" t="s">
        <v>314</v>
      </c>
      <c r="K21" s="245">
        <f>IF(BD.PD5[[#This Row],[Mon]]="DOP",1,HLOOKUP(BD.PD5[[#This Row],[Mon]],$J$1:$K$2,2,FALSE))</f>
        <v>1</v>
      </c>
      <c r="L21" s="277">
        <v>10588.98</v>
      </c>
      <c r="M21" s="247">
        <f>BD.PD5[[#This Row],[Cant.]]*BD.PD5[[#This Row],[ Tasa ]]*BD.PD5[[#This Row],[ Precio Und.]]</f>
        <v>10588.98</v>
      </c>
      <c r="N21" s="278"/>
      <c r="O21" s="247">
        <f>IF(BD.PD5[[#This Row],[Liquid. '[%']]]&lt;&gt;0,(BD.PD5[[#This Row],[Valor Neto '[DOP']]]*BD.PD5[[#This Row],[Liquid. '[%']]])+BD.PD5[[#This Row],[Valor Neto '[DOP']]],BD.PD5[[#This Row],[Valor Neto '[DOP']]])</f>
        <v>10588.98</v>
      </c>
      <c r="P21" s="257">
        <f>BD.PD5[[#This Row],[Ppto. Orden Interna '[DOP']]]/HLOOKUP("USD",$J$1:$K$2,2,FALSE)</f>
        <v>165.45281249999999</v>
      </c>
      <c r="Q21" s="339" t="s">
        <v>713</v>
      </c>
      <c r="R21" s="250"/>
      <c r="S21" s="250"/>
      <c r="T21" s="250"/>
      <c r="U21" s="250"/>
      <c r="V21" s="258" t="s">
        <v>494</v>
      </c>
      <c r="W21" s="251">
        <v>1</v>
      </c>
      <c r="X21" s="252">
        <v>1</v>
      </c>
      <c r="Y21" s="259">
        <f>BD.PD5[[#This Row],[Av.P1 '[%']]]*BD.PD5[[#This Row],[Ppto. Orden Interna '[DOP']]]</f>
        <v>10588.98</v>
      </c>
      <c r="Z21" s="254"/>
      <c r="AA21" s="255"/>
      <c r="AB21" s="259">
        <f>BD.PD5[[#This Row],[Av.P2 '[%']]]*BD.PD5[[#This Row],[Ppto. Orden Interna '[DOP']]]</f>
        <v>0</v>
      </c>
      <c r="AC21" s="254"/>
      <c r="AD21" s="255"/>
      <c r="AE21" s="259">
        <f>BD.PD5[[#This Row],[Av.P3 '[%']]]*BD.PD5[[#This Row],[Ppto. Orden Interna '[DOP']]]</f>
        <v>0</v>
      </c>
      <c r="AF21" s="254"/>
      <c r="AG21" s="255"/>
      <c r="AH21" s="259">
        <f>BD.PD5[[#This Row],[Av.P4 '[%']]]*BD.PD5[[#This Row],[Ppto. Orden Interna '[DOP']]]</f>
        <v>0</v>
      </c>
      <c r="AI21" s="254"/>
      <c r="AJ21" s="255"/>
      <c r="AK21" s="259">
        <f>BD.PD5[[#This Row],[Av.P5 '[%']]]*BD.PD5[[#This Row],[Ppto. Orden Interna '[DOP']]]</f>
        <v>0</v>
      </c>
      <c r="AL21" s="256">
        <f>BD.PD5[[#This Row],[Pago 5]]+BD.PD5[[#This Row],[Pago 4]]+BD.PD5[[#This Row],[Pago 3]]+BD.PD5[[#This Row],[Pago 2]]+BD.PD5[[#This Row],[Pago 1]]</f>
        <v>10588.98</v>
      </c>
      <c r="AM21" s="318"/>
      <c r="AN21" s="318"/>
      <c r="AO21" s="318"/>
      <c r="AP21" s="318"/>
      <c r="AQ21" s="318"/>
      <c r="AR21" s="318"/>
      <c r="AS21" s="318"/>
      <c r="AT21" s="318"/>
      <c r="AU21" s="318"/>
      <c r="AV21" s="318"/>
      <c r="AW21" s="318"/>
      <c r="AX21" s="318"/>
      <c r="AY21" s="318"/>
      <c r="AZ21" s="318"/>
      <c r="BA21" s="318"/>
      <c r="BB21" s="318"/>
      <c r="BC21" s="318"/>
      <c r="BD21" s="318"/>
      <c r="BE21" s="318"/>
      <c r="BF21" s="318"/>
      <c r="BG21" s="318"/>
      <c r="BH21" s="318"/>
      <c r="BI21" s="318"/>
      <c r="BJ21" s="318"/>
      <c r="BK21" s="318"/>
      <c r="BL21" s="318"/>
      <c r="BM21" s="318"/>
      <c r="BN21" s="318"/>
      <c r="BO21" s="318"/>
      <c r="BP21" s="318"/>
      <c r="BQ21" s="318"/>
      <c r="BR21" s="318"/>
      <c r="BS21" s="318"/>
      <c r="BT21" s="318"/>
      <c r="BU21" s="318"/>
      <c r="BV21" s="318"/>
      <c r="BW21" s="318"/>
      <c r="BX21" s="318"/>
      <c r="BY21" s="318"/>
      <c r="BZ21" s="318"/>
      <c r="CA21" s="318"/>
      <c r="CB21" s="318"/>
      <c r="CC21" s="318"/>
      <c r="CD21" s="318"/>
      <c r="CE21" s="318"/>
      <c r="CF21" s="318"/>
      <c r="CG21" s="318"/>
      <c r="CH21" s="318"/>
      <c r="CI21" s="318"/>
      <c r="CJ21" s="318"/>
      <c r="CK21" s="318"/>
      <c r="CL21" s="318"/>
      <c r="CM21" s="318"/>
      <c r="CN21" s="318"/>
      <c r="CO21" s="318"/>
      <c r="CP21" s="318"/>
      <c r="CQ21" s="318"/>
      <c r="CR21" s="318"/>
      <c r="CS21" s="318"/>
      <c r="CT21" s="318"/>
      <c r="CU21" s="318"/>
      <c r="CV21" s="318"/>
      <c r="CW21" s="318"/>
      <c r="CX21" s="318"/>
      <c r="CY21" s="318"/>
      <c r="CZ21" s="318"/>
      <c r="DA21" s="318"/>
      <c r="DB21" s="318"/>
      <c r="DC21" s="318"/>
      <c r="DD21" s="318"/>
      <c r="DE21" s="318"/>
      <c r="DF21" s="318"/>
      <c r="DG21" s="318"/>
      <c r="DH21" s="318"/>
      <c r="DI21" s="318"/>
      <c r="DJ21" s="318"/>
      <c r="DK21" s="318"/>
      <c r="DL21" s="318"/>
      <c r="DM21" s="318"/>
      <c r="DN21" s="318"/>
      <c r="DO21" s="318"/>
      <c r="DP21" s="318"/>
      <c r="DQ21" s="318"/>
      <c r="DR21" s="318"/>
      <c r="DS21" s="318"/>
      <c r="DT21" s="318"/>
      <c r="DU21" s="318"/>
      <c r="DV21" s="318"/>
      <c r="DW21" s="318"/>
      <c r="DX21" s="318"/>
      <c r="DY21" s="318"/>
      <c r="DZ21" s="318"/>
      <c r="EA21" s="318"/>
      <c r="EB21" s="318"/>
      <c r="EC21" s="318"/>
      <c r="ED21" s="318"/>
      <c r="EE21" s="318"/>
      <c r="EF21" s="318"/>
      <c r="EG21" s="318"/>
      <c r="EH21" s="318"/>
      <c r="EI21" s="318"/>
      <c r="EJ21" s="318"/>
      <c r="EK21" s="318"/>
      <c r="EL21" s="318"/>
      <c r="EM21" s="318"/>
      <c r="EN21" s="318"/>
      <c r="EO21" s="318"/>
      <c r="EP21" s="318"/>
      <c r="EQ21" s="318"/>
      <c r="ER21" s="318"/>
      <c r="ES21" s="318"/>
      <c r="ET21" s="318"/>
      <c r="EU21" s="318"/>
      <c r="EV21" s="318"/>
      <c r="EW21" s="318"/>
      <c r="EX21" s="318"/>
      <c r="EY21" s="318"/>
      <c r="EZ21" s="318"/>
      <c r="FA21" s="318"/>
      <c r="FB21" s="318"/>
      <c r="FC21" s="318"/>
      <c r="FD21" s="318"/>
      <c r="FE21" s="318"/>
      <c r="FF21" s="318"/>
      <c r="FG21" s="318"/>
      <c r="FH21" s="318"/>
      <c r="FI21" s="318"/>
      <c r="FJ21" s="318"/>
      <c r="FK21" s="318"/>
      <c r="FL21" s="318"/>
      <c r="FM21" s="318"/>
      <c r="FN21" s="318"/>
      <c r="FO21" s="318"/>
      <c r="FP21" s="318"/>
      <c r="FQ21" s="318"/>
      <c r="FR21" s="318"/>
      <c r="FS21" s="318"/>
      <c r="FT21" s="318"/>
      <c r="FU21" s="318"/>
      <c r="FV21" s="318"/>
      <c r="FW21" s="318"/>
      <c r="FX21" s="318"/>
      <c r="FY21" s="318"/>
      <c r="FZ21" s="318"/>
      <c r="GA21" s="318"/>
      <c r="GB21" s="318"/>
      <c r="GC21" s="318"/>
      <c r="GD21" s="318"/>
      <c r="GE21" s="318"/>
      <c r="GF21" s="318"/>
      <c r="GG21" s="318"/>
      <c r="GH21" s="318"/>
      <c r="GI21" s="318"/>
      <c r="GJ21" s="318"/>
      <c r="GK21" s="318"/>
      <c r="GL21" s="318"/>
      <c r="GM21" s="318"/>
      <c r="GN21" s="318"/>
      <c r="GO21" s="318"/>
      <c r="GP21" s="318"/>
      <c r="GQ21" s="318"/>
      <c r="GR21" s="318"/>
      <c r="GS21" s="318"/>
      <c r="GT21" s="318"/>
      <c r="GU21" s="318"/>
      <c r="GV21" s="318"/>
      <c r="GW21" s="318"/>
      <c r="GX21" s="318"/>
      <c r="GY21" s="318"/>
      <c r="GZ21" s="318"/>
      <c r="HA21" s="318"/>
      <c r="HB21" s="318"/>
      <c r="HC21" s="318"/>
      <c r="HD21" s="318"/>
      <c r="HE21" s="318"/>
      <c r="HF21" s="318"/>
      <c r="HG21" s="318"/>
      <c r="HH21" s="318"/>
      <c r="HI21" s="318"/>
      <c r="HJ21" s="318"/>
      <c r="HK21" s="318"/>
      <c r="HL21" s="318"/>
      <c r="HM21" s="318"/>
      <c r="HN21" s="318"/>
      <c r="HO21" s="318"/>
      <c r="HP21" s="318"/>
      <c r="HQ21" s="318"/>
      <c r="HR21" s="318"/>
      <c r="HS21" s="318"/>
      <c r="HT21" s="318"/>
      <c r="HU21" s="318"/>
      <c r="HV21" s="318"/>
      <c r="HW21" s="318"/>
      <c r="HX21" s="318"/>
      <c r="HY21" s="318"/>
      <c r="HZ21" s="318"/>
      <c r="IA21" s="318"/>
      <c r="IB21" s="318"/>
      <c r="IC21" s="318"/>
      <c r="ID21" s="318"/>
      <c r="IE21" s="318"/>
      <c r="IF21" s="318"/>
      <c r="IG21" s="318"/>
    </row>
    <row r="22" spans="1:241" s="260" customFormat="1" hidden="1" x14ac:dyDescent="0.3">
      <c r="A22" s="181">
        <v>2.09</v>
      </c>
      <c r="B22" s="239" t="s">
        <v>306</v>
      </c>
      <c r="C22" s="240" t="str">
        <f>VLOOKUP(BD.PD5[[#This Row],[Pos]],PPto[],3,FALSE)</f>
        <v>2.09 Rejillas y Sumideros</v>
      </c>
      <c r="D22" s="241" t="s">
        <v>306</v>
      </c>
      <c r="E22" s="242">
        <f>IF(BD.PD5[[#This Row],[.]]="*",VLOOKUP(BD.PD5[[#This Row],[Pos]],[15]Presupuesto!A:H,7,FALSE),"")</f>
        <v>0</v>
      </c>
      <c r="F22" s="243"/>
      <c r="G22" s="243"/>
      <c r="H22" s="243"/>
      <c r="I22" s="244"/>
      <c r="J22" s="241" t="s">
        <v>188</v>
      </c>
      <c r="K22" s="245">
        <f>IF(BD.PD5[[#This Row],[Mon]]="DOP",1,HLOOKUP(BD.PD5[[#This Row],[Mon]],$J$1:$K$2,2,FALSE))</f>
        <v>64</v>
      </c>
      <c r="L22" s="246">
        <v>0</v>
      </c>
      <c r="M22" s="247">
        <f>BD.PD5[[#This Row],[Cant.]]*BD.PD5[[#This Row],[ Tasa ]]*BD.PD5[[#This Row],[ Precio Und.]]</f>
        <v>0</v>
      </c>
      <c r="N22" s="248"/>
      <c r="O22" s="247">
        <f>IF(BD.PD5[[#This Row],[Liquid. '[%']]]&lt;&gt;0,(BD.PD5[[#This Row],[Valor Neto '[DOP']]]*BD.PD5[[#This Row],[Liquid. '[%']]])+BD.PD5[[#This Row],[Valor Neto '[DOP']]],BD.PD5[[#This Row],[Valor Neto '[DOP']]])</f>
        <v>0</v>
      </c>
      <c r="P22" s="249">
        <f>BD.PD5[[#This Row],[Ppto. Orden Interna '[DOP']]]/HLOOKUP("USD",$J$1:$K$2,2,FALSE)</f>
        <v>0</v>
      </c>
      <c r="Q22" s="250"/>
      <c r="R22" s="250"/>
      <c r="S22" s="250"/>
      <c r="T22" s="250"/>
      <c r="U22" s="250"/>
      <c r="V22" s="243"/>
      <c r="W22" s="251"/>
      <c r="X22" s="252"/>
      <c r="Y22" s="253">
        <f>BD.PD5[[#This Row],[Av.P1 '[%']]]*BD.PD5[[#This Row],[Ppto. Orden Interna '[DOP']]]</f>
        <v>0</v>
      </c>
      <c r="Z22" s="254"/>
      <c r="AA22" s="255"/>
      <c r="AB22" s="253">
        <f>BD.PD5[[#This Row],[Av.P2 '[%']]]*BD.PD5[[#This Row],[Ppto. Orden Interna '[DOP']]]</f>
        <v>0</v>
      </c>
      <c r="AC22" s="254"/>
      <c r="AD22" s="255"/>
      <c r="AE22" s="253">
        <f>BD.PD5[[#This Row],[Av.P3 '[%']]]*BD.PD5[[#This Row],[Ppto. Orden Interna '[DOP']]]</f>
        <v>0</v>
      </c>
      <c r="AF22" s="254"/>
      <c r="AG22" s="255"/>
      <c r="AH22" s="253">
        <f>BD.PD5[[#This Row],[Av.P4 '[%']]]*BD.PD5[[#This Row],[Ppto. Orden Interna '[DOP']]]</f>
        <v>0</v>
      </c>
      <c r="AI22" s="254"/>
      <c r="AJ22" s="255"/>
      <c r="AK22" s="253">
        <f>BD.PD5[[#This Row],[Av.P5 '[%']]]*BD.PD5[[#This Row],[Ppto. Orden Interna '[DOP']]]</f>
        <v>0</v>
      </c>
      <c r="AL22" s="256">
        <f>BD.PD5[[#This Row],[Pago 5]]+BD.PD5[[#This Row],[Pago 4]]+BD.PD5[[#This Row],[Pago 3]]+BD.PD5[[#This Row],[Pago 2]]+BD.PD5[[#This Row],[Pago 1]]</f>
        <v>0</v>
      </c>
      <c r="AM22" s="318"/>
      <c r="AN22" s="318"/>
      <c r="AO22" s="318"/>
      <c r="AP22" s="318"/>
      <c r="AQ22" s="318"/>
      <c r="AR22" s="318"/>
      <c r="AS22" s="318"/>
      <c r="AT22" s="318"/>
      <c r="AU22" s="318"/>
      <c r="AV22" s="318"/>
      <c r="AW22" s="318"/>
      <c r="AX22" s="318"/>
      <c r="AY22" s="318"/>
      <c r="AZ22" s="318"/>
      <c r="BA22" s="318"/>
      <c r="BB22" s="318"/>
      <c r="BC22" s="318"/>
      <c r="BD22" s="318"/>
      <c r="BE22" s="318"/>
      <c r="BF22" s="318"/>
      <c r="BG22" s="318"/>
      <c r="BH22" s="318"/>
      <c r="BI22" s="318"/>
      <c r="BJ22" s="318"/>
      <c r="BK22" s="318"/>
      <c r="BL22" s="318"/>
      <c r="BM22" s="318"/>
      <c r="BN22" s="318"/>
      <c r="BO22" s="318"/>
      <c r="BP22" s="318"/>
      <c r="BQ22" s="318"/>
      <c r="BR22" s="318"/>
      <c r="BS22" s="318"/>
      <c r="BT22" s="318"/>
      <c r="BU22" s="318"/>
      <c r="BV22" s="318"/>
      <c r="BW22" s="318"/>
      <c r="BX22" s="318"/>
      <c r="BY22" s="318"/>
      <c r="BZ22" s="318"/>
      <c r="CA22" s="318"/>
      <c r="CB22" s="318"/>
      <c r="CC22" s="318"/>
      <c r="CD22" s="318"/>
      <c r="CE22" s="318"/>
      <c r="CF22" s="318"/>
      <c r="CG22" s="318"/>
      <c r="CH22" s="318"/>
      <c r="CI22" s="318"/>
      <c r="CJ22" s="318"/>
      <c r="CK22" s="318"/>
      <c r="CL22" s="318"/>
      <c r="CM22" s="318"/>
      <c r="CN22" s="318"/>
      <c r="CO22" s="318"/>
      <c r="CP22" s="318"/>
      <c r="CQ22" s="318"/>
      <c r="CR22" s="318"/>
      <c r="CS22" s="318"/>
      <c r="CT22" s="318"/>
      <c r="CU22" s="318"/>
      <c r="CV22" s="318"/>
      <c r="CW22" s="318"/>
      <c r="CX22" s="318"/>
      <c r="CY22" s="318"/>
      <c r="CZ22" s="318"/>
      <c r="DA22" s="318"/>
      <c r="DB22" s="318"/>
      <c r="DC22" s="318"/>
      <c r="DD22" s="318"/>
      <c r="DE22" s="318"/>
      <c r="DF22" s="318"/>
      <c r="DG22" s="318"/>
      <c r="DH22" s="318"/>
      <c r="DI22" s="318"/>
      <c r="DJ22" s="318"/>
      <c r="DK22" s="318"/>
      <c r="DL22" s="318"/>
      <c r="DM22" s="318"/>
      <c r="DN22" s="318"/>
      <c r="DO22" s="318"/>
      <c r="DP22" s="318"/>
      <c r="DQ22" s="318"/>
      <c r="DR22" s="318"/>
      <c r="DS22" s="318"/>
      <c r="DT22" s="318"/>
      <c r="DU22" s="318"/>
      <c r="DV22" s="318"/>
      <c r="DW22" s="318"/>
      <c r="DX22" s="318"/>
      <c r="DY22" s="318"/>
      <c r="DZ22" s="318"/>
      <c r="EA22" s="318"/>
      <c r="EB22" s="318"/>
      <c r="EC22" s="318"/>
      <c r="ED22" s="318"/>
      <c r="EE22" s="318"/>
      <c r="EF22" s="318"/>
      <c r="EG22" s="318"/>
      <c r="EH22" s="318"/>
      <c r="EI22" s="318"/>
      <c r="EJ22" s="318"/>
      <c r="EK22" s="318"/>
      <c r="EL22" s="318"/>
      <c r="EM22" s="318"/>
      <c r="EN22" s="318"/>
      <c r="EO22" s="318"/>
      <c r="EP22" s="318"/>
      <c r="EQ22" s="318"/>
      <c r="ER22" s="318"/>
      <c r="ES22" s="318"/>
      <c r="ET22" s="318"/>
      <c r="EU22" s="318"/>
      <c r="EV22" s="318"/>
      <c r="EW22" s="318"/>
      <c r="EX22" s="318"/>
      <c r="EY22" s="318"/>
      <c r="EZ22" s="318"/>
      <c r="FA22" s="318"/>
      <c r="FB22" s="318"/>
      <c r="FC22" s="318"/>
      <c r="FD22" s="318"/>
      <c r="FE22" s="318"/>
      <c r="FF22" s="318"/>
      <c r="FG22" s="318"/>
      <c r="FH22" s="318"/>
      <c r="FI22" s="318"/>
      <c r="FJ22" s="318"/>
      <c r="FK22" s="318"/>
      <c r="FL22" s="318"/>
      <c r="FM22" s="318"/>
      <c r="FN22" s="318"/>
      <c r="FO22" s="318"/>
      <c r="FP22" s="318"/>
      <c r="FQ22" s="318"/>
      <c r="FR22" s="318"/>
      <c r="FS22" s="318"/>
      <c r="FT22" s="318"/>
      <c r="FU22" s="318"/>
      <c r="FV22" s="318"/>
      <c r="FW22" s="318"/>
      <c r="FX22" s="318"/>
      <c r="FY22" s="318"/>
      <c r="FZ22" s="318"/>
      <c r="GA22" s="318"/>
      <c r="GB22" s="318"/>
      <c r="GC22" s="318"/>
      <c r="GD22" s="318"/>
      <c r="GE22" s="318"/>
      <c r="GF22" s="318"/>
      <c r="GG22" s="318"/>
      <c r="GH22" s="318"/>
      <c r="GI22" s="318"/>
      <c r="GJ22" s="318"/>
      <c r="GK22" s="318"/>
      <c r="GL22" s="318"/>
      <c r="GM22" s="318"/>
      <c r="GN22" s="318"/>
      <c r="GO22" s="318"/>
      <c r="GP22" s="318"/>
      <c r="GQ22" s="318"/>
      <c r="GR22" s="318"/>
      <c r="GS22" s="318"/>
      <c r="GT22" s="318"/>
      <c r="GU22" s="318"/>
      <c r="GV22" s="318"/>
      <c r="GW22" s="318"/>
      <c r="GX22" s="318"/>
      <c r="GY22" s="318"/>
      <c r="GZ22" s="318"/>
      <c r="HA22" s="318"/>
      <c r="HB22" s="318"/>
      <c r="HC22" s="318"/>
      <c r="HD22" s="318"/>
      <c r="HE22" s="318"/>
      <c r="HF22" s="318"/>
      <c r="HG22" s="318"/>
      <c r="HH22" s="318"/>
      <c r="HI22" s="318"/>
      <c r="HJ22" s="318"/>
      <c r="HK22" s="318"/>
      <c r="HL22" s="318"/>
      <c r="HM22" s="318"/>
      <c r="HN22" s="318"/>
      <c r="HO22" s="318"/>
      <c r="HP22" s="318"/>
      <c r="HQ22" s="318"/>
      <c r="HR22" s="318"/>
      <c r="HS22" s="318"/>
      <c r="HT22" s="318"/>
      <c r="HU22" s="318"/>
      <c r="HV22" s="318"/>
      <c r="HW22" s="318"/>
      <c r="HX22" s="318"/>
      <c r="HY22" s="318"/>
      <c r="HZ22" s="318"/>
      <c r="IA22" s="318"/>
      <c r="IB22" s="318"/>
      <c r="IC22" s="318"/>
      <c r="ID22" s="318"/>
      <c r="IE22" s="318"/>
      <c r="IF22" s="318"/>
      <c r="IG22" s="318"/>
    </row>
    <row r="23" spans="1:241" s="260" customFormat="1" hidden="1" x14ac:dyDescent="0.3">
      <c r="A23" s="181">
        <v>2.1</v>
      </c>
      <c r="B23" s="239" t="s">
        <v>306</v>
      </c>
      <c r="C23" s="240" t="str">
        <f>VLOOKUP(BD.PD5[[#This Row],[Pos]],PPto[],3,FALSE)</f>
        <v>2.10 Supervisión Civil y Sanitaria</v>
      </c>
      <c r="D23" s="241" t="s">
        <v>306</v>
      </c>
      <c r="E23" s="242">
        <f>IF(BD.PD5[[#This Row],[.]]="*",VLOOKUP(BD.PD5[[#This Row],[Pos]],[15]Presupuesto!A:H,7,FALSE),"")</f>
        <v>0</v>
      </c>
      <c r="F23" s="243"/>
      <c r="G23" s="243"/>
      <c r="H23" s="243"/>
      <c r="I23" s="244"/>
      <c r="J23" s="241" t="s">
        <v>188</v>
      </c>
      <c r="K23" s="245">
        <f>IF(BD.PD5[[#This Row],[Mon]]="DOP",1,HLOOKUP(BD.PD5[[#This Row],[Mon]],$J$1:$K$2,2,FALSE))</f>
        <v>64</v>
      </c>
      <c r="L23" s="246">
        <v>0</v>
      </c>
      <c r="M23" s="247">
        <f>BD.PD5[[#This Row],[Cant.]]*BD.PD5[[#This Row],[ Tasa ]]*BD.PD5[[#This Row],[ Precio Und.]]</f>
        <v>0</v>
      </c>
      <c r="N23" s="248"/>
      <c r="O23" s="247">
        <f>IF(BD.PD5[[#This Row],[Liquid. '[%']]]&lt;&gt;0,(BD.PD5[[#This Row],[Valor Neto '[DOP']]]*BD.PD5[[#This Row],[Liquid. '[%']]])+BD.PD5[[#This Row],[Valor Neto '[DOP']]],BD.PD5[[#This Row],[Valor Neto '[DOP']]])</f>
        <v>0</v>
      </c>
      <c r="P23" s="249">
        <f>BD.PD5[[#This Row],[Ppto. Orden Interna '[DOP']]]/HLOOKUP("USD",$J$1:$K$2,2,FALSE)</f>
        <v>0</v>
      </c>
      <c r="Q23" s="250"/>
      <c r="R23" s="250"/>
      <c r="S23" s="250"/>
      <c r="T23" s="250"/>
      <c r="U23" s="250"/>
      <c r="V23" s="243"/>
      <c r="W23" s="251"/>
      <c r="X23" s="252"/>
      <c r="Y23" s="253">
        <f>BD.PD5[[#This Row],[Av.P1 '[%']]]*BD.PD5[[#This Row],[Ppto. Orden Interna '[DOP']]]</f>
        <v>0</v>
      </c>
      <c r="Z23" s="254"/>
      <c r="AA23" s="255"/>
      <c r="AB23" s="253">
        <f>BD.PD5[[#This Row],[Av.P2 '[%']]]*BD.PD5[[#This Row],[Ppto. Orden Interna '[DOP']]]</f>
        <v>0</v>
      </c>
      <c r="AC23" s="254"/>
      <c r="AD23" s="255"/>
      <c r="AE23" s="253">
        <f>BD.PD5[[#This Row],[Av.P3 '[%']]]*BD.PD5[[#This Row],[Ppto. Orden Interna '[DOP']]]</f>
        <v>0</v>
      </c>
      <c r="AF23" s="254"/>
      <c r="AG23" s="255"/>
      <c r="AH23" s="253">
        <f>BD.PD5[[#This Row],[Av.P4 '[%']]]*BD.PD5[[#This Row],[Ppto. Orden Interna '[DOP']]]</f>
        <v>0</v>
      </c>
      <c r="AI23" s="254"/>
      <c r="AJ23" s="255"/>
      <c r="AK23" s="253">
        <f>BD.PD5[[#This Row],[Av.P5 '[%']]]*BD.PD5[[#This Row],[Ppto. Orden Interna '[DOP']]]</f>
        <v>0</v>
      </c>
      <c r="AL23" s="256">
        <f>BD.PD5[[#This Row],[Pago 5]]+BD.PD5[[#This Row],[Pago 4]]+BD.PD5[[#This Row],[Pago 3]]+BD.PD5[[#This Row],[Pago 2]]+BD.PD5[[#This Row],[Pago 1]]</f>
        <v>0</v>
      </c>
      <c r="AM23" s="318"/>
      <c r="AN23" s="318"/>
      <c r="AO23" s="318"/>
      <c r="AP23" s="318"/>
      <c r="AQ23" s="318"/>
      <c r="AR23" s="318"/>
      <c r="AS23" s="318"/>
      <c r="AT23" s="318"/>
      <c r="AU23" s="318"/>
      <c r="AV23" s="318"/>
      <c r="AW23" s="318"/>
      <c r="AX23" s="318"/>
      <c r="AY23" s="318"/>
      <c r="AZ23" s="318"/>
      <c r="BA23" s="318"/>
      <c r="BB23" s="318"/>
      <c r="BC23" s="318"/>
      <c r="BD23" s="318"/>
      <c r="BE23" s="318"/>
      <c r="BF23" s="318"/>
      <c r="BG23" s="318"/>
      <c r="BH23" s="318"/>
      <c r="BI23" s="318"/>
      <c r="BJ23" s="318"/>
      <c r="BK23" s="318"/>
      <c r="BL23" s="318"/>
      <c r="BM23" s="318"/>
      <c r="BN23" s="318"/>
      <c r="BO23" s="318"/>
      <c r="BP23" s="318"/>
      <c r="BQ23" s="318"/>
      <c r="BR23" s="318"/>
      <c r="BS23" s="318"/>
      <c r="BT23" s="318"/>
      <c r="BU23" s="318"/>
      <c r="BV23" s="318"/>
      <c r="BW23" s="318"/>
      <c r="BX23" s="318"/>
      <c r="BY23" s="318"/>
      <c r="BZ23" s="318"/>
      <c r="CA23" s="318"/>
      <c r="CB23" s="318"/>
      <c r="CC23" s="318"/>
      <c r="CD23" s="318"/>
      <c r="CE23" s="318"/>
      <c r="CF23" s="318"/>
      <c r="CG23" s="318"/>
      <c r="CH23" s="318"/>
      <c r="CI23" s="318"/>
      <c r="CJ23" s="318"/>
      <c r="CK23" s="318"/>
      <c r="CL23" s="318"/>
      <c r="CM23" s="318"/>
      <c r="CN23" s="318"/>
      <c r="CO23" s="318"/>
      <c r="CP23" s="318"/>
      <c r="CQ23" s="318"/>
      <c r="CR23" s="318"/>
      <c r="CS23" s="318"/>
      <c r="CT23" s="318"/>
      <c r="CU23" s="318"/>
      <c r="CV23" s="318"/>
      <c r="CW23" s="318"/>
      <c r="CX23" s="318"/>
      <c r="CY23" s="318"/>
      <c r="CZ23" s="318"/>
      <c r="DA23" s="318"/>
      <c r="DB23" s="318"/>
      <c r="DC23" s="318"/>
      <c r="DD23" s="318"/>
      <c r="DE23" s="318"/>
      <c r="DF23" s="318"/>
      <c r="DG23" s="318"/>
      <c r="DH23" s="318"/>
      <c r="DI23" s="318"/>
      <c r="DJ23" s="318"/>
      <c r="DK23" s="318"/>
      <c r="DL23" s="318"/>
      <c r="DM23" s="318"/>
      <c r="DN23" s="318"/>
      <c r="DO23" s="318"/>
      <c r="DP23" s="318"/>
      <c r="DQ23" s="318"/>
      <c r="DR23" s="318"/>
      <c r="DS23" s="318"/>
      <c r="DT23" s="318"/>
      <c r="DU23" s="318"/>
      <c r="DV23" s="318"/>
      <c r="DW23" s="318"/>
      <c r="DX23" s="318"/>
      <c r="DY23" s="318"/>
      <c r="DZ23" s="318"/>
      <c r="EA23" s="318"/>
      <c r="EB23" s="318"/>
      <c r="EC23" s="318"/>
      <c r="ED23" s="318"/>
      <c r="EE23" s="318"/>
      <c r="EF23" s="318"/>
      <c r="EG23" s="318"/>
      <c r="EH23" s="318"/>
      <c r="EI23" s="318"/>
      <c r="EJ23" s="318"/>
      <c r="EK23" s="318"/>
      <c r="EL23" s="318"/>
      <c r="EM23" s="318"/>
      <c r="EN23" s="318"/>
      <c r="EO23" s="318"/>
      <c r="EP23" s="318"/>
      <c r="EQ23" s="318"/>
      <c r="ER23" s="318"/>
      <c r="ES23" s="318"/>
      <c r="ET23" s="318"/>
      <c r="EU23" s="318"/>
      <c r="EV23" s="318"/>
      <c r="EW23" s="318"/>
      <c r="EX23" s="318"/>
      <c r="EY23" s="318"/>
      <c r="EZ23" s="318"/>
      <c r="FA23" s="318"/>
      <c r="FB23" s="318"/>
      <c r="FC23" s="318"/>
      <c r="FD23" s="318"/>
      <c r="FE23" s="318"/>
      <c r="FF23" s="318"/>
      <c r="FG23" s="318"/>
      <c r="FH23" s="318"/>
      <c r="FI23" s="318"/>
      <c r="FJ23" s="318"/>
      <c r="FK23" s="318"/>
      <c r="FL23" s="318"/>
      <c r="FM23" s="318"/>
      <c r="FN23" s="318"/>
      <c r="FO23" s="318"/>
      <c r="FP23" s="318"/>
      <c r="FQ23" s="318"/>
      <c r="FR23" s="318"/>
      <c r="FS23" s="318"/>
      <c r="FT23" s="318"/>
      <c r="FU23" s="318"/>
      <c r="FV23" s="318"/>
      <c r="FW23" s="318"/>
      <c r="FX23" s="318"/>
      <c r="FY23" s="318"/>
      <c r="FZ23" s="318"/>
      <c r="GA23" s="318"/>
      <c r="GB23" s="318"/>
      <c r="GC23" s="318"/>
      <c r="GD23" s="318"/>
      <c r="GE23" s="318"/>
      <c r="GF23" s="318"/>
      <c r="GG23" s="318"/>
      <c r="GH23" s="318"/>
      <c r="GI23" s="318"/>
      <c r="GJ23" s="318"/>
      <c r="GK23" s="318"/>
      <c r="GL23" s="318"/>
      <c r="GM23" s="318"/>
      <c r="GN23" s="318"/>
      <c r="GO23" s="318"/>
      <c r="GP23" s="318"/>
      <c r="GQ23" s="318"/>
      <c r="GR23" s="318"/>
      <c r="GS23" s="318"/>
      <c r="GT23" s="318"/>
      <c r="GU23" s="318"/>
      <c r="GV23" s="318"/>
      <c r="GW23" s="318"/>
      <c r="GX23" s="318"/>
      <c r="GY23" s="318"/>
      <c r="GZ23" s="318"/>
      <c r="HA23" s="318"/>
      <c r="HB23" s="318"/>
      <c r="HC23" s="318"/>
      <c r="HD23" s="318"/>
      <c r="HE23" s="318"/>
      <c r="HF23" s="318"/>
      <c r="HG23" s="318"/>
      <c r="HH23" s="318"/>
      <c r="HI23" s="318"/>
      <c r="HJ23" s="318"/>
      <c r="HK23" s="318"/>
      <c r="HL23" s="318"/>
      <c r="HM23" s="318"/>
      <c r="HN23" s="318"/>
      <c r="HO23" s="318"/>
      <c r="HP23" s="318"/>
      <c r="HQ23" s="318"/>
      <c r="HR23" s="318"/>
      <c r="HS23" s="318"/>
      <c r="HT23" s="318"/>
      <c r="HU23" s="318"/>
      <c r="HV23" s="318"/>
      <c r="HW23" s="318"/>
      <c r="HX23" s="318"/>
      <c r="HY23" s="318"/>
      <c r="HZ23" s="318"/>
      <c r="IA23" s="318"/>
      <c r="IB23" s="318"/>
      <c r="IC23" s="318"/>
      <c r="ID23" s="318"/>
      <c r="IE23" s="318"/>
      <c r="IF23" s="318"/>
      <c r="IG23" s="318"/>
    </row>
    <row r="24" spans="1:241" s="260" customFormat="1" hidden="1" x14ac:dyDescent="0.3">
      <c r="A24" s="181">
        <v>2.11</v>
      </c>
      <c r="B24" s="239" t="s">
        <v>306</v>
      </c>
      <c r="C24" s="240" t="str">
        <f>VLOOKUP(BD.PD5[[#This Row],[Pos]],PPto[],3,FALSE)</f>
        <v>2.11 Supervisión Arquitectónica</v>
      </c>
      <c r="D24" s="241" t="s">
        <v>306</v>
      </c>
      <c r="E24" s="242">
        <f>IF(BD.PD5[[#This Row],[.]]="*",VLOOKUP(BD.PD5[[#This Row],[Pos]],[15]Presupuesto!A:H,7,FALSE),"")</f>
        <v>0</v>
      </c>
      <c r="F24" s="243"/>
      <c r="G24" s="243"/>
      <c r="H24" s="243"/>
      <c r="I24" s="244"/>
      <c r="J24" s="241" t="s">
        <v>188</v>
      </c>
      <c r="K24" s="245">
        <f>IF(BD.PD5[[#This Row],[Mon]]="DOP",1,HLOOKUP(BD.PD5[[#This Row],[Mon]],$J$1:$K$2,2,FALSE))</f>
        <v>64</v>
      </c>
      <c r="L24" s="246">
        <v>0</v>
      </c>
      <c r="M24" s="247">
        <f>BD.PD5[[#This Row],[Cant.]]*BD.PD5[[#This Row],[ Tasa ]]*BD.PD5[[#This Row],[ Precio Und.]]</f>
        <v>0</v>
      </c>
      <c r="N24" s="248"/>
      <c r="O24" s="247">
        <f>IF(BD.PD5[[#This Row],[Liquid. '[%']]]&lt;&gt;0,(BD.PD5[[#This Row],[Valor Neto '[DOP']]]*BD.PD5[[#This Row],[Liquid. '[%']]])+BD.PD5[[#This Row],[Valor Neto '[DOP']]],BD.PD5[[#This Row],[Valor Neto '[DOP']]])</f>
        <v>0</v>
      </c>
      <c r="P24" s="249">
        <f>BD.PD5[[#This Row],[Ppto. Orden Interna '[DOP']]]/HLOOKUP("USD",$J$1:$K$2,2,FALSE)</f>
        <v>0</v>
      </c>
      <c r="Q24" s="250"/>
      <c r="R24" s="250"/>
      <c r="S24" s="250"/>
      <c r="T24" s="250"/>
      <c r="U24" s="250"/>
      <c r="V24" s="243"/>
      <c r="W24" s="251"/>
      <c r="X24" s="252"/>
      <c r="Y24" s="253">
        <f>BD.PD5[[#This Row],[Av.P1 '[%']]]*BD.PD5[[#This Row],[Ppto. Orden Interna '[DOP']]]</f>
        <v>0</v>
      </c>
      <c r="Z24" s="254"/>
      <c r="AA24" s="255"/>
      <c r="AB24" s="253">
        <f>BD.PD5[[#This Row],[Av.P2 '[%']]]*BD.PD5[[#This Row],[Ppto. Orden Interna '[DOP']]]</f>
        <v>0</v>
      </c>
      <c r="AC24" s="254"/>
      <c r="AD24" s="255"/>
      <c r="AE24" s="253">
        <f>BD.PD5[[#This Row],[Av.P3 '[%']]]*BD.PD5[[#This Row],[Ppto. Orden Interna '[DOP']]]</f>
        <v>0</v>
      </c>
      <c r="AF24" s="254"/>
      <c r="AG24" s="255"/>
      <c r="AH24" s="253">
        <f>BD.PD5[[#This Row],[Av.P4 '[%']]]*BD.PD5[[#This Row],[Ppto. Orden Interna '[DOP']]]</f>
        <v>0</v>
      </c>
      <c r="AI24" s="254"/>
      <c r="AJ24" s="255"/>
      <c r="AK24" s="253">
        <f>BD.PD5[[#This Row],[Av.P5 '[%']]]*BD.PD5[[#This Row],[Ppto. Orden Interna '[DOP']]]</f>
        <v>0</v>
      </c>
      <c r="AL24" s="256">
        <f>BD.PD5[[#This Row],[Pago 5]]+BD.PD5[[#This Row],[Pago 4]]+BD.PD5[[#This Row],[Pago 3]]+BD.PD5[[#This Row],[Pago 2]]+BD.PD5[[#This Row],[Pago 1]]</f>
        <v>0</v>
      </c>
      <c r="AM24" s="318"/>
      <c r="AN24" s="318"/>
      <c r="AO24" s="318"/>
      <c r="AP24" s="318"/>
      <c r="AQ24" s="318"/>
      <c r="AR24" s="318"/>
      <c r="AS24" s="318"/>
      <c r="AT24" s="318"/>
      <c r="AU24" s="318"/>
      <c r="AV24" s="318"/>
      <c r="AW24" s="318"/>
      <c r="AX24" s="318"/>
      <c r="AY24" s="318"/>
      <c r="AZ24" s="318"/>
      <c r="BA24" s="318"/>
      <c r="BB24" s="318"/>
      <c r="BC24" s="318"/>
      <c r="BD24" s="318"/>
      <c r="BE24" s="318"/>
      <c r="BF24" s="318"/>
      <c r="BG24" s="318"/>
      <c r="BH24" s="318"/>
      <c r="BI24" s="318"/>
      <c r="BJ24" s="318"/>
      <c r="BK24" s="318"/>
      <c r="BL24" s="318"/>
      <c r="BM24" s="318"/>
      <c r="BN24" s="318"/>
      <c r="BO24" s="318"/>
      <c r="BP24" s="318"/>
      <c r="BQ24" s="318"/>
      <c r="BR24" s="318"/>
      <c r="BS24" s="318"/>
      <c r="BT24" s="318"/>
      <c r="BU24" s="318"/>
      <c r="BV24" s="318"/>
      <c r="BW24" s="318"/>
      <c r="BX24" s="318"/>
      <c r="BY24" s="318"/>
      <c r="BZ24" s="318"/>
      <c r="CA24" s="318"/>
      <c r="CB24" s="318"/>
      <c r="CC24" s="318"/>
      <c r="CD24" s="318"/>
      <c r="CE24" s="318"/>
      <c r="CF24" s="318"/>
      <c r="CG24" s="318"/>
      <c r="CH24" s="318"/>
      <c r="CI24" s="318"/>
      <c r="CJ24" s="318"/>
      <c r="CK24" s="318"/>
      <c r="CL24" s="318"/>
      <c r="CM24" s="318"/>
      <c r="CN24" s="318"/>
      <c r="CO24" s="318"/>
      <c r="CP24" s="318"/>
      <c r="CQ24" s="318"/>
      <c r="CR24" s="318"/>
      <c r="CS24" s="318"/>
      <c r="CT24" s="318"/>
      <c r="CU24" s="318"/>
      <c r="CV24" s="318"/>
      <c r="CW24" s="318"/>
      <c r="CX24" s="318"/>
      <c r="CY24" s="318"/>
      <c r="CZ24" s="318"/>
      <c r="DA24" s="318"/>
      <c r="DB24" s="318"/>
      <c r="DC24" s="318"/>
      <c r="DD24" s="318"/>
      <c r="DE24" s="318"/>
      <c r="DF24" s="318"/>
      <c r="DG24" s="318"/>
      <c r="DH24" s="318"/>
      <c r="DI24" s="318"/>
      <c r="DJ24" s="318"/>
      <c r="DK24" s="318"/>
      <c r="DL24" s="318"/>
      <c r="DM24" s="318"/>
      <c r="DN24" s="318"/>
      <c r="DO24" s="318"/>
      <c r="DP24" s="318"/>
      <c r="DQ24" s="318"/>
      <c r="DR24" s="318"/>
      <c r="DS24" s="318"/>
      <c r="DT24" s="318"/>
      <c r="DU24" s="318"/>
      <c r="DV24" s="318"/>
      <c r="DW24" s="318"/>
      <c r="DX24" s="318"/>
      <c r="DY24" s="318"/>
      <c r="DZ24" s="318"/>
      <c r="EA24" s="318"/>
      <c r="EB24" s="318"/>
      <c r="EC24" s="318"/>
      <c r="ED24" s="318"/>
      <c r="EE24" s="318"/>
      <c r="EF24" s="318"/>
      <c r="EG24" s="318"/>
      <c r="EH24" s="318"/>
      <c r="EI24" s="318"/>
      <c r="EJ24" s="318"/>
      <c r="EK24" s="318"/>
      <c r="EL24" s="318"/>
      <c r="EM24" s="318"/>
      <c r="EN24" s="318"/>
      <c r="EO24" s="318"/>
      <c r="EP24" s="318"/>
      <c r="EQ24" s="318"/>
      <c r="ER24" s="318"/>
      <c r="ES24" s="318"/>
      <c r="ET24" s="318"/>
      <c r="EU24" s="318"/>
      <c r="EV24" s="318"/>
      <c r="EW24" s="318"/>
      <c r="EX24" s="318"/>
      <c r="EY24" s="318"/>
      <c r="EZ24" s="318"/>
      <c r="FA24" s="318"/>
      <c r="FB24" s="318"/>
      <c r="FC24" s="318"/>
      <c r="FD24" s="318"/>
      <c r="FE24" s="318"/>
      <c r="FF24" s="318"/>
      <c r="FG24" s="318"/>
      <c r="FH24" s="318"/>
      <c r="FI24" s="318"/>
      <c r="FJ24" s="318"/>
      <c r="FK24" s="318"/>
      <c r="FL24" s="318"/>
      <c r="FM24" s="318"/>
      <c r="FN24" s="318"/>
      <c r="FO24" s="318"/>
      <c r="FP24" s="318"/>
      <c r="FQ24" s="318"/>
      <c r="FR24" s="318"/>
      <c r="FS24" s="318"/>
      <c r="FT24" s="318"/>
      <c r="FU24" s="318"/>
      <c r="FV24" s="318"/>
      <c r="FW24" s="318"/>
      <c r="FX24" s="318"/>
      <c r="FY24" s="318"/>
      <c r="FZ24" s="318"/>
      <c r="GA24" s="318"/>
      <c r="GB24" s="318"/>
      <c r="GC24" s="318"/>
      <c r="GD24" s="318"/>
      <c r="GE24" s="318"/>
      <c r="GF24" s="318"/>
      <c r="GG24" s="318"/>
      <c r="GH24" s="318"/>
      <c r="GI24" s="318"/>
      <c r="GJ24" s="318"/>
      <c r="GK24" s="318"/>
      <c r="GL24" s="318"/>
      <c r="GM24" s="318"/>
      <c r="GN24" s="318"/>
      <c r="GO24" s="318"/>
      <c r="GP24" s="318"/>
      <c r="GQ24" s="318"/>
      <c r="GR24" s="318"/>
      <c r="GS24" s="318"/>
      <c r="GT24" s="318"/>
      <c r="GU24" s="318"/>
      <c r="GV24" s="318"/>
      <c r="GW24" s="318"/>
      <c r="GX24" s="318"/>
      <c r="GY24" s="318"/>
      <c r="GZ24" s="318"/>
      <c r="HA24" s="318"/>
      <c r="HB24" s="318"/>
      <c r="HC24" s="318"/>
      <c r="HD24" s="318"/>
      <c r="HE24" s="318"/>
      <c r="HF24" s="318"/>
      <c r="HG24" s="318"/>
      <c r="HH24" s="318"/>
      <c r="HI24" s="318"/>
      <c r="HJ24" s="318"/>
      <c r="HK24" s="318"/>
      <c r="HL24" s="318"/>
      <c r="HM24" s="318"/>
      <c r="HN24" s="318"/>
      <c r="HO24" s="318"/>
      <c r="HP24" s="318"/>
      <c r="HQ24" s="318"/>
      <c r="HR24" s="318"/>
      <c r="HS24" s="318"/>
      <c r="HT24" s="318"/>
      <c r="HU24" s="318"/>
      <c r="HV24" s="318"/>
      <c r="HW24" s="318"/>
      <c r="HX24" s="318"/>
      <c r="HY24" s="318"/>
      <c r="HZ24" s="318"/>
      <c r="IA24" s="318"/>
      <c r="IB24" s="318"/>
      <c r="IC24" s="318"/>
      <c r="ID24" s="318"/>
      <c r="IE24" s="318"/>
      <c r="IF24" s="318"/>
      <c r="IG24" s="318"/>
    </row>
    <row r="25" spans="1:241" s="260" customFormat="1" hidden="1" x14ac:dyDescent="0.3">
      <c r="A25" s="181">
        <v>3.01</v>
      </c>
      <c r="B25" s="239" t="s">
        <v>306</v>
      </c>
      <c r="C25" s="240" t="str">
        <f>VLOOKUP(BD.PD5[[#This Row],[Pos]],PPto[],3,FALSE)</f>
        <v>3.01 Instalaciones Eléctricas</v>
      </c>
      <c r="D25" s="241" t="s">
        <v>306</v>
      </c>
      <c r="E25" s="242">
        <f>IF(BD.PD5[[#This Row],[.]]="*",VLOOKUP(BD.PD5[[#This Row],[Pos]],[15]Presupuesto!A:H,7,FALSE),"")</f>
        <v>0</v>
      </c>
      <c r="F25" s="243"/>
      <c r="G25" s="243"/>
      <c r="H25" s="243"/>
      <c r="I25" s="244"/>
      <c r="J25" s="241" t="s">
        <v>188</v>
      </c>
      <c r="K25" s="245">
        <f>IF(BD.PD5[[#This Row],[Mon]]="DOP",1,HLOOKUP(BD.PD5[[#This Row],[Mon]],$J$1:$K$2,2,FALSE))</f>
        <v>64</v>
      </c>
      <c r="L25" s="246">
        <v>0</v>
      </c>
      <c r="M25" s="247">
        <f>BD.PD5[[#This Row],[Cant.]]*BD.PD5[[#This Row],[ Tasa ]]*BD.PD5[[#This Row],[ Precio Und.]]</f>
        <v>0</v>
      </c>
      <c r="N25" s="248"/>
      <c r="O25" s="247">
        <f>IF(BD.PD5[[#This Row],[Liquid. '[%']]]&lt;&gt;0,(BD.PD5[[#This Row],[Valor Neto '[DOP']]]*BD.PD5[[#This Row],[Liquid. '[%']]])+BD.PD5[[#This Row],[Valor Neto '[DOP']]],BD.PD5[[#This Row],[Valor Neto '[DOP']]])</f>
        <v>0</v>
      </c>
      <c r="P25" s="249">
        <f>BD.PD5[[#This Row],[Ppto. Orden Interna '[DOP']]]/HLOOKUP("USD",$J$1:$K$2,2,FALSE)</f>
        <v>0</v>
      </c>
      <c r="Q25" s="250"/>
      <c r="R25" s="250"/>
      <c r="S25" s="250"/>
      <c r="T25" s="250"/>
      <c r="U25" s="250"/>
      <c r="V25" s="243"/>
      <c r="W25" s="251"/>
      <c r="X25" s="252"/>
      <c r="Y25" s="253">
        <f>BD.PD5[[#This Row],[Av.P1 '[%']]]*BD.PD5[[#This Row],[Ppto. Orden Interna '[DOP']]]</f>
        <v>0</v>
      </c>
      <c r="Z25" s="254"/>
      <c r="AA25" s="255"/>
      <c r="AB25" s="253">
        <f>BD.PD5[[#This Row],[Av.P2 '[%']]]*BD.PD5[[#This Row],[Ppto. Orden Interna '[DOP']]]</f>
        <v>0</v>
      </c>
      <c r="AC25" s="254"/>
      <c r="AD25" s="255"/>
      <c r="AE25" s="253">
        <f>BD.PD5[[#This Row],[Av.P3 '[%']]]*BD.PD5[[#This Row],[Ppto. Orden Interna '[DOP']]]</f>
        <v>0</v>
      </c>
      <c r="AF25" s="254"/>
      <c r="AG25" s="255"/>
      <c r="AH25" s="253">
        <f>BD.PD5[[#This Row],[Av.P4 '[%']]]*BD.PD5[[#This Row],[Ppto. Orden Interna '[DOP']]]</f>
        <v>0</v>
      </c>
      <c r="AI25" s="254"/>
      <c r="AJ25" s="255"/>
      <c r="AK25" s="253">
        <f>BD.PD5[[#This Row],[Av.P5 '[%']]]*BD.PD5[[#This Row],[Ppto. Orden Interna '[DOP']]]</f>
        <v>0</v>
      </c>
      <c r="AL25" s="256">
        <f>BD.PD5[[#This Row],[Pago 5]]+BD.PD5[[#This Row],[Pago 4]]+BD.PD5[[#This Row],[Pago 3]]+BD.PD5[[#This Row],[Pago 2]]+BD.PD5[[#This Row],[Pago 1]]</f>
        <v>0</v>
      </c>
      <c r="AM25" s="318"/>
      <c r="AN25" s="318"/>
      <c r="AO25" s="318"/>
      <c r="AP25" s="318"/>
      <c r="AQ25" s="318"/>
      <c r="AR25" s="318"/>
      <c r="AS25" s="318"/>
      <c r="AT25" s="318"/>
      <c r="AU25" s="318"/>
      <c r="AV25" s="318"/>
      <c r="AW25" s="318"/>
      <c r="AX25" s="318"/>
      <c r="AY25" s="318"/>
      <c r="AZ25" s="318"/>
      <c r="BA25" s="318"/>
      <c r="BB25" s="318"/>
      <c r="BC25" s="318"/>
      <c r="BD25" s="318"/>
      <c r="BE25" s="318"/>
      <c r="BF25" s="318"/>
      <c r="BG25" s="318"/>
      <c r="BH25" s="318"/>
      <c r="BI25" s="318"/>
      <c r="BJ25" s="318"/>
      <c r="BK25" s="318"/>
      <c r="BL25" s="318"/>
      <c r="BM25" s="318"/>
      <c r="BN25" s="318"/>
      <c r="BO25" s="318"/>
      <c r="BP25" s="318"/>
      <c r="BQ25" s="318"/>
      <c r="BR25" s="318"/>
      <c r="BS25" s="318"/>
      <c r="BT25" s="318"/>
      <c r="BU25" s="318"/>
      <c r="BV25" s="318"/>
      <c r="BW25" s="318"/>
      <c r="BX25" s="318"/>
      <c r="BY25" s="318"/>
      <c r="BZ25" s="318"/>
      <c r="CA25" s="318"/>
      <c r="CB25" s="318"/>
      <c r="CC25" s="318"/>
      <c r="CD25" s="318"/>
      <c r="CE25" s="318"/>
      <c r="CF25" s="318"/>
      <c r="CG25" s="318"/>
      <c r="CH25" s="318"/>
      <c r="CI25" s="318"/>
      <c r="CJ25" s="318"/>
      <c r="CK25" s="318"/>
      <c r="CL25" s="318"/>
      <c r="CM25" s="318"/>
      <c r="CN25" s="318"/>
      <c r="CO25" s="318"/>
      <c r="CP25" s="318"/>
      <c r="CQ25" s="318"/>
      <c r="CR25" s="318"/>
      <c r="CS25" s="318"/>
      <c r="CT25" s="318"/>
      <c r="CU25" s="318"/>
      <c r="CV25" s="318"/>
      <c r="CW25" s="318"/>
      <c r="CX25" s="318"/>
      <c r="CY25" s="318"/>
      <c r="CZ25" s="318"/>
      <c r="DA25" s="318"/>
      <c r="DB25" s="318"/>
      <c r="DC25" s="318"/>
      <c r="DD25" s="318"/>
      <c r="DE25" s="318"/>
      <c r="DF25" s="318"/>
      <c r="DG25" s="318"/>
      <c r="DH25" s="318"/>
      <c r="DI25" s="318"/>
      <c r="DJ25" s="318"/>
      <c r="DK25" s="318"/>
      <c r="DL25" s="318"/>
      <c r="DM25" s="318"/>
      <c r="DN25" s="318"/>
      <c r="DO25" s="318"/>
      <c r="DP25" s="318"/>
      <c r="DQ25" s="318"/>
      <c r="DR25" s="318"/>
      <c r="DS25" s="318"/>
      <c r="DT25" s="318"/>
      <c r="DU25" s="318"/>
      <c r="DV25" s="318"/>
      <c r="DW25" s="318"/>
      <c r="DX25" s="318"/>
      <c r="DY25" s="318"/>
      <c r="DZ25" s="318"/>
      <c r="EA25" s="318"/>
      <c r="EB25" s="318"/>
      <c r="EC25" s="318"/>
      <c r="ED25" s="318"/>
      <c r="EE25" s="318"/>
      <c r="EF25" s="318"/>
      <c r="EG25" s="318"/>
      <c r="EH25" s="318"/>
      <c r="EI25" s="318"/>
      <c r="EJ25" s="318"/>
      <c r="EK25" s="318"/>
      <c r="EL25" s="318"/>
      <c r="EM25" s="318"/>
      <c r="EN25" s="318"/>
      <c r="EO25" s="318"/>
      <c r="EP25" s="318"/>
      <c r="EQ25" s="318"/>
      <c r="ER25" s="318"/>
      <c r="ES25" s="318"/>
      <c r="ET25" s="318"/>
      <c r="EU25" s="318"/>
      <c r="EV25" s="318"/>
      <c r="EW25" s="318"/>
      <c r="EX25" s="318"/>
      <c r="EY25" s="318"/>
      <c r="EZ25" s="318"/>
      <c r="FA25" s="318"/>
      <c r="FB25" s="318"/>
      <c r="FC25" s="318"/>
      <c r="FD25" s="318"/>
      <c r="FE25" s="318"/>
      <c r="FF25" s="318"/>
      <c r="FG25" s="318"/>
      <c r="FH25" s="318"/>
      <c r="FI25" s="318"/>
      <c r="FJ25" s="318"/>
      <c r="FK25" s="318"/>
      <c r="FL25" s="318"/>
      <c r="FM25" s="318"/>
      <c r="FN25" s="318"/>
      <c r="FO25" s="318"/>
      <c r="FP25" s="318"/>
      <c r="FQ25" s="318"/>
      <c r="FR25" s="318"/>
      <c r="FS25" s="318"/>
      <c r="FT25" s="318"/>
      <c r="FU25" s="318"/>
      <c r="FV25" s="318"/>
      <c r="FW25" s="318"/>
      <c r="FX25" s="318"/>
      <c r="FY25" s="318"/>
      <c r="FZ25" s="318"/>
      <c r="GA25" s="318"/>
      <c r="GB25" s="318"/>
      <c r="GC25" s="318"/>
      <c r="GD25" s="318"/>
      <c r="GE25" s="318"/>
      <c r="GF25" s="318"/>
      <c r="GG25" s="318"/>
      <c r="GH25" s="318"/>
      <c r="GI25" s="318"/>
      <c r="GJ25" s="318"/>
      <c r="GK25" s="318"/>
      <c r="GL25" s="318"/>
      <c r="GM25" s="318"/>
      <c r="GN25" s="318"/>
      <c r="GO25" s="318"/>
      <c r="GP25" s="318"/>
      <c r="GQ25" s="318"/>
      <c r="GR25" s="318"/>
      <c r="GS25" s="318"/>
      <c r="GT25" s="318"/>
      <c r="GU25" s="318"/>
      <c r="GV25" s="318"/>
      <c r="GW25" s="318"/>
      <c r="GX25" s="318"/>
      <c r="GY25" s="318"/>
      <c r="GZ25" s="318"/>
      <c r="HA25" s="318"/>
      <c r="HB25" s="318"/>
      <c r="HC25" s="318"/>
      <c r="HD25" s="318"/>
      <c r="HE25" s="318"/>
      <c r="HF25" s="318"/>
      <c r="HG25" s="318"/>
      <c r="HH25" s="318"/>
      <c r="HI25" s="318"/>
      <c r="HJ25" s="318"/>
      <c r="HK25" s="318"/>
      <c r="HL25" s="318"/>
      <c r="HM25" s="318"/>
      <c r="HN25" s="318"/>
      <c r="HO25" s="318"/>
      <c r="HP25" s="318"/>
      <c r="HQ25" s="318"/>
      <c r="HR25" s="318"/>
      <c r="HS25" s="318"/>
      <c r="HT25" s="318"/>
      <c r="HU25" s="318"/>
      <c r="HV25" s="318"/>
      <c r="HW25" s="318"/>
      <c r="HX25" s="318"/>
      <c r="HY25" s="318"/>
      <c r="HZ25" s="318"/>
      <c r="IA25" s="318"/>
      <c r="IB25" s="318"/>
      <c r="IC25" s="318"/>
      <c r="ID25" s="318"/>
      <c r="IE25" s="318"/>
      <c r="IF25" s="318"/>
      <c r="IG25" s="318"/>
    </row>
    <row r="26" spans="1:241" s="260" customFormat="1" hidden="1" x14ac:dyDescent="0.3">
      <c r="A26" s="181">
        <v>3.01</v>
      </c>
      <c r="B26" s="239" t="s">
        <v>306</v>
      </c>
      <c r="C26" s="240" t="str">
        <f>VLOOKUP(BD.PD5[[#This Row],[Pos]],PPto[],3,FALSE)</f>
        <v>3.01 Instalaciones Eléctricas</v>
      </c>
      <c r="D26" s="241" t="s">
        <v>306</v>
      </c>
      <c r="E26" s="242">
        <f>IF(BD.PD5[[#This Row],[.]]="*",VLOOKUP(BD.PD5[[#This Row],[Pos]],[15]Presupuesto!A:H,7,FALSE),"")</f>
        <v>0</v>
      </c>
      <c r="F26" s="243"/>
      <c r="G26" s="243"/>
      <c r="H26" s="243"/>
      <c r="I26" s="244"/>
      <c r="J26" s="241" t="s">
        <v>188</v>
      </c>
      <c r="K26" s="245">
        <f>IF(BD.PD5[[#This Row],[Mon]]="DOP",1,HLOOKUP(BD.PD5[[#This Row],[Mon]],$J$1:$K$2,2,FALSE))</f>
        <v>64</v>
      </c>
      <c r="L26" s="246">
        <v>0</v>
      </c>
      <c r="M26" s="247">
        <f>BD.PD5[[#This Row],[Cant.]]*BD.PD5[[#This Row],[ Tasa ]]*BD.PD5[[#This Row],[ Precio Und.]]</f>
        <v>0</v>
      </c>
      <c r="N26" s="248"/>
      <c r="O26" s="247">
        <f>IF(BD.PD5[[#This Row],[Liquid. '[%']]]&lt;&gt;0,(BD.PD5[[#This Row],[Valor Neto '[DOP']]]*BD.PD5[[#This Row],[Liquid. '[%']]])+BD.PD5[[#This Row],[Valor Neto '[DOP']]],BD.PD5[[#This Row],[Valor Neto '[DOP']]])</f>
        <v>0</v>
      </c>
      <c r="P26" s="249">
        <f>BD.PD5[[#This Row],[Ppto. Orden Interna '[DOP']]]/HLOOKUP("USD",$J$1:$K$2,2,FALSE)</f>
        <v>0</v>
      </c>
      <c r="Q26" s="250"/>
      <c r="R26" s="250"/>
      <c r="S26" s="250"/>
      <c r="T26" s="250"/>
      <c r="U26" s="250"/>
      <c r="V26" s="243"/>
      <c r="W26" s="251"/>
      <c r="X26" s="252"/>
      <c r="Y26" s="253">
        <f>BD.PD5[[#This Row],[Av.P1 '[%']]]*BD.PD5[[#This Row],[Ppto. Orden Interna '[DOP']]]</f>
        <v>0</v>
      </c>
      <c r="Z26" s="254"/>
      <c r="AA26" s="255"/>
      <c r="AB26" s="253">
        <f>BD.PD5[[#This Row],[Av.P2 '[%']]]*BD.PD5[[#This Row],[Ppto. Orden Interna '[DOP']]]</f>
        <v>0</v>
      </c>
      <c r="AC26" s="254"/>
      <c r="AD26" s="255"/>
      <c r="AE26" s="253">
        <f>BD.PD5[[#This Row],[Av.P3 '[%']]]*BD.PD5[[#This Row],[Ppto. Orden Interna '[DOP']]]</f>
        <v>0</v>
      </c>
      <c r="AF26" s="254"/>
      <c r="AG26" s="255"/>
      <c r="AH26" s="253">
        <f>BD.PD5[[#This Row],[Av.P4 '[%']]]*BD.PD5[[#This Row],[Ppto. Orden Interna '[DOP']]]</f>
        <v>0</v>
      </c>
      <c r="AI26" s="254"/>
      <c r="AJ26" s="255"/>
      <c r="AK26" s="253">
        <f>BD.PD5[[#This Row],[Av.P5 '[%']]]*BD.PD5[[#This Row],[Ppto. Orden Interna '[DOP']]]</f>
        <v>0</v>
      </c>
      <c r="AL26" s="256">
        <f>BD.PD5[[#This Row],[Pago 5]]+BD.PD5[[#This Row],[Pago 4]]+BD.PD5[[#This Row],[Pago 3]]+BD.PD5[[#This Row],[Pago 2]]+BD.PD5[[#This Row],[Pago 1]]</f>
        <v>0</v>
      </c>
      <c r="AM26" s="318"/>
      <c r="AN26" s="318"/>
      <c r="AO26" s="318"/>
      <c r="AP26" s="318"/>
      <c r="AQ26" s="318"/>
      <c r="AR26" s="318"/>
      <c r="AS26" s="318"/>
      <c r="AT26" s="318"/>
      <c r="AU26" s="318"/>
      <c r="AV26" s="318"/>
      <c r="AW26" s="318"/>
      <c r="AX26" s="318"/>
      <c r="AY26" s="318"/>
      <c r="AZ26" s="318"/>
      <c r="BA26" s="318"/>
      <c r="BB26" s="318"/>
      <c r="BC26" s="318"/>
      <c r="BD26" s="318"/>
      <c r="BE26" s="318"/>
      <c r="BF26" s="318"/>
      <c r="BG26" s="318"/>
      <c r="BH26" s="318"/>
      <c r="BI26" s="318"/>
      <c r="BJ26" s="318"/>
      <c r="BK26" s="318"/>
      <c r="BL26" s="318"/>
      <c r="BM26" s="318"/>
      <c r="BN26" s="318"/>
      <c r="BO26" s="318"/>
      <c r="BP26" s="318"/>
      <c r="BQ26" s="318"/>
      <c r="BR26" s="318"/>
      <c r="BS26" s="318"/>
      <c r="BT26" s="318"/>
      <c r="BU26" s="318"/>
      <c r="BV26" s="318"/>
      <c r="BW26" s="318"/>
      <c r="BX26" s="318"/>
      <c r="BY26" s="318"/>
      <c r="BZ26" s="318"/>
      <c r="CA26" s="318"/>
      <c r="CB26" s="318"/>
      <c r="CC26" s="318"/>
      <c r="CD26" s="318"/>
      <c r="CE26" s="318"/>
      <c r="CF26" s="318"/>
      <c r="CG26" s="318"/>
      <c r="CH26" s="318"/>
      <c r="CI26" s="318"/>
      <c r="CJ26" s="318"/>
      <c r="CK26" s="318"/>
      <c r="CL26" s="318"/>
      <c r="CM26" s="318"/>
      <c r="CN26" s="318"/>
      <c r="CO26" s="318"/>
      <c r="CP26" s="318"/>
      <c r="CQ26" s="318"/>
      <c r="CR26" s="318"/>
      <c r="CS26" s="318"/>
      <c r="CT26" s="318"/>
      <c r="CU26" s="318"/>
      <c r="CV26" s="318"/>
      <c r="CW26" s="318"/>
      <c r="CX26" s="318"/>
      <c r="CY26" s="318"/>
      <c r="CZ26" s="318"/>
      <c r="DA26" s="318"/>
      <c r="DB26" s="318"/>
      <c r="DC26" s="318"/>
      <c r="DD26" s="318"/>
      <c r="DE26" s="318"/>
      <c r="DF26" s="318"/>
      <c r="DG26" s="318"/>
      <c r="DH26" s="318"/>
      <c r="DI26" s="318"/>
      <c r="DJ26" s="318"/>
      <c r="DK26" s="318"/>
      <c r="DL26" s="318"/>
      <c r="DM26" s="318"/>
      <c r="DN26" s="318"/>
      <c r="DO26" s="318"/>
      <c r="DP26" s="318"/>
      <c r="DQ26" s="318"/>
      <c r="DR26" s="318"/>
      <c r="DS26" s="318"/>
      <c r="DT26" s="318"/>
      <c r="DU26" s="318"/>
      <c r="DV26" s="318"/>
      <c r="DW26" s="318"/>
      <c r="DX26" s="318"/>
      <c r="DY26" s="318"/>
      <c r="DZ26" s="318"/>
      <c r="EA26" s="318"/>
      <c r="EB26" s="318"/>
      <c r="EC26" s="318"/>
      <c r="ED26" s="318"/>
      <c r="EE26" s="318"/>
      <c r="EF26" s="318"/>
      <c r="EG26" s="318"/>
      <c r="EH26" s="318"/>
      <c r="EI26" s="318"/>
      <c r="EJ26" s="318"/>
      <c r="EK26" s="318"/>
      <c r="EL26" s="318"/>
      <c r="EM26" s="318"/>
      <c r="EN26" s="318"/>
      <c r="EO26" s="318"/>
      <c r="EP26" s="318"/>
      <c r="EQ26" s="318"/>
      <c r="ER26" s="318"/>
      <c r="ES26" s="318"/>
      <c r="ET26" s="318"/>
      <c r="EU26" s="318"/>
      <c r="EV26" s="318"/>
      <c r="EW26" s="318"/>
      <c r="EX26" s="318"/>
      <c r="EY26" s="318"/>
      <c r="EZ26" s="318"/>
      <c r="FA26" s="318"/>
      <c r="FB26" s="318"/>
      <c r="FC26" s="318"/>
      <c r="FD26" s="318"/>
      <c r="FE26" s="318"/>
      <c r="FF26" s="318"/>
      <c r="FG26" s="318"/>
      <c r="FH26" s="318"/>
      <c r="FI26" s="318"/>
      <c r="FJ26" s="318"/>
      <c r="FK26" s="318"/>
      <c r="FL26" s="318"/>
      <c r="FM26" s="318"/>
      <c r="FN26" s="318"/>
      <c r="FO26" s="318"/>
      <c r="FP26" s="318"/>
      <c r="FQ26" s="318"/>
      <c r="FR26" s="318"/>
      <c r="FS26" s="318"/>
      <c r="FT26" s="318"/>
      <c r="FU26" s="318"/>
      <c r="FV26" s="318"/>
      <c r="FW26" s="318"/>
      <c r="FX26" s="318"/>
      <c r="FY26" s="318"/>
      <c r="FZ26" s="318"/>
      <c r="GA26" s="318"/>
      <c r="GB26" s="318"/>
      <c r="GC26" s="318"/>
      <c r="GD26" s="318"/>
      <c r="GE26" s="318"/>
      <c r="GF26" s="318"/>
      <c r="GG26" s="318"/>
      <c r="GH26" s="318"/>
      <c r="GI26" s="318"/>
      <c r="GJ26" s="318"/>
      <c r="GK26" s="318"/>
      <c r="GL26" s="318"/>
      <c r="GM26" s="318"/>
      <c r="GN26" s="318"/>
      <c r="GO26" s="318"/>
      <c r="GP26" s="318"/>
      <c r="GQ26" s="318"/>
      <c r="GR26" s="318"/>
      <c r="GS26" s="318"/>
      <c r="GT26" s="318"/>
      <c r="GU26" s="318"/>
      <c r="GV26" s="318"/>
      <c r="GW26" s="318"/>
      <c r="GX26" s="318"/>
      <c r="GY26" s="318"/>
      <c r="GZ26" s="318"/>
      <c r="HA26" s="318"/>
      <c r="HB26" s="318"/>
      <c r="HC26" s="318"/>
      <c r="HD26" s="318"/>
      <c r="HE26" s="318"/>
      <c r="HF26" s="318"/>
      <c r="HG26" s="318"/>
      <c r="HH26" s="318"/>
      <c r="HI26" s="318"/>
      <c r="HJ26" s="318"/>
      <c r="HK26" s="318"/>
      <c r="HL26" s="318"/>
      <c r="HM26" s="318"/>
      <c r="HN26" s="318"/>
      <c r="HO26" s="318"/>
      <c r="HP26" s="318"/>
      <c r="HQ26" s="318"/>
      <c r="HR26" s="318"/>
      <c r="HS26" s="318"/>
      <c r="HT26" s="318"/>
      <c r="HU26" s="318"/>
      <c r="HV26" s="318"/>
      <c r="HW26" s="318"/>
      <c r="HX26" s="318"/>
      <c r="HY26" s="318"/>
      <c r="HZ26" s="318"/>
      <c r="IA26" s="318"/>
      <c r="IB26" s="318"/>
      <c r="IC26" s="318"/>
      <c r="ID26" s="318"/>
      <c r="IE26" s="318"/>
      <c r="IF26" s="318"/>
      <c r="IG26" s="318"/>
    </row>
    <row r="27" spans="1:241" s="260" customFormat="1" hidden="1" x14ac:dyDescent="0.3">
      <c r="A27" s="181">
        <v>3.02</v>
      </c>
      <c r="B27" s="239" t="s">
        <v>306</v>
      </c>
      <c r="C27" s="240" t="str">
        <f>VLOOKUP(BD.PD5[[#This Row],[Pos]],PPto[],3,FALSE)</f>
        <v>3.02 Supervisión Eléctrica</v>
      </c>
      <c r="D27" s="241" t="s">
        <v>306</v>
      </c>
      <c r="E27" s="242">
        <f>IF(BD.PD5[[#This Row],[.]]="*",VLOOKUP(BD.PD5[[#This Row],[Pos]],[15]Presupuesto!A:H,7,FALSE),"")</f>
        <v>0</v>
      </c>
      <c r="F27" s="243"/>
      <c r="G27" s="243"/>
      <c r="H27" s="243"/>
      <c r="I27" s="244"/>
      <c r="J27" s="241" t="s">
        <v>188</v>
      </c>
      <c r="K27" s="245">
        <f>IF(BD.PD5[[#This Row],[Mon]]="DOP",1,HLOOKUP(BD.PD5[[#This Row],[Mon]],$J$1:$K$2,2,FALSE))</f>
        <v>64</v>
      </c>
      <c r="L27" s="246">
        <v>0</v>
      </c>
      <c r="M27" s="247">
        <f>BD.PD5[[#This Row],[Cant.]]*BD.PD5[[#This Row],[ Tasa ]]*BD.PD5[[#This Row],[ Precio Und.]]</f>
        <v>0</v>
      </c>
      <c r="N27" s="248"/>
      <c r="O27" s="247">
        <f>IF(BD.PD5[[#This Row],[Liquid. '[%']]]&lt;&gt;0,(BD.PD5[[#This Row],[Valor Neto '[DOP']]]*BD.PD5[[#This Row],[Liquid. '[%']]])+BD.PD5[[#This Row],[Valor Neto '[DOP']]],BD.PD5[[#This Row],[Valor Neto '[DOP']]])</f>
        <v>0</v>
      </c>
      <c r="P27" s="249">
        <f>BD.PD5[[#This Row],[Ppto. Orden Interna '[DOP']]]/HLOOKUP("USD",$J$1:$K$2,2,FALSE)</f>
        <v>0</v>
      </c>
      <c r="Q27" s="250"/>
      <c r="R27" s="250"/>
      <c r="S27" s="250"/>
      <c r="T27" s="250"/>
      <c r="U27" s="250"/>
      <c r="V27" s="243"/>
      <c r="W27" s="251"/>
      <c r="X27" s="252"/>
      <c r="Y27" s="253">
        <f>BD.PD5[[#This Row],[Av.P1 '[%']]]*BD.PD5[[#This Row],[Ppto. Orden Interna '[DOP']]]</f>
        <v>0</v>
      </c>
      <c r="Z27" s="254"/>
      <c r="AA27" s="255"/>
      <c r="AB27" s="253">
        <f>BD.PD5[[#This Row],[Av.P2 '[%']]]*BD.PD5[[#This Row],[Ppto. Orden Interna '[DOP']]]</f>
        <v>0</v>
      </c>
      <c r="AC27" s="254"/>
      <c r="AD27" s="255"/>
      <c r="AE27" s="253">
        <f>BD.PD5[[#This Row],[Av.P3 '[%']]]*BD.PD5[[#This Row],[Ppto. Orden Interna '[DOP']]]</f>
        <v>0</v>
      </c>
      <c r="AF27" s="254"/>
      <c r="AG27" s="255"/>
      <c r="AH27" s="253">
        <f>BD.PD5[[#This Row],[Av.P4 '[%']]]*BD.PD5[[#This Row],[Ppto. Orden Interna '[DOP']]]</f>
        <v>0</v>
      </c>
      <c r="AI27" s="254"/>
      <c r="AJ27" s="255"/>
      <c r="AK27" s="253">
        <f>BD.PD5[[#This Row],[Av.P5 '[%']]]*BD.PD5[[#This Row],[Ppto. Orden Interna '[DOP']]]</f>
        <v>0</v>
      </c>
      <c r="AL27" s="256">
        <f>BD.PD5[[#This Row],[Pago 5]]+BD.PD5[[#This Row],[Pago 4]]+BD.PD5[[#This Row],[Pago 3]]+BD.PD5[[#This Row],[Pago 2]]+BD.PD5[[#This Row],[Pago 1]]</f>
        <v>0</v>
      </c>
      <c r="AM27" s="318"/>
      <c r="AN27" s="318"/>
      <c r="AO27" s="318"/>
      <c r="AP27" s="318"/>
      <c r="AQ27" s="318"/>
      <c r="AR27" s="318"/>
      <c r="AS27" s="318"/>
      <c r="AT27" s="318"/>
      <c r="AU27" s="318"/>
      <c r="AV27" s="318"/>
      <c r="AW27" s="318"/>
      <c r="AX27" s="318"/>
      <c r="AY27" s="318"/>
      <c r="AZ27" s="318"/>
      <c r="BA27" s="318"/>
      <c r="BB27" s="318"/>
      <c r="BC27" s="318"/>
      <c r="BD27" s="318"/>
      <c r="BE27" s="318"/>
      <c r="BF27" s="318"/>
      <c r="BG27" s="318"/>
      <c r="BH27" s="318"/>
      <c r="BI27" s="318"/>
      <c r="BJ27" s="318"/>
      <c r="BK27" s="318"/>
      <c r="BL27" s="318"/>
      <c r="BM27" s="318"/>
      <c r="BN27" s="318"/>
      <c r="BO27" s="318"/>
      <c r="BP27" s="318"/>
      <c r="BQ27" s="318"/>
      <c r="BR27" s="318"/>
      <c r="BS27" s="318"/>
      <c r="BT27" s="318"/>
      <c r="BU27" s="318"/>
      <c r="BV27" s="318"/>
      <c r="BW27" s="318"/>
      <c r="BX27" s="318"/>
      <c r="BY27" s="318"/>
      <c r="BZ27" s="318"/>
      <c r="CA27" s="318"/>
      <c r="CB27" s="318"/>
      <c r="CC27" s="318"/>
      <c r="CD27" s="318"/>
      <c r="CE27" s="318"/>
      <c r="CF27" s="318"/>
      <c r="CG27" s="318"/>
      <c r="CH27" s="318"/>
      <c r="CI27" s="318"/>
      <c r="CJ27" s="318"/>
      <c r="CK27" s="318"/>
      <c r="CL27" s="318"/>
      <c r="CM27" s="318"/>
      <c r="CN27" s="318"/>
      <c r="CO27" s="318"/>
      <c r="CP27" s="318"/>
      <c r="CQ27" s="318"/>
      <c r="CR27" s="318"/>
      <c r="CS27" s="318"/>
      <c r="CT27" s="318"/>
      <c r="CU27" s="318"/>
      <c r="CV27" s="318"/>
      <c r="CW27" s="318"/>
      <c r="CX27" s="318"/>
      <c r="CY27" s="318"/>
      <c r="CZ27" s="318"/>
      <c r="DA27" s="318"/>
      <c r="DB27" s="318"/>
      <c r="DC27" s="318"/>
      <c r="DD27" s="318"/>
      <c r="DE27" s="318"/>
      <c r="DF27" s="318"/>
      <c r="DG27" s="318"/>
      <c r="DH27" s="318"/>
      <c r="DI27" s="318"/>
      <c r="DJ27" s="318"/>
      <c r="DK27" s="318"/>
      <c r="DL27" s="318"/>
      <c r="DM27" s="318"/>
      <c r="DN27" s="318"/>
      <c r="DO27" s="318"/>
      <c r="DP27" s="318"/>
      <c r="DQ27" s="318"/>
      <c r="DR27" s="318"/>
      <c r="DS27" s="318"/>
      <c r="DT27" s="318"/>
      <c r="DU27" s="318"/>
      <c r="DV27" s="318"/>
      <c r="DW27" s="318"/>
      <c r="DX27" s="318"/>
      <c r="DY27" s="318"/>
      <c r="DZ27" s="318"/>
      <c r="EA27" s="318"/>
      <c r="EB27" s="318"/>
      <c r="EC27" s="318"/>
      <c r="ED27" s="318"/>
      <c r="EE27" s="318"/>
      <c r="EF27" s="318"/>
      <c r="EG27" s="318"/>
      <c r="EH27" s="318"/>
      <c r="EI27" s="318"/>
      <c r="EJ27" s="318"/>
      <c r="EK27" s="318"/>
      <c r="EL27" s="318"/>
      <c r="EM27" s="318"/>
      <c r="EN27" s="318"/>
      <c r="EO27" s="318"/>
      <c r="EP27" s="318"/>
      <c r="EQ27" s="318"/>
      <c r="ER27" s="318"/>
      <c r="ES27" s="318"/>
      <c r="ET27" s="318"/>
      <c r="EU27" s="318"/>
      <c r="EV27" s="318"/>
      <c r="EW27" s="318"/>
      <c r="EX27" s="318"/>
      <c r="EY27" s="318"/>
      <c r="EZ27" s="318"/>
      <c r="FA27" s="318"/>
      <c r="FB27" s="318"/>
      <c r="FC27" s="318"/>
      <c r="FD27" s="318"/>
      <c r="FE27" s="318"/>
      <c r="FF27" s="318"/>
      <c r="FG27" s="318"/>
      <c r="FH27" s="318"/>
      <c r="FI27" s="318"/>
      <c r="FJ27" s="318"/>
      <c r="FK27" s="318"/>
      <c r="FL27" s="318"/>
      <c r="FM27" s="318"/>
      <c r="FN27" s="318"/>
      <c r="FO27" s="318"/>
      <c r="FP27" s="318"/>
      <c r="FQ27" s="318"/>
      <c r="FR27" s="318"/>
      <c r="FS27" s="318"/>
      <c r="FT27" s="318"/>
      <c r="FU27" s="318"/>
      <c r="FV27" s="318"/>
      <c r="FW27" s="318"/>
      <c r="FX27" s="318"/>
      <c r="FY27" s="318"/>
      <c r="FZ27" s="318"/>
      <c r="GA27" s="318"/>
      <c r="GB27" s="318"/>
      <c r="GC27" s="318"/>
      <c r="GD27" s="318"/>
      <c r="GE27" s="318"/>
      <c r="GF27" s="318"/>
      <c r="GG27" s="318"/>
      <c r="GH27" s="318"/>
      <c r="GI27" s="318"/>
      <c r="GJ27" s="318"/>
      <c r="GK27" s="318"/>
      <c r="GL27" s="318"/>
      <c r="GM27" s="318"/>
      <c r="GN27" s="318"/>
      <c r="GO27" s="318"/>
      <c r="GP27" s="318"/>
      <c r="GQ27" s="318"/>
      <c r="GR27" s="318"/>
      <c r="GS27" s="318"/>
      <c r="GT27" s="318"/>
      <c r="GU27" s="318"/>
      <c r="GV27" s="318"/>
      <c r="GW27" s="318"/>
      <c r="GX27" s="318"/>
      <c r="GY27" s="318"/>
      <c r="GZ27" s="318"/>
      <c r="HA27" s="318"/>
      <c r="HB27" s="318"/>
      <c r="HC27" s="318"/>
      <c r="HD27" s="318"/>
      <c r="HE27" s="318"/>
      <c r="HF27" s="318"/>
      <c r="HG27" s="318"/>
      <c r="HH27" s="318"/>
      <c r="HI27" s="318"/>
      <c r="HJ27" s="318"/>
      <c r="HK27" s="318"/>
      <c r="HL27" s="318"/>
      <c r="HM27" s="318"/>
      <c r="HN27" s="318"/>
      <c r="HO27" s="318"/>
      <c r="HP27" s="318"/>
      <c r="HQ27" s="318"/>
      <c r="HR27" s="318"/>
      <c r="HS27" s="318"/>
      <c r="HT27" s="318"/>
      <c r="HU27" s="318"/>
      <c r="HV27" s="318"/>
      <c r="HW27" s="318"/>
      <c r="HX27" s="318"/>
      <c r="HY27" s="318"/>
      <c r="HZ27" s="318"/>
      <c r="IA27" s="318"/>
      <c r="IB27" s="318"/>
      <c r="IC27" s="318"/>
      <c r="ID27" s="318"/>
      <c r="IE27" s="318"/>
      <c r="IF27" s="318"/>
      <c r="IG27" s="318"/>
    </row>
    <row r="28" spans="1:241" s="260" customFormat="1" hidden="1" x14ac:dyDescent="0.3">
      <c r="A28" s="181">
        <v>3.03</v>
      </c>
      <c r="B28" s="239" t="s">
        <v>306</v>
      </c>
      <c r="C28" s="240" t="str">
        <f>VLOOKUP(BD.PD5[[#This Row],[Pos]],PPto[],3,FALSE)</f>
        <v>3.03 Generadores</v>
      </c>
      <c r="D28" s="241" t="s">
        <v>306</v>
      </c>
      <c r="E28" s="242">
        <f>IF(BD.PD5[[#This Row],[.]]="*",VLOOKUP(BD.PD5[[#This Row],[Pos]],[15]Presupuesto!A:H,7,FALSE),"")</f>
        <v>0</v>
      </c>
      <c r="F28" s="243"/>
      <c r="G28" s="243"/>
      <c r="H28" s="243"/>
      <c r="I28" s="244"/>
      <c r="J28" s="241" t="s">
        <v>188</v>
      </c>
      <c r="K28" s="245">
        <f>IF(BD.PD5[[#This Row],[Mon]]="DOP",1,HLOOKUP(BD.PD5[[#This Row],[Mon]],$J$1:$K$2,2,FALSE))</f>
        <v>64</v>
      </c>
      <c r="L28" s="246">
        <v>0</v>
      </c>
      <c r="M28" s="247">
        <f>BD.PD5[[#This Row],[Cant.]]*BD.PD5[[#This Row],[ Tasa ]]*BD.PD5[[#This Row],[ Precio Und.]]</f>
        <v>0</v>
      </c>
      <c r="N28" s="248"/>
      <c r="O28" s="247">
        <f>IF(BD.PD5[[#This Row],[Liquid. '[%']]]&lt;&gt;0,(BD.PD5[[#This Row],[Valor Neto '[DOP']]]*BD.PD5[[#This Row],[Liquid. '[%']]])+BD.PD5[[#This Row],[Valor Neto '[DOP']]],BD.PD5[[#This Row],[Valor Neto '[DOP']]])</f>
        <v>0</v>
      </c>
      <c r="P28" s="257">
        <f>BD.PD5[[#This Row],[Ppto. Orden Interna '[DOP']]]/HLOOKUP("USD",$J$1:$K$2,2,FALSE)</f>
        <v>0</v>
      </c>
      <c r="Q28" s="250"/>
      <c r="R28" s="250"/>
      <c r="S28" s="250"/>
      <c r="T28" s="250"/>
      <c r="U28" s="250"/>
      <c r="V28" s="243"/>
      <c r="W28" s="251"/>
      <c r="X28" s="252"/>
      <c r="Y28" s="259">
        <f>BD.PD5[[#This Row],[Av.P1 '[%']]]*BD.PD5[[#This Row],[Ppto. Orden Interna '[DOP']]]</f>
        <v>0</v>
      </c>
      <c r="Z28" s="254"/>
      <c r="AA28" s="255"/>
      <c r="AB28" s="259">
        <f>BD.PD5[[#This Row],[Av.P2 '[%']]]*BD.PD5[[#This Row],[Ppto. Orden Interna '[DOP']]]</f>
        <v>0</v>
      </c>
      <c r="AC28" s="254"/>
      <c r="AD28" s="255"/>
      <c r="AE28" s="259">
        <f>BD.PD5[[#This Row],[Av.P3 '[%']]]*BD.PD5[[#This Row],[Ppto. Orden Interna '[DOP']]]</f>
        <v>0</v>
      </c>
      <c r="AF28" s="254"/>
      <c r="AG28" s="255"/>
      <c r="AH28" s="259">
        <f>BD.PD5[[#This Row],[Av.P4 '[%']]]*BD.PD5[[#This Row],[Ppto. Orden Interna '[DOP']]]</f>
        <v>0</v>
      </c>
      <c r="AI28" s="254"/>
      <c r="AJ28" s="255"/>
      <c r="AK28" s="259">
        <f>BD.PD5[[#This Row],[Av.P5 '[%']]]*BD.PD5[[#This Row],[Ppto. Orden Interna '[DOP']]]</f>
        <v>0</v>
      </c>
      <c r="AL28" s="256">
        <f>BD.PD5[[#This Row],[Pago 5]]+BD.PD5[[#This Row],[Pago 4]]+BD.PD5[[#This Row],[Pago 3]]+BD.PD5[[#This Row],[Pago 2]]+BD.PD5[[#This Row],[Pago 1]]</f>
        <v>0</v>
      </c>
      <c r="AM28" s="318"/>
      <c r="AN28" s="318"/>
      <c r="AO28" s="318"/>
      <c r="AP28" s="318"/>
      <c r="AQ28" s="318"/>
      <c r="AR28" s="318"/>
      <c r="AS28" s="318"/>
      <c r="AT28" s="318"/>
      <c r="AU28" s="318"/>
      <c r="AV28" s="318"/>
      <c r="AW28" s="318"/>
      <c r="AX28" s="318"/>
      <c r="AY28" s="318"/>
      <c r="AZ28" s="318"/>
      <c r="BA28" s="318"/>
      <c r="BB28" s="318"/>
      <c r="BC28" s="318"/>
      <c r="BD28" s="318"/>
      <c r="BE28" s="318"/>
      <c r="BF28" s="318"/>
      <c r="BG28" s="318"/>
      <c r="BH28" s="318"/>
      <c r="BI28" s="318"/>
      <c r="BJ28" s="318"/>
      <c r="BK28" s="318"/>
      <c r="BL28" s="318"/>
      <c r="BM28" s="318"/>
      <c r="BN28" s="318"/>
      <c r="BO28" s="318"/>
      <c r="BP28" s="318"/>
      <c r="BQ28" s="318"/>
      <c r="BR28" s="318"/>
      <c r="BS28" s="318"/>
      <c r="BT28" s="318"/>
      <c r="BU28" s="318"/>
      <c r="BV28" s="318"/>
      <c r="BW28" s="318"/>
      <c r="BX28" s="318"/>
      <c r="BY28" s="318"/>
      <c r="BZ28" s="318"/>
      <c r="CA28" s="318"/>
      <c r="CB28" s="318"/>
      <c r="CC28" s="318"/>
      <c r="CD28" s="318"/>
      <c r="CE28" s="318"/>
      <c r="CF28" s="318"/>
      <c r="CG28" s="318"/>
      <c r="CH28" s="318"/>
      <c r="CI28" s="318"/>
      <c r="CJ28" s="318"/>
      <c r="CK28" s="318"/>
      <c r="CL28" s="318"/>
      <c r="CM28" s="318"/>
      <c r="CN28" s="318"/>
      <c r="CO28" s="318"/>
      <c r="CP28" s="318"/>
      <c r="CQ28" s="318"/>
      <c r="CR28" s="318"/>
      <c r="CS28" s="318"/>
      <c r="CT28" s="318"/>
      <c r="CU28" s="318"/>
      <c r="CV28" s="318"/>
      <c r="CW28" s="318"/>
      <c r="CX28" s="318"/>
      <c r="CY28" s="318"/>
      <c r="CZ28" s="318"/>
      <c r="DA28" s="318"/>
      <c r="DB28" s="318"/>
      <c r="DC28" s="318"/>
      <c r="DD28" s="318"/>
      <c r="DE28" s="318"/>
      <c r="DF28" s="318"/>
      <c r="DG28" s="318"/>
      <c r="DH28" s="318"/>
      <c r="DI28" s="318"/>
      <c r="DJ28" s="318"/>
      <c r="DK28" s="318"/>
      <c r="DL28" s="318"/>
      <c r="DM28" s="318"/>
      <c r="DN28" s="318"/>
      <c r="DO28" s="318"/>
      <c r="DP28" s="318"/>
      <c r="DQ28" s="318"/>
      <c r="DR28" s="318"/>
      <c r="DS28" s="318"/>
      <c r="DT28" s="318"/>
      <c r="DU28" s="318"/>
      <c r="DV28" s="318"/>
      <c r="DW28" s="318"/>
      <c r="DX28" s="318"/>
      <c r="DY28" s="318"/>
      <c r="DZ28" s="318"/>
      <c r="EA28" s="318"/>
      <c r="EB28" s="318"/>
      <c r="EC28" s="318"/>
      <c r="ED28" s="318"/>
      <c r="EE28" s="318"/>
      <c r="EF28" s="318"/>
      <c r="EG28" s="318"/>
      <c r="EH28" s="318"/>
      <c r="EI28" s="318"/>
      <c r="EJ28" s="318"/>
      <c r="EK28" s="318"/>
      <c r="EL28" s="318"/>
      <c r="EM28" s="318"/>
      <c r="EN28" s="318"/>
      <c r="EO28" s="318"/>
      <c r="EP28" s="318"/>
      <c r="EQ28" s="318"/>
      <c r="ER28" s="318"/>
      <c r="ES28" s="318"/>
      <c r="ET28" s="318"/>
      <c r="EU28" s="318"/>
      <c r="EV28" s="318"/>
      <c r="EW28" s="318"/>
      <c r="EX28" s="318"/>
      <c r="EY28" s="318"/>
      <c r="EZ28" s="318"/>
      <c r="FA28" s="318"/>
      <c r="FB28" s="318"/>
      <c r="FC28" s="318"/>
      <c r="FD28" s="318"/>
      <c r="FE28" s="318"/>
      <c r="FF28" s="318"/>
      <c r="FG28" s="318"/>
      <c r="FH28" s="318"/>
      <c r="FI28" s="318"/>
      <c r="FJ28" s="318"/>
      <c r="FK28" s="318"/>
      <c r="FL28" s="318"/>
      <c r="FM28" s="318"/>
      <c r="FN28" s="318"/>
      <c r="FO28" s="318"/>
      <c r="FP28" s="318"/>
      <c r="FQ28" s="318"/>
      <c r="FR28" s="318"/>
      <c r="FS28" s="318"/>
      <c r="FT28" s="318"/>
      <c r="FU28" s="318"/>
      <c r="FV28" s="318"/>
      <c r="FW28" s="318"/>
      <c r="FX28" s="318"/>
      <c r="FY28" s="318"/>
      <c r="FZ28" s="318"/>
      <c r="GA28" s="318"/>
      <c r="GB28" s="318"/>
      <c r="GC28" s="318"/>
      <c r="GD28" s="318"/>
      <c r="GE28" s="318"/>
      <c r="GF28" s="318"/>
      <c r="GG28" s="318"/>
      <c r="GH28" s="318"/>
      <c r="GI28" s="318"/>
      <c r="GJ28" s="318"/>
      <c r="GK28" s="318"/>
      <c r="GL28" s="318"/>
      <c r="GM28" s="318"/>
      <c r="GN28" s="318"/>
      <c r="GO28" s="318"/>
      <c r="GP28" s="318"/>
      <c r="GQ28" s="318"/>
      <c r="GR28" s="318"/>
      <c r="GS28" s="318"/>
      <c r="GT28" s="318"/>
      <c r="GU28" s="318"/>
      <c r="GV28" s="318"/>
      <c r="GW28" s="318"/>
      <c r="GX28" s="318"/>
      <c r="GY28" s="318"/>
      <c r="GZ28" s="318"/>
      <c r="HA28" s="318"/>
      <c r="HB28" s="318"/>
      <c r="HC28" s="318"/>
      <c r="HD28" s="318"/>
      <c r="HE28" s="318"/>
      <c r="HF28" s="318"/>
      <c r="HG28" s="318"/>
      <c r="HH28" s="318"/>
      <c r="HI28" s="318"/>
      <c r="HJ28" s="318"/>
      <c r="HK28" s="318"/>
      <c r="HL28" s="318"/>
      <c r="HM28" s="318"/>
      <c r="HN28" s="318"/>
      <c r="HO28" s="318"/>
      <c r="HP28" s="318"/>
      <c r="HQ28" s="318"/>
      <c r="HR28" s="318"/>
      <c r="HS28" s="318"/>
      <c r="HT28" s="318"/>
      <c r="HU28" s="318"/>
      <c r="HV28" s="318"/>
      <c r="HW28" s="318"/>
      <c r="HX28" s="318"/>
      <c r="HY28" s="318"/>
      <c r="HZ28" s="318"/>
      <c r="IA28" s="318"/>
      <c r="IB28" s="318"/>
      <c r="IC28" s="318"/>
      <c r="ID28" s="318"/>
      <c r="IE28" s="318"/>
      <c r="IF28" s="318"/>
      <c r="IG28" s="318"/>
    </row>
    <row r="29" spans="1:241" s="260" customFormat="1" hidden="1" x14ac:dyDescent="0.3">
      <c r="A29" s="181">
        <v>3.04</v>
      </c>
      <c r="B29" s="239" t="s">
        <v>306</v>
      </c>
      <c r="C29" s="240" t="str">
        <f>VLOOKUP(BD.PD5[[#This Row],[Pos]],PPto[],3,FALSE)</f>
        <v>3.04 Inversor y UPS</v>
      </c>
      <c r="D29" s="241" t="s">
        <v>306</v>
      </c>
      <c r="E29" s="242">
        <f>IF(BD.PD5[[#This Row],[.]]="*",VLOOKUP(BD.PD5[[#This Row],[Pos]],[15]Presupuesto!A:H,7,FALSE),"")</f>
        <v>0</v>
      </c>
      <c r="F29" s="243"/>
      <c r="G29" s="243"/>
      <c r="H29" s="243"/>
      <c r="I29" s="244"/>
      <c r="J29" s="241" t="s">
        <v>188</v>
      </c>
      <c r="K29" s="245">
        <f>IF(BD.PD5[[#This Row],[Mon]]="DOP",1,HLOOKUP(BD.PD5[[#This Row],[Mon]],$J$1:$K$2,2,FALSE))</f>
        <v>64</v>
      </c>
      <c r="L29" s="246">
        <v>0</v>
      </c>
      <c r="M29" s="247">
        <f>BD.PD5[[#This Row],[Cant.]]*BD.PD5[[#This Row],[ Tasa ]]*BD.PD5[[#This Row],[ Precio Und.]]</f>
        <v>0</v>
      </c>
      <c r="N29" s="248"/>
      <c r="O29" s="247">
        <f>IF(BD.PD5[[#This Row],[Liquid. '[%']]]&lt;&gt;0,(BD.PD5[[#This Row],[Valor Neto '[DOP']]]*BD.PD5[[#This Row],[Liquid. '[%']]])+BD.PD5[[#This Row],[Valor Neto '[DOP']]],BD.PD5[[#This Row],[Valor Neto '[DOP']]])</f>
        <v>0</v>
      </c>
      <c r="P29" s="257">
        <f>BD.PD5[[#This Row],[Ppto. Orden Interna '[DOP']]]/HLOOKUP("USD",$J$1:$K$2,2,FALSE)</f>
        <v>0</v>
      </c>
      <c r="Q29" s="250"/>
      <c r="R29" s="250"/>
      <c r="S29" s="250"/>
      <c r="T29" s="250"/>
      <c r="U29" s="250"/>
      <c r="V29" s="243"/>
      <c r="W29" s="251"/>
      <c r="X29" s="252"/>
      <c r="Y29" s="259">
        <f>BD.PD5[[#This Row],[Av.P1 '[%']]]*BD.PD5[[#This Row],[Ppto. Orden Interna '[DOP']]]</f>
        <v>0</v>
      </c>
      <c r="Z29" s="254"/>
      <c r="AA29" s="255"/>
      <c r="AB29" s="259">
        <f>BD.PD5[[#This Row],[Av.P2 '[%']]]*BD.PD5[[#This Row],[Ppto. Orden Interna '[DOP']]]</f>
        <v>0</v>
      </c>
      <c r="AC29" s="254"/>
      <c r="AD29" s="255"/>
      <c r="AE29" s="259">
        <f>BD.PD5[[#This Row],[Av.P3 '[%']]]*BD.PD5[[#This Row],[Ppto. Orden Interna '[DOP']]]</f>
        <v>0</v>
      </c>
      <c r="AF29" s="254"/>
      <c r="AG29" s="255"/>
      <c r="AH29" s="259">
        <f>BD.PD5[[#This Row],[Av.P4 '[%']]]*BD.PD5[[#This Row],[Ppto. Orden Interna '[DOP']]]</f>
        <v>0</v>
      </c>
      <c r="AI29" s="254"/>
      <c r="AJ29" s="255"/>
      <c r="AK29" s="259">
        <f>BD.PD5[[#This Row],[Av.P5 '[%']]]*BD.PD5[[#This Row],[Ppto. Orden Interna '[DOP']]]</f>
        <v>0</v>
      </c>
      <c r="AL29" s="256">
        <f>BD.PD5[[#This Row],[Pago 5]]+BD.PD5[[#This Row],[Pago 4]]+BD.PD5[[#This Row],[Pago 3]]+BD.PD5[[#This Row],[Pago 2]]+BD.PD5[[#This Row],[Pago 1]]</f>
        <v>0</v>
      </c>
      <c r="AM29" s="318"/>
      <c r="AN29" s="318"/>
      <c r="AO29" s="318"/>
      <c r="AP29" s="318"/>
      <c r="AQ29" s="318"/>
      <c r="AR29" s="318"/>
      <c r="AS29" s="318"/>
      <c r="AT29" s="318"/>
      <c r="AU29" s="318"/>
      <c r="AV29" s="318"/>
      <c r="AW29" s="318"/>
      <c r="AX29" s="318"/>
      <c r="AY29" s="318"/>
      <c r="AZ29" s="318"/>
      <c r="BA29" s="318"/>
      <c r="BB29" s="318"/>
      <c r="BC29" s="318"/>
      <c r="BD29" s="318"/>
      <c r="BE29" s="318"/>
      <c r="BF29" s="318"/>
      <c r="BG29" s="318"/>
      <c r="BH29" s="318"/>
      <c r="BI29" s="318"/>
      <c r="BJ29" s="318"/>
      <c r="BK29" s="318"/>
      <c r="BL29" s="318"/>
      <c r="BM29" s="318"/>
      <c r="BN29" s="318"/>
      <c r="BO29" s="318"/>
      <c r="BP29" s="318"/>
      <c r="BQ29" s="318"/>
      <c r="BR29" s="318"/>
      <c r="BS29" s="318"/>
      <c r="BT29" s="318"/>
      <c r="BU29" s="318"/>
      <c r="BV29" s="318"/>
      <c r="BW29" s="318"/>
      <c r="BX29" s="318"/>
      <c r="BY29" s="318"/>
      <c r="BZ29" s="318"/>
      <c r="CA29" s="318"/>
      <c r="CB29" s="318"/>
      <c r="CC29" s="318"/>
      <c r="CD29" s="318"/>
      <c r="CE29" s="318"/>
      <c r="CF29" s="318"/>
      <c r="CG29" s="318"/>
      <c r="CH29" s="318"/>
      <c r="CI29" s="318"/>
      <c r="CJ29" s="318"/>
      <c r="CK29" s="318"/>
      <c r="CL29" s="318"/>
      <c r="CM29" s="318"/>
      <c r="CN29" s="318"/>
      <c r="CO29" s="318"/>
      <c r="CP29" s="318"/>
      <c r="CQ29" s="318"/>
      <c r="CR29" s="318"/>
      <c r="CS29" s="318"/>
      <c r="CT29" s="318"/>
      <c r="CU29" s="318"/>
      <c r="CV29" s="318"/>
      <c r="CW29" s="318"/>
      <c r="CX29" s="318"/>
      <c r="CY29" s="318"/>
      <c r="CZ29" s="318"/>
      <c r="DA29" s="318"/>
      <c r="DB29" s="318"/>
      <c r="DC29" s="318"/>
      <c r="DD29" s="318"/>
      <c r="DE29" s="318"/>
      <c r="DF29" s="318"/>
      <c r="DG29" s="318"/>
      <c r="DH29" s="318"/>
      <c r="DI29" s="318"/>
      <c r="DJ29" s="318"/>
      <c r="DK29" s="318"/>
      <c r="DL29" s="318"/>
      <c r="DM29" s="318"/>
      <c r="DN29" s="318"/>
      <c r="DO29" s="318"/>
      <c r="DP29" s="318"/>
      <c r="DQ29" s="318"/>
      <c r="DR29" s="318"/>
      <c r="DS29" s="318"/>
      <c r="DT29" s="318"/>
      <c r="DU29" s="318"/>
      <c r="DV29" s="318"/>
      <c r="DW29" s="318"/>
      <c r="DX29" s="318"/>
      <c r="DY29" s="318"/>
      <c r="DZ29" s="318"/>
      <c r="EA29" s="318"/>
      <c r="EB29" s="318"/>
      <c r="EC29" s="318"/>
      <c r="ED29" s="318"/>
      <c r="EE29" s="318"/>
      <c r="EF29" s="318"/>
      <c r="EG29" s="318"/>
      <c r="EH29" s="318"/>
      <c r="EI29" s="318"/>
      <c r="EJ29" s="318"/>
      <c r="EK29" s="318"/>
      <c r="EL29" s="318"/>
      <c r="EM29" s="318"/>
      <c r="EN29" s="318"/>
      <c r="EO29" s="318"/>
      <c r="EP29" s="318"/>
      <c r="EQ29" s="318"/>
      <c r="ER29" s="318"/>
      <c r="ES29" s="318"/>
      <c r="ET29" s="318"/>
      <c r="EU29" s="318"/>
      <c r="EV29" s="318"/>
      <c r="EW29" s="318"/>
      <c r="EX29" s="318"/>
      <c r="EY29" s="318"/>
      <c r="EZ29" s="318"/>
      <c r="FA29" s="318"/>
      <c r="FB29" s="318"/>
      <c r="FC29" s="318"/>
      <c r="FD29" s="318"/>
      <c r="FE29" s="318"/>
      <c r="FF29" s="318"/>
      <c r="FG29" s="318"/>
      <c r="FH29" s="318"/>
      <c r="FI29" s="318"/>
      <c r="FJ29" s="318"/>
      <c r="FK29" s="318"/>
      <c r="FL29" s="318"/>
      <c r="FM29" s="318"/>
      <c r="FN29" s="318"/>
      <c r="FO29" s="318"/>
      <c r="FP29" s="318"/>
      <c r="FQ29" s="318"/>
      <c r="FR29" s="318"/>
      <c r="FS29" s="318"/>
      <c r="FT29" s="318"/>
      <c r="FU29" s="318"/>
      <c r="FV29" s="318"/>
      <c r="FW29" s="318"/>
      <c r="FX29" s="318"/>
      <c r="FY29" s="318"/>
      <c r="FZ29" s="318"/>
      <c r="GA29" s="318"/>
      <c r="GB29" s="318"/>
      <c r="GC29" s="318"/>
      <c r="GD29" s="318"/>
      <c r="GE29" s="318"/>
      <c r="GF29" s="318"/>
      <c r="GG29" s="318"/>
      <c r="GH29" s="318"/>
      <c r="GI29" s="318"/>
      <c r="GJ29" s="318"/>
      <c r="GK29" s="318"/>
      <c r="GL29" s="318"/>
      <c r="GM29" s="318"/>
      <c r="GN29" s="318"/>
      <c r="GO29" s="318"/>
      <c r="GP29" s="318"/>
      <c r="GQ29" s="318"/>
      <c r="GR29" s="318"/>
      <c r="GS29" s="318"/>
      <c r="GT29" s="318"/>
      <c r="GU29" s="318"/>
      <c r="GV29" s="318"/>
      <c r="GW29" s="318"/>
      <c r="GX29" s="318"/>
      <c r="GY29" s="318"/>
      <c r="GZ29" s="318"/>
      <c r="HA29" s="318"/>
      <c r="HB29" s="318"/>
      <c r="HC29" s="318"/>
      <c r="HD29" s="318"/>
      <c r="HE29" s="318"/>
      <c r="HF29" s="318"/>
      <c r="HG29" s="318"/>
      <c r="HH29" s="318"/>
      <c r="HI29" s="318"/>
      <c r="HJ29" s="318"/>
      <c r="HK29" s="318"/>
      <c r="HL29" s="318"/>
      <c r="HM29" s="318"/>
      <c r="HN29" s="318"/>
      <c r="HO29" s="318"/>
      <c r="HP29" s="318"/>
      <c r="HQ29" s="318"/>
      <c r="HR29" s="318"/>
      <c r="HS29" s="318"/>
      <c r="HT29" s="318"/>
      <c r="HU29" s="318"/>
      <c r="HV29" s="318"/>
      <c r="HW29" s="318"/>
      <c r="HX29" s="318"/>
      <c r="HY29" s="318"/>
      <c r="HZ29" s="318"/>
      <c r="IA29" s="318"/>
      <c r="IB29" s="318"/>
      <c r="IC29" s="318"/>
      <c r="ID29" s="318"/>
      <c r="IE29" s="318"/>
      <c r="IF29" s="318"/>
      <c r="IG29" s="318"/>
    </row>
    <row r="30" spans="1:241" s="260" customFormat="1" ht="14.4" x14ac:dyDescent="0.3">
      <c r="A30" s="181">
        <v>3.04</v>
      </c>
      <c r="B30" s="239"/>
      <c r="C30" s="240" t="str">
        <f>VLOOKUP(BD.PD5[[#This Row],[Pos]],PPto[],3,FALSE)</f>
        <v>3.04 Inversor y UPS</v>
      </c>
      <c r="D30" s="181" t="s">
        <v>40</v>
      </c>
      <c r="E30" s="242" t="str">
        <f>IF(BD.PD5[[#This Row],[.]]="*",VLOOKUP(BD.PD5[[#This Row],[Pos]],[15]Presupuesto!A:H,7,FALSE),"")</f>
        <v/>
      </c>
      <c r="F30" s="243" t="s">
        <v>714</v>
      </c>
      <c r="G30" s="243" t="s">
        <v>308</v>
      </c>
      <c r="H30" s="243"/>
      <c r="I30" s="345">
        <v>1</v>
      </c>
      <c r="J30" s="181" t="s">
        <v>188</v>
      </c>
      <c r="K30" s="245">
        <f>IF(BD.PD5[[#This Row],[Mon]]="DOP",1,HLOOKUP(BD.PD5[[#This Row],[Mon]],$J$1:$K$2,2,FALSE))</f>
        <v>64</v>
      </c>
      <c r="L30" s="277">
        <v>1344</v>
      </c>
      <c r="M30" s="247">
        <f>BD.PD5[[#This Row],[Cant.]]*BD.PD5[[#This Row],[ Tasa ]]*BD.PD5[[#This Row],[ Precio Und.]]</f>
        <v>86016</v>
      </c>
      <c r="N30" s="278">
        <v>0</v>
      </c>
      <c r="O30" s="247">
        <f>IF(BD.PD5[[#This Row],[Liquid. '[%']]]&lt;&gt;0,(BD.PD5[[#This Row],[Valor Neto '[DOP']]]*BD.PD5[[#This Row],[Liquid. '[%']]])+BD.PD5[[#This Row],[Valor Neto '[DOP']]],BD.PD5[[#This Row],[Valor Neto '[DOP']]])</f>
        <v>86016</v>
      </c>
      <c r="P30" s="249">
        <f>BD.PD5[[#This Row],[Ppto. Orden Interna '[DOP']]]/HLOOKUP("USD",$J$1:$K$2,2,FALSE)</f>
        <v>1344</v>
      </c>
      <c r="Q30" s="339" t="s">
        <v>715</v>
      </c>
      <c r="R30" s="250"/>
      <c r="S30" s="250"/>
      <c r="T30" s="250"/>
      <c r="U30" s="250"/>
      <c r="V30" s="258" t="s">
        <v>716</v>
      </c>
      <c r="W30" s="251">
        <v>1</v>
      </c>
      <c r="X30" s="252">
        <v>1</v>
      </c>
      <c r="Y30" s="253">
        <f>BD.PD5[[#This Row],[Av.P1 '[%']]]*BD.PD5[[#This Row],[Ppto. Orden Interna '[DOP']]]</f>
        <v>86016</v>
      </c>
      <c r="Z30" s="254"/>
      <c r="AA30" s="255"/>
      <c r="AB30" s="253">
        <f>BD.PD5[[#This Row],[Av.P2 '[%']]]*BD.PD5[[#This Row],[Ppto. Orden Interna '[DOP']]]</f>
        <v>0</v>
      </c>
      <c r="AC30" s="254"/>
      <c r="AD30" s="255"/>
      <c r="AE30" s="253">
        <f>BD.PD5[[#This Row],[Av.P3 '[%']]]*BD.PD5[[#This Row],[Ppto. Orden Interna '[DOP']]]</f>
        <v>0</v>
      </c>
      <c r="AF30" s="254"/>
      <c r="AG30" s="255"/>
      <c r="AH30" s="253">
        <f>BD.PD5[[#This Row],[Av.P4 '[%']]]*BD.PD5[[#This Row],[Ppto. Orden Interna '[DOP']]]</f>
        <v>0</v>
      </c>
      <c r="AI30" s="254"/>
      <c r="AJ30" s="255"/>
      <c r="AK30" s="253">
        <f>BD.PD5[[#This Row],[Av.P5 '[%']]]*BD.PD5[[#This Row],[Ppto. Orden Interna '[DOP']]]</f>
        <v>0</v>
      </c>
      <c r="AL30" s="256">
        <f>BD.PD5[[#This Row],[Pago 5]]+BD.PD5[[#This Row],[Pago 4]]+BD.PD5[[#This Row],[Pago 3]]+BD.PD5[[#This Row],[Pago 2]]+BD.PD5[[#This Row],[Pago 1]]</f>
        <v>86016</v>
      </c>
      <c r="AM30" s="318"/>
      <c r="AN30" s="318"/>
      <c r="AO30" s="318"/>
      <c r="AP30" s="318"/>
      <c r="AQ30" s="318"/>
      <c r="AR30" s="318"/>
      <c r="AS30" s="318"/>
      <c r="AT30" s="318"/>
      <c r="AU30" s="318"/>
      <c r="AV30" s="318"/>
      <c r="AW30" s="318"/>
      <c r="AX30" s="318"/>
      <c r="AY30" s="318"/>
      <c r="AZ30" s="318"/>
      <c r="BA30" s="318"/>
      <c r="BB30" s="318"/>
      <c r="BC30" s="318"/>
      <c r="BD30" s="318"/>
      <c r="BE30" s="318"/>
      <c r="BF30" s="318"/>
      <c r="BG30" s="318"/>
      <c r="BH30" s="318"/>
      <c r="BI30" s="318"/>
      <c r="BJ30" s="318"/>
      <c r="BK30" s="318"/>
      <c r="BL30" s="318"/>
      <c r="BM30" s="318"/>
      <c r="BN30" s="318"/>
      <c r="BO30" s="318"/>
      <c r="BP30" s="318"/>
      <c r="BQ30" s="318"/>
      <c r="BR30" s="318"/>
      <c r="BS30" s="318"/>
      <c r="BT30" s="318"/>
      <c r="BU30" s="318"/>
      <c r="BV30" s="318"/>
      <c r="BW30" s="318"/>
      <c r="BX30" s="318"/>
      <c r="BY30" s="318"/>
      <c r="BZ30" s="318"/>
      <c r="CA30" s="318"/>
      <c r="CB30" s="318"/>
      <c r="CC30" s="318"/>
      <c r="CD30" s="318"/>
      <c r="CE30" s="318"/>
      <c r="CF30" s="318"/>
      <c r="CG30" s="318"/>
      <c r="CH30" s="318"/>
      <c r="CI30" s="318"/>
      <c r="CJ30" s="318"/>
      <c r="CK30" s="318"/>
      <c r="CL30" s="318"/>
      <c r="CM30" s="318"/>
      <c r="CN30" s="318"/>
      <c r="CO30" s="318"/>
      <c r="CP30" s="318"/>
      <c r="CQ30" s="318"/>
      <c r="CR30" s="318"/>
      <c r="CS30" s="318"/>
      <c r="CT30" s="318"/>
      <c r="CU30" s="318"/>
      <c r="CV30" s="318"/>
      <c r="CW30" s="318"/>
      <c r="CX30" s="318"/>
      <c r="CY30" s="318"/>
      <c r="CZ30" s="318"/>
      <c r="DA30" s="318"/>
      <c r="DB30" s="318"/>
      <c r="DC30" s="318"/>
      <c r="DD30" s="318"/>
      <c r="DE30" s="318"/>
      <c r="DF30" s="318"/>
      <c r="DG30" s="318"/>
      <c r="DH30" s="318"/>
      <c r="DI30" s="318"/>
      <c r="DJ30" s="318"/>
      <c r="DK30" s="318"/>
      <c r="DL30" s="318"/>
      <c r="DM30" s="318"/>
      <c r="DN30" s="318"/>
      <c r="DO30" s="318"/>
      <c r="DP30" s="318"/>
      <c r="DQ30" s="318"/>
      <c r="DR30" s="318"/>
      <c r="DS30" s="318"/>
      <c r="DT30" s="318"/>
      <c r="DU30" s="318"/>
      <c r="DV30" s="318"/>
      <c r="DW30" s="318"/>
      <c r="DX30" s="318"/>
      <c r="DY30" s="318"/>
      <c r="DZ30" s="318"/>
      <c r="EA30" s="318"/>
      <c r="EB30" s="318"/>
      <c r="EC30" s="318"/>
      <c r="ED30" s="318"/>
      <c r="EE30" s="318"/>
      <c r="EF30" s="318"/>
      <c r="EG30" s="318"/>
      <c r="EH30" s="318"/>
      <c r="EI30" s="318"/>
      <c r="EJ30" s="318"/>
      <c r="EK30" s="318"/>
      <c r="EL30" s="318"/>
      <c r="EM30" s="318"/>
      <c r="EN30" s="318"/>
      <c r="EO30" s="318"/>
      <c r="EP30" s="318"/>
      <c r="EQ30" s="318"/>
      <c r="ER30" s="318"/>
      <c r="ES30" s="318"/>
      <c r="ET30" s="318"/>
      <c r="EU30" s="318"/>
      <c r="EV30" s="318"/>
      <c r="EW30" s="318"/>
      <c r="EX30" s="318"/>
      <c r="EY30" s="318"/>
      <c r="EZ30" s="318"/>
      <c r="FA30" s="318"/>
      <c r="FB30" s="318"/>
      <c r="FC30" s="318"/>
      <c r="FD30" s="318"/>
      <c r="FE30" s="318"/>
      <c r="FF30" s="318"/>
      <c r="FG30" s="318"/>
      <c r="FH30" s="318"/>
      <c r="FI30" s="318"/>
      <c r="FJ30" s="318"/>
      <c r="FK30" s="318"/>
      <c r="FL30" s="318"/>
      <c r="FM30" s="318"/>
      <c r="FN30" s="318"/>
      <c r="FO30" s="318"/>
      <c r="FP30" s="318"/>
      <c r="FQ30" s="318"/>
      <c r="FR30" s="318"/>
      <c r="FS30" s="318"/>
      <c r="FT30" s="318"/>
      <c r="FU30" s="318"/>
      <c r="FV30" s="318"/>
      <c r="FW30" s="318"/>
      <c r="FX30" s="318"/>
      <c r="FY30" s="318"/>
      <c r="FZ30" s="318"/>
      <c r="GA30" s="318"/>
      <c r="GB30" s="318"/>
      <c r="GC30" s="318"/>
      <c r="GD30" s="318"/>
      <c r="GE30" s="318"/>
      <c r="GF30" s="318"/>
      <c r="GG30" s="318"/>
      <c r="GH30" s="318"/>
      <c r="GI30" s="318"/>
      <c r="GJ30" s="318"/>
      <c r="GK30" s="318"/>
      <c r="GL30" s="318"/>
      <c r="GM30" s="318"/>
      <c r="GN30" s="318"/>
      <c r="GO30" s="318"/>
      <c r="GP30" s="318"/>
      <c r="GQ30" s="318"/>
      <c r="GR30" s="318"/>
      <c r="GS30" s="318"/>
      <c r="GT30" s="318"/>
      <c r="GU30" s="318"/>
      <c r="GV30" s="318"/>
      <c r="GW30" s="318"/>
      <c r="GX30" s="318"/>
      <c r="GY30" s="318"/>
      <c r="GZ30" s="318"/>
      <c r="HA30" s="318"/>
      <c r="HB30" s="318"/>
      <c r="HC30" s="318"/>
      <c r="HD30" s="318"/>
      <c r="HE30" s="318"/>
      <c r="HF30" s="318"/>
      <c r="HG30" s="318"/>
      <c r="HH30" s="318"/>
      <c r="HI30" s="318"/>
      <c r="HJ30" s="318"/>
      <c r="HK30" s="318"/>
      <c r="HL30" s="318"/>
      <c r="HM30" s="318"/>
      <c r="HN30" s="318"/>
      <c r="HO30" s="318"/>
      <c r="HP30" s="318"/>
      <c r="HQ30" s="318"/>
      <c r="HR30" s="318"/>
      <c r="HS30" s="318"/>
      <c r="HT30" s="318"/>
      <c r="HU30" s="318"/>
      <c r="HV30" s="318"/>
      <c r="HW30" s="318"/>
      <c r="HX30" s="318"/>
      <c r="HY30" s="318"/>
      <c r="HZ30" s="318"/>
      <c r="IA30" s="318"/>
      <c r="IB30" s="318"/>
      <c r="IC30" s="318"/>
      <c r="ID30" s="318"/>
      <c r="IE30" s="318"/>
      <c r="IF30" s="318"/>
      <c r="IG30" s="318"/>
    </row>
    <row r="31" spans="1:241" s="260" customFormat="1" hidden="1" x14ac:dyDescent="0.3">
      <c r="A31" s="181">
        <v>4.01</v>
      </c>
      <c r="B31" s="239" t="s">
        <v>306</v>
      </c>
      <c r="C31" s="240" t="str">
        <f>VLOOKUP(BD.PD5[[#This Row],[Pos]],PPto[],3,FALSE)</f>
        <v>4.01 Suministro e instalación de Equipos</v>
      </c>
      <c r="D31" s="241" t="s">
        <v>306</v>
      </c>
      <c r="E31" s="242">
        <f>IF(BD.PD5[[#This Row],[.]]="*",VLOOKUP(BD.PD5[[#This Row],[Pos]],[15]Presupuesto!A:H,7,FALSE),"")</f>
        <v>0</v>
      </c>
      <c r="F31" s="243"/>
      <c r="G31" s="243"/>
      <c r="H31" s="243"/>
      <c r="I31" s="244"/>
      <c r="J31" s="241" t="s">
        <v>188</v>
      </c>
      <c r="K31" s="245">
        <f>IF(BD.PD5[[#This Row],[Mon]]="DOP",1,HLOOKUP(BD.PD5[[#This Row],[Mon]],$J$1:$K$2,2,FALSE))</f>
        <v>64</v>
      </c>
      <c r="L31" s="246">
        <v>0</v>
      </c>
      <c r="M31" s="247">
        <f>BD.PD5[[#This Row],[Cant.]]*BD.PD5[[#This Row],[ Tasa ]]*BD.PD5[[#This Row],[ Precio Und.]]</f>
        <v>0</v>
      </c>
      <c r="N31" s="248"/>
      <c r="O31" s="247">
        <f>IF(BD.PD5[[#This Row],[Liquid. '[%']]]&lt;&gt;0,(BD.PD5[[#This Row],[Valor Neto '[DOP']]]*BD.PD5[[#This Row],[Liquid. '[%']]])+BD.PD5[[#This Row],[Valor Neto '[DOP']]],BD.PD5[[#This Row],[Valor Neto '[DOP']]])</f>
        <v>0</v>
      </c>
      <c r="P31" s="249">
        <f>BD.PD5[[#This Row],[Ppto. Orden Interna '[DOP']]]/HLOOKUP("USD",$J$1:$K$2,2,FALSE)</f>
        <v>0</v>
      </c>
      <c r="Q31" s="250"/>
      <c r="R31" s="250"/>
      <c r="S31" s="250"/>
      <c r="T31" s="250"/>
      <c r="U31" s="250"/>
      <c r="V31" s="243"/>
      <c r="W31" s="251"/>
      <c r="X31" s="252"/>
      <c r="Y31" s="253">
        <f>BD.PD5[[#This Row],[Av.P1 '[%']]]*BD.PD5[[#This Row],[Ppto. Orden Interna '[DOP']]]</f>
        <v>0</v>
      </c>
      <c r="Z31" s="254"/>
      <c r="AA31" s="255"/>
      <c r="AB31" s="253">
        <f>BD.PD5[[#This Row],[Av.P2 '[%']]]*BD.PD5[[#This Row],[Ppto. Orden Interna '[DOP']]]</f>
        <v>0</v>
      </c>
      <c r="AC31" s="254"/>
      <c r="AD31" s="255"/>
      <c r="AE31" s="253">
        <f>BD.PD5[[#This Row],[Av.P3 '[%']]]*BD.PD5[[#This Row],[Ppto. Orden Interna '[DOP']]]</f>
        <v>0</v>
      </c>
      <c r="AF31" s="254"/>
      <c r="AG31" s="255"/>
      <c r="AH31" s="253">
        <f>BD.PD5[[#This Row],[Av.P4 '[%']]]*BD.PD5[[#This Row],[Ppto. Orden Interna '[DOP']]]</f>
        <v>0</v>
      </c>
      <c r="AI31" s="254"/>
      <c r="AJ31" s="255"/>
      <c r="AK31" s="253">
        <f>BD.PD5[[#This Row],[Av.P5 '[%']]]*BD.PD5[[#This Row],[Ppto. Orden Interna '[DOP']]]</f>
        <v>0</v>
      </c>
      <c r="AL31" s="256">
        <f>BD.PD5[[#This Row],[Pago 5]]+BD.PD5[[#This Row],[Pago 4]]+BD.PD5[[#This Row],[Pago 3]]+BD.PD5[[#This Row],[Pago 2]]+BD.PD5[[#This Row],[Pago 1]]</f>
        <v>0</v>
      </c>
      <c r="AM31" s="318"/>
      <c r="AN31" s="318"/>
      <c r="AO31" s="318"/>
      <c r="AP31" s="318"/>
      <c r="AQ31" s="318"/>
      <c r="AR31" s="318"/>
      <c r="AS31" s="318"/>
      <c r="AT31" s="318"/>
      <c r="AU31" s="318"/>
      <c r="AV31" s="318"/>
      <c r="AW31" s="318"/>
      <c r="AX31" s="318"/>
      <c r="AY31" s="318"/>
      <c r="AZ31" s="318"/>
      <c r="BA31" s="318"/>
      <c r="BB31" s="318"/>
      <c r="BC31" s="318"/>
      <c r="BD31" s="318"/>
      <c r="BE31" s="318"/>
      <c r="BF31" s="318"/>
      <c r="BG31" s="318"/>
      <c r="BH31" s="318"/>
      <c r="BI31" s="318"/>
      <c r="BJ31" s="318"/>
      <c r="BK31" s="318"/>
      <c r="BL31" s="318"/>
      <c r="BM31" s="318"/>
      <c r="BN31" s="318"/>
      <c r="BO31" s="318"/>
      <c r="BP31" s="318"/>
      <c r="BQ31" s="318"/>
      <c r="BR31" s="318"/>
      <c r="BS31" s="318"/>
      <c r="BT31" s="318"/>
      <c r="BU31" s="318"/>
      <c r="BV31" s="318"/>
      <c r="BW31" s="318"/>
      <c r="BX31" s="318"/>
      <c r="BY31" s="318"/>
      <c r="BZ31" s="318"/>
      <c r="CA31" s="318"/>
      <c r="CB31" s="318"/>
      <c r="CC31" s="318"/>
      <c r="CD31" s="318"/>
      <c r="CE31" s="318"/>
      <c r="CF31" s="318"/>
      <c r="CG31" s="318"/>
      <c r="CH31" s="318"/>
      <c r="CI31" s="318"/>
      <c r="CJ31" s="318"/>
      <c r="CK31" s="318"/>
      <c r="CL31" s="318"/>
      <c r="CM31" s="318"/>
      <c r="CN31" s="318"/>
      <c r="CO31" s="318"/>
      <c r="CP31" s="318"/>
      <c r="CQ31" s="318"/>
      <c r="CR31" s="318"/>
      <c r="CS31" s="318"/>
      <c r="CT31" s="318"/>
      <c r="CU31" s="318"/>
      <c r="CV31" s="318"/>
      <c r="CW31" s="318"/>
      <c r="CX31" s="318"/>
      <c r="CY31" s="318"/>
      <c r="CZ31" s="318"/>
      <c r="DA31" s="318"/>
      <c r="DB31" s="318"/>
      <c r="DC31" s="318"/>
      <c r="DD31" s="318"/>
      <c r="DE31" s="318"/>
      <c r="DF31" s="318"/>
      <c r="DG31" s="318"/>
      <c r="DH31" s="318"/>
      <c r="DI31" s="318"/>
      <c r="DJ31" s="318"/>
      <c r="DK31" s="318"/>
      <c r="DL31" s="318"/>
      <c r="DM31" s="318"/>
      <c r="DN31" s="318"/>
      <c r="DO31" s="318"/>
      <c r="DP31" s="318"/>
      <c r="DQ31" s="318"/>
      <c r="DR31" s="318"/>
      <c r="DS31" s="318"/>
      <c r="DT31" s="318"/>
      <c r="DU31" s="318"/>
      <c r="DV31" s="318"/>
      <c r="DW31" s="318"/>
      <c r="DX31" s="318"/>
      <c r="DY31" s="318"/>
      <c r="DZ31" s="318"/>
      <c r="EA31" s="318"/>
      <c r="EB31" s="318"/>
      <c r="EC31" s="318"/>
      <c r="ED31" s="318"/>
      <c r="EE31" s="318"/>
      <c r="EF31" s="318"/>
      <c r="EG31" s="318"/>
      <c r="EH31" s="318"/>
      <c r="EI31" s="318"/>
      <c r="EJ31" s="318"/>
      <c r="EK31" s="318"/>
      <c r="EL31" s="318"/>
      <c r="EM31" s="318"/>
      <c r="EN31" s="318"/>
      <c r="EO31" s="318"/>
      <c r="EP31" s="318"/>
      <c r="EQ31" s="318"/>
      <c r="ER31" s="318"/>
      <c r="ES31" s="318"/>
      <c r="ET31" s="318"/>
      <c r="EU31" s="318"/>
      <c r="EV31" s="318"/>
      <c r="EW31" s="318"/>
      <c r="EX31" s="318"/>
      <c r="EY31" s="318"/>
      <c r="EZ31" s="318"/>
      <c r="FA31" s="318"/>
      <c r="FB31" s="318"/>
      <c r="FC31" s="318"/>
      <c r="FD31" s="318"/>
      <c r="FE31" s="318"/>
      <c r="FF31" s="318"/>
      <c r="FG31" s="318"/>
      <c r="FH31" s="318"/>
      <c r="FI31" s="318"/>
      <c r="FJ31" s="318"/>
      <c r="FK31" s="318"/>
      <c r="FL31" s="318"/>
      <c r="FM31" s="318"/>
      <c r="FN31" s="318"/>
      <c r="FO31" s="318"/>
      <c r="FP31" s="318"/>
      <c r="FQ31" s="318"/>
      <c r="FR31" s="318"/>
      <c r="FS31" s="318"/>
      <c r="FT31" s="318"/>
      <c r="FU31" s="318"/>
      <c r="FV31" s="318"/>
      <c r="FW31" s="318"/>
      <c r="FX31" s="318"/>
      <c r="FY31" s="318"/>
      <c r="FZ31" s="318"/>
      <c r="GA31" s="318"/>
      <c r="GB31" s="318"/>
      <c r="GC31" s="318"/>
      <c r="GD31" s="318"/>
      <c r="GE31" s="318"/>
      <c r="GF31" s="318"/>
      <c r="GG31" s="318"/>
      <c r="GH31" s="318"/>
      <c r="GI31" s="318"/>
      <c r="GJ31" s="318"/>
      <c r="GK31" s="318"/>
      <c r="GL31" s="318"/>
      <c r="GM31" s="318"/>
      <c r="GN31" s="318"/>
      <c r="GO31" s="318"/>
      <c r="GP31" s="318"/>
      <c r="GQ31" s="318"/>
      <c r="GR31" s="318"/>
      <c r="GS31" s="318"/>
      <c r="GT31" s="318"/>
      <c r="GU31" s="318"/>
      <c r="GV31" s="318"/>
      <c r="GW31" s="318"/>
      <c r="GX31" s="318"/>
      <c r="GY31" s="318"/>
      <c r="GZ31" s="318"/>
      <c r="HA31" s="318"/>
      <c r="HB31" s="318"/>
      <c r="HC31" s="318"/>
      <c r="HD31" s="318"/>
      <c r="HE31" s="318"/>
      <c r="HF31" s="318"/>
      <c r="HG31" s="318"/>
      <c r="HH31" s="318"/>
      <c r="HI31" s="318"/>
      <c r="HJ31" s="318"/>
      <c r="HK31" s="318"/>
      <c r="HL31" s="318"/>
      <c r="HM31" s="318"/>
      <c r="HN31" s="318"/>
      <c r="HO31" s="318"/>
      <c r="HP31" s="318"/>
      <c r="HQ31" s="318"/>
      <c r="HR31" s="318"/>
      <c r="HS31" s="318"/>
      <c r="HT31" s="318"/>
      <c r="HU31" s="318"/>
      <c r="HV31" s="318"/>
      <c r="HW31" s="318"/>
      <c r="HX31" s="318"/>
      <c r="HY31" s="318"/>
      <c r="HZ31" s="318"/>
      <c r="IA31" s="318"/>
      <c r="IB31" s="318"/>
      <c r="IC31" s="318"/>
      <c r="ID31" s="318"/>
      <c r="IE31" s="318"/>
      <c r="IF31" s="318"/>
      <c r="IG31" s="318"/>
    </row>
    <row r="32" spans="1:241" s="260" customFormat="1" ht="14.4" x14ac:dyDescent="0.3">
      <c r="A32" s="181">
        <v>4.01</v>
      </c>
      <c r="B32" s="239"/>
      <c r="C32" s="240" t="str">
        <f>VLOOKUP(BD.PD5[[#This Row],[Pos]],PPto[],3,FALSE)</f>
        <v>4.01 Suministro e instalación de Equipos</v>
      </c>
      <c r="D32" s="181" t="s">
        <v>40</v>
      </c>
      <c r="E32" s="242" t="str">
        <f>IF(BD.PD5[[#This Row],[.]]="*",VLOOKUP(BD.PD5[[#This Row],[Pos]],[15]Presupuesto!A:H,7,FALSE),"")</f>
        <v/>
      </c>
      <c r="F32" s="243" t="s">
        <v>717</v>
      </c>
      <c r="G32" s="243" t="s">
        <v>308</v>
      </c>
      <c r="H32" s="243"/>
      <c r="I32" s="345">
        <v>1</v>
      </c>
      <c r="J32" s="181" t="s">
        <v>314</v>
      </c>
      <c r="K32" s="245">
        <f>IF(BD.PD5[[#This Row],[Mon]]="DOP",1,HLOOKUP(BD.PD5[[#This Row],[Mon]],$J$1:$K$2,2,FALSE))</f>
        <v>1</v>
      </c>
      <c r="L32" s="277">
        <v>40000</v>
      </c>
      <c r="M32" s="247">
        <f>BD.PD5[[#This Row],[Cant.]]*BD.PD5[[#This Row],[ Tasa ]]*BD.PD5[[#This Row],[ Precio Und.]]</f>
        <v>40000</v>
      </c>
      <c r="N32" s="278">
        <v>0</v>
      </c>
      <c r="O32" s="247">
        <f>IF(BD.PD5[[#This Row],[Liquid. '[%']]]&lt;&gt;0,(BD.PD5[[#This Row],[Valor Neto '[DOP']]]*BD.PD5[[#This Row],[Liquid. '[%']]])+BD.PD5[[#This Row],[Valor Neto '[DOP']]],BD.PD5[[#This Row],[Valor Neto '[DOP']]])</f>
        <v>40000</v>
      </c>
      <c r="P32" s="249">
        <f>BD.PD5[[#This Row],[Ppto. Orden Interna '[DOP']]]/HLOOKUP("USD",$J$1:$K$2,2,FALSE)</f>
        <v>625</v>
      </c>
      <c r="Q32" s="339" t="s">
        <v>715</v>
      </c>
      <c r="R32" s="250"/>
      <c r="S32" s="250"/>
      <c r="T32" s="250"/>
      <c r="U32" s="250"/>
      <c r="V32" s="258" t="s">
        <v>718</v>
      </c>
      <c r="W32" s="251">
        <v>1</v>
      </c>
      <c r="X32" s="252">
        <v>0.5</v>
      </c>
      <c r="Y32" s="253">
        <f>BD.PD5[[#This Row],[Av.P1 '[%']]]*BD.PD5[[#This Row],[Ppto. Orden Interna '[DOP']]]</f>
        <v>20000</v>
      </c>
      <c r="Z32" s="254">
        <v>3</v>
      </c>
      <c r="AA32" s="255">
        <v>0.5</v>
      </c>
      <c r="AB32" s="253">
        <f>BD.PD5[[#This Row],[Av.P2 '[%']]]*BD.PD5[[#This Row],[Ppto. Orden Interna '[DOP']]]</f>
        <v>20000</v>
      </c>
      <c r="AC32" s="254"/>
      <c r="AD32" s="255"/>
      <c r="AE32" s="253">
        <f>BD.PD5[[#This Row],[Av.P3 '[%']]]*BD.PD5[[#This Row],[Ppto. Orden Interna '[DOP']]]</f>
        <v>0</v>
      </c>
      <c r="AF32" s="254"/>
      <c r="AG32" s="255"/>
      <c r="AH32" s="253">
        <f>BD.PD5[[#This Row],[Av.P4 '[%']]]*BD.PD5[[#This Row],[Ppto. Orden Interna '[DOP']]]</f>
        <v>0</v>
      </c>
      <c r="AI32" s="254"/>
      <c r="AJ32" s="255"/>
      <c r="AK32" s="253">
        <f>BD.PD5[[#This Row],[Av.P5 '[%']]]*BD.PD5[[#This Row],[Ppto. Orden Interna '[DOP']]]</f>
        <v>0</v>
      </c>
      <c r="AL32" s="256">
        <f>BD.PD5[[#This Row],[Pago 5]]+BD.PD5[[#This Row],[Pago 4]]+BD.PD5[[#This Row],[Pago 3]]+BD.PD5[[#This Row],[Pago 2]]+BD.PD5[[#This Row],[Pago 1]]</f>
        <v>40000</v>
      </c>
      <c r="AM32" s="318"/>
      <c r="AN32" s="318"/>
      <c r="AO32" s="318"/>
      <c r="AP32" s="318"/>
      <c r="AQ32" s="318"/>
      <c r="AR32" s="318"/>
      <c r="AS32" s="318"/>
      <c r="AT32" s="318"/>
      <c r="AU32" s="318"/>
      <c r="AV32" s="318"/>
      <c r="AW32" s="318"/>
      <c r="AX32" s="318"/>
      <c r="AY32" s="318"/>
      <c r="AZ32" s="318"/>
      <c r="BA32" s="318"/>
      <c r="BB32" s="318"/>
      <c r="BC32" s="318"/>
      <c r="BD32" s="318"/>
      <c r="BE32" s="318"/>
      <c r="BF32" s="318"/>
      <c r="BG32" s="318"/>
      <c r="BH32" s="318"/>
      <c r="BI32" s="318"/>
      <c r="BJ32" s="318"/>
      <c r="BK32" s="318"/>
      <c r="BL32" s="318"/>
      <c r="BM32" s="318"/>
      <c r="BN32" s="318"/>
      <c r="BO32" s="318"/>
      <c r="BP32" s="318"/>
      <c r="BQ32" s="318"/>
      <c r="BR32" s="318"/>
      <c r="BS32" s="318"/>
      <c r="BT32" s="318"/>
      <c r="BU32" s="318"/>
      <c r="BV32" s="318"/>
      <c r="BW32" s="318"/>
      <c r="BX32" s="318"/>
      <c r="BY32" s="318"/>
      <c r="BZ32" s="318"/>
      <c r="CA32" s="318"/>
      <c r="CB32" s="318"/>
      <c r="CC32" s="318"/>
      <c r="CD32" s="318"/>
      <c r="CE32" s="318"/>
      <c r="CF32" s="318"/>
      <c r="CG32" s="318"/>
      <c r="CH32" s="318"/>
      <c r="CI32" s="318"/>
      <c r="CJ32" s="318"/>
      <c r="CK32" s="318"/>
      <c r="CL32" s="318"/>
      <c r="CM32" s="318"/>
      <c r="CN32" s="318"/>
      <c r="CO32" s="318"/>
      <c r="CP32" s="318"/>
      <c r="CQ32" s="318"/>
      <c r="CR32" s="318"/>
      <c r="CS32" s="318"/>
      <c r="CT32" s="318"/>
      <c r="CU32" s="318"/>
      <c r="CV32" s="318"/>
      <c r="CW32" s="318"/>
      <c r="CX32" s="318"/>
      <c r="CY32" s="318"/>
      <c r="CZ32" s="318"/>
      <c r="DA32" s="318"/>
      <c r="DB32" s="318"/>
      <c r="DC32" s="318"/>
      <c r="DD32" s="318"/>
      <c r="DE32" s="318"/>
      <c r="DF32" s="318"/>
      <c r="DG32" s="318"/>
      <c r="DH32" s="318"/>
      <c r="DI32" s="318"/>
      <c r="DJ32" s="318"/>
      <c r="DK32" s="318"/>
      <c r="DL32" s="318"/>
      <c r="DM32" s="318"/>
      <c r="DN32" s="318"/>
      <c r="DO32" s="318"/>
      <c r="DP32" s="318"/>
      <c r="DQ32" s="318"/>
      <c r="DR32" s="318"/>
      <c r="DS32" s="318"/>
      <c r="DT32" s="318"/>
      <c r="DU32" s="318"/>
      <c r="DV32" s="318"/>
      <c r="DW32" s="318"/>
      <c r="DX32" s="318"/>
      <c r="DY32" s="318"/>
      <c r="DZ32" s="318"/>
      <c r="EA32" s="318"/>
      <c r="EB32" s="318"/>
      <c r="EC32" s="318"/>
      <c r="ED32" s="318"/>
      <c r="EE32" s="318"/>
      <c r="EF32" s="318"/>
      <c r="EG32" s="318"/>
      <c r="EH32" s="318"/>
      <c r="EI32" s="318"/>
      <c r="EJ32" s="318"/>
      <c r="EK32" s="318"/>
      <c r="EL32" s="318"/>
      <c r="EM32" s="318"/>
      <c r="EN32" s="318"/>
      <c r="EO32" s="318"/>
      <c r="EP32" s="318"/>
      <c r="EQ32" s="318"/>
      <c r="ER32" s="318"/>
      <c r="ES32" s="318"/>
      <c r="ET32" s="318"/>
      <c r="EU32" s="318"/>
      <c r="EV32" s="318"/>
      <c r="EW32" s="318"/>
      <c r="EX32" s="318"/>
      <c r="EY32" s="318"/>
      <c r="EZ32" s="318"/>
      <c r="FA32" s="318"/>
      <c r="FB32" s="318"/>
      <c r="FC32" s="318"/>
      <c r="FD32" s="318"/>
      <c r="FE32" s="318"/>
      <c r="FF32" s="318"/>
      <c r="FG32" s="318"/>
      <c r="FH32" s="318"/>
      <c r="FI32" s="318"/>
      <c r="FJ32" s="318"/>
      <c r="FK32" s="318"/>
      <c r="FL32" s="318"/>
      <c r="FM32" s="318"/>
      <c r="FN32" s="318"/>
      <c r="FO32" s="318"/>
      <c r="FP32" s="318"/>
      <c r="FQ32" s="318"/>
      <c r="FR32" s="318"/>
      <c r="FS32" s="318"/>
      <c r="FT32" s="318"/>
      <c r="FU32" s="318"/>
      <c r="FV32" s="318"/>
      <c r="FW32" s="318"/>
      <c r="FX32" s="318"/>
      <c r="FY32" s="318"/>
      <c r="FZ32" s="318"/>
      <c r="GA32" s="318"/>
      <c r="GB32" s="318"/>
      <c r="GC32" s="318"/>
      <c r="GD32" s="318"/>
      <c r="GE32" s="318"/>
      <c r="GF32" s="318"/>
      <c r="GG32" s="318"/>
      <c r="GH32" s="318"/>
      <c r="GI32" s="318"/>
      <c r="GJ32" s="318"/>
      <c r="GK32" s="318"/>
      <c r="GL32" s="318"/>
      <c r="GM32" s="318"/>
      <c r="GN32" s="318"/>
      <c r="GO32" s="318"/>
      <c r="GP32" s="318"/>
      <c r="GQ32" s="318"/>
      <c r="GR32" s="318"/>
      <c r="GS32" s="318"/>
      <c r="GT32" s="318"/>
      <c r="GU32" s="318"/>
      <c r="GV32" s="318"/>
      <c r="GW32" s="318"/>
      <c r="GX32" s="318"/>
      <c r="GY32" s="318"/>
      <c r="GZ32" s="318"/>
      <c r="HA32" s="318"/>
      <c r="HB32" s="318"/>
      <c r="HC32" s="318"/>
      <c r="HD32" s="318"/>
      <c r="HE32" s="318"/>
      <c r="HF32" s="318"/>
      <c r="HG32" s="318"/>
      <c r="HH32" s="318"/>
      <c r="HI32" s="318"/>
      <c r="HJ32" s="318"/>
      <c r="HK32" s="318"/>
      <c r="HL32" s="318"/>
      <c r="HM32" s="318"/>
      <c r="HN32" s="318"/>
      <c r="HO32" s="318"/>
      <c r="HP32" s="318"/>
      <c r="HQ32" s="318"/>
      <c r="HR32" s="318"/>
      <c r="HS32" s="318"/>
      <c r="HT32" s="318"/>
      <c r="HU32" s="318"/>
      <c r="HV32" s="318"/>
      <c r="HW32" s="318"/>
      <c r="HX32" s="318"/>
      <c r="HY32" s="318"/>
      <c r="HZ32" s="318"/>
      <c r="IA32" s="318"/>
      <c r="IB32" s="318"/>
      <c r="IC32" s="318"/>
      <c r="ID32" s="318"/>
      <c r="IE32" s="318"/>
      <c r="IF32" s="318"/>
      <c r="IG32" s="318"/>
    </row>
    <row r="33" spans="1:241" s="260" customFormat="1" ht="14.4" x14ac:dyDescent="0.3">
      <c r="A33" s="181">
        <v>4.01</v>
      </c>
      <c r="B33" s="239"/>
      <c r="C33" s="240" t="str">
        <f>VLOOKUP(BD.PD5[[#This Row],[Pos]],PPto[],3,FALSE)</f>
        <v>4.01 Suministro e instalación de Equipos</v>
      </c>
      <c r="D33" s="181" t="s">
        <v>40</v>
      </c>
      <c r="E33" s="242" t="str">
        <f>IF(BD.PD5[[#This Row],[.]]="*",VLOOKUP(BD.PD5[[#This Row],[Pos]],[15]Presupuesto!A:H,7,FALSE),"")</f>
        <v/>
      </c>
      <c r="F33" s="243" t="s">
        <v>719</v>
      </c>
      <c r="G33" s="243" t="s">
        <v>308</v>
      </c>
      <c r="H33" s="243"/>
      <c r="I33" s="345">
        <v>1</v>
      </c>
      <c r="J33" s="181" t="s">
        <v>314</v>
      </c>
      <c r="K33" s="245">
        <f>IF(BD.PD5[[#This Row],[Mon]]="DOP",1,HLOOKUP(BD.PD5[[#This Row],[Mon]],$J$1:$K$2,2,FALSE))</f>
        <v>1</v>
      </c>
      <c r="L33" s="277">
        <v>450000</v>
      </c>
      <c r="M33" s="247">
        <f>BD.PD5[[#This Row],[Cant.]]*BD.PD5[[#This Row],[ Tasa ]]*BD.PD5[[#This Row],[ Precio Und.]]</f>
        <v>450000</v>
      </c>
      <c r="N33" s="278">
        <v>0.02</v>
      </c>
      <c r="O33" s="247">
        <f>IF(BD.PD5[[#This Row],[Liquid. '[%']]]&lt;&gt;0,(BD.PD5[[#This Row],[Valor Neto '[DOP']]]*BD.PD5[[#This Row],[Liquid. '[%']]])+BD.PD5[[#This Row],[Valor Neto '[DOP']]],BD.PD5[[#This Row],[Valor Neto '[DOP']]])</f>
        <v>459000</v>
      </c>
      <c r="P33" s="249">
        <f>BD.PD5[[#This Row],[Ppto. Orden Interna '[DOP']]]/HLOOKUP("USD",$J$1:$K$2,2,FALSE)</f>
        <v>7171.875</v>
      </c>
      <c r="Q33" s="339" t="s">
        <v>715</v>
      </c>
      <c r="R33" s="250"/>
      <c r="S33" s="250"/>
      <c r="T33" s="250"/>
      <c r="U33" s="250"/>
      <c r="V33" s="258" t="s">
        <v>720</v>
      </c>
      <c r="W33" s="251">
        <v>1</v>
      </c>
      <c r="X33" s="252">
        <v>1</v>
      </c>
      <c r="Y33" s="253">
        <f>BD.PD5[[#This Row],[Av.P1 '[%']]]*BD.PD5[[#This Row],[Ppto. Orden Interna '[DOP']]]</f>
        <v>459000</v>
      </c>
      <c r="Z33" s="254"/>
      <c r="AA33" s="255"/>
      <c r="AB33" s="253">
        <f>BD.PD5[[#This Row],[Av.P2 '[%']]]*BD.PD5[[#This Row],[Ppto. Orden Interna '[DOP']]]</f>
        <v>0</v>
      </c>
      <c r="AC33" s="254"/>
      <c r="AD33" s="255"/>
      <c r="AE33" s="253">
        <f>BD.PD5[[#This Row],[Av.P3 '[%']]]*BD.PD5[[#This Row],[Ppto. Orden Interna '[DOP']]]</f>
        <v>0</v>
      </c>
      <c r="AF33" s="254"/>
      <c r="AG33" s="255"/>
      <c r="AH33" s="253">
        <f>BD.PD5[[#This Row],[Av.P4 '[%']]]*BD.PD5[[#This Row],[Ppto. Orden Interna '[DOP']]]</f>
        <v>0</v>
      </c>
      <c r="AI33" s="254"/>
      <c r="AJ33" s="255"/>
      <c r="AK33" s="253">
        <f>BD.PD5[[#This Row],[Av.P5 '[%']]]*BD.PD5[[#This Row],[Ppto. Orden Interna '[DOP']]]</f>
        <v>0</v>
      </c>
      <c r="AL33" s="256">
        <f>BD.PD5[[#This Row],[Pago 5]]+BD.PD5[[#This Row],[Pago 4]]+BD.PD5[[#This Row],[Pago 3]]+BD.PD5[[#This Row],[Pago 2]]+BD.PD5[[#This Row],[Pago 1]]</f>
        <v>459000</v>
      </c>
      <c r="AM33" s="318"/>
      <c r="AN33" s="318"/>
      <c r="AO33" s="318"/>
      <c r="AP33" s="318"/>
      <c r="AQ33" s="318"/>
      <c r="AR33" s="318"/>
      <c r="AS33" s="318"/>
      <c r="AT33" s="318"/>
      <c r="AU33" s="318"/>
      <c r="AV33" s="318"/>
      <c r="AW33" s="318"/>
      <c r="AX33" s="318"/>
      <c r="AY33" s="318"/>
      <c r="AZ33" s="318"/>
      <c r="BA33" s="318"/>
      <c r="BB33" s="318"/>
      <c r="BC33" s="318"/>
      <c r="BD33" s="318"/>
      <c r="BE33" s="318"/>
      <c r="BF33" s="318"/>
      <c r="BG33" s="318"/>
      <c r="BH33" s="318"/>
      <c r="BI33" s="318"/>
      <c r="BJ33" s="318"/>
      <c r="BK33" s="318"/>
      <c r="BL33" s="318"/>
      <c r="BM33" s="318"/>
      <c r="BN33" s="318"/>
      <c r="BO33" s="318"/>
      <c r="BP33" s="318"/>
      <c r="BQ33" s="318"/>
      <c r="BR33" s="318"/>
      <c r="BS33" s="318"/>
      <c r="BT33" s="318"/>
      <c r="BU33" s="318"/>
      <c r="BV33" s="318"/>
      <c r="BW33" s="318"/>
      <c r="BX33" s="318"/>
      <c r="BY33" s="318"/>
      <c r="BZ33" s="318"/>
      <c r="CA33" s="318"/>
      <c r="CB33" s="318"/>
      <c r="CC33" s="318"/>
      <c r="CD33" s="318"/>
      <c r="CE33" s="318"/>
      <c r="CF33" s="318"/>
      <c r="CG33" s="318"/>
      <c r="CH33" s="318"/>
      <c r="CI33" s="318"/>
      <c r="CJ33" s="318"/>
      <c r="CK33" s="318"/>
      <c r="CL33" s="318"/>
      <c r="CM33" s="318"/>
      <c r="CN33" s="318"/>
      <c r="CO33" s="318"/>
      <c r="CP33" s="318"/>
      <c r="CQ33" s="318"/>
      <c r="CR33" s="318"/>
      <c r="CS33" s="318"/>
      <c r="CT33" s="318"/>
      <c r="CU33" s="318"/>
      <c r="CV33" s="318"/>
      <c r="CW33" s="318"/>
      <c r="CX33" s="318"/>
      <c r="CY33" s="318"/>
      <c r="CZ33" s="318"/>
      <c r="DA33" s="318"/>
      <c r="DB33" s="318"/>
      <c r="DC33" s="318"/>
      <c r="DD33" s="318"/>
      <c r="DE33" s="318"/>
      <c r="DF33" s="318"/>
      <c r="DG33" s="318"/>
      <c r="DH33" s="318"/>
      <c r="DI33" s="318"/>
      <c r="DJ33" s="318"/>
      <c r="DK33" s="318"/>
      <c r="DL33" s="318"/>
      <c r="DM33" s="318"/>
      <c r="DN33" s="318"/>
      <c r="DO33" s="318"/>
      <c r="DP33" s="318"/>
      <c r="DQ33" s="318"/>
      <c r="DR33" s="318"/>
      <c r="DS33" s="318"/>
      <c r="DT33" s="318"/>
      <c r="DU33" s="318"/>
      <c r="DV33" s="318"/>
      <c r="DW33" s="318"/>
      <c r="DX33" s="318"/>
      <c r="DY33" s="318"/>
      <c r="DZ33" s="318"/>
      <c r="EA33" s="318"/>
      <c r="EB33" s="318"/>
      <c r="EC33" s="318"/>
      <c r="ED33" s="318"/>
      <c r="EE33" s="318"/>
      <c r="EF33" s="318"/>
      <c r="EG33" s="318"/>
      <c r="EH33" s="318"/>
      <c r="EI33" s="318"/>
      <c r="EJ33" s="318"/>
      <c r="EK33" s="318"/>
      <c r="EL33" s="318"/>
      <c r="EM33" s="318"/>
      <c r="EN33" s="318"/>
      <c r="EO33" s="318"/>
      <c r="EP33" s="318"/>
      <c r="EQ33" s="318"/>
      <c r="ER33" s="318"/>
      <c r="ES33" s="318"/>
      <c r="ET33" s="318"/>
      <c r="EU33" s="318"/>
      <c r="EV33" s="318"/>
      <c r="EW33" s="318"/>
      <c r="EX33" s="318"/>
      <c r="EY33" s="318"/>
      <c r="EZ33" s="318"/>
      <c r="FA33" s="318"/>
      <c r="FB33" s="318"/>
      <c r="FC33" s="318"/>
      <c r="FD33" s="318"/>
      <c r="FE33" s="318"/>
      <c r="FF33" s="318"/>
      <c r="FG33" s="318"/>
      <c r="FH33" s="318"/>
      <c r="FI33" s="318"/>
      <c r="FJ33" s="318"/>
      <c r="FK33" s="318"/>
      <c r="FL33" s="318"/>
      <c r="FM33" s="318"/>
      <c r="FN33" s="318"/>
      <c r="FO33" s="318"/>
      <c r="FP33" s="318"/>
      <c r="FQ33" s="318"/>
      <c r="FR33" s="318"/>
      <c r="FS33" s="318"/>
      <c r="FT33" s="318"/>
      <c r="FU33" s="318"/>
      <c r="FV33" s="318"/>
      <c r="FW33" s="318"/>
      <c r="FX33" s="318"/>
      <c r="FY33" s="318"/>
      <c r="FZ33" s="318"/>
      <c r="GA33" s="318"/>
      <c r="GB33" s="318"/>
      <c r="GC33" s="318"/>
      <c r="GD33" s="318"/>
      <c r="GE33" s="318"/>
      <c r="GF33" s="318"/>
      <c r="GG33" s="318"/>
      <c r="GH33" s="318"/>
      <c r="GI33" s="318"/>
      <c r="GJ33" s="318"/>
      <c r="GK33" s="318"/>
      <c r="GL33" s="318"/>
      <c r="GM33" s="318"/>
      <c r="GN33" s="318"/>
      <c r="GO33" s="318"/>
      <c r="GP33" s="318"/>
      <c r="GQ33" s="318"/>
      <c r="GR33" s="318"/>
      <c r="GS33" s="318"/>
      <c r="GT33" s="318"/>
      <c r="GU33" s="318"/>
      <c r="GV33" s="318"/>
      <c r="GW33" s="318"/>
      <c r="GX33" s="318"/>
      <c r="GY33" s="318"/>
      <c r="GZ33" s="318"/>
      <c r="HA33" s="318"/>
      <c r="HB33" s="318"/>
      <c r="HC33" s="318"/>
      <c r="HD33" s="318"/>
      <c r="HE33" s="318"/>
      <c r="HF33" s="318"/>
      <c r="HG33" s="318"/>
      <c r="HH33" s="318"/>
      <c r="HI33" s="318"/>
      <c r="HJ33" s="318"/>
      <c r="HK33" s="318"/>
      <c r="HL33" s="318"/>
      <c r="HM33" s="318"/>
      <c r="HN33" s="318"/>
      <c r="HO33" s="318"/>
      <c r="HP33" s="318"/>
      <c r="HQ33" s="318"/>
      <c r="HR33" s="318"/>
      <c r="HS33" s="318"/>
      <c r="HT33" s="318"/>
      <c r="HU33" s="318"/>
      <c r="HV33" s="318"/>
      <c r="HW33" s="318"/>
      <c r="HX33" s="318"/>
      <c r="HY33" s="318"/>
      <c r="HZ33" s="318"/>
      <c r="IA33" s="318"/>
      <c r="IB33" s="318"/>
      <c r="IC33" s="318"/>
      <c r="ID33" s="318"/>
      <c r="IE33" s="318"/>
      <c r="IF33" s="318"/>
      <c r="IG33" s="318"/>
    </row>
    <row r="34" spans="1:241" s="260" customFormat="1" ht="15" hidden="1" customHeight="1" x14ac:dyDescent="0.3">
      <c r="A34" s="181">
        <v>4.0199999999999996</v>
      </c>
      <c r="B34" s="239" t="s">
        <v>306</v>
      </c>
      <c r="C34" s="240" t="str">
        <f>VLOOKUP(BD.PD5[[#This Row],[Pos]],PPto[],3,FALSE)</f>
        <v>4.02 Supervisión Mecánica</v>
      </c>
      <c r="D34" s="241" t="s">
        <v>306</v>
      </c>
      <c r="E34" s="242">
        <f>IF(BD.PD5[[#This Row],[.]]="*",VLOOKUP(BD.PD5[[#This Row],[Pos]],[15]Presupuesto!A:H,7,FALSE),"")</f>
        <v>0</v>
      </c>
      <c r="F34" s="243"/>
      <c r="G34" s="243"/>
      <c r="H34" s="243"/>
      <c r="I34" s="244"/>
      <c r="J34" s="241" t="s">
        <v>188</v>
      </c>
      <c r="K34" s="245">
        <f>IF(BD.PD5[[#This Row],[Mon]]="DOP",1,HLOOKUP(BD.PD5[[#This Row],[Mon]],$J$1:$K$2,2,FALSE))</f>
        <v>64</v>
      </c>
      <c r="L34" s="246">
        <v>0</v>
      </c>
      <c r="M34" s="247">
        <f>BD.PD5[[#This Row],[Cant.]]*BD.PD5[[#This Row],[ Tasa ]]*BD.PD5[[#This Row],[ Precio Und.]]</f>
        <v>0</v>
      </c>
      <c r="N34" s="248"/>
      <c r="O34" s="247">
        <f>IF(BD.PD5[[#This Row],[Liquid. '[%']]]&lt;&gt;0,(BD.PD5[[#This Row],[Valor Neto '[DOP']]]*BD.PD5[[#This Row],[Liquid. '[%']]])+BD.PD5[[#This Row],[Valor Neto '[DOP']]],BD.PD5[[#This Row],[Valor Neto '[DOP']]])</f>
        <v>0</v>
      </c>
      <c r="P34" s="249">
        <f>BD.PD5[[#This Row],[Ppto. Orden Interna '[DOP']]]/HLOOKUP("USD",$J$1:$K$2,2,FALSE)</f>
        <v>0</v>
      </c>
      <c r="Q34" s="250"/>
      <c r="R34" s="250"/>
      <c r="S34" s="250"/>
      <c r="T34" s="250"/>
      <c r="U34" s="250"/>
      <c r="V34" s="243"/>
      <c r="W34" s="251"/>
      <c r="X34" s="252"/>
      <c r="Y34" s="253">
        <f>BD.PD5[[#This Row],[Av.P1 '[%']]]*BD.PD5[[#This Row],[Ppto. Orden Interna '[DOP']]]</f>
        <v>0</v>
      </c>
      <c r="Z34" s="254"/>
      <c r="AA34" s="255"/>
      <c r="AB34" s="253">
        <f>BD.PD5[[#This Row],[Av.P2 '[%']]]*BD.PD5[[#This Row],[Ppto. Orden Interna '[DOP']]]</f>
        <v>0</v>
      </c>
      <c r="AC34" s="254"/>
      <c r="AD34" s="255"/>
      <c r="AE34" s="253">
        <f>BD.PD5[[#This Row],[Av.P3 '[%']]]*BD.PD5[[#This Row],[Ppto. Orden Interna '[DOP']]]</f>
        <v>0</v>
      </c>
      <c r="AF34" s="254"/>
      <c r="AG34" s="255"/>
      <c r="AH34" s="253">
        <f>BD.PD5[[#This Row],[Av.P4 '[%']]]*BD.PD5[[#This Row],[Ppto. Orden Interna '[DOP']]]</f>
        <v>0</v>
      </c>
      <c r="AI34" s="254"/>
      <c r="AJ34" s="255"/>
      <c r="AK34" s="253">
        <f>BD.PD5[[#This Row],[Av.P5 '[%']]]*BD.PD5[[#This Row],[Ppto. Orden Interna '[DOP']]]</f>
        <v>0</v>
      </c>
      <c r="AL34" s="256">
        <f>BD.PD5[[#This Row],[Pago 5]]+BD.PD5[[#This Row],[Pago 4]]+BD.PD5[[#This Row],[Pago 3]]+BD.PD5[[#This Row],[Pago 2]]+BD.PD5[[#This Row],[Pago 1]]</f>
        <v>0</v>
      </c>
      <c r="AM34" s="318"/>
      <c r="AN34" s="318"/>
      <c r="AO34" s="318"/>
      <c r="AP34" s="318"/>
      <c r="AQ34" s="318"/>
      <c r="AR34" s="318"/>
      <c r="AS34" s="318"/>
      <c r="AT34" s="318"/>
      <c r="AU34" s="318"/>
      <c r="AV34" s="318"/>
      <c r="AW34" s="318"/>
      <c r="AX34" s="318"/>
      <c r="AY34" s="318"/>
      <c r="AZ34" s="318"/>
      <c r="BA34" s="318"/>
      <c r="BB34" s="318"/>
      <c r="BC34" s="318"/>
      <c r="BD34" s="318"/>
      <c r="BE34" s="318"/>
      <c r="BF34" s="318"/>
      <c r="BG34" s="318"/>
      <c r="BH34" s="318"/>
      <c r="BI34" s="318"/>
      <c r="BJ34" s="318"/>
      <c r="BK34" s="318"/>
      <c r="BL34" s="318"/>
      <c r="BM34" s="318"/>
      <c r="BN34" s="318"/>
      <c r="BO34" s="318"/>
      <c r="BP34" s="318"/>
      <c r="BQ34" s="318"/>
      <c r="BR34" s="318"/>
      <c r="BS34" s="318"/>
      <c r="BT34" s="318"/>
      <c r="BU34" s="318"/>
      <c r="BV34" s="318"/>
      <c r="BW34" s="318"/>
      <c r="BX34" s="318"/>
      <c r="BY34" s="318"/>
      <c r="BZ34" s="318"/>
      <c r="CA34" s="318"/>
      <c r="CB34" s="318"/>
      <c r="CC34" s="318"/>
      <c r="CD34" s="318"/>
      <c r="CE34" s="318"/>
      <c r="CF34" s="318"/>
      <c r="CG34" s="318"/>
      <c r="CH34" s="318"/>
      <c r="CI34" s="318"/>
      <c r="CJ34" s="318"/>
      <c r="CK34" s="318"/>
      <c r="CL34" s="318"/>
      <c r="CM34" s="318"/>
      <c r="CN34" s="318"/>
      <c r="CO34" s="318"/>
      <c r="CP34" s="318"/>
      <c r="CQ34" s="318"/>
      <c r="CR34" s="318"/>
      <c r="CS34" s="318"/>
      <c r="CT34" s="318"/>
      <c r="CU34" s="318"/>
      <c r="CV34" s="318"/>
      <c r="CW34" s="318"/>
      <c r="CX34" s="318"/>
      <c r="CY34" s="318"/>
      <c r="CZ34" s="318"/>
      <c r="DA34" s="318"/>
      <c r="DB34" s="318"/>
      <c r="DC34" s="318"/>
      <c r="DD34" s="318"/>
      <c r="DE34" s="318"/>
      <c r="DF34" s="318"/>
      <c r="DG34" s="318"/>
      <c r="DH34" s="318"/>
      <c r="DI34" s="318"/>
      <c r="DJ34" s="318"/>
      <c r="DK34" s="318"/>
      <c r="DL34" s="318"/>
      <c r="DM34" s="318"/>
      <c r="DN34" s="318"/>
      <c r="DO34" s="318"/>
      <c r="DP34" s="318"/>
      <c r="DQ34" s="318"/>
      <c r="DR34" s="318"/>
      <c r="DS34" s="318"/>
      <c r="DT34" s="318"/>
      <c r="DU34" s="318"/>
      <c r="DV34" s="318"/>
      <c r="DW34" s="318"/>
      <c r="DX34" s="318"/>
      <c r="DY34" s="318"/>
      <c r="DZ34" s="318"/>
      <c r="EA34" s="318"/>
      <c r="EB34" s="318"/>
      <c r="EC34" s="318"/>
      <c r="ED34" s="318"/>
      <c r="EE34" s="318"/>
      <c r="EF34" s="318"/>
      <c r="EG34" s="318"/>
      <c r="EH34" s="318"/>
      <c r="EI34" s="318"/>
      <c r="EJ34" s="318"/>
      <c r="EK34" s="318"/>
      <c r="EL34" s="318"/>
      <c r="EM34" s="318"/>
      <c r="EN34" s="318"/>
      <c r="EO34" s="318"/>
      <c r="EP34" s="318"/>
      <c r="EQ34" s="318"/>
      <c r="ER34" s="318"/>
      <c r="ES34" s="318"/>
      <c r="ET34" s="318"/>
      <c r="EU34" s="318"/>
      <c r="EV34" s="318"/>
      <c r="EW34" s="318"/>
      <c r="EX34" s="318"/>
      <c r="EY34" s="318"/>
      <c r="EZ34" s="318"/>
      <c r="FA34" s="318"/>
      <c r="FB34" s="318"/>
      <c r="FC34" s="318"/>
      <c r="FD34" s="318"/>
      <c r="FE34" s="318"/>
      <c r="FF34" s="318"/>
      <c r="FG34" s="318"/>
      <c r="FH34" s="318"/>
      <c r="FI34" s="318"/>
      <c r="FJ34" s="318"/>
      <c r="FK34" s="318"/>
      <c r="FL34" s="318"/>
      <c r="FM34" s="318"/>
      <c r="FN34" s="318"/>
      <c r="FO34" s="318"/>
      <c r="FP34" s="318"/>
      <c r="FQ34" s="318"/>
      <c r="FR34" s="318"/>
      <c r="FS34" s="318"/>
      <c r="FT34" s="318"/>
      <c r="FU34" s="318"/>
      <c r="FV34" s="318"/>
      <c r="FW34" s="318"/>
      <c r="FX34" s="318"/>
      <c r="FY34" s="318"/>
      <c r="FZ34" s="318"/>
      <c r="GA34" s="318"/>
      <c r="GB34" s="318"/>
      <c r="GC34" s="318"/>
      <c r="GD34" s="318"/>
      <c r="GE34" s="318"/>
      <c r="GF34" s="318"/>
      <c r="GG34" s="318"/>
      <c r="GH34" s="318"/>
      <c r="GI34" s="318"/>
      <c r="GJ34" s="318"/>
      <c r="GK34" s="318"/>
      <c r="GL34" s="318"/>
      <c r="GM34" s="318"/>
      <c r="GN34" s="318"/>
      <c r="GO34" s="318"/>
      <c r="GP34" s="318"/>
      <c r="GQ34" s="318"/>
      <c r="GR34" s="318"/>
      <c r="GS34" s="318"/>
      <c r="GT34" s="318"/>
      <c r="GU34" s="318"/>
      <c r="GV34" s="318"/>
      <c r="GW34" s="318"/>
      <c r="GX34" s="318"/>
      <c r="GY34" s="318"/>
      <c r="GZ34" s="318"/>
      <c r="HA34" s="318"/>
      <c r="HB34" s="318"/>
      <c r="HC34" s="318"/>
      <c r="HD34" s="318"/>
      <c r="HE34" s="318"/>
      <c r="HF34" s="318"/>
      <c r="HG34" s="318"/>
      <c r="HH34" s="318"/>
      <c r="HI34" s="318"/>
      <c r="HJ34" s="318"/>
      <c r="HK34" s="318"/>
      <c r="HL34" s="318"/>
      <c r="HM34" s="318"/>
      <c r="HN34" s="318"/>
      <c r="HO34" s="318"/>
      <c r="HP34" s="318"/>
      <c r="HQ34" s="318"/>
      <c r="HR34" s="318"/>
      <c r="HS34" s="318"/>
      <c r="HT34" s="318"/>
      <c r="HU34" s="318"/>
      <c r="HV34" s="318"/>
      <c r="HW34" s="318"/>
      <c r="HX34" s="318"/>
      <c r="HY34" s="318"/>
      <c r="HZ34" s="318"/>
      <c r="IA34" s="318"/>
      <c r="IB34" s="318"/>
      <c r="IC34" s="318"/>
      <c r="ID34" s="318"/>
      <c r="IE34" s="318"/>
      <c r="IF34" s="318"/>
      <c r="IG34" s="318"/>
    </row>
    <row r="35" spans="1:241" s="260" customFormat="1" ht="15" hidden="1" customHeight="1" x14ac:dyDescent="0.3">
      <c r="A35" s="181">
        <v>4.03</v>
      </c>
      <c r="B35" s="239" t="s">
        <v>306</v>
      </c>
      <c r="C35" s="240" t="str">
        <f>VLOOKUP(BD.PD5[[#This Row],[Pos]],PPto[],3,FALSE)</f>
        <v>4.03 Sistema de Extracción cocina</v>
      </c>
      <c r="D35" s="241" t="s">
        <v>306</v>
      </c>
      <c r="E35" s="242">
        <f>IF(BD.PD5[[#This Row],[.]]="*",VLOOKUP(BD.PD5[[#This Row],[Pos]],[15]Presupuesto!A:H,7,FALSE),"")</f>
        <v>0</v>
      </c>
      <c r="F35" s="243"/>
      <c r="G35" s="243"/>
      <c r="H35" s="243"/>
      <c r="I35" s="244"/>
      <c r="J35" s="241" t="s">
        <v>188</v>
      </c>
      <c r="K35" s="245">
        <f>IF(BD.PD5[[#This Row],[Mon]]="DOP",1,HLOOKUP(BD.PD5[[#This Row],[Mon]],$J$1:$K$2,2,FALSE))</f>
        <v>64</v>
      </c>
      <c r="L35" s="246">
        <v>0</v>
      </c>
      <c r="M35" s="247">
        <f>BD.PD5[[#This Row],[Cant.]]*BD.PD5[[#This Row],[ Tasa ]]*BD.PD5[[#This Row],[ Precio Und.]]</f>
        <v>0</v>
      </c>
      <c r="N35" s="248"/>
      <c r="O35" s="247">
        <f>IF(BD.PD5[[#This Row],[Liquid. '[%']]]&lt;&gt;0,(BD.PD5[[#This Row],[Valor Neto '[DOP']]]*BD.PD5[[#This Row],[Liquid. '[%']]])+BD.PD5[[#This Row],[Valor Neto '[DOP']]],BD.PD5[[#This Row],[Valor Neto '[DOP']]])</f>
        <v>0</v>
      </c>
      <c r="P35" s="249">
        <f>BD.PD5[[#This Row],[Ppto. Orden Interna '[DOP']]]/HLOOKUP("USD",$J$1:$K$2,2,FALSE)</f>
        <v>0</v>
      </c>
      <c r="Q35" s="250"/>
      <c r="R35" s="250"/>
      <c r="S35" s="250"/>
      <c r="T35" s="250"/>
      <c r="U35" s="250"/>
      <c r="V35" s="243"/>
      <c r="W35" s="251"/>
      <c r="X35" s="252"/>
      <c r="Y35" s="253">
        <f>BD.PD5[[#This Row],[Av.P1 '[%']]]*BD.PD5[[#This Row],[Ppto. Orden Interna '[DOP']]]</f>
        <v>0</v>
      </c>
      <c r="Z35" s="254"/>
      <c r="AA35" s="255"/>
      <c r="AB35" s="253">
        <f>BD.PD5[[#This Row],[Av.P2 '[%']]]*BD.PD5[[#This Row],[Ppto. Orden Interna '[DOP']]]</f>
        <v>0</v>
      </c>
      <c r="AC35" s="254"/>
      <c r="AD35" s="255"/>
      <c r="AE35" s="253">
        <f>BD.PD5[[#This Row],[Av.P3 '[%']]]*BD.PD5[[#This Row],[Ppto. Orden Interna '[DOP']]]</f>
        <v>0</v>
      </c>
      <c r="AF35" s="254"/>
      <c r="AG35" s="255"/>
      <c r="AH35" s="253">
        <f>BD.PD5[[#This Row],[Av.P4 '[%']]]*BD.PD5[[#This Row],[Ppto. Orden Interna '[DOP']]]</f>
        <v>0</v>
      </c>
      <c r="AI35" s="254"/>
      <c r="AJ35" s="255"/>
      <c r="AK35" s="253">
        <f>BD.PD5[[#This Row],[Av.P5 '[%']]]*BD.PD5[[#This Row],[Ppto. Orden Interna '[DOP']]]</f>
        <v>0</v>
      </c>
      <c r="AL35" s="256">
        <f>BD.PD5[[#This Row],[Pago 5]]+BD.PD5[[#This Row],[Pago 4]]+BD.PD5[[#This Row],[Pago 3]]+BD.PD5[[#This Row],[Pago 2]]+BD.PD5[[#This Row],[Pago 1]]</f>
        <v>0</v>
      </c>
      <c r="AM35" s="318"/>
      <c r="AN35" s="318"/>
      <c r="AO35" s="318"/>
      <c r="AP35" s="318"/>
      <c r="AQ35" s="318"/>
      <c r="AR35" s="318"/>
      <c r="AS35" s="318"/>
      <c r="AT35" s="318"/>
      <c r="AU35" s="318"/>
      <c r="AV35" s="318"/>
      <c r="AW35" s="318"/>
      <c r="AX35" s="318"/>
      <c r="AY35" s="318"/>
      <c r="AZ35" s="318"/>
      <c r="BA35" s="318"/>
      <c r="BB35" s="318"/>
      <c r="BC35" s="318"/>
      <c r="BD35" s="318"/>
      <c r="BE35" s="318"/>
      <c r="BF35" s="318"/>
      <c r="BG35" s="318"/>
      <c r="BH35" s="318"/>
      <c r="BI35" s="318"/>
      <c r="BJ35" s="318"/>
      <c r="BK35" s="318"/>
      <c r="BL35" s="318"/>
      <c r="BM35" s="318"/>
      <c r="BN35" s="318"/>
      <c r="BO35" s="318"/>
      <c r="BP35" s="318"/>
      <c r="BQ35" s="318"/>
      <c r="BR35" s="318"/>
      <c r="BS35" s="318"/>
      <c r="BT35" s="318"/>
      <c r="BU35" s="318"/>
      <c r="BV35" s="318"/>
      <c r="BW35" s="318"/>
      <c r="BX35" s="318"/>
      <c r="BY35" s="318"/>
      <c r="BZ35" s="318"/>
      <c r="CA35" s="318"/>
      <c r="CB35" s="318"/>
      <c r="CC35" s="318"/>
      <c r="CD35" s="318"/>
      <c r="CE35" s="318"/>
      <c r="CF35" s="318"/>
      <c r="CG35" s="318"/>
      <c r="CH35" s="318"/>
      <c r="CI35" s="318"/>
      <c r="CJ35" s="318"/>
      <c r="CK35" s="318"/>
      <c r="CL35" s="318"/>
      <c r="CM35" s="318"/>
      <c r="CN35" s="318"/>
      <c r="CO35" s="318"/>
      <c r="CP35" s="318"/>
      <c r="CQ35" s="318"/>
      <c r="CR35" s="318"/>
      <c r="CS35" s="318"/>
      <c r="CT35" s="318"/>
      <c r="CU35" s="318"/>
      <c r="CV35" s="318"/>
      <c r="CW35" s="318"/>
      <c r="CX35" s="318"/>
      <c r="CY35" s="318"/>
      <c r="CZ35" s="318"/>
      <c r="DA35" s="318"/>
      <c r="DB35" s="318"/>
      <c r="DC35" s="318"/>
      <c r="DD35" s="318"/>
      <c r="DE35" s="318"/>
      <c r="DF35" s="318"/>
      <c r="DG35" s="318"/>
      <c r="DH35" s="318"/>
      <c r="DI35" s="318"/>
      <c r="DJ35" s="318"/>
      <c r="DK35" s="318"/>
      <c r="DL35" s="318"/>
      <c r="DM35" s="318"/>
      <c r="DN35" s="318"/>
      <c r="DO35" s="318"/>
      <c r="DP35" s="318"/>
      <c r="DQ35" s="318"/>
      <c r="DR35" s="318"/>
      <c r="DS35" s="318"/>
      <c r="DT35" s="318"/>
      <c r="DU35" s="318"/>
      <c r="DV35" s="318"/>
      <c r="DW35" s="318"/>
      <c r="DX35" s="318"/>
      <c r="DY35" s="318"/>
      <c r="DZ35" s="318"/>
      <c r="EA35" s="318"/>
      <c r="EB35" s="318"/>
      <c r="EC35" s="318"/>
      <c r="ED35" s="318"/>
      <c r="EE35" s="318"/>
      <c r="EF35" s="318"/>
      <c r="EG35" s="318"/>
      <c r="EH35" s="318"/>
      <c r="EI35" s="318"/>
      <c r="EJ35" s="318"/>
      <c r="EK35" s="318"/>
      <c r="EL35" s="318"/>
      <c r="EM35" s="318"/>
      <c r="EN35" s="318"/>
      <c r="EO35" s="318"/>
      <c r="EP35" s="318"/>
      <c r="EQ35" s="318"/>
      <c r="ER35" s="318"/>
      <c r="ES35" s="318"/>
      <c r="ET35" s="318"/>
      <c r="EU35" s="318"/>
      <c r="EV35" s="318"/>
      <c r="EW35" s="318"/>
      <c r="EX35" s="318"/>
      <c r="EY35" s="318"/>
      <c r="EZ35" s="318"/>
      <c r="FA35" s="318"/>
      <c r="FB35" s="318"/>
      <c r="FC35" s="318"/>
      <c r="FD35" s="318"/>
      <c r="FE35" s="318"/>
      <c r="FF35" s="318"/>
      <c r="FG35" s="318"/>
      <c r="FH35" s="318"/>
      <c r="FI35" s="318"/>
      <c r="FJ35" s="318"/>
      <c r="FK35" s="318"/>
      <c r="FL35" s="318"/>
      <c r="FM35" s="318"/>
      <c r="FN35" s="318"/>
      <c r="FO35" s="318"/>
      <c r="FP35" s="318"/>
      <c r="FQ35" s="318"/>
      <c r="FR35" s="318"/>
      <c r="FS35" s="318"/>
      <c r="FT35" s="318"/>
      <c r="FU35" s="318"/>
      <c r="FV35" s="318"/>
      <c r="FW35" s="318"/>
      <c r="FX35" s="318"/>
      <c r="FY35" s="318"/>
      <c r="FZ35" s="318"/>
      <c r="GA35" s="318"/>
      <c r="GB35" s="318"/>
      <c r="GC35" s="318"/>
      <c r="GD35" s="318"/>
      <c r="GE35" s="318"/>
      <c r="GF35" s="318"/>
      <c r="GG35" s="318"/>
      <c r="GH35" s="318"/>
      <c r="GI35" s="318"/>
      <c r="GJ35" s="318"/>
      <c r="GK35" s="318"/>
      <c r="GL35" s="318"/>
      <c r="GM35" s="318"/>
      <c r="GN35" s="318"/>
      <c r="GO35" s="318"/>
      <c r="GP35" s="318"/>
      <c r="GQ35" s="318"/>
      <c r="GR35" s="318"/>
      <c r="GS35" s="318"/>
      <c r="GT35" s="318"/>
      <c r="GU35" s="318"/>
      <c r="GV35" s="318"/>
      <c r="GW35" s="318"/>
      <c r="GX35" s="318"/>
      <c r="GY35" s="318"/>
      <c r="GZ35" s="318"/>
      <c r="HA35" s="318"/>
      <c r="HB35" s="318"/>
      <c r="HC35" s="318"/>
      <c r="HD35" s="318"/>
      <c r="HE35" s="318"/>
      <c r="HF35" s="318"/>
      <c r="HG35" s="318"/>
      <c r="HH35" s="318"/>
      <c r="HI35" s="318"/>
      <c r="HJ35" s="318"/>
      <c r="HK35" s="318"/>
      <c r="HL35" s="318"/>
      <c r="HM35" s="318"/>
      <c r="HN35" s="318"/>
      <c r="HO35" s="318"/>
      <c r="HP35" s="318"/>
      <c r="HQ35" s="318"/>
      <c r="HR35" s="318"/>
      <c r="HS35" s="318"/>
      <c r="HT35" s="318"/>
      <c r="HU35" s="318"/>
      <c r="HV35" s="318"/>
      <c r="HW35" s="318"/>
      <c r="HX35" s="318"/>
      <c r="HY35" s="318"/>
      <c r="HZ35" s="318"/>
      <c r="IA35" s="318"/>
      <c r="IB35" s="318"/>
      <c r="IC35" s="318"/>
      <c r="ID35" s="318"/>
      <c r="IE35" s="318"/>
      <c r="IF35" s="318"/>
      <c r="IG35" s="318"/>
    </row>
    <row r="36" spans="1:241" s="260" customFormat="1" ht="15" hidden="1" customHeight="1" x14ac:dyDescent="0.3">
      <c r="A36" s="181">
        <v>5.01</v>
      </c>
      <c r="B36" s="239" t="s">
        <v>306</v>
      </c>
      <c r="C36" s="240" t="str">
        <f>VLOOKUP(BD.PD5[[#This Row],[Pos]],PPto[],3,FALSE)</f>
        <v>5.01 Paneles</v>
      </c>
      <c r="D36" s="241" t="s">
        <v>306</v>
      </c>
      <c r="E36" s="242">
        <f>IF(BD.PD5[[#This Row],[.]]="*",VLOOKUP(BD.PD5[[#This Row],[Pos]],[15]Presupuesto!A:H,7,FALSE),"")</f>
        <v>0</v>
      </c>
      <c r="F36" s="243"/>
      <c r="G36" s="243"/>
      <c r="H36" s="243"/>
      <c r="I36" s="244"/>
      <c r="J36" s="241" t="s">
        <v>188</v>
      </c>
      <c r="K36" s="245">
        <f>IF(BD.PD5[[#This Row],[Mon]]="DOP",1,HLOOKUP(BD.PD5[[#This Row],[Mon]],$J$1:$K$2,2,FALSE))</f>
        <v>64</v>
      </c>
      <c r="L36" s="246">
        <v>0</v>
      </c>
      <c r="M36" s="247">
        <f>BD.PD5[[#This Row],[Cant.]]*BD.PD5[[#This Row],[ Tasa ]]*BD.PD5[[#This Row],[ Precio Und.]]</f>
        <v>0</v>
      </c>
      <c r="N36" s="248"/>
      <c r="O36" s="247">
        <f>IF(BD.PD5[[#This Row],[Liquid. '[%']]]&lt;&gt;0,(BD.PD5[[#This Row],[Valor Neto '[DOP']]]*BD.PD5[[#This Row],[Liquid. '[%']]])+BD.PD5[[#This Row],[Valor Neto '[DOP']]],BD.PD5[[#This Row],[Valor Neto '[DOP']]])</f>
        <v>0</v>
      </c>
      <c r="P36" s="249">
        <f>BD.PD5[[#This Row],[Ppto. Orden Interna '[DOP']]]/HLOOKUP("USD",$J$1:$K$2,2,FALSE)</f>
        <v>0</v>
      </c>
      <c r="Q36" s="250"/>
      <c r="R36" s="250"/>
      <c r="S36" s="250"/>
      <c r="T36" s="250"/>
      <c r="U36" s="250"/>
      <c r="V36" s="243"/>
      <c r="W36" s="251"/>
      <c r="X36" s="252"/>
      <c r="Y36" s="253">
        <f>BD.PD5[[#This Row],[Av.P1 '[%']]]*BD.PD5[[#This Row],[Ppto. Orden Interna '[DOP']]]</f>
        <v>0</v>
      </c>
      <c r="Z36" s="254"/>
      <c r="AA36" s="255"/>
      <c r="AB36" s="253">
        <f>BD.PD5[[#This Row],[Av.P2 '[%']]]*BD.PD5[[#This Row],[Ppto. Orden Interna '[DOP']]]</f>
        <v>0</v>
      </c>
      <c r="AC36" s="254"/>
      <c r="AD36" s="255"/>
      <c r="AE36" s="253">
        <f>BD.PD5[[#This Row],[Av.P3 '[%']]]*BD.PD5[[#This Row],[Ppto. Orden Interna '[DOP']]]</f>
        <v>0</v>
      </c>
      <c r="AF36" s="254"/>
      <c r="AG36" s="255"/>
      <c r="AH36" s="253">
        <f>BD.PD5[[#This Row],[Av.P4 '[%']]]*BD.PD5[[#This Row],[Ppto. Orden Interna '[DOP']]]</f>
        <v>0</v>
      </c>
      <c r="AI36" s="254"/>
      <c r="AJ36" s="255"/>
      <c r="AK36" s="253">
        <f>BD.PD5[[#This Row],[Av.P5 '[%']]]*BD.PD5[[#This Row],[Ppto. Orden Interna '[DOP']]]</f>
        <v>0</v>
      </c>
      <c r="AL36" s="256">
        <f>BD.PD5[[#This Row],[Pago 5]]+BD.PD5[[#This Row],[Pago 4]]+BD.PD5[[#This Row],[Pago 3]]+BD.PD5[[#This Row],[Pago 2]]+BD.PD5[[#This Row],[Pago 1]]</f>
        <v>0</v>
      </c>
      <c r="AM36" s="318"/>
      <c r="AN36" s="318"/>
      <c r="AO36" s="318"/>
      <c r="AP36" s="318"/>
      <c r="AQ36" s="318"/>
      <c r="AR36" s="318"/>
      <c r="AS36" s="318"/>
      <c r="AT36" s="318"/>
      <c r="AU36" s="318"/>
      <c r="AV36" s="318"/>
      <c r="AW36" s="318"/>
      <c r="AX36" s="318"/>
      <c r="AY36" s="318"/>
      <c r="AZ36" s="318"/>
      <c r="BA36" s="318"/>
      <c r="BB36" s="318"/>
      <c r="BC36" s="318"/>
      <c r="BD36" s="318"/>
      <c r="BE36" s="318"/>
      <c r="BF36" s="318"/>
      <c r="BG36" s="318"/>
      <c r="BH36" s="318"/>
      <c r="BI36" s="318"/>
      <c r="BJ36" s="318"/>
      <c r="BK36" s="318"/>
      <c r="BL36" s="318"/>
      <c r="BM36" s="318"/>
      <c r="BN36" s="318"/>
      <c r="BO36" s="318"/>
      <c r="BP36" s="318"/>
      <c r="BQ36" s="318"/>
      <c r="BR36" s="318"/>
      <c r="BS36" s="318"/>
      <c r="BT36" s="318"/>
      <c r="BU36" s="318"/>
      <c r="BV36" s="318"/>
      <c r="BW36" s="318"/>
      <c r="BX36" s="318"/>
      <c r="BY36" s="318"/>
      <c r="BZ36" s="318"/>
      <c r="CA36" s="318"/>
      <c r="CB36" s="318"/>
      <c r="CC36" s="318"/>
      <c r="CD36" s="318"/>
      <c r="CE36" s="318"/>
      <c r="CF36" s="318"/>
      <c r="CG36" s="318"/>
      <c r="CH36" s="318"/>
      <c r="CI36" s="318"/>
      <c r="CJ36" s="318"/>
      <c r="CK36" s="318"/>
      <c r="CL36" s="318"/>
      <c r="CM36" s="318"/>
      <c r="CN36" s="318"/>
      <c r="CO36" s="318"/>
      <c r="CP36" s="318"/>
      <c r="CQ36" s="318"/>
      <c r="CR36" s="318"/>
      <c r="CS36" s="318"/>
      <c r="CT36" s="318"/>
      <c r="CU36" s="318"/>
      <c r="CV36" s="318"/>
      <c r="CW36" s="318"/>
      <c r="CX36" s="318"/>
      <c r="CY36" s="318"/>
      <c r="CZ36" s="318"/>
      <c r="DA36" s="318"/>
      <c r="DB36" s="318"/>
      <c r="DC36" s="318"/>
      <c r="DD36" s="318"/>
      <c r="DE36" s="318"/>
      <c r="DF36" s="318"/>
      <c r="DG36" s="318"/>
      <c r="DH36" s="318"/>
      <c r="DI36" s="318"/>
      <c r="DJ36" s="318"/>
      <c r="DK36" s="318"/>
      <c r="DL36" s="318"/>
      <c r="DM36" s="318"/>
      <c r="DN36" s="318"/>
      <c r="DO36" s="318"/>
      <c r="DP36" s="318"/>
      <c r="DQ36" s="318"/>
      <c r="DR36" s="318"/>
      <c r="DS36" s="318"/>
      <c r="DT36" s="318"/>
      <c r="DU36" s="318"/>
      <c r="DV36" s="318"/>
      <c r="DW36" s="318"/>
      <c r="DX36" s="318"/>
      <c r="DY36" s="318"/>
      <c r="DZ36" s="318"/>
      <c r="EA36" s="318"/>
      <c r="EB36" s="318"/>
      <c r="EC36" s="318"/>
      <c r="ED36" s="318"/>
      <c r="EE36" s="318"/>
      <c r="EF36" s="318"/>
      <c r="EG36" s="318"/>
      <c r="EH36" s="318"/>
      <c r="EI36" s="318"/>
      <c r="EJ36" s="318"/>
      <c r="EK36" s="318"/>
      <c r="EL36" s="318"/>
      <c r="EM36" s="318"/>
      <c r="EN36" s="318"/>
      <c r="EO36" s="318"/>
      <c r="EP36" s="318"/>
      <c r="EQ36" s="318"/>
      <c r="ER36" s="318"/>
      <c r="ES36" s="318"/>
      <c r="ET36" s="318"/>
      <c r="EU36" s="318"/>
      <c r="EV36" s="318"/>
      <c r="EW36" s="318"/>
      <c r="EX36" s="318"/>
      <c r="EY36" s="318"/>
      <c r="EZ36" s="318"/>
      <c r="FA36" s="318"/>
      <c r="FB36" s="318"/>
      <c r="FC36" s="318"/>
      <c r="FD36" s="318"/>
      <c r="FE36" s="318"/>
      <c r="FF36" s="318"/>
      <c r="FG36" s="318"/>
      <c r="FH36" s="318"/>
      <c r="FI36" s="318"/>
      <c r="FJ36" s="318"/>
      <c r="FK36" s="318"/>
      <c r="FL36" s="318"/>
      <c r="FM36" s="318"/>
      <c r="FN36" s="318"/>
      <c r="FO36" s="318"/>
      <c r="FP36" s="318"/>
      <c r="FQ36" s="318"/>
      <c r="FR36" s="318"/>
      <c r="FS36" s="318"/>
      <c r="FT36" s="318"/>
      <c r="FU36" s="318"/>
      <c r="FV36" s="318"/>
      <c r="FW36" s="318"/>
      <c r="FX36" s="318"/>
      <c r="FY36" s="318"/>
      <c r="FZ36" s="318"/>
      <c r="GA36" s="318"/>
      <c r="GB36" s="318"/>
      <c r="GC36" s="318"/>
      <c r="GD36" s="318"/>
      <c r="GE36" s="318"/>
      <c r="GF36" s="318"/>
      <c r="GG36" s="318"/>
      <c r="GH36" s="318"/>
      <c r="GI36" s="318"/>
      <c r="GJ36" s="318"/>
      <c r="GK36" s="318"/>
      <c r="GL36" s="318"/>
      <c r="GM36" s="318"/>
      <c r="GN36" s="318"/>
      <c r="GO36" s="318"/>
      <c r="GP36" s="318"/>
      <c r="GQ36" s="318"/>
      <c r="GR36" s="318"/>
      <c r="GS36" s="318"/>
      <c r="GT36" s="318"/>
      <c r="GU36" s="318"/>
      <c r="GV36" s="318"/>
      <c r="GW36" s="318"/>
      <c r="GX36" s="318"/>
      <c r="GY36" s="318"/>
      <c r="GZ36" s="318"/>
      <c r="HA36" s="318"/>
      <c r="HB36" s="318"/>
      <c r="HC36" s="318"/>
      <c r="HD36" s="318"/>
      <c r="HE36" s="318"/>
      <c r="HF36" s="318"/>
      <c r="HG36" s="318"/>
      <c r="HH36" s="318"/>
      <c r="HI36" s="318"/>
      <c r="HJ36" s="318"/>
      <c r="HK36" s="318"/>
      <c r="HL36" s="318"/>
      <c r="HM36" s="318"/>
      <c r="HN36" s="318"/>
      <c r="HO36" s="318"/>
      <c r="HP36" s="318"/>
      <c r="HQ36" s="318"/>
      <c r="HR36" s="318"/>
      <c r="HS36" s="318"/>
      <c r="HT36" s="318"/>
      <c r="HU36" s="318"/>
      <c r="HV36" s="318"/>
      <c r="HW36" s="318"/>
      <c r="HX36" s="318"/>
      <c r="HY36" s="318"/>
      <c r="HZ36" s="318"/>
      <c r="IA36" s="318"/>
      <c r="IB36" s="318"/>
      <c r="IC36" s="318"/>
      <c r="ID36" s="318"/>
      <c r="IE36" s="318"/>
      <c r="IF36" s="318"/>
      <c r="IG36" s="318"/>
    </row>
    <row r="37" spans="1:241" s="260" customFormat="1" ht="15" hidden="1" customHeight="1" x14ac:dyDescent="0.3">
      <c r="A37" s="181">
        <v>5.0199999999999996</v>
      </c>
      <c r="B37" s="239" t="s">
        <v>306</v>
      </c>
      <c r="C37" s="240" t="str">
        <f>VLOOKUP(BD.PD5[[#This Row],[Pos]],PPto[],3,FALSE)</f>
        <v>5.02 FRP y Diamond Plate</v>
      </c>
      <c r="D37" s="241" t="s">
        <v>306</v>
      </c>
      <c r="E37" s="242">
        <f>IF(BD.PD5[[#This Row],[.]]="*",VLOOKUP(BD.PD5[[#This Row],[Pos]],[15]Presupuesto!A:H,7,FALSE),"")</f>
        <v>0</v>
      </c>
      <c r="F37" s="243"/>
      <c r="G37" s="243"/>
      <c r="H37" s="243"/>
      <c r="I37" s="244"/>
      <c r="J37" s="241" t="s">
        <v>188</v>
      </c>
      <c r="K37" s="245">
        <f>IF(BD.PD5[[#This Row],[Mon]]="DOP",1,HLOOKUP(BD.PD5[[#This Row],[Mon]],$J$1:$K$2,2,FALSE))</f>
        <v>64</v>
      </c>
      <c r="L37" s="246">
        <v>0</v>
      </c>
      <c r="M37" s="247">
        <f>BD.PD5[[#This Row],[Cant.]]*BD.PD5[[#This Row],[ Tasa ]]*BD.PD5[[#This Row],[ Precio Und.]]</f>
        <v>0</v>
      </c>
      <c r="N37" s="248"/>
      <c r="O37" s="247">
        <f>IF(BD.PD5[[#This Row],[Liquid. '[%']]]&lt;&gt;0,(BD.PD5[[#This Row],[Valor Neto '[DOP']]]*BD.PD5[[#This Row],[Liquid. '[%']]])+BD.PD5[[#This Row],[Valor Neto '[DOP']]],BD.PD5[[#This Row],[Valor Neto '[DOP']]])</f>
        <v>0</v>
      </c>
      <c r="P37" s="249">
        <f>BD.PD5[[#This Row],[Ppto. Orden Interna '[DOP']]]/HLOOKUP("USD",$J$1:$K$2,2,FALSE)</f>
        <v>0</v>
      </c>
      <c r="Q37" s="250"/>
      <c r="R37" s="250"/>
      <c r="S37" s="250"/>
      <c r="T37" s="250"/>
      <c r="U37" s="250"/>
      <c r="V37" s="243"/>
      <c r="W37" s="251"/>
      <c r="X37" s="252"/>
      <c r="Y37" s="253">
        <f>BD.PD5[[#This Row],[Av.P1 '[%']]]*BD.PD5[[#This Row],[Ppto. Orden Interna '[DOP']]]</f>
        <v>0</v>
      </c>
      <c r="Z37" s="254"/>
      <c r="AA37" s="255"/>
      <c r="AB37" s="253">
        <f>BD.PD5[[#This Row],[Av.P2 '[%']]]*BD.PD5[[#This Row],[Ppto. Orden Interna '[DOP']]]</f>
        <v>0</v>
      </c>
      <c r="AC37" s="254"/>
      <c r="AD37" s="255"/>
      <c r="AE37" s="253">
        <f>BD.PD5[[#This Row],[Av.P3 '[%']]]*BD.PD5[[#This Row],[Ppto. Orden Interna '[DOP']]]</f>
        <v>0</v>
      </c>
      <c r="AF37" s="254"/>
      <c r="AG37" s="255"/>
      <c r="AH37" s="253">
        <f>BD.PD5[[#This Row],[Av.P4 '[%']]]*BD.PD5[[#This Row],[Ppto. Orden Interna '[DOP']]]</f>
        <v>0</v>
      </c>
      <c r="AI37" s="254"/>
      <c r="AJ37" s="255"/>
      <c r="AK37" s="253">
        <f>BD.PD5[[#This Row],[Av.P5 '[%']]]*BD.PD5[[#This Row],[Ppto. Orden Interna '[DOP']]]</f>
        <v>0</v>
      </c>
      <c r="AL37" s="256">
        <f>BD.PD5[[#This Row],[Pago 5]]+BD.PD5[[#This Row],[Pago 4]]+BD.PD5[[#This Row],[Pago 3]]+BD.PD5[[#This Row],[Pago 2]]+BD.PD5[[#This Row],[Pago 1]]</f>
        <v>0</v>
      </c>
      <c r="AM37" s="318"/>
      <c r="AN37" s="318"/>
      <c r="AO37" s="318"/>
      <c r="AP37" s="318"/>
      <c r="AQ37" s="318"/>
      <c r="AR37" s="318"/>
      <c r="AS37" s="318"/>
      <c r="AT37" s="318"/>
      <c r="AU37" s="318"/>
      <c r="AV37" s="318"/>
      <c r="AW37" s="318"/>
      <c r="AX37" s="318"/>
      <c r="AY37" s="318"/>
      <c r="AZ37" s="318"/>
      <c r="BA37" s="318"/>
      <c r="BB37" s="318"/>
      <c r="BC37" s="318"/>
      <c r="BD37" s="318"/>
      <c r="BE37" s="318"/>
      <c r="BF37" s="318"/>
      <c r="BG37" s="318"/>
      <c r="BH37" s="318"/>
      <c r="BI37" s="318"/>
      <c r="BJ37" s="318"/>
      <c r="BK37" s="318"/>
      <c r="BL37" s="318"/>
      <c r="BM37" s="318"/>
      <c r="BN37" s="318"/>
      <c r="BO37" s="318"/>
      <c r="BP37" s="318"/>
      <c r="BQ37" s="318"/>
      <c r="BR37" s="318"/>
      <c r="BS37" s="318"/>
      <c r="BT37" s="318"/>
      <c r="BU37" s="318"/>
      <c r="BV37" s="318"/>
      <c r="BW37" s="318"/>
      <c r="BX37" s="318"/>
      <c r="BY37" s="318"/>
      <c r="BZ37" s="318"/>
      <c r="CA37" s="318"/>
      <c r="CB37" s="318"/>
      <c r="CC37" s="318"/>
      <c r="CD37" s="318"/>
      <c r="CE37" s="318"/>
      <c r="CF37" s="318"/>
      <c r="CG37" s="318"/>
      <c r="CH37" s="318"/>
      <c r="CI37" s="318"/>
      <c r="CJ37" s="318"/>
      <c r="CK37" s="318"/>
      <c r="CL37" s="318"/>
      <c r="CM37" s="318"/>
      <c r="CN37" s="318"/>
      <c r="CO37" s="318"/>
      <c r="CP37" s="318"/>
      <c r="CQ37" s="318"/>
      <c r="CR37" s="318"/>
      <c r="CS37" s="318"/>
      <c r="CT37" s="318"/>
      <c r="CU37" s="318"/>
      <c r="CV37" s="318"/>
      <c r="CW37" s="318"/>
      <c r="CX37" s="318"/>
      <c r="CY37" s="318"/>
      <c r="CZ37" s="318"/>
      <c r="DA37" s="318"/>
      <c r="DB37" s="318"/>
      <c r="DC37" s="318"/>
      <c r="DD37" s="318"/>
      <c r="DE37" s="318"/>
      <c r="DF37" s="318"/>
      <c r="DG37" s="318"/>
      <c r="DH37" s="318"/>
      <c r="DI37" s="318"/>
      <c r="DJ37" s="318"/>
      <c r="DK37" s="318"/>
      <c r="DL37" s="318"/>
      <c r="DM37" s="318"/>
      <c r="DN37" s="318"/>
      <c r="DO37" s="318"/>
      <c r="DP37" s="318"/>
      <c r="DQ37" s="318"/>
      <c r="DR37" s="318"/>
      <c r="DS37" s="318"/>
      <c r="DT37" s="318"/>
      <c r="DU37" s="318"/>
      <c r="DV37" s="318"/>
      <c r="DW37" s="318"/>
      <c r="DX37" s="318"/>
      <c r="DY37" s="318"/>
      <c r="DZ37" s="318"/>
      <c r="EA37" s="318"/>
      <c r="EB37" s="318"/>
      <c r="EC37" s="318"/>
      <c r="ED37" s="318"/>
      <c r="EE37" s="318"/>
      <c r="EF37" s="318"/>
      <c r="EG37" s="318"/>
      <c r="EH37" s="318"/>
      <c r="EI37" s="318"/>
      <c r="EJ37" s="318"/>
      <c r="EK37" s="318"/>
      <c r="EL37" s="318"/>
      <c r="EM37" s="318"/>
      <c r="EN37" s="318"/>
      <c r="EO37" s="318"/>
      <c r="EP37" s="318"/>
      <c r="EQ37" s="318"/>
      <c r="ER37" s="318"/>
      <c r="ES37" s="318"/>
      <c r="ET37" s="318"/>
      <c r="EU37" s="318"/>
      <c r="EV37" s="318"/>
      <c r="EW37" s="318"/>
      <c r="EX37" s="318"/>
      <c r="EY37" s="318"/>
      <c r="EZ37" s="318"/>
      <c r="FA37" s="318"/>
      <c r="FB37" s="318"/>
      <c r="FC37" s="318"/>
      <c r="FD37" s="318"/>
      <c r="FE37" s="318"/>
      <c r="FF37" s="318"/>
      <c r="FG37" s="318"/>
      <c r="FH37" s="318"/>
      <c r="FI37" s="318"/>
      <c r="FJ37" s="318"/>
      <c r="FK37" s="318"/>
      <c r="FL37" s="318"/>
      <c r="FM37" s="318"/>
      <c r="FN37" s="318"/>
      <c r="FO37" s="318"/>
      <c r="FP37" s="318"/>
      <c r="FQ37" s="318"/>
      <c r="FR37" s="318"/>
      <c r="FS37" s="318"/>
      <c r="FT37" s="318"/>
      <c r="FU37" s="318"/>
      <c r="FV37" s="318"/>
      <c r="FW37" s="318"/>
      <c r="FX37" s="318"/>
      <c r="FY37" s="318"/>
      <c r="FZ37" s="318"/>
      <c r="GA37" s="318"/>
      <c r="GB37" s="318"/>
      <c r="GC37" s="318"/>
      <c r="GD37" s="318"/>
      <c r="GE37" s="318"/>
      <c r="GF37" s="318"/>
      <c r="GG37" s="318"/>
      <c r="GH37" s="318"/>
      <c r="GI37" s="318"/>
      <c r="GJ37" s="318"/>
      <c r="GK37" s="318"/>
      <c r="GL37" s="318"/>
      <c r="GM37" s="318"/>
      <c r="GN37" s="318"/>
      <c r="GO37" s="318"/>
      <c r="GP37" s="318"/>
      <c r="GQ37" s="318"/>
      <c r="GR37" s="318"/>
      <c r="GS37" s="318"/>
      <c r="GT37" s="318"/>
      <c r="GU37" s="318"/>
      <c r="GV37" s="318"/>
      <c r="GW37" s="318"/>
      <c r="GX37" s="318"/>
      <c r="GY37" s="318"/>
      <c r="GZ37" s="318"/>
      <c r="HA37" s="318"/>
      <c r="HB37" s="318"/>
      <c r="HC37" s="318"/>
      <c r="HD37" s="318"/>
      <c r="HE37" s="318"/>
      <c r="HF37" s="318"/>
      <c r="HG37" s="318"/>
      <c r="HH37" s="318"/>
      <c r="HI37" s="318"/>
      <c r="HJ37" s="318"/>
      <c r="HK37" s="318"/>
      <c r="HL37" s="318"/>
      <c r="HM37" s="318"/>
      <c r="HN37" s="318"/>
      <c r="HO37" s="318"/>
      <c r="HP37" s="318"/>
      <c r="HQ37" s="318"/>
      <c r="HR37" s="318"/>
      <c r="HS37" s="318"/>
      <c r="HT37" s="318"/>
      <c r="HU37" s="318"/>
      <c r="HV37" s="318"/>
      <c r="HW37" s="318"/>
      <c r="HX37" s="318"/>
      <c r="HY37" s="318"/>
      <c r="HZ37" s="318"/>
      <c r="IA37" s="318"/>
      <c r="IB37" s="318"/>
      <c r="IC37" s="318"/>
      <c r="ID37" s="318"/>
      <c r="IE37" s="318"/>
      <c r="IF37" s="318"/>
      <c r="IG37" s="318"/>
    </row>
    <row r="38" spans="1:241" s="260" customFormat="1" ht="15" hidden="1" customHeight="1" x14ac:dyDescent="0.3">
      <c r="A38" s="181">
        <v>5.03</v>
      </c>
      <c r="B38" s="239" t="s">
        <v>306</v>
      </c>
      <c r="C38" s="240" t="str">
        <f>VLOOKUP(BD.PD5[[#This Row],[Pos]],PPto[],3,FALSE)</f>
        <v>5.03 Neveras, Centrales y Evaporadores</v>
      </c>
      <c r="D38" s="241" t="s">
        <v>306</v>
      </c>
      <c r="E38" s="242">
        <f>IF(BD.PD5[[#This Row],[.]]="*",VLOOKUP(BD.PD5[[#This Row],[Pos]],[15]Presupuesto!A:H,7,FALSE),"")</f>
        <v>0</v>
      </c>
      <c r="F38" s="243"/>
      <c r="G38" s="243"/>
      <c r="H38" s="243"/>
      <c r="I38" s="244"/>
      <c r="J38" s="241" t="s">
        <v>188</v>
      </c>
      <c r="K38" s="245"/>
      <c r="L38" s="246"/>
      <c r="M38" s="247">
        <f>BD.PD5[[#This Row],[Cant.]]*BD.PD5[[#This Row],[ Tasa ]]*BD.PD5[[#This Row],[ Precio Und.]]</f>
        <v>0</v>
      </c>
      <c r="N38" s="248"/>
      <c r="O38" s="247">
        <f>IF(BD.PD5[[#This Row],[Liquid. '[%']]]&lt;&gt;0,(BD.PD5[[#This Row],[Valor Neto '[DOP']]]*BD.PD5[[#This Row],[Liquid. '[%']]])+BD.PD5[[#This Row],[Valor Neto '[DOP']]],BD.PD5[[#This Row],[Valor Neto '[DOP']]])</f>
        <v>0</v>
      </c>
      <c r="P38" s="249">
        <f>BD.PD5[[#This Row],[Ppto. Orden Interna '[DOP']]]/HLOOKUP("USD",$J$1:$K$2,2,FALSE)</f>
        <v>0</v>
      </c>
      <c r="Q38" s="250"/>
      <c r="R38" s="250"/>
      <c r="S38" s="250"/>
      <c r="T38" s="250"/>
      <c r="U38" s="250"/>
      <c r="V38" s="243"/>
      <c r="W38" s="251"/>
      <c r="X38" s="252"/>
      <c r="Y38" s="253">
        <f>BD.PD5[[#This Row],[Av.P1 '[%']]]*BD.PD5[[#This Row],[Ppto. Orden Interna '[DOP']]]</f>
        <v>0</v>
      </c>
      <c r="Z38" s="254"/>
      <c r="AA38" s="255"/>
      <c r="AB38" s="253">
        <f>BD.PD5[[#This Row],[Av.P2 '[%']]]*BD.PD5[[#This Row],[Ppto. Orden Interna '[DOP']]]</f>
        <v>0</v>
      </c>
      <c r="AC38" s="254"/>
      <c r="AD38" s="255"/>
      <c r="AE38" s="253">
        <f>BD.PD5[[#This Row],[Av.P3 '[%']]]*BD.PD5[[#This Row],[Ppto. Orden Interna '[DOP']]]</f>
        <v>0</v>
      </c>
      <c r="AF38" s="254"/>
      <c r="AG38" s="255"/>
      <c r="AH38" s="253">
        <f>BD.PD5[[#This Row],[Av.P4 '[%']]]*BD.PD5[[#This Row],[Ppto. Orden Interna '[DOP']]]</f>
        <v>0</v>
      </c>
      <c r="AI38" s="254"/>
      <c r="AJ38" s="255"/>
      <c r="AK38" s="253">
        <f>BD.PD5[[#This Row],[Av.P5 '[%']]]*BD.PD5[[#This Row],[Ppto. Orden Interna '[DOP']]]</f>
        <v>0</v>
      </c>
      <c r="AL38" s="256">
        <f>BD.PD5[[#This Row],[Pago 5]]+BD.PD5[[#This Row],[Pago 4]]+BD.PD5[[#This Row],[Pago 3]]+BD.PD5[[#This Row],[Pago 2]]+BD.PD5[[#This Row],[Pago 1]]</f>
        <v>0</v>
      </c>
      <c r="AM38" s="318"/>
      <c r="AN38" s="318"/>
      <c r="AO38" s="318"/>
      <c r="AP38" s="318"/>
      <c r="AQ38" s="318"/>
      <c r="AR38" s="318"/>
      <c r="AS38" s="318"/>
      <c r="AT38" s="318"/>
      <c r="AU38" s="318"/>
      <c r="AV38" s="318"/>
      <c r="AW38" s="318"/>
      <c r="AX38" s="318"/>
      <c r="AY38" s="318"/>
      <c r="AZ38" s="318"/>
      <c r="BA38" s="318"/>
      <c r="BB38" s="318"/>
      <c r="BC38" s="318"/>
      <c r="BD38" s="318"/>
      <c r="BE38" s="318"/>
      <c r="BF38" s="318"/>
      <c r="BG38" s="318"/>
      <c r="BH38" s="318"/>
      <c r="BI38" s="318"/>
      <c r="BJ38" s="318"/>
      <c r="BK38" s="318"/>
      <c r="BL38" s="318"/>
      <c r="BM38" s="318"/>
      <c r="BN38" s="318"/>
      <c r="BO38" s="318"/>
      <c r="BP38" s="318"/>
      <c r="BQ38" s="318"/>
      <c r="BR38" s="318"/>
      <c r="BS38" s="318"/>
      <c r="BT38" s="318"/>
      <c r="BU38" s="318"/>
      <c r="BV38" s="318"/>
      <c r="BW38" s="318"/>
      <c r="BX38" s="318"/>
      <c r="BY38" s="318"/>
      <c r="BZ38" s="318"/>
      <c r="CA38" s="318"/>
      <c r="CB38" s="318"/>
      <c r="CC38" s="318"/>
      <c r="CD38" s="318"/>
      <c r="CE38" s="318"/>
      <c r="CF38" s="318"/>
      <c r="CG38" s="318"/>
      <c r="CH38" s="318"/>
      <c r="CI38" s="318"/>
      <c r="CJ38" s="318"/>
      <c r="CK38" s="318"/>
      <c r="CL38" s="318"/>
      <c r="CM38" s="318"/>
      <c r="CN38" s="318"/>
      <c r="CO38" s="318"/>
      <c r="CP38" s="318"/>
      <c r="CQ38" s="318"/>
      <c r="CR38" s="318"/>
      <c r="CS38" s="318"/>
      <c r="CT38" s="318"/>
      <c r="CU38" s="318"/>
      <c r="CV38" s="318"/>
      <c r="CW38" s="318"/>
      <c r="CX38" s="318"/>
      <c r="CY38" s="318"/>
      <c r="CZ38" s="318"/>
      <c r="DA38" s="318"/>
      <c r="DB38" s="318"/>
      <c r="DC38" s="318"/>
      <c r="DD38" s="318"/>
      <c r="DE38" s="318"/>
      <c r="DF38" s="318"/>
      <c r="DG38" s="318"/>
      <c r="DH38" s="318"/>
      <c r="DI38" s="318"/>
      <c r="DJ38" s="318"/>
      <c r="DK38" s="318"/>
      <c r="DL38" s="318"/>
      <c r="DM38" s="318"/>
      <c r="DN38" s="318"/>
      <c r="DO38" s="318"/>
      <c r="DP38" s="318"/>
      <c r="DQ38" s="318"/>
      <c r="DR38" s="318"/>
      <c r="DS38" s="318"/>
      <c r="DT38" s="318"/>
      <c r="DU38" s="318"/>
      <c r="DV38" s="318"/>
      <c r="DW38" s="318"/>
      <c r="DX38" s="318"/>
      <c r="DY38" s="318"/>
      <c r="DZ38" s="318"/>
      <c r="EA38" s="318"/>
      <c r="EB38" s="318"/>
      <c r="EC38" s="318"/>
      <c r="ED38" s="318"/>
      <c r="EE38" s="318"/>
      <c r="EF38" s="318"/>
      <c r="EG38" s="318"/>
      <c r="EH38" s="318"/>
      <c r="EI38" s="318"/>
      <c r="EJ38" s="318"/>
      <c r="EK38" s="318"/>
      <c r="EL38" s="318"/>
      <c r="EM38" s="318"/>
      <c r="EN38" s="318"/>
      <c r="EO38" s="318"/>
      <c r="EP38" s="318"/>
      <c r="EQ38" s="318"/>
      <c r="ER38" s="318"/>
      <c r="ES38" s="318"/>
      <c r="ET38" s="318"/>
      <c r="EU38" s="318"/>
      <c r="EV38" s="318"/>
      <c r="EW38" s="318"/>
      <c r="EX38" s="318"/>
      <c r="EY38" s="318"/>
      <c r="EZ38" s="318"/>
      <c r="FA38" s="318"/>
      <c r="FB38" s="318"/>
      <c r="FC38" s="318"/>
      <c r="FD38" s="318"/>
      <c r="FE38" s="318"/>
      <c r="FF38" s="318"/>
      <c r="FG38" s="318"/>
      <c r="FH38" s="318"/>
      <c r="FI38" s="318"/>
      <c r="FJ38" s="318"/>
      <c r="FK38" s="318"/>
      <c r="FL38" s="318"/>
      <c r="FM38" s="318"/>
      <c r="FN38" s="318"/>
      <c r="FO38" s="318"/>
      <c r="FP38" s="318"/>
      <c r="FQ38" s="318"/>
      <c r="FR38" s="318"/>
      <c r="FS38" s="318"/>
      <c r="FT38" s="318"/>
      <c r="FU38" s="318"/>
      <c r="FV38" s="318"/>
      <c r="FW38" s="318"/>
      <c r="FX38" s="318"/>
      <c r="FY38" s="318"/>
      <c r="FZ38" s="318"/>
      <c r="GA38" s="318"/>
      <c r="GB38" s="318"/>
      <c r="GC38" s="318"/>
      <c r="GD38" s="318"/>
      <c r="GE38" s="318"/>
      <c r="GF38" s="318"/>
      <c r="GG38" s="318"/>
      <c r="GH38" s="318"/>
      <c r="GI38" s="318"/>
      <c r="GJ38" s="318"/>
      <c r="GK38" s="318"/>
      <c r="GL38" s="318"/>
      <c r="GM38" s="318"/>
      <c r="GN38" s="318"/>
      <c r="GO38" s="318"/>
      <c r="GP38" s="318"/>
      <c r="GQ38" s="318"/>
      <c r="GR38" s="318"/>
      <c r="GS38" s="318"/>
      <c r="GT38" s="318"/>
      <c r="GU38" s="318"/>
      <c r="GV38" s="318"/>
      <c r="GW38" s="318"/>
      <c r="GX38" s="318"/>
      <c r="GY38" s="318"/>
      <c r="GZ38" s="318"/>
      <c r="HA38" s="318"/>
      <c r="HB38" s="318"/>
      <c r="HC38" s="318"/>
      <c r="HD38" s="318"/>
      <c r="HE38" s="318"/>
      <c r="HF38" s="318"/>
      <c r="HG38" s="318"/>
      <c r="HH38" s="318"/>
      <c r="HI38" s="318"/>
      <c r="HJ38" s="318"/>
      <c r="HK38" s="318"/>
      <c r="HL38" s="318"/>
      <c r="HM38" s="318"/>
      <c r="HN38" s="318"/>
      <c r="HO38" s="318"/>
      <c r="HP38" s="318"/>
      <c r="HQ38" s="318"/>
      <c r="HR38" s="318"/>
      <c r="HS38" s="318"/>
      <c r="HT38" s="318"/>
      <c r="HU38" s="318"/>
      <c r="HV38" s="318"/>
      <c r="HW38" s="318"/>
      <c r="HX38" s="318"/>
      <c r="HY38" s="318"/>
      <c r="HZ38" s="318"/>
      <c r="IA38" s="318"/>
      <c r="IB38" s="318"/>
      <c r="IC38" s="318"/>
      <c r="ID38" s="318"/>
      <c r="IE38" s="318"/>
      <c r="IF38" s="318"/>
      <c r="IG38" s="318"/>
    </row>
    <row r="39" spans="1:241" s="260" customFormat="1" ht="15" hidden="1" customHeight="1" x14ac:dyDescent="0.3">
      <c r="A39" s="181">
        <v>5.04</v>
      </c>
      <c r="B39" s="239" t="s">
        <v>306</v>
      </c>
      <c r="C39" s="240" t="str">
        <f>VLOOKUP(BD.PD5[[#This Row],[Pos]],PPto[],3,FALSE)</f>
        <v>5.04 Bumpers Mcue/ Rack</v>
      </c>
      <c r="D39" s="241" t="s">
        <v>306</v>
      </c>
      <c r="E39" s="242">
        <f>IF(BD.PD5[[#This Row],[.]]="*",VLOOKUP(BD.PD5[[#This Row],[Pos]],[15]Presupuesto!A:H,7,FALSE),"")</f>
        <v>0</v>
      </c>
      <c r="F39" s="243"/>
      <c r="G39" s="243"/>
      <c r="H39" s="243"/>
      <c r="I39" s="244"/>
      <c r="J39" s="241" t="s">
        <v>188</v>
      </c>
      <c r="K39" s="245">
        <f>IF(BD.PD5[[#This Row],[Mon]]="DOP",1,HLOOKUP(BD.PD5[[#This Row],[Mon]],$J$1:$K$2,2,FALSE))</f>
        <v>64</v>
      </c>
      <c r="L39" s="246">
        <v>0</v>
      </c>
      <c r="M39" s="247">
        <f>BD.PD5[[#This Row],[Cant.]]*BD.PD5[[#This Row],[ Tasa ]]*BD.PD5[[#This Row],[ Precio Und.]]</f>
        <v>0</v>
      </c>
      <c r="N39" s="248"/>
      <c r="O39" s="247">
        <f>IF(BD.PD5[[#This Row],[Liquid. '[%']]]&lt;&gt;0,(BD.PD5[[#This Row],[Valor Neto '[DOP']]]*BD.PD5[[#This Row],[Liquid. '[%']]])+BD.PD5[[#This Row],[Valor Neto '[DOP']]],BD.PD5[[#This Row],[Valor Neto '[DOP']]])</f>
        <v>0</v>
      </c>
      <c r="P39" s="249">
        <f>BD.PD5[[#This Row],[Ppto. Orden Interna '[DOP']]]/HLOOKUP("USD",$J$1:$K$2,2,FALSE)</f>
        <v>0</v>
      </c>
      <c r="Q39" s="250"/>
      <c r="R39" s="250"/>
      <c r="S39" s="250"/>
      <c r="T39" s="250"/>
      <c r="U39" s="250"/>
      <c r="V39" s="243"/>
      <c r="W39" s="251"/>
      <c r="X39" s="252"/>
      <c r="Y39" s="253">
        <f>BD.PD5[[#This Row],[Av.P1 '[%']]]*BD.PD5[[#This Row],[Ppto. Orden Interna '[DOP']]]</f>
        <v>0</v>
      </c>
      <c r="Z39" s="254"/>
      <c r="AA39" s="255"/>
      <c r="AB39" s="253">
        <f>BD.PD5[[#This Row],[Av.P2 '[%']]]*BD.PD5[[#This Row],[Ppto. Orden Interna '[DOP']]]</f>
        <v>0</v>
      </c>
      <c r="AC39" s="254"/>
      <c r="AD39" s="255"/>
      <c r="AE39" s="253">
        <f>BD.PD5[[#This Row],[Av.P3 '[%']]]*BD.PD5[[#This Row],[Ppto. Orden Interna '[DOP']]]</f>
        <v>0</v>
      </c>
      <c r="AF39" s="254"/>
      <c r="AG39" s="255"/>
      <c r="AH39" s="253">
        <f>BD.PD5[[#This Row],[Av.P4 '[%']]]*BD.PD5[[#This Row],[Ppto. Orden Interna '[DOP']]]</f>
        <v>0</v>
      </c>
      <c r="AI39" s="254"/>
      <c r="AJ39" s="255"/>
      <c r="AK39" s="253">
        <f>BD.PD5[[#This Row],[Av.P5 '[%']]]*BD.PD5[[#This Row],[Ppto. Orden Interna '[DOP']]]</f>
        <v>0</v>
      </c>
      <c r="AL39" s="256">
        <f>BD.PD5[[#This Row],[Pago 5]]+BD.PD5[[#This Row],[Pago 4]]+BD.PD5[[#This Row],[Pago 3]]+BD.PD5[[#This Row],[Pago 2]]+BD.PD5[[#This Row],[Pago 1]]</f>
        <v>0</v>
      </c>
      <c r="AM39" s="318"/>
      <c r="AN39" s="318"/>
      <c r="AO39" s="318"/>
      <c r="AP39" s="318"/>
      <c r="AQ39" s="318"/>
      <c r="AR39" s="318"/>
      <c r="AS39" s="318"/>
      <c r="AT39" s="318"/>
      <c r="AU39" s="318"/>
      <c r="AV39" s="318"/>
      <c r="AW39" s="318"/>
      <c r="AX39" s="318"/>
      <c r="AY39" s="318"/>
      <c r="AZ39" s="318"/>
      <c r="BA39" s="318"/>
      <c r="BB39" s="318"/>
      <c r="BC39" s="318"/>
      <c r="BD39" s="318"/>
      <c r="BE39" s="318"/>
      <c r="BF39" s="318"/>
      <c r="BG39" s="318"/>
      <c r="BH39" s="318"/>
      <c r="BI39" s="318"/>
      <c r="BJ39" s="318"/>
      <c r="BK39" s="318"/>
      <c r="BL39" s="318"/>
      <c r="BM39" s="318"/>
      <c r="BN39" s="318"/>
      <c r="BO39" s="318"/>
      <c r="BP39" s="318"/>
      <c r="BQ39" s="318"/>
      <c r="BR39" s="318"/>
      <c r="BS39" s="318"/>
      <c r="BT39" s="318"/>
      <c r="BU39" s="318"/>
      <c r="BV39" s="318"/>
      <c r="BW39" s="318"/>
      <c r="BX39" s="318"/>
      <c r="BY39" s="318"/>
      <c r="BZ39" s="318"/>
      <c r="CA39" s="318"/>
      <c r="CB39" s="318"/>
      <c r="CC39" s="318"/>
      <c r="CD39" s="318"/>
      <c r="CE39" s="318"/>
      <c r="CF39" s="318"/>
      <c r="CG39" s="318"/>
      <c r="CH39" s="318"/>
      <c r="CI39" s="318"/>
      <c r="CJ39" s="318"/>
      <c r="CK39" s="318"/>
      <c r="CL39" s="318"/>
      <c r="CM39" s="318"/>
      <c r="CN39" s="318"/>
      <c r="CO39" s="318"/>
      <c r="CP39" s="318"/>
      <c r="CQ39" s="318"/>
      <c r="CR39" s="318"/>
      <c r="CS39" s="318"/>
      <c r="CT39" s="318"/>
      <c r="CU39" s="318"/>
      <c r="CV39" s="318"/>
      <c r="CW39" s="318"/>
      <c r="CX39" s="318"/>
      <c r="CY39" s="318"/>
      <c r="CZ39" s="318"/>
      <c r="DA39" s="318"/>
      <c r="DB39" s="318"/>
      <c r="DC39" s="318"/>
      <c r="DD39" s="318"/>
      <c r="DE39" s="318"/>
      <c r="DF39" s="318"/>
      <c r="DG39" s="318"/>
      <c r="DH39" s="318"/>
      <c r="DI39" s="318"/>
      <c r="DJ39" s="318"/>
      <c r="DK39" s="318"/>
      <c r="DL39" s="318"/>
      <c r="DM39" s="318"/>
      <c r="DN39" s="318"/>
      <c r="DO39" s="318"/>
      <c r="DP39" s="318"/>
      <c r="DQ39" s="318"/>
      <c r="DR39" s="318"/>
      <c r="DS39" s="318"/>
      <c r="DT39" s="318"/>
      <c r="DU39" s="318"/>
      <c r="DV39" s="318"/>
      <c r="DW39" s="318"/>
      <c r="DX39" s="318"/>
      <c r="DY39" s="318"/>
      <c r="DZ39" s="318"/>
      <c r="EA39" s="318"/>
      <c r="EB39" s="318"/>
      <c r="EC39" s="318"/>
      <c r="ED39" s="318"/>
      <c r="EE39" s="318"/>
      <c r="EF39" s="318"/>
      <c r="EG39" s="318"/>
      <c r="EH39" s="318"/>
      <c r="EI39" s="318"/>
      <c r="EJ39" s="318"/>
      <c r="EK39" s="318"/>
      <c r="EL39" s="318"/>
      <c r="EM39" s="318"/>
      <c r="EN39" s="318"/>
      <c r="EO39" s="318"/>
      <c r="EP39" s="318"/>
      <c r="EQ39" s="318"/>
      <c r="ER39" s="318"/>
      <c r="ES39" s="318"/>
      <c r="ET39" s="318"/>
      <c r="EU39" s="318"/>
      <c r="EV39" s="318"/>
      <c r="EW39" s="318"/>
      <c r="EX39" s="318"/>
      <c r="EY39" s="318"/>
      <c r="EZ39" s="318"/>
      <c r="FA39" s="318"/>
      <c r="FB39" s="318"/>
      <c r="FC39" s="318"/>
      <c r="FD39" s="318"/>
      <c r="FE39" s="318"/>
      <c r="FF39" s="318"/>
      <c r="FG39" s="318"/>
      <c r="FH39" s="318"/>
      <c r="FI39" s="318"/>
      <c r="FJ39" s="318"/>
      <c r="FK39" s="318"/>
      <c r="FL39" s="318"/>
      <c r="FM39" s="318"/>
      <c r="FN39" s="318"/>
      <c r="FO39" s="318"/>
      <c r="FP39" s="318"/>
      <c r="FQ39" s="318"/>
      <c r="FR39" s="318"/>
      <c r="FS39" s="318"/>
      <c r="FT39" s="318"/>
      <c r="FU39" s="318"/>
      <c r="FV39" s="318"/>
      <c r="FW39" s="318"/>
      <c r="FX39" s="318"/>
      <c r="FY39" s="318"/>
      <c r="FZ39" s="318"/>
      <c r="GA39" s="318"/>
      <c r="GB39" s="318"/>
      <c r="GC39" s="318"/>
      <c r="GD39" s="318"/>
      <c r="GE39" s="318"/>
      <c r="GF39" s="318"/>
      <c r="GG39" s="318"/>
      <c r="GH39" s="318"/>
      <c r="GI39" s="318"/>
      <c r="GJ39" s="318"/>
      <c r="GK39" s="318"/>
      <c r="GL39" s="318"/>
      <c r="GM39" s="318"/>
      <c r="GN39" s="318"/>
      <c r="GO39" s="318"/>
      <c r="GP39" s="318"/>
      <c r="GQ39" s="318"/>
      <c r="GR39" s="318"/>
      <c r="GS39" s="318"/>
      <c r="GT39" s="318"/>
      <c r="GU39" s="318"/>
      <c r="GV39" s="318"/>
      <c r="GW39" s="318"/>
      <c r="GX39" s="318"/>
      <c r="GY39" s="318"/>
      <c r="GZ39" s="318"/>
      <c r="HA39" s="318"/>
      <c r="HB39" s="318"/>
      <c r="HC39" s="318"/>
      <c r="HD39" s="318"/>
      <c r="HE39" s="318"/>
      <c r="HF39" s="318"/>
      <c r="HG39" s="318"/>
      <c r="HH39" s="318"/>
      <c r="HI39" s="318"/>
      <c r="HJ39" s="318"/>
      <c r="HK39" s="318"/>
      <c r="HL39" s="318"/>
      <c r="HM39" s="318"/>
      <c r="HN39" s="318"/>
      <c r="HO39" s="318"/>
      <c r="HP39" s="318"/>
      <c r="HQ39" s="318"/>
      <c r="HR39" s="318"/>
      <c r="HS39" s="318"/>
      <c r="HT39" s="318"/>
      <c r="HU39" s="318"/>
      <c r="HV39" s="318"/>
      <c r="HW39" s="318"/>
      <c r="HX39" s="318"/>
      <c r="HY39" s="318"/>
      <c r="HZ39" s="318"/>
      <c r="IA39" s="318"/>
      <c r="IB39" s="318"/>
      <c r="IC39" s="318"/>
      <c r="ID39" s="318"/>
      <c r="IE39" s="318"/>
      <c r="IF39" s="318"/>
      <c r="IG39" s="318"/>
    </row>
    <row r="40" spans="1:241" s="260" customFormat="1" ht="15" hidden="1" customHeight="1" x14ac:dyDescent="0.3">
      <c r="A40" s="181">
        <v>5.05</v>
      </c>
      <c r="B40" s="239" t="s">
        <v>306</v>
      </c>
      <c r="C40" s="240" t="str">
        <f>VLOOKUP(BD.PD5[[#This Row],[Pos]],PPto[],3,FALSE)</f>
        <v xml:space="preserve">5.05 Trameria Cuarto Frio </v>
      </c>
      <c r="D40" s="241" t="s">
        <v>306</v>
      </c>
      <c r="E40" s="242">
        <f>IF(BD.PD5[[#This Row],[.]]="*",VLOOKUP(BD.PD5[[#This Row],[Pos]],[15]Presupuesto!A:H,7,FALSE),"")</f>
        <v>0</v>
      </c>
      <c r="F40" s="243"/>
      <c r="G40" s="243"/>
      <c r="H40" s="243"/>
      <c r="I40" s="244"/>
      <c r="J40" s="241" t="s">
        <v>188</v>
      </c>
      <c r="K40" s="245">
        <f>IF(BD.PD5[[#This Row],[Mon]]="DOP",1,HLOOKUP(BD.PD5[[#This Row],[Mon]],$J$1:$K$2,2,FALSE))</f>
        <v>64</v>
      </c>
      <c r="L40" s="246">
        <v>0</v>
      </c>
      <c r="M40" s="247">
        <f>BD.PD5[[#This Row],[Cant.]]*BD.PD5[[#This Row],[ Tasa ]]*BD.PD5[[#This Row],[ Precio Und.]]</f>
        <v>0</v>
      </c>
      <c r="N40" s="248"/>
      <c r="O40" s="247">
        <f>IF(BD.PD5[[#This Row],[Liquid. '[%']]]&lt;&gt;0,(BD.PD5[[#This Row],[Valor Neto '[DOP']]]*BD.PD5[[#This Row],[Liquid. '[%']]])+BD.PD5[[#This Row],[Valor Neto '[DOP']]],BD.PD5[[#This Row],[Valor Neto '[DOP']]])</f>
        <v>0</v>
      </c>
      <c r="P40" s="249">
        <f>BD.PD5[[#This Row],[Ppto. Orden Interna '[DOP']]]/HLOOKUP("USD",$J$1:$K$2,2,FALSE)</f>
        <v>0</v>
      </c>
      <c r="Q40" s="340"/>
      <c r="R40" s="250"/>
      <c r="S40" s="250"/>
      <c r="T40" s="250"/>
      <c r="U40" s="250"/>
      <c r="V40" s="243"/>
      <c r="W40" s="251"/>
      <c r="X40" s="252"/>
      <c r="Y40" s="253">
        <f>BD.PD5[[#This Row],[Av.P1 '[%']]]*BD.PD5[[#This Row],[Ppto. Orden Interna '[DOP']]]</f>
        <v>0</v>
      </c>
      <c r="Z40" s="254"/>
      <c r="AA40" s="255"/>
      <c r="AB40" s="253">
        <f>BD.PD5[[#This Row],[Av.P2 '[%']]]*BD.PD5[[#This Row],[Ppto. Orden Interna '[DOP']]]</f>
        <v>0</v>
      </c>
      <c r="AC40" s="254"/>
      <c r="AD40" s="255"/>
      <c r="AE40" s="253">
        <f>BD.PD5[[#This Row],[Av.P3 '[%']]]*BD.PD5[[#This Row],[Ppto. Orden Interna '[DOP']]]</f>
        <v>0</v>
      </c>
      <c r="AF40" s="254"/>
      <c r="AG40" s="255"/>
      <c r="AH40" s="253">
        <f>BD.PD5[[#This Row],[Av.P4 '[%']]]*BD.PD5[[#This Row],[Ppto. Orden Interna '[DOP']]]</f>
        <v>0</v>
      </c>
      <c r="AI40" s="254"/>
      <c r="AJ40" s="255"/>
      <c r="AK40" s="253">
        <f>BD.PD5[[#This Row],[Av.P5 '[%']]]*BD.PD5[[#This Row],[Ppto. Orden Interna '[DOP']]]</f>
        <v>0</v>
      </c>
      <c r="AL40" s="256">
        <f>BD.PD5[[#This Row],[Pago 5]]+BD.PD5[[#This Row],[Pago 4]]+BD.PD5[[#This Row],[Pago 3]]+BD.PD5[[#This Row],[Pago 2]]+BD.PD5[[#This Row],[Pago 1]]</f>
        <v>0</v>
      </c>
      <c r="AM40" s="318"/>
      <c r="AN40" s="318"/>
      <c r="AO40" s="318"/>
      <c r="AP40" s="318"/>
      <c r="AQ40" s="318"/>
      <c r="AR40" s="318"/>
      <c r="AS40" s="318"/>
      <c r="AT40" s="318"/>
      <c r="AU40" s="318"/>
      <c r="AV40" s="318"/>
      <c r="AW40" s="318"/>
      <c r="AX40" s="318"/>
      <c r="AY40" s="318"/>
      <c r="AZ40" s="318"/>
      <c r="BA40" s="318"/>
      <c r="BB40" s="318"/>
      <c r="BC40" s="318"/>
      <c r="BD40" s="318"/>
      <c r="BE40" s="318"/>
      <c r="BF40" s="318"/>
      <c r="BG40" s="318"/>
      <c r="BH40" s="318"/>
      <c r="BI40" s="318"/>
      <c r="BJ40" s="318"/>
      <c r="BK40" s="318"/>
      <c r="BL40" s="318"/>
      <c r="BM40" s="318"/>
      <c r="BN40" s="318"/>
      <c r="BO40" s="318"/>
      <c r="BP40" s="318"/>
      <c r="BQ40" s="318"/>
      <c r="BR40" s="318"/>
      <c r="BS40" s="318"/>
      <c r="BT40" s="318"/>
      <c r="BU40" s="318"/>
      <c r="BV40" s="318"/>
      <c r="BW40" s="318"/>
      <c r="BX40" s="318"/>
      <c r="BY40" s="318"/>
      <c r="BZ40" s="318"/>
      <c r="CA40" s="318"/>
      <c r="CB40" s="318"/>
      <c r="CC40" s="318"/>
      <c r="CD40" s="318"/>
      <c r="CE40" s="318"/>
      <c r="CF40" s="318"/>
      <c r="CG40" s="318"/>
      <c r="CH40" s="318"/>
      <c r="CI40" s="318"/>
      <c r="CJ40" s="318"/>
      <c r="CK40" s="318"/>
      <c r="CL40" s="318"/>
      <c r="CM40" s="318"/>
      <c r="CN40" s="318"/>
      <c r="CO40" s="318"/>
      <c r="CP40" s="318"/>
      <c r="CQ40" s="318"/>
      <c r="CR40" s="318"/>
      <c r="CS40" s="318"/>
      <c r="CT40" s="318"/>
      <c r="CU40" s="318"/>
      <c r="CV40" s="318"/>
      <c r="CW40" s="318"/>
      <c r="CX40" s="318"/>
      <c r="CY40" s="318"/>
      <c r="CZ40" s="318"/>
      <c r="DA40" s="318"/>
      <c r="DB40" s="318"/>
      <c r="DC40" s="318"/>
      <c r="DD40" s="318"/>
      <c r="DE40" s="318"/>
      <c r="DF40" s="318"/>
      <c r="DG40" s="318"/>
      <c r="DH40" s="318"/>
      <c r="DI40" s="318"/>
      <c r="DJ40" s="318"/>
      <c r="DK40" s="318"/>
      <c r="DL40" s="318"/>
      <c r="DM40" s="318"/>
      <c r="DN40" s="318"/>
      <c r="DO40" s="318"/>
      <c r="DP40" s="318"/>
      <c r="DQ40" s="318"/>
      <c r="DR40" s="318"/>
      <c r="DS40" s="318"/>
      <c r="DT40" s="318"/>
      <c r="DU40" s="318"/>
      <c r="DV40" s="318"/>
      <c r="DW40" s="318"/>
      <c r="DX40" s="318"/>
      <c r="DY40" s="318"/>
      <c r="DZ40" s="318"/>
      <c r="EA40" s="318"/>
      <c r="EB40" s="318"/>
      <c r="EC40" s="318"/>
      <c r="ED40" s="318"/>
      <c r="EE40" s="318"/>
      <c r="EF40" s="318"/>
      <c r="EG40" s="318"/>
      <c r="EH40" s="318"/>
      <c r="EI40" s="318"/>
      <c r="EJ40" s="318"/>
      <c r="EK40" s="318"/>
      <c r="EL40" s="318"/>
      <c r="EM40" s="318"/>
      <c r="EN40" s="318"/>
      <c r="EO40" s="318"/>
      <c r="EP40" s="318"/>
      <c r="EQ40" s="318"/>
      <c r="ER40" s="318"/>
      <c r="ES40" s="318"/>
      <c r="ET40" s="318"/>
      <c r="EU40" s="318"/>
      <c r="EV40" s="318"/>
      <c r="EW40" s="318"/>
      <c r="EX40" s="318"/>
      <c r="EY40" s="318"/>
      <c r="EZ40" s="318"/>
      <c r="FA40" s="318"/>
      <c r="FB40" s="318"/>
      <c r="FC40" s="318"/>
      <c r="FD40" s="318"/>
      <c r="FE40" s="318"/>
      <c r="FF40" s="318"/>
      <c r="FG40" s="318"/>
      <c r="FH40" s="318"/>
      <c r="FI40" s="318"/>
      <c r="FJ40" s="318"/>
      <c r="FK40" s="318"/>
      <c r="FL40" s="318"/>
      <c r="FM40" s="318"/>
      <c r="FN40" s="318"/>
      <c r="FO40" s="318"/>
      <c r="FP40" s="318"/>
      <c r="FQ40" s="318"/>
      <c r="FR40" s="318"/>
      <c r="FS40" s="318"/>
      <c r="FT40" s="318"/>
      <c r="FU40" s="318"/>
      <c r="FV40" s="318"/>
      <c r="FW40" s="318"/>
      <c r="FX40" s="318"/>
      <c r="FY40" s="318"/>
      <c r="FZ40" s="318"/>
      <c r="GA40" s="318"/>
      <c r="GB40" s="318"/>
      <c r="GC40" s="318"/>
      <c r="GD40" s="318"/>
      <c r="GE40" s="318"/>
      <c r="GF40" s="318"/>
      <c r="GG40" s="318"/>
      <c r="GH40" s="318"/>
      <c r="GI40" s="318"/>
      <c r="GJ40" s="318"/>
      <c r="GK40" s="318"/>
      <c r="GL40" s="318"/>
      <c r="GM40" s="318"/>
      <c r="GN40" s="318"/>
      <c r="GO40" s="318"/>
      <c r="GP40" s="318"/>
      <c r="GQ40" s="318"/>
      <c r="GR40" s="318"/>
      <c r="GS40" s="318"/>
      <c r="GT40" s="318"/>
      <c r="GU40" s="318"/>
      <c r="GV40" s="318"/>
      <c r="GW40" s="318"/>
      <c r="GX40" s="318"/>
      <c r="GY40" s="318"/>
      <c r="GZ40" s="318"/>
      <c r="HA40" s="318"/>
      <c r="HB40" s="318"/>
      <c r="HC40" s="318"/>
      <c r="HD40" s="318"/>
      <c r="HE40" s="318"/>
      <c r="HF40" s="318"/>
      <c r="HG40" s="318"/>
      <c r="HH40" s="318"/>
      <c r="HI40" s="318"/>
      <c r="HJ40" s="318"/>
      <c r="HK40" s="318"/>
      <c r="HL40" s="318"/>
      <c r="HM40" s="318"/>
      <c r="HN40" s="318"/>
      <c r="HO40" s="318"/>
      <c r="HP40" s="318"/>
      <c r="HQ40" s="318"/>
      <c r="HR40" s="318"/>
      <c r="HS40" s="318"/>
      <c r="HT40" s="318"/>
      <c r="HU40" s="318"/>
      <c r="HV40" s="318"/>
      <c r="HW40" s="318"/>
      <c r="HX40" s="318"/>
      <c r="HY40" s="318"/>
      <c r="HZ40" s="318"/>
      <c r="IA40" s="318"/>
      <c r="IB40" s="318"/>
      <c r="IC40" s="318"/>
      <c r="ID40" s="318"/>
      <c r="IE40" s="318"/>
      <c r="IF40" s="318"/>
      <c r="IG40" s="318"/>
    </row>
    <row r="41" spans="1:241" s="260" customFormat="1" ht="15" hidden="1" customHeight="1" x14ac:dyDescent="0.3">
      <c r="A41" s="181">
        <v>5.0599999999999996</v>
      </c>
      <c r="B41" s="239" t="s">
        <v>306</v>
      </c>
      <c r="C41" s="240" t="str">
        <f>VLOOKUP(BD.PD5[[#This Row],[Pos]],PPto[],3,FALSE)</f>
        <v xml:space="preserve">5.06 Instalacion Frio Alimentario </v>
      </c>
      <c r="D41" s="241" t="s">
        <v>306</v>
      </c>
      <c r="E41" s="242">
        <f>IF(BD.PD5[[#This Row],[.]]="*",VLOOKUP(BD.PD5[[#This Row],[Pos]],[15]Presupuesto!A:H,7,FALSE),"")</f>
        <v>0</v>
      </c>
      <c r="F41" s="243"/>
      <c r="G41" s="362"/>
      <c r="H41" s="243"/>
      <c r="I41" s="244"/>
      <c r="J41" s="241" t="s">
        <v>188</v>
      </c>
      <c r="K41" s="245">
        <f>IF(BD.PD5[[#This Row],[Mon]]="DOP",1,HLOOKUP(BD.PD5[[#This Row],[Mon]],$J$1:$K$2,2,FALSE))</f>
        <v>64</v>
      </c>
      <c r="L41" s="246">
        <v>0</v>
      </c>
      <c r="M41" s="247">
        <f>BD.PD5[[#This Row],[Cant.]]*BD.PD5[[#This Row],[ Tasa ]]*BD.PD5[[#This Row],[ Precio Und.]]</f>
        <v>0</v>
      </c>
      <c r="N41" s="248"/>
      <c r="O41" s="247">
        <f>IF(BD.PD5[[#This Row],[Liquid. '[%']]]&lt;&gt;0,(BD.PD5[[#This Row],[Valor Neto '[DOP']]]*BD.PD5[[#This Row],[Liquid. '[%']]])+BD.PD5[[#This Row],[Valor Neto '[DOP']]],BD.PD5[[#This Row],[Valor Neto '[DOP']]])</f>
        <v>0</v>
      </c>
      <c r="P41" s="257">
        <f>BD.PD5[[#This Row],[Ppto. Orden Interna '[DOP']]]/HLOOKUP("USD",$J$1:$K$2,2,FALSE)</f>
        <v>0</v>
      </c>
      <c r="Q41" s="340"/>
      <c r="R41" s="250"/>
      <c r="S41" s="250"/>
      <c r="T41" s="250"/>
      <c r="U41" s="250"/>
      <c r="V41" s="258"/>
      <c r="W41" s="251"/>
      <c r="X41" s="252"/>
      <c r="Y41" s="259">
        <f>BD.PD5[[#This Row],[Av.P1 '[%']]]*BD.PD5[[#This Row],[Ppto. Orden Interna '[DOP']]]</f>
        <v>0</v>
      </c>
      <c r="Z41" s="254"/>
      <c r="AA41" s="255"/>
      <c r="AB41" s="259">
        <f>BD.PD5[[#This Row],[Av.P2 '[%']]]*BD.PD5[[#This Row],[Ppto. Orden Interna '[DOP']]]</f>
        <v>0</v>
      </c>
      <c r="AC41" s="254"/>
      <c r="AD41" s="255"/>
      <c r="AE41" s="259">
        <f>BD.PD5[[#This Row],[Av.P3 '[%']]]*BD.PD5[[#This Row],[Ppto. Orden Interna '[DOP']]]</f>
        <v>0</v>
      </c>
      <c r="AF41" s="254"/>
      <c r="AG41" s="255"/>
      <c r="AH41" s="259">
        <f>BD.PD5[[#This Row],[Av.P4 '[%']]]*BD.PD5[[#This Row],[Ppto. Orden Interna '[DOP']]]</f>
        <v>0</v>
      </c>
      <c r="AI41" s="254"/>
      <c r="AJ41" s="255"/>
      <c r="AK41" s="259">
        <f>BD.PD5[[#This Row],[Av.P5 '[%']]]*BD.PD5[[#This Row],[Ppto. Orden Interna '[DOP']]]</f>
        <v>0</v>
      </c>
      <c r="AL41" s="256">
        <f>BD.PD5[[#This Row],[Pago 5]]+BD.PD5[[#This Row],[Pago 4]]+BD.PD5[[#This Row],[Pago 3]]+BD.PD5[[#This Row],[Pago 2]]+BD.PD5[[#This Row],[Pago 1]]</f>
        <v>0</v>
      </c>
      <c r="AM41" s="318"/>
      <c r="AN41" s="318"/>
      <c r="AO41" s="318"/>
      <c r="AP41" s="318"/>
      <c r="AQ41" s="318"/>
      <c r="AR41" s="318"/>
      <c r="AS41" s="318"/>
      <c r="AT41" s="318"/>
      <c r="AU41" s="318"/>
      <c r="AV41" s="318"/>
      <c r="AW41" s="318"/>
      <c r="AX41" s="318"/>
      <c r="AY41" s="318"/>
      <c r="AZ41" s="318"/>
      <c r="BA41" s="318"/>
      <c r="BB41" s="318"/>
      <c r="BC41" s="318"/>
      <c r="BD41" s="318"/>
      <c r="BE41" s="318"/>
      <c r="BF41" s="318"/>
      <c r="BG41" s="318"/>
      <c r="BH41" s="318"/>
      <c r="BI41" s="318"/>
      <c r="BJ41" s="318"/>
      <c r="BK41" s="318"/>
      <c r="BL41" s="318"/>
      <c r="BM41" s="318"/>
      <c r="BN41" s="318"/>
      <c r="BO41" s="318"/>
      <c r="BP41" s="318"/>
      <c r="BQ41" s="318"/>
      <c r="BR41" s="318"/>
      <c r="BS41" s="318"/>
      <c r="BT41" s="318"/>
      <c r="BU41" s="318"/>
      <c r="BV41" s="318"/>
      <c r="BW41" s="318"/>
      <c r="BX41" s="318"/>
      <c r="BY41" s="318"/>
      <c r="BZ41" s="318"/>
      <c r="CA41" s="318"/>
      <c r="CB41" s="318"/>
      <c r="CC41" s="318"/>
      <c r="CD41" s="318"/>
      <c r="CE41" s="318"/>
      <c r="CF41" s="318"/>
      <c r="CG41" s="318"/>
      <c r="CH41" s="318"/>
      <c r="CI41" s="318"/>
      <c r="CJ41" s="318"/>
      <c r="CK41" s="318"/>
      <c r="CL41" s="318"/>
      <c r="CM41" s="318"/>
      <c r="CN41" s="318"/>
      <c r="CO41" s="318"/>
      <c r="CP41" s="318"/>
      <c r="CQ41" s="318"/>
      <c r="CR41" s="318"/>
      <c r="CS41" s="318"/>
      <c r="CT41" s="318"/>
      <c r="CU41" s="318"/>
      <c r="CV41" s="318"/>
      <c r="CW41" s="318"/>
      <c r="CX41" s="318"/>
      <c r="CY41" s="318"/>
      <c r="CZ41" s="318"/>
      <c r="DA41" s="318"/>
      <c r="DB41" s="318"/>
      <c r="DC41" s="318"/>
      <c r="DD41" s="318"/>
      <c r="DE41" s="318"/>
      <c r="DF41" s="318"/>
      <c r="DG41" s="318"/>
      <c r="DH41" s="318"/>
      <c r="DI41" s="318"/>
      <c r="DJ41" s="318"/>
      <c r="DK41" s="318"/>
      <c r="DL41" s="318"/>
      <c r="DM41" s="318"/>
      <c r="DN41" s="318"/>
      <c r="DO41" s="318"/>
      <c r="DP41" s="318"/>
      <c r="DQ41" s="318"/>
      <c r="DR41" s="318"/>
      <c r="DS41" s="318"/>
      <c r="DT41" s="318"/>
      <c r="DU41" s="318"/>
      <c r="DV41" s="318"/>
      <c r="DW41" s="318"/>
      <c r="DX41" s="318"/>
      <c r="DY41" s="318"/>
      <c r="DZ41" s="318"/>
      <c r="EA41" s="318"/>
      <c r="EB41" s="318"/>
      <c r="EC41" s="318"/>
      <c r="ED41" s="318"/>
      <c r="EE41" s="318"/>
      <c r="EF41" s="318"/>
      <c r="EG41" s="318"/>
      <c r="EH41" s="318"/>
      <c r="EI41" s="318"/>
      <c r="EJ41" s="318"/>
      <c r="EK41" s="318"/>
      <c r="EL41" s="318"/>
      <c r="EM41" s="318"/>
      <c r="EN41" s="318"/>
      <c r="EO41" s="318"/>
      <c r="EP41" s="318"/>
      <c r="EQ41" s="318"/>
      <c r="ER41" s="318"/>
      <c r="ES41" s="318"/>
      <c r="ET41" s="318"/>
      <c r="EU41" s="318"/>
      <c r="EV41" s="318"/>
      <c r="EW41" s="318"/>
      <c r="EX41" s="318"/>
      <c r="EY41" s="318"/>
      <c r="EZ41" s="318"/>
      <c r="FA41" s="318"/>
      <c r="FB41" s="318"/>
      <c r="FC41" s="318"/>
      <c r="FD41" s="318"/>
      <c r="FE41" s="318"/>
      <c r="FF41" s="318"/>
      <c r="FG41" s="318"/>
      <c r="FH41" s="318"/>
      <c r="FI41" s="318"/>
      <c r="FJ41" s="318"/>
      <c r="FK41" s="318"/>
      <c r="FL41" s="318"/>
      <c r="FM41" s="318"/>
      <c r="FN41" s="318"/>
      <c r="FO41" s="318"/>
      <c r="FP41" s="318"/>
      <c r="FQ41" s="318"/>
      <c r="FR41" s="318"/>
      <c r="FS41" s="318"/>
      <c r="FT41" s="318"/>
      <c r="FU41" s="318"/>
      <c r="FV41" s="318"/>
      <c r="FW41" s="318"/>
      <c r="FX41" s="318"/>
      <c r="FY41" s="318"/>
      <c r="FZ41" s="318"/>
      <c r="GA41" s="318"/>
      <c r="GB41" s="318"/>
      <c r="GC41" s="318"/>
      <c r="GD41" s="318"/>
      <c r="GE41" s="318"/>
      <c r="GF41" s="318"/>
      <c r="GG41" s="318"/>
      <c r="GH41" s="318"/>
      <c r="GI41" s="318"/>
      <c r="GJ41" s="318"/>
      <c r="GK41" s="318"/>
      <c r="GL41" s="318"/>
      <c r="GM41" s="318"/>
      <c r="GN41" s="318"/>
      <c r="GO41" s="318"/>
      <c r="GP41" s="318"/>
      <c r="GQ41" s="318"/>
      <c r="GR41" s="318"/>
      <c r="GS41" s="318"/>
      <c r="GT41" s="318"/>
      <c r="GU41" s="318"/>
      <c r="GV41" s="318"/>
      <c r="GW41" s="318"/>
      <c r="GX41" s="318"/>
      <c r="GY41" s="318"/>
      <c r="GZ41" s="318"/>
      <c r="HA41" s="318"/>
      <c r="HB41" s="318"/>
      <c r="HC41" s="318"/>
      <c r="HD41" s="318"/>
      <c r="HE41" s="318"/>
      <c r="HF41" s="318"/>
      <c r="HG41" s="318"/>
      <c r="HH41" s="318"/>
      <c r="HI41" s="318"/>
      <c r="HJ41" s="318"/>
      <c r="HK41" s="318"/>
      <c r="HL41" s="318"/>
      <c r="HM41" s="318"/>
      <c r="HN41" s="318"/>
      <c r="HO41" s="318"/>
      <c r="HP41" s="318"/>
      <c r="HQ41" s="318"/>
      <c r="HR41" s="318"/>
      <c r="HS41" s="318"/>
      <c r="HT41" s="318"/>
      <c r="HU41" s="318"/>
      <c r="HV41" s="318"/>
      <c r="HW41" s="318"/>
      <c r="HX41" s="318"/>
      <c r="HY41" s="318"/>
      <c r="HZ41" s="318"/>
      <c r="IA41" s="318"/>
      <c r="IB41" s="318"/>
      <c r="IC41" s="318"/>
      <c r="ID41" s="318"/>
      <c r="IE41" s="318"/>
      <c r="IF41" s="318"/>
      <c r="IG41" s="318"/>
    </row>
    <row r="42" spans="1:241" s="260" customFormat="1" ht="15" hidden="1" customHeight="1" x14ac:dyDescent="0.3">
      <c r="A42" s="181">
        <v>5.07</v>
      </c>
      <c r="B42" s="239" t="s">
        <v>306</v>
      </c>
      <c r="C42" s="240" t="str">
        <f>VLOOKUP(BD.PD5[[#This Row],[Pos]],PPto[],3,FALSE)</f>
        <v>5.07 Chase Doors</v>
      </c>
      <c r="D42" s="241" t="s">
        <v>306</v>
      </c>
      <c r="E42" s="242">
        <f>IF(BD.PD5[[#This Row],[.]]="*",VLOOKUP(BD.PD5[[#This Row],[Pos]],[15]Presupuesto!A:H,7,FALSE),"")</f>
        <v>0</v>
      </c>
      <c r="F42" s="243"/>
      <c r="G42" s="243"/>
      <c r="H42" s="243"/>
      <c r="I42" s="244"/>
      <c r="J42" s="241" t="s">
        <v>188</v>
      </c>
      <c r="K42" s="245">
        <f>IF(BD.PD5[[#This Row],[Mon]]="DOP",1,HLOOKUP(BD.PD5[[#This Row],[Mon]],$J$1:$K$2,2,FALSE))</f>
        <v>64</v>
      </c>
      <c r="L42" s="246">
        <v>0</v>
      </c>
      <c r="M42" s="247">
        <f>BD.PD5[[#This Row],[Cant.]]*BD.PD5[[#This Row],[ Tasa ]]*BD.PD5[[#This Row],[ Precio Und.]]</f>
        <v>0</v>
      </c>
      <c r="N42" s="248"/>
      <c r="O42" s="247">
        <f>IF(BD.PD5[[#This Row],[Liquid. '[%']]]&lt;&gt;0,(BD.PD5[[#This Row],[Valor Neto '[DOP']]]*BD.PD5[[#This Row],[Liquid. '[%']]])+BD.PD5[[#This Row],[Valor Neto '[DOP']]],BD.PD5[[#This Row],[Valor Neto '[DOP']]])</f>
        <v>0</v>
      </c>
      <c r="P42" s="249">
        <f>BD.PD5[[#This Row],[Ppto. Orden Interna '[DOP']]]/HLOOKUP("USD",$J$1:$K$2,2,FALSE)</f>
        <v>0</v>
      </c>
      <c r="Q42" s="340"/>
      <c r="R42" s="250"/>
      <c r="S42" s="250"/>
      <c r="T42" s="250"/>
      <c r="U42" s="250"/>
      <c r="V42" s="243"/>
      <c r="W42" s="251"/>
      <c r="X42" s="252"/>
      <c r="Y42" s="253">
        <f>BD.PD5[[#This Row],[Av.P1 '[%']]]*BD.PD5[[#This Row],[Ppto. Orden Interna '[DOP']]]</f>
        <v>0</v>
      </c>
      <c r="Z42" s="254"/>
      <c r="AA42" s="255"/>
      <c r="AB42" s="253">
        <f>BD.PD5[[#This Row],[Av.P2 '[%']]]*BD.PD5[[#This Row],[Ppto. Orden Interna '[DOP']]]</f>
        <v>0</v>
      </c>
      <c r="AC42" s="254"/>
      <c r="AD42" s="255"/>
      <c r="AE42" s="253">
        <f>BD.PD5[[#This Row],[Av.P3 '[%']]]*BD.PD5[[#This Row],[Ppto. Orden Interna '[DOP']]]</f>
        <v>0</v>
      </c>
      <c r="AF42" s="254"/>
      <c r="AG42" s="255"/>
      <c r="AH42" s="253">
        <f>BD.PD5[[#This Row],[Av.P4 '[%']]]*BD.PD5[[#This Row],[Ppto. Orden Interna '[DOP']]]</f>
        <v>0</v>
      </c>
      <c r="AI42" s="254"/>
      <c r="AJ42" s="255"/>
      <c r="AK42" s="253">
        <f>BD.PD5[[#This Row],[Av.P5 '[%']]]*BD.PD5[[#This Row],[Ppto. Orden Interna '[DOP']]]</f>
        <v>0</v>
      </c>
      <c r="AL42" s="256">
        <f>BD.PD5[[#This Row],[Pago 5]]+BD.PD5[[#This Row],[Pago 4]]+BD.PD5[[#This Row],[Pago 3]]+BD.PD5[[#This Row],[Pago 2]]+BD.PD5[[#This Row],[Pago 1]]</f>
        <v>0</v>
      </c>
      <c r="AM42" s="318"/>
      <c r="AN42" s="318"/>
      <c r="AO42" s="318"/>
      <c r="AP42" s="318"/>
      <c r="AQ42" s="318"/>
      <c r="AR42" s="318"/>
      <c r="AS42" s="318"/>
      <c r="AT42" s="318"/>
      <c r="AU42" s="318"/>
      <c r="AV42" s="318"/>
      <c r="AW42" s="318"/>
      <c r="AX42" s="318"/>
      <c r="AY42" s="318"/>
      <c r="AZ42" s="318"/>
      <c r="BA42" s="318"/>
      <c r="BB42" s="318"/>
      <c r="BC42" s="318"/>
      <c r="BD42" s="318"/>
      <c r="BE42" s="318"/>
      <c r="BF42" s="318"/>
      <c r="BG42" s="318"/>
      <c r="BH42" s="318"/>
      <c r="BI42" s="318"/>
      <c r="BJ42" s="318"/>
      <c r="BK42" s="318"/>
      <c r="BL42" s="318"/>
      <c r="BM42" s="318"/>
      <c r="BN42" s="318"/>
      <c r="BO42" s="318"/>
      <c r="BP42" s="318"/>
      <c r="BQ42" s="318"/>
      <c r="BR42" s="318"/>
      <c r="BS42" s="318"/>
      <c r="BT42" s="318"/>
      <c r="BU42" s="318"/>
      <c r="BV42" s="318"/>
      <c r="BW42" s="318"/>
      <c r="BX42" s="318"/>
      <c r="BY42" s="318"/>
      <c r="BZ42" s="318"/>
      <c r="CA42" s="318"/>
      <c r="CB42" s="318"/>
      <c r="CC42" s="318"/>
      <c r="CD42" s="318"/>
      <c r="CE42" s="318"/>
      <c r="CF42" s="318"/>
      <c r="CG42" s="318"/>
      <c r="CH42" s="318"/>
      <c r="CI42" s="318"/>
      <c r="CJ42" s="318"/>
      <c r="CK42" s="318"/>
      <c r="CL42" s="318"/>
      <c r="CM42" s="318"/>
      <c r="CN42" s="318"/>
      <c r="CO42" s="318"/>
      <c r="CP42" s="318"/>
      <c r="CQ42" s="318"/>
      <c r="CR42" s="318"/>
      <c r="CS42" s="318"/>
      <c r="CT42" s="318"/>
      <c r="CU42" s="318"/>
      <c r="CV42" s="318"/>
      <c r="CW42" s="318"/>
      <c r="CX42" s="318"/>
      <c r="CY42" s="318"/>
      <c r="CZ42" s="318"/>
      <c r="DA42" s="318"/>
      <c r="DB42" s="318"/>
      <c r="DC42" s="318"/>
      <c r="DD42" s="318"/>
      <c r="DE42" s="318"/>
      <c r="DF42" s="318"/>
      <c r="DG42" s="318"/>
      <c r="DH42" s="318"/>
      <c r="DI42" s="318"/>
      <c r="DJ42" s="318"/>
      <c r="DK42" s="318"/>
      <c r="DL42" s="318"/>
      <c r="DM42" s="318"/>
      <c r="DN42" s="318"/>
      <c r="DO42" s="318"/>
      <c r="DP42" s="318"/>
      <c r="DQ42" s="318"/>
      <c r="DR42" s="318"/>
      <c r="DS42" s="318"/>
      <c r="DT42" s="318"/>
      <c r="DU42" s="318"/>
      <c r="DV42" s="318"/>
      <c r="DW42" s="318"/>
      <c r="DX42" s="318"/>
      <c r="DY42" s="318"/>
      <c r="DZ42" s="318"/>
      <c r="EA42" s="318"/>
      <c r="EB42" s="318"/>
      <c r="EC42" s="318"/>
      <c r="ED42" s="318"/>
      <c r="EE42" s="318"/>
      <c r="EF42" s="318"/>
      <c r="EG42" s="318"/>
      <c r="EH42" s="318"/>
      <c r="EI42" s="318"/>
      <c r="EJ42" s="318"/>
      <c r="EK42" s="318"/>
      <c r="EL42" s="318"/>
      <c r="EM42" s="318"/>
      <c r="EN42" s="318"/>
      <c r="EO42" s="318"/>
      <c r="EP42" s="318"/>
      <c r="EQ42" s="318"/>
      <c r="ER42" s="318"/>
      <c r="ES42" s="318"/>
      <c r="ET42" s="318"/>
      <c r="EU42" s="318"/>
      <c r="EV42" s="318"/>
      <c r="EW42" s="318"/>
      <c r="EX42" s="318"/>
      <c r="EY42" s="318"/>
      <c r="EZ42" s="318"/>
      <c r="FA42" s="318"/>
      <c r="FB42" s="318"/>
      <c r="FC42" s="318"/>
      <c r="FD42" s="318"/>
      <c r="FE42" s="318"/>
      <c r="FF42" s="318"/>
      <c r="FG42" s="318"/>
      <c r="FH42" s="318"/>
      <c r="FI42" s="318"/>
      <c r="FJ42" s="318"/>
      <c r="FK42" s="318"/>
      <c r="FL42" s="318"/>
      <c r="FM42" s="318"/>
      <c r="FN42" s="318"/>
      <c r="FO42" s="318"/>
      <c r="FP42" s="318"/>
      <c r="FQ42" s="318"/>
      <c r="FR42" s="318"/>
      <c r="FS42" s="318"/>
      <c r="FT42" s="318"/>
      <c r="FU42" s="318"/>
      <c r="FV42" s="318"/>
      <c r="FW42" s="318"/>
      <c r="FX42" s="318"/>
      <c r="FY42" s="318"/>
      <c r="FZ42" s="318"/>
      <c r="GA42" s="318"/>
      <c r="GB42" s="318"/>
      <c r="GC42" s="318"/>
      <c r="GD42" s="318"/>
      <c r="GE42" s="318"/>
      <c r="GF42" s="318"/>
      <c r="GG42" s="318"/>
      <c r="GH42" s="318"/>
      <c r="GI42" s="318"/>
      <c r="GJ42" s="318"/>
      <c r="GK42" s="318"/>
      <c r="GL42" s="318"/>
      <c r="GM42" s="318"/>
      <c r="GN42" s="318"/>
      <c r="GO42" s="318"/>
      <c r="GP42" s="318"/>
      <c r="GQ42" s="318"/>
      <c r="GR42" s="318"/>
      <c r="GS42" s="318"/>
      <c r="GT42" s="318"/>
      <c r="GU42" s="318"/>
      <c r="GV42" s="318"/>
      <c r="GW42" s="318"/>
      <c r="GX42" s="318"/>
      <c r="GY42" s="318"/>
      <c r="GZ42" s="318"/>
      <c r="HA42" s="318"/>
      <c r="HB42" s="318"/>
      <c r="HC42" s="318"/>
      <c r="HD42" s="318"/>
      <c r="HE42" s="318"/>
      <c r="HF42" s="318"/>
      <c r="HG42" s="318"/>
      <c r="HH42" s="318"/>
      <c r="HI42" s="318"/>
      <c r="HJ42" s="318"/>
      <c r="HK42" s="318"/>
      <c r="HL42" s="318"/>
      <c r="HM42" s="318"/>
      <c r="HN42" s="318"/>
      <c r="HO42" s="318"/>
      <c r="HP42" s="318"/>
      <c r="HQ42" s="318"/>
      <c r="HR42" s="318"/>
      <c r="HS42" s="318"/>
      <c r="HT42" s="318"/>
      <c r="HU42" s="318"/>
      <c r="HV42" s="318"/>
      <c r="HW42" s="318"/>
      <c r="HX42" s="318"/>
      <c r="HY42" s="318"/>
      <c r="HZ42" s="318"/>
      <c r="IA42" s="318"/>
      <c r="IB42" s="318"/>
      <c r="IC42" s="318"/>
      <c r="ID42" s="318"/>
      <c r="IE42" s="318"/>
      <c r="IF42" s="318"/>
      <c r="IG42" s="318"/>
    </row>
    <row r="43" spans="1:241" s="260" customFormat="1" ht="15" hidden="1" customHeight="1" x14ac:dyDescent="0.3">
      <c r="A43" s="181">
        <v>6.01</v>
      </c>
      <c r="B43" s="239" t="s">
        <v>306</v>
      </c>
      <c r="C43" s="240" t="str">
        <f>VLOOKUP(BD.PD5[[#This Row],[Pos]],PPto[],3,FALSE)</f>
        <v>6.01 Sistema de cámaras CCTV</v>
      </c>
      <c r="D43" s="241" t="s">
        <v>306</v>
      </c>
      <c r="E43" s="242">
        <f>IF(BD.PD5[[#This Row],[.]]="*",VLOOKUP(BD.PD5[[#This Row],[Pos]],[15]Presupuesto!A:H,7,FALSE),"")</f>
        <v>0</v>
      </c>
      <c r="F43" s="243"/>
      <c r="G43" s="243"/>
      <c r="H43" s="243"/>
      <c r="I43" s="244"/>
      <c r="J43" s="241" t="s">
        <v>188</v>
      </c>
      <c r="K43" s="245">
        <f>IF(BD.PD5[[#This Row],[Mon]]="DOP",1,HLOOKUP(BD.PD5[[#This Row],[Mon]],$J$1:$K$2,2,FALSE))</f>
        <v>64</v>
      </c>
      <c r="L43" s="246">
        <v>0</v>
      </c>
      <c r="M43" s="247">
        <f>BD.PD5[[#This Row],[Cant.]]*BD.PD5[[#This Row],[ Tasa ]]*BD.PD5[[#This Row],[ Precio Und.]]</f>
        <v>0</v>
      </c>
      <c r="N43" s="248"/>
      <c r="O43" s="247">
        <f>IF(BD.PD5[[#This Row],[Liquid. '[%']]]&lt;&gt;0,(BD.PD5[[#This Row],[Valor Neto '[DOP']]]*BD.PD5[[#This Row],[Liquid. '[%']]])+BD.PD5[[#This Row],[Valor Neto '[DOP']]],BD.PD5[[#This Row],[Valor Neto '[DOP']]])</f>
        <v>0</v>
      </c>
      <c r="P43" s="249">
        <f>BD.PD5[[#This Row],[Ppto. Orden Interna '[DOP']]]/HLOOKUP("USD",$J$1:$K$2,2,FALSE)</f>
        <v>0</v>
      </c>
      <c r="Q43" s="340"/>
      <c r="R43" s="250"/>
      <c r="S43" s="250"/>
      <c r="T43" s="250"/>
      <c r="U43" s="250"/>
      <c r="V43" s="243"/>
      <c r="W43" s="251"/>
      <c r="X43" s="252"/>
      <c r="Y43" s="253">
        <f>BD.PD5[[#This Row],[Av.P1 '[%']]]*BD.PD5[[#This Row],[Ppto. Orden Interna '[DOP']]]</f>
        <v>0</v>
      </c>
      <c r="Z43" s="254"/>
      <c r="AA43" s="255"/>
      <c r="AB43" s="253">
        <f>BD.PD5[[#This Row],[Av.P2 '[%']]]*BD.PD5[[#This Row],[Ppto. Orden Interna '[DOP']]]</f>
        <v>0</v>
      </c>
      <c r="AC43" s="254"/>
      <c r="AD43" s="255"/>
      <c r="AE43" s="253">
        <f>BD.PD5[[#This Row],[Av.P3 '[%']]]*BD.PD5[[#This Row],[Ppto. Orden Interna '[DOP']]]</f>
        <v>0</v>
      </c>
      <c r="AF43" s="254"/>
      <c r="AG43" s="255"/>
      <c r="AH43" s="253">
        <f>BD.PD5[[#This Row],[Av.P4 '[%']]]*BD.PD5[[#This Row],[Ppto. Orden Interna '[DOP']]]</f>
        <v>0</v>
      </c>
      <c r="AI43" s="254"/>
      <c r="AJ43" s="255"/>
      <c r="AK43" s="253">
        <f>BD.PD5[[#This Row],[Av.P5 '[%']]]*BD.PD5[[#This Row],[Ppto. Orden Interna '[DOP']]]</f>
        <v>0</v>
      </c>
      <c r="AL43" s="256">
        <f>BD.PD5[[#This Row],[Pago 5]]+BD.PD5[[#This Row],[Pago 4]]+BD.PD5[[#This Row],[Pago 3]]+BD.PD5[[#This Row],[Pago 2]]+BD.PD5[[#This Row],[Pago 1]]</f>
        <v>0</v>
      </c>
      <c r="AM43" s="318"/>
      <c r="AN43" s="318"/>
      <c r="AO43" s="318"/>
      <c r="AP43" s="318"/>
      <c r="AQ43" s="318"/>
      <c r="AR43" s="318"/>
      <c r="AS43" s="318"/>
      <c r="AT43" s="318"/>
      <c r="AU43" s="318"/>
      <c r="AV43" s="318"/>
      <c r="AW43" s="318"/>
      <c r="AX43" s="318"/>
      <c r="AY43" s="318"/>
      <c r="AZ43" s="318"/>
      <c r="BA43" s="318"/>
      <c r="BB43" s="318"/>
      <c r="BC43" s="318"/>
      <c r="BD43" s="318"/>
      <c r="BE43" s="318"/>
      <c r="BF43" s="318"/>
      <c r="BG43" s="318"/>
      <c r="BH43" s="318"/>
      <c r="BI43" s="318"/>
      <c r="BJ43" s="318"/>
      <c r="BK43" s="318"/>
      <c r="BL43" s="318"/>
      <c r="BM43" s="318"/>
      <c r="BN43" s="318"/>
      <c r="BO43" s="318"/>
      <c r="BP43" s="318"/>
      <c r="BQ43" s="318"/>
      <c r="BR43" s="318"/>
      <c r="BS43" s="318"/>
      <c r="BT43" s="318"/>
      <c r="BU43" s="318"/>
      <c r="BV43" s="318"/>
      <c r="BW43" s="318"/>
      <c r="BX43" s="318"/>
      <c r="BY43" s="318"/>
      <c r="BZ43" s="318"/>
      <c r="CA43" s="318"/>
      <c r="CB43" s="318"/>
      <c r="CC43" s="318"/>
      <c r="CD43" s="318"/>
      <c r="CE43" s="318"/>
      <c r="CF43" s="318"/>
      <c r="CG43" s="318"/>
      <c r="CH43" s="318"/>
      <c r="CI43" s="318"/>
      <c r="CJ43" s="318"/>
      <c r="CK43" s="318"/>
      <c r="CL43" s="318"/>
      <c r="CM43" s="318"/>
      <c r="CN43" s="318"/>
      <c r="CO43" s="318"/>
      <c r="CP43" s="318"/>
      <c r="CQ43" s="318"/>
      <c r="CR43" s="318"/>
      <c r="CS43" s="318"/>
      <c r="CT43" s="318"/>
      <c r="CU43" s="318"/>
      <c r="CV43" s="318"/>
      <c r="CW43" s="318"/>
      <c r="CX43" s="318"/>
      <c r="CY43" s="318"/>
      <c r="CZ43" s="318"/>
      <c r="DA43" s="318"/>
      <c r="DB43" s="318"/>
      <c r="DC43" s="318"/>
      <c r="DD43" s="318"/>
      <c r="DE43" s="318"/>
      <c r="DF43" s="318"/>
      <c r="DG43" s="318"/>
      <c r="DH43" s="318"/>
      <c r="DI43" s="318"/>
      <c r="DJ43" s="318"/>
      <c r="DK43" s="318"/>
      <c r="DL43" s="318"/>
      <c r="DM43" s="318"/>
      <c r="DN43" s="318"/>
      <c r="DO43" s="318"/>
      <c r="DP43" s="318"/>
      <c r="DQ43" s="318"/>
      <c r="DR43" s="318"/>
      <c r="DS43" s="318"/>
      <c r="DT43" s="318"/>
      <c r="DU43" s="318"/>
      <c r="DV43" s="318"/>
      <c r="DW43" s="318"/>
      <c r="DX43" s="318"/>
      <c r="DY43" s="318"/>
      <c r="DZ43" s="318"/>
      <c r="EA43" s="318"/>
      <c r="EB43" s="318"/>
      <c r="EC43" s="318"/>
      <c r="ED43" s="318"/>
      <c r="EE43" s="318"/>
      <c r="EF43" s="318"/>
      <c r="EG43" s="318"/>
      <c r="EH43" s="318"/>
      <c r="EI43" s="318"/>
      <c r="EJ43" s="318"/>
      <c r="EK43" s="318"/>
      <c r="EL43" s="318"/>
      <c r="EM43" s="318"/>
      <c r="EN43" s="318"/>
      <c r="EO43" s="318"/>
      <c r="EP43" s="318"/>
      <c r="EQ43" s="318"/>
      <c r="ER43" s="318"/>
      <c r="ES43" s="318"/>
      <c r="ET43" s="318"/>
      <c r="EU43" s="318"/>
      <c r="EV43" s="318"/>
      <c r="EW43" s="318"/>
      <c r="EX43" s="318"/>
      <c r="EY43" s="318"/>
      <c r="EZ43" s="318"/>
      <c r="FA43" s="318"/>
      <c r="FB43" s="318"/>
      <c r="FC43" s="318"/>
      <c r="FD43" s="318"/>
      <c r="FE43" s="318"/>
      <c r="FF43" s="318"/>
      <c r="FG43" s="318"/>
      <c r="FH43" s="318"/>
      <c r="FI43" s="318"/>
      <c r="FJ43" s="318"/>
      <c r="FK43" s="318"/>
      <c r="FL43" s="318"/>
      <c r="FM43" s="318"/>
      <c r="FN43" s="318"/>
      <c r="FO43" s="318"/>
      <c r="FP43" s="318"/>
      <c r="FQ43" s="318"/>
      <c r="FR43" s="318"/>
      <c r="FS43" s="318"/>
      <c r="FT43" s="318"/>
      <c r="FU43" s="318"/>
      <c r="FV43" s="318"/>
      <c r="FW43" s="318"/>
      <c r="FX43" s="318"/>
      <c r="FY43" s="318"/>
      <c r="FZ43" s="318"/>
      <c r="GA43" s="318"/>
      <c r="GB43" s="318"/>
      <c r="GC43" s="318"/>
      <c r="GD43" s="318"/>
      <c r="GE43" s="318"/>
      <c r="GF43" s="318"/>
      <c r="GG43" s="318"/>
      <c r="GH43" s="318"/>
      <c r="GI43" s="318"/>
      <c r="GJ43" s="318"/>
      <c r="GK43" s="318"/>
      <c r="GL43" s="318"/>
      <c r="GM43" s="318"/>
      <c r="GN43" s="318"/>
      <c r="GO43" s="318"/>
      <c r="GP43" s="318"/>
      <c r="GQ43" s="318"/>
      <c r="GR43" s="318"/>
      <c r="GS43" s="318"/>
      <c r="GT43" s="318"/>
      <c r="GU43" s="318"/>
      <c r="GV43" s="318"/>
      <c r="GW43" s="318"/>
      <c r="GX43" s="318"/>
      <c r="GY43" s="318"/>
      <c r="GZ43" s="318"/>
      <c r="HA43" s="318"/>
      <c r="HB43" s="318"/>
      <c r="HC43" s="318"/>
      <c r="HD43" s="318"/>
      <c r="HE43" s="318"/>
      <c r="HF43" s="318"/>
      <c r="HG43" s="318"/>
      <c r="HH43" s="318"/>
      <c r="HI43" s="318"/>
      <c r="HJ43" s="318"/>
      <c r="HK43" s="318"/>
      <c r="HL43" s="318"/>
      <c r="HM43" s="318"/>
      <c r="HN43" s="318"/>
      <c r="HO43" s="318"/>
      <c r="HP43" s="318"/>
      <c r="HQ43" s="318"/>
      <c r="HR43" s="318"/>
      <c r="HS43" s="318"/>
      <c r="HT43" s="318"/>
      <c r="HU43" s="318"/>
      <c r="HV43" s="318"/>
      <c r="HW43" s="318"/>
      <c r="HX43" s="318"/>
      <c r="HY43" s="318"/>
      <c r="HZ43" s="318"/>
      <c r="IA43" s="318"/>
      <c r="IB43" s="318"/>
      <c r="IC43" s="318"/>
      <c r="ID43" s="318"/>
      <c r="IE43" s="318"/>
      <c r="IF43" s="318"/>
      <c r="IG43" s="318"/>
    </row>
    <row r="44" spans="1:241" s="260" customFormat="1" ht="15" hidden="1" customHeight="1" x14ac:dyDescent="0.3">
      <c r="A44" s="181">
        <v>6.02</v>
      </c>
      <c r="B44" s="239" t="s">
        <v>306</v>
      </c>
      <c r="C44" s="240" t="str">
        <f>VLOOKUP(BD.PD5[[#This Row],[Pos]],PPto[],3,FALSE)</f>
        <v>6.02 Antenas detección de robo</v>
      </c>
      <c r="D44" s="241" t="s">
        <v>306</v>
      </c>
      <c r="E44" s="242">
        <f>IF(BD.PD5[[#This Row],[.]]="*",VLOOKUP(BD.PD5[[#This Row],[Pos]],[15]Presupuesto!A:H,7,FALSE),"")</f>
        <v>0</v>
      </c>
      <c r="F44" s="243"/>
      <c r="G44" s="243"/>
      <c r="H44" s="243"/>
      <c r="I44" s="244"/>
      <c r="J44" s="241" t="s">
        <v>188</v>
      </c>
      <c r="K44" s="245">
        <f>IF(BD.PD5[[#This Row],[Mon]]="DOP",1,HLOOKUP(BD.PD5[[#This Row],[Mon]],$J$1:$K$2,2,FALSE))</f>
        <v>64</v>
      </c>
      <c r="L44" s="246">
        <v>0</v>
      </c>
      <c r="M44" s="247">
        <f>BD.PD5[[#This Row],[Cant.]]*BD.PD5[[#This Row],[ Tasa ]]*BD.PD5[[#This Row],[ Precio Und.]]</f>
        <v>0</v>
      </c>
      <c r="N44" s="248"/>
      <c r="O44" s="247">
        <f>IF(BD.PD5[[#This Row],[Liquid. '[%']]]&lt;&gt;0,(BD.PD5[[#This Row],[Valor Neto '[DOP']]]*BD.PD5[[#This Row],[Liquid. '[%']]])+BD.PD5[[#This Row],[Valor Neto '[DOP']]],BD.PD5[[#This Row],[Valor Neto '[DOP']]])</f>
        <v>0</v>
      </c>
      <c r="P44" s="249">
        <f>BD.PD5[[#This Row],[Ppto. Orden Interna '[DOP']]]/HLOOKUP("USD",$J$1:$K$2,2,FALSE)</f>
        <v>0</v>
      </c>
      <c r="Q44" s="340"/>
      <c r="R44" s="250"/>
      <c r="S44" s="250"/>
      <c r="T44" s="250"/>
      <c r="U44" s="250"/>
      <c r="V44" s="243"/>
      <c r="W44" s="251"/>
      <c r="X44" s="252"/>
      <c r="Y44" s="253">
        <f>BD.PD5[[#This Row],[Av.P1 '[%']]]*BD.PD5[[#This Row],[Ppto. Orden Interna '[DOP']]]</f>
        <v>0</v>
      </c>
      <c r="Z44" s="254"/>
      <c r="AA44" s="255"/>
      <c r="AB44" s="253">
        <f>BD.PD5[[#This Row],[Av.P2 '[%']]]*BD.PD5[[#This Row],[Ppto. Orden Interna '[DOP']]]</f>
        <v>0</v>
      </c>
      <c r="AC44" s="254"/>
      <c r="AD44" s="255"/>
      <c r="AE44" s="253">
        <f>BD.PD5[[#This Row],[Av.P3 '[%']]]*BD.PD5[[#This Row],[Ppto. Orden Interna '[DOP']]]</f>
        <v>0</v>
      </c>
      <c r="AF44" s="254"/>
      <c r="AG44" s="255"/>
      <c r="AH44" s="253">
        <f>BD.PD5[[#This Row],[Av.P4 '[%']]]*BD.PD5[[#This Row],[Ppto. Orden Interna '[DOP']]]</f>
        <v>0</v>
      </c>
      <c r="AI44" s="254"/>
      <c r="AJ44" s="255"/>
      <c r="AK44" s="253">
        <f>BD.PD5[[#This Row],[Av.P5 '[%']]]*BD.PD5[[#This Row],[Ppto. Orden Interna '[DOP']]]</f>
        <v>0</v>
      </c>
      <c r="AL44" s="256">
        <f>BD.PD5[[#This Row],[Pago 5]]+BD.PD5[[#This Row],[Pago 4]]+BD.PD5[[#This Row],[Pago 3]]+BD.PD5[[#This Row],[Pago 2]]+BD.PD5[[#This Row],[Pago 1]]</f>
        <v>0</v>
      </c>
      <c r="AM44" s="318"/>
      <c r="AN44" s="318"/>
      <c r="AO44" s="318"/>
      <c r="AP44" s="318"/>
      <c r="AQ44" s="318"/>
      <c r="AR44" s="318"/>
      <c r="AS44" s="318"/>
      <c r="AT44" s="318"/>
      <c r="AU44" s="318"/>
      <c r="AV44" s="318"/>
      <c r="AW44" s="318"/>
      <c r="AX44" s="318"/>
      <c r="AY44" s="318"/>
      <c r="AZ44" s="318"/>
      <c r="BA44" s="318"/>
      <c r="BB44" s="318"/>
      <c r="BC44" s="318"/>
      <c r="BD44" s="318"/>
      <c r="BE44" s="318"/>
      <c r="BF44" s="318"/>
      <c r="BG44" s="318"/>
      <c r="BH44" s="318"/>
      <c r="BI44" s="318"/>
      <c r="BJ44" s="318"/>
      <c r="BK44" s="318"/>
      <c r="BL44" s="318"/>
      <c r="BM44" s="318"/>
      <c r="BN44" s="318"/>
      <c r="BO44" s="318"/>
      <c r="BP44" s="318"/>
      <c r="BQ44" s="318"/>
      <c r="BR44" s="318"/>
      <c r="BS44" s="318"/>
      <c r="BT44" s="318"/>
      <c r="BU44" s="318"/>
      <c r="BV44" s="318"/>
      <c r="BW44" s="318"/>
      <c r="BX44" s="318"/>
      <c r="BY44" s="318"/>
      <c r="BZ44" s="318"/>
      <c r="CA44" s="318"/>
      <c r="CB44" s="318"/>
      <c r="CC44" s="318"/>
      <c r="CD44" s="318"/>
      <c r="CE44" s="318"/>
      <c r="CF44" s="318"/>
      <c r="CG44" s="318"/>
      <c r="CH44" s="318"/>
      <c r="CI44" s="318"/>
      <c r="CJ44" s="318"/>
      <c r="CK44" s="318"/>
      <c r="CL44" s="318"/>
      <c r="CM44" s="318"/>
      <c r="CN44" s="318"/>
      <c r="CO44" s="318"/>
      <c r="CP44" s="318"/>
      <c r="CQ44" s="318"/>
      <c r="CR44" s="318"/>
      <c r="CS44" s="318"/>
      <c r="CT44" s="318"/>
      <c r="CU44" s="318"/>
      <c r="CV44" s="318"/>
      <c r="CW44" s="318"/>
      <c r="CX44" s="318"/>
      <c r="CY44" s="318"/>
      <c r="CZ44" s="318"/>
      <c r="DA44" s="318"/>
      <c r="DB44" s="318"/>
      <c r="DC44" s="318"/>
      <c r="DD44" s="318"/>
      <c r="DE44" s="318"/>
      <c r="DF44" s="318"/>
      <c r="DG44" s="318"/>
      <c r="DH44" s="318"/>
      <c r="DI44" s="318"/>
      <c r="DJ44" s="318"/>
      <c r="DK44" s="318"/>
      <c r="DL44" s="318"/>
      <c r="DM44" s="318"/>
      <c r="DN44" s="318"/>
      <c r="DO44" s="318"/>
      <c r="DP44" s="318"/>
      <c r="DQ44" s="318"/>
      <c r="DR44" s="318"/>
      <c r="DS44" s="318"/>
      <c r="DT44" s="318"/>
      <c r="DU44" s="318"/>
      <c r="DV44" s="318"/>
      <c r="DW44" s="318"/>
      <c r="DX44" s="318"/>
      <c r="DY44" s="318"/>
      <c r="DZ44" s="318"/>
      <c r="EA44" s="318"/>
      <c r="EB44" s="318"/>
      <c r="EC44" s="318"/>
      <c r="ED44" s="318"/>
      <c r="EE44" s="318"/>
      <c r="EF44" s="318"/>
      <c r="EG44" s="318"/>
      <c r="EH44" s="318"/>
      <c r="EI44" s="318"/>
      <c r="EJ44" s="318"/>
      <c r="EK44" s="318"/>
      <c r="EL44" s="318"/>
      <c r="EM44" s="318"/>
      <c r="EN44" s="318"/>
      <c r="EO44" s="318"/>
      <c r="EP44" s="318"/>
      <c r="EQ44" s="318"/>
      <c r="ER44" s="318"/>
      <c r="ES44" s="318"/>
      <c r="ET44" s="318"/>
      <c r="EU44" s="318"/>
      <c r="EV44" s="318"/>
      <c r="EW44" s="318"/>
      <c r="EX44" s="318"/>
      <c r="EY44" s="318"/>
      <c r="EZ44" s="318"/>
      <c r="FA44" s="318"/>
      <c r="FB44" s="318"/>
      <c r="FC44" s="318"/>
      <c r="FD44" s="318"/>
      <c r="FE44" s="318"/>
      <c r="FF44" s="318"/>
      <c r="FG44" s="318"/>
      <c r="FH44" s="318"/>
      <c r="FI44" s="318"/>
      <c r="FJ44" s="318"/>
      <c r="FK44" s="318"/>
      <c r="FL44" s="318"/>
      <c r="FM44" s="318"/>
      <c r="FN44" s="318"/>
      <c r="FO44" s="318"/>
      <c r="FP44" s="318"/>
      <c r="FQ44" s="318"/>
      <c r="FR44" s="318"/>
      <c r="FS44" s="318"/>
      <c r="FT44" s="318"/>
      <c r="FU44" s="318"/>
      <c r="FV44" s="318"/>
      <c r="FW44" s="318"/>
      <c r="FX44" s="318"/>
      <c r="FY44" s="318"/>
      <c r="FZ44" s="318"/>
      <c r="GA44" s="318"/>
      <c r="GB44" s="318"/>
      <c r="GC44" s="318"/>
      <c r="GD44" s="318"/>
      <c r="GE44" s="318"/>
      <c r="GF44" s="318"/>
      <c r="GG44" s="318"/>
      <c r="GH44" s="318"/>
      <c r="GI44" s="318"/>
      <c r="GJ44" s="318"/>
      <c r="GK44" s="318"/>
      <c r="GL44" s="318"/>
      <c r="GM44" s="318"/>
      <c r="GN44" s="318"/>
      <c r="GO44" s="318"/>
      <c r="GP44" s="318"/>
      <c r="GQ44" s="318"/>
      <c r="GR44" s="318"/>
      <c r="GS44" s="318"/>
      <c r="GT44" s="318"/>
      <c r="GU44" s="318"/>
      <c r="GV44" s="318"/>
      <c r="GW44" s="318"/>
      <c r="GX44" s="318"/>
      <c r="GY44" s="318"/>
      <c r="GZ44" s="318"/>
      <c r="HA44" s="318"/>
      <c r="HB44" s="318"/>
      <c r="HC44" s="318"/>
      <c r="HD44" s="318"/>
      <c r="HE44" s="318"/>
      <c r="HF44" s="318"/>
      <c r="HG44" s="318"/>
      <c r="HH44" s="318"/>
      <c r="HI44" s="318"/>
      <c r="HJ44" s="318"/>
      <c r="HK44" s="318"/>
      <c r="HL44" s="318"/>
      <c r="HM44" s="318"/>
      <c r="HN44" s="318"/>
      <c r="HO44" s="318"/>
      <c r="HP44" s="318"/>
      <c r="HQ44" s="318"/>
      <c r="HR44" s="318"/>
      <c r="HS44" s="318"/>
      <c r="HT44" s="318"/>
      <c r="HU44" s="318"/>
      <c r="HV44" s="318"/>
      <c r="HW44" s="318"/>
      <c r="HX44" s="318"/>
      <c r="HY44" s="318"/>
      <c r="HZ44" s="318"/>
      <c r="IA44" s="318"/>
      <c r="IB44" s="318"/>
      <c r="IC44" s="318"/>
      <c r="ID44" s="318"/>
      <c r="IE44" s="318"/>
      <c r="IF44" s="318"/>
      <c r="IG44" s="318"/>
    </row>
    <row r="45" spans="1:241" s="260" customFormat="1" ht="15" hidden="1" customHeight="1" x14ac:dyDescent="0.3">
      <c r="A45" s="181">
        <v>6.03</v>
      </c>
      <c r="B45" s="239" t="s">
        <v>306</v>
      </c>
      <c r="C45" s="240" t="str">
        <f>VLOOKUP(BD.PD5[[#This Row],[Pos]],PPto[],3,FALSE)</f>
        <v>6.03 Puntos de Venta</v>
      </c>
      <c r="D45" s="241" t="s">
        <v>306</v>
      </c>
      <c r="E45" s="242">
        <f>IF(BD.PD5[[#This Row],[.]]="*",VLOOKUP(BD.PD5[[#This Row],[Pos]],[15]Presupuesto!A:H,7,FALSE),"")</f>
        <v>0</v>
      </c>
      <c r="F45" s="243"/>
      <c r="G45" s="362"/>
      <c r="H45" s="243"/>
      <c r="I45" s="244"/>
      <c r="J45" s="241" t="s">
        <v>188</v>
      </c>
      <c r="K45" s="245">
        <f>IF(BD.PD5[[#This Row],[Mon]]="DOP",1,HLOOKUP(BD.PD5[[#This Row],[Mon]],$J$1:$K$2,2,FALSE))</f>
        <v>64</v>
      </c>
      <c r="L45" s="246">
        <v>0</v>
      </c>
      <c r="M45" s="247">
        <f>BD.PD5[[#This Row],[Cant.]]*BD.PD5[[#This Row],[ Tasa ]]*BD.PD5[[#This Row],[ Precio Und.]]</f>
        <v>0</v>
      </c>
      <c r="N45" s="248"/>
      <c r="O45" s="247">
        <f>IF(BD.PD5[[#This Row],[Liquid. '[%']]]&lt;&gt;0,(BD.PD5[[#This Row],[Valor Neto '[DOP']]]*BD.PD5[[#This Row],[Liquid. '[%']]])+BD.PD5[[#This Row],[Valor Neto '[DOP']]],BD.PD5[[#This Row],[Valor Neto '[DOP']]])</f>
        <v>0</v>
      </c>
      <c r="P45" s="249">
        <f>BD.PD5[[#This Row],[Ppto. Orden Interna '[DOP']]]/HLOOKUP("USD",$J$1:$K$2,2,FALSE)</f>
        <v>0</v>
      </c>
      <c r="Q45" s="340"/>
      <c r="R45" s="250"/>
      <c r="S45" s="250"/>
      <c r="T45" s="250"/>
      <c r="U45" s="250"/>
      <c r="V45" s="243"/>
      <c r="W45" s="251"/>
      <c r="X45" s="252"/>
      <c r="Y45" s="253">
        <f>BD.PD5[[#This Row],[Av.P1 '[%']]]*BD.PD5[[#This Row],[Ppto. Orden Interna '[DOP']]]</f>
        <v>0</v>
      </c>
      <c r="Z45" s="254"/>
      <c r="AA45" s="255"/>
      <c r="AB45" s="253">
        <f>BD.PD5[[#This Row],[Av.P2 '[%']]]*BD.PD5[[#This Row],[Ppto. Orden Interna '[DOP']]]</f>
        <v>0</v>
      </c>
      <c r="AC45" s="254"/>
      <c r="AD45" s="255"/>
      <c r="AE45" s="253">
        <f>BD.PD5[[#This Row],[Av.P3 '[%']]]*BD.PD5[[#This Row],[Ppto. Orden Interna '[DOP']]]</f>
        <v>0</v>
      </c>
      <c r="AF45" s="254"/>
      <c r="AG45" s="255"/>
      <c r="AH45" s="253">
        <f>BD.PD5[[#This Row],[Av.P4 '[%']]]*BD.PD5[[#This Row],[Ppto. Orden Interna '[DOP']]]</f>
        <v>0</v>
      </c>
      <c r="AI45" s="254"/>
      <c r="AJ45" s="255"/>
      <c r="AK45" s="253">
        <f>BD.PD5[[#This Row],[Av.P5 '[%']]]*BD.PD5[[#This Row],[Ppto. Orden Interna '[DOP']]]</f>
        <v>0</v>
      </c>
      <c r="AL45" s="256">
        <f>BD.PD5[[#This Row],[Pago 5]]+BD.PD5[[#This Row],[Pago 4]]+BD.PD5[[#This Row],[Pago 3]]+BD.PD5[[#This Row],[Pago 2]]+BD.PD5[[#This Row],[Pago 1]]</f>
        <v>0</v>
      </c>
      <c r="AM45" s="318"/>
      <c r="AN45" s="318"/>
      <c r="AO45" s="318"/>
      <c r="AP45" s="318"/>
      <c r="AQ45" s="318"/>
      <c r="AR45" s="318"/>
      <c r="AS45" s="318"/>
      <c r="AT45" s="318"/>
      <c r="AU45" s="318"/>
      <c r="AV45" s="318"/>
      <c r="AW45" s="318"/>
      <c r="AX45" s="318"/>
      <c r="AY45" s="318"/>
      <c r="AZ45" s="318"/>
      <c r="BA45" s="318"/>
      <c r="BB45" s="318"/>
      <c r="BC45" s="318"/>
      <c r="BD45" s="318"/>
      <c r="BE45" s="318"/>
      <c r="BF45" s="318"/>
      <c r="BG45" s="318"/>
      <c r="BH45" s="318"/>
      <c r="BI45" s="318"/>
      <c r="BJ45" s="318"/>
      <c r="BK45" s="318"/>
      <c r="BL45" s="318"/>
      <c r="BM45" s="318"/>
      <c r="BN45" s="318"/>
      <c r="BO45" s="318"/>
      <c r="BP45" s="318"/>
      <c r="BQ45" s="318"/>
      <c r="BR45" s="318"/>
      <c r="BS45" s="318"/>
      <c r="BT45" s="318"/>
      <c r="BU45" s="318"/>
      <c r="BV45" s="318"/>
      <c r="BW45" s="318"/>
      <c r="BX45" s="318"/>
      <c r="BY45" s="318"/>
      <c r="BZ45" s="318"/>
      <c r="CA45" s="318"/>
      <c r="CB45" s="318"/>
      <c r="CC45" s="318"/>
      <c r="CD45" s="318"/>
      <c r="CE45" s="318"/>
      <c r="CF45" s="318"/>
      <c r="CG45" s="318"/>
      <c r="CH45" s="318"/>
      <c r="CI45" s="318"/>
      <c r="CJ45" s="318"/>
      <c r="CK45" s="318"/>
      <c r="CL45" s="318"/>
      <c r="CM45" s="318"/>
      <c r="CN45" s="318"/>
      <c r="CO45" s="318"/>
      <c r="CP45" s="318"/>
      <c r="CQ45" s="318"/>
      <c r="CR45" s="318"/>
      <c r="CS45" s="318"/>
      <c r="CT45" s="318"/>
      <c r="CU45" s="318"/>
      <c r="CV45" s="318"/>
      <c r="CW45" s="318"/>
      <c r="CX45" s="318"/>
      <c r="CY45" s="318"/>
      <c r="CZ45" s="318"/>
      <c r="DA45" s="318"/>
      <c r="DB45" s="318"/>
      <c r="DC45" s="318"/>
      <c r="DD45" s="318"/>
      <c r="DE45" s="318"/>
      <c r="DF45" s="318"/>
      <c r="DG45" s="318"/>
      <c r="DH45" s="318"/>
      <c r="DI45" s="318"/>
      <c r="DJ45" s="318"/>
      <c r="DK45" s="318"/>
      <c r="DL45" s="318"/>
      <c r="DM45" s="318"/>
      <c r="DN45" s="318"/>
      <c r="DO45" s="318"/>
      <c r="DP45" s="318"/>
      <c r="DQ45" s="318"/>
      <c r="DR45" s="318"/>
      <c r="DS45" s="318"/>
      <c r="DT45" s="318"/>
      <c r="DU45" s="318"/>
      <c r="DV45" s="318"/>
      <c r="DW45" s="318"/>
      <c r="DX45" s="318"/>
      <c r="DY45" s="318"/>
      <c r="DZ45" s="318"/>
      <c r="EA45" s="318"/>
      <c r="EB45" s="318"/>
      <c r="EC45" s="318"/>
      <c r="ED45" s="318"/>
      <c r="EE45" s="318"/>
      <c r="EF45" s="318"/>
      <c r="EG45" s="318"/>
      <c r="EH45" s="318"/>
      <c r="EI45" s="318"/>
      <c r="EJ45" s="318"/>
      <c r="EK45" s="318"/>
      <c r="EL45" s="318"/>
      <c r="EM45" s="318"/>
      <c r="EN45" s="318"/>
      <c r="EO45" s="318"/>
      <c r="EP45" s="318"/>
      <c r="EQ45" s="318"/>
      <c r="ER45" s="318"/>
      <c r="ES45" s="318"/>
      <c r="ET45" s="318"/>
      <c r="EU45" s="318"/>
      <c r="EV45" s="318"/>
      <c r="EW45" s="318"/>
      <c r="EX45" s="318"/>
      <c r="EY45" s="318"/>
      <c r="EZ45" s="318"/>
      <c r="FA45" s="318"/>
      <c r="FB45" s="318"/>
      <c r="FC45" s="318"/>
      <c r="FD45" s="318"/>
      <c r="FE45" s="318"/>
      <c r="FF45" s="318"/>
      <c r="FG45" s="318"/>
      <c r="FH45" s="318"/>
      <c r="FI45" s="318"/>
      <c r="FJ45" s="318"/>
      <c r="FK45" s="318"/>
      <c r="FL45" s="318"/>
      <c r="FM45" s="318"/>
      <c r="FN45" s="318"/>
      <c r="FO45" s="318"/>
      <c r="FP45" s="318"/>
      <c r="FQ45" s="318"/>
      <c r="FR45" s="318"/>
      <c r="FS45" s="318"/>
      <c r="FT45" s="318"/>
      <c r="FU45" s="318"/>
      <c r="FV45" s="318"/>
      <c r="FW45" s="318"/>
      <c r="FX45" s="318"/>
      <c r="FY45" s="318"/>
      <c r="FZ45" s="318"/>
      <c r="GA45" s="318"/>
      <c r="GB45" s="318"/>
      <c r="GC45" s="318"/>
      <c r="GD45" s="318"/>
      <c r="GE45" s="318"/>
      <c r="GF45" s="318"/>
      <c r="GG45" s="318"/>
      <c r="GH45" s="318"/>
      <c r="GI45" s="318"/>
      <c r="GJ45" s="318"/>
      <c r="GK45" s="318"/>
      <c r="GL45" s="318"/>
      <c r="GM45" s="318"/>
      <c r="GN45" s="318"/>
      <c r="GO45" s="318"/>
      <c r="GP45" s="318"/>
      <c r="GQ45" s="318"/>
      <c r="GR45" s="318"/>
      <c r="GS45" s="318"/>
      <c r="GT45" s="318"/>
      <c r="GU45" s="318"/>
      <c r="GV45" s="318"/>
      <c r="GW45" s="318"/>
      <c r="GX45" s="318"/>
      <c r="GY45" s="318"/>
      <c r="GZ45" s="318"/>
      <c r="HA45" s="318"/>
      <c r="HB45" s="318"/>
      <c r="HC45" s="318"/>
      <c r="HD45" s="318"/>
      <c r="HE45" s="318"/>
      <c r="HF45" s="318"/>
      <c r="HG45" s="318"/>
      <c r="HH45" s="318"/>
      <c r="HI45" s="318"/>
      <c r="HJ45" s="318"/>
      <c r="HK45" s="318"/>
      <c r="HL45" s="318"/>
      <c r="HM45" s="318"/>
      <c r="HN45" s="318"/>
      <c r="HO45" s="318"/>
      <c r="HP45" s="318"/>
      <c r="HQ45" s="318"/>
      <c r="HR45" s="318"/>
      <c r="HS45" s="318"/>
      <c r="HT45" s="318"/>
      <c r="HU45" s="318"/>
      <c r="HV45" s="318"/>
      <c r="HW45" s="318"/>
      <c r="HX45" s="318"/>
      <c r="HY45" s="318"/>
      <c r="HZ45" s="318"/>
      <c r="IA45" s="318"/>
      <c r="IB45" s="318"/>
      <c r="IC45" s="318"/>
      <c r="ID45" s="318"/>
      <c r="IE45" s="318"/>
      <c r="IF45" s="318"/>
      <c r="IG45" s="318"/>
    </row>
    <row r="46" spans="1:241" s="260" customFormat="1" ht="15" hidden="1" customHeight="1" x14ac:dyDescent="0.3">
      <c r="A46" s="181">
        <v>6.04</v>
      </c>
      <c r="B46" s="239" t="s">
        <v>306</v>
      </c>
      <c r="C46" s="240" t="str">
        <f>VLOOKUP(BD.PD5[[#This Row],[Pos]],PPto[],3,FALSE)</f>
        <v>6.04 Instalación de data y voz / Antenas de techo</v>
      </c>
      <c r="D46" s="241" t="s">
        <v>306</v>
      </c>
      <c r="E46" s="242">
        <f>IF(BD.PD5[[#This Row],[.]]="*",VLOOKUP(BD.PD5[[#This Row],[Pos]],[15]Presupuesto!A:H,7,FALSE),"")</f>
        <v>0</v>
      </c>
      <c r="F46" s="243"/>
      <c r="G46" s="362"/>
      <c r="H46" s="243"/>
      <c r="I46" s="244"/>
      <c r="J46" s="241" t="s">
        <v>188</v>
      </c>
      <c r="K46" s="245">
        <f>IF(BD.PD5[[#This Row],[Mon]]="DOP",1,HLOOKUP(BD.PD5[[#This Row],[Mon]],$J$1:$K$2,2,FALSE))</f>
        <v>64</v>
      </c>
      <c r="L46" s="246">
        <v>0</v>
      </c>
      <c r="M46" s="247">
        <f>BD.PD5[[#This Row],[Cant.]]*BD.PD5[[#This Row],[ Tasa ]]*BD.PD5[[#This Row],[ Precio Und.]]</f>
        <v>0</v>
      </c>
      <c r="N46" s="248"/>
      <c r="O46" s="247">
        <f>IF(BD.PD5[[#This Row],[Liquid. '[%']]]&lt;&gt;0,(BD.PD5[[#This Row],[Valor Neto '[DOP']]]*BD.PD5[[#This Row],[Liquid. '[%']]])+BD.PD5[[#This Row],[Valor Neto '[DOP']]],BD.PD5[[#This Row],[Valor Neto '[DOP']]])</f>
        <v>0</v>
      </c>
      <c r="P46" s="249">
        <f>BD.PD5[[#This Row],[Ppto. Orden Interna '[DOP']]]/HLOOKUP("USD",$J$1:$K$2,2,FALSE)</f>
        <v>0</v>
      </c>
      <c r="Q46" s="340"/>
      <c r="R46" s="250"/>
      <c r="S46" s="250"/>
      <c r="T46" s="250"/>
      <c r="U46" s="250"/>
      <c r="V46" s="258"/>
      <c r="W46" s="251"/>
      <c r="X46" s="252"/>
      <c r="Y46" s="259">
        <f>BD.PD5[[#This Row],[Av.P1 '[%']]]*BD.PD5[[#This Row],[Ppto. Orden Interna '[DOP']]]</f>
        <v>0</v>
      </c>
      <c r="Z46" s="254"/>
      <c r="AA46" s="255"/>
      <c r="AB46" s="259">
        <f>BD.PD5[[#This Row],[Av.P2 '[%']]]*BD.PD5[[#This Row],[Ppto. Orden Interna '[DOP']]]</f>
        <v>0</v>
      </c>
      <c r="AC46" s="254"/>
      <c r="AD46" s="255"/>
      <c r="AE46" s="259">
        <f>BD.PD5[[#This Row],[Av.P3 '[%']]]*BD.PD5[[#This Row],[Ppto. Orden Interna '[DOP']]]</f>
        <v>0</v>
      </c>
      <c r="AF46" s="254"/>
      <c r="AG46" s="255"/>
      <c r="AH46" s="259">
        <f>BD.PD5[[#This Row],[Av.P4 '[%']]]*BD.PD5[[#This Row],[Ppto. Orden Interna '[DOP']]]</f>
        <v>0</v>
      </c>
      <c r="AI46" s="254"/>
      <c r="AJ46" s="255"/>
      <c r="AK46" s="259">
        <f>BD.PD5[[#This Row],[Av.P5 '[%']]]*BD.PD5[[#This Row],[Ppto. Orden Interna '[DOP']]]</f>
        <v>0</v>
      </c>
      <c r="AL46" s="256">
        <f>BD.PD5[[#This Row],[Pago 5]]+BD.PD5[[#This Row],[Pago 4]]+BD.PD5[[#This Row],[Pago 3]]+BD.PD5[[#This Row],[Pago 2]]+BD.PD5[[#This Row],[Pago 1]]</f>
        <v>0</v>
      </c>
      <c r="AM46" s="318"/>
      <c r="AN46" s="318"/>
      <c r="AO46" s="318"/>
      <c r="AP46" s="318"/>
      <c r="AQ46" s="318"/>
      <c r="AR46" s="318"/>
      <c r="AS46" s="318"/>
      <c r="AT46" s="318"/>
      <c r="AU46" s="318"/>
      <c r="AV46" s="318"/>
      <c r="AW46" s="318"/>
      <c r="AX46" s="318"/>
      <c r="AY46" s="318"/>
      <c r="AZ46" s="318"/>
      <c r="BA46" s="318"/>
      <c r="BB46" s="318"/>
      <c r="BC46" s="318"/>
      <c r="BD46" s="318"/>
      <c r="BE46" s="318"/>
      <c r="BF46" s="318"/>
      <c r="BG46" s="318"/>
      <c r="BH46" s="318"/>
      <c r="BI46" s="318"/>
      <c r="BJ46" s="318"/>
      <c r="BK46" s="318"/>
      <c r="BL46" s="318"/>
      <c r="BM46" s="318"/>
      <c r="BN46" s="318"/>
      <c r="BO46" s="318"/>
      <c r="BP46" s="318"/>
      <c r="BQ46" s="318"/>
      <c r="BR46" s="318"/>
      <c r="BS46" s="318"/>
      <c r="BT46" s="318"/>
      <c r="BU46" s="318"/>
      <c r="BV46" s="318"/>
      <c r="BW46" s="318"/>
      <c r="BX46" s="318"/>
      <c r="BY46" s="318"/>
      <c r="BZ46" s="318"/>
      <c r="CA46" s="318"/>
      <c r="CB46" s="318"/>
      <c r="CC46" s="318"/>
      <c r="CD46" s="318"/>
      <c r="CE46" s="318"/>
      <c r="CF46" s="318"/>
      <c r="CG46" s="318"/>
      <c r="CH46" s="318"/>
      <c r="CI46" s="318"/>
      <c r="CJ46" s="318"/>
      <c r="CK46" s="318"/>
      <c r="CL46" s="318"/>
      <c r="CM46" s="318"/>
      <c r="CN46" s="318"/>
      <c r="CO46" s="318"/>
      <c r="CP46" s="318"/>
      <c r="CQ46" s="318"/>
      <c r="CR46" s="318"/>
      <c r="CS46" s="318"/>
      <c r="CT46" s="318"/>
      <c r="CU46" s="318"/>
      <c r="CV46" s="318"/>
      <c r="CW46" s="318"/>
      <c r="CX46" s="318"/>
      <c r="CY46" s="318"/>
      <c r="CZ46" s="318"/>
      <c r="DA46" s="318"/>
      <c r="DB46" s="318"/>
      <c r="DC46" s="318"/>
      <c r="DD46" s="318"/>
      <c r="DE46" s="318"/>
      <c r="DF46" s="318"/>
      <c r="DG46" s="318"/>
      <c r="DH46" s="318"/>
      <c r="DI46" s="318"/>
      <c r="DJ46" s="318"/>
      <c r="DK46" s="318"/>
      <c r="DL46" s="318"/>
      <c r="DM46" s="318"/>
      <c r="DN46" s="318"/>
      <c r="DO46" s="318"/>
      <c r="DP46" s="318"/>
      <c r="DQ46" s="318"/>
      <c r="DR46" s="318"/>
      <c r="DS46" s="318"/>
      <c r="DT46" s="318"/>
      <c r="DU46" s="318"/>
      <c r="DV46" s="318"/>
      <c r="DW46" s="318"/>
      <c r="DX46" s="318"/>
      <c r="DY46" s="318"/>
      <c r="DZ46" s="318"/>
      <c r="EA46" s="318"/>
      <c r="EB46" s="318"/>
      <c r="EC46" s="318"/>
      <c r="ED46" s="318"/>
      <c r="EE46" s="318"/>
      <c r="EF46" s="318"/>
      <c r="EG46" s="318"/>
      <c r="EH46" s="318"/>
      <c r="EI46" s="318"/>
      <c r="EJ46" s="318"/>
      <c r="EK46" s="318"/>
      <c r="EL46" s="318"/>
      <c r="EM46" s="318"/>
      <c r="EN46" s="318"/>
      <c r="EO46" s="318"/>
      <c r="EP46" s="318"/>
      <c r="EQ46" s="318"/>
      <c r="ER46" s="318"/>
      <c r="ES46" s="318"/>
      <c r="ET46" s="318"/>
      <c r="EU46" s="318"/>
      <c r="EV46" s="318"/>
      <c r="EW46" s="318"/>
      <c r="EX46" s="318"/>
      <c r="EY46" s="318"/>
      <c r="EZ46" s="318"/>
      <c r="FA46" s="318"/>
      <c r="FB46" s="318"/>
      <c r="FC46" s="318"/>
      <c r="FD46" s="318"/>
      <c r="FE46" s="318"/>
      <c r="FF46" s="318"/>
      <c r="FG46" s="318"/>
      <c r="FH46" s="318"/>
      <c r="FI46" s="318"/>
      <c r="FJ46" s="318"/>
      <c r="FK46" s="318"/>
      <c r="FL46" s="318"/>
      <c r="FM46" s="318"/>
      <c r="FN46" s="318"/>
      <c r="FO46" s="318"/>
      <c r="FP46" s="318"/>
      <c r="FQ46" s="318"/>
      <c r="FR46" s="318"/>
      <c r="FS46" s="318"/>
      <c r="FT46" s="318"/>
      <c r="FU46" s="318"/>
      <c r="FV46" s="318"/>
      <c r="FW46" s="318"/>
      <c r="FX46" s="318"/>
      <c r="FY46" s="318"/>
      <c r="FZ46" s="318"/>
      <c r="GA46" s="318"/>
      <c r="GB46" s="318"/>
      <c r="GC46" s="318"/>
      <c r="GD46" s="318"/>
      <c r="GE46" s="318"/>
      <c r="GF46" s="318"/>
      <c r="GG46" s="318"/>
      <c r="GH46" s="318"/>
      <c r="GI46" s="318"/>
      <c r="GJ46" s="318"/>
      <c r="GK46" s="318"/>
      <c r="GL46" s="318"/>
      <c r="GM46" s="318"/>
      <c r="GN46" s="318"/>
      <c r="GO46" s="318"/>
      <c r="GP46" s="318"/>
      <c r="GQ46" s="318"/>
      <c r="GR46" s="318"/>
      <c r="GS46" s="318"/>
      <c r="GT46" s="318"/>
      <c r="GU46" s="318"/>
      <c r="GV46" s="318"/>
      <c r="GW46" s="318"/>
      <c r="GX46" s="318"/>
      <c r="GY46" s="318"/>
      <c r="GZ46" s="318"/>
      <c r="HA46" s="318"/>
      <c r="HB46" s="318"/>
      <c r="HC46" s="318"/>
      <c r="HD46" s="318"/>
      <c r="HE46" s="318"/>
      <c r="HF46" s="318"/>
      <c r="HG46" s="318"/>
      <c r="HH46" s="318"/>
      <c r="HI46" s="318"/>
      <c r="HJ46" s="318"/>
      <c r="HK46" s="318"/>
      <c r="HL46" s="318"/>
      <c r="HM46" s="318"/>
      <c r="HN46" s="318"/>
      <c r="HO46" s="318"/>
      <c r="HP46" s="318"/>
      <c r="HQ46" s="318"/>
      <c r="HR46" s="318"/>
      <c r="HS46" s="318"/>
      <c r="HT46" s="318"/>
      <c r="HU46" s="318"/>
      <c r="HV46" s="318"/>
      <c r="HW46" s="318"/>
      <c r="HX46" s="318"/>
      <c r="HY46" s="318"/>
      <c r="HZ46" s="318"/>
      <c r="IA46" s="318"/>
      <c r="IB46" s="318"/>
      <c r="IC46" s="318"/>
      <c r="ID46" s="318"/>
      <c r="IE46" s="318"/>
      <c r="IF46" s="318"/>
      <c r="IG46" s="318"/>
    </row>
    <row r="47" spans="1:241" s="260" customFormat="1" ht="15" hidden="1" customHeight="1" x14ac:dyDescent="0.3">
      <c r="A47" s="181">
        <v>6.05</v>
      </c>
      <c r="B47" s="239" t="s">
        <v>306</v>
      </c>
      <c r="C47" s="240" t="str">
        <f>VLOOKUP(BD.PD5[[#This Row],[Pos]],PPto[],3,FALSE)</f>
        <v>6.05 Otros sum e inst Tecnología y Seguridad Y Tesoreria</v>
      </c>
      <c r="D47" s="241" t="s">
        <v>306</v>
      </c>
      <c r="E47" s="242">
        <f>IF(BD.PD5[[#This Row],[.]]="*",VLOOKUP(BD.PD5[[#This Row],[Pos]],[15]Presupuesto!A:H,7,FALSE),"")</f>
        <v>0</v>
      </c>
      <c r="F47" s="243"/>
      <c r="G47" s="243"/>
      <c r="H47" s="243"/>
      <c r="I47" s="244"/>
      <c r="J47" s="241" t="s">
        <v>188</v>
      </c>
      <c r="K47" s="245">
        <f>IF(BD.PD5[[#This Row],[Mon]]="DOP",1,HLOOKUP(BD.PD5[[#This Row],[Mon]],$J$1:$K$2,2,FALSE))</f>
        <v>64</v>
      </c>
      <c r="L47" s="246">
        <v>0</v>
      </c>
      <c r="M47" s="247">
        <f>BD.PD5[[#This Row],[Cant.]]*BD.PD5[[#This Row],[ Tasa ]]*BD.PD5[[#This Row],[ Precio Und.]]</f>
        <v>0</v>
      </c>
      <c r="N47" s="248"/>
      <c r="O47" s="247">
        <f>IF(BD.PD5[[#This Row],[Liquid. '[%']]]&lt;&gt;0,(BD.PD5[[#This Row],[Valor Neto '[DOP']]]*BD.PD5[[#This Row],[Liquid. '[%']]])+BD.PD5[[#This Row],[Valor Neto '[DOP']]],BD.PD5[[#This Row],[Valor Neto '[DOP']]])</f>
        <v>0</v>
      </c>
      <c r="P47" s="249">
        <f>BD.PD5[[#This Row],[Ppto. Orden Interna '[DOP']]]/HLOOKUP("USD",$J$1:$K$2,2,FALSE)</f>
        <v>0</v>
      </c>
      <c r="Q47" s="340"/>
      <c r="R47" s="250"/>
      <c r="S47" s="250"/>
      <c r="T47" s="250"/>
      <c r="U47" s="250"/>
      <c r="V47" s="258"/>
      <c r="W47" s="251"/>
      <c r="X47" s="252"/>
      <c r="Y47" s="259">
        <f>BD.PD5[[#This Row],[Av.P1 '[%']]]*BD.PD5[[#This Row],[Ppto. Orden Interna '[DOP']]]</f>
        <v>0</v>
      </c>
      <c r="Z47" s="254"/>
      <c r="AA47" s="255"/>
      <c r="AB47" s="259">
        <f>BD.PD5[[#This Row],[Av.P2 '[%']]]*BD.PD5[[#This Row],[Ppto. Orden Interna '[DOP']]]</f>
        <v>0</v>
      </c>
      <c r="AC47" s="254"/>
      <c r="AD47" s="255"/>
      <c r="AE47" s="259">
        <f>BD.PD5[[#This Row],[Av.P3 '[%']]]*BD.PD5[[#This Row],[Ppto. Orden Interna '[DOP']]]</f>
        <v>0</v>
      </c>
      <c r="AF47" s="254"/>
      <c r="AG47" s="255"/>
      <c r="AH47" s="259">
        <f>BD.PD5[[#This Row],[Av.P4 '[%']]]*BD.PD5[[#This Row],[Ppto. Orden Interna '[DOP']]]</f>
        <v>0</v>
      </c>
      <c r="AI47" s="254"/>
      <c r="AJ47" s="255"/>
      <c r="AK47" s="259">
        <f>BD.PD5[[#This Row],[Av.P5 '[%']]]*BD.PD5[[#This Row],[Ppto. Orden Interna '[DOP']]]</f>
        <v>0</v>
      </c>
      <c r="AL47" s="256">
        <f>BD.PD5[[#This Row],[Pago 5]]+BD.PD5[[#This Row],[Pago 4]]+BD.PD5[[#This Row],[Pago 3]]+BD.PD5[[#This Row],[Pago 2]]+BD.PD5[[#This Row],[Pago 1]]</f>
        <v>0</v>
      </c>
      <c r="AM47" s="318"/>
      <c r="AN47" s="318"/>
      <c r="AO47" s="318"/>
      <c r="AP47" s="318"/>
      <c r="AQ47" s="318"/>
      <c r="AR47" s="318"/>
      <c r="AS47" s="318"/>
      <c r="AT47" s="318"/>
      <c r="AU47" s="318"/>
      <c r="AV47" s="318"/>
      <c r="AW47" s="318"/>
      <c r="AX47" s="318"/>
      <c r="AY47" s="318"/>
      <c r="AZ47" s="318"/>
      <c r="BA47" s="318"/>
      <c r="BB47" s="318"/>
      <c r="BC47" s="318"/>
      <c r="BD47" s="318"/>
      <c r="BE47" s="318"/>
      <c r="BF47" s="318"/>
      <c r="BG47" s="318"/>
      <c r="BH47" s="318"/>
      <c r="BI47" s="318"/>
      <c r="BJ47" s="318"/>
      <c r="BK47" s="318"/>
      <c r="BL47" s="318"/>
      <c r="BM47" s="318"/>
      <c r="BN47" s="318"/>
      <c r="BO47" s="318"/>
      <c r="BP47" s="318"/>
      <c r="BQ47" s="318"/>
      <c r="BR47" s="318"/>
      <c r="BS47" s="318"/>
      <c r="BT47" s="318"/>
      <c r="BU47" s="318"/>
      <c r="BV47" s="318"/>
      <c r="BW47" s="318"/>
      <c r="BX47" s="318"/>
      <c r="BY47" s="318"/>
      <c r="BZ47" s="318"/>
      <c r="CA47" s="318"/>
      <c r="CB47" s="318"/>
      <c r="CC47" s="318"/>
      <c r="CD47" s="318"/>
      <c r="CE47" s="318"/>
      <c r="CF47" s="318"/>
      <c r="CG47" s="318"/>
      <c r="CH47" s="318"/>
      <c r="CI47" s="318"/>
      <c r="CJ47" s="318"/>
      <c r="CK47" s="318"/>
      <c r="CL47" s="318"/>
      <c r="CM47" s="318"/>
      <c r="CN47" s="318"/>
      <c r="CO47" s="318"/>
      <c r="CP47" s="318"/>
      <c r="CQ47" s="318"/>
      <c r="CR47" s="318"/>
      <c r="CS47" s="318"/>
      <c r="CT47" s="318"/>
      <c r="CU47" s="318"/>
      <c r="CV47" s="318"/>
      <c r="CW47" s="318"/>
      <c r="CX47" s="318"/>
      <c r="CY47" s="318"/>
      <c r="CZ47" s="318"/>
      <c r="DA47" s="318"/>
      <c r="DB47" s="318"/>
      <c r="DC47" s="318"/>
      <c r="DD47" s="318"/>
      <c r="DE47" s="318"/>
      <c r="DF47" s="318"/>
      <c r="DG47" s="318"/>
      <c r="DH47" s="318"/>
      <c r="DI47" s="318"/>
      <c r="DJ47" s="318"/>
      <c r="DK47" s="318"/>
      <c r="DL47" s="318"/>
      <c r="DM47" s="318"/>
      <c r="DN47" s="318"/>
      <c r="DO47" s="318"/>
      <c r="DP47" s="318"/>
      <c r="DQ47" s="318"/>
      <c r="DR47" s="318"/>
      <c r="DS47" s="318"/>
      <c r="DT47" s="318"/>
      <c r="DU47" s="318"/>
      <c r="DV47" s="318"/>
      <c r="DW47" s="318"/>
      <c r="DX47" s="318"/>
      <c r="DY47" s="318"/>
      <c r="DZ47" s="318"/>
      <c r="EA47" s="318"/>
      <c r="EB47" s="318"/>
      <c r="EC47" s="318"/>
      <c r="ED47" s="318"/>
      <c r="EE47" s="318"/>
      <c r="EF47" s="318"/>
      <c r="EG47" s="318"/>
      <c r="EH47" s="318"/>
      <c r="EI47" s="318"/>
      <c r="EJ47" s="318"/>
      <c r="EK47" s="318"/>
      <c r="EL47" s="318"/>
      <c r="EM47" s="318"/>
      <c r="EN47" s="318"/>
      <c r="EO47" s="318"/>
      <c r="EP47" s="318"/>
      <c r="EQ47" s="318"/>
      <c r="ER47" s="318"/>
      <c r="ES47" s="318"/>
      <c r="ET47" s="318"/>
      <c r="EU47" s="318"/>
      <c r="EV47" s="318"/>
      <c r="EW47" s="318"/>
      <c r="EX47" s="318"/>
      <c r="EY47" s="318"/>
      <c r="EZ47" s="318"/>
      <c r="FA47" s="318"/>
      <c r="FB47" s="318"/>
      <c r="FC47" s="318"/>
      <c r="FD47" s="318"/>
      <c r="FE47" s="318"/>
      <c r="FF47" s="318"/>
      <c r="FG47" s="318"/>
      <c r="FH47" s="318"/>
      <c r="FI47" s="318"/>
      <c r="FJ47" s="318"/>
      <c r="FK47" s="318"/>
      <c r="FL47" s="318"/>
      <c r="FM47" s="318"/>
      <c r="FN47" s="318"/>
      <c r="FO47" s="318"/>
      <c r="FP47" s="318"/>
      <c r="FQ47" s="318"/>
      <c r="FR47" s="318"/>
      <c r="FS47" s="318"/>
      <c r="FT47" s="318"/>
      <c r="FU47" s="318"/>
      <c r="FV47" s="318"/>
      <c r="FW47" s="318"/>
      <c r="FX47" s="318"/>
      <c r="FY47" s="318"/>
      <c r="FZ47" s="318"/>
      <c r="GA47" s="318"/>
      <c r="GB47" s="318"/>
      <c r="GC47" s="318"/>
      <c r="GD47" s="318"/>
      <c r="GE47" s="318"/>
      <c r="GF47" s="318"/>
      <c r="GG47" s="318"/>
      <c r="GH47" s="318"/>
      <c r="GI47" s="318"/>
      <c r="GJ47" s="318"/>
      <c r="GK47" s="318"/>
      <c r="GL47" s="318"/>
      <c r="GM47" s="318"/>
      <c r="GN47" s="318"/>
      <c r="GO47" s="318"/>
      <c r="GP47" s="318"/>
      <c r="GQ47" s="318"/>
      <c r="GR47" s="318"/>
      <c r="GS47" s="318"/>
      <c r="GT47" s="318"/>
      <c r="GU47" s="318"/>
      <c r="GV47" s="318"/>
      <c r="GW47" s="318"/>
      <c r="GX47" s="318"/>
      <c r="GY47" s="318"/>
      <c r="GZ47" s="318"/>
      <c r="HA47" s="318"/>
      <c r="HB47" s="318"/>
      <c r="HC47" s="318"/>
      <c r="HD47" s="318"/>
      <c r="HE47" s="318"/>
      <c r="HF47" s="318"/>
      <c r="HG47" s="318"/>
      <c r="HH47" s="318"/>
      <c r="HI47" s="318"/>
      <c r="HJ47" s="318"/>
      <c r="HK47" s="318"/>
      <c r="HL47" s="318"/>
      <c r="HM47" s="318"/>
      <c r="HN47" s="318"/>
      <c r="HO47" s="318"/>
      <c r="HP47" s="318"/>
      <c r="HQ47" s="318"/>
      <c r="HR47" s="318"/>
      <c r="HS47" s="318"/>
      <c r="HT47" s="318"/>
      <c r="HU47" s="318"/>
      <c r="HV47" s="318"/>
      <c r="HW47" s="318"/>
      <c r="HX47" s="318"/>
      <c r="HY47" s="318"/>
      <c r="HZ47" s="318"/>
      <c r="IA47" s="318"/>
      <c r="IB47" s="318"/>
      <c r="IC47" s="318"/>
      <c r="ID47" s="318"/>
      <c r="IE47" s="318"/>
      <c r="IF47" s="318"/>
      <c r="IG47" s="318"/>
    </row>
    <row r="48" spans="1:241" s="260" customFormat="1" ht="15" customHeight="1" x14ac:dyDescent="0.3">
      <c r="A48" s="181">
        <v>6.05</v>
      </c>
      <c r="B48" s="239"/>
      <c r="C48" s="240" t="str">
        <f>VLOOKUP(BD.PD5[[#This Row],[Pos]],PPto[],3,FALSE)</f>
        <v>6.05 Otros sum e inst Tecnología y Seguridad Y Tesoreria</v>
      </c>
      <c r="D48" s="181" t="s">
        <v>40</v>
      </c>
      <c r="E48" s="242" t="str">
        <f>IF(BD.PD5[[#This Row],[.]]="*",VLOOKUP(BD.PD5[[#This Row],[Pos]],[15]Presupuesto!A:H,7,FALSE),"")</f>
        <v/>
      </c>
      <c r="F48" s="243" t="s">
        <v>721</v>
      </c>
      <c r="G48" s="243" t="s">
        <v>308</v>
      </c>
      <c r="H48" s="243"/>
      <c r="I48" s="345">
        <v>2</v>
      </c>
      <c r="J48" s="181" t="s">
        <v>188</v>
      </c>
      <c r="K48" s="245">
        <f>IF(BD.PD5[[#This Row],[Mon]]="DOP",1,HLOOKUP(BD.PD5[[#This Row],[Mon]],$J$1:$K$2,2,FALSE))</f>
        <v>64</v>
      </c>
      <c r="L48" s="277">
        <v>300</v>
      </c>
      <c r="M48" s="247">
        <f>BD.PD5[[#This Row],[Cant.]]*BD.PD5[[#This Row],[ Tasa ]]*BD.PD5[[#This Row],[ Precio Und.]]</f>
        <v>38400</v>
      </c>
      <c r="N48" s="278">
        <v>0</v>
      </c>
      <c r="O48" s="247">
        <f>IF(BD.PD5[[#This Row],[Liquid. '[%']]]&lt;&gt;0,(BD.PD5[[#This Row],[Valor Neto '[DOP']]]*BD.PD5[[#This Row],[Liquid. '[%']]])+BD.PD5[[#This Row],[Valor Neto '[DOP']]],BD.PD5[[#This Row],[Valor Neto '[DOP']]])</f>
        <v>38400</v>
      </c>
      <c r="P48" s="249">
        <f>BD.PD5[[#This Row],[Ppto. Orden Interna '[DOP']]]/HLOOKUP("USD",$J$1:$K$2,2,FALSE)</f>
        <v>600</v>
      </c>
      <c r="Q48" s="339" t="s">
        <v>715</v>
      </c>
      <c r="R48" s="250"/>
      <c r="S48" s="250"/>
      <c r="T48" s="250"/>
      <c r="U48" s="250"/>
      <c r="V48" s="258" t="s">
        <v>722</v>
      </c>
      <c r="W48" s="251">
        <v>1</v>
      </c>
      <c r="X48" s="252">
        <v>0.5</v>
      </c>
      <c r="Y48" s="259">
        <f>BD.PD5[[#This Row],[Av.P1 '[%']]]*BD.PD5[[#This Row],[Ppto. Orden Interna '[DOP']]]</f>
        <v>19200</v>
      </c>
      <c r="Z48" s="254">
        <v>3</v>
      </c>
      <c r="AA48" s="255">
        <v>0.5</v>
      </c>
      <c r="AB48" s="259">
        <f>BD.PD5[[#This Row],[Av.P2 '[%']]]*BD.PD5[[#This Row],[Ppto. Orden Interna '[DOP']]]</f>
        <v>19200</v>
      </c>
      <c r="AC48" s="254"/>
      <c r="AD48" s="255"/>
      <c r="AE48" s="259">
        <f>BD.PD5[[#This Row],[Av.P3 '[%']]]*BD.PD5[[#This Row],[Ppto. Orden Interna '[DOP']]]</f>
        <v>0</v>
      </c>
      <c r="AF48" s="254"/>
      <c r="AG48" s="255"/>
      <c r="AH48" s="259">
        <f>BD.PD5[[#This Row],[Av.P4 '[%']]]*BD.PD5[[#This Row],[Ppto. Orden Interna '[DOP']]]</f>
        <v>0</v>
      </c>
      <c r="AI48" s="254"/>
      <c r="AJ48" s="255"/>
      <c r="AK48" s="259">
        <f>BD.PD5[[#This Row],[Av.P5 '[%']]]*BD.PD5[[#This Row],[Ppto. Orden Interna '[DOP']]]</f>
        <v>0</v>
      </c>
      <c r="AL48" s="256">
        <f>BD.PD5[[#This Row],[Pago 5]]+BD.PD5[[#This Row],[Pago 4]]+BD.PD5[[#This Row],[Pago 3]]+BD.PD5[[#This Row],[Pago 2]]+BD.PD5[[#This Row],[Pago 1]]</f>
        <v>38400</v>
      </c>
      <c r="AM48" s="318"/>
      <c r="AN48" s="318"/>
      <c r="AO48" s="318"/>
      <c r="AP48" s="318"/>
      <c r="AQ48" s="318"/>
      <c r="AR48" s="318"/>
      <c r="AS48" s="318"/>
      <c r="AT48" s="318"/>
      <c r="AU48" s="318"/>
      <c r="AV48" s="318"/>
      <c r="AW48" s="318"/>
      <c r="AX48" s="318"/>
      <c r="AY48" s="318"/>
      <c r="AZ48" s="318"/>
      <c r="BA48" s="318"/>
      <c r="BB48" s="318"/>
      <c r="BC48" s="318"/>
      <c r="BD48" s="318"/>
      <c r="BE48" s="318"/>
      <c r="BF48" s="318"/>
      <c r="BG48" s="318"/>
      <c r="BH48" s="318"/>
      <c r="BI48" s="318"/>
      <c r="BJ48" s="318"/>
      <c r="BK48" s="318"/>
      <c r="BL48" s="318"/>
      <c r="BM48" s="318"/>
      <c r="BN48" s="318"/>
      <c r="BO48" s="318"/>
      <c r="BP48" s="318"/>
      <c r="BQ48" s="318"/>
      <c r="BR48" s="318"/>
      <c r="BS48" s="318"/>
      <c r="BT48" s="318"/>
      <c r="BU48" s="318"/>
      <c r="BV48" s="318"/>
      <c r="BW48" s="318"/>
      <c r="BX48" s="318"/>
      <c r="BY48" s="318"/>
      <c r="BZ48" s="318"/>
      <c r="CA48" s="318"/>
      <c r="CB48" s="318"/>
      <c r="CC48" s="318"/>
      <c r="CD48" s="318"/>
      <c r="CE48" s="318"/>
      <c r="CF48" s="318"/>
      <c r="CG48" s="318"/>
      <c r="CH48" s="318"/>
      <c r="CI48" s="318"/>
      <c r="CJ48" s="318"/>
      <c r="CK48" s="318"/>
      <c r="CL48" s="318"/>
      <c r="CM48" s="318"/>
      <c r="CN48" s="318"/>
      <c r="CO48" s="318"/>
      <c r="CP48" s="318"/>
      <c r="CQ48" s="318"/>
      <c r="CR48" s="318"/>
      <c r="CS48" s="318"/>
      <c r="CT48" s="318"/>
      <c r="CU48" s="318"/>
      <c r="CV48" s="318"/>
      <c r="CW48" s="318"/>
      <c r="CX48" s="318"/>
      <c r="CY48" s="318"/>
      <c r="CZ48" s="318"/>
      <c r="DA48" s="318"/>
      <c r="DB48" s="318"/>
      <c r="DC48" s="318"/>
      <c r="DD48" s="318"/>
      <c r="DE48" s="318"/>
      <c r="DF48" s="318"/>
      <c r="DG48" s="318"/>
      <c r="DH48" s="318"/>
      <c r="DI48" s="318"/>
      <c r="DJ48" s="318"/>
      <c r="DK48" s="318"/>
      <c r="DL48" s="318"/>
      <c r="DM48" s="318"/>
      <c r="DN48" s="318"/>
      <c r="DO48" s="318"/>
      <c r="DP48" s="318"/>
      <c r="DQ48" s="318"/>
      <c r="DR48" s="318"/>
      <c r="DS48" s="318"/>
      <c r="DT48" s="318"/>
      <c r="DU48" s="318"/>
      <c r="DV48" s="318"/>
      <c r="DW48" s="318"/>
      <c r="DX48" s="318"/>
      <c r="DY48" s="318"/>
      <c r="DZ48" s="318"/>
      <c r="EA48" s="318"/>
      <c r="EB48" s="318"/>
      <c r="EC48" s="318"/>
      <c r="ED48" s="318"/>
      <c r="EE48" s="318"/>
      <c r="EF48" s="318"/>
      <c r="EG48" s="318"/>
      <c r="EH48" s="318"/>
      <c r="EI48" s="318"/>
      <c r="EJ48" s="318"/>
      <c r="EK48" s="318"/>
      <c r="EL48" s="318"/>
      <c r="EM48" s="318"/>
      <c r="EN48" s="318"/>
      <c r="EO48" s="318"/>
      <c r="EP48" s="318"/>
      <c r="EQ48" s="318"/>
      <c r="ER48" s="318"/>
      <c r="ES48" s="318"/>
      <c r="ET48" s="318"/>
      <c r="EU48" s="318"/>
      <c r="EV48" s="318"/>
      <c r="EW48" s="318"/>
      <c r="EX48" s="318"/>
      <c r="EY48" s="318"/>
      <c r="EZ48" s="318"/>
      <c r="FA48" s="318"/>
      <c r="FB48" s="318"/>
      <c r="FC48" s="318"/>
      <c r="FD48" s="318"/>
      <c r="FE48" s="318"/>
      <c r="FF48" s="318"/>
      <c r="FG48" s="318"/>
      <c r="FH48" s="318"/>
      <c r="FI48" s="318"/>
      <c r="FJ48" s="318"/>
      <c r="FK48" s="318"/>
      <c r="FL48" s="318"/>
      <c r="FM48" s="318"/>
      <c r="FN48" s="318"/>
      <c r="FO48" s="318"/>
      <c r="FP48" s="318"/>
      <c r="FQ48" s="318"/>
      <c r="FR48" s="318"/>
      <c r="FS48" s="318"/>
      <c r="FT48" s="318"/>
      <c r="FU48" s="318"/>
      <c r="FV48" s="318"/>
      <c r="FW48" s="318"/>
      <c r="FX48" s="318"/>
      <c r="FY48" s="318"/>
      <c r="FZ48" s="318"/>
      <c r="GA48" s="318"/>
      <c r="GB48" s="318"/>
      <c r="GC48" s="318"/>
      <c r="GD48" s="318"/>
      <c r="GE48" s="318"/>
      <c r="GF48" s="318"/>
      <c r="GG48" s="318"/>
      <c r="GH48" s="318"/>
      <c r="GI48" s="318"/>
      <c r="GJ48" s="318"/>
      <c r="GK48" s="318"/>
      <c r="GL48" s="318"/>
      <c r="GM48" s="318"/>
      <c r="GN48" s="318"/>
      <c r="GO48" s="318"/>
      <c r="GP48" s="318"/>
      <c r="GQ48" s="318"/>
      <c r="GR48" s="318"/>
      <c r="GS48" s="318"/>
      <c r="GT48" s="318"/>
      <c r="GU48" s="318"/>
      <c r="GV48" s="318"/>
      <c r="GW48" s="318"/>
      <c r="GX48" s="318"/>
      <c r="GY48" s="318"/>
      <c r="GZ48" s="318"/>
      <c r="HA48" s="318"/>
      <c r="HB48" s="318"/>
      <c r="HC48" s="318"/>
      <c r="HD48" s="318"/>
      <c r="HE48" s="318"/>
      <c r="HF48" s="318"/>
      <c r="HG48" s="318"/>
      <c r="HH48" s="318"/>
      <c r="HI48" s="318"/>
      <c r="HJ48" s="318"/>
      <c r="HK48" s="318"/>
      <c r="HL48" s="318"/>
      <c r="HM48" s="318"/>
      <c r="HN48" s="318"/>
      <c r="HO48" s="318"/>
      <c r="HP48" s="318"/>
      <c r="HQ48" s="318"/>
      <c r="HR48" s="318"/>
      <c r="HS48" s="318"/>
      <c r="HT48" s="318"/>
      <c r="HU48" s="318"/>
      <c r="HV48" s="318"/>
      <c r="HW48" s="318"/>
      <c r="HX48" s="318"/>
      <c r="HY48" s="318"/>
      <c r="HZ48" s="318"/>
      <c r="IA48" s="318"/>
      <c r="IB48" s="318"/>
      <c r="IC48" s="318"/>
      <c r="ID48" s="318"/>
      <c r="IE48" s="318"/>
      <c r="IF48" s="318"/>
      <c r="IG48" s="318"/>
    </row>
    <row r="49" spans="1:241" s="260" customFormat="1" ht="15" hidden="1" customHeight="1" x14ac:dyDescent="0.3">
      <c r="A49" s="181">
        <v>7.01</v>
      </c>
      <c r="B49" s="239" t="s">
        <v>306</v>
      </c>
      <c r="C49" s="240" t="str">
        <f>VLOOKUP(BD.PD5[[#This Row],[Pos]],PPto[],3,FALSE)</f>
        <v xml:space="preserve">7.01 Equipamiento de Acero Inoxidable </v>
      </c>
      <c r="D49" s="241" t="s">
        <v>306</v>
      </c>
      <c r="E49" s="242">
        <f>IF(BD.PD5[[#This Row],[.]]="*",VLOOKUP(BD.PD5[[#This Row],[Pos]],[15]Presupuesto!A:H,7,FALSE),"")</f>
        <v>0</v>
      </c>
      <c r="F49" s="243"/>
      <c r="G49" s="243"/>
      <c r="H49" s="243"/>
      <c r="I49" s="363"/>
      <c r="J49" s="241" t="s">
        <v>188</v>
      </c>
      <c r="K49" s="245">
        <f>IF(BD.PD5[[#This Row],[Mon]]="DOP",1,HLOOKUP(BD.PD5[[#This Row],[Mon]],$J$1:$K$2,2,FALSE))</f>
        <v>64</v>
      </c>
      <c r="L49" s="246">
        <v>0</v>
      </c>
      <c r="M49" s="247">
        <f>BD.PD5[[#This Row],[Cant.]]*BD.PD5[[#This Row],[ Tasa ]]*BD.PD5[[#This Row],[ Precio Und.]]</f>
        <v>0</v>
      </c>
      <c r="N49" s="248"/>
      <c r="O49" s="247">
        <f>IF(BD.PD5[[#This Row],[Liquid. '[%']]]&lt;&gt;0,(BD.PD5[[#This Row],[Valor Neto '[DOP']]]*BD.PD5[[#This Row],[Liquid. '[%']]])+BD.PD5[[#This Row],[Valor Neto '[DOP']]],BD.PD5[[#This Row],[Valor Neto '[DOP']]])</f>
        <v>0</v>
      </c>
      <c r="P49" s="249">
        <f>BD.PD5[[#This Row],[Ppto. Orden Interna '[DOP']]]/HLOOKUP("USD",$J$1:$K$2,2,FALSE)</f>
        <v>0</v>
      </c>
      <c r="Q49" s="340"/>
      <c r="R49" s="250"/>
      <c r="S49" s="250"/>
      <c r="T49" s="250"/>
      <c r="U49" s="250"/>
      <c r="V49" s="258"/>
      <c r="W49" s="251"/>
      <c r="X49" s="252"/>
      <c r="Y49" s="259">
        <f>BD.PD5[[#This Row],[Av.P1 '[%']]]*BD.PD5[[#This Row],[Ppto. Orden Interna '[DOP']]]</f>
        <v>0</v>
      </c>
      <c r="Z49" s="254"/>
      <c r="AA49" s="255"/>
      <c r="AB49" s="259">
        <f>BD.PD5[[#This Row],[Av.P2 '[%']]]*BD.PD5[[#This Row],[Ppto. Orden Interna '[DOP']]]</f>
        <v>0</v>
      </c>
      <c r="AC49" s="254"/>
      <c r="AD49" s="255"/>
      <c r="AE49" s="259">
        <f>BD.PD5[[#This Row],[Av.P3 '[%']]]*BD.PD5[[#This Row],[Ppto. Orden Interna '[DOP']]]</f>
        <v>0</v>
      </c>
      <c r="AF49" s="254"/>
      <c r="AG49" s="255"/>
      <c r="AH49" s="259">
        <f>BD.PD5[[#This Row],[Av.P4 '[%']]]*BD.PD5[[#This Row],[Ppto. Orden Interna '[DOP']]]</f>
        <v>0</v>
      </c>
      <c r="AI49" s="254"/>
      <c r="AJ49" s="255"/>
      <c r="AK49" s="259">
        <f>BD.PD5[[#This Row],[Av.P5 '[%']]]*BD.PD5[[#This Row],[Ppto. Orden Interna '[DOP']]]</f>
        <v>0</v>
      </c>
      <c r="AL49" s="256">
        <f>BD.PD5[[#This Row],[Pago 5]]+BD.PD5[[#This Row],[Pago 4]]+BD.PD5[[#This Row],[Pago 3]]+BD.PD5[[#This Row],[Pago 2]]+BD.PD5[[#This Row],[Pago 1]]</f>
        <v>0</v>
      </c>
      <c r="AM49" s="318"/>
      <c r="AN49" s="318"/>
      <c r="AO49" s="318"/>
      <c r="AP49" s="318"/>
      <c r="AQ49" s="318"/>
      <c r="AR49" s="318"/>
      <c r="AS49" s="318"/>
      <c r="AT49" s="318"/>
      <c r="AU49" s="318"/>
      <c r="AV49" s="318"/>
      <c r="AW49" s="318"/>
      <c r="AX49" s="318"/>
      <c r="AY49" s="318"/>
      <c r="AZ49" s="318"/>
      <c r="BA49" s="318"/>
      <c r="BB49" s="318"/>
      <c r="BC49" s="318"/>
      <c r="BD49" s="318"/>
      <c r="BE49" s="318"/>
      <c r="BF49" s="318"/>
      <c r="BG49" s="318"/>
      <c r="BH49" s="318"/>
      <c r="BI49" s="318"/>
      <c r="BJ49" s="318"/>
      <c r="BK49" s="318"/>
      <c r="BL49" s="318"/>
      <c r="BM49" s="318"/>
      <c r="BN49" s="318"/>
      <c r="BO49" s="318"/>
      <c r="BP49" s="318"/>
      <c r="BQ49" s="318"/>
      <c r="BR49" s="318"/>
      <c r="BS49" s="318"/>
      <c r="BT49" s="318"/>
      <c r="BU49" s="318"/>
      <c r="BV49" s="318"/>
      <c r="BW49" s="318"/>
      <c r="BX49" s="318"/>
      <c r="BY49" s="318"/>
      <c r="BZ49" s="318"/>
      <c r="CA49" s="318"/>
      <c r="CB49" s="318"/>
      <c r="CC49" s="318"/>
      <c r="CD49" s="318"/>
      <c r="CE49" s="318"/>
      <c r="CF49" s="318"/>
      <c r="CG49" s="318"/>
      <c r="CH49" s="318"/>
      <c r="CI49" s="318"/>
      <c r="CJ49" s="318"/>
      <c r="CK49" s="318"/>
      <c r="CL49" s="318"/>
      <c r="CM49" s="318"/>
      <c r="CN49" s="318"/>
      <c r="CO49" s="318"/>
      <c r="CP49" s="318"/>
      <c r="CQ49" s="318"/>
      <c r="CR49" s="318"/>
      <c r="CS49" s="318"/>
      <c r="CT49" s="318"/>
      <c r="CU49" s="318"/>
      <c r="CV49" s="318"/>
      <c r="CW49" s="318"/>
      <c r="CX49" s="318"/>
      <c r="CY49" s="318"/>
      <c r="CZ49" s="318"/>
      <c r="DA49" s="318"/>
      <c r="DB49" s="318"/>
      <c r="DC49" s="318"/>
      <c r="DD49" s="318"/>
      <c r="DE49" s="318"/>
      <c r="DF49" s="318"/>
      <c r="DG49" s="318"/>
      <c r="DH49" s="318"/>
      <c r="DI49" s="318"/>
      <c r="DJ49" s="318"/>
      <c r="DK49" s="318"/>
      <c r="DL49" s="318"/>
      <c r="DM49" s="318"/>
      <c r="DN49" s="318"/>
      <c r="DO49" s="318"/>
      <c r="DP49" s="318"/>
      <c r="DQ49" s="318"/>
      <c r="DR49" s="318"/>
      <c r="DS49" s="318"/>
      <c r="DT49" s="318"/>
      <c r="DU49" s="318"/>
      <c r="DV49" s="318"/>
      <c r="DW49" s="318"/>
      <c r="DX49" s="318"/>
      <c r="DY49" s="318"/>
      <c r="DZ49" s="318"/>
      <c r="EA49" s="318"/>
      <c r="EB49" s="318"/>
      <c r="EC49" s="318"/>
      <c r="ED49" s="318"/>
      <c r="EE49" s="318"/>
      <c r="EF49" s="318"/>
      <c r="EG49" s="318"/>
      <c r="EH49" s="318"/>
      <c r="EI49" s="318"/>
      <c r="EJ49" s="318"/>
      <c r="EK49" s="318"/>
      <c r="EL49" s="318"/>
      <c r="EM49" s="318"/>
      <c r="EN49" s="318"/>
      <c r="EO49" s="318"/>
      <c r="EP49" s="318"/>
      <c r="EQ49" s="318"/>
      <c r="ER49" s="318"/>
      <c r="ES49" s="318"/>
      <c r="ET49" s="318"/>
      <c r="EU49" s="318"/>
      <c r="EV49" s="318"/>
      <c r="EW49" s="318"/>
      <c r="EX49" s="318"/>
      <c r="EY49" s="318"/>
      <c r="EZ49" s="318"/>
      <c r="FA49" s="318"/>
      <c r="FB49" s="318"/>
      <c r="FC49" s="318"/>
      <c r="FD49" s="318"/>
      <c r="FE49" s="318"/>
      <c r="FF49" s="318"/>
      <c r="FG49" s="318"/>
      <c r="FH49" s="318"/>
      <c r="FI49" s="318"/>
      <c r="FJ49" s="318"/>
      <c r="FK49" s="318"/>
      <c r="FL49" s="318"/>
      <c r="FM49" s="318"/>
      <c r="FN49" s="318"/>
      <c r="FO49" s="318"/>
      <c r="FP49" s="318"/>
      <c r="FQ49" s="318"/>
      <c r="FR49" s="318"/>
      <c r="FS49" s="318"/>
      <c r="FT49" s="318"/>
      <c r="FU49" s="318"/>
      <c r="FV49" s="318"/>
      <c r="FW49" s="318"/>
      <c r="FX49" s="318"/>
      <c r="FY49" s="318"/>
      <c r="FZ49" s="318"/>
      <c r="GA49" s="318"/>
      <c r="GB49" s="318"/>
      <c r="GC49" s="318"/>
      <c r="GD49" s="318"/>
      <c r="GE49" s="318"/>
      <c r="GF49" s="318"/>
      <c r="GG49" s="318"/>
      <c r="GH49" s="318"/>
      <c r="GI49" s="318"/>
      <c r="GJ49" s="318"/>
      <c r="GK49" s="318"/>
      <c r="GL49" s="318"/>
      <c r="GM49" s="318"/>
      <c r="GN49" s="318"/>
      <c r="GO49" s="318"/>
      <c r="GP49" s="318"/>
      <c r="GQ49" s="318"/>
      <c r="GR49" s="318"/>
      <c r="GS49" s="318"/>
      <c r="GT49" s="318"/>
      <c r="GU49" s="318"/>
      <c r="GV49" s="318"/>
      <c r="GW49" s="318"/>
      <c r="GX49" s="318"/>
      <c r="GY49" s="318"/>
      <c r="GZ49" s="318"/>
      <c r="HA49" s="318"/>
      <c r="HB49" s="318"/>
      <c r="HC49" s="318"/>
      <c r="HD49" s="318"/>
      <c r="HE49" s="318"/>
      <c r="HF49" s="318"/>
      <c r="HG49" s="318"/>
      <c r="HH49" s="318"/>
      <c r="HI49" s="318"/>
      <c r="HJ49" s="318"/>
      <c r="HK49" s="318"/>
      <c r="HL49" s="318"/>
      <c r="HM49" s="318"/>
      <c r="HN49" s="318"/>
      <c r="HO49" s="318"/>
      <c r="HP49" s="318"/>
      <c r="HQ49" s="318"/>
      <c r="HR49" s="318"/>
      <c r="HS49" s="318"/>
      <c r="HT49" s="318"/>
      <c r="HU49" s="318"/>
      <c r="HV49" s="318"/>
      <c r="HW49" s="318"/>
      <c r="HX49" s="318"/>
      <c r="HY49" s="318"/>
      <c r="HZ49" s="318"/>
      <c r="IA49" s="318"/>
      <c r="IB49" s="318"/>
      <c r="IC49" s="318"/>
      <c r="ID49" s="318"/>
      <c r="IE49" s="318"/>
      <c r="IF49" s="318"/>
      <c r="IG49" s="318"/>
    </row>
    <row r="50" spans="1:241" s="260" customFormat="1" ht="15" hidden="1" customHeight="1" x14ac:dyDescent="0.3">
      <c r="A50" s="181">
        <v>7.02</v>
      </c>
      <c r="B50" s="239" t="s">
        <v>306</v>
      </c>
      <c r="C50" s="240" t="str">
        <f>VLOOKUP(BD.PD5[[#This Row],[Pos]],PPto[],3,FALSE)</f>
        <v>7.02 Cocina, Patio Comidas y Rostizería</v>
      </c>
      <c r="D50" s="241" t="s">
        <v>306</v>
      </c>
      <c r="E50" s="242">
        <f>IF(BD.PD5[[#This Row],[.]]="*",VLOOKUP(BD.PD5[[#This Row],[Pos]],[15]Presupuesto!A:H,7,FALSE),"")</f>
        <v>0</v>
      </c>
      <c r="F50" s="243"/>
      <c r="G50" s="362"/>
      <c r="H50" s="243"/>
      <c r="I50" s="363"/>
      <c r="J50" s="241" t="s">
        <v>188</v>
      </c>
      <c r="K50" s="245">
        <f>IF(BD.PD5[[#This Row],[Mon]]="DOP",1,HLOOKUP(BD.PD5[[#This Row],[Mon]],$J$1:$K$2,2,FALSE))</f>
        <v>64</v>
      </c>
      <c r="L50" s="246">
        <v>0</v>
      </c>
      <c r="M50" s="247">
        <f>BD.PD5[[#This Row],[Cant.]]*BD.PD5[[#This Row],[ Tasa ]]*BD.PD5[[#This Row],[ Precio Und.]]</f>
        <v>0</v>
      </c>
      <c r="N50" s="248"/>
      <c r="O50" s="247">
        <f>IF(BD.PD5[[#This Row],[Liquid. '[%']]]&lt;&gt;0,(BD.PD5[[#This Row],[Valor Neto '[DOP']]]*BD.PD5[[#This Row],[Liquid. '[%']]])+BD.PD5[[#This Row],[Valor Neto '[DOP']]],BD.PD5[[#This Row],[Valor Neto '[DOP']]])</f>
        <v>0</v>
      </c>
      <c r="P50" s="257">
        <f>BD.PD5[[#This Row],[Ppto. Orden Interna '[DOP']]]/HLOOKUP("USD",$J$1:$K$2,2,FALSE)</f>
        <v>0</v>
      </c>
      <c r="Q50" s="340"/>
      <c r="R50" s="250"/>
      <c r="S50" s="250"/>
      <c r="T50" s="250"/>
      <c r="U50" s="250"/>
      <c r="V50" s="258"/>
      <c r="W50" s="251"/>
      <c r="X50" s="252"/>
      <c r="Y50" s="259">
        <f>BD.PD5[[#This Row],[Av.P1 '[%']]]*BD.PD5[[#This Row],[Ppto. Orden Interna '[DOP']]]</f>
        <v>0</v>
      </c>
      <c r="Z50" s="254"/>
      <c r="AA50" s="255"/>
      <c r="AB50" s="259">
        <f>BD.PD5[[#This Row],[Av.P2 '[%']]]*BD.PD5[[#This Row],[Ppto. Orden Interna '[DOP']]]</f>
        <v>0</v>
      </c>
      <c r="AC50" s="254"/>
      <c r="AD50" s="255"/>
      <c r="AE50" s="259">
        <f>BD.PD5[[#This Row],[Av.P3 '[%']]]*BD.PD5[[#This Row],[Ppto. Orden Interna '[DOP']]]</f>
        <v>0</v>
      </c>
      <c r="AF50" s="254"/>
      <c r="AG50" s="255"/>
      <c r="AH50" s="259">
        <f>BD.PD5[[#This Row],[Av.P4 '[%']]]*BD.PD5[[#This Row],[Ppto. Orden Interna '[DOP']]]</f>
        <v>0</v>
      </c>
      <c r="AI50" s="254"/>
      <c r="AJ50" s="255"/>
      <c r="AK50" s="259">
        <f>BD.PD5[[#This Row],[Av.P5 '[%']]]*BD.PD5[[#This Row],[Ppto. Orden Interna '[DOP']]]</f>
        <v>0</v>
      </c>
      <c r="AL50" s="256">
        <f>BD.PD5[[#This Row],[Pago 5]]+BD.PD5[[#This Row],[Pago 4]]+BD.PD5[[#This Row],[Pago 3]]+BD.PD5[[#This Row],[Pago 2]]+BD.PD5[[#This Row],[Pago 1]]</f>
        <v>0</v>
      </c>
      <c r="AM50" s="318"/>
      <c r="AN50" s="318"/>
      <c r="AO50" s="318"/>
      <c r="AP50" s="318"/>
      <c r="AQ50" s="318"/>
      <c r="AR50" s="318"/>
      <c r="AS50" s="318"/>
      <c r="AT50" s="318"/>
      <c r="AU50" s="318"/>
      <c r="AV50" s="318"/>
      <c r="AW50" s="318"/>
      <c r="AX50" s="318"/>
      <c r="AY50" s="318"/>
      <c r="AZ50" s="318"/>
      <c r="BA50" s="318"/>
      <c r="BB50" s="318"/>
      <c r="BC50" s="318"/>
      <c r="BD50" s="318"/>
      <c r="BE50" s="318"/>
      <c r="BF50" s="318"/>
      <c r="BG50" s="318"/>
      <c r="BH50" s="318"/>
      <c r="BI50" s="318"/>
      <c r="BJ50" s="318"/>
      <c r="BK50" s="318"/>
      <c r="BL50" s="318"/>
      <c r="BM50" s="318"/>
      <c r="BN50" s="318"/>
      <c r="BO50" s="318"/>
      <c r="BP50" s="318"/>
      <c r="BQ50" s="318"/>
      <c r="BR50" s="318"/>
      <c r="BS50" s="318"/>
      <c r="BT50" s="318"/>
      <c r="BU50" s="318"/>
      <c r="BV50" s="318"/>
      <c r="BW50" s="318"/>
      <c r="BX50" s="318"/>
      <c r="BY50" s="318"/>
      <c r="BZ50" s="318"/>
      <c r="CA50" s="318"/>
      <c r="CB50" s="318"/>
      <c r="CC50" s="318"/>
      <c r="CD50" s="318"/>
      <c r="CE50" s="318"/>
      <c r="CF50" s="318"/>
      <c r="CG50" s="318"/>
      <c r="CH50" s="318"/>
      <c r="CI50" s="318"/>
      <c r="CJ50" s="318"/>
      <c r="CK50" s="318"/>
      <c r="CL50" s="318"/>
      <c r="CM50" s="318"/>
      <c r="CN50" s="318"/>
      <c r="CO50" s="318"/>
      <c r="CP50" s="318"/>
      <c r="CQ50" s="318"/>
      <c r="CR50" s="318"/>
      <c r="CS50" s="318"/>
      <c r="CT50" s="318"/>
      <c r="CU50" s="318"/>
      <c r="CV50" s="318"/>
      <c r="CW50" s="318"/>
      <c r="CX50" s="318"/>
      <c r="CY50" s="318"/>
      <c r="CZ50" s="318"/>
      <c r="DA50" s="318"/>
      <c r="DB50" s="318"/>
      <c r="DC50" s="318"/>
      <c r="DD50" s="318"/>
      <c r="DE50" s="318"/>
      <c r="DF50" s="318"/>
      <c r="DG50" s="318"/>
      <c r="DH50" s="318"/>
      <c r="DI50" s="318"/>
      <c r="DJ50" s="318"/>
      <c r="DK50" s="318"/>
      <c r="DL50" s="318"/>
      <c r="DM50" s="318"/>
      <c r="DN50" s="318"/>
      <c r="DO50" s="318"/>
      <c r="DP50" s="318"/>
      <c r="DQ50" s="318"/>
      <c r="DR50" s="318"/>
      <c r="DS50" s="318"/>
      <c r="DT50" s="318"/>
      <c r="DU50" s="318"/>
      <c r="DV50" s="318"/>
      <c r="DW50" s="318"/>
      <c r="DX50" s="318"/>
      <c r="DY50" s="318"/>
      <c r="DZ50" s="318"/>
      <c r="EA50" s="318"/>
      <c r="EB50" s="318"/>
      <c r="EC50" s="318"/>
      <c r="ED50" s="318"/>
      <c r="EE50" s="318"/>
      <c r="EF50" s="318"/>
      <c r="EG50" s="318"/>
      <c r="EH50" s="318"/>
      <c r="EI50" s="318"/>
      <c r="EJ50" s="318"/>
      <c r="EK50" s="318"/>
      <c r="EL50" s="318"/>
      <c r="EM50" s="318"/>
      <c r="EN50" s="318"/>
      <c r="EO50" s="318"/>
      <c r="EP50" s="318"/>
      <c r="EQ50" s="318"/>
      <c r="ER50" s="318"/>
      <c r="ES50" s="318"/>
      <c r="ET50" s="318"/>
      <c r="EU50" s="318"/>
      <c r="EV50" s="318"/>
      <c r="EW50" s="318"/>
      <c r="EX50" s="318"/>
      <c r="EY50" s="318"/>
      <c r="EZ50" s="318"/>
      <c r="FA50" s="318"/>
      <c r="FB50" s="318"/>
      <c r="FC50" s="318"/>
      <c r="FD50" s="318"/>
      <c r="FE50" s="318"/>
      <c r="FF50" s="318"/>
      <c r="FG50" s="318"/>
      <c r="FH50" s="318"/>
      <c r="FI50" s="318"/>
      <c r="FJ50" s="318"/>
      <c r="FK50" s="318"/>
      <c r="FL50" s="318"/>
      <c r="FM50" s="318"/>
      <c r="FN50" s="318"/>
      <c r="FO50" s="318"/>
      <c r="FP50" s="318"/>
      <c r="FQ50" s="318"/>
      <c r="FR50" s="318"/>
      <c r="FS50" s="318"/>
      <c r="FT50" s="318"/>
      <c r="FU50" s="318"/>
      <c r="FV50" s="318"/>
      <c r="FW50" s="318"/>
      <c r="FX50" s="318"/>
      <c r="FY50" s="318"/>
      <c r="FZ50" s="318"/>
      <c r="GA50" s="318"/>
      <c r="GB50" s="318"/>
      <c r="GC50" s="318"/>
      <c r="GD50" s="318"/>
      <c r="GE50" s="318"/>
      <c r="GF50" s="318"/>
      <c r="GG50" s="318"/>
      <c r="GH50" s="318"/>
      <c r="GI50" s="318"/>
      <c r="GJ50" s="318"/>
      <c r="GK50" s="318"/>
      <c r="GL50" s="318"/>
      <c r="GM50" s="318"/>
      <c r="GN50" s="318"/>
      <c r="GO50" s="318"/>
      <c r="GP50" s="318"/>
      <c r="GQ50" s="318"/>
      <c r="GR50" s="318"/>
      <c r="GS50" s="318"/>
      <c r="GT50" s="318"/>
      <c r="GU50" s="318"/>
      <c r="GV50" s="318"/>
      <c r="GW50" s="318"/>
      <c r="GX50" s="318"/>
      <c r="GY50" s="318"/>
      <c r="GZ50" s="318"/>
      <c r="HA50" s="318"/>
      <c r="HB50" s="318"/>
      <c r="HC50" s="318"/>
      <c r="HD50" s="318"/>
      <c r="HE50" s="318"/>
      <c r="HF50" s="318"/>
      <c r="HG50" s="318"/>
      <c r="HH50" s="318"/>
      <c r="HI50" s="318"/>
      <c r="HJ50" s="318"/>
      <c r="HK50" s="318"/>
      <c r="HL50" s="318"/>
      <c r="HM50" s="318"/>
      <c r="HN50" s="318"/>
      <c r="HO50" s="318"/>
      <c r="HP50" s="318"/>
      <c r="HQ50" s="318"/>
      <c r="HR50" s="318"/>
      <c r="HS50" s="318"/>
      <c r="HT50" s="318"/>
      <c r="HU50" s="318"/>
      <c r="HV50" s="318"/>
      <c r="HW50" s="318"/>
      <c r="HX50" s="318"/>
      <c r="HY50" s="318"/>
      <c r="HZ50" s="318"/>
      <c r="IA50" s="318"/>
      <c r="IB50" s="318"/>
      <c r="IC50" s="318"/>
      <c r="ID50" s="318"/>
      <c r="IE50" s="318"/>
      <c r="IF50" s="318"/>
      <c r="IG50" s="318"/>
    </row>
    <row r="51" spans="1:241" s="260" customFormat="1" ht="15" hidden="1" customHeight="1" x14ac:dyDescent="0.3">
      <c r="A51" s="181">
        <v>7.03</v>
      </c>
      <c r="B51" s="239" t="s">
        <v>306</v>
      </c>
      <c r="C51" s="240" t="str">
        <f>VLOOKUP(BD.PD5[[#This Row],[Pos]],PPto[],3,FALSE)</f>
        <v>7.03 Equipamiento Carniceria, Pescadería y Delicatesen</v>
      </c>
      <c r="D51" s="241" t="s">
        <v>306</v>
      </c>
      <c r="E51" s="242">
        <f>IF(BD.PD5[[#This Row],[.]]="*",VLOOKUP(BD.PD5[[#This Row],[Pos]],[15]Presupuesto!A:H,7,FALSE),"")</f>
        <v>0</v>
      </c>
      <c r="F51" s="243"/>
      <c r="G51" s="243"/>
      <c r="H51" s="243"/>
      <c r="I51" s="363"/>
      <c r="J51" s="241" t="s">
        <v>188</v>
      </c>
      <c r="K51" s="245">
        <f>IF(BD.PD5[[#This Row],[Mon]]="DOP",1,HLOOKUP(BD.PD5[[#This Row],[Mon]],$J$1:$K$2,2,FALSE))</f>
        <v>64</v>
      </c>
      <c r="L51" s="246">
        <v>0</v>
      </c>
      <c r="M51" s="247">
        <f>BD.PD5[[#This Row],[Cant.]]*BD.PD5[[#This Row],[ Tasa ]]*BD.PD5[[#This Row],[ Precio Und.]]</f>
        <v>0</v>
      </c>
      <c r="N51" s="248"/>
      <c r="O51" s="247">
        <f>IF(BD.PD5[[#This Row],[Liquid. '[%']]]&lt;&gt;0,(BD.PD5[[#This Row],[Valor Neto '[DOP']]]*BD.PD5[[#This Row],[Liquid. '[%']]])+BD.PD5[[#This Row],[Valor Neto '[DOP']]],BD.PD5[[#This Row],[Valor Neto '[DOP']]])</f>
        <v>0</v>
      </c>
      <c r="P51" s="257">
        <f>BD.PD5[[#This Row],[Ppto. Orden Interna '[DOP']]]/HLOOKUP("USD",$J$1:$K$2,2,FALSE)</f>
        <v>0</v>
      </c>
      <c r="Q51" s="340"/>
      <c r="R51" s="250"/>
      <c r="S51" s="250"/>
      <c r="T51" s="250"/>
      <c r="U51" s="250"/>
      <c r="V51" s="258"/>
      <c r="W51" s="251"/>
      <c r="X51" s="252"/>
      <c r="Y51" s="259">
        <f>BD.PD5[[#This Row],[Av.P1 '[%']]]*BD.PD5[[#This Row],[Ppto. Orden Interna '[DOP']]]</f>
        <v>0</v>
      </c>
      <c r="Z51" s="254"/>
      <c r="AA51" s="255"/>
      <c r="AB51" s="259">
        <f>BD.PD5[[#This Row],[Av.P2 '[%']]]*BD.PD5[[#This Row],[Ppto. Orden Interna '[DOP']]]</f>
        <v>0</v>
      </c>
      <c r="AC51" s="254"/>
      <c r="AD51" s="255"/>
      <c r="AE51" s="259">
        <f>BD.PD5[[#This Row],[Av.P3 '[%']]]*BD.PD5[[#This Row],[Ppto. Orden Interna '[DOP']]]</f>
        <v>0</v>
      </c>
      <c r="AF51" s="254"/>
      <c r="AG51" s="255"/>
      <c r="AH51" s="259">
        <f>BD.PD5[[#This Row],[Av.P4 '[%']]]*BD.PD5[[#This Row],[Ppto. Orden Interna '[DOP']]]</f>
        <v>0</v>
      </c>
      <c r="AI51" s="254"/>
      <c r="AJ51" s="255"/>
      <c r="AK51" s="259">
        <f>BD.PD5[[#This Row],[Av.P5 '[%']]]*BD.PD5[[#This Row],[Ppto. Orden Interna '[DOP']]]</f>
        <v>0</v>
      </c>
      <c r="AL51" s="256">
        <f>BD.PD5[[#This Row],[Pago 5]]+BD.PD5[[#This Row],[Pago 4]]+BD.PD5[[#This Row],[Pago 3]]+BD.PD5[[#This Row],[Pago 2]]+BD.PD5[[#This Row],[Pago 1]]</f>
        <v>0</v>
      </c>
      <c r="AM51" s="318"/>
      <c r="AN51" s="318"/>
      <c r="AO51" s="318"/>
      <c r="AP51" s="318"/>
      <c r="AQ51" s="318"/>
      <c r="AR51" s="318"/>
      <c r="AS51" s="318"/>
      <c r="AT51" s="318"/>
      <c r="AU51" s="318"/>
      <c r="AV51" s="318"/>
      <c r="AW51" s="318"/>
      <c r="AX51" s="318"/>
      <c r="AY51" s="318"/>
      <c r="AZ51" s="318"/>
      <c r="BA51" s="318"/>
      <c r="BB51" s="318"/>
      <c r="BC51" s="318"/>
      <c r="BD51" s="318"/>
      <c r="BE51" s="318"/>
      <c r="BF51" s="318"/>
      <c r="BG51" s="318"/>
      <c r="BH51" s="318"/>
      <c r="BI51" s="318"/>
      <c r="BJ51" s="318"/>
      <c r="BK51" s="318"/>
      <c r="BL51" s="318"/>
      <c r="BM51" s="318"/>
      <c r="BN51" s="318"/>
      <c r="BO51" s="318"/>
      <c r="BP51" s="318"/>
      <c r="BQ51" s="318"/>
      <c r="BR51" s="318"/>
      <c r="BS51" s="318"/>
      <c r="BT51" s="318"/>
      <c r="BU51" s="318"/>
      <c r="BV51" s="318"/>
      <c r="BW51" s="318"/>
      <c r="BX51" s="318"/>
      <c r="BY51" s="318"/>
      <c r="BZ51" s="318"/>
      <c r="CA51" s="318"/>
      <c r="CB51" s="318"/>
      <c r="CC51" s="318"/>
      <c r="CD51" s="318"/>
      <c r="CE51" s="318"/>
      <c r="CF51" s="318"/>
      <c r="CG51" s="318"/>
      <c r="CH51" s="318"/>
      <c r="CI51" s="318"/>
      <c r="CJ51" s="318"/>
      <c r="CK51" s="318"/>
      <c r="CL51" s="318"/>
      <c r="CM51" s="318"/>
      <c r="CN51" s="318"/>
      <c r="CO51" s="318"/>
      <c r="CP51" s="318"/>
      <c r="CQ51" s="318"/>
      <c r="CR51" s="318"/>
      <c r="CS51" s="318"/>
      <c r="CT51" s="318"/>
      <c r="CU51" s="318"/>
      <c r="CV51" s="318"/>
      <c r="CW51" s="318"/>
      <c r="CX51" s="318"/>
      <c r="CY51" s="318"/>
      <c r="CZ51" s="318"/>
      <c r="DA51" s="318"/>
      <c r="DB51" s="318"/>
      <c r="DC51" s="318"/>
      <c r="DD51" s="318"/>
      <c r="DE51" s="318"/>
      <c r="DF51" s="318"/>
      <c r="DG51" s="318"/>
      <c r="DH51" s="318"/>
      <c r="DI51" s="318"/>
      <c r="DJ51" s="318"/>
      <c r="DK51" s="318"/>
      <c r="DL51" s="318"/>
      <c r="DM51" s="318"/>
      <c r="DN51" s="318"/>
      <c r="DO51" s="318"/>
      <c r="DP51" s="318"/>
      <c r="DQ51" s="318"/>
      <c r="DR51" s="318"/>
      <c r="DS51" s="318"/>
      <c r="DT51" s="318"/>
      <c r="DU51" s="318"/>
      <c r="DV51" s="318"/>
      <c r="DW51" s="318"/>
      <c r="DX51" s="318"/>
      <c r="DY51" s="318"/>
      <c r="DZ51" s="318"/>
      <c r="EA51" s="318"/>
      <c r="EB51" s="318"/>
      <c r="EC51" s="318"/>
      <c r="ED51" s="318"/>
      <c r="EE51" s="318"/>
      <c r="EF51" s="318"/>
      <c r="EG51" s="318"/>
      <c r="EH51" s="318"/>
      <c r="EI51" s="318"/>
      <c r="EJ51" s="318"/>
      <c r="EK51" s="318"/>
      <c r="EL51" s="318"/>
      <c r="EM51" s="318"/>
      <c r="EN51" s="318"/>
      <c r="EO51" s="318"/>
      <c r="EP51" s="318"/>
      <c r="EQ51" s="318"/>
      <c r="ER51" s="318"/>
      <c r="ES51" s="318"/>
      <c r="ET51" s="318"/>
      <c r="EU51" s="318"/>
      <c r="EV51" s="318"/>
      <c r="EW51" s="318"/>
      <c r="EX51" s="318"/>
      <c r="EY51" s="318"/>
      <c r="EZ51" s="318"/>
      <c r="FA51" s="318"/>
      <c r="FB51" s="318"/>
      <c r="FC51" s="318"/>
      <c r="FD51" s="318"/>
      <c r="FE51" s="318"/>
      <c r="FF51" s="318"/>
      <c r="FG51" s="318"/>
      <c r="FH51" s="318"/>
      <c r="FI51" s="318"/>
      <c r="FJ51" s="318"/>
      <c r="FK51" s="318"/>
      <c r="FL51" s="318"/>
      <c r="FM51" s="318"/>
      <c r="FN51" s="318"/>
      <c r="FO51" s="318"/>
      <c r="FP51" s="318"/>
      <c r="FQ51" s="318"/>
      <c r="FR51" s="318"/>
      <c r="FS51" s="318"/>
      <c r="FT51" s="318"/>
      <c r="FU51" s="318"/>
      <c r="FV51" s="318"/>
      <c r="FW51" s="318"/>
      <c r="FX51" s="318"/>
      <c r="FY51" s="318"/>
      <c r="FZ51" s="318"/>
      <c r="GA51" s="318"/>
      <c r="GB51" s="318"/>
      <c r="GC51" s="318"/>
      <c r="GD51" s="318"/>
      <c r="GE51" s="318"/>
      <c r="GF51" s="318"/>
      <c r="GG51" s="318"/>
      <c r="GH51" s="318"/>
      <c r="GI51" s="318"/>
      <c r="GJ51" s="318"/>
      <c r="GK51" s="318"/>
      <c r="GL51" s="318"/>
      <c r="GM51" s="318"/>
      <c r="GN51" s="318"/>
      <c r="GO51" s="318"/>
      <c r="GP51" s="318"/>
      <c r="GQ51" s="318"/>
      <c r="GR51" s="318"/>
      <c r="GS51" s="318"/>
      <c r="GT51" s="318"/>
      <c r="GU51" s="318"/>
      <c r="GV51" s="318"/>
      <c r="GW51" s="318"/>
      <c r="GX51" s="318"/>
      <c r="GY51" s="318"/>
      <c r="GZ51" s="318"/>
      <c r="HA51" s="318"/>
      <c r="HB51" s="318"/>
      <c r="HC51" s="318"/>
      <c r="HD51" s="318"/>
      <c r="HE51" s="318"/>
      <c r="HF51" s="318"/>
      <c r="HG51" s="318"/>
      <c r="HH51" s="318"/>
      <c r="HI51" s="318"/>
      <c r="HJ51" s="318"/>
      <c r="HK51" s="318"/>
      <c r="HL51" s="318"/>
      <c r="HM51" s="318"/>
      <c r="HN51" s="318"/>
      <c r="HO51" s="318"/>
      <c r="HP51" s="318"/>
      <c r="HQ51" s="318"/>
      <c r="HR51" s="318"/>
      <c r="HS51" s="318"/>
      <c r="HT51" s="318"/>
      <c r="HU51" s="318"/>
      <c r="HV51" s="318"/>
      <c r="HW51" s="318"/>
      <c r="HX51" s="318"/>
      <c r="HY51" s="318"/>
      <c r="HZ51" s="318"/>
      <c r="IA51" s="318"/>
      <c r="IB51" s="318"/>
      <c r="IC51" s="318"/>
      <c r="ID51" s="318"/>
      <c r="IE51" s="318"/>
      <c r="IF51" s="318"/>
      <c r="IG51" s="318"/>
    </row>
    <row r="52" spans="1:241" s="260" customFormat="1" ht="15" hidden="1" customHeight="1" x14ac:dyDescent="0.3">
      <c r="A52" s="181">
        <v>7.04</v>
      </c>
      <c r="B52" s="239" t="s">
        <v>306</v>
      </c>
      <c r="C52" s="240" t="str">
        <f>VLOOKUP(BD.PD5[[#This Row],[Pos]],PPto[],3,FALSE)</f>
        <v>7.04 Equipamiento de Panaderia, Reposteria y Rosticería</v>
      </c>
      <c r="D52" s="241" t="s">
        <v>306</v>
      </c>
      <c r="E52" s="242">
        <f>IF(BD.PD5[[#This Row],[.]]="*",VLOOKUP(BD.PD5[[#This Row],[Pos]],[15]Presupuesto!A:H,7,FALSE),"")</f>
        <v>0</v>
      </c>
      <c r="F52" s="243"/>
      <c r="G52" s="243"/>
      <c r="H52" s="243"/>
      <c r="I52" s="363"/>
      <c r="J52" s="241" t="s">
        <v>188</v>
      </c>
      <c r="K52" s="245">
        <f>IF(BD.PD5[[#This Row],[Mon]]="DOP",1,HLOOKUP(BD.PD5[[#This Row],[Mon]],$J$1:$K$2,2,FALSE))</f>
        <v>64</v>
      </c>
      <c r="L52" s="246">
        <v>0</v>
      </c>
      <c r="M52" s="247">
        <f>BD.PD5[[#This Row],[Cant.]]*BD.PD5[[#This Row],[ Tasa ]]*BD.PD5[[#This Row],[ Precio Und.]]</f>
        <v>0</v>
      </c>
      <c r="N52" s="248"/>
      <c r="O52" s="247">
        <f>IF(BD.PD5[[#This Row],[Liquid. '[%']]]&lt;&gt;0,(BD.PD5[[#This Row],[Valor Neto '[DOP']]]*BD.PD5[[#This Row],[Liquid. '[%']]])+BD.PD5[[#This Row],[Valor Neto '[DOP']]],BD.PD5[[#This Row],[Valor Neto '[DOP']]])</f>
        <v>0</v>
      </c>
      <c r="P52" s="249">
        <f>BD.PD5[[#This Row],[Ppto. Orden Interna '[DOP']]]/HLOOKUP("USD",$J$1:$K$2,2,FALSE)</f>
        <v>0</v>
      </c>
      <c r="Q52" s="340"/>
      <c r="R52" s="250"/>
      <c r="S52" s="250"/>
      <c r="T52" s="250"/>
      <c r="U52" s="250"/>
      <c r="V52" s="258"/>
      <c r="W52" s="251"/>
      <c r="X52" s="252"/>
      <c r="Y52" s="259">
        <f>BD.PD5[[#This Row],[Av.P1 '[%']]]*BD.PD5[[#This Row],[Ppto. Orden Interna '[DOP']]]</f>
        <v>0</v>
      </c>
      <c r="Z52" s="254"/>
      <c r="AA52" s="255"/>
      <c r="AB52" s="259">
        <f>BD.PD5[[#This Row],[Av.P2 '[%']]]*BD.PD5[[#This Row],[Ppto. Orden Interna '[DOP']]]</f>
        <v>0</v>
      </c>
      <c r="AC52" s="254"/>
      <c r="AD52" s="255"/>
      <c r="AE52" s="259">
        <f>BD.PD5[[#This Row],[Av.P3 '[%']]]*BD.PD5[[#This Row],[Ppto. Orden Interna '[DOP']]]</f>
        <v>0</v>
      </c>
      <c r="AF52" s="254"/>
      <c r="AG52" s="255"/>
      <c r="AH52" s="259">
        <f>BD.PD5[[#This Row],[Av.P4 '[%']]]*BD.PD5[[#This Row],[Ppto. Orden Interna '[DOP']]]</f>
        <v>0</v>
      </c>
      <c r="AI52" s="254"/>
      <c r="AJ52" s="255"/>
      <c r="AK52" s="259">
        <f>BD.PD5[[#This Row],[Av.P5 '[%']]]*BD.PD5[[#This Row],[Ppto. Orden Interna '[DOP']]]</f>
        <v>0</v>
      </c>
      <c r="AL52" s="256">
        <f>BD.PD5[[#This Row],[Pago 5]]+BD.PD5[[#This Row],[Pago 4]]+BD.PD5[[#This Row],[Pago 3]]+BD.PD5[[#This Row],[Pago 2]]+BD.PD5[[#This Row],[Pago 1]]</f>
        <v>0</v>
      </c>
      <c r="AM52" s="318"/>
      <c r="AN52" s="318"/>
      <c r="AO52" s="318"/>
      <c r="AP52" s="318"/>
      <c r="AQ52" s="318"/>
      <c r="AR52" s="318"/>
      <c r="AS52" s="318"/>
      <c r="AT52" s="318"/>
      <c r="AU52" s="318"/>
      <c r="AV52" s="318"/>
      <c r="AW52" s="318"/>
      <c r="AX52" s="318"/>
      <c r="AY52" s="318"/>
      <c r="AZ52" s="318"/>
      <c r="BA52" s="318"/>
      <c r="BB52" s="318"/>
      <c r="BC52" s="318"/>
      <c r="BD52" s="318"/>
      <c r="BE52" s="318"/>
      <c r="BF52" s="318"/>
      <c r="BG52" s="318"/>
      <c r="BH52" s="318"/>
      <c r="BI52" s="318"/>
      <c r="BJ52" s="318"/>
      <c r="BK52" s="318"/>
      <c r="BL52" s="318"/>
      <c r="BM52" s="318"/>
      <c r="BN52" s="318"/>
      <c r="BO52" s="318"/>
      <c r="BP52" s="318"/>
      <c r="BQ52" s="318"/>
      <c r="BR52" s="318"/>
      <c r="BS52" s="318"/>
      <c r="BT52" s="318"/>
      <c r="BU52" s="318"/>
      <c r="BV52" s="318"/>
      <c r="BW52" s="318"/>
      <c r="BX52" s="318"/>
      <c r="BY52" s="318"/>
      <c r="BZ52" s="318"/>
      <c r="CA52" s="318"/>
      <c r="CB52" s="318"/>
      <c r="CC52" s="318"/>
      <c r="CD52" s="318"/>
      <c r="CE52" s="318"/>
      <c r="CF52" s="318"/>
      <c r="CG52" s="318"/>
      <c r="CH52" s="318"/>
      <c r="CI52" s="318"/>
      <c r="CJ52" s="318"/>
      <c r="CK52" s="318"/>
      <c r="CL52" s="318"/>
      <c r="CM52" s="318"/>
      <c r="CN52" s="318"/>
      <c r="CO52" s="318"/>
      <c r="CP52" s="318"/>
      <c r="CQ52" s="318"/>
      <c r="CR52" s="318"/>
      <c r="CS52" s="318"/>
      <c r="CT52" s="318"/>
      <c r="CU52" s="318"/>
      <c r="CV52" s="318"/>
      <c r="CW52" s="318"/>
      <c r="CX52" s="318"/>
      <c r="CY52" s="318"/>
      <c r="CZ52" s="318"/>
      <c r="DA52" s="318"/>
      <c r="DB52" s="318"/>
      <c r="DC52" s="318"/>
      <c r="DD52" s="318"/>
      <c r="DE52" s="318"/>
      <c r="DF52" s="318"/>
      <c r="DG52" s="318"/>
      <c r="DH52" s="318"/>
      <c r="DI52" s="318"/>
      <c r="DJ52" s="318"/>
      <c r="DK52" s="318"/>
      <c r="DL52" s="318"/>
      <c r="DM52" s="318"/>
      <c r="DN52" s="318"/>
      <c r="DO52" s="318"/>
      <c r="DP52" s="318"/>
      <c r="DQ52" s="318"/>
      <c r="DR52" s="318"/>
      <c r="DS52" s="318"/>
      <c r="DT52" s="318"/>
      <c r="DU52" s="318"/>
      <c r="DV52" s="318"/>
      <c r="DW52" s="318"/>
      <c r="DX52" s="318"/>
      <c r="DY52" s="318"/>
      <c r="DZ52" s="318"/>
      <c r="EA52" s="318"/>
      <c r="EB52" s="318"/>
      <c r="EC52" s="318"/>
      <c r="ED52" s="318"/>
      <c r="EE52" s="318"/>
      <c r="EF52" s="318"/>
      <c r="EG52" s="318"/>
      <c r="EH52" s="318"/>
      <c r="EI52" s="318"/>
      <c r="EJ52" s="318"/>
      <c r="EK52" s="318"/>
      <c r="EL52" s="318"/>
      <c r="EM52" s="318"/>
      <c r="EN52" s="318"/>
      <c r="EO52" s="318"/>
      <c r="EP52" s="318"/>
      <c r="EQ52" s="318"/>
      <c r="ER52" s="318"/>
      <c r="ES52" s="318"/>
      <c r="ET52" s="318"/>
      <c r="EU52" s="318"/>
      <c r="EV52" s="318"/>
      <c r="EW52" s="318"/>
      <c r="EX52" s="318"/>
      <c r="EY52" s="318"/>
      <c r="EZ52" s="318"/>
      <c r="FA52" s="318"/>
      <c r="FB52" s="318"/>
      <c r="FC52" s="318"/>
      <c r="FD52" s="318"/>
      <c r="FE52" s="318"/>
      <c r="FF52" s="318"/>
      <c r="FG52" s="318"/>
      <c r="FH52" s="318"/>
      <c r="FI52" s="318"/>
      <c r="FJ52" s="318"/>
      <c r="FK52" s="318"/>
      <c r="FL52" s="318"/>
      <c r="FM52" s="318"/>
      <c r="FN52" s="318"/>
      <c r="FO52" s="318"/>
      <c r="FP52" s="318"/>
      <c r="FQ52" s="318"/>
      <c r="FR52" s="318"/>
      <c r="FS52" s="318"/>
      <c r="FT52" s="318"/>
      <c r="FU52" s="318"/>
      <c r="FV52" s="318"/>
      <c r="FW52" s="318"/>
      <c r="FX52" s="318"/>
      <c r="FY52" s="318"/>
      <c r="FZ52" s="318"/>
      <c r="GA52" s="318"/>
      <c r="GB52" s="318"/>
      <c r="GC52" s="318"/>
      <c r="GD52" s="318"/>
      <c r="GE52" s="318"/>
      <c r="GF52" s="318"/>
      <c r="GG52" s="318"/>
      <c r="GH52" s="318"/>
      <c r="GI52" s="318"/>
      <c r="GJ52" s="318"/>
      <c r="GK52" s="318"/>
      <c r="GL52" s="318"/>
      <c r="GM52" s="318"/>
      <c r="GN52" s="318"/>
      <c r="GO52" s="318"/>
      <c r="GP52" s="318"/>
      <c r="GQ52" s="318"/>
      <c r="GR52" s="318"/>
      <c r="GS52" s="318"/>
      <c r="GT52" s="318"/>
      <c r="GU52" s="318"/>
      <c r="GV52" s="318"/>
      <c r="GW52" s="318"/>
      <c r="GX52" s="318"/>
      <c r="GY52" s="318"/>
      <c r="GZ52" s="318"/>
      <c r="HA52" s="318"/>
      <c r="HB52" s="318"/>
      <c r="HC52" s="318"/>
      <c r="HD52" s="318"/>
      <c r="HE52" s="318"/>
      <c r="HF52" s="318"/>
      <c r="HG52" s="318"/>
      <c r="HH52" s="318"/>
      <c r="HI52" s="318"/>
      <c r="HJ52" s="318"/>
      <c r="HK52" s="318"/>
      <c r="HL52" s="318"/>
      <c r="HM52" s="318"/>
      <c r="HN52" s="318"/>
      <c r="HO52" s="318"/>
      <c r="HP52" s="318"/>
      <c r="HQ52" s="318"/>
      <c r="HR52" s="318"/>
      <c r="HS52" s="318"/>
      <c r="HT52" s="318"/>
      <c r="HU52" s="318"/>
      <c r="HV52" s="318"/>
      <c r="HW52" s="318"/>
      <c r="HX52" s="318"/>
      <c r="HY52" s="318"/>
      <c r="HZ52" s="318"/>
      <c r="IA52" s="318"/>
      <c r="IB52" s="318"/>
      <c r="IC52" s="318"/>
      <c r="ID52" s="318"/>
      <c r="IE52" s="318"/>
      <c r="IF52" s="318"/>
      <c r="IG52" s="318"/>
    </row>
    <row r="53" spans="1:241" s="260" customFormat="1" ht="15" hidden="1" customHeight="1" x14ac:dyDescent="0.3">
      <c r="A53" s="181">
        <v>7.05</v>
      </c>
      <c r="B53" s="239" t="s">
        <v>306</v>
      </c>
      <c r="C53" s="240" t="str">
        <f>VLOOKUP(BD.PD5[[#This Row],[Pos]],PPto[],3,FALSE)</f>
        <v>7.05 Equipamiento de Frutas y Vegetales</v>
      </c>
      <c r="D53" s="241" t="s">
        <v>306</v>
      </c>
      <c r="E53" s="242">
        <f>IF(BD.PD5[[#This Row],[.]]="*",VLOOKUP(BD.PD5[[#This Row],[Pos]],[15]Presupuesto!A:H,7,FALSE),"")</f>
        <v>0</v>
      </c>
      <c r="F53" s="243"/>
      <c r="G53" s="243"/>
      <c r="H53" s="243"/>
      <c r="I53" s="363"/>
      <c r="J53" s="241" t="s">
        <v>188</v>
      </c>
      <c r="K53" s="245">
        <f>IF(BD.PD5[[#This Row],[Mon]]="DOP",1,HLOOKUP(BD.PD5[[#This Row],[Mon]],$J$1:$K$2,2,FALSE))</f>
        <v>64</v>
      </c>
      <c r="L53" s="246">
        <v>0</v>
      </c>
      <c r="M53" s="247">
        <f>BD.PD5[[#This Row],[Cant.]]*BD.PD5[[#This Row],[ Tasa ]]*BD.PD5[[#This Row],[ Precio Und.]]</f>
        <v>0</v>
      </c>
      <c r="N53" s="248"/>
      <c r="O53" s="247">
        <f>IF(BD.PD5[[#This Row],[Liquid. '[%']]]&lt;&gt;0,(BD.PD5[[#This Row],[Valor Neto '[DOP']]]*BD.PD5[[#This Row],[Liquid. '[%']]])+BD.PD5[[#This Row],[Valor Neto '[DOP']]],BD.PD5[[#This Row],[Valor Neto '[DOP']]])</f>
        <v>0</v>
      </c>
      <c r="P53" s="249">
        <f>BD.PD5[[#This Row],[Ppto. Orden Interna '[DOP']]]/HLOOKUP("USD",$J$1:$K$2,2,FALSE)</f>
        <v>0</v>
      </c>
      <c r="Q53" s="340"/>
      <c r="R53" s="250"/>
      <c r="S53" s="250"/>
      <c r="T53" s="250"/>
      <c r="U53" s="250"/>
      <c r="V53" s="258"/>
      <c r="W53" s="251"/>
      <c r="X53" s="252"/>
      <c r="Y53" s="259">
        <f>BD.PD5[[#This Row],[Av.P1 '[%']]]*BD.PD5[[#This Row],[Ppto. Orden Interna '[DOP']]]</f>
        <v>0</v>
      </c>
      <c r="Z53" s="254"/>
      <c r="AA53" s="255"/>
      <c r="AB53" s="259">
        <f>BD.PD5[[#This Row],[Av.P2 '[%']]]*BD.PD5[[#This Row],[Ppto. Orden Interna '[DOP']]]</f>
        <v>0</v>
      </c>
      <c r="AC53" s="254"/>
      <c r="AD53" s="255"/>
      <c r="AE53" s="259">
        <f>BD.PD5[[#This Row],[Av.P3 '[%']]]*BD.PD5[[#This Row],[Ppto. Orden Interna '[DOP']]]</f>
        <v>0</v>
      </c>
      <c r="AF53" s="254"/>
      <c r="AG53" s="255"/>
      <c r="AH53" s="259">
        <f>BD.PD5[[#This Row],[Av.P4 '[%']]]*BD.PD5[[#This Row],[Ppto. Orden Interna '[DOP']]]</f>
        <v>0</v>
      </c>
      <c r="AI53" s="254"/>
      <c r="AJ53" s="255"/>
      <c r="AK53" s="259">
        <f>BD.PD5[[#This Row],[Av.P5 '[%']]]*BD.PD5[[#This Row],[Ppto. Orden Interna '[DOP']]]</f>
        <v>0</v>
      </c>
      <c r="AL53" s="256">
        <f>BD.PD5[[#This Row],[Pago 5]]+BD.PD5[[#This Row],[Pago 4]]+BD.PD5[[#This Row],[Pago 3]]+BD.PD5[[#This Row],[Pago 2]]+BD.PD5[[#This Row],[Pago 1]]</f>
        <v>0</v>
      </c>
      <c r="AM53" s="318"/>
      <c r="AN53" s="318"/>
      <c r="AO53" s="318"/>
      <c r="AP53" s="318"/>
      <c r="AQ53" s="318"/>
      <c r="AR53" s="318"/>
      <c r="AS53" s="318"/>
      <c r="AT53" s="318"/>
      <c r="AU53" s="318"/>
      <c r="AV53" s="318"/>
      <c r="AW53" s="318"/>
      <c r="AX53" s="318"/>
      <c r="AY53" s="318"/>
      <c r="AZ53" s="318"/>
      <c r="BA53" s="318"/>
      <c r="BB53" s="318"/>
      <c r="BC53" s="318"/>
      <c r="BD53" s="318"/>
      <c r="BE53" s="318"/>
      <c r="BF53" s="318"/>
      <c r="BG53" s="318"/>
      <c r="BH53" s="318"/>
      <c r="BI53" s="318"/>
      <c r="BJ53" s="318"/>
      <c r="BK53" s="318"/>
      <c r="BL53" s="318"/>
      <c r="BM53" s="318"/>
      <c r="BN53" s="318"/>
      <c r="BO53" s="318"/>
      <c r="BP53" s="318"/>
      <c r="BQ53" s="318"/>
      <c r="BR53" s="318"/>
      <c r="BS53" s="318"/>
      <c r="BT53" s="318"/>
      <c r="BU53" s="318"/>
      <c r="BV53" s="318"/>
      <c r="BW53" s="318"/>
      <c r="BX53" s="318"/>
      <c r="BY53" s="318"/>
      <c r="BZ53" s="318"/>
      <c r="CA53" s="318"/>
      <c r="CB53" s="318"/>
      <c r="CC53" s="318"/>
      <c r="CD53" s="318"/>
      <c r="CE53" s="318"/>
      <c r="CF53" s="318"/>
      <c r="CG53" s="318"/>
      <c r="CH53" s="318"/>
      <c r="CI53" s="318"/>
      <c r="CJ53" s="318"/>
      <c r="CK53" s="318"/>
      <c r="CL53" s="318"/>
      <c r="CM53" s="318"/>
      <c r="CN53" s="318"/>
      <c r="CO53" s="318"/>
      <c r="CP53" s="318"/>
      <c r="CQ53" s="318"/>
      <c r="CR53" s="318"/>
      <c r="CS53" s="318"/>
      <c r="CT53" s="318"/>
      <c r="CU53" s="318"/>
      <c r="CV53" s="318"/>
      <c r="CW53" s="318"/>
      <c r="CX53" s="318"/>
      <c r="CY53" s="318"/>
      <c r="CZ53" s="318"/>
      <c r="DA53" s="318"/>
      <c r="DB53" s="318"/>
      <c r="DC53" s="318"/>
      <c r="DD53" s="318"/>
      <c r="DE53" s="318"/>
      <c r="DF53" s="318"/>
      <c r="DG53" s="318"/>
      <c r="DH53" s="318"/>
      <c r="DI53" s="318"/>
      <c r="DJ53" s="318"/>
      <c r="DK53" s="318"/>
      <c r="DL53" s="318"/>
      <c r="DM53" s="318"/>
      <c r="DN53" s="318"/>
      <c r="DO53" s="318"/>
      <c r="DP53" s="318"/>
      <c r="DQ53" s="318"/>
      <c r="DR53" s="318"/>
      <c r="DS53" s="318"/>
      <c r="DT53" s="318"/>
      <c r="DU53" s="318"/>
      <c r="DV53" s="318"/>
      <c r="DW53" s="318"/>
      <c r="DX53" s="318"/>
      <c r="DY53" s="318"/>
      <c r="DZ53" s="318"/>
      <c r="EA53" s="318"/>
      <c r="EB53" s="318"/>
      <c r="EC53" s="318"/>
      <c r="ED53" s="318"/>
      <c r="EE53" s="318"/>
      <c r="EF53" s="318"/>
      <c r="EG53" s="318"/>
      <c r="EH53" s="318"/>
      <c r="EI53" s="318"/>
      <c r="EJ53" s="318"/>
      <c r="EK53" s="318"/>
      <c r="EL53" s="318"/>
      <c r="EM53" s="318"/>
      <c r="EN53" s="318"/>
      <c r="EO53" s="318"/>
      <c r="EP53" s="318"/>
      <c r="EQ53" s="318"/>
      <c r="ER53" s="318"/>
      <c r="ES53" s="318"/>
      <c r="ET53" s="318"/>
      <c r="EU53" s="318"/>
      <c r="EV53" s="318"/>
      <c r="EW53" s="318"/>
      <c r="EX53" s="318"/>
      <c r="EY53" s="318"/>
      <c r="EZ53" s="318"/>
      <c r="FA53" s="318"/>
      <c r="FB53" s="318"/>
      <c r="FC53" s="318"/>
      <c r="FD53" s="318"/>
      <c r="FE53" s="318"/>
      <c r="FF53" s="318"/>
      <c r="FG53" s="318"/>
      <c r="FH53" s="318"/>
      <c r="FI53" s="318"/>
      <c r="FJ53" s="318"/>
      <c r="FK53" s="318"/>
      <c r="FL53" s="318"/>
      <c r="FM53" s="318"/>
      <c r="FN53" s="318"/>
      <c r="FO53" s="318"/>
      <c r="FP53" s="318"/>
      <c r="FQ53" s="318"/>
      <c r="FR53" s="318"/>
      <c r="FS53" s="318"/>
      <c r="FT53" s="318"/>
      <c r="FU53" s="318"/>
      <c r="FV53" s="318"/>
      <c r="FW53" s="318"/>
      <c r="FX53" s="318"/>
      <c r="FY53" s="318"/>
      <c r="FZ53" s="318"/>
      <c r="GA53" s="318"/>
      <c r="GB53" s="318"/>
      <c r="GC53" s="318"/>
      <c r="GD53" s="318"/>
      <c r="GE53" s="318"/>
      <c r="GF53" s="318"/>
      <c r="GG53" s="318"/>
      <c r="GH53" s="318"/>
      <c r="GI53" s="318"/>
      <c r="GJ53" s="318"/>
      <c r="GK53" s="318"/>
      <c r="GL53" s="318"/>
      <c r="GM53" s="318"/>
      <c r="GN53" s="318"/>
      <c r="GO53" s="318"/>
      <c r="GP53" s="318"/>
      <c r="GQ53" s="318"/>
      <c r="GR53" s="318"/>
      <c r="GS53" s="318"/>
      <c r="GT53" s="318"/>
      <c r="GU53" s="318"/>
      <c r="GV53" s="318"/>
      <c r="GW53" s="318"/>
      <c r="GX53" s="318"/>
      <c r="GY53" s="318"/>
      <c r="GZ53" s="318"/>
      <c r="HA53" s="318"/>
      <c r="HB53" s="318"/>
      <c r="HC53" s="318"/>
      <c r="HD53" s="318"/>
      <c r="HE53" s="318"/>
      <c r="HF53" s="318"/>
      <c r="HG53" s="318"/>
      <c r="HH53" s="318"/>
      <c r="HI53" s="318"/>
      <c r="HJ53" s="318"/>
      <c r="HK53" s="318"/>
      <c r="HL53" s="318"/>
      <c r="HM53" s="318"/>
      <c r="HN53" s="318"/>
      <c r="HO53" s="318"/>
      <c r="HP53" s="318"/>
      <c r="HQ53" s="318"/>
      <c r="HR53" s="318"/>
      <c r="HS53" s="318"/>
      <c r="HT53" s="318"/>
      <c r="HU53" s="318"/>
      <c r="HV53" s="318"/>
      <c r="HW53" s="318"/>
      <c r="HX53" s="318"/>
      <c r="HY53" s="318"/>
      <c r="HZ53" s="318"/>
      <c r="IA53" s="318"/>
      <c r="IB53" s="318"/>
      <c r="IC53" s="318"/>
      <c r="ID53" s="318"/>
      <c r="IE53" s="318"/>
      <c r="IF53" s="318"/>
      <c r="IG53" s="318"/>
    </row>
    <row r="54" spans="1:241" s="260" customFormat="1" ht="15" hidden="1" customHeight="1" x14ac:dyDescent="0.3">
      <c r="A54" s="181">
        <v>7.06</v>
      </c>
      <c r="B54" s="239" t="s">
        <v>306</v>
      </c>
      <c r="C54" s="240" t="str">
        <f>VLOOKUP(BD.PD5[[#This Row],[Pos]],PPto[],3,FALSE)</f>
        <v>7.06 Balanzas</v>
      </c>
      <c r="D54" s="241" t="s">
        <v>306</v>
      </c>
      <c r="E54" s="242">
        <f>IF(BD.PD5[[#This Row],[.]]="*",VLOOKUP(BD.PD5[[#This Row],[Pos]],[15]Presupuesto!A:H,7,FALSE),"")</f>
        <v>0</v>
      </c>
      <c r="F54" s="243"/>
      <c r="G54" s="243"/>
      <c r="H54" s="243"/>
      <c r="I54" s="363"/>
      <c r="J54" s="241" t="s">
        <v>188</v>
      </c>
      <c r="K54" s="245">
        <f>IF(BD.PD5[[#This Row],[Mon]]="DOP",1,HLOOKUP(BD.PD5[[#This Row],[Mon]],$J$1:$K$2,2,FALSE))</f>
        <v>64</v>
      </c>
      <c r="L54" s="246">
        <v>0</v>
      </c>
      <c r="M54" s="247">
        <f>BD.PD5[[#This Row],[Cant.]]*BD.PD5[[#This Row],[ Tasa ]]*BD.PD5[[#This Row],[ Precio Und.]]</f>
        <v>0</v>
      </c>
      <c r="N54" s="248"/>
      <c r="O54" s="247">
        <f>IF(BD.PD5[[#This Row],[Liquid. '[%']]]&lt;&gt;0,(BD.PD5[[#This Row],[Valor Neto '[DOP']]]*BD.PD5[[#This Row],[Liquid. '[%']]])+BD.PD5[[#This Row],[Valor Neto '[DOP']]],BD.PD5[[#This Row],[Valor Neto '[DOP']]])</f>
        <v>0</v>
      </c>
      <c r="P54" s="249">
        <f>BD.PD5[[#This Row],[Ppto. Orden Interna '[DOP']]]/HLOOKUP("USD",$J$1:$K$2,2,FALSE)</f>
        <v>0</v>
      </c>
      <c r="Q54" s="340"/>
      <c r="R54" s="250"/>
      <c r="S54" s="250"/>
      <c r="T54" s="250"/>
      <c r="U54" s="250"/>
      <c r="V54" s="258"/>
      <c r="W54" s="251"/>
      <c r="X54" s="252"/>
      <c r="Y54" s="259">
        <f>BD.PD5[[#This Row],[Av.P1 '[%']]]*BD.PD5[[#This Row],[Ppto. Orden Interna '[DOP']]]</f>
        <v>0</v>
      </c>
      <c r="Z54" s="254"/>
      <c r="AA54" s="255"/>
      <c r="AB54" s="259">
        <f>BD.PD5[[#This Row],[Av.P2 '[%']]]*BD.PD5[[#This Row],[Ppto. Orden Interna '[DOP']]]</f>
        <v>0</v>
      </c>
      <c r="AC54" s="254"/>
      <c r="AD54" s="255"/>
      <c r="AE54" s="259">
        <f>BD.PD5[[#This Row],[Av.P3 '[%']]]*BD.PD5[[#This Row],[Ppto. Orden Interna '[DOP']]]</f>
        <v>0</v>
      </c>
      <c r="AF54" s="254"/>
      <c r="AG54" s="255"/>
      <c r="AH54" s="259">
        <f>BD.PD5[[#This Row],[Av.P4 '[%']]]*BD.PD5[[#This Row],[Ppto. Orden Interna '[DOP']]]</f>
        <v>0</v>
      </c>
      <c r="AI54" s="254"/>
      <c r="AJ54" s="255"/>
      <c r="AK54" s="259">
        <f>BD.PD5[[#This Row],[Av.P5 '[%']]]*BD.PD5[[#This Row],[Ppto. Orden Interna '[DOP']]]</f>
        <v>0</v>
      </c>
      <c r="AL54" s="256">
        <f>BD.PD5[[#This Row],[Pago 5]]+BD.PD5[[#This Row],[Pago 4]]+BD.PD5[[#This Row],[Pago 3]]+BD.PD5[[#This Row],[Pago 2]]+BD.PD5[[#This Row],[Pago 1]]</f>
        <v>0</v>
      </c>
      <c r="AM54" s="318"/>
      <c r="AN54" s="318"/>
      <c r="AO54" s="318"/>
      <c r="AP54" s="318"/>
      <c r="AQ54" s="318"/>
      <c r="AR54" s="318"/>
      <c r="AS54" s="318"/>
      <c r="AT54" s="318"/>
      <c r="AU54" s="318"/>
      <c r="AV54" s="318"/>
      <c r="AW54" s="318"/>
      <c r="AX54" s="318"/>
      <c r="AY54" s="318"/>
      <c r="AZ54" s="318"/>
      <c r="BA54" s="318"/>
      <c r="BB54" s="318"/>
      <c r="BC54" s="318"/>
      <c r="BD54" s="318"/>
      <c r="BE54" s="318"/>
      <c r="BF54" s="318"/>
      <c r="BG54" s="318"/>
      <c r="BH54" s="318"/>
      <c r="BI54" s="318"/>
      <c r="BJ54" s="318"/>
      <c r="BK54" s="318"/>
      <c r="BL54" s="318"/>
      <c r="BM54" s="318"/>
      <c r="BN54" s="318"/>
      <c r="BO54" s="318"/>
      <c r="BP54" s="318"/>
      <c r="BQ54" s="318"/>
      <c r="BR54" s="318"/>
      <c r="BS54" s="318"/>
      <c r="BT54" s="318"/>
      <c r="BU54" s="318"/>
      <c r="BV54" s="318"/>
      <c r="BW54" s="318"/>
      <c r="BX54" s="318"/>
      <c r="BY54" s="318"/>
      <c r="BZ54" s="318"/>
      <c r="CA54" s="318"/>
      <c r="CB54" s="318"/>
      <c r="CC54" s="318"/>
      <c r="CD54" s="318"/>
      <c r="CE54" s="318"/>
      <c r="CF54" s="318"/>
      <c r="CG54" s="318"/>
      <c r="CH54" s="318"/>
      <c r="CI54" s="318"/>
      <c r="CJ54" s="318"/>
      <c r="CK54" s="318"/>
      <c r="CL54" s="318"/>
      <c r="CM54" s="318"/>
      <c r="CN54" s="318"/>
      <c r="CO54" s="318"/>
      <c r="CP54" s="318"/>
      <c r="CQ54" s="318"/>
      <c r="CR54" s="318"/>
      <c r="CS54" s="318"/>
      <c r="CT54" s="318"/>
      <c r="CU54" s="318"/>
      <c r="CV54" s="318"/>
      <c r="CW54" s="318"/>
      <c r="CX54" s="318"/>
      <c r="CY54" s="318"/>
      <c r="CZ54" s="318"/>
      <c r="DA54" s="318"/>
      <c r="DB54" s="318"/>
      <c r="DC54" s="318"/>
      <c r="DD54" s="318"/>
      <c r="DE54" s="318"/>
      <c r="DF54" s="318"/>
      <c r="DG54" s="318"/>
      <c r="DH54" s="318"/>
      <c r="DI54" s="318"/>
      <c r="DJ54" s="318"/>
      <c r="DK54" s="318"/>
      <c r="DL54" s="318"/>
      <c r="DM54" s="318"/>
      <c r="DN54" s="318"/>
      <c r="DO54" s="318"/>
      <c r="DP54" s="318"/>
      <c r="DQ54" s="318"/>
      <c r="DR54" s="318"/>
      <c r="DS54" s="318"/>
      <c r="DT54" s="318"/>
      <c r="DU54" s="318"/>
      <c r="DV54" s="318"/>
      <c r="DW54" s="318"/>
      <c r="DX54" s="318"/>
      <c r="DY54" s="318"/>
      <c r="DZ54" s="318"/>
      <c r="EA54" s="318"/>
      <c r="EB54" s="318"/>
      <c r="EC54" s="318"/>
      <c r="ED54" s="318"/>
      <c r="EE54" s="318"/>
      <c r="EF54" s="318"/>
      <c r="EG54" s="318"/>
      <c r="EH54" s="318"/>
      <c r="EI54" s="318"/>
      <c r="EJ54" s="318"/>
      <c r="EK54" s="318"/>
      <c r="EL54" s="318"/>
      <c r="EM54" s="318"/>
      <c r="EN54" s="318"/>
      <c r="EO54" s="318"/>
      <c r="EP54" s="318"/>
      <c r="EQ54" s="318"/>
      <c r="ER54" s="318"/>
      <c r="ES54" s="318"/>
      <c r="ET54" s="318"/>
      <c r="EU54" s="318"/>
      <c r="EV54" s="318"/>
      <c r="EW54" s="318"/>
      <c r="EX54" s="318"/>
      <c r="EY54" s="318"/>
      <c r="EZ54" s="318"/>
      <c r="FA54" s="318"/>
      <c r="FB54" s="318"/>
      <c r="FC54" s="318"/>
      <c r="FD54" s="318"/>
      <c r="FE54" s="318"/>
      <c r="FF54" s="318"/>
      <c r="FG54" s="318"/>
      <c r="FH54" s="318"/>
      <c r="FI54" s="318"/>
      <c r="FJ54" s="318"/>
      <c r="FK54" s="318"/>
      <c r="FL54" s="318"/>
      <c r="FM54" s="318"/>
      <c r="FN54" s="318"/>
      <c r="FO54" s="318"/>
      <c r="FP54" s="318"/>
      <c r="FQ54" s="318"/>
      <c r="FR54" s="318"/>
      <c r="FS54" s="318"/>
      <c r="FT54" s="318"/>
      <c r="FU54" s="318"/>
      <c r="FV54" s="318"/>
      <c r="FW54" s="318"/>
      <c r="FX54" s="318"/>
      <c r="FY54" s="318"/>
      <c r="FZ54" s="318"/>
      <c r="GA54" s="318"/>
      <c r="GB54" s="318"/>
      <c r="GC54" s="318"/>
      <c r="GD54" s="318"/>
      <c r="GE54" s="318"/>
      <c r="GF54" s="318"/>
      <c r="GG54" s="318"/>
      <c r="GH54" s="318"/>
      <c r="GI54" s="318"/>
      <c r="GJ54" s="318"/>
      <c r="GK54" s="318"/>
      <c r="GL54" s="318"/>
      <c r="GM54" s="318"/>
      <c r="GN54" s="318"/>
      <c r="GO54" s="318"/>
      <c r="GP54" s="318"/>
      <c r="GQ54" s="318"/>
      <c r="GR54" s="318"/>
      <c r="GS54" s="318"/>
      <c r="GT54" s="318"/>
      <c r="GU54" s="318"/>
      <c r="GV54" s="318"/>
      <c r="GW54" s="318"/>
      <c r="GX54" s="318"/>
      <c r="GY54" s="318"/>
      <c r="GZ54" s="318"/>
      <c r="HA54" s="318"/>
      <c r="HB54" s="318"/>
      <c r="HC54" s="318"/>
      <c r="HD54" s="318"/>
      <c r="HE54" s="318"/>
      <c r="HF54" s="318"/>
      <c r="HG54" s="318"/>
      <c r="HH54" s="318"/>
      <c r="HI54" s="318"/>
      <c r="HJ54" s="318"/>
      <c r="HK54" s="318"/>
      <c r="HL54" s="318"/>
      <c r="HM54" s="318"/>
      <c r="HN54" s="318"/>
      <c r="HO54" s="318"/>
      <c r="HP54" s="318"/>
      <c r="HQ54" s="318"/>
      <c r="HR54" s="318"/>
      <c r="HS54" s="318"/>
      <c r="HT54" s="318"/>
      <c r="HU54" s="318"/>
      <c r="HV54" s="318"/>
      <c r="HW54" s="318"/>
      <c r="HX54" s="318"/>
      <c r="HY54" s="318"/>
      <c r="HZ54" s="318"/>
      <c r="IA54" s="318"/>
      <c r="IB54" s="318"/>
      <c r="IC54" s="318"/>
      <c r="ID54" s="318"/>
      <c r="IE54" s="318"/>
      <c r="IF54" s="318"/>
      <c r="IG54" s="318"/>
    </row>
    <row r="55" spans="1:241" s="260" customFormat="1" ht="15" hidden="1" customHeight="1" x14ac:dyDescent="0.3">
      <c r="A55" s="181">
        <v>7.07</v>
      </c>
      <c r="B55" s="239" t="s">
        <v>306</v>
      </c>
      <c r="C55" s="240" t="str">
        <f>VLOOKUP(BD.PD5[[#This Row],[Pos]],PPto[],3,FALSE)</f>
        <v>7.07 Otros Equipamientos de Producción</v>
      </c>
      <c r="D55" s="241" t="s">
        <v>306</v>
      </c>
      <c r="E55" s="242">
        <f>IF(BD.PD5[[#This Row],[.]]="*",VLOOKUP(BD.PD5[[#This Row],[Pos]],[15]Presupuesto!A:H,7,FALSE),"")</f>
        <v>0</v>
      </c>
      <c r="F55" s="243"/>
      <c r="G55" s="243"/>
      <c r="H55" s="243"/>
      <c r="I55" s="363"/>
      <c r="J55" s="241" t="s">
        <v>188</v>
      </c>
      <c r="K55" s="245">
        <f>IF(BD.PD5[[#This Row],[Mon]]="DOP",1,HLOOKUP(BD.PD5[[#This Row],[Mon]],$J$1:$K$2,2,FALSE))</f>
        <v>64</v>
      </c>
      <c r="L55" s="246">
        <v>0</v>
      </c>
      <c r="M55" s="247">
        <f>BD.PD5[[#This Row],[Cant.]]*BD.PD5[[#This Row],[ Tasa ]]*BD.PD5[[#This Row],[ Precio Und.]]</f>
        <v>0</v>
      </c>
      <c r="N55" s="248"/>
      <c r="O55" s="247">
        <f>IF(BD.PD5[[#This Row],[Liquid. '[%']]]&lt;&gt;0,(BD.PD5[[#This Row],[Valor Neto '[DOP']]]*BD.PD5[[#This Row],[Liquid. '[%']]])+BD.PD5[[#This Row],[Valor Neto '[DOP']]],BD.PD5[[#This Row],[Valor Neto '[DOP']]])</f>
        <v>0</v>
      </c>
      <c r="P55" s="249">
        <f>BD.PD5[[#This Row],[Ppto. Orden Interna '[DOP']]]/HLOOKUP("USD",$J$1:$K$2,2,FALSE)</f>
        <v>0</v>
      </c>
      <c r="Q55" s="340"/>
      <c r="R55" s="250"/>
      <c r="S55" s="250"/>
      <c r="T55" s="250"/>
      <c r="U55" s="250"/>
      <c r="V55" s="258"/>
      <c r="W55" s="251"/>
      <c r="X55" s="252"/>
      <c r="Y55" s="259">
        <f>BD.PD5[[#This Row],[Av.P1 '[%']]]*BD.PD5[[#This Row],[Ppto. Orden Interna '[DOP']]]</f>
        <v>0</v>
      </c>
      <c r="Z55" s="254"/>
      <c r="AA55" s="255"/>
      <c r="AB55" s="259">
        <f>BD.PD5[[#This Row],[Av.P2 '[%']]]*BD.PD5[[#This Row],[Ppto. Orden Interna '[DOP']]]</f>
        <v>0</v>
      </c>
      <c r="AC55" s="254"/>
      <c r="AD55" s="255"/>
      <c r="AE55" s="259">
        <f>BD.PD5[[#This Row],[Av.P3 '[%']]]*BD.PD5[[#This Row],[Ppto. Orden Interna '[DOP']]]</f>
        <v>0</v>
      </c>
      <c r="AF55" s="254"/>
      <c r="AG55" s="255"/>
      <c r="AH55" s="259">
        <f>BD.PD5[[#This Row],[Av.P4 '[%']]]*BD.PD5[[#This Row],[Ppto. Orden Interna '[DOP']]]</f>
        <v>0</v>
      </c>
      <c r="AI55" s="254"/>
      <c r="AJ55" s="255"/>
      <c r="AK55" s="259">
        <f>BD.PD5[[#This Row],[Av.P5 '[%']]]*BD.PD5[[#This Row],[Ppto. Orden Interna '[DOP']]]</f>
        <v>0</v>
      </c>
      <c r="AL55" s="256">
        <f>BD.PD5[[#This Row],[Pago 5]]+BD.PD5[[#This Row],[Pago 4]]+BD.PD5[[#This Row],[Pago 3]]+BD.PD5[[#This Row],[Pago 2]]+BD.PD5[[#This Row],[Pago 1]]</f>
        <v>0</v>
      </c>
      <c r="AM55" s="318"/>
      <c r="AN55" s="318"/>
      <c r="AO55" s="318"/>
      <c r="AP55" s="318"/>
      <c r="AQ55" s="318"/>
      <c r="AR55" s="318"/>
      <c r="AS55" s="318"/>
      <c r="AT55" s="318"/>
      <c r="AU55" s="318"/>
      <c r="AV55" s="318"/>
      <c r="AW55" s="318"/>
      <c r="AX55" s="318"/>
      <c r="AY55" s="318"/>
      <c r="AZ55" s="318"/>
      <c r="BA55" s="318"/>
      <c r="BB55" s="318"/>
      <c r="BC55" s="318"/>
      <c r="BD55" s="318"/>
      <c r="BE55" s="318"/>
      <c r="BF55" s="318"/>
      <c r="BG55" s="318"/>
      <c r="BH55" s="318"/>
      <c r="BI55" s="318"/>
      <c r="BJ55" s="318"/>
      <c r="BK55" s="318"/>
      <c r="BL55" s="318"/>
      <c r="BM55" s="318"/>
      <c r="BN55" s="318"/>
      <c r="BO55" s="318"/>
      <c r="BP55" s="318"/>
      <c r="BQ55" s="318"/>
      <c r="BR55" s="318"/>
      <c r="BS55" s="318"/>
      <c r="BT55" s="318"/>
      <c r="BU55" s="318"/>
      <c r="BV55" s="318"/>
      <c r="BW55" s="318"/>
      <c r="BX55" s="318"/>
      <c r="BY55" s="318"/>
      <c r="BZ55" s="318"/>
      <c r="CA55" s="318"/>
      <c r="CB55" s="318"/>
      <c r="CC55" s="318"/>
      <c r="CD55" s="318"/>
      <c r="CE55" s="318"/>
      <c r="CF55" s="318"/>
      <c r="CG55" s="318"/>
      <c r="CH55" s="318"/>
      <c r="CI55" s="318"/>
      <c r="CJ55" s="318"/>
      <c r="CK55" s="318"/>
      <c r="CL55" s="318"/>
      <c r="CM55" s="318"/>
      <c r="CN55" s="318"/>
      <c r="CO55" s="318"/>
      <c r="CP55" s="318"/>
      <c r="CQ55" s="318"/>
      <c r="CR55" s="318"/>
      <c r="CS55" s="318"/>
      <c r="CT55" s="318"/>
      <c r="CU55" s="318"/>
      <c r="CV55" s="318"/>
      <c r="CW55" s="318"/>
      <c r="CX55" s="318"/>
      <c r="CY55" s="318"/>
      <c r="CZ55" s="318"/>
      <c r="DA55" s="318"/>
      <c r="DB55" s="318"/>
      <c r="DC55" s="318"/>
      <c r="DD55" s="318"/>
      <c r="DE55" s="318"/>
      <c r="DF55" s="318"/>
      <c r="DG55" s="318"/>
      <c r="DH55" s="318"/>
      <c r="DI55" s="318"/>
      <c r="DJ55" s="318"/>
      <c r="DK55" s="318"/>
      <c r="DL55" s="318"/>
      <c r="DM55" s="318"/>
      <c r="DN55" s="318"/>
      <c r="DO55" s="318"/>
      <c r="DP55" s="318"/>
      <c r="DQ55" s="318"/>
      <c r="DR55" s="318"/>
      <c r="DS55" s="318"/>
      <c r="DT55" s="318"/>
      <c r="DU55" s="318"/>
      <c r="DV55" s="318"/>
      <c r="DW55" s="318"/>
      <c r="DX55" s="318"/>
      <c r="DY55" s="318"/>
      <c r="DZ55" s="318"/>
      <c r="EA55" s="318"/>
      <c r="EB55" s="318"/>
      <c r="EC55" s="318"/>
      <c r="ED55" s="318"/>
      <c r="EE55" s="318"/>
      <c r="EF55" s="318"/>
      <c r="EG55" s="318"/>
      <c r="EH55" s="318"/>
      <c r="EI55" s="318"/>
      <c r="EJ55" s="318"/>
      <c r="EK55" s="318"/>
      <c r="EL55" s="318"/>
      <c r="EM55" s="318"/>
      <c r="EN55" s="318"/>
      <c r="EO55" s="318"/>
      <c r="EP55" s="318"/>
      <c r="EQ55" s="318"/>
      <c r="ER55" s="318"/>
      <c r="ES55" s="318"/>
      <c r="ET55" s="318"/>
      <c r="EU55" s="318"/>
      <c r="EV55" s="318"/>
      <c r="EW55" s="318"/>
      <c r="EX55" s="318"/>
      <c r="EY55" s="318"/>
      <c r="EZ55" s="318"/>
      <c r="FA55" s="318"/>
      <c r="FB55" s="318"/>
      <c r="FC55" s="318"/>
      <c r="FD55" s="318"/>
      <c r="FE55" s="318"/>
      <c r="FF55" s="318"/>
      <c r="FG55" s="318"/>
      <c r="FH55" s="318"/>
      <c r="FI55" s="318"/>
      <c r="FJ55" s="318"/>
      <c r="FK55" s="318"/>
      <c r="FL55" s="318"/>
      <c r="FM55" s="318"/>
      <c r="FN55" s="318"/>
      <c r="FO55" s="318"/>
      <c r="FP55" s="318"/>
      <c r="FQ55" s="318"/>
      <c r="FR55" s="318"/>
      <c r="FS55" s="318"/>
      <c r="FT55" s="318"/>
      <c r="FU55" s="318"/>
      <c r="FV55" s="318"/>
      <c r="FW55" s="318"/>
      <c r="FX55" s="318"/>
      <c r="FY55" s="318"/>
      <c r="FZ55" s="318"/>
      <c r="GA55" s="318"/>
      <c r="GB55" s="318"/>
      <c r="GC55" s="318"/>
      <c r="GD55" s="318"/>
      <c r="GE55" s="318"/>
      <c r="GF55" s="318"/>
      <c r="GG55" s="318"/>
      <c r="GH55" s="318"/>
      <c r="GI55" s="318"/>
      <c r="GJ55" s="318"/>
      <c r="GK55" s="318"/>
      <c r="GL55" s="318"/>
      <c r="GM55" s="318"/>
      <c r="GN55" s="318"/>
      <c r="GO55" s="318"/>
      <c r="GP55" s="318"/>
      <c r="GQ55" s="318"/>
      <c r="GR55" s="318"/>
      <c r="GS55" s="318"/>
      <c r="GT55" s="318"/>
      <c r="GU55" s="318"/>
      <c r="GV55" s="318"/>
      <c r="GW55" s="318"/>
      <c r="GX55" s="318"/>
      <c r="GY55" s="318"/>
      <c r="GZ55" s="318"/>
      <c r="HA55" s="318"/>
      <c r="HB55" s="318"/>
      <c r="HC55" s="318"/>
      <c r="HD55" s="318"/>
      <c r="HE55" s="318"/>
      <c r="HF55" s="318"/>
      <c r="HG55" s="318"/>
      <c r="HH55" s="318"/>
      <c r="HI55" s="318"/>
      <c r="HJ55" s="318"/>
      <c r="HK55" s="318"/>
      <c r="HL55" s="318"/>
      <c r="HM55" s="318"/>
      <c r="HN55" s="318"/>
      <c r="HO55" s="318"/>
      <c r="HP55" s="318"/>
      <c r="HQ55" s="318"/>
      <c r="HR55" s="318"/>
      <c r="HS55" s="318"/>
      <c r="HT55" s="318"/>
      <c r="HU55" s="318"/>
      <c r="HV55" s="318"/>
      <c r="HW55" s="318"/>
      <c r="HX55" s="318"/>
      <c r="HY55" s="318"/>
      <c r="HZ55" s="318"/>
      <c r="IA55" s="318"/>
      <c r="IB55" s="318"/>
      <c r="IC55" s="318"/>
      <c r="ID55" s="318"/>
      <c r="IE55" s="318"/>
      <c r="IF55" s="318"/>
      <c r="IG55" s="318"/>
    </row>
    <row r="56" spans="1:241" s="260" customFormat="1" ht="15" hidden="1" customHeight="1" x14ac:dyDescent="0.3">
      <c r="A56" s="181">
        <v>8.01</v>
      </c>
      <c r="B56" s="239" t="s">
        <v>306</v>
      </c>
      <c r="C56" s="240" t="str">
        <f>VLOOKUP(BD.PD5[[#This Row],[Pos]],PPto[],3,FALSE)</f>
        <v>8.01 Gondolas</v>
      </c>
      <c r="D56" s="241" t="s">
        <v>306</v>
      </c>
      <c r="E56" s="242">
        <f>IF(BD.PD5[[#This Row],[.]]="*",VLOOKUP(BD.PD5[[#This Row],[Pos]],[15]Presupuesto!A:H,7,FALSE),"")</f>
        <v>0</v>
      </c>
      <c r="F56" s="243"/>
      <c r="G56" s="243"/>
      <c r="H56" s="243"/>
      <c r="I56" s="363"/>
      <c r="J56" s="241" t="s">
        <v>188</v>
      </c>
      <c r="K56" s="245">
        <f>IF(BD.PD5[[#This Row],[Mon]]="DOP",1,HLOOKUP(BD.PD5[[#This Row],[Mon]],$J$1:$K$2,2,FALSE))</f>
        <v>64</v>
      </c>
      <c r="L56" s="246">
        <v>0</v>
      </c>
      <c r="M56" s="247">
        <f>BD.PD5[[#This Row],[Cant.]]*BD.PD5[[#This Row],[ Tasa ]]*BD.PD5[[#This Row],[ Precio Und.]]</f>
        <v>0</v>
      </c>
      <c r="N56" s="248"/>
      <c r="O56" s="247">
        <f>IF(BD.PD5[[#This Row],[Liquid. '[%']]]&lt;&gt;0,(BD.PD5[[#This Row],[Valor Neto '[DOP']]]*BD.PD5[[#This Row],[Liquid. '[%']]])+BD.PD5[[#This Row],[Valor Neto '[DOP']]],BD.PD5[[#This Row],[Valor Neto '[DOP']]])</f>
        <v>0</v>
      </c>
      <c r="P56" s="249">
        <f>BD.PD5[[#This Row],[Ppto. Orden Interna '[DOP']]]/HLOOKUP("USD",$J$1:$K$2,2,FALSE)</f>
        <v>0</v>
      </c>
      <c r="Q56" s="340"/>
      <c r="R56" s="250"/>
      <c r="S56" s="250"/>
      <c r="T56" s="250"/>
      <c r="U56" s="250"/>
      <c r="V56" s="258"/>
      <c r="W56" s="251"/>
      <c r="X56" s="252"/>
      <c r="Y56" s="259">
        <f>BD.PD5[[#This Row],[Av.P1 '[%']]]*BD.PD5[[#This Row],[Ppto. Orden Interna '[DOP']]]</f>
        <v>0</v>
      </c>
      <c r="Z56" s="254"/>
      <c r="AA56" s="255"/>
      <c r="AB56" s="259">
        <f>BD.PD5[[#This Row],[Av.P2 '[%']]]*BD.PD5[[#This Row],[Ppto. Orden Interna '[DOP']]]</f>
        <v>0</v>
      </c>
      <c r="AC56" s="254"/>
      <c r="AD56" s="255"/>
      <c r="AE56" s="259">
        <f>BD.PD5[[#This Row],[Av.P3 '[%']]]*BD.PD5[[#This Row],[Ppto. Orden Interna '[DOP']]]</f>
        <v>0</v>
      </c>
      <c r="AF56" s="254"/>
      <c r="AG56" s="255"/>
      <c r="AH56" s="259">
        <f>BD.PD5[[#This Row],[Av.P4 '[%']]]*BD.PD5[[#This Row],[Ppto. Orden Interna '[DOP']]]</f>
        <v>0</v>
      </c>
      <c r="AI56" s="254"/>
      <c r="AJ56" s="255"/>
      <c r="AK56" s="259">
        <f>BD.PD5[[#This Row],[Av.P5 '[%']]]*BD.PD5[[#This Row],[Ppto. Orden Interna '[DOP']]]</f>
        <v>0</v>
      </c>
      <c r="AL56" s="256">
        <f>BD.PD5[[#This Row],[Pago 5]]+BD.PD5[[#This Row],[Pago 4]]+BD.PD5[[#This Row],[Pago 3]]+BD.PD5[[#This Row],[Pago 2]]+BD.PD5[[#This Row],[Pago 1]]</f>
        <v>0</v>
      </c>
      <c r="AM56" s="318"/>
      <c r="AN56" s="318"/>
      <c r="AO56" s="318"/>
      <c r="AP56" s="318"/>
      <c r="AQ56" s="318"/>
      <c r="AR56" s="318"/>
      <c r="AS56" s="318"/>
      <c r="AT56" s="318"/>
      <c r="AU56" s="318"/>
      <c r="AV56" s="318"/>
      <c r="AW56" s="318"/>
      <c r="AX56" s="318"/>
      <c r="AY56" s="318"/>
      <c r="AZ56" s="318"/>
      <c r="BA56" s="318"/>
      <c r="BB56" s="318"/>
      <c r="BC56" s="318"/>
      <c r="BD56" s="318"/>
      <c r="BE56" s="318"/>
      <c r="BF56" s="318"/>
      <c r="BG56" s="318"/>
      <c r="BH56" s="318"/>
      <c r="BI56" s="318"/>
      <c r="BJ56" s="318"/>
      <c r="BK56" s="318"/>
      <c r="BL56" s="318"/>
      <c r="BM56" s="318"/>
      <c r="BN56" s="318"/>
      <c r="BO56" s="318"/>
      <c r="BP56" s="318"/>
      <c r="BQ56" s="318"/>
      <c r="BR56" s="318"/>
      <c r="BS56" s="318"/>
      <c r="BT56" s="318"/>
      <c r="BU56" s="318"/>
      <c r="BV56" s="318"/>
      <c r="BW56" s="318"/>
      <c r="BX56" s="318"/>
      <c r="BY56" s="318"/>
      <c r="BZ56" s="318"/>
      <c r="CA56" s="318"/>
      <c r="CB56" s="318"/>
      <c r="CC56" s="318"/>
      <c r="CD56" s="318"/>
      <c r="CE56" s="318"/>
      <c r="CF56" s="318"/>
      <c r="CG56" s="318"/>
      <c r="CH56" s="318"/>
      <c r="CI56" s="318"/>
      <c r="CJ56" s="318"/>
      <c r="CK56" s="318"/>
      <c r="CL56" s="318"/>
      <c r="CM56" s="318"/>
      <c r="CN56" s="318"/>
      <c r="CO56" s="318"/>
      <c r="CP56" s="318"/>
      <c r="CQ56" s="318"/>
      <c r="CR56" s="318"/>
      <c r="CS56" s="318"/>
      <c r="CT56" s="318"/>
      <c r="CU56" s="318"/>
      <c r="CV56" s="318"/>
      <c r="CW56" s="318"/>
      <c r="CX56" s="318"/>
      <c r="CY56" s="318"/>
      <c r="CZ56" s="318"/>
      <c r="DA56" s="318"/>
      <c r="DB56" s="318"/>
      <c r="DC56" s="318"/>
      <c r="DD56" s="318"/>
      <c r="DE56" s="318"/>
      <c r="DF56" s="318"/>
      <c r="DG56" s="318"/>
      <c r="DH56" s="318"/>
      <c r="DI56" s="318"/>
      <c r="DJ56" s="318"/>
      <c r="DK56" s="318"/>
      <c r="DL56" s="318"/>
      <c r="DM56" s="318"/>
      <c r="DN56" s="318"/>
      <c r="DO56" s="318"/>
      <c r="DP56" s="318"/>
      <c r="DQ56" s="318"/>
      <c r="DR56" s="318"/>
      <c r="DS56" s="318"/>
      <c r="DT56" s="318"/>
      <c r="DU56" s="318"/>
      <c r="DV56" s="318"/>
      <c r="DW56" s="318"/>
      <c r="DX56" s="318"/>
      <c r="DY56" s="318"/>
      <c r="DZ56" s="318"/>
      <c r="EA56" s="318"/>
      <c r="EB56" s="318"/>
      <c r="EC56" s="318"/>
      <c r="ED56" s="318"/>
      <c r="EE56" s="318"/>
      <c r="EF56" s="318"/>
      <c r="EG56" s="318"/>
      <c r="EH56" s="318"/>
      <c r="EI56" s="318"/>
      <c r="EJ56" s="318"/>
      <c r="EK56" s="318"/>
      <c r="EL56" s="318"/>
      <c r="EM56" s="318"/>
      <c r="EN56" s="318"/>
      <c r="EO56" s="318"/>
      <c r="EP56" s="318"/>
      <c r="EQ56" s="318"/>
      <c r="ER56" s="318"/>
      <c r="ES56" s="318"/>
      <c r="ET56" s="318"/>
      <c r="EU56" s="318"/>
      <c r="EV56" s="318"/>
      <c r="EW56" s="318"/>
      <c r="EX56" s="318"/>
      <c r="EY56" s="318"/>
      <c r="EZ56" s="318"/>
      <c r="FA56" s="318"/>
      <c r="FB56" s="318"/>
      <c r="FC56" s="318"/>
      <c r="FD56" s="318"/>
      <c r="FE56" s="318"/>
      <c r="FF56" s="318"/>
      <c r="FG56" s="318"/>
      <c r="FH56" s="318"/>
      <c r="FI56" s="318"/>
      <c r="FJ56" s="318"/>
      <c r="FK56" s="318"/>
      <c r="FL56" s="318"/>
      <c r="FM56" s="318"/>
      <c r="FN56" s="318"/>
      <c r="FO56" s="318"/>
      <c r="FP56" s="318"/>
      <c r="FQ56" s="318"/>
      <c r="FR56" s="318"/>
      <c r="FS56" s="318"/>
      <c r="FT56" s="318"/>
      <c r="FU56" s="318"/>
      <c r="FV56" s="318"/>
      <c r="FW56" s="318"/>
      <c r="FX56" s="318"/>
      <c r="FY56" s="318"/>
      <c r="FZ56" s="318"/>
      <c r="GA56" s="318"/>
      <c r="GB56" s="318"/>
      <c r="GC56" s="318"/>
      <c r="GD56" s="318"/>
      <c r="GE56" s="318"/>
      <c r="GF56" s="318"/>
      <c r="GG56" s="318"/>
      <c r="GH56" s="318"/>
      <c r="GI56" s="318"/>
      <c r="GJ56" s="318"/>
      <c r="GK56" s="318"/>
      <c r="GL56" s="318"/>
      <c r="GM56" s="318"/>
      <c r="GN56" s="318"/>
      <c r="GO56" s="318"/>
      <c r="GP56" s="318"/>
      <c r="GQ56" s="318"/>
      <c r="GR56" s="318"/>
      <c r="GS56" s="318"/>
      <c r="GT56" s="318"/>
      <c r="GU56" s="318"/>
      <c r="GV56" s="318"/>
      <c r="GW56" s="318"/>
      <c r="GX56" s="318"/>
      <c r="GY56" s="318"/>
      <c r="GZ56" s="318"/>
      <c r="HA56" s="318"/>
      <c r="HB56" s="318"/>
      <c r="HC56" s="318"/>
      <c r="HD56" s="318"/>
      <c r="HE56" s="318"/>
      <c r="HF56" s="318"/>
      <c r="HG56" s="318"/>
      <c r="HH56" s="318"/>
      <c r="HI56" s="318"/>
      <c r="HJ56" s="318"/>
      <c r="HK56" s="318"/>
      <c r="HL56" s="318"/>
      <c r="HM56" s="318"/>
      <c r="HN56" s="318"/>
      <c r="HO56" s="318"/>
      <c r="HP56" s="318"/>
      <c r="HQ56" s="318"/>
      <c r="HR56" s="318"/>
      <c r="HS56" s="318"/>
      <c r="HT56" s="318"/>
      <c r="HU56" s="318"/>
      <c r="HV56" s="318"/>
      <c r="HW56" s="318"/>
      <c r="HX56" s="318"/>
      <c r="HY56" s="318"/>
      <c r="HZ56" s="318"/>
      <c r="IA56" s="318"/>
      <c r="IB56" s="318"/>
      <c r="IC56" s="318"/>
      <c r="ID56" s="318"/>
      <c r="IE56" s="318"/>
      <c r="IF56" s="318"/>
      <c r="IG56" s="318"/>
    </row>
    <row r="57" spans="1:241" s="260" customFormat="1" ht="15" hidden="1" customHeight="1" x14ac:dyDescent="0.3">
      <c r="A57" s="181">
        <v>8.02</v>
      </c>
      <c r="B57" s="239" t="s">
        <v>306</v>
      </c>
      <c r="C57" s="240" t="str">
        <f>VLOOKUP(BD.PD5[[#This Row],[Pos]],PPto[],3,FALSE)</f>
        <v>8.02 Checkout</v>
      </c>
      <c r="D57" s="241" t="s">
        <v>306</v>
      </c>
      <c r="E57" s="242">
        <f>IF(BD.PD5[[#This Row],[.]]="*",VLOOKUP(BD.PD5[[#This Row],[Pos]],[15]Presupuesto!A:H,7,FALSE),"")</f>
        <v>0</v>
      </c>
      <c r="F57" s="243"/>
      <c r="G57" s="243"/>
      <c r="H57" s="243"/>
      <c r="I57" s="363"/>
      <c r="J57" s="241" t="s">
        <v>188</v>
      </c>
      <c r="K57" s="245">
        <f>IF(BD.PD5[[#This Row],[Mon]]="DOP",1,HLOOKUP(BD.PD5[[#This Row],[Mon]],$J$1:$K$2,2,FALSE))</f>
        <v>64</v>
      </c>
      <c r="L57" s="246">
        <v>0</v>
      </c>
      <c r="M57" s="247">
        <f>BD.PD5[[#This Row],[Cant.]]*BD.PD5[[#This Row],[ Tasa ]]*BD.PD5[[#This Row],[ Precio Und.]]</f>
        <v>0</v>
      </c>
      <c r="N57" s="248"/>
      <c r="O57" s="247">
        <f>IF(BD.PD5[[#This Row],[Liquid. '[%']]]&lt;&gt;0,(BD.PD5[[#This Row],[Valor Neto '[DOP']]]*BD.PD5[[#This Row],[Liquid. '[%']]])+BD.PD5[[#This Row],[Valor Neto '[DOP']]],BD.PD5[[#This Row],[Valor Neto '[DOP']]])</f>
        <v>0</v>
      </c>
      <c r="P57" s="249">
        <f>BD.PD5[[#This Row],[Ppto. Orden Interna '[DOP']]]/HLOOKUP("USD",$J$1:$K$2,2,FALSE)</f>
        <v>0</v>
      </c>
      <c r="Q57" s="340"/>
      <c r="R57" s="250"/>
      <c r="S57" s="250"/>
      <c r="T57" s="250"/>
      <c r="U57" s="250"/>
      <c r="V57" s="258"/>
      <c r="W57" s="251"/>
      <c r="X57" s="252"/>
      <c r="Y57" s="259">
        <f>BD.PD5[[#This Row],[Av.P1 '[%']]]*BD.PD5[[#This Row],[Ppto. Orden Interna '[DOP']]]</f>
        <v>0</v>
      </c>
      <c r="Z57" s="254"/>
      <c r="AA57" s="255"/>
      <c r="AB57" s="259">
        <f>BD.PD5[[#This Row],[Av.P2 '[%']]]*BD.PD5[[#This Row],[Ppto. Orden Interna '[DOP']]]</f>
        <v>0</v>
      </c>
      <c r="AC57" s="254"/>
      <c r="AD57" s="255"/>
      <c r="AE57" s="259">
        <f>BD.PD5[[#This Row],[Av.P3 '[%']]]*BD.PD5[[#This Row],[Ppto. Orden Interna '[DOP']]]</f>
        <v>0</v>
      </c>
      <c r="AF57" s="254"/>
      <c r="AG57" s="255"/>
      <c r="AH57" s="259">
        <f>BD.PD5[[#This Row],[Av.P4 '[%']]]*BD.PD5[[#This Row],[Ppto. Orden Interna '[DOP']]]</f>
        <v>0</v>
      </c>
      <c r="AI57" s="254"/>
      <c r="AJ57" s="255"/>
      <c r="AK57" s="259">
        <f>BD.PD5[[#This Row],[Av.P5 '[%']]]*BD.PD5[[#This Row],[Ppto. Orden Interna '[DOP']]]</f>
        <v>0</v>
      </c>
      <c r="AL57" s="256">
        <f>BD.PD5[[#This Row],[Pago 5]]+BD.PD5[[#This Row],[Pago 4]]+BD.PD5[[#This Row],[Pago 3]]+BD.PD5[[#This Row],[Pago 2]]+BD.PD5[[#This Row],[Pago 1]]</f>
        <v>0</v>
      </c>
      <c r="AM57" s="318"/>
      <c r="AN57" s="318"/>
      <c r="AO57" s="318"/>
      <c r="AP57" s="318"/>
      <c r="AQ57" s="318"/>
      <c r="AR57" s="318"/>
      <c r="AS57" s="318"/>
      <c r="AT57" s="318"/>
      <c r="AU57" s="318"/>
      <c r="AV57" s="318"/>
      <c r="AW57" s="318"/>
      <c r="AX57" s="318"/>
      <c r="AY57" s="318"/>
      <c r="AZ57" s="318"/>
      <c r="BA57" s="318"/>
      <c r="BB57" s="318"/>
      <c r="BC57" s="318"/>
      <c r="BD57" s="318"/>
      <c r="BE57" s="318"/>
      <c r="BF57" s="318"/>
      <c r="BG57" s="318"/>
      <c r="BH57" s="318"/>
      <c r="BI57" s="318"/>
      <c r="BJ57" s="318"/>
      <c r="BK57" s="318"/>
      <c r="BL57" s="318"/>
      <c r="BM57" s="318"/>
      <c r="BN57" s="318"/>
      <c r="BO57" s="318"/>
      <c r="BP57" s="318"/>
      <c r="BQ57" s="318"/>
      <c r="BR57" s="318"/>
      <c r="BS57" s="318"/>
      <c r="BT57" s="318"/>
      <c r="BU57" s="318"/>
      <c r="BV57" s="318"/>
      <c r="BW57" s="318"/>
      <c r="BX57" s="318"/>
      <c r="BY57" s="318"/>
      <c r="BZ57" s="318"/>
      <c r="CA57" s="318"/>
      <c r="CB57" s="318"/>
      <c r="CC57" s="318"/>
      <c r="CD57" s="318"/>
      <c r="CE57" s="318"/>
      <c r="CF57" s="318"/>
      <c r="CG57" s="318"/>
      <c r="CH57" s="318"/>
      <c r="CI57" s="318"/>
      <c r="CJ57" s="318"/>
      <c r="CK57" s="318"/>
      <c r="CL57" s="318"/>
      <c r="CM57" s="318"/>
      <c r="CN57" s="318"/>
      <c r="CO57" s="318"/>
      <c r="CP57" s="318"/>
      <c r="CQ57" s="318"/>
      <c r="CR57" s="318"/>
      <c r="CS57" s="318"/>
      <c r="CT57" s="318"/>
      <c r="CU57" s="318"/>
      <c r="CV57" s="318"/>
      <c r="CW57" s="318"/>
      <c r="CX57" s="318"/>
      <c r="CY57" s="318"/>
      <c r="CZ57" s="318"/>
      <c r="DA57" s="318"/>
      <c r="DB57" s="318"/>
      <c r="DC57" s="318"/>
      <c r="DD57" s="318"/>
      <c r="DE57" s="318"/>
      <c r="DF57" s="318"/>
      <c r="DG57" s="318"/>
      <c r="DH57" s="318"/>
      <c r="DI57" s="318"/>
      <c r="DJ57" s="318"/>
      <c r="DK57" s="318"/>
      <c r="DL57" s="318"/>
      <c r="DM57" s="318"/>
      <c r="DN57" s="318"/>
      <c r="DO57" s="318"/>
      <c r="DP57" s="318"/>
      <c r="DQ57" s="318"/>
      <c r="DR57" s="318"/>
      <c r="DS57" s="318"/>
      <c r="DT57" s="318"/>
      <c r="DU57" s="318"/>
      <c r="DV57" s="318"/>
      <c r="DW57" s="318"/>
      <c r="DX57" s="318"/>
      <c r="DY57" s="318"/>
      <c r="DZ57" s="318"/>
      <c r="EA57" s="318"/>
      <c r="EB57" s="318"/>
      <c r="EC57" s="318"/>
      <c r="ED57" s="318"/>
      <c r="EE57" s="318"/>
      <c r="EF57" s="318"/>
      <c r="EG57" s="318"/>
      <c r="EH57" s="318"/>
      <c r="EI57" s="318"/>
      <c r="EJ57" s="318"/>
      <c r="EK57" s="318"/>
      <c r="EL57" s="318"/>
      <c r="EM57" s="318"/>
      <c r="EN57" s="318"/>
      <c r="EO57" s="318"/>
      <c r="EP57" s="318"/>
      <c r="EQ57" s="318"/>
      <c r="ER57" s="318"/>
      <c r="ES57" s="318"/>
      <c r="ET57" s="318"/>
      <c r="EU57" s="318"/>
      <c r="EV57" s="318"/>
      <c r="EW57" s="318"/>
      <c r="EX57" s="318"/>
      <c r="EY57" s="318"/>
      <c r="EZ57" s="318"/>
      <c r="FA57" s="318"/>
      <c r="FB57" s="318"/>
      <c r="FC57" s="318"/>
      <c r="FD57" s="318"/>
      <c r="FE57" s="318"/>
      <c r="FF57" s="318"/>
      <c r="FG57" s="318"/>
      <c r="FH57" s="318"/>
      <c r="FI57" s="318"/>
      <c r="FJ57" s="318"/>
      <c r="FK57" s="318"/>
      <c r="FL57" s="318"/>
      <c r="FM57" s="318"/>
      <c r="FN57" s="318"/>
      <c r="FO57" s="318"/>
      <c r="FP57" s="318"/>
      <c r="FQ57" s="318"/>
      <c r="FR57" s="318"/>
      <c r="FS57" s="318"/>
      <c r="FT57" s="318"/>
      <c r="FU57" s="318"/>
      <c r="FV57" s="318"/>
      <c r="FW57" s="318"/>
      <c r="FX57" s="318"/>
      <c r="FY57" s="318"/>
      <c r="FZ57" s="318"/>
      <c r="GA57" s="318"/>
      <c r="GB57" s="318"/>
      <c r="GC57" s="318"/>
      <c r="GD57" s="318"/>
      <c r="GE57" s="318"/>
      <c r="GF57" s="318"/>
      <c r="GG57" s="318"/>
      <c r="GH57" s="318"/>
      <c r="GI57" s="318"/>
      <c r="GJ57" s="318"/>
      <c r="GK57" s="318"/>
      <c r="GL57" s="318"/>
      <c r="GM57" s="318"/>
      <c r="GN57" s="318"/>
      <c r="GO57" s="318"/>
      <c r="GP57" s="318"/>
      <c r="GQ57" s="318"/>
      <c r="GR57" s="318"/>
      <c r="GS57" s="318"/>
      <c r="GT57" s="318"/>
      <c r="GU57" s="318"/>
      <c r="GV57" s="318"/>
      <c r="GW57" s="318"/>
      <c r="GX57" s="318"/>
      <c r="GY57" s="318"/>
      <c r="GZ57" s="318"/>
      <c r="HA57" s="318"/>
      <c r="HB57" s="318"/>
      <c r="HC57" s="318"/>
      <c r="HD57" s="318"/>
      <c r="HE57" s="318"/>
      <c r="HF57" s="318"/>
      <c r="HG57" s="318"/>
      <c r="HH57" s="318"/>
      <c r="HI57" s="318"/>
      <c r="HJ57" s="318"/>
      <c r="HK57" s="318"/>
      <c r="HL57" s="318"/>
      <c r="HM57" s="318"/>
      <c r="HN57" s="318"/>
      <c r="HO57" s="318"/>
      <c r="HP57" s="318"/>
      <c r="HQ57" s="318"/>
      <c r="HR57" s="318"/>
      <c r="HS57" s="318"/>
      <c r="HT57" s="318"/>
      <c r="HU57" s="318"/>
      <c r="HV57" s="318"/>
      <c r="HW57" s="318"/>
      <c r="HX57" s="318"/>
      <c r="HY57" s="318"/>
      <c r="HZ57" s="318"/>
      <c r="IA57" s="318"/>
      <c r="IB57" s="318"/>
      <c r="IC57" s="318"/>
      <c r="ID57" s="318"/>
      <c r="IE57" s="318"/>
      <c r="IF57" s="318"/>
      <c r="IG57" s="318"/>
    </row>
    <row r="58" spans="1:241" s="260" customFormat="1" ht="15" hidden="1" customHeight="1" x14ac:dyDescent="0.3">
      <c r="A58" s="181">
        <v>8.0299999999999994</v>
      </c>
      <c r="B58" s="239" t="s">
        <v>306</v>
      </c>
      <c r="C58" s="240" t="str">
        <f>VLOOKUP(BD.PD5[[#This Row],[Pos]],PPto[],3,FALSE)</f>
        <v>8.03 Carritos, Canastas y Accesorios</v>
      </c>
      <c r="D58" s="241" t="s">
        <v>306</v>
      </c>
      <c r="E58" s="242">
        <f>IF(BD.PD5[[#This Row],[.]]="*",VLOOKUP(BD.PD5[[#This Row],[Pos]],[15]Presupuesto!A:H,7,FALSE),"")</f>
        <v>0</v>
      </c>
      <c r="F58" s="243"/>
      <c r="G58" s="243"/>
      <c r="H58" s="243"/>
      <c r="I58" s="363"/>
      <c r="J58" s="241" t="s">
        <v>188</v>
      </c>
      <c r="K58" s="245">
        <f>IF(BD.PD5[[#This Row],[Mon]]="DOP",1,HLOOKUP(BD.PD5[[#This Row],[Mon]],$J$1:$K$2,2,FALSE))</f>
        <v>64</v>
      </c>
      <c r="L58" s="246">
        <v>0</v>
      </c>
      <c r="M58" s="247">
        <f>BD.PD5[[#This Row],[Cant.]]*BD.PD5[[#This Row],[ Tasa ]]*BD.PD5[[#This Row],[ Precio Und.]]</f>
        <v>0</v>
      </c>
      <c r="N58" s="248"/>
      <c r="O58" s="247">
        <f>IF(BD.PD5[[#This Row],[Liquid. '[%']]]&lt;&gt;0,(BD.PD5[[#This Row],[Valor Neto '[DOP']]]*BD.PD5[[#This Row],[Liquid. '[%']]])+BD.PD5[[#This Row],[Valor Neto '[DOP']]],BD.PD5[[#This Row],[Valor Neto '[DOP']]])</f>
        <v>0</v>
      </c>
      <c r="P58" s="257">
        <f>BD.PD5[[#This Row],[Ppto. Orden Interna '[DOP']]]/HLOOKUP("USD",$J$1:$K$2,2,FALSE)</f>
        <v>0</v>
      </c>
      <c r="Q58" s="340"/>
      <c r="R58" s="250"/>
      <c r="S58" s="250"/>
      <c r="T58" s="250"/>
      <c r="U58" s="250"/>
      <c r="V58" s="258"/>
      <c r="W58" s="251"/>
      <c r="X58" s="252"/>
      <c r="Y58" s="259">
        <f>BD.PD5[[#This Row],[Av.P1 '[%']]]*BD.PD5[[#This Row],[Ppto. Orden Interna '[DOP']]]</f>
        <v>0</v>
      </c>
      <c r="Z58" s="254"/>
      <c r="AA58" s="255"/>
      <c r="AB58" s="259">
        <f>BD.PD5[[#This Row],[Av.P2 '[%']]]*BD.PD5[[#This Row],[Ppto. Orden Interna '[DOP']]]</f>
        <v>0</v>
      </c>
      <c r="AC58" s="254"/>
      <c r="AD58" s="255"/>
      <c r="AE58" s="259">
        <f>BD.PD5[[#This Row],[Av.P3 '[%']]]*BD.PD5[[#This Row],[Ppto. Orden Interna '[DOP']]]</f>
        <v>0</v>
      </c>
      <c r="AF58" s="254"/>
      <c r="AG58" s="255"/>
      <c r="AH58" s="259">
        <f>BD.PD5[[#This Row],[Av.P4 '[%']]]*BD.PD5[[#This Row],[Ppto. Orden Interna '[DOP']]]</f>
        <v>0</v>
      </c>
      <c r="AI58" s="254"/>
      <c r="AJ58" s="255"/>
      <c r="AK58" s="259">
        <f>BD.PD5[[#This Row],[Av.P5 '[%']]]*BD.PD5[[#This Row],[Ppto. Orden Interna '[DOP']]]</f>
        <v>0</v>
      </c>
      <c r="AL58" s="256">
        <f>BD.PD5[[#This Row],[Pago 5]]+BD.PD5[[#This Row],[Pago 4]]+BD.PD5[[#This Row],[Pago 3]]+BD.PD5[[#This Row],[Pago 2]]+BD.PD5[[#This Row],[Pago 1]]</f>
        <v>0</v>
      </c>
      <c r="AM58" s="318"/>
      <c r="AN58" s="318"/>
      <c r="AO58" s="318"/>
      <c r="AP58" s="318"/>
      <c r="AQ58" s="318"/>
      <c r="AR58" s="318"/>
      <c r="AS58" s="318"/>
      <c r="AT58" s="318"/>
      <c r="AU58" s="318"/>
      <c r="AV58" s="318"/>
      <c r="AW58" s="318"/>
      <c r="AX58" s="318"/>
      <c r="AY58" s="318"/>
      <c r="AZ58" s="318"/>
      <c r="BA58" s="318"/>
      <c r="BB58" s="318"/>
      <c r="BC58" s="318"/>
      <c r="BD58" s="318"/>
      <c r="BE58" s="318"/>
      <c r="BF58" s="318"/>
      <c r="BG58" s="318"/>
      <c r="BH58" s="318"/>
      <c r="BI58" s="318"/>
      <c r="BJ58" s="318"/>
      <c r="BK58" s="318"/>
      <c r="BL58" s="318"/>
      <c r="BM58" s="318"/>
      <c r="BN58" s="318"/>
      <c r="BO58" s="318"/>
      <c r="BP58" s="318"/>
      <c r="BQ58" s="318"/>
      <c r="BR58" s="318"/>
      <c r="BS58" s="318"/>
      <c r="BT58" s="318"/>
      <c r="BU58" s="318"/>
      <c r="BV58" s="318"/>
      <c r="BW58" s="318"/>
      <c r="BX58" s="318"/>
      <c r="BY58" s="318"/>
      <c r="BZ58" s="318"/>
      <c r="CA58" s="318"/>
      <c r="CB58" s="318"/>
      <c r="CC58" s="318"/>
      <c r="CD58" s="318"/>
      <c r="CE58" s="318"/>
      <c r="CF58" s="318"/>
      <c r="CG58" s="318"/>
      <c r="CH58" s="318"/>
      <c r="CI58" s="318"/>
      <c r="CJ58" s="318"/>
      <c r="CK58" s="318"/>
      <c r="CL58" s="318"/>
      <c r="CM58" s="318"/>
      <c r="CN58" s="318"/>
      <c r="CO58" s="318"/>
      <c r="CP58" s="318"/>
      <c r="CQ58" s="318"/>
      <c r="CR58" s="318"/>
      <c r="CS58" s="318"/>
      <c r="CT58" s="318"/>
      <c r="CU58" s="318"/>
      <c r="CV58" s="318"/>
      <c r="CW58" s="318"/>
      <c r="CX58" s="318"/>
      <c r="CY58" s="318"/>
      <c r="CZ58" s="318"/>
      <c r="DA58" s="318"/>
      <c r="DB58" s="318"/>
      <c r="DC58" s="318"/>
      <c r="DD58" s="318"/>
      <c r="DE58" s="318"/>
      <c r="DF58" s="318"/>
      <c r="DG58" s="318"/>
      <c r="DH58" s="318"/>
      <c r="DI58" s="318"/>
      <c r="DJ58" s="318"/>
      <c r="DK58" s="318"/>
      <c r="DL58" s="318"/>
      <c r="DM58" s="318"/>
      <c r="DN58" s="318"/>
      <c r="DO58" s="318"/>
      <c r="DP58" s="318"/>
      <c r="DQ58" s="318"/>
      <c r="DR58" s="318"/>
      <c r="DS58" s="318"/>
      <c r="DT58" s="318"/>
      <c r="DU58" s="318"/>
      <c r="DV58" s="318"/>
      <c r="DW58" s="318"/>
      <c r="DX58" s="318"/>
      <c r="DY58" s="318"/>
      <c r="DZ58" s="318"/>
      <c r="EA58" s="318"/>
      <c r="EB58" s="318"/>
      <c r="EC58" s="318"/>
      <c r="ED58" s="318"/>
      <c r="EE58" s="318"/>
      <c r="EF58" s="318"/>
      <c r="EG58" s="318"/>
      <c r="EH58" s="318"/>
      <c r="EI58" s="318"/>
      <c r="EJ58" s="318"/>
      <c r="EK58" s="318"/>
      <c r="EL58" s="318"/>
      <c r="EM58" s="318"/>
      <c r="EN58" s="318"/>
      <c r="EO58" s="318"/>
      <c r="EP58" s="318"/>
      <c r="EQ58" s="318"/>
      <c r="ER58" s="318"/>
      <c r="ES58" s="318"/>
      <c r="ET58" s="318"/>
      <c r="EU58" s="318"/>
      <c r="EV58" s="318"/>
      <c r="EW58" s="318"/>
      <c r="EX58" s="318"/>
      <c r="EY58" s="318"/>
      <c r="EZ58" s="318"/>
      <c r="FA58" s="318"/>
      <c r="FB58" s="318"/>
      <c r="FC58" s="318"/>
      <c r="FD58" s="318"/>
      <c r="FE58" s="318"/>
      <c r="FF58" s="318"/>
      <c r="FG58" s="318"/>
      <c r="FH58" s="318"/>
      <c r="FI58" s="318"/>
      <c r="FJ58" s="318"/>
      <c r="FK58" s="318"/>
      <c r="FL58" s="318"/>
      <c r="FM58" s="318"/>
      <c r="FN58" s="318"/>
      <c r="FO58" s="318"/>
      <c r="FP58" s="318"/>
      <c r="FQ58" s="318"/>
      <c r="FR58" s="318"/>
      <c r="FS58" s="318"/>
      <c r="FT58" s="318"/>
      <c r="FU58" s="318"/>
      <c r="FV58" s="318"/>
      <c r="FW58" s="318"/>
      <c r="FX58" s="318"/>
      <c r="FY58" s="318"/>
      <c r="FZ58" s="318"/>
      <c r="GA58" s="318"/>
      <c r="GB58" s="318"/>
      <c r="GC58" s="318"/>
      <c r="GD58" s="318"/>
      <c r="GE58" s="318"/>
      <c r="GF58" s="318"/>
      <c r="GG58" s="318"/>
      <c r="GH58" s="318"/>
      <c r="GI58" s="318"/>
      <c r="GJ58" s="318"/>
      <c r="GK58" s="318"/>
      <c r="GL58" s="318"/>
      <c r="GM58" s="318"/>
      <c r="GN58" s="318"/>
      <c r="GO58" s="318"/>
      <c r="GP58" s="318"/>
      <c r="GQ58" s="318"/>
      <c r="GR58" s="318"/>
      <c r="GS58" s="318"/>
      <c r="GT58" s="318"/>
      <c r="GU58" s="318"/>
      <c r="GV58" s="318"/>
      <c r="GW58" s="318"/>
      <c r="GX58" s="318"/>
      <c r="GY58" s="318"/>
      <c r="GZ58" s="318"/>
      <c r="HA58" s="318"/>
      <c r="HB58" s="318"/>
      <c r="HC58" s="318"/>
      <c r="HD58" s="318"/>
      <c r="HE58" s="318"/>
      <c r="HF58" s="318"/>
      <c r="HG58" s="318"/>
      <c r="HH58" s="318"/>
      <c r="HI58" s="318"/>
      <c r="HJ58" s="318"/>
      <c r="HK58" s="318"/>
      <c r="HL58" s="318"/>
      <c r="HM58" s="318"/>
      <c r="HN58" s="318"/>
      <c r="HO58" s="318"/>
      <c r="HP58" s="318"/>
      <c r="HQ58" s="318"/>
      <c r="HR58" s="318"/>
      <c r="HS58" s="318"/>
      <c r="HT58" s="318"/>
      <c r="HU58" s="318"/>
      <c r="HV58" s="318"/>
      <c r="HW58" s="318"/>
      <c r="HX58" s="318"/>
      <c r="HY58" s="318"/>
      <c r="HZ58" s="318"/>
      <c r="IA58" s="318"/>
      <c r="IB58" s="318"/>
      <c r="IC58" s="318"/>
      <c r="ID58" s="318"/>
      <c r="IE58" s="318"/>
      <c r="IF58" s="318"/>
      <c r="IG58" s="318"/>
    </row>
    <row r="59" spans="1:241" s="260" customFormat="1" ht="15" hidden="1" customHeight="1" x14ac:dyDescent="0.3">
      <c r="A59" s="181">
        <v>8.0399999999999991</v>
      </c>
      <c r="B59" s="239" t="s">
        <v>306</v>
      </c>
      <c r="C59" s="240" t="str">
        <f>VLOOKUP(BD.PD5[[#This Row],[Pos]],PPto[],3,FALSE)</f>
        <v>8.04 Trameria Almacen</v>
      </c>
      <c r="D59" s="241" t="s">
        <v>306</v>
      </c>
      <c r="E59" s="242">
        <f>IF(BD.PD5[[#This Row],[.]]="*",VLOOKUP(BD.PD5[[#This Row],[Pos]],[15]Presupuesto!A:H,7,FALSE),"")</f>
        <v>0</v>
      </c>
      <c r="F59" s="243"/>
      <c r="G59" s="243"/>
      <c r="H59" s="243"/>
      <c r="I59" s="363"/>
      <c r="J59" s="241" t="s">
        <v>188</v>
      </c>
      <c r="K59" s="245">
        <f>IF(BD.PD5[[#This Row],[Mon]]="DOP",1,HLOOKUP(BD.PD5[[#This Row],[Mon]],$J$1:$K$2,2,FALSE))</f>
        <v>64</v>
      </c>
      <c r="L59" s="246">
        <v>0</v>
      </c>
      <c r="M59" s="247">
        <f>BD.PD5[[#This Row],[Cant.]]*BD.PD5[[#This Row],[ Tasa ]]*BD.PD5[[#This Row],[ Precio Und.]]</f>
        <v>0</v>
      </c>
      <c r="N59" s="248"/>
      <c r="O59" s="247">
        <f>IF(BD.PD5[[#This Row],[Liquid. '[%']]]&lt;&gt;0,(BD.PD5[[#This Row],[Valor Neto '[DOP']]]*BD.PD5[[#This Row],[Liquid. '[%']]])+BD.PD5[[#This Row],[Valor Neto '[DOP']]],BD.PD5[[#This Row],[Valor Neto '[DOP']]])</f>
        <v>0</v>
      </c>
      <c r="P59" s="257">
        <f>BD.PD5[[#This Row],[Ppto. Orden Interna '[DOP']]]/HLOOKUP("USD",$J$1:$K$2,2,FALSE)</f>
        <v>0</v>
      </c>
      <c r="Q59" s="340"/>
      <c r="R59" s="250"/>
      <c r="S59" s="250"/>
      <c r="T59" s="250"/>
      <c r="U59" s="250"/>
      <c r="V59" s="258"/>
      <c r="W59" s="251"/>
      <c r="X59" s="252"/>
      <c r="Y59" s="259">
        <f>BD.PD5[[#This Row],[Av.P1 '[%']]]*BD.PD5[[#This Row],[Ppto. Orden Interna '[DOP']]]</f>
        <v>0</v>
      </c>
      <c r="Z59" s="254"/>
      <c r="AA59" s="255"/>
      <c r="AB59" s="259">
        <f>BD.PD5[[#This Row],[Av.P2 '[%']]]*BD.PD5[[#This Row],[Ppto. Orden Interna '[DOP']]]</f>
        <v>0</v>
      </c>
      <c r="AC59" s="254"/>
      <c r="AD59" s="255"/>
      <c r="AE59" s="259">
        <f>BD.PD5[[#This Row],[Av.P3 '[%']]]*BD.PD5[[#This Row],[Ppto. Orden Interna '[DOP']]]</f>
        <v>0</v>
      </c>
      <c r="AF59" s="254"/>
      <c r="AG59" s="255"/>
      <c r="AH59" s="259">
        <f>BD.PD5[[#This Row],[Av.P4 '[%']]]*BD.PD5[[#This Row],[Ppto. Orden Interna '[DOP']]]</f>
        <v>0</v>
      </c>
      <c r="AI59" s="254"/>
      <c r="AJ59" s="255"/>
      <c r="AK59" s="259">
        <f>BD.PD5[[#This Row],[Av.P5 '[%']]]*BD.PD5[[#This Row],[Ppto. Orden Interna '[DOP']]]</f>
        <v>0</v>
      </c>
      <c r="AL59" s="256">
        <f>BD.PD5[[#This Row],[Pago 5]]+BD.PD5[[#This Row],[Pago 4]]+BD.PD5[[#This Row],[Pago 3]]+BD.PD5[[#This Row],[Pago 2]]+BD.PD5[[#This Row],[Pago 1]]</f>
        <v>0</v>
      </c>
      <c r="AM59" s="318"/>
      <c r="AN59" s="318"/>
      <c r="AO59" s="318"/>
      <c r="AP59" s="318"/>
      <c r="AQ59" s="318"/>
      <c r="AR59" s="318"/>
      <c r="AS59" s="318"/>
      <c r="AT59" s="318"/>
      <c r="AU59" s="318"/>
      <c r="AV59" s="318"/>
      <c r="AW59" s="318"/>
      <c r="AX59" s="318"/>
      <c r="AY59" s="318"/>
      <c r="AZ59" s="318"/>
      <c r="BA59" s="318"/>
      <c r="BB59" s="318"/>
      <c r="BC59" s="318"/>
      <c r="BD59" s="318"/>
      <c r="BE59" s="318"/>
      <c r="BF59" s="318"/>
      <c r="BG59" s="318"/>
      <c r="BH59" s="318"/>
      <c r="BI59" s="318"/>
      <c r="BJ59" s="318"/>
      <c r="BK59" s="318"/>
      <c r="BL59" s="318"/>
      <c r="BM59" s="318"/>
      <c r="BN59" s="318"/>
      <c r="BO59" s="318"/>
      <c r="BP59" s="318"/>
      <c r="BQ59" s="318"/>
      <c r="BR59" s="318"/>
      <c r="BS59" s="318"/>
      <c r="BT59" s="318"/>
      <c r="BU59" s="318"/>
      <c r="BV59" s="318"/>
      <c r="BW59" s="318"/>
      <c r="BX59" s="318"/>
      <c r="BY59" s="318"/>
      <c r="BZ59" s="318"/>
      <c r="CA59" s="318"/>
      <c r="CB59" s="318"/>
      <c r="CC59" s="318"/>
      <c r="CD59" s="318"/>
      <c r="CE59" s="318"/>
      <c r="CF59" s="318"/>
      <c r="CG59" s="318"/>
      <c r="CH59" s="318"/>
      <c r="CI59" s="318"/>
      <c r="CJ59" s="318"/>
      <c r="CK59" s="318"/>
      <c r="CL59" s="318"/>
      <c r="CM59" s="318"/>
      <c r="CN59" s="318"/>
      <c r="CO59" s="318"/>
      <c r="CP59" s="318"/>
      <c r="CQ59" s="318"/>
      <c r="CR59" s="318"/>
      <c r="CS59" s="318"/>
      <c r="CT59" s="318"/>
      <c r="CU59" s="318"/>
      <c r="CV59" s="318"/>
      <c r="CW59" s="318"/>
      <c r="CX59" s="318"/>
      <c r="CY59" s="318"/>
      <c r="CZ59" s="318"/>
      <c r="DA59" s="318"/>
      <c r="DB59" s="318"/>
      <c r="DC59" s="318"/>
      <c r="DD59" s="318"/>
      <c r="DE59" s="318"/>
      <c r="DF59" s="318"/>
      <c r="DG59" s="318"/>
      <c r="DH59" s="318"/>
      <c r="DI59" s="318"/>
      <c r="DJ59" s="318"/>
      <c r="DK59" s="318"/>
      <c r="DL59" s="318"/>
      <c r="DM59" s="318"/>
      <c r="DN59" s="318"/>
      <c r="DO59" s="318"/>
      <c r="DP59" s="318"/>
      <c r="DQ59" s="318"/>
      <c r="DR59" s="318"/>
      <c r="DS59" s="318"/>
      <c r="DT59" s="318"/>
      <c r="DU59" s="318"/>
      <c r="DV59" s="318"/>
      <c r="DW59" s="318"/>
      <c r="DX59" s="318"/>
      <c r="DY59" s="318"/>
      <c r="DZ59" s="318"/>
      <c r="EA59" s="318"/>
      <c r="EB59" s="318"/>
      <c r="EC59" s="318"/>
      <c r="ED59" s="318"/>
      <c r="EE59" s="318"/>
      <c r="EF59" s="318"/>
      <c r="EG59" s="318"/>
      <c r="EH59" s="318"/>
      <c r="EI59" s="318"/>
      <c r="EJ59" s="318"/>
      <c r="EK59" s="318"/>
      <c r="EL59" s="318"/>
      <c r="EM59" s="318"/>
      <c r="EN59" s="318"/>
      <c r="EO59" s="318"/>
      <c r="EP59" s="318"/>
      <c r="EQ59" s="318"/>
      <c r="ER59" s="318"/>
      <c r="ES59" s="318"/>
      <c r="ET59" s="318"/>
      <c r="EU59" s="318"/>
      <c r="EV59" s="318"/>
      <c r="EW59" s="318"/>
      <c r="EX59" s="318"/>
      <c r="EY59" s="318"/>
      <c r="EZ59" s="318"/>
      <c r="FA59" s="318"/>
      <c r="FB59" s="318"/>
      <c r="FC59" s="318"/>
      <c r="FD59" s="318"/>
      <c r="FE59" s="318"/>
      <c r="FF59" s="318"/>
      <c r="FG59" s="318"/>
      <c r="FH59" s="318"/>
      <c r="FI59" s="318"/>
      <c r="FJ59" s="318"/>
      <c r="FK59" s="318"/>
      <c r="FL59" s="318"/>
      <c r="FM59" s="318"/>
      <c r="FN59" s="318"/>
      <c r="FO59" s="318"/>
      <c r="FP59" s="318"/>
      <c r="FQ59" s="318"/>
      <c r="FR59" s="318"/>
      <c r="FS59" s="318"/>
      <c r="FT59" s="318"/>
      <c r="FU59" s="318"/>
      <c r="FV59" s="318"/>
      <c r="FW59" s="318"/>
      <c r="FX59" s="318"/>
      <c r="FY59" s="318"/>
      <c r="FZ59" s="318"/>
      <c r="GA59" s="318"/>
      <c r="GB59" s="318"/>
      <c r="GC59" s="318"/>
      <c r="GD59" s="318"/>
      <c r="GE59" s="318"/>
      <c r="GF59" s="318"/>
      <c r="GG59" s="318"/>
      <c r="GH59" s="318"/>
      <c r="GI59" s="318"/>
      <c r="GJ59" s="318"/>
      <c r="GK59" s="318"/>
      <c r="GL59" s="318"/>
      <c r="GM59" s="318"/>
      <c r="GN59" s="318"/>
      <c r="GO59" s="318"/>
      <c r="GP59" s="318"/>
      <c r="GQ59" s="318"/>
      <c r="GR59" s="318"/>
      <c r="GS59" s="318"/>
      <c r="GT59" s="318"/>
      <c r="GU59" s="318"/>
      <c r="GV59" s="318"/>
      <c r="GW59" s="318"/>
      <c r="GX59" s="318"/>
      <c r="GY59" s="318"/>
      <c r="GZ59" s="318"/>
      <c r="HA59" s="318"/>
      <c r="HB59" s="318"/>
      <c r="HC59" s="318"/>
      <c r="HD59" s="318"/>
      <c r="HE59" s="318"/>
      <c r="HF59" s="318"/>
      <c r="HG59" s="318"/>
      <c r="HH59" s="318"/>
      <c r="HI59" s="318"/>
      <c r="HJ59" s="318"/>
      <c r="HK59" s="318"/>
      <c r="HL59" s="318"/>
      <c r="HM59" s="318"/>
      <c r="HN59" s="318"/>
      <c r="HO59" s="318"/>
      <c r="HP59" s="318"/>
      <c r="HQ59" s="318"/>
      <c r="HR59" s="318"/>
      <c r="HS59" s="318"/>
      <c r="HT59" s="318"/>
      <c r="HU59" s="318"/>
      <c r="HV59" s="318"/>
      <c r="HW59" s="318"/>
      <c r="HX59" s="318"/>
      <c r="HY59" s="318"/>
      <c r="HZ59" s="318"/>
      <c r="IA59" s="318"/>
      <c r="IB59" s="318"/>
      <c r="IC59" s="318"/>
      <c r="ID59" s="318"/>
      <c r="IE59" s="318"/>
      <c r="IF59" s="318"/>
      <c r="IG59" s="318"/>
    </row>
    <row r="60" spans="1:241" s="260" customFormat="1" ht="15" hidden="1" customHeight="1" x14ac:dyDescent="0.3">
      <c r="A60" s="181">
        <v>8.0500000000000007</v>
      </c>
      <c r="B60" s="239" t="s">
        <v>306</v>
      </c>
      <c r="C60" s="240" t="str">
        <f>VLOOKUP(BD.PD5[[#This Row],[Pos]],PPto[],3,FALSE)</f>
        <v>8.05 Mobiliario no operacional para Tiendas</v>
      </c>
      <c r="D60" s="241" t="s">
        <v>306</v>
      </c>
      <c r="E60" s="242">
        <f>IF(BD.PD5[[#This Row],[.]]="*",VLOOKUP(BD.PD5[[#This Row],[Pos]],[15]Presupuesto!A:H,7,FALSE),"")</f>
        <v>0</v>
      </c>
      <c r="F60" s="243"/>
      <c r="G60" s="243"/>
      <c r="H60" s="243"/>
      <c r="I60" s="363"/>
      <c r="J60" s="241" t="s">
        <v>188</v>
      </c>
      <c r="K60" s="245">
        <f>IF(BD.PD5[[#This Row],[Mon]]="DOP",1,HLOOKUP(BD.PD5[[#This Row],[Mon]],$J$1:$K$2,2,FALSE))</f>
        <v>64</v>
      </c>
      <c r="L60" s="246">
        <v>0</v>
      </c>
      <c r="M60" s="247">
        <f>BD.PD5[[#This Row],[Cant.]]*BD.PD5[[#This Row],[ Tasa ]]*BD.PD5[[#This Row],[ Precio Und.]]</f>
        <v>0</v>
      </c>
      <c r="N60" s="248"/>
      <c r="O60" s="247">
        <f>IF(BD.PD5[[#This Row],[Liquid. '[%']]]&lt;&gt;0,(BD.PD5[[#This Row],[Valor Neto '[DOP']]]*BD.PD5[[#This Row],[Liquid. '[%']]])+BD.PD5[[#This Row],[Valor Neto '[DOP']]],BD.PD5[[#This Row],[Valor Neto '[DOP']]])</f>
        <v>0</v>
      </c>
      <c r="P60" s="257">
        <f>BD.PD5[[#This Row],[Ppto. Orden Interna '[DOP']]]/HLOOKUP("USD",$J$1:$K$2,2,FALSE)</f>
        <v>0</v>
      </c>
      <c r="Q60" s="340"/>
      <c r="R60" s="250"/>
      <c r="S60" s="250"/>
      <c r="T60" s="250"/>
      <c r="U60" s="250"/>
      <c r="V60" s="258"/>
      <c r="W60" s="251"/>
      <c r="X60" s="252"/>
      <c r="Y60" s="259">
        <f>BD.PD5[[#This Row],[Av.P1 '[%']]]*BD.PD5[[#This Row],[Ppto. Orden Interna '[DOP']]]</f>
        <v>0</v>
      </c>
      <c r="Z60" s="254"/>
      <c r="AA60" s="255"/>
      <c r="AB60" s="259">
        <f>BD.PD5[[#This Row],[Av.P2 '[%']]]*BD.PD5[[#This Row],[Ppto. Orden Interna '[DOP']]]</f>
        <v>0</v>
      </c>
      <c r="AC60" s="254"/>
      <c r="AD60" s="255"/>
      <c r="AE60" s="259">
        <f>BD.PD5[[#This Row],[Av.P3 '[%']]]*BD.PD5[[#This Row],[Ppto. Orden Interna '[DOP']]]</f>
        <v>0</v>
      </c>
      <c r="AF60" s="254"/>
      <c r="AG60" s="255"/>
      <c r="AH60" s="259">
        <f>BD.PD5[[#This Row],[Av.P4 '[%']]]*BD.PD5[[#This Row],[Ppto. Orden Interna '[DOP']]]</f>
        <v>0</v>
      </c>
      <c r="AI60" s="254"/>
      <c r="AJ60" s="255"/>
      <c r="AK60" s="259">
        <f>BD.PD5[[#This Row],[Av.P5 '[%']]]*BD.PD5[[#This Row],[Ppto. Orden Interna '[DOP']]]</f>
        <v>0</v>
      </c>
      <c r="AL60" s="256">
        <f>BD.PD5[[#This Row],[Pago 5]]+BD.PD5[[#This Row],[Pago 4]]+BD.PD5[[#This Row],[Pago 3]]+BD.PD5[[#This Row],[Pago 2]]+BD.PD5[[#This Row],[Pago 1]]</f>
        <v>0</v>
      </c>
      <c r="AM60" s="318"/>
      <c r="AN60" s="318"/>
      <c r="AO60" s="318"/>
      <c r="AP60" s="318"/>
      <c r="AQ60" s="318"/>
      <c r="AR60" s="318"/>
      <c r="AS60" s="318"/>
      <c r="AT60" s="318"/>
      <c r="AU60" s="318"/>
      <c r="AV60" s="318"/>
      <c r="AW60" s="318"/>
      <c r="AX60" s="318"/>
      <c r="AY60" s="318"/>
      <c r="AZ60" s="318"/>
      <c r="BA60" s="318"/>
      <c r="BB60" s="318"/>
      <c r="BC60" s="318"/>
      <c r="BD60" s="318"/>
      <c r="BE60" s="318"/>
      <c r="BF60" s="318"/>
      <c r="BG60" s="318"/>
      <c r="BH60" s="318"/>
      <c r="BI60" s="318"/>
      <c r="BJ60" s="318"/>
      <c r="BK60" s="318"/>
      <c r="BL60" s="318"/>
      <c r="BM60" s="318"/>
      <c r="BN60" s="318"/>
      <c r="BO60" s="318"/>
      <c r="BP60" s="318"/>
      <c r="BQ60" s="318"/>
      <c r="BR60" s="318"/>
      <c r="BS60" s="318"/>
      <c r="BT60" s="318"/>
      <c r="BU60" s="318"/>
      <c r="BV60" s="318"/>
      <c r="BW60" s="318"/>
      <c r="BX60" s="318"/>
      <c r="BY60" s="318"/>
      <c r="BZ60" s="318"/>
      <c r="CA60" s="318"/>
      <c r="CB60" s="318"/>
      <c r="CC60" s="318"/>
      <c r="CD60" s="318"/>
      <c r="CE60" s="318"/>
      <c r="CF60" s="318"/>
      <c r="CG60" s="318"/>
      <c r="CH60" s="318"/>
      <c r="CI60" s="318"/>
      <c r="CJ60" s="318"/>
      <c r="CK60" s="318"/>
      <c r="CL60" s="318"/>
      <c r="CM60" s="318"/>
      <c r="CN60" s="318"/>
      <c r="CO60" s="318"/>
      <c r="CP60" s="318"/>
      <c r="CQ60" s="318"/>
      <c r="CR60" s="318"/>
      <c r="CS60" s="318"/>
      <c r="CT60" s="318"/>
      <c r="CU60" s="318"/>
      <c r="CV60" s="318"/>
      <c r="CW60" s="318"/>
      <c r="CX60" s="318"/>
      <c r="CY60" s="318"/>
      <c r="CZ60" s="318"/>
      <c r="DA60" s="318"/>
      <c r="DB60" s="318"/>
      <c r="DC60" s="318"/>
      <c r="DD60" s="318"/>
      <c r="DE60" s="318"/>
      <c r="DF60" s="318"/>
      <c r="DG60" s="318"/>
      <c r="DH60" s="318"/>
      <c r="DI60" s="318"/>
      <c r="DJ60" s="318"/>
      <c r="DK60" s="318"/>
      <c r="DL60" s="318"/>
      <c r="DM60" s="318"/>
      <c r="DN60" s="318"/>
      <c r="DO60" s="318"/>
      <c r="DP60" s="318"/>
      <c r="DQ60" s="318"/>
      <c r="DR60" s="318"/>
      <c r="DS60" s="318"/>
      <c r="DT60" s="318"/>
      <c r="DU60" s="318"/>
      <c r="DV60" s="318"/>
      <c r="DW60" s="318"/>
      <c r="DX60" s="318"/>
      <c r="DY60" s="318"/>
      <c r="DZ60" s="318"/>
      <c r="EA60" s="318"/>
      <c r="EB60" s="318"/>
      <c r="EC60" s="318"/>
      <c r="ED60" s="318"/>
      <c r="EE60" s="318"/>
      <c r="EF60" s="318"/>
      <c r="EG60" s="318"/>
      <c r="EH60" s="318"/>
      <c r="EI60" s="318"/>
      <c r="EJ60" s="318"/>
      <c r="EK60" s="318"/>
      <c r="EL60" s="318"/>
      <c r="EM60" s="318"/>
      <c r="EN60" s="318"/>
      <c r="EO60" s="318"/>
      <c r="EP60" s="318"/>
      <c r="EQ60" s="318"/>
      <c r="ER60" s="318"/>
      <c r="ES60" s="318"/>
      <c r="ET60" s="318"/>
      <c r="EU60" s="318"/>
      <c r="EV60" s="318"/>
      <c r="EW60" s="318"/>
      <c r="EX60" s="318"/>
      <c r="EY60" s="318"/>
      <c r="EZ60" s="318"/>
      <c r="FA60" s="318"/>
      <c r="FB60" s="318"/>
      <c r="FC60" s="318"/>
      <c r="FD60" s="318"/>
      <c r="FE60" s="318"/>
      <c r="FF60" s="318"/>
      <c r="FG60" s="318"/>
      <c r="FH60" s="318"/>
      <c r="FI60" s="318"/>
      <c r="FJ60" s="318"/>
      <c r="FK60" s="318"/>
      <c r="FL60" s="318"/>
      <c r="FM60" s="318"/>
      <c r="FN60" s="318"/>
      <c r="FO60" s="318"/>
      <c r="FP60" s="318"/>
      <c r="FQ60" s="318"/>
      <c r="FR60" s="318"/>
      <c r="FS60" s="318"/>
      <c r="FT60" s="318"/>
      <c r="FU60" s="318"/>
      <c r="FV60" s="318"/>
      <c r="FW60" s="318"/>
      <c r="FX60" s="318"/>
      <c r="FY60" s="318"/>
      <c r="FZ60" s="318"/>
      <c r="GA60" s="318"/>
      <c r="GB60" s="318"/>
      <c r="GC60" s="318"/>
      <c r="GD60" s="318"/>
      <c r="GE60" s="318"/>
      <c r="GF60" s="318"/>
      <c r="GG60" s="318"/>
      <c r="GH60" s="318"/>
      <c r="GI60" s="318"/>
      <c r="GJ60" s="318"/>
      <c r="GK60" s="318"/>
      <c r="GL60" s="318"/>
      <c r="GM60" s="318"/>
      <c r="GN60" s="318"/>
      <c r="GO60" s="318"/>
      <c r="GP60" s="318"/>
      <c r="GQ60" s="318"/>
      <c r="GR60" s="318"/>
      <c r="GS60" s="318"/>
      <c r="GT60" s="318"/>
      <c r="GU60" s="318"/>
      <c r="GV60" s="318"/>
      <c r="GW60" s="318"/>
      <c r="GX60" s="318"/>
      <c r="GY60" s="318"/>
      <c r="GZ60" s="318"/>
      <c r="HA60" s="318"/>
      <c r="HB60" s="318"/>
      <c r="HC60" s="318"/>
      <c r="HD60" s="318"/>
      <c r="HE60" s="318"/>
      <c r="HF60" s="318"/>
      <c r="HG60" s="318"/>
      <c r="HH60" s="318"/>
      <c r="HI60" s="318"/>
      <c r="HJ60" s="318"/>
      <c r="HK60" s="318"/>
      <c r="HL60" s="318"/>
      <c r="HM60" s="318"/>
      <c r="HN60" s="318"/>
      <c r="HO60" s="318"/>
      <c r="HP60" s="318"/>
      <c r="HQ60" s="318"/>
      <c r="HR60" s="318"/>
      <c r="HS60" s="318"/>
      <c r="HT60" s="318"/>
      <c r="HU60" s="318"/>
      <c r="HV60" s="318"/>
      <c r="HW60" s="318"/>
      <c r="HX60" s="318"/>
      <c r="HY60" s="318"/>
      <c r="HZ60" s="318"/>
      <c r="IA60" s="318"/>
      <c r="IB60" s="318"/>
      <c r="IC60" s="318"/>
      <c r="ID60" s="318"/>
      <c r="IE60" s="318"/>
      <c r="IF60" s="318"/>
      <c r="IG60" s="318"/>
    </row>
    <row r="61" spans="1:241" s="260" customFormat="1" ht="15" hidden="1" customHeight="1" x14ac:dyDescent="0.3">
      <c r="A61" s="181">
        <v>8.06</v>
      </c>
      <c r="B61" s="239" t="s">
        <v>306</v>
      </c>
      <c r="C61" s="240" t="str">
        <f>VLOOKUP(BD.PD5[[#This Row],[Pos]],PPto[],3,FALSE)</f>
        <v>8.06 Otros Equipamientos de Tienda</v>
      </c>
      <c r="D61" s="241" t="s">
        <v>306</v>
      </c>
      <c r="E61" s="242">
        <f>IF(BD.PD5[[#This Row],[.]]="*",VLOOKUP(BD.PD5[[#This Row],[Pos]],[15]Presupuesto!A:H,7,FALSE),"")</f>
        <v>0</v>
      </c>
      <c r="F61" s="243"/>
      <c r="G61" s="243"/>
      <c r="H61" s="243"/>
      <c r="I61" s="363"/>
      <c r="J61" s="241" t="s">
        <v>188</v>
      </c>
      <c r="K61" s="245">
        <f>IF(BD.PD5[[#This Row],[Mon]]="DOP",1,HLOOKUP(BD.PD5[[#This Row],[Mon]],$J$1:$K$2,2,FALSE))</f>
        <v>64</v>
      </c>
      <c r="L61" s="246">
        <v>0</v>
      </c>
      <c r="M61" s="247">
        <f>BD.PD5[[#This Row],[Cant.]]*BD.PD5[[#This Row],[ Tasa ]]*BD.PD5[[#This Row],[ Precio Und.]]</f>
        <v>0</v>
      </c>
      <c r="N61" s="248"/>
      <c r="O61" s="247">
        <f>IF(BD.PD5[[#This Row],[Liquid. '[%']]]&lt;&gt;0,(BD.PD5[[#This Row],[Valor Neto '[DOP']]]*BD.PD5[[#This Row],[Liquid. '[%']]])+BD.PD5[[#This Row],[Valor Neto '[DOP']]],BD.PD5[[#This Row],[Valor Neto '[DOP']]])</f>
        <v>0</v>
      </c>
      <c r="P61" s="257">
        <f>BD.PD5[[#This Row],[Ppto. Orden Interna '[DOP']]]/HLOOKUP("USD",$J$1:$K$2,2,FALSE)</f>
        <v>0</v>
      </c>
      <c r="Q61" s="340"/>
      <c r="R61" s="250"/>
      <c r="S61" s="250"/>
      <c r="T61" s="250"/>
      <c r="U61" s="250"/>
      <c r="V61" s="258"/>
      <c r="W61" s="251"/>
      <c r="X61" s="252"/>
      <c r="Y61" s="259">
        <f>BD.PD5[[#This Row],[Av.P1 '[%']]]*BD.PD5[[#This Row],[Ppto. Orden Interna '[DOP']]]</f>
        <v>0</v>
      </c>
      <c r="Z61" s="254"/>
      <c r="AA61" s="255"/>
      <c r="AB61" s="259">
        <f>BD.PD5[[#This Row],[Av.P2 '[%']]]*BD.PD5[[#This Row],[Ppto. Orden Interna '[DOP']]]</f>
        <v>0</v>
      </c>
      <c r="AC61" s="254"/>
      <c r="AD61" s="255"/>
      <c r="AE61" s="259">
        <f>BD.PD5[[#This Row],[Av.P3 '[%']]]*BD.PD5[[#This Row],[Ppto. Orden Interna '[DOP']]]</f>
        <v>0</v>
      </c>
      <c r="AF61" s="254"/>
      <c r="AG61" s="255"/>
      <c r="AH61" s="259">
        <f>BD.PD5[[#This Row],[Av.P4 '[%']]]*BD.PD5[[#This Row],[Ppto. Orden Interna '[DOP']]]</f>
        <v>0</v>
      </c>
      <c r="AI61" s="254"/>
      <c r="AJ61" s="255"/>
      <c r="AK61" s="259">
        <f>BD.PD5[[#This Row],[Av.P5 '[%']]]*BD.PD5[[#This Row],[Ppto. Orden Interna '[DOP']]]</f>
        <v>0</v>
      </c>
      <c r="AL61" s="256">
        <f>BD.PD5[[#This Row],[Pago 5]]+BD.PD5[[#This Row],[Pago 4]]+BD.PD5[[#This Row],[Pago 3]]+BD.PD5[[#This Row],[Pago 2]]+BD.PD5[[#This Row],[Pago 1]]</f>
        <v>0</v>
      </c>
      <c r="AM61" s="318"/>
      <c r="AN61" s="318"/>
      <c r="AO61" s="318"/>
      <c r="AP61" s="318"/>
      <c r="AQ61" s="318"/>
      <c r="AR61" s="318"/>
      <c r="AS61" s="318"/>
      <c r="AT61" s="318"/>
      <c r="AU61" s="318"/>
      <c r="AV61" s="318"/>
      <c r="AW61" s="318"/>
      <c r="AX61" s="318"/>
      <c r="AY61" s="318"/>
      <c r="AZ61" s="318"/>
      <c r="BA61" s="318"/>
      <c r="BB61" s="318"/>
      <c r="BC61" s="318"/>
      <c r="BD61" s="318"/>
      <c r="BE61" s="318"/>
      <c r="BF61" s="318"/>
      <c r="BG61" s="318"/>
      <c r="BH61" s="318"/>
      <c r="BI61" s="318"/>
      <c r="BJ61" s="318"/>
      <c r="BK61" s="318"/>
      <c r="BL61" s="318"/>
      <c r="BM61" s="318"/>
      <c r="BN61" s="318"/>
      <c r="BO61" s="318"/>
      <c r="BP61" s="318"/>
      <c r="BQ61" s="318"/>
      <c r="BR61" s="318"/>
      <c r="BS61" s="318"/>
      <c r="BT61" s="318"/>
      <c r="BU61" s="318"/>
      <c r="BV61" s="318"/>
      <c r="BW61" s="318"/>
      <c r="BX61" s="318"/>
      <c r="BY61" s="318"/>
      <c r="BZ61" s="318"/>
      <c r="CA61" s="318"/>
      <c r="CB61" s="318"/>
      <c r="CC61" s="318"/>
      <c r="CD61" s="318"/>
      <c r="CE61" s="318"/>
      <c r="CF61" s="318"/>
      <c r="CG61" s="318"/>
      <c r="CH61" s="318"/>
      <c r="CI61" s="318"/>
      <c r="CJ61" s="318"/>
      <c r="CK61" s="318"/>
      <c r="CL61" s="318"/>
      <c r="CM61" s="318"/>
      <c r="CN61" s="318"/>
      <c r="CO61" s="318"/>
      <c r="CP61" s="318"/>
      <c r="CQ61" s="318"/>
      <c r="CR61" s="318"/>
      <c r="CS61" s="318"/>
      <c r="CT61" s="318"/>
      <c r="CU61" s="318"/>
      <c r="CV61" s="318"/>
      <c r="CW61" s="318"/>
      <c r="CX61" s="318"/>
      <c r="CY61" s="318"/>
      <c r="CZ61" s="318"/>
      <c r="DA61" s="318"/>
      <c r="DB61" s="318"/>
      <c r="DC61" s="318"/>
      <c r="DD61" s="318"/>
      <c r="DE61" s="318"/>
      <c r="DF61" s="318"/>
      <c r="DG61" s="318"/>
      <c r="DH61" s="318"/>
      <c r="DI61" s="318"/>
      <c r="DJ61" s="318"/>
      <c r="DK61" s="318"/>
      <c r="DL61" s="318"/>
      <c r="DM61" s="318"/>
      <c r="DN61" s="318"/>
      <c r="DO61" s="318"/>
      <c r="DP61" s="318"/>
      <c r="DQ61" s="318"/>
      <c r="DR61" s="318"/>
      <c r="DS61" s="318"/>
      <c r="DT61" s="318"/>
      <c r="DU61" s="318"/>
      <c r="DV61" s="318"/>
      <c r="DW61" s="318"/>
      <c r="DX61" s="318"/>
      <c r="DY61" s="318"/>
      <c r="DZ61" s="318"/>
      <c r="EA61" s="318"/>
      <c r="EB61" s="318"/>
      <c r="EC61" s="318"/>
      <c r="ED61" s="318"/>
      <c r="EE61" s="318"/>
      <c r="EF61" s="318"/>
      <c r="EG61" s="318"/>
      <c r="EH61" s="318"/>
      <c r="EI61" s="318"/>
      <c r="EJ61" s="318"/>
      <c r="EK61" s="318"/>
      <c r="EL61" s="318"/>
      <c r="EM61" s="318"/>
      <c r="EN61" s="318"/>
      <c r="EO61" s="318"/>
      <c r="EP61" s="318"/>
      <c r="EQ61" s="318"/>
      <c r="ER61" s="318"/>
      <c r="ES61" s="318"/>
      <c r="ET61" s="318"/>
      <c r="EU61" s="318"/>
      <c r="EV61" s="318"/>
      <c r="EW61" s="318"/>
      <c r="EX61" s="318"/>
      <c r="EY61" s="318"/>
      <c r="EZ61" s="318"/>
      <c r="FA61" s="318"/>
      <c r="FB61" s="318"/>
      <c r="FC61" s="318"/>
      <c r="FD61" s="318"/>
      <c r="FE61" s="318"/>
      <c r="FF61" s="318"/>
      <c r="FG61" s="318"/>
      <c r="FH61" s="318"/>
      <c r="FI61" s="318"/>
      <c r="FJ61" s="318"/>
      <c r="FK61" s="318"/>
      <c r="FL61" s="318"/>
      <c r="FM61" s="318"/>
      <c r="FN61" s="318"/>
      <c r="FO61" s="318"/>
      <c r="FP61" s="318"/>
      <c r="FQ61" s="318"/>
      <c r="FR61" s="318"/>
      <c r="FS61" s="318"/>
      <c r="FT61" s="318"/>
      <c r="FU61" s="318"/>
      <c r="FV61" s="318"/>
      <c r="FW61" s="318"/>
      <c r="FX61" s="318"/>
      <c r="FY61" s="318"/>
      <c r="FZ61" s="318"/>
      <c r="GA61" s="318"/>
      <c r="GB61" s="318"/>
      <c r="GC61" s="318"/>
      <c r="GD61" s="318"/>
      <c r="GE61" s="318"/>
      <c r="GF61" s="318"/>
      <c r="GG61" s="318"/>
      <c r="GH61" s="318"/>
      <c r="GI61" s="318"/>
      <c r="GJ61" s="318"/>
      <c r="GK61" s="318"/>
      <c r="GL61" s="318"/>
      <c r="GM61" s="318"/>
      <c r="GN61" s="318"/>
      <c r="GO61" s="318"/>
      <c r="GP61" s="318"/>
      <c r="GQ61" s="318"/>
      <c r="GR61" s="318"/>
      <c r="GS61" s="318"/>
      <c r="GT61" s="318"/>
      <c r="GU61" s="318"/>
      <c r="GV61" s="318"/>
      <c r="GW61" s="318"/>
      <c r="GX61" s="318"/>
      <c r="GY61" s="318"/>
      <c r="GZ61" s="318"/>
      <c r="HA61" s="318"/>
      <c r="HB61" s="318"/>
      <c r="HC61" s="318"/>
      <c r="HD61" s="318"/>
      <c r="HE61" s="318"/>
      <c r="HF61" s="318"/>
      <c r="HG61" s="318"/>
      <c r="HH61" s="318"/>
      <c r="HI61" s="318"/>
      <c r="HJ61" s="318"/>
      <c r="HK61" s="318"/>
      <c r="HL61" s="318"/>
      <c r="HM61" s="318"/>
      <c r="HN61" s="318"/>
      <c r="HO61" s="318"/>
      <c r="HP61" s="318"/>
      <c r="HQ61" s="318"/>
      <c r="HR61" s="318"/>
      <c r="HS61" s="318"/>
      <c r="HT61" s="318"/>
      <c r="HU61" s="318"/>
      <c r="HV61" s="318"/>
      <c r="HW61" s="318"/>
      <c r="HX61" s="318"/>
      <c r="HY61" s="318"/>
      <c r="HZ61" s="318"/>
      <c r="IA61" s="318"/>
      <c r="IB61" s="318"/>
      <c r="IC61" s="318"/>
      <c r="ID61" s="318"/>
      <c r="IE61" s="318"/>
      <c r="IF61" s="318"/>
      <c r="IG61" s="318"/>
    </row>
    <row r="62" spans="1:241" s="260" customFormat="1" ht="15" customHeight="1" x14ac:dyDescent="0.3">
      <c r="A62" s="181">
        <v>8.06</v>
      </c>
      <c r="B62" s="239"/>
      <c r="C62" s="240" t="str">
        <f>VLOOKUP(BD.PD5[[#This Row],[Pos]],PPto[],3,FALSE)</f>
        <v>8.06 Otros Equipamientos de Tienda</v>
      </c>
      <c r="D62" s="181" t="s">
        <v>40</v>
      </c>
      <c r="E62" s="242" t="str">
        <f>IF(BD.PD5[[#This Row],[.]]="*",VLOOKUP(BD.PD5[[#This Row],[Pos]],[15]Presupuesto!A:H,7,FALSE),"")</f>
        <v/>
      </c>
      <c r="F62" s="243" t="s">
        <v>723</v>
      </c>
      <c r="G62" s="384">
        <v>4600079393</v>
      </c>
      <c r="H62" s="243"/>
      <c r="I62" s="345">
        <v>1</v>
      </c>
      <c r="J62" s="181" t="s">
        <v>258</v>
      </c>
      <c r="K62" s="245">
        <f>IF(BD.PD5[[#This Row],[Mon]]="DOP",1,HLOOKUP(BD.PD5[[#This Row],[Mon]],$J$1:$K$2,2,FALSE))</f>
        <v>72.45</v>
      </c>
      <c r="L62" s="385">
        <v>11030</v>
      </c>
      <c r="M62" s="247">
        <f>BD.PD5[[#This Row],[Cant.]]*BD.PD5[[#This Row],[ Tasa ]]*BD.PD5[[#This Row],[ Precio Und.]]</f>
        <v>799123.5</v>
      </c>
      <c r="N62" s="278">
        <v>0</v>
      </c>
      <c r="O62" s="247">
        <f>IF(BD.PD5[[#This Row],[Liquid. '[%']]]&lt;&gt;0,(BD.PD5[[#This Row],[Valor Neto '[DOP']]]*BD.PD5[[#This Row],[Liquid. '[%']]])+BD.PD5[[#This Row],[Valor Neto '[DOP']]],BD.PD5[[#This Row],[Valor Neto '[DOP']]])</f>
        <v>799123.5</v>
      </c>
      <c r="P62" s="257">
        <f>BD.PD5[[#This Row],[Ppto. Orden Interna '[DOP']]]/HLOOKUP("USD",$J$1:$K$2,2,FALSE)</f>
        <v>12486.3046875</v>
      </c>
      <c r="Q62" s="338"/>
      <c r="R62" s="250"/>
      <c r="S62" s="250"/>
      <c r="T62" s="250"/>
      <c r="U62" s="250"/>
      <c r="V62" s="258" t="s">
        <v>724</v>
      </c>
      <c r="W62" s="251">
        <v>1</v>
      </c>
      <c r="X62" s="252">
        <v>1</v>
      </c>
      <c r="Y62" s="259">
        <f>BD.PD5[[#This Row],[Av.P1 '[%']]]*BD.PD5[[#This Row],[Ppto. Orden Interna '[DOP']]]</f>
        <v>799123.5</v>
      </c>
      <c r="Z62" s="254"/>
      <c r="AA62" s="255"/>
      <c r="AB62" s="259">
        <f>BD.PD5[[#This Row],[Av.P2 '[%']]]*BD.PD5[[#This Row],[Ppto. Orden Interna '[DOP']]]</f>
        <v>0</v>
      </c>
      <c r="AC62" s="254"/>
      <c r="AD62" s="255"/>
      <c r="AE62" s="259">
        <f>BD.PD5[[#This Row],[Av.P3 '[%']]]*BD.PD5[[#This Row],[Ppto. Orden Interna '[DOP']]]</f>
        <v>0</v>
      </c>
      <c r="AF62" s="254"/>
      <c r="AG62" s="255"/>
      <c r="AH62" s="259">
        <f>BD.PD5[[#This Row],[Av.P4 '[%']]]*BD.PD5[[#This Row],[Ppto. Orden Interna '[DOP']]]</f>
        <v>0</v>
      </c>
      <c r="AI62" s="254"/>
      <c r="AJ62" s="255"/>
      <c r="AK62" s="259">
        <f>BD.PD5[[#This Row],[Av.P5 '[%']]]*BD.PD5[[#This Row],[Ppto. Orden Interna '[DOP']]]</f>
        <v>0</v>
      </c>
      <c r="AL62" s="256">
        <f>BD.PD5[[#This Row],[Pago 5]]+BD.PD5[[#This Row],[Pago 4]]+BD.PD5[[#This Row],[Pago 3]]+BD.PD5[[#This Row],[Pago 2]]+BD.PD5[[#This Row],[Pago 1]]</f>
        <v>799123.5</v>
      </c>
      <c r="AM62" s="318"/>
      <c r="AN62" s="318"/>
      <c r="AO62" s="318"/>
      <c r="AP62" s="318"/>
      <c r="AQ62" s="318"/>
      <c r="AR62" s="318"/>
      <c r="AS62" s="318"/>
      <c r="AT62" s="318"/>
      <c r="AU62" s="318"/>
      <c r="AV62" s="318"/>
      <c r="AW62" s="318"/>
      <c r="AX62" s="318"/>
      <c r="AY62" s="318"/>
      <c r="AZ62" s="318"/>
      <c r="BA62" s="318"/>
      <c r="BB62" s="318"/>
      <c r="BC62" s="318"/>
      <c r="BD62" s="318"/>
      <c r="BE62" s="318"/>
      <c r="BF62" s="318"/>
      <c r="BG62" s="318"/>
      <c r="BH62" s="318"/>
      <c r="BI62" s="318"/>
      <c r="BJ62" s="318"/>
      <c r="BK62" s="318"/>
      <c r="BL62" s="318"/>
      <c r="BM62" s="318"/>
      <c r="BN62" s="318"/>
      <c r="BO62" s="318"/>
      <c r="BP62" s="318"/>
      <c r="BQ62" s="318"/>
      <c r="BR62" s="318"/>
      <c r="BS62" s="318"/>
      <c r="BT62" s="318"/>
      <c r="BU62" s="318"/>
      <c r="BV62" s="318"/>
      <c r="BW62" s="318"/>
      <c r="BX62" s="318"/>
      <c r="BY62" s="318"/>
      <c r="BZ62" s="318"/>
      <c r="CA62" s="318"/>
      <c r="CB62" s="318"/>
      <c r="CC62" s="318"/>
      <c r="CD62" s="318"/>
      <c r="CE62" s="318"/>
      <c r="CF62" s="318"/>
      <c r="CG62" s="318"/>
      <c r="CH62" s="318"/>
      <c r="CI62" s="318"/>
      <c r="CJ62" s="318"/>
      <c r="CK62" s="318"/>
      <c r="CL62" s="318"/>
      <c r="CM62" s="318"/>
      <c r="CN62" s="318"/>
      <c r="CO62" s="318"/>
      <c r="CP62" s="318"/>
      <c r="CQ62" s="318"/>
      <c r="CR62" s="318"/>
      <c r="CS62" s="318"/>
      <c r="CT62" s="318"/>
      <c r="CU62" s="318"/>
      <c r="CV62" s="318"/>
      <c r="CW62" s="318"/>
      <c r="CX62" s="318"/>
      <c r="CY62" s="318"/>
      <c r="CZ62" s="318"/>
      <c r="DA62" s="318"/>
      <c r="DB62" s="318"/>
      <c r="DC62" s="318"/>
      <c r="DD62" s="318"/>
      <c r="DE62" s="318"/>
      <c r="DF62" s="318"/>
      <c r="DG62" s="318"/>
      <c r="DH62" s="318"/>
      <c r="DI62" s="318"/>
      <c r="DJ62" s="318"/>
      <c r="DK62" s="318"/>
      <c r="DL62" s="318"/>
      <c r="DM62" s="318"/>
      <c r="DN62" s="318"/>
      <c r="DO62" s="318"/>
      <c r="DP62" s="318"/>
      <c r="DQ62" s="318"/>
      <c r="DR62" s="318"/>
      <c r="DS62" s="318"/>
      <c r="DT62" s="318"/>
      <c r="DU62" s="318"/>
      <c r="DV62" s="318"/>
      <c r="DW62" s="318"/>
      <c r="DX62" s="318"/>
      <c r="DY62" s="318"/>
      <c r="DZ62" s="318"/>
      <c r="EA62" s="318"/>
      <c r="EB62" s="318"/>
      <c r="EC62" s="318"/>
      <c r="ED62" s="318"/>
      <c r="EE62" s="318"/>
      <c r="EF62" s="318"/>
      <c r="EG62" s="318"/>
      <c r="EH62" s="318"/>
      <c r="EI62" s="318"/>
      <c r="EJ62" s="318"/>
      <c r="EK62" s="318"/>
      <c r="EL62" s="318"/>
      <c r="EM62" s="318"/>
      <c r="EN62" s="318"/>
      <c r="EO62" s="318"/>
      <c r="EP62" s="318"/>
      <c r="EQ62" s="318"/>
      <c r="ER62" s="318"/>
      <c r="ES62" s="318"/>
      <c r="ET62" s="318"/>
      <c r="EU62" s="318"/>
      <c r="EV62" s="318"/>
      <c r="EW62" s="318"/>
      <c r="EX62" s="318"/>
      <c r="EY62" s="318"/>
      <c r="EZ62" s="318"/>
      <c r="FA62" s="318"/>
      <c r="FB62" s="318"/>
      <c r="FC62" s="318"/>
      <c r="FD62" s="318"/>
      <c r="FE62" s="318"/>
      <c r="FF62" s="318"/>
      <c r="FG62" s="318"/>
      <c r="FH62" s="318"/>
      <c r="FI62" s="318"/>
      <c r="FJ62" s="318"/>
      <c r="FK62" s="318"/>
      <c r="FL62" s="318"/>
      <c r="FM62" s="318"/>
      <c r="FN62" s="318"/>
      <c r="FO62" s="318"/>
      <c r="FP62" s="318"/>
      <c r="FQ62" s="318"/>
      <c r="FR62" s="318"/>
      <c r="FS62" s="318"/>
      <c r="FT62" s="318"/>
      <c r="FU62" s="318"/>
      <c r="FV62" s="318"/>
      <c r="FW62" s="318"/>
      <c r="FX62" s="318"/>
      <c r="FY62" s="318"/>
      <c r="FZ62" s="318"/>
      <c r="GA62" s="318"/>
      <c r="GB62" s="318"/>
      <c r="GC62" s="318"/>
      <c r="GD62" s="318"/>
      <c r="GE62" s="318"/>
      <c r="GF62" s="318"/>
      <c r="GG62" s="318"/>
      <c r="GH62" s="318"/>
      <c r="GI62" s="318"/>
      <c r="GJ62" s="318"/>
      <c r="GK62" s="318"/>
      <c r="GL62" s="318"/>
      <c r="GM62" s="318"/>
      <c r="GN62" s="318"/>
      <c r="GO62" s="318"/>
      <c r="GP62" s="318"/>
      <c r="GQ62" s="318"/>
      <c r="GR62" s="318"/>
      <c r="GS62" s="318"/>
      <c r="GT62" s="318"/>
      <c r="GU62" s="318"/>
      <c r="GV62" s="318"/>
      <c r="GW62" s="318"/>
      <c r="GX62" s="318"/>
      <c r="GY62" s="318"/>
      <c r="GZ62" s="318"/>
      <c r="HA62" s="318"/>
      <c r="HB62" s="318"/>
      <c r="HC62" s="318"/>
      <c r="HD62" s="318"/>
      <c r="HE62" s="318"/>
      <c r="HF62" s="318"/>
      <c r="HG62" s="318"/>
      <c r="HH62" s="318"/>
      <c r="HI62" s="318"/>
      <c r="HJ62" s="318"/>
      <c r="HK62" s="318"/>
      <c r="HL62" s="318"/>
      <c r="HM62" s="318"/>
      <c r="HN62" s="318"/>
      <c r="HO62" s="318"/>
      <c r="HP62" s="318"/>
      <c r="HQ62" s="318"/>
      <c r="HR62" s="318"/>
      <c r="HS62" s="318"/>
      <c r="HT62" s="318"/>
      <c r="HU62" s="318"/>
      <c r="HV62" s="318"/>
      <c r="HW62" s="318"/>
      <c r="HX62" s="318"/>
      <c r="HY62" s="318"/>
      <c r="HZ62" s="318"/>
      <c r="IA62" s="318"/>
      <c r="IB62" s="318"/>
      <c r="IC62" s="318"/>
      <c r="ID62" s="318"/>
      <c r="IE62" s="318"/>
      <c r="IF62" s="318"/>
      <c r="IG62" s="318"/>
    </row>
    <row r="63" spans="1:241" s="260" customFormat="1" ht="15" customHeight="1" x14ac:dyDescent="0.3">
      <c r="A63" s="181">
        <v>8.06</v>
      </c>
      <c r="B63" s="239"/>
      <c r="C63" s="240" t="str">
        <f>VLOOKUP(BD.PD5[[#This Row],[Pos]],PPto[],3,FALSE)</f>
        <v>8.06 Otros Equipamientos de Tienda</v>
      </c>
      <c r="D63" s="181" t="s">
        <v>40</v>
      </c>
      <c r="E63" s="242" t="str">
        <f>IF(BD.PD5[[#This Row],[.]]="*",VLOOKUP(BD.PD5[[#This Row],[Pos]],[15]Presupuesto!A:H,7,FALSE),"")</f>
        <v/>
      </c>
      <c r="F63" s="243" t="s">
        <v>725</v>
      </c>
      <c r="G63" s="384">
        <v>4600079394</v>
      </c>
      <c r="H63" s="243"/>
      <c r="I63" s="345">
        <v>1</v>
      </c>
      <c r="J63" s="181" t="s">
        <v>258</v>
      </c>
      <c r="K63" s="245">
        <f>IF(BD.PD5[[#This Row],[Mon]]="DOP",1,HLOOKUP(BD.PD5[[#This Row],[Mon]],$J$1:$K$2,2,FALSE))</f>
        <v>72.45</v>
      </c>
      <c r="L63" s="277">
        <v>2225</v>
      </c>
      <c r="M63" s="247">
        <f>BD.PD5[[#This Row],[Cant.]]*BD.PD5[[#This Row],[ Tasa ]]*BD.PD5[[#This Row],[ Precio Und.]]</f>
        <v>161201.25</v>
      </c>
      <c r="N63" s="278">
        <v>0</v>
      </c>
      <c r="O63" s="247">
        <f>IF(BD.PD5[[#This Row],[Liquid. '[%']]]&lt;&gt;0,(BD.PD5[[#This Row],[Valor Neto '[DOP']]]*BD.PD5[[#This Row],[Liquid. '[%']]])+BD.PD5[[#This Row],[Valor Neto '[DOP']]],BD.PD5[[#This Row],[Valor Neto '[DOP']]])</f>
        <v>161201.25</v>
      </c>
      <c r="P63" s="257">
        <f>BD.PD5[[#This Row],[Ppto. Orden Interna '[DOP']]]/HLOOKUP("USD",$J$1:$K$2,2,FALSE)</f>
        <v>2518.76953125</v>
      </c>
      <c r="Q63" s="338"/>
      <c r="R63" s="250"/>
      <c r="S63" s="250"/>
      <c r="T63" s="250"/>
      <c r="U63" s="250"/>
      <c r="V63" s="258" t="s">
        <v>724</v>
      </c>
      <c r="W63" s="251">
        <v>1</v>
      </c>
      <c r="X63" s="252">
        <v>1</v>
      </c>
      <c r="Y63" s="259">
        <f>BD.PD5[[#This Row],[Av.P1 '[%']]]*BD.PD5[[#This Row],[Ppto. Orden Interna '[DOP']]]</f>
        <v>161201.25</v>
      </c>
      <c r="Z63" s="254"/>
      <c r="AA63" s="255"/>
      <c r="AB63" s="259">
        <f>BD.PD5[[#This Row],[Av.P2 '[%']]]*BD.PD5[[#This Row],[Ppto. Orden Interna '[DOP']]]</f>
        <v>0</v>
      </c>
      <c r="AC63" s="254"/>
      <c r="AD63" s="255"/>
      <c r="AE63" s="259">
        <f>BD.PD5[[#This Row],[Av.P3 '[%']]]*BD.PD5[[#This Row],[Ppto. Orden Interna '[DOP']]]</f>
        <v>0</v>
      </c>
      <c r="AF63" s="254"/>
      <c r="AG63" s="255"/>
      <c r="AH63" s="259">
        <f>BD.PD5[[#This Row],[Av.P4 '[%']]]*BD.PD5[[#This Row],[Ppto. Orden Interna '[DOP']]]</f>
        <v>0</v>
      </c>
      <c r="AI63" s="254"/>
      <c r="AJ63" s="255"/>
      <c r="AK63" s="259">
        <f>BD.PD5[[#This Row],[Av.P5 '[%']]]*BD.PD5[[#This Row],[Ppto. Orden Interna '[DOP']]]</f>
        <v>0</v>
      </c>
      <c r="AL63" s="256">
        <f>BD.PD5[[#This Row],[Pago 5]]+BD.PD5[[#This Row],[Pago 4]]+BD.PD5[[#This Row],[Pago 3]]+BD.PD5[[#This Row],[Pago 2]]+BD.PD5[[#This Row],[Pago 1]]</f>
        <v>161201.25</v>
      </c>
      <c r="AM63" s="318"/>
      <c r="AN63" s="318"/>
      <c r="AO63" s="318"/>
      <c r="AP63" s="318"/>
      <c r="AQ63" s="318"/>
      <c r="AR63" s="318"/>
      <c r="AS63" s="318"/>
      <c r="AT63" s="318"/>
      <c r="AU63" s="318"/>
      <c r="AV63" s="318"/>
      <c r="AW63" s="318"/>
      <c r="AX63" s="318"/>
      <c r="AY63" s="318"/>
      <c r="AZ63" s="318"/>
      <c r="BA63" s="318"/>
      <c r="BB63" s="318"/>
      <c r="BC63" s="318"/>
      <c r="BD63" s="318"/>
      <c r="BE63" s="318"/>
      <c r="BF63" s="318"/>
      <c r="BG63" s="318"/>
      <c r="BH63" s="318"/>
      <c r="BI63" s="318"/>
      <c r="BJ63" s="318"/>
      <c r="BK63" s="318"/>
      <c r="BL63" s="318"/>
      <c r="BM63" s="318"/>
      <c r="BN63" s="318"/>
      <c r="BO63" s="318"/>
      <c r="BP63" s="318"/>
      <c r="BQ63" s="318"/>
      <c r="BR63" s="318"/>
      <c r="BS63" s="318"/>
      <c r="BT63" s="318"/>
      <c r="BU63" s="318"/>
      <c r="BV63" s="318"/>
      <c r="BW63" s="318"/>
      <c r="BX63" s="318"/>
      <c r="BY63" s="318"/>
      <c r="BZ63" s="318"/>
      <c r="CA63" s="318"/>
      <c r="CB63" s="318"/>
      <c r="CC63" s="318"/>
      <c r="CD63" s="318"/>
      <c r="CE63" s="318"/>
      <c r="CF63" s="318"/>
      <c r="CG63" s="318"/>
      <c r="CH63" s="318"/>
      <c r="CI63" s="318"/>
      <c r="CJ63" s="318"/>
      <c r="CK63" s="318"/>
      <c r="CL63" s="318"/>
      <c r="CM63" s="318"/>
      <c r="CN63" s="318"/>
      <c r="CO63" s="318"/>
      <c r="CP63" s="318"/>
      <c r="CQ63" s="318"/>
      <c r="CR63" s="318"/>
      <c r="CS63" s="318"/>
      <c r="CT63" s="318"/>
      <c r="CU63" s="318"/>
      <c r="CV63" s="318"/>
      <c r="CW63" s="318"/>
      <c r="CX63" s="318"/>
      <c r="CY63" s="318"/>
      <c r="CZ63" s="318"/>
      <c r="DA63" s="318"/>
      <c r="DB63" s="318"/>
      <c r="DC63" s="318"/>
      <c r="DD63" s="318"/>
      <c r="DE63" s="318"/>
      <c r="DF63" s="318"/>
      <c r="DG63" s="318"/>
      <c r="DH63" s="318"/>
      <c r="DI63" s="318"/>
      <c r="DJ63" s="318"/>
      <c r="DK63" s="318"/>
      <c r="DL63" s="318"/>
      <c r="DM63" s="318"/>
      <c r="DN63" s="318"/>
      <c r="DO63" s="318"/>
      <c r="DP63" s="318"/>
      <c r="DQ63" s="318"/>
      <c r="DR63" s="318"/>
      <c r="DS63" s="318"/>
      <c r="DT63" s="318"/>
      <c r="DU63" s="318"/>
      <c r="DV63" s="318"/>
      <c r="DW63" s="318"/>
      <c r="DX63" s="318"/>
      <c r="DY63" s="318"/>
      <c r="DZ63" s="318"/>
      <c r="EA63" s="318"/>
      <c r="EB63" s="318"/>
      <c r="EC63" s="318"/>
      <c r="ED63" s="318"/>
      <c r="EE63" s="318"/>
      <c r="EF63" s="318"/>
      <c r="EG63" s="318"/>
      <c r="EH63" s="318"/>
      <c r="EI63" s="318"/>
      <c r="EJ63" s="318"/>
      <c r="EK63" s="318"/>
      <c r="EL63" s="318"/>
      <c r="EM63" s="318"/>
      <c r="EN63" s="318"/>
      <c r="EO63" s="318"/>
      <c r="EP63" s="318"/>
      <c r="EQ63" s="318"/>
      <c r="ER63" s="318"/>
      <c r="ES63" s="318"/>
      <c r="ET63" s="318"/>
      <c r="EU63" s="318"/>
      <c r="EV63" s="318"/>
      <c r="EW63" s="318"/>
      <c r="EX63" s="318"/>
      <c r="EY63" s="318"/>
      <c r="EZ63" s="318"/>
      <c r="FA63" s="318"/>
      <c r="FB63" s="318"/>
      <c r="FC63" s="318"/>
      <c r="FD63" s="318"/>
      <c r="FE63" s="318"/>
      <c r="FF63" s="318"/>
      <c r="FG63" s="318"/>
      <c r="FH63" s="318"/>
      <c r="FI63" s="318"/>
      <c r="FJ63" s="318"/>
      <c r="FK63" s="318"/>
      <c r="FL63" s="318"/>
      <c r="FM63" s="318"/>
      <c r="FN63" s="318"/>
      <c r="FO63" s="318"/>
      <c r="FP63" s="318"/>
      <c r="FQ63" s="318"/>
      <c r="FR63" s="318"/>
      <c r="FS63" s="318"/>
      <c r="FT63" s="318"/>
      <c r="FU63" s="318"/>
      <c r="FV63" s="318"/>
      <c r="FW63" s="318"/>
      <c r="FX63" s="318"/>
      <c r="FY63" s="318"/>
      <c r="FZ63" s="318"/>
      <c r="GA63" s="318"/>
      <c r="GB63" s="318"/>
      <c r="GC63" s="318"/>
      <c r="GD63" s="318"/>
      <c r="GE63" s="318"/>
      <c r="GF63" s="318"/>
      <c r="GG63" s="318"/>
      <c r="GH63" s="318"/>
      <c r="GI63" s="318"/>
      <c r="GJ63" s="318"/>
      <c r="GK63" s="318"/>
      <c r="GL63" s="318"/>
      <c r="GM63" s="318"/>
      <c r="GN63" s="318"/>
      <c r="GO63" s="318"/>
      <c r="GP63" s="318"/>
      <c r="GQ63" s="318"/>
      <c r="GR63" s="318"/>
      <c r="GS63" s="318"/>
      <c r="GT63" s="318"/>
      <c r="GU63" s="318"/>
      <c r="GV63" s="318"/>
      <c r="GW63" s="318"/>
      <c r="GX63" s="318"/>
      <c r="GY63" s="318"/>
      <c r="GZ63" s="318"/>
      <c r="HA63" s="318"/>
      <c r="HB63" s="318"/>
      <c r="HC63" s="318"/>
      <c r="HD63" s="318"/>
      <c r="HE63" s="318"/>
      <c r="HF63" s="318"/>
      <c r="HG63" s="318"/>
      <c r="HH63" s="318"/>
      <c r="HI63" s="318"/>
      <c r="HJ63" s="318"/>
      <c r="HK63" s="318"/>
      <c r="HL63" s="318"/>
      <c r="HM63" s="318"/>
      <c r="HN63" s="318"/>
      <c r="HO63" s="318"/>
      <c r="HP63" s="318"/>
      <c r="HQ63" s="318"/>
      <c r="HR63" s="318"/>
      <c r="HS63" s="318"/>
      <c r="HT63" s="318"/>
      <c r="HU63" s="318"/>
      <c r="HV63" s="318"/>
      <c r="HW63" s="318"/>
      <c r="HX63" s="318"/>
      <c r="HY63" s="318"/>
      <c r="HZ63" s="318"/>
      <c r="IA63" s="318"/>
      <c r="IB63" s="318"/>
      <c r="IC63" s="318"/>
      <c r="ID63" s="318"/>
      <c r="IE63" s="318"/>
      <c r="IF63" s="318"/>
      <c r="IG63" s="318"/>
    </row>
    <row r="64" spans="1:241" s="260" customFormat="1" ht="15" customHeight="1" x14ac:dyDescent="0.3">
      <c r="A64" s="181">
        <v>8.06</v>
      </c>
      <c r="B64" s="239"/>
      <c r="C64" s="240" t="str">
        <f>VLOOKUP(BD.PD5[[#This Row],[Pos]],PPto[],3,FALSE)</f>
        <v>8.06 Otros Equipamientos de Tienda</v>
      </c>
      <c r="D64" s="181" t="s">
        <v>40</v>
      </c>
      <c r="E64" s="242" t="str">
        <f>IF(BD.PD5[[#This Row],[.]]="*",VLOOKUP(BD.PD5[[#This Row],[Pos]],[15]Presupuesto!A:H,7,FALSE),"")</f>
        <v/>
      </c>
      <c r="F64" s="384" t="s">
        <v>726</v>
      </c>
      <c r="G64" s="384">
        <v>4600079395</v>
      </c>
      <c r="H64" s="243"/>
      <c r="I64" s="345">
        <v>1</v>
      </c>
      <c r="J64" s="181" t="s">
        <v>258</v>
      </c>
      <c r="K64" s="245">
        <f>IF(BD.PD5[[#This Row],[Mon]]="DOP",1,HLOOKUP(BD.PD5[[#This Row],[Mon]],$J$1:$K$2,2,FALSE))</f>
        <v>72.45</v>
      </c>
      <c r="L64" s="385">
        <v>3395</v>
      </c>
      <c r="M64" s="247">
        <f>BD.PD5[[#This Row],[Cant.]]*BD.PD5[[#This Row],[ Tasa ]]*BD.PD5[[#This Row],[ Precio Und.]]</f>
        <v>245967.75</v>
      </c>
      <c r="N64" s="278">
        <v>0</v>
      </c>
      <c r="O64" s="247">
        <f>IF(BD.PD5[[#This Row],[Liquid. '[%']]]&lt;&gt;0,(BD.PD5[[#This Row],[Valor Neto '[DOP']]]*BD.PD5[[#This Row],[Liquid. '[%']]])+BD.PD5[[#This Row],[Valor Neto '[DOP']]],BD.PD5[[#This Row],[Valor Neto '[DOP']]])</f>
        <v>245967.75</v>
      </c>
      <c r="P64" s="257">
        <f>BD.PD5[[#This Row],[Ppto. Orden Interna '[DOP']]]/HLOOKUP("USD",$J$1:$K$2,2,FALSE)</f>
        <v>3843.24609375</v>
      </c>
      <c r="Q64" s="250"/>
      <c r="R64" s="250"/>
      <c r="S64" s="250"/>
      <c r="T64" s="250"/>
      <c r="U64" s="250"/>
      <c r="V64" s="258"/>
      <c r="W64" s="251"/>
      <c r="X64" s="252"/>
      <c r="Y64" s="259">
        <f>BD.PD5[[#This Row],[Av.P1 '[%']]]*BD.PD5[[#This Row],[Ppto. Orden Interna '[DOP']]]</f>
        <v>0</v>
      </c>
      <c r="Z64" s="254"/>
      <c r="AA64" s="255"/>
      <c r="AB64" s="259">
        <f>BD.PD5[[#This Row],[Av.P2 '[%']]]*BD.PD5[[#This Row],[Ppto. Orden Interna '[DOP']]]</f>
        <v>0</v>
      </c>
      <c r="AC64" s="254"/>
      <c r="AD64" s="255"/>
      <c r="AE64" s="259">
        <f>BD.PD5[[#This Row],[Av.P3 '[%']]]*BD.PD5[[#This Row],[Ppto. Orden Interna '[DOP']]]</f>
        <v>0</v>
      </c>
      <c r="AF64" s="254"/>
      <c r="AG64" s="255"/>
      <c r="AH64" s="259">
        <f>BD.PD5[[#This Row],[Av.P4 '[%']]]*BD.PD5[[#This Row],[Ppto. Orden Interna '[DOP']]]</f>
        <v>0</v>
      </c>
      <c r="AI64" s="254"/>
      <c r="AJ64" s="255"/>
      <c r="AK64" s="259">
        <f>BD.PD5[[#This Row],[Av.P5 '[%']]]*BD.PD5[[#This Row],[Ppto. Orden Interna '[DOP']]]</f>
        <v>0</v>
      </c>
      <c r="AL64" s="256">
        <f>BD.PD5[[#This Row],[Pago 5]]+BD.PD5[[#This Row],[Pago 4]]+BD.PD5[[#This Row],[Pago 3]]+BD.PD5[[#This Row],[Pago 2]]+BD.PD5[[#This Row],[Pago 1]]</f>
        <v>0</v>
      </c>
      <c r="AM64" s="318"/>
      <c r="AN64" s="318"/>
      <c r="AO64" s="318"/>
      <c r="AP64" s="318"/>
      <c r="AQ64" s="318"/>
      <c r="AR64" s="318"/>
      <c r="AS64" s="318"/>
      <c r="AT64" s="318"/>
      <c r="AU64" s="318"/>
      <c r="AV64" s="318"/>
      <c r="AW64" s="318"/>
      <c r="AX64" s="318"/>
      <c r="AY64" s="318"/>
      <c r="AZ64" s="318"/>
      <c r="BA64" s="318"/>
      <c r="BB64" s="318"/>
      <c r="BC64" s="318"/>
      <c r="BD64" s="318"/>
      <c r="BE64" s="318"/>
      <c r="BF64" s="318"/>
      <c r="BG64" s="318"/>
      <c r="BH64" s="318"/>
      <c r="BI64" s="318"/>
      <c r="BJ64" s="318"/>
      <c r="BK64" s="318"/>
      <c r="BL64" s="318"/>
      <c r="BM64" s="318"/>
      <c r="BN64" s="318"/>
      <c r="BO64" s="318"/>
      <c r="BP64" s="318"/>
      <c r="BQ64" s="318"/>
      <c r="BR64" s="318"/>
      <c r="BS64" s="318"/>
      <c r="BT64" s="318"/>
      <c r="BU64" s="318"/>
      <c r="BV64" s="318"/>
      <c r="BW64" s="318"/>
      <c r="BX64" s="318"/>
      <c r="BY64" s="318"/>
      <c r="BZ64" s="318"/>
      <c r="CA64" s="318"/>
      <c r="CB64" s="318"/>
      <c r="CC64" s="318"/>
      <c r="CD64" s="318"/>
      <c r="CE64" s="318"/>
      <c r="CF64" s="318"/>
      <c r="CG64" s="318"/>
      <c r="CH64" s="318"/>
      <c r="CI64" s="318"/>
      <c r="CJ64" s="318"/>
      <c r="CK64" s="318"/>
      <c r="CL64" s="318"/>
      <c r="CM64" s="318"/>
      <c r="CN64" s="318"/>
      <c r="CO64" s="318"/>
      <c r="CP64" s="318"/>
      <c r="CQ64" s="318"/>
      <c r="CR64" s="318"/>
      <c r="CS64" s="318"/>
      <c r="CT64" s="318"/>
      <c r="CU64" s="318"/>
      <c r="CV64" s="318"/>
      <c r="CW64" s="318"/>
      <c r="CX64" s="318"/>
      <c r="CY64" s="318"/>
      <c r="CZ64" s="318"/>
      <c r="DA64" s="318"/>
      <c r="DB64" s="318"/>
      <c r="DC64" s="318"/>
      <c r="DD64" s="318"/>
      <c r="DE64" s="318"/>
      <c r="DF64" s="318"/>
      <c r="DG64" s="318"/>
      <c r="DH64" s="318"/>
      <c r="DI64" s="318"/>
      <c r="DJ64" s="318"/>
      <c r="DK64" s="318"/>
      <c r="DL64" s="318"/>
      <c r="DM64" s="318"/>
      <c r="DN64" s="318"/>
      <c r="DO64" s="318"/>
      <c r="DP64" s="318"/>
      <c r="DQ64" s="318"/>
      <c r="DR64" s="318"/>
      <c r="DS64" s="318"/>
      <c r="DT64" s="318"/>
      <c r="DU64" s="318"/>
      <c r="DV64" s="318"/>
      <c r="DW64" s="318"/>
      <c r="DX64" s="318"/>
      <c r="DY64" s="318"/>
      <c r="DZ64" s="318"/>
      <c r="EA64" s="318"/>
      <c r="EB64" s="318"/>
      <c r="EC64" s="318"/>
      <c r="ED64" s="318"/>
      <c r="EE64" s="318"/>
      <c r="EF64" s="318"/>
      <c r="EG64" s="318"/>
      <c r="EH64" s="318"/>
      <c r="EI64" s="318"/>
      <c r="EJ64" s="318"/>
      <c r="EK64" s="318"/>
      <c r="EL64" s="318"/>
      <c r="EM64" s="318"/>
      <c r="EN64" s="318"/>
      <c r="EO64" s="318"/>
      <c r="EP64" s="318"/>
      <c r="EQ64" s="318"/>
      <c r="ER64" s="318"/>
      <c r="ES64" s="318"/>
      <c r="ET64" s="318"/>
      <c r="EU64" s="318"/>
      <c r="EV64" s="318"/>
      <c r="EW64" s="318"/>
      <c r="EX64" s="318"/>
      <c r="EY64" s="318"/>
      <c r="EZ64" s="318"/>
      <c r="FA64" s="318"/>
      <c r="FB64" s="318"/>
      <c r="FC64" s="318"/>
      <c r="FD64" s="318"/>
      <c r="FE64" s="318"/>
      <c r="FF64" s="318"/>
      <c r="FG64" s="318"/>
      <c r="FH64" s="318"/>
      <c r="FI64" s="318"/>
      <c r="FJ64" s="318"/>
      <c r="FK64" s="318"/>
      <c r="FL64" s="318"/>
      <c r="FM64" s="318"/>
      <c r="FN64" s="318"/>
      <c r="FO64" s="318"/>
      <c r="FP64" s="318"/>
      <c r="FQ64" s="318"/>
      <c r="FR64" s="318"/>
      <c r="FS64" s="318"/>
      <c r="FT64" s="318"/>
      <c r="FU64" s="318"/>
      <c r="FV64" s="318"/>
      <c r="FW64" s="318"/>
      <c r="FX64" s="318"/>
      <c r="FY64" s="318"/>
      <c r="FZ64" s="318"/>
      <c r="GA64" s="318"/>
      <c r="GB64" s="318"/>
      <c r="GC64" s="318"/>
      <c r="GD64" s="318"/>
      <c r="GE64" s="318"/>
      <c r="GF64" s="318"/>
      <c r="GG64" s="318"/>
      <c r="GH64" s="318"/>
      <c r="GI64" s="318"/>
      <c r="GJ64" s="318"/>
      <c r="GK64" s="318"/>
      <c r="GL64" s="318"/>
      <c r="GM64" s="318"/>
      <c r="GN64" s="318"/>
      <c r="GO64" s="318"/>
      <c r="GP64" s="318"/>
      <c r="GQ64" s="318"/>
      <c r="GR64" s="318"/>
      <c r="GS64" s="318"/>
      <c r="GT64" s="318"/>
      <c r="GU64" s="318"/>
      <c r="GV64" s="318"/>
      <c r="GW64" s="318"/>
      <c r="GX64" s="318"/>
      <c r="GY64" s="318"/>
      <c r="GZ64" s="318"/>
      <c r="HA64" s="318"/>
      <c r="HB64" s="318"/>
      <c r="HC64" s="318"/>
      <c r="HD64" s="318"/>
      <c r="HE64" s="318"/>
      <c r="HF64" s="318"/>
      <c r="HG64" s="318"/>
      <c r="HH64" s="318"/>
      <c r="HI64" s="318"/>
      <c r="HJ64" s="318"/>
      <c r="HK64" s="318"/>
      <c r="HL64" s="318"/>
      <c r="HM64" s="318"/>
      <c r="HN64" s="318"/>
      <c r="HO64" s="318"/>
      <c r="HP64" s="318"/>
      <c r="HQ64" s="318"/>
      <c r="HR64" s="318"/>
      <c r="HS64" s="318"/>
      <c r="HT64" s="318"/>
      <c r="HU64" s="318"/>
      <c r="HV64" s="318"/>
      <c r="HW64" s="318"/>
      <c r="HX64" s="318"/>
      <c r="HY64" s="318"/>
      <c r="HZ64" s="318"/>
      <c r="IA64" s="318"/>
      <c r="IB64" s="318"/>
      <c r="IC64" s="318"/>
      <c r="ID64" s="318"/>
      <c r="IE64" s="318"/>
      <c r="IF64" s="318"/>
      <c r="IG64" s="318"/>
    </row>
    <row r="65" spans="1:39" ht="15" customHeight="1" x14ac:dyDescent="0.3">
      <c r="A65" s="181">
        <v>8.06</v>
      </c>
      <c r="B65" s="239"/>
      <c r="C65" s="240" t="str">
        <f>VLOOKUP(BD.PD5[[#This Row],[Pos]],PPto[],3,FALSE)</f>
        <v>8.06 Otros Equipamientos de Tienda</v>
      </c>
      <c r="D65" s="181" t="s">
        <v>40</v>
      </c>
      <c r="E65" s="242" t="str">
        <f>IF(BD.PD5[[#This Row],[.]]="*",VLOOKUP(BD.PD5[[#This Row],[Pos]],[15]Presupuesto!A:H,7,FALSE),"")</f>
        <v/>
      </c>
      <c r="F65" s="243" t="s">
        <v>727</v>
      </c>
      <c r="G65" s="243" t="s">
        <v>308</v>
      </c>
      <c r="H65" s="243"/>
      <c r="I65" s="345">
        <v>1</v>
      </c>
      <c r="J65" s="181" t="s">
        <v>314</v>
      </c>
      <c r="K65" s="245">
        <f>IF(BD.PD5[[#This Row],[Mon]]="DOP",1,HLOOKUP(BD.PD5[[#This Row],[Mon]],$J$1:$K$2,2,FALSE))</f>
        <v>1</v>
      </c>
      <c r="L65" s="277">
        <v>40500</v>
      </c>
      <c r="M65" s="247">
        <f>BD.PD5[[#This Row],[Cant.]]*BD.PD5[[#This Row],[ Tasa ]]*BD.PD5[[#This Row],[ Precio Und.]]</f>
        <v>40500</v>
      </c>
      <c r="N65" s="278">
        <v>0</v>
      </c>
      <c r="O65" s="247">
        <f>IF(BD.PD5[[#This Row],[Liquid. '[%']]]&lt;&gt;0,(BD.PD5[[#This Row],[Valor Neto '[DOP']]]*BD.PD5[[#This Row],[Liquid. '[%']]])+BD.PD5[[#This Row],[Valor Neto '[DOP']]],BD.PD5[[#This Row],[Valor Neto '[DOP']]])</f>
        <v>40500</v>
      </c>
      <c r="P65" s="257">
        <f>BD.PD5[[#This Row],[Ppto. Orden Interna '[DOP']]]/HLOOKUP("USD",$J$1:$K$2,2,FALSE)</f>
        <v>632.8125</v>
      </c>
      <c r="Q65" s="364"/>
      <c r="R65" s="250"/>
      <c r="S65" s="250"/>
      <c r="T65" s="250"/>
      <c r="U65" s="250"/>
      <c r="V65" s="258" t="s">
        <v>728</v>
      </c>
      <c r="W65" s="251">
        <v>1</v>
      </c>
      <c r="X65" s="252">
        <v>0.6</v>
      </c>
      <c r="Y65" s="259">
        <f>BD.PD5[[#This Row],[Av.P1 '[%']]]*BD.PD5[[#This Row],[Ppto. Orden Interna '[DOP']]]</f>
        <v>24300</v>
      </c>
      <c r="Z65" s="254">
        <v>3</v>
      </c>
      <c r="AA65" s="255">
        <v>0.4</v>
      </c>
      <c r="AB65" s="259">
        <f>BD.PD5[[#This Row],[Av.P2 '[%']]]*BD.PD5[[#This Row],[Ppto. Orden Interna '[DOP']]]</f>
        <v>16200</v>
      </c>
      <c r="AC65" s="254"/>
      <c r="AD65" s="255"/>
      <c r="AE65" s="259">
        <f>BD.PD5[[#This Row],[Av.P3 '[%']]]*BD.PD5[[#This Row],[Ppto. Orden Interna '[DOP']]]</f>
        <v>0</v>
      </c>
      <c r="AF65" s="254"/>
      <c r="AG65" s="255"/>
      <c r="AH65" s="259">
        <f>BD.PD5[[#This Row],[Av.P4 '[%']]]*BD.PD5[[#This Row],[Ppto. Orden Interna '[DOP']]]</f>
        <v>0</v>
      </c>
      <c r="AI65" s="254"/>
      <c r="AJ65" s="255"/>
      <c r="AK65" s="259">
        <f>BD.PD5[[#This Row],[Av.P5 '[%']]]*BD.PD5[[#This Row],[Ppto. Orden Interna '[DOP']]]</f>
        <v>0</v>
      </c>
      <c r="AL65" s="256">
        <f>BD.PD5[[#This Row],[Pago 5]]+BD.PD5[[#This Row],[Pago 4]]+BD.PD5[[#This Row],[Pago 3]]+BD.PD5[[#This Row],[Pago 2]]+BD.PD5[[#This Row],[Pago 1]]</f>
        <v>40500</v>
      </c>
      <c r="AM65" s="318"/>
    </row>
    <row r="66" spans="1:39" ht="14.4" customHeight="1" x14ac:dyDescent="0.3">
      <c r="A66" s="181">
        <v>8.06</v>
      </c>
      <c r="B66" s="239"/>
      <c r="C66" s="240" t="str">
        <f>VLOOKUP(BD.PD5[[#This Row],[Pos]],PPto[],3,FALSE)</f>
        <v>8.06 Otros Equipamientos de Tienda</v>
      </c>
      <c r="D66" s="181" t="s">
        <v>40</v>
      </c>
      <c r="E66" s="242" t="str">
        <f>IF(BD.PD5[[#This Row],[.]]="*",VLOOKUP(BD.PD5[[#This Row],[Pos]],[15]Presupuesto!A:H,7,FALSE),"")</f>
        <v/>
      </c>
      <c r="F66" s="243" t="s">
        <v>729</v>
      </c>
      <c r="G66" s="243" t="s">
        <v>308</v>
      </c>
      <c r="H66" s="243"/>
      <c r="I66" s="345">
        <v>1</v>
      </c>
      <c r="J66" s="181" t="s">
        <v>314</v>
      </c>
      <c r="K66" s="245">
        <f>IF(BD.PD5[[#This Row],[Mon]]="DOP",1,HLOOKUP(BD.PD5[[#This Row],[Mon]],$J$1:$K$2,2,FALSE))</f>
        <v>1</v>
      </c>
      <c r="L66" s="277">
        <v>63000</v>
      </c>
      <c r="M66" s="247">
        <f>BD.PD5[[#This Row],[Cant.]]*BD.PD5[[#This Row],[ Tasa ]]*BD.PD5[[#This Row],[ Precio Und.]]</f>
        <v>63000</v>
      </c>
      <c r="N66" s="278">
        <v>0</v>
      </c>
      <c r="O66" s="247">
        <f>IF(BD.PD5[[#This Row],[Liquid. '[%']]]&lt;&gt;0,(BD.PD5[[#This Row],[Valor Neto '[DOP']]]*BD.PD5[[#This Row],[Liquid. '[%']]])+BD.PD5[[#This Row],[Valor Neto '[DOP']]],BD.PD5[[#This Row],[Valor Neto '[DOP']]])</f>
        <v>63000</v>
      </c>
      <c r="P66" s="257">
        <f>BD.PD5[[#This Row],[Ppto. Orden Interna '[DOP']]]/HLOOKUP("USD",$J$1:$K$2,2,FALSE)</f>
        <v>984.375</v>
      </c>
      <c r="Q66" s="365"/>
      <c r="R66" s="250"/>
      <c r="S66" s="250"/>
      <c r="T66" s="250"/>
      <c r="U66" s="250"/>
      <c r="V66" s="258" t="s">
        <v>728</v>
      </c>
      <c r="W66" s="251">
        <v>1</v>
      </c>
      <c r="X66" s="252">
        <v>0.6</v>
      </c>
      <c r="Y66" s="259">
        <f>BD.PD5[[#This Row],[Av.P1 '[%']]]*BD.PD5[[#This Row],[Ppto. Orden Interna '[DOP']]]</f>
        <v>37800</v>
      </c>
      <c r="Z66" s="254">
        <v>3</v>
      </c>
      <c r="AA66" s="255">
        <v>0.4</v>
      </c>
      <c r="AB66" s="259">
        <f>BD.PD5[[#This Row],[Av.P2 '[%']]]*BD.PD5[[#This Row],[Ppto. Orden Interna '[DOP']]]</f>
        <v>25200</v>
      </c>
      <c r="AC66" s="254"/>
      <c r="AD66" s="255"/>
      <c r="AE66" s="259">
        <f>BD.PD5[[#This Row],[Av.P3 '[%']]]*BD.PD5[[#This Row],[Ppto. Orden Interna '[DOP']]]</f>
        <v>0</v>
      </c>
      <c r="AF66" s="254"/>
      <c r="AG66" s="255"/>
      <c r="AH66" s="259">
        <f>BD.PD5[[#This Row],[Av.P4 '[%']]]*BD.PD5[[#This Row],[Ppto. Orden Interna '[DOP']]]</f>
        <v>0</v>
      </c>
      <c r="AI66" s="254"/>
      <c r="AJ66" s="255"/>
      <c r="AK66" s="259">
        <f>BD.PD5[[#This Row],[Av.P5 '[%']]]*BD.PD5[[#This Row],[Ppto. Orden Interna '[DOP']]]</f>
        <v>0</v>
      </c>
      <c r="AL66" s="256">
        <f>BD.PD5[[#This Row],[Pago 5]]+BD.PD5[[#This Row],[Pago 4]]+BD.PD5[[#This Row],[Pago 3]]+BD.PD5[[#This Row],[Pago 2]]+BD.PD5[[#This Row],[Pago 1]]</f>
        <v>63000</v>
      </c>
      <c r="AM66" s="318"/>
    </row>
    <row r="67" spans="1:39" ht="14.4" customHeight="1" x14ac:dyDescent="0.3">
      <c r="A67" s="181">
        <v>8.06</v>
      </c>
      <c r="B67" s="239"/>
      <c r="C67" s="240" t="str">
        <f>VLOOKUP(BD.PD5[[#This Row],[Pos]],PPto[],3,FALSE)</f>
        <v>8.06 Otros Equipamientos de Tienda</v>
      </c>
      <c r="D67" s="181" t="s">
        <v>40</v>
      </c>
      <c r="E67" s="242" t="str">
        <f>IF(BD.PD5[[#This Row],[.]]="*",VLOOKUP(BD.PD5[[#This Row],[Pos]],[15]Presupuesto!A:H,7,FALSE),"")</f>
        <v/>
      </c>
      <c r="F67" s="243" t="s">
        <v>730</v>
      </c>
      <c r="G67" s="384">
        <v>4600079396</v>
      </c>
      <c r="H67" s="243"/>
      <c r="I67" s="345">
        <v>1</v>
      </c>
      <c r="J67" s="181" t="s">
        <v>258</v>
      </c>
      <c r="K67" s="245">
        <f>IF(BD.PD5[[#This Row],[Mon]]="DOP",1,HLOOKUP(BD.PD5[[#This Row],[Mon]],$J$1:$K$2,2,FALSE))</f>
        <v>72.45</v>
      </c>
      <c r="L67" s="385">
        <v>3825</v>
      </c>
      <c r="M67" s="247">
        <f>BD.PD5[[#This Row],[Cant.]]*BD.PD5[[#This Row],[ Tasa ]]*BD.PD5[[#This Row],[ Precio Und.]]</f>
        <v>277121.25</v>
      </c>
      <c r="N67" s="278">
        <v>0</v>
      </c>
      <c r="O67" s="247">
        <f>IF(BD.PD5[[#This Row],[Liquid. '[%']]]&lt;&gt;0,(BD.PD5[[#This Row],[Valor Neto '[DOP']]]*BD.PD5[[#This Row],[Liquid. '[%']]])+BD.PD5[[#This Row],[Valor Neto '[DOP']]],BD.PD5[[#This Row],[Valor Neto '[DOP']]])</f>
        <v>277121.25</v>
      </c>
      <c r="P67" s="257">
        <f>BD.PD5[[#This Row],[Ppto. Orden Interna '[DOP']]]/HLOOKUP("USD",$J$1:$K$2,2,FALSE)</f>
        <v>4330.01953125</v>
      </c>
      <c r="Q67" s="366"/>
      <c r="R67" s="250"/>
      <c r="S67" s="250"/>
      <c r="T67" s="250"/>
      <c r="U67" s="250"/>
      <c r="V67" s="258" t="s">
        <v>724</v>
      </c>
      <c r="W67" s="251">
        <v>1</v>
      </c>
      <c r="X67" s="252">
        <v>1</v>
      </c>
      <c r="Y67" s="259">
        <f>BD.PD5[[#This Row],[Av.P1 '[%']]]*BD.PD5[[#This Row],[Ppto. Orden Interna '[DOP']]]</f>
        <v>277121.25</v>
      </c>
      <c r="Z67" s="254"/>
      <c r="AA67" s="255"/>
      <c r="AB67" s="259">
        <f>BD.PD5[[#This Row],[Av.P2 '[%']]]*BD.PD5[[#This Row],[Ppto. Orden Interna '[DOP']]]</f>
        <v>0</v>
      </c>
      <c r="AC67" s="254"/>
      <c r="AD67" s="255"/>
      <c r="AE67" s="259">
        <f>BD.PD5[[#This Row],[Av.P3 '[%']]]*BD.PD5[[#This Row],[Ppto. Orden Interna '[DOP']]]</f>
        <v>0</v>
      </c>
      <c r="AF67" s="254"/>
      <c r="AG67" s="255"/>
      <c r="AH67" s="259">
        <f>BD.PD5[[#This Row],[Av.P4 '[%']]]*BD.PD5[[#This Row],[Ppto. Orden Interna '[DOP']]]</f>
        <v>0</v>
      </c>
      <c r="AI67" s="254"/>
      <c r="AJ67" s="255"/>
      <c r="AK67" s="259">
        <f>BD.PD5[[#This Row],[Av.P5 '[%']]]*BD.PD5[[#This Row],[Ppto. Orden Interna '[DOP']]]</f>
        <v>0</v>
      </c>
      <c r="AL67" s="256">
        <f>BD.PD5[[#This Row],[Pago 5]]+BD.PD5[[#This Row],[Pago 4]]+BD.PD5[[#This Row],[Pago 3]]+BD.PD5[[#This Row],[Pago 2]]+BD.PD5[[#This Row],[Pago 1]]</f>
        <v>277121.25</v>
      </c>
      <c r="AM67" s="318"/>
    </row>
    <row r="68" spans="1:39" ht="15" customHeight="1" x14ac:dyDescent="0.3">
      <c r="A68" s="181">
        <v>8.06</v>
      </c>
      <c r="B68" s="239"/>
      <c r="C68" s="240" t="str">
        <f>VLOOKUP(BD.PD5[[#This Row],[Pos]],PPto[],3,FALSE)</f>
        <v>8.06 Otros Equipamientos de Tienda</v>
      </c>
      <c r="D68" s="181" t="s">
        <v>40</v>
      </c>
      <c r="E68" s="242" t="str">
        <f>IF(BD.PD5[[#This Row],[.]]="*",VLOOKUP(BD.PD5[[#This Row],[Pos]],[15]Presupuesto!A:H,7,FALSE),"")</f>
        <v/>
      </c>
      <c r="F68" s="243" t="s">
        <v>731</v>
      </c>
      <c r="G68" s="384">
        <v>4600079397</v>
      </c>
      <c r="H68" s="243"/>
      <c r="I68" s="345">
        <v>1</v>
      </c>
      <c r="J68" s="181" t="s">
        <v>258</v>
      </c>
      <c r="K68" s="245">
        <f>IF(BD.PD5[[#This Row],[Mon]]="DOP",1,HLOOKUP(BD.PD5[[#This Row],[Mon]],$J$1:$K$2,2,FALSE))</f>
        <v>72.45</v>
      </c>
      <c r="L68" s="385">
        <v>1625</v>
      </c>
      <c r="M68" s="247">
        <f>BD.PD5[[#This Row],[Cant.]]*BD.PD5[[#This Row],[ Tasa ]]*BD.PD5[[#This Row],[ Precio Und.]]</f>
        <v>117731.25</v>
      </c>
      <c r="N68" s="278">
        <v>0</v>
      </c>
      <c r="O68" s="247">
        <f>IF(BD.PD5[[#This Row],[Liquid. '[%']]]&lt;&gt;0,(BD.PD5[[#This Row],[Valor Neto '[DOP']]]*BD.PD5[[#This Row],[Liquid. '[%']]])+BD.PD5[[#This Row],[Valor Neto '[DOP']]],BD.PD5[[#This Row],[Valor Neto '[DOP']]])</f>
        <v>117731.25</v>
      </c>
      <c r="P68" s="257">
        <f>BD.PD5[[#This Row],[Ppto. Orden Interna '[DOP']]]/HLOOKUP("USD",$J$1:$K$2,2,FALSE)</f>
        <v>1839.55078125</v>
      </c>
      <c r="Q68" s="364"/>
      <c r="R68" s="250"/>
      <c r="S68" s="250"/>
      <c r="T68" s="250"/>
      <c r="U68" s="250"/>
      <c r="V68" s="258" t="s">
        <v>724</v>
      </c>
      <c r="W68" s="251">
        <v>1</v>
      </c>
      <c r="X68" s="252">
        <v>1</v>
      </c>
      <c r="Y68" s="259">
        <f>BD.PD5[[#This Row],[Av.P1 '[%']]]*BD.PD5[[#This Row],[Ppto. Orden Interna '[DOP']]]</f>
        <v>117731.25</v>
      </c>
      <c r="Z68" s="254"/>
      <c r="AA68" s="255"/>
      <c r="AB68" s="259">
        <f>BD.PD5[[#This Row],[Av.P2 '[%']]]*BD.PD5[[#This Row],[Ppto. Orden Interna '[DOP']]]</f>
        <v>0</v>
      </c>
      <c r="AC68" s="254"/>
      <c r="AD68" s="255"/>
      <c r="AE68" s="259">
        <f>BD.PD5[[#This Row],[Av.P3 '[%']]]*BD.PD5[[#This Row],[Ppto. Orden Interna '[DOP']]]</f>
        <v>0</v>
      </c>
      <c r="AF68" s="254"/>
      <c r="AG68" s="255"/>
      <c r="AH68" s="259">
        <f>BD.PD5[[#This Row],[Av.P4 '[%']]]*BD.PD5[[#This Row],[Ppto. Orden Interna '[DOP']]]</f>
        <v>0</v>
      </c>
      <c r="AI68" s="254"/>
      <c r="AJ68" s="255"/>
      <c r="AK68" s="259">
        <f>BD.PD5[[#This Row],[Av.P5 '[%']]]*BD.PD5[[#This Row],[Ppto. Orden Interna '[DOP']]]</f>
        <v>0</v>
      </c>
      <c r="AL68" s="256">
        <f>BD.PD5[[#This Row],[Pago 5]]+BD.PD5[[#This Row],[Pago 4]]+BD.PD5[[#This Row],[Pago 3]]+BD.PD5[[#This Row],[Pago 2]]+BD.PD5[[#This Row],[Pago 1]]</f>
        <v>117731.25</v>
      </c>
      <c r="AM68" s="318"/>
    </row>
    <row r="69" spans="1:39" ht="14.4" customHeight="1" x14ac:dyDescent="0.3">
      <c r="A69" s="181">
        <v>8.06</v>
      </c>
      <c r="B69" s="239"/>
      <c r="C69" s="240" t="str">
        <f>VLOOKUP(BD.PD5[[#This Row],[Pos]],PPto[],3,FALSE)</f>
        <v>8.06 Otros Equipamientos de Tienda</v>
      </c>
      <c r="D69" s="181" t="s">
        <v>40</v>
      </c>
      <c r="E69" s="242" t="str">
        <f>IF(BD.PD5[[#This Row],[.]]="*",VLOOKUP(BD.PD5[[#This Row],[Pos]],[15]Presupuesto!A:H,7,FALSE),"")</f>
        <v/>
      </c>
      <c r="F69" s="243" t="s">
        <v>732</v>
      </c>
      <c r="G69" s="243" t="s">
        <v>308</v>
      </c>
      <c r="H69" s="243"/>
      <c r="I69" s="345">
        <v>1</v>
      </c>
      <c r="J69" s="181" t="s">
        <v>314</v>
      </c>
      <c r="K69" s="245">
        <f>IF(BD.PD5[[#This Row],[Mon]]="DOP",1,HLOOKUP(BD.PD5[[#This Row],[Mon]],$J$1:$K$2,2,FALSE))</f>
        <v>1</v>
      </c>
      <c r="L69" s="277">
        <v>121452.25</v>
      </c>
      <c r="M69" s="247">
        <f>BD.PD5[[#This Row],[Cant.]]*BD.PD5[[#This Row],[ Tasa ]]*BD.PD5[[#This Row],[ Precio Und.]]</f>
        <v>121452.25</v>
      </c>
      <c r="N69" s="278">
        <v>0</v>
      </c>
      <c r="O69" s="247">
        <f>IF(BD.PD5[[#This Row],[Liquid. '[%']]]&lt;&gt;0,(BD.PD5[[#This Row],[Valor Neto '[DOP']]]*BD.PD5[[#This Row],[Liquid. '[%']]])+BD.PD5[[#This Row],[Valor Neto '[DOP']]],BD.PD5[[#This Row],[Valor Neto '[DOP']]])</f>
        <v>121452.25</v>
      </c>
      <c r="P69" s="257">
        <f>BD.PD5[[#This Row],[Ppto. Orden Interna '[DOP']]]/HLOOKUP("USD",$J$1:$K$2,2,FALSE)</f>
        <v>1897.69140625</v>
      </c>
      <c r="Q69" s="367"/>
      <c r="R69" s="250"/>
      <c r="S69" s="250"/>
      <c r="T69" s="250"/>
      <c r="U69" s="250"/>
      <c r="V69" s="258" t="s">
        <v>733</v>
      </c>
      <c r="W69" s="251">
        <v>1</v>
      </c>
      <c r="X69" s="252">
        <v>0.5</v>
      </c>
      <c r="Y69" s="259">
        <f>BD.PD5[[#This Row],[Av.P1 '[%']]]*BD.PD5[[#This Row],[Ppto. Orden Interna '[DOP']]]</f>
        <v>60726.125</v>
      </c>
      <c r="Z69" s="254">
        <v>3</v>
      </c>
      <c r="AA69" s="255">
        <v>0.5</v>
      </c>
      <c r="AB69" s="259">
        <f>BD.PD5[[#This Row],[Av.P2 '[%']]]*BD.PD5[[#This Row],[Ppto. Orden Interna '[DOP']]]</f>
        <v>60726.125</v>
      </c>
      <c r="AC69" s="254"/>
      <c r="AD69" s="255"/>
      <c r="AE69" s="259">
        <f>BD.PD5[[#This Row],[Av.P3 '[%']]]*BD.PD5[[#This Row],[Ppto. Orden Interna '[DOP']]]</f>
        <v>0</v>
      </c>
      <c r="AF69" s="254"/>
      <c r="AG69" s="255"/>
      <c r="AH69" s="259">
        <f>BD.PD5[[#This Row],[Av.P4 '[%']]]*BD.PD5[[#This Row],[Ppto. Orden Interna '[DOP']]]</f>
        <v>0</v>
      </c>
      <c r="AI69" s="254"/>
      <c r="AJ69" s="255"/>
      <c r="AK69" s="259">
        <f>BD.PD5[[#This Row],[Av.P5 '[%']]]*BD.PD5[[#This Row],[Ppto. Orden Interna '[DOP']]]</f>
        <v>0</v>
      </c>
      <c r="AL69" s="256">
        <f>BD.PD5[[#This Row],[Pago 5]]+BD.PD5[[#This Row],[Pago 4]]+BD.PD5[[#This Row],[Pago 3]]+BD.PD5[[#This Row],[Pago 2]]+BD.PD5[[#This Row],[Pago 1]]</f>
        <v>121452.25</v>
      </c>
      <c r="AM69" s="318"/>
    </row>
    <row r="70" spans="1:39" ht="14.4" customHeight="1" x14ac:dyDescent="0.3">
      <c r="A70" s="181">
        <v>8.06</v>
      </c>
      <c r="B70" s="239"/>
      <c r="C70" s="240" t="str">
        <f>VLOOKUP(BD.PD5[[#This Row],[Pos]],PPto[],3,FALSE)</f>
        <v>8.06 Otros Equipamientos de Tienda</v>
      </c>
      <c r="D70" s="181" t="s">
        <v>40</v>
      </c>
      <c r="E70" s="242" t="str">
        <f>IF(BD.PD5[[#This Row],[.]]="*",VLOOKUP(BD.PD5[[#This Row],[Pos]],[15]Presupuesto!A:H,7,FALSE),"")</f>
        <v/>
      </c>
      <c r="F70" s="243" t="s">
        <v>734</v>
      </c>
      <c r="G70" s="243" t="s">
        <v>308</v>
      </c>
      <c r="H70" s="243"/>
      <c r="I70" s="345">
        <v>1</v>
      </c>
      <c r="J70" s="181" t="s">
        <v>314</v>
      </c>
      <c r="K70" s="245">
        <f>IF(BD.PD5[[#This Row],[Mon]]="DOP",1,HLOOKUP(BD.PD5[[#This Row],[Mon]],$J$1:$K$2,2,FALSE))</f>
        <v>1</v>
      </c>
      <c r="L70" s="277">
        <v>43333.5</v>
      </c>
      <c r="M70" s="247">
        <f>BD.PD5[[#This Row],[Cant.]]*BD.PD5[[#This Row],[ Tasa ]]*BD.PD5[[#This Row],[ Precio Und.]]</f>
        <v>43333.5</v>
      </c>
      <c r="N70" s="278">
        <v>0</v>
      </c>
      <c r="O70" s="247">
        <f>IF(BD.PD5[[#This Row],[Liquid. '[%']]]&lt;&gt;0,(BD.PD5[[#This Row],[Valor Neto '[DOP']]]*BD.PD5[[#This Row],[Liquid. '[%']]])+BD.PD5[[#This Row],[Valor Neto '[DOP']]],BD.PD5[[#This Row],[Valor Neto '[DOP']]])</f>
        <v>43333.5</v>
      </c>
      <c r="P70" s="257">
        <f>BD.PD5[[#This Row],[Ppto. Orden Interna '[DOP']]]/HLOOKUP("USD",$J$1:$K$2,2,FALSE)</f>
        <v>677.0859375</v>
      </c>
      <c r="Q70" s="364"/>
      <c r="R70" s="250"/>
      <c r="S70" s="250"/>
      <c r="T70" s="250"/>
      <c r="U70" s="250"/>
      <c r="V70" s="258" t="s">
        <v>733</v>
      </c>
      <c r="W70" s="251">
        <v>1</v>
      </c>
      <c r="X70" s="252">
        <v>0.5</v>
      </c>
      <c r="Y70" s="259">
        <f>BD.PD5[[#This Row],[Av.P1 '[%']]]*BD.PD5[[#This Row],[Ppto. Orden Interna '[DOP']]]</f>
        <v>21666.75</v>
      </c>
      <c r="Z70" s="254">
        <v>3</v>
      </c>
      <c r="AA70" s="255">
        <v>0.5</v>
      </c>
      <c r="AB70" s="259">
        <f>BD.PD5[[#This Row],[Av.P2 '[%']]]*BD.PD5[[#This Row],[Ppto. Orden Interna '[DOP']]]</f>
        <v>21666.75</v>
      </c>
      <c r="AC70" s="254"/>
      <c r="AD70" s="255"/>
      <c r="AE70" s="259">
        <f>BD.PD5[[#This Row],[Av.P3 '[%']]]*BD.PD5[[#This Row],[Ppto. Orden Interna '[DOP']]]</f>
        <v>0</v>
      </c>
      <c r="AF70" s="254"/>
      <c r="AG70" s="255"/>
      <c r="AH70" s="259">
        <f>BD.PD5[[#This Row],[Av.P4 '[%']]]*BD.PD5[[#This Row],[Ppto. Orden Interna '[DOP']]]</f>
        <v>0</v>
      </c>
      <c r="AI70" s="254"/>
      <c r="AJ70" s="255"/>
      <c r="AK70" s="259">
        <f>BD.PD5[[#This Row],[Av.P5 '[%']]]*BD.PD5[[#This Row],[Ppto. Orden Interna '[DOP']]]</f>
        <v>0</v>
      </c>
      <c r="AL70" s="256">
        <f>BD.PD5[[#This Row],[Pago 5]]+BD.PD5[[#This Row],[Pago 4]]+BD.PD5[[#This Row],[Pago 3]]+BD.PD5[[#This Row],[Pago 2]]+BD.PD5[[#This Row],[Pago 1]]</f>
        <v>43333.5</v>
      </c>
      <c r="AM70" s="318"/>
    </row>
    <row r="71" spans="1:39" ht="14.4" customHeight="1" x14ac:dyDescent="0.3">
      <c r="A71" s="181">
        <v>8.06</v>
      </c>
      <c r="B71" s="239"/>
      <c r="C71" s="240" t="str">
        <f>VLOOKUP(BD.PD5[[#This Row],[Pos]],PPto[],3,FALSE)</f>
        <v>8.06 Otros Equipamientos de Tienda</v>
      </c>
      <c r="D71" s="181" t="s">
        <v>40</v>
      </c>
      <c r="E71" s="242" t="str">
        <f>IF(BD.PD5[[#This Row],[.]]="*",VLOOKUP(BD.PD5[[#This Row],[Pos]],[15]Presupuesto!A:H,7,FALSE),"")</f>
        <v/>
      </c>
      <c r="F71" s="243" t="s">
        <v>735</v>
      </c>
      <c r="G71" s="243" t="s">
        <v>308</v>
      </c>
      <c r="H71" s="243"/>
      <c r="I71" s="345">
        <v>2</v>
      </c>
      <c r="J71" s="181" t="s">
        <v>314</v>
      </c>
      <c r="K71" s="245">
        <f>IF(BD.PD5[[#This Row],[Mon]]="DOP",1,HLOOKUP(BD.PD5[[#This Row],[Mon]],$J$1:$K$2,2,FALSE))</f>
        <v>1</v>
      </c>
      <c r="L71" s="277">
        <v>24576.28</v>
      </c>
      <c r="M71" s="247">
        <f>BD.PD5[[#This Row],[Cant.]]*BD.PD5[[#This Row],[ Tasa ]]*BD.PD5[[#This Row],[ Precio Und.]]</f>
        <v>49152.56</v>
      </c>
      <c r="N71" s="278">
        <v>0</v>
      </c>
      <c r="O71" s="247">
        <f>IF(BD.PD5[[#This Row],[Liquid. '[%']]]&lt;&gt;0,(BD.PD5[[#This Row],[Valor Neto '[DOP']]]*BD.PD5[[#This Row],[Liquid. '[%']]])+BD.PD5[[#This Row],[Valor Neto '[DOP']]],BD.PD5[[#This Row],[Valor Neto '[DOP']]])</f>
        <v>49152.56</v>
      </c>
      <c r="P71" s="257">
        <f>BD.PD5[[#This Row],[Ppto. Orden Interna '[DOP']]]/HLOOKUP("USD",$J$1:$K$2,2,FALSE)</f>
        <v>768.00874999999996</v>
      </c>
      <c r="Q71" s="364"/>
      <c r="R71" s="250"/>
      <c r="S71" s="250"/>
      <c r="T71" s="250"/>
      <c r="U71" s="250"/>
      <c r="V71" s="258" t="s">
        <v>615</v>
      </c>
      <c r="W71" s="251">
        <v>1</v>
      </c>
      <c r="X71" s="252">
        <v>1</v>
      </c>
      <c r="Y71" s="259">
        <f>BD.PD5[[#This Row],[Av.P1 '[%']]]*BD.PD5[[#This Row],[Ppto. Orden Interna '[DOP']]]</f>
        <v>49152.56</v>
      </c>
      <c r="Z71" s="254"/>
      <c r="AA71" s="255"/>
      <c r="AB71" s="259">
        <f>BD.PD5[[#This Row],[Av.P2 '[%']]]*BD.PD5[[#This Row],[Ppto. Orden Interna '[DOP']]]</f>
        <v>0</v>
      </c>
      <c r="AC71" s="254"/>
      <c r="AD71" s="255"/>
      <c r="AE71" s="259">
        <f>BD.PD5[[#This Row],[Av.P3 '[%']]]*BD.PD5[[#This Row],[Ppto. Orden Interna '[DOP']]]</f>
        <v>0</v>
      </c>
      <c r="AF71" s="254"/>
      <c r="AG71" s="255"/>
      <c r="AH71" s="259">
        <f>BD.PD5[[#This Row],[Av.P4 '[%']]]*BD.PD5[[#This Row],[Ppto. Orden Interna '[DOP']]]</f>
        <v>0</v>
      </c>
      <c r="AI71" s="254"/>
      <c r="AJ71" s="255"/>
      <c r="AK71" s="259">
        <f>BD.PD5[[#This Row],[Av.P5 '[%']]]*BD.PD5[[#This Row],[Ppto. Orden Interna '[DOP']]]</f>
        <v>0</v>
      </c>
      <c r="AL71" s="256">
        <f>BD.PD5[[#This Row],[Pago 5]]+BD.PD5[[#This Row],[Pago 4]]+BD.PD5[[#This Row],[Pago 3]]+BD.PD5[[#This Row],[Pago 2]]+BD.PD5[[#This Row],[Pago 1]]</f>
        <v>49152.56</v>
      </c>
      <c r="AM71" s="318"/>
    </row>
    <row r="72" spans="1:39" ht="14.4" customHeight="1" x14ac:dyDescent="0.3">
      <c r="A72" s="181">
        <v>8.06</v>
      </c>
      <c r="B72" s="239"/>
      <c r="C72" s="240" t="str">
        <f>VLOOKUP(BD.PD5[[#This Row],[Pos]],PPto[],3,FALSE)</f>
        <v>8.06 Otros Equipamientos de Tienda</v>
      </c>
      <c r="D72" s="181" t="s">
        <v>40</v>
      </c>
      <c r="E72" s="242" t="str">
        <f>IF(BD.PD5[[#This Row],[.]]="*",VLOOKUP(BD.PD5[[#This Row],[Pos]],[15]Presupuesto!A:H,7,FALSE),"")</f>
        <v/>
      </c>
      <c r="F72" s="243" t="s">
        <v>736</v>
      </c>
      <c r="G72" s="243" t="s">
        <v>308</v>
      </c>
      <c r="H72" s="243"/>
      <c r="I72" s="345">
        <v>1</v>
      </c>
      <c r="J72" s="181" t="s">
        <v>314</v>
      </c>
      <c r="K72" s="245">
        <f>IF(BD.PD5[[#This Row],[Mon]]="DOP",1,HLOOKUP(BD.PD5[[#This Row],[Mon]],$J$1:$K$2,2,FALSE))</f>
        <v>1</v>
      </c>
      <c r="L72" s="277">
        <v>400000</v>
      </c>
      <c r="M72" s="247">
        <f>BD.PD5[[#This Row],[Cant.]]*BD.PD5[[#This Row],[ Tasa ]]*BD.PD5[[#This Row],[ Precio Und.]]</f>
        <v>400000</v>
      </c>
      <c r="N72" s="278">
        <v>0</v>
      </c>
      <c r="O72" s="247">
        <f>IF(BD.PD5[[#This Row],[Liquid. '[%']]]&lt;&gt;0,(BD.PD5[[#This Row],[Valor Neto '[DOP']]]*BD.PD5[[#This Row],[Liquid. '[%']]])+BD.PD5[[#This Row],[Valor Neto '[DOP']]],BD.PD5[[#This Row],[Valor Neto '[DOP']]])</f>
        <v>400000</v>
      </c>
      <c r="P72" s="257">
        <f>BD.PD5[[#This Row],[Ppto. Orden Interna '[DOP']]]/HLOOKUP("USD",$J$1:$K$2,2,FALSE)</f>
        <v>6250</v>
      </c>
      <c r="Q72" s="364"/>
      <c r="R72" s="250"/>
      <c r="S72" s="250"/>
      <c r="T72" s="250"/>
      <c r="U72" s="250"/>
      <c r="V72" s="258" t="s">
        <v>737</v>
      </c>
      <c r="W72" s="251">
        <v>1</v>
      </c>
      <c r="X72" s="252">
        <v>0.5</v>
      </c>
      <c r="Y72" s="259">
        <f>BD.PD5[[#This Row],[Av.P1 '[%']]]*BD.PD5[[#This Row],[Ppto. Orden Interna '[DOP']]]</f>
        <v>200000</v>
      </c>
      <c r="Z72" s="254">
        <v>3</v>
      </c>
      <c r="AA72" s="255">
        <v>0.5</v>
      </c>
      <c r="AB72" s="259">
        <f>BD.PD5[[#This Row],[Av.P2 '[%']]]*BD.PD5[[#This Row],[Ppto. Orden Interna '[DOP']]]</f>
        <v>200000</v>
      </c>
      <c r="AC72" s="254"/>
      <c r="AD72" s="255"/>
      <c r="AE72" s="259">
        <f>BD.PD5[[#This Row],[Av.P3 '[%']]]*BD.PD5[[#This Row],[Ppto. Orden Interna '[DOP']]]</f>
        <v>0</v>
      </c>
      <c r="AF72" s="254"/>
      <c r="AG72" s="255"/>
      <c r="AH72" s="259">
        <f>BD.PD5[[#This Row],[Av.P4 '[%']]]*BD.PD5[[#This Row],[Ppto. Orden Interna '[DOP']]]</f>
        <v>0</v>
      </c>
      <c r="AI72" s="254"/>
      <c r="AJ72" s="255"/>
      <c r="AK72" s="259">
        <f>BD.PD5[[#This Row],[Av.P5 '[%']]]*BD.PD5[[#This Row],[Ppto. Orden Interna '[DOP']]]</f>
        <v>0</v>
      </c>
      <c r="AL72" s="256">
        <f>BD.PD5[[#This Row],[Pago 5]]+BD.PD5[[#This Row],[Pago 4]]+BD.PD5[[#This Row],[Pago 3]]+BD.PD5[[#This Row],[Pago 2]]+BD.PD5[[#This Row],[Pago 1]]</f>
        <v>400000</v>
      </c>
      <c r="AM72" s="318"/>
    </row>
    <row r="73" spans="1:39" ht="14.4" customHeight="1" x14ac:dyDescent="0.3">
      <c r="A73" s="181">
        <v>8.06</v>
      </c>
      <c r="B73" s="239"/>
      <c r="C73" s="240" t="str">
        <f>VLOOKUP(BD.PD5[[#This Row],[Pos]],PPto[],3,FALSE)</f>
        <v>8.06 Otros Equipamientos de Tienda</v>
      </c>
      <c r="D73" s="181" t="s">
        <v>40</v>
      </c>
      <c r="E73" s="242" t="str">
        <f>IF(BD.PD5[[#This Row],[.]]="*",VLOOKUP(BD.PD5[[#This Row],[Pos]],[15]Presupuesto!A:H,7,FALSE),"")</f>
        <v/>
      </c>
      <c r="F73" s="243" t="s">
        <v>738</v>
      </c>
      <c r="G73" s="243" t="s">
        <v>308</v>
      </c>
      <c r="H73" s="243"/>
      <c r="I73" s="345">
        <v>2</v>
      </c>
      <c r="J73" s="181" t="s">
        <v>314</v>
      </c>
      <c r="K73" s="245">
        <f>IF(BD.PD5[[#This Row],[Mon]]="DOP",1,HLOOKUP(BD.PD5[[#This Row],[Mon]],$J$1:$K$2,2,FALSE))</f>
        <v>1</v>
      </c>
      <c r="L73" s="277">
        <v>12000</v>
      </c>
      <c r="M73" s="247">
        <f>BD.PD5[[#This Row],[Cant.]]*BD.PD5[[#This Row],[ Tasa ]]*BD.PD5[[#This Row],[ Precio Und.]]</f>
        <v>24000</v>
      </c>
      <c r="N73" s="278">
        <v>0</v>
      </c>
      <c r="O73" s="247">
        <f>IF(BD.PD5[[#This Row],[Liquid. '[%']]]&lt;&gt;0,(BD.PD5[[#This Row],[Valor Neto '[DOP']]]*BD.PD5[[#This Row],[Liquid. '[%']]])+BD.PD5[[#This Row],[Valor Neto '[DOP']]],BD.PD5[[#This Row],[Valor Neto '[DOP']]])</f>
        <v>24000</v>
      </c>
      <c r="P73" s="257">
        <f>BD.PD5[[#This Row],[Ppto. Orden Interna '[DOP']]]/HLOOKUP("USD",$J$1:$K$2,2,FALSE)</f>
        <v>375</v>
      </c>
      <c r="Q73" s="364"/>
      <c r="R73" s="250"/>
      <c r="S73" s="250"/>
      <c r="T73" s="250"/>
      <c r="U73" s="250"/>
      <c r="V73" s="258" t="s">
        <v>739</v>
      </c>
      <c r="W73" s="251">
        <v>1</v>
      </c>
      <c r="X73" s="252">
        <v>1</v>
      </c>
      <c r="Y73" s="259">
        <f>BD.PD5[[#This Row],[Av.P1 '[%']]]*BD.PD5[[#This Row],[Ppto. Orden Interna '[DOP']]]</f>
        <v>24000</v>
      </c>
      <c r="Z73" s="254"/>
      <c r="AA73" s="255"/>
      <c r="AB73" s="259">
        <f>BD.PD5[[#This Row],[Av.P2 '[%']]]*BD.PD5[[#This Row],[Ppto. Orden Interna '[DOP']]]</f>
        <v>0</v>
      </c>
      <c r="AC73" s="254"/>
      <c r="AD73" s="255"/>
      <c r="AE73" s="259">
        <f>BD.PD5[[#This Row],[Av.P3 '[%']]]*BD.PD5[[#This Row],[Ppto. Orden Interna '[DOP']]]</f>
        <v>0</v>
      </c>
      <c r="AF73" s="254"/>
      <c r="AG73" s="255"/>
      <c r="AH73" s="259">
        <f>BD.PD5[[#This Row],[Av.P4 '[%']]]*BD.PD5[[#This Row],[Ppto. Orden Interna '[DOP']]]</f>
        <v>0</v>
      </c>
      <c r="AI73" s="254"/>
      <c r="AJ73" s="255"/>
      <c r="AK73" s="259">
        <f>BD.PD5[[#This Row],[Av.P5 '[%']]]*BD.PD5[[#This Row],[Ppto. Orden Interna '[DOP']]]</f>
        <v>0</v>
      </c>
      <c r="AL73" s="256">
        <f>BD.PD5[[#This Row],[Pago 5]]+BD.PD5[[#This Row],[Pago 4]]+BD.PD5[[#This Row],[Pago 3]]+BD.PD5[[#This Row],[Pago 2]]+BD.PD5[[#This Row],[Pago 1]]</f>
        <v>24000</v>
      </c>
      <c r="AM73" s="318"/>
    </row>
    <row r="74" spans="1:39" ht="14.4" customHeight="1" x14ac:dyDescent="0.3">
      <c r="A74" s="181">
        <v>8.06</v>
      </c>
      <c r="B74" s="239"/>
      <c r="C74" s="240" t="str">
        <f>VLOOKUP(BD.PD5[[#This Row],[Pos]],PPto[],3,FALSE)</f>
        <v>8.06 Otros Equipamientos de Tienda</v>
      </c>
      <c r="D74" s="181" t="s">
        <v>40</v>
      </c>
      <c r="E74" s="242" t="str">
        <f>IF(BD.PD5[[#This Row],[.]]="*",VLOOKUP(BD.PD5[[#This Row],[Pos]],[15]Presupuesto!A:H,7,FALSE),"")</f>
        <v/>
      </c>
      <c r="F74" s="243" t="s">
        <v>740</v>
      </c>
      <c r="G74" s="243" t="s">
        <v>308</v>
      </c>
      <c r="H74" s="243"/>
      <c r="I74" s="345">
        <v>1</v>
      </c>
      <c r="J74" s="181" t="s">
        <v>314</v>
      </c>
      <c r="K74" s="245">
        <f>IF(BD.PD5[[#This Row],[Mon]]="DOP",1,HLOOKUP(BD.PD5[[#This Row],[Mon]],$J$1:$K$2,2,FALSE))</f>
        <v>1</v>
      </c>
      <c r="L74" s="277">
        <v>7769</v>
      </c>
      <c r="M74" s="247">
        <f>BD.PD5[[#This Row],[Cant.]]*BD.PD5[[#This Row],[ Tasa ]]*BD.PD5[[#This Row],[ Precio Und.]]</f>
        <v>7769</v>
      </c>
      <c r="N74" s="278">
        <v>0</v>
      </c>
      <c r="O74" s="247">
        <f>IF(BD.PD5[[#This Row],[Liquid. '[%']]]&lt;&gt;0,(BD.PD5[[#This Row],[Valor Neto '[DOP']]]*BD.PD5[[#This Row],[Liquid. '[%']]])+BD.PD5[[#This Row],[Valor Neto '[DOP']]],BD.PD5[[#This Row],[Valor Neto '[DOP']]])</f>
        <v>7769</v>
      </c>
      <c r="P74" s="257">
        <f>BD.PD5[[#This Row],[Ppto. Orden Interna '[DOP']]]/HLOOKUP("USD",$J$1:$K$2,2,FALSE)</f>
        <v>121.390625</v>
      </c>
      <c r="Q74" s="364"/>
      <c r="R74" s="250"/>
      <c r="S74" s="250"/>
      <c r="T74" s="250"/>
      <c r="U74" s="250"/>
      <c r="V74" s="258" t="s">
        <v>584</v>
      </c>
      <c r="W74" s="251">
        <v>1</v>
      </c>
      <c r="X74" s="252">
        <v>1</v>
      </c>
      <c r="Y74" s="259">
        <f>BD.PD5[[#This Row],[Av.P1 '[%']]]*BD.PD5[[#This Row],[Ppto. Orden Interna '[DOP']]]</f>
        <v>7769</v>
      </c>
      <c r="Z74" s="254"/>
      <c r="AA74" s="255"/>
      <c r="AB74" s="259">
        <f>BD.PD5[[#This Row],[Av.P2 '[%']]]*BD.PD5[[#This Row],[Ppto. Orden Interna '[DOP']]]</f>
        <v>0</v>
      </c>
      <c r="AC74" s="254"/>
      <c r="AD74" s="255"/>
      <c r="AE74" s="259">
        <f>BD.PD5[[#This Row],[Av.P3 '[%']]]*BD.PD5[[#This Row],[Ppto. Orden Interna '[DOP']]]</f>
        <v>0</v>
      </c>
      <c r="AF74" s="254"/>
      <c r="AG74" s="255"/>
      <c r="AH74" s="259">
        <f>BD.PD5[[#This Row],[Av.P4 '[%']]]*BD.PD5[[#This Row],[Ppto. Orden Interna '[DOP']]]</f>
        <v>0</v>
      </c>
      <c r="AI74" s="254"/>
      <c r="AJ74" s="255"/>
      <c r="AK74" s="259">
        <f>BD.PD5[[#This Row],[Av.P5 '[%']]]*BD.PD5[[#This Row],[Ppto. Orden Interna '[DOP']]]</f>
        <v>0</v>
      </c>
      <c r="AL74" s="256">
        <f>BD.PD5[[#This Row],[Pago 5]]+BD.PD5[[#This Row],[Pago 4]]+BD.PD5[[#This Row],[Pago 3]]+BD.PD5[[#This Row],[Pago 2]]+BD.PD5[[#This Row],[Pago 1]]</f>
        <v>7769</v>
      </c>
      <c r="AM74" s="318"/>
    </row>
    <row r="75" spans="1:39" ht="14.4" customHeight="1" x14ac:dyDescent="0.3">
      <c r="A75" s="181">
        <v>8.06</v>
      </c>
      <c r="B75" s="239"/>
      <c r="C75" s="240" t="str">
        <f>VLOOKUP(BD.PD5[[#This Row],[Pos]],PPto[],3,FALSE)</f>
        <v>8.06 Otros Equipamientos de Tienda</v>
      </c>
      <c r="D75" s="181" t="s">
        <v>40</v>
      </c>
      <c r="E75" s="242" t="str">
        <f>IF(BD.PD5[[#This Row],[.]]="*",VLOOKUP(BD.PD5[[#This Row],[Pos]],[15]Presupuesto!A:H,7,FALSE),"")</f>
        <v/>
      </c>
      <c r="F75" s="243" t="s">
        <v>741</v>
      </c>
      <c r="G75" s="243" t="s">
        <v>308</v>
      </c>
      <c r="H75" s="243"/>
      <c r="I75" s="345">
        <v>1</v>
      </c>
      <c r="J75" s="181" t="s">
        <v>314</v>
      </c>
      <c r="K75" s="245">
        <f>IF(BD.PD5[[#This Row],[Mon]]="DOP",1,HLOOKUP(BD.PD5[[#This Row],[Mon]],$J$1:$K$2,2,FALSE))</f>
        <v>1</v>
      </c>
      <c r="L75" s="277">
        <v>5000</v>
      </c>
      <c r="M75" s="247">
        <f>BD.PD5[[#This Row],[Cant.]]*BD.PD5[[#This Row],[ Tasa ]]*BD.PD5[[#This Row],[ Precio Und.]]</f>
        <v>5000</v>
      </c>
      <c r="N75" s="278">
        <v>0</v>
      </c>
      <c r="O75" s="247">
        <f>IF(BD.PD5[[#This Row],[Liquid. '[%']]]&lt;&gt;0,(BD.PD5[[#This Row],[Valor Neto '[DOP']]]*BD.PD5[[#This Row],[Liquid. '[%']]])+BD.PD5[[#This Row],[Valor Neto '[DOP']]],BD.PD5[[#This Row],[Valor Neto '[DOP']]])</f>
        <v>5000</v>
      </c>
      <c r="P75" s="257">
        <f>BD.PD5[[#This Row],[Ppto. Orden Interna '[DOP']]]/HLOOKUP("USD",$J$1:$K$2,2,FALSE)</f>
        <v>78.125</v>
      </c>
      <c r="Q75" s="368"/>
      <c r="R75" s="250"/>
      <c r="S75" s="250"/>
      <c r="T75" s="250"/>
      <c r="U75" s="250"/>
      <c r="V75" s="258"/>
      <c r="W75" s="251">
        <v>1</v>
      </c>
      <c r="X75" s="252">
        <v>1</v>
      </c>
      <c r="Y75" s="259">
        <f>BD.PD5[[#This Row],[Av.P1 '[%']]]*BD.PD5[[#This Row],[Ppto. Orden Interna '[DOP']]]</f>
        <v>5000</v>
      </c>
      <c r="Z75" s="254"/>
      <c r="AA75" s="255"/>
      <c r="AB75" s="259">
        <f>BD.PD5[[#This Row],[Av.P2 '[%']]]*BD.PD5[[#This Row],[Ppto. Orden Interna '[DOP']]]</f>
        <v>0</v>
      </c>
      <c r="AC75" s="254"/>
      <c r="AD75" s="255"/>
      <c r="AE75" s="259">
        <f>BD.PD5[[#This Row],[Av.P3 '[%']]]*BD.PD5[[#This Row],[Ppto. Orden Interna '[DOP']]]</f>
        <v>0</v>
      </c>
      <c r="AF75" s="254"/>
      <c r="AG75" s="255"/>
      <c r="AH75" s="259">
        <f>BD.PD5[[#This Row],[Av.P4 '[%']]]*BD.PD5[[#This Row],[Ppto. Orden Interna '[DOP']]]</f>
        <v>0</v>
      </c>
      <c r="AI75" s="254"/>
      <c r="AJ75" s="255"/>
      <c r="AK75" s="259">
        <f>BD.PD5[[#This Row],[Av.P5 '[%']]]*BD.PD5[[#This Row],[Ppto. Orden Interna '[DOP']]]</f>
        <v>0</v>
      </c>
      <c r="AL75" s="256">
        <f>BD.PD5[[#This Row],[Pago 5]]+BD.PD5[[#This Row],[Pago 4]]+BD.PD5[[#This Row],[Pago 3]]+BD.PD5[[#This Row],[Pago 2]]+BD.PD5[[#This Row],[Pago 1]]</f>
        <v>5000</v>
      </c>
      <c r="AM75" s="318"/>
    </row>
    <row r="76" spans="1:39" ht="14.4" customHeight="1" x14ac:dyDescent="0.3">
      <c r="A76" s="181">
        <v>8.06</v>
      </c>
      <c r="B76" s="239"/>
      <c r="C76" s="240" t="str">
        <f>VLOOKUP(BD.PD5[[#This Row],[Pos]],PPto[],3,FALSE)</f>
        <v>8.06 Otros Equipamientos de Tienda</v>
      </c>
      <c r="D76" s="181" t="s">
        <v>40</v>
      </c>
      <c r="E76" s="242" t="str">
        <f>IF(BD.PD5[[#This Row],[.]]="*",VLOOKUP(BD.PD5[[#This Row],[Pos]],[15]Presupuesto!A:H,7,FALSE),"")</f>
        <v/>
      </c>
      <c r="F76" s="243" t="s">
        <v>742</v>
      </c>
      <c r="G76" s="243" t="s">
        <v>308</v>
      </c>
      <c r="H76" s="243"/>
      <c r="I76" s="345">
        <v>1</v>
      </c>
      <c r="J76" s="181" t="s">
        <v>314</v>
      </c>
      <c r="K76" s="245">
        <f>IF(BD.PD5[[#This Row],[Mon]]="DOP",1,HLOOKUP(BD.PD5[[#This Row],[Mon]],$J$1:$K$2,2,FALSE))</f>
        <v>1</v>
      </c>
      <c r="L76" s="277">
        <v>1975</v>
      </c>
      <c r="M76" s="247">
        <f>BD.PD5[[#This Row],[Cant.]]*BD.PD5[[#This Row],[ Tasa ]]*BD.PD5[[#This Row],[ Precio Und.]]</f>
        <v>1975</v>
      </c>
      <c r="N76" s="278">
        <v>0</v>
      </c>
      <c r="O76" s="247">
        <f>IF(BD.PD5[[#This Row],[Liquid. '[%']]]&lt;&gt;0,(BD.PD5[[#This Row],[Valor Neto '[DOP']]]*BD.PD5[[#This Row],[Liquid. '[%']]])+BD.PD5[[#This Row],[Valor Neto '[DOP']]],BD.PD5[[#This Row],[Valor Neto '[DOP']]])</f>
        <v>1975</v>
      </c>
      <c r="P76" s="257">
        <f>BD.PD5[[#This Row],[Ppto. Orden Interna '[DOP']]]/HLOOKUP("USD",$J$1:$K$2,2,FALSE)</f>
        <v>30.859375</v>
      </c>
      <c r="Q76" s="368"/>
      <c r="R76" s="250"/>
      <c r="S76" s="250"/>
      <c r="T76" s="250"/>
      <c r="U76" s="250"/>
      <c r="V76" s="258" t="s">
        <v>743</v>
      </c>
      <c r="W76" s="251">
        <v>1</v>
      </c>
      <c r="X76" s="252">
        <v>0.6</v>
      </c>
      <c r="Y76" s="259">
        <f>BD.PD5[[#This Row],[Av.P1 '[%']]]*BD.PD5[[#This Row],[Ppto. Orden Interna '[DOP']]]</f>
        <v>1185</v>
      </c>
      <c r="Z76" s="254">
        <v>3</v>
      </c>
      <c r="AA76" s="255">
        <v>0.4</v>
      </c>
      <c r="AB76" s="259">
        <f>BD.PD5[[#This Row],[Av.P2 '[%']]]*BD.PD5[[#This Row],[Ppto. Orden Interna '[DOP']]]</f>
        <v>790</v>
      </c>
      <c r="AC76" s="254"/>
      <c r="AD76" s="255"/>
      <c r="AE76" s="259">
        <f>BD.PD5[[#This Row],[Av.P3 '[%']]]*BD.PD5[[#This Row],[Ppto. Orden Interna '[DOP']]]</f>
        <v>0</v>
      </c>
      <c r="AF76" s="254"/>
      <c r="AG76" s="255"/>
      <c r="AH76" s="259">
        <f>BD.PD5[[#This Row],[Av.P4 '[%']]]*BD.PD5[[#This Row],[Ppto. Orden Interna '[DOP']]]</f>
        <v>0</v>
      </c>
      <c r="AI76" s="254"/>
      <c r="AJ76" s="255"/>
      <c r="AK76" s="259">
        <f>BD.PD5[[#This Row],[Av.P5 '[%']]]*BD.PD5[[#This Row],[Ppto. Orden Interna '[DOP']]]</f>
        <v>0</v>
      </c>
      <c r="AL76" s="256">
        <f>BD.PD5[[#This Row],[Pago 5]]+BD.PD5[[#This Row],[Pago 4]]+BD.PD5[[#This Row],[Pago 3]]+BD.PD5[[#This Row],[Pago 2]]+BD.PD5[[#This Row],[Pago 1]]</f>
        <v>1975</v>
      </c>
      <c r="AM76" s="318"/>
    </row>
    <row r="77" spans="1:39" ht="13.95" customHeight="1" x14ac:dyDescent="0.3">
      <c r="A77" s="181">
        <v>8.06</v>
      </c>
      <c r="B77" s="239"/>
      <c r="C77" s="240" t="str">
        <f>VLOOKUP(BD.PD5[[#This Row],[Pos]],PPto[],3,FALSE)</f>
        <v>8.06 Otros Equipamientos de Tienda</v>
      </c>
      <c r="D77" s="181" t="s">
        <v>40</v>
      </c>
      <c r="E77" s="242" t="str">
        <f>IF(BD.PD5[[#This Row],[.]]="*",VLOOKUP(BD.PD5[[#This Row],[Pos]],[15]Presupuesto!A:H,7,FALSE),"")</f>
        <v/>
      </c>
      <c r="F77" s="243" t="s">
        <v>744</v>
      </c>
      <c r="G77" s="243" t="s">
        <v>308</v>
      </c>
      <c r="H77" s="243"/>
      <c r="I77" s="345">
        <v>3</v>
      </c>
      <c r="J77" s="181" t="s">
        <v>314</v>
      </c>
      <c r="K77" s="245">
        <f>IF(BD.PD5[[#This Row],[Mon]]="DOP",1,HLOOKUP(BD.PD5[[#This Row],[Mon]],$J$1:$K$2,2,FALSE))</f>
        <v>1</v>
      </c>
      <c r="L77" s="277">
        <v>5000</v>
      </c>
      <c r="M77" s="247">
        <f>BD.PD5[[#This Row],[Cant.]]*BD.PD5[[#This Row],[ Tasa ]]*BD.PD5[[#This Row],[ Precio Und.]]</f>
        <v>15000</v>
      </c>
      <c r="N77" s="278">
        <v>0</v>
      </c>
      <c r="O77" s="247">
        <f>IF(BD.PD5[[#This Row],[Liquid. '[%']]]&lt;&gt;0,(BD.PD5[[#This Row],[Valor Neto '[DOP']]]*BD.PD5[[#This Row],[Liquid. '[%']]])+BD.PD5[[#This Row],[Valor Neto '[DOP']]],BD.PD5[[#This Row],[Valor Neto '[DOP']]])</f>
        <v>15000</v>
      </c>
      <c r="P77" s="257">
        <f>BD.PD5[[#This Row],[Ppto. Orden Interna '[DOP']]]/HLOOKUP("USD",$J$1:$K$2,2,FALSE)</f>
        <v>234.375</v>
      </c>
      <c r="Q77" s="368"/>
      <c r="R77" s="250"/>
      <c r="S77" s="250"/>
      <c r="T77" s="250"/>
      <c r="U77" s="250"/>
      <c r="V77" s="258" t="s">
        <v>745</v>
      </c>
      <c r="W77" s="251">
        <v>1</v>
      </c>
      <c r="X77" s="252">
        <v>0.6</v>
      </c>
      <c r="Y77" s="259">
        <f>BD.PD5[[#This Row],[Av.P1 '[%']]]*BD.PD5[[#This Row],[Ppto. Orden Interna '[DOP']]]</f>
        <v>9000</v>
      </c>
      <c r="Z77" s="254">
        <v>3</v>
      </c>
      <c r="AA77" s="255">
        <v>0.4</v>
      </c>
      <c r="AB77" s="259">
        <f>BD.PD5[[#This Row],[Av.P2 '[%']]]*BD.PD5[[#This Row],[Ppto. Orden Interna '[DOP']]]</f>
        <v>6000</v>
      </c>
      <c r="AC77" s="254"/>
      <c r="AD77" s="255"/>
      <c r="AE77" s="259">
        <f>BD.PD5[[#This Row],[Av.P3 '[%']]]*BD.PD5[[#This Row],[Ppto. Orden Interna '[DOP']]]</f>
        <v>0</v>
      </c>
      <c r="AF77" s="254"/>
      <c r="AG77" s="255"/>
      <c r="AH77" s="259">
        <f>BD.PD5[[#This Row],[Av.P4 '[%']]]*BD.PD5[[#This Row],[Ppto. Orden Interna '[DOP']]]</f>
        <v>0</v>
      </c>
      <c r="AI77" s="254"/>
      <c r="AJ77" s="255"/>
      <c r="AK77" s="259">
        <f>BD.PD5[[#This Row],[Av.P5 '[%']]]*BD.PD5[[#This Row],[Ppto. Orden Interna '[DOP']]]</f>
        <v>0</v>
      </c>
      <c r="AL77" s="256">
        <f>BD.PD5[[#This Row],[Pago 5]]+BD.PD5[[#This Row],[Pago 4]]+BD.PD5[[#This Row],[Pago 3]]+BD.PD5[[#This Row],[Pago 2]]+BD.PD5[[#This Row],[Pago 1]]</f>
        <v>15000</v>
      </c>
      <c r="AM77" s="318"/>
    </row>
    <row r="78" spans="1:39" ht="14.4" customHeight="1" x14ac:dyDescent="0.3">
      <c r="A78" s="181">
        <v>8.06</v>
      </c>
      <c r="B78" s="239"/>
      <c r="C78" s="240" t="str">
        <f>VLOOKUP(BD.PD5[[#This Row],[Pos]],PPto[],3,FALSE)</f>
        <v>8.06 Otros Equipamientos de Tienda</v>
      </c>
      <c r="D78" s="181" t="s">
        <v>40</v>
      </c>
      <c r="E78" s="242" t="str">
        <f>IF(BD.PD5[[#This Row],[.]]="*",VLOOKUP(BD.PD5[[#This Row],[Pos]],[15]Presupuesto!A:H,7,FALSE),"")</f>
        <v/>
      </c>
      <c r="F78" s="243" t="s">
        <v>746</v>
      </c>
      <c r="G78" s="243" t="s">
        <v>308</v>
      </c>
      <c r="H78" s="243"/>
      <c r="I78" s="345">
        <v>1</v>
      </c>
      <c r="J78" s="181" t="s">
        <v>314</v>
      </c>
      <c r="K78" s="245">
        <f>IF(BD.PD5[[#This Row],[Mon]]="DOP",1,HLOOKUP(BD.PD5[[#This Row],[Mon]],$J$1:$K$2,2,FALSE))</f>
        <v>1</v>
      </c>
      <c r="L78" s="277">
        <v>12000</v>
      </c>
      <c r="M78" s="247">
        <f>BD.PD5[[#This Row],[Cant.]]*BD.PD5[[#This Row],[ Tasa ]]*BD.PD5[[#This Row],[ Precio Und.]]</f>
        <v>12000</v>
      </c>
      <c r="N78" s="278">
        <v>0</v>
      </c>
      <c r="O78" s="247">
        <f>IF(BD.PD5[[#This Row],[Liquid. '[%']]]&lt;&gt;0,(BD.PD5[[#This Row],[Valor Neto '[DOP']]]*BD.PD5[[#This Row],[Liquid. '[%']]])+BD.PD5[[#This Row],[Valor Neto '[DOP']]],BD.PD5[[#This Row],[Valor Neto '[DOP']]])</f>
        <v>12000</v>
      </c>
      <c r="P78" s="257">
        <f>BD.PD5[[#This Row],[Ppto. Orden Interna '[DOP']]]/HLOOKUP("USD",$J$1:$K$2,2,FALSE)</f>
        <v>187.5</v>
      </c>
      <c r="Q78" s="364"/>
      <c r="R78" s="250"/>
      <c r="S78" s="250"/>
      <c r="T78" s="250"/>
      <c r="U78" s="250"/>
      <c r="V78" s="258" t="s">
        <v>745</v>
      </c>
      <c r="W78" s="251">
        <v>1</v>
      </c>
      <c r="X78" s="252">
        <v>1</v>
      </c>
      <c r="Y78" s="259">
        <f>BD.PD5[[#This Row],[Av.P1 '[%']]]*BD.PD5[[#This Row],[Ppto. Orden Interna '[DOP']]]</f>
        <v>12000</v>
      </c>
      <c r="Z78" s="254"/>
      <c r="AA78" s="255"/>
      <c r="AB78" s="259">
        <f>BD.PD5[[#This Row],[Av.P2 '[%']]]*BD.PD5[[#This Row],[Ppto. Orden Interna '[DOP']]]</f>
        <v>0</v>
      </c>
      <c r="AC78" s="254"/>
      <c r="AD78" s="255"/>
      <c r="AE78" s="259">
        <f>BD.PD5[[#This Row],[Av.P3 '[%']]]*BD.PD5[[#This Row],[Ppto. Orden Interna '[DOP']]]</f>
        <v>0</v>
      </c>
      <c r="AF78" s="254"/>
      <c r="AG78" s="255"/>
      <c r="AH78" s="259">
        <f>BD.PD5[[#This Row],[Av.P4 '[%']]]*BD.PD5[[#This Row],[Ppto. Orden Interna '[DOP']]]</f>
        <v>0</v>
      </c>
      <c r="AI78" s="254"/>
      <c r="AJ78" s="255"/>
      <c r="AK78" s="259">
        <f>BD.PD5[[#This Row],[Av.P5 '[%']]]*BD.PD5[[#This Row],[Ppto. Orden Interna '[DOP']]]</f>
        <v>0</v>
      </c>
      <c r="AL78" s="256">
        <f>BD.PD5[[#This Row],[Pago 5]]+BD.PD5[[#This Row],[Pago 4]]+BD.PD5[[#This Row],[Pago 3]]+BD.PD5[[#This Row],[Pago 2]]+BD.PD5[[#This Row],[Pago 1]]</f>
        <v>12000</v>
      </c>
      <c r="AM78" s="318"/>
    </row>
    <row r="79" spans="1:39" ht="14.4" customHeight="1" x14ac:dyDescent="0.3">
      <c r="A79" s="181">
        <v>8.06</v>
      </c>
      <c r="B79" s="239"/>
      <c r="C79" s="240" t="str">
        <f>VLOOKUP(BD.PD5[[#This Row],[Pos]],PPto[],3,FALSE)</f>
        <v>8.06 Otros Equipamientos de Tienda</v>
      </c>
      <c r="D79" s="181" t="s">
        <v>40</v>
      </c>
      <c r="E79" s="242" t="str">
        <f>IF(BD.PD5[[#This Row],[.]]="*",VLOOKUP(BD.PD5[[#This Row],[Pos]],[15]Presupuesto!A:H,7,FALSE),"")</f>
        <v/>
      </c>
      <c r="F79" s="243" t="s">
        <v>747</v>
      </c>
      <c r="G79" s="243" t="s">
        <v>308</v>
      </c>
      <c r="H79" s="243"/>
      <c r="I79" s="345">
        <v>1</v>
      </c>
      <c r="J79" s="181" t="s">
        <v>314</v>
      </c>
      <c r="K79" s="245">
        <f>IF(BD.PD5[[#This Row],[Mon]]="DOP",1,HLOOKUP(BD.PD5[[#This Row],[Mon]],$J$1:$K$2,2,FALSE))</f>
        <v>1</v>
      </c>
      <c r="L79" s="277">
        <v>3000</v>
      </c>
      <c r="M79" s="247">
        <f>BD.PD5[[#This Row],[Cant.]]*BD.PD5[[#This Row],[ Tasa ]]*BD.PD5[[#This Row],[ Precio Und.]]</f>
        <v>3000</v>
      </c>
      <c r="N79" s="278">
        <v>0</v>
      </c>
      <c r="O79" s="247">
        <f>IF(BD.PD5[[#This Row],[Liquid. '[%']]]&lt;&gt;0,(BD.PD5[[#This Row],[Valor Neto '[DOP']]]*BD.PD5[[#This Row],[Liquid. '[%']]])+BD.PD5[[#This Row],[Valor Neto '[DOP']]],BD.PD5[[#This Row],[Valor Neto '[DOP']]])</f>
        <v>3000</v>
      </c>
      <c r="P79" s="257">
        <f>BD.PD5[[#This Row],[Ppto. Orden Interna '[DOP']]]/HLOOKUP("USD",$J$1:$K$2,2,FALSE)</f>
        <v>46.875</v>
      </c>
      <c r="Q79" s="364"/>
      <c r="R79" s="250"/>
      <c r="S79" s="250"/>
      <c r="T79" s="250"/>
      <c r="U79" s="250"/>
      <c r="V79" s="258" t="s">
        <v>748</v>
      </c>
      <c r="W79" s="251">
        <v>1</v>
      </c>
      <c r="X79" s="252">
        <v>1</v>
      </c>
      <c r="Y79" s="259">
        <f>BD.PD5[[#This Row],[Av.P1 '[%']]]*BD.PD5[[#This Row],[Ppto. Orden Interna '[DOP']]]</f>
        <v>3000</v>
      </c>
      <c r="Z79" s="254"/>
      <c r="AA79" s="255"/>
      <c r="AB79" s="259">
        <f>BD.PD5[[#This Row],[Av.P2 '[%']]]*BD.PD5[[#This Row],[Ppto. Orden Interna '[DOP']]]</f>
        <v>0</v>
      </c>
      <c r="AC79" s="254"/>
      <c r="AD79" s="255"/>
      <c r="AE79" s="259">
        <f>BD.PD5[[#This Row],[Av.P3 '[%']]]*BD.PD5[[#This Row],[Ppto. Orden Interna '[DOP']]]</f>
        <v>0</v>
      </c>
      <c r="AF79" s="254"/>
      <c r="AG79" s="255"/>
      <c r="AH79" s="259">
        <f>BD.PD5[[#This Row],[Av.P4 '[%']]]*BD.PD5[[#This Row],[Ppto. Orden Interna '[DOP']]]</f>
        <v>0</v>
      </c>
      <c r="AI79" s="254"/>
      <c r="AJ79" s="255"/>
      <c r="AK79" s="259">
        <f>BD.PD5[[#This Row],[Av.P5 '[%']]]*BD.PD5[[#This Row],[Ppto. Orden Interna '[DOP']]]</f>
        <v>0</v>
      </c>
      <c r="AL79" s="256">
        <f>BD.PD5[[#This Row],[Pago 5]]+BD.PD5[[#This Row],[Pago 4]]+BD.PD5[[#This Row],[Pago 3]]+BD.PD5[[#This Row],[Pago 2]]+BD.PD5[[#This Row],[Pago 1]]</f>
        <v>3000</v>
      </c>
      <c r="AM79" s="318"/>
    </row>
    <row r="80" spans="1:39" ht="13.95" customHeight="1" x14ac:dyDescent="0.3">
      <c r="A80" s="181">
        <v>8.06</v>
      </c>
      <c r="B80" s="239"/>
      <c r="C80" s="240" t="str">
        <f>VLOOKUP(BD.PD5[[#This Row],[Pos]],PPto[],3,FALSE)</f>
        <v>8.06 Otros Equipamientos de Tienda</v>
      </c>
      <c r="D80" s="181" t="s">
        <v>40</v>
      </c>
      <c r="E80" s="242" t="str">
        <f>IF(BD.PD5[[#This Row],[.]]="*",VLOOKUP(BD.PD5[[#This Row],[Pos]],[15]Presupuesto!A:H,7,FALSE),"")</f>
        <v/>
      </c>
      <c r="F80" s="243" t="s">
        <v>749</v>
      </c>
      <c r="G80" s="243" t="s">
        <v>308</v>
      </c>
      <c r="H80" s="243"/>
      <c r="I80" s="345">
        <v>1</v>
      </c>
      <c r="J80" s="181" t="s">
        <v>314</v>
      </c>
      <c r="K80" s="245">
        <f>IF(BD.PD5[[#This Row],[Mon]]="DOP",1,HLOOKUP(BD.PD5[[#This Row],[Mon]],$J$1:$K$2,2,FALSE))</f>
        <v>1</v>
      </c>
      <c r="L80" s="277">
        <v>30000</v>
      </c>
      <c r="M80" s="247">
        <f>BD.PD5[[#This Row],[Cant.]]*BD.PD5[[#This Row],[ Tasa ]]*BD.PD5[[#This Row],[ Precio Und.]]</f>
        <v>30000</v>
      </c>
      <c r="N80" s="278">
        <v>0</v>
      </c>
      <c r="O80" s="247">
        <f>IF(BD.PD5[[#This Row],[Liquid. '[%']]]&lt;&gt;0,(BD.PD5[[#This Row],[Valor Neto '[DOP']]]*BD.PD5[[#This Row],[Liquid. '[%']]])+BD.PD5[[#This Row],[Valor Neto '[DOP']]],BD.PD5[[#This Row],[Valor Neto '[DOP']]])</f>
        <v>30000</v>
      </c>
      <c r="P80" s="257">
        <f>BD.PD5[[#This Row],[Ppto. Orden Interna '[DOP']]]/HLOOKUP("USD",$J$1:$K$2,2,FALSE)</f>
        <v>468.75</v>
      </c>
      <c r="Q80" s="364"/>
      <c r="R80" s="250"/>
      <c r="S80" s="250"/>
      <c r="T80" s="250"/>
      <c r="U80" s="250"/>
      <c r="V80" s="258" t="s">
        <v>743</v>
      </c>
      <c r="W80" s="251">
        <v>1</v>
      </c>
      <c r="X80" s="252">
        <v>1</v>
      </c>
      <c r="Y80" s="259">
        <f>BD.PD5[[#This Row],[Av.P1 '[%']]]*BD.PD5[[#This Row],[Ppto. Orden Interna '[DOP']]]</f>
        <v>30000</v>
      </c>
      <c r="Z80" s="254"/>
      <c r="AA80" s="255"/>
      <c r="AB80" s="259">
        <f>BD.PD5[[#This Row],[Av.P2 '[%']]]*BD.PD5[[#This Row],[Ppto. Orden Interna '[DOP']]]</f>
        <v>0</v>
      </c>
      <c r="AC80" s="254"/>
      <c r="AD80" s="255"/>
      <c r="AE80" s="259">
        <f>BD.PD5[[#This Row],[Av.P3 '[%']]]*BD.PD5[[#This Row],[Ppto. Orden Interna '[DOP']]]</f>
        <v>0</v>
      </c>
      <c r="AF80" s="254"/>
      <c r="AG80" s="255"/>
      <c r="AH80" s="259">
        <f>BD.PD5[[#This Row],[Av.P4 '[%']]]*BD.PD5[[#This Row],[Ppto. Orden Interna '[DOP']]]</f>
        <v>0</v>
      </c>
      <c r="AI80" s="254"/>
      <c r="AJ80" s="255"/>
      <c r="AK80" s="259">
        <f>BD.PD5[[#This Row],[Av.P5 '[%']]]*BD.PD5[[#This Row],[Ppto. Orden Interna '[DOP']]]</f>
        <v>0</v>
      </c>
      <c r="AL80" s="256">
        <f>BD.PD5[[#This Row],[Pago 5]]+BD.PD5[[#This Row],[Pago 4]]+BD.PD5[[#This Row],[Pago 3]]+BD.PD5[[#This Row],[Pago 2]]+BD.PD5[[#This Row],[Pago 1]]</f>
        <v>30000</v>
      </c>
      <c r="AM80" s="318"/>
    </row>
    <row r="81" spans="1:39" ht="13.95" hidden="1" customHeight="1" x14ac:dyDescent="0.3">
      <c r="A81" s="181">
        <v>8.07</v>
      </c>
      <c r="B81" s="239" t="s">
        <v>306</v>
      </c>
      <c r="C81" s="240" t="str">
        <f>VLOOKUP(BD.PD5[[#This Row],[Pos]],PPto[],3,FALSE)</f>
        <v>8.07 Señalizacion interiores</v>
      </c>
      <c r="D81" s="241" t="s">
        <v>306</v>
      </c>
      <c r="E81" s="242">
        <f>IF(BD.PD5[[#This Row],[.]]="*",VLOOKUP(BD.PD5[[#This Row],[Pos]],[15]Presupuesto!A:H,7,FALSE),"")</f>
        <v>0</v>
      </c>
      <c r="F81" s="243"/>
      <c r="G81" s="243"/>
      <c r="H81" s="243"/>
      <c r="I81" s="369"/>
      <c r="J81" s="241" t="s">
        <v>188</v>
      </c>
      <c r="K81" s="245">
        <f>IF(BD.PD5[[#This Row],[Mon]]="DOP",1,HLOOKUP(BD.PD5[[#This Row],[Mon]],$J$1:$K$2,2,FALSE))</f>
        <v>64</v>
      </c>
      <c r="L81" s="246">
        <v>0</v>
      </c>
      <c r="M81" s="247">
        <f>BD.PD5[[#This Row],[Cant.]]*BD.PD5[[#This Row],[ Tasa ]]*BD.PD5[[#This Row],[ Precio Und.]]</f>
        <v>0</v>
      </c>
      <c r="N81" s="248"/>
      <c r="O81" s="247">
        <f>IF(BD.PD5[[#This Row],[Liquid. '[%']]]&lt;&gt;0,(BD.PD5[[#This Row],[Valor Neto '[DOP']]]*BD.PD5[[#This Row],[Liquid. '[%']]])+BD.PD5[[#This Row],[Valor Neto '[DOP']]],BD.PD5[[#This Row],[Valor Neto '[DOP']]])</f>
        <v>0</v>
      </c>
      <c r="P81" s="257">
        <f>BD.PD5[[#This Row],[Ppto. Orden Interna '[DOP']]]/HLOOKUP("USD",$J$1:$K$2,2,FALSE)</f>
        <v>0</v>
      </c>
      <c r="Q81" s="370"/>
      <c r="R81" s="250"/>
      <c r="S81" s="250"/>
      <c r="T81" s="250"/>
      <c r="U81" s="250"/>
      <c r="V81" s="258"/>
      <c r="W81" s="251"/>
      <c r="X81" s="252"/>
      <c r="Y81" s="259">
        <f>BD.PD5[[#This Row],[Av.P1 '[%']]]*BD.PD5[[#This Row],[Ppto. Orden Interna '[DOP']]]</f>
        <v>0</v>
      </c>
      <c r="Z81" s="254"/>
      <c r="AA81" s="255"/>
      <c r="AB81" s="259">
        <f>BD.PD5[[#This Row],[Av.P2 '[%']]]*BD.PD5[[#This Row],[Ppto. Orden Interna '[DOP']]]</f>
        <v>0</v>
      </c>
      <c r="AC81" s="254"/>
      <c r="AD81" s="255"/>
      <c r="AE81" s="259">
        <f>BD.PD5[[#This Row],[Av.P3 '[%']]]*BD.PD5[[#This Row],[Ppto. Orden Interna '[DOP']]]</f>
        <v>0</v>
      </c>
      <c r="AF81" s="254"/>
      <c r="AG81" s="255"/>
      <c r="AH81" s="259">
        <f>BD.PD5[[#This Row],[Av.P4 '[%']]]*BD.PD5[[#This Row],[Ppto. Orden Interna '[DOP']]]</f>
        <v>0</v>
      </c>
      <c r="AI81" s="254"/>
      <c r="AJ81" s="255"/>
      <c r="AK81" s="259">
        <f>BD.PD5[[#This Row],[Av.P5 '[%']]]*BD.PD5[[#This Row],[Ppto. Orden Interna '[DOP']]]</f>
        <v>0</v>
      </c>
      <c r="AL81" s="256">
        <f>BD.PD5[[#This Row],[Pago 5]]+BD.PD5[[#This Row],[Pago 4]]+BD.PD5[[#This Row],[Pago 3]]+BD.PD5[[#This Row],[Pago 2]]+BD.PD5[[#This Row],[Pago 1]]</f>
        <v>0</v>
      </c>
      <c r="AM81" s="318"/>
    </row>
    <row r="82" spans="1:39" ht="14.4" customHeight="1" x14ac:dyDescent="0.3">
      <c r="A82" s="181">
        <v>8.07</v>
      </c>
      <c r="B82" s="239"/>
      <c r="C82" s="240" t="str">
        <f>VLOOKUP(BD.PD5[[#This Row],[Pos]],PPto[],3,FALSE)</f>
        <v>8.07 Señalizacion interiores</v>
      </c>
      <c r="D82" s="181" t="s">
        <v>40</v>
      </c>
      <c r="E82" s="242" t="str">
        <f>IF(BD.PD5[[#This Row],[.]]="*",VLOOKUP(BD.PD5[[#This Row],[Pos]],[15]Presupuesto!A:H,7,FALSE),"")</f>
        <v/>
      </c>
      <c r="F82" s="243" t="s">
        <v>750</v>
      </c>
      <c r="G82" s="243" t="s">
        <v>308</v>
      </c>
      <c r="H82" s="243"/>
      <c r="I82" s="345">
        <v>1</v>
      </c>
      <c r="J82" s="181" t="s">
        <v>314</v>
      </c>
      <c r="K82" s="245">
        <f>IF(BD.PD5[[#This Row],[Mon]]="DOP",1,HLOOKUP(BD.PD5[[#This Row],[Mon]],$J$1:$K$2,2,FALSE))</f>
        <v>1</v>
      </c>
      <c r="L82" s="277">
        <v>50000</v>
      </c>
      <c r="M82" s="247">
        <f>BD.PD5[[#This Row],[Cant.]]*BD.PD5[[#This Row],[ Tasa ]]*BD.PD5[[#This Row],[ Precio Und.]]</f>
        <v>50000</v>
      </c>
      <c r="N82" s="278">
        <v>0</v>
      </c>
      <c r="O82" s="247">
        <f>IF(BD.PD5[[#This Row],[Liquid. '[%']]]&lt;&gt;0,(BD.PD5[[#This Row],[Valor Neto '[DOP']]]*BD.PD5[[#This Row],[Liquid. '[%']]])+BD.PD5[[#This Row],[Valor Neto '[DOP']]],BD.PD5[[#This Row],[Valor Neto '[DOP']]])</f>
        <v>50000</v>
      </c>
      <c r="P82" s="257">
        <f>BD.PD5[[#This Row],[Ppto. Orden Interna '[DOP']]]/HLOOKUP("USD",$J$1:$K$2,2,FALSE)</f>
        <v>781.25</v>
      </c>
      <c r="Q82" s="364"/>
      <c r="R82" s="250"/>
      <c r="S82" s="250"/>
      <c r="T82" s="250"/>
      <c r="U82" s="250"/>
      <c r="V82" s="258" t="s">
        <v>737</v>
      </c>
      <c r="W82" s="251">
        <v>1</v>
      </c>
      <c r="X82" s="252">
        <v>0.6</v>
      </c>
      <c r="Y82" s="259">
        <f>BD.PD5[[#This Row],[Av.P1 '[%']]]*BD.PD5[[#This Row],[Ppto. Orden Interna '[DOP']]]</f>
        <v>30000</v>
      </c>
      <c r="Z82" s="254">
        <v>3</v>
      </c>
      <c r="AA82" s="255">
        <v>0.4</v>
      </c>
      <c r="AB82" s="259">
        <f>BD.PD5[[#This Row],[Av.P2 '[%']]]*BD.PD5[[#This Row],[Ppto. Orden Interna '[DOP']]]</f>
        <v>20000</v>
      </c>
      <c r="AC82" s="254"/>
      <c r="AD82" s="255"/>
      <c r="AE82" s="259">
        <f>BD.PD5[[#This Row],[Av.P3 '[%']]]*BD.PD5[[#This Row],[Ppto. Orden Interna '[DOP']]]</f>
        <v>0</v>
      </c>
      <c r="AF82" s="254"/>
      <c r="AG82" s="255"/>
      <c r="AH82" s="259">
        <f>BD.PD5[[#This Row],[Av.P4 '[%']]]*BD.PD5[[#This Row],[Ppto. Orden Interna '[DOP']]]</f>
        <v>0</v>
      </c>
      <c r="AI82" s="254"/>
      <c r="AJ82" s="255"/>
      <c r="AK82" s="259">
        <f>BD.PD5[[#This Row],[Av.P5 '[%']]]*BD.PD5[[#This Row],[Ppto. Orden Interna '[DOP']]]</f>
        <v>0</v>
      </c>
      <c r="AL82" s="256">
        <f>BD.PD5[[#This Row],[Pago 5]]+BD.PD5[[#This Row],[Pago 4]]+BD.PD5[[#This Row],[Pago 3]]+BD.PD5[[#This Row],[Pago 2]]+BD.PD5[[#This Row],[Pago 1]]</f>
        <v>50000</v>
      </c>
      <c r="AM82" s="318"/>
    </row>
    <row r="83" spans="1:39" ht="13.95" hidden="1" customHeight="1" x14ac:dyDescent="0.3">
      <c r="A83" s="181">
        <v>8.08</v>
      </c>
      <c r="B83" s="239" t="s">
        <v>306</v>
      </c>
      <c r="C83" s="240" t="str">
        <f>VLOOKUP(BD.PD5[[#This Row],[Pos]],PPto[],3,FALSE)</f>
        <v>8.08 Señalizacion exteriores</v>
      </c>
      <c r="D83" s="241" t="s">
        <v>306</v>
      </c>
      <c r="E83" s="242">
        <f>IF(BD.PD5[[#This Row],[.]]="*",VLOOKUP(BD.PD5[[#This Row],[Pos]],[15]Presupuesto!A:H,7,FALSE),"")</f>
        <v>0</v>
      </c>
      <c r="F83" s="243"/>
      <c r="G83" s="243"/>
      <c r="H83" s="243"/>
      <c r="I83" s="371"/>
      <c r="J83" s="241" t="s">
        <v>188</v>
      </c>
      <c r="K83" s="245">
        <f>IF(BD.PD5[[#This Row],[Mon]]="DOP",1,HLOOKUP(BD.PD5[[#This Row],[Mon]],$J$1:$K$2,2,FALSE))</f>
        <v>64</v>
      </c>
      <c r="L83" s="246">
        <v>0</v>
      </c>
      <c r="M83" s="247">
        <f>BD.PD5[[#This Row],[Cant.]]*BD.PD5[[#This Row],[ Tasa ]]*BD.PD5[[#This Row],[ Precio Und.]]</f>
        <v>0</v>
      </c>
      <c r="N83" s="248"/>
      <c r="O83" s="247">
        <f>IF(BD.PD5[[#This Row],[Liquid. '[%']]]&lt;&gt;0,(BD.PD5[[#This Row],[Valor Neto '[DOP']]]*BD.PD5[[#This Row],[Liquid. '[%']]])+BD.PD5[[#This Row],[Valor Neto '[DOP']]],BD.PD5[[#This Row],[Valor Neto '[DOP']]])</f>
        <v>0</v>
      </c>
      <c r="P83" s="257">
        <f>BD.PD5[[#This Row],[Ppto. Orden Interna '[DOP']]]/HLOOKUP("USD",$J$1:$K$2,2,FALSE)</f>
        <v>0</v>
      </c>
      <c r="Q83" s="370"/>
      <c r="R83" s="250"/>
      <c r="S83" s="250"/>
      <c r="T83" s="250"/>
      <c r="U83" s="250"/>
      <c r="V83" s="258"/>
      <c r="W83" s="251"/>
      <c r="X83" s="252"/>
      <c r="Y83" s="259">
        <f>BD.PD5[[#This Row],[Av.P1 '[%']]]*BD.PD5[[#This Row],[Ppto. Orden Interna '[DOP']]]</f>
        <v>0</v>
      </c>
      <c r="Z83" s="254"/>
      <c r="AA83" s="255"/>
      <c r="AB83" s="259">
        <f>BD.PD5[[#This Row],[Av.P2 '[%']]]*BD.PD5[[#This Row],[Ppto. Orden Interna '[DOP']]]</f>
        <v>0</v>
      </c>
      <c r="AC83" s="254"/>
      <c r="AD83" s="255"/>
      <c r="AE83" s="259">
        <f>BD.PD5[[#This Row],[Av.P3 '[%']]]*BD.PD5[[#This Row],[Ppto. Orden Interna '[DOP']]]</f>
        <v>0</v>
      </c>
      <c r="AF83" s="254"/>
      <c r="AG83" s="255"/>
      <c r="AH83" s="259">
        <f>BD.PD5[[#This Row],[Av.P4 '[%']]]*BD.PD5[[#This Row],[Ppto. Orden Interna '[DOP']]]</f>
        <v>0</v>
      </c>
      <c r="AI83" s="254"/>
      <c r="AJ83" s="255"/>
      <c r="AK83" s="259">
        <f>BD.PD5[[#This Row],[Av.P5 '[%']]]*BD.PD5[[#This Row],[Ppto. Orden Interna '[DOP']]]</f>
        <v>0</v>
      </c>
      <c r="AL83" s="256">
        <f>BD.PD5[[#This Row],[Pago 5]]+BD.PD5[[#This Row],[Pago 4]]+BD.PD5[[#This Row],[Pago 3]]+BD.PD5[[#This Row],[Pago 2]]+BD.PD5[[#This Row],[Pago 1]]</f>
        <v>0</v>
      </c>
      <c r="AM83" s="318"/>
    </row>
    <row r="84" spans="1:39" ht="14.4" customHeight="1" x14ac:dyDescent="0.3">
      <c r="A84" s="181">
        <v>8.08</v>
      </c>
      <c r="B84" s="239"/>
      <c r="C84" s="240" t="str">
        <f>VLOOKUP(BD.PD5[[#This Row],[Pos]],PPto[],3,FALSE)</f>
        <v>8.08 Señalizacion exteriores</v>
      </c>
      <c r="D84" s="181" t="s">
        <v>40</v>
      </c>
      <c r="E84" s="242" t="str">
        <f>IF(BD.PD5[[#This Row],[.]]="*",VLOOKUP(BD.PD5[[#This Row],[Pos]],[15]Presupuesto!A:H,7,FALSE),"")</f>
        <v/>
      </c>
      <c r="F84" s="243" t="s">
        <v>751</v>
      </c>
      <c r="G84" s="243" t="s">
        <v>308</v>
      </c>
      <c r="H84" s="243"/>
      <c r="I84" s="345">
        <v>1</v>
      </c>
      <c r="J84" s="181" t="s">
        <v>314</v>
      </c>
      <c r="K84" s="245">
        <f>IF(BD.PD5[[#This Row],[Mon]]="DOP",1,HLOOKUP(BD.PD5[[#This Row],[Mon]],$J$1:$K$2,2,FALSE))</f>
        <v>1</v>
      </c>
      <c r="L84" s="277">
        <v>80000</v>
      </c>
      <c r="M84" s="247">
        <f>BD.PD5[[#This Row],[Cant.]]*BD.PD5[[#This Row],[ Tasa ]]*BD.PD5[[#This Row],[ Precio Und.]]</f>
        <v>80000</v>
      </c>
      <c r="N84" s="278">
        <v>0</v>
      </c>
      <c r="O84" s="247">
        <f>IF(BD.PD5[[#This Row],[Liquid. '[%']]]&lt;&gt;0,(BD.PD5[[#This Row],[Valor Neto '[DOP']]]*BD.PD5[[#This Row],[Liquid. '[%']]])+BD.PD5[[#This Row],[Valor Neto '[DOP']]],BD.PD5[[#This Row],[Valor Neto '[DOP']]])</f>
        <v>80000</v>
      </c>
      <c r="P84" s="257">
        <f>BD.PD5[[#This Row],[Ppto. Orden Interna '[DOP']]]/HLOOKUP("USD",$J$1:$K$2,2,FALSE)</f>
        <v>1250</v>
      </c>
      <c r="Q84" s="364"/>
      <c r="R84" s="250"/>
      <c r="S84" s="250"/>
      <c r="T84" s="250"/>
      <c r="U84" s="250"/>
      <c r="V84" s="258" t="s">
        <v>737</v>
      </c>
      <c r="W84" s="251">
        <v>1</v>
      </c>
      <c r="X84" s="252">
        <v>0.6</v>
      </c>
      <c r="Y84" s="259">
        <f>BD.PD5[[#This Row],[Av.P1 '[%']]]*BD.PD5[[#This Row],[Ppto. Orden Interna '[DOP']]]</f>
        <v>48000</v>
      </c>
      <c r="Z84" s="254">
        <v>3</v>
      </c>
      <c r="AA84" s="255">
        <v>0.4</v>
      </c>
      <c r="AB84" s="259">
        <f>BD.PD5[[#This Row],[Av.P2 '[%']]]*BD.PD5[[#This Row],[Ppto. Orden Interna '[DOP']]]</f>
        <v>32000</v>
      </c>
      <c r="AC84" s="254"/>
      <c r="AD84" s="255"/>
      <c r="AE84" s="259">
        <f>BD.PD5[[#This Row],[Av.P3 '[%']]]*BD.PD5[[#This Row],[Ppto. Orden Interna '[DOP']]]</f>
        <v>0</v>
      </c>
      <c r="AF84" s="254"/>
      <c r="AG84" s="255"/>
      <c r="AH84" s="259">
        <f>BD.PD5[[#This Row],[Av.P4 '[%']]]*BD.PD5[[#This Row],[Ppto. Orden Interna '[DOP']]]</f>
        <v>0</v>
      </c>
      <c r="AI84" s="254"/>
      <c r="AJ84" s="255"/>
      <c r="AK84" s="259">
        <f>BD.PD5[[#This Row],[Av.P5 '[%']]]*BD.PD5[[#This Row],[Ppto. Orden Interna '[DOP']]]</f>
        <v>0</v>
      </c>
      <c r="AL84" s="256">
        <f>BD.PD5[[#This Row],[Pago 5]]+BD.PD5[[#This Row],[Pago 4]]+BD.PD5[[#This Row],[Pago 3]]+BD.PD5[[#This Row],[Pago 2]]+BD.PD5[[#This Row],[Pago 1]]</f>
        <v>80000</v>
      </c>
      <c r="AM84" s="318"/>
    </row>
    <row r="85" spans="1:39" ht="13.95" hidden="1" customHeight="1" x14ac:dyDescent="0.3">
      <c r="A85" s="181">
        <v>9.01</v>
      </c>
      <c r="B85" s="239" t="s">
        <v>306</v>
      </c>
      <c r="C85" s="240" t="str">
        <f>VLOOKUP(BD.PD5[[#This Row],[Pos]],PPto[],3,FALSE)</f>
        <v>9.01 COMERCIALIZACION</v>
      </c>
      <c r="D85" s="241" t="s">
        <v>306</v>
      </c>
      <c r="E85" s="242">
        <f>IF(BD.PD5[[#This Row],[.]]="*",VLOOKUP(BD.PD5[[#This Row],[Pos]],[15]Presupuesto!A:H,7,FALSE),"")</f>
        <v>0</v>
      </c>
      <c r="F85" s="243"/>
      <c r="G85" s="243"/>
      <c r="H85" s="243"/>
      <c r="I85" s="371"/>
      <c r="J85" s="241" t="s">
        <v>188</v>
      </c>
      <c r="K85" s="245">
        <f>IF(BD.PD5[[#This Row],[Mon]]="DOP",1,HLOOKUP(BD.PD5[[#This Row],[Mon]],$J$1:$K$2,2,FALSE))</f>
        <v>64</v>
      </c>
      <c r="L85" s="246">
        <v>0</v>
      </c>
      <c r="M85" s="247">
        <f>BD.PD5[[#This Row],[Cant.]]*BD.PD5[[#This Row],[ Tasa ]]*BD.PD5[[#This Row],[ Precio Und.]]</f>
        <v>0</v>
      </c>
      <c r="N85" s="248"/>
      <c r="O85" s="247">
        <f>IF(BD.PD5[[#This Row],[Liquid. '[%']]]&lt;&gt;0,(BD.PD5[[#This Row],[Valor Neto '[DOP']]]*BD.PD5[[#This Row],[Liquid. '[%']]])+BD.PD5[[#This Row],[Valor Neto '[DOP']]],BD.PD5[[#This Row],[Valor Neto '[DOP']]])</f>
        <v>0</v>
      </c>
      <c r="P85" s="257">
        <f>BD.PD5[[#This Row],[Ppto. Orden Interna '[DOP']]]/HLOOKUP("USD",$J$1:$K$2,2,FALSE)</f>
        <v>0</v>
      </c>
      <c r="Q85" s="370"/>
      <c r="R85" s="250"/>
      <c r="S85" s="250"/>
      <c r="T85" s="250"/>
      <c r="U85" s="250"/>
      <c r="V85" s="258"/>
      <c r="W85" s="251"/>
      <c r="X85" s="252"/>
      <c r="Y85" s="259">
        <f>BD.PD5[[#This Row],[Av.P1 '[%']]]*BD.PD5[[#This Row],[Ppto. Orden Interna '[DOP']]]</f>
        <v>0</v>
      </c>
      <c r="Z85" s="254"/>
      <c r="AA85" s="255"/>
      <c r="AB85" s="259">
        <f>BD.PD5[[#This Row],[Av.P2 '[%']]]*BD.PD5[[#This Row],[Ppto. Orden Interna '[DOP']]]</f>
        <v>0</v>
      </c>
      <c r="AC85" s="254"/>
      <c r="AD85" s="255"/>
      <c r="AE85" s="259">
        <f>BD.PD5[[#This Row],[Av.P3 '[%']]]*BD.PD5[[#This Row],[Ppto. Orden Interna '[DOP']]]</f>
        <v>0</v>
      </c>
      <c r="AF85" s="254"/>
      <c r="AG85" s="255"/>
      <c r="AH85" s="259">
        <f>BD.PD5[[#This Row],[Av.P4 '[%']]]*BD.PD5[[#This Row],[Ppto. Orden Interna '[DOP']]]</f>
        <v>0</v>
      </c>
      <c r="AI85" s="254"/>
      <c r="AJ85" s="255"/>
      <c r="AK85" s="259">
        <f>BD.PD5[[#This Row],[Av.P5 '[%']]]*BD.PD5[[#This Row],[Ppto. Orden Interna '[DOP']]]</f>
        <v>0</v>
      </c>
      <c r="AL85" s="256">
        <f>BD.PD5[[#This Row],[Pago 5]]+BD.PD5[[#This Row],[Pago 4]]+BD.PD5[[#This Row],[Pago 3]]+BD.PD5[[#This Row],[Pago 2]]+BD.PD5[[#This Row],[Pago 1]]</f>
        <v>0</v>
      </c>
      <c r="AM85" s="318"/>
    </row>
    <row r="86" spans="1:39" ht="13.95" hidden="1" customHeight="1" x14ac:dyDescent="0.3">
      <c r="A86" s="181">
        <v>9.02</v>
      </c>
      <c r="B86" s="239" t="s">
        <v>306</v>
      </c>
      <c r="C86" s="240" t="str">
        <f>VLOOKUP(BD.PD5[[#This Row],[Pos]],PPto[],3,FALSE)</f>
        <v>9.02 INSUMOS</v>
      </c>
      <c r="D86" s="241" t="s">
        <v>306</v>
      </c>
      <c r="E86" s="242">
        <f>IF(BD.PD5[[#This Row],[.]]="*",VLOOKUP(BD.PD5[[#This Row],[Pos]],[15]Presupuesto!A:H,7,FALSE),"")</f>
        <v>0</v>
      </c>
      <c r="F86" s="243"/>
      <c r="G86" s="243"/>
      <c r="H86" s="243"/>
      <c r="I86" s="371"/>
      <c r="J86" s="241" t="s">
        <v>188</v>
      </c>
      <c r="K86" s="245">
        <f>IF(BD.PD5[[#This Row],[Mon]]="DOP",1,HLOOKUP(BD.PD5[[#This Row],[Mon]],$J$1:$K$2,2,FALSE))</f>
        <v>64</v>
      </c>
      <c r="L86" s="246">
        <v>0</v>
      </c>
      <c r="M86" s="247">
        <f>BD.PD5[[#This Row],[Cant.]]*BD.PD5[[#This Row],[ Tasa ]]*BD.PD5[[#This Row],[ Precio Und.]]</f>
        <v>0</v>
      </c>
      <c r="N86" s="248"/>
      <c r="O86" s="247">
        <f>IF(BD.PD5[[#This Row],[Liquid. '[%']]]&lt;&gt;0,(BD.PD5[[#This Row],[Valor Neto '[DOP']]]*BD.PD5[[#This Row],[Liquid. '[%']]])+BD.PD5[[#This Row],[Valor Neto '[DOP']]],BD.PD5[[#This Row],[Valor Neto '[DOP']]])</f>
        <v>0</v>
      </c>
      <c r="P86" s="257">
        <f>BD.PD5[[#This Row],[Ppto. Orden Interna '[DOP']]]/HLOOKUP("USD",$J$1:$K$2,2,FALSE)</f>
        <v>0</v>
      </c>
      <c r="Q86" s="370"/>
      <c r="R86" s="250"/>
      <c r="S86" s="250"/>
      <c r="T86" s="250"/>
      <c r="U86" s="250"/>
      <c r="V86" s="258"/>
      <c r="W86" s="251"/>
      <c r="X86" s="252"/>
      <c r="Y86" s="259">
        <f>BD.PD5[[#This Row],[Av.P1 '[%']]]*BD.PD5[[#This Row],[Ppto. Orden Interna '[DOP']]]</f>
        <v>0</v>
      </c>
      <c r="Z86" s="254"/>
      <c r="AA86" s="255"/>
      <c r="AB86" s="259">
        <f>BD.PD5[[#This Row],[Av.P2 '[%']]]*BD.PD5[[#This Row],[Ppto. Orden Interna '[DOP']]]</f>
        <v>0</v>
      </c>
      <c r="AC86" s="254"/>
      <c r="AD86" s="255"/>
      <c r="AE86" s="259">
        <f>BD.PD5[[#This Row],[Av.P3 '[%']]]*BD.PD5[[#This Row],[Ppto. Orden Interna '[DOP']]]</f>
        <v>0</v>
      </c>
      <c r="AF86" s="254"/>
      <c r="AG86" s="255"/>
      <c r="AH86" s="259">
        <f>BD.PD5[[#This Row],[Av.P4 '[%']]]*BD.PD5[[#This Row],[Ppto. Orden Interna '[DOP']]]</f>
        <v>0</v>
      </c>
      <c r="AI86" s="254"/>
      <c r="AJ86" s="255"/>
      <c r="AK86" s="259">
        <f>BD.PD5[[#This Row],[Av.P5 '[%']]]*BD.PD5[[#This Row],[Ppto. Orden Interna '[DOP']]]</f>
        <v>0</v>
      </c>
      <c r="AL86" s="256">
        <f>BD.PD5[[#This Row],[Pago 5]]+BD.PD5[[#This Row],[Pago 4]]+BD.PD5[[#This Row],[Pago 3]]+BD.PD5[[#This Row],[Pago 2]]+BD.PD5[[#This Row],[Pago 1]]</f>
        <v>0</v>
      </c>
      <c r="AM86" s="318"/>
    </row>
    <row r="87" spans="1:39" ht="13.95" hidden="1" customHeight="1" x14ac:dyDescent="0.3">
      <c r="A87" s="181">
        <v>9.0299999999999994</v>
      </c>
      <c r="B87" s="239" t="s">
        <v>306</v>
      </c>
      <c r="C87" s="240" t="str">
        <f>VLOOKUP(BD.PD5[[#This Row],[Pos]],PPto[],3,FALSE)</f>
        <v>9.03 PUBLICIDAD Y MERCADEO</v>
      </c>
      <c r="D87" s="241" t="s">
        <v>306</v>
      </c>
      <c r="E87" s="242">
        <f>IF(BD.PD5[[#This Row],[.]]="*",VLOOKUP(BD.PD5[[#This Row],[Pos]],[15]Presupuesto!A:H,7,FALSE),"")</f>
        <v>0</v>
      </c>
      <c r="F87" s="243"/>
      <c r="G87" s="243"/>
      <c r="H87" s="243"/>
      <c r="I87" s="371"/>
      <c r="J87" s="241" t="s">
        <v>188</v>
      </c>
      <c r="K87" s="245">
        <f>IF(BD.PD5[[#This Row],[Mon]]="DOP",1,HLOOKUP(BD.PD5[[#This Row],[Mon]],$J$1:$K$2,2,FALSE))</f>
        <v>64</v>
      </c>
      <c r="L87" s="246">
        <v>0</v>
      </c>
      <c r="M87" s="247">
        <f>BD.PD5[[#This Row],[Cant.]]*BD.PD5[[#This Row],[ Tasa ]]*BD.PD5[[#This Row],[ Precio Und.]]</f>
        <v>0</v>
      </c>
      <c r="N87" s="248"/>
      <c r="O87" s="247">
        <f>IF(BD.PD5[[#This Row],[Liquid. '[%']]]&lt;&gt;0,(BD.PD5[[#This Row],[Valor Neto '[DOP']]]*BD.PD5[[#This Row],[Liquid. '[%']]])+BD.PD5[[#This Row],[Valor Neto '[DOP']]],BD.PD5[[#This Row],[Valor Neto '[DOP']]])</f>
        <v>0</v>
      </c>
      <c r="P87" s="257">
        <f>BD.PD5[[#This Row],[Ppto. Orden Interna '[DOP']]]/HLOOKUP("USD",$J$1:$K$2,2,FALSE)</f>
        <v>0</v>
      </c>
      <c r="Q87" s="370"/>
      <c r="R87" s="250"/>
      <c r="S87" s="250"/>
      <c r="T87" s="250"/>
      <c r="U87" s="250"/>
      <c r="V87" s="258"/>
      <c r="W87" s="251"/>
      <c r="X87" s="252"/>
      <c r="Y87" s="259">
        <f>BD.PD5[[#This Row],[Av.P1 '[%']]]*BD.PD5[[#This Row],[Ppto. Orden Interna '[DOP']]]</f>
        <v>0</v>
      </c>
      <c r="Z87" s="254"/>
      <c r="AA87" s="255"/>
      <c r="AB87" s="259">
        <f>BD.PD5[[#This Row],[Av.P2 '[%']]]*BD.PD5[[#This Row],[Ppto. Orden Interna '[DOP']]]</f>
        <v>0</v>
      </c>
      <c r="AC87" s="254"/>
      <c r="AD87" s="255"/>
      <c r="AE87" s="259">
        <f>BD.PD5[[#This Row],[Av.P3 '[%']]]*BD.PD5[[#This Row],[Ppto. Orden Interna '[DOP']]]</f>
        <v>0</v>
      </c>
      <c r="AF87" s="254"/>
      <c r="AG87" s="255"/>
      <c r="AH87" s="259">
        <f>BD.PD5[[#This Row],[Av.P4 '[%']]]*BD.PD5[[#This Row],[Ppto. Orden Interna '[DOP']]]</f>
        <v>0</v>
      </c>
      <c r="AI87" s="254"/>
      <c r="AJ87" s="255"/>
      <c r="AK87" s="259">
        <f>BD.PD5[[#This Row],[Av.P5 '[%']]]*BD.PD5[[#This Row],[Ppto. Orden Interna '[DOP']]]</f>
        <v>0</v>
      </c>
      <c r="AL87" s="256">
        <f>BD.PD5[[#This Row],[Pago 5]]+BD.PD5[[#This Row],[Pago 4]]+BD.PD5[[#This Row],[Pago 3]]+BD.PD5[[#This Row],[Pago 2]]+BD.PD5[[#This Row],[Pago 1]]</f>
        <v>0</v>
      </c>
      <c r="AM87" s="318"/>
    </row>
    <row r="88" spans="1:39" ht="13.95" hidden="1" customHeight="1" x14ac:dyDescent="0.3">
      <c r="A88" s="181">
        <v>9.0399999999999991</v>
      </c>
      <c r="B88" s="239" t="s">
        <v>306</v>
      </c>
      <c r="C88" s="240" t="str">
        <f>VLOOKUP(BD.PD5[[#This Row],[Pos]],PPto[],3,FALSE)</f>
        <v>9.04 MONTAJE</v>
      </c>
      <c r="D88" s="241" t="s">
        <v>306</v>
      </c>
      <c r="E88" s="242">
        <f>IF(BD.PD5[[#This Row],[.]]="*",VLOOKUP(BD.PD5[[#This Row],[Pos]],[15]Presupuesto!A:H,7,FALSE),"")</f>
        <v>0</v>
      </c>
      <c r="F88" s="243"/>
      <c r="G88" s="243"/>
      <c r="H88" s="243"/>
      <c r="I88" s="371"/>
      <c r="J88" s="241" t="s">
        <v>188</v>
      </c>
      <c r="K88" s="245">
        <f>IF(BD.PD5[[#This Row],[Mon]]="DOP",1,HLOOKUP(BD.PD5[[#This Row],[Mon]],$J$1:$K$2,2,FALSE))</f>
        <v>64</v>
      </c>
      <c r="L88" s="246">
        <v>0</v>
      </c>
      <c r="M88" s="247">
        <f>BD.PD5[[#This Row],[Cant.]]*BD.PD5[[#This Row],[ Tasa ]]*BD.PD5[[#This Row],[ Precio Und.]]</f>
        <v>0</v>
      </c>
      <c r="N88" s="248"/>
      <c r="O88" s="247">
        <f>IF(BD.PD5[[#This Row],[Liquid. '[%']]]&lt;&gt;0,(BD.PD5[[#This Row],[Valor Neto '[DOP']]]*BD.PD5[[#This Row],[Liquid. '[%']]])+BD.PD5[[#This Row],[Valor Neto '[DOP']]],BD.PD5[[#This Row],[Valor Neto '[DOP']]])</f>
        <v>0</v>
      </c>
      <c r="P88" s="257">
        <f>BD.PD5[[#This Row],[Ppto. Orden Interna '[DOP']]]/HLOOKUP("USD",$J$1:$K$2,2,FALSE)</f>
        <v>0</v>
      </c>
      <c r="Q88" s="370"/>
      <c r="R88" s="250"/>
      <c r="S88" s="250"/>
      <c r="T88" s="250"/>
      <c r="U88" s="250"/>
      <c r="V88" s="258"/>
      <c r="W88" s="251"/>
      <c r="X88" s="252"/>
      <c r="Y88" s="259">
        <f>BD.PD5[[#This Row],[Av.P1 '[%']]]*BD.PD5[[#This Row],[Ppto. Orden Interna '[DOP']]]</f>
        <v>0</v>
      </c>
      <c r="Z88" s="254"/>
      <c r="AA88" s="255"/>
      <c r="AB88" s="259">
        <f>BD.PD5[[#This Row],[Av.P2 '[%']]]*BD.PD5[[#This Row],[Ppto. Orden Interna '[DOP']]]</f>
        <v>0</v>
      </c>
      <c r="AC88" s="254"/>
      <c r="AD88" s="255"/>
      <c r="AE88" s="259">
        <f>BD.PD5[[#This Row],[Av.P3 '[%']]]*BD.PD5[[#This Row],[Ppto. Orden Interna '[DOP']]]</f>
        <v>0</v>
      </c>
      <c r="AF88" s="254"/>
      <c r="AG88" s="255"/>
      <c r="AH88" s="259">
        <f>BD.PD5[[#This Row],[Av.P4 '[%']]]*BD.PD5[[#This Row],[Ppto. Orden Interna '[DOP']]]</f>
        <v>0</v>
      </c>
      <c r="AI88" s="254"/>
      <c r="AJ88" s="255"/>
      <c r="AK88" s="259">
        <f>BD.PD5[[#This Row],[Av.P5 '[%']]]*BD.PD5[[#This Row],[Ppto. Orden Interna '[DOP']]]</f>
        <v>0</v>
      </c>
      <c r="AL88" s="256">
        <f>BD.PD5[[#This Row],[Pago 5]]+BD.PD5[[#This Row],[Pago 4]]+BD.PD5[[#This Row],[Pago 3]]+BD.PD5[[#This Row],[Pago 2]]+BD.PD5[[#This Row],[Pago 1]]</f>
        <v>0</v>
      </c>
      <c r="AM88" s="318"/>
    </row>
    <row r="89" spans="1:39" ht="13.95" hidden="1" customHeight="1" x14ac:dyDescent="0.3">
      <c r="A89" s="181">
        <v>9.0499999999999989</v>
      </c>
      <c r="B89" s="239" t="s">
        <v>306</v>
      </c>
      <c r="C89" s="240" t="str">
        <f>VLOOKUP(BD.PD5[[#This Row],[Pos]],PPto[],3,FALSE)</f>
        <v>9.05 DECORACIÓN TEMPORADAS</v>
      </c>
      <c r="D89" s="241" t="s">
        <v>306</v>
      </c>
      <c r="E89" s="242">
        <f>IF(BD.PD5[[#This Row],[.]]="*",VLOOKUP(BD.PD5[[#This Row],[Pos]],[15]Presupuesto!A:H,7,FALSE),"")</f>
        <v>0</v>
      </c>
      <c r="F89" s="243"/>
      <c r="G89" s="243"/>
      <c r="H89" s="243"/>
      <c r="I89" s="369"/>
      <c r="J89" s="241" t="s">
        <v>188</v>
      </c>
      <c r="K89" s="245">
        <f>IF(BD.PD5[[#This Row],[Mon]]="DOP",1,HLOOKUP(BD.PD5[[#This Row],[Mon]],$J$1:$K$2,2,FALSE))</f>
        <v>64</v>
      </c>
      <c r="L89" s="246">
        <v>0</v>
      </c>
      <c r="M89" s="247">
        <f>BD.PD5[[#This Row],[Cant.]]*BD.PD5[[#This Row],[ Tasa ]]*BD.PD5[[#This Row],[ Precio Und.]]</f>
        <v>0</v>
      </c>
      <c r="N89" s="248"/>
      <c r="O89" s="247">
        <f>IF(BD.PD5[[#This Row],[Liquid. '[%']]]&lt;&gt;0,(BD.PD5[[#This Row],[Valor Neto '[DOP']]]*BD.PD5[[#This Row],[Liquid. '[%']]])+BD.PD5[[#This Row],[Valor Neto '[DOP']]],BD.PD5[[#This Row],[Valor Neto '[DOP']]])</f>
        <v>0</v>
      </c>
      <c r="P89" s="257">
        <f>BD.PD5[[#This Row],[Ppto. Orden Interna '[DOP']]]/HLOOKUP("USD",$J$1:$K$2,2,FALSE)</f>
        <v>0</v>
      </c>
      <c r="Q89" s="370"/>
      <c r="R89" s="250"/>
      <c r="S89" s="250"/>
      <c r="T89" s="250"/>
      <c r="U89" s="250"/>
      <c r="V89" s="258"/>
      <c r="W89" s="251"/>
      <c r="X89" s="252"/>
      <c r="Y89" s="259">
        <f>BD.PD5[[#This Row],[Av.P1 '[%']]]*BD.PD5[[#This Row],[Ppto. Orden Interna '[DOP']]]</f>
        <v>0</v>
      </c>
      <c r="Z89" s="254"/>
      <c r="AA89" s="255"/>
      <c r="AB89" s="259">
        <f>BD.PD5[[#This Row],[Av.P2 '[%']]]*BD.PD5[[#This Row],[Ppto. Orden Interna '[DOP']]]</f>
        <v>0</v>
      </c>
      <c r="AC89" s="254"/>
      <c r="AD89" s="255"/>
      <c r="AE89" s="259">
        <f>BD.PD5[[#This Row],[Av.P3 '[%']]]*BD.PD5[[#This Row],[Ppto. Orden Interna '[DOP']]]</f>
        <v>0</v>
      </c>
      <c r="AF89" s="254"/>
      <c r="AG89" s="255"/>
      <c r="AH89" s="259">
        <f>BD.PD5[[#This Row],[Av.P4 '[%']]]*BD.PD5[[#This Row],[Ppto. Orden Interna '[DOP']]]</f>
        <v>0</v>
      </c>
      <c r="AI89" s="254"/>
      <c r="AJ89" s="255"/>
      <c r="AK89" s="259">
        <f>BD.PD5[[#This Row],[Av.P5 '[%']]]*BD.PD5[[#This Row],[Ppto. Orden Interna '[DOP']]]</f>
        <v>0</v>
      </c>
      <c r="AL89" s="256">
        <f>BD.PD5[[#This Row],[Pago 5]]+BD.PD5[[#This Row],[Pago 4]]+BD.PD5[[#This Row],[Pago 3]]+BD.PD5[[#This Row],[Pago 2]]+BD.PD5[[#This Row],[Pago 1]]</f>
        <v>0</v>
      </c>
      <c r="AM89" s="318"/>
    </row>
    <row r="90" spans="1:39" ht="13.95" customHeight="1" x14ac:dyDescent="0.3">
      <c r="A90" s="262" t="s">
        <v>174</v>
      </c>
      <c r="B90" s="263"/>
      <c r="C90" s="263"/>
      <c r="D90" s="264"/>
      <c r="E90" s="265">
        <f>SUBTOTAL(109,BD.PD5[Plan])</f>
        <v>0</v>
      </c>
      <c r="F90" s="262"/>
      <c r="G90" s="262"/>
      <c r="H90" s="262"/>
      <c r="I90" s="262"/>
      <c r="J90" s="262"/>
      <c r="K90" s="263"/>
      <c r="L90" s="260"/>
      <c r="M90" s="266">
        <f>SUBTOTAL(109,BD.PD5[Valor Neto '[DOP']])</f>
        <v>3172332.29</v>
      </c>
      <c r="N90" s="267"/>
      <c r="O90" s="266">
        <f>SUBTOTAL(109,BD.PD5[Ppto. Orden Interna '[DOP']])</f>
        <v>3181332.29</v>
      </c>
      <c r="P90" s="268">
        <f>SUBTOTAL(109,BD.PD5[Ppto. Orden Interna '[USD']])</f>
        <v>49708.317031250001</v>
      </c>
      <c r="Q90" s="262"/>
      <c r="R90" s="262"/>
      <c r="S90" s="262"/>
      <c r="T90" s="262"/>
      <c r="U90" s="262"/>
      <c r="V90" s="267"/>
      <c r="W90" s="269"/>
      <c r="X90" s="270"/>
      <c r="Y90" s="262"/>
      <c r="Z90" s="269"/>
      <c r="AA90" s="262"/>
      <c r="AB90" s="262"/>
      <c r="AC90" s="269"/>
      <c r="AD90" s="262"/>
      <c r="AE90" s="262"/>
      <c r="AF90" s="269"/>
      <c r="AG90" s="262"/>
      <c r="AH90" s="262"/>
      <c r="AI90" s="269"/>
      <c r="AJ90" s="262"/>
      <c r="AK90" s="262"/>
      <c r="AL90" s="271">
        <f>SUBTOTAL(109,BD.PD5[Total Flujo Caja])</f>
        <v>2935364.54</v>
      </c>
      <c r="AM90" s="262"/>
    </row>
    <row r="91" spans="1:39" ht="13.95" customHeight="1" x14ac:dyDescent="0.3"/>
    <row r="92" spans="1:39" ht="13.95" customHeight="1" x14ac:dyDescent="0.3"/>
    <row r="93" spans="1:39" ht="13.95" customHeight="1" x14ac:dyDescent="0.3"/>
    <row r="94" spans="1:39" ht="13.95" customHeight="1" x14ac:dyDescent="0.3"/>
    <row r="95" spans="1:39" ht="13.95" customHeight="1" x14ac:dyDescent="0.3"/>
    <row r="96" spans="1:39" ht="13.95" customHeight="1" x14ac:dyDescent="0.3"/>
    <row r="97" ht="13.95" customHeight="1" x14ac:dyDescent="0.3"/>
    <row r="98" ht="13.95" customHeight="1" x14ac:dyDescent="0.3"/>
    <row r="99" ht="13.95" customHeight="1" x14ac:dyDescent="0.3"/>
    <row r="100" ht="13.95" customHeight="1" x14ac:dyDescent="0.3"/>
    <row r="101" ht="13.95" customHeight="1" x14ac:dyDescent="0.3"/>
    <row r="102" ht="13.95" customHeight="1" x14ac:dyDescent="0.3"/>
    <row r="103" ht="13.95" customHeight="1" x14ac:dyDescent="0.3"/>
    <row r="104" ht="13.95" customHeight="1" x14ac:dyDescent="0.3"/>
    <row r="105" ht="13.95" customHeight="1" x14ac:dyDescent="0.3"/>
    <row r="106" ht="13.95" customHeight="1" x14ac:dyDescent="0.3"/>
    <row r="107" ht="13.95" customHeight="1" x14ac:dyDescent="0.3"/>
    <row r="108" ht="13.95" customHeight="1" x14ac:dyDescent="0.3"/>
    <row r="109" ht="13.95" customHeight="1" x14ac:dyDescent="0.3"/>
    <row r="110" ht="13.95" customHeight="1" x14ac:dyDescent="0.3"/>
    <row r="111" ht="13.95" customHeight="1" x14ac:dyDescent="0.3"/>
    <row r="112" ht="13.95" customHeight="1" x14ac:dyDescent="0.3"/>
    <row r="113" ht="13.95" customHeight="1" x14ac:dyDescent="0.3"/>
    <row r="114" ht="13.95" customHeight="1" x14ac:dyDescent="0.3"/>
    <row r="115" ht="13.95" customHeight="1" x14ac:dyDescent="0.3"/>
    <row r="116" ht="13.95" customHeight="1" x14ac:dyDescent="0.3"/>
    <row r="117" ht="13.95" customHeight="1" x14ac:dyDescent="0.3"/>
    <row r="118" ht="13.95" customHeight="1" x14ac:dyDescent="0.3"/>
    <row r="119" ht="13.95" customHeight="1" x14ac:dyDescent="0.3"/>
    <row r="120" ht="13.95" customHeight="1" x14ac:dyDescent="0.3"/>
    <row r="121" ht="13.95" customHeight="1" x14ac:dyDescent="0.3"/>
  </sheetData>
  <mergeCells count="9">
    <mergeCell ref="A1:F1"/>
    <mergeCell ref="AL1:AL3"/>
    <mergeCell ref="A2:F2"/>
    <mergeCell ref="W2:AK2"/>
    <mergeCell ref="W3:Y3"/>
    <mergeCell ref="Z3:AB3"/>
    <mergeCell ref="AC3:AE3"/>
    <mergeCell ref="AF3:AH3"/>
    <mergeCell ref="AI3:AK3"/>
  </mergeCells>
  <conditionalFormatting sqref="AL5:AL89">
    <cfRule type="expression" dxfId="157" priority="1">
      <formula>$AL5&lt;&gt;$O5</formula>
    </cfRule>
  </conditionalFormatting>
  <dataValidations count="2">
    <dataValidation operator="equal" allowBlank="1" showInputMessage="1" showErrorMessage="1" sqref="V35:V38 Q56 Q1:Q2 R24:U34 R5:U12 V45 R39:U57 Q48:Q54 O48:P64 O5:Q47 V31:V33 M5:M89 K5:K89 V5:V29 C5:E89" xr:uid="{FC91D94F-211F-4614-A015-344D34367FAC}"/>
    <dataValidation type="whole" operator="greaterThanOrEqual" allowBlank="1" showInputMessage="1" showErrorMessage="1" sqref="AC5:AC89 AI5:AI89 AF5:AF89 W5:W89 Z5:Z89" xr:uid="{EC9A0953-7272-47AA-A520-9CDB898EB9D5}">
      <formula1>0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274C-2097-41DC-9F30-4586B500BC90}">
  <sheetPr codeName="Hoja8">
    <tabColor theme="7"/>
  </sheetPr>
  <dimension ref="A1:AF261"/>
  <sheetViews>
    <sheetView showGridLines="0" zoomScale="70" zoomScaleNormal="70" workbookViewId="0">
      <pane xSplit="7" ySplit="16" topLeftCell="I20" activePane="bottomRight" state="frozen"/>
      <selection pane="topRight" activeCell="H1" sqref="H1"/>
      <selection pane="bottomLeft" activeCell="A17" sqref="A17"/>
      <selection pane="bottomRight" activeCell="G31" sqref="G31"/>
    </sheetView>
  </sheetViews>
  <sheetFormatPr baseColWidth="10" defaultColWidth="9.33203125" defaultRowHeight="14.4" outlineLevelCol="1" x14ac:dyDescent="0.3"/>
  <cols>
    <col min="1" max="1" width="9.5546875" style="151" customWidth="1"/>
    <col min="2" max="2" width="34.44140625" style="152" customWidth="1"/>
    <col min="3" max="3" width="51" style="152" customWidth="1"/>
    <col min="4" max="4" width="15.6640625" style="150" customWidth="1"/>
    <col min="5" max="5" width="10" style="150" customWidth="1" outlineLevel="1"/>
    <col min="6" max="6" width="17.5546875" style="150" customWidth="1" outlineLevel="1"/>
    <col min="7" max="7" width="10.6640625" style="150" customWidth="1" outlineLevel="1"/>
    <col min="8" max="8" width="15.6640625" style="150" customWidth="1" outlineLevel="1"/>
    <col min="9" max="9" width="9.6640625" style="150" customWidth="1" outlineLevel="1"/>
    <col min="10" max="10" width="15.6640625" style="150" customWidth="1" outlineLevel="1"/>
    <col min="11" max="11" width="12.33203125" style="150" customWidth="1" outlineLevel="1"/>
    <col min="12" max="12" width="15.6640625" style="150" customWidth="1" outlineLevel="1"/>
    <col min="13" max="13" width="15.5546875" style="150" customWidth="1" outlineLevel="1"/>
    <col min="14" max="14" width="15.6640625" style="150" customWidth="1" outlineLevel="1"/>
    <col min="15" max="15" width="10.44140625" style="150" customWidth="1" outlineLevel="1"/>
    <col min="16" max="16" width="15.6640625" style="150" customWidth="1" outlineLevel="1"/>
    <col min="17" max="17" width="11.33203125" style="150" customWidth="1"/>
    <col min="18" max="18" width="15.6640625" style="150" customWidth="1"/>
    <col min="19" max="19" width="26.44140625" style="152" hidden="1" customWidth="1"/>
    <col min="20" max="20" width="15.33203125" style="152" hidden="1" customWidth="1"/>
    <col min="21" max="21" width="17.33203125" style="152" hidden="1" customWidth="1"/>
    <col min="22" max="22" width="19.5546875" style="156" hidden="1" customWidth="1"/>
    <col min="23" max="23" width="12.44140625" style="152" hidden="1" customWidth="1"/>
    <col min="24" max="24" width="11.33203125" style="152" hidden="1" customWidth="1"/>
    <col min="25" max="25" width="17.6640625" style="152" hidden="1" customWidth="1"/>
    <col min="26" max="26" width="16.33203125" style="178" hidden="1" customWidth="1"/>
    <col min="27" max="27" width="22.33203125" style="152" hidden="1" customWidth="1"/>
    <col min="28" max="28" width="14.44140625" style="152" hidden="1" customWidth="1"/>
    <col min="29" max="29" width="25.33203125" style="152" hidden="1" customWidth="1"/>
    <col min="30" max="30" width="15.5546875" style="152" hidden="1" customWidth="1"/>
    <col min="31" max="31" width="16.6640625" style="152" hidden="1" customWidth="1"/>
    <col min="32" max="32" width="15.5546875" style="152" hidden="1" customWidth="1"/>
    <col min="33" max="261" width="9.33203125" style="152"/>
    <col min="262" max="263" width="0" style="152" hidden="1" customWidth="1"/>
    <col min="264" max="264" width="7.5546875" style="152" customWidth="1"/>
    <col min="265" max="265" width="52.44140625" style="152" customWidth="1"/>
    <col min="266" max="266" width="41.33203125" style="152" customWidth="1"/>
    <col min="267" max="267" width="24.6640625" style="152" customWidth="1"/>
    <col min="268" max="268" width="26.6640625" style="152" customWidth="1"/>
    <col min="269" max="269" width="35.33203125" style="152" customWidth="1"/>
    <col min="270" max="270" width="19.5546875" style="152" customWidth="1"/>
    <col min="271" max="271" width="24.33203125" style="152" customWidth="1"/>
    <col min="272" max="272" width="14" style="152" customWidth="1"/>
    <col min="273" max="273" width="69.44140625" style="152" customWidth="1"/>
    <col min="274" max="276" width="16.33203125" style="152" customWidth="1"/>
    <col min="277" max="277" width="6.33203125" style="152" customWidth="1"/>
    <col min="278" max="278" width="10.33203125" style="152" customWidth="1"/>
    <col min="279" max="280" width="0.33203125" style="152" customWidth="1"/>
    <col min="281" max="281" width="5.6640625" style="152" customWidth="1"/>
    <col min="282" max="282" width="20.5546875" style="152" customWidth="1"/>
    <col min="283" max="283" width="15.44140625" style="152" customWidth="1"/>
    <col min="284" max="517" width="9.33203125" style="152"/>
    <col min="518" max="519" width="0" style="152" hidden="1" customWidth="1"/>
    <col min="520" max="520" width="7.5546875" style="152" customWidth="1"/>
    <col min="521" max="521" width="52.44140625" style="152" customWidth="1"/>
    <col min="522" max="522" width="41.33203125" style="152" customWidth="1"/>
    <col min="523" max="523" width="24.6640625" style="152" customWidth="1"/>
    <col min="524" max="524" width="26.6640625" style="152" customWidth="1"/>
    <col min="525" max="525" width="35.33203125" style="152" customWidth="1"/>
    <col min="526" max="526" width="19.5546875" style="152" customWidth="1"/>
    <col min="527" max="527" width="24.33203125" style="152" customWidth="1"/>
    <col min="528" max="528" width="14" style="152" customWidth="1"/>
    <col min="529" max="529" width="69.44140625" style="152" customWidth="1"/>
    <col min="530" max="532" width="16.33203125" style="152" customWidth="1"/>
    <col min="533" max="533" width="6.33203125" style="152" customWidth="1"/>
    <col min="534" max="534" width="10.33203125" style="152" customWidth="1"/>
    <col min="535" max="536" width="0.33203125" style="152" customWidth="1"/>
    <col min="537" max="537" width="5.6640625" style="152" customWidth="1"/>
    <col min="538" max="538" width="20.5546875" style="152" customWidth="1"/>
    <col min="539" max="539" width="15.44140625" style="152" customWidth="1"/>
    <col min="540" max="773" width="9.33203125" style="152"/>
    <col min="774" max="775" width="0" style="152" hidden="1" customWidth="1"/>
    <col min="776" max="776" width="7.5546875" style="152" customWidth="1"/>
    <col min="777" max="777" width="52.44140625" style="152" customWidth="1"/>
    <col min="778" max="778" width="41.33203125" style="152" customWidth="1"/>
    <col min="779" max="779" width="24.6640625" style="152" customWidth="1"/>
    <col min="780" max="780" width="26.6640625" style="152" customWidth="1"/>
    <col min="781" max="781" width="35.33203125" style="152" customWidth="1"/>
    <col min="782" max="782" width="19.5546875" style="152" customWidth="1"/>
    <col min="783" max="783" width="24.33203125" style="152" customWidth="1"/>
    <col min="784" max="784" width="14" style="152" customWidth="1"/>
    <col min="785" max="785" width="69.44140625" style="152" customWidth="1"/>
    <col min="786" max="788" width="16.33203125" style="152" customWidth="1"/>
    <col min="789" max="789" width="6.33203125" style="152" customWidth="1"/>
    <col min="790" max="790" width="10.33203125" style="152" customWidth="1"/>
    <col min="791" max="792" width="0.33203125" style="152" customWidth="1"/>
    <col min="793" max="793" width="5.6640625" style="152" customWidth="1"/>
    <col min="794" max="794" width="20.5546875" style="152" customWidth="1"/>
    <col min="795" max="795" width="15.44140625" style="152" customWidth="1"/>
    <col min="796" max="1029" width="9.33203125" style="152"/>
    <col min="1030" max="1031" width="0" style="152" hidden="1" customWidth="1"/>
    <col min="1032" max="1032" width="7.5546875" style="152" customWidth="1"/>
    <col min="1033" max="1033" width="52.44140625" style="152" customWidth="1"/>
    <col min="1034" max="1034" width="41.33203125" style="152" customWidth="1"/>
    <col min="1035" max="1035" width="24.6640625" style="152" customWidth="1"/>
    <col min="1036" max="1036" width="26.6640625" style="152" customWidth="1"/>
    <col min="1037" max="1037" width="35.33203125" style="152" customWidth="1"/>
    <col min="1038" max="1038" width="19.5546875" style="152" customWidth="1"/>
    <col min="1039" max="1039" width="24.33203125" style="152" customWidth="1"/>
    <col min="1040" max="1040" width="14" style="152" customWidth="1"/>
    <col min="1041" max="1041" width="69.44140625" style="152" customWidth="1"/>
    <col min="1042" max="1044" width="16.33203125" style="152" customWidth="1"/>
    <col min="1045" max="1045" width="6.33203125" style="152" customWidth="1"/>
    <col min="1046" max="1046" width="10.33203125" style="152" customWidth="1"/>
    <col min="1047" max="1048" width="0.33203125" style="152" customWidth="1"/>
    <col min="1049" max="1049" width="5.6640625" style="152" customWidth="1"/>
    <col min="1050" max="1050" width="20.5546875" style="152" customWidth="1"/>
    <col min="1051" max="1051" width="15.44140625" style="152" customWidth="1"/>
    <col min="1052" max="1285" width="9.33203125" style="152"/>
    <col min="1286" max="1287" width="0" style="152" hidden="1" customWidth="1"/>
    <col min="1288" max="1288" width="7.5546875" style="152" customWidth="1"/>
    <col min="1289" max="1289" width="52.44140625" style="152" customWidth="1"/>
    <col min="1290" max="1290" width="41.33203125" style="152" customWidth="1"/>
    <col min="1291" max="1291" width="24.6640625" style="152" customWidth="1"/>
    <col min="1292" max="1292" width="26.6640625" style="152" customWidth="1"/>
    <col min="1293" max="1293" width="35.33203125" style="152" customWidth="1"/>
    <col min="1294" max="1294" width="19.5546875" style="152" customWidth="1"/>
    <col min="1295" max="1295" width="24.33203125" style="152" customWidth="1"/>
    <col min="1296" max="1296" width="14" style="152" customWidth="1"/>
    <col min="1297" max="1297" width="69.44140625" style="152" customWidth="1"/>
    <col min="1298" max="1300" width="16.33203125" style="152" customWidth="1"/>
    <col min="1301" max="1301" width="6.33203125" style="152" customWidth="1"/>
    <col min="1302" max="1302" width="10.33203125" style="152" customWidth="1"/>
    <col min="1303" max="1304" width="0.33203125" style="152" customWidth="1"/>
    <col min="1305" max="1305" width="5.6640625" style="152" customWidth="1"/>
    <col min="1306" max="1306" width="20.5546875" style="152" customWidth="1"/>
    <col min="1307" max="1307" width="15.44140625" style="152" customWidth="1"/>
    <col min="1308" max="1541" width="9.33203125" style="152"/>
    <col min="1542" max="1543" width="0" style="152" hidden="1" customWidth="1"/>
    <col min="1544" max="1544" width="7.5546875" style="152" customWidth="1"/>
    <col min="1545" max="1545" width="52.44140625" style="152" customWidth="1"/>
    <col min="1546" max="1546" width="41.33203125" style="152" customWidth="1"/>
    <col min="1547" max="1547" width="24.6640625" style="152" customWidth="1"/>
    <col min="1548" max="1548" width="26.6640625" style="152" customWidth="1"/>
    <col min="1549" max="1549" width="35.33203125" style="152" customWidth="1"/>
    <col min="1550" max="1550" width="19.5546875" style="152" customWidth="1"/>
    <col min="1551" max="1551" width="24.33203125" style="152" customWidth="1"/>
    <col min="1552" max="1552" width="14" style="152" customWidth="1"/>
    <col min="1553" max="1553" width="69.44140625" style="152" customWidth="1"/>
    <col min="1554" max="1556" width="16.33203125" style="152" customWidth="1"/>
    <col min="1557" max="1557" width="6.33203125" style="152" customWidth="1"/>
    <col min="1558" max="1558" width="10.33203125" style="152" customWidth="1"/>
    <col min="1559" max="1560" width="0.33203125" style="152" customWidth="1"/>
    <col min="1561" max="1561" width="5.6640625" style="152" customWidth="1"/>
    <col min="1562" max="1562" width="20.5546875" style="152" customWidth="1"/>
    <col min="1563" max="1563" width="15.44140625" style="152" customWidth="1"/>
    <col min="1564" max="1797" width="9.33203125" style="152"/>
    <col min="1798" max="1799" width="0" style="152" hidden="1" customWidth="1"/>
    <col min="1800" max="1800" width="7.5546875" style="152" customWidth="1"/>
    <col min="1801" max="1801" width="52.44140625" style="152" customWidth="1"/>
    <col min="1802" max="1802" width="41.33203125" style="152" customWidth="1"/>
    <col min="1803" max="1803" width="24.6640625" style="152" customWidth="1"/>
    <col min="1804" max="1804" width="26.6640625" style="152" customWidth="1"/>
    <col min="1805" max="1805" width="35.33203125" style="152" customWidth="1"/>
    <col min="1806" max="1806" width="19.5546875" style="152" customWidth="1"/>
    <col min="1807" max="1807" width="24.33203125" style="152" customWidth="1"/>
    <col min="1808" max="1808" width="14" style="152" customWidth="1"/>
    <col min="1809" max="1809" width="69.44140625" style="152" customWidth="1"/>
    <col min="1810" max="1812" width="16.33203125" style="152" customWidth="1"/>
    <col min="1813" max="1813" width="6.33203125" style="152" customWidth="1"/>
    <col min="1814" max="1814" width="10.33203125" style="152" customWidth="1"/>
    <col min="1815" max="1816" width="0.33203125" style="152" customWidth="1"/>
    <col min="1817" max="1817" width="5.6640625" style="152" customWidth="1"/>
    <col min="1818" max="1818" width="20.5546875" style="152" customWidth="1"/>
    <col min="1819" max="1819" width="15.44140625" style="152" customWidth="1"/>
    <col min="1820" max="2053" width="9.33203125" style="152"/>
    <col min="2054" max="2055" width="0" style="152" hidden="1" customWidth="1"/>
    <col min="2056" max="2056" width="7.5546875" style="152" customWidth="1"/>
    <col min="2057" max="2057" width="52.44140625" style="152" customWidth="1"/>
    <col min="2058" max="2058" width="41.33203125" style="152" customWidth="1"/>
    <col min="2059" max="2059" width="24.6640625" style="152" customWidth="1"/>
    <col min="2060" max="2060" width="26.6640625" style="152" customWidth="1"/>
    <col min="2061" max="2061" width="35.33203125" style="152" customWidth="1"/>
    <col min="2062" max="2062" width="19.5546875" style="152" customWidth="1"/>
    <col min="2063" max="2063" width="24.33203125" style="152" customWidth="1"/>
    <col min="2064" max="2064" width="14" style="152" customWidth="1"/>
    <col min="2065" max="2065" width="69.44140625" style="152" customWidth="1"/>
    <col min="2066" max="2068" width="16.33203125" style="152" customWidth="1"/>
    <col min="2069" max="2069" width="6.33203125" style="152" customWidth="1"/>
    <col min="2070" max="2070" width="10.33203125" style="152" customWidth="1"/>
    <col min="2071" max="2072" width="0.33203125" style="152" customWidth="1"/>
    <col min="2073" max="2073" width="5.6640625" style="152" customWidth="1"/>
    <col min="2074" max="2074" width="20.5546875" style="152" customWidth="1"/>
    <col min="2075" max="2075" width="15.44140625" style="152" customWidth="1"/>
    <col min="2076" max="2309" width="9.33203125" style="152"/>
    <col min="2310" max="2311" width="0" style="152" hidden="1" customWidth="1"/>
    <col min="2312" max="2312" width="7.5546875" style="152" customWidth="1"/>
    <col min="2313" max="2313" width="52.44140625" style="152" customWidth="1"/>
    <col min="2314" max="2314" width="41.33203125" style="152" customWidth="1"/>
    <col min="2315" max="2315" width="24.6640625" style="152" customWidth="1"/>
    <col min="2316" max="2316" width="26.6640625" style="152" customWidth="1"/>
    <col min="2317" max="2317" width="35.33203125" style="152" customWidth="1"/>
    <col min="2318" max="2318" width="19.5546875" style="152" customWidth="1"/>
    <col min="2319" max="2319" width="24.33203125" style="152" customWidth="1"/>
    <col min="2320" max="2320" width="14" style="152" customWidth="1"/>
    <col min="2321" max="2321" width="69.44140625" style="152" customWidth="1"/>
    <col min="2322" max="2324" width="16.33203125" style="152" customWidth="1"/>
    <col min="2325" max="2325" width="6.33203125" style="152" customWidth="1"/>
    <col min="2326" max="2326" width="10.33203125" style="152" customWidth="1"/>
    <col min="2327" max="2328" width="0.33203125" style="152" customWidth="1"/>
    <col min="2329" max="2329" width="5.6640625" style="152" customWidth="1"/>
    <col min="2330" max="2330" width="20.5546875" style="152" customWidth="1"/>
    <col min="2331" max="2331" width="15.44140625" style="152" customWidth="1"/>
    <col min="2332" max="2565" width="9.33203125" style="152"/>
    <col min="2566" max="2567" width="0" style="152" hidden="1" customWidth="1"/>
    <col min="2568" max="2568" width="7.5546875" style="152" customWidth="1"/>
    <col min="2569" max="2569" width="52.44140625" style="152" customWidth="1"/>
    <col min="2570" max="2570" width="41.33203125" style="152" customWidth="1"/>
    <col min="2571" max="2571" width="24.6640625" style="152" customWidth="1"/>
    <col min="2572" max="2572" width="26.6640625" style="152" customWidth="1"/>
    <col min="2573" max="2573" width="35.33203125" style="152" customWidth="1"/>
    <col min="2574" max="2574" width="19.5546875" style="152" customWidth="1"/>
    <col min="2575" max="2575" width="24.33203125" style="152" customWidth="1"/>
    <col min="2576" max="2576" width="14" style="152" customWidth="1"/>
    <col min="2577" max="2577" width="69.44140625" style="152" customWidth="1"/>
    <col min="2578" max="2580" width="16.33203125" style="152" customWidth="1"/>
    <col min="2581" max="2581" width="6.33203125" style="152" customWidth="1"/>
    <col min="2582" max="2582" width="10.33203125" style="152" customWidth="1"/>
    <col min="2583" max="2584" width="0.33203125" style="152" customWidth="1"/>
    <col min="2585" max="2585" width="5.6640625" style="152" customWidth="1"/>
    <col min="2586" max="2586" width="20.5546875" style="152" customWidth="1"/>
    <col min="2587" max="2587" width="15.44140625" style="152" customWidth="1"/>
    <col min="2588" max="2821" width="9.33203125" style="152"/>
    <col min="2822" max="2823" width="0" style="152" hidden="1" customWidth="1"/>
    <col min="2824" max="2824" width="7.5546875" style="152" customWidth="1"/>
    <col min="2825" max="2825" width="52.44140625" style="152" customWidth="1"/>
    <col min="2826" max="2826" width="41.33203125" style="152" customWidth="1"/>
    <col min="2827" max="2827" width="24.6640625" style="152" customWidth="1"/>
    <col min="2828" max="2828" width="26.6640625" style="152" customWidth="1"/>
    <col min="2829" max="2829" width="35.33203125" style="152" customWidth="1"/>
    <col min="2830" max="2830" width="19.5546875" style="152" customWidth="1"/>
    <col min="2831" max="2831" width="24.33203125" style="152" customWidth="1"/>
    <col min="2832" max="2832" width="14" style="152" customWidth="1"/>
    <col min="2833" max="2833" width="69.44140625" style="152" customWidth="1"/>
    <col min="2834" max="2836" width="16.33203125" style="152" customWidth="1"/>
    <col min="2837" max="2837" width="6.33203125" style="152" customWidth="1"/>
    <col min="2838" max="2838" width="10.33203125" style="152" customWidth="1"/>
    <col min="2839" max="2840" width="0.33203125" style="152" customWidth="1"/>
    <col min="2841" max="2841" width="5.6640625" style="152" customWidth="1"/>
    <col min="2842" max="2842" width="20.5546875" style="152" customWidth="1"/>
    <col min="2843" max="2843" width="15.44140625" style="152" customWidth="1"/>
    <col min="2844" max="3077" width="9.33203125" style="152"/>
    <col min="3078" max="3079" width="0" style="152" hidden="1" customWidth="1"/>
    <col min="3080" max="3080" width="7.5546875" style="152" customWidth="1"/>
    <col min="3081" max="3081" width="52.44140625" style="152" customWidth="1"/>
    <col min="3082" max="3082" width="41.33203125" style="152" customWidth="1"/>
    <col min="3083" max="3083" width="24.6640625" style="152" customWidth="1"/>
    <col min="3084" max="3084" width="26.6640625" style="152" customWidth="1"/>
    <col min="3085" max="3085" width="35.33203125" style="152" customWidth="1"/>
    <col min="3086" max="3086" width="19.5546875" style="152" customWidth="1"/>
    <col min="3087" max="3087" width="24.33203125" style="152" customWidth="1"/>
    <col min="3088" max="3088" width="14" style="152" customWidth="1"/>
    <col min="3089" max="3089" width="69.44140625" style="152" customWidth="1"/>
    <col min="3090" max="3092" width="16.33203125" style="152" customWidth="1"/>
    <col min="3093" max="3093" width="6.33203125" style="152" customWidth="1"/>
    <col min="3094" max="3094" width="10.33203125" style="152" customWidth="1"/>
    <col min="3095" max="3096" width="0.33203125" style="152" customWidth="1"/>
    <col min="3097" max="3097" width="5.6640625" style="152" customWidth="1"/>
    <col min="3098" max="3098" width="20.5546875" style="152" customWidth="1"/>
    <col min="3099" max="3099" width="15.44140625" style="152" customWidth="1"/>
    <col min="3100" max="3333" width="9.33203125" style="152"/>
    <col min="3334" max="3335" width="0" style="152" hidden="1" customWidth="1"/>
    <col min="3336" max="3336" width="7.5546875" style="152" customWidth="1"/>
    <col min="3337" max="3337" width="52.44140625" style="152" customWidth="1"/>
    <col min="3338" max="3338" width="41.33203125" style="152" customWidth="1"/>
    <col min="3339" max="3339" width="24.6640625" style="152" customWidth="1"/>
    <col min="3340" max="3340" width="26.6640625" style="152" customWidth="1"/>
    <col min="3341" max="3341" width="35.33203125" style="152" customWidth="1"/>
    <col min="3342" max="3342" width="19.5546875" style="152" customWidth="1"/>
    <col min="3343" max="3343" width="24.33203125" style="152" customWidth="1"/>
    <col min="3344" max="3344" width="14" style="152" customWidth="1"/>
    <col min="3345" max="3345" width="69.44140625" style="152" customWidth="1"/>
    <col min="3346" max="3348" width="16.33203125" style="152" customWidth="1"/>
    <col min="3349" max="3349" width="6.33203125" style="152" customWidth="1"/>
    <col min="3350" max="3350" width="10.33203125" style="152" customWidth="1"/>
    <col min="3351" max="3352" width="0.33203125" style="152" customWidth="1"/>
    <col min="3353" max="3353" width="5.6640625" style="152" customWidth="1"/>
    <col min="3354" max="3354" width="20.5546875" style="152" customWidth="1"/>
    <col min="3355" max="3355" width="15.44140625" style="152" customWidth="1"/>
    <col min="3356" max="3589" width="9.33203125" style="152"/>
    <col min="3590" max="3591" width="0" style="152" hidden="1" customWidth="1"/>
    <col min="3592" max="3592" width="7.5546875" style="152" customWidth="1"/>
    <col min="3593" max="3593" width="52.44140625" style="152" customWidth="1"/>
    <col min="3594" max="3594" width="41.33203125" style="152" customWidth="1"/>
    <col min="3595" max="3595" width="24.6640625" style="152" customWidth="1"/>
    <col min="3596" max="3596" width="26.6640625" style="152" customWidth="1"/>
    <col min="3597" max="3597" width="35.33203125" style="152" customWidth="1"/>
    <col min="3598" max="3598" width="19.5546875" style="152" customWidth="1"/>
    <col min="3599" max="3599" width="24.33203125" style="152" customWidth="1"/>
    <col min="3600" max="3600" width="14" style="152" customWidth="1"/>
    <col min="3601" max="3601" width="69.44140625" style="152" customWidth="1"/>
    <col min="3602" max="3604" width="16.33203125" style="152" customWidth="1"/>
    <col min="3605" max="3605" width="6.33203125" style="152" customWidth="1"/>
    <col min="3606" max="3606" width="10.33203125" style="152" customWidth="1"/>
    <col min="3607" max="3608" width="0.33203125" style="152" customWidth="1"/>
    <col min="3609" max="3609" width="5.6640625" style="152" customWidth="1"/>
    <col min="3610" max="3610" width="20.5546875" style="152" customWidth="1"/>
    <col min="3611" max="3611" width="15.44140625" style="152" customWidth="1"/>
    <col min="3612" max="3845" width="9.33203125" style="152"/>
    <col min="3846" max="3847" width="0" style="152" hidden="1" customWidth="1"/>
    <col min="3848" max="3848" width="7.5546875" style="152" customWidth="1"/>
    <col min="3849" max="3849" width="52.44140625" style="152" customWidth="1"/>
    <col min="3850" max="3850" width="41.33203125" style="152" customWidth="1"/>
    <col min="3851" max="3851" width="24.6640625" style="152" customWidth="1"/>
    <col min="3852" max="3852" width="26.6640625" style="152" customWidth="1"/>
    <col min="3853" max="3853" width="35.33203125" style="152" customWidth="1"/>
    <col min="3854" max="3854" width="19.5546875" style="152" customWidth="1"/>
    <col min="3855" max="3855" width="24.33203125" style="152" customWidth="1"/>
    <col min="3856" max="3856" width="14" style="152" customWidth="1"/>
    <col min="3857" max="3857" width="69.44140625" style="152" customWidth="1"/>
    <col min="3858" max="3860" width="16.33203125" style="152" customWidth="1"/>
    <col min="3861" max="3861" width="6.33203125" style="152" customWidth="1"/>
    <col min="3862" max="3862" width="10.33203125" style="152" customWidth="1"/>
    <col min="3863" max="3864" width="0.33203125" style="152" customWidth="1"/>
    <col min="3865" max="3865" width="5.6640625" style="152" customWidth="1"/>
    <col min="3866" max="3866" width="20.5546875" style="152" customWidth="1"/>
    <col min="3867" max="3867" width="15.44140625" style="152" customWidth="1"/>
    <col min="3868" max="4101" width="9.33203125" style="152"/>
    <col min="4102" max="4103" width="0" style="152" hidden="1" customWidth="1"/>
    <col min="4104" max="4104" width="7.5546875" style="152" customWidth="1"/>
    <col min="4105" max="4105" width="52.44140625" style="152" customWidth="1"/>
    <col min="4106" max="4106" width="41.33203125" style="152" customWidth="1"/>
    <col min="4107" max="4107" width="24.6640625" style="152" customWidth="1"/>
    <col min="4108" max="4108" width="26.6640625" style="152" customWidth="1"/>
    <col min="4109" max="4109" width="35.33203125" style="152" customWidth="1"/>
    <col min="4110" max="4110" width="19.5546875" style="152" customWidth="1"/>
    <col min="4111" max="4111" width="24.33203125" style="152" customWidth="1"/>
    <col min="4112" max="4112" width="14" style="152" customWidth="1"/>
    <col min="4113" max="4113" width="69.44140625" style="152" customWidth="1"/>
    <col min="4114" max="4116" width="16.33203125" style="152" customWidth="1"/>
    <col min="4117" max="4117" width="6.33203125" style="152" customWidth="1"/>
    <col min="4118" max="4118" width="10.33203125" style="152" customWidth="1"/>
    <col min="4119" max="4120" width="0.33203125" style="152" customWidth="1"/>
    <col min="4121" max="4121" width="5.6640625" style="152" customWidth="1"/>
    <col min="4122" max="4122" width="20.5546875" style="152" customWidth="1"/>
    <col min="4123" max="4123" width="15.44140625" style="152" customWidth="1"/>
    <col min="4124" max="4357" width="9.33203125" style="152"/>
    <col min="4358" max="4359" width="0" style="152" hidden="1" customWidth="1"/>
    <col min="4360" max="4360" width="7.5546875" style="152" customWidth="1"/>
    <col min="4361" max="4361" width="52.44140625" style="152" customWidth="1"/>
    <col min="4362" max="4362" width="41.33203125" style="152" customWidth="1"/>
    <col min="4363" max="4363" width="24.6640625" style="152" customWidth="1"/>
    <col min="4364" max="4364" width="26.6640625" style="152" customWidth="1"/>
    <col min="4365" max="4365" width="35.33203125" style="152" customWidth="1"/>
    <col min="4366" max="4366" width="19.5546875" style="152" customWidth="1"/>
    <col min="4367" max="4367" width="24.33203125" style="152" customWidth="1"/>
    <col min="4368" max="4368" width="14" style="152" customWidth="1"/>
    <col min="4369" max="4369" width="69.44140625" style="152" customWidth="1"/>
    <col min="4370" max="4372" width="16.33203125" style="152" customWidth="1"/>
    <col min="4373" max="4373" width="6.33203125" style="152" customWidth="1"/>
    <col min="4374" max="4374" width="10.33203125" style="152" customWidth="1"/>
    <col min="4375" max="4376" width="0.33203125" style="152" customWidth="1"/>
    <col min="4377" max="4377" width="5.6640625" style="152" customWidth="1"/>
    <col min="4378" max="4378" width="20.5546875" style="152" customWidth="1"/>
    <col min="4379" max="4379" width="15.44140625" style="152" customWidth="1"/>
    <col min="4380" max="4613" width="9.33203125" style="152"/>
    <col min="4614" max="4615" width="0" style="152" hidden="1" customWidth="1"/>
    <col min="4616" max="4616" width="7.5546875" style="152" customWidth="1"/>
    <col min="4617" max="4617" width="52.44140625" style="152" customWidth="1"/>
    <col min="4618" max="4618" width="41.33203125" style="152" customWidth="1"/>
    <col min="4619" max="4619" width="24.6640625" style="152" customWidth="1"/>
    <col min="4620" max="4620" width="26.6640625" style="152" customWidth="1"/>
    <col min="4621" max="4621" width="35.33203125" style="152" customWidth="1"/>
    <col min="4622" max="4622" width="19.5546875" style="152" customWidth="1"/>
    <col min="4623" max="4623" width="24.33203125" style="152" customWidth="1"/>
    <col min="4624" max="4624" width="14" style="152" customWidth="1"/>
    <col min="4625" max="4625" width="69.44140625" style="152" customWidth="1"/>
    <col min="4626" max="4628" width="16.33203125" style="152" customWidth="1"/>
    <col min="4629" max="4629" width="6.33203125" style="152" customWidth="1"/>
    <col min="4630" max="4630" width="10.33203125" style="152" customWidth="1"/>
    <col min="4631" max="4632" width="0.33203125" style="152" customWidth="1"/>
    <col min="4633" max="4633" width="5.6640625" style="152" customWidth="1"/>
    <col min="4634" max="4634" width="20.5546875" style="152" customWidth="1"/>
    <col min="4635" max="4635" width="15.44140625" style="152" customWidth="1"/>
    <col min="4636" max="4869" width="9.33203125" style="152"/>
    <col min="4870" max="4871" width="0" style="152" hidden="1" customWidth="1"/>
    <col min="4872" max="4872" width="7.5546875" style="152" customWidth="1"/>
    <col min="4873" max="4873" width="52.44140625" style="152" customWidth="1"/>
    <col min="4874" max="4874" width="41.33203125" style="152" customWidth="1"/>
    <col min="4875" max="4875" width="24.6640625" style="152" customWidth="1"/>
    <col min="4876" max="4876" width="26.6640625" style="152" customWidth="1"/>
    <col min="4877" max="4877" width="35.33203125" style="152" customWidth="1"/>
    <col min="4878" max="4878" width="19.5546875" style="152" customWidth="1"/>
    <col min="4879" max="4879" width="24.33203125" style="152" customWidth="1"/>
    <col min="4880" max="4880" width="14" style="152" customWidth="1"/>
    <col min="4881" max="4881" width="69.44140625" style="152" customWidth="1"/>
    <col min="4882" max="4884" width="16.33203125" style="152" customWidth="1"/>
    <col min="4885" max="4885" width="6.33203125" style="152" customWidth="1"/>
    <col min="4886" max="4886" width="10.33203125" style="152" customWidth="1"/>
    <col min="4887" max="4888" width="0.33203125" style="152" customWidth="1"/>
    <col min="4889" max="4889" width="5.6640625" style="152" customWidth="1"/>
    <col min="4890" max="4890" width="20.5546875" style="152" customWidth="1"/>
    <col min="4891" max="4891" width="15.44140625" style="152" customWidth="1"/>
    <col min="4892" max="5125" width="9.33203125" style="152"/>
    <col min="5126" max="5127" width="0" style="152" hidden="1" customWidth="1"/>
    <col min="5128" max="5128" width="7.5546875" style="152" customWidth="1"/>
    <col min="5129" max="5129" width="52.44140625" style="152" customWidth="1"/>
    <col min="5130" max="5130" width="41.33203125" style="152" customWidth="1"/>
    <col min="5131" max="5131" width="24.6640625" style="152" customWidth="1"/>
    <col min="5132" max="5132" width="26.6640625" style="152" customWidth="1"/>
    <col min="5133" max="5133" width="35.33203125" style="152" customWidth="1"/>
    <col min="5134" max="5134" width="19.5546875" style="152" customWidth="1"/>
    <col min="5135" max="5135" width="24.33203125" style="152" customWidth="1"/>
    <col min="5136" max="5136" width="14" style="152" customWidth="1"/>
    <col min="5137" max="5137" width="69.44140625" style="152" customWidth="1"/>
    <col min="5138" max="5140" width="16.33203125" style="152" customWidth="1"/>
    <col min="5141" max="5141" width="6.33203125" style="152" customWidth="1"/>
    <col min="5142" max="5142" width="10.33203125" style="152" customWidth="1"/>
    <col min="5143" max="5144" width="0.33203125" style="152" customWidth="1"/>
    <col min="5145" max="5145" width="5.6640625" style="152" customWidth="1"/>
    <col min="5146" max="5146" width="20.5546875" style="152" customWidth="1"/>
    <col min="5147" max="5147" width="15.44140625" style="152" customWidth="1"/>
    <col min="5148" max="5381" width="9.33203125" style="152"/>
    <col min="5382" max="5383" width="0" style="152" hidden="1" customWidth="1"/>
    <col min="5384" max="5384" width="7.5546875" style="152" customWidth="1"/>
    <col min="5385" max="5385" width="52.44140625" style="152" customWidth="1"/>
    <col min="5386" max="5386" width="41.33203125" style="152" customWidth="1"/>
    <col min="5387" max="5387" width="24.6640625" style="152" customWidth="1"/>
    <col min="5388" max="5388" width="26.6640625" style="152" customWidth="1"/>
    <col min="5389" max="5389" width="35.33203125" style="152" customWidth="1"/>
    <col min="5390" max="5390" width="19.5546875" style="152" customWidth="1"/>
    <col min="5391" max="5391" width="24.33203125" style="152" customWidth="1"/>
    <col min="5392" max="5392" width="14" style="152" customWidth="1"/>
    <col min="5393" max="5393" width="69.44140625" style="152" customWidth="1"/>
    <col min="5394" max="5396" width="16.33203125" style="152" customWidth="1"/>
    <col min="5397" max="5397" width="6.33203125" style="152" customWidth="1"/>
    <col min="5398" max="5398" width="10.33203125" style="152" customWidth="1"/>
    <col min="5399" max="5400" width="0.33203125" style="152" customWidth="1"/>
    <col min="5401" max="5401" width="5.6640625" style="152" customWidth="1"/>
    <col min="5402" max="5402" width="20.5546875" style="152" customWidth="1"/>
    <col min="5403" max="5403" width="15.44140625" style="152" customWidth="1"/>
    <col min="5404" max="5637" width="9.33203125" style="152"/>
    <col min="5638" max="5639" width="0" style="152" hidden="1" customWidth="1"/>
    <col min="5640" max="5640" width="7.5546875" style="152" customWidth="1"/>
    <col min="5641" max="5641" width="52.44140625" style="152" customWidth="1"/>
    <col min="5642" max="5642" width="41.33203125" style="152" customWidth="1"/>
    <col min="5643" max="5643" width="24.6640625" style="152" customWidth="1"/>
    <col min="5644" max="5644" width="26.6640625" style="152" customWidth="1"/>
    <col min="5645" max="5645" width="35.33203125" style="152" customWidth="1"/>
    <col min="5646" max="5646" width="19.5546875" style="152" customWidth="1"/>
    <col min="5647" max="5647" width="24.33203125" style="152" customWidth="1"/>
    <col min="5648" max="5648" width="14" style="152" customWidth="1"/>
    <col min="5649" max="5649" width="69.44140625" style="152" customWidth="1"/>
    <col min="5650" max="5652" width="16.33203125" style="152" customWidth="1"/>
    <col min="5653" max="5653" width="6.33203125" style="152" customWidth="1"/>
    <col min="5654" max="5654" width="10.33203125" style="152" customWidth="1"/>
    <col min="5655" max="5656" width="0.33203125" style="152" customWidth="1"/>
    <col min="5657" max="5657" width="5.6640625" style="152" customWidth="1"/>
    <col min="5658" max="5658" width="20.5546875" style="152" customWidth="1"/>
    <col min="5659" max="5659" width="15.44140625" style="152" customWidth="1"/>
    <col min="5660" max="5893" width="9.33203125" style="152"/>
    <col min="5894" max="5895" width="0" style="152" hidden="1" customWidth="1"/>
    <col min="5896" max="5896" width="7.5546875" style="152" customWidth="1"/>
    <col min="5897" max="5897" width="52.44140625" style="152" customWidth="1"/>
    <col min="5898" max="5898" width="41.33203125" style="152" customWidth="1"/>
    <col min="5899" max="5899" width="24.6640625" style="152" customWidth="1"/>
    <col min="5900" max="5900" width="26.6640625" style="152" customWidth="1"/>
    <col min="5901" max="5901" width="35.33203125" style="152" customWidth="1"/>
    <col min="5902" max="5902" width="19.5546875" style="152" customWidth="1"/>
    <col min="5903" max="5903" width="24.33203125" style="152" customWidth="1"/>
    <col min="5904" max="5904" width="14" style="152" customWidth="1"/>
    <col min="5905" max="5905" width="69.44140625" style="152" customWidth="1"/>
    <col min="5906" max="5908" width="16.33203125" style="152" customWidth="1"/>
    <col min="5909" max="5909" width="6.33203125" style="152" customWidth="1"/>
    <col min="5910" max="5910" width="10.33203125" style="152" customWidth="1"/>
    <col min="5911" max="5912" width="0.33203125" style="152" customWidth="1"/>
    <col min="5913" max="5913" width="5.6640625" style="152" customWidth="1"/>
    <col min="5914" max="5914" width="20.5546875" style="152" customWidth="1"/>
    <col min="5915" max="5915" width="15.44140625" style="152" customWidth="1"/>
    <col min="5916" max="6149" width="9.33203125" style="152"/>
    <col min="6150" max="6151" width="0" style="152" hidden="1" customWidth="1"/>
    <col min="6152" max="6152" width="7.5546875" style="152" customWidth="1"/>
    <col min="6153" max="6153" width="52.44140625" style="152" customWidth="1"/>
    <col min="6154" max="6154" width="41.33203125" style="152" customWidth="1"/>
    <col min="6155" max="6155" width="24.6640625" style="152" customWidth="1"/>
    <col min="6156" max="6156" width="26.6640625" style="152" customWidth="1"/>
    <col min="6157" max="6157" width="35.33203125" style="152" customWidth="1"/>
    <col min="6158" max="6158" width="19.5546875" style="152" customWidth="1"/>
    <col min="6159" max="6159" width="24.33203125" style="152" customWidth="1"/>
    <col min="6160" max="6160" width="14" style="152" customWidth="1"/>
    <col min="6161" max="6161" width="69.44140625" style="152" customWidth="1"/>
    <col min="6162" max="6164" width="16.33203125" style="152" customWidth="1"/>
    <col min="6165" max="6165" width="6.33203125" style="152" customWidth="1"/>
    <col min="6166" max="6166" width="10.33203125" style="152" customWidth="1"/>
    <col min="6167" max="6168" width="0.33203125" style="152" customWidth="1"/>
    <col min="6169" max="6169" width="5.6640625" style="152" customWidth="1"/>
    <col min="6170" max="6170" width="20.5546875" style="152" customWidth="1"/>
    <col min="6171" max="6171" width="15.44140625" style="152" customWidth="1"/>
    <col min="6172" max="6405" width="9.33203125" style="152"/>
    <col min="6406" max="6407" width="0" style="152" hidden="1" customWidth="1"/>
    <col min="6408" max="6408" width="7.5546875" style="152" customWidth="1"/>
    <col min="6409" max="6409" width="52.44140625" style="152" customWidth="1"/>
    <col min="6410" max="6410" width="41.33203125" style="152" customWidth="1"/>
    <col min="6411" max="6411" width="24.6640625" style="152" customWidth="1"/>
    <col min="6412" max="6412" width="26.6640625" style="152" customWidth="1"/>
    <col min="6413" max="6413" width="35.33203125" style="152" customWidth="1"/>
    <col min="6414" max="6414" width="19.5546875" style="152" customWidth="1"/>
    <col min="6415" max="6415" width="24.33203125" style="152" customWidth="1"/>
    <col min="6416" max="6416" width="14" style="152" customWidth="1"/>
    <col min="6417" max="6417" width="69.44140625" style="152" customWidth="1"/>
    <col min="6418" max="6420" width="16.33203125" style="152" customWidth="1"/>
    <col min="6421" max="6421" width="6.33203125" style="152" customWidth="1"/>
    <col min="6422" max="6422" width="10.33203125" style="152" customWidth="1"/>
    <col min="6423" max="6424" width="0.33203125" style="152" customWidth="1"/>
    <col min="6425" max="6425" width="5.6640625" style="152" customWidth="1"/>
    <col min="6426" max="6426" width="20.5546875" style="152" customWidth="1"/>
    <col min="6427" max="6427" width="15.44140625" style="152" customWidth="1"/>
    <col min="6428" max="6661" width="9.33203125" style="152"/>
    <col min="6662" max="6663" width="0" style="152" hidden="1" customWidth="1"/>
    <col min="6664" max="6664" width="7.5546875" style="152" customWidth="1"/>
    <col min="6665" max="6665" width="52.44140625" style="152" customWidth="1"/>
    <col min="6666" max="6666" width="41.33203125" style="152" customWidth="1"/>
    <col min="6667" max="6667" width="24.6640625" style="152" customWidth="1"/>
    <col min="6668" max="6668" width="26.6640625" style="152" customWidth="1"/>
    <col min="6669" max="6669" width="35.33203125" style="152" customWidth="1"/>
    <col min="6670" max="6670" width="19.5546875" style="152" customWidth="1"/>
    <col min="6671" max="6671" width="24.33203125" style="152" customWidth="1"/>
    <col min="6672" max="6672" width="14" style="152" customWidth="1"/>
    <col min="6673" max="6673" width="69.44140625" style="152" customWidth="1"/>
    <col min="6674" max="6676" width="16.33203125" style="152" customWidth="1"/>
    <col min="6677" max="6677" width="6.33203125" style="152" customWidth="1"/>
    <col min="6678" max="6678" width="10.33203125" style="152" customWidth="1"/>
    <col min="6679" max="6680" width="0.33203125" style="152" customWidth="1"/>
    <col min="6681" max="6681" width="5.6640625" style="152" customWidth="1"/>
    <col min="6682" max="6682" width="20.5546875" style="152" customWidth="1"/>
    <col min="6683" max="6683" width="15.44140625" style="152" customWidth="1"/>
    <col min="6684" max="6917" width="9.33203125" style="152"/>
    <col min="6918" max="6919" width="0" style="152" hidden="1" customWidth="1"/>
    <col min="6920" max="6920" width="7.5546875" style="152" customWidth="1"/>
    <col min="6921" max="6921" width="52.44140625" style="152" customWidth="1"/>
    <col min="6922" max="6922" width="41.33203125" style="152" customWidth="1"/>
    <col min="6923" max="6923" width="24.6640625" style="152" customWidth="1"/>
    <col min="6924" max="6924" width="26.6640625" style="152" customWidth="1"/>
    <col min="6925" max="6925" width="35.33203125" style="152" customWidth="1"/>
    <col min="6926" max="6926" width="19.5546875" style="152" customWidth="1"/>
    <col min="6927" max="6927" width="24.33203125" style="152" customWidth="1"/>
    <col min="6928" max="6928" width="14" style="152" customWidth="1"/>
    <col min="6929" max="6929" width="69.44140625" style="152" customWidth="1"/>
    <col min="6930" max="6932" width="16.33203125" style="152" customWidth="1"/>
    <col min="6933" max="6933" width="6.33203125" style="152" customWidth="1"/>
    <col min="6934" max="6934" width="10.33203125" style="152" customWidth="1"/>
    <col min="6935" max="6936" width="0.33203125" style="152" customWidth="1"/>
    <col min="6937" max="6937" width="5.6640625" style="152" customWidth="1"/>
    <col min="6938" max="6938" width="20.5546875" style="152" customWidth="1"/>
    <col min="6939" max="6939" width="15.44140625" style="152" customWidth="1"/>
    <col min="6940" max="7173" width="9.33203125" style="152"/>
    <col min="7174" max="7175" width="0" style="152" hidden="1" customWidth="1"/>
    <col min="7176" max="7176" width="7.5546875" style="152" customWidth="1"/>
    <col min="7177" max="7177" width="52.44140625" style="152" customWidth="1"/>
    <col min="7178" max="7178" width="41.33203125" style="152" customWidth="1"/>
    <col min="7179" max="7179" width="24.6640625" style="152" customWidth="1"/>
    <col min="7180" max="7180" width="26.6640625" style="152" customWidth="1"/>
    <col min="7181" max="7181" width="35.33203125" style="152" customWidth="1"/>
    <col min="7182" max="7182" width="19.5546875" style="152" customWidth="1"/>
    <col min="7183" max="7183" width="24.33203125" style="152" customWidth="1"/>
    <col min="7184" max="7184" width="14" style="152" customWidth="1"/>
    <col min="7185" max="7185" width="69.44140625" style="152" customWidth="1"/>
    <col min="7186" max="7188" width="16.33203125" style="152" customWidth="1"/>
    <col min="7189" max="7189" width="6.33203125" style="152" customWidth="1"/>
    <col min="7190" max="7190" width="10.33203125" style="152" customWidth="1"/>
    <col min="7191" max="7192" width="0.33203125" style="152" customWidth="1"/>
    <col min="7193" max="7193" width="5.6640625" style="152" customWidth="1"/>
    <col min="7194" max="7194" width="20.5546875" style="152" customWidth="1"/>
    <col min="7195" max="7195" width="15.44140625" style="152" customWidth="1"/>
    <col min="7196" max="7429" width="9.33203125" style="152"/>
    <col min="7430" max="7431" width="0" style="152" hidden="1" customWidth="1"/>
    <col min="7432" max="7432" width="7.5546875" style="152" customWidth="1"/>
    <col min="7433" max="7433" width="52.44140625" style="152" customWidth="1"/>
    <col min="7434" max="7434" width="41.33203125" style="152" customWidth="1"/>
    <col min="7435" max="7435" width="24.6640625" style="152" customWidth="1"/>
    <col min="7436" max="7436" width="26.6640625" style="152" customWidth="1"/>
    <col min="7437" max="7437" width="35.33203125" style="152" customWidth="1"/>
    <col min="7438" max="7438" width="19.5546875" style="152" customWidth="1"/>
    <col min="7439" max="7439" width="24.33203125" style="152" customWidth="1"/>
    <col min="7440" max="7440" width="14" style="152" customWidth="1"/>
    <col min="7441" max="7441" width="69.44140625" style="152" customWidth="1"/>
    <col min="7442" max="7444" width="16.33203125" style="152" customWidth="1"/>
    <col min="7445" max="7445" width="6.33203125" style="152" customWidth="1"/>
    <col min="7446" max="7446" width="10.33203125" style="152" customWidth="1"/>
    <col min="7447" max="7448" width="0.33203125" style="152" customWidth="1"/>
    <col min="7449" max="7449" width="5.6640625" style="152" customWidth="1"/>
    <col min="7450" max="7450" width="20.5546875" style="152" customWidth="1"/>
    <col min="7451" max="7451" width="15.44140625" style="152" customWidth="1"/>
    <col min="7452" max="7685" width="9.33203125" style="152"/>
    <col min="7686" max="7687" width="0" style="152" hidden="1" customWidth="1"/>
    <col min="7688" max="7688" width="7.5546875" style="152" customWidth="1"/>
    <col min="7689" max="7689" width="52.44140625" style="152" customWidth="1"/>
    <col min="7690" max="7690" width="41.33203125" style="152" customWidth="1"/>
    <col min="7691" max="7691" width="24.6640625" style="152" customWidth="1"/>
    <col min="7692" max="7692" width="26.6640625" style="152" customWidth="1"/>
    <col min="7693" max="7693" width="35.33203125" style="152" customWidth="1"/>
    <col min="7694" max="7694" width="19.5546875" style="152" customWidth="1"/>
    <col min="7695" max="7695" width="24.33203125" style="152" customWidth="1"/>
    <col min="7696" max="7696" width="14" style="152" customWidth="1"/>
    <col min="7697" max="7697" width="69.44140625" style="152" customWidth="1"/>
    <col min="7698" max="7700" width="16.33203125" style="152" customWidth="1"/>
    <col min="7701" max="7701" width="6.33203125" style="152" customWidth="1"/>
    <col min="7702" max="7702" width="10.33203125" style="152" customWidth="1"/>
    <col min="7703" max="7704" width="0.33203125" style="152" customWidth="1"/>
    <col min="7705" max="7705" width="5.6640625" style="152" customWidth="1"/>
    <col min="7706" max="7706" width="20.5546875" style="152" customWidth="1"/>
    <col min="7707" max="7707" width="15.44140625" style="152" customWidth="1"/>
    <col min="7708" max="7941" width="9.33203125" style="152"/>
    <col min="7942" max="7943" width="0" style="152" hidden="1" customWidth="1"/>
    <col min="7944" max="7944" width="7.5546875" style="152" customWidth="1"/>
    <col min="7945" max="7945" width="52.44140625" style="152" customWidth="1"/>
    <col min="7946" max="7946" width="41.33203125" style="152" customWidth="1"/>
    <col min="7947" max="7947" width="24.6640625" style="152" customWidth="1"/>
    <col min="7948" max="7948" width="26.6640625" style="152" customWidth="1"/>
    <col min="7949" max="7949" width="35.33203125" style="152" customWidth="1"/>
    <col min="7950" max="7950" width="19.5546875" style="152" customWidth="1"/>
    <col min="7951" max="7951" width="24.33203125" style="152" customWidth="1"/>
    <col min="7952" max="7952" width="14" style="152" customWidth="1"/>
    <col min="7953" max="7953" width="69.44140625" style="152" customWidth="1"/>
    <col min="7954" max="7956" width="16.33203125" style="152" customWidth="1"/>
    <col min="7957" max="7957" width="6.33203125" style="152" customWidth="1"/>
    <col min="7958" max="7958" width="10.33203125" style="152" customWidth="1"/>
    <col min="7959" max="7960" width="0.33203125" style="152" customWidth="1"/>
    <col min="7961" max="7961" width="5.6640625" style="152" customWidth="1"/>
    <col min="7962" max="7962" width="20.5546875" style="152" customWidth="1"/>
    <col min="7963" max="7963" width="15.44140625" style="152" customWidth="1"/>
    <col min="7964" max="8197" width="9.33203125" style="152"/>
    <col min="8198" max="8199" width="0" style="152" hidden="1" customWidth="1"/>
    <col min="8200" max="8200" width="7.5546875" style="152" customWidth="1"/>
    <col min="8201" max="8201" width="52.44140625" style="152" customWidth="1"/>
    <col min="8202" max="8202" width="41.33203125" style="152" customWidth="1"/>
    <col min="8203" max="8203" width="24.6640625" style="152" customWidth="1"/>
    <col min="8204" max="8204" width="26.6640625" style="152" customWidth="1"/>
    <col min="8205" max="8205" width="35.33203125" style="152" customWidth="1"/>
    <col min="8206" max="8206" width="19.5546875" style="152" customWidth="1"/>
    <col min="8207" max="8207" width="24.33203125" style="152" customWidth="1"/>
    <col min="8208" max="8208" width="14" style="152" customWidth="1"/>
    <col min="8209" max="8209" width="69.44140625" style="152" customWidth="1"/>
    <col min="8210" max="8212" width="16.33203125" style="152" customWidth="1"/>
    <col min="8213" max="8213" width="6.33203125" style="152" customWidth="1"/>
    <col min="8214" max="8214" width="10.33203125" style="152" customWidth="1"/>
    <col min="8215" max="8216" width="0.33203125" style="152" customWidth="1"/>
    <col min="8217" max="8217" width="5.6640625" style="152" customWidth="1"/>
    <col min="8218" max="8218" width="20.5546875" style="152" customWidth="1"/>
    <col min="8219" max="8219" width="15.44140625" style="152" customWidth="1"/>
    <col min="8220" max="8453" width="9.33203125" style="152"/>
    <col min="8454" max="8455" width="0" style="152" hidden="1" customWidth="1"/>
    <col min="8456" max="8456" width="7.5546875" style="152" customWidth="1"/>
    <col min="8457" max="8457" width="52.44140625" style="152" customWidth="1"/>
    <col min="8458" max="8458" width="41.33203125" style="152" customWidth="1"/>
    <col min="8459" max="8459" width="24.6640625" style="152" customWidth="1"/>
    <col min="8460" max="8460" width="26.6640625" style="152" customWidth="1"/>
    <col min="8461" max="8461" width="35.33203125" style="152" customWidth="1"/>
    <col min="8462" max="8462" width="19.5546875" style="152" customWidth="1"/>
    <col min="8463" max="8463" width="24.33203125" style="152" customWidth="1"/>
    <col min="8464" max="8464" width="14" style="152" customWidth="1"/>
    <col min="8465" max="8465" width="69.44140625" style="152" customWidth="1"/>
    <col min="8466" max="8468" width="16.33203125" style="152" customWidth="1"/>
    <col min="8469" max="8469" width="6.33203125" style="152" customWidth="1"/>
    <col min="8470" max="8470" width="10.33203125" style="152" customWidth="1"/>
    <col min="8471" max="8472" width="0.33203125" style="152" customWidth="1"/>
    <col min="8473" max="8473" width="5.6640625" style="152" customWidth="1"/>
    <col min="8474" max="8474" width="20.5546875" style="152" customWidth="1"/>
    <col min="8475" max="8475" width="15.44140625" style="152" customWidth="1"/>
    <col min="8476" max="8709" width="9.33203125" style="152"/>
    <col min="8710" max="8711" width="0" style="152" hidden="1" customWidth="1"/>
    <col min="8712" max="8712" width="7.5546875" style="152" customWidth="1"/>
    <col min="8713" max="8713" width="52.44140625" style="152" customWidth="1"/>
    <col min="8714" max="8714" width="41.33203125" style="152" customWidth="1"/>
    <col min="8715" max="8715" width="24.6640625" style="152" customWidth="1"/>
    <col min="8716" max="8716" width="26.6640625" style="152" customWidth="1"/>
    <col min="8717" max="8717" width="35.33203125" style="152" customWidth="1"/>
    <col min="8718" max="8718" width="19.5546875" style="152" customWidth="1"/>
    <col min="8719" max="8719" width="24.33203125" style="152" customWidth="1"/>
    <col min="8720" max="8720" width="14" style="152" customWidth="1"/>
    <col min="8721" max="8721" width="69.44140625" style="152" customWidth="1"/>
    <col min="8722" max="8724" width="16.33203125" style="152" customWidth="1"/>
    <col min="8725" max="8725" width="6.33203125" style="152" customWidth="1"/>
    <col min="8726" max="8726" width="10.33203125" style="152" customWidth="1"/>
    <col min="8727" max="8728" width="0.33203125" style="152" customWidth="1"/>
    <col min="8729" max="8729" width="5.6640625" style="152" customWidth="1"/>
    <col min="8730" max="8730" width="20.5546875" style="152" customWidth="1"/>
    <col min="8731" max="8731" width="15.44140625" style="152" customWidth="1"/>
    <col min="8732" max="8965" width="9.33203125" style="152"/>
    <col min="8966" max="8967" width="0" style="152" hidden="1" customWidth="1"/>
    <col min="8968" max="8968" width="7.5546875" style="152" customWidth="1"/>
    <col min="8969" max="8969" width="52.44140625" style="152" customWidth="1"/>
    <col min="8970" max="8970" width="41.33203125" style="152" customWidth="1"/>
    <col min="8971" max="8971" width="24.6640625" style="152" customWidth="1"/>
    <col min="8972" max="8972" width="26.6640625" style="152" customWidth="1"/>
    <col min="8973" max="8973" width="35.33203125" style="152" customWidth="1"/>
    <col min="8974" max="8974" width="19.5546875" style="152" customWidth="1"/>
    <col min="8975" max="8975" width="24.33203125" style="152" customWidth="1"/>
    <col min="8976" max="8976" width="14" style="152" customWidth="1"/>
    <col min="8977" max="8977" width="69.44140625" style="152" customWidth="1"/>
    <col min="8978" max="8980" width="16.33203125" style="152" customWidth="1"/>
    <col min="8981" max="8981" width="6.33203125" style="152" customWidth="1"/>
    <col min="8982" max="8982" width="10.33203125" style="152" customWidth="1"/>
    <col min="8983" max="8984" width="0.33203125" style="152" customWidth="1"/>
    <col min="8985" max="8985" width="5.6640625" style="152" customWidth="1"/>
    <col min="8986" max="8986" width="20.5546875" style="152" customWidth="1"/>
    <col min="8987" max="8987" width="15.44140625" style="152" customWidth="1"/>
    <col min="8988" max="9221" width="9.33203125" style="152"/>
    <col min="9222" max="9223" width="0" style="152" hidden="1" customWidth="1"/>
    <col min="9224" max="9224" width="7.5546875" style="152" customWidth="1"/>
    <col min="9225" max="9225" width="52.44140625" style="152" customWidth="1"/>
    <col min="9226" max="9226" width="41.33203125" style="152" customWidth="1"/>
    <col min="9227" max="9227" width="24.6640625" style="152" customWidth="1"/>
    <col min="9228" max="9228" width="26.6640625" style="152" customWidth="1"/>
    <col min="9229" max="9229" width="35.33203125" style="152" customWidth="1"/>
    <col min="9230" max="9230" width="19.5546875" style="152" customWidth="1"/>
    <col min="9231" max="9231" width="24.33203125" style="152" customWidth="1"/>
    <col min="9232" max="9232" width="14" style="152" customWidth="1"/>
    <col min="9233" max="9233" width="69.44140625" style="152" customWidth="1"/>
    <col min="9234" max="9236" width="16.33203125" style="152" customWidth="1"/>
    <col min="9237" max="9237" width="6.33203125" style="152" customWidth="1"/>
    <col min="9238" max="9238" width="10.33203125" style="152" customWidth="1"/>
    <col min="9239" max="9240" width="0.33203125" style="152" customWidth="1"/>
    <col min="9241" max="9241" width="5.6640625" style="152" customWidth="1"/>
    <col min="9242" max="9242" width="20.5546875" style="152" customWidth="1"/>
    <col min="9243" max="9243" width="15.44140625" style="152" customWidth="1"/>
    <col min="9244" max="9477" width="9.33203125" style="152"/>
    <col min="9478" max="9479" width="0" style="152" hidden="1" customWidth="1"/>
    <col min="9480" max="9480" width="7.5546875" style="152" customWidth="1"/>
    <col min="9481" max="9481" width="52.44140625" style="152" customWidth="1"/>
    <col min="9482" max="9482" width="41.33203125" style="152" customWidth="1"/>
    <col min="9483" max="9483" width="24.6640625" style="152" customWidth="1"/>
    <col min="9484" max="9484" width="26.6640625" style="152" customWidth="1"/>
    <col min="9485" max="9485" width="35.33203125" style="152" customWidth="1"/>
    <col min="9486" max="9486" width="19.5546875" style="152" customWidth="1"/>
    <col min="9487" max="9487" width="24.33203125" style="152" customWidth="1"/>
    <col min="9488" max="9488" width="14" style="152" customWidth="1"/>
    <col min="9489" max="9489" width="69.44140625" style="152" customWidth="1"/>
    <col min="9490" max="9492" width="16.33203125" style="152" customWidth="1"/>
    <col min="9493" max="9493" width="6.33203125" style="152" customWidth="1"/>
    <col min="9494" max="9494" width="10.33203125" style="152" customWidth="1"/>
    <col min="9495" max="9496" width="0.33203125" style="152" customWidth="1"/>
    <col min="9497" max="9497" width="5.6640625" style="152" customWidth="1"/>
    <col min="9498" max="9498" width="20.5546875" style="152" customWidth="1"/>
    <col min="9499" max="9499" width="15.44140625" style="152" customWidth="1"/>
    <col min="9500" max="9733" width="9.33203125" style="152"/>
    <col min="9734" max="9735" width="0" style="152" hidden="1" customWidth="1"/>
    <col min="9736" max="9736" width="7.5546875" style="152" customWidth="1"/>
    <col min="9737" max="9737" width="52.44140625" style="152" customWidth="1"/>
    <col min="9738" max="9738" width="41.33203125" style="152" customWidth="1"/>
    <col min="9739" max="9739" width="24.6640625" style="152" customWidth="1"/>
    <col min="9740" max="9740" width="26.6640625" style="152" customWidth="1"/>
    <col min="9741" max="9741" width="35.33203125" style="152" customWidth="1"/>
    <col min="9742" max="9742" width="19.5546875" style="152" customWidth="1"/>
    <col min="9743" max="9743" width="24.33203125" style="152" customWidth="1"/>
    <col min="9744" max="9744" width="14" style="152" customWidth="1"/>
    <col min="9745" max="9745" width="69.44140625" style="152" customWidth="1"/>
    <col min="9746" max="9748" width="16.33203125" style="152" customWidth="1"/>
    <col min="9749" max="9749" width="6.33203125" style="152" customWidth="1"/>
    <col min="9750" max="9750" width="10.33203125" style="152" customWidth="1"/>
    <col min="9751" max="9752" width="0.33203125" style="152" customWidth="1"/>
    <col min="9753" max="9753" width="5.6640625" style="152" customWidth="1"/>
    <col min="9754" max="9754" width="20.5546875" style="152" customWidth="1"/>
    <col min="9755" max="9755" width="15.44140625" style="152" customWidth="1"/>
    <col min="9756" max="9989" width="9.33203125" style="152"/>
    <col min="9990" max="9991" width="0" style="152" hidden="1" customWidth="1"/>
    <col min="9992" max="9992" width="7.5546875" style="152" customWidth="1"/>
    <col min="9993" max="9993" width="52.44140625" style="152" customWidth="1"/>
    <col min="9994" max="9994" width="41.33203125" style="152" customWidth="1"/>
    <col min="9995" max="9995" width="24.6640625" style="152" customWidth="1"/>
    <col min="9996" max="9996" width="26.6640625" style="152" customWidth="1"/>
    <col min="9997" max="9997" width="35.33203125" style="152" customWidth="1"/>
    <col min="9998" max="9998" width="19.5546875" style="152" customWidth="1"/>
    <col min="9999" max="9999" width="24.33203125" style="152" customWidth="1"/>
    <col min="10000" max="10000" width="14" style="152" customWidth="1"/>
    <col min="10001" max="10001" width="69.44140625" style="152" customWidth="1"/>
    <col min="10002" max="10004" width="16.33203125" style="152" customWidth="1"/>
    <col min="10005" max="10005" width="6.33203125" style="152" customWidth="1"/>
    <col min="10006" max="10006" width="10.33203125" style="152" customWidth="1"/>
    <col min="10007" max="10008" width="0.33203125" style="152" customWidth="1"/>
    <col min="10009" max="10009" width="5.6640625" style="152" customWidth="1"/>
    <col min="10010" max="10010" width="20.5546875" style="152" customWidth="1"/>
    <col min="10011" max="10011" width="15.44140625" style="152" customWidth="1"/>
    <col min="10012" max="10245" width="9.33203125" style="152"/>
    <col min="10246" max="10247" width="0" style="152" hidden="1" customWidth="1"/>
    <col min="10248" max="10248" width="7.5546875" style="152" customWidth="1"/>
    <col min="10249" max="10249" width="52.44140625" style="152" customWidth="1"/>
    <col min="10250" max="10250" width="41.33203125" style="152" customWidth="1"/>
    <col min="10251" max="10251" width="24.6640625" style="152" customWidth="1"/>
    <col min="10252" max="10252" width="26.6640625" style="152" customWidth="1"/>
    <col min="10253" max="10253" width="35.33203125" style="152" customWidth="1"/>
    <col min="10254" max="10254" width="19.5546875" style="152" customWidth="1"/>
    <col min="10255" max="10255" width="24.33203125" style="152" customWidth="1"/>
    <col min="10256" max="10256" width="14" style="152" customWidth="1"/>
    <col min="10257" max="10257" width="69.44140625" style="152" customWidth="1"/>
    <col min="10258" max="10260" width="16.33203125" style="152" customWidth="1"/>
    <col min="10261" max="10261" width="6.33203125" style="152" customWidth="1"/>
    <col min="10262" max="10262" width="10.33203125" style="152" customWidth="1"/>
    <col min="10263" max="10264" width="0.33203125" style="152" customWidth="1"/>
    <col min="10265" max="10265" width="5.6640625" style="152" customWidth="1"/>
    <col min="10266" max="10266" width="20.5546875" style="152" customWidth="1"/>
    <col min="10267" max="10267" width="15.44140625" style="152" customWidth="1"/>
    <col min="10268" max="10501" width="9.33203125" style="152"/>
    <col min="10502" max="10503" width="0" style="152" hidden="1" customWidth="1"/>
    <col min="10504" max="10504" width="7.5546875" style="152" customWidth="1"/>
    <col min="10505" max="10505" width="52.44140625" style="152" customWidth="1"/>
    <col min="10506" max="10506" width="41.33203125" style="152" customWidth="1"/>
    <col min="10507" max="10507" width="24.6640625" style="152" customWidth="1"/>
    <col min="10508" max="10508" width="26.6640625" style="152" customWidth="1"/>
    <col min="10509" max="10509" width="35.33203125" style="152" customWidth="1"/>
    <col min="10510" max="10510" width="19.5546875" style="152" customWidth="1"/>
    <col min="10511" max="10511" width="24.33203125" style="152" customWidth="1"/>
    <col min="10512" max="10512" width="14" style="152" customWidth="1"/>
    <col min="10513" max="10513" width="69.44140625" style="152" customWidth="1"/>
    <col min="10514" max="10516" width="16.33203125" style="152" customWidth="1"/>
    <col min="10517" max="10517" width="6.33203125" style="152" customWidth="1"/>
    <col min="10518" max="10518" width="10.33203125" style="152" customWidth="1"/>
    <col min="10519" max="10520" width="0.33203125" style="152" customWidth="1"/>
    <col min="10521" max="10521" width="5.6640625" style="152" customWidth="1"/>
    <col min="10522" max="10522" width="20.5546875" style="152" customWidth="1"/>
    <col min="10523" max="10523" width="15.44140625" style="152" customWidth="1"/>
    <col min="10524" max="10757" width="9.33203125" style="152"/>
    <col min="10758" max="10759" width="0" style="152" hidden="1" customWidth="1"/>
    <col min="10760" max="10760" width="7.5546875" style="152" customWidth="1"/>
    <col min="10761" max="10761" width="52.44140625" style="152" customWidth="1"/>
    <col min="10762" max="10762" width="41.33203125" style="152" customWidth="1"/>
    <col min="10763" max="10763" width="24.6640625" style="152" customWidth="1"/>
    <col min="10764" max="10764" width="26.6640625" style="152" customWidth="1"/>
    <col min="10765" max="10765" width="35.33203125" style="152" customWidth="1"/>
    <col min="10766" max="10766" width="19.5546875" style="152" customWidth="1"/>
    <col min="10767" max="10767" width="24.33203125" style="152" customWidth="1"/>
    <col min="10768" max="10768" width="14" style="152" customWidth="1"/>
    <col min="10769" max="10769" width="69.44140625" style="152" customWidth="1"/>
    <col min="10770" max="10772" width="16.33203125" style="152" customWidth="1"/>
    <col min="10773" max="10773" width="6.33203125" style="152" customWidth="1"/>
    <col min="10774" max="10774" width="10.33203125" style="152" customWidth="1"/>
    <col min="10775" max="10776" width="0.33203125" style="152" customWidth="1"/>
    <col min="10777" max="10777" width="5.6640625" style="152" customWidth="1"/>
    <col min="10778" max="10778" width="20.5546875" style="152" customWidth="1"/>
    <col min="10779" max="10779" width="15.44140625" style="152" customWidth="1"/>
    <col min="10780" max="11013" width="9.33203125" style="152"/>
    <col min="11014" max="11015" width="0" style="152" hidden="1" customWidth="1"/>
    <col min="11016" max="11016" width="7.5546875" style="152" customWidth="1"/>
    <col min="11017" max="11017" width="52.44140625" style="152" customWidth="1"/>
    <col min="11018" max="11018" width="41.33203125" style="152" customWidth="1"/>
    <col min="11019" max="11019" width="24.6640625" style="152" customWidth="1"/>
    <col min="11020" max="11020" width="26.6640625" style="152" customWidth="1"/>
    <col min="11021" max="11021" width="35.33203125" style="152" customWidth="1"/>
    <col min="11022" max="11022" width="19.5546875" style="152" customWidth="1"/>
    <col min="11023" max="11023" width="24.33203125" style="152" customWidth="1"/>
    <col min="11024" max="11024" width="14" style="152" customWidth="1"/>
    <col min="11025" max="11025" width="69.44140625" style="152" customWidth="1"/>
    <col min="11026" max="11028" width="16.33203125" style="152" customWidth="1"/>
    <col min="11029" max="11029" width="6.33203125" style="152" customWidth="1"/>
    <col min="11030" max="11030" width="10.33203125" style="152" customWidth="1"/>
    <col min="11031" max="11032" width="0.33203125" style="152" customWidth="1"/>
    <col min="11033" max="11033" width="5.6640625" style="152" customWidth="1"/>
    <col min="11034" max="11034" width="20.5546875" style="152" customWidth="1"/>
    <col min="11035" max="11035" width="15.44140625" style="152" customWidth="1"/>
    <col min="11036" max="11269" width="9.33203125" style="152"/>
    <col min="11270" max="11271" width="0" style="152" hidden="1" customWidth="1"/>
    <col min="11272" max="11272" width="7.5546875" style="152" customWidth="1"/>
    <col min="11273" max="11273" width="52.44140625" style="152" customWidth="1"/>
    <col min="11274" max="11274" width="41.33203125" style="152" customWidth="1"/>
    <col min="11275" max="11275" width="24.6640625" style="152" customWidth="1"/>
    <col min="11276" max="11276" width="26.6640625" style="152" customWidth="1"/>
    <col min="11277" max="11277" width="35.33203125" style="152" customWidth="1"/>
    <col min="11278" max="11278" width="19.5546875" style="152" customWidth="1"/>
    <col min="11279" max="11279" width="24.33203125" style="152" customWidth="1"/>
    <col min="11280" max="11280" width="14" style="152" customWidth="1"/>
    <col min="11281" max="11281" width="69.44140625" style="152" customWidth="1"/>
    <col min="11282" max="11284" width="16.33203125" style="152" customWidth="1"/>
    <col min="11285" max="11285" width="6.33203125" style="152" customWidth="1"/>
    <col min="11286" max="11286" width="10.33203125" style="152" customWidth="1"/>
    <col min="11287" max="11288" width="0.33203125" style="152" customWidth="1"/>
    <col min="11289" max="11289" width="5.6640625" style="152" customWidth="1"/>
    <col min="11290" max="11290" width="20.5546875" style="152" customWidth="1"/>
    <col min="11291" max="11291" width="15.44140625" style="152" customWidth="1"/>
    <col min="11292" max="11525" width="9.33203125" style="152"/>
    <col min="11526" max="11527" width="0" style="152" hidden="1" customWidth="1"/>
    <col min="11528" max="11528" width="7.5546875" style="152" customWidth="1"/>
    <col min="11529" max="11529" width="52.44140625" style="152" customWidth="1"/>
    <col min="11530" max="11530" width="41.33203125" style="152" customWidth="1"/>
    <col min="11531" max="11531" width="24.6640625" style="152" customWidth="1"/>
    <col min="11532" max="11532" width="26.6640625" style="152" customWidth="1"/>
    <col min="11533" max="11533" width="35.33203125" style="152" customWidth="1"/>
    <col min="11534" max="11534" width="19.5546875" style="152" customWidth="1"/>
    <col min="11535" max="11535" width="24.33203125" style="152" customWidth="1"/>
    <col min="11536" max="11536" width="14" style="152" customWidth="1"/>
    <col min="11537" max="11537" width="69.44140625" style="152" customWidth="1"/>
    <col min="11538" max="11540" width="16.33203125" style="152" customWidth="1"/>
    <col min="11541" max="11541" width="6.33203125" style="152" customWidth="1"/>
    <col min="11542" max="11542" width="10.33203125" style="152" customWidth="1"/>
    <col min="11543" max="11544" width="0.33203125" style="152" customWidth="1"/>
    <col min="11545" max="11545" width="5.6640625" style="152" customWidth="1"/>
    <col min="11546" max="11546" width="20.5546875" style="152" customWidth="1"/>
    <col min="11547" max="11547" width="15.44140625" style="152" customWidth="1"/>
    <col min="11548" max="11781" width="9.33203125" style="152"/>
    <col min="11782" max="11783" width="0" style="152" hidden="1" customWidth="1"/>
    <col min="11784" max="11784" width="7.5546875" style="152" customWidth="1"/>
    <col min="11785" max="11785" width="52.44140625" style="152" customWidth="1"/>
    <col min="11786" max="11786" width="41.33203125" style="152" customWidth="1"/>
    <col min="11787" max="11787" width="24.6640625" style="152" customWidth="1"/>
    <col min="11788" max="11788" width="26.6640625" style="152" customWidth="1"/>
    <col min="11789" max="11789" width="35.33203125" style="152" customWidth="1"/>
    <col min="11790" max="11790" width="19.5546875" style="152" customWidth="1"/>
    <col min="11791" max="11791" width="24.33203125" style="152" customWidth="1"/>
    <col min="11792" max="11792" width="14" style="152" customWidth="1"/>
    <col min="11793" max="11793" width="69.44140625" style="152" customWidth="1"/>
    <col min="11794" max="11796" width="16.33203125" style="152" customWidth="1"/>
    <col min="11797" max="11797" width="6.33203125" style="152" customWidth="1"/>
    <col min="11798" max="11798" width="10.33203125" style="152" customWidth="1"/>
    <col min="11799" max="11800" width="0.33203125" style="152" customWidth="1"/>
    <col min="11801" max="11801" width="5.6640625" style="152" customWidth="1"/>
    <col min="11802" max="11802" width="20.5546875" style="152" customWidth="1"/>
    <col min="11803" max="11803" width="15.44140625" style="152" customWidth="1"/>
    <col min="11804" max="12037" width="9.33203125" style="152"/>
    <col min="12038" max="12039" width="0" style="152" hidden="1" customWidth="1"/>
    <col min="12040" max="12040" width="7.5546875" style="152" customWidth="1"/>
    <col min="12041" max="12041" width="52.44140625" style="152" customWidth="1"/>
    <col min="12042" max="12042" width="41.33203125" style="152" customWidth="1"/>
    <col min="12043" max="12043" width="24.6640625" style="152" customWidth="1"/>
    <col min="12044" max="12044" width="26.6640625" style="152" customWidth="1"/>
    <col min="12045" max="12045" width="35.33203125" style="152" customWidth="1"/>
    <col min="12046" max="12046" width="19.5546875" style="152" customWidth="1"/>
    <col min="12047" max="12047" width="24.33203125" style="152" customWidth="1"/>
    <col min="12048" max="12048" width="14" style="152" customWidth="1"/>
    <col min="12049" max="12049" width="69.44140625" style="152" customWidth="1"/>
    <col min="12050" max="12052" width="16.33203125" style="152" customWidth="1"/>
    <col min="12053" max="12053" width="6.33203125" style="152" customWidth="1"/>
    <col min="12054" max="12054" width="10.33203125" style="152" customWidth="1"/>
    <col min="12055" max="12056" width="0.33203125" style="152" customWidth="1"/>
    <col min="12057" max="12057" width="5.6640625" style="152" customWidth="1"/>
    <col min="12058" max="12058" width="20.5546875" style="152" customWidth="1"/>
    <col min="12059" max="12059" width="15.44140625" style="152" customWidth="1"/>
    <col min="12060" max="12293" width="9.33203125" style="152"/>
    <col min="12294" max="12295" width="0" style="152" hidden="1" customWidth="1"/>
    <col min="12296" max="12296" width="7.5546875" style="152" customWidth="1"/>
    <col min="12297" max="12297" width="52.44140625" style="152" customWidth="1"/>
    <col min="12298" max="12298" width="41.33203125" style="152" customWidth="1"/>
    <col min="12299" max="12299" width="24.6640625" style="152" customWidth="1"/>
    <col min="12300" max="12300" width="26.6640625" style="152" customWidth="1"/>
    <col min="12301" max="12301" width="35.33203125" style="152" customWidth="1"/>
    <col min="12302" max="12302" width="19.5546875" style="152" customWidth="1"/>
    <col min="12303" max="12303" width="24.33203125" style="152" customWidth="1"/>
    <col min="12304" max="12304" width="14" style="152" customWidth="1"/>
    <col min="12305" max="12305" width="69.44140625" style="152" customWidth="1"/>
    <col min="12306" max="12308" width="16.33203125" style="152" customWidth="1"/>
    <col min="12309" max="12309" width="6.33203125" style="152" customWidth="1"/>
    <col min="12310" max="12310" width="10.33203125" style="152" customWidth="1"/>
    <col min="12311" max="12312" width="0.33203125" style="152" customWidth="1"/>
    <col min="12313" max="12313" width="5.6640625" style="152" customWidth="1"/>
    <col min="12314" max="12314" width="20.5546875" style="152" customWidth="1"/>
    <col min="12315" max="12315" width="15.44140625" style="152" customWidth="1"/>
    <col min="12316" max="12549" width="9.33203125" style="152"/>
    <col min="12550" max="12551" width="0" style="152" hidden="1" customWidth="1"/>
    <col min="12552" max="12552" width="7.5546875" style="152" customWidth="1"/>
    <col min="12553" max="12553" width="52.44140625" style="152" customWidth="1"/>
    <col min="12554" max="12554" width="41.33203125" style="152" customWidth="1"/>
    <col min="12555" max="12555" width="24.6640625" style="152" customWidth="1"/>
    <col min="12556" max="12556" width="26.6640625" style="152" customWidth="1"/>
    <col min="12557" max="12557" width="35.33203125" style="152" customWidth="1"/>
    <col min="12558" max="12558" width="19.5546875" style="152" customWidth="1"/>
    <col min="12559" max="12559" width="24.33203125" style="152" customWidth="1"/>
    <col min="12560" max="12560" width="14" style="152" customWidth="1"/>
    <col min="12561" max="12561" width="69.44140625" style="152" customWidth="1"/>
    <col min="12562" max="12564" width="16.33203125" style="152" customWidth="1"/>
    <col min="12565" max="12565" width="6.33203125" style="152" customWidth="1"/>
    <col min="12566" max="12566" width="10.33203125" style="152" customWidth="1"/>
    <col min="12567" max="12568" width="0.33203125" style="152" customWidth="1"/>
    <col min="12569" max="12569" width="5.6640625" style="152" customWidth="1"/>
    <col min="12570" max="12570" width="20.5546875" style="152" customWidth="1"/>
    <col min="12571" max="12571" width="15.44140625" style="152" customWidth="1"/>
    <col min="12572" max="12805" width="9.33203125" style="152"/>
    <col min="12806" max="12807" width="0" style="152" hidden="1" customWidth="1"/>
    <col min="12808" max="12808" width="7.5546875" style="152" customWidth="1"/>
    <col min="12809" max="12809" width="52.44140625" style="152" customWidth="1"/>
    <col min="12810" max="12810" width="41.33203125" style="152" customWidth="1"/>
    <col min="12811" max="12811" width="24.6640625" style="152" customWidth="1"/>
    <col min="12812" max="12812" width="26.6640625" style="152" customWidth="1"/>
    <col min="12813" max="12813" width="35.33203125" style="152" customWidth="1"/>
    <col min="12814" max="12814" width="19.5546875" style="152" customWidth="1"/>
    <col min="12815" max="12815" width="24.33203125" style="152" customWidth="1"/>
    <col min="12816" max="12816" width="14" style="152" customWidth="1"/>
    <col min="12817" max="12817" width="69.44140625" style="152" customWidth="1"/>
    <col min="12818" max="12820" width="16.33203125" style="152" customWidth="1"/>
    <col min="12821" max="12821" width="6.33203125" style="152" customWidth="1"/>
    <col min="12822" max="12822" width="10.33203125" style="152" customWidth="1"/>
    <col min="12823" max="12824" width="0.33203125" style="152" customWidth="1"/>
    <col min="12825" max="12825" width="5.6640625" style="152" customWidth="1"/>
    <col min="12826" max="12826" width="20.5546875" style="152" customWidth="1"/>
    <col min="12827" max="12827" width="15.44140625" style="152" customWidth="1"/>
    <col min="12828" max="13061" width="9.33203125" style="152"/>
    <col min="13062" max="13063" width="0" style="152" hidden="1" customWidth="1"/>
    <col min="13064" max="13064" width="7.5546875" style="152" customWidth="1"/>
    <col min="13065" max="13065" width="52.44140625" style="152" customWidth="1"/>
    <col min="13066" max="13066" width="41.33203125" style="152" customWidth="1"/>
    <col min="13067" max="13067" width="24.6640625" style="152" customWidth="1"/>
    <col min="13068" max="13068" width="26.6640625" style="152" customWidth="1"/>
    <col min="13069" max="13069" width="35.33203125" style="152" customWidth="1"/>
    <col min="13070" max="13070" width="19.5546875" style="152" customWidth="1"/>
    <col min="13071" max="13071" width="24.33203125" style="152" customWidth="1"/>
    <col min="13072" max="13072" width="14" style="152" customWidth="1"/>
    <col min="13073" max="13073" width="69.44140625" style="152" customWidth="1"/>
    <col min="13074" max="13076" width="16.33203125" style="152" customWidth="1"/>
    <col min="13077" max="13077" width="6.33203125" style="152" customWidth="1"/>
    <col min="13078" max="13078" width="10.33203125" style="152" customWidth="1"/>
    <col min="13079" max="13080" width="0.33203125" style="152" customWidth="1"/>
    <col min="13081" max="13081" width="5.6640625" style="152" customWidth="1"/>
    <col min="13082" max="13082" width="20.5546875" style="152" customWidth="1"/>
    <col min="13083" max="13083" width="15.44140625" style="152" customWidth="1"/>
    <col min="13084" max="13317" width="9.33203125" style="152"/>
    <col min="13318" max="13319" width="0" style="152" hidden="1" customWidth="1"/>
    <col min="13320" max="13320" width="7.5546875" style="152" customWidth="1"/>
    <col min="13321" max="13321" width="52.44140625" style="152" customWidth="1"/>
    <col min="13322" max="13322" width="41.33203125" style="152" customWidth="1"/>
    <col min="13323" max="13323" width="24.6640625" style="152" customWidth="1"/>
    <col min="13324" max="13324" width="26.6640625" style="152" customWidth="1"/>
    <col min="13325" max="13325" width="35.33203125" style="152" customWidth="1"/>
    <col min="13326" max="13326" width="19.5546875" style="152" customWidth="1"/>
    <col min="13327" max="13327" width="24.33203125" style="152" customWidth="1"/>
    <col min="13328" max="13328" width="14" style="152" customWidth="1"/>
    <col min="13329" max="13329" width="69.44140625" style="152" customWidth="1"/>
    <col min="13330" max="13332" width="16.33203125" style="152" customWidth="1"/>
    <col min="13333" max="13333" width="6.33203125" style="152" customWidth="1"/>
    <col min="13334" max="13334" width="10.33203125" style="152" customWidth="1"/>
    <col min="13335" max="13336" width="0.33203125" style="152" customWidth="1"/>
    <col min="13337" max="13337" width="5.6640625" style="152" customWidth="1"/>
    <col min="13338" max="13338" width="20.5546875" style="152" customWidth="1"/>
    <col min="13339" max="13339" width="15.44140625" style="152" customWidth="1"/>
    <col min="13340" max="13573" width="9.33203125" style="152"/>
    <col min="13574" max="13575" width="0" style="152" hidden="1" customWidth="1"/>
    <col min="13576" max="13576" width="7.5546875" style="152" customWidth="1"/>
    <col min="13577" max="13577" width="52.44140625" style="152" customWidth="1"/>
    <col min="13578" max="13578" width="41.33203125" style="152" customWidth="1"/>
    <col min="13579" max="13579" width="24.6640625" style="152" customWidth="1"/>
    <col min="13580" max="13580" width="26.6640625" style="152" customWidth="1"/>
    <col min="13581" max="13581" width="35.33203125" style="152" customWidth="1"/>
    <col min="13582" max="13582" width="19.5546875" style="152" customWidth="1"/>
    <col min="13583" max="13583" width="24.33203125" style="152" customWidth="1"/>
    <col min="13584" max="13584" width="14" style="152" customWidth="1"/>
    <col min="13585" max="13585" width="69.44140625" style="152" customWidth="1"/>
    <col min="13586" max="13588" width="16.33203125" style="152" customWidth="1"/>
    <col min="13589" max="13589" width="6.33203125" style="152" customWidth="1"/>
    <col min="13590" max="13590" width="10.33203125" style="152" customWidth="1"/>
    <col min="13591" max="13592" width="0.33203125" style="152" customWidth="1"/>
    <col min="13593" max="13593" width="5.6640625" style="152" customWidth="1"/>
    <col min="13594" max="13594" width="20.5546875" style="152" customWidth="1"/>
    <col min="13595" max="13595" width="15.44140625" style="152" customWidth="1"/>
    <col min="13596" max="13829" width="9.33203125" style="152"/>
    <col min="13830" max="13831" width="0" style="152" hidden="1" customWidth="1"/>
    <col min="13832" max="13832" width="7.5546875" style="152" customWidth="1"/>
    <col min="13833" max="13833" width="52.44140625" style="152" customWidth="1"/>
    <col min="13834" max="13834" width="41.33203125" style="152" customWidth="1"/>
    <col min="13835" max="13835" width="24.6640625" style="152" customWidth="1"/>
    <col min="13836" max="13836" width="26.6640625" style="152" customWidth="1"/>
    <col min="13837" max="13837" width="35.33203125" style="152" customWidth="1"/>
    <col min="13838" max="13838" width="19.5546875" style="152" customWidth="1"/>
    <col min="13839" max="13839" width="24.33203125" style="152" customWidth="1"/>
    <col min="13840" max="13840" width="14" style="152" customWidth="1"/>
    <col min="13841" max="13841" width="69.44140625" style="152" customWidth="1"/>
    <col min="13842" max="13844" width="16.33203125" style="152" customWidth="1"/>
    <col min="13845" max="13845" width="6.33203125" style="152" customWidth="1"/>
    <col min="13846" max="13846" width="10.33203125" style="152" customWidth="1"/>
    <col min="13847" max="13848" width="0.33203125" style="152" customWidth="1"/>
    <col min="13849" max="13849" width="5.6640625" style="152" customWidth="1"/>
    <col min="13850" max="13850" width="20.5546875" style="152" customWidth="1"/>
    <col min="13851" max="13851" width="15.44140625" style="152" customWidth="1"/>
    <col min="13852" max="14085" width="9.33203125" style="152"/>
    <col min="14086" max="14087" width="0" style="152" hidden="1" customWidth="1"/>
    <col min="14088" max="14088" width="7.5546875" style="152" customWidth="1"/>
    <col min="14089" max="14089" width="52.44140625" style="152" customWidth="1"/>
    <col min="14090" max="14090" width="41.33203125" style="152" customWidth="1"/>
    <col min="14091" max="14091" width="24.6640625" style="152" customWidth="1"/>
    <col min="14092" max="14092" width="26.6640625" style="152" customWidth="1"/>
    <col min="14093" max="14093" width="35.33203125" style="152" customWidth="1"/>
    <col min="14094" max="14094" width="19.5546875" style="152" customWidth="1"/>
    <col min="14095" max="14095" width="24.33203125" style="152" customWidth="1"/>
    <col min="14096" max="14096" width="14" style="152" customWidth="1"/>
    <col min="14097" max="14097" width="69.44140625" style="152" customWidth="1"/>
    <col min="14098" max="14100" width="16.33203125" style="152" customWidth="1"/>
    <col min="14101" max="14101" width="6.33203125" style="152" customWidth="1"/>
    <col min="14102" max="14102" width="10.33203125" style="152" customWidth="1"/>
    <col min="14103" max="14104" width="0.33203125" style="152" customWidth="1"/>
    <col min="14105" max="14105" width="5.6640625" style="152" customWidth="1"/>
    <col min="14106" max="14106" width="20.5546875" style="152" customWidth="1"/>
    <col min="14107" max="14107" width="15.44140625" style="152" customWidth="1"/>
    <col min="14108" max="14341" width="9.33203125" style="152"/>
    <col min="14342" max="14343" width="0" style="152" hidden="1" customWidth="1"/>
    <col min="14344" max="14344" width="7.5546875" style="152" customWidth="1"/>
    <col min="14345" max="14345" width="52.44140625" style="152" customWidth="1"/>
    <col min="14346" max="14346" width="41.33203125" style="152" customWidth="1"/>
    <col min="14347" max="14347" width="24.6640625" style="152" customWidth="1"/>
    <col min="14348" max="14348" width="26.6640625" style="152" customWidth="1"/>
    <col min="14349" max="14349" width="35.33203125" style="152" customWidth="1"/>
    <col min="14350" max="14350" width="19.5546875" style="152" customWidth="1"/>
    <col min="14351" max="14351" width="24.33203125" style="152" customWidth="1"/>
    <col min="14352" max="14352" width="14" style="152" customWidth="1"/>
    <col min="14353" max="14353" width="69.44140625" style="152" customWidth="1"/>
    <col min="14354" max="14356" width="16.33203125" style="152" customWidth="1"/>
    <col min="14357" max="14357" width="6.33203125" style="152" customWidth="1"/>
    <col min="14358" max="14358" width="10.33203125" style="152" customWidth="1"/>
    <col min="14359" max="14360" width="0.33203125" style="152" customWidth="1"/>
    <col min="14361" max="14361" width="5.6640625" style="152" customWidth="1"/>
    <col min="14362" max="14362" width="20.5546875" style="152" customWidth="1"/>
    <col min="14363" max="14363" width="15.44140625" style="152" customWidth="1"/>
    <col min="14364" max="14597" width="9.33203125" style="152"/>
    <col min="14598" max="14599" width="0" style="152" hidden="1" customWidth="1"/>
    <col min="14600" max="14600" width="7.5546875" style="152" customWidth="1"/>
    <col min="14601" max="14601" width="52.44140625" style="152" customWidth="1"/>
    <col min="14602" max="14602" width="41.33203125" style="152" customWidth="1"/>
    <col min="14603" max="14603" width="24.6640625" style="152" customWidth="1"/>
    <col min="14604" max="14604" width="26.6640625" style="152" customWidth="1"/>
    <col min="14605" max="14605" width="35.33203125" style="152" customWidth="1"/>
    <col min="14606" max="14606" width="19.5546875" style="152" customWidth="1"/>
    <col min="14607" max="14607" width="24.33203125" style="152" customWidth="1"/>
    <col min="14608" max="14608" width="14" style="152" customWidth="1"/>
    <col min="14609" max="14609" width="69.44140625" style="152" customWidth="1"/>
    <col min="14610" max="14612" width="16.33203125" style="152" customWidth="1"/>
    <col min="14613" max="14613" width="6.33203125" style="152" customWidth="1"/>
    <col min="14614" max="14614" width="10.33203125" style="152" customWidth="1"/>
    <col min="14615" max="14616" width="0.33203125" style="152" customWidth="1"/>
    <col min="14617" max="14617" width="5.6640625" style="152" customWidth="1"/>
    <col min="14618" max="14618" width="20.5546875" style="152" customWidth="1"/>
    <col min="14619" max="14619" width="15.44140625" style="152" customWidth="1"/>
    <col min="14620" max="14853" width="9.33203125" style="152"/>
    <col min="14854" max="14855" width="0" style="152" hidden="1" customWidth="1"/>
    <col min="14856" max="14856" width="7.5546875" style="152" customWidth="1"/>
    <col min="14857" max="14857" width="52.44140625" style="152" customWidth="1"/>
    <col min="14858" max="14858" width="41.33203125" style="152" customWidth="1"/>
    <col min="14859" max="14859" width="24.6640625" style="152" customWidth="1"/>
    <col min="14860" max="14860" width="26.6640625" style="152" customWidth="1"/>
    <col min="14861" max="14861" width="35.33203125" style="152" customWidth="1"/>
    <col min="14862" max="14862" width="19.5546875" style="152" customWidth="1"/>
    <col min="14863" max="14863" width="24.33203125" style="152" customWidth="1"/>
    <col min="14864" max="14864" width="14" style="152" customWidth="1"/>
    <col min="14865" max="14865" width="69.44140625" style="152" customWidth="1"/>
    <col min="14866" max="14868" width="16.33203125" style="152" customWidth="1"/>
    <col min="14869" max="14869" width="6.33203125" style="152" customWidth="1"/>
    <col min="14870" max="14870" width="10.33203125" style="152" customWidth="1"/>
    <col min="14871" max="14872" width="0.33203125" style="152" customWidth="1"/>
    <col min="14873" max="14873" width="5.6640625" style="152" customWidth="1"/>
    <col min="14874" max="14874" width="20.5546875" style="152" customWidth="1"/>
    <col min="14875" max="14875" width="15.44140625" style="152" customWidth="1"/>
    <col min="14876" max="15109" width="9.33203125" style="152"/>
    <col min="15110" max="15111" width="0" style="152" hidden="1" customWidth="1"/>
    <col min="15112" max="15112" width="7.5546875" style="152" customWidth="1"/>
    <col min="15113" max="15113" width="52.44140625" style="152" customWidth="1"/>
    <col min="15114" max="15114" width="41.33203125" style="152" customWidth="1"/>
    <col min="15115" max="15115" width="24.6640625" style="152" customWidth="1"/>
    <col min="15116" max="15116" width="26.6640625" style="152" customWidth="1"/>
    <col min="15117" max="15117" width="35.33203125" style="152" customWidth="1"/>
    <col min="15118" max="15118" width="19.5546875" style="152" customWidth="1"/>
    <col min="15119" max="15119" width="24.33203125" style="152" customWidth="1"/>
    <col min="15120" max="15120" width="14" style="152" customWidth="1"/>
    <col min="15121" max="15121" width="69.44140625" style="152" customWidth="1"/>
    <col min="15122" max="15124" width="16.33203125" style="152" customWidth="1"/>
    <col min="15125" max="15125" width="6.33203125" style="152" customWidth="1"/>
    <col min="15126" max="15126" width="10.33203125" style="152" customWidth="1"/>
    <col min="15127" max="15128" width="0.33203125" style="152" customWidth="1"/>
    <col min="15129" max="15129" width="5.6640625" style="152" customWidth="1"/>
    <col min="15130" max="15130" width="20.5546875" style="152" customWidth="1"/>
    <col min="15131" max="15131" width="15.44140625" style="152" customWidth="1"/>
    <col min="15132" max="15365" width="9.33203125" style="152"/>
    <col min="15366" max="15367" width="0" style="152" hidden="1" customWidth="1"/>
    <col min="15368" max="15368" width="7.5546875" style="152" customWidth="1"/>
    <col min="15369" max="15369" width="52.44140625" style="152" customWidth="1"/>
    <col min="15370" max="15370" width="41.33203125" style="152" customWidth="1"/>
    <col min="15371" max="15371" width="24.6640625" style="152" customWidth="1"/>
    <col min="15372" max="15372" width="26.6640625" style="152" customWidth="1"/>
    <col min="15373" max="15373" width="35.33203125" style="152" customWidth="1"/>
    <col min="15374" max="15374" width="19.5546875" style="152" customWidth="1"/>
    <col min="15375" max="15375" width="24.33203125" style="152" customWidth="1"/>
    <col min="15376" max="15376" width="14" style="152" customWidth="1"/>
    <col min="15377" max="15377" width="69.44140625" style="152" customWidth="1"/>
    <col min="15378" max="15380" width="16.33203125" style="152" customWidth="1"/>
    <col min="15381" max="15381" width="6.33203125" style="152" customWidth="1"/>
    <col min="15382" max="15382" width="10.33203125" style="152" customWidth="1"/>
    <col min="15383" max="15384" width="0.33203125" style="152" customWidth="1"/>
    <col min="15385" max="15385" width="5.6640625" style="152" customWidth="1"/>
    <col min="15386" max="15386" width="20.5546875" style="152" customWidth="1"/>
    <col min="15387" max="15387" width="15.44140625" style="152" customWidth="1"/>
    <col min="15388" max="15621" width="9.33203125" style="152"/>
    <col min="15622" max="15623" width="0" style="152" hidden="1" customWidth="1"/>
    <col min="15624" max="15624" width="7.5546875" style="152" customWidth="1"/>
    <col min="15625" max="15625" width="52.44140625" style="152" customWidth="1"/>
    <col min="15626" max="15626" width="41.33203125" style="152" customWidth="1"/>
    <col min="15627" max="15627" width="24.6640625" style="152" customWidth="1"/>
    <col min="15628" max="15628" width="26.6640625" style="152" customWidth="1"/>
    <col min="15629" max="15629" width="35.33203125" style="152" customWidth="1"/>
    <col min="15630" max="15630" width="19.5546875" style="152" customWidth="1"/>
    <col min="15631" max="15631" width="24.33203125" style="152" customWidth="1"/>
    <col min="15632" max="15632" width="14" style="152" customWidth="1"/>
    <col min="15633" max="15633" width="69.44140625" style="152" customWidth="1"/>
    <col min="15634" max="15636" width="16.33203125" style="152" customWidth="1"/>
    <col min="15637" max="15637" width="6.33203125" style="152" customWidth="1"/>
    <col min="15638" max="15638" width="10.33203125" style="152" customWidth="1"/>
    <col min="15639" max="15640" width="0.33203125" style="152" customWidth="1"/>
    <col min="15641" max="15641" width="5.6640625" style="152" customWidth="1"/>
    <col min="15642" max="15642" width="20.5546875" style="152" customWidth="1"/>
    <col min="15643" max="15643" width="15.44140625" style="152" customWidth="1"/>
    <col min="15644" max="15877" width="9.33203125" style="152"/>
    <col min="15878" max="15879" width="0" style="152" hidden="1" customWidth="1"/>
    <col min="15880" max="15880" width="7.5546875" style="152" customWidth="1"/>
    <col min="15881" max="15881" width="52.44140625" style="152" customWidth="1"/>
    <col min="15882" max="15882" width="41.33203125" style="152" customWidth="1"/>
    <col min="15883" max="15883" width="24.6640625" style="152" customWidth="1"/>
    <col min="15884" max="15884" width="26.6640625" style="152" customWidth="1"/>
    <col min="15885" max="15885" width="35.33203125" style="152" customWidth="1"/>
    <col min="15886" max="15886" width="19.5546875" style="152" customWidth="1"/>
    <col min="15887" max="15887" width="24.33203125" style="152" customWidth="1"/>
    <col min="15888" max="15888" width="14" style="152" customWidth="1"/>
    <col min="15889" max="15889" width="69.44140625" style="152" customWidth="1"/>
    <col min="15890" max="15892" width="16.33203125" style="152" customWidth="1"/>
    <col min="15893" max="15893" width="6.33203125" style="152" customWidth="1"/>
    <col min="15894" max="15894" width="10.33203125" style="152" customWidth="1"/>
    <col min="15895" max="15896" width="0.33203125" style="152" customWidth="1"/>
    <col min="15897" max="15897" width="5.6640625" style="152" customWidth="1"/>
    <col min="15898" max="15898" width="20.5546875" style="152" customWidth="1"/>
    <col min="15899" max="15899" width="15.44140625" style="152" customWidth="1"/>
    <col min="15900" max="16133" width="9.33203125" style="152"/>
    <col min="16134" max="16135" width="0" style="152" hidden="1" customWidth="1"/>
    <col min="16136" max="16136" width="7.5546875" style="152" customWidth="1"/>
    <col min="16137" max="16137" width="52.44140625" style="152" customWidth="1"/>
    <col min="16138" max="16138" width="41.33203125" style="152" customWidth="1"/>
    <col min="16139" max="16139" width="24.6640625" style="152" customWidth="1"/>
    <col min="16140" max="16140" width="26.6640625" style="152" customWidth="1"/>
    <col min="16141" max="16141" width="35.33203125" style="152" customWidth="1"/>
    <col min="16142" max="16142" width="19.5546875" style="152" customWidth="1"/>
    <col min="16143" max="16143" width="24.33203125" style="152" customWidth="1"/>
    <col min="16144" max="16144" width="14" style="152" customWidth="1"/>
    <col min="16145" max="16145" width="69.44140625" style="152" customWidth="1"/>
    <col min="16146" max="16148" width="16.33203125" style="152" customWidth="1"/>
    <col min="16149" max="16149" width="6.33203125" style="152" customWidth="1"/>
    <col min="16150" max="16150" width="10.33203125" style="152" customWidth="1"/>
    <col min="16151" max="16152" width="0.33203125" style="152" customWidth="1"/>
    <col min="16153" max="16153" width="5.6640625" style="152" customWidth="1"/>
    <col min="16154" max="16154" width="20.5546875" style="152" customWidth="1"/>
    <col min="16155" max="16155" width="15.44140625" style="152" customWidth="1"/>
    <col min="16156" max="16384" width="9.33203125" style="152"/>
  </cols>
  <sheetData>
    <row r="1" spans="1:32" s="130" customFormat="1" x14ac:dyDescent="0.3">
      <c r="A1" s="132"/>
      <c r="C1" s="128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V1" s="128"/>
      <c r="Y1" s="131"/>
      <c r="Z1" s="131"/>
    </row>
    <row r="2" spans="1:32" s="130" customFormat="1" ht="28.8" x14ac:dyDescent="0.3">
      <c r="A2" s="132"/>
      <c r="B2" s="137" t="s">
        <v>752</v>
      </c>
      <c r="C2" s="138" t="s">
        <v>753</v>
      </c>
      <c r="D2" s="139"/>
      <c r="E2" s="139"/>
      <c r="F2" s="279" t="s">
        <v>754</v>
      </c>
      <c r="G2" s="139"/>
      <c r="H2" s="280" t="s">
        <v>755</v>
      </c>
      <c r="I2" s="139"/>
      <c r="J2" s="139"/>
      <c r="K2" s="139"/>
      <c r="L2" s="139"/>
      <c r="M2" s="139"/>
      <c r="N2" s="139"/>
      <c r="O2" s="139"/>
      <c r="P2" s="139"/>
      <c r="Q2" s="139"/>
      <c r="R2" s="139"/>
      <c r="U2" s="134"/>
      <c r="V2" s="135"/>
      <c r="Y2" s="131"/>
      <c r="Z2" s="131"/>
    </row>
    <row r="3" spans="1:32" s="130" customFormat="1" ht="28.8" x14ac:dyDescent="0.3">
      <c r="A3" s="132"/>
      <c r="B3" s="140" t="s">
        <v>756</v>
      </c>
      <c r="C3" s="138" t="s">
        <v>757</v>
      </c>
      <c r="D3" s="139"/>
      <c r="E3" s="139"/>
      <c r="F3" s="280" t="s">
        <v>758</v>
      </c>
      <c r="G3" s="139"/>
      <c r="H3" s="280" t="s">
        <v>759</v>
      </c>
      <c r="I3" s="139"/>
      <c r="J3" s="139"/>
      <c r="K3" s="139"/>
      <c r="L3" s="139"/>
      <c r="M3" s="139"/>
      <c r="N3" s="139"/>
      <c r="O3" s="139"/>
      <c r="P3" s="139"/>
      <c r="Q3" s="139"/>
      <c r="R3" s="139"/>
      <c r="U3" s="141"/>
      <c r="V3" s="128"/>
      <c r="X3" s="142"/>
      <c r="Y3" s="131"/>
      <c r="Z3" s="131"/>
    </row>
    <row r="4" spans="1:32" s="130" customFormat="1" ht="15.6" x14ac:dyDescent="0.3">
      <c r="A4" s="132"/>
      <c r="B4" s="140" t="s">
        <v>760</v>
      </c>
      <c r="C4" s="138" t="s">
        <v>761</v>
      </c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U4" s="141"/>
      <c r="V4" s="128"/>
      <c r="X4" s="142"/>
      <c r="Y4" s="131"/>
      <c r="Z4" s="131"/>
    </row>
    <row r="5" spans="1:32" s="130" customFormat="1" ht="15.6" x14ac:dyDescent="0.3">
      <c r="A5" s="132"/>
      <c r="B5" s="137" t="s">
        <v>762</v>
      </c>
      <c r="C5" s="143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U5" s="141"/>
      <c r="V5" s="128"/>
      <c r="X5" s="142"/>
      <c r="Y5" s="131"/>
      <c r="Z5" s="131"/>
    </row>
    <row r="6" spans="1:32" s="130" customFormat="1" ht="15.6" x14ac:dyDescent="0.3">
      <c r="A6" s="132"/>
      <c r="B6" s="137" t="s">
        <v>763</v>
      </c>
      <c r="C6" s="143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39"/>
      <c r="R6" s="144"/>
      <c r="U6" s="141"/>
      <c r="V6" s="128"/>
      <c r="X6" s="142"/>
      <c r="Y6" s="131"/>
      <c r="Z6" s="131"/>
    </row>
    <row r="7" spans="1:32" s="130" customFormat="1" ht="15.6" x14ac:dyDescent="0.3">
      <c r="A7" s="132"/>
      <c r="B7" s="137" t="s">
        <v>764</v>
      </c>
      <c r="C7" s="143"/>
      <c r="D7" s="144"/>
      <c r="E7" s="320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39"/>
      <c r="R7" s="144"/>
      <c r="U7" s="141"/>
      <c r="V7" s="128"/>
      <c r="X7" s="142"/>
      <c r="Y7" s="131"/>
      <c r="Z7" s="131"/>
    </row>
    <row r="8" spans="1:32" s="130" customFormat="1" ht="15.6" x14ac:dyDescent="0.3">
      <c r="A8" s="132"/>
      <c r="B8" s="137" t="s">
        <v>765</v>
      </c>
      <c r="C8" s="143">
        <v>45884</v>
      </c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39"/>
      <c r="R8" s="144"/>
      <c r="T8" s="128"/>
      <c r="U8" s="135"/>
      <c r="V8" s="128"/>
      <c r="X8" s="142"/>
      <c r="Y8" s="128"/>
      <c r="Z8" s="131"/>
    </row>
    <row r="9" spans="1:32" s="130" customFormat="1" ht="15.6" x14ac:dyDescent="0.3">
      <c r="A9" s="132"/>
      <c r="C9" s="145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33"/>
      <c r="R9" s="146"/>
      <c r="V9" s="135"/>
      <c r="W9" s="136"/>
      <c r="X9" s="136"/>
      <c r="Y9" s="147"/>
      <c r="Z9" s="131"/>
    </row>
    <row r="10" spans="1:32" s="130" customFormat="1" ht="15.6" x14ac:dyDescent="0.3">
      <c r="A10" s="132"/>
      <c r="C10" s="148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50"/>
      <c r="R10" s="149"/>
      <c r="V10" s="135"/>
      <c r="W10" s="136"/>
      <c r="X10" s="136"/>
      <c r="Y10" s="147"/>
      <c r="Z10" s="131"/>
    </row>
    <row r="11" spans="1:32" ht="15.6" x14ac:dyDescent="0.3">
      <c r="C11" s="148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R11" s="149"/>
      <c r="S11" s="412"/>
      <c r="T11" s="412"/>
      <c r="U11" s="412"/>
      <c r="V11" s="412"/>
      <c r="W11" s="412"/>
      <c r="X11" s="412"/>
      <c r="Y11" s="412"/>
      <c r="Z11" s="131"/>
    </row>
    <row r="12" spans="1:32" s="282" customFormat="1" ht="15.6" x14ac:dyDescent="0.3">
      <c r="A12" s="281"/>
      <c r="C12" s="283"/>
      <c r="D12" s="413" t="s">
        <v>766</v>
      </c>
      <c r="E12" s="413"/>
      <c r="F12" s="413"/>
      <c r="G12" s="413" t="s">
        <v>767</v>
      </c>
      <c r="H12" s="413"/>
      <c r="I12" s="413" t="s">
        <v>768</v>
      </c>
      <c r="J12" s="413"/>
      <c r="K12" s="413" t="s">
        <v>288</v>
      </c>
      <c r="L12" s="413"/>
      <c r="M12" s="413" t="s">
        <v>769</v>
      </c>
      <c r="N12" s="413"/>
      <c r="O12" s="413" t="s">
        <v>770</v>
      </c>
      <c r="P12" s="413"/>
      <c r="Q12" s="284"/>
      <c r="R12" s="285"/>
      <c r="S12" s="286"/>
      <c r="T12" s="286"/>
      <c r="U12" s="286"/>
      <c r="V12" s="286"/>
      <c r="W12" s="286"/>
      <c r="X12" s="286"/>
      <c r="Y12" s="286"/>
      <c r="Z12" s="287"/>
    </row>
    <row r="13" spans="1:32" ht="15.6" customHeight="1" x14ac:dyDescent="0.3">
      <c r="C13" s="148"/>
      <c r="D13" s="422" t="s">
        <v>771</v>
      </c>
      <c r="E13" s="417" t="s">
        <v>772</v>
      </c>
      <c r="F13" s="418"/>
      <c r="G13" s="417" t="s">
        <v>773</v>
      </c>
      <c r="H13" s="418"/>
      <c r="I13" s="417" t="s">
        <v>774</v>
      </c>
      <c r="J13" s="418"/>
      <c r="K13" s="417" t="s">
        <v>775</v>
      </c>
      <c r="L13" s="418"/>
      <c r="M13" s="417" t="s">
        <v>776</v>
      </c>
      <c r="N13" s="418"/>
      <c r="O13" s="417" t="s">
        <v>777</v>
      </c>
      <c r="P13" s="418"/>
      <c r="R13" s="149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</row>
    <row r="14" spans="1:32" ht="46.8" x14ac:dyDescent="0.3">
      <c r="A14" s="154" t="s">
        <v>268</v>
      </c>
      <c r="B14" s="154" t="s">
        <v>778</v>
      </c>
      <c r="C14" s="332" t="s">
        <v>779</v>
      </c>
      <c r="D14" s="423"/>
      <c r="E14" s="154" t="s">
        <v>780</v>
      </c>
      <c r="F14" s="154" t="s">
        <v>781</v>
      </c>
      <c r="G14" s="154" t="s">
        <v>780</v>
      </c>
      <c r="H14" s="154" t="s">
        <v>781</v>
      </c>
      <c r="I14" s="154" t="s">
        <v>780</v>
      </c>
      <c r="J14" s="154" t="s">
        <v>781</v>
      </c>
      <c r="K14" s="154" t="s">
        <v>780</v>
      </c>
      <c r="L14" s="154" t="s">
        <v>781</v>
      </c>
      <c r="M14" s="154" t="s">
        <v>780</v>
      </c>
      <c r="N14" s="154" t="s">
        <v>781</v>
      </c>
      <c r="O14" s="154" t="s">
        <v>780</v>
      </c>
      <c r="P14" s="154" t="s">
        <v>781</v>
      </c>
      <c r="Q14" s="155" t="s">
        <v>782</v>
      </c>
      <c r="R14" s="155" t="s">
        <v>783</v>
      </c>
      <c r="S14" s="154" t="s">
        <v>771</v>
      </c>
      <c r="T14" s="154" t="s">
        <v>784</v>
      </c>
      <c r="U14" s="154" t="s">
        <v>785</v>
      </c>
      <c r="V14" s="154" t="s">
        <v>783</v>
      </c>
      <c r="W14" s="154" t="s">
        <v>786</v>
      </c>
      <c r="X14" s="154" t="s">
        <v>787</v>
      </c>
      <c r="Y14" s="154" t="s">
        <v>788</v>
      </c>
      <c r="Z14" s="154" t="s">
        <v>789</v>
      </c>
      <c r="AA14" s="154" t="s">
        <v>790</v>
      </c>
      <c r="AB14" s="154" t="s">
        <v>791</v>
      </c>
      <c r="AC14" s="154" t="s">
        <v>792</v>
      </c>
      <c r="AD14" s="154" t="s">
        <v>793</v>
      </c>
      <c r="AE14" s="154" t="s">
        <v>794</v>
      </c>
      <c r="AF14" s="154" t="s">
        <v>795</v>
      </c>
    </row>
    <row r="15" spans="1:32" s="156" customFormat="1" x14ac:dyDescent="0.3">
      <c r="A15" s="419" t="s">
        <v>796</v>
      </c>
      <c r="B15" s="420"/>
      <c r="C15" s="420"/>
      <c r="D15" s="420"/>
      <c r="E15" s="420"/>
      <c r="F15" s="420"/>
      <c r="G15" s="420"/>
      <c r="H15" s="420"/>
      <c r="I15" s="420"/>
      <c r="J15" s="420"/>
      <c r="K15" s="420"/>
      <c r="L15" s="420"/>
      <c r="M15" s="420"/>
      <c r="N15" s="420"/>
      <c r="O15" s="420"/>
      <c r="P15" s="420"/>
      <c r="Q15" s="420"/>
      <c r="R15" s="420"/>
      <c r="S15" s="420"/>
      <c r="T15" s="420"/>
      <c r="U15" s="420"/>
      <c r="V15" s="420"/>
      <c r="W15" s="420"/>
      <c r="X15" s="420"/>
      <c r="Y15" s="420"/>
      <c r="Z15" s="420"/>
      <c r="AA15" s="420"/>
      <c r="AB15" s="420"/>
      <c r="AC15" s="420"/>
      <c r="AD15" s="420"/>
      <c r="AE15" s="420"/>
      <c r="AF15" s="421"/>
    </row>
    <row r="16" spans="1:32" x14ac:dyDescent="0.3">
      <c r="A16" s="157">
        <v>2.0099999999999998</v>
      </c>
      <c r="B16" s="158" t="s">
        <v>68</v>
      </c>
      <c r="C16" s="159" t="s">
        <v>797</v>
      </c>
      <c r="D16" s="179">
        <f t="shared" ref="D16:D23" si="0">R16-(E16+G16+I16+K16+M16+O16)</f>
        <v>45706</v>
      </c>
      <c r="E16" s="180">
        <v>10</v>
      </c>
      <c r="F16" s="179">
        <f t="shared" ref="F16:F29" si="1">D16+E16</f>
        <v>45716</v>
      </c>
      <c r="G16" s="180">
        <v>21</v>
      </c>
      <c r="H16" s="179">
        <f t="shared" ref="H16:H29" si="2">F16+G16</f>
        <v>45737</v>
      </c>
      <c r="I16" s="180">
        <v>15</v>
      </c>
      <c r="J16" s="179">
        <f t="shared" ref="J16:J29" si="3">H16+I16</f>
        <v>45752</v>
      </c>
      <c r="K16" s="180">
        <v>45</v>
      </c>
      <c r="L16" s="179">
        <f t="shared" ref="L16:L29" si="4">J16+K16</f>
        <v>45797</v>
      </c>
      <c r="M16" s="180">
        <v>31</v>
      </c>
      <c r="N16" s="179">
        <f t="shared" ref="N16:N29" si="5">L16+M16</f>
        <v>45828</v>
      </c>
      <c r="O16" s="180">
        <v>5</v>
      </c>
      <c r="P16" s="179">
        <f t="shared" ref="P16:P29" si="6">N16+O16</f>
        <v>45833</v>
      </c>
      <c r="Q16" s="161">
        <f t="shared" ref="Q16:Q29" si="7">O16+M16+K16+I16+G16+E16</f>
        <v>127</v>
      </c>
      <c r="R16" s="160">
        <v>45833</v>
      </c>
      <c r="S16" s="160">
        <f t="shared" ref="S16:S29" si="8">+T16-23</f>
        <v>45704</v>
      </c>
      <c r="T16" s="160">
        <f t="shared" ref="T16:T29" si="9">+U16-Z16</f>
        <v>45727</v>
      </c>
      <c r="U16" s="160">
        <f t="shared" ref="U16:U29" si="10">+V16-7</f>
        <v>45817</v>
      </c>
      <c r="V16" s="162">
        <f>+$C$8-60</f>
        <v>45824</v>
      </c>
      <c r="W16" s="163"/>
      <c r="X16" s="164"/>
      <c r="Y16" s="165"/>
      <c r="Z16" s="166">
        <v>90</v>
      </c>
      <c r="AA16" s="167"/>
      <c r="AB16" s="168"/>
      <c r="AC16" s="158"/>
      <c r="AD16" s="169"/>
      <c r="AE16" s="158"/>
      <c r="AF16" s="158"/>
    </row>
    <row r="17" spans="1:32" x14ac:dyDescent="0.3">
      <c r="A17" s="157">
        <v>2.0099999999999998</v>
      </c>
      <c r="B17" s="158" t="s">
        <v>68</v>
      </c>
      <c r="C17" s="159" t="s">
        <v>798</v>
      </c>
      <c r="D17" s="179">
        <f t="shared" si="0"/>
        <v>45706</v>
      </c>
      <c r="E17" s="180">
        <v>10</v>
      </c>
      <c r="F17" s="179">
        <f t="shared" si="1"/>
        <v>45716</v>
      </c>
      <c r="G17" s="180">
        <v>21</v>
      </c>
      <c r="H17" s="179">
        <f t="shared" si="2"/>
        <v>45737</v>
      </c>
      <c r="I17" s="180">
        <v>15</v>
      </c>
      <c r="J17" s="179">
        <f t="shared" si="3"/>
        <v>45752</v>
      </c>
      <c r="K17" s="180">
        <v>45</v>
      </c>
      <c r="L17" s="179">
        <f t="shared" si="4"/>
        <v>45797</v>
      </c>
      <c r="M17" s="180">
        <v>31</v>
      </c>
      <c r="N17" s="179">
        <f t="shared" si="5"/>
        <v>45828</v>
      </c>
      <c r="O17" s="180">
        <v>5</v>
      </c>
      <c r="P17" s="179">
        <f t="shared" si="6"/>
        <v>45833</v>
      </c>
      <c r="Q17" s="161">
        <f t="shared" si="7"/>
        <v>127</v>
      </c>
      <c r="R17" s="160">
        <v>45833</v>
      </c>
      <c r="S17" s="160">
        <f t="shared" si="8"/>
        <v>45704</v>
      </c>
      <c r="T17" s="160">
        <f t="shared" si="9"/>
        <v>45727</v>
      </c>
      <c r="U17" s="160">
        <f t="shared" si="10"/>
        <v>45817</v>
      </c>
      <c r="V17" s="162">
        <f>+$C$8-60</f>
        <v>45824</v>
      </c>
      <c r="W17" s="163"/>
      <c r="X17" s="164"/>
      <c r="Y17" s="165"/>
      <c r="Z17" s="166">
        <v>90</v>
      </c>
      <c r="AA17" s="167"/>
      <c r="AB17" s="168"/>
      <c r="AC17" s="158"/>
      <c r="AD17" s="169"/>
      <c r="AE17" s="158"/>
      <c r="AF17" s="158"/>
    </row>
    <row r="18" spans="1:32" x14ac:dyDescent="0.3">
      <c r="A18" s="157">
        <v>2.0099999999999998</v>
      </c>
      <c r="B18" s="158" t="s">
        <v>68</v>
      </c>
      <c r="C18" s="159" t="s">
        <v>799</v>
      </c>
      <c r="D18" s="179">
        <f t="shared" si="0"/>
        <v>45706</v>
      </c>
      <c r="E18" s="180">
        <v>10</v>
      </c>
      <c r="F18" s="179">
        <f t="shared" si="1"/>
        <v>45716</v>
      </c>
      <c r="G18" s="180">
        <v>21</v>
      </c>
      <c r="H18" s="179">
        <f t="shared" si="2"/>
        <v>45737</v>
      </c>
      <c r="I18" s="180">
        <v>15</v>
      </c>
      <c r="J18" s="179">
        <f t="shared" si="3"/>
        <v>45752</v>
      </c>
      <c r="K18" s="180">
        <v>45</v>
      </c>
      <c r="L18" s="179">
        <f t="shared" si="4"/>
        <v>45797</v>
      </c>
      <c r="M18" s="180">
        <v>31</v>
      </c>
      <c r="N18" s="179">
        <f t="shared" si="5"/>
        <v>45828</v>
      </c>
      <c r="O18" s="180">
        <v>5</v>
      </c>
      <c r="P18" s="179">
        <f t="shared" si="6"/>
        <v>45833</v>
      </c>
      <c r="Q18" s="161">
        <f t="shared" si="7"/>
        <v>127</v>
      </c>
      <c r="R18" s="160">
        <v>45833</v>
      </c>
      <c r="S18" s="160">
        <f t="shared" si="8"/>
        <v>45704</v>
      </c>
      <c r="T18" s="160">
        <f t="shared" si="9"/>
        <v>45727</v>
      </c>
      <c r="U18" s="160">
        <f t="shared" si="10"/>
        <v>45817</v>
      </c>
      <c r="V18" s="162">
        <f>+$C$8-60</f>
        <v>45824</v>
      </c>
      <c r="W18" s="163"/>
      <c r="X18" s="164"/>
      <c r="Y18" s="165"/>
      <c r="Z18" s="166">
        <v>90</v>
      </c>
      <c r="AA18" s="167"/>
      <c r="AB18" s="168"/>
      <c r="AC18" s="158"/>
      <c r="AD18" s="169"/>
      <c r="AE18" s="158"/>
      <c r="AF18" s="158"/>
    </row>
    <row r="19" spans="1:32" x14ac:dyDescent="0.3">
      <c r="A19" s="157">
        <v>2.0099999999999998</v>
      </c>
      <c r="B19" s="158" t="s">
        <v>68</v>
      </c>
      <c r="C19" s="159" t="s">
        <v>800</v>
      </c>
      <c r="D19" s="179">
        <f t="shared" si="0"/>
        <v>45706</v>
      </c>
      <c r="E19" s="180">
        <v>10</v>
      </c>
      <c r="F19" s="179">
        <f t="shared" si="1"/>
        <v>45716</v>
      </c>
      <c r="G19" s="180">
        <v>21</v>
      </c>
      <c r="H19" s="179">
        <f t="shared" si="2"/>
        <v>45737</v>
      </c>
      <c r="I19" s="180">
        <v>15</v>
      </c>
      <c r="J19" s="179">
        <f t="shared" si="3"/>
        <v>45752</v>
      </c>
      <c r="K19" s="180">
        <v>45</v>
      </c>
      <c r="L19" s="179">
        <f t="shared" si="4"/>
        <v>45797</v>
      </c>
      <c r="M19" s="180">
        <v>31</v>
      </c>
      <c r="N19" s="179">
        <f t="shared" si="5"/>
        <v>45828</v>
      </c>
      <c r="O19" s="180">
        <v>5</v>
      </c>
      <c r="P19" s="179">
        <f t="shared" si="6"/>
        <v>45833</v>
      </c>
      <c r="Q19" s="161">
        <f t="shared" si="7"/>
        <v>127</v>
      </c>
      <c r="R19" s="160">
        <v>45833</v>
      </c>
      <c r="S19" s="160">
        <f t="shared" si="8"/>
        <v>45704</v>
      </c>
      <c r="T19" s="160">
        <f t="shared" si="9"/>
        <v>45727</v>
      </c>
      <c r="U19" s="160">
        <f t="shared" si="10"/>
        <v>45817</v>
      </c>
      <c r="V19" s="162">
        <f>+$C$8-60</f>
        <v>45824</v>
      </c>
      <c r="W19" s="163"/>
      <c r="X19" s="164"/>
      <c r="Y19" s="165"/>
      <c r="Z19" s="166">
        <v>90</v>
      </c>
      <c r="AA19" s="167"/>
      <c r="AB19" s="168"/>
      <c r="AC19" s="158"/>
      <c r="AD19" s="169"/>
      <c r="AE19" s="158"/>
      <c r="AF19" s="158"/>
    </row>
    <row r="20" spans="1:32" x14ac:dyDescent="0.3">
      <c r="A20" s="157">
        <v>2.0099999999999998</v>
      </c>
      <c r="B20" s="158" t="s">
        <v>68</v>
      </c>
      <c r="C20" s="159" t="s">
        <v>801</v>
      </c>
      <c r="D20" s="179">
        <f t="shared" si="0"/>
        <v>45706</v>
      </c>
      <c r="E20" s="180">
        <v>10</v>
      </c>
      <c r="F20" s="179">
        <f t="shared" si="1"/>
        <v>45716</v>
      </c>
      <c r="G20" s="180">
        <v>21</v>
      </c>
      <c r="H20" s="179">
        <f t="shared" si="2"/>
        <v>45737</v>
      </c>
      <c r="I20" s="180">
        <v>15</v>
      </c>
      <c r="J20" s="179">
        <f t="shared" si="3"/>
        <v>45752</v>
      </c>
      <c r="K20" s="180">
        <v>45</v>
      </c>
      <c r="L20" s="179">
        <f t="shared" si="4"/>
        <v>45797</v>
      </c>
      <c r="M20" s="180">
        <v>31</v>
      </c>
      <c r="N20" s="179">
        <f t="shared" si="5"/>
        <v>45828</v>
      </c>
      <c r="O20" s="180">
        <v>5</v>
      </c>
      <c r="P20" s="179">
        <f t="shared" si="6"/>
        <v>45833</v>
      </c>
      <c r="Q20" s="161">
        <f t="shared" si="7"/>
        <v>127</v>
      </c>
      <c r="R20" s="160">
        <v>45833</v>
      </c>
      <c r="S20" s="160">
        <f t="shared" si="8"/>
        <v>45704</v>
      </c>
      <c r="T20" s="160">
        <f t="shared" si="9"/>
        <v>45727</v>
      </c>
      <c r="U20" s="160">
        <f t="shared" si="10"/>
        <v>45817</v>
      </c>
      <c r="V20" s="162">
        <f>+$C$8-60</f>
        <v>45824</v>
      </c>
      <c r="W20" s="163"/>
      <c r="X20" s="164"/>
      <c r="Y20" s="165"/>
      <c r="Z20" s="166">
        <v>90</v>
      </c>
      <c r="AA20" s="167"/>
      <c r="AB20" s="168"/>
      <c r="AC20" s="158"/>
      <c r="AD20" s="169"/>
      <c r="AE20" s="158"/>
      <c r="AF20" s="158"/>
    </row>
    <row r="21" spans="1:32" x14ac:dyDescent="0.3">
      <c r="A21" s="157">
        <v>2.02</v>
      </c>
      <c r="B21" s="158" t="s">
        <v>802</v>
      </c>
      <c r="C21" s="159" t="s">
        <v>803</v>
      </c>
      <c r="D21" s="179">
        <f t="shared" si="0"/>
        <v>45763</v>
      </c>
      <c r="E21" s="180">
        <v>10</v>
      </c>
      <c r="F21" s="179">
        <f t="shared" si="1"/>
        <v>45773</v>
      </c>
      <c r="G21" s="180">
        <v>0</v>
      </c>
      <c r="H21" s="179">
        <f t="shared" si="2"/>
        <v>45773</v>
      </c>
      <c r="I21" s="180">
        <v>15</v>
      </c>
      <c r="J21" s="179">
        <f t="shared" si="3"/>
        <v>45788</v>
      </c>
      <c r="K21" s="180">
        <v>45</v>
      </c>
      <c r="L21" s="179">
        <f t="shared" si="4"/>
        <v>45833</v>
      </c>
      <c r="M21" s="180">
        <v>0</v>
      </c>
      <c r="N21" s="179">
        <f t="shared" si="5"/>
        <v>45833</v>
      </c>
      <c r="O21" s="180">
        <v>0</v>
      </c>
      <c r="P21" s="179">
        <f t="shared" si="6"/>
        <v>45833</v>
      </c>
      <c r="Q21" s="161">
        <f t="shared" si="7"/>
        <v>70</v>
      </c>
      <c r="R21" s="160">
        <v>45833</v>
      </c>
      <c r="S21" s="160">
        <f t="shared" si="8"/>
        <v>-120</v>
      </c>
      <c r="T21" s="160">
        <f t="shared" si="9"/>
        <v>-97</v>
      </c>
      <c r="U21" s="160">
        <f t="shared" si="10"/>
        <v>-37</v>
      </c>
      <c r="V21" s="170">
        <f>+C7-30</f>
        <v>-30</v>
      </c>
      <c r="W21" s="163"/>
      <c r="X21" s="164"/>
      <c r="Y21" s="165"/>
      <c r="Z21" s="166">
        <v>60</v>
      </c>
      <c r="AB21" s="168"/>
      <c r="AC21" s="158"/>
      <c r="AD21" s="158"/>
      <c r="AE21" s="158"/>
      <c r="AF21" s="158"/>
    </row>
    <row r="22" spans="1:32" x14ac:dyDescent="0.3">
      <c r="A22" s="157">
        <v>2.0299999999999998</v>
      </c>
      <c r="B22" s="158" t="s">
        <v>804</v>
      </c>
      <c r="C22" s="159" t="s">
        <v>805</v>
      </c>
      <c r="D22" s="179">
        <f t="shared" si="0"/>
        <v>45763</v>
      </c>
      <c r="E22" s="180">
        <v>10</v>
      </c>
      <c r="F22" s="179">
        <f t="shared" si="1"/>
        <v>45773</v>
      </c>
      <c r="G22" s="180">
        <v>0</v>
      </c>
      <c r="H22" s="179">
        <f t="shared" si="2"/>
        <v>45773</v>
      </c>
      <c r="I22" s="180">
        <v>15</v>
      </c>
      <c r="J22" s="179">
        <f t="shared" si="3"/>
        <v>45788</v>
      </c>
      <c r="K22" s="180">
        <v>45</v>
      </c>
      <c r="L22" s="179">
        <f t="shared" si="4"/>
        <v>45833</v>
      </c>
      <c r="M22" s="180">
        <v>0</v>
      </c>
      <c r="N22" s="179">
        <f t="shared" si="5"/>
        <v>45833</v>
      </c>
      <c r="O22" s="180">
        <v>0</v>
      </c>
      <c r="P22" s="179">
        <f t="shared" si="6"/>
        <v>45833</v>
      </c>
      <c r="Q22" s="161">
        <f t="shared" si="7"/>
        <v>70</v>
      </c>
      <c r="R22" s="160">
        <v>45833</v>
      </c>
      <c r="S22" s="160">
        <f t="shared" si="8"/>
        <v>-100</v>
      </c>
      <c r="T22" s="160">
        <f t="shared" si="9"/>
        <v>-77</v>
      </c>
      <c r="U22" s="160">
        <f t="shared" si="10"/>
        <v>-17</v>
      </c>
      <c r="V22" s="170">
        <f>+C6-10</f>
        <v>-10</v>
      </c>
      <c r="W22" s="163"/>
      <c r="X22" s="164"/>
      <c r="Y22" s="165"/>
      <c r="Z22" s="166">
        <v>60</v>
      </c>
      <c r="AA22" s="167"/>
      <c r="AB22" s="168"/>
      <c r="AC22" s="158"/>
      <c r="AD22" s="158"/>
      <c r="AE22" s="158"/>
      <c r="AF22" s="158"/>
    </row>
    <row r="23" spans="1:32" x14ac:dyDescent="0.3">
      <c r="A23" s="157">
        <v>2.0299999999999998</v>
      </c>
      <c r="B23" s="158" t="s">
        <v>804</v>
      </c>
      <c r="C23" s="159" t="s">
        <v>806</v>
      </c>
      <c r="D23" s="179">
        <f t="shared" si="0"/>
        <v>45833</v>
      </c>
      <c r="E23" s="180">
        <v>0</v>
      </c>
      <c r="F23" s="179">
        <f t="shared" si="1"/>
        <v>45833</v>
      </c>
      <c r="G23" s="180">
        <v>0</v>
      </c>
      <c r="H23" s="179">
        <f t="shared" si="2"/>
        <v>45833</v>
      </c>
      <c r="I23" s="180">
        <v>0</v>
      </c>
      <c r="J23" s="179">
        <f t="shared" si="3"/>
        <v>45833</v>
      </c>
      <c r="K23" s="180">
        <v>0</v>
      </c>
      <c r="L23" s="179">
        <f t="shared" si="4"/>
        <v>45833</v>
      </c>
      <c r="M23" s="180">
        <v>0</v>
      </c>
      <c r="N23" s="179">
        <f t="shared" si="5"/>
        <v>45833</v>
      </c>
      <c r="O23" s="180">
        <v>0</v>
      </c>
      <c r="P23" s="179">
        <f t="shared" si="6"/>
        <v>45833</v>
      </c>
      <c r="Q23" s="161">
        <f t="shared" si="7"/>
        <v>0</v>
      </c>
      <c r="R23" s="160">
        <v>45833</v>
      </c>
      <c r="S23" s="160">
        <f t="shared" si="8"/>
        <v>45674</v>
      </c>
      <c r="T23" s="160">
        <f t="shared" si="9"/>
        <v>45697</v>
      </c>
      <c r="U23" s="160">
        <f t="shared" si="10"/>
        <v>45757</v>
      </c>
      <c r="V23" s="171">
        <f>+C8-120</f>
        <v>45764</v>
      </c>
      <c r="W23" s="172"/>
      <c r="X23" s="164"/>
      <c r="Y23" s="165"/>
      <c r="Z23" s="166">
        <v>60</v>
      </c>
      <c r="AA23" s="167"/>
      <c r="AB23" s="168"/>
      <c r="AC23" s="158"/>
      <c r="AD23" s="158"/>
      <c r="AE23" s="158"/>
      <c r="AF23" s="158"/>
    </row>
    <row r="24" spans="1:32" x14ac:dyDescent="0.3">
      <c r="A24" s="157">
        <v>2.04</v>
      </c>
      <c r="B24" s="158" t="s">
        <v>807</v>
      </c>
      <c r="C24" s="159" t="s">
        <v>808</v>
      </c>
      <c r="D24" s="179">
        <v>45444</v>
      </c>
      <c r="E24" s="180">
        <v>21</v>
      </c>
      <c r="F24" s="179">
        <f t="shared" si="1"/>
        <v>45465</v>
      </c>
      <c r="G24" s="180">
        <v>21</v>
      </c>
      <c r="H24" s="179">
        <f t="shared" si="2"/>
        <v>45486</v>
      </c>
      <c r="I24" s="180">
        <v>15</v>
      </c>
      <c r="J24" s="179">
        <f t="shared" si="3"/>
        <v>45501</v>
      </c>
      <c r="K24" s="180">
        <v>160</v>
      </c>
      <c r="L24" s="179">
        <f t="shared" si="4"/>
        <v>45661</v>
      </c>
      <c r="M24" s="180">
        <v>60</v>
      </c>
      <c r="N24" s="179">
        <f t="shared" si="5"/>
        <v>45721</v>
      </c>
      <c r="O24" s="180">
        <v>5</v>
      </c>
      <c r="P24" s="179">
        <f t="shared" si="6"/>
        <v>45726</v>
      </c>
      <c r="Q24" s="161">
        <f t="shared" si="7"/>
        <v>282</v>
      </c>
      <c r="R24" s="160">
        <v>45833</v>
      </c>
      <c r="S24" s="160">
        <f t="shared" si="8"/>
        <v>45614</v>
      </c>
      <c r="T24" s="160">
        <f t="shared" si="9"/>
        <v>45637</v>
      </c>
      <c r="U24" s="160">
        <f t="shared" si="10"/>
        <v>45817</v>
      </c>
      <c r="V24" s="170">
        <f>+C8-60</f>
        <v>45824</v>
      </c>
      <c r="W24" s="163"/>
      <c r="X24" s="164"/>
      <c r="Y24" s="165"/>
      <c r="Z24" s="166">
        <v>180</v>
      </c>
      <c r="AA24" s="167"/>
      <c r="AB24" s="168"/>
      <c r="AC24" s="158"/>
      <c r="AD24" s="158"/>
      <c r="AE24" s="158"/>
      <c r="AF24" s="158"/>
    </row>
    <row r="25" spans="1:32" x14ac:dyDescent="0.3">
      <c r="A25" s="157">
        <v>2.04</v>
      </c>
      <c r="B25" s="158" t="s">
        <v>807</v>
      </c>
      <c r="C25" s="159" t="s">
        <v>809</v>
      </c>
      <c r="D25" s="179">
        <v>45444</v>
      </c>
      <c r="E25" s="180">
        <v>21</v>
      </c>
      <c r="F25" s="179">
        <f t="shared" si="1"/>
        <v>45465</v>
      </c>
      <c r="G25" s="180">
        <v>21</v>
      </c>
      <c r="H25" s="179">
        <f t="shared" si="2"/>
        <v>45486</v>
      </c>
      <c r="I25" s="180">
        <v>15</v>
      </c>
      <c r="J25" s="179">
        <f t="shared" si="3"/>
        <v>45501</v>
      </c>
      <c r="K25" s="180">
        <v>160</v>
      </c>
      <c r="L25" s="179">
        <f t="shared" si="4"/>
        <v>45661</v>
      </c>
      <c r="M25" s="180">
        <v>60</v>
      </c>
      <c r="N25" s="179">
        <f t="shared" si="5"/>
        <v>45721</v>
      </c>
      <c r="O25" s="180">
        <v>5</v>
      </c>
      <c r="P25" s="179">
        <f t="shared" si="6"/>
        <v>45726</v>
      </c>
      <c r="Q25" s="161">
        <f t="shared" si="7"/>
        <v>282</v>
      </c>
      <c r="R25" s="160">
        <v>45833</v>
      </c>
      <c r="S25" s="160">
        <f t="shared" si="8"/>
        <v>45614</v>
      </c>
      <c r="T25" s="160">
        <f t="shared" si="9"/>
        <v>45637</v>
      </c>
      <c r="U25" s="160">
        <f t="shared" si="10"/>
        <v>45817</v>
      </c>
      <c r="V25" s="170">
        <f>+C8-60</f>
        <v>45824</v>
      </c>
      <c r="W25" s="163"/>
      <c r="X25" s="164"/>
      <c r="Y25" s="165"/>
      <c r="Z25" s="166">
        <v>180</v>
      </c>
      <c r="AA25" s="167"/>
      <c r="AB25" s="168"/>
      <c r="AC25" s="158"/>
      <c r="AD25" s="158"/>
      <c r="AE25" s="158"/>
      <c r="AF25" s="158"/>
    </row>
    <row r="26" spans="1:32" x14ac:dyDescent="0.3">
      <c r="A26" s="157">
        <v>2.04</v>
      </c>
      <c r="B26" s="158" t="s">
        <v>807</v>
      </c>
      <c r="C26" s="159" t="s">
        <v>810</v>
      </c>
      <c r="D26" s="179">
        <v>45444</v>
      </c>
      <c r="E26" s="180">
        <v>21</v>
      </c>
      <c r="F26" s="179">
        <f t="shared" si="1"/>
        <v>45465</v>
      </c>
      <c r="G26" s="180">
        <v>21</v>
      </c>
      <c r="H26" s="179">
        <f t="shared" si="2"/>
        <v>45486</v>
      </c>
      <c r="I26" s="180">
        <v>15</v>
      </c>
      <c r="J26" s="179">
        <f t="shared" si="3"/>
        <v>45501</v>
      </c>
      <c r="K26" s="180">
        <v>160</v>
      </c>
      <c r="L26" s="179">
        <f t="shared" si="4"/>
        <v>45661</v>
      </c>
      <c r="M26" s="180">
        <v>60</v>
      </c>
      <c r="N26" s="179">
        <f t="shared" si="5"/>
        <v>45721</v>
      </c>
      <c r="O26" s="180">
        <v>5</v>
      </c>
      <c r="P26" s="179">
        <f t="shared" si="6"/>
        <v>45726</v>
      </c>
      <c r="Q26" s="161">
        <f t="shared" si="7"/>
        <v>282</v>
      </c>
      <c r="R26" s="160">
        <v>45833</v>
      </c>
      <c r="S26" s="160">
        <f t="shared" si="8"/>
        <v>45614</v>
      </c>
      <c r="T26" s="160">
        <f t="shared" si="9"/>
        <v>45637</v>
      </c>
      <c r="U26" s="160">
        <f t="shared" si="10"/>
        <v>45817</v>
      </c>
      <c r="V26" s="170">
        <f>+C8-60</f>
        <v>45824</v>
      </c>
      <c r="W26" s="163"/>
      <c r="X26" s="164"/>
      <c r="Y26" s="165"/>
      <c r="Z26" s="166">
        <v>180</v>
      </c>
      <c r="AA26" s="167"/>
      <c r="AB26" s="168"/>
      <c r="AC26" s="158"/>
      <c r="AD26" s="158"/>
      <c r="AE26" s="158"/>
      <c r="AF26" s="158"/>
    </row>
    <row r="27" spans="1:32" x14ac:dyDescent="0.3">
      <c r="A27" s="157">
        <v>2.04</v>
      </c>
      <c r="B27" s="158" t="s">
        <v>807</v>
      </c>
      <c r="C27" s="159" t="s">
        <v>811</v>
      </c>
      <c r="D27" s="179">
        <v>45413</v>
      </c>
      <c r="E27" s="180">
        <v>15</v>
      </c>
      <c r="F27" s="179">
        <f t="shared" si="1"/>
        <v>45428</v>
      </c>
      <c r="G27" s="180">
        <v>0</v>
      </c>
      <c r="H27" s="179">
        <f t="shared" si="2"/>
        <v>45428</v>
      </c>
      <c r="I27" s="180">
        <v>15</v>
      </c>
      <c r="J27" s="179">
        <f t="shared" si="3"/>
        <v>45443</v>
      </c>
      <c r="K27" s="180">
        <f>40*7</f>
        <v>280</v>
      </c>
      <c r="L27" s="179">
        <f t="shared" si="4"/>
        <v>45723</v>
      </c>
      <c r="M27" s="180">
        <v>21</v>
      </c>
      <c r="N27" s="179">
        <f t="shared" si="5"/>
        <v>45744</v>
      </c>
      <c r="O27" s="180">
        <v>5</v>
      </c>
      <c r="P27" s="179">
        <f t="shared" si="6"/>
        <v>45749</v>
      </c>
      <c r="Q27" s="161">
        <f t="shared" si="7"/>
        <v>336</v>
      </c>
      <c r="R27" s="160">
        <v>45833</v>
      </c>
      <c r="S27" s="160">
        <f t="shared" si="8"/>
        <v>45514</v>
      </c>
      <c r="T27" s="160">
        <f t="shared" si="9"/>
        <v>45537</v>
      </c>
      <c r="U27" s="160">
        <f t="shared" si="10"/>
        <v>45817</v>
      </c>
      <c r="V27" s="170">
        <f>+C8-60</f>
        <v>45824</v>
      </c>
      <c r="W27" s="163"/>
      <c r="X27" s="164"/>
      <c r="Y27" s="165"/>
      <c r="Z27" s="166">
        <v>280</v>
      </c>
      <c r="AA27" s="167"/>
      <c r="AB27" s="168"/>
      <c r="AC27" s="158"/>
      <c r="AD27" s="158"/>
      <c r="AE27" s="158"/>
      <c r="AF27" s="158"/>
    </row>
    <row r="28" spans="1:32" x14ac:dyDescent="0.3">
      <c r="A28" s="157">
        <v>2.04</v>
      </c>
      <c r="B28" s="158" t="s">
        <v>807</v>
      </c>
      <c r="C28" s="159" t="s">
        <v>812</v>
      </c>
      <c r="D28" s="179">
        <f>R28-(E28+G28+I28+K28+M28+O28)</f>
        <v>45670</v>
      </c>
      <c r="E28" s="180">
        <v>10</v>
      </c>
      <c r="F28" s="179">
        <f t="shared" si="1"/>
        <v>45680</v>
      </c>
      <c r="G28" s="180">
        <v>0</v>
      </c>
      <c r="H28" s="179">
        <f t="shared" si="2"/>
        <v>45680</v>
      </c>
      <c r="I28" s="180">
        <v>15</v>
      </c>
      <c r="J28" s="179">
        <f t="shared" si="3"/>
        <v>45695</v>
      </c>
      <c r="K28" s="180">
        <f>16*7</f>
        <v>112</v>
      </c>
      <c r="L28" s="179">
        <f t="shared" si="4"/>
        <v>45807</v>
      </c>
      <c r="M28" s="180">
        <v>21</v>
      </c>
      <c r="N28" s="179">
        <f t="shared" si="5"/>
        <v>45828</v>
      </c>
      <c r="O28" s="180">
        <v>5</v>
      </c>
      <c r="P28" s="179">
        <f t="shared" si="6"/>
        <v>45833</v>
      </c>
      <c r="Q28" s="161">
        <f t="shared" si="7"/>
        <v>163</v>
      </c>
      <c r="R28" s="160">
        <v>45833</v>
      </c>
      <c r="S28" s="160">
        <f t="shared" si="8"/>
        <v>-190</v>
      </c>
      <c r="T28" s="160">
        <f t="shared" si="9"/>
        <v>-167</v>
      </c>
      <c r="U28" s="160">
        <f t="shared" si="10"/>
        <v>-37</v>
      </c>
      <c r="V28" s="170">
        <f>+C6-30</f>
        <v>-30</v>
      </c>
      <c r="W28" s="163"/>
      <c r="X28" s="164"/>
      <c r="Y28" s="165"/>
      <c r="Z28" s="166">
        <v>130</v>
      </c>
      <c r="AA28" s="167"/>
      <c r="AB28" s="168"/>
      <c r="AC28" s="158"/>
      <c r="AD28" s="158"/>
      <c r="AE28" s="158"/>
      <c r="AF28" s="158"/>
    </row>
    <row r="29" spans="1:32" x14ac:dyDescent="0.3">
      <c r="A29" s="157">
        <v>2.0499999999999998</v>
      </c>
      <c r="B29" s="158" t="s">
        <v>813</v>
      </c>
      <c r="C29" s="159" t="s">
        <v>207</v>
      </c>
      <c r="D29" s="179">
        <f>R29-(E29+G29+I29+K29+M29+O29)</f>
        <v>45743</v>
      </c>
      <c r="E29" s="180">
        <v>10</v>
      </c>
      <c r="F29" s="179">
        <f t="shared" si="1"/>
        <v>45753</v>
      </c>
      <c r="G29" s="180">
        <v>0</v>
      </c>
      <c r="H29" s="179">
        <f t="shared" si="2"/>
        <v>45753</v>
      </c>
      <c r="I29" s="180">
        <v>15</v>
      </c>
      <c r="J29" s="179">
        <f t="shared" si="3"/>
        <v>45768</v>
      </c>
      <c r="K29" s="180">
        <v>60</v>
      </c>
      <c r="L29" s="179">
        <f t="shared" si="4"/>
        <v>45828</v>
      </c>
      <c r="M29" s="180">
        <v>0</v>
      </c>
      <c r="N29" s="179">
        <f t="shared" si="5"/>
        <v>45828</v>
      </c>
      <c r="O29" s="180">
        <v>5</v>
      </c>
      <c r="P29" s="179">
        <f t="shared" si="6"/>
        <v>45833</v>
      </c>
      <c r="Q29" s="161">
        <f t="shared" si="7"/>
        <v>90</v>
      </c>
      <c r="R29" s="160">
        <v>45833</v>
      </c>
      <c r="S29" s="160">
        <f t="shared" si="8"/>
        <v>45674</v>
      </c>
      <c r="T29" s="160">
        <f t="shared" si="9"/>
        <v>45697</v>
      </c>
      <c r="U29" s="160">
        <f t="shared" si="10"/>
        <v>45757</v>
      </c>
      <c r="V29" s="170">
        <f>+C8-120</f>
        <v>45764</v>
      </c>
      <c r="W29" s="163"/>
      <c r="X29" s="164"/>
      <c r="Y29" s="165"/>
      <c r="Z29" s="166">
        <v>60</v>
      </c>
      <c r="AA29" s="167"/>
      <c r="AB29" s="168"/>
      <c r="AC29" s="158"/>
      <c r="AD29" s="158"/>
      <c r="AE29" s="158"/>
      <c r="AF29" s="158"/>
    </row>
    <row r="30" spans="1:32" x14ac:dyDescent="0.3">
      <c r="A30" s="414" t="s">
        <v>814</v>
      </c>
      <c r="B30" s="415"/>
      <c r="C30" s="415"/>
      <c r="D30" s="415"/>
      <c r="E30" s="415"/>
      <c r="F30" s="415"/>
      <c r="G30" s="415"/>
      <c r="H30" s="415"/>
      <c r="I30" s="415"/>
      <c r="J30" s="415"/>
      <c r="K30" s="415"/>
      <c r="L30" s="415"/>
      <c r="M30" s="415"/>
      <c r="N30" s="415"/>
      <c r="O30" s="415"/>
      <c r="P30" s="415"/>
      <c r="Q30" s="415"/>
      <c r="R30" s="415"/>
      <c r="S30" s="415"/>
      <c r="T30" s="415"/>
      <c r="U30" s="415"/>
      <c r="V30" s="415"/>
      <c r="W30" s="415"/>
      <c r="X30" s="415"/>
      <c r="Y30" s="415"/>
      <c r="Z30" s="415"/>
      <c r="AA30" s="158"/>
      <c r="AB30" s="158"/>
      <c r="AC30" s="158"/>
      <c r="AD30" s="158"/>
      <c r="AE30" s="158"/>
      <c r="AF30" s="158"/>
    </row>
    <row r="31" spans="1:32" x14ac:dyDescent="0.3">
      <c r="A31" s="157">
        <v>3.03</v>
      </c>
      <c r="B31" s="158" t="s">
        <v>84</v>
      </c>
      <c r="C31" s="159" t="s">
        <v>815</v>
      </c>
      <c r="D31" s="179">
        <f>R31-(E31+G31+I31+K31+M31+O31)</f>
        <v>45733</v>
      </c>
      <c r="E31" s="180">
        <v>15</v>
      </c>
      <c r="F31" s="179">
        <f>D31+E31</f>
        <v>45748</v>
      </c>
      <c r="G31" s="180">
        <v>0</v>
      </c>
      <c r="H31" s="179">
        <f>F31+G31</f>
        <v>45748</v>
      </c>
      <c r="I31" s="180">
        <v>15</v>
      </c>
      <c r="J31" s="179">
        <f>H31+I31</f>
        <v>45763</v>
      </c>
      <c r="K31" s="180">
        <v>60</v>
      </c>
      <c r="L31" s="179">
        <f>J31+K31</f>
        <v>45823</v>
      </c>
      <c r="M31" s="180">
        <v>0</v>
      </c>
      <c r="N31" s="179">
        <f>L31+M31</f>
        <v>45823</v>
      </c>
      <c r="O31" s="180">
        <v>10</v>
      </c>
      <c r="P31" s="179">
        <f>N31+O31</f>
        <v>45833</v>
      </c>
      <c r="Q31" s="161">
        <f>O31+M31+K31+I31+G31+E31</f>
        <v>100</v>
      </c>
      <c r="R31" s="160">
        <v>45833</v>
      </c>
      <c r="S31" s="160">
        <f>+T31-23</f>
        <v>-270</v>
      </c>
      <c r="T31" s="160">
        <f>+U31-Z31</f>
        <v>-247</v>
      </c>
      <c r="U31" s="160">
        <f>+V31-7</f>
        <v>-127</v>
      </c>
      <c r="V31" s="170">
        <f>+C10-120</f>
        <v>-120</v>
      </c>
      <c r="W31" s="172"/>
      <c r="X31" s="164"/>
      <c r="Y31" s="165"/>
      <c r="Z31" s="166">
        <v>120</v>
      </c>
      <c r="AA31" s="167"/>
      <c r="AB31" s="158"/>
      <c r="AC31" s="158"/>
      <c r="AD31" s="158"/>
      <c r="AE31" s="158"/>
      <c r="AF31" s="158"/>
    </row>
    <row r="32" spans="1:32" x14ac:dyDescent="0.3">
      <c r="A32" s="157">
        <v>3.04</v>
      </c>
      <c r="B32" s="158" t="s">
        <v>85</v>
      </c>
      <c r="C32" s="159" t="s">
        <v>816</v>
      </c>
      <c r="D32" s="179">
        <f>R32-(E32+G32+I32+K32+M32+O32)</f>
        <v>45773</v>
      </c>
      <c r="E32" s="180">
        <v>7</v>
      </c>
      <c r="F32" s="179">
        <f>D32+E32</f>
        <v>45780</v>
      </c>
      <c r="G32" s="180">
        <v>0</v>
      </c>
      <c r="H32" s="179">
        <f>F32+G32</f>
        <v>45780</v>
      </c>
      <c r="I32" s="180">
        <v>5</v>
      </c>
      <c r="J32" s="179">
        <f>H32+I32</f>
        <v>45785</v>
      </c>
      <c r="K32" s="180">
        <v>45</v>
      </c>
      <c r="L32" s="179">
        <f>J32+K32</f>
        <v>45830</v>
      </c>
      <c r="M32" s="180">
        <v>0</v>
      </c>
      <c r="N32" s="179">
        <f>L32+M32</f>
        <v>45830</v>
      </c>
      <c r="O32" s="180">
        <v>3</v>
      </c>
      <c r="P32" s="179">
        <f>N32+O32</f>
        <v>45833</v>
      </c>
      <c r="Q32" s="161">
        <f>O32+M32+K32+I32+G32+E32</f>
        <v>60</v>
      </c>
      <c r="R32" s="160">
        <v>45833</v>
      </c>
      <c r="S32" s="160">
        <f>+T32-23</f>
        <v>45689</v>
      </c>
      <c r="T32" s="160">
        <f>+U32-Z32</f>
        <v>45712</v>
      </c>
      <c r="U32" s="160">
        <f>+V32-7</f>
        <v>45757</v>
      </c>
      <c r="V32" s="170">
        <f>+C8-120</f>
        <v>45764</v>
      </c>
      <c r="W32" s="163"/>
      <c r="X32" s="164"/>
      <c r="Y32" s="165"/>
      <c r="Z32" s="166">
        <v>45</v>
      </c>
      <c r="AA32" s="167"/>
      <c r="AB32" s="158"/>
      <c r="AC32" s="158"/>
      <c r="AD32" s="158"/>
      <c r="AE32" s="158"/>
      <c r="AF32" s="158"/>
    </row>
    <row r="33" spans="1:32" x14ac:dyDescent="0.3">
      <c r="A33" s="157">
        <v>3.04</v>
      </c>
      <c r="B33" s="158" t="s">
        <v>85</v>
      </c>
      <c r="C33" s="159" t="s">
        <v>817</v>
      </c>
      <c r="D33" s="179">
        <f>R33-(E33+G33+I33+K33+M33+O33)</f>
        <v>45773</v>
      </c>
      <c r="E33" s="180">
        <v>7</v>
      </c>
      <c r="F33" s="179">
        <f>D33+E33</f>
        <v>45780</v>
      </c>
      <c r="G33" s="180">
        <v>0</v>
      </c>
      <c r="H33" s="179">
        <f>F33+G33</f>
        <v>45780</v>
      </c>
      <c r="I33" s="180">
        <v>5</v>
      </c>
      <c r="J33" s="179">
        <f>H33+I33</f>
        <v>45785</v>
      </c>
      <c r="K33" s="180">
        <v>45</v>
      </c>
      <c r="L33" s="179">
        <f>J33+K33</f>
        <v>45830</v>
      </c>
      <c r="M33" s="180">
        <v>0</v>
      </c>
      <c r="N33" s="179">
        <f>L33+M33</f>
        <v>45830</v>
      </c>
      <c r="O33" s="180">
        <v>3</v>
      </c>
      <c r="P33" s="179">
        <f>N33+O33</f>
        <v>45833</v>
      </c>
      <c r="Q33" s="161">
        <f>O33+M33+K33+I33+G33+E33</f>
        <v>60</v>
      </c>
      <c r="R33" s="160">
        <v>45833</v>
      </c>
      <c r="S33" s="160">
        <f>+T33-23</f>
        <v>45689</v>
      </c>
      <c r="T33" s="160">
        <f>+U33-Z33</f>
        <v>45712</v>
      </c>
      <c r="U33" s="160">
        <f>+V33-7</f>
        <v>45757</v>
      </c>
      <c r="V33" s="170">
        <f>+C8-120</f>
        <v>45764</v>
      </c>
      <c r="W33" s="163"/>
      <c r="X33" s="164"/>
      <c r="Y33" s="165"/>
      <c r="Z33" s="166">
        <v>45</v>
      </c>
      <c r="AA33" s="167"/>
      <c r="AB33" s="158"/>
      <c r="AC33" s="158"/>
      <c r="AD33" s="158"/>
      <c r="AE33" s="158"/>
      <c r="AF33" s="158"/>
    </row>
    <row r="34" spans="1:32" x14ac:dyDescent="0.3">
      <c r="A34" s="414" t="s">
        <v>818</v>
      </c>
      <c r="B34" s="415"/>
      <c r="C34" s="415"/>
      <c r="D34" s="415"/>
      <c r="E34" s="415"/>
      <c r="F34" s="415"/>
      <c r="G34" s="415"/>
      <c r="H34" s="415"/>
      <c r="I34" s="415"/>
      <c r="J34" s="415"/>
      <c r="K34" s="415"/>
      <c r="L34" s="415"/>
      <c r="M34" s="415"/>
      <c r="N34" s="415"/>
      <c r="O34" s="415"/>
      <c r="P34" s="415"/>
      <c r="Q34" s="415"/>
      <c r="R34" s="415"/>
      <c r="S34" s="415"/>
      <c r="T34" s="415"/>
      <c r="U34" s="415"/>
      <c r="V34" s="415"/>
      <c r="W34" s="415"/>
      <c r="X34" s="415"/>
      <c r="Y34" s="415"/>
      <c r="Z34" s="415"/>
      <c r="AA34" s="167"/>
      <c r="AB34" s="158"/>
      <c r="AC34" s="158"/>
      <c r="AD34" s="158"/>
      <c r="AE34" s="158"/>
      <c r="AF34" s="158"/>
    </row>
    <row r="35" spans="1:32" ht="28.8" x14ac:dyDescent="0.3">
      <c r="A35" s="157">
        <v>4.03</v>
      </c>
      <c r="B35" s="173" t="s">
        <v>819</v>
      </c>
      <c r="C35" s="174" t="s">
        <v>820</v>
      </c>
      <c r="D35" s="179">
        <f>R35-(E35+G35+I35+K35+M35+O35)</f>
        <v>45717</v>
      </c>
      <c r="E35" s="180">
        <v>15</v>
      </c>
      <c r="F35" s="179">
        <f>D35+E35</f>
        <v>45732</v>
      </c>
      <c r="G35" s="180">
        <v>21</v>
      </c>
      <c r="H35" s="179">
        <f>F35+G35</f>
        <v>45753</v>
      </c>
      <c r="I35" s="180">
        <v>15</v>
      </c>
      <c r="J35" s="179">
        <f>H35+I35</f>
        <v>45768</v>
      </c>
      <c r="K35" s="180">
        <v>60</v>
      </c>
      <c r="L35" s="179">
        <f>J35+K35</f>
        <v>45828</v>
      </c>
      <c r="M35" s="180">
        <v>0</v>
      </c>
      <c r="N35" s="179">
        <f>L35+M35</f>
        <v>45828</v>
      </c>
      <c r="O35" s="180">
        <v>5</v>
      </c>
      <c r="P35" s="179">
        <f>N35+O35</f>
        <v>45833</v>
      </c>
      <c r="Q35" s="161">
        <f>O35+M35+K35+I35+G35+E35</f>
        <v>116</v>
      </c>
      <c r="R35" s="160">
        <v>45833</v>
      </c>
      <c r="S35" s="160">
        <f>+T35-23</f>
        <v>45644</v>
      </c>
      <c r="T35" s="160">
        <f>+U35-Z35</f>
        <v>45667</v>
      </c>
      <c r="U35" s="160">
        <f>+V35-7</f>
        <v>45757</v>
      </c>
      <c r="V35" s="170">
        <f>+C8-120</f>
        <v>45764</v>
      </c>
      <c r="W35" s="172"/>
      <c r="X35" s="164"/>
      <c r="Y35" s="165"/>
      <c r="Z35" s="166">
        <v>90</v>
      </c>
      <c r="AA35" s="167"/>
      <c r="AB35" s="158"/>
      <c r="AC35" s="158"/>
      <c r="AD35" s="158"/>
      <c r="AE35" s="158"/>
      <c r="AF35" s="158"/>
    </row>
    <row r="36" spans="1:32" ht="28.8" x14ac:dyDescent="0.3">
      <c r="A36" s="157">
        <v>4.03</v>
      </c>
      <c r="B36" s="173" t="s">
        <v>819</v>
      </c>
      <c r="C36" s="174" t="s">
        <v>821</v>
      </c>
      <c r="D36" s="179">
        <f>R36-(E36+G36+I36+K36+M36+O36)</f>
        <v>45722</v>
      </c>
      <c r="E36" s="180">
        <v>10</v>
      </c>
      <c r="F36" s="179">
        <f>D36+E36</f>
        <v>45732</v>
      </c>
      <c r="G36" s="180">
        <v>21</v>
      </c>
      <c r="H36" s="179">
        <f>F36+G36</f>
        <v>45753</v>
      </c>
      <c r="I36" s="180">
        <v>15</v>
      </c>
      <c r="J36" s="179">
        <f>H36+I36</f>
        <v>45768</v>
      </c>
      <c r="K36" s="180">
        <v>60</v>
      </c>
      <c r="L36" s="179">
        <f>J36+K36</f>
        <v>45828</v>
      </c>
      <c r="M36" s="180">
        <v>0</v>
      </c>
      <c r="N36" s="179">
        <f>L36+M36</f>
        <v>45828</v>
      </c>
      <c r="O36" s="180">
        <v>5</v>
      </c>
      <c r="P36" s="179">
        <f>N36+O36</f>
        <v>45833</v>
      </c>
      <c r="Q36" s="161">
        <f>O36+M36+K36+I36+G36+E36</f>
        <v>111</v>
      </c>
      <c r="R36" s="160">
        <v>45833</v>
      </c>
      <c r="S36" s="160">
        <f>+T36-23</f>
        <v>45644</v>
      </c>
      <c r="T36" s="160">
        <f>+U36-Z36</f>
        <v>45667</v>
      </c>
      <c r="U36" s="160">
        <f>+V36-7</f>
        <v>45757</v>
      </c>
      <c r="V36" s="170">
        <f>+C8-120</f>
        <v>45764</v>
      </c>
      <c r="W36" s="172"/>
      <c r="X36" s="164"/>
      <c r="Y36" s="165"/>
      <c r="Z36" s="166">
        <v>90</v>
      </c>
      <c r="AA36" s="167"/>
      <c r="AB36" s="158"/>
      <c r="AC36" s="158"/>
      <c r="AD36" s="158"/>
      <c r="AE36" s="158"/>
      <c r="AF36" s="158"/>
    </row>
    <row r="37" spans="1:32" x14ac:dyDescent="0.3">
      <c r="A37" s="414" t="s">
        <v>822</v>
      </c>
      <c r="B37" s="415"/>
      <c r="C37" s="415"/>
      <c r="D37" s="415"/>
      <c r="E37" s="415"/>
      <c r="F37" s="415"/>
      <c r="G37" s="415"/>
      <c r="H37" s="415"/>
      <c r="I37" s="415"/>
      <c r="J37" s="415"/>
      <c r="K37" s="415"/>
      <c r="L37" s="415"/>
      <c r="M37" s="415"/>
      <c r="N37" s="415"/>
      <c r="O37" s="415"/>
      <c r="P37" s="415"/>
      <c r="Q37" s="415"/>
      <c r="R37" s="415"/>
      <c r="S37" s="415"/>
      <c r="T37" s="415"/>
      <c r="U37" s="415"/>
      <c r="V37" s="415"/>
      <c r="W37" s="415"/>
      <c r="X37" s="415"/>
      <c r="Y37" s="415"/>
      <c r="Z37" s="415"/>
      <c r="AA37" s="167"/>
      <c r="AB37" s="168"/>
      <c r="AC37" s="158"/>
      <c r="AD37" s="158"/>
      <c r="AE37" s="158"/>
      <c r="AF37" s="158"/>
    </row>
    <row r="38" spans="1:32" x14ac:dyDescent="0.3">
      <c r="A38" s="157">
        <v>5.01</v>
      </c>
      <c r="B38" s="158" t="s">
        <v>92</v>
      </c>
      <c r="C38" s="159" t="s">
        <v>823</v>
      </c>
      <c r="D38" s="179">
        <f t="shared" ref="D38:D45" si="11">R38-(E38+G38+I38+K38+M38+O38)</f>
        <v>45678</v>
      </c>
      <c r="E38" s="180">
        <v>60</v>
      </c>
      <c r="F38" s="179">
        <f t="shared" ref="F38:F66" si="12">D38+E38</f>
        <v>45738</v>
      </c>
      <c r="G38" s="180">
        <v>21</v>
      </c>
      <c r="H38" s="179">
        <f t="shared" ref="H38:H66" si="13">F38+G38</f>
        <v>45759</v>
      </c>
      <c r="I38" s="180">
        <v>20</v>
      </c>
      <c r="J38" s="179">
        <f t="shared" ref="J38:J66" si="14">H38+I38</f>
        <v>45779</v>
      </c>
      <c r="K38" s="180">
        <v>20</v>
      </c>
      <c r="L38" s="179">
        <f t="shared" ref="L38:L66" si="15">J38+K38</f>
        <v>45799</v>
      </c>
      <c r="M38" s="180">
        <v>31</v>
      </c>
      <c r="N38" s="179">
        <f t="shared" ref="N38:N66" si="16">L38+M38</f>
        <v>45830</v>
      </c>
      <c r="O38" s="180">
        <v>3</v>
      </c>
      <c r="P38" s="179">
        <f t="shared" ref="P38:P66" si="17">N38+O38</f>
        <v>45833</v>
      </c>
      <c r="Q38" s="161">
        <f t="shared" ref="Q38:Q66" si="18">O38+M38+K38+I38+G38+E38</f>
        <v>155</v>
      </c>
      <c r="R38" s="160">
        <v>45833</v>
      </c>
      <c r="S38" s="160">
        <f t="shared" ref="S38:S66" si="19">+T38-23</f>
        <v>45644</v>
      </c>
      <c r="T38" s="160">
        <f t="shared" ref="T38:T66" si="20">+U38-Z38</f>
        <v>45667</v>
      </c>
      <c r="U38" s="160">
        <f t="shared" ref="U38:U66" si="21">+V38-7</f>
        <v>45757</v>
      </c>
      <c r="V38" s="170">
        <f t="shared" ref="V38:V66" si="22">+$C$8-120</f>
        <v>45764</v>
      </c>
      <c r="W38" s="172"/>
      <c r="X38" s="164"/>
      <c r="Y38" s="165"/>
      <c r="Z38" s="175">
        <v>90</v>
      </c>
      <c r="AA38" s="167"/>
      <c r="AB38" s="168"/>
      <c r="AC38" s="158"/>
      <c r="AD38" s="158"/>
      <c r="AE38" s="158"/>
      <c r="AF38" s="158"/>
    </row>
    <row r="39" spans="1:32" x14ac:dyDescent="0.3">
      <c r="A39" s="157">
        <v>5.01</v>
      </c>
      <c r="B39" s="158" t="s">
        <v>92</v>
      </c>
      <c r="C39" s="159" t="s">
        <v>824</v>
      </c>
      <c r="D39" s="179">
        <f t="shared" si="11"/>
        <v>45653</v>
      </c>
      <c r="E39" s="180">
        <v>60</v>
      </c>
      <c r="F39" s="179">
        <f t="shared" si="12"/>
        <v>45713</v>
      </c>
      <c r="G39" s="180">
        <v>21</v>
      </c>
      <c r="H39" s="179">
        <f t="shared" si="13"/>
        <v>45734</v>
      </c>
      <c r="I39" s="180">
        <v>20</v>
      </c>
      <c r="J39" s="179">
        <f t="shared" si="14"/>
        <v>45754</v>
      </c>
      <c r="K39" s="180">
        <v>45</v>
      </c>
      <c r="L39" s="179">
        <f t="shared" si="15"/>
        <v>45799</v>
      </c>
      <c r="M39" s="180">
        <v>31</v>
      </c>
      <c r="N39" s="179">
        <f t="shared" si="16"/>
        <v>45830</v>
      </c>
      <c r="O39" s="180">
        <v>3</v>
      </c>
      <c r="P39" s="179">
        <f t="shared" si="17"/>
        <v>45833</v>
      </c>
      <c r="Q39" s="161">
        <f t="shared" si="18"/>
        <v>180</v>
      </c>
      <c r="R39" s="160">
        <v>45833</v>
      </c>
      <c r="S39" s="160">
        <f t="shared" si="19"/>
        <v>45644</v>
      </c>
      <c r="T39" s="160">
        <f t="shared" si="20"/>
        <v>45667</v>
      </c>
      <c r="U39" s="160">
        <f t="shared" si="21"/>
        <v>45757</v>
      </c>
      <c r="V39" s="170">
        <f t="shared" si="22"/>
        <v>45764</v>
      </c>
      <c r="W39" s="172"/>
      <c r="X39" s="164"/>
      <c r="Y39" s="165"/>
      <c r="Z39" s="175">
        <v>90</v>
      </c>
      <c r="AA39" s="167"/>
      <c r="AB39" s="168"/>
      <c r="AC39" s="158"/>
      <c r="AD39" s="158"/>
      <c r="AE39" s="158"/>
      <c r="AF39" s="158"/>
    </row>
    <row r="40" spans="1:32" x14ac:dyDescent="0.3">
      <c r="A40" s="157">
        <v>5.01</v>
      </c>
      <c r="B40" s="158" t="s">
        <v>92</v>
      </c>
      <c r="C40" s="159" t="s">
        <v>825</v>
      </c>
      <c r="D40" s="179">
        <f t="shared" si="11"/>
        <v>45678</v>
      </c>
      <c r="E40" s="180">
        <v>60</v>
      </c>
      <c r="F40" s="179">
        <f t="shared" si="12"/>
        <v>45738</v>
      </c>
      <c r="G40" s="180">
        <v>21</v>
      </c>
      <c r="H40" s="179">
        <f t="shared" si="13"/>
        <v>45759</v>
      </c>
      <c r="I40" s="180">
        <v>20</v>
      </c>
      <c r="J40" s="179">
        <f t="shared" si="14"/>
        <v>45779</v>
      </c>
      <c r="K40" s="180">
        <v>20</v>
      </c>
      <c r="L40" s="179">
        <f t="shared" si="15"/>
        <v>45799</v>
      </c>
      <c r="M40" s="180">
        <v>31</v>
      </c>
      <c r="N40" s="179">
        <f t="shared" si="16"/>
        <v>45830</v>
      </c>
      <c r="O40" s="180">
        <v>3</v>
      </c>
      <c r="P40" s="179">
        <f t="shared" si="17"/>
        <v>45833</v>
      </c>
      <c r="Q40" s="161">
        <f t="shared" si="18"/>
        <v>155</v>
      </c>
      <c r="R40" s="160">
        <v>45833</v>
      </c>
      <c r="S40" s="160">
        <f t="shared" si="19"/>
        <v>45644</v>
      </c>
      <c r="T40" s="160">
        <f t="shared" si="20"/>
        <v>45667</v>
      </c>
      <c r="U40" s="160">
        <f t="shared" si="21"/>
        <v>45757</v>
      </c>
      <c r="V40" s="170">
        <f t="shared" si="22"/>
        <v>45764</v>
      </c>
      <c r="W40" s="172"/>
      <c r="X40" s="164"/>
      <c r="Y40" s="165"/>
      <c r="Z40" s="175">
        <v>90</v>
      </c>
      <c r="AA40" s="167"/>
      <c r="AB40" s="168"/>
      <c r="AC40" s="158"/>
      <c r="AD40" s="158"/>
      <c r="AE40" s="158"/>
      <c r="AF40" s="158"/>
    </row>
    <row r="41" spans="1:32" x14ac:dyDescent="0.3">
      <c r="A41" s="157">
        <v>5.01</v>
      </c>
      <c r="B41" s="158" t="s">
        <v>92</v>
      </c>
      <c r="C41" s="159" t="s">
        <v>826</v>
      </c>
      <c r="D41" s="179">
        <f t="shared" si="11"/>
        <v>45678</v>
      </c>
      <c r="E41" s="180">
        <v>60</v>
      </c>
      <c r="F41" s="179">
        <f t="shared" si="12"/>
        <v>45738</v>
      </c>
      <c r="G41" s="180">
        <v>21</v>
      </c>
      <c r="H41" s="179">
        <f t="shared" si="13"/>
        <v>45759</v>
      </c>
      <c r="I41" s="180">
        <v>20</v>
      </c>
      <c r="J41" s="179">
        <f t="shared" si="14"/>
        <v>45779</v>
      </c>
      <c r="K41" s="180">
        <v>20</v>
      </c>
      <c r="L41" s="179">
        <f t="shared" si="15"/>
        <v>45799</v>
      </c>
      <c r="M41" s="180">
        <v>31</v>
      </c>
      <c r="N41" s="179">
        <f t="shared" si="16"/>
        <v>45830</v>
      </c>
      <c r="O41" s="180">
        <v>3</v>
      </c>
      <c r="P41" s="179">
        <f t="shared" si="17"/>
        <v>45833</v>
      </c>
      <c r="Q41" s="161">
        <f t="shared" si="18"/>
        <v>155</v>
      </c>
      <c r="R41" s="160">
        <v>45833</v>
      </c>
      <c r="S41" s="160">
        <f t="shared" si="19"/>
        <v>45644</v>
      </c>
      <c r="T41" s="160">
        <f t="shared" si="20"/>
        <v>45667</v>
      </c>
      <c r="U41" s="160">
        <f t="shared" si="21"/>
        <v>45757</v>
      </c>
      <c r="V41" s="170">
        <f t="shared" si="22"/>
        <v>45764</v>
      </c>
      <c r="W41" s="172"/>
      <c r="X41" s="164"/>
      <c r="Y41" s="165"/>
      <c r="Z41" s="175">
        <v>90</v>
      </c>
      <c r="AA41" s="167"/>
      <c r="AB41" s="168"/>
      <c r="AC41" s="158"/>
      <c r="AD41" s="158"/>
      <c r="AE41" s="158"/>
      <c r="AF41" s="158"/>
    </row>
    <row r="42" spans="1:32" x14ac:dyDescent="0.3">
      <c r="A42" s="157">
        <v>5.01</v>
      </c>
      <c r="B42" s="158" t="s">
        <v>92</v>
      </c>
      <c r="C42" s="159" t="s">
        <v>827</v>
      </c>
      <c r="D42" s="179">
        <f t="shared" si="11"/>
        <v>45678</v>
      </c>
      <c r="E42" s="180">
        <v>60</v>
      </c>
      <c r="F42" s="179">
        <f t="shared" si="12"/>
        <v>45738</v>
      </c>
      <c r="G42" s="180">
        <v>21</v>
      </c>
      <c r="H42" s="179">
        <f t="shared" si="13"/>
        <v>45759</v>
      </c>
      <c r="I42" s="180">
        <v>20</v>
      </c>
      <c r="J42" s="179">
        <f t="shared" si="14"/>
        <v>45779</v>
      </c>
      <c r="K42" s="180">
        <v>20</v>
      </c>
      <c r="L42" s="179">
        <f t="shared" si="15"/>
        <v>45799</v>
      </c>
      <c r="M42" s="180">
        <v>31</v>
      </c>
      <c r="N42" s="179">
        <f t="shared" si="16"/>
        <v>45830</v>
      </c>
      <c r="O42" s="180">
        <v>3</v>
      </c>
      <c r="P42" s="179">
        <f t="shared" si="17"/>
        <v>45833</v>
      </c>
      <c r="Q42" s="161">
        <f t="shared" si="18"/>
        <v>155</v>
      </c>
      <c r="R42" s="160">
        <v>45833</v>
      </c>
      <c r="S42" s="160">
        <f t="shared" si="19"/>
        <v>45644</v>
      </c>
      <c r="T42" s="160">
        <f t="shared" si="20"/>
        <v>45667</v>
      </c>
      <c r="U42" s="160">
        <f t="shared" si="21"/>
        <v>45757</v>
      </c>
      <c r="V42" s="170">
        <f t="shared" si="22"/>
        <v>45764</v>
      </c>
      <c r="W42" s="172"/>
      <c r="X42" s="164"/>
      <c r="Y42" s="165"/>
      <c r="Z42" s="175">
        <v>90</v>
      </c>
      <c r="AA42" s="167"/>
      <c r="AB42" s="168"/>
      <c r="AC42" s="158"/>
      <c r="AD42" s="158"/>
      <c r="AE42" s="158"/>
      <c r="AF42" s="158"/>
    </row>
    <row r="43" spans="1:32" x14ac:dyDescent="0.3">
      <c r="A43" s="157">
        <v>5.0199999999999996</v>
      </c>
      <c r="B43" s="158" t="s">
        <v>93</v>
      </c>
      <c r="C43" s="159" t="s">
        <v>828</v>
      </c>
      <c r="D43" s="179">
        <f t="shared" si="11"/>
        <v>45678</v>
      </c>
      <c r="E43" s="180">
        <v>60</v>
      </c>
      <c r="F43" s="179">
        <f t="shared" si="12"/>
        <v>45738</v>
      </c>
      <c r="G43" s="180">
        <v>21</v>
      </c>
      <c r="H43" s="179">
        <f t="shared" si="13"/>
        <v>45759</v>
      </c>
      <c r="I43" s="180">
        <v>20</v>
      </c>
      <c r="J43" s="179">
        <f t="shared" si="14"/>
        <v>45779</v>
      </c>
      <c r="K43" s="180">
        <v>20</v>
      </c>
      <c r="L43" s="179">
        <f t="shared" si="15"/>
        <v>45799</v>
      </c>
      <c r="M43" s="180">
        <v>31</v>
      </c>
      <c r="N43" s="179">
        <f t="shared" si="16"/>
        <v>45830</v>
      </c>
      <c r="O43" s="180">
        <v>3</v>
      </c>
      <c r="P43" s="179">
        <f t="shared" si="17"/>
        <v>45833</v>
      </c>
      <c r="Q43" s="161">
        <f t="shared" si="18"/>
        <v>155</v>
      </c>
      <c r="R43" s="160">
        <v>45833</v>
      </c>
      <c r="S43" s="160">
        <f t="shared" si="19"/>
        <v>45644</v>
      </c>
      <c r="T43" s="160">
        <f t="shared" si="20"/>
        <v>45667</v>
      </c>
      <c r="U43" s="160">
        <f t="shared" si="21"/>
        <v>45757</v>
      </c>
      <c r="V43" s="170">
        <f t="shared" si="22"/>
        <v>45764</v>
      </c>
      <c r="W43" s="172"/>
      <c r="X43" s="164"/>
      <c r="Y43" s="165"/>
      <c r="Z43" s="175">
        <v>90</v>
      </c>
      <c r="AA43" s="167"/>
      <c r="AB43" s="168"/>
      <c r="AC43" s="158"/>
      <c r="AD43" s="158"/>
      <c r="AE43" s="158"/>
      <c r="AF43" s="158"/>
    </row>
    <row r="44" spans="1:32" x14ac:dyDescent="0.3">
      <c r="A44" s="157">
        <v>5.0199999999999996</v>
      </c>
      <c r="B44" s="158" t="s">
        <v>93</v>
      </c>
      <c r="C44" s="159" t="s">
        <v>829</v>
      </c>
      <c r="D44" s="179">
        <f t="shared" si="11"/>
        <v>45678</v>
      </c>
      <c r="E44" s="180">
        <v>60</v>
      </c>
      <c r="F44" s="179">
        <f t="shared" si="12"/>
        <v>45738</v>
      </c>
      <c r="G44" s="180">
        <v>21</v>
      </c>
      <c r="H44" s="179">
        <f t="shared" si="13"/>
        <v>45759</v>
      </c>
      <c r="I44" s="180">
        <v>20</v>
      </c>
      <c r="J44" s="179">
        <f t="shared" si="14"/>
        <v>45779</v>
      </c>
      <c r="K44" s="180">
        <v>20</v>
      </c>
      <c r="L44" s="179">
        <f t="shared" si="15"/>
        <v>45799</v>
      </c>
      <c r="M44" s="180">
        <v>31</v>
      </c>
      <c r="N44" s="179">
        <f t="shared" si="16"/>
        <v>45830</v>
      </c>
      <c r="O44" s="180">
        <v>3</v>
      </c>
      <c r="P44" s="179">
        <f t="shared" si="17"/>
        <v>45833</v>
      </c>
      <c r="Q44" s="161">
        <f t="shared" si="18"/>
        <v>155</v>
      </c>
      <c r="R44" s="160">
        <v>45833</v>
      </c>
      <c r="S44" s="160">
        <f t="shared" si="19"/>
        <v>45644</v>
      </c>
      <c r="T44" s="160">
        <f t="shared" si="20"/>
        <v>45667</v>
      </c>
      <c r="U44" s="160">
        <f t="shared" si="21"/>
        <v>45757</v>
      </c>
      <c r="V44" s="170">
        <f t="shared" si="22"/>
        <v>45764</v>
      </c>
      <c r="W44" s="172"/>
      <c r="X44" s="164"/>
      <c r="Y44" s="165"/>
      <c r="Z44" s="175">
        <v>90</v>
      </c>
      <c r="AA44" s="167"/>
      <c r="AB44" s="168"/>
      <c r="AC44" s="158"/>
      <c r="AD44" s="158"/>
      <c r="AE44" s="158"/>
      <c r="AF44" s="158"/>
    </row>
    <row r="45" spans="1:32" x14ac:dyDescent="0.3">
      <c r="A45" s="157">
        <v>5.0199999999999996</v>
      </c>
      <c r="B45" s="158" t="s">
        <v>93</v>
      </c>
      <c r="C45" s="159" t="s">
        <v>830</v>
      </c>
      <c r="D45" s="179">
        <f t="shared" si="11"/>
        <v>45678</v>
      </c>
      <c r="E45" s="180">
        <v>60</v>
      </c>
      <c r="F45" s="179">
        <f t="shared" si="12"/>
        <v>45738</v>
      </c>
      <c r="G45" s="180">
        <v>21</v>
      </c>
      <c r="H45" s="179">
        <f t="shared" si="13"/>
        <v>45759</v>
      </c>
      <c r="I45" s="180">
        <v>20</v>
      </c>
      <c r="J45" s="179">
        <f t="shared" si="14"/>
        <v>45779</v>
      </c>
      <c r="K45" s="180">
        <v>20</v>
      </c>
      <c r="L45" s="179">
        <f t="shared" si="15"/>
        <v>45799</v>
      </c>
      <c r="M45" s="180">
        <v>31</v>
      </c>
      <c r="N45" s="179">
        <f t="shared" si="16"/>
        <v>45830</v>
      </c>
      <c r="O45" s="180">
        <v>3</v>
      </c>
      <c r="P45" s="179">
        <f t="shared" si="17"/>
        <v>45833</v>
      </c>
      <c r="Q45" s="161">
        <f t="shared" si="18"/>
        <v>155</v>
      </c>
      <c r="R45" s="160">
        <v>45833</v>
      </c>
      <c r="S45" s="160">
        <f t="shared" si="19"/>
        <v>45644</v>
      </c>
      <c r="T45" s="160">
        <f t="shared" si="20"/>
        <v>45667</v>
      </c>
      <c r="U45" s="160">
        <f t="shared" si="21"/>
        <v>45757</v>
      </c>
      <c r="V45" s="170">
        <f t="shared" si="22"/>
        <v>45764</v>
      </c>
      <c r="W45" s="172"/>
      <c r="X45" s="164"/>
      <c r="Y45" s="165"/>
      <c r="Z45" s="175">
        <v>90</v>
      </c>
      <c r="AA45" s="167"/>
      <c r="AB45" s="168"/>
      <c r="AC45" s="158"/>
      <c r="AD45" s="158"/>
      <c r="AE45" s="158"/>
      <c r="AF45" s="158"/>
    </row>
    <row r="46" spans="1:32" x14ac:dyDescent="0.3">
      <c r="A46" s="157">
        <v>5.0199999999999996</v>
      </c>
      <c r="B46" s="158" t="s">
        <v>93</v>
      </c>
      <c r="C46" s="159" t="s">
        <v>831</v>
      </c>
      <c r="D46" s="179">
        <v>45503</v>
      </c>
      <c r="E46" s="180">
        <v>60</v>
      </c>
      <c r="F46" s="179">
        <f t="shared" si="12"/>
        <v>45563</v>
      </c>
      <c r="G46" s="180">
        <v>21</v>
      </c>
      <c r="H46" s="179">
        <f t="shared" si="13"/>
        <v>45584</v>
      </c>
      <c r="I46" s="180">
        <v>20</v>
      </c>
      <c r="J46" s="179">
        <f t="shared" si="14"/>
        <v>45604</v>
      </c>
      <c r="K46" s="180">
        <v>60</v>
      </c>
      <c r="L46" s="179">
        <f t="shared" si="15"/>
        <v>45664</v>
      </c>
      <c r="M46" s="180">
        <v>31</v>
      </c>
      <c r="N46" s="179">
        <f t="shared" si="16"/>
        <v>45695</v>
      </c>
      <c r="O46" s="180">
        <v>3</v>
      </c>
      <c r="P46" s="179">
        <f t="shared" si="17"/>
        <v>45698</v>
      </c>
      <c r="Q46" s="161">
        <f t="shared" si="18"/>
        <v>195</v>
      </c>
      <c r="R46" s="160">
        <v>45833</v>
      </c>
      <c r="S46" s="160">
        <f t="shared" si="19"/>
        <v>45644</v>
      </c>
      <c r="T46" s="160">
        <f t="shared" si="20"/>
        <v>45667</v>
      </c>
      <c r="U46" s="160">
        <f t="shared" si="21"/>
        <v>45757</v>
      </c>
      <c r="V46" s="170">
        <f t="shared" si="22"/>
        <v>45764</v>
      </c>
      <c r="W46" s="172"/>
      <c r="X46" s="164"/>
      <c r="Y46" s="165"/>
      <c r="Z46" s="175">
        <v>90</v>
      </c>
      <c r="AA46" s="167"/>
      <c r="AB46" s="168"/>
      <c r="AC46" s="158"/>
      <c r="AD46" s="158"/>
      <c r="AE46" s="158"/>
      <c r="AF46" s="158"/>
    </row>
    <row r="47" spans="1:32" x14ac:dyDescent="0.3">
      <c r="A47" s="157">
        <v>5.03</v>
      </c>
      <c r="B47" s="158" t="s">
        <v>94</v>
      </c>
      <c r="C47" s="159" t="s">
        <v>832</v>
      </c>
      <c r="D47" s="179">
        <v>45503</v>
      </c>
      <c r="E47" s="180">
        <v>60</v>
      </c>
      <c r="F47" s="179">
        <f t="shared" si="12"/>
        <v>45563</v>
      </c>
      <c r="G47" s="180">
        <v>21</v>
      </c>
      <c r="H47" s="179">
        <f t="shared" si="13"/>
        <v>45584</v>
      </c>
      <c r="I47" s="180">
        <v>30</v>
      </c>
      <c r="J47" s="179">
        <f t="shared" si="14"/>
        <v>45614</v>
      </c>
      <c r="K47" s="180">
        <v>90</v>
      </c>
      <c r="L47" s="179">
        <f t="shared" si="15"/>
        <v>45704</v>
      </c>
      <c r="M47" s="180">
        <v>31</v>
      </c>
      <c r="N47" s="179">
        <f t="shared" si="16"/>
        <v>45735</v>
      </c>
      <c r="O47" s="180">
        <v>3</v>
      </c>
      <c r="P47" s="179">
        <f t="shared" si="17"/>
        <v>45738</v>
      </c>
      <c r="Q47" s="161">
        <f t="shared" si="18"/>
        <v>235</v>
      </c>
      <c r="R47" s="160">
        <v>45833</v>
      </c>
      <c r="S47" s="160">
        <f t="shared" si="19"/>
        <v>45594</v>
      </c>
      <c r="T47" s="160">
        <f t="shared" si="20"/>
        <v>45617</v>
      </c>
      <c r="U47" s="160">
        <f t="shared" si="21"/>
        <v>45757</v>
      </c>
      <c r="V47" s="170">
        <f t="shared" si="22"/>
        <v>45764</v>
      </c>
      <c r="W47" s="172"/>
      <c r="X47" s="164"/>
      <c r="Y47" s="165"/>
      <c r="Z47" s="166">
        <v>140</v>
      </c>
      <c r="AA47" s="167"/>
      <c r="AB47" s="168"/>
      <c r="AC47" s="158"/>
      <c r="AD47" s="158"/>
      <c r="AE47" s="158"/>
      <c r="AF47" s="158"/>
    </row>
    <row r="48" spans="1:32" x14ac:dyDescent="0.3">
      <c r="A48" s="157">
        <v>5.03</v>
      </c>
      <c r="B48" s="158" t="s">
        <v>94</v>
      </c>
      <c r="C48" s="159" t="s">
        <v>833</v>
      </c>
      <c r="D48" s="179">
        <v>45503</v>
      </c>
      <c r="E48" s="180">
        <v>60</v>
      </c>
      <c r="F48" s="179">
        <f t="shared" si="12"/>
        <v>45563</v>
      </c>
      <c r="G48" s="180">
        <v>21</v>
      </c>
      <c r="H48" s="179">
        <f t="shared" si="13"/>
        <v>45584</v>
      </c>
      <c r="I48" s="180">
        <v>30</v>
      </c>
      <c r="J48" s="179">
        <f t="shared" si="14"/>
        <v>45614</v>
      </c>
      <c r="K48" s="180">
        <v>90</v>
      </c>
      <c r="L48" s="179">
        <f t="shared" si="15"/>
        <v>45704</v>
      </c>
      <c r="M48" s="180">
        <v>31</v>
      </c>
      <c r="N48" s="179">
        <f t="shared" si="16"/>
        <v>45735</v>
      </c>
      <c r="O48" s="180">
        <v>3</v>
      </c>
      <c r="P48" s="179">
        <f t="shared" si="17"/>
        <v>45738</v>
      </c>
      <c r="Q48" s="161">
        <f t="shared" si="18"/>
        <v>235</v>
      </c>
      <c r="R48" s="160">
        <v>45833</v>
      </c>
      <c r="S48" s="160">
        <f t="shared" si="19"/>
        <v>45594</v>
      </c>
      <c r="T48" s="160">
        <f t="shared" si="20"/>
        <v>45617</v>
      </c>
      <c r="U48" s="160">
        <f t="shared" si="21"/>
        <v>45757</v>
      </c>
      <c r="V48" s="170">
        <f t="shared" si="22"/>
        <v>45764</v>
      </c>
      <c r="W48" s="172"/>
      <c r="X48" s="164"/>
      <c r="Y48" s="165"/>
      <c r="Z48" s="166">
        <v>140</v>
      </c>
      <c r="AA48" s="167"/>
      <c r="AB48" s="168"/>
      <c r="AC48" s="158"/>
      <c r="AD48" s="158"/>
      <c r="AE48" s="158"/>
      <c r="AF48" s="158"/>
    </row>
    <row r="49" spans="1:32" x14ac:dyDescent="0.3">
      <c r="A49" s="157">
        <v>5.03</v>
      </c>
      <c r="B49" s="158" t="s">
        <v>94</v>
      </c>
      <c r="C49" s="159" t="s">
        <v>834</v>
      </c>
      <c r="D49" s="179">
        <v>45503</v>
      </c>
      <c r="E49" s="180">
        <v>45</v>
      </c>
      <c r="F49" s="179">
        <f t="shared" si="12"/>
        <v>45548</v>
      </c>
      <c r="G49" s="180">
        <v>21</v>
      </c>
      <c r="H49" s="179">
        <f t="shared" si="13"/>
        <v>45569</v>
      </c>
      <c r="I49" s="180">
        <v>30</v>
      </c>
      <c r="J49" s="179">
        <f t="shared" si="14"/>
        <v>45599</v>
      </c>
      <c r="K49" s="180">
        <v>60</v>
      </c>
      <c r="L49" s="179">
        <f t="shared" si="15"/>
        <v>45659</v>
      </c>
      <c r="M49" s="180">
        <v>31</v>
      </c>
      <c r="N49" s="179">
        <f t="shared" si="16"/>
        <v>45690</v>
      </c>
      <c r="O49" s="180">
        <v>3</v>
      </c>
      <c r="P49" s="179">
        <f t="shared" si="17"/>
        <v>45693</v>
      </c>
      <c r="Q49" s="161">
        <f t="shared" si="18"/>
        <v>190</v>
      </c>
      <c r="R49" s="160">
        <v>45833</v>
      </c>
      <c r="S49" s="160">
        <f t="shared" si="19"/>
        <v>45604</v>
      </c>
      <c r="T49" s="160">
        <f t="shared" si="20"/>
        <v>45627</v>
      </c>
      <c r="U49" s="160">
        <f t="shared" si="21"/>
        <v>45757</v>
      </c>
      <c r="V49" s="170">
        <f t="shared" si="22"/>
        <v>45764</v>
      </c>
      <c r="W49" s="172"/>
      <c r="X49" s="164"/>
      <c r="Y49" s="165"/>
      <c r="Z49" s="166">
        <v>130</v>
      </c>
      <c r="AA49" s="167"/>
      <c r="AB49" s="168"/>
      <c r="AC49" s="158"/>
      <c r="AD49" s="158"/>
      <c r="AE49" s="158"/>
      <c r="AF49" s="158"/>
    </row>
    <row r="50" spans="1:32" x14ac:dyDescent="0.3">
      <c r="A50" s="157">
        <v>5.03</v>
      </c>
      <c r="B50" s="158" t="s">
        <v>94</v>
      </c>
      <c r="C50" s="288" t="s">
        <v>835</v>
      </c>
      <c r="D50" s="179">
        <f t="shared" ref="D50:D65" si="23">R50-(E50+G50+I50+K50+M50+O50)</f>
        <v>45774</v>
      </c>
      <c r="E50" s="180">
        <v>15</v>
      </c>
      <c r="F50" s="179">
        <f t="shared" si="12"/>
        <v>45789</v>
      </c>
      <c r="G50" s="180">
        <v>21</v>
      </c>
      <c r="H50" s="179">
        <f t="shared" si="13"/>
        <v>45810</v>
      </c>
      <c r="I50" s="180">
        <v>20</v>
      </c>
      <c r="J50" s="179">
        <f t="shared" si="14"/>
        <v>45830</v>
      </c>
      <c r="K50" s="180">
        <v>0</v>
      </c>
      <c r="L50" s="179">
        <f t="shared" si="15"/>
        <v>45830</v>
      </c>
      <c r="M50" s="180">
        <v>0</v>
      </c>
      <c r="N50" s="179">
        <f t="shared" si="16"/>
        <v>45830</v>
      </c>
      <c r="O50" s="180">
        <v>3</v>
      </c>
      <c r="P50" s="179">
        <f t="shared" si="17"/>
        <v>45833</v>
      </c>
      <c r="Q50" s="161">
        <f t="shared" si="18"/>
        <v>59</v>
      </c>
      <c r="R50" s="160">
        <v>45833</v>
      </c>
      <c r="S50" s="160">
        <f t="shared" si="19"/>
        <v>45594</v>
      </c>
      <c r="T50" s="160">
        <f t="shared" si="20"/>
        <v>45617</v>
      </c>
      <c r="U50" s="160">
        <f t="shared" si="21"/>
        <v>45757</v>
      </c>
      <c r="V50" s="170">
        <f t="shared" si="22"/>
        <v>45764</v>
      </c>
      <c r="W50" s="172"/>
      <c r="X50" s="164"/>
      <c r="Y50" s="165"/>
      <c r="Z50" s="166">
        <v>140</v>
      </c>
      <c r="AA50" s="167"/>
      <c r="AB50" s="168"/>
      <c r="AC50" s="158"/>
      <c r="AD50" s="158"/>
      <c r="AE50" s="158"/>
      <c r="AF50" s="158"/>
    </row>
    <row r="51" spans="1:32" x14ac:dyDescent="0.3">
      <c r="A51" s="157">
        <v>5.03</v>
      </c>
      <c r="B51" s="158" t="s">
        <v>94</v>
      </c>
      <c r="C51" s="159" t="s">
        <v>836</v>
      </c>
      <c r="D51" s="179">
        <f t="shared" si="23"/>
        <v>45810</v>
      </c>
      <c r="E51" s="180">
        <v>10</v>
      </c>
      <c r="F51" s="179">
        <f t="shared" si="12"/>
        <v>45820</v>
      </c>
      <c r="G51" s="180">
        <v>0</v>
      </c>
      <c r="H51" s="179">
        <f t="shared" si="13"/>
        <v>45820</v>
      </c>
      <c r="I51" s="180">
        <v>10</v>
      </c>
      <c r="J51" s="179">
        <f t="shared" si="14"/>
        <v>45830</v>
      </c>
      <c r="K51" s="180">
        <v>0</v>
      </c>
      <c r="L51" s="179">
        <f t="shared" si="15"/>
        <v>45830</v>
      </c>
      <c r="M51" s="180">
        <v>0</v>
      </c>
      <c r="N51" s="179">
        <f t="shared" si="16"/>
        <v>45830</v>
      </c>
      <c r="O51" s="180">
        <v>3</v>
      </c>
      <c r="P51" s="179">
        <f t="shared" si="17"/>
        <v>45833</v>
      </c>
      <c r="Q51" s="161">
        <f t="shared" si="18"/>
        <v>23</v>
      </c>
      <c r="R51" s="160">
        <v>45833</v>
      </c>
      <c r="S51" s="160">
        <f t="shared" si="19"/>
        <v>45713</v>
      </c>
      <c r="T51" s="160">
        <f t="shared" si="20"/>
        <v>45736</v>
      </c>
      <c r="U51" s="160">
        <f t="shared" si="21"/>
        <v>45757</v>
      </c>
      <c r="V51" s="170">
        <f t="shared" si="22"/>
        <v>45764</v>
      </c>
      <c r="W51" s="172"/>
      <c r="X51" s="164"/>
      <c r="Y51" s="165"/>
      <c r="Z51" s="166">
        <v>21</v>
      </c>
      <c r="AA51" s="167"/>
      <c r="AB51" s="168"/>
      <c r="AC51" s="158"/>
      <c r="AD51" s="158"/>
      <c r="AE51" s="158"/>
      <c r="AF51" s="158"/>
    </row>
    <row r="52" spans="1:32" x14ac:dyDescent="0.3">
      <c r="A52" s="157">
        <v>5.03</v>
      </c>
      <c r="B52" s="158" t="s">
        <v>94</v>
      </c>
      <c r="C52" s="159" t="s">
        <v>837</v>
      </c>
      <c r="D52" s="179">
        <f t="shared" si="23"/>
        <v>45810</v>
      </c>
      <c r="E52" s="180">
        <v>10</v>
      </c>
      <c r="F52" s="179">
        <f t="shared" si="12"/>
        <v>45820</v>
      </c>
      <c r="G52" s="180">
        <v>0</v>
      </c>
      <c r="H52" s="179">
        <f t="shared" si="13"/>
        <v>45820</v>
      </c>
      <c r="I52" s="180">
        <v>10</v>
      </c>
      <c r="J52" s="179">
        <f t="shared" si="14"/>
        <v>45830</v>
      </c>
      <c r="K52" s="180">
        <v>0</v>
      </c>
      <c r="L52" s="179">
        <f t="shared" si="15"/>
        <v>45830</v>
      </c>
      <c r="M52" s="180">
        <v>0</v>
      </c>
      <c r="N52" s="179">
        <f t="shared" si="16"/>
        <v>45830</v>
      </c>
      <c r="O52" s="180">
        <v>3</v>
      </c>
      <c r="P52" s="179">
        <f t="shared" si="17"/>
        <v>45833</v>
      </c>
      <c r="Q52" s="161">
        <f t="shared" si="18"/>
        <v>23</v>
      </c>
      <c r="R52" s="160">
        <v>45833</v>
      </c>
      <c r="S52" s="160">
        <f t="shared" si="19"/>
        <v>45644</v>
      </c>
      <c r="T52" s="160">
        <f t="shared" si="20"/>
        <v>45667</v>
      </c>
      <c r="U52" s="160">
        <f t="shared" si="21"/>
        <v>45757</v>
      </c>
      <c r="V52" s="170">
        <f t="shared" si="22"/>
        <v>45764</v>
      </c>
      <c r="W52" s="172"/>
      <c r="X52" s="164"/>
      <c r="Y52" s="165"/>
      <c r="Z52" s="166">
        <v>90</v>
      </c>
      <c r="AA52" s="167"/>
      <c r="AB52" s="168"/>
      <c r="AC52" s="158"/>
      <c r="AD52" s="158"/>
      <c r="AE52" s="158"/>
      <c r="AF52" s="158"/>
    </row>
    <row r="53" spans="1:32" x14ac:dyDescent="0.3">
      <c r="A53" s="157">
        <v>5.03</v>
      </c>
      <c r="B53" s="158" t="s">
        <v>94</v>
      </c>
      <c r="C53" s="159" t="s">
        <v>838</v>
      </c>
      <c r="D53" s="179">
        <f t="shared" si="23"/>
        <v>45758</v>
      </c>
      <c r="E53" s="180">
        <v>0</v>
      </c>
      <c r="F53" s="179">
        <f t="shared" si="12"/>
        <v>45758</v>
      </c>
      <c r="G53" s="180">
        <v>21</v>
      </c>
      <c r="H53" s="179">
        <f t="shared" si="13"/>
        <v>45779</v>
      </c>
      <c r="I53" s="180">
        <v>20</v>
      </c>
      <c r="J53" s="179">
        <f t="shared" si="14"/>
        <v>45799</v>
      </c>
      <c r="K53" s="180">
        <v>0</v>
      </c>
      <c r="L53" s="179">
        <f t="shared" si="15"/>
        <v>45799</v>
      </c>
      <c r="M53" s="180">
        <v>31</v>
      </c>
      <c r="N53" s="179">
        <f t="shared" si="16"/>
        <v>45830</v>
      </c>
      <c r="O53" s="180">
        <v>3</v>
      </c>
      <c r="P53" s="179">
        <f t="shared" si="17"/>
        <v>45833</v>
      </c>
      <c r="Q53" s="161">
        <f t="shared" si="18"/>
        <v>75</v>
      </c>
      <c r="R53" s="160">
        <v>45833</v>
      </c>
      <c r="S53" s="160">
        <f t="shared" si="19"/>
        <v>45644</v>
      </c>
      <c r="T53" s="160">
        <f t="shared" si="20"/>
        <v>45667</v>
      </c>
      <c r="U53" s="160">
        <f t="shared" si="21"/>
        <v>45757</v>
      </c>
      <c r="V53" s="170">
        <f t="shared" si="22"/>
        <v>45764</v>
      </c>
      <c r="W53" s="172"/>
      <c r="X53" s="164"/>
      <c r="Y53" s="165"/>
      <c r="Z53" s="175">
        <v>90</v>
      </c>
      <c r="AA53" s="167"/>
      <c r="AB53" s="168"/>
      <c r="AC53" s="158"/>
      <c r="AD53" s="158"/>
      <c r="AE53" s="158"/>
      <c r="AF53" s="158"/>
    </row>
    <row r="54" spans="1:32" x14ac:dyDescent="0.3">
      <c r="A54" s="157">
        <v>5.04</v>
      </c>
      <c r="B54" s="158" t="s">
        <v>839</v>
      </c>
      <c r="C54" s="159" t="s">
        <v>840</v>
      </c>
      <c r="D54" s="179">
        <f t="shared" si="23"/>
        <v>45683</v>
      </c>
      <c r="E54" s="180">
        <v>30</v>
      </c>
      <c r="F54" s="179">
        <f t="shared" si="12"/>
        <v>45713</v>
      </c>
      <c r="G54" s="180">
        <v>21</v>
      </c>
      <c r="H54" s="179">
        <f t="shared" si="13"/>
        <v>45734</v>
      </c>
      <c r="I54" s="180">
        <v>20</v>
      </c>
      <c r="J54" s="179">
        <f t="shared" si="14"/>
        <v>45754</v>
      </c>
      <c r="K54" s="180">
        <v>45</v>
      </c>
      <c r="L54" s="179">
        <f t="shared" si="15"/>
        <v>45799</v>
      </c>
      <c r="M54" s="180">
        <v>31</v>
      </c>
      <c r="N54" s="179">
        <f t="shared" si="16"/>
        <v>45830</v>
      </c>
      <c r="O54" s="180">
        <v>3</v>
      </c>
      <c r="P54" s="179">
        <f t="shared" si="17"/>
        <v>45833</v>
      </c>
      <c r="Q54" s="161">
        <f t="shared" si="18"/>
        <v>150</v>
      </c>
      <c r="R54" s="160">
        <v>45833</v>
      </c>
      <c r="S54" s="160">
        <f t="shared" si="19"/>
        <v>45604</v>
      </c>
      <c r="T54" s="160">
        <f t="shared" si="20"/>
        <v>45627</v>
      </c>
      <c r="U54" s="160">
        <f t="shared" si="21"/>
        <v>45757</v>
      </c>
      <c r="V54" s="170">
        <f t="shared" si="22"/>
        <v>45764</v>
      </c>
      <c r="W54" s="172"/>
      <c r="X54" s="164"/>
      <c r="Y54" s="165"/>
      <c r="Z54" s="166">
        <v>130</v>
      </c>
      <c r="AA54" s="167"/>
      <c r="AB54" s="168"/>
      <c r="AC54" s="158"/>
      <c r="AD54" s="158"/>
      <c r="AE54" s="158"/>
      <c r="AF54" s="158"/>
    </row>
    <row r="55" spans="1:32" x14ac:dyDescent="0.3">
      <c r="A55" s="157">
        <v>5.04</v>
      </c>
      <c r="B55" s="158" t="s">
        <v>839</v>
      </c>
      <c r="C55" s="159" t="s">
        <v>841</v>
      </c>
      <c r="D55" s="179">
        <f t="shared" si="23"/>
        <v>45704</v>
      </c>
      <c r="E55" s="180">
        <v>30</v>
      </c>
      <c r="F55" s="179">
        <f t="shared" si="12"/>
        <v>45734</v>
      </c>
      <c r="G55" s="180">
        <v>0</v>
      </c>
      <c r="H55" s="179">
        <f t="shared" si="13"/>
        <v>45734</v>
      </c>
      <c r="I55" s="180">
        <v>20</v>
      </c>
      <c r="J55" s="179">
        <f t="shared" si="14"/>
        <v>45754</v>
      </c>
      <c r="K55" s="180">
        <v>45</v>
      </c>
      <c r="L55" s="179">
        <f t="shared" si="15"/>
        <v>45799</v>
      </c>
      <c r="M55" s="180">
        <v>31</v>
      </c>
      <c r="N55" s="179">
        <f t="shared" si="16"/>
        <v>45830</v>
      </c>
      <c r="O55" s="180">
        <v>3</v>
      </c>
      <c r="P55" s="179">
        <f t="shared" si="17"/>
        <v>45833</v>
      </c>
      <c r="Q55" s="161">
        <f t="shared" si="18"/>
        <v>129</v>
      </c>
      <c r="R55" s="160">
        <v>45833</v>
      </c>
      <c r="S55" s="160">
        <f t="shared" si="19"/>
        <v>45604</v>
      </c>
      <c r="T55" s="160">
        <f t="shared" si="20"/>
        <v>45627</v>
      </c>
      <c r="U55" s="160">
        <f t="shared" si="21"/>
        <v>45757</v>
      </c>
      <c r="V55" s="170">
        <f t="shared" si="22"/>
        <v>45764</v>
      </c>
      <c r="W55" s="172"/>
      <c r="X55" s="164"/>
      <c r="Y55" s="165"/>
      <c r="Z55" s="166">
        <v>130</v>
      </c>
      <c r="AA55" s="167"/>
      <c r="AB55" s="168"/>
      <c r="AC55" s="158"/>
      <c r="AD55" s="158"/>
      <c r="AE55" s="158"/>
      <c r="AF55" s="158"/>
    </row>
    <row r="56" spans="1:32" x14ac:dyDescent="0.3">
      <c r="A56" s="157">
        <v>5.04</v>
      </c>
      <c r="B56" s="158" t="s">
        <v>839</v>
      </c>
      <c r="C56" s="159" t="s">
        <v>842</v>
      </c>
      <c r="D56" s="179">
        <f t="shared" si="23"/>
        <v>45769</v>
      </c>
      <c r="E56" s="180">
        <v>15</v>
      </c>
      <c r="F56" s="179">
        <f t="shared" si="12"/>
        <v>45784</v>
      </c>
      <c r="G56" s="180">
        <v>0</v>
      </c>
      <c r="H56" s="179">
        <f t="shared" si="13"/>
        <v>45784</v>
      </c>
      <c r="I56" s="180">
        <v>15</v>
      </c>
      <c r="J56" s="179">
        <f t="shared" si="14"/>
        <v>45799</v>
      </c>
      <c r="K56" s="180">
        <v>0</v>
      </c>
      <c r="L56" s="179">
        <f t="shared" si="15"/>
        <v>45799</v>
      </c>
      <c r="M56" s="180">
        <v>31</v>
      </c>
      <c r="N56" s="179">
        <f t="shared" si="16"/>
        <v>45830</v>
      </c>
      <c r="O56" s="180">
        <v>3</v>
      </c>
      <c r="P56" s="179">
        <f t="shared" si="17"/>
        <v>45833</v>
      </c>
      <c r="Q56" s="161">
        <f t="shared" si="18"/>
        <v>64</v>
      </c>
      <c r="R56" s="160">
        <v>45833</v>
      </c>
      <c r="S56" s="160">
        <f t="shared" si="19"/>
        <v>45713</v>
      </c>
      <c r="T56" s="160">
        <f t="shared" si="20"/>
        <v>45736</v>
      </c>
      <c r="U56" s="160">
        <f t="shared" si="21"/>
        <v>45757</v>
      </c>
      <c r="V56" s="170">
        <f t="shared" si="22"/>
        <v>45764</v>
      </c>
      <c r="W56" s="172"/>
      <c r="X56" s="164"/>
      <c r="Y56" s="165"/>
      <c r="Z56" s="166">
        <v>21</v>
      </c>
      <c r="AA56" s="167"/>
      <c r="AB56" s="168"/>
      <c r="AC56" s="158"/>
      <c r="AD56" s="158"/>
      <c r="AE56" s="158"/>
      <c r="AF56" s="158"/>
    </row>
    <row r="57" spans="1:32" x14ac:dyDescent="0.3">
      <c r="A57" s="157">
        <v>5.04</v>
      </c>
      <c r="B57" s="158" t="s">
        <v>839</v>
      </c>
      <c r="C57" s="159" t="s">
        <v>843</v>
      </c>
      <c r="D57" s="179">
        <f t="shared" si="23"/>
        <v>45769</v>
      </c>
      <c r="E57" s="180">
        <v>15</v>
      </c>
      <c r="F57" s="179">
        <f t="shared" si="12"/>
        <v>45784</v>
      </c>
      <c r="G57" s="180">
        <v>0</v>
      </c>
      <c r="H57" s="179">
        <f t="shared" si="13"/>
        <v>45784</v>
      </c>
      <c r="I57" s="180">
        <v>15</v>
      </c>
      <c r="J57" s="179">
        <f t="shared" si="14"/>
        <v>45799</v>
      </c>
      <c r="K57" s="180">
        <v>0</v>
      </c>
      <c r="L57" s="179">
        <f t="shared" si="15"/>
        <v>45799</v>
      </c>
      <c r="M57" s="180">
        <v>31</v>
      </c>
      <c r="N57" s="179">
        <f t="shared" si="16"/>
        <v>45830</v>
      </c>
      <c r="O57" s="180">
        <v>3</v>
      </c>
      <c r="P57" s="179">
        <f t="shared" si="17"/>
        <v>45833</v>
      </c>
      <c r="Q57" s="161">
        <f t="shared" si="18"/>
        <v>64</v>
      </c>
      <c r="R57" s="160">
        <v>45833</v>
      </c>
      <c r="S57" s="160">
        <f t="shared" si="19"/>
        <v>45713</v>
      </c>
      <c r="T57" s="160">
        <f t="shared" si="20"/>
        <v>45736</v>
      </c>
      <c r="U57" s="160">
        <f t="shared" si="21"/>
        <v>45757</v>
      </c>
      <c r="V57" s="170">
        <f t="shared" si="22"/>
        <v>45764</v>
      </c>
      <c r="W57" s="172"/>
      <c r="X57" s="164"/>
      <c r="Y57" s="165"/>
      <c r="Z57" s="166">
        <v>21</v>
      </c>
      <c r="AA57" s="167"/>
      <c r="AB57" s="168"/>
      <c r="AC57" s="158"/>
      <c r="AD57" s="158"/>
      <c r="AE57" s="158"/>
      <c r="AF57" s="158"/>
    </row>
    <row r="58" spans="1:32" x14ac:dyDescent="0.3">
      <c r="A58" s="157">
        <v>5.05</v>
      </c>
      <c r="B58" s="158" t="s">
        <v>97</v>
      </c>
      <c r="C58" s="159" t="s">
        <v>844</v>
      </c>
      <c r="D58" s="179">
        <f t="shared" si="23"/>
        <v>45805</v>
      </c>
      <c r="E58" s="180">
        <v>10</v>
      </c>
      <c r="F58" s="179">
        <f t="shared" si="12"/>
        <v>45815</v>
      </c>
      <c r="G58" s="180">
        <v>0</v>
      </c>
      <c r="H58" s="179">
        <f t="shared" si="13"/>
        <v>45815</v>
      </c>
      <c r="I58" s="180">
        <v>15</v>
      </c>
      <c r="J58" s="179">
        <f t="shared" si="14"/>
        <v>45830</v>
      </c>
      <c r="K58" s="180">
        <v>0</v>
      </c>
      <c r="L58" s="179">
        <f t="shared" si="15"/>
        <v>45830</v>
      </c>
      <c r="M58" s="180">
        <v>0</v>
      </c>
      <c r="N58" s="179">
        <f t="shared" si="16"/>
        <v>45830</v>
      </c>
      <c r="O58" s="180">
        <v>3</v>
      </c>
      <c r="P58" s="179">
        <f t="shared" si="17"/>
        <v>45833</v>
      </c>
      <c r="Q58" s="161">
        <f t="shared" si="18"/>
        <v>28</v>
      </c>
      <c r="R58" s="160">
        <v>45833</v>
      </c>
      <c r="S58" s="160">
        <f t="shared" si="19"/>
        <v>45674</v>
      </c>
      <c r="T58" s="160">
        <f t="shared" si="20"/>
        <v>45697</v>
      </c>
      <c r="U58" s="160">
        <f t="shared" si="21"/>
        <v>45757</v>
      </c>
      <c r="V58" s="170">
        <f t="shared" si="22"/>
        <v>45764</v>
      </c>
      <c r="W58" s="172"/>
      <c r="X58" s="164"/>
      <c r="Y58" s="165"/>
      <c r="Z58" s="166">
        <v>60</v>
      </c>
      <c r="AA58" s="167"/>
      <c r="AB58" s="168"/>
      <c r="AC58" s="158"/>
      <c r="AD58" s="158"/>
      <c r="AE58" s="158"/>
      <c r="AF58" s="158"/>
    </row>
    <row r="59" spans="1:32" x14ac:dyDescent="0.3">
      <c r="A59" s="157">
        <v>5.05</v>
      </c>
      <c r="B59" s="158" t="s">
        <v>97</v>
      </c>
      <c r="C59" s="159" t="s">
        <v>845</v>
      </c>
      <c r="D59" s="179">
        <f t="shared" si="23"/>
        <v>45810</v>
      </c>
      <c r="E59" s="180">
        <v>10</v>
      </c>
      <c r="F59" s="179">
        <f t="shared" si="12"/>
        <v>45820</v>
      </c>
      <c r="G59" s="180">
        <v>0</v>
      </c>
      <c r="H59" s="179">
        <f t="shared" si="13"/>
        <v>45820</v>
      </c>
      <c r="I59" s="180">
        <v>10</v>
      </c>
      <c r="J59" s="179">
        <f t="shared" si="14"/>
        <v>45830</v>
      </c>
      <c r="K59" s="180">
        <v>0</v>
      </c>
      <c r="L59" s="179">
        <f t="shared" si="15"/>
        <v>45830</v>
      </c>
      <c r="M59" s="180">
        <v>0</v>
      </c>
      <c r="N59" s="179">
        <f t="shared" si="16"/>
        <v>45830</v>
      </c>
      <c r="O59" s="180">
        <v>3</v>
      </c>
      <c r="P59" s="179">
        <f t="shared" si="17"/>
        <v>45833</v>
      </c>
      <c r="Q59" s="161">
        <f t="shared" si="18"/>
        <v>23</v>
      </c>
      <c r="R59" s="160">
        <v>45833</v>
      </c>
      <c r="S59" s="160">
        <f t="shared" si="19"/>
        <v>45674</v>
      </c>
      <c r="T59" s="160">
        <f t="shared" si="20"/>
        <v>45697</v>
      </c>
      <c r="U59" s="160">
        <f t="shared" si="21"/>
        <v>45757</v>
      </c>
      <c r="V59" s="170">
        <f t="shared" si="22"/>
        <v>45764</v>
      </c>
      <c r="W59" s="172"/>
      <c r="X59" s="164"/>
      <c r="Y59" s="165"/>
      <c r="Z59" s="166">
        <v>60</v>
      </c>
      <c r="AA59" s="167"/>
      <c r="AB59" s="168"/>
      <c r="AC59" s="158"/>
      <c r="AD59" s="158"/>
      <c r="AE59" s="158"/>
      <c r="AF59" s="158"/>
    </row>
    <row r="60" spans="1:32" x14ac:dyDescent="0.3">
      <c r="A60" s="157">
        <v>5.0599999999999996</v>
      </c>
      <c r="B60" s="158" t="s">
        <v>846</v>
      </c>
      <c r="C60" s="159" t="s">
        <v>847</v>
      </c>
      <c r="D60" s="179">
        <f t="shared" si="23"/>
        <v>45790</v>
      </c>
      <c r="E60" s="180">
        <v>20</v>
      </c>
      <c r="F60" s="179">
        <f t="shared" si="12"/>
        <v>45810</v>
      </c>
      <c r="G60" s="180">
        <v>0</v>
      </c>
      <c r="H60" s="179">
        <f t="shared" si="13"/>
        <v>45810</v>
      </c>
      <c r="I60" s="180">
        <v>20</v>
      </c>
      <c r="J60" s="179">
        <f t="shared" si="14"/>
        <v>45830</v>
      </c>
      <c r="K60" s="180">
        <v>0</v>
      </c>
      <c r="L60" s="179">
        <f t="shared" si="15"/>
        <v>45830</v>
      </c>
      <c r="M60" s="180">
        <v>0</v>
      </c>
      <c r="N60" s="179">
        <f t="shared" si="16"/>
        <v>45830</v>
      </c>
      <c r="O60" s="180">
        <v>3</v>
      </c>
      <c r="P60" s="179">
        <f t="shared" si="17"/>
        <v>45833</v>
      </c>
      <c r="Q60" s="161">
        <f t="shared" si="18"/>
        <v>43</v>
      </c>
      <c r="R60" s="160">
        <v>45833</v>
      </c>
      <c r="S60" s="160">
        <f t="shared" si="19"/>
        <v>45644</v>
      </c>
      <c r="T60" s="160">
        <f t="shared" si="20"/>
        <v>45667</v>
      </c>
      <c r="U60" s="160">
        <f t="shared" si="21"/>
        <v>45757</v>
      </c>
      <c r="V60" s="170">
        <f t="shared" si="22"/>
        <v>45764</v>
      </c>
      <c r="W60" s="172"/>
      <c r="X60" s="164"/>
      <c r="Y60" s="165"/>
      <c r="Z60" s="166">
        <v>90</v>
      </c>
      <c r="AA60" s="167"/>
      <c r="AB60" s="168"/>
      <c r="AC60" s="158"/>
      <c r="AD60" s="158"/>
      <c r="AE60" s="158"/>
      <c r="AF60" s="158"/>
    </row>
    <row r="61" spans="1:32" x14ac:dyDescent="0.3">
      <c r="A61" s="157">
        <v>5.0599999999999996</v>
      </c>
      <c r="B61" s="158" t="s">
        <v>846</v>
      </c>
      <c r="C61" s="159" t="s">
        <v>848</v>
      </c>
      <c r="D61" s="179">
        <f t="shared" si="23"/>
        <v>45769</v>
      </c>
      <c r="E61" s="180">
        <v>15</v>
      </c>
      <c r="F61" s="179">
        <f t="shared" si="12"/>
        <v>45784</v>
      </c>
      <c r="G61" s="180">
        <v>0</v>
      </c>
      <c r="H61" s="179">
        <f t="shared" si="13"/>
        <v>45784</v>
      </c>
      <c r="I61" s="180">
        <v>15</v>
      </c>
      <c r="J61" s="179">
        <f t="shared" si="14"/>
        <v>45799</v>
      </c>
      <c r="K61" s="180">
        <v>0</v>
      </c>
      <c r="L61" s="179">
        <f t="shared" si="15"/>
        <v>45799</v>
      </c>
      <c r="M61" s="180">
        <v>31</v>
      </c>
      <c r="N61" s="179">
        <f t="shared" si="16"/>
        <v>45830</v>
      </c>
      <c r="O61" s="180">
        <v>3</v>
      </c>
      <c r="P61" s="179">
        <f t="shared" si="17"/>
        <v>45833</v>
      </c>
      <c r="Q61" s="161">
        <f t="shared" si="18"/>
        <v>64</v>
      </c>
      <c r="R61" s="160">
        <v>45833</v>
      </c>
      <c r="S61" s="160">
        <f t="shared" si="19"/>
        <v>45674</v>
      </c>
      <c r="T61" s="160">
        <f t="shared" si="20"/>
        <v>45697</v>
      </c>
      <c r="U61" s="160">
        <f t="shared" si="21"/>
        <v>45757</v>
      </c>
      <c r="V61" s="170">
        <f t="shared" si="22"/>
        <v>45764</v>
      </c>
      <c r="W61" s="172"/>
      <c r="X61" s="164"/>
      <c r="Y61" s="165"/>
      <c r="Z61" s="166">
        <v>60</v>
      </c>
      <c r="AA61" s="167"/>
      <c r="AB61" s="168"/>
      <c r="AC61" s="158"/>
      <c r="AD61" s="158"/>
      <c r="AE61" s="158"/>
      <c r="AF61" s="158"/>
    </row>
    <row r="62" spans="1:32" x14ac:dyDescent="0.3">
      <c r="A62" s="157">
        <v>5.0599999999999996</v>
      </c>
      <c r="B62" s="158" t="s">
        <v>846</v>
      </c>
      <c r="C62" s="159" t="s">
        <v>849</v>
      </c>
      <c r="D62" s="179">
        <f t="shared" si="23"/>
        <v>45745</v>
      </c>
      <c r="E62" s="180">
        <v>20</v>
      </c>
      <c r="F62" s="179">
        <f t="shared" si="12"/>
        <v>45765</v>
      </c>
      <c r="G62" s="180">
        <v>0</v>
      </c>
      <c r="H62" s="179">
        <f t="shared" si="13"/>
        <v>45765</v>
      </c>
      <c r="I62" s="180">
        <v>20</v>
      </c>
      <c r="J62" s="179">
        <f t="shared" si="14"/>
        <v>45785</v>
      </c>
      <c r="K62" s="180">
        <v>45</v>
      </c>
      <c r="L62" s="179">
        <f t="shared" si="15"/>
        <v>45830</v>
      </c>
      <c r="M62" s="180">
        <v>0</v>
      </c>
      <c r="N62" s="179">
        <f t="shared" si="16"/>
        <v>45830</v>
      </c>
      <c r="O62" s="180">
        <v>3</v>
      </c>
      <c r="P62" s="179">
        <f t="shared" si="17"/>
        <v>45833</v>
      </c>
      <c r="Q62" s="161">
        <f t="shared" si="18"/>
        <v>88</v>
      </c>
      <c r="R62" s="160">
        <v>45833</v>
      </c>
      <c r="S62" s="160">
        <f t="shared" si="19"/>
        <v>45644</v>
      </c>
      <c r="T62" s="160">
        <f t="shared" si="20"/>
        <v>45667</v>
      </c>
      <c r="U62" s="160">
        <f t="shared" si="21"/>
        <v>45757</v>
      </c>
      <c r="V62" s="170">
        <f t="shared" si="22"/>
        <v>45764</v>
      </c>
      <c r="W62" s="172"/>
      <c r="X62" s="164"/>
      <c r="Y62" s="165"/>
      <c r="Z62" s="166">
        <v>90</v>
      </c>
      <c r="AA62" s="167"/>
      <c r="AB62" s="168"/>
      <c r="AC62" s="158"/>
      <c r="AD62" s="158"/>
      <c r="AE62" s="158"/>
      <c r="AF62" s="158"/>
    </row>
    <row r="63" spans="1:32" x14ac:dyDescent="0.3">
      <c r="A63" s="157">
        <v>5.0599999999999996</v>
      </c>
      <c r="B63" s="158" t="s">
        <v>846</v>
      </c>
      <c r="C63" s="159" t="s">
        <v>850</v>
      </c>
      <c r="D63" s="179">
        <f t="shared" si="23"/>
        <v>45784</v>
      </c>
      <c r="E63" s="180">
        <v>0</v>
      </c>
      <c r="F63" s="179">
        <f t="shared" si="12"/>
        <v>45784</v>
      </c>
      <c r="G63" s="180">
        <v>0</v>
      </c>
      <c r="H63" s="179">
        <f t="shared" si="13"/>
        <v>45784</v>
      </c>
      <c r="I63" s="180">
        <v>15</v>
      </c>
      <c r="J63" s="179">
        <f t="shared" si="14"/>
        <v>45799</v>
      </c>
      <c r="K63" s="180">
        <v>0</v>
      </c>
      <c r="L63" s="179">
        <f t="shared" si="15"/>
        <v>45799</v>
      </c>
      <c r="M63" s="180">
        <v>31</v>
      </c>
      <c r="N63" s="179">
        <f t="shared" si="16"/>
        <v>45830</v>
      </c>
      <c r="O63" s="180">
        <v>3</v>
      </c>
      <c r="P63" s="179">
        <f t="shared" si="17"/>
        <v>45833</v>
      </c>
      <c r="Q63" s="161">
        <f t="shared" si="18"/>
        <v>49</v>
      </c>
      <c r="R63" s="160">
        <v>45833</v>
      </c>
      <c r="S63" s="160">
        <f t="shared" si="19"/>
        <v>45644</v>
      </c>
      <c r="T63" s="160">
        <f t="shared" si="20"/>
        <v>45667</v>
      </c>
      <c r="U63" s="160">
        <f t="shared" si="21"/>
        <v>45757</v>
      </c>
      <c r="V63" s="170">
        <f t="shared" si="22"/>
        <v>45764</v>
      </c>
      <c r="W63" s="172"/>
      <c r="X63" s="164"/>
      <c r="Y63" s="165"/>
      <c r="Z63" s="166">
        <v>90</v>
      </c>
      <c r="AA63" s="167"/>
      <c r="AB63" s="168"/>
      <c r="AC63" s="158"/>
      <c r="AD63" s="158"/>
      <c r="AE63" s="158"/>
      <c r="AF63" s="158"/>
    </row>
    <row r="64" spans="1:32" x14ac:dyDescent="0.3">
      <c r="A64" s="157">
        <v>5.07</v>
      </c>
      <c r="B64" s="158" t="s">
        <v>99</v>
      </c>
      <c r="C64" s="159" t="s">
        <v>851</v>
      </c>
      <c r="D64" s="179">
        <f t="shared" si="23"/>
        <v>45764</v>
      </c>
      <c r="E64" s="180">
        <v>20</v>
      </c>
      <c r="F64" s="179">
        <f t="shared" si="12"/>
        <v>45784</v>
      </c>
      <c r="G64" s="180">
        <v>0</v>
      </c>
      <c r="H64" s="179">
        <f t="shared" si="13"/>
        <v>45784</v>
      </c>
      <c r="I64" s="180">
        <v>15</v>
      </c>
      <c r="J64" s="179">
        <f t="shared" si="14"/>
        <v>45799</v>
      </c>
      <c r="K64" s="180">
        <v>0</v>
      </c>
      <c r="L64" s="179">
        <f t="shared" si="15"/>
        <v>45799</v>
      </c>
      <c r="M64" s="180">
        <v>31</v>
      </c>
      <c r="N64" s="179">
        <f t="shared" si="16"/>
        <v>45830</v>
      </c>
      <c r="O64" s="180">
        <v>3</v>
      </c>
      <c r="P64" s="179">
        <f t="shared" si="17"/>
        <v>45833</v>
      </c>
      <c r="Q64" s="161">
        <f t="shared" si="18"/>
        <v>69</v>
      </c>
      <c r="R64" s="160">
        <v>45833</v>
      </c>
      <c r="S64" s="160">
        <f t="shared" si="19"/>
        <v>45644</v>
      </c>
      <c r="T64" s="160">
        <f t="shared" si="20"/>
        <v>45667</v>
      </c>
      <c r="U64" s="160">
        <f t="shared" si="21"/>
        <v>45757</v>
      </c>
      <c r="V64" s="170">
        <f t="shared" si="22"/>
        <v>45764</v>
      </c>
      <c r="W64" s="172"/>
      <c r="X64" s="164"/>
      <c r="Y64" s="165"/>
      <c r="Z64" s="166">
        <v>90</v>
      </c>
      <c r="AA64" s="167"/>
      <c r="AB64" s="168"/>
      <c r="AC64" s="158"/>
      <c r="AD64" s="158"/>
      <c r="AE64" s="158"/>
      <c r="AF64" s="158"/>
    </row>
    <row r="65" spans="1:32" x14ac:dyDescent="0.3">
      <c r="A65" s="157">
        <v>5.07</v>
      </c>
      <c r="B65" s="158" t="s">
        <v>99</v>
      </c>
      <c r="C65" s="159" t="s">
        <v>852</v>
      </c>
      <c r="D65" s="179">
        <f t="shared" si="23"/>
        <v>45790</v>
      </c>
      <c r="E65" s="180">
        <v>20</v>
      </c>
      <c r="F65" s="179">
        <f t="shared" si="12"/>
        <v>45810</v>
      </c>
      <c r="G65" s="180">
        <v>0</v>
      </c>
      <c r="H65" s="179">
        <f t="shared" si="13"/>
        <v>45810</v>
      </c>
      <c r="I65" s="180">
        <v>20</v>
      </c>
      <c r="J65" s="179">
        <f t="shared" si="14"/>
        <v>45830</v>
      </c>
      <c r="K65" s="180">
        <v>0</v>
      </c>
      <c r="L65" s="179">
        <f t="shared" si="15"/>
        <v>45830</v>
      </c>
      <c r="M65" s="180">
        <v>0</v>
      </c>
      <c r="N65" s="179">
        <f t="shared" si="16"/>
        <v>45830</v>
      </c>
      <c r="O65" s="180">
        <v>3</v>
      </c>
      <c r="P65" s="179">
        <f t="shared" si="17"/>
        <v>45833</v>
      </c>
      <c r="Q65" s="161">
        <f t="shared" si="18"/>
        <v>43</v>
      </c>
      <c r="R65" s="160">
        <v>45833</v>
      </c>
      <c r="S65" s="160">
        <f t="shared" si="19"/>
        <v>45604</v>
      </c>
      <c r="T65" s="160">
        <f t="shared" si="20"/>
        <v>45627</v>
      </c>
      <c r="U65" s="160">
        <f t="shared" si="21"/>
        <v>45757</v>
      </c>
      <c r="V65" s="170">
        <f t="shared" si="22"/>
        <v>45764</v>
      </c>
      <c r="W65" s="172"/>
      <c r="X65" s="164"/>
      <c r="Y65" s="165"/>
      <c r="Z65" s="166">
        <v>130</v>
      </c>
      <c r="AA65" s="167"/>
      <c r="AB65" s="168"/>
      <c r="AC65" s="158"/>
      <c r="AD65" s="158"/>
      <c r="AE65" s="158"/>
      <c r="AF65" s="158"/>
    </row>
    <row r="66" spans="1:32" x14ac:dyDescent="0.3">
      <c r="A66" s="157">
        <v>5.07</v>
      </c>
      <c r="B66" s="158" t="s">
        <v>99</v>
      </c>
      <c r="C66" s="159" t="s">
        <v>853</v>
      </c>
      <c r="D66" s="179">
        <v>45503</v>
      </c>
      <c r="E66" s="180">
        <v>60</v>
      </c>
      <c r="F66" s="179">
        <f t="shared" si="12"/>
        <v>45563</v>
      </c>
      <c r="G66" s="180">
        <v>21</v>
      </c>
      <c r="H66" s="179">
        <f t="shared" si="13"/>
        <v>45584</v>
      </c>
      <c r="I66" s="180">
        <v>20</v>
      </c>
      <c r="J66" s="179">
        <f t="shared" si="14"/>
        <v>45604</v>
      </c>
      <c r="K66" s="180">
        <v>60</v>
      </c>
      <c r="L66" s="179">
        <f t="shared" si="15"/>
        <v>45664</v>
      </c>
      <c r="M66" s="180">
        <v>31</v>
      </c>
      <c r="N66" s="179">
        <f t="shared" si="16"/>
        <v>45695</v>
      </c>
      <c r="O66" s="180">
        <v>3</v>
      </c>
      <c r="P66" s="179">
        <f t="shared" si="17"/>
        <v>45698</v>
      </c>
      <c r="Q66" s="161">
        <f t="shared" si="18"/>
        <v>195</v>
      </c>
      <c r="R66" s="160">
        <v>45833</v>
      </c>
      <c r="S66" s="160">
        <f t="shared" si="19"/>
        <v>45604</v>
      </c>
      <c r="T66" s="160">
        <f t="shared" si="20"/>
        <v>45627</v>
      </c>
      <c r="U66" s="160">
        <f t="shared" si="21"/>
        <v>45757</v>
      </c>
      <c r="V66" s="170">
        <f t="shared" si="22"/>
        <v>45764</v>
      </c>
      <c r="W66" s="172"/>
      <c r="X66" s="164"/>
      <c r="Y66" s="165"/>
      <c r="Z66" s="166">
        <v>130</v>
      </c>
      <c r="AA66" s="167"/>
      <c r="AB66" s="168"/>
      <c r="AC66" s="158"/>
      <c r="AD66" s="158"/>
      <c r="AE66" s="158"/>
      <c r="AF66" s="158"/>
    </row>
    <row r="67" spans="1:32" x14ac:dyDescent="0.3">
      <c r="A67" s="414" t="s">
        <v>854</v>
      </c>
      <c r="B67" s="415"/>
      <c r="C67" s="415"/>
      <c r="D67" s="415"/>
      <c r="E67" s="415"/>
      <c r="F67" s="415"/>
      <c r="G67" s="415"/>
      <c r="H67" s="415"/>
      <c r="I67" s="415"/>
      <c r="J67" s="415"/>
      <c r="K67" s="415"/>
      <c r="L67" s="415"/>
      <c r="M67" s="415"/>
      <c r="N67" s="415"/>
      <c r="O67" s="415"/>
      <c r="P67" s="415"/>
      <c r="Q67" s="415"/>
      <c r="R67" s="415"/>
      <c r="S67" s="415"/>
      <c r="T67" s="415"/>
      <c r="U67" s="415"/>
      <c r="V67" s="415"/>
      <c r="W67" s="415"/>
      <c r="X67" s="415"/>
      <c r="Y67" s="415"/>
      <c r="Z67" s="415"/>
      <c r="AA67" s="167"/>
      <c r="AB67" s="168"/>
      <c r="AC67" s="158"/>
      <c r="AD67" s="158"/>
      <c r="AE67" s="158"/>
      <c r="AF67" s="158"/>
    </row>
    <row r="68" spans="1:32" x14ac:dyDescent="0.3">
      <c r="A68" s="157">
        <v>6.01</v>
      </c>
      <c r="B68" s="158" t="s">
        <v>855</v>
      </c>
      <c r="C68" s="159" t="s">
        <v>856</v>
      </c>
      <c r="D68" s="179">
        <f t="shared" ref="D68:D106" si="24">R68-(E68+G68+I68+K68+M68+O68)</f>
        <v>45718</v>
      </c>
      <c r="E68" s="180">
        <v>10</v>
      </c>
      <c r="F68" s="179">
        <f t="shared" ref="F68:F106" si="25">D68+E68</f>
        <v>45728</v>
      </c>
      <c r="G68" s="180">
        <v>21</v>
      </c>
      <c r="H68" s="179">
        <f t="shared" ref="H68:H106" si="26">F68+G68</f>
        <v>45749</v>
      </c>
      <c r="I68" s="180">
        <v>5</v>
      </c>
      <c r="J68" s="179">
        <f t="shared" ref="J68:J106" si="27">H68+I68</f>
        <v>45754</v>
      </c>
      <c r="K68" s="180">
        <v>45</v>
      </c>
      <c r="L68" s="179">
        <f t="shared" ref="L68:L106" si="28">J68+K68</f>
        <v>45799</v>
      </c>
      <c r="M68" s="180">
        <v>31</v>
      </c>
      <c r="N68" s="179">
        <f t="shared" ref="N68:N106" si="29">L68+M68</f>
        <v>45830</v>
      </c>
      <c r="O68" s="180">
        <v>3</v>
      </c>
      <c r="P68" s="179">
        <f t="shared" ref="P68:P106" si="30">N68+O68</f>
        <v>45833</v>
      </c>
      <c r="Q68" s="161">
        <f t="shared" ref="Q68:Q106" si="31">O68+M68+K68+I68+G68+E68</f>
        <v>115</v>
      </c>
      <c r="R68" s="160">
        <v>45833</v>
      </c>
      <c r="S68" s="160">
        <f t="shared" ref="S68:S106" si="32">+T68-23</f>
        <v>45794</v>
      </c>
      <c r="T68" s="160">
        <f t="shared" ref="T68:T106" si="33">+U68-Z68</f>
        <v>45817</v>
      </c>
      <c r="U68" s="160">
        <f t="shared" ref="U68:U106" si="34">+V68-7</f>
        <v>45817</v>
      </c>
      <c r="V68" s="160">
        <f>$C$8-60</f>
        <v>45824</v>
      </c>
      <c r="W68" s="172"/>
      <c r="X68" s="164"/>
      <c r="Y68" s="165"/>
      <c r="Z68" s="166"/>
      <c r="AA68" s="167"/>
      <c r="AB68" s="168"/>
      <c r="AC68" s="158"/>
      <c r="AD68" s="158"/>
      <c r="AE68" s="158"/>
      <c r="AF68" s="158"/>
    </row>
    <row r="69" spans="1:32" x14ac:dyDescent="0.3">
      <c r="A69" s="157">
        <v>6.01</v>
      </c>
      <c r="B69" s="158" t="s">
        <v>855</v>
      </c>
      <c r="C69" s="159" t="s">
        <v>857</v>
      </c>
      <c r="D69" s="179">
        <f t="shared" si="24"/>
        <v>45718</v>
      </c>
      <c r="E69" s="180">
        <v>10</v>
      </c>
      <c r="F69" s="179">
        <f t="shared" si="25"/>
        <v>45728</v>
      </c>
      <c r="G69" s="180">
        <v>21</v>
      </c>
      <c r="H69" s="179">
        <f t="shared" si="26"/>
        <v>45749</v>
      </c>
      <c r="I69" s="180">
        <v>5</v>
      </c>
      <c r="J69" s="179">
        <f t="shared" si="27"/>
        <v>45754</v>
      </c>
      <c r="K69" s="180">
        <v>45</v>
      </c>
      <c r="L69" s="179">
        <f t="shared" si="28"/>
        <v>45799</v>
      </c>
      <c r="M69" s="180">
        <v>31</v>
      </c>
      <c r="N69" s="179">
        <f t="shared" si="29"/>
        <v>45830</v>
      </c>
      <c r="O69" s="180">
        <v>3</v>
      </c>
      <c r="P69" s="179">
        <f t="shared" si="30"/>
        <v>45833</v>
      </c>
      <c r="Q69" s="161">
        <f t="shared" si="31"/>
        <v>115</v>
      </c>
      <c r="R69" s="160">
        <v>45833</v>
      </c>
      <c r="S69" s="160">
        <f t="shared" si="32"/>
        <v>-90</v>
      </c>
      <c r="T69" s="160">
        <f t="shared" si="33"/>
        <v>-67</v>
      </c>
      <c r="U69" s="160">
        <f t="shared" si="34"/>
        <v>-67</v>
      </c>
      <c r="V69" s="160">
        <f t="shared" ref="V69:V88" si="35">+$C$6-60</f>
        <v>-60</v>
      </c>
      <c r="W69" s="172"/>
      <c r="X69" s="164"/>
      <c r="Y69" s="165"/>
      <c r="Z69" s="166"/>
      <c r="AA69" s="167"/>
      <c r="AB69" s="168"/>
      <c r="AC69" s="158"/>
      <c r="AD69" s="158"/>
      <c r="AE69" s="158"/>
      <c r="AF69" s="158"/>
    </row>
    <row r="70" spans="1:32" x14ac:dyDescent="0.3">
      <c r="A70" s="157">
        <v>6.01</v>
      </c>
      <c r="B70" s="158" t="s">
        <v>855</v>
      </c>
      <c r="C70" s="159" t="s">
        <v>858</v>
      </c>
      <c r="D70" s="179">
        <f t="shared" si="24"/>
        <v>45718</v>
      </c>
      <c r="E70" s="180">
        <v>10</v>
      </c>
      <c r="F70" s="179">
        <f t="shared" si="25"/>
        <v>45728</v>
      </c>
      <c r="G70" s="180">
        <v>21</v>
      </c>
      <c r="H70" s="179">
        <f t="shared" si="26"/>
        <v>45749</v>
      </c>
      <c r="I70" s="180">
        <v>5</v>
      </c>
      <c r="J70" s="179">
        <f t="shared" si="27"/>
        <v>45754</v>
      </c>
      <c r="K70" s="180">
        <v>45</v>
      </c>
      <c r="L70" s="179">
        <f t="shared" si="28"/>
        <v>45799</v>
      </c>
      <c r="M70" s="180">
        <v>31</v>
      </c>
      <c r="N70" s="179">
        <f t="shared" si="29"/>
        <v>45830</v>
      </c>
      <c r="O70" s="180">
        <v>3</v>
      </c>
      <c r="P70" s="179">
        <f t="shared" si="30"/>
        <v>45833</v>
      </c>
      <c r="Q70" s="161">
        <f t="shared" si="31"/>
        <v>115</v>
      </c>
      <c r="R70" s="160">
        <v>45833</v>
      </c>
      <c r="S70" s="160">
        <f t="shared" si="32"/>
        <v>-90</v>
      </c>
      <c r="T70" s="160">
        <f t="shared" si="33"/>
        <v>-67</v>
      </c>
      <c r="U70" s="160">
        <f t="shared" si="34"/>
        <v>-67</v>
      </c>
      <c r="V70" s="160">
        <f t="shared" si="35"/>
        <v>-60</v>
      </c>
      <c r="W70" s="172"/>
      <c r="X70" s="164"/>
      <c r="Y70" s="165"/>
      <c r="Z70" s="166"/>
      <c r="AA70" s="167"/>
      <c r="AB70" s="168"/>
      <c r="AC70" s="158"/>
      <c r="AD70" s="158"/>
      <c r="AE70" s="158"/>
      <c r="AF70" s="158"/>
    </row>
    <row r="71" spans="1:32" x14ac:dyDescent="0.3">
      <c r="A71" s="157">
        <v>6.01</v>
      </c>
      <c r="B71" s="158" t="s">
        <v>855</v>
      </c>
      <c r="C71" s="159" t="s">
        <v>859</v>
      </c>
      <c r="D71" s="179">
        <f t="shared" si="24"/>
        <v>45718</v>
      </c>
      <c r="E71" s="180">
        <v>10</v>
      </c>
      <c r="F71" s="179">
        <f t="shared" si="25"/>
        <v>45728</v>
      </c>
      <c r="G71" s="180">
        <v>21</v>
      </c>
      <c r="H71" s="179">
        <f t="shared" si="26"/>
        <v>45749</v>
      </c>
      <c r="I71" s="180">
        <v>5</v>
      </c>
      <c r="J71" s="179">
        <f t="shared" si="27"/>
        <v>45754</v>
      </c>
      <c r="K71" s="180">
        <v>45</v>
      </c>
      <c r="L71" s="179">
        <f t="shared" si="28"/>
        <v>45799</v>
      </c>
      <c r="M71" s="180">
        <v>31</v>
      </c>
      <c r="N71" s="179">
        <f t="shared" si="29"/>
        <v>45830</v>
      </c>
      <c r="O71" s="180">
        <v>3</v>
      </c>
      <c r="P71" s="179">
        <f t="shared" si="30"/>
        <v>45833</v>
      </c>
      <c r="Q71" s="161">
        <f t="shared" si="31"/>
        <v>115</v>
      </c>
      <c r="R71" s="160">
        <v>45833</v>
      </c>
      <c r="S71" s="160">
        <f t="shared" si="32"/>
        <v>-90</v>
      </c>
      <c r="T71" s="160">
        <f t="shared" si="33"/>
        <v>-67</v>
      </c>
      <c r="U71" s="160">
        <f t="shared" si="34"/>
        <v>-67</v>
      </c>
      <c r="V71" s="160">
        <f t="shared" si="35"/>
        <v>-60</v>
      </c>
      <c r="W71" s="172"/>
      <c r="X71" s="164"/>
      <c r="Y71" s="165"/>
      <c r="Z71" s="166"/>
      <c r="AA71" s="167"/>
      <c r="AB71" s="168"/>
      <c r="AC71" s="158"/>
      <c r="AD71" s="158"/>
      <c r="AE71" s="158"/>
      <c r="AF71" s="158"/>
    </row>
    <row r="72" spans="1:32" x14ac:dyDescent="0.3">
      <c r="A72" s="157">
        <v>6.01</v>
      </c>
      <c r="B72" s="158" t="s">
        <v>855</v>
      </c>
      <c r="C72" s="159" t="s">
        <v>860</v>
      </c>
      <c r="D72" s="179">
        <f t="shared" si="24"/>
        <v>45718</v>
      </c>
      <c r="E72" s="180">
        <v>10</v>
      </c>
      <c r="F72" s="179">
        <f t="shared" si="25"/>
        <v>45728</v>
      </c>
      <c r="G72" s="180">
        <v>21</v>
      </c>
      <c r="H72" s="179">
        <f t="shared" si="26"/>
        <v>45749</v>
      </c>
      <c r="I72" s="180">
        <v>5</v>
      </c>
      <c r="J72" s="179">
        <f t="shared" si="27"/>
        <v>45754</v>
      </c>
      <c r="K72" s="180">
        <v>45</v>
      </c>
      <c r="L72" s="179">
        <f t="shared" si="28"/>
        <v>45799</v>
      </c>
      <c r="M72" s="180">
        <v>31</v>
      </c>
      <c r="N72" s="179">
        <f t="shared" si="29"/>
        <v>45830</v>
      </c>
      <c r="O72" s="180">
        <v>3</v>
      </c>
      <c r="P72" s="179">
        <f t="shared" si="30"/>
        <v>45833</v>
      </c>
      <c r="Q72" s="161">
        <f t="shared" si="31"/>
        <v>115</v>
      </c>
      <c r="R72" s="160">
        <v>45833</v>
      </c>
      <c r="S72" s="160">
        <f t="shared" si="32"/>
        <v>-90</v>
      </c>
      <c r="T72" s="160">
        <f t="shared" si="33"/>
        <v>-67</v>
      </c>
      <c r="U72" s="160">
        <f t="shared" si="34"/>
        <v>-67</v>
      </c>
      <c r="V72" s="160">
        <f t="shared" si="35"/>
        <v>-60</v>
      </c>
      <c r="W72" s="172"/>
      <c r="X72" s="164"/>
      <c r="Y72" s="165"/>
      <c r="Z72" s="166"/>
      <c r="AA72" s="167"/>
      <c r="AB72" s="168"/>
      <c r="AC72" s="158"/>
      <c r="AD72" s="158"/>
      <c r="AE72" s="158"/>
      <c r="AF72" s="158"/>
    </row>
    <row r="73" spans="1:32" x14ac:dyDescent="0.3">
      <c r="A73" s="157">
        <v>6.01</v>
      </c>
      <c r="B73" s="158" t="s">
        <v>855</v>
      </c>
      <c r="C73" s="159" t="s">
        <v>861</v>
      </c>
      <c r="D73" s="179">
        <f t="shared" si="24"/>
        <v>45708</v>
      </c>
      <c r="E73" s="180">
        <v>15</v>
      </c>
      <c r="F73" s="179">
        <f t="shared" si="25"/>
        <v>45723</v>
      </c>
      <c r="G73" s="180">
        <v>21</v>
      </c>
      <c r="H73" s="179">
        <f t="shared" si="26"/>
        <v>45744</v>
      </c>
      <c r="I73" s="180">
        <v>10</v>
      </c>
      <c r="J73" s="179">
        <f t="shared" si="27"/>
        <v>45754</v>
      </c>
      <c r="K73" s="180">
        <v>45</v>
      </c>
      <c r="L73" s="179">
        <f t="shared" si="28"/>
        <v>45799</v>
      </c>
      <c r="M73" s="180">
        <v>31</v>
      </c>
      <c r="N73" s="179">
        <f t="shared" si="29"/>
        <v>45830</v>
      </c>
      <c r="O73" s="180">
        <v>3</v>
      </c>
      <c r="P73" s="179">
        <f t="shared" si="30"/>
        <v>45833</v>
      </c>
      <c r="Q73" s="161">
        <f t="shared" si="31"/>
        <v>125</v>
      </c>
      <c r="R73" s="160">
        <v>45833</v>
      </c>
      <c r="S73" s="160">
        <f t="shared" si="32"/>
        <v>-90</v>
      </c>
      <c r="T73" s="160">
        <f t="shared" si="33"/>
        <v>-67</v>
      </c>
      <c r="U73" s="160">
        <f t="shared" si="34"/>
        <v>-67</v>
      </c>
      <c r="V73" s="160">
        <f t="shared" si="35"/>
        <v>-60</v>
      </c>
      <c r="W73" s="172"/>
      <c r="X73" s="164"/>
      <c r="Y73" s="165"/>
      <c r="Z73" s="166"/>
      <c r="AA73" s="167"/>
      <c r="AB73" s="168"/>
      <c r="AC73" s="158"/>
      <c r="AD73" s="158"/>
      <c r="AE73" s="158"/>
      <c r="AF73" s="158"/>
    </row>
    <row r="74" spans="1:32" x14ac:dyDescent="0.3">
      <c r="A74" s="157">
        <v>6.01</v>
      </c>
      <c r="B74" s="158" t="s">
        <v>855</v>
      </c>
      <c r="C74" s="159" t="s">
        <v>862</v>
      </c>
      <c r="D74" s="179">
        <f t="shared" si="24"/>
        <v>45718</v>
      </c>
      <c r="E74" s="180">
        <v>10</v>
      </c>
      <c r="F74" s="179">
        <f t="shared" si="25"/>
        <v>45728</v>
      </c>
      <c r="G74" s="180">
        <v>21</v>
      </c>
      <c r="H74" s="179">
        <f t="shared" si="26"/>
        <v>45749</v>
      </c>
      <c r="I74" s="180">
        <v>5</v>
      </c>
      <c r="J74" s="179">
        <f t="shared" si="27"/>
        <v>45754</v>
      </c>
      <c r="K74" s="180">
        <v>45</v>
      </c>
      <c r="L74" s="179">
        <f t="shared" si="28"/>
        <v>45799</v>
      </c>
      <c r="M74" s="180">
        <v>31</v>
      </c>
      <c r="N74" s="179">
        <f t="shared" si="29"/>
        <v>45830</v>
      </c>
      <c r="O74" s="180">
        <v>3</v>
      </c>
      <c r="P74" s="179">
        <f t="shared" si="30"/>
        <v>45833</v>
      </c>
      <c r="Q74" s="161">
        <f t="shared" si="31"/>
        <v>115</v>
      </c>
      <c r="R74" s="160">
        <v>45833</v>
      </c>
      <c r="S74" s="160">
        <f t="shared" si="32"/>
        <v>-90</v>
      </c>
      <c r="T74" s="160">
        <f t="shared" si="33"/>
        <v>-67</v>
      </c>
      <c r="U74" s="160">
        <f t="shared" si="34"/>
        <v>-67</v>
      </c>
      <c r="V74" s="160">
        <f t="shared" si="35"/>
        <v>-60</v>
      </c>
      <c r="W74" s="172"/>
      <c r="X74" s="164"/>
      <c r="Y74" s="165"/>
      <c r="Z74" s="166"/>
      <c r="AA74" s="167"/>
      <c r="AB74" s="168"/>
      <c r="AC74" s="158"/>
      <c r="AD74" s="158"/>
      <c r="AE74" s="158"/>
      <c r="AF74" s="158"/>
    </row>
    <row r="75" spans="1:32" x14ac:dyDescent="0.3">
      <c r="A75" s="157">
        <v>6.01</v>
      </c>
      <c r="B75" s="158" t="s">
        <v>855</v>
      </c>
      <c r="C75" s="159" t="s">
        <v>863</v>
      </c>
      <c r="D75" s="179">
        <f t="shared" si="24"/>
        <v>45713</v>
      </c>
      <c r="E75" s="180">
        <v>10</v>
      </c>
      <c r="F75" s="179">
        <f t="shared" si="25"/>
        <v>45723</v>
      </c>
      <c r="G75" s="180">
        <v>21</v>
      </c>
      <c r="H75" s="179">
        <f t="shared" si="26"/>
        <v>45744</v>
      </c>
      <c r="I75" s="180">
        <v>10</v>
      </c>
      <c r="J75" s="179">
        <f t="shared" si="27"/>
        <v>45754</v>
      </c>
      <c r="K75" s="180">
        <v>45</v>
      </c>
      <c r="L75" s="179">
        <f t="shared" si="28"/>
        <v>45799</v>
      </c>
      <c r="M75" s="180">
        <v>31</v>
      </c>
      <c r="N75" s="179">
        <f t="shared" si="29"/>
        <v>45830</v>
      </c>
      <c r="O75" s="180">
        <v>3</v>
      </c>
      <c r="P75" s="179">
        <f t="shared" si="30"/>
        <v>45833</v>
      </c>
      <c r="Q75" s="161">
        <f t="shared" si="31"/>
        <v>120</v>
      </c>
      <c r="R75" s="160">
        <v>45833</v>
      </c>
      <c r="S75" s="160">
        <f t="shared" si="32"/>
        <v>-150</v>
      </c>
      <c r="T75" s="160">
        <f t="shared" si="33"/>
        <v>-127</v>
      </c>
      <c r="U75" s="160">
        <f t="shared" si="34"/>
        <v>-67</v>
      </c>
      <c r="V75" s="160">
        <f t="shared" si="35"/>
        <v>-60</v>
      </c>
      <c r="W75" s="172"/>
      <c r="X75" s="164"/>
      <c r="Y75" s="165"/>
      <c r="Z75" s="166">
        <v>60</v>
      </c>
      <c r="AA75" s="167"/>
      <c r="AB75" s="168"/>
      <c r="AC75" s="158"/>
      <c r="AD75" s="158"/>
      <c r="AE75" s="158"/>
      <c r="AF75" s="158"/>
    </row>
    <row r="76" spans="1:32" x14ac:dyDescent="0.3">
      <c r="A76" s="157">
        <v>6.01</v>
      </c>
      <c r="B76" s="158" t="s">
        <v>855</v>
      </c>
      <c r="C76" s="159" t="s">
        <v>405</v>
      </c>
      <c r="D76" s="179">
        <f t="shared" si="24"/>
        <v>45718</v>
      </c>
      <c r="E76" s="180">
        <v>10</v>
      </c>
      <c r="F76" s="179">
        <f t="shared" si="25"/>
        <v>45728</v>
      </c>
      <c r="G76" s="180">
        <v>21</v>
      </c>
      <c r="H76" s="179">
        <f t="shared" si="26"/>
        <v>45749</v>
      </c>
      <c r="I76" s="180">
        <v>5</v>
      </c>
      <c r="J76" s="179">
        <f t="shared" si="27"/>
        <v>45754</v>
      </c>
      <c r="K76" s="180">
        <v>45</v>
      </c>
      <c r="L76" s="179">
        <f t="shared" si="28"/>
        <v>45799</v>
      </c>
      <c r="M76" s="180">
        <v>31</v>
      </c>
      <c r="N76" s="179">
        <f t="shared" si="29"/>
        <v>45830</v>
      </c>
      <c r="O76" s="180">
        <v>3</v>
      </c>
      <c r="P76" s="179">
        <f t="shared" si="30"/>
        <v>45833</v>
      </c>
      <c r="Q76" s="161">
        <f t="shared" si="31"/>
        <v>115</v>
      </c>
      <c r="R76" s="160">
        <v>45833</v>
      </c>
      <c r="S76" s="160">
        <f t="shared" si="32"/>
        <v>-120</v>
      </c>
      <c r="T76" s="160">
        <f t="shared" si="33"/>
        <v>-97</v>
      </c>
      <c r="U76" s="160">
        <f t="shared" si="34"/>
        <v>-67</v>
      </c>
      <c r="V76" s="160">
        <f t="shared" si="35"/>
        <v>-60</v>
      </c>
      <c r="W76" s="172"/>
      <c r="X76" s="164"/>
      <c r="Y76" s="165"/>
      <c r="Z76" s="166">
        <v>30</v>
      </c>
      <c r="AA76" s="167"/>
      <c r="AB76" s="168"/>
      <c r="AC76" s="158"/>
      <c r="AD76" s="158"/>
      <c r="AE76" s="158"/>
      <c r="AF76" s="158"/>
    </row>
    <row r="77" spans="1:32" x14ac:dyDescent="0.3">
      <c r="A77" s="157">
        <v>6.01</v>
      </c>
      <c r="B77" s="158" t="s">
        <v>855</v>
      </c>
      <c r="C77" s="159" t="s">
        <v>406</v>
      </c>
      <c r="D77" s="179">
        <f t="shared" si="24"/>
        <v>45718</v>
      </c>
      <c r="E77" s="180">
        <v>10</v>
      </c>
      <c r="F77" s="179">
        <f t="shared" si="25"/>
        <v>45728</v>
      </c>
      <c r="G77" s="180">
        <v>21</v>
      </c>
      <c r="H77" s="179">
        <f t="shared" si="26"/>
        <v>45749</v>
      </c>
      <c r="I77" s="180">
        <v>5</v>
      </c>
      <c r="J77" s="179">
        <f t="shared" si="27"/>
        <v>45754</v>
      </c>
      <c r="K77" s="180">
        <v>45</v>
      </c>
      <c r="L77" s="179">
        <f t="shared" si="28"/>
        <v>45799</v>
      </c>
      <c r="M77" s="180">
        <v>31</v>
      </c>
      <c r="N77" s="179">
        <f t="shared" si="29"/>
        <v>45830</v>
      </c>
      <c r="O77" s="180">
        <v>3</v>
      </c>
      <c r="P77" s="179">
        <f t="shared" si="30"/>
        <v>45833</v>
      </c>
      <c r="Q77" s="161">
        <f t="shared" si="31"/>
        <v>115</v>
      </c>
      <c r="R77" s="160">
        <v>45833</v>
      </c>
      <c r="S77" s="160">
        <f t="shared" si="32"/>
        <v>-120</v>
      </c>
      <c r="T77" s="160">
        <f t="shared" si="33"/>
        <v>-97</v>
      </c>
      <c r="U77" s="160">
        <f t="shared" si="34"/>
        <v>-67</v>
      </c>
      <c r="V77" s="160">
        <f t="shared" si="35"/>
        <v>-60</v>
      </c>
      <c r="W77" s="172"/>
      <c r="X77" s="164"/>
      <c r="Y77" s="165"/>
      <c r="Z77" s="166">
        <v>30</v>
      </c>
      <c r="AA77" s="167"/>
      <c r="AB77" s="168"/>
      <c r="AC77" s="158"/>
      <c r="AD77" s="158"/>
      <c r="AE77" s="158"/>
      <c r="AF77" s="158"/>
    </row>
    <row r="78" spans="1:32" x14ac:dyDescent="0.3">
      <c r="A78" s="157">
        <v>6.01</v>
      </c>
      <c r="B78" s="158" t="s">
        <v>855</v>
      </c>
      <c r="C78" s="159" t="s">
        <v>407</v>
      </c>
      <c r="D78" s="179">
        <f t="shared" si="24"/>
        <v>45718</v>
      </c>
      <c r="E78" s="180">
        <v>10</v>
      </c>
      <c r="F78" s="179">
        <f t="shared" si="25"/>
        <v>45728</v>
      </c>
      <c r="G78" s="180">
        <v>21</v>
      </c>
      <c r="H78" s="179">
        <f t="shared" si="26"/>
        <v>45749</v>
      </c>
      <c r="I78" s="180">
        <v>5</v>
      </c>
      <c r="J78" s="179">
        <f t="shared" si="27"/>
        <v>45754</v>
      </c>
      <c r="K78" s="180">
        <v>45</v>
      </c>
      <c r="L78" s="179">
        <f t="shared" si="28"/>
        <v>45799</v>
      </c>
      <c r="M78" s="180">
        <v>31</v>
      </c>
      <c r="N78" s="179">
        <f t="shared" si="29"/>
        <v>45830</v>
      </c>
      <c r="O78" s="180">
        <v>3</v>
      </c>
      <c r="P78" s="179">
        <f t="shared" si="30"/>
        <v>45833</v>
      </c>
      <c r="Q78" s="161">
        <f t="shared" si="31"/>
        <v>115</v>
      </c>
      <c r="R78" s="160">
        <v>45833</v>
      </c>
      <c r="S78" s="160">
        <f t="shared" si="32"/>
        <v>-120</v>
      </c>
      <c r="T78" s="160">
        <f t="shared" si="33"/>
        <v>-97</v>
      </c>
      <c r="U78" s="160">
        <f t="shared" si="34"/>
        <v>-67</v>
      </c>
      <c r="V78" s="160">
        <f t="shared" si="35"/>
        <v>-60</v>
      </c>
      <c r="W78" s="172"/>
      <c r="X78" s="164"/>
      <c r="Y78" s="165"/>
      <c r="Z78" s="166">
        <v>30</v>
      </c>
      <c r="AA78" s="167"/>
      <c r="AB78" s="168"/>
      <c r="AC78" s="158"/>
      <c r="AD78" s="158"/>
      <c r="AE78" s="158"/>
      <c r="AF78" s="158"/>
    </row>
    <row r="79" spans="1:32" x14ac:dyDescent="0.3">
      <c r="A79" s="157">
        <v>6.01</v>
      </c>
      <c r="B79" s="158" t="s">
        <v>855</v>
      </c>
      <c r="C79" s="159" t="s">
        <v>864</v>
      </c>
      <c r="D79" s="179">
        <f t="shared" si="24"/>
        <v>45718</v>
      </c>
      <c r="E79" s="180">
        <v>10</v>
      </c>
      <c r="F79" s="179">
        <f t="shared" si="25"/>
        <v>45728</v>
      </c>
      <c r="G79" s="180">
        <v>21</v>
      </c>
      <c r="H79" s="179">
        <f t="shared" si="26"/>
        <v>45749</v>
      </c>
      <c r="I79" s="180">
        <v>5</v>
      </c>
      <c r="J79" s="179">
        <f t="shared" si="27"/>
        <v>45754</v>
      </c>
      <c r="K79" s="180">
        <v>45</v>
      </c>
      <c r="L79" s="179">
        <f t="shared" si="28"/>
        <v>45799</v>
      </c>
      <c r="M79" s="180">
        <v>31</v>
      </c>
      <c r="N79" s="179">
        <f t="shared" si="29"/>
        <v>45830</v>
      </c>
      <c r="O79" s="180">
        <v>3</v>
      </c>
      <c r="P79" s="179">
        <f t="shared" si="30"/>
        <v>45833</v>
      </c>
      <c r="Q79" s="161">
        <f t="shared" si="31"/>
        <v>115</v>
      </c>
      <c r="R79" s="160">
        <v>45833</v>
      </c>
      <c r="S79" s="160">
        <f t="shared" si="32"/>
        <v>-120</v>
      </c>
      <c r="T79" s="160">
        <f t="shared" si="33"/>
        <v>-97</v>
      </c>
      <c r="U79" s="160">
        <f t="shared" si="34"/>
        <v>-67</v>
      </c>
      <c r="V79" s="160">
        <f t="shared" si="35"/>
        <v>-60</v>
      </c>
      <c r="W79" s="172"/>
      <c r="X79" s="164"/>
      <c r="Y79" s="165"/>
      <c r="Z79" s="166">
        <v>30</v>
      </c>
      <c r="AA79" s="167"/>
      <c r="AB79" s="168"/>
      <c r="AC79" s="158"/>
      <c r="AD79" s="158"/>
      <c r="AE79" s="158"/>
      <c r="AF79" s="158"/>
    </row>
    <row r="80" spans="1:32" x14ac:dyDescent="0.3">
      <c r="A80" s="157">
        <v>6.02</v>
      </c>
      <c r="B80" s="158" t="s">
        <v>865</v>
      </c>
      <c r="C80" s="159" t="s">
        <v>230</v>
      </c>
      <c r="D80" s="179">
        <f t="shared" si="24"/>
        <v>45718</v>
      </c>
      <c r="E80" s="180">
        <v>10</v>
      </c>
      <c r="F80" s="179">
        <f t="shared" si="25"/>
        <v>45728</v>
      </c>
      <c r="G80" s="180">
        <v>21</v>
      </c>
      <c r="H80" s="179">
        <f t="shared" si="26"/>
        <v>45749</v>
      </c>
      <c r="I80" s="180">
        <v>5</v>
      </c>
      <c r="J80" s="179">
        <f t="shared" si="27"/>
        <v>45754</v>
      </c>
      <c r="K80" s="180">
        <v>45</v>
      </c>
      <c r="L80" s="179">
        <f t="shared" si="28"/>
        <v>45799</v>
      </c>
      <c r="M80" s="180">
        <v>31</v>
      </c>
      <c r="N80" s="179">
        <f t="shared" si="29"/>
        <v>45830</v>
      </c>
      <c r="O80" s="180">
        <v>3</v>
      </c>
      <c r="P80" s="179">
        <f t="shared" si="30"/>
        <v>45833</v>
      </c>
      <c r="Q80" s="161">
        <f t="shared" si="31"/>
        <v>115</v>
      </c>
      <c r="R80" s="160">
        <v>45833</v>
      </c>
      <c r="S80" s="160">
        <f t="shared" si="32"/>
        <v>-90</v>
      </c>
      <c r="T80" s="160">
        <f t="shared" si="33"/>
        <v>-67</v>
      </c>
      <c r="U80" s="160">
        <f t="shared" si="34"/>
        <v>-67</v>
      </c>
      <c r="V80" s="160">
        <f t="shared" si="35"/>
        <v>-60</v>
      </c>
      <c r="W80" s="172"/>
      <c r="X80" s="164"/>
      <c r="Y80" s="165"/>
      <c r="Z80" s="166"/>
      <c r="AA80" s="167"/>
      <c r="AB80" s="168"/>
      <c r="AC80" s="158"/>
      <c r="AD80" s="158"/>
      <c r="AE80" s="158"/>
      <c r="AF80" s="158"/>
    </row>
    <row r="81" spans="1:32" x14ac:dyDescent="0.3">
      <c r="A81" s="157">
        <v>6.02</v>
      </c>
      <c r="B81" s="158" t="s">
        <v>865</v>
      </c>
      <c r="C81" s="159" t="s">
        <v>866</v>
      </c>
      <c r="D81" s="179">
        <f t="shared" si="24"/>
        <v>45718</v>
      </c>
      <c r="E81" s="180">
        <v>10</v>
      </c>
      <c r="F81" s="179">
        <f t="shared" si="25"/>
        <v>45728</v>
      </c>
      <c r="G81" s="180">
        <v>21</v>
      </c>
      <c r="H81" s="179">
        <f t="shared" si="26"/>
        <v>45749</v>
      </c>
      <c r="I81" s="180">
        <v>5</v>
      </c>
      <c r="J81" s="179">
        <f t="shared" si="27"/>
        <v>45754</v>
      </c>
      <c r="K81" s="180">
        <v>45</v>
      </c>
      <c r="L81" s="179">
        <f t="shared" si="28"/>
        <v>45799</v>
      </c>
      <c r="M81" s="180">
        <v>31</v>
      </c>
      <c r="N81" s="179">
        <f t="shared" si="29"/>
        <v>45830</v>
      </c>
      <c r="O81" s="180">
        <v>3</v>
      </c>
      <c r="P81" s="179">
        <f t="shared" si="30"/>
        <v>45833</v>
      </c>
      <c r="Q81" s="161">
        <f t="shared" si="31"/>
        <v>115</v>
      </c>
      <c r="R81" s="160">
        <v>45833</v>
      </c>
      <c r="S81" s="160">
        <f t="shared" si="32"/>
        <v>-90</v>
      </c>
      <c r="T81" s="160">
        <f t="shared" si="33"/>
        <v>-67</v>
      </c>
      <c r="U81" s="160">
        <f t="shared" si="34"/>
        <v>-67</v>
      </c>
      <c r="V81" s="160">
        <f t="shared" si="35"/>
        <v>-60</v>
      </c>
      <c r="W81" s="172"/>
      <c r="X81" s="164"/>
      <c r="Y81" s="165"/>
      <c r="Z81" s="166"/>
      <c r="AA81" s="167"/>
      <c r="AB81" s="168"/>
      <c r="AC81" s="158"/>
      <c r="AD81" s="158"/>
      <c r="AE81" s="158"/>
      <c r="AF81" s="158"/>
    </row>
    <row r="82" spans="1:32" x14ac:dyDescent="0.3">
      <c r="A82" s="157">
        <v>6.02</v>
      </c>
      <c r="B82" s="158" t="s">
        <v>865</v>
      </c>
      <c r="C82" s="159" t="s">
        <v>867</v>
      </c>
      <c r="D82" s="179">
        <f t="shared" si="24"/>
        <v>45718</v>
      </c>
      <c r="E82" s="180">
        <v>10</v>
      </c>
      <c r="F82" s="179">
        <f t="shared" si="25"/>
        <v>45728</v>
      </c>
      <c r="G82" s="180">
        <v>21</v>
      </c>
      <c r="H82" s="179">
        <f t="shared" si="26"/>
        <v>45749</v>
      </c>
      <c r="I82" s="180">
        <v>5</v>
      </c>
      <c r="J82" s="179">
        <f t="shared" si="27"/>
        <v>45754</v>
      </c>
      <c r="K82" s="180">
        <v>45</v>
      </c>
      <c r="L82" s="179">
        <f t="shared" si="28"/>
        <v>45799</v>
      </c>
      <c r="M82" s="180">
        <v>31</v>
      </c>
      <c r="N82" s="179">
        <f t="shared" si="29"/>
        <v>45830</v>
      </c>
      <c r="O82" s="180">
        <v>3</v>
      </c>
      <c r="P82" s="179">
        <f t="shared" si="30"/>
        <v>45833</v>
      </c>
      <c r="Q82" s="161">
        <f t="shared" si="31"/>
        <v>115</v>
      </c>
      <c r="R82" s="160">
        <v>45833</v>
      </c>
      <c r="S82" s="160">
        <f t="shared" si="32"/>
        <v>-90</v>
      </c>
      <c r="T82" s="160">
        <f t="shared" si="33"/>
        <v>-67</v>
      </c>
      <c r="U82" s="160">
        <f t="shared" si="34"/>
        <v>-67</v>
      </c>
      <c r="V82" s="160">
        <f t="shared" si="35"/>
        <v>-60</v>
      </c>
      <c r="W82" s="172"/>
      <c r="X82" s="164"/>
      <c r="Y82" s="165"/>
      <c r="Z82" s="166"/>
      <c r="AA82" s="167"/>
      <c r="AB82" s="168"/>
      <c r="AC82" s="158"/>
      <c r="AD82" s="158"/>
      <c r="AE82" s="158"/>
      <c r="AF82" s="158"/>
    </row>
    <row r="83" spans="1:32" x14ac:dyDescent="0.3">
      <c r="A83" s="157">
        <v>6.02</v>
      </c>
      <c r="B83" s="158" t="s">
        <v>865</v>
      </c>
      <c r="C83" s="159" t="s">
        <v>868</v>
      </c>
      <c r="D83" s="179">
        <f t="shared" si="24"/>
        <v>45718</v>
      </c>
      <c r="E83" s="180">
        <v>10</v>
      </c>
      <c r="F83" s="179">
        <f t="shared" si="25"/>
        <v>45728</v>
      </c>
      <c r="G83" s="180">
        <v>21</v>
      </c>
      <c r="H83" s="179">
        <f t="shared" si="26"/>
        <v>45749</v>
      </c>
      <c r="I83" s="180">
        <v>5</v>
      </c>
      <c r="J83" s="179">
        <f t="shared" si="27"/>
        <v>45754</v>
      </c>
      <c r="K83" s="180">
        <v>45</v>
      </c>
      <c r="L83" s="179">
        <f t="shared" si="28"/>
        <v>45799</v>
      </c>
      <c r="M83" s="180">
        <v>31</v>
      </c>
      <c r="N83" s="179">
        <f t="shared" si="29"/>
        <v>45830</v>
      </c>
      <c r="O83" s="180">
        <v>3</v>
      </c>
      <c r="P83" s="179">
        <f t="shared" si="30"/>
        <v>45833</v>
      </c>
      <c r="Q83" s="161">
        <f t="shared" si="31"/>
        <v>115</v>
      </c>
      <c r="R83" s="160">
        <v>45833</v>
      </c>
      <c r="S83" s="160">
        <f t="shared" si="32"/>
        <v>-90</v>
      </c>
      <c r="T83" s="160">
        <f t="shared" si="33"/>
        <v>-67</v>
      </c>
      <c r="U83" s="160">
        <f t="shared" si="34"/>
        <v>-67</v>
      </c>
      <c r="V83" s="160">
        <f t="shared" si="35"/>
        <v>-60</v>
      </c>
      <c r="W83" s="172"/>
      <c r="X83" s="164"/>
      <c r="Y83" s="165"/>
      <c r="Z83" s="166"/>
      <c r="AA83" s="167"/>
      <c r="AB83" s="168"/>
      <c r="AC83" s="158"/>
      <c r="AD83" s="158"/>
      <c r="AE83" s="158"/>
      <c r="AF83" s="158"/>
    </row>
    <row r="84" spans="1:32" x14ac:dyDescent="0.3">
      <c r="A84" s="157">
        <v>6.02</v>
      </c>
      <c r="B84" s="158" t="s">
        <v>865</v>
      </c>
      <c r="C84" s="159" t="s">
        <v>869</v>
      </c>
      <c r="D84" s="179">
        <f t="shared" si="24"/>
        <v>45718</v>
      </c>
      <c r="E84" s="180">
        <v>10</v>
      </c>
      <c r="F84" s="179">
        <f t="shared" si="25"/>
        <v>45728</v>
      </c>
      <c r="G84" s="180">
        <v>21</v>
      </c>
      <c r="H84" s="179">
        <f t="shared" si="26"/>
        <v>45749</v>
      </c>
      <c r="I84" s="180">
        <v>5</v>
      </c>
      <c r="J84" s="179">
        <f t="shared" si="27"/>
        <v>45754</v>
      </c>
      <c r="K84" s="180">
        <v>45</v>
      </c>
      <c r="L84" s="179">
        <f t="shared" si="28"/>
        <v>45799</v>
      </c>
      <c r="M84" s="180">
        <v>31</v>
      </c>
      <c r="N84" s="179">
        <f t="shared" si="29"/>
        <v>45830</v>
      </c>
      <c r="O84" s="180">
        <v>3</v>
      </c>
      <c r="P84" s="179">
        <f t="shared" si="30"/>
        <v>45833</v>
      </c>
      <c r="Q84" s="161">
        <f t="shared" si="31"/>
        <v>115</v>
      </c>
      <c r="R84" s="160">
        <v>45833</v>
      </c>
      <c r="S84" s="160">
        <f t="shared" si="32"/>
        <v>-90</v>
      </c>
      <c r="T84" s="160">
        <f t="shared" si="33"/>
        <v>-67</v>
      </c>
      <c r="U84" s="160">
        <f t="shared" si="34"/>
        <v>-67</v>
      </c>
      <c r="V84" s="160">
        <f t="shared" si="35"/>
        <v>-60</v>
      </c>
      <c r="W84" s="172"/>
      <c r="X84" s="164"/>
      <c r="Y84" s="165"/>
      <c r="Z84" s="166"/>
      <c r="AA84" s="167"/>
      <c r="AB84" s="168"/>
      <c r="AC84" s="158"/>
      <c r="AD84" s="158"/>
      <c r="AE84" s="158"/>
      <c r="AF84" s="158"/>
    </row>
    <row r="85" spans="1:32" x14ac:dyDescent="0.3">
      <c r="A85" s="157">
        <v>6.02</v>
      </c>
      <c r="B85" s="158" t="s">
        <v>865</v>
      </c>
      <c r="C85" s="159" t="s">
        <v>870</v>
      </c>
      <c r="D85" s="179">
        <f t="shared" si="24"/>
        <v>45718</v>
      </c>
      <c r="E85" s="180">
        <v>10</v>
      </c>
      <c r="F85" s="179">
        <f t="shared" si="25"/>
        <v>45728</v>
      </c>
      <c r="G85" s="180">
        <v>21</v>
      </c>
      <c r="H85" s="179">
        <f t="shared" si="26"/>
        <v>45749</v>
      </c>
      <c r="I85" s="180">
        <v>5</v>
      </c>
      <c r="J85" s="179">
        <f t="shared" si="27"/>
        <v>45754</v>
      </c>
      <c r="K85" s="180">
        <v>45</v>
      </c>
      <c r="L85" s="179">
        <f t="shared" si="28"/>
        <v>45799</v>
      </c>
      <c r="M85" s="180">
        <v>31</v>
      </c>
      <c r="N85" s="179">
        <f t="shared" si="29"/>
        <v>45830</v>
      </c>
      <c r="O85" s="180">
        <v>3</v>
      </c>
      <c r="P85" s="179">
        <f t="shared" si="30"/>
        <v>45833</v>
      </c>
      <c r="Q85" s="161">
        <f t="shared" si="31"/>
        <v>115</v>
      </c>
      <c r="R85" s="160">
        <v>45833</v>
      </c>
      <c r="S85" s="160">
        <f t="shared" si="32"/>
        <v>-90</v>
      </c>
      <c r="T85" s="160">
        <f t="shared" si="33"/>
        <v>-67</v>
      </c>
      <c r="U85" s="160">
        <f t="shared" si="34"/>
        <v>-67</v>
      </c>
      <c r="V85" s="160">
        <f t="shared" si="35"/>
        <v>-60</v>
      </c>
      <c r="W85" s="172"/>
      <c r="X85" s="164"/>
      <c r="Y85" s="165"/>
      <c r="Z85" s="166"/>
      <c r="AA85" s="167"/>
      <c r="AB85" s="168"/>
      <c r="AC85" s="158"/>
      <c r="AD85" s="158"/>
      <c r="AE85" s="158"/>
      <c r="AF85" s="158"/>
    </row>
    <row r="86" spans="1:32" x14ac:dyDescent="0.3">
      <c r="A86" s="157">
        <v>6.02</v>
      </c>
      <c r="B86" s="158" t="s">
        <v>865</v>
      </c>
      <c r="C86" s="159" t="s">
        <v>871</v>
      </c>
      <c r="D86" s="179">
        <f t="shared" si="24"/>
        <v>45718</v>
      </c>
      <c r="E86" s="180">
        <v>10</v>
      </c>
      <c r="F86" s="179">
        <f t="shared" si="25"/>
        <v>45728</v>
      </c>
      <c r="G86" s="180">
        <v>21</v>
      </c>
      <c r="H86" s="179">
        <f t="shared" si="26"/>
        <v>45749</v>
      </c>
      <c r="I86" s="180">
        <v>5</v>
      </c>
      <c r="J86" s="179">
        <f t="shared" si="27"/>
        <v>45754</v>
      </c>
      <c r="K86" s="180">
        <v>45</v>
      </c>
      <c r="L86" s="179">
        <f t="shared" si="28"/>
        <v>45799</v>
      </c>
      <c r="M86" s="180">
        <v>31</v>
      </c>
      <c r="N86" s="179">
        <f t="shared" si="29"/>
        <v>45830</v>
      </c>
      <c r="O86" s="180">
        <v>3</v>
      </c>
      <c r="P86" s="179">
        <f t="shared" si="30"/>
        <v>45833</v>
      </c>
      <c r="Q86" s="161">
        <f t="shared" si="31"/>
        <v>115</v>
      </c>
      <c r="R86" s="160">
        <v>45833</v>
      </c>
      <c r="S86" s="160">
        <f t="shared" si="32"/>
        <v>-90</v>
      </c>
      <c r="T86" s="160">
        <f t="shared" si="33"/>
        <v>-67</v>
      </c>
      <c r="U86" s="160">
        <f t="shared" si="34"/>
        <v>-67</v>
      </c>
      <c r="V86" s="160">
        <f t="shared" si="35"/>
        <v>-60</v>
      </c>
      <c r="W86" s="172"/>
      <c r="X86" s="164"/>
      <c r="Y86" s="165"/>
      <c r="Z86" s="166"/>
      <c r="AA86" s="167"/>
      <c r="AB86" s="168"/>
      <c r="AC86" s="158"/>
      <c r="AD86" s="158"/>
      <c r="AE86" s="158"/>
      <c r="AF86" s="158"/>
    </row>
    <row r="87" spans="1:32" x14ac:dyDescent="0.3">
      <c r="A87" s="157">
        <v>6.03</v>
      </c>
      <c r="B87" s="158" t="s">
        <v>872</v>
      </c>
      <c r="C87" s="159" t="s">
        <v>873</v>
      </c>
      <c r="D87" s="179">
        <f t="shared" si="24"/>
        <v>45718</v>
      </c>
      <c r="E87" s="180">
        <v>10</v>
      </c>
      <c r="F87" s="179">
        <f t="shared" si="25"/>
        <v>45728</v>
      </c>
      <c r="G87" s="180">
        <v>21</v>
      </c>
      <c r="H87" s="179">
        <f t="shared" si="26"/>
        <v>45749</v>
      </c>
      <c r="I87" s="180">
        <v>5</v>
      </c>
      <c r="J87" s="179">
        <f t="shared" si="27"/>
        <v>45754</v>
      </c>
      <c r="K87" s="180">
        <v>45</v>
      </c>
      <c r="L87" s="179">
        <f t="shared" si="28"/>
        <v>45799</v>
      </c>
      <c r="M87" s="180">
        <v>31</v>
      </c>
      <c r="N87" s="179">
        <f t="shared" si="29"/>
        <v>45830</v>
      </c>
      <c r="O87" s="180">
        <v>3</v>
      </c>
      <c r="P87" s="179">
        <f t="shared" si="30"/>
        <v>45833</v>
      </c>
      <c r="Q87" s="161">
        <f t="shared" si="31"/>
        <v>115</v>
      </c>
      <c r="R87" s="160">
        <v>45833</v>
      </c>
      <c r="S87" s="160">
        <f t="shared" si="32"/>
        <v>-90</v>
      </c>
      <c r="T87" s="160">
        <f t="shared" si="33"/>
        <v>-67</v>
      </c>
      <c r="U87" s="160">
        <f t="shared" si="34"/>
        <v>-67</v>
      </c>
      <c r="V87" s="160">
        <f t="shared" si="35"/>
        <v>-60</v>
      </c>
      <c r="W87" s="172"/>
      <c r="X87" s="164"/>
      <c r="Y87" s="165"/>
      <c r="Z87" s="166"/>
      <c r="AA87" s="167"/>
      <c r="AB87" s="168"/>
      <c r="AC87" s="158"/>
      <c r="AD87" s="158"/>
      <c r="AE87" s="158"/>
      <c r="AF87" s="158"/>
    </row>
    <row r="88" spans="1:32" x14ac:dyDescent="0.3">
      <c r="A88" s="157">
        <v>6.03</v>
      </c>
      <c r="B88" s="158" t="s">
        <v>872</v>
      </c>
      <c r="C88" s="159" t="s">
        <v>874</v>
      </c>
      <c r="D88" s="179">
        <f t="shared" si="24"/>
        <v>45718</v>
      </c>
      <c r="E88" s="180">
        <v>10</v>
      </c>
      <c r="F88" s="179">
        <f t="shared" si="25"/>
        <v>45728</v>
      </c>
      <c r="G88" s="180">
        <v>21</v>
      </c>
      <c r="H88" s="179">
        <f t="shared" si="26"/>
        <v>45749</v>
      </c>
      <c r="I88" s="180">
        <v>5</v>
      </c>
      <c r="J88" s="179">
        <f t="shared" si="27"/>
        <v>45754</v>
      </c>
      <c r="K88" s="180">
        <v>45</v>
      </c>
      <c r="L88" s="179">
        <f t="shared" si="28"/>
        <v>45799</v>
      </c>
      <c r="M88" s="180">
        <v>31</v>
      </c>
      <c r="N88" s="179">
        <f t="shared" si="29"/>
        <v>45830</v>
      </c>
      <c r="O88" s="180">
        <v>3</v>
      </c>
      <c r="P88" s="179">
        <f t="shared" si="30"/>
        <v>45833</v>
      </c>
      <c r="Q88" s="161">
        <f t="shared" si="31"/>
        <v>115</v>
      </c>
      <c r="R88" s="160">
        <v>45833</v>
      </c>
      <c r="S88" s="160">
        <f t="shared" si="32"/>
        <v>-90</v>
      </c>
      <c r="T88" s="160">
        <f t="shared" si="33"/>
        <v>-67</v>
      </c>
      <c r="U88" s="160">
        <f t="shared" si="34"/>
        <v>-67</v>
      </c>
      <c r="V88" s="160">
        <f t="shared" si="35"/>
        <v>-60</v>
      </c>
      <c r="W88" s="172"/>
      <c r="X88" s="164"/>
      <c r="Y88" s="165"/>
      <c r="Z88" s="166"/>
      <c r="AA88" s="167"/>
      <c r="AB88" s="168"/>
      <c r="AC88" s="158"/>
      <c r="AD88" s="158"/>
      <c r="AE88" s="158"/>
      <c r="AF88" s="158"/>
    </row>
    <row r="89" spans="1:32" x14ac:dyDescent="0.3">
      <c r="A89" s="157">
        <v>6.03</v>
      </c>
      <c r="B89" s="158" t="s">
        <v>872</v>
      </c>
      <c r="C89" s="159" t="s">
        <v>875</v>
      </c>
      <c r="D89" s="179">
        <f t="shared" si="24"/>
        <v>45718</v>
      </c>
      <c r="E89" s="180">
        <v>10</v>
      </c>
      <c r="F89" s="179">
        <f t="shared" si="25"/>
        <v>45728</v>
      </c>
      <c r="G89" s="180">
        <v>21</v>
      </c>
      <c r="H89" s="179">
        <f t="shared" si="26"/>
        <v>45749</v>
      </c>
      <c r="I89" s="180">
        <v>5</v>
      </c>
      <c r="J89" s="179">
        <f t="shared" si="27"/>
        <v>45754</v>
      </c>
      <c r="K89" s="180">
        <v>45</v>
      </c>
      <c r="L89" s="179">
        <f t="shared" si="28"/>
        <v>45799</v>
      </c>
      <c r="M89" s="180">
        <v>31</v>
      </c>
      <c r="N89" s="179">
        <f t="shared" si="29"/>
        <v>45830</v>
      </c>
      <c r="O89" s="180">
        <v>3</v>
      </c>
      <c r="P89" s="179">
        <f t="shared" si="30"/>
        <v>45833</v>
      </c>
      <c r="Q89" s="161">
        <f t="shared" si="31"/>
        <v>115</v>
      </c>
      <c r="R89" s="160">
        <v>45833</v>
      </c>
      <c r="S89" s="160">
        <f t="shared" si="32"/>
        <v>-105</v>
      </c>
      <c r="T89" s="160">
        <f t="shared" si="33"/>
        <v>-82</v>
      </c>
      <c r="U89" s="160">
        <f t="shared" si="34"/>
        <v>-52</v>
      </c>
      <c r="V89" s="160">
        <f t="shared" ref="V89:V106" si="36">+$C$6-45</f>
        <v>-45</v>
      </c>
      <c r="W89" s="172"/>
      <c r="X89" s="164"/>
      <c r="Y89" s="165"/>
      <c r="Z89" s="166">
        <v>30</v>
      </c>
      <c r="AA89" s="167"/>
      <c r="AB89" s="168"/>
      <c r="AC89" s="158"/>
      <c r="AD89" s="158"/>
      <c r="AE89" s="158"/>
      <c r="AF89" s="158"/>
    </row>
    <row r="90" spans="1:32" x14ac:dyDescent="0.3">
      <c r="A90" s="157">
        <v>6.04</v>
      </c>
      <c r="B90" s="158" t="s">
        <v>876</v>
      </c>
      <c r="C90" s="159" t="s">
        <v>877</v>
      </c>
      <c r="D90" s="179">
        <f t="shared" si="24"/>
        <v>45718</v>
      </c>
      <c r="E90" s="180">
        <v>10</v>
      </c>
      <c r="F90" s="179">
        <f t="shared" si="25"/>
        <v>45728</v>
      </c>
      <c r="G90" s="180">
        <v>21</v>
      </c>
      <c r="H90" s="179">
        <f t="shared" si="26"/>
        <v>45749</v>
      </c>
      <c r="I90" s="180">
        <v>5</v>
      </c>
      <c r="J90" s="179">
        <f t="shared" si="27"/>
        <v>45754</v>
      </c>
      <c r="K90" s="180">
        <v>45</v>
      </c>
      <c r="L90" s="179">
        <f t="shared" si="28"/>
        <v>45799</v>
      </c>
      <c r="M90" s="180">
        <v>31</v>
      </c>
      <c r="N90" s="179">
        <f t="shared" si="29"/>
        <v>45830</v>
      </c>
      <c r="O90" s="180">
        <v>3</v>
      </c>
      <c r="P90" s="179">
        <f t="shared" si="30"/>
        <v>45833</v>
      </c>
      <c r="Q90" s="161">
        <f t="shared" si="31"/>
        <v>115</v>
      </c>
      <c r="R90" s="160">
        <v>45833</v>
      </c>
      <c r="S90" s="160">
        <f t="shared" si="32"/>
        <v>-165</v>
      </c>
      <c r="T90" s="160">
        <f t="shared" si="33"/>
        <v>-142</v>
      </c>
      <c r="U90" s="160">
        <f t="shared" si="34"/>
        <v>-52</v>
      </c>
      <c r="V90" s="160">
        <f t="shared" si="36"/>
        <v>-45</v>
      </c>
      <c r="W90" s="172"/>
      <c r="X90" s="164"/>
      <c r="Y90" s="165"/>
      <c r="Z90" s="166">
        <v>90</v>
      </c>
      <c r="AA90" s="167"/>
      <c r="AB90" s="168"/>
      <c r="AC90" s="158"/>
      <c r="AD90" s="158"/>
      <c r="AE90" s="158"/>
      <c r="AF90" s="158"/>
    </row>
    <row r="91" spans="1:32" x14ac:dyDescent="0.3">
      <c r="A91" s="157">
        <v>6.04</v>
      </c>
      <c r="B91" s="158" t="s">
        <v>876</v>
      </c>
      <c r="C91" s="159" t="s">
        <v>878</v>
      </c>
      <c r="D91" s="179">
        <f t="shared" si="24"/>
        <v>45718</v>
      </c>
      <c r="E91" s="180">
        <v>10</v>
      </c>
      <c r="F91" s="179">
        <f t="shared" si="25"/>
        <v>45728</v>
      </c>
      <c r="G91" s="180">
        <v>21</v>
      </c>
      <c r="H91" s="179">
        <f t="shared" si="26"/>
        <v>45749</v>
      </c>
      <c r="I91" s="180">
        <v>5</v>
      </c>
      <c r="J91" s="179">
        <f t="shared" si="27"/>
        <v>45754</v>
      </c>
      <c r="K91" s="180">
        <v>45</v>
      </c>
      <c r="L91" s="179">
        <f t="shared" si="28"/>
        <v>45799</v>
      </c>
      <c r="M91" s="180">
        <v>31</v>
      </c>
      <c r="N91" s="179">
        <f t="shared" si="29"/>
        <v>45830</v>
      </c>
      <c r="O91" s="180">
        <v>3</v>
      </c>
      <c r="P91" s="179">
        <f t="shared" si="30"/>
        <v>45833</v>
      </c>
      <c r="Q91" s="161">
        <f t="shared" si="31"/>
        <v>115</v>
      </c>
      <c r="R91" s="160">
        <v>45833</v>
      </c>
      <c r="S91" s="160">
        <f t="shared" si="32"/>
        <v>-165</v>
      </c>
      <c r="T91" s="160">
        <f t="shared" si="33"/>
        <v>-142</v>
      </c>
      <c r="U91" s="160">
        <f t="shared" si="34"/>
        <v>-52</v>
      </c>
      <c r="V91" s="160">
        <f t="shared" si="36"/>
        <v>-45</v>
      </c>
      <c r="W91" s="172"/>
      <c r="X91" s="164"/>
      <c r="Y91" s="165"/>
      <c r="Z91" s="166">
        <v>90</v>
      </c>
      <c r="AA91" s="167"/>
      <c r="AB91" s="168"/>
      <c r="AC91" s="158"/>
      <c r="AD91" s="158"/>
      <c r="AE91" s="158"/>
      <c r="AF91" s="158"/>
    </row>
    <row r="92" spans="1:32" x14ac:dyDescent="0.3">
      <c r="A92" s="157">
        <v>6.04</v>
      </c>
      <c r="B92" s="158" t="s">
        <v>876</v>
      </c>
      <c r="C92" s="159" t="s">
        <v>879</v>
      </c>
      <c r="D92" s="179">
        <f t="shared" si="24"/>
        <v>45718</v>
      </c>
      <c r="E92" s="180">
        <v>10</v>
      </c>
      <c r="F92" s="179">
        <f t="shared" si="25"/>
        <v>45728</v>
      </c>
      <c r="G92" s="180">
        <v>21</v>
      </c>
      <c r="H92" s="179">
        <f t="shared" si="26"/>
        <v>45749</v>
      </c>
      <c r="I92" s="180">
        <v>5</v>
      </c>
      <c r="J92" s="179">
        <f t="shared" si="27"/>
        <v>45754</v>
      </c>
      <c r="K92" s="180">
        <v>45</v>
      </c>
      <c r="L92" s="179">
        <f t="shared" si="28"/>
        <v>45799</v>
      </c>
      <c r="M92" s="180">
        <v>31</v>
      </c>
      <c r="N92" s="179">
        <f t="shared" si="29"/>
        <v>45830</v>
      </c>
      <c r="O92" s="180">
        <v>3</v>
      </c>
      <c r="P92" s="179">
        <f t="shared" si="30"/>
        <v>45833</v>
      </c>
      <c r="Q92" s="161">
        <f t="shared" si="31"/>
        <v>115</v>
      </c>
      <c r="R92" s="160">
        <v>45833</v>
      </c>
      <c r="S92" s="160">
        <f t="shared" si="32"/>
        <v>-105</v>
      </c>
      <c r="T92" s="160">
        <f t="shared" si="33"/>
        <v>-82</v>
      </c>
      <c r="U92" s="160">
        <f t="shared" si="34"/>
        <v>-52</v>
      </c>
      <c r="V92" s="160">
        <f t="shared" si="36"/>
        <v>-45</v>
      </c>
      <c r="W92" s="172"/>
      <c r="X92" s="164"/>
      <c r="Y92" s="165"/>
      <c r="Z92" s="166">
        <v>30</v>
      </c>
      <c r="AA92" s="167"/>
      <c r="AB92" s="168"/>
      <c r="AC92" s="158"/>
      <c r="AD92" s="158"/>
      <c r="AE92" s="158"/>
      <c r="AF92" s="158"/>
    </row>
    <row r="93" spans="1:32" x14ac:dyDescent="0.3">
      <c r="A93" s="157">
        <v>6.04</v>
      </c>
      <c r="B93" s="176" t="s">
        <v>876</v>
      </c>
      <c r="C93" s="159" t="s">
        <v>880</v>
      </c>
      <c r="D93" s="179">
        <f t="shared" si="24"/>
        <v>45718</v>
      </c>
      <c r="E93" s="180">
        <v>10</v>
      </c>
      <c r="F93" s="179">
        <f t="shared" si="25"/>
        <v>45728</v>
      </c>
      <c r="G93" s="180">
        <v>21</v>
      </c>
      <c r="H93" s="179">
        <f t="shared" si="26"/>
        <v>45749</v>
      </c>
      <c r="I93" s="180">
        <v>5</v>
      </c>
      <c r="J93" s="179">
        <f t="shared" si="27"/>
        <v>45754</v>
      </c>
      <c r="K93" s="180">
        <v>45</v>
      </c>
      <c r="L93" s="179">
        <f t="shared" si="28"/>
        <v>45799</v>
      </c>
      <c r="M93" s="180">
        <v>31</v>
      </c>
      <c r="N93" s="179">
        <f t="shared" si="29"/>
        <v>45830</v>
      </c>
      <c r="O93" s="180">
        <v>3</v>
      </c>
      <c r="P93" s="179">
        <f t="shared" si="30"/>
        <v>45833</v>
      </c>
      <c r="Q93" s="161">
        <f t="shared" si="31"/>
        <v>115</v>
      </c>
      <c r="R93" s="160">
        <v>45833</v>
      </c>
      <c r="S93" s="160">
        <f t="shared" si="32"/>
        <v>-75</v>
      </c>
      <c r="T93" s="160">
        <f t="shared" si="33"/>
        <v>-52</v>
      </c>
      <c r="U93" s="160">
        <f t="shared" si="34"/>
        <v>-52</v>
      </c>
      <c r="V93" s="160">
        <f t="shared" si="36"/>
        <v>-45</v>
      </c>
      <c r="W93" s="172"/>
      <c r="X93" s="164"/>
      <c r="Y93" s="165"/>
      <c r="Z93" s="166"/>
      <c r="AA93" s="167"/>
      <c r="AB93" s="168"/>
      <c r="AC93" s="158"/>
      <c r="AD93" s="158"/>
      <c r="AE93" s="158"/>
      <c r="AF93" s="158"/>
    </row>
    <row r="94" spans="1:32" ht="28.8" x14ac:dyDescent="0.3">
      <c r="A94" s="157">
        <v>6.04</v>
      </c>
      <c r="B94" s="176" t="s">
        <v>876</v>
      </c>
      <c r="C94" s="159" t="s">
        <v>881</v>
      </c>
      <c r="D94" s="179">
        <f t="shared" si="24"/>
        <v>45718</v>
      </c>
      <c r="E94" s="180">
        <v>10</v>
      </c>
      <c r="F94" s="179">
        <f t="shared" si="25"/>
        <v>45728</v>
      </c>
      <c r="G94" s="180">
        <v>21</v>
      </c>
      <c r="H94" s="179">
        <f t="shared" si="26"/>
        <v>45749</v>
      </c>
      <c r="I94" s="180">
        <v>5</v>
      </c>
      <c r="J94" s="179">
        <f t="shared" si="27"/>
        <v>45754</v>
      </c>
      <c r="K94" s="180">
        <v>45</v>
      </c>
      <c r="L94" s="179">
        <f t="shared" si="28"/>
        <v>45799</v>
      </c>
      <c r="M94" s="180">
        <v>31</v>
      </c>
      <c r="N94" s="179">
        <f t="shared" si="29"/>
        <v>45830</v>
      </c>
      <c r="O94" s="180">
        <v>3</v>
      </c>
      <c r="P94" s="179">
        <f t="shared" si="30"/>
        <v>45833</v>
      </c>
      <c r="Q94" s="161">
        <f t="shared" si="31"/>
        <v>115</v>
      </c>
      <c r="R94" s="160">
        <v>45833</v>
      </c>
      <c r="S94" s="160">
        <f t="shared" si="32"/>
        <v>-75</v>
      </c>
      <c r="T94" s="160">
        <f t="shared" si="33"/>
        <v>-52</v>
      </c>
      <c r="U94" s="160">
        <f t="shared" si="34"/>
        <v>-52</v>
      </c>
      <c r="V94" s="160">
        <f t="shared" si="36"/>
        <v>-45</v>
      </c>
      <c r="W94" s="172"/>
      <c r="X94" s="164"/>
      <c r="Y94" s="165"/>
      <c r="Z94" s="166"/>
      <c r="AA94" s="167"/>
      <c r="AB94" s="168"/>
      <c r="AC94" s="158"/>
      <c r="AD94" s="158"/>
      <c r="AE94" s="158"/>
      <c r="AF94" s="158"/>
    </row>
    <row r="95" spans="1:32" ht="28.8" x14ac:dyDescent="0.3">
      <c r="A95" s="157">
        <v>6.04</v>
      </c>
      <c r="B95" s="176" t="s">
        <v>876</v>
      </c>
      <c r="C95" s="159" t="s">
        <v>882</v>
      </c>
      <c r="D95" s="179">
        <f t="shared" si="24"/>
        <v>45718</v>
      </c>
      <c r="E95" s="180">
        <v>10</v>
      </c>
      <c r="F95" s="179">
        <f t="shared" si="25"/>
        <v>45728</v>
      </c>
      <c r="G95" s="180">
        <v>21</v>
      </c>
      <c r="H95" s="179">
        <f t="shared" si="26"/>
        <v>45749</v>
      </c>
      <c r="I95" s="180">
        <v>5</v>
      </c>
      <c r="J95" s="179">
        <f t="shared" si="27"/>
        <v>45754</v>
      </c>
      <c r="K95" s="180">
        <v>45</v>
      </c>
      <c r="L95" s="179">
        <f t="shared" si="28"/>
        <v>45799</v>
      </c>
      <c r="M95" s="180">
        <v>31</v>
      </c>
      <c r="N95" s="179">
        <f t="shared" si="29"/>
        <v>45830</v>
      </c>
      <c r="O95" s="180">
        <v>3</v>
      </c>
      <c r="P95" s="179">
        <f t="shared" si="30"/>
        <v>45833</v>
      </c>
      <c r="Q95" s="161">
        <f t="shared" si="31"/>
        <v>115</v>
      </c>
      <c r="R95" s="160">
        <v>45833</v>
      </c>
      <c r="S95" s="160">
        <f t="shared" si="32"/>
        <v>-75</v>
      </c>
      <c r="T95" s="160">
        <f t="shared" si="33"/>
        <v>-52</v>
      </c>
      <c r="U95" s="160">
        <f t="shared" si="34"/>
        <v>-52</v>
      </c>
      <c r="V95" s="160">
        <f t="shared" si="36"/>
        <v>-45</v>
      </c>
      <c r="W95" s="172"/>
      <c r="X95" s="164"/>
      <c r="Y95" s="165"/>
      <c r="Z95" s="166"/>
      <c r="AA95" s="167"/>
      <c r="AB95" s="168"/>
      <c r="AC95" s="158"/>
      <c r="AD95" s="158"/>
      <c r="AE95" s="158"/>
      <c r="AF95" s="158"/>
    </row>
    <row r="96" spans="1:32" ht="28.8" x14ac:dyDescent="0.3">
      <c r="A96" s="157">
        <v>6.04</v>
      </c>
      <c r="B96" s="176" t="s">
        <v>876</v>
      </c>
      <c r="C96" s="159" t="s">
        <v>883</v>
      </c>
      <c r="D96" s="179">
        <f t="shared" si="24"/>
        <v>45718</v>
      </c>
      <c r="E96" s="180">
        <v>10</v>
      </c>
      <c r="F96" s="179">
        <f t="shared" si="25"/>
        <v>45728</v>
      </c>
      <c r="G96" s="180">
        <v>21</v>
      </c>
      <c r="H96" s="179">
        <f t="shared" si="26"/>
        <v>45749</v>
      </c>
      <c r="I96" s="180">
        <v>5</v>
      </c>
      <c r="J96" s="179">
        <f t="shared" si="27"/>
        <v>45754</v>
      </c>
      <c r="K96" s="180">
        <v>45</v>
      </c>
      <c r="L96" s="179">
        <f t="shared" si="28"/>
        <v>45799</v>
      </c>
      <c r="M96" s="180">
        <v>31</v>
      </c>
      <c r="N96" s="179">
        <f t="shared" si="29"/>
        <v>45830</v>
      </c>
      <c r="O96" s="180">
        <v>3</v>
      </c>
      <c r="P96" s="179">
        <f t="shared" si="30"/>
        <v>45833</v>
      </c>
      <c r="Q96" s="161">
        <f t="shared" si="31"/>
        <v>115</v>
      </c>
      <c r="R96" s="160">
        <v>45833</v>
      </c>
      <c r="S96" s="160">
        <f t="shared" si="32"/>
        <v>-75</v>
      </c>
      <c r="T96" s="160">
        <f t="shared" si="33"/>
        <v>-52</v>
      </c>
      <c r="U96" s="160">
        <f t="shared" si="34"/>
        <v>-52</v>
      </c>
      <c r="V96" s="160">
        <f t="shared" si="36"/>
        <v>-45</v>
      </c>
      <c r="W96" s="172"/>
      <c r="X96" s="164"/>
      <c r="Y96" s="165"/>
      <c r="Z96" s="166"/>
      <c r="AA96" s="167"/>
      <c r="AB96" s="168"/>
      <c r="AC96" s="158"/>
      <c r="AD96" s="158"/>
      <c r="AE96" s="158"/>
      <c r="AF96" s="158"/>
    </row>
    <row r="97" spans="1:32" x14ac:dyDescent="0.3">
      <c r="A97" s="157">
        <v>6.04</v>
      </c>
      <c r="B97" s="176" t="s">
        <v>876</v>
      </c>
      <c r="C97" s="159" t="s">
        <v>884</v>
      </c>
      <c r="D97" s="179">
        <f t="shared" si="24"/>
        <v>45718</v>
      </c>
      <c r="E97" s="180">
        <v>10</v>
      </c>
      <c r="F97" s="179">
        <f t="shared" si="25"/>
        <v>45728</v>
      </c>
      <c r="G97" s="180">
        <v>21</v>
      </c>
      <c r="H97" s="179">
        <f t="shared" si="26"/>
        <v>45749</v>
      </c>
      <c r="I97" s="180">
        <v>5</v>
      </c>
      <c r="J97" s="179">
        <f t="shared" si="27"/>
        <v>45754</v>
      </c>
      <c r="K97" s="180">
        <v>45</v>
      </c>
      <c r="L97" s="179">
        <f t="shared" si="28"/>
        <v>45799</v>
      </c>
      <c r="M97" s="180">
        <v>31</v>
      </c>
      <c r="N97" s="179">
        <f t="shared" si="29"/>
        <v>45830</v>
      </c>
      <c r="O97" s="180">
        <v>3</v>
      </c>
      <c r="P97" s="179">
        <f t="shared" si="30"/>
        <v>45833</v>
      </c>
      <c r="Q97" s="161">
        <f t="shared" si="31"/>
        <v>115</v>
      </c>
      <c r="R97" s="160">
        <v>45833</v>
      </c>
      <c r="S97" s="160">
        <f t="shared" si="32"/>
        <v>-105</v>
      </c>
      <c r="T97" s="160">
        <f t="shared" si="33"/>
        <v>-82</v>
      </c>
      <c r="U97" s="160">
        <f t="shared" si="34"/>
        <v>-52</v>
      </c>
      <c r="V97" s="160">
        <f t="shared" si="36"/>
        <v>-45</v>
      </c>
      <c r="W97" s="172"/>
      <c r="X97" s="164"/>
      <c r="Y97" s="165"/>
      <c r="Z97" s="166">
        <v>30</v>
      </c>
      <c r="AA97" s="167"/>
      <c r="AB97" s="168"/>
      <c r="AC97" s="158"/>
      <c r="AD97" s="158"/>
      <c r="AE97" s="158"/>
      <c r="AF97" s="158"/>
    </row>
    <row r="98" spans="1:32" x14ac:dyDescent="0.3">
      <c r="A98" s="157">
        <v>6.04</v>
      </c>
      <c r="B98" s="176" t="s">
        <v>876</v>
      </c>
      <c r="C98" s="159" t="s">
        <v>885</v>
      </c>
      <c r="D98" s="179">
        <f t="shared" si="24"/>
        <v>45718</v>
      </c>
      <c r="E98" s="180">
        <v>10</v>
      </c>
      <c r="F98" s="179">
        <f t="shared" si="25"/>
        <v>45728</v>
      </c>
      <c r="G98" s="180">
        <v>21</v>
      </c>
      <c r="H98" s="179">
        <f t="shared" si="26"/>
        <v>45749</v>
      </c>
      <c r="I98" s="180">
        <v>5</v>
      </c>
      <c r="J98" s="179">
        <f t="shared" si="27"/>
        <v>45754</v>
      </c>
      <c r="K98" s="180">
        <v>45</v>
      </c>
      <c r="L98" s="179">
        <f t="shared" si="28"/>
        <v>45799</v>
      </c>
      <c r="M98" s="180">
        <v>31</v>
      </c>
      <c r="N98" s="179">
        <f t="shared" si="29"/>
        <v>45830</v>
      </c>
      <c r="O98" s="180">
        <v>3</v>
      </c>
      <c r="P98" s="179">
        <f t="shared" si="30"/>
        <v>45833</v>
      </c>
      <c r="Q98" s="161">
        <f t="shared" si="31"/>
        <v>115</v>
      </c>
      <c r="R98" s="160">
        <v>45833</v>
      </c>
      <c r="S98" s="160">
        <f t="shared" si="32"/>
        <v>-75</v>
      </c>
      <c r="T98" s="160">
        <f t="shared" si="33"/>
        <v>-52</v>
      </c>
      <c r="U98" s="160">
        <f t="shared" si="34"/>
        <v>-52</v>
      </c>
      <c r="V98" s="160">
        <f t="shared" si="36"/>
        <v>-45</v>
      </c>
      <c r="W98" s="172"/>
      <c r="X98" s="164"/>
      <c r="Y98" s="165"/>
      <c r="Z98" s="166"/>
      <c r="AA98" s="167"/>
      <c r="AB98" s="168"/>
      <c r="AC98" s="158"/>
      <c r="AD98" s="158"/>
      <c r="AE98" s="158"/>
      <c r="AF98" s="158"/>
    </row>
    <row r="99" spans="1:32" x14ac:dyDescent="0.3">
      <c r="A99" s="157">
        <v>6.04</v>
      </c>
      <c r="B99" s="176" t="s">
        <v>876</v>
      </c>
      <c r="C99" s="159" t="s">
        <v>886</v>
      </c>
      <c r="D99" s="179">
        <f t="shared" si="24"/>
        <v>45718</v>
      </c>
      <c r="E99" s="180">
        <v>10</v>
      </c>
      <c r="F99" s="179">
        <f t="shared" si="25"/>
        <v>45728</v>
      </c>
      <c r="G99" s="180">
        <v>21</v>
      </c>
      <c r="H99" s="179">
        <f t="shared" si="26"/>
        <v>45749</v>
      </c>
      <c r="I99" s="180">
        <v>5</v>
      </c>
      <c r="J99" s="179">
        <f t="shared" si="27"/>
        <v>45754</v>
      </c>
      <c r="K99" s="180">
        <v>45</v>
      </c>
      <c r="L99" s="179">
        <f t="shared" si="28"/>
        <v>45799</v>
      </c>
      <c r="M99" s="180">
        <v>31</v>
      </c>
      <c r="N99" s="179">
        <f t="shared" si="29"/>
        <v>45830</v>
      </c>
      <c r="O99" s="180">
        <v>3</v>
      </c>
      <c r="P99" s="179">
        <f t="shared" si="30"/>
        <v>45833</v>
      </c>
      <c r="Q99" s="161">
        <f t="shared" si="31"/>
        <v>115</v>
      </c>
      <c r="R99" s="160">
        <v>45833</v>
      </c>
      <c r="S99" s="160">
        <f t="shared" si="32"/>
        <v>-105</v>
      </c>
      <c r="T99" s="160">
        <f t="shared" si="33"/>
        <v>-82</v>
      </c>
      <c r="U99" s="160">
        <f t="shared" si="34"/>
        <v>-52</v>
      </c>
      <c r="V99" s="160">
        <f t="shared" si="36"/>
        <v>-45</v>
      </c>
      <c r="W99" s="172"/>
      <c r="X99" s="164"/>
      <c r="Y99" s="165"/>
      <c r="Z99" s="166">
        <v>30</v>
      </c>
      <c r="AA99" s="167"/>
      <c r="AB99" s="168"/>
      <c r="AC99" s="158"/>
      <c r="AD99" s="158"/>
      <c r="AE99" s="158"/>
      <c r="AF99" s="158"/>
    </row>
    <row r="100" spans="1:32" x14ac:dyDescent="0.3">
      <c r="A100" s="157">
        <v>6.04</v>
      </c>
      <c r="B100" s="158" t="s">
        <v>876</v>
      </c>
      <c r="C100" s="159" t="s">
        <v>887</v>
      </c>
      <c r="D100" s="179">
        <f t="shared" si="24"/>
        <v>45718</v>
      </c>
      <c r="E100" s="180">
        <v>10</v>
      </c>
      <c r="F100" s="179">
        <f t="shared" si="25"/>
        <v>45728</v>
      </c>
      <c r="G100" s="180">
        <v>21</v>
      </c>
      <c r="H100" s="179">
        <f t="shared" si="26"/>
        <v>45749</v>
      </c>
      <c r="I100" s="180">
        <v>5</v>
      </c>
      <c r="J100" s="179">
        <f t="shared" si="27"/>
        <v>45754</v>
      </c>
      <c r="K100" s="180">
        <v>45</v>
      </c>
      <c r="L100" s="179">
        <f t="shared" si="28"/>
        <v>45799</v>
      </c>
      <c r="M100" s="180">
        <v>31</v>
      </c>
      <c r="N100" s="179">
        <f t="shared" si="29"/>
        <v>45830</v>
      </c>
      <c r="O100" s="180">
        <v>3</v>
      </c>
      <c r="P100" s="179">
        <f t="shared" si="30"/>
        <v>45833</v>
      </c>
      <c r="Q100" s="161">
        <f t="shared" si="31"/>
        <v>115</v>
      </c>
      <c r="R100" s="160">
        <v>45833</v>
      </c>
      <c r="S100" s="160">
        <f t="shared" si="32"/>
        <v>-105</v>
      </c>
      <c r="T100" s="160">
        <f t="shared" si="33"/>
        <v>-82</v>
      </c>
      <c r="U100" s="160">
        <f t="shared" si="34"/>
        <v>-52</v>
      </c>
      <c r="V100" s="160">
        <f t="shared" si="36"/>
        <v>-45</v>
      </c>
      <c r="W100" s="172"/>
      <c r="X100" s="164"/>
      <c r="Y100" s="165"/>
      <c r="Z100" s="166">
        <v>30</v>
      </c>
      <c r="AA100" s="167"/>
      <c r="AB100" s="168"/>
      <c r="AC100" s="158"/>
      <c r="AD100" s="158"/>
      <c r="AE100" s="158"/>
      <c r="AF100" s="158"/>
    </row>
    <row r="101" spans="1:32" x14ac:dyDescent="0.3">
      <c r="A101" s="157">
        <v>6.04</v>
      </c>
      <c r="B101" s="158" t="s">
        <v>876</v>
      </c>
      <c r="C101" s="159" t="s">
        <v>888</v>
      </c>
      <c r="D101" s="179">
        <f t="shared" si="24"/>
        <v>45718</v>
      </c>
      <c r="E101" s="180">
        <v>10</v>
      </c>
      <c r="F101" s="179">
        <f t="shared" si="25"/>
        <v>45728</v>
      </c>
      <c r="G101" s="180">
        <v>21</v>
      </c>
      <c r="H101" s="179">
        <f t="shared" si="26"/>
        <v>45749</v>
      </c>
      <c r="I101" s="180">
        <v>5</v>
      </c>
      <c r="J101" s="179">
        <f t="shared" si="27"/>
        <v>45754</v>
      </c>
      <c r="K101" s="180">
        <v>45</v>
      </c>
      <c r="L101" s="179">
        <f t="shared" si="28"/>
        <v>45799</v>
      </c>
      <c r="M101" s="180">
        <v>31</v>
      </c>
      <c r="N101" s="179">
        <f t="shared" si="29"/>
        <v>45830</v>
      </c>
      <c r="O101" s="180">
        <v>3</v>
      </c>
      <c r="P101" s="179">
        <f t="shared" si="30"/>
        <v>45833</v>
      </c>
      <c r="Q101" s="161">
        <f t="shared" si="31"/>
        <v>115</v>
      </c>
      <c r="R101" s="160">
        <v>45833</v>
      </c>
      <c r="S101" s="160">
        <f t="shared" si="32"/>
        <v>-105</v>
      </c>
      <c r="T101" s="160">
        <f t="shared" si="33"/>
        <v>-82</v>
      </c>
      <c r="U101" s="160">
        <f t="shared" si="34"/>
        <v>-52</v>
      </c>
      <c r="V101" s="160">
        <f t="shared" si="36"/>
        <v>-45</v>
      </c>
      <c r="W101" s="172"/>
      <c r="X101" s="164"/>
      <c r="Y101" s="165"/>
      <c r="Z101" s="166">
        <v>30</v>
      </c>
      <c r="AA101" s="167"/>
      <c r="AB101" s="168"/>
      <c r="AC101" s="158"/>
      <c r="AD101" s="158"/>
      <c r="AE101" s="158"/>
      <c r="AF101" s="158"/>
    </row>
    <row r="102" spans="1:32" x14ac:dyDescent="0.3">
      <c r="A102" s="157">
        <v>6.04</v>
      </c>
      <c r="B102" s="158" t="s">
        <v>876</v>
      </c>
      <c r="C102" s="159" t="s">
        <v>889</v>
      </c>
      <c r="D102" s="179">
        <f t="shared" si="24"/>
        <v>45718</v>
      </c>
      <c r="E102" s="180">
        <v>10</v>
      </c>
      <c r="F102" s="179">
        <f t="shared" si="25"/>
        <v>45728</v>
      </c>
      <c r="G102" s="180">
        <v>21</v>
      </c>
      <c r="H102" s="179">
        <f t="shared" si="26"/>
        <v>45749</v>
      </c>
      <c r="I102" s="180">
        <v>5</v>
      </c>
      <c r="J102" s="179">
        <f t="shared" si="27"/>
        <v>45754</v>
      </c>
      <c r="K102" s="180">
        <v>45</v>
      </c>
      <c r="L102" s="179">
        <f t="shared" si="28"/>
        <v>45799</v>
      </c>
      <c r="M102" s="180">
        <v>31</v>
      </c>
      <c r="N102" s="179">
        <f t="shared" si="29"/>
        <v>45830</v>
      </c>
      <c r="O102" s="180">
        <v>3</v>
      </c>
      <c r="P102" s="179">
        <f t="shared" si="30"/>
        <v>45833</v>
      </c>
      <c r="Q102" s="161">
        <f t="shared" si="31"/>
        <v>115</v>
      </c>
      <c r="R102" s="160">
        <v>45833</v>
      </c>
      <c r="S102" s="160">
        <f t="shared" si="32"/>
        <v>-105</v>
      </c>
      <c r="T102" s="160">
        <f t="shared" si="33"/>
        <v>-82</v>
      </c>
      <c r="U102" s="160">
        <f t="shared" si="34"/>
        <v>-52</v>
      </c>
      <c r="V102" s="160">
        <f t="shared" si="36"/>
        <v>-45</v>
      </c>
      <c r="W102" s="172"/>
      <c r="X102" s="164"/>
      <c r="Y102" s="165"/>
      <c r="Z102" s="166">
        <v>30</v>
      </c>
      <c r="AA102" s="167"/>
      <c r="AB102" s="168"/>
      <c r="AC102" s="158"/>
      <c r="AD102" s="158"/>
      <c r="AE102" s="158"/>
      <c r="AF102" s="158"/>
    </row>
    <row r="103" spans="1:32" x14ac:dyDescent="0.3">
      <c r="A103" s="157">
        <v>6.04</v>
      </c>
      <c r="B103" s="158" t="s">
        <v>876</v>
      </c>
      <c r="C103" s="159" t="s">
        <v>890</v>
      </c>
      <c r="D103" s="179">
        <f t="shared" si="24"/>
        <v>45718</v>
      </c>
      <c r="E103" s="180">
        <v>10</v>
      </c>
      <c r="F103" s="179">
        <f t="shared" si="25"/>
        <v>45728</v>
      </c>
      <c r="G103" s="180">
        <v>21</v>
      </c>
      <c r="H103" s="179">
        <f t="shared" si="26"/>
        <v>45749</v>
      </c>
      <c r="I103" s="180">
        <v>5</v>
      </c>
      <c r="J103" s="179">
        <f t="shared" si="27"/>
        <v>45754</v>
      </c>
      <c r="K103" s="180">
        <v>45</v>
      </c>
      <c r="L103" s="179">
        <f t="shared" si="28"/>
        <v>45799</v>
      </c>
      <c r="M103" s="180">
        <v>31</v>
      </c>
      <c r="N103" s="179">
        <f t="shared" si="29"/>
        <v>45830</v>
      </c>
      <c r="O103" s="180">
        <v>3</v>
      </c>
      <c r="P103" s="179">
        <f t="shared" si="30"/>
        <v>45833</v>
      </c>
      <c r="Q103" s="161">
        <f t="shared" si="31"/>
        <v>115</v>
      </c>
      <c r="R103" s="160">
        <v>45833</v>
      </c>
      <c r="S103" s="160">
        <f t="shared" si="32"/>
        <v>-82</v>
      </c>
      <c r="T103" s="160">
        <f t="shared" si="33"/>
        <v>-59</v>
      </c>
      <c r="U103" s="160">
        <f t="shared" si="34"/>
        <v>-52</v>
      </c>
      <c r="V103" s="160">
        <f t="shared" si="36"/>
        <v>-45</v>
      </c>
      <c r="W103" s="172"/>
      <c r="X103" s="164"/>
      <c r="Y103" s="165"/>
      <c r="Z103" s="166">
        <v>7</v>
      </c>
      <c r="AA103" s="167"/>
      <c r="AB103" s="168"/>
      <c r="AC103" s="158"/>
      <c r="AD103" s="158"/>
      <c r="AE103" s="158"/>
      <c r="AF103" s="158"/>
    </row>
    <row r="104" spans="1:32" x14ac:dyDescent="0.3">
      <c r="A104" s="157">
        <v>6.04</v>
      </c>
      <c r="B104" s="158" t="s">
        <v>876</v>
      </c>
      <c r="C104" s="159" t="s">
        <v>891</v>
      </c>
      <c r="D104" s="179">
        <f t="shared" si="24"/>
        <v>45718</v>
      </c>
      <c r="E104" s="180">
        <v>10</v>
      </c>
      <c r="F104" s="179">
        <f t="shared" si="25"/>
        <v>45728</v>
      </c>
      <c r="G104" s="180">
        <v>21</v>
      </c>
      <c r="H104" s="179">
        <f t="shared" si="26"/>
        <v>45749</v>
      </c>
      <c r="I104" s="180">
        <v>5</v>
      </c>
      <c r="J104" s="179">
        <f t="shared" si="27"/>
        <v>45754</v>
      </c>
      <c r="K104" s="180">
        <v>45</v>
      </c>
      <c r="L104" s="179">
        <f t="shared" si="28"/>
        <v>45799</v>
      </c>
      <c r="M104" s="180">
        <v>31</v>
      </c>
      <c r="N104" s="179">
        <f t="shared" si="29"/>
        <v>45830</v>
      </c>
      <c r="O104" s="180">
        <v>3</v>
      </c>
      <c r="P104" s="179">
        <f t="shared" si="30"/>
        <v>45833</v>
      </c>
      <c r="Q104" s="161">
        <f t="shared" si="31"/>
        <v>115</v>
      </c>
      <c r="R104" s="160">
        <v>45833</v>
      </c>
      <c r="S104" s="160">
        <f t="shared" si="32"/>
        <v>-165</v>
      </c>
      <c r="T104" s="160">
        <f t="shared" si="33"/>
        <v>-142</v>
      </c>
      <c r="U104" s="160">
        <f t="shared" si="34"/>
        <v>-52</v>
      </c>
      <c r="V104" s="160">
        <f t="shared" si="36"/>
        <v>-45</v>
      </c>
      <c r="W104" s="172"/>
      <c r="X104" s="164"/>
      <c r="Y104" s="165"/>
      <c r="Z104" s="166">
        <v>90</v>
      </c>
      <c r="AA104" s="167"/>
      <c r="AB104" s="168"/>
      <c r="AC104" s="158"/>
      <c r="AD104" s="158"/>
      <c r="AE104" s="158"/>
      <c r="AF104" s="158"/>
    </row>
    <row r="105" spans="1:32" x14ac:dyDescent="0.3">
      <c r="A105" s="157">
        <v>6.04</v>
      </c>
      <c r="B105" s="158" t="s">
        <v>876</v>
      </c>
      <c r="C105" s="159" t="s">
        <v>892</v>
      </c>
      <c r="D105" s="179">
        <f t="shared" si="24"/>
        <v>45718</v>
      </c>
      <c r="E105" s="180">
        <v>10</v>
      </c>
      <c r="F105" s="179">
        <f t="shared" si="25"/>
        <v>45728</v>
      </c>
      <c r="G105" s="180">
        <v>21</v>
      </c>
      <c r="H105" s="179">
        <f t="shared" si="26"/>
        <v>45749</v>
      </c>
      <c r="I105" s="180">
        <v>5</v>
      </c>
      <c r="J105" s="179">
        <f t="shared" si="27"/>
        <v>45754</v>
      </c>
      <c r="K105" s="180">
        <v>45</v>
      </c>
      <c r="L105" s="179">
        <f t="shared" si="28"/>
        <v>45799</v>
      </c>
      <c r="M105" s="180">
        <v>31</v>
      </c>
      <c r="N105" s="179">
        <f t="shared" si="29"/>
        <v>45830</v>
      </c>
      <c r="O105" s="180">
        <v>3</v>
      </c>
      <c r="P105" s="179">
        <f t="shared" si="30"/>
        <v>45833</v>
      </c>
      <c r="Q105" s="161">
        <f t="shared" si="31"/>
        <v>115</v>
      </c>
      <c r="R105" s="160">
        <v>45833</v>
      </c>
      <c r="S105" s="160">
        <f t="shared" si="32"/>
        <v>-165</v>
      </c>
      <c r="T105" s="160">
        <f t="shared" si="33"/>
        <v>-142</v>
      </c>
      <c r="U105" s="160">
        <f t="shared" si="34"/>
        <v>-52</v>
      </c>
      <c r="V105" s="160">
        <f t="shared" si="36"/>
        <v>-45</v>
      </c>
      <c r="W105" s="172"/>
      <c r="X105" s="164"/>
      <c r="Y105" s="165"/>
      <c r="Z105" s="166">
        <v>90</v>
      </c>
      <c r="AA105" s="167"/>
      <c r="AB105" s="168"/>
      <c r="AC105" s="158"/>
      <c r="AD105" s="158"/>
      <c r="AE105" s="158"/>
      <c r="AF105" s="158"/>
    </row>
    <row r="106" spans="1:32" x14ac:dyDescent="0.3">
      <c r="A106" s="157">
        <v>6.04</v>
      </c>
      <c r="B106" s="158" t="s">
        <v>876</v>
      </c>
      <c r="C106" s="159" t="s">
        <v>893</v>
      </c>
      <c r="D106" s="179">
        <f t="shared" si="24"/>
        <v>45718</v>
      </c>
      <c r="E106" s="180">
        <v>10</v>
      </c>
      <c r="F106" s="179">
        <f t="shared" si="25"/>
        <v>45728</v>
      </c>
      <c r="G106" s="180">
        <v>21</v>
      </c>
      <c r="H106" s="179">
        <f t="shared" si="26"/>
        <v>45749</v>
      </c>
      <c r="I106" s="180">
        <v>5</v>
      </c>
      <c r="J106" s="179">
        <f t="shared" si="27"/>
        <v>45754</v>
      </c>
      <c r="K106" s="180">
        <v>45</v>
      </c>
      <c r="L106" s="179">
        <f t="shared" si="28"/>
        <v>45799</v>
      </c>
      <c r="M106" s="180">
        <v>31</v>
      </c>
      <c r="N106" s="179">
        <f t="shared" si="29"/>
        <v>45830</v>
      </c>
      <c r="O106" s="180">
        <v>3</v>
      </c>
      <c r="P106" s="179">
        <f t="shared" si="30"/>
        <v>45833</v>
      </c>
      <c r="Q106" s="161">
        <f t="shared" si="31"/>
        <v>115</v>
      </c>
      <c r="R106" s="160">
        <v>45833</v>
      </c>
      <c r="S106" s="160">
        <f t="shared" si="32"/>
        <v>-165</v>
      </c>
      <c r="T106" s="160">
        <f t="shared" si="33"/>
        <v>-142</v>
      </c>
      <c r="U106" s="160">
        <f t="shared" si="34"/>
        <v>-52</v>
      </c>
      <c r="V106" s="160">
        <f t="shared" si="36"/>
        <v>-45</v>
      </c>
      <c r="W106" s="172"/>
      <c r="X106" s="164"/>
      <c r="Y106" s="165"/>
      <c r="Z106" s="166">
        <v>90</v>
      </c>
      <c r="AA106" s="167"/>
      <c r="AB106" s="168"/>
      <c r="AC106" s="158"/>
      <c r="AD106" s="158"/>
      <c r="AE106" s="158"/>
      <c r="AF106" s="158"/>
    </row>
    <row r="107" spans="1:32" x14ac:dyDescent="0.3">
      <c r="A107" s="414" t="s">
        <v>894</v>
      </c>
      <c r="B107" s="415"/>
      <c r="C107" s="415"/>
      <c r="D107" s="415"/>
      <c r="E107" s="415"/>
      <c r="F107" s="415"/>
      <c r="G107" s="415"/>
      <c r="H107" s="415"/>
      <c r="I107" s="415"/>
      <c r="J107" s="415"/>
      <c r="K107" s="415"/>
      <c r="L107" s="415"/>
      <c r="M107" s="415"/>
      <c r="N107" s="415"/>
      <c r="O107" s="415"/>
      <c r="P107" s="415"/>
      <c r="Q107" s="415"/>
      <c r="R107" s="415"/>
      <c r="S107" s="415"/>
      <c r="T107" s="415"/>
      <c r="U107" s="415"/>
      <c r="V107" s="415"/>
      <c r="W107" s="415"/>
      <c r="X107" s="415"/>
      <c r="Y107" s="415"/>
      <c r="Z107" s="415"/>
      <c r="AA107" s="158"/>
      <c r="AB107" s="158"/>
      <c r="AC107" s="158"/>
      <c r="AD107" s="158"/>
      <c r="AE107" s="158"/>
      <c r="AF107" s="158"/>
    </row>
    <row r="108" spans="1:32" x14ac:dyDescent="0.3">
      <c r="A108" s="157">
        <v>7.01</v>
      </c>
      <c r="B108" s="158" t="s">
        <v>107</v>
      </c>
      <c r="C108" s="159" t="s">
        <v>895</v>
      </c>
      <c r="D108" s="179">
        <f t="shared" ref="D108:D139" si="37">R108-(E108+G108+I108+K108+M108+O108)</f>
        <v>45718</v>
      </c>
      <c r="E108" s="180">
        <v>10</v>
      </c>
      <c r="F108" s="179">
        <f t="shared" ref="F108:F139" si="38">D108+E108</f>
        <v>45728</v>
      </c>
      <c r="G108" s="180">
        <v>21</v>
      </c>
      <c r="H108" s="179">
        <f t="shared" ref="H108:H139" si="39">F108+G108</f>
        <v>45749</v>
      </c>
      <c r="I108" s="180">
        <v>5</v>
      </c>
      <c r="J108" s="179">
        <f t="shared" ref="J108:J139" si="40">H108+I108</f>
        <v>45754</v>
      </c>
      <c r="K108" s="180">
        <v>45</v>
      </c>
      <c r="L108" s="179">
        <f t="shared" ref="L108:L139" si="41">J108+K108</f>
        <v>45799</v>
      </c>
      <c r="M108" s="180">
        <v>31</v>
      </c>
      <c r="N108" s="179">
        <f t="shared" ref="N108:N139" si="42">L108+M108</f>
        <v>45830</v>
      </c>
      <c r="O108" s="180">
        <v>3</v>
      </c>
      <c r="P108" s="179">
        <f t="shared" ref="P108:P139" si="43">N108+O108</f>
        <v>45833</v>
      </c>
      <c r="Q108" s="161">
        <f t="shared" ref="Q108:Q139" si="44">O108+M108+K108+I108+G108+E108</f>
        <v>115</v>
      </c>
      <c r="R108" s="160">
        <v>45833</v>
      </c>
      <c r="S108" s="160">
        <f t="shared" ref="S108:S139" si="45">+T108-23</f>
        <v>-170</v>
      </c>
      <c r="T108" s="160">
        <f t="shared" ref="T108:T139" si="46">+U108-Z108</f>
        <v>-147</v>
      </c>
      <c r="U108" s="160">
        <f t="shared" ref="U108:U139" si="47">+V108-7</f>
        <v>-87</v>
      </c>
      <c r="V108" s="171">
        <f>+$C$7-80</f>
        <v>-80</v>
      </c>
      <c r="W108" s="159"/>
      <c r="X108" s="159"/>
      <c r="Y108" s="177"/>
      <c r="Z108" s="166">
        <v>60</v>
      </c>
      <c r="AA108" s="167"/>
      <c r="AB108" s="168"/>
      <c r="AC108" s="158"/>
      <c r="AD108" s="158"/>
      <c r="AE108" s="158"/>
      <c r="AF108" s="158"/>
    </row>
    <row r="109" spans="1:32" x14ac:dyDescent="0.3">
      <c r="A109" s="157">
        <v>7.01</v>
      </c>
      <c r="B109" s="158" t="s">
        <v>107</v>
      </c>
      <c r="C109" s="159" t="s">
        <v>896</v>
      </c>
      <c r="D109" s="179">
        <f t="shared" si="37"/>
        <v>45718</v>
      </c>
      <c r="E109" s="180">
        <v>10</v>
      </c>
      <c r="F109" s="179">
        <f t="shared" si="38"/>
        <v>45728</v>
      </c>
      <c r="G109" s="180">
        <v>21</v>
      </c>
      <c r="H109" s="179">
        <f t="shared" si="39"/>
        <v>45749</v>
      </c>
      <c r="I109" s="180">
        <v>5</v>
      </c>
      <c r="J109" s="179">
        <f t="shared" si="40"/>
        <v>45754</v>
      </c>
      <c r="K109" s="180">
        <v>45</v>
      </c>
      <c r="L109" s="179">
        <f t="shared" si="41"/>
        <v>45799</v>
      </c>
      <c r="M109" s="180">
        <v>31</v>
      </c>
      <c r="N109" s="179">
        <f t="shared" si="42"/>
        <v>45830</v>
      </c>
      <c r="O109" s="180">
        <v>3</v>
      </c>
      <c r="P109" s="179">
        <f t="shared" si="43"/>
        <v>45833</v>
      </c>
      <c r="Q109" s="161">
        <f t="shared" si="44"/>
        <v>115</v>
      </c>
      <c r="R109" s="160">
        <v>45833</v>
      </c>
      <c r="S109" s="160">
        <f t="shared" si="45"/>
        <v>-170</v>
      </c>
      <c r="T109" s="160">
        <f t="shared" si="46"/>
        <v>-147</v>
      </c>
      <c r="U109" s="160">
        <f t="shared" si="47"/>
        <v>-87</v>
      </c>
      <c r="V109" s="171">
        <f>+$C$7-80</f>
        <v>-80</v>
      </c>
      <c r="W109" s="159"/>
      <c r="X109" s="159"/>
      <c r="Y109" s="177"/>
      <c r="Z109" s="166">
        <v>60</v>
      </c>
      <c r="AA109" s="167"/>
      <c r="AB109" s="168"/>
      <c r="AC109" s="158"/>
      <c r="AD109" s="158"/>
      <c r="AE109" s="158"/>
      <c r="AF109" s="158"/>
    </row>
    <row r="110" spans="1:32" x14ac:dyDescent="0.3">
      <c r="A110" s="157">
        <v>7.01</v>
      </c>
      <c r="B110" s="158" t="s">
        <v>107</v>
      </c>
      <c r="C110" s="159" t="s">
        <v>897</v>
      </c>
      <c r="D110" s="179">
        <f t="shared" si="37"/>
        <v>45718</v>
      </c>
      <c r="E110" s="180">
        <v>10</v>
      </c>
      <c r="F110" s="179">
        <f t="shared" si="38"/>
        <v>45728</v>
      </c>
      <c r="G110" s="180">
        <v>21</v>
      </c>
      <c r="H110" s="179">
        <f t="shared" si="39"/>
        <v>45749</v>
      </c>
      <c r="I110" s="180">
        <v>5</v>
      </c>
      <c r="J110" s="179">
        <f t="shared" si="40"/>
        <v>45754</v>
      </c>
      <c r="K110" s="180">
        <v>45</v>
      </c>
      <c r="L110" s="179">
        <f t="shared" si="41"/>
        <v>45799</v>
      </c>
      <c r="M110" s="180">
        <v>31</v>
      </c>
      <c r="N110" s="179">
        <f t="shared" si="42"/>
        <v>45830</v>
      </c>
      <c r="O110" s="180">
        <v>3</v>
      </c>
      <c r="P110" s="179">
        <f t="shared" si="43"/>
        <v>45833</v>
      </c>
      <c r="Q110" s="161">
        <f t="shared" si="44"/>
        <v>115</v>
      </c>
      <c r="R110" s="160">
        <v>45833</v>
      </c>
      <c r="S110" s="160">
        <f t="shared" si="45"/>
        <v>-170</v>
      </c>
      <c r="T110" s="160">
        <f t="shared" si="46"/>
        <v>-147</v>
      </c>
      <c r="U110" s="160">
        <f t="shared" si="47"/>
        <v>-87</v>
      </c>
      <c r="V110" s="171">
        <f>+$C$7-80</f>
        <v>-80</v>
      </c>
      <c r="W110" s="159"/>
      <c r="X110" s="159"/>
      <c r="Y110" s="177"/>
      <c r="Z110" s="166">
        <v>60</v>
      </c>
      <c r="AA110" s="167"/>
      <c r="AB110" s="168"/>
      <c r="AC110" s="158"/>
      <c r="AD110" s="158"/>
      <c r="AE110" s="158"/>
      <c r="AF110" s="158"/>
    </row>
    <row r="111" spans="1:32" x14ac:dyDescent="0.3">
      <c r="A111" s="157">
        <v>7.01</v>
      </c>
      <c r="B111" s="158" t="s">
        <v>107</v>
      </c>
      <c r="C111" s="159" t="s">
        <v>898</v>
      </c>
      <c r="D111" s="179">
        <f t="shared" si="37"/>
        <v>45718</v>
      </c>
      <c r="E111" s="180">
        <v>10</v>
      </c>
      <c r="F111" s="179">
        <f t="shared" si="38"/>
        <v>45728</v>
      </c>
      <c r="G111" s="180">
        <v>21</v>
      </c>
      <c r="H111" s="179">
        <f t="shared" si="39"/>
        <v>45749</v>
      </c>
      <c r="I111" s="180">
        <v>5</v>
      </c>
      <c r="J111" s="179">
        <f t="shared" si="40"/>
        <v>45754</v>
      </c>
      <c r="K111" s="180">
        <v>45</v>
      </c>
      <c r="L111" s="179">
        <f t="shared" si="41"/>
        <v>45799</v>
      </c>
      <c r="M111" s="180">
        <v>31</v>
      </c>
      <c r="N111" s="179">
        <f t="shared" si="42"/>
        <v>45830</v>
      </c>
      <c r="O111" s="180">
        <v>3</v>
      </c>
      <c r="P111" s="179">
        <f t="shared" si="43"/>
        <v>45833</v>
      </c>
      <c r="Q111" s="161">
        <f t="shared" si="44"/>
        <v>115</v>
      </c>
      <c r="R111" s="160">
        <v>45833</v>
      </c>
      <c r="S111" s="160">
        <f t="shared" si="45"/>
        <v>-170</v>
      </c>
      <c r="T111" s="160">
        <f t="shared" si="46"/>
        <v>-147</v>
      </c>
      <c r="U111" s="160">
        <f t="shared" si="47"/>
        <v>-87</v>
      </c>
      <c r="V111" s="171">
        <f>+$C$7-80</f>
        <v>-80</v>
      </c>
      <c r="W111" s="159"/>
      <c r="X111" s="159"/>
      <c r="Y111" s="177"/>
      <c r="Z111" s="166">
        <v>60</v>
      </c>
      <c r="AA111" s="167"/>
      <c r="AB111" s="168"/>
      <c r="AC111" s="158"/>
      <c r="AD111" s="158"/>
      <c r="AE111" s="158"/>
      <c r="AF111" s="158"/>
    </row>
    <row r="112" spans="1:32" ht="28.8" x14ac:dyDescent="0.3">
      <c r="A112" s="157">
        <v>7.01</v>
      </c>
      <c r="B112" s="158" t="s">
        <v>107</v>
      </c>
      <c r="C112" s="159" t="s">
        <v>899</v>
      </c>
      <c r="D112" s="179">
        <f t="shared" si="37"/>
        <v>45718</v>
      </c>
      <c r="E112" s="180">
        <v>10</v>
      </c>
      <c r="F112" s="179">
        <f t="shared" si="38"/>
        <v>45728</v>
      </c>
      <c r="G112" s="180">
        <v>21</v>
      </c>
      <c r="H112" s="179">
        <f t="shared" si="39"/>
        <v>45749</v>
      </c>
      <c r="I112" s="180">
        <v>5</v>
      </c>
      <c r="J112" s="179">
        <f t="shared" si="40"/>
        <v>45754</v>
      </c>
      <c r="K112" s="180">
        <v>45</v>
      </c>
      <c r="L112" s="179">
        <f t="shared" si="41"/>
        <v>45799</v>
      </c>
      <c r="M112" s="180">
        <v>31</v>
      </c>
      <c r="N112" s="179">
        <f t="shared" si="42"/>
        <v>45830</v>
      </c>
      <c r="O112" s="180">
        <v>3</v>
      </c>
      <c r="P112" s="179">
        <f t="shared" si="43"/>
        <v>45833</v>
      </c>
      <c r="Q112" s="161">
        <f t="shared" si="44"/>
        <v>115</v>
      </c>
      <c r="R112" s="160">
        <v>45833</v>
      </c>
      <c r="S112" s="160">
        <f t="shared" si="45"/>
        <v>-110</v>
      </c>
      <c r="T112" s="160">
        <f t="shared" si="46"/>
        <v>-87</v>
      </c>
      <c r="U112" s="160">
        <f t="shared" si="47"/>
        <v>-87</v>
      </c>
      <c r="V112" s="171">
        <f>+$C$7-80</f>
        <v>-80</v>
      </c>
      <c r="W112" s="159"/>
      <c r="X112" s="159"/>
      <c r="Y112" s="177"/>
      <c r="Z112" s="166"/>
      <c r="AA112" s="167"/>
      <c r="AB112" s="168"/>
      <c r="AC112" s="158"/>
      <c r="AD112" s="158"/>
      <c r="AE112" s="158"/>
      <c r="AF112" s="158"/>
    </row>
    <row r="113" spans="1:32" x14ac:dyDescent="0.3">
      <c r="A113" s="157">
        <v>7.01</v>
      </c>
      <c r="B113" s="158" t="s">
        <v>107</v>
      </c>
      <c r="C113" s="159" t="s">
        <v>900</v>
      </c>
      <c r="D113" s="179">
        <f t="shared" si="37"/>
        <v>45718</v>
      </c>
      <c r="E113" s="180">
        <v>10</v>
      </c>
      <c r="F113" s="179">
        <f t="shared" si="38"/>
        <v>45728</v>
      </c>
      <c r="G113" s="180">
        <v>21</v>
      </c>
      <c r="H113" s="179">
        <f t="shared" si="39"/>
        <v>45749</v>
      </c>
      <c r="I113" s="180">
        <v>5</v>
      </c>
      <c r="J113" s="179">
        <f t="shared" si="40"/>
        <v>45754</v>
      </c>
      <c r="K113" s="180">
        <v>45</v>
      </c>
      <c r="L113" s="179">
        <f t="shared" si="41"/>
        <v>45799</v>
      </c>
      <c r="M113" s="180">
        <v>31</v>
      </c>
      <c r="N113" s="179">
        <f t="shared" si="42"/>
        <v>45830</v>
      </c>
      <c r="O113" s="180">
        <v>3</v>
      </c>
      <c r="P113" s="179">
        <f t="shared" si="43"/>
        <v>45833</v>
      </c>
      <c r="Q113" s="161">
        <f t="shared" si="44"/>
        <v>115</v>
      </c>
      <c r="R113" s="160">
        <v>45833</v>
      </c>
      <c r="S113" s="160">
        <f t="shared" si="45"/>
        <v>-120</v>
      </c>
      <c r="T113" s="160">
        <f t="shared" si="46"/>
        <v>-97</v>
      </c>
      <c r="U113" s="160">
        <f t="shared" si="47"/>
        <v>-37</v>
      </c>
      <c r="V113" s="171">
        <f>+$C$7-30</f>
        <v>-30</v>
      </c>
      <c r="W113" s="159"/>
      <c r="X113" s="159"/>
      <c r="Y113" s="177"/>
      <c r="Z113" s="166">
        <v>60</v>
      </c>
      <c r="AA113" s="167"/>
      <c r="AB113" s="168"/>
      <c r="AC113" s="158"/>
      <c r="AD113" s="158"/>
      <c r="AE113" s="158"/>
      <c r="AF113" s="158"/>
    </row>
    <row r="114" spans="1:32" x14ac:dyDescent="0.3">
      <c r="A114" s="157">
        <v>7.01</v>
      </c>
      <c r="B114" s="158" t="s">
        <v>107</v>
      </c>
      <c r="C114" s="159" t="s">
        <v>901</v>
      </c>
      <c r="D114" s="179">
        <f t="shared" si="37"/>
        <v>45718</v>
      </c>
      <c r="E114" s="180">
        <v>10</v>
      </c>
      <c r="F114" s="179">
        <f t="shared" si="38"/>
        <v>45728</v>
      </c>
      <c r="G114" s="180">
        <v>21</v>
      </c>
      <c r="H114" s="179">
        <f t="shared" si="39"/>
        <v>45749</v>
      </c>
      <c r="I114" s="180">
        <v>5</v>
      </c>
      <c r="J114" s="179">
        <f t="shared" si="40"/>
        <v>45754</v>
      </c>
      <c r="K114" s="180">
        <v>45</v>
      </c>
      <c r="L114" s="179">
        <f t="shared" si="41"/>
        <v>45799</v>
      </c>
      <c r="M114" s="180">
        <v>31</v>
      </c>
      <c r="N114" s="179">
        <f t="shared" si="42"/>
        <v>45830</v>
      </c>
      <c r="O114" s="180">
        <v>3</v>
      </c>
      <c r="P114" s="179">
        <f t="shared" si="43"/>
        <v>45833</v>
      </c>
      <c r="Q114" s="161">
        <f t="shared" si="44"/>
        <v>115</v>
      </c>
      <c r="R114" s="160">
        <v>45833</v>
      </c>
      <c r="S114" s="160">
        <f t="shared" si="45"/>
        <v>-120</v>
      </c>
      <c r="T114" s="160">
        <f t="shared" si="46"/>
        <v>-97</v>
      </c>
      <c r="U114" s="160">
        <f t="shared" si="47"/>
        <v>-37</v>
      </c>
      <c r="V114" s="171">
        <f>+$C$7-30</f>
        <v>-30</v>
      </c>
      <c r="W114" s="159"/>
      <c r="X114" s="159"/>
      <c r="Y114" s="177"/>
      <c r="Z114" s="166">
        <v>60</v>
      </c>
      <c r="AA114" s="167"/>
      <c r="AB114" s="168"/>
      <c r="AC114" s="158"/>
      <c r="AD114" s="158"/>
      <c r="AE114" s="158"/>
      <c r="AF114" s="158"/>
    </row>
    <row r="115" spans="1:32" x14ac:dyDescent="0.3">
      <c r="A115" s="157">
        <v>7.01</v>
      </c>
      <c r="B115" s="158" t="s">
        <v>107</v>
      </c>
      <c r="C115" s="159" t="s">
        <v>902</v>
      </c>
      <c r="D115" s="179">
        <f t="shared" si="37"/>
        <v>45718</v>
      </c>
      <c r="E115" s="180">
        <v>10</v>
      </c>
      <c r="F115" s="179">
        <f t="shared" si="38"/>
        <v>45728</v>
      </c>
      <c r="G115" s="180">
        <v>21</v>
      </c>
      <c r="H115" s="179">
        <f t="shared" si="39"/>
        <v>45749</v>
      </c>
      <c r="I115" s="180">
        <v>5</v>
      </c>
      <c r="J115" s="179">
        <f t="shared" si="40"/>
        <v>45754</v>
      </c>
      <c r="K115" s="180">
        <v>45</v>
      </c>
      <c r="L115" s="179">
        <f t="shared" si="41"/>
        <v>45799</v>
      </c>
      <c r="M115" s="180">
        <v>31</v>
      </c>
      <c r="N115" s="179">
        <f t="shared" si="42"/>
        <v>45830</v>
      </c>
      <c r="O115" s="180">
        <v>3</v>
      </c>
      <c r="P115" s="179">
        <f t="shared" si="43"/>
        <v>45833</v>
      </c>
      <c r="Q115" s="161">
        <f t="shared" si="44"/>
        <v>115</v>
      </c>
      <c r="R115" s="160">
        <v>45833</v>
      </c>
      <c r="S115" s="160">
        <f t="shared" si="45"/>
        <v>-120</v>
      </c>
      <c r="T115" s="160">
        <f t="shared" si="46"/>
        <v>-97</v>
      </c>
      <c r="U115" s="160">
        <f t="shared" si="47"/>
        <v>-37</v>
      </c>
      <c r="V115" s="171">
        <f>+$C$7-30</f>
        <v>-30</v>
      </c>
      <c r="W115" s="159"/>
      <c r="X115" s="159"/>
      <c r="Y115" s="177"/>
      <c r="Z115" s="166">
        <v>60</v>
      </c>
      <c r="AA115" s="167"/>
      <c r="AB115" s="168"/>
      <c r="AC115" s="158"/>
      <c r="AD115" s="158"/>
      <c r="AE115" s="158"/>
      <c r="AF115" s="158"/>
    </row>
    <row r="116" spans="1:32" x14ac:dyDescent="0.3">
      <c r="A116" s="157">
        <v>7.02</v>
      </c>
      <c r="B116" s="158" t="s">
        <v>903</v>
      </c>
      <c r="C116" s="159" t="s">
        <v>904</v>
      </c>
      <c r="D116" s="179">
        <f t="shared" si="37"/>
        <v>45718</v>
      </c>
      <c r="E116" s="180">
        <v>10</v>
      </c>
      <c r="F116" s="179">
        <f t="shared" si="38"/>
        <v>45728</v>
      </c>
      <c r="G116" s="180">
        <v>21</v>
      </c>
      <c r="H116" s="179">
        <f t="shared" si="39"/>
        <v>45749</v>
      </c>
      <c r="I116" s="180">
        <v>5</v>
      </c>
      <c r="J116" s="179">
        <f t="shared" si="40"/>
        <v>45754</v>
      </c>
      <c r="K116" s="180">
        <v>45</v>
      </c>
      <c r="L116" s="179">
        <f t="shared" si="41"/>
        <v>45799</v>
      </c>
      <c r="M116" s="180">
        <v>31</v>
      </c>
      <c r="N116" s="179">
        <f t="shared" si="42"/>
        <v>45830</v>
      </c>
      <c r="O116" s="180">
        <v>3</v>
      </c>
      <c r="P116" s="179">
        <f t="shared" si="43"/>
        <v>45833</v>
      </c>
      <c r="Q116" s="161">
        <f t="shared" si="44"/>
        <v>115</v>
      </c>
      <c r="R116" s="160">
        <v>45833</v>
      </c>
      <c r="S116" s="160">
        <f t="shared" si="45"/>
        <v>-200</v>
      </c>
      <c r="T116" s="160">
        <f t="shared" si="46"/>
        <v>-177</v>
      </c>
      <c r="U116" s="160">
        <f t="shared" si="47"/>
        <v>-87</v>
      </c>
      <c r="V116" s="171">
        <f>+$C$7-80</f>
        <v>-80</v>
      </c>
      <c r="W116" s="159"/>
      <c r="X116" s="159"/>
      <c r="Y116" s="177"/>
      <c r="Z116" s="166">
        <v>90</v>
      </c>
      <c r="AA116" s="167"/>
      <c r="AB116" s="168"/>
      <c r="AC116" s="158"/>
      <c r="AD116" s="158"/>
      <c r="AE116" s="158"/>
      <c r="AF116" s="158"/>
    </row>
    <row r="117" spans="1:32" x14ac:dyDescent="0.3">
      <c r="A117" s="157">
        <v>7.02</v>
      </c>
      <c r="B117" s="158" t="s">
        <v>903</v>
      </c>
      <c r="C117" s="159" t="s">
        <v>905</v>
      </c>
      <c r="D117" s="179">
        <f t="shared" si="37"/>
        <v>45718</v>
      </c>
      <c r="E117" s="180">
        <v>10</v>
      </c>
      <c r="F117" s="179">
        <f t="shared" si="38"/>
        <v>45728</v>
      </c>
      <c r="G117" s="180">
        <v>21</v>
      </c>
      <c r="H117" s="179">
        <f t="shared" si="39"/>
        <v>45749</v>
      </c>
      <c r="I117" s="180">
        <v>5</v>
      </c>
      <c r="J117" s="179">
        <f t="shared" si="40"/>
        <v>45754</v>
      </c>
      <c r="K117" s="180">
        <v>45</v>
      </c>
      <c r="L117" s="179">
        <f t="shared" si="41"/>
        <v>45799</v>
      </c>
      <c r="M117" s="180">
        <v>31</v>
      </c>
      <c r="N117" s="179">
        <f t="shared" si="42"/>
        <v>45830</v>
      </c>
      <c r="O117" s="180">
        <v>3</v>
      </c>
      <c r="P117" s="179">
        <f t="shared" si="43"/>
        <v>45833</v>
      </c>
      <c r="Q117" s="161">
        <f t="shared" si="44"/>
        <v>115</v>
      </c>
      <c r="R117" s="160">
        <v>45833</v>
      </c>
      <c r="S117" s="160">
        <f t="shared" si="45"/>
        <v>-200</v>
      </c>
      <c r="T117" s="160">
        <f t="shared" si="46"/>
        <v>-177</v>
      </c>
      <c r="U117" s="160">
        <f t="shared" si="47"/>
        <v>-87</v>
      </c>
      <c r="V117" s="171">
        <f>+$C$7-80</f>
        <v>-80</v>
      </c>
      <c r="W117" s="159"/>
      <c r="X117" s="159"/>
      <c r="Y117" s="177"/>
      <c r="Z117" s="166">
        <v>90</v>
      </c>
      <c r="AA117" s="167"/>
      <c r="AB117" s="168"/>
      <c r="AC117" s="158"/>
      <c r="AD117" s="158"/>
      <c r="AE117" s="158"/>
      <c r="AF117" s="158"/>
    </row>
    <row r="118" spans="1:32" x14ac:dyDescent="0.3">
      <c r="A118" s="157">
        <v>7.02</v>
      </c>
      <c r="B118" s="158" t="s">
        <v>903</v>
      </c>
      <c r="C118" s="159" t="s">
        <v>906</v>
      </c>
      <c r="D118" s="179">
        <f t="shared" si="37"/>
        <v>45718</v>
      </c>
      <c r="E118" s="180">
        <v>10</v>
      </c>
      <c r="F118" s="179">
        <f t="shared" si="38"/>
        <v>45728</v>
      </c>
      <c r="G118" s="180">
        <v>21</v>
      </c>
      <c r="H118" s="179">
        <f t="shared" si="39"/>
        <v>45749</v>
      </c>
      <c r="I118" s="180">
        <v>5</v>
      </c>
      <c r="J118" s="179">
        <f t="shared" si="40"/>
        <v>45754</v>
      </c>
      <c r="K118" s="180">
        <v>45</v>
      </c>
      <c r="L118" s="179">
        <f t="shared" si="41"/>
        <v>45799</v>
      </c>
      <c r="M118" s="180">
        <v>31</v>
      </c>
      <c r="N118" s="179">
        <f t="shared" si="42"/>
        <v>45830</v>
      </c>
      <c r="O118" s="180">
        <v>3</v>
      </c>
      <c r="P118" s="179">
        <f t="shared" si="43"/>
        <v>45833</v>
      </c>
      <c r="Q118" s="161">
        <f t="shared" si="44"/>
        <v>115</v>
      </c>
      <c r="R118" s="160">
        <v>45833</v>
      </c>
      <c r="S118" s="160">
        <f t="shared" si="45"/>
        <v>-140</v>
      </c>
      <c r="T118" s="160">
        <f t="shared" si="46"/>
        <v>-117</v>
      </c>
      <c r="U118" s="160">
        <f t="shared" si="47"/>
        <v>-7</v>
      </c>
      <c r="V118" s="171">
        <f>+$C$7-0</f>
        <v>0</v>
      </c>
      <c r="W118" s="159"/>
      <c r="X118" s="159"/>
      <c r="Y118" s="177"/>
      <c r="Z118" s="166">
        <v>110</v>
      </c>
      <c r="AA118" s="167"/>
      <c r="AB118" s="168"/>
      <c r="AC118" s="158"/>
      <c r="AD118" s="158"/>
      <c r="AE118" s="158"/>
      <c r="AF118" s="158"/>
    </row>
    <row r="119" spans="1:32" x14ac:dyDescent="0.3">
      <c r="A119" s="157">
        <v>7.02</v>
      </c>
      <c r="B119" s="158" t="s">
        <v>903</v>
      </c>
      <c r="C119" s="159" t="s">
        <v>907</v>
      </c>
      <c r="D119" s="179">
        <f t="shared" si="37"/>
        <v>45718</v>
      </c>
      <c r="E119" s="180">
        <v>10</v>
      </c>
      <c r="F119" s="179">
        <f t="shared" si="38"/>
        <v>45728</v>
      </c>
      <c r="G119" s="180">
        <v>21</v>
      </c>
      <c r="H119" s="179">
        <f t="shared" si="39"/>
        <v>45749</v>
      </c>
      <c r="I119" s="180">
        <v>5</v>
      </c>
      <c r="J119" s="179">
        <f t="shared" si="40"/>
        <v>45754</v>
      </c>
      <c r="K119" s="180">
        <v>45</v>
      </c>
      <c r="L119" s="179">
        <f t="shared" si="41"/>
        <v>45799</v>
      </c>
      <c r="M119" s="180">
        <v>31</v>
      </c>
      <c r="N119" s="179">
        <f t="shared" si="42"/>
        <v>45830</v>
      </c>
      <c r="O119" s="180">
        <v>3</v>
      </c>
      <c r="P119" s="179">
        <f t="shared" si="43"/>
        <v>45833</v>
      </c>
      <c r="Q119" s="161">
        <f t="shared" si="44"/>
        <v>115</v>
      </c>
      <c r="R119" s="160">
        <v>45833</v>
      </c>
      <c r="S119" s="160">
        <f t="shared" si="45"/>
        <v>-140</v>
      </c>
      <c r="T119" s="160">
        <f t="shared" si="46"/>
        <v>-117</v>
      </c>
      <c r="U119" s="160">
        <f t="shared" si="47"/>
        <v>-7</v>
      </c>
      <c r="V119" s="171">
        <f>+$C$7-0</f>
        <v>0</v>
      </c>
      <c r="W119" s="159"/>
      <c r="X119" s="159"/>
      <c r="Y119" s="177"/>
      <c r="Z119" s="166">
        <v>110</v>
      </c>
      <c r="AA119" s="167"/>
      <c r="AB119" s="168"/>
      <c r="AC119" s="158"/>
      <c r="AD119" s="158"/>
      <c r="AE119" s="158"/>
      <c r="AF119" s="158"/>
    </row>
    <row r="120" spans="1:32" x14ac:dyDescent="0.3">
      <c r="A120" s="157">
        <v>7.02</v>
      </c>
      <c r="B120" s="158" t="s">
        <v>903</v>
      </c>
      <c r="C120" s="159" t="s">
        <v>908</v>
      </c>
      <c r="D120" s="179">
        <f t="shared" si="37"/>
        <v>45718</v>
      </c>
      <c r="E120" s="180">
        <v>10</v>
      </c>
      <c r="F120" s="179">
        <f t="shared" si="38"/>
        <v>45728</v>
      </c>
      <c r="G120" s="180">
        <v>21</v>
      </c>
      <c r="H120" s="179">
        <f t="shared" si="39"/>
        <v>45749</v>
      </c>
      <c r="I120" s="180">
        <v>5</v>
      </c>
      <c r="J120" s="179">
        <f t="shared" si="40"/>
        <v>45754</v>
      </c>
      <c r="K120" s="180">
        <v>45</v>
      </c>
      <c r="L120" s="179">
        <f t="shared" si="41"/>
        <v>45799</v>
      </c>
      <c r="M120" s="180">
        <v>31</v>
      </c>
      <c r="N120" s="179">
        <f t="shared" si="42"/>
        <v>45830</v>
      </c>
      <c r="O120" s="180">
        <v>3</v>
      </c>
      <c r="P120" s="179">
        <f t="shared" si="43"/>
        <v>45833</v>
      </c>
      <c r="Q120" s="161">
        <f t="shared" si="44"/>
        <v>115</v>
      </c>
      <c r="R120" s="160">
        <v>45833</v>
      </c>
      <c r="S120" s="160">
        <f t="shared" si="45"/>
        <v>-120</v>
      </c>
      <c r="T120" s="160">
        <f t="shared" si="46"/>
        <v>-97</v>
      </c>
      <c r="U120" s="160">
        <f t="shared" si="47"/>
        <v>-37</v>
      </c>
      <c r="V120" s="171">
        <f>+$C$7-30</f>
        <v>-30</v>
      </c>
      <c r="W120" s="159"/>
      <c r="X120" s="159"/>
      <c r="Y120" s="177"/>
      <c r="Z120" s="166">
        <v>60</v>
      </c>
      <c r="AA120" s="167"/>
      <c r="AB120" s="168"/>
      <c r="AC120" s="158"/>
      <c r="AD120" s="158"/>
      <c r="AE120" s="158"/>
      <c r="AF120" s="158"/>
    </row>
    <row r="121" spans="1:32" x14ac:dyDescent="0.3">
      <c r="A121" s="157">
        <v>7.02</v>
      </c>
      <c r="B121" s="158" t="s">
        <v>903</v>
      </c>
      <c r="C121" s="159" t="s">
        <v>909</v>
      </c>
      <c r="D121" s="179">
        <f t="shared" si="37"/>
        <v>45718</v>
      </c>
      <c r="E121" s="180">
        <v>10</v>
      </c>
      <c r="F121" s="179">
        <f t="shared" si="38"/>
        <v>45728</v>
      </c>
      <c r="G121" s="180">
        <v>21</v>
      </c>
      <c r="H121" s="179">
        <f t="shared" si="39"/>
        <v>45749</v>
      </c>
      <c r="I121" s="180">
        <v>5</v>
      </c>
      <c r="J121" s="179">
        <f t="shared" si="40"/>
        <v>45754</v>
      </c>
      <c r="K121" s="180">
        <v>45</v>
      </c>
      <c r="L121" s="179">
        <f t="shared" si="41"/>
        <v>45799</v>
      </c>
      <c r="M121" s="180">
        <v>31</v>
      </c>
      <c r="N121" s="179">
        <f t="shared" si="42"/>
        <v>45830</v>
      </c>
      <c r="O121" s="180">
        <v>3</v>
      </c>
      <c r="P121" s="179">
        <f t="shared" si="43"/>
        <v>45833</v>
      </c>
      <c r="Q121" s="161">
        <f t="shared" si="44"/>
        <v>115</v>
      </c>
      <c r="R121" s="160">
        <v>45833</v>
      </c>
      <c r="S121" s="160">
        <f t="shared" si="45"/>
        <v>-140</v>
      </c>
      <c r="T121" s="160">
        <f t="shared" si="46"/>
        <v>-117</v>
      </c>
      <c r="U121" s="160">
        <f t="shared" si="47"/>
        <v>-27</v>
      </c>
      <c r="V121" s="171">
        <f t="shared" ref="V121:V150" si="48">+$C$7-20</f>
        <v>-20</v>
      </c>
      <c r="W121" s="159"/>
      <c r="X121" s="159"/>
      <c r="Y121" s="177"/>
      <c r="Z121" s="166">
        <v>90</v>
      </c>
      <c r="AA121" s="167"/>
      <c r="AB121" s="168"/>
      <c r="AC121" s="158"/>
      <c r="AD121" s="158"/>
      <c r="AE121" s="158"/>
      <c r="AF121" s="158"/>
    </row>
    <row r="122" spans="1:32" x14ac:dyDescent="0.3">
      <c r="A122" s="157">
        <v>7.02</v>
      </c>
      <c r="B122" s="158" t="s">
        <v>903</v>
      </c>
      <c r="C122" s="159" t="s">
        <v>910</v>
      </c>
      <c r="D122" s="179">
        <f t="shared" si="37"/>
        <v>45718</v>
      </c>
      <c r="E122" s="180">
        <v>10</v>
      </c>
      <c r="F122" s="179">
        <f t="shared" si="38"/>
        <v>45728</v>
      </c>
      <c r="G122" s="180">
        <v>21</v>
      </c>
      <c r="H122" s="179">
        <f t="shared" si="39"/>
        <v>45749</v>
      </c>
      <c r="I122" s="180">
        <v>5</v>
      </c>
      <c r="J122" s="179">
        <f t="shared" si="40"/>
        <v>45754</v>
      </c>
      <c r="K122" s="180">
        <v>45</v>
      </c>
      <c r="L122" s="179">
        <f t="shared" si="41"/>
        <v>45799</v>
      </c>
      <c r="M122" s="180">
        <v>31</v>
      </c>
      <c r="N122" s="179">
        <f t="shared" si="42"/>
        <v>45830</v>
      </c>
      <c r="O122" s="180">
        <v>3</v>
      </c>
      <c r="P122" s="179">
        <f t="shared" si="43"/>
        <v>45833</v>
      </c>
      <c r="Q122" s="161">
        <f t="shared" si="44"/>
        <v>115</v>
      </c>
      <c r="R122" s="160">
        <v>45833</v>
      </c>
      <c r="S122" s="160">
        <f t="shared" si="45"/>
        <v>-110</v>
      </c>
      <c r="T122" s="160">
        <f t="shared" si="46"/>
        <v>-87</v>
      </c>
      <c r="U122" s="160">
        <f t="shared" si="47"/>
        <v>-27</v>
      </c>
      <c r="V122" s="171">
        <f t="shared" si="48"/>
        <v>-20</v>
      </c>
      <c r="W122" s="159"/>
      <c r="X122" s="159"/>
      <c r="Y122" s="177"/>
      <c r="Z122" s="166">
        <v>60</v>
      </c>
      <c r="AA122" s="167"/>
      <c r="AB122" s="168"/>
      <c r="AC122" s="158"/>
      <c r="AD122" s="158"/>
      <c r="AE122" s="158"/>
      <c r="AF122" s="158"/>
    </row>
    <row r="123" spans="1:32" x14ac:dyDescent="0.3">
      <c r="A123" s="157">
        <v>7.02</v>
      </c>
      <c r="B123" s="158" t="s">
        <v>903</v>
      </c>
      <c r="C123" s="159" t="s">
        <v>911</v>
      </c>
      <c r="D123" s="179">
        <f t="shared" si="37"/>
        <v>45718</v>
      </c>
      <c r="E123" s="180">
        <v>10</v>
      </c>
      <c r="F123" s="179">
        <f t="shared" si="38"/>
        <v>45728</v>
      </c>
      <c r="G123" s="180">
        <v>21</v>
      </c>
      <c r="H123" s="179">
        <f t="shared" si="39"/>
        <v>45749</v>
      </c>
      <c r="I123" s="180">
        <v>5</v>
      </c>
      <c r="J123" s="179">
        <f t="shared" si="40"/>
        <v>45754</v>
      </c>
      <c r="K123" s="180">
        <v>45</v>
      </c>
      <c r="L123" s="179">
        <f t="shared" si="41"/>
        <v>45799</v>
      </c>
      <c r="M123" s="180">
        <v>31</v>
      </c>
      <c r="N123" s="179">
        <f t="shared" si="42"/>
        <v>45830</v>
      </c>
      <c r="O123" s="180">
        <v>3</v>
      </c>
      <c r="P123" s="179">
        <f t="shared" si="43"/>
        <v>45833</v>
      </c>
      <c r="Q123" s="161">
        <f t="shared" si="44"/>
        <v>115</v>
      </c>
      <c r="R123" s="160">
        <v>45833</v>
      </c>
      <c r="S123" s="160">
        <f t="shared" si="45"/>
        <v>-140</v>
      </c>
      <c r="T123" s="160">
        <f t="shared" si="46"/>
        <v>-117</v>
      </c>
      <c r="U123" s="160">
        <f t="shared" si="47"/>
        <v>-27</v>
      </c>
      <c r="V123" s="171">
        <f t="shared" si="48"/>
        <v>-20</v>
      </c>
      <c r="W123" s="159"/>
      <c r="X123" s="159"/>
      <c r="Y123" s="177"/>
      <c r="Z123" s="166">
        <v>90</v>
      </c>
      <c r="AA123" s="167"/>
      <c r="AB123" s="168"/>
      <c r="AC123" s="158"/>
      <c r="AD123" s="158"/>
      <c r="AE123" s="158"/>
      <c r="AF123" s="158"/>
    </row>
    <row r="124" spans="1:32" x14ac:dyDescent="0.3">
      <c r="A124" s="157">
        <v>7.03</v>
      </c>
      <c r="B124" s="158" t="s">
        <v>912</v>
      </c>
      <c r="C124" s="159" t="s">
        <v>913</v>
      </c>
      <c r="D124" s="179">
        <f t="shared" si="37"/>
        <v>45718</v>
      </c>
      <c r="E124" s="180">
        <v>10</v>
      </c>
      <c r="F124" s="179">
        <f t="shared" si="38"/>
        <v>45728</v>
      </c>
      <c r="G124" s="180">
        <v>21</v>
      </c>
      <c r="H124" s="179">
        <f t="shared" si="39"/>
        <v>45749</v>
      </c>
      <c r="I124" s="180">
        <v>5</v>
      </c>
      <c r="J124" s="179">
        <f t="shared" si="40"/>
        <v>45754</v>
      </c>
      <c r="K124" s="180">
        <v>45</v>
      </c>
      <c r="L124" s="179">
        <f t="shared" si="41"/>
        <v>45799</v>
      </c>
      <c r="M124" s="180">
        <v>31</v>
      </c>
      <c r="N124" s="179">
        <f t="shared" si="42"/>
        <v>45830</v>
      </c>
      <c r="O124" s="180">
        <v>3</v>
      </c>
      <c r="P124" s="179">
        <f t="shared" si="43"/>
        <v>45833</v>
      </c>
      <c r="Q124" s="161">
        <f t="shared" si="44"/>
        <v>115</v>
      </c>
      <c r="R124" s="160">
        <v>45833</v>
      </c>
      <c r="S124" s="160">
        <f t="shared" si="45"/>
        <v>-110</v>
      </c>
      <c r="T124" s="160">
        <f t="shared" si="46"/>
        <v>-87</v>
      </c>
      <c r="U124" s="160">
        <f t="shared" si="47"/>
        <v>-27</v>
      </c>
      <c r="V124" s="171">
        <f t="shared" si="48"/>
        <v>-20</v>
      </c>
      <c r="W124" s="159"/>
      <c r="X124" s="159"/>
      <c r="Y124" s="177"/>
      <c r="Z124" s="166">
        <v>60</v>
      </c>
      <c r="AA124" s="167"/>
      <c r="AB124" s="168"/>
      <c r="AC124" s="158"/>
      <c r="AD124" s="158"/>
      <c r="AE124" s="158"/>
      <c r="AF124" s="158"/>
    </row>
    <row r="125" spans="1:32" x14ac:dyDescent="0.3">
      <c r="A125" s="157">
        <v>7.03</v>
      </c>
      <c r="B125" s="158" t="s">
        <v>912</v>
      </c>
      <c r="C125" s="159" t="s">
        <v>914</v>
      </c>
      <c r="D125" s="179">
        <f t="shared" si="37"/>
        <v>45718</v>
      </c>
      <c r="E125" s="180">
        <v>10</v>
      </c>
      <c r="F125" s="179">
        <f t="shared" si="38"/>
        <v>45728</v>
      </c>
      <c r="G125" s="180">
        <v>21</v>
      </c>
      <c r="H125" s="179">
        <f t="shared" si="39"/>
        <v>45749</v>
      </c>
      <c r="I125" s="180">
        <v>5</v>
      </c>
      <c r="J125" s="179">
        <f t="shared" si="40"/>
        <v>45754</v>
      </c>
      <c r="K125" s="180">
        <v>45</v>
      </c>
      <c r="L125" s="179">
        <f t="shared" si="41"/>
        <v>45799</v>
      </c>
      <c r="M125" s="180">
        <v>31</v>
      </c>
      <c r="N125" s="179">
        <f t="shared" si="42"/>
        <v>45830</v>
      </c>
      <c r="O125" s="180">
        <v>3</v>
      </c>
      <c r="P125" s="179">
        <f t="shared" si="43"/>
        <v>45833</v>
      </c>
      <c r="Q125" s="161">
        <f t="shared" si="44"/>
        <v>115</v>
      </c>
      <c r="R125" s="160">
        <v>45833</v>
      </c>
      <c r="S125" s="160">
        <f t="shared" si="45"/>
        <v>-140</v>
      </c>
      <c r="T125" s="160">
        <f t="shared" si="46"/>
        <v>-117</v>
      </c>
      <c r="U125" s="160">
        <f t="shared" si="47"/>
        <v>-27</v>
      </c>
      <c r="V125" s="171">
        <f t="shared" si="48"/>
        <v>-20</v>
      </c>
      <c r="W125" s="159"/>
      <c r="X125" s="159"/>
      <c r="Y125" s="177"/>
      <c r="Z125" s="166">
        <v>90</v>
      </c>
      <c r="AA125" s="167"/>
      <c r="AB125" s="168"/>
      <c r="AC125" s="158"/>
      <c r="AD125" s="158"/>
      <c r="AE125" s="158"/>
      <c r="AF125" s="158"/>
    </row>
    <row r="126" spans="1:32" x14ac:dyDescent="0.3">
      <c r="A126" s="157">
        <v>7.03</v>
      </c>
      <c r="B126" s="158" t="s">
        <v>912</v>
      </c>
      <c r="C126" s="159" t="s">
        <v>915</v>
      </c>
      <c r="D126" s="179">
        <f t="shared" si="37"/>
        <v>45718</v>
      </c>
      <c r="E126" s="180">
        <v>10</v>
      </c>
      <c r="F126" s="179">
        <f t="shared" si="38"/>
        <v>45728</v>
      </c>
      <c r="G126" s="180">
        <v>21</v>
      </c>
      <c r="H126" s="179">
        <f t="shared" si="39"/>
        <v>45749</v>
      </c>
      <c r="I126" s="180">
        <v>5</v>
      </c>
      <c r="J126" s="179">
        <f t="shared" si="40"/>
        <v>45754</v>
      </c>
      <c r="K126" s="180">
        <v>45</v>
      </c>
      <c r="L126" s="179">
        <f t="shared" si="41"/>
        <v>45799</v>
      </c>
      <c r="M126" s="180">
        <v>31</v>
      </c>
      <c r="N126" s="179">
        <f t="shared" si="42"/>
        <v>45830</v>
      </c>
      <c r="O126" s="180">
        <v>3</v>
      </c>
      <c r="P126" s="179">
        <f t="shared" si="43"/>
        <v>45833</v>
      </c>
      <c r="Q126" s="161">
        <f t="shared" si="44"/>
        <v>115</v>
      </c>
      <c r="R126" s="160">
        <v>45833</v>
      </c>
      <c r="S126" s="160">
        <f t="shared" si="45"/>
        <v>-140</v>
      </c>
      <c r="T126" s="160">
        <f t="shared" si="46"/>
        <v>-117</v>
      </c>
      <c r="U126" s="160">
        <f t="shared" si="47"/>
        <v>-27</v>
      </c>
      <c r="V126" s="171">
        <f t="shared" si="48"/>
        <v>-20</v>
      </c>
      <c r="W126" s="159"/>
      <c r="X126" s="159"/>
      <c r="Y126" s="177"/>
      <c r="Z126" s="166">
        <v>90</v>
      </c>
      <c r="AA126" s="167"/>
      <c r="AB126" s="168"/>
      <c r="AC126" s="158"/>
      <c r="AD126" s="158"/>
      <c r="AE126" s="158"/>
      <c r="AF126" s="158"/>
    </row>
    <row r="127" spans="1:32" x14ac:dyDescent="0.3">
      <c r="A127" s="157">
        <v>7.03</v>
      </c>
      <c r="B127" s="158" t="s">
        <v>912</v>
      </c>
      <c r="C127" s="159" t="s">
        <v>916</v>
      </c>
      <c r="D127" s="179">
        <f t="shared" si="37"/>
        <v>45718</v>
      </c>
      <c r="E127" s="180">
        <v>10</v>
      </c>
      <c r="F127" s="179">
        <f t="shared" si="38"/>
        <v>45728</v>
      </c>
      <c r="G127" s="180">
        <v>21</v>
      </c>
      <c r="H127" s="179">
        <f t="shared" si="39"/>
        <v>45749</v>
      </c>
      <c r="I127" s="180">
        <v>5</v>
      </c>
      <c r="J127" s="179">
        <f t="shared" si="40"/>
        <v>45754</v>
      </c>
      <c r="K127" s="180">
        <v>45</v>
      </c>
      <c r="L127" s="179">
        <f t="shared" si="41"/>
        <v>45799</v>
      </c>
      <c r="M127" s="180">
        <v>31</v>
      </c>
      <c r="N127" s="179">
        <f t="shared" si="42"/>
        <v>45830</v>
      </c>
      <c r="O127" s="180">
        <v>3</v>
      </c>
      <c r="P127" s="179">
        <f t="shared" si="43"/>
        <v>45833</v>
      </c>
      <c r="Q127" s="161">
        <f t="shared" si="44"/>
        <v>115</v>
      </c>
      <c r="R127" s="160">
        <v>45833</v>
      </c>
      <c r="S127" s="160">
        <f t="shared" si="45"/>
        <v>-160</v>
      </c>
      <c r="T127" s="160">
        <f t="shared" si="46"/>
        <v>-137</v>
      </c>
      <c r="U127" s="160">
        <f t="shared" si="47"/>
        <v>-27</v>
      </c>
      <c r="V127" s="171">
        <f t="shared" si="48"/>
        <v>-20</v>
      </c>
      <c r="W127" s="159"/>
      <c r="X127" s="159"/>
      <c r="Y127" s="177"/>
      <c r="Z127" s="166">
        <v>110</v>
      </c>
      <c r="AA127" s="167"/>
      <c r="AB127" s="168"/>
      <c r="AC127" s="158"/>
      <c r="AD127" s="158"/>
      <c r="AE127" s="158"/>
      <c r="AF127" s="158"/>
    </row>
    <row r="128" spans="1:32" x14ac:dyDescent="0.3">
      <c r="A128" s="157">
        <v>7.03</v>
      </c>
      <c r="B128" s="158" t="s">
        <v>912</v>
      </c>
      <c r="C128" s="159" t="s">
        <v>917</v>
      </c>
      <c r="D128" s="179">
        <f t="shared" si="37"/>
        <v>45718</v>
      </c>
      <c r="E128" s="180">
        <v>10</v>
      </c>
      <c r="F128" s="179">
        <f t="shared" si="38"/>
        <v>45728</v>
      </c>
      <c r="G128" s="180">
        <v>21</v>
      </c>
      <c r="H128" s="179">
        <f t="shared" si="39"/>
        <v>45749</v>
      </c>
      <c r="I128" s="180">
        <v>5</v>
      </c>
      <c r="J128" s="179">
        <f t="shared" si="40"/>
        <v>45754</v>
      </c>
      <c r="K128" s="180">
        <v>45</v>
      </c>
      <c r="L128" s="179">
        <f t="shared" si="41"/>
        <v>45799</v>
      </c>
      <c r="M128" s="180">
        <v>31</v>
      </c>
      <c r="N128" s="179">
        <f t="shared" si="42"/>
        <v>45830</v>
      </c>
      <c r="O128" s="180">
        <v>3</v>
      </c>
      <c r="P128" s="179">
        <f t="shared" si="43"/>
        <v>45833</v>
      </c>
      <c r="Q128" s="161">
        <f t="shared" si="44"/>
        <v>115</v>
      </c>
      <c r="R128" s="160">
        <v>45833</v>
      </c>
      <c r="S128" s="160">
        <f t="shared" si="45"/>
        <v>-140</v>
      </c>
      <c r="T128" s="160">
        <f t="shared" si="46"/>
        <v>-117</v>
      </c>
      <c r="U128" s="160">
        <f t="shared" si="47"/>
        <v>-27</v>
      </c>
      <c r="V128" s="171">
        <f t="shared" si="48"/>
        <v>-20</v>
      </c>
      <c r="W128" s="159"/>
      <c r="X128" s="159"/>
      <c r="Y128" s="177"/>
      <c r="Z128" s="166">
        <v>90</v>
      </c>
      <c r="AA128" s="167"/>
      <c r="AB128" s="168"/>
      <c r="AC128" s="158"/>
      <c r="AD128" s="158"/>
      <c r="AE128" s="158"/>
      <c r="AF128" s="158"/>
    </row>
    <row r="129" spans="1:32" x14ac:dyDescent="0.3">
      <c r="A129" s="157">
        <v>7.03</v>
      </c>
      <c r="B129" s="158" t="s">
        <v>912</v>
      </c>
      <c r="C129" s="159" t="s">
        <v>918</v>
      </c>
      <c r="D129" s="179">
        <f t="shared" si="37"/>
        <v>45718</v>
      </c>
      <c r="E129" s="180">
        <v>10</v>
      </c>
      <c r="F129" s="179">
        <f t="shared" si="38"/>
        <v>45728</v>
      </c>
      <c r="G129" s="180">
        <v>21</v>
      </c>
      <c r="H129" s="179">
        <f t="shared" si="39"/>
        <v>45749</v>
      </c>
      <c r="I129" s="180">
        <v>5</v>
      </c>
      <c r="J129" s="179">
        <f t="shared" si="40"/>
        <v>45754</v>
      </c>
      <c r="K129" s="180">
        <v>45</v>
      </c>
      <c r="L129" s="179">
        <f t="shared" si="41"/>
        <v>45799</v>
      </c>
      <c r="M129" s="180">
        <v>31</v>
      </c>
      <c r="N129" s="179">
        <f t="shared" si="42"/>
        <v>45830</v>
      </c>
      <c r="O129" s="180">
        <v>3</v>
      </c>
      <c r="P129" s="179">
        <f t="shared" si="43"/>
        <v>45833</v>
      </c>
      <c r="Q129" s="161">
        <f t="shared" si="44"/>
        <v>115</v>
      </c>
      <c r="R129" s="160">
        <v>45833</v>
      </c>
      <c r="S129" s="160">
        <f t="shared" si="45"/>
        <v>-140</v>
      </c>
      <c r="T129" s="160">
        <f t="shared" si="46"/>
        <v>-117</v>
      </c>
      <c r="U129" s="160">
        <f t="shared" si="47"/>
        <v>-27</v>
      </c>
      <c r="V129" s="171">
        <f t="shared" si="48"/>
        <v>-20</v>
      </c>
      <c r="W129" s="159"/>
      <c r="X129" s="159"/>
      <c r="Y129" s="177"/>
      <c r="Z129" s="166">
        <v>90</v>
      </c>
      <c r="AA129" s="167"/>
      <c r="AB129" s="168"/>
      <c r="AC129" s="158"/>
      <c r="AD129" s="158"/>
      <c r="AE129" s="158"/>
      <c r="AF129" s="158"/>
    </row>
    <row r="130" spans="1:32" x14ac:dyDescent="0.3">
      <c r="A130" s="157">
        <v>7.03</v>
      </c>
      <c r="B130" s="158" t="s">
        <v>912</v>
      </c>
      <c r="C130" s="159" t="s">
        <v>919</v>
      </c>
      <c r="D130" s="179">
        <f t="shared" si="37"/>
        <v>45718</v>
      </c>
      <c r="E130" s="180">
        <v>10</v>
      </c>
      <c r="F130" s="179">
        <f t="shared" si="38"/>
        <v>45728</v>
      </c>
      <c r="G130" s="180">
        <v>21</v>
      </c>
      <c r="H130" s="179">
        <f t="shared" si="39"/>
        <v>45749</v>
      </c>
      <c r="I130" s="180">
        <v>5</v>
      </c>
      <c r="J130" s="179">
        <f t="shared" si="40"/>
        <v>45754</v>
      </c>
      <c r="K130" s="180">
        <v>45</v>
      </c>
      <c r="L130" s="179">
        <f t="shared" si="41"/>
        <v>45799</v>
      </c>
      <c r="M130" s="180">
        <v>31</v>
      </c>
      <c r="N130" s="179">
        <f t="shared" si="42"/>
        <v>45830</v>
      </c>
      <c r="O130" s="180">
        <v>3</v>
      </c>
      <c r="P130" s="179">
        <f t="shared" si="43"/>
        <v>45833</v>
      </c>
      <c r="Q130" s="161">
        <f t="shared" si="44"/>
        <v>115</v>
      </c>
      <c r="R130" s="160">
        <v>45833</v>
      </c>
      <c r="S130" s="160">
        <f t="shared" si="45"/>
        <v>-160</v>
      </c>
      <c r="T130" s="160">
        <f t="shared" si="46"/>
        <v>-137</v>
      </c>
      <c r="U130" s="160">
        <f t="shared" si="47"/>
        <v>-27</v>
      </c>
      <c r="V130" s="171">
        <f t="shared" si="48"/>
        <v>-20</v>
      </c>
      <c r="W130" s="159"/>
      <c r="X130" s="159"/>
      <c r="Y130" s="177"/>
      <c r="Z130" s="166">
        <v>110</v>
      </c>
      <c r="AA130" s="167"/>
      <c r="AB130" s="168"/>
      <c r="AC130" s="158"/>
      <c r="AD130" s="158"/>
      <c r="AE130" s="158"/>
      <c r="AF130" s="158"/>
    </row>
    <row r="131" spans="1:32" x14ac:dyDescent="0.3">
      <c r="A131" s="157">
        <v>7.03</v>
      </c>
      <c r="B131" s="158" t="s">
        <v>912</v>
      </c>
      <c r="C131" s="159" t="s">
        <v>920</v>
      </c>
      <c r="D131" s="179">
        <f t="shared" si="37"/>
        <v>45718</v>
      </c>
      <c r="E131" s="180">
        <v>10</v>
      </c>
      <c r="F131" s="179">
        <f t="shared" si="38"/>
        <v>45728</v>
      </c>
      <c r="G131" s="180">
        <v>21</v>
      </c>
      <c r="H131" s="179">
        <f t="shared" si="39"/>
        <v>45749</v>
      </c>
      <c r="I131" s="180">
        <v>5</v>
      </c>
      <c r="J131" s="179">
        <f t="shared" si="40"/>
        <v>45754</v>
      </c>
      <c r="K131" s="180">
        <v>45</v>
      </c>
      <c r="L131" s="179">
        <f t="shared" si="41"/>
        <v>45799</v>
      </c>
      <c r="M131" s="180">
        <v>31</v>
      </c>
      <c r="N131" s="179">
        <f t="shared" si="42"/>
        <v>45830</v>
      </c>
      <c r="O131" s="180">
        <v>3</v>
      </c>
      <c r="P131" s="179">
        <f t="shared" si="43"/>
        <v>45833</v>
      </c>
      <c r="Q131" s="161">
        <f t="shared" si="44"/>
        <v>115</v>
      </c>
      <c r="R131" s="160">
        <v>45833</v>
      </c>
      <c r="S131" s="160">
        <f t="shared" si="45"/>
        <v>-140</v>
      </c>
      <c r="T131" s="160">
        <f t="shared" si="46"/>
        <v>-117</v>
      </c>
      <c r="U131" s="160">
        <f t="shared" si="47"/>
        <v>-27</v>
      </c>
      <c r="V131" s="171">
        <f t="shared" si="48"/>
        <v>-20</v>
      </c>
      <c r="W131" s="159"/>
      <c r="X131" s="159"/>
      <c r="Y131" s="177"/>
      <c r="Z131" s="166">
        <v>90</v>
      </c>
      <c r="AA131" s="167"/>
      <c r="AB131" s="168"/>
      <c r="AC131" s="158"/>
      <c r="AD131" s="158"/>
      <c r="AE131" s="158"/>
      <c r="AF131" s="158"/>
    </row>
    <row r="132" spans="1:32" x14ac:dyDescent="0.3">
      <c r="A132" s="157">
        <v>7.03</v>
      </c>
      <c r="B132" s="158" t="s">
        <v>912</v>
      </c>
      <c r="C132" s="159" t="s">
        <v>921</v>
      </c>
      <c r="D132" s="179">
        <f t="shared" si="37"/>
        <v>45718</v>
      </c>
      <c r="E132" s="180">
        <v>10</v>
      </c>
      <c r="F132" s="179">
        <f t="shared" si="38"/>
        <v>45728</v>
      </c>
      <c r="G132" s="180">
        <v>21</v>
      </c>
      <c r="H132" s="179">
        <f t="shared" si="39"/>
        <v>45749</v>
      </c>
      <c r="I132" s="180">
        <v>5</v>
      </c>
      <c r="J132" s="179">
        <f t="shared" si="40"/>
        <v>45754</v>
      </c>
      <c r="K132" s="180">
        <v>45</v>
      </c>
      <c r="L132" s="179">
        <f t="shared" si="41"/>
        <v>45799</v>
      </c>
      <c r="M132" s="180">
        <v>31</v>
      </c>
      <c r="N132" s="179">
        <f t="shared" si="42"/>
        <v>45830</v>
      </c>
      <c r="O132" s="180">
        <v>3</v>
      </c>
      <c r="P132" s="179">
        <f t="shared" si="43"/>
        <v>45833</v>
      </c>
      <c r="Q132" s="161">
        <f t="shared" si="44"/>
        <v>115</v>
      </c>
      <c r="R132" s="160">
        <v>45833</v>
      </c>
      <c r="S132" s="160">
        <f t="shared" si="45"/>
        <v>-110</v>
      </c>
      <c r="T132" s="160">
        <f t="shared" si="46"/>
        <v>-87</v>
      </c>
      <c r="U132" s="160">
        <f t="shared" si="47"/>
        <v>-27</v>
      </c>
      <c r="V132" s="171">
        <f t="shared" si="48"/>
        <v>-20</v>
      </c>
      <c r="W132" s="159"/>
      <c r="X132" s="159"/>
      <c r="Y132" s="177"/>
      <c r="Z132" s="166">
        <v>60</v>
      </c>
      <c r="AA132" s="167"/>
      <c r="AB132" s="168"/>
      <c r="AC132" s="158"/>
      <c r="AD132" s="158"/>
      <c r="AE132" s="158"/>
      <c r="AF132" s="158"/>
    </row>
    <row r="133" spans="1:32" x14ac:dyDescent="0.3">
      <c r="A133" s="157">
        <v>7.03</v>
      </c>
      <c r="B133" s="158" t="s">
        <v>912</v>
      </c>
      <c r="C133" s="159" t="s">
        <v>922</v>
      </c>
      <c r="D133" s="179">
        <f t="shared" si="37"/>
        <v>45718</v>
      </c>
      <c r="E133" s="180">
        <v>10</v>
      </c>
      <c r="F133" s="179">
        <f t="shared" si="38"/>
        <v>45728</v>
      </c>
      <c r="G133" s="180">
        <v>21</v>
      </c>
      <c r="H133" s="179">
        <f t="shared" si="39"/>
        <v>45749</v>
      </c>
      <c r="I133" s="180">
        <v>5</v>
      </c>
      <c r="J133" s="179">
        <f t="shared" si="40"/>
        <v>45754</v>
      </c>
      <c r="K133" s="180">
        <v>45</v>
      </c>
      <c r="L133" s="179">
        <f t="shared" si="41"/>
        <v>45799</v>
      </c>
      <c r="M133" s="180">
        <v>31</v>
      </c>
      <c r="N133" s="179">
        <f t="shared" si="42"/>
        <v>45830</v>
      </c>
      <c r="O133" s="180">
        <v>3</v>
      </c>
      <c r="P133" s="179">
        <f t="shared" si="43"/>
        <v>45833</v>
      </c>
      <c r="Q133" s="161">
        <f t="shared" si="44"/>
        <v>115</v>
      </c>
      <c r="R133" s="160">
        <v>45833</v>
      </c>
      <c r="S133" s="160">
        <f t="shared" si="45"/>
        <v>-140</v>
      </c>
      <c r="T133" s="160">
        <f t="shared" si="46"/>
        <v>-117</v>
      </c>
      <c r="U133" s="160">
        <f t="shared" si="47"/>
        <v>-27</v>
      </c>
      <c r="V133" s="171">
        <f t="shared" si="48"/>
        <v>-20</v>
      </c>
      <c r="W133" s="159"/>
      <c r="X133" s="159"/>
      <c r="Y133" s="177"/>
      <c r="Z133" s="166">
        <v>90</v>
      </c>
      <c r="AA133" s="167"/>
      <c r="AB133" s="168"/>
      <c r="AC133" s="158"/>
      <c r="AD133" s="158"/>
      <c r="AE133" s="158"/>
      <c r="AF133" s="158"/>
    </row>
    <row r="134" spans="1:32" x14ac:dyDescent="0.3">
      <c r="A134" s="157">
        <v>7.03</v>
      </c>
      <c r="B134" s="158" t="s">
        <v>912</v>
      </c>
      <c r="C134" s="159" t="s">
        <v>923</v>
      </c>
      <c r="D134" s="179">
        <f t="shared" si="37"/>
        <v>45718</v>
      </c>
      <c r="E134" s="180">
        <v>10</v>
      </c>
      <c r="F134" s="179">
        <f t="shared" si="38"/>
        <v>45728</v>
      </c>
      <c r="G134" s="180">
        <v>21</v>
      </c>
      <c r="H134" s="179">
        <f t="shared" si="39"/>
        <v>45749</v>
      </c>
      <c r="I134" s="180">
        <v>5</v>
      </c>
      <c r="J134" s="179">
        <f t="shared" si="40"/>
        <v>45754</v>
      </c>
      <c r="K134" s="180">
        <v>45</v>
      </c>
      <c r="L134" s="179">
        <f t="shared" si="41"/>
        <v>45799</v>
      </c>
      <c r="M134" s="180">
        <v>31</v>
      </c>
      <c r="N134" s="179">
        <f t="shared" si="42"/>
        <v>45830</v>
      </c>
      <c r="O134" s="180">
        <v>3</v>
      </c>
      <c r="P134" s="179">
        <f t="shared" si="43"/>
        <v>45833</v>
      </c>
      <c r="Q134" s="161">
        <f t="shared" si="44"/>
        <v>115</v>
      </c>
      <c r="R134" s="160">
        <v>45833</v>
      </c>
      <c r="S134" s="160">
        <f t="shared" si="45"/>
        <v>-110</v>
      </c>
      <c r="T134" s="160">
        <f t="shared" si="46"/>
        <v>-87</v>
      </c>
      <c r="U134" s="160">
        <f t="shared" si="47"/>
        <v>-27</v>
      </c>
      <c r="V134" s="171">
        <f t="shared" si="48"/>
        <v>-20</v>
      </c>
      <c r="W134" s="159"/>
      <c r="X134" s="159"/>
      <c r="Y134" s="177"/>
      <c r="Z134" s="166">
        <v>60</v>
      </c>
      <c r="AA134" s="167"/>
      <c r="AB134" s="168"/>
      <c r="AC134" s="158"/>
      <c r="AD134" s="158"/>
      <c r="AE134" s="158"/>
      <c r="AF134" s="158"/>
    </row>
    <row r="135" spans="1:32" x14ac:dyDescent="0.3">
      <c r="A135" s="157">
        <v>7.03</v>
      </c>
      <c r="B135" s="158" t="s">
        <v>912</v>
      </c>
      <c r="C135" s="159" t="s">
        <v>924</v>
      </c>
      <c r="D135" s="179">
        <f t="shared" si="37"/>
        <v>45718</v>
      </c>
      <c r="E135" s="180">
        <v>10</v>
      </c>
      <c r="F135" s="179">
        <f t="shared" si="38"/>
        <v>45728</v>
      </c>
      <c r="G135" s="180">
        <v>21</v>
      </c>
      <c r="H135" s="179">
        <f t="shared" si="39"/>
        <v>45749</v>
      </c>
      <c r="I135" s="180">
        <v>5</v>
      </c>
      <c r="J135" s="179">
        <f t="shared" si="40"/>
        <v>45754</v>
      </c>
      <c r="K135" s="180">
        <v>45</v>
      </c>
      <c r="L135" s="179">
        <f t="shared" si="41"/>
        <v>45799</v>
      </c>
      <c r="M135" s="180">
        <v>31</v>
      </c>
      <c r="N135" s="179">
        <f t="shared" si="42"/>
        <v>45830</v>
      </c>
      <c r="O135" s="180">
        <v>3</v>
      </c>
      <c r="P135" s="179">
        <f t="shared" si="43"/>
        <v>45833</v>
      </c>
      <c r="Q135" s="161">
        <f t="shared" si="44"/>
        <v>115</v>
      </c>
      <c r="R135" s="160">
        <v>45833</v>
      </c>
      <c r="S135" s="160">
        <f t="shared" si="45"/>
        <v>-140</v>
      </c>
      <c r="T135" s="160">
        <f t="shared" si="46"/>
        <v>-117</v>
      </c>
      <c r="U135" s="160">
        <f t="shared" si="47"/>
        <v>-27</v>
      </c>
      <c r="V135" s="171">
        <f t="shared" si="48"/>
        <v>-20</v>
      </c>
      <c r="W135" s="159"/>
      <c r="X135" s="159"/>
      <c r="Y135" s="177"/>
      <c r="Z135" s="166">
        <v>90</v>
      </c>
      <c r="AA135" s="167"/>
      <c r="AB135" s="168"/>
      <c r="AC135" s="158"/>
      <c r="AD135" s="158"/>
      <c r="AE135" s="158"/>
      <c r="AF135" s="158"/>
    </row>
    <row r="136" spans="1:32" x14ac:dyDescent="0.3">
      <c r="A136" s="157">
        <v>7.03</v>
      </c>
      <c r="B136" s="158" t="s">
        <v>912</v>
      </c>
      <c r="C136" s="159" t="s">
        <v>925</v>
      </c>
      <c r="D136" s="179">
        <f t="shared" si="37"/>
        <v>45718</v>
      </c>
      <c r="E136" s="180">
        <v>10</v>
      </c>
      <c r="F136" s="179">
        <f t="shared" si="38"/>
        <v>45728</v>
      </c>
      <c r="G136" s="180">
        <v>21</v>
      </c>
      <c r="H136" s="179">
        <f t="shared" si="39"/>
        <v>45749</v>
      </c>
      <c r="I136" s="180">
        <v>5</v>
      </c>
      <c r="J136" s="179">
        <f t="shared" si="40"/>
        <v>45754</v>
      </c>
      <c r="K136" s="180">
        <v>45</v>
      </c>
      <c r="L136" s="179">
        <f t="shared" si="41"/>
        <v>45799</v>
      </c>
      <c r="M136" s="180">
        <v>31</v>
      </c>
      <c r="N136" s="179">
        <f t="shared" si="42"/>
        <v>45830</v>
      </c>
      <c r="O136" s="180">
        <v>3</v>
      </c>
      <c r="P136" s="179">
        <f t="shared" si="43"/>
        <v>45833</v>
      </c>
      <c r="Q136" s="161">
        <f t="shared" si="44"/>
        <v>115</v>
      </c>
      <c r="R136" s="160">
        <v>45833</v>
      </c>
      <c r="S136" s="160">
        <f t="shared" si="45"/>
        <v>-140</v>
      </c>
      <c r="T136" s="160">
        <f t="shared" si="46"/>
        <v>-117</v>
      </c>
      <c r="U136" s="160">
        <f t="shared" si="47"/>
        <v>-27</v>
      </c>
      <c r="V136" s="171">
        <f t="shared" si="48"/>
        <v>-20</v>
      </c>
      <c r="W136" s="159"/>
      <c r="X136" s="159"/>
      <c r="Y136" s="177"/>
      <c r="Z136" s="166">
        <v>90</v>
      </c>
      <c r="AA136" s="167"/>
      <c r="AB136" s="168"/>
      <c r="AC136" s="158"/>
      <c r="AD136" s="158"/>
      <c r="AE136" s="158"/>
      <c r="AF136" s="158"/>
    </row>
    <row r="137" spans="1:32" x14ac:dyDescent="0.3">
      <c r="A137" s="157">
        <v>7.03</v>
      </c>
      <c r="B137" s="158" t="s">
        <v>912</v>
      </c>
      <c r="C137" s="159" t="s">
        <v>926</v>
      </c>
      <c r="D137" s="179">
        <f t="shared" si="37"/>
        <v>45718</v>
      </c>
      <c r="E137" s="180">
        <v>10</v>
      </c>
      <c r="F137" s="179">
        <f t="shared" si="38"/>
        <v>45728</v>
      </c>
      <c r="G137" s="180">
        <v>21</v>
      </c>
      <c r="H137" s="179">
        <f t="shared" si="39"/>
        <v>45749</v>
      </c>
      <c r="I137" s="180">
        <v>5</v>
      </c>
      <c r="J137" s="179">
        <f t="shared" si="40"/>
        <v>45754</v>
      </c>
      <c r="K137" s="180">
        <v>45</v>
      </c>
      <c r="L137" s="179">
        <f t="shared" si="41"/>
        <v>45799</v>
      </c>
      <c r="M137" s="180">
        <v>31</v>
      </c>
      <c r="N137" s="179">
        <f t="shared" si="42"/>
        <v>45830</v>
      </c>
      <c r="O137" s="180">
        <v>3</v>
      </c>
      <c r="P137" s="179">
        <f t="shared" si="43"/>
        <v>45833</v>
      </c>
      <c r="Q137" s="161">
        <f t="shared" si="44"/>
        <v>115</v>
      </c>
      <c r="R137" s="160">
        <v>45833</v>
      </c>
      <c r="S137" s="160">
        <f t="shared" si="45"/>
        <v>-160</v>
      </c>
      <c r="T137" s="160">
        <f t="shared" si="46"/>
        <v>-137</v>
      </c>
      <c r="U137" s="160">
        <f t="shared" si="47"/>
        <v>-27</v>
      </c>
      <c r="V137" s="171">
        <f t="shared" si="48"/>
        <v>-20</v>
      </c>
      <c r="W137" s="159"/>
      <c r="X137" s="159"/>
      <c r="Y137" s="177"/>
      <c r="Z137" s="166">
        <v>110</v>
      </c>
      <c r="AA137" s="167"/>
      <c r="AB137" s="168"/>
      <c r="AC137" s="158"/>
      <c r="AD137" s="158"/>
      <c r="AE137" s="158"/>
      <c r="AF137" s="158"/>
    </row>
    <row r="138" spans="1:32" x14ac:dyDescent="0.3">
      <c r="A138" s="157">
        <v>7.03</v>
      </c>
      <c r="B138" s="158" t="s">
        <v>912</v>
      </c>
      <c r="C138" s="159" t="s">
        <v>927</v>
      </c>
      <c r="D138" s="179">
        <f t="shared" si="37"/>
        <v>45718</v>
      </c>
      <c r="E138" s="180">
        <v>10</v>
      </c>
      <c r="F138" s="179">
        <f t="shared" si="38"/>
        <v>45728</v>
      </c>
      <c r="G138" s="180">
        <v>21</v>
      </c>
      <c r="H138" s="179">
        <f t="shared" si="39"/>
        <v>45749</v>
      </c>
      <c r="I138" s="180">
        <v>5</v>
      </c>
      <c r="J138" s="179">
        <f t="shared" si="40"/>
        <v>45754</v>
      </c>
      <c r="K138" s="180">
        <v>45</v>
      </c>
      <c r="L138" s="179">
        <f t="shared" si="41"/>
        <v>45799</v>
      </c>
      <c r="M138" s="180">
        <v>31</v>
      </c>
      <c r="N138" s="179">
        <f t="shared" si="42"/>
        <v>45830</v>
      </c>
      <c r="O138" s="180">
        <v>3</v>
      </c>
      <c r="P138" s="179">
        <f t="shared" si="43"/>
        <v>45833</v>
      </c>
      <c r="Q138" s="161">
        <f t="shared" si="44"/>
        <v>115</v>
      </c>
      <c r="R138" s="160">
        <v>45833</v>
      </c>
      <c r="S138" s="160">
        <f t="shared" si="45"/>
        <v>-160</v>
      </c>
      <c r="T138" s="160">
        <f t="shared" si="46"/>
        <v>-137</v>
      </c>
      <c r="U138" s="160">
        <f t="shared" si="47"/>
        <v>-27</v>
      </c>
      <c r="V138" s="171">
        <f t="shared" si="48"/>
        <v>-20</v>
      </c>
      <c r="W138" s="159"/>
      <c r="X138" s="159"/>
      <c r="Y138" s="177"/>
      <c r="Z138" s="166">
        <v>110</v>
      </c>
      <c r="AA138" s="167"/>
      <c r="AB138" s="168"/>
      <c r="AC138" s="158"/>
      <c r="AD138" s="158"/>
      <c r="AE138" s="158"/>
      <c r="AF138" s="158"/>
    </row>
    <row r="139" spans="1:32" x14ac:dyDescent="0.3">
      <c r="A139" s="157">
        <v>7.04</v>
      </c>
      <c r="B139" s="158" t="s">
        <v>928</v>
      </c>
      <c r="C139" s="159" t="s">
        <v>929</v>
      </c>
      <c r="D139" s="179">
        <f t="shared" si="37"/>
        <v>45718</v>
      </c>
      <c r="E139" s="180">
        <v>10</v>
      </c>
      <c r="F139" s="179">
        <f t="shared" si="38"/>
        <v>45728</v>
      </c>
      <c r="G139" s="180">
        <v>21</v>
      </c>
      <c r="H139" s="179">
        <f t="shared" si="39"/>
        <v>45749</v>
      </c>
      <c r="I139" s="180">
        <v>5</v>
      </c>
      <c r="J139" s="179">
        <f t="shared" si="40"/>
        <v>45754</v>
      </c>
      <c r="K139" s="180">
        <v>45</v>
      </c>
      <c r="L139" s="179">
        <f t="shared" si="41"/>
        <v>45799</v>
      </c>
      <c r="M139" s="180">
        <v>31</v>
      </c>
      <c r="N139" s="179">
        <f t="shared" si="42"/>
        <v>45830</v>
      </c>
      <c r="O139" s="180">
        <v>3</v>
      </c>
      <c r="P139" s="179">
        <f t="shared" si="43"/>
        <v>45833</v>
      </c>
      <c r="Q139" s="161">
        <f t="shared" si="44"/>
        <v>115</v>
      </c>
      <c r="R139" s="160">
        <v>45833</v>
      </c>
      <c r="S139" s="160">
        <f t="shared" si="45"/>
        <v>-160</v>
      </c>
      <c r="T139" s="160">
        <f t="shared" si="46"/>
        <v>-137</v>
      </c>
      <c r="U139" s="160">
        <f t="shared" si="47"/>
        <v>-27</v>
      </c>
      <c r="V139" s="171">
        <f t="shared" si="48"/>
        <v>-20</v>
      </c>
      <c r="W139" s="159"/>
      <c r="X139" s="159"/>
      <c r="Y139" s="177"/>
      <c r="Z139" s="166">
        <v>110</v>
      </c>
      <c r="AA139" s="167"/>
      <c r="AB139" s="168"/>
      <c r="AC139" s="158"/>
      <c r="AD139" s="158"/>
      <c r="AE139" s="158"/>
      <c r="AF139" s="158"/>
    </row>
    <row r="140" spans="1:32" x14ac:dyDescent="0.3">
      <c r="A140" s="157">
        <v>7.04</v>
      </c>
      <c r="B140" s="158" t="s">
        <v>928</v>
      </c>
      <c r="C140" s="159" t="s">
        <v>930</v>
      </c>
      <c r="D140" s="179">
        <f t="shared" ref="D140:D171" si="49">R140-(E140+G140+I140+K140+M140+O140)</f>
        <v>45718</v>
      </c>
      <c r="E140" s="180">
        <v>10</v>
      </c>
      <c r="F140" s="179">
        <f t="shared" ref="F140:F171" si="50">D140+E140</f>
        <v>45728</v>
      </c>
      <c r="G140" s="180">
        <v>21</v>
      </c>
      <c r="H140" s="179">
        <f t="shared" ref="H140:H171" si="51">F140+G140</f>
        <v>45749</v>
      </c>
      <c r="I140" s="180">
        <v>5</v>
      </c>
      <c r="J140" s="179">
        <f t="shared" ref="J140:J171" si="52">H140+I140</f>
        <v>45754</v>
      </c>
      <c r="K140" s="180">
        <v>45</v>
      </c>
      <c r="L140" s="179">
        <f t="shared" ref="L140:L171" si="53">J140+K140</f>
        <v>45799</v>
      </c>
      <c r="M140" s="180">
        <v>31</v>
      </c>
      <c r="N140" s="179">
        <f t="shared" ref="N140:N171" si="54">L140+M140</f>
        <v>45830</v>
      </c>
      <c r="O140" s="180">
        <v>3</v>
      </c>
      <c r="P140" s="179">
        <f t="shared" ref="P140:P171" si="55">N140+O140</f>
        <v>45833</v>
      </c>
      <c r="Q140" s="161">
        <f t="shared" ref="Q140:Q171" si="56">O140+M140+K140+I140+G140+E140</f>
        <v>115</v>
      </c>
      <c r="R140" s="160">
        <v>45833</v>
      </c>
      <c r="S140" s="160">
        <f t="shared" ref="S140:S171" si="57">+T140-23</f>
        <v>-160</v>
      </c>
      <c r="T140" s="160">
        <f t="shared" ref="T140:T171" si="58">+U140-Z140</f>
        <v>-137</v>
      </c>
      <c r="U140" s="160">
        <f t="shared" ref="U140:U171" si="59">+V140-7</f>
        <v>-27</v>
      </c>
      <c r="V140" s="171">
        <f t="shared" si="48"/>
        <v>-20</v>
      </c>
      <c r="W140" s="159"/>
      <c r="X140" s="159"/>
      <c r="Y140" s="177"/>
      <c r="Z140" s="166">
        <v>110</v>
      </c>
      <c r="AA140" s="167"/>
      <c r="AB140" s="168"/>
      <c r="AC140" s="158"/>
      <c r="AD140" s="158"/>
      <c r="AE140" s="158"/>
      <c r="AF140" s="158"/>
    </row>
    <row r="141" spans="1:32" x14ac:dyDescent="0.3">
      <c r="A141" s="157">
        <v>7.04</v>
      </c>
      <c r="B141" s="158" t="s">
        <v>928</v>
      </c>
      <c r="C141" s="159" t="s">
        <v>931</v>
      </c>
      <c r="D141" s="179">
        <f t="shared" si="49"/>
        <v>45718</v>
      </c>
      <c r="E141" s="180">
        <v>10</v>
      </c>
      <c r="F141" s="179">
        <f t="shared" si="50"/>
        <v>45728</v>
      </c>
      <c r="G141" s="180">
        <v>21</v>
      </c>
      <c r="H141" s="179">
        <f t="shared" si="51"/>
        <v>45749</v>
      </c>
      <c r="I141" s="180">
        <v>5</v>
      </c>
      <c r="J141" s="179">
        <f t="shared" si="52"/>
        <v>45754</v>
      </c>
      <c r="K141" s="180">
        <v>45</v>
      </c>
      <c r="L141" s="179">
        <f t="shared" si="53"/>
        <v>45799</v>
      </c>
      <c r="M141" s="180">
        <v>31</v>
      </c>
      <c r="N141" s="179">
        <f t="shared" si="54"/>
        <v>45830</v>
      </c>
      <c r="O141" s="180">
        <v>3</v>
      </c>
      <c r="P141" s="179">
        <f t="shared" si="55"/>
        <v>45833</v>
      </c>
      <c r="Q141" s="161">
        <f t="shared" si="56"/>
        <v>115</v>
      </c>
      <c r="R141" s="160">
        <v>45833</v>
      </c>
      <c r="S141" s="160">
        <f t="shared" si="57"/>
        <v>-160</v>
      </c>
      <c r="T141" s="160">
        <f t="shared" si="58"/>
        <v>-137</v>
      </c>
      <c r="U141" s="160">
        <f t="shared" si="59"/>
        <v>-27</v>
      </c>
      <c r="V141" s="171">
        <f t="shared" si="48"/>
        <v>-20</v>
      </c>
      <c r="W141" s="159"/>
      <c r="X141" s="159"/>
      <c r="Y141" s="177"/>
      <c r="Z141" s="166">
        <v>110</v>
      </c>
      <c r="AA141" s="167"/>
      <c r="AB141" s="168"/>
      <c r="AC141" s="158"/>
      <c r="AD141" s="158"/>
      <c r="AE141" s="158"/>
      <c r="AF141" s="158"/>
    </row>
    <row r="142" spans="1:32" x14ac:dyDescent="0.3">
      <c r="A142" s="157">
        <v>7.04</v>
      </c>
      <c r="B142" s="158" t="s">
        <v>928</v>
      </c>
      <c r="C142" s="159" t="s">
        <v>932</v>
      </c>
      <c r="D142" s="179">
        <f t="shared" si="49"/>
        <v>45718</v>
      </c>
      <c r="E142" s="180">
        <v>10</v>
      </c>
      <c r="F142" s="179">
        <f t="shared" si="50"/>
        <v>45728</v>
      </c>
      <c r="G142" s="180">
        <v>21</v>
      </c>
      <c r="H142" s="179">
        <f t="shared" si="51"/>
        <v>45749</v>
      </c>
      <c r="I142" s="180">
        <v>5</v>
      </c>
      <c r="J142" s="179">
        <f t="shared" si="52"/>
        <v>45754</v>
      </c>
      <c r="K142" s="180">
        <v>45</v>
      </c>
      <c r="L142" s="179">
        <f t="shared" si="53"/>
        <v>45799</v>
      </c>
      <c r="M142" s="180">
        <v>31</v>
      </c>
      <c r="N142" s="179">
        <f t="shared" si="54"/>
        <v>45830</v>
      </c>
      <c r="O142" s="180">
        <v>3</v>
      </c>
      <c r="P142" s="179">
        <f t="shared" si="55"/>
        <v>45833</v>
      </c>
      <c r="Q142" s="161">
        <f t="shared" si="56"/>
        <v>115</v>
      </c>
      <c r="R142" s="160">
        <v>45833</v>
      </c>
      <c r="S142" s="160">
        <f t="shared" si="57"/>
        <v>-160</v>
      </c>
      <c r="T142" s="160">
        <f t="shared" si="58"/>
        <v>-137</v>
      </c>
      <c r="U142" s="160">
        <f t="shared" si="59"/>
        <v>-27</v>
      </c>
      <c r="V142" s="171">
        <f t="shared" si="48"/>
        <v>-20</v>
      </c>
      <c r="W142" s="159"/>
      <c r="X142" s="159"/>
      <c r="Y142" s="177"/>
      <c r="Z142" s="166">
        <v>110</v>
      </c>
      <c r="AA142" s="167"/>
      <c r="AB142" s="168"/>
      <c r="AC142" s="158"/>
      <c r="AD142" s="158"/>
      <c r="AE142" s="158"/>
      <c r="AF142" s="158"/>
    </row>
    <row r="143" spans="1:32" x14ac:dyDescent="0.3">
      <c r="A143" s="157">
        <v>7.04</v>
      </c>
      <c r="B143" s="158" t="s">
        <v>928</v>
      </c>
      <c r="C143" s="159" t="s">
        <v>933</v>
      </c>
      <c r="D143" s="179">
        <f t="shared" si="49"/>
        <v>45718</v>
      </c>
      <c r="E143" s="180">
        <v>10</v>
      </c>
      <c r="F143" s="179">
        <f t="shared" si="50"/>
        <v>45728</v>
      </c>
      <c r="G143" s="180">
        <v>21</v>
      </c>
      <c r="H143" s="179">
        <f t="shared" si="51"/>
        <v>45749</v>
      </c>
      <c r="I143" s="180">
        <v>5</v>
      </c>
      <c r="J143" s="179">
        <f t="shared" si="52"/>
        <v>45754</v>
      </c>
      <c r="K143" s="180">
        <v>45</v>
      </c>
      <c r="L143" s="179">
        <f t="shared" si="53"/>
        <v>45799</v>
      </c>
      <c r="M143" s="180">
        <v>31</v>
      </c>
      <c r="N143" s="179">
        <f t="shared" si="54"/>
        <v>45830</v>
      </c>
      <c r="O143" s="180">
        <v>3</v>
      </c>
      <c r="P143" s="179">
        <f t="shared" si="55"/>
        <v>45833</v>
      </c>
      <c r="Q143" s="161">
        <f t="shared" si="56"/>
        <v>115</v>
      </c>
      <c r="R143" s="160">
        <v>45833</v>
      </c>
      <c r="S143" s="160">
        <f t="shared" si="57"/>
        <v>-160</v>
      </c>
      <c r="T143" s="160">
        <f t="shared" si="58"/>
        <v>-137</v>
      </c>
      <c r="U143" s="160">
        <f t="shared" si="59"/>
        <v>-27</v>
      </c>
      <c r="V143" s="171">
        <f t="shared" si="48"/>
        <v>-20</v>
      </c>
      <c r="W143" s="159"/>
      <c r="X143" s="159"/>
      <c r="Y143" s="177"/>
      <c r="Z143" s="166">
        <v>110</v>
      </c>
      <c r="AA143" s="167"/>
      <c r="AB143" s="168"/>
      <c r="AC143" s="158"/>
      <c r="AD143" s="158"/>
      <c r="AE143" s="158"/>
      <c r="AF143" s="158"/>
    </row>
    <row r="144" spans="1:32" x14ac:dyDescent="0.3">
      <c r="A144" s="157">
        <v>7.04</v>
      </c>
      <c r="B144" s="158" t="s">
        <v>928</v>
      </c>
      <c r="C144" s="159" t="s">
        <v>934</v>
      </c>
      <c r="D144" s="179">
        <f t="shared" si="49"/>
        <v>45718</v>
      </c>
      <c r="E144" s="180">
        <v>10</v>
      </c>
      <c r="F144" s="179">
        <f t="shared" si="50"/>
        <v>45728</v>
      </c>
      <c r="G144" s="180">
        <v>21</v>
      </c>
      <c r="H144" s="179">
        <f t="shared" si="51"/>
        <v>45749</v>
      </c>
      <c r="I144" s="180">
        <v>5</v>
      </c>
      <c r="J144" s="179">
        <f t="shared" si="52"/>
        <v>45754</v>
      </c>
      <c r="K144" s="180">
        <v>45</v>
      </c>
      <c r="L144" s="179">
        <f t="shared" si="53"/>
        <v>45799</v>
      </c>
      <c r="M144" s="180">
        <v>31</v>
      </c>
      <c r="N144" s="179">
        <f t="shared" si="54"/>
        <v>45830</v>
      </c>
      <c r="O144" s="180">
        <v>3</v>
      </c>
      <c r="P144" s="179">
        <f t="shared" si="55"/>
        <v>45833</v>
      </c>
      <c r="Q144" s="161">
        <f t="shared" si="56"/>
        <v>115</v>
      </c>
      <c r="R144" s="160">
        <v>45833</v>
      </c>
      <c r="S144" s="160">
        <f t="shared" si="57"/>
        <v>-160</v>
      </c>
      <c r="T144" s="160">
        <f t="shared" si="58"/>
        <v>-137</v>
      </c>
      <c r="U144" s="160">
        <f t="shared" si="59"/>
        <v>-27</v>
      </c>
      <c r="V144" s="171">
        <f t="shared" si="48"/>
        <v>-20</v>
      </c>
      <c r="W144" s="159"/>
      <c r="X144" s="159"/>
      <c r="Y144" s="177"/>
      <c r="Z144" s="166">
        <v>110</v>
      </c>
      <c r="AA144" s="167"/>
      <c r="AB144" s="168"/>
      <c r="AC144" s="158"/>
      <c r="AD144" s="158"/>
      <c r="AE144" s="158"/>
      <c r="AF144" s="158"/>
    </row>
    <row r="145" spans="1:32" x14ac:dyDescent="0.3">
      <c r="A145" s="157">
        <v>7.04</v>
      </c>
      <c r="B145" s="158" t="s">
        <v>928</v>
      </c>
      <c r="C145" s="159" t="s">
        <v>935</v>
      </c>
      <c r="D145" s="179">
        <f t="shared" si="49"/>
        <v>45718</v>
      </c>
      <c r="E145" s="180">
        <v>10</v>
      </c>
      <c r="F145" s="179">
        <f t="shared" si="50"/>
        <v>45728</v>
      </c>
      <c r="G145" s="180">
        <v>21</v>
      </c>
      <c r="H145" s="179">
        <f t="shared" si="51"/>
        <v>45749</v>
      </c>
      <c r="I145" s="180">
        <v>5</v>
      </c>
      <c r="J145" s="179">
        <f t="shared" si="52"/>
        <v>45754</v>
      </c>
      <c r="K145" s="180">
        <v>45</v>
      </c>
      <c r="L145" s="179">
        <f t="shared" si="53"/>
        <v>45799</v>
      </c>
      <c r="M145" s="180">
        <v>31</v>
      </c>
      <c r="N145" s="179">
        <f t="shared" si="54"/>
        <v>45830</v>
      </c>
      <c r="O145" s="180">
        <v>3</v>
      </c>
      <c r="P145" s="179">
        <f t="shared" si="55"/>
        <v>45833</v>
      </c>
      <c r="Q145" s="161">
        <f t="shared" si="56"/>
        <v>115</v>
      </c>
      <c r="R145" s="160">
        <v>45833</v>
      </c>
      <c r="S145" s="160">
        <f t="shared" si="57"/>
        <v>-160</v>
      </c>
      <c r="T145" s="160">
        <f t="shared" si="58"/>
        <v>-137</v>
      </c>
      <c r="U145" s="160">
        <f t="shared" si="59"/>
        <v>-27</v>
      </c>
      <c r="V145" s="171">
        <f t="shared" si="48"/>
        <v>-20</v>
      </c>
      <c r="W145" s="159"/>
      <c r="X145" s="159"/>
      <c r="Y145" s="177"/>
      <c r="Z145" s="166">
        <v>110</v>
      </c>
      <c r="AA145" s="167"/>
      <c r="AB145" s="168"/>
      <c r="AC145" s="158"/>
      <c r="AD145" s="158"/>
      <c r="AE145" s="158"/>
      <c r="AF145" s="158"/>
    </row>
    <row r="146" spans="1:32" x14ac:dyDescent="0.3">
      <c r="A146" s="157">
        <v>7.04</v>
      </c>
      <c r="B146" s="158" t="s">
        <v>928</v>
      </c>
      <c r="C146" s="159" t="s">
        <v>936</v>
      </c>
      <c r="D146" s="179">
        <f t="shared" si="49"/>
        <v>45718</v>
      </c>
      <c r="E146" s="180">
        <v>10</v>
      </c>
      <c r="F146" s="179">
        <f t="shared" si="50"/>
        <v>45728</v>
      </c>
      <c r="G146" s="180">
        <v>21</v>
      </c>
      <c r="H146" s="179">
        <f t="shared" si="51"/>
        <v>45749</v>
      </c>
      <c r="I146" s="180">
        <v>5</v>
      </c>
      <c r="J146" s="179">
        <f t="shared" si="52"/>
        <v>45754</v>
      </c>
      <c r="K146" s="180">
        <v>45</v>
      </c>
      <c r="L146" s="179">
        <f t="shared" si="53"/>
        <v>45799</v>
      </c>
      <c r="M146" s="180">
        <v>31</v>
      </c>
      <c r="N146" s="179">
        <f t="shared" si="54"/>
        <v>45830</v>
      </c>
      <c r="O146" s="180">
        <v>3</v>
      </c>
      <c r="P146" s="179">
        <f t="shared" si="55"/>
        <v>45833</v>
      </c>
      <c r="Q146" s="161">
        <f t="shared" si="56"/>
        <v>115</v>
      </c>
      <c r="R146" s="160">
        <v>45833</v>
      </c>
      <c r="S146" s="160">
        <f t="shared" si="57"/>
        <v>-160</v>
      </c>
      <c r="T146" s="160">
        <f t="shared" si="58"/>
        <v>-137</v>
      </c>
      <c r="U146" s="160">
        <f t="shared" si="59"/>
        <v>-27</v>
      </c>
      <c r="V146" s="171">
        <f t="shared" si="48"/>
        <v>-20</v>
      </c>
      <c r="W146" s="159"/>
      <c r="X146" s="159"/>
      <c r="Y146" s="177"/>
      <c r="Z146" s="166">
        <v>110</v>
      </c>
      <c r="AA146" s="167"/>
      <c r="AB146" s="168"/>
      <c r="AC146" s="158"/>
      <c r="AD146" s="158"/>
      <c r="AE146" s="158"/>
      <c r="AF146" s="158"/>
    </row>
    <row r="147" spans="1:32" x14ac:dyDescent="0.3">
      <c r="A147" s="157">
        <v>7.04</v>
      </c>
      <c r="B147" s="158" t="s">
        <v>928</v>
      </c>
      <c r="C147" s="159" t="s">
        <v>937</v>
      </c>
      <c r="D147" s="179">
        <f t="shared" si="49"/>
        <v>45718</v>
      </c>
      <c r="E147" s="180">
        <v>10</v>
      </c>
      <c r="F147" s="179">
        <f t="shared" si="50"/>
        <v>45728</v>
      </c>
      <c r="G147" s="180">
        <v>21</v>
      </c>
      <c r="H147" s="179">
        <f t="shared" si="51"/>
        <v>45749</v>
      </c>
      <c r="I147" s="180">
        <v>5</v>
      </c>
      <c r="J147" s="179">
        <f t="shared" si="52"/>
        <v>45754</v>
      </c>
      <c r="K147" s="180">
        <v>45</v>
      </c>
      <c r="L147" s="179">
        <f t="shared" si="53"/>
        <v>45799</v>
      </c>
      <c r="M147" s="180">
        <v>31</v>
      </c>
      <c r="N147" s="179">
        <f t="shared" si="54"/>
        <v>45830</v>
      </c>
      <c r="O147" s="180">
        <v>3</v>
      </c>
      <c r="P147" s="179">
        <f t="shared" si="55"/>
        <v>45833</v>
      </c>
      <c r="Q147" s="161">
        <f t="shared" si="56"/>
        <v>115</v>
      </c>
      <c r="R147" s="160">
        <v>45833</v>
      </c>
      <c r="S147" s="160">
        <f t="shared" si="57"/>
        <v>-110</v>
      </c>
      <c r="T147" s="160">
        <f t="shared" si="58"/>
        <v>-87</v>
      </c>
      <c r="U147" s="160">
        <f t="shared" si="59"/>
        <v>-27</v>
      </c>
      <c r="V147" s="171">
        <f t="shared" si="48"/>
        <v>-20</v>
      </c>
      <c r="W147" s="159"/>
      <c r="X147" s="159"/>
      <c r="Y147" s="177"/>
      <c r="Z147" s="166">
        <v>60</v>
      </c>
      <c r="AA147" s="167"/>
      <c r="AB147" s="168"/>
      <c r="AC147" s="158"/>
      <c r="AD147" s="158"/>
      <c r="AE147" s="158"/>
      <c r="AF147" s="158"/>
    </row>
    <row r="148" spans="1:32" x14ac:dyDescent="0.3">
      <c r="A148" s="157">
        <v>7.04</v>
      </c>
      <c r="B148" s="158" t="s">
        <v>928</v>
      </c>
      <c r="C148" s="159" t="s">
        <v>938</v>
      </c>
      <c r="D148" s="179">
        <f t="shared" si="49"/>
        <v>45718</v>
      </c>
      <c r="E148" s="180">
        <v>10</v>
      </c>
      <c r="F148" s="179">
        <f t="shared" si="50"/>
        <v>45728</v>
      </c>
      <c r="G148" s="180">
        <v>21</v>
      </c>
      <c r="H148" s="179">
        <f t="shared" si="51"/>
        <v>45749</v>
      </c>
      <c r="I148" s="180">
        <v>5</v>
      </c>
      <c r="J148" s="179">
        <f t="shared" si="52"/>
        <v>45754</v>
      </c>
      <c r="K148" s="180">
        <v>45</v>
      </c>
      <c r="L148" s="179">
        <f t="shared" si="53"/>
        <v>45799</v>
      </c>
      <c r="M148" s="180">
        <v>31</v>
      </c>
      <c r="N148" s="179">
        <f t="shared" si="54"/>
        <v>45830</v>
      </c>
      <c r="O148" s="180">
        <v>3</v>
      </c>
      <c r="P148" s="179">
        <f t="shared" si="55"/>
        <v>45833</v>
      </c>
      <c r="Q148" s="161">
        <f t="shared" si="56"/>
        <v>115</v>
      </c>
      <c r="R148" s="160">
        <v>45833</v>
      </c>
      <c r="S148" s="160">
        <f t="shared" si="57"/>
        <v>-110</v>
      </c>
      <c r="T148" s="160">
        <f t="shared" si="58"/>
        <v>-87</v>
      </c>
      <c r="U148" s="160">
        <f t="shared" si="59"/>
        <v>-27</v>
      </c>
      <c r="V148" s="171">
        <f t="shared" si="48"/>
        <v>-20</v>
      </c>
      <c r="W148" s="159"/>
      <c r="X148" s="159"/>
      <c r="Y148" s="177"/>
      <c r="Z148" s="166">
        <v>60</v>
      </c>
      <c r="AA148" s="167"/>
      <c r="AB148" s="168"/>
      <c r="AC148" s="158"/>
      <c r="AD148" s="158"/>
      <c r="AE148" s="158"/>
      <c r="AF148" s="158"/>
    </row>
    <row r="149" spans="1:32" x14ac:dyDescent="0.3">
      <c r="A149" s="157">
        <v>7.04</v>
      </c>
      <c r="B149" s="158" t="s">
        <v>928</v>
      </c>
      <c r="C149" s="159" t="s">
        <v>939</v>
      </c>
      <c r="D149" s="179">
        <f t="shared" si="49"/>
        <v>45718</v>
      </c>
      <c r="E149" s="180">
        <v>10</v>
      </c>
      <c r="F149" s="179">
        <f t="shared" si="50"/>
        <v>45728</v>
      </c>
      <c r="G149" s="180">
        <v>21</v>
      </c>
      <c r="H149" s="179">
        <f t="shared" si="51"/>
        <v>45749</v>
      </c>
      <c r="I149" s="180">
        <v>5</v>
      </c>
      <c r="J149" s="179">
        <f t="shared" si="52"/>
        <v>45754</v>
      </c>
      <c r="K149" s="180">
        <v>45</v>
      </c>
      <c r="L149" s="179">
        <f t="shared" si="53"/>
        <v>45799</v>
      </c>
      <c r="M149" s="180">
        <v>31</v>
      </c>
      <c r="N149" s="179">
        <f t="shared" si="54"/>
        <v>45830</v>
      </c>
      <c r="O149" s="180">
        <v>3</v>
      </c>
      <c r="P149" s="179">
        <f t="shared" si="55"/>
        <v>45833</v>
      </c>
      <c r="Q149" s="161">
        <f t="shared" si="56"/>
        <v>115</v>
      </c>
      <c r="R149" s="160">
        <v>45833</v>
      </c>
      <c r="S149" s="160">
        <f t="shared" si="57"/>
        <v>-140</v>
      </c>
      <c r="T149" s="160">
        <f t="shared" si="58"/>
        <v>-117</v>
      </c>
      <c r="U149" s="160">
        <f t="shared" si="59"/>
        <v>-27</v>
      </c>
      <c r="V149" s="171">
        <f t="shared" si="48"/>
        <v>-20</v>
      </c>
      <c r="W149" s="159"/>
      <c r="X149" s="159"/>
      <c r="Y149" s="177"/>
      <c r="Z149" s="166">
        <v>90</v>
      </c>
      <c r="AA149" s="167"/>
      <c r="AB149" s="168"/>
      <c r="AC149" s="158"/>
      <c r="AD149" s="158"/>
      <c r="AE149" s="158"/>
      <c r="AF149" s="158"/>
    </row>
    <row r="150" spans="1:32" x14ac:dyDescent="0.3">
      <c r="A150" s="157">
        <v>7.04</v>
      </c>
      <c r="B150" s="158" t="s">
        <v>928</v>
      </c>
      <c r="C150" s="159" t="s">
        <v>940</v>
      </c>
      <c r="D150" s="179">
        <f t="shared" si="49"/>
        <v>45718</v>
      </c>
      <c r="E150" s="180">
        <v>10</v>
      </c>
      <c r="F150" s="179">
        <f t="shared" si="50"/>
        <v>45728</v>
      </c>
      <c r="G150" s="180">
        <v>21</v>
      </c>
      <c r="H150" s="179">
        <f t="shared" si="51"/>
        <v>45749</v>
      </c>
      <c r="I150" s="180">
        <v>5</v>
      </c>
      <c r="J150" s="179">
        <f t="shared" si="52"/>
        <v>45754</v>
      </c>
      <c r="K150" s="180">
        <v>45</v>
      </c>
      <c r="L150" s="179">
        <f t="shared" si="53"/>
        <v>45799</v>
      </c>
      <c r="M150" s="180">
        <v>31</v>
      </c>
      <c r="N150" s="179">
        <f t="shared" si="54"/>
        <v>45830</v>
      </c>
      <c r="O150" s="180">
        <v>3</v>
      </c>
      <c r="P150" s="179">
        <f t="shared" si="55"/>
        <v>45833</v>
      </c>
      <c r="Q150" s="161">
        <f t="shared" si="56"/>
        <v>115</v>
      </c>
      <c r="R150" s="160">
        <v>45833</v>
      </c>
      <c r="S150" s="160">
        <f t="shared" si="57"/>
        <v>-160</v>
      </c>
      <c r="T150" s="160">
        <f t="shared" si="58"/>
        <v>-137</v>
      </c>
      <c r="U150" s="160">
        <f t="shared" si="59"/>
        <v>-27</v>
      </c>
      <c r="V150" s="171">
        <f t="shared" si="48"/>
        <v>-20</v>
      </c>
      <c r="W150" s="159"/>
      <c r="X150" s="159"/>
      <c r="Y150" s="177"/>
      <c r="Z150" s="166">
        <v>110</v>
      </c>
      <c r="AA150" s="167"/>
      <c r="AB150" s="168"/>
      <c r="AC150" s="158"/>
      <c r="AD150" s="158"/>
      <c r="AE150" s="158"/>
      <c r="AF150" s="158"/>
    </row>
    <row r="151" spans="1:32" x14ac:dyDescent="0.3">
      <c r="A151" s="157">
        <v>7.04</v>
      </c>
      <c r="B151" s="158" t="s">
        <v>928</v>
      </c>
      <c r="C151" s="159" t="s">
        <v>941</v>
      </c>
      <c r="D151" s="179">
        <f t="shared" si="49"/>
        <v>45718</v>
      </c>
      <c r="E151" s="180">
        <v>10</v>
      </c>
      <c r="F151" s="179">
        <f t="shared" si="50"/>
        <v>45728</v>
      </c>
      <c r="G151" s="180">
        <v>21</v>
      </c>
      <c r="H151" s="179">
        <f t="shared" si="51"/>
        <v>45749</v>
      </c>
      <c r="I151" s="180">
        <v>5</v>
      </c>
      <c r="J151" s="179">
        <f t="shared" si="52"/>
        <v>45754</v>
      </c>
      <c r="K151" s="180">
        <v>45</v>
      </c>
      <c r="L151" s="179">
        <f t="shared" si="53"/>
        <v>45799</v>
      </c>
      <c r="M151" s="180">
        <v>31</v>
      </c>
      <c r="N151" s="179">
        <f t="shared" si="54"/>
        <v>45830</v>
      </c>
      <c r="O151" s="180">
        <v>3</v>
      </c>
      <c r="P151" s="179">
        <f t="shared" si="55"/>
        <v>45833</v>
      </c>
      <c r="Q151" s="161">
        <f t="shared" si="56"/>
        <v>115</v>
      </c>
      <c r="R151" s="160">
        <v>45833</v>
      </c>
      <c r="S151" s="160">
        <f t="shared" si="57"/>
        <v>-132</v>
      </c>
      <c r="T151" s="160">
        <f t="shared" si="58"/>
        <v>-109</v>
      </c>
      <c r="U151" s="160">
        <f t="shared" si="59"/>
        <v>-37</v>
      </c>
      <c r="V151" s="171">
        <f>+$C$7-30</f>
        <v>-30</v>
      </c>
      <c r="W151" s="159"/>
      <c r="X151" s="159"/>
      <c r="Y151" s="177"/>
      <c r="Z151" s="166">
        <v>72</v>
      </c>
      <c r="AA151" s="167"/>
      <c r="AB151" s="168"/>
      <c r="AC151" s="158"/>
      <c r="AD151" s="158"/>
      <c r="AE151" s="158"/>
      <c r="AF151" s="158"/>
    </row>
    <row r="152" spans="1:32" x14ac:dyDescent="0.3">
      <c r="A152" s="157">
        <v>7.04</v>
      </c>
      <c r="B152" s="158" t="s">
        <v>928</v>
      </c>
      <c r="C152" s="159" t="s">
        <v>942</v>
      </c>
      <c r="D152" s="179">
        <f t="shared" si="49"/>
        <v>45718</v>
      </c>
      <c r="E152" s="180">
        <v>10</v>
      </c>
      <c r="F152" s="179">
        <f t="shared" si="50"/>
        <v>45728</v>
      </c>
      <c r="G152" s="180">
        <v>21</v>
      </c>
      <c r="H152" s="179">
        <f t="shared" si="51"/>
        <v>45749</v>
      </c>
      <c r="I152" s="180">
        <v>5</v>
      </c>
      <c r="J152" s="179">
        <f t="shared" si="52"/>
        <v>45754</v>
      </c>
      <c r="K152" s="180">
        <v>45</v>
      </c>
      <c r="L152" s="179">
        <f t="shared" si="53"/>
        <v>45799</v>
      </c>
      <c r="M152" s="180">
        <v>31</v>
      </c>
      <c r="N152" s="179">
        <f t="shared" si="54"/>
        <v>45830</v>
      </c>
      <c r="O152" s="180">
        <v>3</v>
      </c>
      <c r="P152" s="179">
        <f t="shared" si="55"/>
        <v>45833</v>
      </c>
      <c r="Q152" s="161">
        <f t="shared" si="56"/>
        <v>115</v>
      </c>
      <c r="R152" s="160">
        <v>45833</v>
      </c>
      <c r="S152" s="160">
        <f t="shared" si="57"/>
        <v>-132</v>
      </c>
      <c r="T152" s="160">
        <f t="shared" si="58"/>
        <v>-109</v>
      </c>
      <c r="U152" s="160">
        <f t="shared" si="59"/>
        <v>-37</v>
      </c>
      <c r="V152" s="171">
        <f>+$C$7-30</f>
        <v>-30</v>
      </c>
      <c r="W152" s="159"/>
      <c r="X152" s="159"/>
      <c r="Y152" s="177"/>
      <c r="Z152" s="166">
        <v>72</v>
      </c>
      <c r="AA152" s="167"/>
      <c r="AB152" s="168"/>
      <c r="AC152" s="158"/>
      <c r="AD152" s="158"/>
      <c r="AE152" s="158"/>
      <c r="AF152" s="158"/>
    </row>
    <row r="153" spans="1:32" x14ac:dyDescent="0.3">
      <c r="A153" s="157">
        <v>7.04</v>
      </c>
      <c r="B153" s="158" t="s">
        <v>928</v>
      </c>
      <c r="C153" s="159" t="s">
        <v>943</v>
      </c>
      <c r="D153" s="179">
        <f t="shared" si="49"/>
        <v>45718</v>
      </c>
      <c r="E153" s="180">
        <v>10</v>
      </c>
      <c r="F153" s="179">
        <f t="shared" si="50"/>
        <v>45728</v>
      </c>
      <c r="G153" s="180">
        <v>21</v>
      </c>
      <c r="H153" s="179">
        <f t="shared" si="51"/>
        <v>45749</v>
      </c>
      <c r="I153" s="180">
        <v>5</v>
      </c>
      <c r="J153" s="179">
        <f t="shared" si="52"/>
        <v>45754</v>
      </c>
      <c r="K153" s="180">
        <v>45</v>
      </c>
      <c r="L153" s="179">
        <f t="shared" si="53"/>
        <v>45799</v>
      </c>
      <c r="M153" s="180">
        <v>31</v>
      </c>
      <c r="N153" s="179">
        <f t="shared" si="54"/>
        <v>45830</v>
      </c>
      <c r="O153" s="180">
        <v>3</v>
      </c>
      <c r="P153" s="179">
        <f t="shared" si="55"/>
        <v>45833</v>
      </c>
      <c r="Q153" s="161">
        <f t="shared" si="56"/>
        <v>115</v>
      </c>
      <c r="R153" s="160">
        <v>45833</v>
      </c>
      <c r="S153" s="160">
        <f t="shared" si="57"/>
        <v>-132</v>
      </c>
      <c r="T153" s="160">
        <f t="shared" si="58"/>
        <v>-109</v>
      </c>
      <c r="U153" s="160">
        <f t="shared" si="59"/>
        <v>-37</v>
      </c>
      <c r="V153" s="171">
        <f>+$C$7-30</f>
        <v>-30</v>
      </c>
      <c r="W153" s="159"/>
      <c r="X153" s="159"/>
      <c r="Y153" s="177"/>
      <c r="Z153" s="166">
        <v>72</v>
      </c>
      <c r="AA153" s="167"/>
      <c r="AB153" s="168"/>
      <c r="AC153" s="158"/>
      <c r="AD153" s="158"/>
      <c r="AE153" s="158"/>
      <c r="AF153" s="158"/>
    </row>
    <row r="154" spans="1:32" x14ac:dyDescent="0.3">
      <c r="A154" s="157">
        <v>7.04</v>
      </c>
      <c r="B154" s="158" t="s">
        <v>928</v>
      </c>
      <c r="C154" s="159" t="s">
        <v>944</v>
      </c>
      <c r="D154" s="179">
        <f t="shared" si="49"/>
        <v>45718</v>
      </c>
      <c r="E154" s="180">
        <v>10</v>
      </c>
      <c r="F154" s="179">
        <f t="shared" si="50"/>
        <v>45728</v>
      </c>
      <c r="G154" s="180">
        <v>21</v>
      </c>
      <c r="H154" s="179">
        <f t="shared" si="51"/>
        <v>45749</v>
      </c>
      <c r="I154" s="180">
        <v>5</v>
      </c>
      <c r="J154" s="179">
        <f t="shared" si="52"/>
        <v>45754</v>
      </c>
      <c r="K154" s="180">
        <v>45</v>
      </c>
      <c r="L154" s="179">
        <f t="shared" si="53"/>
        <v>45799</v>
      </c>
      <c r="M154" s="180">
        <v>31</v>
      </c>
      <c r="N154" s="179">
        <f t="shared" si="54"/>
        <v>45830</v>
      </c>
      <c r="O154" s="180">
        <v>3</v>
      </c>
      <c r="P154" s="179">
        <f t="shared" si="55"/>
        <v>45833</v>
      </c>
      <c r="Q154" s="161">
        <f t="shared" si="56"/>
        <v>115</v>
      </c>
      <c r="R154" s="160">
        <v>45833</v>
      </c>
      <c r="S154" s="160">
        <f t="shared" si="57"/>
        <v>-100</v>
      </c>
      <c r="T154" s="160">
        <f t="shared" si="58"/>
        <v>-77</v>
      </c>
      <c r="U154" s="160">
        <f t="shared" si="59"/>
        <v>-17</v>
      </c>
      <c r="V154" s="171">
        <f t="shared" ref="V154:V181" si="60">+$C$7-10</f>
        <v>-10</v>
      </c>
      <c r="W154" s="159"/>
      <c r="X154" s="159"/>
      <c r="Y154" s="177"/>
      <c r="Z154" s="166">
        <v>60</v>
      </c>
      <c r="AA154" s="167"/>
      <c r="AB154" s="168"/>
      <c r="AC154" s="158"/>
      <c r="AD154" s="158"/>
      <c r="AE154" s="158"/>
      <c r="AF154" s="158"/>
    </row>
    <row r="155" spans="1:32" x14ac:dyDescent="0.3">
      <c r="A155" s="157">
        <v>7.04</v>
      </c>
      <c r="B155" s="158" t="s">
        <v>928</v>
      </c>
      <c r="C155" s="159" t="s">
        <v>945</v>
      </c>
      <c r="D155" s="179">
        <f t="shared" si="49"/>
        <v>45718</v>
      </c>
      <c r="E155" s="180">
        <v>10</v>
      </c>
      <c r="F155" s="179">
        <f t="shared" si="50"/>
        <v>45728</v>
      </c>
      <c r="G155" s="180">
        <v>21</v>
      </c>
      <c r="H155" s="179">
        <f t="shared" si="51"/>
        <v>45749</v>
      </c>
      <c r="I155" s="180">
        <v>5</v>
      </c>
      <c r="J155" s="179">
        <f t="shared" si="52"/>
        <v>45754</v>
      </c>
      <c r="K155" s="180">
        <v>45</v>
      </c>
      <c r="L155" s="179">
        <f t="shared" si="53"/>
        <v>45799</v>
      </c>
      <c r="M155" s="180">
        <v>31</v>
      </c>
      <c r="N155" s="179">
        <f t="shared" si="54"/>
        <v>45830</v>
      </c>
      <c r="O155" s="180">
        <v>3</v>
      </c>
      <c r="P155" s="179">
        <f t="shared" si="55"/>
        <v>45833</v>
      </c>
      <c r="Q155" s="161">
        <f t="shared" si="56"/>
        <v>115</v>
      </c>
      <c r="R155" s="160">
        <v>45833</v>
      </c>
      <c r="S155" s="160">
        <f t="shared" si="57"/>
        <v>-100</v>
      </c>
      <c r="T155" s="160">
        <f t="shared" si="58"/>
        <v>-77</v>
      </c>
      <c r="U155" s="160">
        <f t="shared" si="59"/>
        <v>-17</v>
      </c>
      <c r="V155" s="171">
        <f t="shared" si="60"/>
        <v>-10</v>
      </c>
      <c r="W155" s="159"/>
      <c r="X155" s="159"/>
      <c r="Y155" s="177"/>
      <c r="Z155" s="166">
        <v>60</v>
      </c>
      <c r="AA155" s="167"/>
      <c r="AB155" s="168"/>
      <c r="AC155" s="158"/>
      <c r="AD155" s="158"/>
      <c r="AE155" s="158"/>
      <c r="AF155" s="158"/>
    </row>
    <row r="156" spans="1:32" x14ac:dyDescent="0.3">
      <c r="A156" s="157">
        <v>7.04</v>
      </c>
      <c r="B156" s="158" t="s">
        <v>928</v>
      </c>
      <c r="C156" s="159" t="s">
        <v>946</v>
      </c>
      <c r="D156" s="179">
        <f t="shared" si="49"/>
        <v>45718</v>
      </c>
      <c r="E156" s="180">
        <v>10</v>
      </c>
      <c r="F156" s="179">
        <f t="shared" si="50"/>
        <v>45728</v>
      </c>
      <c r="G156" s="180">
        <v>21</v>
      </c>
      <c r="H156" s="179">
        <f t="shared" si="51"/>
        <v>45749</v>
      </c>
      <c r="I156" s="180">
        <v>5</v>
      </c>
      <c r="J156" s="179">
        <f t="shared" si="52"/>
        <v>45754</v>
      </c>
      <c r="K156" s="180">
        <v>45</v>
      </c>
      <c r="L156" s="179">
        <f t="shared" si="53"/>
        <v>45799</v>
      </c>
      <c r="M156" s="180">
        <v>31</v>
      </c>
      <c r="N156" s="179">
        <f t="shared" si="54"/>
        <v>45830</v>
      </c>
      <c r="O156" s="180">
        <v>3</v>
      </c>
      <c r="P156" s="179">
        <f t="shared" si="55"/>
        <v>45833</v>
      </c>
      <c r="Q156" s="161">
        <f t="shared" si="56"/>
        <v>115</v>
      </c>
      <c r="R156" s="160">
        <v>45833</v>
      </c>
      <c r="S156" s="160">
        <f t="shared" si="57"/>
        <v>-70</v>
      </c>
      <c r="T156" s="160">
        <f t="shared" si="58"/>
        <v>-47</v>
      </c>
      <c r="U156" s="160">
        <f t="shared" si="59"/>
        <v>-17</v>
      </c>
      <c r="V156" s="171">
        <f t="shared" si="60"/>
        <v>-10</v>
      </c>
      <c r="W156" s="159"/>
      <c r="X156" s="159"/>
      <c r="Y156" s="177"/>
      <c r="Z156" s="166">
        <v>30</v>
      </c>
      <c r="AA156" s="167"/>
      <c r="AB156" s="168"/>
      <c r="AC156" s="158"/>
      <c r="AD156" s="158"/>
      <c r="AE156" s="158"/>
      <c r="AF156" s="158"/>
    </row>
    <row r="157" spans="1:32" x14ac:dyDescent="0.3">
      <c r="A157" s="157">
        <v>7.04</v>
      </c>
      <c r="B157" s="158" t="s">
        <v>928</v>
      </c>
      <c r="C157" s="159" t="s">
        <v>947</v>
      </c>
      <c r="D157" s="179">
        <f t="shared" si="49"/>
        <v>45718</v>
      </c>
      <c r="E157" s="180">
        <v>10</v>
      </c>
      <c r="F157" s="179">
        <f t="shared" si="50"/>
        <v>45728</v>
      </c>
      <c r="G157" s="180">
        <v>21</v>
      </c>
      <c r="H157" s="179">
        <f t="shared" si="51"/>
        <v>45749</v>
      </c>
      <c r="I157" s="180">
        <v>5</v>
      </c>
      <c r="J157" s="179">
        <f t="shared" si="52"/>
        <v>45754</v>
      </c>
      <c r="K157" s="180">
        <v>45</v>
      </c>
      <c r="L157" s="179">
        <f t="shared" si="53"/>
        <v>45799</v>
      </c>
      <c r="M157" s="180">
        <v>31</v>
      </c>
      <c r="N157" s="179">
        <f t="shared" si="54"/>
        <v>45830</v>
      </c>
      <c r="O157" s="180">
        <v>3</v>
      </c>
      <c r="P157" s="179">
        <f t="shared" si="55"/>
        <v>45833</v>
      </c>
      <c r="Q157" s="161">
        <f t="shared" si="56"/>
        <v>115</v>
      </c>
      <c r="R157" s="160">
        <v>45833</v>
      </c>
      <c r="S157" s="160">
        <f t="shared" si="57"/>
        <v>-40</v>
      </c>
      <c r="T157" s="160">
        <f t="shared" si="58"/>
        <v>-17</v>
      </c>
      <c r="U157" s="160">
        <f t="shared" si="59"/>
        <v>-17</v>
      </c>
      <c r="V157" s="171">
        <f t="shared" si="60"/>
        <v>-10</v>
      </c>
      <c r="W157" s="159"/>
      <c r="X157" s="159"/>
      <c r="Y157" s="177"/>
      <c r="Z157" s="166"/>
      <c r="AA157" s="167"/>
      <c r="AB157" s="168"/>
      <c r="AC157" s="158"/>
      <c r="AD157" s="158"/>
      <c r="AE157" s="158"/>
      <c r="AF157" s="158"/>
    </row>
    <row r="158" spans="1:32" x14ac:dyDescent="0.3">
      <c r="A158" s="157">
        <v>7.04</v>
      </c>
      <c r="B158" s="158" t="s">
        <v>928</v>
      </c>
      <c r="C158" s="159" t="s">
        <v>948</v>
      </c>
      <c r="D158" s="179">
        <f t="shared" si="49"/>
        <v>45718</v>
      </c>
      <c r="E158" s="180">
        <v>10</v>
      </c>
      <c r="F158" s="179">
        <f t="shared" si="50"/>
        <v>45728</v>
      </c>
      <c r="G158" s="180">
        <v>21</v>
      </c>
      <c r="H158" s="179">
        <f t="shared" si="51"/>
        <v>45749</v>
      </c>
      <c r="I158" s="180">
        <v>5</v>
      </c>
      <c r="J158" s="179">
        <f t="shared" si="52"/>
        <v>45754</v>
      </c>
      <c r="K158" s="180">
        <v>45</v>
      </c>
      <c r="L158" s="179">
        <f t="shared" si="53"/>
        <v>45799</v>
      </c>
      <c r="M158" s="180">
        <v>31</v>
      </c>
      <c r="N158" s="179">
        <f t="shared" si="54"/>
        <v>45830</v>
      </c>
      <c r="O158" s="180">
        <v>3</v>
      </c>
      <c r="P158" s="179">
        <f t="shared" si="55"/>
        <v>45833</v>
      </c>
      <c r="Q158" s="161">
        <f t="shared" si="56"/>
        <v>115</v>
      </c>
      <c r="R158" s="160">
        <v>45833</v>
      </c>
      <c r="S158" s="160">
        <f t="shared" si="57"/>
        <v>-40</v>
      </c>
      <c r="T158" s="160">
        <f t="shared" si="58"/>
        <v>-17</v>
      </c>
      <c r="U158" s="160">
        <f t="shared" si="59"/>
        <v>-17</v>
      </c>
      <c r="V158" s="171">
        <f t="shared" si="60"/>
        <v>-10</v>
      </c>
      <c r="W158" s="159"/>
      <c r="X158" s="159"/>
      <c r="Y158" s="177"/>
      <c r="Z158" s="166"/>
      <c r="AA158" s="167"/>
      <c r="AB158" s="168"/>
      <c r="AC158" s="158"/>
      <c r="AD158" s="158"/>
      <c r="AE158" s="158"/>
      <c r="AF158" s="158"/>
    </row>
    <row r="159" spans="1:32" x14ac:dyDescent="0.3">
      <c r="A159" s="157">
        <v>7.04</v>
      </c>
      <c r="B159" s="158" t="s">
        <v>928</v>
      </c>
      <c r="C159" s="159" t="s">
        <v>919</v>
      </c>
      <c r="D159" s="179">
        <f t="shared" si="49"/>
        <v>45718</v>
      </c>
      <c r="E159" s="180">
        <v>10</v>
      </c>
      <c r="F159" s="179">
        <f t="shared" si="50"/>
        <v>45728</v>
      </c>
      <c r="G159" s="180">
        <v>21</v>
      </c>
      <c r="H159" s="179">
        <f t="shared" si="51"/>
        <v>45749</v>
      </c>
      <c r="I159" s="180">
        <v>5</v>
      </c>
      <c r="J159" s="179">
        <f t="shared" si="52"/>
        <v>45754</v>
      </c>
      <c r="K159" s="180">
        <v>45</v>
      </c>
      <c r="L159" s="179">
        <f t="shared" si="53"/>
        <v>45799</v>
      </c>
      <c r="M159" s="180">
        <v>31</v>
      </c>
      <c r="N159" s="179">
        <f t="shared" si="54"/>
        <v>45830</v>
      </c>
      <c r="O159" s="180">
        <v>3</v>
      </c>
      <c r="P159" s="179">
        <f t="shared" si="55"/>
        <v>45833</v>
      </c>
      <c r="Q159" s="161">
        <f t="shared" si="56"/>
        <v>115</v>
      </c>
      <c r="R159" s="160">
        <v>45833</v>
      </c>
      <c r="S159" s="160">
        <f t="shared" si="57"/>
        <v>-150</v>
      </c>
      <c r="T159" s="160">
        <f t="shared" si="58"/>
        <v>-127</v>
      </c>
      <c r="U159" s="160">
        <f t="shared" si="59"/>
        <v>-17</v>
      </c>
      <c r="V159" s="171">
        <f t="shared" si="60"/>
        <v>-10</v>
      </c>
      <c r="W159" s="159"/>
      <c r="X159" s="159"/>
      <c r="Y159" s="177"/>
      <c r="Z159" s="166">
        <v>110</v>
      </c>
      <c r="AA159" s="167"/>
      <c r="AB159" s="168"/>
      <c r="AC159" s="158"/>
      <c r="AD159" s="158"/>
      <c r="AE159" s="158"/>
      <c r="AF159" s="158"/>
    </row>
    <row r="160" spans="1:32" x14ac:dyDescent="0.3">
      <c r="A160" s="157">
        <v>7.05</v>
      </c>
      <c r="B160" s="158" t="s">
        <v>113</v>
      </c>
      <c r="C160" s="159" t="s">
        <v>949</v>
      </c>
      <c r="D160" s="179">
        <f t="shared" si="49"/>
        <v>45718</v>
      </c>
      <c r="E160" s="180">
        <v>10</v>
      </c>
      <c r="F160" s="179">
        <f t="shared" si="50"/>
        <v>45728</v>
      </c>
      <c r="G160" s="180">
        <v>21</v>
      </c>
      <c r="H160" s="179">
        <f t="shared" si="51"/>
        <v>45749</v>
      </c>
      <c r="I160" s="180">
        <v>5</v>
      </c>
      <c r="J160" s="179">
        <f t="shared" si="52"/>
        <v>45754</v>
      </c>
      <c r="K160" s="180">
        <v>45</v>
      </c>
      <c r="L160" s="179">
        <f t="shared" si="53"/>
        <v>45799</v>
      </c>
      <c r="M160" s="180">
        <v>31</v>
      </c>
      <c r="N160" s="179">
        <f t="shared" si="54"/>
        <v>45830</v>
      </c>
      <c r="O160" s="180">
        <v>3</v>
      </c>
      <c r="P160" s="179">
        <f t="shared" si="55"/>
        <v>45833</v>
      </c>
      <c r="Q160" s="161">
        <f t="shared" si="56"/>
        <v>115</v>
      </c>
      <c r="R160" s="160">
        <v>45833</v>
      </c>
      <c r="S160" s="160">
        <f t="shared" si="57"/>
        <v>-150</v>
      </c>
      <c r="T160" s="160">
        <f t="shared" si="58"/>
        <v>-127</v>
      </c>
      <c r="U160" s="160">
        <f t="shared" si="59"/>
        <v>-17</v>
      </c>
      <c r="V160" s="171">
        <f t="shared" si="60"/>
        <v>-10</v>
      </c>
      <c r="W160" s="159"/>
      <c r="X160" s="159"/>
      <c r="Y160" s="177"/>
      <c r="Z160" s="166">
        <v>110</v>
      </c>
      <c r="AA160" s="167"/>
      <c r="AB160" s="168"/>
      <c r="AC160" s="158"/>
      <c r="AD160" s="158"/>
      <c r="AE160" s="158"/>
      <c r="AF160" s="158"/>
    </row>
    <row r="161" spans="1:32" x14ac:dyDescent="0.3">
      <c r="A161" s="157">
        <v>7.05</v>
      </c>
      <c r="B161" s="158" t="s">
        <v>113</v>
      </c>
      <c r="C161" s="159" t="s">
        <v>950</v>
      </c>
      <c r="D161" s="179">
        <f t="shared" si="49"/>
        <v>45718</v>
      </c>
      <c r="E161" s="180">
        <v>10</v>
      </c>
      <c r="F161" s="179">
        <f t="shared" si="50"/>
        <v>45728</v>
      </c>
      <c r="G161" s="180">
        <v>21</v>
      </c>
      <c r="H161" s="179">
        <f t="shared" si="51"/>
        <v>45749</v>
      </c>
      <c r="I161" s="180">
        <v>5</v>
      </c>
      <c r="J161" s="179">
        <f t="shared" si="52"/>
        <v>45754</v>
      </c>
      <c r="K161" s="180">
        <v>45</v>
      </c>
      <c r="L161" s="179">
        <f t="shared" si="53"/>
        <v>45799</v>
      </c>
      <c r="M161" s="180">
        <v>31</v>
      </c>
      <c r="N161" s="179">
        <f t="shared" si="54"/>
        <v>45830</v>
      </c>
      <c r="O161" s="180">
        <v>3</v>
      </c>
      <c r="P161" s="179">
        <f t="shared" si="55"/>
        <v>45833</v>
      </c>
      <c r="Q161" s="161">
        <f t="shared" si="56"/>
        <v>115</v>
      </c>
      <c r="R161" s="160">
        <v>45833</v>
      </c>
      <c r="S161" s="160">
        <f t="shared" si="57"/>
        <v>-150</v>
      </c>
      <c r="T161" s="160">
        <f t="shared" si="58"/>
        <v>-127</v>
      </c>
      <c r="U161" s="160">
        <f t="shared" si="59"/>
        <v>-17</v>
      </c>
      <c r="V161" s="171">
        <f t="shared" si="60"/>
        <v>-10</v>
      </c>
      <c r="W161" s="159"/>
      <c r="X161" s="159"/>
      <c r="Y161" s="177"/>
      <c r="Z161" s="166">
        <v>110</v>
      </c>
      <c r="AA161" s="167"/>
      <c r="AB161" s="168"/>
      <c r="AC161" s="158"/>
      <c r="AD161" s="158"/>
      <c r="AE161" s="158"/>
      <c r="AF161" s="158"/>
    </row>
    <row r="162" spans="1:32" x14ac:dyDescent="0.3">
      <c r="A162" s="157">
        <v>7.05</v>
      </c>
      <c r="B162" s="158" t="s">
        <v>113</v>
      </c>
      <c r="C162" s="159" t="s">
        <v>951</v>
      </c>
      <c r="D162" s="179">
        <f t="shared" si="49"/>
        <v>45718</v>
      </c>
      <c r="E162" s="180">
        <v>10</v>
      </c>
      <c r="F162" s="179">
        <f t="shared" si="50"/>
        <v>45728</v>
      </c>
      <c r="G162" s="180">
        <v>21</v>
      </c>
      <c r="H162" s="179">
        <f t="shared" si="51"/>
        <v>45749</v>
      </c>
      <c r="I162" s="180">
        <v>5</v>
      </c>
      <c r="J162" s="179">
        <f t="shared" si="52"/>
        <v>45754</v>
      </c>
      <c r="K162" s="180">
        <v>45</v>
      </c>
      <c r="L162" s="179">
        <f t="shared" si="53"/>
        <v>45799</v>
      </c>
      <c r="M162" s="180">
        <v>31</v>
      </c>
      <c r="N162" s="179">
        <f t="shared" si="54"/>
        <v>45830</v>
      </c>
      <c r="O162" s="180">
        <v>3</v>
      </c>
      <c r="P162" s="179">
        <f t="shared" si="55"/>
        <v>45833</v>
      </c>
      <c r="Q162" s="161">
        <f t="shared" si="56"/>
        <v>115</v>
      </c>
      <c r="R162" s="160">
        <v>45833</v>
      </c>
      <c r="S162" s="160">
        <f t="shared" si="57"/>
        <v>-150</v>
      </c>
      <c r="T162" s="160">
        <f t="shared" si="58"/>
        <v>-127</v>
      </c>
      <c r="U162" s="160">
        <f t="shared" si="59"/>
        <v>-17</v>
      </c>
      <c r="V162" s="171">
        <f t="shared" si="60"/>
        <v>-10</v>
      </c>
      <c r="W162" s="159"/>
      <c r="X162" s="159"/>
      <c r="Y162" s="177"/>
      <c r="Z162" s="166">
        <v>110</v>
      </c>
      <c r="AA162" s="167"/>
      <c r="AB162" s="168"/>
      <c r="AC162" s="158"/>
      <c r="AD162" s="158"/>
      <c r="AE162" s="158"/>
      <c r="AF162" s="158"/>
    </row>
    <row r="163" spans="1:32" x14ac:dyDescent="0.3">
      <c r="A163" s="157">
        <v>7.05</v>
      </c>
      <c r="B163" s="158" t="s">
        <v>113</v>
      </c>
      <c r="C163" s="159" t="s">
        <v>952</v>
      </c>
      <c r="D163" s="179">
        <f t="shared" si="49"/>
        <v>45718</v>
      </c>
      <c r="E163" s="180">
        <v>10</v>
      </c>
      <c r="F163" s="179">
        <f t="shared" si="50"/>
        <v>45728</v>
      </c>
      <c r="G163" s="180">
        <v>21</v>
      </c>
      <c r="H163" s="179">
        <f t="shared" si="51"/>
        <v>45749</v>
      </c>
      <c r="I163" s="180">
        <v>5</v>
      </c>
      <c r="J163" s="179">
        <f t="shared" si="52"/>
        <v>45754</v>
      </c>
      <c r="K163" s="180">
        <v>45</v>
      </c>
      <c r="L163" s="179">
        <f t="shared" si="53"/>
        <v>45799</v>
      </c>
      <c r="M163" s="180">
        <v>31</v>
      </c>
      <c r="N163" s="179">
        <f t="shared" si="54"/>
        <v>45830</v>
      </c>
      <c r="O163" s="180">
        <v>3</v>
      </c>
      <c r="P163" s="179">
        <f t="shared" si="55"/>
        <v>45833</v>
      </c>
      <c r="Q163" s="161">
        <f t="shared" si="56"/>
        <v>115</v>
      </c>
      <c r="R163" s="160">
        <v>45833</v>
      </c>
      <c r="S163" s="160">
        <f t="shared" si="57"/>
        <v>-150</v>
      </c>
      <c r="T163" s="160">
        <f t="shared" si="58"/>
        <v>-127</v>
      </c>
      <c r="U163" s="160">
        <f t="shared" si="59"/>
        <v>-17</v>
      </c>
      <c r="V163" s="171">
        <f t="shared" si="60"/>
        <v>-10</v>
      </c>
      <c r="W163" s="159"/>
      <c r="X163" s="159"/>
      <c r="Y163" s="177"/>
      <c r="Z163" s="166">
        <v>110</v>
      </c>
      <c r="AA163" s="167"/>
      <c r="AB163" s="168"/>
      <c r="AC163" s="158"/>
      <c r="AD163" s="158"/>
      <c r="AE163" s="158"/>
      <c r="AF163" s="158"/>
    </row>
    <row r="164" spans="1:32" x14ac:dyDescent="0.3">
      <c r="A164" s="157">
        <v>7.05</v>
      </c>
      <c r="B164" s="158" t="s">
        <v>113</v>
      </c>
      <c r="C164" s="159" t="s">
        <v>919</v>
      </c>
      <c r="D164" s="179">
        <f t="shared" si="49"/>
        <v>45718</v>
      </c>
      <c r="E164" s="180">
        <v>10</v>
      </c>
      <c r="F164" s="179">
        <f t="shared" si="50"/>
        <v>45728</v>
      </c>
      <c r="G164" s="180">
        <v>21</v>
      </c>
      <c r="H164" s="179">
        <f t="shared" si="51"/>
        <v>45749</v>
      </c>
      <c r="I164" s="180">
        <v>5</v>
      </c>
      <c r="J164" s="179">
        <f t="shared" si="52"/>
        <v>45754</v>
      </c>
      <c r="K164" s="180">
        <v>45</v>
      </c>
      <c r="L164" s="179">
        <f t="shared" si="53"/>
        <v>45799</v>
      </c>
      <c r="M164" s="180">
        <v>31</v>
      </c>
      <c r="N164" s="179">
        <f t="shared" si="54"/>
        <v>45830</v>
      </c>
      <c r="O164" s="180">
        <v>3</v>
      </c>
      <c r="P164" s="179">
        <f t="shared" si="55"/>
        <v>45833</v>
      </c>
      <c r="Q164" s="161">
        <f t="shared" si="56"/>
        <v>115</v>
      </c>
      <c r="R164" s="160">
        <v>45833</v>
      </c>
      <c r="S164" s="160">
        <f t="shared" si="57"/>
        <v>-150</v>
      </c>
      <c r="T164" s="160">
        <f t="shared" si="58"/>
        <v>-127</v>
      </c>
      <c r="U164" s="160">
        <f t="shared" si="59"/>
        <v>-17</v>
      </c>
      <c r="V164" s="171">
        <f t="shared" si="60"/>
        <v>-10</v>
      </c>
      <c r="W164" s="159"/>
      <c r="X164" s="159"/>
      <c r="Y164" s="177"/>
      <c r="Z164" s="166">
        <v>110</v>
      </c>
      <c r="AA164" s="167"/>
      <c r="AB164" s="168"/>
      <c r="AC164" s="158"/>
      <c r="AD164" s="158"/>
      <c r="AE164" s="158"/>
      <c r="AF164" s="158"/>
    </row>
    <row r="165" spans="1:32" x14ac:dyDescent="0.3">
      <c r="A165" s="157">
        <v>7.05</v>
      </c>
      <c r="B165" s="158" t="s">
        <v>113</v>
      </c>
      <c r="C165" s="159" t="s">
        <v>953</v>
      </c>
      <c r="D165" s="179">
        <f t="shared" si="49"/>
        <v>45718</v>
      </c>
      <c r="E165" s="180">
        <v>10</v>
      </c>
      <c r="F165" s="179">
        <f t="shared" si="50"/>
        <v>45728</v>
      </c>
      <c r="G165" s="180">
        <v>21</v>
      </c>
      <c r="H165" s="179">
        <f t="shared" si="51"/>
        <v>45749</v>
      </c>
      <c r="I165" s="180">
        <v>5</v>
      </c>
      <c r="J165" s="179">
        <f t="shared" si="52"/>
        <v>45754</v>
      </c>
      <c r="K165" s="180">
        <v>45</v>
      </c>
      <c r="L165" s="179">
        <f t="shared" si="53"/>
        <v>45799</v>
      </c>
      <c r="M165" s="180">
        <v>31</v>
      </c>
      <c r="N165" s="179">
        <f t="shared" si="54"/>
        <v>45830</v>
      </c>
      <c r="O165" s="180">
        <v>3</v>
      </c>
      <c r="P165" s="179">
        <f t="shared" si="55"/>
        <v>45833</v>
      </c>
      <c r="Q165" s="161">
        <f t="shared" si="56"/>
        <v>115</v>
      </c>
      <c r="R165" s="160">
        <v>45833</v>
      </c>
      <c r="S165" s="160">
        <f t="shared" si="57"/>
        <v>-100</v>
      </c>
      <c r="T165" s="160">
        <f t="shared" si="58"/>
        <v>-77</v>
      </c>
      <c r="U165" s="160">
        <f t="shared" si="59"/>
        <v>-17</v>
      </c>
      <c r="V165" s="171">
        <f t="shared" si="60"/>
        <v>-10</v>
      </c>
      <c r="W165" s="159"/>
      <c r="X165" s="159"/>
      <c r="Y165" s="177"/>
      <c r="Z165" s="166">
        <v>60</v>
      </c>
      <c r="AA165" s="167"/>
      <c r="AB165" s="168"/>
      <c r="AC165" s="158"/>
      <c r="AD165" s="158"/>
      <c r="AE165" s="158"/>
      <c r="AF165" s="158"/>
    </row>
    <row r="166" spans="1:32" x14ac:dyDescent="0.3">
      <c r="A166" s="157">
        <v>7.05</v>
      </c>
      <c r="B166" s="158" t="s">
        <v>113</v>
      </c>
      <c r="C166" s="159" t="s">
        <v>954</v>
      </c>
      <c r="D166" s="179">
        <f t="shared" si="49"/>
        <v>45718</v>
      </c>
      <c r="E166" s="180">
        <v>10</v>
      </c>
      <c r="F166" s="179">
        <f t="shared" si="50"/>
        <v>45728</v>
      </c>
      <c r="G166" s="180">
        <v>21</v>
      </c>
      <c r="H166" s="179">
        <f t="shared" si="51"/>
        <v>45749</v>
      </c>
      <c r="I166" s="180">
        <v>5</v>
      </c>
      <c r="J166" s="179">
        <f t="shared" si="52"/>
        <v>45754</v>
      </c>
      <c r="K166" s="180">
        <v>45</v>
      </c>
      <c r="L166" s="179">
        <f t="shared" si="53"/>
        <v>45799</v>
      </c>
      <c r="M166" s="180">
        <v>31</v>
      </c>
      <c r="N166" s="179">
        <f t="shared" si="54"/>
        <v>45830</v>
      </c>
      <c r="O166" s="180">
        <v>3</v>
      </c>
      <c r="P166" s="179">
        <f t="shared" si="55"/>
        <v>45833</v>
      </c>
      <c r="Q166" s="161">
        <f t="shared" si="56"/>
        <v>115</v>
      </c>
      <c r="R166" s="160">
        <v>45833</v>
      </c>
      <c r="S166" s="160">
        <f t="shared" si="57"/>
        <v>-100</v>
      </c>
      <c r="T166" s="160">
        <f t="shared" si="58"/>
        <v>-77</v>
      </c>
      <c r="U166" s="160">
        <f t="shared" si="59"/>
        <v>-17</v>
      </c>
      <c r="V166" s="171">
        <f t="shared" si="60"/>
        <v>-10</v>
      </c>
      <c r="W166" s="159"/>
      <c r="X166" s="159"/>
      <c r="Y166" s="177"/>
      <c r="Z166" s="166">
        <v>60</v>
      </c>
      <c r="AA166" s="167"/>
      <c r="AB166" s="168"/>
      <c r="AC166" s="158"/>
      <c r="AD166" s="158"/>
      <c r="AE166" s="158"/>
      <c r="AF166" s="158"/>
    </row>
    <row r="167" spans="1:32" x14ac:dyDescent="0.3">
      <c r="A167" s="157">
        <v>7.05</v>
      </c>
      <c r="B167" s="158" t="s">
        <v>113</v>
      </c>
      <c r="C167" s="159" t="s">
        <v>955</v>
      </c>
      <c r="D167" s="179">
        <f t="shared" si="49"/>
        <v>45718</v>
      </c>
      <c r="E167" s="180">
        <v>10</v>
      </c>
      <c r="F167" s="179">
        <f t="shared" si="50"/>
        <v>45728</v>
      </c>
      <c r="G167" s="180">
        <v>21</v>
      </c>
      <c r="H167" s="179">
        <f t="shared" si="51"/>
        <v>45749</v>
      </c>
      <c r="I167" s="180">
        <v>5</v>
      </c>
      <c r="J167" s="179">
        <f t="shared" si="52"/>
        <v>45754</v>
      </c>
      <c r="K167" s="180">
        <v>45</v>
      </c>
      <c r="L167" s="179">
        <f t="shared" si="53"/>
        <v>45799</v>
      </c>
      <c r="M167" s="180">
        <v>31</v>
      </c>
      <c r="N167" s="179">
        <f t="shared" si="54"/>
        <v>45830</v>
      </c>
      <c r="O167" s="180">
        <v>3</v>
      </c>
      <c r="P167" s="179">
        <f t="shared" si="55"/>
        <v>45833</v>
      </c>
      <c r="Q167" s="161">
        <f t="shared" si="56"/>
        <v>115</v>
      </c>
      <c r="R167" s="160">
        <v>45833</v>
      </c>
      <c r="S167" s="160">
        <f t="shared" si="57"/>
        <v>-100</v>
      </c>
      <c r="T167" s="160">
        <f t="shared" si="58"/>
        <v>-77</v>
      </c>
      <c r="U167" s="160">
        <f t="shared" si="59"/>
        <v>-17</v>
      </c>
      <c r="V167" s="171">
        <f t="shared" si="60"/>
        <v>-10</v>
      </c>
      <c r="W167" s="159"/>
      <c r="X167" s="159"/>
      <c r="Y167" s="177"/>
      <c r="Z167" s="166">
        <v>60</v>
      </c>
      <c r="AA167" s="167"/>
      <c r="AB167" s="168"/>
      <c r="AC167" s="158"/>
      <c r="AD167" s="158"/>
      <c r="AE167" s="158"/>
      <c r="AF167" s="158"/>
    </row>
    <row r="168" spans="1:32" x14ac:dyDescent="0.3">
      <c r="A168" s="157">
        <v>7.05</v>
      </c>
      <c r="B168" s="158" t="s">
        <v>113</v>
      </c>
      <c r="C168" s="159" t="s">
        <v>956</v>
      </c>
      <c r="D168" s="179">
        <f t="shared" si="49"/>
        <v>45718</v>
      </c>
      <c r="E168" s="180">
        <v>10</v>
      </c>
      <c r="F168" s="179">
        <f t="shared" si="50"/>
        <v>45728</v>
      </c>
      <c r="G168" s="180">
        <v>21</v>
      </c>
      <c r="H168" s="179">
        <f t="shared" si="51"/>
        <v>45749</v>
      </c>
      <c r="I168" s="180">
        <v>5</v>
      </c>
      <c r="J168" s="179">
        <f t="shared" si="52"/>
        <v>45754</v>
      </c>
      <c r="K168" s="180">
        <v>45</v>
      </c>
      <c r="L168" s="179">
        <f t="shared" si="53"/>
        <v>45799</v>
      </c>
      <c r="M168" s="180">
        <v>31</v>
      </c>
      <c r="N168" s="179">
        <f t="shared" si="54"/>
        <v>45830</v>
      </c>
      <c r="O168" s="180">
        <v>3</v>
      </c>
      <c r="P168" s="179">
        <f t="shared" si="55"/>
        <v>45833</v>
      </c>
      <c r="Q168" s="161">
        <f t="shared" si="56"/>
        <v>115</v>
      </c>
      <c r="R168" s="160">
        <v>45833</v>
      </c>
      <c r="S168" s="160">
        <f t="shared" si="57"/>
        <v>-150</v>
      </c>
      <c r="T168" s="160">
        <f t="shared" si="58"/>
        <v>-127</v>
      </c>
      <c r="U168" s="160">
        <f t="shared" si="59"/>
        <v>-17</v>
      </c>
      <c r="V168" s="171">
        <f t="shared" si="60"/>
        <v>-10</v>
      </c>
      <c r="W168" s="159"/>
      <c r="X168" s="159"/>
      <c r="Y168" s="177"/>
      <c r="Z168" s="166">
        <v>110</v>
      </c>
      <c r="AA168" s="167"/>
      <c r="AB168" s="168"/>
      <c r="AC168" s="158"/>
      <c r="AD168" s="158"/>
      <c r="AE168" s="158"/>
      <c r="AF168" s="158"/>
    </row>
    <row r="169" spans="1:32" x14ac:dyDescent="0.3">
      <c r="A169" s="157">
        <v>7.05</v>
      </c>
      <c r="B169" s="158" t="s">
        <v>113</v>
      </c>
      <c r="C169" s="159" t="s">
        <v>957</v>
      </c>
      <c r="D169" s="179">
        <f t="shared" si="49"/>
        <v>45718</v>
      </c>
      <c r="E169" s="180">
        <v>10</v>
      </c>
      <c r="F169" s="179">
        <f t="shared" si="50"/>
        <v>45728</v>
      </c>
      <c r="G169" s="180">
        <v>21</v>
      </c>
      <c r="H169" s="179">
        <f t="shared" si="51"/>
        <v>45749</v>
      </c>
      <c r="I169" s="180">
        <v>5</v>
      </c>
      <c r="J169" s="179">
        <f t="shared" si="52"/>
        <v>45754</v>
      </c>
      <c r="K169" s="180">
        <v>45</v>
      </c>
      <c r="L169" s="179">
        <f t="shared" si="53"/>
        <v>45799</v>
      </c>
      <c r="M169" s="180">
        <v>31</v>
      </c>
      <c r="N169" s="179">
        <f t="shared" si="54"/>
        <v>45830</v>
      </c>
      <c r="O169" s="180">
        <v>3</v>
      </c>
      <c r="P169" s="179">
        <f t="shared" si="55"/>
        <v>45833</v>
      </c>
      <c r="Q169" s="161">
        <f t="shared" si="56"/>
        <v>115</v>
      </c>
      <c r="R169" s="160">
        <v>45833</v>
      </c>
      <c r="S169" s="160">
        <f t="shared" si="57"/>
        <v>-100</v>
      </c>
      <c r="T169" s="160">
        <f t="shared" si="58"/>
        <v>-77</v>
      </c>
      <c r="U169" s="160">
        <f t="shared" si="59"/>
        <v>-17</v>
      </c>
      <c r="V169" s="171">
        <f t="shared" si="60"/>
        <v>-10</v>
      </c>
      <c r="W169" s="159"/>
      <c r="X169" s="159"/>
      <c r="Y169" s="177"/>
      <c r="Z169" s="166">
        <v>60</v>
      </c>
      <c r="AA169" s="167"/>
      <c r="AB169" s="168"/>
      <c r="AC169" s="158"/>
      <c r="AD169" s="158"/>
      <c r="AE169" s="158"/>
      <c r="AF169" s="158"/>
    </row>
    <row r="170" spans="1:32" x14ac:dyDescent="0.3">
      <c r="A170" s="157">
        <v>7.06</v>
      </c>
      <c r="B170" s="158" t="s">
        <v>114</v>
      </c>
      <c r="C170" s="159" t="s">
        <v>958</v>
      </c>
      <c r="D170" s="179">
        <f t="shared" si="49"/>
        <v>45718</v>
      </c>
      <c r="E170" s="180">
        <v>10</v>
      </c>
      <c r="F170" s="179">
        <f t="shared" si="50"/>
        <v>45728</v>
      </c>
      <c r="G170" s="180">
        <v>21</v>
      </c>
      <c r="H170" s="179">
        <f t="shared" si="51"/>
        <v>45749</v>
      </c>
      <c r="I170" s="180">
        <v>5</v>
      </c>
      <c r="J170" s="179">
        <f t="shared" si="52"/>
        <v>45754</v>
      </c>
      <c r="K170" s="180">
        <v>45</v>
      </c>
      <c r="L170" s="179">
        <f t="shared" si="53"/>
        <v>45799</v>
      </c>
      <c r="M170" s="180">
        <v>31</v>
      </c>
      <c r="N170" s="179">
        <f t="shared" si="54"/>
        <v>45830</v>
      </c>
      <c r="O170" s="180">
        <v>3</v>
      </c>
      <c r="P170" s="179">
        <f t="shared" si="55"/>
        <v>45833</v>
      </c>
      <c r="Q170" s="161">
        <f t="shared" si="56"/>
        <v>115</v>
      </c>
      <c r="R170" s="160">
        <v>45833</v>
      </c>
      <c r="S170" s="160">
        <f t="shared" si="57"/>
        <v>-40</v>
      </c>
      <c r="T170" s="160">
        <f t="shared" si="58"/>
        <v>-17</v>
      </c>
      <c r="U170" s="160">
        <f t="shared" si="59"/>
        <v>-17</v>
      </c>
      <c r="V170" s="171">
        <f t="shared" si="60"/>
        <v>-10</v>
      </c>
      <c r="W170" s="159"/>
      <c r="X170" s="159"/>
      <c r="Y170" s="177"/>
      <c r="Z170" s="166"/>
      <c r="AA170" s="167"/>
      <c r="AB170" s="168"/>
      <c r="AC170" s="158"/>
      <c r="AD170" s="158"/>
      <c r="AE170" s="158"/>
      <c r="AF170" s="158"/>
    </row>
    <row r="171" spans="1:32" x14ac:dyDescent="0.3">
      <c r="A171" s="157">
        <v>7.06</v>
      </c>
      <c r="B171" s="158" t="s">
        <v>114</v>
      </c>
      <c r="C171" s="159" t="s">
        <v>959</v>
      </c>
      <c r="D171" s="179">
        <f t="shared" si="49"/>
        <v>45718</v>
      </c>
      <c r="E171" s="180">
        <v>10</v>
      </c>
      <c r="F171" s="179">
        <f t="shared" si="50"/>
        <v>45728</v>
      </c>
      <c r="G171" s="180">
        <v>21</v>
      </c>
      <c r="H171" s="179">
        <f t="shared" si="51"/>
        <v>45749</v>
      </c>
      <c r="I171" s="180">
        <v>5</v>
      </c>
      <c r="J171" s="179">
        <f t="shared" si="52"/>
        <v>45754</v>
      </c>
      <c r="K171" s="180">
        <v>45</v>
      </c>
      <c r="L171" s="179">
        <f t="shared" si="53"/>
        <v>45799</v>
      </c>
      <c r="M171" s="180">
        <v>31</v>
      </c>
      <c r="N171" s="179">
        <f t="shared" si="54"/>
        <v>45830</v>
      </c>
      <c r="O171" s="180">
        <v>3</v>
      </c>
      <c r="P171" s="179">
        <f t="shared" si="55"/>
        <v>45833</v>
      </c>
      <c r="Q171" s="161">
        <f t="shared" si="56"/>
        <v>115</v>
      </c>
      <c r="R171" s="160">
        <v>45833</v>
      </c>
      <c r="S171" s="160">
        <f t="shared" si="57"/>
        <v>-100</v>
      </c>
      <c r="T171" s="160">
        <f t="shared" si="58"/>
        <v>-77</v>
      </c>
      <c r="U171" s="160">
        <f t="shared" si="59"/>
        <v>-17</v>
      </c>
      <c r="V171" s="171">
        <f t="shared" si="60"/>
        <v>-10</v>
      </c>
      <c r="W171" s="159"/>
      <c r="X171" s="159"/>
      <c r="Y171" s="177"/>
      <c r="Z171" s="166">
        <v>60</v>
      </c>
      <c r="AA171" s="167"/>
      <c r="AB171" s="168"/>
      <c r="AC171" s="158"/>
      <c r="AD171" s="158"/>
      <c r="AE171" s="158"/>
      <c r="AF171" s="158"/>
    </row>
    <row r="172" spans="1:32" x14ac:dyDescent="0.3">
      <c r="A172" s="157">
        <v>7.06</v>
      </c>
      <c r="B172" s="158" t="s">
        <v>114</v>
      </c>
      <c r="C172" s="159" t="s">
        <v>960</v>
      </c>
      <c r="D172" s="179">
        <f t="shared" ref="D172:D181" si="61">R172-(E172+G172+I172+K172+M172+O172)</f>
        <v>45718</v>
      </c>
      <c r="E172" s="180">
        <v>10</v>
      </c>
      <c r="F172" s="179">
        <f t="shared" ref="F172:F181" si="62">D172+E172</f>
        <v>45728</v>
      </c>
      <c r="G172" s="180">
        <v>21</v>
      </c>
      <c r="H172" s="179">
        <f t="shared" ref="H172:H181" si="63">F172+G172</f>
        <v>45749</v>
      </c>
      <c r="I172" s="180">
        <v>5</v>
      </c>
      <c r="J172" s="179">
        <f t="shared" ref="J172:J181" si="64">H172+I172</f>
        <v>45754</v>
      </c>
      <c r="K172" s="180">
        <v>45</v>
      </c>
      <c r="L172" s="179">
        <f t="shared" ref="L172:L181" si="65">J172+K172</f>
        <v>45799</v>
      </c>
      <c r="M172" s="180">
        <v>31</v>
      </c>
      <c r="N172" s="179">
        <f t="shared" ref="N172:N181" si="66">L172+M172</f>
        <v>45830</v>
      </c>
      <c r="O172" s="180">
        <v>3</v>
      </c>
      <c r="P172" s="179">
        <f t="shared" ref="P172:P181" si="67">N172+O172</f>
        <v>45833</v>
      </c>
      <c r="Q172" s="161">
        <f t="shared" ref="Q172:Q181" si="68">O172+M172+K172+I172+G172+E172</f>
        <v>115</v>
      </c>
      <c r="R172" s="160">
        <v>45833</v>
      </c>
      <c r="S172" s="160">
        <f t="shared" ref="S172:S181" si="69">+T172-23</f>
        <v>-40</v>
      </c>
      <c r="T172" s="160">
        <f t="shared" ref="T172:T181" si="70">+U172-Z172</f>
        <v>-17</v>
      </c>
      <c r="U172" s="160">
        <f t="shared" ref="U172:U181" si="71">+V172-7</f>
        <v>-17</v>
      </c>
      <c r="V172" s="171">
        <f t="shared" si="60"/>
        <v>-10</v>
      </c>
      <c r="W172" s="159"/>
      <c r="X172" s="159"/>
      <c r="Y172" s="177"/>
      <c r="Z172" s="166"/>
      <c r="AA172" s="167"/>
      <c r="AB172" s="168"/>
      <c r="AC172" s="158"/>
      <c r="AD172" s="158"/>
      <c r="AE172" s="158"/>
      <c r="AF172" s="158"/>
    </row>
    <row r="173" spans="1:32" x14ac:dyDescent="0.3">
      <c r="A173" s="157">
        <v>7.06</v>
      </c>
      <c r="B173" s="158" t="s">
        <v>114</v>
      </c>
      <c r="C173" s="159" t="s">
        <v>961</v>
      </c>
      <c r="D173" s="179">
        <f t="shared" si="61"/>
        <v>45718</v>
      </c>
      <c r="E173" s="180">
        <v>10</v>
      </c>
      <c r="F173" s="179">
        <f t="shared" si="62"/>
        <v>45728</v>
      </c>
      <c r="G173" s="180">
        <v>21</v>
      </c>
      <c r="H173" s="179">
        <f t="shared" si="63"/>
        <v>45749</v>
      </c>
      <c r="I173" s="180">
        <v>5</v>
      </c>
      <c r="J173" s="179">
        <f t="shared" si="64"/>
        <v>45754</v>
      </c>
      <c r="K173" s="180">
        <v>45</v>
      </c>
      <c r="L173" s="179">
        <f t="shared" si="65"/>
        <v>45799</v>
      </c>
      <c r="M173" s="180">
        <v>31</v>
      </c>
      <c r="N173" s="179">
        <f t="shared" si="66"/>
        <v>45830</v>
      </c>
      <c r="O173" s="180">
        <v>3</v>
      </c>
      <c r="P173" s="179">
        <f t="shared" si="67"/>
        <v>45833</v>
      </c>
      <c r="Q173" s="161">
        <f t="shared" si="68"/>
        <v>115</v>
      </c>
      <c r="R173" s="160">
        <v>45833</v>
      </c>
      <c r="S173" s="160">
        <f t="shared" si="69"/>
        <v>-40</v>
      </c>
      <c r="T173" s="160">
        <f t="shared" si="70"/>
        <v>-17</v>
      </c>
      <c r="U173" s="160">
        <f t="shared" si="71"/>
        <v>-17</v>
      </c>
      <c r="V173" s="171">
        <f t="shared" si="60"/>
        <v>-10</v>
      </c>
      <c r="W173" s="159"/>
      <c r="X173" s="159"/>
      <c r="Y173" s="177"/>
      <c r="Z173" s="166"/>
      <c r="AA173" s="167"/>
      <c r="AB173" s="168"/>
      <c r="AC173" s="158"/>
      <c r="AD173" s="158"/>
      <c r="AE173" s="158"/>
      <c r="AF173" s="158"/>
    </row>
    <row r="174" spans="1:32" x14ac:dyDescent="0.3">
      <c r="A174" s="157">
        <v>7.06</v>
      </c>
      <c r="B174" s="158" t="s">
        <v>114</v>
      </c>
      <c r="C174" s="159" t="s">
        <v>962</v>
      </c>
      <c r="D174" s="179">
        <f t="shared" si="61"/>
        <v>45718</v>
      </c>
      <c r="E174" s="180">
        <v>10</v>
      </c>
      <c r="F174" s="179">
        <f t="shared" si="62"/>
        <v>45728</v>
      </c>
      <c r="G174" s="180">
        <v>21</v>
      </c>
      <c r="H174" s="179">
        <f t="shared" si="63"/>
        <v>45749</v>
      </c>
      <c r="I174" s="180">
        <v>5</v>
      </c>
      <c r="J174" s="179">
        <f t="shared" si="64"/>
        <v>45754</v>
      </c>
      <c r="K174" s="180">
        <v>45</v>
      </c>
      <c r="L174" s="179">
        <f t="shared" si="65"/>
        <v>45799</v>
      </c>
      <c r="M174" s="180">
        <v>31</v>
      </c>
      <c r="N174" s="179">
        <f t="shared" si="66"/>
        <v>45830</v>
      </c>
      <c r="O174" s="180">
        <v>3</v>
      </c>
      <c r="P174" s="179">
        <f t="shared" si="67"/>
        <v>45833</v>
      </c>
      <c r="Q174" s="161">
        <f t="shared" si="68"/>
        <v>115</v>
      </c>
      <c r="R174" s="160">
        <v>45833</v>
      </c>
      <c r="S174" s="160">
        <f t="shared" si="69"/>
        <v>-40</v>
      </c>
      <c r="T174" s="160">
        <f t="shared" si="70"/>
        <v>-17</v>
      </c>
      <c r="U174" s="160">
        <f t="shared" si="71"/>
        <v>-17</v>
      </c>
      <c r="V174" s="171">
        <f t="shared" si="60"/>
        <v>-10</v>
      </c>
      <c r="W174" s="159"/>
      <c r="X174" s="159"/>
      <c r="Y174" s="177"/>
      <c r="Z174" s="166"/>
      <c r="AA174" s="167"/>
      <c r="AB174" s="168"/>
      <c r="AC174" s="158"/>
      <c r="AD174" s="158"/>
      <c r="AE174" s="158"/>
      <c r="AF174" s="158"/>
    </row>
    <row r="175" spans="1:32" x14ac:dyDescent="0.3">
      <c r="A175" s="157">
        <v>7.06</v>
      </c>
      <c r="B175" s="158" t="s">
        <v>114</v>
      </c>
      <c r="C175" s="159" t="s">
        <v>963</v>
      </c>
      <c r="D175" s="179">
        <f t="shared" si="61"/>
        <v>45718</v>
      </c>
      <c r="E175" s="180">
        <v>10</v>
      </c>
      <c r="F175" s="179">
        <f t="shared" si="62"/>
        <v>45728</v>
      </c>
      <c r="G175" s="180">
        <v>21</v>
      </c>
      <c r="H175" s="179">
        <f t="shared" si="63"/>
        <v>45749</v>
      </c>
      <c r="I175" s="180">
        <v>5</v>
      </c>
      <c r="J175" s="179">
        <f t="shared" si="64"/>
        <v>45754</v>
      </c>
      <c r="K175" s="180">
        <v>45</v>
      </c>
      <c r="L175" s="179">
        <f t="shared" si="65"/>
        <v>45799</v>
      </c>
      <c r="M175" s="180">
        <v>31</v>
      </c>
      <c r="N175" s="179">
        <f t="shared" si="66"/>
        <v>45830</v>
      </c>
      <c r="O175" s="180">
        <v>3</v>
      </c>
      <c r="P175" s="179">
        <f t="shared" si="67"/>
        <v>45833</v>
      </c>
      <c r="Q175" s="161">
        <f t="shared" si="68"/>
        <v>115</v>
      </c>
      <c r="R175" s="160">
        <v>45833</v>
      </c>
      <c r="S175" s="160">
        <f t="shared" si="69"/>
        <v>-40</v>
      </c>
      <c r="T175" s="160">
        <f t="shared" si="70"/>
        <v>-17</v>
      </c>
      <c r="U175" s="160">
        <f t="shared" si="71"/>
        <v>-17</v>
      </c>
      <c r="V175" s="171">
        <f t="shared" si="60"/>
        <v>-10</v>
      </c>
      <c r="W175" s="159"/>
      <c r="X175" s="159"/>
      <c r="Y175" s="177"/>
      <c r="Z175" s="166"/>
      <c r="AA175" s="167"/>
      <c r="AB175" s="168"/>
      <c r="AC175" s="158"/>
      <c r="AD175" s="158"/>
      <c r="AE175" s="158"/>
      <c r="AF175" s="158"/>
    </row>
    <row r="176" spans="1:32" x14ac:dyDescent="0.3">
      <c r="A176" s="157">
        <v>7.07</v>
      </c>
      <c r="B176" s="158" t="s">
        <v>115</v>
      </c>
      <c r="C176" s="159" t="s">
        <v>964</v>
      </c>
      <c r="D176" s="179">
        <f t="shared" si="61"/>
        <v>45718</v>
      </c>
      <c r="E176" s="180">
        <v>10</v>
      </c>
      <c r="F176" s="179">
        <f t="shared" si="62"/>
        <v>45728</v>
      </c>
      <c r="G176" s="180">
        <v>21</v>
      </c>
      <c r="H176" s="179">
        <f t="shared" si="63"/>
        <v>45749</v>
      </c>
      <c r="I176" s="180">
        <v>5</v>
      </c>
      <c r="J176" s="179">
        <f t="shared" si="64"/>
        <v>45754</v>
      </c>
      <c r="K176" s="180">
        <v>45</v>
      </c>
      <c r="L176" s="179">
        <f t="shared" si="65"/>
        <v>45799</v>
      </c>
      <c r="M176" s="180">
        <v>31</v>
      </c>
      <c r="N176" s="179">
        <f t="shared" si="66"/>
        <v>45830</v>
      </c>
      <c r="O176" s="180">
        <v>3</v>
      </c>
      <c r="P176" s="179">
        <f t="shared" si="67"/>
        <v>45833</v>
      </c>
      <c r="Q176" s="161">
        <f t="shared" si="68"/>
        <v>115</v>
      </c>
      <c r="R176" s="160">
        <v>45833</v>
      </c>
      <c r="S176" s="160">
        <f t="shared" si="69"/>
        <v>-100</v>
      </c>
      <c r="T176" s="160">
        <f t="shared" si="70"/>
        <v>-77</v>
      </c>
      <c r="U176" s="160">
        <f t="shared" si="71"/>
        <v>-17</v>
      </c>
      <c r="V176" s="171">
        <f t="shared" si="60"/>
        <v>-10</v>
      </c>
      <c r="W176" s="159"/>
      <c r="X176" s="159"/>
      <c r="Y176" s="177"/>
      <c r="Z176" s="166">
        <v>60</v>
      </c>
      <c r="AA176" s="167"/>
      <c r="AB176" s="168"/>
      <c r="AC176" s="158"/>
      <c r="AD176" s="158"/>
      <c r="AE176" s="158"/>
      <c r="AF176" s="158"/>
    </row>
    <row r="177" spans="1:32" x14ac:dyDescent="0.3">
      <c r="A177" s="157">
        <v>7.07</v>
      </c>
      <c r="B177" s="158" t="s">
        <v>115</v>
      </c>
      <c r="C177" s="159" t="s">
        <v>965</v>
      </c>
      <c r="D177" s="179">
        <f t="shared" si="61"/>
        <v>45718</v>
      </c>
      <c r="E177" s="180">
        <v>10</v>
      </c>
      <c r="F177" s="179">
        <f t="shared" si="62"/>
        <v>45728</v>
      </c>
      <c r="G177" s="180">
        <v>21</v>
      </c>
      <c r="H177" s="179">
        <f t="shared" si="63"/>
        <v>45749</v>
      </c>
      <c r="I177" s="180">
        <v>5</v>
      </c>
      <c r="J177" s="179">
        <f t="shared" si="64"/>
        <v>45754</v>
      </c>
      <c r="K177" s="180">
        <v>45</v>
      </c>
      <c r="L177" s="179">
        <f t="shared" si="65"/>
        <v>45799</v>
      </c>
      <c r="M177" s="180">
        <v>31</v>
      </c>
      <c r="N177" s="179">
        <f t="shared" si="66"/>
        <v>45830</v>
      </c>
      <c r="O177" s="180">
        <v>3</v>
      </c>
      <c r="P177" s="179">
        <f t="shared" si="67"/>
        <v>45833</v>
      </c>
      <c r="Q177" s="161">
        <f t="shared" si="68"/>
        <v>115</v>
      </c>
      <c r="R177" s="160">
        <v>45833</v>
      </c>
      <c r="S177" s="160">
        <f t="shared" si="69"/>
        <v>-100</v>
      </c>
      <c r="T177" s="160">
        <f t="shared" si="70"/>
        <v>-77</v>
      </c>
      <c r="U177" s="160">
        <f t="shared" si="71"/>
        <v>-17</v>
      </c>
      <c r="V177" s="171">
        <f t="shared" si="60"/>
        <v>-10</v>
      </c>
      <c r="W177" s="159"/>
      <c r="X177" s="159"/>
      <c r="Y177" s="177"/>
      <c r="Z177" s="166">
        <v>60</v>
      </c>
      <c r="AA177" s="167"/>
      <c r="AB177" s="168"/>
      <c r="AC177" s="158"/>
      <c r="AD177" s="158"/>
      <c r="AE177" s="158"/>
      <c r="AF177" s="158"/>
    </row>
    <row r="178" spans="1:32" x14ac:dyDescent="0.3">
      <c r="A178" s="157">
        <v>7.07</v>
      </c>
      <c r="B178" s="158" t="s">
        <v>115</v>
      </c>
      <c r="C178" s="159" t="s">
        <v>966</v>
      </c>
      <c r="D178" s="179">
        <f t="shared" si="61"/>
        <v>45718</v>
      </c>
      <c r="E178" s="180">
        <v>10</v>
      </c>
      <c r="F178" s="179">
        <f t="shared" si="62"/>
        <v>45728</v>
      </c>
      <c r="G178" s="180">
        <v>21</v>
      </c>
      <c r="H178" s="179">
        <f t="shared" si="63"/>
        <v>45749</v>
      </c>
      <c r="I178" s="180">
        <v>5</v>
      </c>
      <c r="J178" s="179">
        <f t="shared" si="64"/>
        <v>45754</v>
      </c>
      <c r="K178" s="180">
        <v>45</v>
      </c>
      <c r="L178" s="179">
        <f t="shared" si="65"/>
        <v>45799</v>
      </c>
      <c r="M178" s="180">
        <v>31</v>
      </c>
      <c r="N178" s="179">
        <f t="shared" si="66"/>
        <v>45830</v>
      </c>
      <c r="O178" s="180">
        <v>3</v>
      </c>
      <c r="P178" s="179">
        <f t="shared" si="67"/>
        <v>45833</v>
      </c>
      <c r="Q178" s="161">
        <f t="shared" si="68"/>
        <v>115</v>
      </c>
      <c r="R178" s="160">
        <v>45833</v>
      </c>
      <c r="S178" s="160">
        <f t="shared" si="69"/>
        <v>-100</v>
      </c>
      <c r="T178" s="160">
        <f t="shared" si="70"/>
        <v>-77</v>
      </c>
      <c r="U178" s="160">
        <f t="shared" si="71"/>
        <v>-17</v>
      </c>
      <c r="V178" s="171">
        <f t="shared" si="60"/>
        <v>-10</v>
      </c>
      <c r="W178" s="159"/>
      <c r="X178" s="159"/>
      <c r="Y178" s="177"/>
      <c r="Z178" s="166">
        <v>60</v>
      </c>
      <c r="AA178" s="167"/>
      <c r="AB178" s="168"/>
      <c r="AC178" s="158"/>
      <c r="AD178" s="158"/>
      <c r="AE178" s="158"/>
      <c r="AF178" s="158"/>
    </row>
    <row r="179" spans="1:32" x14ac:dyDescent="0.3">
      <c r="A179" s="157">
        <v>7.07</v>
      </c>
      <c r="B179" s="158" t="s">
        <v>115</v>
      </c>
      <c r="C179" s="159" t="s">
        <v>967</v>
      </c>
      <c r="D179" s="179">
        <f t="shared" si="61"/>
        <v>45718</v>
      </c>
      <c r="E179" s="180">
        <v>10</v>
      </c>
      <c r="F179" s="179">
        <f t="shared" si="62"/>
        <v>45728</v>
      </c>
      <c r="G179" s="180">
        <v>21</v>
      </c>
      <c r="H179" s="179">
        <f t="shared" si="63"/>
        <v>45749</v>
      </c>
      <c r="I179" s="180">
        <v>5</v>
      </c>
      <c r="J179" s="179">
        <f t="shared" si="64"/>
        <v>45754</v>
      </c>
      <c r="K179" s="180">
        <v>45</v>
      </c>
      <c r="L179" s="179">
        <f t="shared" si="65"/>
        <v>45799</v>
      </c>
      <c r="M179" s="180">
        <v>31</v>
      </c>
      <c r="N179" s="179">
        <f t="shared" si="66"/>
        <v>45830</v>
      </c>
      <c r="O179" s="180">
        <v>3</v>
      </c>
      <c r="P179" s="179">
        <f t="shared" si="67"/>
        <v>45833</v>
      </c>
      <c r="Q179" s="161">
        <f t="shared" si="68"/>
        <v>115</v>
      </c>
      <c r="R179" s="160">
        <v>45833</v>
      </c>
      <c r="S179" s="160">
        <f t="shared" si="69"/>
        <v>-100</v>
      </c>
      <c r="T179" s="160">
        <f t="shared" si="70"/>
        <v>-77</v>
      </c>
      <c r="U179" s="160">
        <f t="shared" si="71"/>
        <v>-17</v>
      </c>
      <c r="V179" s="171">
        <f t="shared" si="60"/>
        <v>-10</v>
      </c>
      <c r="W179" s="159"/>
      <c r="X179" s="159"/>
      <c r="Y179" s="177"/>
      <c r="Z179" s="166">
        <v>60</v>
      </c>
      <c r="AA179" s="167"/>
      <c r="AB179" s="168"/>
      <c r="AC179" s="158"/>
      <c r="AD179" s="158"/>
      <c r="AE179" s="158"/>
      <c r="AF179" s="158"/>
    </row>
    <row r="180" spans="1:32" x14ac:dyDescent="0.3">
      <c r="A180" s="157">
        <v>7.07</v>
      </c>
      <c r="B180" s="158" t="s">
        <v>115</v>
      </c>
      <c r="C180" s="159" t="s">
        <v>968</v>
      </c>
      <c r="D180" s="179">
        <f t="shared" si="61"/>
        <v>45718</v>
      </c>
      <c r="E180" s="180">
        <v>10</v>
      </c>
      <c r="F180" s="179">
        <f t="shared" si="62"/>
        <v>45728</v>
      </c>
      <c r="G180" s="180">
        <v>21</v>
      </c>
      <c r="H180" s="179">
        <f t="shared" si="63"/>
        <v>45749</v>
      </c>
      <c r="I180" s="180">
        <v>5</v>
      </c>
      <c r="J180" s="179">
        <f t="shared" si="64"/>
        <v>45754</v>
      </c>
      <c r="K180" s="180">
        <v>45</v>
      </c>
      <c r="L180" s="179">
        <f t="shared" si="65"/>
        <v>45799</v>
      </c>
      <c r="M180" s="180">
        <v>31</v>
      </c>
      <c r="N180" s="179">
        <f t="shared" si="66"/>
        <v>45830</v>
      </c>
      <c r="O180" s="180">
        <v>3</v>
      </c>
      <c r="P180" s="179">
        <f t="shared" si="67"/>
        <v>45833</v>
      </c>
      <c r="Q180" s="161">
        <f t="shared" si="68"/>
        <v>115</v>
      </c>
      <c r="R180" s="160">
        <v>45833</v>
      </c>
      <c r="S180" s="160">
        <f t="shared" si="69"/>
        <v>-100</v>
      </c>
      <c r="T180" s="160">
        <f t="shared" si="70"/>
        <v>-77</v>
      </c>
      <c r="U180" s="160">
        <f t="shared" si="71"/>
        <v>-17</v>
      </c>
      <c r="V180" s="171">
        <f t="shared" si="60"/>
        <v>-10</v>
      </c>
      <c r="W180" s="159"/>
      <c r="X180" s="159"/>
      <c r="Y180" s="177"/>
      <c r="Z180" s="166">
        <v>60</v>
      </c>
      <c r="AA180" s="167"/>
      <c r="AB180" s="168"/>
      <c r="AC180" s="158"/>
      <c r="AD180" s="158"/>
      <c r="AE180" s="158"/>
      <c r="AF180" s="158"/>
    </row>
    <row r="181" spans="1:32" x14ac:dyDescent="0.3">
      <c r="A181" s="157">
        <v>7.07</v>
      </c>
      <c r="B181" s="158" t="s">
        <v>115</v>
      </c>
      <c r="C181" s="159" t="s">
        <v>969</v>
      </c>
      <c r="D181" s="179">
        <f t="shared" si="61"/>
        <v>45718</v>
      </c>
      <c r="E181" s="180">
        <v>10</v>
      </c>
      <c r="F181" s="179">
        <f t="shared" si="62"/>
        <v>45728</v>
      </c>
      <c r="G181" s="180">
        <v>21</v>
      </c>
      <c r="H181" s="179">
        <f t="shared" si="63"/>
        <v>45749</v>
      </c>
      <c r="I181" s="180">
        <v>5</v>
      </c>
      <c r="J181" s="179">
        <f t="shared" si="64"/>
        <v>45754</v>
      </c>
      <c r="K181" s="180">
        <v>45</v>
      </c>
      <c r="L181" s="179">
        <f t="shared" si="65"/>
        <v>45799</v>
      </c>
      <c r="M181" s="180">
        <v>31</v>
      </c>
      <c r="N181" s="179">
        <f t="shared" si="66"/>
        <v>45830</v>
      </c>
      <c r="O181" s="180">
        <v>3</v>
      </c>
      <c r="P181" s="179">
        <f t="shared" si="67"/>
        <v>45833</v>
      </c>
      <c r="Q181" s="161">
        <f t="shared" si="68"/>
        <v>115</v>
      </c>
      <c r="R181" s="160">
        <v>45833</v>
      </c>
      <c r="S181" s="160">
        <f t="shared" si="69"/>
        <v>-100</v>
      </c>
      <c r="T181" s="160">
        <f t="shared" si="70"/>
        <v>-77</v>
      </c>
      <c r="U181" s="160">
        <f t="shared" si="71"/>
        <v>-17</v>
      </c>
      <c r="V181" s="171">
        <f t="shared" si="60"/>
        <v>-10</v>
      </c>
      <c r="W181" s="159"/>
      <c r="X181" s="159"/>
      <c r="Y181" s="177"/>
      <c r="Z181" s="166">
        <v>60</v>
      </c>
      <c r="AA181" s="167"/>
      <c r="AB181" s="168"/>
      <c r="AC181" s="158"/>
      <c r="AD181" s="158"/>
      <c r="AE181" s="158"/>
      <c r="AF181" s="158"/>
    </row>
    <row r="182" spans="1:32" x14ac:dyDescent="0.3">
      <c r="A182" s="414" t="s">
        <v>970</v>
      </c>
      <c r="B182" s="415"/>
      <c r="C182" s="415"/>
      <c r="D182" s="415"/>
      <c r="E182" s="415"/>
      <c r="F182" s="415"/>
      <c r="G182" s="415"/>
      <c r="H182" s="415"/>
      <c r="I182" s="415"/>
      <c r="J182" s="415"/>
      <c r="K182" s="415"/>
      <c r="L182" s="415"/>
      <c r="M182" s="415"/>
      <c r="N182" s="415"/>
      <c r="O182" s="415"/>
      <c r="P182" s="415"/>
      <c r="Q182" s="415"/>
      <c r="R182" s="415"/>
      <c r="S182" s="415"/>
      <c r="T182" s="415"/>
      <c r="U182" s="415"/>
      <c r="V182" s="415"/>
      <c r="W182" s="415"/>
      <c r="X182" s="415"/>
      <c r="Y182" s="415"/>
      <c r="Z182" s="416"/>
      <c r="AA182" s="158"/>
      <c r="AB182" s="158"/>
      <c r="AC182" s="158"/>
      <c r="AD182" s="158"/>
      <c r="AE182" s="158"/>
      <c r="AF182" s="158"/>
    </row>
    <row r="183" spans="1:32" x14ac:dyDescent="0.3">
      <c r="A183" s="157">
        <v>8.01</v>
      </c>
      <c r="B183" s="158" t="s">
        <v>971</v>
      </c>
      <c r="C183" s="159" t="s">
        <v>972</v>
      </c>
      <c r="D183" s="179">
        <f t="shared" ref="D183:D214" si="72">R183-(E183+G183+I183+K183+M183+O183)</f>
        <v>45718</v>
      </c>
      <c r="E183" s="180">
        <v>10</v>
      </c>
      <c r="F183" s="179">
        <f t="shared" ref="F183:F214" si="73">D183+E183</f>
        <v>45728</v>
      </c>
      <c r="G183" s="180">
        <v>21</v>
      </c>
      <c r="H183" s="179">
        <f t="shared" ref="H183:H214" si="74">F183+G183</f>
        <v>45749</v>
      </c>
      <c r="I183" s="180">
        <v>5</v>
      </c>
      <c r="J183" s="179">
        <f t="shared" ref="J183:J214" si="75">H183+I183</f>
        <v>45754</v>
      </c>
      <c r="K183" s="180">
        <v>45</v>
      </c>
      <c r="L183" s="179">
        <f t="shared" ref="L183:L214" si="76">J183+K183</f>
        <v>45799</v>
      </c>
      <c r="M183" s="180">
        <v>31</v>
      </c>
      <c r="N183" s="179">
        <f t="shared" ref="N183:N214" si="77">L183+M183</f>
        <v>45830</v>
      </c>
      <c r="O183" s="180">
        <v>3</v>
      </c>
      <c r="P183" s="179">
        <f t="shared" ref="P183:P214" si="78">N183+O183</f>
        <v>45833</v>
      </c>
      <c r="Q183" s="161">
        <f t="shared" ref="Q183:Q214" si="79">O183+M183+K183+I183+G183+E183</f>
        <v>115</v>
      </c>
      <c r="R183" s="160">
        <v>45833</v>
      </c>
      <c r="S183" s="160">
        <f t="shared" ref="S183:S214" si="80">+T183-23</f>
        <v>-220</v>
      </c>
      <c r="T183" s="160">
        <f t="shared" ref="T183:T214" si="81">+U183-Z183</f>
        <v>-197</v>
      </c>
      <c r="U183" s="160">
        <f t="shared" ref="U183:U214" si="82">+V183-7</f>
        <v>-37</v>
      </c>
      <c r="V183" s="171">
        <f t="shared" ref="V183:V214" si="83">+$C$6-30</f>
        <v>-30</v>
      </c>
      <c r="W183" s="159"/>
      <c r="X183" s="159"/>
      <c r="Y183" s="177"/>
      <c r="Z183" s="166">
        <v>160</v>
      </c>
      <c r="AA183" s="158"/>
      <c r="AB183" s="158"/>
      <c r="AC183" s="158"/>
      <c r="AD183" s="158"/>
      <c r="AE183" s="158"/>
      <c r="AF183" s="158"/>
    </row>
    <row r="184" spans="1:32" x14ac:dyDescent="0.3">
      <c r="A184" s="157">
        <v>8.01</v>
      </c>
      <c r="B184" s="158" t="s">
        <v>971</v>
      </c>
      <c r="C184" s="159" t="s">
        <v>973</v>
      </c>
      <c r="D184" s="179">
        <f t="shared" si="72"/>
        <v>45718</v>
      </c>
      <c r="E184" s="180">
        <v>10</v>
      </c>
      <c r="F184" s="179">
        <f t="shared" si="73"/>
        <v>45728</v>
      </c>
      <c r="G184" s="180">
        <v>21</v>
      </c>
      <c r="H184" s="179">
        <f t="shared" si="74"/>
        <v>45749</v>
      </c>
      <c r="I184" s="180">
        <v>5</v>
      </c>
      <c r="J184" s="179">
        <f t="shared" si="75"/>
        <v>45754</v>
      </c>
      <c r="K184" s="180">
        <v>45</v>
      </c>
      <c r="L184" s="179">
        <f t="shared" si="76"/>
        <v>45799</v>
      </c>
      <c r="M184" s="180">
        <v>31</v>
      </c>
      <c r="N184" s="179">
        <f t="shared" si="77"/>
        <v>45830</v>
      </c>
      <c r="O184" s="180">
        <v>3</v>
      </c>
      <c r="P184" s="179">
        <f t="shared" si="78"/>
        <v>45833</v>
      </c>
      <c r="Q184" s="161">
        <f t="shared" si="79"/>
        <v>115</v>
      </c>
      <c r="R184" s="160">
        <v>45833</v>
      </c>
      <c r="S184" s="160">
        <f t="shared" si="80"/>
        <v>-220</v>
      </c>
      <c r="T184" s="160">
        <f t="shared" si="81"/>
        <v>-197</v>
      </c>
      <c r="U184" s="160">
        <f t="shared" si="82"/>
        <v>-37</v>
      </c>
      <c r="V184" s="171">
        <f t="shared" si="83"/>
        <v>-30</v>
      </c>
      <c r="W184" s="159"/>
      <c r="X184" s="159"/>
      <c r="Y184" s="177"/>
      <c r="Z184" s="166">
        <v>160</v>
      </c>
      <c r="AA184" s="158"/>
      <c r="AB184" s="158"/>
      <c r="AC184" s="158"/>
      <c r="AD184" s="158"/>
      <c r="AE184" s="158"/>
      <c r="AF184" s="158"/>
    </row>
    <row r="185" spans="1:32" x14ac:dyDescent="0.3">
      <c r="A185" s="157">
        <v>8.01</v>
      </c>
      <c r="B185" s="158" t="s">
        <v>971</v>
      </c>
      <c r="C185" s="159" t="s">
        <v>974</v>
      </c>
      <c r="D185" s="179">
        <f t="shared" si="72"/>
        <v>45718</v>
      </c>
      <c r="E185" s="180">
        <v>10</v>
      </c>
      <c r="F185" s="179">
        <f t="shared" si="73"/>
        <v>45728</v>
      </c>
      <c r="G185" s="180">
        <v>21</v>
      </c>
      <c r="H185" s="179">
        <f t="shared" si="74"/>
        <v>45749</v>
      </c>
      <c r="I185" s="180">
        <v>5</v>
      </c>
      <c r="J185" s="179">
        <f t="shared" si="75"/>
        <v>45754</v>
      </c>
      <c r="K185" s="180">
        <v>45</v>
      </c>
      <c r="L185" s="179">
        <f t="shared" si="76"/>
        <v>45799</v>
      </c>
      <c r="M185" s="180">
        <v>31</v>
      </c>
      <c r="N185" s="179">
        <f t="shared" si="77"/>
        <v>45830</v>
      </c>
      <c r="O185" s="180">
        <v>3</v>
      </c>
      <c r="P185" s="179">
        <f t="shared" si="78"/>
        <v>45833</v>
      </c>
      <c r="Q185" s="161">
        <f t="shared" si="79"/>
        <v>115</v>
      </c>
      <c r="R185" s="160">
        <v>45833</v>
      </c>
      <c r="S185" s="160">
        <f t="shared" si="80"/>
        <v>-90</v>
      </c>
      <c r="T185" s="160">
        <f t="shared" si="81"/>
        <v>-67</v>
      </c>
      <c r="U185" s="160">
        <f t="shared" si="82"/>
        <v>-37</v>
      </c>
      <c r="V185" s="171">
        <f t="shared" si="83"/>
        <v>-30</v>
      </c>
      <c r="W185" s="159"/>
      <c r="X185" s="159"/>
      <c r="Y185" s="177"/>
      <c r="Z185" s="166">
        <v>30</v>
      </c>
      <c r="AA185" s="158"/>
      <c r="AB185" s="158"/>
      <c r="AC185" s="158"/>
      <c r="AD185" s="158"/>
      <c r="AE185" s="158"/>
      <c r="AF185" s="158"/>
    </row>
    <row r="186" spans="1:32" x14ac:dyDescent="0.3">
      <c r="A186" s="157">
        <v>8.01</v>
      </c>
      <c r="B186" s="158" t="s">
        <v>971</v>
      </c>
      <c r="C186" s="159" t="s">
        <v>975</v>
      </c>
      <c r="D186" s="179">
        <f t="shared" si="72"/>
        <v>45718</v>
      </c>
      <c r="E186" s="180">
        <v>10</v>
      </c>
      <c r="F186" s="179">
        <f t="shared" si="73"/>
        <v>45728</v>
      </c>
      <c r="G186" s="180">
        <v>21</v>
      </c>
      <c r="H186" s="179">
        <f t="shared" si="74"/>
        <v>45749</v>
      </c>
      <c r="I186" s="180">
        <v>5</v>
      </c>
      <c r="J186" s="179">
        <f t="shared" si="75"/>
        <v>45754</v>
      </c>
      <c r="K186" s="180">
        <v>45</v>
      </c>
      <c r="L186" s="179">
        <f t="shared" si="76"/>
        <v>45799</v>
      </c>
      <c r="M186" s="180">
        <v>31</v>
      </c>
      <c r="N186" s="179">
        <f t="shared" si="77"/>
        <v>45830</v>
      </c>
      <c r="O186" s="180">
        <v>3</v>
      </c>
      <c r="P186" s="179">
        <f t="shared" si="78"/>
        <v>45833</v>
      </c>
      <c r="Q186" s="161">
        <f t="shared" si="79"/>
        <v>115</v>
      </c>
      <c r="R186" s="160">
        <v>45833</v>
      </c>
      <c r="S186" s="160">
        <f t="shared" si="80"/>
        <v>-220</v>
      </c>
      <c r="T186" s="160">
        <f t="shared" si="81"/>
        <v>-197</v>
      </c>
      <c r="U186" s="160">
        <f t="shared" si="82"/>
        <v>-37</v>
      </c>
      <c r="V186" s="171">
        <f t="shared" si="83"/>
        <v>-30</v>
      </c>
      <c r="W186" s="159"/>
      <c r="X186" s="159"/>
      <c r="Y186" s="177"/>
      <c r="Z186" s="166">
        <v>160</v>
      </c>
      <c r="AA186" s="158"/>
      <c r="AB186" s="158"/>
      <c r="AC186" s="158"/>
      <c r="AD186" s="158"/>
      <c r="AE186" s="158"/>
      <c r="AF186" s="158"/>
    </row>
    <row r="187" spans="1:32" x14ac:dyDescent="0.3">
      <c r="A187" s="157">
        <v>8.01</v>
      </c>
      <c r="B187" s="158" t="s">
        <v>971</v>
      </c>
      <c r="C187" s="159" t="s">
        <v>976</v>
      </c>
      <c r="D187" s="179">
        <f t="shared" si="72"/>
        <v>45718</v>
      </c>
      <c r="E187" s="180">
        <v>10</v>
      </c>
      <c r="F187" s="179">
        <f t="shared" si="73"/>
        <v>45728</v>
      </c>
      <c r="G187" s="180">
        <v>21</v>
      </c>
      <c r="H187" s="179">
        <f t="shared" si="74"/>
        <v>45749</v>
      </c>
      <c r="I187" s="180">
        <v>5</v>
      </c>
      <c r="J187" s="179">
        <f t="shared" si="75"/>
        <v>45754</v>
      </c>
      <c r="K187" s="180">
        <v>45</v>
      </c>
      <c r="L187" s="179">
        <f t="shared" si="76"/>
        <v>45799</v>
      </c>
      <c r="M187" s="180">
        <v>31</v>
      </c>
      <c r="N187" s="179">
        <f t="shared" si="77"/>
        <v>45830</v>
      </c>
      <c r="O187" s="180">
        <v>3</v>
      </c>
      <c r="P187" s="179">
        <f t="shared" si="78"/>
        <v>45833</v>
      </c>
      <c r="Q187" s="161">
        <f t="shared" si="79"/>
        <v>115</v>
      </c>
      <c r="R187" s="160">
        <v>45833</v>
      </c>
      <c r="S187" s="160">
        <f t="shared" si="80"/>
        <v>-150</v>
      </c>
      <c r="T187" s="160">
        <f t="shared" si="81"/>
        <v>-127</v>
      </c>
      <c r="U187" s="160">
        <f t="shared" si="82"/>
        <v>-37</v>
      </c>
      <c r="V187" s="171">
        <f t="shared" si="83"/>
        <v>-30</v>
      </c>
      <c r="W187" s="159"/>
      <c r="X187" s="159"/>
      <c r="Y187" s="177"/>
      <c r="Z187" s="166">
        <v>90</v>
      </c>
      <c r="AA187" s="158"/>
      <c r="AB187" s="158"/>
      <c r="AC187" s="158"/>
      <c r="AD187" s="158"/>
      <c r="AE187" s="158"/>
      <c r="AF187" s="158"/>
    </row>
    <row r="188" spans="1:32" x14ac:dyDescent="0.3">
      <c r="A188" s="157">
        <v>8.01</v>
      </c>
      <c r="B188" s="158" t="s">
        <v>971</v>
      </c>
      <c r="C188" s="159" t="s">
        <v>977</v>
      </c>
      <c r="D188" s="179">
        <f t="shared" si="72"/>
        <v>45718</v>
      </c>
      <c r="E188" s="180">
        <v>10</v>
      </c>
      <c r="F188" s="179">
        <f t="shared" si="73"/>
        <v>45728</v>
      </c>
      <c r="G188" s="180">
        <v>21</v>
      </c>
      <c r="H188" s="179">
        <f t="shared" si="74"/>
        <v>45749</v>
      </c>
      <c r="I188" s="180">
        <v>5</v>
      </c>
      <c r="J188" s="179">
        <f t="shared" si="75"/>
        <v>45754</v>
      </c>
      <c r="K188" s="180">
        <v>45</v>
      </c>
      <c r="L188" s="179">
        <f t="shared" si="76"/>
        <v>45799</v>
      </c>
      <c r="M188" s="180">
        <v>31</v>
      </c>
      <c r="N188" s="179">
        <f t="shared" si="77"/>
        <v>45830</v>
      </c>
      <c r="O188" s="180">
        <v>3</v>
      </c>
      <c r="P188" s="179">
        <f t="shared" si="78"/>
        <v>45833</v>
      </c>
      <c r="Q188" s="161">
        <f t="shared" si="79"/>
        <v>115</v>
      </c>
      <c r="R188" s="160">
        <v>45833</v>
      </c>
      <c r="S188" s="160">
        <f t="shared" si="80"/>
        <v>-150</v>
      </c>
      <c r="T188" s="160">
        <f t="shared" si="81"/>
        <v>-127</v>
      </c>
      <c r="U188" s="160">
        <f t="shared" si="82"/>
        <v>-37</v>
      </c>
      <c r="V188" s="171">
        <f t="shared" si="83"/>
        <v>-30</v>
      </c>
      <c r="W188" s="159"/>
      <c r="X188" s="159"/>
      <c r="Y188" s="177"/>
      <c r="Z188" s="166">
        <v>90</v>
      </c>
      <c r="AA188" s="158"/>
      <c r="AB188" s="158"/>
      <c r="AC188" s="158"/>
      <c r="AD188" s="158"/>
      <c r="AE188" s="158"/>
      <c r="AF188" s="158"/>
    </row>
    <row r="189" spans="1:32" x14ac:dyDescent="0.3">
      <c r="A189" s="157">
        <v>8.01</v>
      </c>
      <c r="B189" s="158" t="s">
        <v>971</v>
      </c>
      <c r="C189" s="159" t="s">
        <v>978</v>
      </c>
      <c r="D189" s="179">
        <f t="shared" si="72"/>
        <v>45718</v>
      </c>
      <c r="E189" s="180">
        <v>10</v>
      </c>
      <c r="F189" s="179">
        <f t="shared" si="73"/>
        <v>45728</v>
      </c>
      <c r="G189" s="180">
        <v>21</v>
      </c>
      <c r="H189" s="179">
        <f t="shared" si="74"/>
        <v>45749</v>
      </c>
      <c r="I189" s="180">
        <v>5</v>
      </c>
      <c r="J189" s="179">
        <f t="shared" si="75"/>
        <v>45754</v>
      </c>
      <c r="K189" s="180">
        <v>45</v>
      </c>
      <c r="L189" s="179">
        <f t="shared" si="76"/>
        <v>45799</v>
      </c>
      <c r="M189" s="180">
        <v>31</v>
      </c>
      <c r="N189" s="179">
        <f t="shared" si="77"/>
        <v>45830</v>
      </c>
      <c r="O189" s="180">
        <v>3</v>
      </c>
      <c r="P189" s="179">
        <f t="shared" si="78"/>
        <v>45833</v>
      </c>
      <c r="Q189" s="161">
        <f t="shared" si="79"/>
        <v>115</v>
      </c>
      <c r="R189" s="160">
        <v>45833</v>
      </c>
      <c r="S189" s="160">
        <f t="shared" si="80"/>
        <v>-220</v>
      </c>
      <c r="T189" s="160">
        <f t="shared" si="81"/>
        <v>-197</v>
      </c>
      <c r="U189" s="160">
        <f t="shared" si="82"/>
        <v>-37</v>
      </c>
      <c r="V189" s="171">
        <f t="shared" si="83"/>
        <v>-30</v>
      </c>
      <c r="W189" s="159"/>
      <c r="X189" s="159"/>
      <c r="Y189" s="177"/>
      <c r="Z189" s="166">
        <v>160</v>
      </c>
      <c r="AA189" s="158"/>
      <c r="AB189" s="158"/>
      <c r="AC189" s="158"/>
      <c r="AD189" s="158"/>
      <c r="AE189" s="158"/>
      <c r="AF189" s="158"/>
    </row>
    <row r="190" spans="1:32" x14ac:dyDescent="0.3">
      <c r="A190" s="157">
        <v>8.01</v>
      </c>
      <c r="B190" s="158" t="s">
        <v>971</v>
      </c>
      <c r="C190" s="159" t="s">
        <v>979</v>
      </c>
      <c r="D190" s="179">
        <f t="shared" si="72"/>
        <v>45718</v>
      </c>
      <c r="E190" s="180">
        <v>10</v>
      </c>
      <c r="F190" s="179">
        <f t="shared" si="73"/>
        <v>45728</v>
      </c>
      <c r="G190" s="180">
        <v>21</v>
      </c>
      <c r="H190" s="179">
        <f t="shared" si="74"/>
        <v>45749</v>
      </c>
      <c r="I190" s="180">
        <v>5</v>
      </c>
      <c r="J190" s="179">
        <f t="shared" si="75"/>
        <v>45754</v>
      </c>
      <c r="K190" s="180">
        <v>45</v>
      </c>
      <c r="L190" s="179">
        <f t="shared" si="76"/>
        <v>45799</v>
      </c>
      <c r="M190" s="180">
        <v>31</v>
      </c>
      <c r="N190" s="179">
        <f t="shared" si="77"/>
        <v>45830</v>
      </c>
      <c r="O190" s="180">
        <v>3</v>
      </c>
      <c r="P190" s="179">
        <f t="shared" si="78"/>
        <v>45833</v>
      </c>
      <c r="Q190" s="161">
        <f t="shared" si="79"/>
        <v>115</v>
      </c>
      <c r="R190" s="160">
        <v>45833</v>
      </c>
      <c r="S190" s="160">
        <f t="shared" si="80"/>
        <v>-220</v>
      </c>
      <c r="T190" s="160">
        <f t="shared" si="81"/>
        <v>-197</v>
      </c>
      <c r="U190" s="160">
        <f t="shared" si="82"/>
        <v>-37</v>
      </c>
      <c r="V190" s="171">
        <f t="shared" si="83"/>
        <v>-30</v>
      </c>
      <c r="W190" s="159"/>
      <c r="X190" s="159"/>
      <c r="Y190" s="177"/>
      <c r="Z190" s="166">
        <v>160</v>
      </c>
      <c r="AA190" s="158"/>
      <c r="AB190" s="158"/>
      <c r="AC190" s="158"/>
      <c r="AD190" s="158"/>
      <c r="AE190" s="158"/>
      <c r="AF190" s="158"/>
    </row>
    <row r="191" spans="1:32" x14ac:dyDescent="0.3">
      <c r="A191" s="157">
        <v>8.01</v>
      </c>
      <c r="B191" s="158" t="s">
        <v>971</v>
      </c>
      <c r="C191" s="159" t="s">
        <v>980</v>
      </c>
      <c r="D191" s="179">
        <f t="shared" si="72"/>
        <v>45718</v>
      </c>
      <c r="E191" s="180">
        <v>10</v>
      </c>
      <c r="F191" s="179">
        <f t="shared" si="73"/>
        <v>45728</v>
      </c>
      <c r="G191" s="180">
        <v>21</v>
      </c>
      <c r="H191" s="179">
        <f t="shared" si="74"/>
        <v>45749</v>
      </c>
      <c r="I191" s="180">
        <v>5</v>
      </c>
      <c r="J191" s="179">
        <f t="shared" si="75"/>
        <v>45754</v>
      </c>
      <c r="K191" s="180">
        <v>45</v>
      </c>
      <c r="L191" s="179">
        <f t="shared" si="76"/>
        <v>45799</v>
      </c>
      <c r="M191" s="180">
        <v>31</v>
      </c>
      <c r="N191" s="179">
        <f t="shared" si="77"/>
        <v>45830</v>
      </c>
      <c r="O191" s="180">
        <v>3</v>
      </c>
      <c r="P191" s="179">
        <f t="shared" si="78"/>
        <v>45833</v>
      </c>
      <c r="Q191" s="161">
        <f t="shared" si="79"/>
        <v>115</v>
      </c>
      <c r="R191" s="160">
        <v>45833</v>
      </c>
      <c r="S191" s="160">
        <f t="shared" si="80"/>
        <v>-220</v>
      </c>
      <c r="T191" s="160">
        <f t="shared" si="81"/>
        <v>-197</v>
      </c>
      <c r="U191" s="160">
        <f t="shared" si="82"/>
        <v>-37</v>
      </c>
      <c r="V191" s="171">
        <f t="shared" si="83"/>
        <v>-30</v>
      </c>
      <c r="W191" s="159"/>
      <c r="X191" s="159"/>
      <c r="Y191" s="177"/>
      <c r="Z191" s="166">
        <v>160</v>
      </c>
      <c r="AA191" s="158"/>
      <c r="AB191" s="158"/>
      <c r="AC191" s="158"/>
      <c r="AD191" s="158"/>
      <c r="AE191" s="158"/>
      <c r="AF191" s="158"/>
    </row>
    <row r="192" spans="1:32" x14ac:dyDescent="0.3">
      <c r="A192" s="157">
        <v>8.02</v>
      </c>
      <c r="B192" s="158" t="s">
        <v>981</v>
      </c>
      <c r="C192" s="159" t="s">
        <v>243</v>
      </c>
      <c r="D192" s="179">
        <f t="shared" si="72"/>
        <v>45718</v>
      </c>
      <c r="E192" s="180">
        <v>10</v>
      </c>
      <c r="F192" s="179">
        <f t="shared" si="73"/>
        <v>45728</v>
      </c>
      <c r="G192" s="180">
        <v>21</v>
      </c>
      <c r="H192" s="179">
        <f t="shared" si="74"/>
        <v>45749</v>
      </c>
      <c r="I192" s="180">
        <v>5</v>
      </c>
      <c r="J192" s="179">
        <f t="shared" si="75"/>
        <v>45754</v>
      </c>
      <c r="K192" s="180">
        <v>45</v>
      </c>
      <c r="L192" s="179">
        <f t="shared" si="76"/>
        <v>45799</v>
      </c>
      <c r="M192" s="180">
        <v>31</v>
      </c>
      <c r="N192" s="179">
        <f t="shared" si="77"/>
        <v>45830</v>
      </c>
      <c r="O192" s="180">
        <v>3</v>
      </c>
      <c r="P192" s="179">
        <f t="shared" si="78"/>
        <v>45833</v>
      </c>
      <c r="Q192" s="161">
        <f t="shared" si="79"/>
        <v>115</v>
      </c>
      <c r="R192" s="160">
        <v>45833</v>
      </c>
      <c r="S192" s="160">
        <f t="shared" si="80"/>
        <v>-220</v>
      </c>
      <c r="T192" s="160">
        <f t="shared" si="81"/>
        <v>-197</v>
      </c>
      <c r="U192" s="160">
        <f t="shared" si="82"/>
        <v>-37</v>
      </c>
      <c r="V192" s="171">
        <f t="shared" si="83"/>
        <v>-30</v>
      </c>
      <c r="W192" s="159"/>
      <c r="X192" s="159"/>
      <c r="Y192" s="177"/>
      <c r="Z192" s="166">
        <v>160</v>
      </c>
      <c r="AA192" s="158"/>
      <c r="AB192" s="158"/>
      <c r="AC192" s="158"/>
      <c r="AD192" s="158"/>
      <c r="AE192" s="158"/>
      <c r="AF192" s="158"/>
    </row>
    <row r="193" spans="1:32" x14ac:dyDescent="0.3">
      <c r="A193" s="157">
        <v>8.0299999999999994</v>
      </c>
      <c r="B193" s="158" t="s">
        <v>120</v>
      </c>
      <c r="C193" s="159" t="s">
        <v>982</v>
      </c>
      <c r="D193" s="179">
        <f t="shared" si="72"/>
        <v>45718</v>
      </c>
      <c r="E193" s="180">
        <v>10</v>
      </c>
      <c r="F193" s="179">
        <f t="shared" si="73"/>
        <v>45728</v>
      </c>
      <c r="G193" s="180">
        <v>21</v>
      </c>
      <c r="H193" s="179">
        <f t="shared" si="74"/>
        <v>45749</v>
      </c>
      <c r="I193" s="180">
        <v>5</v>
      </c>
      <c r="J193" s="179">
        <f t="shared" si="75"/>
        <v>45754</v>
      </c>
      <c r="K193" s="180">
        <v>45</v>
      </c>
      <c r="L193" s="179">
        <f t="shared" si="76"/>
        <v>45799</v>
      </c>
      <c r="M193" s="180">
        <v>31</v>
      </c>
      <c r="N193" s="179">
        <f t="shared" si="77"/>
        <v>45830</v>
      </c>
      <c r="O193" s="180">
        <v>3</v>
      </c>
      <c r="P193" s="179">
        <f t="shared" si="78"/>
        <v>45833</v>
      </c>
      <c r="Q193" s="161">
        <f t="shared" si="79"/>
        <v>115</v>
      </c>
      <c r="R193" s="160">
        <v>45833</v>
      </c>
      <c r="S193" s="160">
        <f t="shared" si="80"/>
        <v>-190</v>
      </c>
      <c r="T193" s="160">
        <f t="shared" si="81"/>
        <v>-167</v>
      </c>
      <c r="U193" s="160">
        <f t="shared" si="82"/>
        <v>-37</v>
      </c>
      <c r="V193" s="171">
        <f t="shared" si="83"/>
        <v>-30</v>
      </c>
      <c r="W193" s="159"/>
      <c r="X193" s="159"/>
      <c r="Y193" s="177"/>
      <c r="Z193" s="166">
        <v>130</v>
      </c>
      <c r="AA193" s="158"/>
      <c r="AB193" s="158"/>
      <c r="AC193" s="158"/>
      <c r="AD193" s="158"/>
      <c r="AE193" s="158"/>
      <c r="AF193" s="158"/>
    </row>
    <row r="194" spans="1:32" x14ac:dyDescent="0.3">
      <c r="A194" s="157">
        <v>8.0299999999999994</v>
      </c>
      <c r="B194" s="158" t="s">
        <v>120</v>
      </c>
      <c r="C194" s="159" t="s">
        <v>983</v>
      </c>
      <c r="D194" s="179">
        <f t="shared" si="72"/>
        <v>45718</v>
      </c>
      <c r="E194" s="180">
        <v>10</v>
      </c>
      <c r="F194" s="179">
        <f t="shared" si="73"/>
        <v>45728</v>
      </c>
      <c r="G194" s="180">
        <v>21</v>
      </c>
      <c r="H194" s="179">
        <f t="shared" si="74"/>
        <v>45749</v>
      </c>
      <c r="I194" s="180">
        <v>5</v>
      </c>
      <c r="J194" s="179">
        <f t="shared" si="75"/>
        <v>45754</v>
      </c>
      <c r="K194" s="180">
        <v>45</v>
      </c>
      <c r="L194" s="179">
        <f t="shared" si="76"/>
        <v>45799</v>
      </c>
      <c r="M194" s="180">
        <v>31</v>
      </c>
      <c r="N194" s="179">
        <f t="shared" si="77"/>
        <v>45830</v>
      </c>
      <c r="O194" s="180">
        <v>3</v>
      </c>
      <c r="P194" s="179">
        <f t="shared" si="78"/>
        <v>45833</v>
      </c>
      <c r="Q194" s="161">
        <f t="shared" si="79"/>
        <v>115</v>
      </c>
      <c r="R194" s="160">
        <v>45833</v>
      </c>
      <c r="S194" s="160">
        <f t="shared" si="80"/>
        <v>-190</v>
      </c>
      <c r="T194" s="160">
        <f t="shared" si="81"/>
        <v>-167</v>
      </c>
      <c r="U194" s="160">
        <f t="shared" si="82"/>
        <v>-37</v>
      </c>
      <c r="V194" s="171">
        <f t="shared" si="83"/>
        <v>-30</v>
      </c>
      <c r="W194" s="159"/>
      <c r="X194" s="159"/>
      <c r="Y194" s="177"/>
      <c r="Z194" s="166">
        <v>130</v>
      </c>
      <c r="AA194" s="158"/>
      <c r="AB194" s="158"/>
      <c r="AC194" s="158"/>
      <c r="AD194" s="158"/>
      <c r="AE194" s="158"/>
      <c r="AF194" s="158"/>
    </row>
    <row r="195" spans="1:32" x14ac:dyDescent="0.3">
      <c r="A195" s="157">
        <v>8.0299999999999994</v>
      </c>
      <c r="B195" s="158" t="s">
        <v>120</v>
      </c>
      <c r="C195" s="159" t="s">
        <v>984</v>
      </c>
      <c r="D195" s="179">
        <f t="shared" si="72"/>
        <v>45718</v>
      </c>
      <c r="E195" s="180">
        <v>10</v>
      </c>
      <c r="F195" s="179">
        <f t="shared" si="73"/>
        <v>45728</v>
      </c>
      <c r="G195" s="180">
        <v>21</v>
      </c>
      <c r="H195" s="179">
        <f t="shared" si="74"/>
        <v>45749</v>
      </c>
      <c r="I195" s="180">
        <v>5</v>
      </c>
      <c r="J195" s="179">
        <f t="shared" si="75"/>
        <v>45754</v>
      </c>
      <c r="K195" s="180">
        <v>45</v>
      </c>
      <c r="L195" s="179">
        <f t="shared" si="76"/>
        <v>45799</v>
      </c>
      <c r="M195" s="180">
        <v>31</v>
      </c>
      <c r="N195" s="179">
        <f t="shared" si="77"/>
        <v>45830</v>
      </c>
      <c r="O195" s="180">
        <v>3</v>
      </c>
      <c r="P195" s="179">
        <f t="shared" si="78"/>
        <v>45833</v>
      </c>
      <c r="Q195" s="161">
        <f t="shared" si="79"/>
        <v>115</v>
      </c>
      <c r="R195" s="160">
        <v>45833</v>
      </c>
      <c r="S195" s="160">
        <f t="shared" si="80"/>
        <v>-150</v>
      </c>
      <c r="T195" s="160">
        <f t="shared" si="81"/>
        <v>-127</v>
      </c>
      <c r="U195" s="160">
        <f t="shared" si="82"/>
        <v>-37</v>
      </c>
      <c r="V195" s="171">
        <f t="shared" si="83"/>
        <v>-30</v>
      </c>
      <c r="W195" s="159"/>
      <c r="X195" s="159"/>
      <c r="Y195" s="177"/>
      <c r="Z195" s="166">
        <v>90</v>
      </c>
      <c r="AA195" s="158"/>
      <c r="AB195" s="158"/>
      <c r="AC195" s="158"/>
      <c r="AD195" s="158"/>
      <c r="AE195" s="158"/>
      <c r="AF195" s="158"/>
    </row>
    <row r="196" spans="1:32" x14ac:dyDescent="0.3">
      <c r="A196" s="157">
        <v>8.0299999999999994</v>
      </c>
      <c r="B196" s="158" t="s">
        <v>120</v>
      </c>
      <c r="C196" s="159" t="s">
        <v>985</v>
      </c>
      <c r="D196" s="179">
        <f t="shared" si="72"/>
        <v>45718</v>
      </c>
      <c r="E196" s="180">
        <v>10</v>
      </c>
      <c r="F196" s="179">
        <f t="shared" si="73"/>
        <v>45728</v>
      </c>
      <c r="G196" s="180">
        <v>21</v>
      </c>
      <c r="H196" s="179">
        <f t="shared" si="74"/>
        <v>45749</v>
      </c>
      <c r="I196" s="180">
        <v>5</v>
      </c>
      <c r="J196" s="179">
        <f t="shared" si="75"/>
        <v>45754</v>
      </c>
      <c r="K196" s="180">
        <v>45</v>
      </c>
      <c r="L196" s="179">
        <f t="shared" si="76"/>
        <v>45799</v>
      </c>
      <c r="M196" s="180">
        <v>31</v>
      </c>
      <c r="N196" s="179">
        <f t="shared" si="77"/>
        <v>45830</v>
      </c>
      <c r="O196" s="180">
        <v>3</v>
      </c>
      <c r="P196" s="179">
        <f t="shared" si="78"/>
        <v>45833</v>
      </c>
      <c r="Q196" s="161">
        <f t="shared" si="79"/>
        <v>115</v>
      </c>
      <c r="R196" s="160">
        <v>45833</v>
      </c>
      <c r="S196" s="160">
        <f t="shared" si="80"/>
        <v>-150</v>
      </c>
      <c r="T196" s="160">
        <f t="shared" si="81"/>
        <v>-127</v>
      </c>
      <c r="U196" s="160">
        <f t="shared" si="82"/>
        <v>-37</v>
      </c>
      <c r="V196" s="171">
        <f t="shared" si="83"/>
        <v>-30</v>
      </c>
      <c r="W196" s="159"/>
      <c r="X196" s="159"/>
      <c r="Y196" s="177"/>
      <c r="Z196" s="166">
        <v>90</v>
      </c>
      <c r="AA196" s="158"/>
      <c r="AB196" s="158"/>
      <c r="AC196" s="158"/>
      <c r="AD196" s="158"/>
      <c r="AE196" s="158"/>
      <c r="AF196" s="158"/>
    </row>
    <row r="197" spans="1:32" x14ac:dyDescent="0.3">
      <c r="A197" s="157">
        <v>8.0299999999999994</v>
      </c>
      <c r="B197" s="158" t="s">
        <v>120</v>
      </c>
      <c r="C197" s="159" t="s">
        <v>986</v>
      </c>
      <c r="D197" s="179">
        <f t="shared" si="72"/>
        <v>45718</v>
      </c>
      <c r="E197" s="180">
        <v>10</v>
      </c>
      <c r="F197" s="179">
        <f t="shared" si="73"/>
        <v>45728</v>
      </c>
      <c r="G197" s="180">
        <v>21</v>
      </c>
      <c r="H197" s="179">
        <f t="shared" si="74"/>
        <v>45749</v>
      </c>
      <c r="I197" s="180">
        <v>5</v>
      </c>
      <c r="J197" s="179">
        <f t="shared" si="75"/>
        <v>45754</v>
      </c>
      <c r="K197" s="180">
        <v>45</v>
      </c>
      <c r="L197" s="179">
        <f t="shared" si="76"/>
        <v>45799</v>
      </c>
      <c r="M197" s="180">
        <v>31</v>
      </c>
      <c r="N197" s="179">
        <f t="shared" si="77"/>
        <v>45830</v>
      </c>
      <c r="O197" s="180">
        <v>3</v>
      </c>
      <c r="P197" s="179">
        <f t="shared" si="78"/>
        <v>45833</v>
      </c>
      <c r="Q197" s="161">
        <f t="shared" si="79"/>
        <v>115</v>
      </c>
      <c r="R197" s="160">
        <v>45833</v>
      </c>
      <c r="S197" s="160">
        <f t="shared" si="80"/>
        <v>-190</v>
      </c>
      <c r="T197" s="160">
        <f t="shared" si="81"/>
        <v>-167</v>
      </c>
      <c r="U197" s="160">
        <f t="shared" si="82"/>
        <v>-37</v>
      </c>
      <c r="V197" s="171">
        <f t="shared" si="83"/>
        <v>-30</v>
      </c>
      <c r="W197" s="159"/>
      <c r="X197" s="159"/>
      <c r="Y197" s="177"/>
      <c r="Z197" s="166">
        <v>130</v>
      </c>
      <c r="AA197" s="158"/>
      <c r="AB197" s="158"/>
      <c r="AC197" s="158"/>
      <c r="AD197" s="158"/>
      <c r="AE197" s="158"/>
      <c r="AF197" s="158"/>
    </row>
    <row r="198" spans="1:32" x14ac:dyDescent="0.3">
      <c r="A198" s="157">
        <v>8.0299999999999994</v>
      </c>
      <c r="B198" s="158" t="s">
        <v>120</v>
      </c>
      <c r="C198" s="159" t="s">
        <v>987</v>
      </c>
      <c r="D198" s="179">
        <f t="shared" si="72"/>
        <v>45718</v>
      </c>
      <c r="E198" s="180">
        <v>10</v>
      </c>
      <c r="F198" s="179">
        <f t="shared" si="73"/>
        <v>45728</v>
      </c>
      <c r="G198" s="180">
        <v>21</v>
      </c>
      <c r="H198" s="179">
        <f t="shared" si="74"/>
        <v>45749</v>
      </c>
      <c r="I198" s="180">
        <v>5</v>
      </c>
      <c r="J198" s="179">
        <f t="shared" si="75"/>
        <v>45754</v>
      </c>
      <c r="K198" s="180">
        <v>45</v>
      </c>
      <c r="L198" s="179">
        <f t="shared" si="76"/>
        <v>45799</v>
      </c>
      <c r="M198" s="180">
        <v>31</v>
      </c>
      <c r="N198" s="179">
        <f t="shared" si="77"/>
        <v>45830</v>
      </c>
      <c r="O198" s="180">
        <v>3</v>
      </c>
      <c r="P198" s="179">
        <f t="shared" si="78"/>
        <v>45833</v>
      </c>
      <c r="Q198" s="161">
        <f t="shared" si="79"/>
        <v>115</v>
      </c>
      <c r="R198" s="160">
        <v>45833</v>
      </c>
      <c r="S198" s="160">
        <f t="shared" si="80"/>
        <v>-150</v>
      </c>
      <c r="T198" s="160">
        <f t="shared" si="81"/>
        <v>-127</v>
      </c>
      <c r="U198" s="160">
        <f t="shared" si="82"/>
        <v>-37</v>
      </c>
      <c r="V198" s="171">
        <f t="shared" si="83"/>
        <v>-30</v>
      </c>
      <c r="W198" s="159"/>
      <c r="X198" s="159"/>
      <c r="Y198" s="177"/>
      <c r="Z198" s="166">
        <v>90</v>
      </c>
      <c r="AA198" s="158"/>
      <c r="AB198" s="158"/>
      <c r="AC198" s="158"/>
      <c r="AD198" s="158"/>
      <c r="AE198" s="158"/>
      <c r="AF198" s="158"/>
    </row>
    <row r="199" spans="1:32" x14ac:dyDescent="0.3">
      <c r="A199" s="157">
        <v>8.0399999999999991</v>
      </c>
      <c r="B199" s="158" t="s">
        <v>121</v>
      </c>
      <c r="C199" s="159" t="s">
        <v>988</v>
      </c>
      <c r="D199" s="179">
        <f t="shared" si="72"/>
        <v>45718</v>
      </c>
      <c r="E199" s="180">
        <v>10</v>
      </c>
      <c r="F199" s="179">
        <f t="shared" si="73"/>
        <v>45728</v>
      </c>
      <c r="G199" s="180">
        <v>21</v>
      </c>
      <c r="H199" s="179">
        <f t="shared" si="74"/>
        <v>45749</v>
      </c>
      <c r="I199" s="180">
        <v>5</v>
      </c>
      <c r="J199" s="179">
        <f t="shared" si="75"/>
        <v>45754</v>
      </c>
      <c r="K199" s="180">
        <v>45</v>
      </c>
      <c r="L199" s="179">
        <f t="shared" si="76"/>
        <v>45799</v>
      </c>
      <c r="M199" s="180">
        <v>31</v>
      </c>
      <c r="N199" s="179">
        <f t="shared" si="77"/>
        <v>45830</v>
      </c>
      <c r="O199" s="180">
        <v>3</v>
      </c>
      <c r="P199" s="179">
        <f t="shared" si="78"/>
        <v>45833</v>
      </c>
      <c r="Q199" s="161">
        <f t="shared" si="79"/>
        <v>115</v>
      </c>
      <c r="R199" s="160">
        <v>45833</v>
      </c>
      <c r="S199" s="160">
        <f t="shared" si="80"/>
        <v>-190</v>
      </c>
      <c r="T199" s="160">
        <f t="shared" si="81"/>
        <v>-167</v>
      </c>
      <c r="U199" s="160">
        <f t="shared" si="82"/>
        <v>-37</v>
      </c>
      <c r="V199" s="171">
        <f t="shared" si="83"/>
        <v>-30</v>
      </c>
      <c r="W199" s="159"/>
      <c r="X199" s="159"/>
      <c r="Y199" s="177"/>
      <c r="Z199" s="166">
        <v>130</v>
      </c>
      <c r="AA199" s="158"/>
      <c r="AB199" s="158"/>
      <c r="AC199" s="158"/>
      <c r="AD199" s="158"/>
      <c r="AE199" s="158"/>
      <c r="AF199" s="158"/>
    </row>
    <row r="200" spans="1:32" x14ac:dyDescent="0.3">
      <c r="A200" s="157">
        <v>8.0399999999999991</v>
      </c>
      <c r="B200" s="158" t="s">
        <v>121</v>
      </c>
      <c r="C200" s="159" t="s">
        <v>989</v>
      </c>
      <c r="D200" s="179">
        <f t="shared" si="72"/>
        <v>45718</v>
      </c>
      <c r="E200" s="180">
        <v>10</v>
      </c>
      <c r="F200" s="179">
        <f t="shared" si="73"/>
        <v>45728</v>
      </c>
      <c r="G200" s="180">
        <v>21</v>
      </c>
      <c r="H200" s="179">
        <f t="shared" si="74"/>
        <v>45749</v>
      </c>
      <c r="I200" s="180">
        <v>5</v>
      </c>
      <c r="J200" s="179">
        <f t="shared" si="75"/>
        <v>45754</v>
      </c>
      <c r="K200" s="180">
        <v>45</v>
      </c>
      <c r="L200" s="179">
        <f t="shared" si="76"/>
        <v>45799</v>
      </c>
      <c r="M200" s="180">
        <v>31</v>
      </c>
      <c r="N200" s="179">
        <f t="shared" si="77"/>
        <v>45830</v>
      </c>
      <c r="O200" s="180">
        <v>3</v>
      </c>
      <c r="P200" s="179">
        <f t="shared" si="78"/>
        <v>45833</v>
      </c>
      <c r="Q200" s="161">
        <f t="shared" si="79"/>
        <v>115</v>
      </c>
      <c r="R200" s="160">
        <v>45833</v>
      </c>
      <c r="S200" s="160">
        <f t="shared" si="80"/>
        <v>-190</v>
      </c>
      <c r="T200" s="160">
        <f t="shared" si="81"/>
        <v>-167</v>
      </c>
      <c r="U200" s="160">
        <f t="shared" si="82"/>
        <v>-37</v>
      </c>
      <c r="V200" s="171">
        <f t="shared" si="83"/>
        <v>-30</v>
      </c>
      <c r="W200" s="159"/>
      <c r="X200" s="159"/>
      <c r="Y200" s="177"/>
      <c r="Z200" s="166">
        <v>130</v>
      </c>
      <c r="AA200" s="158"/>
      <c r="AB200" s="158"/>
      <c r="AC200" s="158"/>
      <c r="AD200" s="158"/>
      <c r="AE200" s="158"/>
      <c r="AF200" s="158"/>
    </row>
    <row r="201" spans="1:32" x14ac:dyDescent="0.3">
      <c r="A201" s="157">
        <v>8.0399999999999991</v>
      </c>
      <c r="B201" s="158" t="s">
        <v>121</v>
      </c>
      <c r="C201" s="159" t="s">
        <v>990</v>
      </c>
      <c r="D201" s="179">
        <f t="shared" si="72"/>
        <v>45718</v>
      </c>
      <c r="E201" s="180">
        <v>10</v>
      </c>
      <c r="F201" s="179">
        <f t="shared" si="73"/>
        <v>45728</v>
      </c>
      <c r="G201" s="180">
        <v>21</v>
      </c>
      <c r="H201" s="179">
        <f t="shared" si="74"/>
        <v>45749</v>
      </c>
      <c r="I201" s="180">
        <v>5</v>
      </c>
      <c r="J201" s="179">
        <f t="shared" si="75"/>
        <v>45754</v>
      </c>
      <c r="K201" s="180">
        <v>45</v>
      </c>
      <c r="L201" s="179">
        <f t="shared" si="76"/>
        <v>45799</v>
      </c>
      <c r="M201" s="180">
        <v>31</v>
      </c>
      <c r="N201" s="179">
        <f t="shared" si="77"/>
        <v>45830</v>
      </c>
      <c r="O201" s="180">
        <v>3</v>
      </c>
      <c r="P201" s="179">
        <f t="shared" si="78"/>
        <v>45833</v>
      </c>
      <c r="Q201" s="161">
        <f t="shared" si="79"/>
        <v>115</v>
      </c>
      <c r="R201" s="160">
        <v>45833</v>
      </c>
      <c r="S201" s="160">
        <f t="shared" si="80"/>
        <v>-90</v>
      </c>
      <c r="T201" s="160">
        <f t="shared" si="81"/>
        <v>-67</v>
      </c>
      <c r="U201" s="160">
        <f t="shared" si="82"/>
        <v>-37</v>
      </c>
      <c r="V201" s="171">
        <f t="shared" si="83"/>
        <v>-30</v>
      </c>
      <c r="W201" s="159"/>
      <c r="X201" s="159"/>
      <c r="Y201" s="177"/>
      <c r="Z201" s="166">
        <v>30</v>
      </c>
      <c r="AA201" s="158"/>
      <c r="AB201" s="158"/>
      <c r="AC201" s="158"/>
      <c r="AD201" s="158"/>
      <c r="AE201" s="158"/>
      <c r="AF201" s="158"/>
    </row>
    <row r="202" spans="1:32" x14ac:dyDescent="0.3">
      <c r="A202" s="157">
        <v>8.0500000000000007</v>
      </c>
      <c r="B202" s="158" t="s">
        <v>991</v>
      </c>
      <c r="C202" s="159" t="s">
        <v>992</v>
      </c>
      <c r="D202" s="179">
        <f t="shared" si="72"/>
        <v>45718</v>
      </c>
      <c r="E202" s="180">
        <v>10</v>
      </c>
      <c r="F202" s="179">
        <f t="shared" si="73"/>
        <v>45728</v>
      </c>
      <c r="G202" s="180">
        <v>21</v>
      </c>
      <c r="H202" s="179">
        <f t="shared" si="74"/>
        <v>45749</v>
      </c>
      <c r="I202" s="180">
        <v>5</v>
      </c>
      <c r="J202" s="179">
        <f t="shared" si="75"/>
        <v>45754</v>
      </c>
      <c r="K202" s="180">
        <v>45</v>
      </c>
      <c r="L202" s="179">
        <f t="shared" si="76"/>
        <v>45799</v>
      </c>
      <c r="M202" s="180">
        <v>31</v>
      </c>
      <c r="N202" s="179">
        <f t="shared" si="77"/>
        <v>45830</v>
      </c>
      <c r="O202" s="180">
        <v>3</v>
      </c>
      <c r="P202" s="179">
        <f t="shared" si="78"/>
        <v>45833</v>
      </c>
      <c r="Q202" s="161">
        <f t="shared" si="79"/>
        <v>115</v>
      </c>
      <c r="R202" s="160">
        <v>45833</v>
      </c>
      <c r="S202" s="160">
        <f t="shared" si="80"/>
        <v>-130</v>
      </c>
      <c r="T202" s="160">
        <f t="shared" si="81"/>
        <v>-107</v>
      </c>
      <c r="U202" s="160">
        <f t="shared" si="82"/>
        <v>-37</v>
      </c>
      <c r="V202" s="171">
        <f t="shared" si="83"/>
        <v>-30</v>
      </c>
      <c r="W202" s="159"/>
      <c r="X202" s="159"/>
      <c r="Y202" s="177"/>
      <c r="Z202" s="166">
        <v>70</v>
      </c>
      <c r="AA202" s="158"/>
      <c r="AB202" s="158"/>
      <c r="AC202" s="158"/>
      <c r="AD202" s="158"/>
      <c r="AE202" s="158"/>
      <c r="AF202" s="158"/>
    </row>
    <row r="203" spans="1:32" x14ac:dyDescent="0.3">
      <c r="A203" s="157">
        <v>8.0500000000000007</v>
      </c>
      <c r="B203" s="158" t="s">
        <v>991</v>
      </c>
      <c r="C203" s="159" t="s">
        <v>993</v>
      </c>
      <c r="D203" s="179">
        <f t="shared" si="72"/>
        <v>45718</v>
      </c>
      <c r="E203" s="180">
        <v>10</v>
      </c>
      <c r="F203" s="179">
        <f t="shared" si="73"/>
        <v>45728</v>
      </c>
      <c r="G203" s="180">
        <v>21</v>
      </c>
      <c r="H203" s="179">
        <f t="shared" si="74"/>
        <v>45749</v>
      </c>
      <c r="I203" s="180">
        <v>5</v>
      </c>
      <c r="J203" s="179">
        <f t="shared" si="75"/>
        <v>45754</v>
      </c>
      <c r="K203" s="180">
        <v>45</v>
      </c>
      <c r="L203" s="179">
        <f t="shared" si="76"/>
        <v>45799</v>
      </c>
      <c r="M203" s="180">
        <v>31</v>
      </c>
      <c r="N203" s="179">
        <f t="shared" si="77"/>
        <v>45830</v>
      </c>
      <c r="O203" s="180">
        <v>3</v>
      </c>
      <c r="P203" s="179">
        <f t="shared" si="78"/>
        <v>45833</v>
      </c>
      <c r="Q203" s="161">
        <f t="shared" si="79"/>
        <v>115</v>
      </c>
      <c r="R203" s="160">
        <v>45833</v>
      </c>
      <c r="S203" s="160">
        <f t="shared" si="80"/>
        <v>-340</v>
      </c>
      <c r="T203" s="160">
        <f t="shared" si="81"/>
        <v>-317</v>
      </c>
      <c r="U203" s="160">
        <f t="shared" si="82"/>
        <v>-37</v>
      </c>
      <c r="V203" s="171">
        <f t="shared" si="83"/>
        <v>-30</v>
      </c>
      <c r="W203" s="159"/>
      <c r="X203" s="159"/>
      <c r="Y203" s="177"/>
      <c r="Z203" s="166">
        <v>280</v>
      </c>
      <c r="AA203" s="158"/>
      <c r="AB203" s="158"/>
      <c r="AC203" s="158"/>
      <c r="AD203" s="158"/>
      <c r="AE203" s="158"/>
      <c r="AF203" s="158"/>
    </row>
    <row r="204" spans="1:32" x14ac:dyDescent="0.3">
      <c r="A204" s="157">
        <v>8.0500000000000007</v>
      </c>
      <c r="B204" s="158" t="s">
        <v>991</v>
      </c>
      <c r="C204" s="159" t="s">
        <v>994</v>
      </c>
      <c r="D204" s="179">
        <f t="shared" si="72"/>
        <v>45718</v>
      </c>
      <c r="E204" s="180">
        <v>10</v>
      </c>
      <c r="F204" s="179">
        <f t="shared" si="73"/>
        <v>45728</v>
      </c>
      <c r="G204" s="180">
        <v>21</v>
      </c>
      <c r="H204" s="179">
        <f t="shared" si="74"/>
        <v>45749</v>
      </c>
      <c r="I204" s="180">
        <v>5</v>
      </c>
      <c r="J204" s="179">
        <f t="shared" si="75"/>
        <v>45754</v>
      </c>
      <c r="K204" s="180">
        <v>45</v>
      </c>
      <c r="L204" s="179">
        <f t="shared" si="76"/>
        <v>45799</v>
      </c>
      <c r="M204" s="180">
        <v>31</v>
      </c>
      <c r="N204" s="179">
        <f t="shared" si="77"/>
        <v>45830</v>
      </c>
      <c r="O204" s="180">
        <v>3</v>
      </c>
      <c r="P204" s="179">
        <f t="shared" si="78"/>
        <v>45833</v>
      </c>
      <c r="Q204" s="161">
        <f t="shared" si="79"/>
        <v>115</v>
      </c>
      <c r="R204" s="160">
        <v>45833</v>
      </c>
      <c r="S204" s="160">
        <f t="shared" si="80"/>
        <v>-75</v>
      </c>
      <c r="T204" s="160">
        <f t="shared" si="81"/>
        <v>-52</v>
      </c>
      <c r="U204" s="160">
        <f t="shared" si="82"/>
        <v>-37</v>
      </c>
      <c r="V204" s="171">
        <f t="shared" si="83"/>
        <v>-30</v>
      </c>
      <c r="W204" s="159"/>
      <c r="X204" s="159"/>
      <c r="Y204" s="177"/>
      <c r="Z204" s="166">
        <v>15</v>
      </c>
      <c r="AA204" s="158"/>
      <c r="AB204" s="158"/>
      <c r="AC204" s="158"/>
      <c r="AD204" s="158"/>
      <c r="AE204" s="158"/>
      <c r="AF204" s="158"/>
    </row>
    <row r="205" spans="1:32" x14ac:dyDescent="0.3">
      <c r="A205" s="157">
        <v>8.0500000000000007</v>
      </c>
      <c r="B205" s="158" t="s">
        <v>991</v>
      </c>
      <c r="C205" s="159" t="s">
        <v>995</v>
      </c>
      <c r="D205" s="179">
        <f t="shared" si="72"/>
        <v>45718</v>
      </c>
      <c r="E205" s="180">
        <v>10</v>
      </c>
      <c r="F205" s="179">
        <f t="shared" si="73"/>
        <v>45728</v>
      </c>
      <c r="G205" s="180">
        <v>21</v>
      </c>
      <c r="H205" s="179">
        <f t="shared" si="74"/>
        <v>45749</v>
      </c>
      <c r="I205" s="180">
        <v>5</v>
      </c>
      <c r="J205" s="179">
        <f t="shared" si="75"/>
        <v>45754</v>
      </c>
      <c r="K205" s="180">
        <v>45</v>
      </c>
      <c r="L205" s="179">
        <f t="shared" si="76"/>
        <v>45799</v>
      </c>
      <c r="M205" s="180">
        <v>31</v>
      </c>
      <c r="N205" s="179">
        <f t="shared" si="77"/>
        <v>45830</v>
      </c>
      <c r="O205" s="180">
        <v>3</v>
      </c>
      <c r="P205" s="179">
        <f t="shared" si="78"/>
        <v>45833</v>
      </c>
      <c r="Q205" s="161">
        <f t="shared" si="79"/>
        <v>115</v>
      </c>
      <c r="R205" s="160">
        <v>45833</v>
      </c>
      <c r="S205" s="160">
        <f t="shared" si="80"/>
        <v>-120</v>
      </c>
      <c r="T205" s="160">
        <f t="shared" si="81"/>
        <v>-97</v>
      </c>
      <c r="U205" s="160">
        <f t="shared" si="82"/>
        <v>-37</v>
      </c>
      <c r="V205" s="171">
        <f t="shared" si="83"/>
        <v>-30</v>
      </c>
      <c r="W205" s="159"/>
      <c r="X205" s="159"/>
      <c r="Y205" s="177"/>
      <c r="Z205" s="166">
        <v>60</v>
      </c>
      <c r="AA205" s="158"/>
      <c r="AB205" s="158"/>
      <c r="AC205" s="158"/>
      <c r="AD205" s="158"/>
      <c r="AE205" s="158"/>
      <c r="AF205" s="158"/>
    </row>
    <row r="206" spans="1:32" x14ac:dyDescent="0.3">
      <c r="A206" s="157">
        <v>8.0500000000000007</v>
      </c>
      <c r="B206" s="158" t="s">
        <v>991</v>
      </c>
      <c r="C206" s="159" t="s">
        <v>996</v>
      </c>
      <c r="D206" s="179">
        <f t="shared" si="72"/>
        <v>45718</v>
      </c>
      <c r="E206" s="180">
        <v>10</v>
      </c>
      <c r="F206" s="179">
        <f t="shared" si="73"/>
        <v>45728</v>
      </c>
      <c r="G206" s="180">
        <v>21</v>
      </c>
      <c r="H206" s="179">
        <f t="shared" si="74"/>
        <v>45749</v>
      </c>
      <c r="I206" s="180">
        <v>5</v>
      </c>
      <c r="J206" s="179">
        <f t="shared" si="75"/>
        <v>45754</v>
      </c>
      <c r="K206" s="180">
        <v>45</v>
      </c>
      <c r="L206" s="179">
        <f t="shared" si="76"/>
        <v>45799</v>
      </c>
      <c r="M206" s="180">
        <v>31</v>
      </c>
      <c r="N206" s="179">
        <f t="shared" si="77"/>
        <v>45830</v>
      </c>
      <c r="O206" s="180">
        <v>3</v>
      </c>
      <c r="P206" s="179">
        <f t="shared" si="78"/>
        <v>45833</v>
      </c>
      <c r="Q206" s="161">
        <f t="shared" si="79"/>
        <v>115</v>
      </c>
      <c r="R206" s="160">
        <v>45833</v>
      </c>
      <c r="S206" s="160">
        <f t="shared" si="80"/>
        <v>-120</v>
      </c>
      <c r="T206" s="160">
        <f t="shared" si="81"/>
        <v>-97</v>
      </c>
      <c r="U206" s="160">
        <f t="shared" si="82"/>
        <v>-37</v>
      </c>
      <c r="V206" s="171">
        <f t="shared" si="83"/>
        <v>-30</v>
      </c>
      <c r="W206" s="159"/>
      <c r="X206" s="159"/>
      <c r="Y206" s="177"/>
      <c r="Z206" s="166">
        <v>60</v>
      </c>
      <c r="AA206" s="158"/>
      <c r="AB206" s="158"/>
      <c r="AC206" s="158"/>
      <c r="AD206" s="158"/>
      <c r="AE206" s="158"/>
      <c r="AF206" s="158"/>
    </row>
    <row r="207" spans="1:32" x14ac:dyDescent="0.3">
      <c r="A207" s="157">
        <v>8.0500000000000007</v>
      </c>
      <c r="B207" s="158" t="s">
        <v>991</v>
      </c>
      <c r="C207" s="159" t="s">
        <v>997</v>
      </c>
      <c r="D207" s="179">
        <f t="shared" si="72"/>
        <v>45718</v>
      </c>
      <c r="E207" s="180">
        <v>10</v>
      </c>
      <c r="F207" s="179">
        <f t="shared" si="73"/>
        <v>45728</v>
      </c>
      <c r="G207" s="180">
        <v>21</v>
      </c>
      <c r="H207" s="179">
        <f t="shared" si="74"/>
        <v>45749</v>
      </c>
      <c r="I207" s="180">
        <v>5</v>
      </c>
      <c r="J207" s="179">
        <f t="shared" si="75"/>
        <v>45754</v>
      </c>
      <c r="K207" s="180">
        <v>45</v>
      </c>
      <c r="L207" s="179">
        <f t="shared" si="76"/>
        <v>45799</v>
      </c>
      <c r="M207" s="180">
        <v>31</v>
      </c>
      <c r="N207" s="179">
        <f t="shared" si="77"/>
        <v>45830</v>
      </c>
      <c r="O207" s="180">
        <v>3</v>
      </c>
      <c r="P207" s="179">
        <f t="shared" si="78"/>
        <v>45833</v>
      </c>
      <c r="Q207" s="161">
        <f t="shared" si="79"/>
        <v>115</v>
      </c>
      <c r="R207" s="160">
        <v>45833</v>
      </c>
      <c r="S207" s="160">
        <f t="shared" si="80"/>
        <v>-90</v>
      </c>
      <c r="T207" s="160">
        <f t="shared" si="81"/>
        <v>-67</v>
      </c>
      <c r="U207" s="160">
        <f t="shared" si="82"/>
        <v>-37</v>
      </c>
      <c r="V207" s="171">
        <f t="shared" si="83"/>
        <v>-30</v>
      </c>
      <c r="W207" s="159"/>
      <c r="X207" s="159"/>
      <c r="Y207" s="177"/>
      <c r="Z207" s="166">
        <v>30</v>
      </c>
      <c r="AA207" s="158"/>
      <c r="AB207" s="158"/>
      <c r="AC207" s="158"/>
      <c r="AD207" s="158"/>
      <c r="AE207" s="158"/>
      <c r="AF207" s="158"/>
    </row>
    <row r="208" spans="1:32" x14ac:dyDescent="0.3">
      <c r="A208" s="157">
        <v>8.0500000000000007</v>
      </c>
      <c r="B208" s="158" t="s">
        <v>991</v>
      </c>
      <c r="C208" s="159" t="s">
        <v>998</v>
      </c>
      <c r="D208" s="179">
        <f t="shared" si="72"/>
        <v>45718</v>
      </c>
      <c r="E208" s="180">
        <v>10</v>
      </c>
      <c r="F208" s="179">
        <f t="shared" si="73"/>
        <v>45728</v>
      </c>
      <c r="G208" s="180">
        <v>21</v>
      </c>
      <c r="H208" s="179">
        <f t="shared" si="74"/>
        <v>45749</v>
      </c>
      <c r="I208" s="180">
        <v>5</v>
      </c>
      <c r="J208" s="179">
        <f t="shared" si="75"/>
        <v>45754</v>
      </c>
      <c r="K208" s="180">
        <v>45</v>
      </c>
      <c r="L208" s="179">
        <f t="shared" si="76"/>
        <v>45799</v>
      </c>
      <c r="M208" s="180">
        <v>31</v>
      </c>
      <c r="N208" s="179">
        <f t="shared" si="77"/>
        <v>45830</v>
      </c>
      <c r="O208" s="180">
        <v>3</v>
      </c>
      <c r="P208" s="179">
        <f t="shared" si="78"/>
        <v>45833</v>
      </c>
      <c r="Q208" s="161">
        <f t="shared" si="79"/>
        <v>115</v>
      </c>
      <c r="R208" s="160">
        <v>45833</v>
      </c>
      <c r="S208" s="160">
        <f t="shared" si="80"/>
        <v>-90</v>
      </c>
      <c r="T208" s="160">
        <f t="shared" si="81"/>
        <v>-67</v>
      </c>
      <c r="U208" s="160">
        <f t="shared" si="82"/>
        <v>-37</v>
      </c>
      <c r="V208" s="171">
        <f t="shared" si="83"/>
        <v>-30</v>
      </c>
      <c r="W208" s="159"/>
      <c r="X208" s="159"/>
      <c r="Y208" s="177"/>
      <c r="Z208" s="166">
        <v>30</v>
      </c>
      <c r="AA208" s="158"/>
      <c r="AB208" s="158"/>
      <c r="AC208" s="158"/>
      <c r="AD208" s="158"/>
      <c r="AE208" s="158"/>
      <c r="AF208" s="158"/>
    </row>
    <row r="209" spans="1:32" x14ac:dyDescent="0.3">
      <c r="A209" s="157">
        <v>8.0500000000000007</v>
      </c>
      <c r="B209" s="158" t="s">
        <v>991</v>
      </c>
      <c r="C209" s="159" t="s">
        <v>999</v>
      </c>
      <c r="D209" s="179">
        <f t="shared" si="72"/>
        <v>45718</v>
      </c>
      <c r="E209" s="180">
        <v>10</v>
      </c>
      <c r="F209" s="179">
        <f t="shared" si="73"/>
        <v>45728</v>
      </c>
      <c r="G209" s="180">
        <v>21</v>
      </c>
      <c r="H209" s="179">
        <f t="shared" si="74"/>
        <v>45749</v>
      </c>
      <c r="I209" s="180">
        <v>5</v>
      </c>
      <c r="J209" s="179">
        <f t="shared" si="75"/>
        <v>45754</v>
      </c>
      <c r="K209" s="180">
        <v>45</v>
      </c>
      <c r="L209" s="179">
        <f t="shared" si="76"/>
        <v>45799</v>
      </c>
      <c r="M209" s="180">
        <v>31</v>
      </c>
      <c r="N209" s="179">
        <f t="shared" si="77"/>
        <v>45830</v>
      </c>
      <c r="O209" s="180">
        <v>3</v>
      </c>
      <c r="P209" s="179">
        <f t="shared" si="78"/>
        <v>45833</v>
      </c>
      <c r="Q209" s="161">
        <f t="shared" si="79"/>
        <v>115</v>
      </c>
      <c r="R209" s="160">
        <v>45833</v>
      </c>
      <c r="S209" s="160">
        <f t="shared" si="80"/>
        <v>-90</v>
      </c>
      <c r="T209" s="160">
        <f t="shared" si="81"/>
        <v>-67</v>
      </c>
      <c r="U209" s="160">
        <f t="shared" si="82"/>
        <v>-37</v>
      </c>
      <c r="V209" s="171">
        <f t="shared" si="83"/>
        <v>-30</v>
      </c>
      <c r="W209" s="159"/>
      <c r="X209" s="159"/>
      <c r="Y209" s="177"/>
      <c r="Z209" s="166">
        <v>30</v>
      </c>
      <c r="AA209" s="158"/>
      <c r="AB209" s="158"/>
      <c r="AC209" s="158"/>
      <c r="AD209" s="158"/>
      <c r="AE209" s="158"/>
      <c r="AF209" s="158"/>
    </row>
    <row r="210" spans="1:32" x14ac:dyDescent="0.3">
      <c r="A210" s="157">
        <v>8.0500000000000007</v>
      </c>
      <c r="B210" s="158" t="s">
        <v>991</v>
      </c>
      <c r="C210" s="159" t="s">
        <v>996</v>
      </c>
      <c r="D210" s="179">
        <f t="shared" si="72"/>
        <v>45718</v>
      </c>
      <c r="E210" s="180">
        <v>10</v>
      </c>
      <c r="F210" s="179">
        <f t="shared" si="73"/>
        <v>45728</v>
      </c>
      <c r="G210" s="180">
        <v>21</v>
      </c>
      <c r="H210" s="179">
        <f t="shared" si="74"/>
        <v>45749</v>
      </c>
      <c r="I210" s="180">
        <v>5</v>
      </c>
      <c r="J210" s="179">
        <f t="shared" si="75"/>
        <v>45754</v>
      </c>
      <c r="K210" s="180">
        <v>45</v>
      </c>
      <c r="L210" s="179">
        <f t="shared" si="76"/>
        <v>45799</v>
      </c>
      <c r="M210" s="180">
        <v>31</v>
      </c>
      <c r="N210" s="179">
        <f t="shared" si="77"/>
        <v>45830</v>
      </c>
      <c r="O210" s="180">
        <v>3</v>
      </c>
      <c r="P210" s="179">
        <f t="shared" si="78"/>
        <v>45833</v>
      </c>
      <c r="Q210" s="161">
        <f t="shared" si="79"/>
        <v>115</v>
      </c>
      <c r="R210" s="160">
        <v>45833</v>
      </c>
      <c r="S210" s="160">
        <f t="shared" si="80"/>
        <v>-120</v>
      </c>
      <c r="T210" s="160">
        <f t="shared" si="81"/>
        <v>-97</v>
      </c>
      <c r="U210" s="160">
        <f t="shared" si="82"/>
        <v>-37</v>
      </c>
      <c r="V210" s="171">
        <f t="shared" si="83"/>
        <v>-30</v>
      </c>
      <c r="W210" s="159"/>
      <c r="X210" s="159"/>
      <c r="Y210" s="177"/>
      <c r="Z210" s="166">
        <v>60</v>
      </c>
      <c r="AA210" s="158"/>
      <c r="AB210" s="158"/>
      <c r="AC210" s="158"/>
      <c r="AD210" s="158"/>
      <c r="AE210" s="158"/>
      <c r="AF210" s="158"/>
    </row>
    <row r="211" spans="1:32" x14ac:dyDescent="0.3">
      <c r="A211" s="157">
        <v>8.0500000000000007</v>
      </c>
      <c r="B211" s="158" t="s">
        <v>991</v>
      </c>
      <c r="C211" s="159" t="s">
        <v>1000</v>
      </c>
      <c r="D211" s="179">
        <f t="shared" si="72"/>
        <v>45718</v>
      </c>
      <c r="E211" s="180">
        <v>10</v>
      </c>
      <c r="F211" s="179">
        <f t="shared" si="73"/>
        <v>45728</v>
      </c>
      <c r="G211" s="180">
        <v>21</v>
      </c>
      <c r="H211" s="179">
        <f t="shared" si="74"/>
        <v>45749</v>
      </c>
      <c r="I211" s="180">
        <v>5</v>
      </c>
      <c r="J211" s="179">
        <f t="shared" si="75"/>
        <v>45754</v>
      </c>
      <c r="K211" s="180">
        <v>45</v>
      </c>
      <c r="L211" s="179">
        <f t="shared" si="76"/>
        <v>45799</v>
      </c>
      <c r="M211" s="180">
        <v>31</v>
      </c>
      <c r="N211" s="179">
        <f t="shared" si="77"/>
        <v>45830</v>
      </c>
      <c r="O211" s="180">
        <v>3</v>
      </c>
      <c r="P211" s="179">
        <f t="shared" si="78"/>
        <v>45833</v>
      </c>
      <c r="Q211" s="161">
        <f t="shared" si="79"/>
        <v>115</v>
      </c>
      <c r="R211" s="160">
        <v>45833</v>
      </c>
      <c r="S211" s="160">
        <f t="shared" si="80"/>
        <v>-190</v>
      </c>
      <c r="T211" s="160">
        <f t="shared" si="81"/>
        <v>-167</v>
      </c>
      <c r="U211" s="160">
        <f t="shared" si="82"/>
        <v>-37</v>
      </c>
      <c r="V211" s="171">
        <f t="shared" si="83"/>
        <v>-30</v>
      </c>
      <c r="W211" s="159"/>
      <c r="X211" s="159"/>
      <c r="Y211" s="177"/>
      <c r="Z211" s="166">
        <v>130</v>
      </c>
      <c r="AA211" s="158"/>
      <c r="AB211" s="158"/>
      <c r="AC211" s="158"/>
      <c r="AD211" s="158"/>
      <c r="AE211" s="158"/>
      <c r="AF211" s="158"/>
    </row>
    <row r="212" spans="1:32" x14ac:dyDescent="0.3">
      <c r="A212" s="157">
        <v>8.0500000000000007</v>
      </c>
      <c r="B212" s="158" t="s">
        <v>991</v>
      </c>
      <c r="C212" s="159" t="s">
        <v>1001</v>
      </c>
      <c r="D212" s="179">
        <f t="shared" si="72"/>
        <v>45718</v>
      </c>
      <c r="E212" s="180">
        <v>10</v>
      </c>
      <c r="F212" s="179">
        <f t="shared" si="73"/>
        <v>45728</v>
      </c>
      <c r="G212" s="180">
        <v>21</v>
      </c>
      <c r="H212" s="179">
        <f t="shared" si="74"/>
        <v>45749</v>
      </c>
      <c r="I212" s="180">
        <v>5</v>
      </c>
      <c r="J212" s="179">
        <f t="shared" si="75"/>
        <v>45754</v>
      </c>
      <c r="K212" s="180">
        <v>45</v>
      </c>
      <c r="L212" s="179">
        <f t="shared" si="76"/>
        <v>45799</v>
      </c>
      <c r="M212" s="180">
        <v>31</v>
      </c>
      <c r="N212" s="179">
        <f t="shared" si="77"/>
        <v>45830</v>
      </c>
      <c r="O212" s="180">
        <v>3</v>
      </c>
      <c r="P212" s="179">
        <f t="shared" si="78"/>
        <v>45833</v>
      </c>
      <c r="Q212" s="161">
        <f t="shared" si="79"/>
        <v>115</v>
      </c>
      <c r="R212" s="160">
        <v>45833</v>
      </c>
      <c r="S212" s="160">
        <f t="shared" si="80"/>
        <v>-120</v>
      </c>
      <c r="T212" s="160">
        <f t="shared" si="81"/>
        <v>-97</v>
      </c>
      <c r="U212" s="160">
        <f t="shared" si="82"/>
        <v>-37</v>
      </c>
      <c r="V212" s="171">
        <f t="shared" si="83"/>
        <v>-30</v>
      </c>
      <c r="W212" s="159"/>
      <c r="X212" s="159"/>
      <c r="Y212" s="177"/>
      <c r="Z212" s="166">
        <v>60</v>
      </c>
      <c r="AA212" s="158"/>
      <c r="AB212" s="158"/>
      <c r="AC212" s="158"/>
      <c r="AD212" s="158"/>
      <c r="AE212" s="158"/>
      <c r="AF212" s="158"/>
    </row>
    <row r="213" spans="1:32" x14ac:dyDescent="0.3">
      <c r="A213" s="157">
        <v>8.0500000000000007</v>
      </c>
      <c r="B213" s="158" t="s">
        <v>991</v>
      </c>
      <c r="C213" s="159" t="s">
        <v>1002</v>
      </c>
      <c r="D213" s="179">
        <f t="shared" si="72"/>
        <v>45718</v>
      </c>
      <c r="E213" s="180">
        <v>10</v>
      </c>
      <c r="F213" s="179">
        <f t="shared" si="73"/>
        <v>45728</v>
      </c>
      <c r="G213" s="180">
        <v>21</v>
      </c>
      <c r="H213" s="179">
        <f t="shared" si="74"/>
        <v>45749</v>
      </c>
      <c r="I213" s="180">
        <v>5</v>
      </c>
      <c r="J213" s="179">
        <f t="shared" si="75"/>
        <v>45754</v>
      </c>
      <c r="K213" s="180">
        <v>45</v>
      </c>
      <c r="L213" s="179">
        <f t="shared" si="76"/>
        <v>45799</v>
      </c>
      <c r="M213" s="180">
        <v>31</v>
      </c>
      <c r="N213" s="179">
        <f t="shared" si="77"/>
        <v>45830</v>
      </c>
      <c r="O213" s="180">
        <v>3</v>
      </c>
      <c r="P213" s="179">
        <f t="shared" si="78"/>
        <v>45833</v>
      </c>
      <c r="Q213" s="161">
        <f t="shared" si="79"/>
        <v>115</v>
      </c>
      <c r="R213" s="160">
        <v>45833</v>
      </c>
      <c r="S213" s="160">
        <f t="shared" si="80"/>
        <v>-90</v>
      </c>
      <c r="T213" s="160">
        <f t="shared" si="81"/>
        <v>-67</v>
      </c>
      <c r="U213" s="160">
        <f t="shared" si="82"/>
        <v>-37</v>
      </c>
      <c r="V213" s="171">
        <f t="shared" si="83"/>
        <v>-30</v>
      </c>
      <c r="W213" s="159"/>
      <c r="X213" s="159"/>
      <c r="Y213" s="177"/>
      <c r="Z213" s="166">
        <v>30</v>
      </c>
      <c r="AA213" s="158"/>
      <c r="AB213" s="158"/>
      <c r="AC213" s="158"/>
      <c r="AD213" s="158"/>
      <c r="AE213" s="158"/>
      <c r="AF213" s="158"/>
    </row>
    <row r="214" spans="1:32" x14ac:dyDescent="0.3">
      <c r="A214" s="157">
        <v>8.0500000000000007</v>
      </c>
      <c r="B214" s="158" t="s">
        <v>991</v>
      </c>
      <c r="C214" s="159" t="s">
        <v>1003</v>
      </c>
      <c r="D214" s="179">
        <f t="shared" si="72"/>
        <v>45718</v>
      </c>
      <c r="E214" s="180">
        <v>10</v>
      </c>
      <c r="F214" s="179">
        <f t="shared" si="73"/>
        <v>45728</v>
      </c>
      <c r="G214" s="180">
        <v>21</v>
      </c>
      <c r="H214" s="179">
        <f t="shared" si="74"/>
        <v>45749</v>
      </c>
      <c r="I214" s="180">
        <v>5</v>
      </c>
      <c r="J214" s="179">
        <f t="shared" si="75"/>
        <v>45754</v>
      </c>
      <c r="K214" s="180">
        <v>45</v>
      </c>
      <c r="L214" s="179">
        <f t="shared" si="76"/>
        <v>45799</v>
      </c>
      <c r="M214" s="180">
        <v>31</v>
      </c>
      <c r="N214" s="179">
        <f t="shared" si="77"/>
        <v>45830</v>
      </c>
      <c r="O214" s="180">
        <v>3</v>
      </c>
      <c r="P214" s="179">
        <f t="shared" si="78"/>
        <v>45833</v>
      </c>
      <c r="Q214" s="161">
        <f t="shared" si="79"/>
        <v>115</v>
      </c>
      <c r="R214" s="160">
        <v>45833</v>
      </c>
      <c r="S214" s="160">
        <f t="shared" si="80"/>
        <v>-90</v>
      </c>
      <c r="T214" s="160">
        <f t="shared" si="81"/>
        <v>-67</v>
      </c>
      <c r="U214" s="160">
        <f t="shared" si="82"/>
        <v>-37</v>
      </c>
      <c r="V214" s="171">
        <f t="shared" si="83"/>
        <v>-30</v>
      </c>
      <c r="W214" s="159"/>
      <c r="X214" s="159"/>
      <c r="Y214" s="177"/>
      <c r="Z214" s="166">
        <v>30</v>
      </c>
      <c r="AA214" s="158"/>
      <c r="AB214" s="158"/>
      <c r="AC214" s="158"/>
      <c r="AD214" s="158"/>
      <c r="AE214" s="158"/>
      <c r="AF214" s="158"/>
    </row>
    <row r="215" spans="1:32" x14ac:dyDescent="0.3">
      <c r="A215" s="157">
        <v>8.06</v>
      </c>
      <c r="B215" s="158" t="s">
        <v>1004</v>
      </c>
      <c r="C215" s="159" t="s">
        <v>1005</v>
      </c>
      <c r="D215" s="179">
        <f t="shared" ref="D215:D246" si="84">R215-(E215+G215+I215+K215+M215+O215)</f>
        <v>45718</v>
      </c>
      <c r="E215" s="180">
        <v>10</v>
      </c>
      <c r="F215" s="179">
        <f t="shared" ref="F215:F246" si="85">D215+E215</f>
        <v>45728</v>
      </c>
      <c r="G215" s="180">
        <v>21</v>
      </c>
      <c r="H215" s="179">
        <f t="shared" ref="H215:H246" si="86">F215+G215</f>
        <v>45749</v>
      </c>
      <c r="I215" s="180">
        <v>5</v>
      </c>
      <c r="J215" s="179">
        <f t="shared" ref="J215:J246" si="87">H215+I215</f>
        <v>45754</v>
      </c>
      <c r="K215" s="180">
        <v>45</v>
      </c>
      <c r="L215" s="179">
        <f t="shared" ref="L215:L246" si="88">J215+K215</f>
        <v>45799</v>
      </c>
      <c r="M215" s="180">
        <v>31</v>
      </c>
      <c r="N215" s="179">
        <f t="shared" ref="N215:N246" si="89">L215+M215</f>
        <v>45830</v>
      </c>
      <c r="O215" s="180">
        <v>3</v>
      </c>
      <c r="P215" s="179">
        <f t="shared" ref="P215:P246" si="90">N215+O215</f>
        <v>45833</v>
      </c>
      <c r="Q215" s="161">
        <f t="shared" ref="Q215:Q246" si="91">O215+M215+K215+I215+G215+E215</f>
        <v>115</v>
      </c>
      <c r="R215" s="160">
        <v>45833</v>
      </c>
      <c r="S215" s="160">
        <f t="shared" ref="S215:S246" si="92">+T215-23</f>
        <v>-120</v>
      </c>
      <c r="T215" s="160">
        <f t="shared" ref="T215:T246" si="93">+U215-Z215</f>
        <v>-97</v>
      </c>
      <c r="U215" s="160">
        <f t="shared" ref="U215:U246" si="94">+V215-7</f>
        <v>-37</v>
      </c>
      <c r="V215" s="171">
        <f t="shared" ref="V215:V246" si="95">+$C$6-30</f>
        <v>-30</v>
      </c>
      <c r="W215" s="159"/>
      <c r="X215" s="159"/>
      <c r="Y215" s="177"/>
      <c r="Z215" s="166">
        <v>60</v>
      </c>
      <c r="AA215" s="158"/>
      <c r="AB215" s="158"/>
      <c r="AC215" s="158"/>
      <c r="AD215" s="158"/>
      <c r="AE215" s="158"/>
      <c r="AF215" s="158"/>
    </row>
    <row r="216" spans="1:32" x14ac:dyDescent="0.3">
      <c r="A216" s="157">
        <v>8.06</v>
      </c>
      <c r="B216" s="158" t="s">
        <v>1004</v>
      </c>
      <c r="C216" s="159" t="s">
        <v>1006</v>
      </c>
      <c r="D216" s="179">
        <f t="shared" si="84"/>
        <v>45718</v>
      </c>
      <c r="E216" s="180">
        <v>10</v>
      </c>
      <c r="F216" s="179">
        <f t="shared" si="85"/>
        <v>45728</v>
      </c>
      <c r="G216" s="180">
        <v>21</v>
      </c>
      <c r="H216" s="179">
        <f t="shared" si="86"/>
        <v>45749</v>
      </c>
      <c r="I216" s="180">
        <v>5</v>
      </c>
      <c r="J216" s="179">
        <f t="shared" si="87"/>
        <v>45754</v>
      </c>
      <c r="K216" s="180">
        <v>45</v>
      </c>
      <c r="L216" s="179">
        <f t="shared" si="88"/>
        <v>45799</v>
      </c>
      <c r="M216" s="180">
        <v>31</v>
      </c>
      <c r="N216" s="179">
        <f t="shared" si="89"/>
        <v>45830</v>
      </c>
      <c r="O216" s="180">
        <v>3</v>
      </c>
      <c r="P216" s="179">
        <f t="shared" si="90"/>
        <v>45833</v>
      </c>
      <c r="Q216" s="161">
        <f t="shared" si="91"/>
        <v>115</v>
      </c>
      <c r="R216" s="160">
        <v>45833</v>
      </c>
      <c r="S216" s="160">
        <f t="shared" si="92"/>
        <v>-120</v>
      </c>
      <c r="T216" s="160">
        <f t="shared" si="93"/>
        <v>-97</v>
      </c>
      <c r="U216" s="160">
        <f t="shared" si="94"/>
        <v>-37</v>
      </c>
      <c r="V216" s="171">
        <f t="shared" si="95"/>
        <v>-30</v>
      </c>
      <c r="W216" s="159"/>
      <c r="X216" s="159"/>
      <c r="Y216" s="177"/>
      <c r="Z216" s="166">
        <v>60</v>
      </c>
      <c r="AA216" s="158"/>
      <c r="AB216" s="158"/>
      <c r="AC216" s="158"/>
      <c r="AD216" s="158"/>
      <c r="AE216" s="158"/>
      <c r="AF216" s="158"/>
    </row>
    <row r="217" spans="1:32" x14ac:dyDescent="0.3">
      <c r="A217" s="157">
        <v>8.06</v>
      </c>
      <c r="B217" s="158" t="s">
        <v>1004</v>
      </c>
      <c r="C217" s="159" t="s">
        <v>1007</v>
      </c>
      <c r="D217" s="179">
        <f t="shared" si="84"/>
        <v>45718</v>
      </c>
      <c r="E217" s="180">
        <v>10</v>
      </c>
      <c r="F217" s="179">
        <f t="shared" si="85"/>
        <v>45728</v>
      </c>
      <c r="G217" s="180">
        <v>21</v>
      </c>
      <c r="H217" s="179">
        <f t="shared" si="86"/>
        <v>45749</v>
      </c>
      <c r="I217" s="180">
        <v>5</v>
      </c>
      <c r="J217" s="179">
        <f t="shared" si="87"/>
        <v>45754</v>
      </c>
      <c r="K217" s="180">
        <v>45</v>
      </c>
      <c r="L217" s="179">
        <f t="shared" si="88"/>
        <v>45799</v>
      </c>
      <c r="M217" s="180">
        <v>31</v>
      </c>
      <c r="N217" s="179">
        <f t="shared" si="89"/>
        <v>45830</v>
      </c>
      <c r="O217" s="180">
        <v>3</v>
      </c>
      <c r="P217" s="179">
        <f t="shared" si="90"/>
        <v>45833</v>
      </c>
      <c r="Q217" s="161">
        <f t="shared" si="91"/>
        <v>115</v>
      </c>
      <c r="R217" s="160">
        <v>45833</v>
      </c>
      <c r="S217" s="160">
        <f t="shared" si="92"/>
        <v>-60</v>
      </c>
      <c r="T217" s="160">
        <f t="shared" si="93"/>
        <v>-37</v>
      </c>
      <c r="U217" s="160">
        <f t="shared" si="94"/>
        <v>-37</v>
      </c>
      <c r="V217" s="171">
        <f t="shared" si="95"/>
        <v>-30</v>
      </c>
      <c r="W217" s="159"/>
      <c r="X217" s="159"/>
      <c r="Y217" s="177"/>
      <c r="Z217" s="166"/>
      <c r="AA217" s="158"/>
      <c r="AB217" s="158"/>
      <c r="AC217" s="158"/>
      <c r="AD217" s="158"/>
      <c r="AE217" s="158"/>
      <c r="AF217" s="158"/>
    </row>
    <row r="218" spans="1:32" x14ac:dyDescent="0.3">
      <c r="A218" s="157">
        <v>8.06</v>
      </c>
      <c r="B218" s="158" t="s">
        <v>1004</v>
      </c>
      <c r="C218" s="159" t="s">
        <v>1008</v>
      </c>
      <c r="D218" s="179">
        <f t="shared" si="84"/>
        <v>45718</v>
      </c>
      <c r="E218" s="180">
        <v>10</v>
      </c>
      <c r="F218" s="179">
        <f t="shared" si="85"/>
        <v>45728</v>
      </c>
      <c r="G218" s="180">
        <v>21</v>
      </c>
      <c r="H218" s="179">
        <f t="shared" si="86"/>
        <v>45749</v>
      </c>
      <c r="I218" s="180">
        <v>5</v>
      </c>
      <c r="J218" s="179">
        <f t="shared" si="87"/>
        <v>45754</v>
      </c>
      <c r="K218" s="180">
        <v>45</v>
      </c>
      <c r="L218" s="179">
        <f t="shared" si="88"/>
        <v>45799</v>
      </c>
      <c r="M218" s="180">
        <v>31</v>
      </c>
      <c r="N218" s="179">
        <f t="shared" si="89"/>
        <v>45830</v>
      </c>
      <c r="O218" s="180">
        <v>3</v>
      </c>
      <c r="P218" s="179">
        <f t="shared" si="90"/>
        <v>45833</v>
      </c>
      <c r="Q218" s="161">
        <f t="shared" si="91"/>
        <v>115</v>
      </c>
      <c r="R218" s="160">
        <v>45833</v>
      </c>
      <c r="S218" s="160">
        <f t="shared" si="92"/>
        <v>-120</v>
      </c>
      <c r="T218" s="160">
        <f t="shared" si="93"/>
        <v>-97</v>
      </c>
      <c r="U218" s="160">
        <f t="shared" si="94"/>
        <v>-37</v>
      </c>
      <c r="V218" s="171">
        <f t="shared" si="95"/>
        <v>-30</v>
      </c>
      <c r="W218" s="159"/>
      <c r="X218" s="159"/>
      <c r="Y218" s="177"/>
      <c r="Z218" s="166">
        <v>60</v>
      </c>
      <c r="AA218" s="158"/>
      <c r="AB218" s="158"/>
      <c r="AC218" s="158"/>
      <c r="AD218" s="158"/>
      <c r="AE218" s="158"/>
      <c r="AF218" s="158"/>
    </row>
    <row r="219" spans="1:32" x14ac:dyDescent="0.3">
      <c r="A219" s="157">
        <v>8.06</v>
      </c>
      <c r="B219" s="158" t="s">
        <v>1004</v>
      </c>
      <c r="C219" s="159" t="s">
        <v>1009</v>
      </c>
      <c r="D219" s="179">
        <f t="shared" si="84"/>
        <v>45718</v>
      </c>
      <c r="E219" s="180">
        <v>10</v>
      </c>
      <c r="F219" s="179">
        <f t="shared" si="85"/>
        <v>45728</v>
      </c>
      <c r="G219" s="180">
        <v>21</v>
      </c>
      <c r="H219" s="179">
        <f t="shared" si="86"/>
        <v>45749</v>
      </c>
      <c r="I219" s="180">
        <v>5</v>
      </c>
      <c r="J219" s="179">
        <f t="shared" si="87"/>
        <v>45754</v>
      </c>
      <c r="K219" s="180">
        <v>45</v>
      </c>
      <c r="L219" s="179">
        <f t="shared" si="88"/>
        <v>45799</v>
      </c>
      <c r="M219" s="180">
        <v>31</v>
      </c>
      <c r="N219" s="179">
        <f t="shared" si="89"/>
        <v>45830</v>
      </c>
      <c r="O219" s="180">
        <v>3</v>
      </c>
      <c r="P219" s="179">
        <f t="shared" si="90"/>
        <v>45833</v>
      </c>
      <c r="Q219" s="161">
        <f t="shared" si="91"/>
        <v>115</v>
      </c>
      <c r="R219" s="160">
        <v>45833</v>
      </c>
      <c r="S219" s="160">
        <f t="shared" si="92"/>
        <v>-132</v>
      </c>
      <c r="T219" s="160">
        <f t="shared" si="93"/>
        <v>-109</v>
      </c>
      <c r="U219" s="160">
        <f t="shared" si="94"/>
        <v>-37</v>
      </c>
      <c r="V219" s="171">
        <f t="shared" si="95"/>
        <v>-30</v>
      </c>
      <c r="W219" s="159"/>
      <c r="X219" s="159"/>
      <c r="Y219" s="177"/>
      <c r="Z219" s="166">
        <v>72</v>
      </c>
      <c r="AA219" s="158"/>
      <c r="AB219" s="158"/>
      <c r="AC219" s="158"/>
      <c r="AD219" s="158"/>
      <c r="AE219" s="158"/>
      <c r="AF219" s="158"/>
    </row>
    <row r="220" spans="1:32" x14ac:dyDescent="0.3">
      <c r="A220" s="157">
        <v>8.06</v>
      </c>
      <c r="B220" s="158" t="s">
        <v>1004</v>
      </c>
      <c r="C220" s="159" t="s">
        <v>1010</v>
      </c>
      <c r="D220" s="179">
        <f t="shared" si="84"/>
        <v>45718</v>
      </c>
      <c r="E220" s="180">
        <v>10</v>
      </c>
      <c r="F220" s="179">
        <f t="shared" si="85"/>
        <v>45728</v>
      </c>
      <c r="G220" s="180">
        <v>21</v>
      </c>
      <c r="H220" s="179">
        <f t="shared" si="86"/>
        <v>45749</v>
      </c>
      <c r="I220" s="180">
        <v>5</v>
      </c>
      <c r="J220" s="179">
        <f t="shared" si="87"/>
        <v>45754</v>
      </c>
      <c r="K220" s="180">
        <v>45</v>
      </c>
      <c r="L220" s="179">
        <f t="shared" si="88"/>
        <v>45799</v>
      </c>
      <c r="M220" s="180">
        <v>31</v>
      </c>
      <c r="N220" s="179">
        <f t="shared" si="89"/>
        <v>45830</v>
      </c>
      <c r="O220" s="180">
        <v>3</v>
      </c>
      <c r="P220" s="179">
        <f t="shared" si="90"/>
        <v>45833</v>
      </c>
      <c r="Q220" s="161">
        <f t="shared" si="91"/>
        <v>115</v>
      </c>
      <c r="R220" s="160">
        <v>45833</v>
      </c>
      <c r="S220" s="160">
        <f t="shared" si="92"/>
        <v>-120</v>
      </c>
      <c r="T220" s="160">
        <f t="shared" si="93"/>
        <v>-97</v>
      </c>
      <c r="U220" s="160">
        <f t="shared" si="94"/>
        <v>-37</v>
      </c>
      <c r="V220" s="171">
        <f t="shared" si="95"/>
        <v>-30</v>
      </c>
      <c r="W220" s="159"/>
      <c r="X220" s="159"/>
      <c r="Y220" s="177"/>
      <c r="Z220" s="166">
        <v>60</v>
      </c>
      <c r="AA220" s="158"/>
      <c r="AB220" s="158"/>
      <c r="AC220" s="158"/>
      <c r="AD220" s="158"/>
      <c r="AE220" s="158"/>
      <c r="AF220" s="158"/>
    </row>
    <row r="221" spans="1:32" x14ac:dyDescent="0.3">
      <c r="A221" s="157">
        <v>8.06</v>
      </c>
      <c r="B221" s="158" t="s">
        <v>1004</v>
      </c>
      <c r="C221" s="159" t="s">
        <v>1011</v>
      </c>
      <c r="D221" s="179">
        <f t="shared" si="84"/>
        <v>45718</v>
      </c>
      <c r="E221" s="180">
        <v>10</v>
      </c>
      <c r="F221" s="179">
        <f t="shared" si="85"/>
        <v>45728</v>
      </c>
      <c r="G221" s="180">
        <v>21</v>
      </c>
      <c r="H221" s="179">
        <f t="shared" si="86"/>
        <v>45749</v>
      </c>
      <c r="I221" s="180">
        <v>5</v>
      </c>
      <c r="J221" s="179">
        <f t="shared" si="87"/>
        <v>45754</v>
      </c>
      <c r="K221" s="180">
        <v>45</v>
      </c>
      <c r="L221" s="179">
        <f t="shared" si="88"/>
        <v>45799</v>
      </c>
      <c r="M221" s="180">
        <v>31</v>
      </c>
      <c r="N221" s="179">
        <f t="shared" si="89"/>
        <v>45830</v>
      </c>
      <c r="O221" s="180">
        <v>3</v>
      </c>
      <c r="P221" s="179">
        <f t="shared" si="90"/>
        <v>45833</v>
      </c>
      <c r="Q221" s="161">
        <f t="shared" si="91"/>
        <v>115</v>
      </c>
      <c r="R221" s="160">
        <v>45833</v>
      </c>
      <c r="S221" s="160">
        <f t="shared" si="92"/>
        <v>-120</v>
      </c>
      <c r="T221" s="160">
        <f t="shared" si="93"/>
        <v>-97</v>
      </c>
      <c r="U221" s="160">
        <f t="shared" si="94"/>
        <v>-37</v>
      </c>
      <c r="V221" s="171">
        <f t="shared" si="95"/>
        <v>-30</v>
      </c>
      <c r="W221" s="159"/>
      <c r="X221" s="159"/>
      <c r="Y221" s="177"/>
      <c r="Z221" s="166">
        <v>60</v>
      </c>
      <c r="AA221" s="158"/>
      <c r="AB221" s="158"/>
      <c r="AC221" s="158"/>
      <c r="AD221" s="158"/>
      <c r="AE221" s="158"/>
      <c r="AF221" s="158"/>
    </row>
    <row r="222" spans="1:32" x14ac:dyDescent="0.3">
      <c r="A222" s="157">
        <v>8.06</v>
      </c>
      <c r="B222" s="158" t="s">
        <v>1004</v>
      </c>
      <c r="C222" s="159" t="s">
        <v>1012</v>
      </c>
      <c r="D222" s="179">
        <f t="shared" si="84"/>
        <v>45718</v>
      </c>
      <c r="E222" s="180">
        <v>10</v>
      </c>
      <c r="F222" s="179">
        <f t="shared" si="85"/>
        <v>45728</v>
      </c>
      <c r="G222" s="180">
        <v>21</v>
      </c>
      <c r="H222" s="179">
        <f t="shared" si="86"/>
        <v>45749</v>
      </c>
      <c r="I222" s="180">
        <v>5</v>
      </c>
      <c r="J222" s="179">
        <f t="shared" si="87"/>
        <v>45754</v>
      </c>
      <c r="K222" s="180">
        <v>45</v>
      </c>
      <c r="L222" s="179">
        <f t="shared" si="88"/>
        <v>45799</v>
      </c>
      <c r="M222" s="180">
        <v>31</v>
      </c>
      <c r="N222" s="179">
        <f t="shared" si="89"/>
        <v>45830</v>
      </c>
      <c r="O222" s="180">
        <v>3</v>
      </c>
      <c r="P222" s="179">
        <f t="shared" si="90"/>
        <v>45833</v>
      </c>
      <c r="Q222" s="161">
        <f t="shared" si="91"/>
        <v>115</v>
      </c>
      <c r="R222" s="160">
        <v>45833</v>
      </c>
      <c r="S222" s="160">
        <f t="shared" si="92"/>
        <v>-120</v>
      </c>
      <c r="T222" s="160">
        <f t="shared" si="93"/>
        <v>-97</v>
      </c>
      <c r="U222" s="160">
        <f t="shared" si="94"/>
        <v>-37</v>
      </c>
      <c r="V222" s="171">
        <f t="shared" si="95"/>
        <v>-30</v>
      </c>
      <c r="W222" s="159"/>
      <c r="X222" s="159"/>
      <c r="Y222" s="177"/>
      <c r="Z222" s="166">
        <v>60</v>
      </c>
      <c r="AA222" s="158"/>
      <c r="AB222" s="158"/>
      <c r="AC222" s="158"/>
      <c r="AD222" s="158"/>
      <c r="AE222" s="158"/>
      <c r="AF222" s="158"/>
    </row>
    <row r="223" spans="1:32" x14ac:dyDescent="0.3">
      <c r="A223" s="157">
        <v>8.06</v>
      </c>
      <c r="B223" s="158" t="s">
        <v>1004</v>
      </c>
      <c r="C223" s="159" t="s">
        <v>1013</v>
      </c>
      <c r="D223" s="179">
        <f t="shared" si="84"/>
        <v>45718</v>
      </c>
      <c r="E223" s="180">
        <v>10</v>
      </c>
      <c r="F223" s="179">
        <f t="shared" si="85"/>
        <v>45728</v>
      </c>
      <c r="G223" s="180">
        <v>21</v>
      </c>
      <c r="H223" s="179">
        <f t="shared" si="86"/>
        <v>45749</v>
      </c>
      <c r="I223" s="180">
        <v>5</v>
      </c>
      <c r="J223" s="179">
        <f t="shared" si="87"/>
        <v>45754</v>
      </c>
      <c r="K223" s="180">
        <v>45</v>
      </c>
      <c r="L223" s="179">
        <f t="shared" si="88"/>
        <v>45799</v>
      </c>
      <c r="M223" s="180">
        <v>31</v>
      </c>
      <c r="N223" s="179">
        <f t="shared" si="89"/>
        <v>45830</v>
      </c>
      <c r="O223" s="180">
        <v>3</v>
      </c>
      <c r="P223" s="179">
        <f t="shared" si="90"/>
        <v>45833</v>
      </c>
      <c r="Q223" s="161">
        <f t="shared" si="91"/>
        <v>115</v>
      </c>
      <c r="R223" s="160">
        <v>45833</v>
      </c>
      <c r="S223" s="160">
        <f t="shared" si="92"/>
        <v>-120</v>
      </c>
      <c r="T223" s="160">
        <f t="shared" si="93"/>
        <v>-97</v>
      </c>
      <c r="U223" s="160">
        <f t="shared" si="94"/>
        <v>-37</v>
      </c>
      <c r="V223" s="171">
        <f t="shared" si="95"/>
        <v>-30</v>
      </c>
      <c r="W223" s="159"/>
      <c r="X223" s="159"/>
      <c r="Y223" s="177"/>
      <c r="Z223" s="166">
        <v>60</v>
      </c>
      <c r="AA223" s="158"/>
      <c r="AB223" s="158"/>
      <c r="AC223" s="158"/>
      <c r="AD223" s="158"/>
      <c r="AE223" s="158"/>
      <c r="AF223" s="158"/>
    </row>
    <row r="224" spans="1:32" x14ac:dyDescent="0.3">
      <c r="A224" s="157">
        <v>8.06</v>
      </c>
      <c r="B224" s="158" t="s">
        <v>1004</v>
      </c>
      <c r="C224" s="159" t="s">
        <v>1014</v>
      </c>
      <c r="D224" s="179">
        <f t="shared" si="84"/>
        <v>45718</v>
      </c>
      <c r="E224" s="180">
        <v>10</v>
      </c>
      <c r="F224" s="179">
        <f t="shared" si="85"/>
        <v>45728</v>
      </c>
      <c r="G224" s="180">
        <v>21</v>
      </c>
      <c r="H224" s="179">
        <f t="shared" si="86"/>
        <v>45749</v>
      </c>
      <c r="I224" s="180">
        <v>5</v>
      </c>
      <c r="J224" s="179">
        <f t="shared" si="87"/>
        <v>45754</v>
      </c>
      <c r="K224" s="180">
        <v>45</v>
      </c>
      <c r="L224" s="179">
        <f t="shared" si="88"/>
        <v>45799</v>
      </c>
      <c r="M224" s="180">
        <v>31</v>
      </c>
      <c r="N224" s="179">
        <f t="shared" si="89"/>
        <v>45830</v>
      </c>
      <c r="O224" s="180">
        <v>3</v>
      </c>
      <c r="P224" s="179">
        <f t="shared" si="90"/>
        <v>45833</v>
      </c>
      <c r="Q224" s="161">
        <f t="shared" si="91"/>
        <v>115</v>
      </c>
      <c r="R224" s="160">
        <v>45833</v>
      </c>
      <c r="S224" s="160">
        <f t="shared" si="92"/>
        <v>-120</v>
      </c>
      <c r="T224" s="160">
        <f t="shared" si="93"/>
        <v>-97</v>
      </c>
      <c r="U224" s="160">
        <f t="shared" si="94"/>
        <v>-37</v>
      </c>
      <c r="V224" s="171">
        <f t="shared" si="95"/>
        <v>-30</v>
      </c>
      <c r="W224" s="159"/>
      <c r="X224" s="159"/>
      <c r="Y224" s="177"/>
      <c r="Z224" s="166">
        <v>60</v>
      </c>
      <c r="AA224" s="158"/>
      <c r="AB224" s="158"/>
      <c r="AC224" s="158"/>
      <c r="AD224" s="158"/>
      <c r="AE224" s="158"/>
      <c r="AF224" s="158"/>
    </row>
    <row r="225" spans="1:32" x14ac:dyDescent="0.3">
      <c r="A225" s="157">
        <v>8.06</v>
      </c>
      <c r="B225" s="158" t="s">
        <v>1004</v>
      </c>
      <c r="C225" s="159" t="s">
        <v>1015</v>
      </c>
      <c r="D225" s="179">
        <f t="shared" si="84"/>
        <v>45718</v>
      </c>
      <c r="E225" s="180">
        <v>10</v>
      </c>
      <c r="F225" s="179">
        <f t="shared" si="85"/>
        <v>45728</v>
      </c>
      <c r="G225" s="180">
        <v>21</v>
      </c>
      <c r="H225" s="179">
        <f t="shared" si="86"/>
        <v>45749</v>
      </c>
      <c r="I225" s="180">
        <v>5</v>
      </c>
      <c r="J225" s="179">
        <f t="shared" si="87"/>
        <v>45754</v>
      </c>
      <c r="K225" s="180">
        <v>45</v>
      </c>
      <c r="L225" s="179">
        <f t="shared" si="88"/>
        <v>45799</v>
      </c>
      <c r="M225" s="180">
        <v>31</v>
      </c>
      <c r="N225" s="179">
        <f t="shared" si="89"/>
        <v>45830</v>
      </c>
      <c r="O225" s="180">
        <v>3</v>
      </c>
      <c r="P225" s="179">
        <f t="shared" si="90"/>
        <v>45833</v>
      </c>
      <c r="Q225" s="161">
        <f t="shared" si="91"/>
        <v>115</v>
      </c>
      <c r="R225" s="160">
        <v>45833</v>
      </c>
      <c r="S225" s="160">
        <f t="shared" si="92"/>
        <v>-120</v>
      </c>
      <c r="T225" s="160">
        <f t="shared" si="93"/>
        <v>-97</v>
      </c>
      <c r="U225" s="160">
        <f t="shared" si="94"/>
        <v>-37</v>
      </c>
      <c r="V225" s="171">
        <f t="shared" si="95"/>
        <v>-30</v>
      </c>
      <c r="W225" s="159"/>
      <c r="X225" s="159"/>
      <c r="Y225" s="177"/>
      <c r="Z225" s="166">
        <v>60</v>
      </c>
      <c r="AA225" s="158"/>
      <c r="AB225" s="158"/>
      <c r="AC225" s="158"/>
      <c r="AD225" s="158"/>
      <c r="AE225" s="158"/>
      <c r="AF225" s="158"/>
    </row>
    <row r="226" spans="1:32" x14ac:dyDescent="0.3">
      <c r="A226" s="157">
        <v>8.06</v>
      </c>
      <c r="B226" s="158" t="s">
        <v>1004</v>
      </c>
      <c r="C226" s="159" t="s">
        <v>1016</v>
      </c>
      <c r="D226" s="179">
        <f t="shared" si="84"/>
        <v>45718</v>
      </c>
      <c r="E226" s="180">
        <v>10</v>
      </c>
      <c r="F226" s="179">
        <f t="shared" si="85"/>
        <v>45728</v>
      </c>
      <c r="G226" s="180">
        <v>21</v>
      </c>
      <c r="H226" s="179">
        <f t="shared" si="86"/>
        <v>45749</v>
      </c>
      <c r="I226" s="180">
        <v>5</v>
      </c>
      <c r="J226" s="179">
        <f t="shared" si="87"/>
        <v>45754</v>
      </c>
      <c r="K226" s="180">
        <v>45</v>
      </c>
      <c r="L226" s="179">
        <f t="shared" si="88"/>
        <v>45799</v>
      </c>
      <c r="M226" s="180">
        <v>31</v>
      </c>
      <c r="N226" s="179">
        <f t="shared" si="89"/>
        <v>45830</v>
      </c>
      <c r="O226" s="180">
        <v>3</v>
      </c>
      <c r="P226" s="179">
        <f t="shared" si="90"/>
        <v>45833</v>
      </c>
      <c r="Q226" s="161">
        <f t="shared" si="91"/>
        <v>115</v>
      </c>
      <c r="R226" s="160">
        <v>45833</v>
      </c>
      <c r="S226" s="160">
        <f t="shared" si="92"/>
        <v>-120</v>
      </c>
      <c r="T226" s="160">
        <f t="shared" si="93"/>
        <v>-97</v>
      </c>
      <c r="U226" s="160">
        <f t="shared" si="94"/>
        <v>-37</v>
      </c>
      <c r="V226" s="171">
        <f t="shared" si="95"/>
        <v>-30</v>
      </c>
      <c r="W226" s="159"/>
      <c r="X226" s="159"/>
      <c r="Y226" s="177"/>
      <c r="Z226" s="166">
        <v>60</v>
      </c>
      <c r="AA226" s="158"/>
      <c r="AB226" s="158"/>
      <c r="AC226" s="158"/>
      <c r="AD226" s="158"/>
      <c r="AE226" s="158"/>
      <c r="AF226" s="158"/>
    </row>
    <row r="227" spans="1:32" x14ac:dyDescent="0.3">
      <c r="A227" s="157">
        <v>8.06</v>
      </c>
      <c r="B227" s="158" t="s">
        <v>1004</v>
      </c>
      <c r="C227" s="159" t="s">
        <v>1017</v>
      </c>
      <c r="D227" s="179">
        <f t="shared" si="84"/>
        <v>45718</v>
      </c>
      <c r="E227" s="180">
        <v>10</v>
      </c>
      <c r="F227" s="179">
        <f t="shared" si="85"/>
        <v>45728</v>
      </c>
      <c r="G227" s="180">
        <v>21</v>
      </c>
      <c r="H227" s="179">
        <f t="shared" si="86"/>
        <v>45749</v>
      </c>
      <c r="I227" s="180">
        <v>5</v>
      </c>
      <c r="J227" s="179">
        <f t="shared" si="87"/>
        <v>45754</v>
      </c>
      <c r="K227" s="180">
        <v>45</v>
      </c>
      <c r="L227" s="179">
        <f t="shared" si="88"/>
        <v>45799</v>
      </c>
      <c r="M227" s="180">
        <v>31</v>
      </c>
      <c r="N227" s="179">
        <f t="shared" si="89"/>
        <v>45830</v>
      </c>
      <c r="O227" s="180">
        <v>3</v>
      </c>
      <c r="P227" s="179">
        <f t="shared" si="90"/>
        <v>45833</v>
      </c>
      <c r="Q227" s="161">
        <f t="shared" si="91"/>
        <v>115</v>
      </c>
      <c r="R227" s="160">
        <v>45833</v>
      </c>
      <c r="S227" s="160">
        <f t="shared" si="92"/>
        <v>-120</v>
      </c>
      <c r="T227" s="160">
        <f t="shared" si="93"/>
        <v>-97</v>
      </c>
      <c r="U227" s="160">
        <f t="shared" si="94"/>
        <v>-37</v>
      </c>
      <c r="V227" s="171">
        <f t="shared" si="95"/>
        <v>-30</v>
      </c>
      <c r="W227" s="159"/>
      <c r="X227" s="159"/>
      <c r="Y227" s="177"/>
      <c r="Z227" s="166">
        <v>60</v>
      </c>
      <c r="AA227" s="158"/>
      <c r="AB227" s="158"/>
      <c r="AC227" s="158"/>
      <c r="AD227" s="158"/>
      <c r="AE227" s="158"/>
      <c r="AF227" s="158"/>
    </row>
    <row r="228" spans="1:32" x14ac:dyDescent="0.3">
      <c r="A228" s="157">
        <v>8.06</v>
      </c>
      <c r="B228" s="158" t="s">
        <v>1004</v>
      </c>
      <c r="C228" s="159" t="s">
        <v>1018</v>
      </c>
      <c r="D228" s="179">
        <f t="shared" si="84"/>
        <v>45718</v>
      </c>
      <c r="E228" s="180">
        <v>10</v>
      </c>
      <c r="F228" s="179">
        <f t="shared" si="85"/>
        <v>45728</v>
      </c>
      <c r="G228" s="180">
        <v>21</v>
      </c>
      <c r="H228" s="179">
        <f t="shared" si="86"/>
        <v>45749</v>
      </c>
      <c r="I228" s="180">
        <v>5</v>
      </c>
      <c r="J228" s="179">
        <f t="shared" si="87"/>
        <v>45754</v>
      </c>
      <c r="K228" s="180">
        <v>45</v>
      </c>
      <c r="L228" s="179">
        <f t="shared" si="88"/>
        <v>45799</v>
      </c>
      <c r="M228" s="180">
        <v>31</v>
      </c>
      <c r="N228" s="179">
        <f t="shared" si="89"/>
        <v>45830</v>
      </c>
      <c r="O228" s="180">
        <v>3</v>
      </c>
      <c r="P228" s="179">
        <f t="shared" si="90"/>
        <v>45833</v>
      </c>
      <c r="Q228" s="161">
        <f t="shared" si="91"/>
        <v>115</v>
      </c>
      <c r="R228" s="160">
        <v>45833</v>
      </c>
      <c r="S228" s="160">
        <f t="shared" si="92"/>
        <v>-120</v>
      </c>
      <c r="T228" s="160">
        <f t="shared" si="93"/>
        <v>-97</v>
      </c>
      <c r="U228" s="160">
        <f t="shared" si="94"/>
        <v>-37</v>
      </c>
      <c r="V228" s="171">
        <f t="shared" si="95"/>
        <v>-30</v>
      </c>
      <c r="W228" s="159"/>
      <c r="X228" s="159"/>
      <c r="Y228" s="177"/>
      <c r="Z228" s="166">
        <v>60</v>
      </c>
      <c r="AA228" s="158"/>
      <c r="AB228" s="158"/>
      <c r="AC228" s="158"/>
      <c r="AD228" s="158"/>
      <c r="AE228" s="158"/>
      <c r="AF228" s="158"/>
    </row>
    <row r="229" spans="1:32" x14ac:dyDescent="0.3">
      <c r="A229" s="157">
        <v>8.06</v>
      </c>
      <c r="B229" s="158" t="s">
        <v>1004</v>
      </c>
      <c r="C229" s="159" t="s">
        <v>1019</v>
      </c>
      <c r="D229" s="179">
        <f t="shared" si="84"/>
        <v>45718</v>
      </c>
      <c r="E229" s="180">
        <v>10</v>
      </c>
      <c r="F229" s="179">
        <f t="shared" si="85"/>
        <v>45728</v>
      </c>
      <c r="G229" s="180">
        <v>21</v>
      </c>
      <c r="H229" s="179">
        <f t="shared" si="86"/>
        <v>45749</v>
      </c>
      <c r="I229" s="180">
        <v>5</v>
      </c>
      <c r="J229" s="179">
        <f t="shared" si="87"/>
        <v>45754</v>
      </c>
      <c r="K229" s="180">
        <v>45</v>
      </c>
      <c r="L229" s="179">
        <f t="shared" si="88"/>
        <v>45799</v>
      </c>
      <c r="M229" s="180">
        <v>31</v>
      </c>
      <c r="N229" s="179">
        <f t="shared" si="89"/>
        <v>45830</v>
      </c>
      <c r="O229" s="180">
        <v>3</v>
      </c>
      <c r="P229" s="179">
        <f t="shared" si="90"/>
        <v>45833</v>
      </c>
      <c r="Q229" s="161">
        <f t="shared" si="91"/>
        <v>115</v>
      </c>
      <c r="R229" s="160">
        <v>45833</v>
      </c>
      <c r="S229" s="160">
        <f t="shared" si="92"/>
        <v>-120</v>
      </c>
      <c r="T229" s="160">
        <f t="shared" si="93"/>
        <v>-97</v>
      </c>
      <c r="U229" s="160">
        <f t="shared" si="94"/>
        <v>-37</v>
      </c>
      <c r="V229" s="171">
        <f t="shared" si="95"/>
        <v>-30</v>
      </c>
      <c r="W229" s="159"/>
      <c r="X229" s="159"/>
      <c r="Y229" s="177"/>
      <c r="Z229" s="166">
        <v>60</v>
      </c>
      <c r="AA229" s="158"/>
      <c r="AB229" s="158"/>
      <c r="AC229" s="158"/>
      <c r="AD229" s="158"/>
      <c r="AE229" s="158"/>
      <c r="AF229" s="158"/>
    </row>
    <row r="230" spans="1:32" x14ac:dyDescent="0.3">
      <c r="A230" s="157">
        <v>8.06</v>
      </c>
      <c r="B230" s="158" t="s">
        <v>1004</v>
      </c>
      <c r="C230" s="159" t="s">
        <v>1020</v>
      </c>
      <c r="D230" s="179">
        <f t="shared" si="84"/>
        <v>45718</v>
      </c>
      <c r="E230" s="180">
        <v>10</v>
      </c>
      <c r="F230" s="179">
        <f t="shared" si="85"/>
        <v>45728</v>
      </c>
      <c r="G230" s="180">
        <v>21</v>
      </c>
      <c r="H230" s="179">
        <f t="shared" si="86"/>
        <v>45749</v>
      </c>
      <c r="I230" s="180">
        <v>5</v>
      </c>
      <c r="J230" s="179">
        <f t="shared" si="87"/>
        <v>45754</v>
      </c>
      <c r="K230" s="180">
        <v>45</v>
      </c>
      <c r="L230" s="179">
        <f t="shared" si="88"/>
        <v>45799</v>
      </c>
      <c r="M230" s="180">
        <v>31</v>
      </c>
      <c r="N230" s="179">
        <f t="shared" si="89"/>
        <v>45830</v>
      </c>
      <c r="O230" s="180">
        <v>3</v>
      </c>
      <c r="P230" s="179">
        <f t="shared" si="90"/>
        <v>45833</v>
      </c>
      <c r="Q230" s="161">
        <f t="shared" si="91"/>
        <v>115</v>
      </c>
      <c r="R230" s="160">
        <v>45833</v>
      </c>
      <c r="S230" s="160">
        <f t="shared" si="92"/>
        <v>-120</v>
      </c>
      <c r="T230" s="160">
        <f t="shared" si="93"/>
        <v>-97</v>
      </c>
      <c r="U230" s="160">
        <f t="shared" si="94"/>
        <v>-37</v>
      </c>
      <c r="V230" s="171">
        <f t="shared" si="95"/>
        <v>-30</v>
      </c>
      <c r="W230" s="159"/>
      <c r="X230" s="159"/>
      <c r="Y230" s="177"/>
      <c r="Z230" s="166">
        <v>60</v>
      </c>
      <c r="AA230" s="158"/>
      <c r="AB230" s="158"/>
      <c r="AC230" s="158"/>
      <c r="AD230" s="158"/>
      <c r="AE230" s="158"/>
      <c r="AF230" s="158"/>
    </row>
    <row r="231" spans="1:32" x14ac:dyDescent="0.3">
      <c r="A231" s="157">
        <v>8.06</v>
      </c>
      <c r="B231" s="158" t="s">
        <v>1004</v>
      </c>
      <c r="C231" s="159" t="s">
        <v>1021</v>
      </c>
      <c r="D231" s="179">
        <f t="shared" si="84"/>
        <v>45718</v>
      </c>
      <c r="E231" s="180">
        <v>10</v>
      </c>
      <c r="F231" s="179">
        <f t="shared" si="85"/>
        <v>45728</v>
      </c>
      <c r="G231" s="180">
        <v>21</v>
      </c>
      <c r="H231" s="179">
        <f t="shared" si="86"/>
        <v>45749</v>
      </c>
      <c r="I231" s="180">
        <v>5</v>
      </c>
      <c r="J231" s="179">
        <f t="shared" si="87"/>
        <v>45754</v>
      </c>
      <c r="K231" s="180">
        <v>45</v>
      </c>
      <c r="L231" s="179">
        <f t="shared" si="88"/>
        <v>45799</v>
      </c>
      <c r="M231" s="180">
        <v>31</v>
      </c>
      <c r="N231" s="179">
        <f t="shared" si="89"/>
        <v>45830</v>
      </c>
      <c r="O231" s="180">
        <v>3</v>
      </c>
      <c r="P231" s="179">
        <f t="shared" si="90"/>
        <v>45833</v>
      </c>
      <c r="Q231" s="161">
        <f t="shared" si="91"/>
        <v>115</v>
      </c>
      <c r="R231" s="160">
        <v>45833</v>
      </c>
      <c r="S231" s="160">
        <f t="shared" si="92"/>
        <v>-60</v>
      </c>
      <c r="T231" s="160">
        <f t="shared" si="93"/>
        <v>-37</v>
      </c>
      <c r="U231" s="160">
        <f t="shared" si="94"/>
        <v>-37</v>
      </c>
      <c r="V231" s="171">
        <f t="shared" si="95"/>
        <v>-30</v>
      </c>
      <c r="W231" s="159"/>
      <c r="X231" s="159"/>
      <c r="Y231" s="177"/>
      <c r="Z231" s="166"/>
      <c r="AA231" s="158"/>
      <c r="AB231" s="158"/>
      <c r="AC231" s="158"/>
      <c r="AD231" s="158"/>
      <c r="AE231" s="158"/>
      <c r="AF231" s="158"/>
    </row>
    <row r="232" spans="1:32" x14ac:dyDescent="0.3">
      <c r="A232" s="157">
        <v>8.06</v>
      </c>
      <c r="B232" s="158" t="s">
        <v>1004</v>
      </c>
      <c r="C232" s="159" t="s">
        <v>1022</v>
      </c>
      <c r="D232" s="179">
        <f t="shared" si="84"/>
        <v>45718</v>
      </c>
      <c r="E232" s="180">
        <v>10</v>
      </c>
      <c r="F232" s="179">
        <f t="shared" si="85"/>
        <v>45728</v>
      </c>
      <c r="G232" s="180">
        <v>21</v>
      </c>
      <c r="H232" s="179">
        <f t="shared" si="86"/>
        <v>45749</v>
      </c>
      <c r="I232" s="180">
        <v>5</v>
      </c>
      <c r="J232" s="179">
        <f t="shared" si="87"/>
        <v>45754</v>
      </c>
      <c r="K232" s="180">
        <v>45</v>
      </c>
      <c r="L232" s="179">
        <f t="shared" si="88"/>
        <v>45799</v>
      </c>
      <c r="M232" s="180">
        <v>31</v>
      </c>
      <c r="N232" s="179">
        <f t="shared" si="89"/>
        <v>45830</v>
      </c>
      <c r="O232" s="180">
        <v>3</v>
      </c>
      <c r="P232" s="179">
        <f t="shared" si="90"/>
        <v>45833</v>
      </c>
      <c r="Q232" s="161">
        <f t="shared" si="91"/>
        <v>115</v>
      </c>
      <c r="R232" s="160">
        <v>45833</v>
      </c>
      <c r="S232" s="160">
        <f t="shared" si="92"/>
        <v>-120</v>
      </c>
      <c r="T232" s="160">
        <f t="shared" si="93"/>
        <v>-97</v>
      </c>
      <c r="U232" s="160">
        <f t="shared" si="94"/>
        <v>-37</v>
      </c>
      <c r="V232" s="171">
        <f t="shared" si="95"/>
        <v>-30</v>
      </c>
      <c r="W232" s="159"/>
      <c r="X232" s="159"/>
      <c r="Y232" s="177"/>
      <c r="Z232" s="166">
        <v>60</v>
      </c>
      <c r="AA232" s="158"/>
      <c r="AB232" s="158"/>
      <c r="AC232" s="158"/>
      <c r="AD232" s="158"/>
      <c r="AE232" s="158"/>
      <c r="AF232" s="158"/>
    </row>
    <row r="233" spans="1:32" x14ac:dyDescent="0.3">
      <c r="A233" s="157">
        <v>8.06</v>
      </c>
      <c r="B233" s="158" t="s">
        <v>1004</v>
      </c>
      <c r="C233" s="159" t="s">
        <v>1023</v>
      </c>
      <c r="D233" s="179">
        <f t="shared" si="84"/>
        <v>45718</v>
      </c>
      <c r="E233" s="180">
        <v>10</v>
      </c>
      <c r="F233" s="179">
        <f t="shared" si="85"/>
        <v>45728</v>
      </c>
      <c r="G233" s="180">
        <v>21</v>
      </c>
      <c r="H233" s="179">
        <f t="shared" si="86"/>
        <v>45749</v>
      </c>
      <c r="I233" s="180">
        <v>5</v>
      </c>
      <c r="J233" s="179">
        <f t="shared" si="87"/>
        <v>45754</v>
      </c>
      <c r="K233" s="180">
        <v>45</v>
      </c>
      <c r="L233" s="179">
        <f t="shared" si="88"/>
        <v>45799</v>
      </c>
      <c r="M233" s="180">
        <v>31</v>
      </c>
      <c r="N233" s="179">
        <f t="shared" si="89"/>
        <v>45830</v>
      </c>
      <c r="O233" s="180">
        <v>3</v>
      </c>
      <c r="P233" s="179">
        <f t="shared" si="90"/>
        <v>45833</v>
      </c>
      <c r="Q233" s="161">
        <f t="shared" si="91"/>
        <v>115</v>
      </c>
      <c r="R233" s="160">
        <v>45833</v>
      </c>
      <c r="S233" s="160">
        <f t="shared" si="92"/>
        <v>-120</v>
      </c>
      <c r="T233" s="160">
        <f t="shared" si="93"/>
        <v>-97</v>
      </c>
      <c r="U233" s="160">
        <f t="shared" si="94"/>
        <v>-37</v>
      </c>
      <c r="V233" s="171">
        <f t="shared" si="95"/>
        <v>-30</v>
      </c>
      <c r="W233" s="159"/>
      <c r="X233" s="159"/>
      <c r="Y233" s="177"/>
      <c r="Z233" s="166">
        <v>60</v>
      </c>
      <c r="AA233" s="158"/>
      <c r="AB233" s="158"/>
      <c r="AC233" s="158"/>
      <c r="AD233" s="158"/>
      <c r="AE233" s="158"/>
      <c r="AF233" s="158"/>
    </row>
    <row r="234" spans="1:32" x14ac:dyDescent="0.3">
      <c r="A234" s="157">
        <v>8.06</v>
      </c>
      <c r="B234" s="158" t="s">
        <v>1004</v>
      </c>
      <c r="C234" s="159" t="s">
        <v>1024</v>
      </c>
      <c r="D234" s="179">
        <f t="shared" si="84"/>
        <v>45718</v>
      </c>
      <c r="E234" s="180">
        <v>10</v>
      </c>
      <c r="F234" s="179">
        <f t="shared" si="85"/>
        <v>45728</v>
      </c>
      <c r="G234" s="180">
        <v>21</v>
      </c>
      <c r="H234" s="179">
        <f t="shared" si="86"/>
        <v>45749</v>
      </c>
      <c r="I234" s="180">
        <v>5</v>
      </c>
      <c r="J234" s="179">
        <f t="shared" si="87"/>
        <v>45754</v>
      </c>
      <c r="K234" s="180">
        <v>45</v>
      </c>
      <c r="L234" s="179">
        <f t="shared" si="88"/>
        <v>45799</v>
      </c>
      <c r="M234" s="180">
        <v>31</v>
      </c>
      <c r="N234" s="179">
        <f t="shared" si="89"/>
        <v>45830</v>
      </c>
      <c r="O234" s="180">
        <v>3</v>
      </c>
      <c r="P234" s="179">
        <f t="shared" si="90"/>
        <v>45833</v>
      </c>
      <c r="Q234" s="161">
        <f t="shared" si="91"/>
        <v>115</v>
      </c>
      <c r="R234" s="160">
        <v>45833</v>
      </c>
      <c r="S234" s="160">
        <f t="shared" si="92"/>
        <v>-75</v>
      </c>
      <c r="T234" s="160">
        <f t="shared" si="93"/>
        <v>-52</v>
      </c>
      <c r="U234" s="160">
        <f t="shared" si="94"/>
        <v>-37</v>
      </c>
      <c r="V234" s="171">
        <f t="shared" si="95"/>
        <v>-30</v>
      </c>
      <c r="W234" s="159"/>
      <c r="X234" s="159"/>
      <c r="Y234" s="177"/>
      <c r="Z234" s="166">
        <v>15</v>
      </c>
      <c r="AA234" s="158"/>
      <c r="AB234" s="158"/>
      <c r="AC234" s="158"/>
      <c r="AD234" s="158"/>
      <c r="AE234" s="158"/>
      <c r="AF234" s="158"/>
    </row>
    <row r="235" spans="1:32" x14ac:dyDescent="0.3">
      <c r="A235" s="157">
        <v>8.06</v>
      </c>
      <c r="B235" s="158" t="s">
        <v>1004</v>
      </c>
      <c r="C235" s="159" t="s">
        <v>1025</v>
      </c>
      <c r="D235" s="179">
        <f t="shared" si="84"/>
        <v>45718</v>
      </c>
      <c r="E235" s="180">
        <v>10</v>
      </c>
      <c r="F235" s="179">
        <f t="shared" si="85"/>
        <v>45728</v>
      </c>
      <c r="G235" s="180">
        <v>21</v>
      </c>
      <c r="H235" s="179">
        <f t="shared" si="86"/>
        <v>45749</v>
      </c>
      <c r="I235" s="180">
        <v>5</v>
      </c>
      <c r="J235" s="179">
        <f t="shared" si="87"/>
        <v>45754</v>
      </c>
      <c r="K235" s="180">
        <v>45</v>
      </c>
      <c r="L235" s="179">
        <f t="shared" si="88"/>
        <v>45799</v>
      </c>
      <c r="M235" s="180">
        <v>31</v>
      </c>
      <c r="N235" s="179">
        <f t="shared" si="89"/>
        <v>45830</v>
      </c>
      <c r="O235" s="180">
        <v>3</v>
      </c>
      <c r="P235" s="179">
        <f t="shared" si="90"/>
        <v>45833</v>
      </c>
      <c r="Q235" s="161">
        <f t="shared" si="91"/>
        <v>115</v>
      </c>
      <c r="R235" s="160">
        <v>45833</v>
      </c>
      <c r="S235" s="160">
        <f t="shared" si="92"/>
        <v>-75</v>
      </c>
      <c r="T235" s="160">
        <f t="shared" si="93"/>
        <v>-52</v>
      </c>
      <c r="U235" s="160">
        <f t="shared" si="94"/>
        <v>-37</v>
      </c>
      <c r="V235" s="171">
        <f t="shared" si="95"/>
        <v>-30</v>
      </c>
      <c r="W235" s="159"/>
      <c r="X235" s="159"/>
      <c r="Y235" s="177"/>
      <c r="Z235" s="166">
        <v>15</v>
      </c>
      <c r="AA235" s="158"/>
      <c r="AB235" s="158"/>
      <c r="AC235" s="158"/>
      <c r="AD235" s="158"/>
      <c r="AE235" s="158"/>
      <c r="AF235" s="158"/>
    </row>
    <row r="236" spans="1:32" x14ac:dyDescent="0.3">
      <c r="A236" s="157">
        <v>8.06</v>
      </c>
      <c r="B236" s="158" t="s">
        <v>1004</v>
      </c>
      <c r="C236" s="159" t="s">
        <v>1026</v>
      </c>
      <c r="D236" s="179">
        <f t="shared" si="84"/>
        <v>45718</v>
      </c>
      <c r="E236" s="180">
        <v>10</v>
      </c>
      <c r="F236" s="179">
        <f t="shared" si="85"/>
        <v>45728</v>
      </c>
      <c r="G236" s="180">
        <v>21</v>
      </c>
      <c r="H236" s="179">
        <f t="shared" si="86"/>
        <v>45749</v>
      </c>
      <c r="I236" s="180">
        <v>5</v>
      </c>
      <c r="J236" s="179">
        <f t="shared" si="87"/>
        <v>45754</v>
      </c>
      <c r="K236" s="180">
        <v>45</v>
      </c>
      <c r="L236" s="179">
        <f t="shared" si="88"/>
        <v>45799</v>
      </c>
      <c r="M236" s="180">
        <v>31</v>
      </c>
      <c r="N236" s="179">
        <f t="shared" si="89"/>
        <v>45830</v>
      </c>
      <c r="O236" s="180">
        <v>3</v>
      </c>
      <c r="P236" s="179">
        <f t="shared" si="90"/>
        <v>45833</v>
      </c>
      <c r="Q236" s="161">
        <f t="shared" si="91"/>
        <v>115</v>
      </c>
      <c r="R236" s="160">
        <v>45833</v>
      </c>
      <c r="S236" s="160">
        <f t="shared" si="92"/>
        <v>-120</v>
      </c>
      <c r="T236" s="160">
        <f t="shared" si="93"/>
        <v>-97</v>
      </c>
      <c r="U236" s="160">
        <f t="shared" si="94"/>
        <v>-37</v>
      </c>
      <c r="V236" s="171">
        <f t="shared" si="95"/>
        <v>-30</v>
      </c>
      <c r="W236" s="159"/>
      <c r="X236" s="159"/>
      <c r="Y236" s="177"/>
      <c r="Z236" s="166">
        <v>60</v>
      </c>
      <c r="AA236" s="158"/>
      <c r="AB236" s="158"/>
      <c r="AC236" s="158"/>
      <c r="AD236" s="158"/>
      <c r="AE236" s="158"/>
      <c r="AF236" s="158"/>
    </row>
    <row r="237" spans="1:32" x14ac:dyDescent="0.3">
      <c r="A237" s="157">
        <v>8.06</v>
      </c>
      <c r="B237" s="158" t="s">
        <v>1004</v>
      </c>
      <c r="C237" s="159" t="s">
        <v>1027</v>
      </c>
      <c r="D237" s="179">
        <f t="shared" si="84"/>
        <v>45718</v>
      </c>
      <c r="E237" s="180">
        <v>10</v>
      </c>
      <c r="F237" s="179">
        <f t="shared" si="85"/>
        <v>45728</v>
      </c>
      <c r="G237" s="180">
        <v>21</v>
      </c>
      <c r="H237" s="179">
        <f t="shared" si="86"/>
        <v>45749</v>
      </c>
      <c r="I237" s="180">
        <v>5</v>
      </c>
      <c r="J237" s="179">
        <f t="shared" si="87"/>
        <v>45754</v>
      </c>
      <c r="K237" s="180">
        <v>45</v>
      </c>
      <c r="L237" s="179">
        <f t="shared" si="88"/>
        <v>45799</v>
      </c>
      <c r="M237" s="180">
        <v>31</v>
      </c>
      <c r="N237" s="179">
        <f t="shared" si="89"/>
        <v>45830</v>
      </c>
      <c r="O237" s="180">
        <v>3</v>
      </c>
      <c r="P237" s="179">
        <f t="shared" si="90"/>
        <v>45833</v>
      </c>
      <c r="Q237" s="161">
        <f t="shared" si="91"/>
        <v>115</v>
      </c>
      <c r="R237" s="160">
        <v>45833</v>
      </c>
      <c r="S237" s="160">
        <f t="shared" si="92"/>
        <v>-120</v>
      </c>
      <c r="T237" s="160">
        <f t="shared" si="93"/>
        <v>-97</v>
      </c>
      <c r="U237" s="160">
        <f t="shared" si="94"/>
        <v>-37</v>
      </c>
      <c r="V237" s="171">
        <f t="shared" si="95"/>
        <v>-30</v>
      </c>
      <c r="W237" s="159"/>
      <c r="X237" s="159"/>
      <c r="Y237" s="177"/>
      <c r="Z237" s="166">
        <v>60</v>
      </c>
      <c r="AA237" s="158"/>
      <c r="AB237" s="158"/>
      <c r="AC237" s="158"/>
      <c r="AD237" s="158"/>
      <c r="AE237" s="158"/>
      <c r="AF237" s="158"/>
    </row>
    <row r="238" spans="1:32" x14ac:dyDescent="0.3">
      <c r="A238" s="157">
        <v>8.07</v>
      </c>
      <c r="B238" s="158" t="s">
        <v>1028</v>
      </c>
      <c r="C238" s="159" t="s">
        <v>1029</v>
      </c>
      <c r="D238" s="179">
        <f t="shared" si="84"/>
        <v>45718</v>
      </c>
      <c r="E238" s="180">
        <v>10</v>
      </c>
      <c r="F238" s="179">
        <f t="shared" si="85"/>
        <v>45728</v>
      </c>
      <c r="G238" s="180">
        <v>21</v>
      </c>
      <c r="H238" s="179">
        <f t="shared" si="86"/>
        <v>45749</v>
      </c>
      <c r="I238" s="180">
        <v>5</v>
      </c>
      <c r="J238" s="179">
        <f t="shared" si="87"/>
        <v>45754</v>
      </c>
      <c r="K238" s="180">
        <v>45</v>
      </c>
      <c r="L238" s="179">
        <f t="shared" si="88"/>
        <v>45799</v>
      </c>
      <c r="M238" s="180">
        <v>31</v>
      </c>
      <c r="N238" s="179">
        <f t="shared" si="89"/>
        <v>45830</v>
      </c>
      <c r="O238" s="180">
        <v>3</v>
      </c>
      <c r="P238" s="179">
        <f t="shared" si="90"/>
        <v>45833</v>
      </c>
      <c r="Q238" s="161">
        <f t="shared" si="91"/>
        <v>115</v>
      </c>
      <c r="R238" s="160">
        <v>45833</v>
      </c>
      <c r="S238" s="160">
        <f t="shared" si="92"/>
        <v>-120</v>
      </c>
      <c r="T238" s="160">
        <f t="shared" si="93"/>
        <v>-97</v>
      </c>
      <c r="U238" s="160">
        <f t="shared" si="94"/>
        <v>-37</v>
      </c>
      <c r="V238" s="171">
        <f t="shared" si="95"/>
        <v>-30</v>
      </c>
      <c r="W238" s="159"/>
      <c r="X238" s="159"/>
      <c r="Y238" s="177"/>
      <c r="Z238" s="166">
        <v>60</v>
      </c>
      <c r="AA238" s="158"/>
      <c r="AB238" s="158"/>
      <c r="AC238" s="158"/>
      <c r="AD238" s="158"/>
      <c r="AE238" s="158"/>
      <c r="AF238" s="158"/>
    </row>
    <row r="239" spans="1:32" x14ac:dyDescent="0.3">
      <c r="A239" s="157">
        <v>8.07</v>
      </c>
      <c r="B239" s="158" t="s">
        <v>1028</v>
      </c>
      <c r="C239" s="159" t="s">
        <v>1030</v>
      </c>
      <c r="D239" s="179">
        <f t="shared" si="84"/>
        <v>45718</v>
      </c>
      <c r="E239" s="180">
        <v>10</v>
      </c>
      <c r="F239" s="179">
        <f t="shared" si="85"/>
        <v>45728</v>
      </c>
      <c r="G239" s="180">
        <v>21</v>
      </c>
      <c r="H239" s="179">
        <f t="shared" si="86"/>
        <v>45749</v>
      </c>
      <c r="I239" s="180">
        <v>5</v>
      </c>
      <c r="J239" s="179">
        <f t="shared" si="87"/>
        <v>45754</v>
      </c>
      <c r="K239" s="180">
        <v>45</v>
      </c>
      <c r="L239" s="179">
        <f t="shared" si="88"/>
        <v>45799</v>
      </c>
      <c r="M239" s="180">
        <v>31</v>
      </c>
      <c r="N239" s="179">
        <f t="shared" si="89"/>
        <v>45830</v>
      </c>
      <c r="O239" s="180">
        <v>3</v>
      </c>
      <c r="P239" s="179">
        <f t="shared" si="90"/>
        <v>45833</v>
      </c>
      <c r="Q239" s="161">
        <f t="shared" si="91"/>
        <v>115</v>
      </c>
      <c r="R239" s="160">
        <v>45833</v>
      </c>
      <c r="S239" s="160">
        <f t="shared" si="92"/>
        <v>-120</v>
      </c>
      <c r="T239" s="160">
        <f t="shared" si="93"/>
        <v>-97</v>
      </c>
      <c r="U239" s="160">
        <f t="shared" si="94"/>
        <v>-37</v>
      </c>
      <c r="V239" s="171">
        <f t="shared" si="95"/>
        <v>-30</v>
      </c>
      <c r="W239" s="159"/>
      <c r="X239" s="159"/>
      <c r="Y239" s="177"/>
      <c r="Z239" s="166">
        <v>60</v>
      </c>
      <c r="AA239" s="158"/>
      <c r="AB239" s="158"/>
      <c r="AC239" s="158"/>
      <c r="AD239" s="158"/>
      <c r="AE239" s="158"/>
      <c r="AF239" s="158"/>
    </row>
    <row r="240" spans="1:32" x14ac:dyDescent="0.3">
      <c r="A240" s="157">
        <v>8.07</v>
      </c>
      <c r="B240" s="158" t="s">
        <v>1028</v>
      </c>
      <c r="C240" s="159" t="s">
        <v>1031</v>
      </c>
      <c r="D240" s="179">
        <f t="shared" si="84"/>
        <v>45718</v>
      </c>
      <c r="E240" s="180">
        <v>10</v>
      </c>
      <c r="F240" s="179">
        <f t="shared" si="85"/>
        <v>45728</v>
      </c>
      <c r="G240" s="180">
        <v>21</v>
      </c>
      <c r="H240" s="179">
        <f t="shared" si="86"/>
        <v>45749</v>
      </c>
      <c r="I240" s="180">
        <v>5</v>
      </c>
      <c r="J240" s="179">
        <f t="shared" si="87"/>
        <v>45754</v>
      </c>
      <c r="K240" s="180">
        <v>45</v>
      </c>
      <c r="L240" s="179">
        <f t="shared" si="88"/>
        <v>45799</v>
      </c>
      <c r="M240" s="180">
        <v>31</v>
      </c>
      <c r="N240" s="179">
        <f t="shared" si="89"/>
        <v>45830</v>
      </c>
      <c r="O240" s="180">
        <v>3</v>
      </c>
      <c r="P240" s="179">
        <f t="shared" si="90"/>
        <v>45833</v>
      </c>
      <c r="Q240" s="161">
        <f t="shared" si="91"/>
        <v>115</v>
      </c>
      <c r="R240" s="160">
        <v>45833</v>
      </c>
      <c r="S240" s="160">
        <f t="shared" si="92"/>
        <v>-60</v>
      </c>
      <c r="T240" s="160">
        <f t="shared" si="93"/>
        <v>-37</v>
      </c>
      <c r="U240" s="160">
        <f t="shared" si="94"/>
        <v>-37</v>
      </c>
      <c r="V240" s="171">
        <f t="shared" si="95"/>
        <v>-30</v>
      </c>
      <c r="W240" s="159"/>
      <c r="X240" s="159"/>
      <c r="Y240" s="177"/>
      <c r="Z240" s="166"/>
      <c r="AA240" s="158"/>
      <c r="AB240" s="158"/>
      <c r="AC240" s="158"/>
      <c r="AD240" s="158"/>
      <c r="AE240" s="158"/>
      <c r="AF240" s="158"/>
    </row>
    <row r="241" spans="1:32" x14ac:dyDescent="0.3">
      <c r="A241" s="157">
        <v>8.07</v>
      </c>
      <c r="B241" s="158" t="s">
        <v>1028</v>
      </c>
      <c r="C241" s="159" t="s">
        <v>1032</v>
      </c>
      <c r="D241" s="179">
        <f t="shared" si="84"/>
        <v>45718</v>
      </c>
      <c r="E241" s="180">
        <v>10</v>
      </c>
      <c r="F241" s="179">
        <f t="shared" si="85"/>
        <v>45728</v>
      </c>
      <c r="G241" s="180">
        <v>21</v>
      </c>
      <c r="H241" s="179">
        <f t="shared" si="86"/>
        <v>45749</v>
      </c>
      <c r="I241" s="180">
        <v>5</v>
      </c>
      <c r="J241" s="179">
        <f t="shared" si="87"/>
        <v>45754</v>
      </c>
      <c r="K241" s="180">
        <v>45</v>
      </c>
      <c r="L241" s="179">
        <f t="shared" si="88"/>
        <v>45799</v>
      </c>
      <c r="M241" s="180">
        <v>31</v>
      </c>
      <c r="N241" s="179">
        <f t="shared" si="89"/>
        <v>45830</v>
      </c>
      <c r="O241" s="180">
        <v>3</v>
      </c>
      <c r="P241" s="179">
        <f t="shared" si="90"/>
        <v>45833</v>
      </c>
      <c r="Q241" s="161">
        <f t="shared" si="91"/>
        <v>115</v>
      </c>
      <c r="R241" s="160">
        <v>45833</v>
      </c>
      <c r="S241" s="160">
        <f t="shared" si="92"/>
        <v>-120</v>
      </c>
      <c r="T241" s="160">
        <f t="shared" si="93"/>
        <v>-97</v>
      </c>
      <c r="U241" s="160">
        <f t="shared" si="94"/>
        <v>-37</v>
      </c>
      <c r="V241" s="171">
        <f t="shared" si="95"/>
        <v>-30</v>
      </c>
      <c r="W241" s="159"/>
      <c r="X241" s="159"/>
      <c r="Y241" s="177"/>
      <c r="Z241" s="166">
        <v>60</v>
      </c>
      <c r="AA241" s="158"/>
      <c r="AB241" s="158"/>
      <c r="AC241" s="158"/>
      <c r="AD241" s="158"/>
      <c r="AE241" s="158"/>
      <c r="AF241" s="158"/>
    </row>
    <row r="242" spans="1:32" x14ac:dyDescent="0.3">
      <c r="A242" s="157">
        <v>8.07</v>
      </c>
      <c r="B242" s="158" t="s">
        <v>1028</v>
      </c>
      <c r="C242" s="159" t="s">
        <v>1033</v>
      </c>
      <c r="D242" s="179">
        <f t="shared" si="84"/>
        <v>45718</v>
      </c>
      <c r="E242" s="180">
        <v>10</v>
      </c>
      <c r="F242" s="179">
        <f t="shared" si="85"/>
        <v>45728</v>
      </c>
      <c r="G242" s="180">
        <v>21</v>
      </c>
      <c r="H242" s="179">
        <f t="shared" si="86"/>
        <v>45749</v>
      </c>
      <c r="I242" s="180">
        <v>5</v>
      </c>
      <c r="J242" s="179">
        <f t="shared" si="87"/>
        <v>45754</v>
      </c>
      <c r="K242" s="180">
        <v>45</v>
      </c>
      <c r="L242" s="179">
        <f t="shared" si="88"/>
        <v>45799</v>
      </c>
      <c r="M242" s="180">
        <v>31</v>
      </c>
      <c r="N242" s="179">
        <f t="shared" si="89"/>
        <v>45830</v>
      </c>
      <c r="O242" s="180">
        <v>3</v>
      </c>
      <c r="P242" s="179">
        <f t="shared" si="90"/>
        <v>45833</v>
      </c>
      <c r="Q242" s="161">
        <f t="shared" si="91"/>
        <v>115</v>
      </c>
      <c r="R242" s="160">
        <v>45833</v>
      </c>
      <c r="S242" s="160">
        <f t="shared" si="92"/>
        <v>-120</v>
      </c>
      <c r="T242" s="160">
        <f t="shared" si="93"/>
        <v>-97</v>
      </c>
      <c r="U242" s="160">
        <f t="shared" si="94"/>
        <v>-37</v>
      </c>
      <c r="V242" s="171">
        <f t="shared" si="95"/>
        <v>-30</v>
      </c>
      <c r="W242" s="159"/>
      <c r="X242" s="159"/>
      <c r="Y242" s="177"/>
      <c r="Z242" s="166">
        <v>60</v>
      </c>
      <c r="AA242" s="158"/>
      <c r="AB242" s="158"/>
      <c r="AC242" s="158"/>
      <c r="AD242" s="158"/>
      <c r="AE242" s="158"/>
      <c r="AF242" s="158"/>
    </row>
    <row r="243" spans="1:32" x14ac:dyDescent="0.3">
      <c r="A243" s="157">
        <v>8.07</v>
      </c>
      <c r="B243" s="158" t="s">
        <v>1028</v>
      </c>
      <c r="C243" s="159" t="s">
        <v>1034</v>
      </c>
      <c r="D243" s="179">
        <f t="shared" si="84"/>
        <v>45718</v>
      </c>
      <c r="E243" s="180">
        <v>10</v>
      </c>
      <c r="F243" s="179">
        <f t="shared" si="85"/>
        <v>45728</v>
      </c>
      <c r="G243" s="180">
        <v>21</v>
      </c>
      <c r="H243" s="179">
        <f t="shared" si="86"/>
        <v>45749</v>
      </c>
      <c r="I243" s="180">
        <v>5</v>
      </c>
      <c r="J243" s="179">
        <f t="shared" si="87"/>
        <v>45754</v>
      </c>
      <c r="K243" s="180">
        <v>45</v>
      </c>
      <c r="L243" s="179">
        <f t="shared" si="88"/>
        <v>45799</v>
      </c>
      <c r="M243" s="180">
        <v>31</v>
      </c>
      <c r="N243" s="179">
        <f t="shared" si="89"/>
        <v>45830</v>
      </c>
      <c r="O243" s="180">
        <v>3</v>
      </c>
      <c r="P243" s="179">
        <f t="shared" si="90"/>
        <v>45833</v>
      </c>
      <c r="Q243" s="161">
        <f t="shared" si="91"/>
        <v>115</v>
      </c>
      <c r="R243" s="160">
        <v>45833</v>
      </c>
      <c r="S243" s="160">
        <f t="shared" si="92"/>
        <v>-120</v>
      </c>
      <c r="T243" s="160">
        <f t="shared" si="93"/>
        <v>-97</v>
      </c>
      <c r="U243" s="160">
        <f t="shared" si="94"/>
        <v>-37</v>
      </c>
      <c r="V243" s="171">
        <f t="shared" si="95"/>
        <v>-30</v>
      </c>
      <c r="W243" s="159"/>
      <c r="X243" s="159"/>
      <c r="Y243" s="177"/>
      <c r="Z243" s="166">
        <v>60</v>
      </c>
      <c r="AA243" s="158"/>
      <c r="AB243" s="158"/>
      <c r="AC243" s="158"/>
      <c r="AD243" s="158"/>
      <c r="AE243" s="158"/>
      <c r="AF243" s="158"/>
    </row>
    <row r="244" spans="1:32" x14ac:dyDescent="0.3">
      <c r="A244" s="157">
        <v>8.07</v>
      </c>
      <c r="B244" s="158" t="s">
        <v>1028</v>
      </c>
      <c r="C244" s="159" t="s">
        <v>1035</v>
      </c>
      <c r="D244" s="179">
        <f t="shared" si="84"/>
        <v>45718</v>
      </c>
      <c r="E244" s="180">
        <v>10</v>
      </c>
      <c r="F244" s="179">
        <f t="shared" si="85"/>
        <v>45728</v>
      </c>
      <c r="G244" s="180">
        <v>21</v>
      </c>
      <c r="H244" s="179">
        <f t="shared" si="86"/>
        <v>45749</v>
      </c>
      <c r="I244" s="180">
        <v>5</v>
      </c>
      <c r="J244" s="179">
        <f t="shared" si="87"/>
        <v>45754</v>
      </c>
      <c r="K244" s="180">
        <v>45</v>
      </c>
      <c r="L244" s="179">
        <f t="shared" si="88"/>
        <v>45799</v>
      </c>
      <c r="M244" s="180">
        <v>31</v>
      </c>
      <c r="N244" s="179">
        <f t="shared" si="89"/>
        <v>45830</v>
      </c>
      <c r="O244" s="180">
        <v>3</v>
      </c>
      <c r="P244" s="179">
        <f t="shared" si="90"/>
        <v>45833</v>
      </c>
      <c r="Q244" s="161">
        <f t="shared" si="91"/>
        <v>115</v>
      </c>
      <c r="R244" s="160">
        <v>45833</v>
      </c>
      <c r="S244" s="160">
        <f t="shared" si="92"/>
        <v>-120</v>
      </c>
      <c r="T244" s="160">
        <f t="shared" si="93"/>
        <v>-97</v>
      </c>
      <c r="U244" s="160">
        <f t="shared" si="94"/>
        <v>-37</v>
      </c>
      <c r="V244" s="171">
        <f t="shared" si="95"/>
        <v>-30</v>
      </c>
      <c r="W244" s="159"/>
      <c r="X244" s="159"/>
      <c r="Y244" s="177"/>
      <c r="Z244" s="166">
        <v>60</v>
      </c>
      <c r="AA244" s="158"/>
      <c r="AB244" s="158"/>
      <c r="AC244" s="158"/>
      <c r="AD244" s="158"/>
      <c r="AE244" s="158"/>
      <c r="AF244" s="158"/>
    </row>
    <row r="245" spans="1:32" x14ac:dyDescent="0.3">
      <c r="A245" s="157">
        <v>8.07</v>
      </c>
      <c r="B245" s="158" t="s">
        <v>1028</v>
      </c>
      <c r="C245" s="159" t="s">
        <v>1036</v>
      </c>
      <c r="D245" s="179">
        <f t="shared" si="84"/>
        <v>45718</v>
      </c>
      <c r="E245" s="180">
        <v>10</v>
      </c>
      <c r="F245" s="179">
        <f t="shared" si="85"/>
        <v>45728</v>
      </c>
      <c r="G245" s="180">
        <v>21</v>
      </c>
      <c r="H245" s="179">
        <f t="shared" si="86"/>
        <v>45749</v>
      </c>
      <c r="I245" s="180">
        <v>5</v>
      </c>
      <c r="J245" s="179">
        <f t="shared" si="87"/>
        <v>45754</v>
      </c>
      <c r="K245" s="180">
        <v>45</v>
      </c>
      <c r="L245" s="179">
        <f t="shared" si="88"/>
        <v>45799</v>
      </c>
      <c r="M245" s="180">
        <v>31</v>
      </c>
      <c r="N245" s="179">
        <f t="shared" si="89"/>
        <v>45830</v>
      </c>
      <c r="O245" s="180">
        <v>3</v>
      </c>
      <c r="P245" s="179">
        <f t="shared" si="90"/>
        <v>45833</v>
      </c>
      <c r="Q245" s="161">
        <f t="shared" si="91"/>
        <v>115</v>
      </c>
      <c r="R245" s="160">
        <v>45833</v>
      </c>
      <c r="S245" s="160">
        <f t="shared" si="92"/>
        <v>-120</v>
      </c>
      <c r="T245" s="160">
        <f t="shared" si="93"/>
        <v>-97</v>
      </c>
      <c r="U245" s="160">
        <f t="shared" si="94"/>
        <v>-37</v>
      </c>
      <c r="V245" s="171">
        <f t="shared" si="95"/>
        <v>-30</v>
      </c>
      <c r="W245" s="159"/>
      <c r="X245" s="159"/>
      <c r="Y245" s="177"/>
      <c r="Z245" s="166">
        <v>60</v>
      </c>
      <c r="AA245" s="158"/>
      <c r="AB245" s="158"/>
      <c r="AC245" s="158"/>
      <c r="AD245" s="158"/>
      <c r="AE245" s="158"/>
      <c r="AF245" s="158"/>
    </row>
    <row r="246" spans="1:32" x14ac:dyDescent="0.3">
      <c r="A246" s="157">
        <v>8.07</v>
      </c>
      <c r="B246" s="158" t="s">
        <v>1028</v>
      </c>
      <c r="C246" s="159" t="s">
        <v>1037</v>
      </c>
      <c r="D246" s="179">
        <f t="shared" si="84"/>
        <v>45718</v>
      </c>
      <c r="E246" s="180">
        <v>10</v>
      </c>
      <c r="F246" s="179">
        <f t="shared" si="85"/>
        <v>45728</v>
      </c>
      <c r="G246" s="180">
        <v>21</v>
      </c>
      <c r="H246" s="179">
        <f t="shared" si="86"/>
        <v>45749</v>
      </c>
      <c r="I246" s="180">
        <v>5</v>
      </c>
      <c r="J246" s="179">
        <f t="shared" si="87"/>
        <v>45754</v>
      </c>
      <c r="K246" s="180">
        <v>45</v>
      </c>
      <c r="L246" s="179">
        <f t="shared" si="88"/>
        <v>45799</v>
      </c>
      <c r="M246" s="180">
        <v>31</v>
      </c>
      <c r="N246" s="179">
        <f t="shared" si="89"/>
        <v>45830</v>
      </c>
      <c r="O246" s="180">
        <v>3</v>
      </c>
      <c r="P246" s="179">
        <f t="shared" si="90"/>
        <v>45833</v>
      </c>
      <c r="Q246" s="161">
        <f t="shared" si="91"/>
        <v>115</v>
      </c>
      <c r="R246" s="160">
        <v>45833</v>
      </c>
      <c r="S246" s="160">
        <f t="shared" si="92"/>
        <v>-120</v>
      </c>
      <c r="T246" s="160">
        <f t="shared" si="93"/>
        <v>-97</v>
      </c>
      <c r="U246" s="160">
        <f t="shared" si="94"/>
        <v>-37</v>
      </c>
      <c r="V246" s="171">
        <f t="shared" si="95"/>
        <v>-30</v>
      </c>
      <c r="W246" s="159"/>
      <c r="X246" s="159"/>
      <c r="Y246" s="177"/>
      <c r="Z246" s="166">
        <v>60</v>
      </c>
      <c r="AA246" s="158"/>
      <c r="AB246" s="158"/>
      <c r="AC246" s="158"/>
      <c r="AD246" s="158"/>
      <c r="AE246" s="158"/>
      <c r="AF246" s="158"/>
    </row>
    <row r="247" spans="1:32" x14ac:dyDescent="0.3">
      <c r="A247" s="157">
        <v>8.07</v>
      </c>
      <c r="B247" s="158" t="s">
        <v>1028</v>
      </c>
      <c r="C247" s="159" t="s">
        <v>1038</v>
      </c>
      <c r="D247" s="179">
        <f t="shared" ref="D247:D261" si="96">R247-(E247+G247+I247+K247+M247+O247)</f>
        <v>45718</v>
      </c>
      <c r="E247" s="180">
        <v>10</v>
      </c>
      <c r="F247" s="179">
        <f t="shared" ref="F247:F261" si="97">D247+E247</f>
        <v>45728</v>
      </c>
      <c r="G247" s="180">
        <v>21</v>
      </c>
      <c r="H247" s="179">
        <f t="shared" ref="H247:H261" si="98">F247+G247</f>
        <v>45749</v>
      </c>
      <c r="I247" s="180">
        <v>5</v>
      </c>
      <c r="J247" s="179">
        <f t="shared" ref="J247:J261" si="99">H247+I247</f>
        <v>45754</v>
      </c>
      <c r="K247" s="180">
        <v>45</v>
      </c>
      <c r="L247" s="179">
        <f t="shared" ref="L247:L261" si="100">J247+K247</f>
        <v>45799</v>
      </c>
      <c r="M247" s="180">
        <v>31</v>
      </c>
      <c r="N247" s="179">
        <f t="shared" ref="N247:N261" si="101">L247+M247</f>
        <v>45830</v>
      </c>
      <c r="O247" s="180">
        <v>3</v>
      </c>
      <c r="P247" s="179">
        <f t="shared" ref="P247:P261" si="102">N247+O247</f>
        <v>45833</v>
      </c>
      <c r="Q247" s="161">
        <f t="shared" ref="Q247:Q261" si="103">O247+M247+K247+I247+G247+E247</f>
        <v>115</v>
      </c>
      <c r="R247" s="160">
        <v>45833</v>
      </c>
      <c r="S247" s="160">
        <f t="shared" ref="S247:S261" si="104">+T247-23</f>
        <v>-190</v>
      </c>
      <c r="T247" s="160">
        <f t="shared" ref="T247:T261" si="105">+U247-Z247</f>
        <v>-167</v>
      </c>
      <c r="U247" s="160">
        <f t="shared" ref="U247:U261" si="106">+V247-7</f>
        <v>-37</v>
      </c>
      <c r="V247" s="171">
        <f t="shared" ref="V247:V261" si="107">+$C$6-30</f>
        <v>-30</v>
      </c>
      <c r="W247" s="159"/>
      <c r="X247" s="159"/>
      <c r="Y247" s="177"/>
      <c r="Z247" s="166">
        <v>130</v>
      </c>
      <c r="AA247" s="158"/>
      <c r="AB247" s="158"/>
      <c r="AC247" s="158"/>
      <c r="AD247" s="158"/>
      <c r="AE247" s="158"/>
      <c r="AF247" s="158"/>
    </row>
    <row r="248" spans="1:32" x14ac:dyDescent="0.3">
      <c r="A248" s="157">
        <v>8.07</v>
      </c>
      <c r="B248" s="158" t="s">
        <v>1028</v>
      </c>
      <c r="C248" s="159" t="s">
        <v>1039</v>
      </c>
      <c r="D248" s="179">
        <f t="shared" si="96"/>
        <v>45718</v>
      </c>
      <c r="E248" s="180">
        <v>10</v>
      </c>
      <c r="F248" s="179">
        <f t="shared" si="97"/>
        <v>45728</v>
      </c>
      <c r="G248" s="180">
        <v>21</v>
      </c>
      <c r="H248" s="179">
        <f t="shared" si="98"/>
        <v>45749</v>
      </c>
      <c r="I248" s="180">
        <v>5</v>
      </c>
      <c r="J248" s="179">
        <f t="shared" si="99"/>
        <v>45754</v>
      </c>
      <c r="K248" s="180">
        <v>45</v>
      </c>
      <c r="L248" s="179">
        <f t="shared" si="100"/>
        <v>45799</v>
      </c>
      <c r="M248" s="180">
        <v>31</v>
      </c>
      <c r="N248" s="179">
        <f t="shared" si="101"/>
        <v>45830</v>
      </c>
      <c r="O248" s="180">
        <v>3</v>
      </c>
      <c r="P248" s="179">
        <f t="shared" si="102"/>
        <v>45833</v>
      </c>
      <c r="Q248" s="161">
        <f t="shared" si="103"/>
        <v>115</v>
      </c>
      <c r="R248" s="160">
        <v>45833</v>
      </c>
      <c r="S248" s="160">
        <f t="shared" si="104"/>
        <v>-120</v>
      </c>
      <c r="T248" s="160">
        <f t="shared" si="105"/>
        <v>-97</v>
      </c>
      <c r="U248" s="160">
        <f t="shared" si="106"/>
        <v>-37</v>
      </c>
      <c r="V248" s="171">
        <f t="shared" si="107"/>
        <v>-30</v>
      </c>
      <c r="W248" s="159"/>
      <c r="X248" s="159"/>
      <c r="Y248" s="177"/>
      <c r="Z248" s="166">
        <v>60</v>
      </c>
      <c r="AA248" s="158"/>
      <c r="AB248" s="158"/>
      <c r="AC248" s="158"/>
      <c r="AD248" s="158"/>
      <c r="AE248" s="158"/>
      <c r="AF248" s="158"/>
    </row>
    <row r="249" spans="1:32" x14ac:dyDescent="0.3">
      <c r="A249" s="157">
        <v>8.07</v>
      </c>
      <c r="B249" s="158" t="s">
        <v>1028</v>
      </c>
      <c r="C249" s="159" t="s">
        <v>1040</v>
      </c>
      <c r="D249" s="179">
        <f t="shared" si="96"/>
        <v>45718</v>
      </c>
      <c r="E249" s="180">
        <v>10</v>
      </c>
      <c r="F249" s="179">
        <f t="shared" si="97"/>
        <v>45728</v>
      </c>
      <c r="G249" s="180">
        <v>21</v>
      </c>
      <c r="H249" s="179">
        <f t="shared" si="98"/>
        <v>45749</v>
      </c>
      <c r="I249" s="180">
        <v>5</v>
      </c>
      <c r="J249" s="179">
        <f t="shared" si="99"/>
        <v>45754</v>
      </c>
      <c r="K249" s="180">
        <v>45</v>
      </c>
      <c r="L249" s="179">
        <f t="shared" si="100"/>
        <v>45799</v>
      </c>
      <c r="M249" s="180">
        <v>31</v>
      </c>
      <c r="N249" s="179">
        <f t="shared" si="101"/>
        <v>45830</v>
      </c>
      <c r="O249" s="180">
        <v>3</v>
      </c>
      <c r="P249" s="179">
        <f t="shared" si="102"/>
        <v>45833</v>
      </c>
      <c r="Q249" s="161">
        <f t="shared" si="103"/>
        <v>115</v>
      </c>
      <c r="R249" s="160">
        <v>45833</v>
      </c>
      <c r="S249" s="160">
        <f t="shared" si="104"/>
        <v>-120</v>
      </c>
      <c r="T249" s="160">
        <f t="shared" si="105"/>
        <v>-97</v>
      </c>
      <c r="U249" s="160">
        <f t="shared" si="106"/>
        <v>-37</v>
      </c>
      <c r="V249" s="171">
        <f t="shared" si="107"/>
        <v>-30</v>
      </c>
      <c r="W249" s="159"/>
      <c r="X249" s="159"/>
      <c r="Y249" s="177"/>
      <c r="Z249" s="166">
        <v>60</v>
      </c>
      <c r="AA249" s="158"/>
      <c r="AB249" s="158"/>
      <c r="AC249" s="158"/>
      <c r="AD249" s="158"/>
      <c r="AE249" s="158"/>
      <c r="AF249" s="158"/>
    </row>
    <row r="250" spans="1:32" x14ac:dyDescent="0.3">
      <c r="A250" s="157">
        <v>8.07</v>
      </c>
      <c r="B250" s="158" t="s">
        <v>1028</v>
      </c>
      <c r="C250" s="159" t="s">
        <v>1041</v>
      </c>
      <c r="D250" s="179">
        <f t="shared" si="96"/>
        <v>45718</v>
      </c>
      <c r="E250" s="180">
        <v>10</v>
      </c>
      <c r="F250" s="179">
        <f t="shared" si="97"/>
        <v>45728</v>
      </c>
      <c r="G250" s="180">
        <v>21</v>
      </c>
      <c r="H250" s="179">
        <f t="shared" si="98"/>
        <v>45749</v>
      </c>
      <c r="I250" s="180">
        <v>5</v>
      </c>
      <c r="J250" s="179">
        <f t="shared" si="99"/>
        <v>45754</v>
      </c>
      <c r="K250" s="180">
        <v>45</v>
      </c>
      <c r="L250" s="179">
        <f t="shared" si="100"/>
        <v>45799</v>
      </c>
      <c r="M250" s="180">
        <v>31</v>
      </c>
      <c r="N250" s="179">
        <f t="shared" si="101"/>
        <v>45830</v>
      </c>
      <c r="O250" s="180">
        <v>3</v>
      </c>
      <c r="P250" s="179">
        <f t="shared" si="102"/>
        <v>45833</v>
      </c>
      <c r="Q250" s="161">
        <f t="shared" si="103"/>
        <v>115</v>
      </c>
      <c r="R250" s="160">
        <v>45833</v>
      </c>
      <c r="S250" s="160">
        <f t="shared" si="104"/>
        <v>-120</v>
      </c>
      <c r="T250" s="160">
        <f t="shared" si="105"/>
        <v>-97</v>
      </c>
      <c r="U250" s="160">
        <f t="shared" si="106"/>
        <v>-37</v>
      </c>
      <c r="V250" s="171">
        <f t="shared" si="107"/>
        <v>-30</v>
      </c>
      <c r="W250" s="159"/>
      <c r="X250" s="159"/>
      <c r="Y250" s="177"/>
      <c r="Z250" s="166">
        <v>60</v>
      </c>
      <c r="AA250" s="158"/>
      <c r="AB250" s="158"/>
      <c r="AC250" s="158"/>
      <c r="AD250" s="158"/>
      <c r="AE250" s="158"/>
      <c r="AF250" s="158"/>
    </row>
    <row r="251" spans="1:32" x14ac:dyDescent="0.3">
      <c r="A251" s="157">
        <v>8.07</v>
      </c>
      <c r="B251" s="158" t="s">
        <v>1028</v>
      </c>
      <c r="C251" s="159" t="s">
        <v>398</v>
      </c>
      <c r="D251" s="179">
        <f t="shared" si="96"/>
        <v>45718</v>
      </c>
      <c r="E251" s="180">
        <v>10</v>
      </c>
      <c r="F251" s="179">
        <f t="shared" si="97"/>
        <v>45728</v>
      </c>
      <c r="G251" s="180">
        <v>21</v>
      </c>
      <c r="H251" s="179">
        <f t="shared" si="98"/>
        <v>45749</v>
      </c>
      <c r="I251" s="180">
        <v>5</v>
      </c>
      <c r="J251" s="179">
        <f t="shared" si="99"/>
        <v>45754</v>
      </c>
      <c r="K251" s="180">
        <v>45</v>
      </c>
      <c r="L251" s="179">
        <f t="shared" si="100"/>
        <v>45799</v>
      </c>
      <c r="M251" s="180">
        <v>31</v>
      </c>
      <c r="N251" s="179">
        <f t="shared" si="101"/>
        <v>45830</v>
      </c>
      <c r="O251" s="180">
        <v>3</v>
      </c>
      <c r="P251" s="179">
        <f t="shared" si="102"/>
        <v>45833</v>
      </c>
      <c r="Q251" s="161">
        <f t="shared" si="103"/>
        <v>115</v>
      </c>
      <c r="R251" s="160">
        <v>45833</v>
      </c>
      <c r="S251" s="160">
        <f t="shared" si="104"/>
        <v>-120</v>
      </c>
      <c r="T251" s="160">
        <f t="shared" si="105"/>
        <v>-97</v>
      </c>
      <c r="U251" s="160">
        <f t="shared" si="106"/>
        <v>-37</v>
      </c>
      <c r="V251" s="171">
        <f t="shared" si="107"/>
        <v>-30</v>
      </c>
      <c r="W251" s="159"/>
      <c r="X251" s="159"/>
      <c r="Y251" s="177"/>
      <c r="Z251" s="166">
        <v>60</v>
      </c>
      <c r="AA251" s="158"/>
      <c r="AB251" s="158"/>
      <c r="AC251" s="158"/>
      <c r="AD251" s="158"/>
      <c r="AE251" s="158"/>
      <c r="AF251" s="158"/>
    </row>
    <row r="252" spans="1:32" x14ac:dyDescent="0.3">
      <c r="A252" s="157">
        <v>8.07</v>
      </c>
      <c r="B252" s="158" t="s">
        <v>1028</v>
      </c>
      <c r="C252" s="159" t="s">
        <v>1042</v>
      </c>
      <c r="D252" s="179">
        <f t="shared" si="96"/>
        <v>45718</v>
      </c>
      <c r="E252" s="180">
        <v>10</v>
      </c>
      <c r="F252" s="179">
        <f t="shared" si="97"/>
        <v>45728</v>
      </c>
      <c r="G252" s="180">
        <v>21</v>
      </c>
      <c r="H252" s="179">
        <f t="shared" si="98"/>
        <v>45749</v>
      </c>
      <c r="I252" s="180">
        <v>5</v>
      </c>
      <c r="J252" s="179">
        <f t="shared" si="99"/>
        <v>45754</v>
      </c>
      <c r="K252" s="180">
        <v>45</v>
      </c>
      <c r="L252" s="179">
        <f t="shared" si="100"/>
        <v>45799</v>
      </c>
      <c r="M252" s="180">
        <v>31</v>
      </c>
      <c r="N252" s="179">
        <f t="shared" si="101"/>
        <v>45830</v>
      </c>
      <c r="O252" s="180">
        <v>3</v>
      </c>
      <c r="P252" s="179">
        <f t="shared" si="102"/>
        <v>45833</v>
      </c>
      <c r="Q252" s="161">
        <f t="shared" si="103"/>
        <v>115</v>
      </c>
      <c r="R252" s="160">
        <v>45833</v>
      </c>
      <c r="S252" s="160">
        <f t="shared" si="104"/>
        <v>-75</v>
      </c>
      <c r="T252" s="160">
        <f t="shared" si="105"/>
        <v>-52</v>
      </c>
      <c r="U252" s="160">
        <f t="shared" si="106"/>
        <v>-37</v>
      </c>
      <c r="V252" s="171">
        <f t="shared" si="107"/>
        <v>-30</v>
      </c>
      <c r="W252" s="159"/>
      <c r="X252" s="159"/>
      <c r="Y252" s="177"/>
      <c r="Z252" s="166">
        <v>15</v>
      </c>
      <c r="AA252" s="158"/>
      <c r="AB252" s="158"/>
      <c r="AC252" s="158"/>
      <c r="AD252" s="158"/>
      <c r="AE252" s="158"/>
      <c r="AF252" s="158"/>
    </row>
    <row r="253" spans="1:32" x14ac:dyDescent="0.3">
      <c r="A253" s="157">
        <v>8.08</v>
      </c>
      <c r="B253" s="158" t="s">
        <v>1043</v>
      </c>
      <c r="C253" s="159" t="s">
        <v>1044</v>
      </c>
      <c r="D253" s="179">
        <f t="shared" si="96"/>
        <v>45718</v>
      </c>
      <c r="E253" s="180">
        <v>10</v>
      </c>
      <c r="F253" s="179">
        <f t="shared" si="97"/>
        <v>45728</v>
      </c>
      <c r="G253" s="180">
        <v>21</v>
      </c>
      <c r="H253" s="179">
        <f t="shared" si="98"/>
        <v>45749</v>
      </c>
      <c r="I253" s="180">
        <v>5</v>
      </c>
      <c r="J253" s="179">
        <f t="shared" si="99"/>
        <v>45754</v>
      </c>
      <c r="K253" s="180">
        <v>45</v>
      </c>
      <c r="L253" s="179">
        <f t="shared" si="100"/>
        <v>45799</v>
      </c>
      <c r="M253" s="180">
        <v>31</v>
      </c>
      <c r="N253" s="179">
        <f t="shared" si="101"/>
        <v>45830</v>
      </c>
      <c r="O253" s="180">
        <v>3</v>
      </c>
      <c r="P253" s="179">
        <f t="shared" si="102"/>
        <v>45833</v>
      </c>
      <c r="Q253" s="161">
        <f t="shared" si="103"/>
        <v>115</v>
      </c>
      <c r="R253" s="160">
        <v>45833</v>
      </c>
      <c r="S253" s="160">
        <f t="shared" si="104"/>
        <v>-150</v>
      </c>
      <c r="T253" s="160">
        <f t="shared" si="105"/>
        <v>-127</v>
      </c>
      <c r="U253" s="160">
        <f t="shared" si="106"/>
        <v>-37</v>
      </c>
      <c r="V253" s="171">
        <f t="shared" si="107"/>
        <v>-30</v>
      </c>
      <c r="W253" s="159"/>
      <c r="X253" s="159"/>
      <c r="Y253" s="177"/>
      <c r="Z253" s="166">
        <v>90</v>
      </c>
      <c r="AA253" s="158"/>
      <c r="AB253" s="158"/>
      <c r="AC253" s="158"/>
      <c r="AD253" s="158"/>
      <c r="AE253" s="158"/>
      <c r="AF253" s="158"/>
    </row>
    <row r="254" spans="1:32" x14ac:dyDescent="0.3">
      <c r="A254" s="157">
        <v>8.08</v>
      </c>
      <c r="B254" s="158" t="s">
        <v>1043</v>
      </c>
      <c r="C254" s="159" t="s">
        <v>1045</v>
      </c>
      <c r="D254" s="179">
        <f t="shared" si="96"/>
        <v>45718</v>
      </c>
      <c r="E254" s="180">
        <v>10</v>
      </c>
      <c r="F254" s="179">
        <f t="shared" si="97"/>
        <v>45728</v>
      </c>
      <c r="G254" s="180">
        <v>21</v>
      </c>
      <c r="H254" s="179">
        <f t="shared" si="98"/>
        <v>45749</v>
      </c>
      <c r="I254" s="180">
        <v>5</v>
      </c>
      <c r="J254" s="179">
        <f t="shared" si="99"/>
        <v>45754</v>
      </c>
      <c r="K254" s="180">
        <v>45</v>
      </c>
      <c r="L254" s="179">
        <f t="shared" si="100"/>
        <v>45799</v>
      </c>
      <c r="M254" s="180">
        <v>31</v>
      </c>
      <c r="N254" s="179">
        <f t="shared" si="101"/>
        <v>45830</v>
      </c>
      <c r="O254" s="180">
        <v>3</v>
      </c>
      <c r="P254" s="179">
        <f t="shared" si="102"/>
        <v>45833</v>
      </c>
      <c r="Q254" s="161">
        <f t="shared" si="103"/>
        <v>115</v>
      </c>
      <c r="R254" s="160">
        <v>45833</v>
      </c>
      <c r="S254" s="160">
        <f t="shared" si="104"/>
        <v>-150</v>
      </c>
      <c r="T254" s="160">
        <f t="shared" si="105"/>
        <v>-127</v>
      </c>
      <c r="U254" s="160">
        <f t="shared" si="106"/>
        <v>-37</v>
      </c>
      <c r="V254" s="171">
        <f t="shared" si="107"/>
        <v>-30</v>
      </c>
      <c r="W254" s="159"/>
      <c r="X254" s="159"/>
      <c r="Y254" s="177"/>
      <c r="Z254" s="166">
        <v>90</v>
      </c>
      <c r="AA254" s="158"/>
      <c r="AB254" s="158"/>
      <c r="AC254" s="158"/>
      <c r="AD254" s="158"/>
      <c r="AE254" s="158"/>
      <c r="AF254" s="158"/>
    </row>
    <row r="255" spans="1:32" x14ac:dyDescent="0.3">
      <c r="A255" s="157">
        <v>8.08</v>
      </c>
      <c r="B255" s="158" t="s">
        <v>1043</v>
      </c>
      <c r="C255" s="159" t="s">
        <v>1046</v>
      </c>
      <c r="D255" s="179">
        <f t="shared" si="96"/>
        <v>45718</v>
      </c>
      <c r="E255" s="180">
        <v>10</v>
      </c>
      <c r="F255" s="179">
        <f t="shared" si="97"/>
        <v>45728</v>
      </c>
      <c r="G255" s="180">
        <v>21</v>
      </c>
      <c r="H255" s="179">
        <f t="shared" si="98"/>
        <v>45749</v>
      </c>
      <c r="I255" s="180">
        <v>5</v>
      </c>
      <c r="J255" s="179">
        <f t="shared" si="99"/>
        <v>45754</v>
      </c>
      <c r="K255" s="180">
        <v>45</v>
      </c>
      <c r="L255" s="179">
        <f t="shared" si="100"/>
        <v>45799</v>
      </c>
      <c r="M255" s="180">
        <v>31</v>
      </c>
      <c r="N255" s="179">
        <f t="shared" si="101"/>
        <v>45830</v>
      </c>
      <c r="O255" s="180">
        <v>3</v>
      </c>
      <c r="P255" s="179">
        <f t="shared" si="102"/>
        <v>45833</v>
      </c>
      <c r="Q255" s="161">
        <f t="shared" si="103"/>
        <v>115</v>
      </c>
      <c r="R255" s="160">
        <v>45833</v>
      </c>
      <c r="S255" s="160">
        <f t="shared" si="104"/>
        <v>-150</v>
      </c>
      <c r="T255" s="160">
        <f t="shared" si="105"/>
        <v>-127</v>
      </c>
      <c r="U255" s="160">
        <f t="shared" si="106"/>
        <v>-37</v>
      </c>
      <c r="V255" s="171">
        <f t="shared" si="107"/>
        <v>-30</v>
      </c>
      <c r="W255" s="159"/>
      <c r="X255" s="159"/>
      <c r="Y255" s="177"/>
      <c r="Z255" s="166">
        <v>90</v>
      </c>
      <c r="AA255" s="158"/>
      <c r="AB255" s="158"/>
      <c r="AC255" s="158"/>
      <c r="AD255" s="158"/>
      <c r="AE255" s="158"/>
      <c r="AF255" s="158"/>
    </row>
    <row r="256" spans="1:32" x14ac:dyDescent="0.3">
      <c r="A256" s="157">
        <v>8.09</v>
      </c>
      <c r="B256" s="158" t="s">
        <v>1047</v>
      </c>
      <c r="C256" s="159" t="s">
        <v>1048</v>
      </c>
      <c r="D256" s="179">
        <f t="shared" si="96"/>
        <v>45718</v>
      </c>
      <c r="E256" s="180">
        <v>10</v>
      </c>
      <c r="F256" s="179">
        <f t="shared" si="97"/>
        <v>45728</v>
      </c>
      <c r="G256" s="180">
        <v>21</v>
      </c>
      <c r="H256" s="179">
        <f t="shared" si="98"/>
        <v>45749</v>
      </c>
      <c r="I256" s="180">
        <v>5</v>
      </c>
      <c r="J256" s="179">
        <f t="shared" si="99"/>
        <v>45754</v>
      </c>
      <c r="K256" s="180">
        <v>45</v>
      </c>
      <c r="L256" s="179">
        <f t="shared" si="100"/>
        <v>45799</v>
      </c>
      <c r="M256" s="180">
        <v>31</v>
      </c>
      <c r="N256" s="179">
        <f t="shared" si="101"/>
        <v>45830</v>
      </c>
      <c r="O256" s="180">
        <v>3</v>
      </c>
      <c r="P256" s="179">
        <f t="shared" si="102"/>
        <v>45833</v>
      </c>
      <c r="Q256" s="161">
        <f t="shared" si="103"/>
        <v>115</v>
      </c>
      <c r="R256" s="160">
        <v>45833</v>
      </c>
      <c r="S256" s="160">
        <f t="shared" si="104"/>
        <v>-170</v>
      </c>
      <c r="T256" s="160">
        <f t="shared" si="105"/>
        <v>-147</v>
      </c>
      <c r="U256" s="160">
        <f t="shared" si="106"/>
        <v>-37</v>
      </c>
      <c r="V256" s="171">
        <f t="shared" si="107"/>
        <v>-30</v>
      </c>
      <c r="W256" s="159"/>
      <c r="X256" s="159"/>
      <c r="Y256" s="177"/>
      <c r="Z256" s="166">
        <v>110</v>
      </c>
      <c r="AA256" s="158"/>
      <c r="AB256" s="158"/>
      <c r="AC256" s="158"/>
      <c r="AD256" s="158"/>
      <c r="AE256" s="158"/>
      <c r="AF256" s="158"/>
    </row>
    <row r="257" spans="1:32" x14ac:dyDescent="0.3">
      <c r="A257" s="157">
        <v>8.09</v>
      </c>
      <c r="B257" s="158" t="s">
        <v>1047</v>
      </c>
      <c r="C257" s="159" t="s">
        <v>1049</v>
      </c>
      <c r="D257" s="179">
        <f t="shared" si="96"/>
        <v>45718</v>
      </c>
      <c r="E257" s="180">
        <v>10</v>
      </c>
      <c r="F257" s="179">
        <f t="shared" si="97"/>
        <v>45728</v>
      </c>
      <c r="G257" s="180">
        <v>21</v>
      </c>
      <c r="H257" s="179">
        <f t="shared" si="98"/>
        <v>45749</v>
      </c>
      <c r="I257" s="180">
        <v>5</v>
      </c>
      <c r="J257" s="179">
        <f t="shared" si="99"/>
        <v>45754</v>
      </c>
      <c r="K257" s="180">
        <v>45</v>
      </c>
      <c r="L257" s="179">
        <f t="shared" si="100"/>
        <v>45799</v>
      </c>
      <c r="M257" s="180">
        <v>31</v>
      </c>
      <c r="N257" s="179">
        <f t="shared" si="101"/>
        <v>45830</v>
      </c>
      <c r="O257" s="180">
        <v>3</v>
      </c>
      <c r="P257" s="179">
        <f t="shared" si="102"/>
        <v>45833</v>
      </c>
      <c r="Q257" s="161">
        <f t="shared" si="103"/>
        <v>115</v>
      </c>
      <c r="R257" s="160">
        <v>45833</v>
      </c>
      <c r="S257" s="160">
        <f t="shared" si="104"/>
        <v>-75</v>
      </c>
      <c r="T257" s="160">
        <f t="shared" si="105"/>
        <v>-52</v>
      </c>
      <c r="U257" s="160">
        <f t="shared" si="106"/>
        <v>-37</v>
      </c>
      <c r="V257" s="171">
        <f t="shared" si="107"/>
        <v>-30</v>
      </c>
      <c r="W257" s="159"/>
      <c r="X257" s="159"/>
      <c r="Y257" s="177"/>
      <c r="Z257" s="166">
        <v>15</v>
      </c>
      <c r="AA257" s="158"/>
      <c r="AB257" s="158"/>
      <c r="AC257" s="158"/>
      <c r="AD257" s="158"/>
      <c r="AE257" s="158"/>
      <c r="AF257" s="158"/>
    </row>
    <row r="258" spans="1:32" x14ac:dyDescent="0.3">
      <c r="A258" s="157">
        <v>8.09</v>
      </c>
      <c r="B258" s="158" t="s">
        <v>1047</v>
      </c>
      <c r="C258" s="159" t="s">
        <v>1050</v>
      </c>
      <c r="D258" s="179">
        <f t="shared" si="96"/>
        <v>45718</v>
      </c>
      <c r="E258" s="180">
        <v>10</v>
      </c>
      <c r="F258" s="179">
        <f t="shared" si="97"/>
        <v>45728</v>
      </c>
      <c r="G258" s="180">
        <v>21</v>
      </c>
      <c r="H258" s="179">
        <f t="shared" si="98"/>
        <v>45749</v>
      </c>
      <c r="I258" s="180">
        <v>5</v>
      </c>
      <c r="J258" s="179">
        <f t="shared" si="99"/>
        <v>45754</v>
      </c>
      <c r="K258" s="180">
        <v>45</v>
      </c>
      <c r="L258" s="179">
        <f t="shared" si="100"/>
        <v>45799</v>
      </c>
      <c r="M258" s="180">
        <v>31</v>
      </c>
      <c r="N258" s="179">
        <f t="shared" si="101"/>
        <v>45830</v>
      </c>
      <c r="O258" s="180">
        <v>3</v>
      </c>
      <c r="P258" s="179">
        <f t="shared" si="102"/>
        <v>45833</v>
      </c>
      <c r="Q258" s="161">
        <f t="shared" si="103"/>
        <v>115</v>
      </c>
      <c r="R258" s="160">
        <v>45833</v>
      </c>
      <c r="S258" s="160">
        <f t="shared" si="104"/>
        <v>-170</v>
      </c>
      <c r="T258" s="160">
        <f t="shared" si="105"/>
        <v>-147</v>
      </c>
      <c r="U258" s="160">
        <f t="shared" si="106"/>
        <v>-37</v>
      </c>
      <c r="V258" s="171">
        <f t="shared" si="107"/>
        <v>-30</v>
      </c>
      <c r="W258" s="159"/>
      <c r="X258" s="159"/>
      <c r="Y258" s="177"/>
      <c r="Z258" s="166">
        <v>110</v>
      </c>
      <c r="AA258" s="158"/>
      <c r="AB258" s="158"/>
      <c r="AC258" s="158"/>
      <c r="AD258" s="158"/>
      <c r="AE258" s="158"/>
      <c r="AF258" s="158"/>
    </row>
    <row r="259" spans="1:32" x14ac:dyDescent="0.3">
      <c r="A259" s="157">
        <v>8.09</v>
      </c>
      <c r="B259" s="158" t="s">
        <v>1047</v>
      </c>
      <c r="C259" s="159" t="s">
        <v>1051</v>
      </c>
      <c r="D259" s="179">
        <f t="shared" si="96"/>
        <v>45718</v>
      </c>
      <c r="E259" s="180">
        <v>10</v>
      </c>
      <c r="F259" s="179">
        <f t="shared" si="97"/>
        <v>45728</v>
      </c>
      <c r="G259" s="180">
        <v>21</v>
      </c>
      <c r="H259" s="179">
        <f t="shared" si="98"/>
        <v>45749</v>
      </c>
      <c r="I259" s="180">
        <v>5</v>
      </c>
      <c r="J259" s="179">
        <f t="shared" si="99"/>
        <v>45754</v>
      </c>
      <c r="K259" s="180">
        <v>45</v>
      </c>
      <c r="L259" s="179">
        <f t="shared" si="100"/>
        <v>45799</v>
      </c>
      <c r="M259" s="180">
        <v>31</v>
      </c>
      <c r="N259" s="179">
        <f t="shared" si="101"/>
        <v>45830</v>
      </c>
      <c r="O259" s="180">
        <v>3</v>
      </c>
      <c r="P259" s="179">
        <f t="shared" si="102"/>
        <v>45833</v>
      </c>
      <c r="Q259" s="161">
        <f t="shared" si="103"/>
        <v>115</v>
      </c>
      <c r="R259" s="160">
        <v>45833</v>
      </c>
      <c r="S259" s="160">
        <f t="shared" si="104"/>
        <v>-75</v>
      </c>
      <c r="T259" s="160">
        <f t="shared" si="105"/>
        <v>-52</v>
      </c>
      <c r="U259" s="160">
        <f t="shared" si="106"/>
        <v>-37</v>
      </c>
      <c r="V259" s="171">
        <f t="shared" si="107"/>
        <v>-30</v>
      </c>
      <c r="W259" s="159"/>
      <c r="X259" s="159"/>
      <c r="Y259" s="177"/>
      <c r="Z259" s="166">
        <v>15</v>
      </c>
      <c r="AA259" s="158"/>
      <c r="AB259" s="158"/>
      <c r="AC259" s="158"/>
      <c r="AD259" s="158"/>
      <c r="AE259" s="158"/>
      <c r="AF259" s="158"/>
    </row>
    <row r="260" spans="1:32" x14ac:dyDescent="0.3">
      <c r="A260" s="157">
        <v>8.09</v>
      </c>
      <c r="B260" s="158" t="s">
        <v>1047</v>
      </c>
      <c r="C260" s="159" t="s">
        <v>1052</v>
      </c>
      <c r="D260" s="179">
        <f t="shared" si="96"/>
        <v>45718</v>
      </c>
      <c r="E260" s="180">
        <v>10</v>
      </c>
      <c r="F260" s="179">
        <f t="shared" si="97"/>
        <v>45728</v>
      </c>
      <c r="G260" s="180">
        <v>21</v>
      </c>
      <c r="H260" s="179">
        <f t="shared" si="98"/>
        <v>45749</v>
      </c>
      <c r="I260" s="180">
        <v>5</v>
      </c>
      <c r="J260" s="179">
        <f t="shared" si="99"/>
        <v>45754</v>
      </c>
      <c r="K260" s="180">
        <v>45</v>
      </c>
      <c r="L260" s="179">
        <f t="shared" si="100"/>
        <v>45799</v>
      </c>
      <c r="M260" s="180">
        <v>31</v>
      </c>
      <c r="N260" s="179">
        <f t="shared" si="101"/>
        <v>45830</v>
      </c>
      <c r="O260" s="180">
        <v>3</v>
      </c>
      <c r="P260" s="179">
        <f t="shared" si="102"/>
        <v>45833</v>
      </c>
      <c r="Q260" s="161">
        <f t="shared" si="103"/>
        <v>115</v>
      </c>
      <c r="R260" s="160">
        <v>45833</v>
      </c>
      <c r="S260" s="160">
        <f t="shared" si="104"/>
        <v>-150</v>
      </c>
      <c r="T260" s="160">
        <f t="shared" si="105"/>
        <v>-127</v>
      </c>
      <c r="U260" s="160">
        <f t="shared" si="106"/>
        <v>-37</v>
      </c>
      <c r="V260" s="171">
        <f t="shared" si="107"/>
        <v>-30</v>
      </c>
      <c r="W260" s="159"/>
      <c r="X260" s="159"/>
      <c r="Y260" s="177"/>
      <c r="Z260" s="166">
        <v>90</v>
      </c>
      <c r="AA260" s="158"/>
      <c r="AB260" s="158"/>
      <c r="AC260" s="158"/>
      <c r="AD260" s="158"/>
      <c r="AE260" s="158"/>
      <c r="AF260" s="158"/>
    </row>
    <row r="261" spans="1:32" ht="28.8" x14ac:dyDescent="0.3">
      <c r="A261" s="157">
        <v>8.09</v>
      </c>
      <c r="B261" s="158" t="s">
        <v>1047</v>
      </c>
      <c r="C261" s="159" t="s">
        <v>1053</v>
      </c>
      <c r="D261" s="179">
        <f t="shared" si="96"/>
        <v>45718</v>
      </c>
      <c r="E261" s="180">
        <v>10</v>
      </c>
      <c r="F261" s="179">
        <f t="shared" si="97"/>
        <v>45728</v>
      </c>
      <c r="G261" s="180">
        <v>21</v>
      </c>
      <c r="H261" s="179">
        <f t="shared" si="98"/>
        <v>45749</v>
      </c>
      <c r="I261" s="180">
        <v>5</v>
      </c>
      <c r="J261" s="179">
        <f t="shared" si="99"/>
        <v>45754</v>
      </c>
      <c r="K261" s="180">
        <v>45</v>
      </c>
      <c r="L261" s="179">
        <f t="shared" si="100"/>
        <v>45799</v>
      </c>
      <c r="M261" s="180">
        <v>31</v>
      </c>
      <c r="N261" s="179">
        <f t="shared" si="101"/>
        <v>45830</v>
      </c>
      <c r="O261" s="180">
        <v>3</v>
      </c>
      <c r="P261" s="179">
        <f t="shared" si="102"/>
        <v>45833</v>
      </c>
      <c r="Q261" s="161">
        <f t="shared" si="103"/>
        <v>115</v>
      </c>
      <c r="R261" s="160">
        <v>45833</v>
      </c>
      <c r="S261" s="160">
        <f t="shared" si="104"/>
        <v>-150</v>
      </c>
      <c r="T261" s="160">
        <f t="shared" si="105"/>
        <v>-127</v>
      </c>
      <c r="U261" s="160">
        <f t="shared" si="106"/>
        <v>-37</v>
      </c>
      <c r="V261" s="171">
        <f t="shared" si="107"/>
        <v>-30</v>
      </c>
      <c r="W261" s="159"/>
      <c r="X261" s="159"/>
      <c r="Y261" s="177"/>
      <c r="Z261" s="166">
        <v>90</v>
      </c>
      <c r="AA261" s="158"/>
      <c r="AB261" s="158"/>
      <c r="AC261" s="158"/>
      <c r="AD261" s="158"/>
      <c r="AE261" s="158"/>
      <c r="AF261" s="158"/>
    </row>
  </sheetData>
  <autoFilter ref="A2:AF261" xr:uid="{CD76C40E-35D6-45A2-85F3-C69ACC79C54B}"/>
  <mergeCells count="21">
    <mergeCell ref="A182:Z182"/>
    <mergeCell ref="O13:P13"/>
    <mergeCell ref="A15:AF15"/>
    <mergeCell ref="A30:Z30"/>
    <mergeCell ref="A34:Z34"/>
    <mergeCell ref="A37:Z37"/>
    <mergeCell ref="A67:Z67"/>
    <mergeCell ref="D13:D14"/>
    <mergeCell ref="E13:F13"/>
    <mergeCell ref="G13:H13"/>
    <mergeCell ref="I13:J13"/>
    <mergeCell ref="K13:L13"/>
    <mergeCell ref="M13:N13"/>
    <mergeCell ref="A107:Z107"/>
    <mergeCell ref="S11:Y11"/>
    <mergeCell ref="D12:F12"/>
    <mergeCell ref="G12:H12"/>
    <mergeCell ref="I12:J12"/>
    <mergeCell ref="K12:L12"/>
    <mergeCell ref="M12:N12"/>
    <mergeCell ref="O12:P12"/>
  </mergeCells>
  <conditionalFormatting sqref="D16:D29 F16:F29 H16:H29 J16:J29 L16:L29 N16:N29 P16:P29 D31:D33 F31:F33 H31:H33 J31:J33 L31:L33 N31:N33 P31:P33 D35:D36 F35:F36 H35:H36 J35:J36 L35:L36 N35:N36 P35:P36 D38:D66 F38:F66 H38:H66 J38:J66 L38:L66 N38:N66 P38:P66 D68:D106 F68:F106 H68:H106 J68:J106 L68:L106 N68:N106 P68:P106 D108:D181 F108:F181 H108:H181 J108:J181 L108:L181 N108:N181 P108:P181 D183:D261 F183:F261 H183:H261 J183:J261 L183:L261 N183:N261 P183:P261">
    <cfRule type="cellIs" dxfId="156" priority="3" operator="lessThanOrEqual">
      <formula>TODAY()</formula>
    </cfRule>
    <cfRule type="cellIs" dxfId="155" priority="4" operator="lessThanOrEqual">
      <formula>TODAY()+7</formula>
    </cfRule>
  </conditionalFormatting>
  <conditionalFormatting sqref="E7">
    <cfRule type="cellIs" dxfId="154" priority="1" operator="lessThanOrEqual">
      <formula>TODAY()</formula>
    </cfRule>
    <cfRule type="cellIs" dxfId="153" priority="2" operator="lessThanOrEqual">
      <formula>TODAY()+7</formula>
    </cfRule>
  </conditionalFormatting>
  <conditionalFormatting sqref="T16:T29">
    <cfRule type="cellIs" dxfId="152" priority="17" operator="between">
      <formula>$C$10</formula>
      <formula>$C$11</formula>
    </cfRule>
    <cfRule type="cellIs" dxfId="151" priority="18" operator="between">
      <formula>$C$9</formula>
      <formula>$C$10</formula>
    </cfRule>
  </conditionalFormatting>
  <conditionalFormatting sqref="T31:T33">
    <cfRule type="cellIs" dxfId="150" priority="15" operator="between">
      <formula>$C$10</formula>
      <formula>$C$11</formula>
    </cfRule>
    <cfRule type="cellIs" dxfId="149" priority="16" operator="between">
      <formula>$C$9</formula>
      <formula>$C$10</formula>
    </cfRule>
  </conditionalFormatting>
  <conditionalFormatting sqref="T35:T36">
    <cfRule type="cellIs" dxfId="148" priority="13" operator="between">
      <formula>$C$10</formula>
      <formula>$C$11</formula>
    </cfRule>
    <cfRule type="cellIs" dxfId="147" priority="14" operator="between">
      <formula>$C$9</formula>
      <formula>$C$10</formula>
    </cfRule>
  </conditionalFormatting>
  <conditionalFormatting sqref="T38:T66">
    <cfRule type="cellIs" dxfId="146" priority="11" operator="between">
      <formula>$C$10</formula>
      <formula>$C$11</formula>
    </cfRule>
    <cfRule type="cellIs" dxfId="145" priority="12" operator="between">
      <formula>$C$9</formula>
      <formula>$C$10</formula>
    </cfRule>
  </conditionalFormatting>
  <conditionalFormatting sqref="T68:T106">
    <cfRule type="cellIs" dxfId="144" priority="9" operator="between">
      <formula>$C$10</formula>
      <formula>$C$11</formula>
    </cfRule>
    <cfRule type="cellIs" dxfId="143" priority="10" operator="between">
      <formula>$C$9</formula>
      <formula>$C$10</formula>
    </cfRule>
  </conditionalFormatting>
  <conditionalFormatting sqref="T108:T181">
    <cfRule type="cellIs" dxfId="142" priority="7" operator="between">
      <formula>$C$10</formula>
      <formula>$C$11</formula>
    </cfRule>
    <cfRule type="cellIs" dxfId="141" priority="8" operator="between">
      <formula>$C$9</formula>
      <formula>$C$10</formula>
    </cfRule>
  </conditionalFormatting>
  <conditionalFormatting sqref="T183:T261">
    <cfRule type="cellIs" dxfId="140" priority="5" operator="between">
      <formula>$C$10</formula>
      <formula>$C$11</formula>
    </cfRule>
    <cfRule type="cellIs" dxfId="139" priority="6" operator="between">
      <formula>$C$9</formula>
      <formula>$C$10</formula>
    </cfRule>
  </conditionalFormatting>
  <conditionalFormatting sqref="X16:X20 X23 X31:X33 X38:X66">
    <cfRule type="containsText" dxfId="138" priority="141" operator="containsText" text="Pendiente">
      <formula>NOT(ISERROR(SEARCH("Pendiente",X16)))</formula>
    </cfRule>
    <cfRule type="containsText" dxfId="137" priority="142" operator="containsText" text="Verificar">
      <formula>NOT(ISERROR(SEARCH("Verificar",X16)))</formula>
    </cfRule>
  </conditionalFormatting>
  <conditionalFormatting sqref="X16:X20">
    <cfRule type="containsText" dxfId="136" priority="134" operator="containsText" text="Todavia">
      <formula>NOT(ISERROR(SEARCH("Todavia",X16)))</formula>
    </cfRule>
    <cfRule type="containsText" dxfId="135" priority="140" operator="containsText" text="Alerta">
      <formula>NOT(ISERROR(SEARCH("Alerta",X16)))</formula>
    </cfRule>
    <cfRule type="containsText" dxfId="134" priority="147" operator="containsText" text="Alerta">
      <formula>NOT(ISERROR(SEARCH("Alerta",X16)))</formula>
    </cfRule>
    <cfRule type="containsText" dxfId="133" priority="146" operator="containsText" text="Listo">
      <formula>NOT(ISERROR(SEARCH("Listo",X16)))</formula>
    </cfRule>
    <cfRule type="containsText" dxfId="132" priority="145" operator="containsText" text="Paso">
      <formula>NOT(ISERROR(SEARCH("Paso",X16)))</formula>
    </cfRule>
    <cfRule type="containsText" dxfId="131" priority="144" operator="containsText" text="Atento">
      <formula>NOT(ISERROR(SEARCH("Atento",X16)))</formula>
    </cfRule>
    <cfRule type="containsText" dxfId="130" priority="143" operator="containsText" text="Todavia">
      <formula>NOT(ISERROR(SEARCH("Todavia",X16)))</formula>
    </cfRule>
    <cfRule type="containsText" dxfId="129" priority="139" operator="containsText" text="Listo">
      <formula>NOT(ISERROR(SEARCH("Listo",X16)))</formula>
    </cfRule>
    <cfRule type="containsText" dxfId="128" priority="138" operator="containsText" text="Todavia">
      <formula>NOT(ISERROR(SEARCH("Todavia",X16)))</formula>
    </cfRule>
    <cfRule type="containsText" dxfId="127" priority="137" operator="containsText" text="Coordinar">
      <formula>NOT(ISERROR(SEARCH("Coordinar",X16)))</formula>
    </cfRule>
    <cfRule type="containsText" dxfId="126" priority="135" operator="containsText" text="Atento">
      <formula>NOT(ISERROR(SEARCH("Atento",X16)))</formula>
    </cfRule>
  </conditionalFormatting>
  <conditionalFormatting sqref="X16:X28">
    <cfRule type="containsText" dxfId="125" priority="128" operator="containsText" text="Alerta">
      <formula>NOT(ISERROR(SEARCH("Alerta",X16)))</formula>
    </cfRule>
    <cfRule type="containsText" dxfId="124" priority="127" operator="containsText" text="Listo">
      <formula>NOT(ISERROR(SEARCH("Listo",X16)))</formula>
    </cfRule>
    <cfRule type="containsText" dxfId="123" priority="126" operator="containsText" text="Paso">
      <formula>NOT(ISERROR(SEARCH("Paso",X16)))</formula>
    </cfRule>
  </conditionalFormatting>
  <conditionalFormatting sqref="X16:X29">
    <cfRule type="containsText" dxfId="122" priority="110" operator="containsText" text="Proceso">
      <formula>NOT(ISERROR(SEARCH("Proceso",X16)))</formula>
    </cfRule>
    <cfRule type="containsText" dxfId="121" priority="111" operator="containsText" text="Entregado">
      <formula>NOT(ISERROR(SEARCH("Entregado",X16)))</formula>
    </cfRule>
  </conditionalFormatting>
  <conditionalFormatting sqref="X21:X28">
    <cfRule type="containsText" dxfId="120" priority="118" operator="containsText" text="Coordinar">
      <formula>NOT(ISERROR(SEARCH("Coordinar",X21)))</formula>
    </cfRule>
    <cfRule type="containsText" dxfId="119" priority="125" operator="containsText" text="Atento">
      <formula>NOT(ISERROR(SEARCH("Atento",X21)))</formula>
    </cfRule>
    <cfRule type="containsText" dxfId="118" priority="124" operator="containsText" text="Todavia">
      <formula>NOT(ISERROR(SEARCH("Todavia",X21)))</formula>
    </cfRule>
    <cfRule type="containsText" dxfId="117" priority="121" operator="containsText" text="Alerta">
      <formula>NOT(ISERROR(SEARCH("Alerta",X21)))</formula>
    </cfRule>
    <cfRule type="containsText" dxfId="116" priority="120" operator="containsText" text="Listo">
      <formula>NOT(ISERROR(SEARCH("Listo",X21)))</formula>
    </cfRule>
    <cfRule type="containsText" dxfId="115" priority="119" operator="containsText" text="Todavia">
      <formula>NOT(ISERROR(SEARCH("Todavia",X21)))</formula>
    </cfRule>
    <cfRule type="containsText" dxfId="114" priority="116" operator="containsText" text="Atento">
      <formula>NOT(ISERROR(SEARCH("Atento",X21)))</formula>
    </cfRule>
    <cfRule type="containsText" dxfId="113" priority="115" operator="containsText" text="Todavia">
      <formula>NOT(ISERROR(SEARCH("Todavia",X21)))</formula>
    </cfRule>
    <cfRule type="containsText" dxfId="112" priority="114" operator="containsText" text="Alerta">
      <formula>NOT(ISERROR(SEARCH("Alerta",X21)))</formula>
    </cfRule>
    <cfRule type="containsText" dxfId="111" priority="112" operator="containsText" text="Paso">
      <formula>NOT(ISERROR(SEARCH("Paso",X21)))</formula>
    </cfRule>
    <cfRule type="containsText" dxfId="110" priority="113" operator="containsText" text="Listo">
      <formula>NOT(ISERROR(SEARCH("Listo",X21)))</formula>
    </cfRule>
  </conditionalFormatting>
  <conditionalFormatting sqref="X21:X29">
    <cfRule type="containsText" dxfId="109" priority="123" operator="containsText" text="Verificar">
      <formula>NOT(ISERROR(SEARCH("Verificar",X21)))</formula>
    </cfRule>
    <cfRule type="containsText" dxfId="108" priority="122" operator="containsText" text="Pendiente">
      <formula>NOT(ISERROR(SEARCH("Pendiente",X21)))</formula>
    </cfRule>
  </conditionalFormatting>
  <conditionalFormatting sqref="X23 X29 X31:X33 X38:X66 X68:X102">
    <cfRule type="containsText" dxfId="107" priority="149" operator="containsText" text="Todavia">
      <formula>NOT(ISERROR(SEARCH("Todavia",X23)))</formula>
    </cfRule>
    <cfRule type="containsText" dxfId="106" priority="150" operator="containsText" text="Listo">
      <formula>NOT(ISERROR(SEARCH("Listo",X23)))</formula>
    </cfRule>
    <cfRule type="containsText" dxfId="105" priority="151" operator="containsText" text="Alerta">
      <formula>NOT(ISERROR(SEARCH("Alerta",X23)))</formula>
    </cfRule>
    <cfRule type="containsText" dxfId="104" priority="155" operator="containsText" text="Atento">
      <formula>NOT(ISERROR(SEARCH("Atento",X23)))</formula>
    </cfRule>
    <cfRule type="containsText" dxfId="103" priority="156" operator="containsText" text="Paso">
      <formula>NOT(ISERROR(SEARCH("Paso",X23)))</formula>
    </cfRule>
    <cfRule type="containsText" dxfId="102" priority="157" operator="containsText" text="Listo">
      <formula>NOT(ISERROR(SEARCH("Listo",X23)))</formula>
    </cfRule>
    <cfRule type="containsText" dxfId="101" priority="158" operator="containsText" text="Alerta">
      <formula>NOT(ISERROR(SEARCH("Alerta",X23)))</formula>
    </cfRule>
  </conditionalFormatting>
  <conditionalFormatting sqref="X23 X31:X33 X38:X66 X29 X68:X102">
    <cfRule type="containsText" dxfId="100" priority="148" operator="containsText" text="Coordinar">
      <formula>NOT(ISERROR(SEARCH("Coordinar",X23)))</formula>
    </cfRule>
  </conditionalFormatting>
  <conditionalFormatting sqref="X23 X31:X33 X38:X66 X68:X102 X29">
    <cfRule type="containsText" dxfId="99" priority="154" operator="containsText" text="Todavia">
      <formula>NOT(ISERROR(SEARCH("Todavia",X23)))</formula>
    </cfRule>
  </conditionalFormatting>
  <conditionalFormatting sqref="X23 X31:X33 X38:X66 X68:X102">
    <cfRule type="containsText" dxfId="98" priority="152" operator="containsText" text="Pendiente">
      <formula>NOT(ISERROR(SEARCH("Pendiente",X23)))</formula>
    </cfRule>
    <cfRule type="containsText" dxfId="97" priority="153" operator="containsText" text="Verificar">
      <formula>NOT(ISERROR(SEARCH("Verificar",X23)))</formula>
    </cfRule>
  </conditionalFormatting>
  <conditionalFormatting sqref="X23 X31:X33 X38:X66">
    <cfRule type="containsText" dxfId="96" priority="129" operator="containsText" text="Proceso">
      <formula>NOT(ISERROR(SEARCH("Proceso",X23)))</formula>
    </cfRule>
    <cfRule type="containsText" dxfId="95" priority="130" operator="containsText" text="Entregado">
      <formula>NOT(ISERROR(SEARCH("Entregado",X23)))</formula>
    </cfRule>
  </conditionalFormatting>
  <conditionalFormatting sqref="X35">
    <cfRule type="containsText" dxfId="94" priority="60" operator="containsText" text="Atento">
      <formula>NOT(ISERROR(SEARCH("Atento",X35)))</formula>
    </cfRule>
    <cfRule type="containsText" dxfId="93" priority="63" operator="containsText" text="Paso">
      <formula>NOT(ISERROR(SEARCH("Paso",X35)))</formula>
    </cfRule>
    <cfRule type="containsText" dxfId="92" priority="64" operator="containsText" text="Listo">
      <formula>NOT(ISERROR(SEARCH("Listo",X35)))</formula>
    </cfRule>
    <cfRule type="containsText" dxfId="91" priority="65" operator="containsText" text="Alerta">
      <formula>NOT(ISERROR(SEARCH("Alerta",X35)))</formula>
    </cfRule>
    <cfRule type="containsText" dxfId="90" priority="66" operator="containsText" text="Todavia">
      <formula>NOT(ISERROR(SEARCH("Todavia",X35)))</formula>
    </cfRule>
    <cfRule type="containsText" dxfId="89" priority="67" operator="containsText" text="Atento">
      <formula>NOT(ISERROR(SEARCH("Atento",X35)))</formula>
    </cfRule>
    <cfRule type="containsText" dxfId="88" priority="71" operator="containsText" text="Listo">
      <formula>NOT(ISERROR(SEARCH("Listo",X35)))</formula>
    </cfRule>
    <cfRule type="containsText" dxfId="87" priority="72" operator="containsText" text="Alerta">
      <formula>NOT(ISERROR(SEARCH("Alerta",X35)))</formula>
    </cfRule>
    <cfRule type="containsText" dxfId="86" priority="73" operator="containsText" text="Pendiente">
      <formula>NOT(ISERROR(SEARCH("Pendiente",X35)))</formula>
    </cfRule>
    <cfRule type="containsText" dxfId="85" priority="74" operator="containsText" text="Verificar">
      <formula>NOT(ISERROR(SEARCH("Verificar",X35)))</formula>
    </cfRule>
    <cfRule type="containsText" dxfId="84" priority="75" operator="containsText" text="Todavia">
      <formula>NOT(ISERROR(SEARCH("Todavia",X35)))</formula>
    </cfRule>
    <cfRule type="containsText" dxfId="83" priority="76" operator="containsText" text="Atento">
      <formula>NOT(ISERROR(SEARCH("Atento",X35)))</formula>
    </cfRule>
    <cfRule type="containsText" dxfId="82" priority="77" operator="containsText" text="Paso">
      <formula>NOT(ISERROR(SEARCH("Paso",X35)))</formula>
    </cfRule>
    <cfRule type="containsText" dxfId="81" priority="50" operator="containsText" text="Coordinar">
      <formula>NOT(ISERROR(SEARCH("Coordinar",X35)))</formula>
    </cfRule>
    <cfRule type="containsText" dxfId="80" priority="51" operator="containsText" text="Todavia">
      <formula>NOT(ISERROR(SEARCH("Todavia",X35)))</formula>
    </cfRule>
    <cfRule type="containsText" dxfId="79" priority="52" operator="containsText" text="Listo">
      <formula>NOT(ISERROR(SEARCH("Listo",X35)))</formula>
    </cfRule>
    <cfRule type="containsText" dxfId="78" priority="53" operator="containsText" text="Alerta">
      <formula>NOT(ISERROR(SEARCH("Alerta",X35)))</formula>
    </cfRule>
    <cfRule type="containsText" dxfId="77" priority="54" operator="containsText" text="Pendiente">
      <formula>NOT(ISERROR(SEARCH("Pendiente",X35)))</formula>
    </cfRule>
    <cfRule type="containsText" dxfId="76" priority="55" operator="containsText" text="Verificar">
      <formula>NOT(ISERROR(SEARCH("Verificar",X35)))</formula>
    </cfRule>
    <cfRule type="containsText" dxfId="75" priority="56" operator="containsText" text="Paso">
      <formula>NOT(ISERROR(SEARCH("Paso",X35)))</formula>
    </cfRule>
    <cfRule type="containsText" dxfId="74" priority="57" operator="containsText" text="Listo">
      <formula>NOT(ISERROR(SEARCH("Listo",X35)))</formula>
    </cfRule>
    <cfRule type="containsText" dxfId="73" priority="58" operator="containsText" text="Alerta">
      <formula>NOT(ISERROR(SEARCH("Alerta",X35)))</formula>
    </cfRule>
    <cfRule type="containsText" dxfId="72" priority="59" operator="containsText" text="Todavia">
      <formula>NOT(ISERROR(SEARCH("Todavia",X35)))</formula>
    </cfRule>
  </conditionalFormatting>
  <conditionalFormatting sqref="X35:X36">
    <cfRule type="containsText" dxfId="71" priority="61" operator="containsText" text="Proceso">
      <formula>NOT(ISERROR(SEARCH("Proceso",X35)))</formula>
    </cfRule>
    <cfRule type="containsText" dxfId="70" priority="79" operator="containsText" text="Alerta">
      <formula>NOT(ISERROR(SEARCH("Alerta",X35)))</formula>
    </cfRule>
    <cfRule type="containsText" dxfId="69" priority="78" operator="containsText" text="Listo">
      <formula>NOT(ISERROR(SEARCH("Listo",X35)))</formula>
    </cfRule>
    <cfRule type="containsText" dxfId="68" priority="70" operator="containsText" text="Todavia">
      <formula>NOT(ISERROR(SEARCH("Todavia",X35)))</formula>
    </cfRule>
    <cfRule type="containsText" dxfId="67" priority="69" operator="containsText" text="Coordinar">
      <formula>NOT(ISERROR(SEARCH("Coordinar",X35)))</formula>
    </cfRule>
    <cfRule type="containsText" dxfId="66" priority="62" operator="containsText" text="Entregado">
      <formula>NOT(ISERROR(SEARCH("Entregado",X35)))</formula>
    </cfRule>
  </conditionalFormatting>
  <conditionalFormatting sqref="X36">
    <cfRule type="containsText" dxfId="65" priority="94" operator="containsText" text="Listo">
      <formula>NOT(ISERROR(SEARCH("Listo",X36)))</formula>
    </cfRule>
    <cfRule type="containsText" dxfId="64" priority="95" operator="containsText" text="Alerta">
      <formula>NOT(ISERROR(SEARCH("Alerta",X36)))</formula>
    </cfRule>
    <cfRule type="containsText" dxfId="63" priority="96" operator="containsText" text="Todavia">
      <formula>NOT(ISERROR(SEARCH("Todavia",X36)))</formula>
    </cfRule>
    <cfRule type="containsText" dxfId="62" priority="97" operator="containsText" text="Atento">
      <formula>NOT(ISERROR(SEARCH("Atento",X36)))</formula>
    </cfRule>
    <cfRule type="containsText" dxfId="61" priority="99" operator="containsText" text="Coordinar">
      <formula>NOT(ISERROR(SEARCH("Coordinar",X36)))</formula>
    </cfRule>
    <cfRule type="containsText" dxfId="60" priority="100" operator="containsText" text="Todavia">
      <formula>NOT(ISERROR(SEARCH("Todavia",X36)))</formula>
    </cfRule>
    <cfRule type="containsText" dxfId="59" priority="101" operator="containsText" text="Listo">
      <formula>NOT(ISERROR(SEARCH("Listo",X36)))</formula>
    </cfRule>
    <cfRule type="containsText" dxfId="58" priority="102" operator="containsText" text="Alerta">
      <formula>NOT(ISERROR(SEARCH("Alerta",X36)))</formula>
    </cfRule>
    <cfRule type="containsText" dxfId="57" priority="103" operator="containsText" text="Pendiente">
      <formula>NOT(ISERROR(SEARCH("Pendiente",X36)))</formula>
    </cfRule>
    <cfRule type="containsText" dxfId="56" priority="104" operator="containsText" text="Verificar">
      <formula>NOT(ISERROR(SEARCH("Verificar",X36)))</formula>
    </cfRule>
    <cfRule type="containsText" dxfId="55" priority="105" operator="containsText" text="Todavia">
      <formula>NOT(ISERROR(SEARCH("Todavia",X36)))</formula>
    </cfRule>
    <cfRule type="containsText" dxfId="54" priority="106" operator="containsText" text="Atento">
      <formula>NOT(ISERROR(SEARCH("Atento",X36)))</formula>
    </cfRule>
    <cfRule type="containsText" dxfId="53" priority="107" operator="containsText" text="Paso">
      <formula>NOT(ISERROR(SEARCH("Paso",X36)))</formula>
    </cfRule>
    <cfRule type="containsText" dxfId="52" priority="108" operator="containsText" text="Listo">
      <formula>NOT(ISERROR(SEARCH("Listo",X36)))</formula>
    </cfRule>
    <cfRule type="containsText" dxfId="51" priority="109" operator="containsText" text="Alerta">
      <formula>NOT(ISERROR(SEARCH("Alerta",X36)))</formula>
    </cfRule>
    <cfRule type="containsText" dxfId="50" priority="93" operator="containsText" text="Paso">
      <formula>NOT(ISERROR(SEARCH("Paso",X36)))</formula>
    </cfRule>
    <cfRule type="containsText" dxfId="49" priority="84" operator="containsText" text="Pendiente">
      <formula>NOT(ISERROR(SEARCH("Pendiente",X36)))</formula>
    </cfRule>
    <cfRule type="containsText" dxfId="48" priority="85" operator="containsText" text="Verificar">
      <formula>NOT(ISERROR(SEARCH("Verificar",X36)))</formula>
    </cfRule>
    <cfRule type="containsText" dxfId="47" priority="86" operator="containsText" text="Paso">
      <formula>NOT(ISERROR(SEARCH("Paso",X36)))</formula>
    </cfRule>
    <cfRule type="containsText" dxfId="46" priority="87" operator="containsText" text="Listo">
      <formula>NOT(ISERROR(SEARCH("Listo",X36)))</formula>
    </cfRule>
    <cfRule type="containsText" dxfId="45" priority="88" operator="containsText" text="Alerta">
      <formula>NOT(ISERROR(SEARCH("Alerta",X36)))</formula>
    </cfRule>
    <cfRule type="containsText" dxfId="44" priority="89" operator="containsText" text="Todavia">
      <formula>NOT(ISERROR(SEARCH("Todavia",X36)))</formula>
    </cfRule>
    <cfRule type="containsText" dxfId="43" priority="90" operator="containsText" text="Atento">
      <formula>NOT(ISERROR(SEARCH("Atento",X36)))</formula>
    </cfRule>
  </conditionalFormatting>
  <conditionalFormatting sqref="X68:X106">
    <cfRule type="containsText" dxfId="42" priority="31" operator="containsText" text="Proceso">
      <formula>NOT(ISERROR(SEARCH("Proceso",X68)))</formula>
    </cfRule>
    <cfRule type="containsText" dxfId="41" priority="44" operator="containsText" text="Verificar">
      <formula>NOT(ISERROR(SEARCH("Verificar",X68)))</formula>
    </cfRule>
    <cfRule type="containsText" dxfId="40" priority="43" operator="containsText" text="Pendiente">
      <formula>NOT(ISERROR(SEARCH("Pendiente",X68)))</formula>
    </cfRule>
    <cfRule type="containsText" dxfId="39" priority="32" operator="containsText" text="Entregado">
      <formula>NOT(ISERROR(SEARCH("Entregado",X68)))</formula>
    </cfRule>
  </conditionalFormatting>
  <conditionalFormatting sqref="X103:X106">
    <cfRule type="containsText" dxfId="38" priority="49" operator="containsText" text="Alerta">
      <formula>NOT(ISERROR(SEARCH("Alerta",X103)))</formula>
    </cfRule>
    <cfRule type="containsText" dxfId="37" priority="48" operator="containsText" text="Listo">
      <formula>NOT(ISERROR(SEARCH("Listo",X103)))</formula>
    </cfRule>
    <cfRule type="containsText" dxfId="36" priority="47" operator="containsText" text="Paso">
      <formula>NOT(ISERROR(SEARCH("Paso",X103)))</formula>
    </cfRule>
    <cfRule type="containsText" dxfId="35" priority="45" operator="containsText" text="Todavia">
      <formula>NOT(ISERROR(SEARCH("Todavia",X103)))</formula>
    </cfRule>
    <cfRule type="containsText" dxfId="34" priority="42" operator="containsText" text="Alerta">
      <formula>NOT(ISERROR(SEARCH("Alerta",X103)))</formula>
    </cfRule>
    <cfRule type="containsText" dxfId="33" priority="30" operator="containsText" text="Atento">
      <formula>NOT(ISERROR(SEARCH("Atento",X103)))</formula>
    </cfRule>
    <cfRule type="containsText" dxfId="32" priority="29" operator="containsText" text="Todavia">
      <formula>NOT(ISERROR(SEARCH("Todavia",X103)))</formula>
    </cfRule>
    <cfRule type="containsText" dxfId="31" priority="28" operator="containsText" text="Alerta">
      <formula>NOT(ISERROR(SEARCH("Alerta",X103)))</formula>
    </cfRule>
    <cfRule type="containsText" dxfId="30" priority="37" operator="containsText" text="Atento">
      <formula>NOT(ISERROR(SEARCH("Atento",X103)))</formula>
    </cfRule>
    <cfRule type="containsText" dxfId="29" priority="27" operator="containsText" text="Listo">
      <formula>NOT(ISERROR(SEARCH("Listo",X103)))</formula>
    </cfRule>
    <cfRule type="containsText" dxfId="28" priority="26" operator="containsText" text="Paso">
      <formula>NOT(ISERROR(SEARCH("Paso",X103)))</formula>
    </cfRule>
    <cfRule type="containsText" dxfId="27" priority="25" operator="containsText" text="Verificar">
      <formula>NOT(ISERROR(SEARCH("Verificar",X103)))</formula>
    </cfRule>
    <cfRule type="containsText" dxfId="26" priority="23" operator="containsText" text="Alerta">
      <formula>NOT(ISERROR(SEARCH("Alerta",X103)))</formula>
    </cfRule>
    <cfRule type="containsText" dxfId="25" priority="22" operator="containsText" text="Listo">
      <formula>NOT(ISERROR(SEARCH("Listo",X103)))</formula>
    </cfRule>
    <cfRule type="containsText" dxfId="24" priority="21" operator="containsText" text="Todavia">
      <formula>NOT(ISERROR(SEARCH("Todavia",X103)))</formula>
    </cfRule>
    <cfRule type="containsText" dxfId="23" priority="20" operator="containsText" text="Coordinar">
      <formula>NOT(ISERROR(SEARCH("Coordinar",X103)))</formula>
    </cfRule>
    <cfRule type="containsText" dxfId="22" priority="40" operator="containsText" text="Todavia">
      <formula>NOT(ISERROR(SEARCH("Todavia",X103)))</formula>
    </cfRule>
    <cfRule type="containsText" dxfId="21" priority="41" operator="containsText" text="Listo">
      <formula>NOT(ISERROR(SEARCH("Listo",X103)))</formula>
    </cfRule>
    <cfRule type="containsText" dxfId="20" priority="46" operator="containsText" text="Atento">
      <formula>NOT(ISERROR(SEARCH("Atento",X103)))</formula>
    </cfRule>
    <cfRule type="containsText" dxfId="19" priority="36" operator="containsText" text="Todavia">
      <formula>NOT(ISERROR(SEARCH("Todavia",X103)))</formula>
    </cfRule>
    <cfRule type="containsText" dxfId="18" priority="35" operator="containsText" text="Alerta">
      <formula>NOT(ISERROR(SEARCH("Alerta",X103)))</formula>
    </cfRule>
    <cfRule type="containsText" dxfId="17" priority="34" operator="containsText" text="Listo">
      <formula>NOT(ISERROR(SEARCH("Listo",X103)))</formula>
    </cfRule>
    <cfRule type="containsText" dxfId="16" priority="33" operator="containsText" text="Paso">
      <formula>NOT(ISERROR(SEARCH("Paso",X103)))</formula>
    </cfRule>
    <cfRule type="containsText" dxfId="15" priority="39" operator="containsText" text="Coordinar">
      <formula>NOT(ISERROR(SEARCH("Coordinar",X103)))</formula>
    </cfRule>
    <cfRule type="containsText" dxfId="14" priority="24" operator="containsText" text="Pendiente">
      <formula>NOT(ISERROR(SEARCH("Pendiente",X103)))</formula>
    </cfRule>
  </conditionalFormatting>
  <conditionalFormatting sqref="AD16:AD20">
    <cfRule type="cellIs" dxfId="13" priority="19" operator="lessThan">
      <formula>0</formula>
    </cfRule>
  </conditionalFormatting>
  <dataValidations count="1">
    <dataValidation type="decimal" operator="equal" allowBlank="1" showInputMessage="1" showErrorMessage="1" sqref="B35:B36 B21:B28" xr:uid="{98D7E670-E5FD-43C1-8713-913DCD938BA9}">
      <formula1>5.45646E-22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63F6649AD307468957A5075F0F351D" ma:contentTypeVersion="20" ma:contentTypeDescription="Crear nuevo documento." ma:contentTypeScope="" ma:versionID="c08624b0f9acfa229d338fae07c77eff">
  <xsd:schema xmlns:xsd="http://www.w3.org/2001/XMLSchema" xmlns:xs="http://www.w3.org/2001/XMLSchema" xmlns:p="http://schemas.microsoft.com/office/2006/metadata/properties" xmlns:ns1="http://schemas.microsoft.com/sharepoint/v3" xmlns:ns2="66e2d49c-54f0-4ad3-9b99-b0d0debbc4b6" xmlns:ns3="bb2fa667-4588-4881-9529-56fb49c453cc" targetNamespace="http://schemas.microsoft.com/office/2006/metadata/properties" ma:root="true" ma:fieldsID="98cf4d67a75678713553abf6f3c1bdfb" ns1:_="" ns2:_="" ns3:_="">
    <xsd:import namespace="http://schemas.microsoft.com/sharepoint/v3"/>
    <xsd:import namespace="66e2d49c-54f0-4ad3-9b99-b0d0debbc4b6"/>
    <xsd:import namespace="bb2fa667-4588-4881-9529-56fb49c453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2d49c-54f0-4ad3-9b99-b0d0debbc4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b9507462-83c8-406d-8407-3ee0896308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fa667-4588-4881-9529-56fb49c453c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93defd7-b99d-4f2d-9e28-6d2d795ea719}" ma:internalName="TaxCatchAll" ma:showField="CatchAllData" ma:web="bb2fa667-4588-4881-9529-56fb49c453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e2d49c-54f0-4ad3-9b99-b0d0debbc4b6">
      <Terms xmlns="http://schemas.microsoft.com/office/infopath/2007/PartnerControls"/>
    </lcf76f155ced4ddcb4097134ff3c332f>
    <TaxCatchAll xmlns="bb2fa667-4588-4881-9529-56fb49c453cc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1F7C27-FC06-48CA-9CFD-E42BF7FB92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6e2d49c-54f0-4ad3-9b99-b0d0debbc4b6"/>
    <ds:schemaRef ds:uri="bb2fa667-4588-4881-9529-56fb49c453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FEE89B-ED60-4910-B237-042BF30D6ACA}">
  <ds:schemaRefs>
    <ds:schemaRef ds:uri="http://schemas.microsoft.com/sharepoint/v3"/>
    <ds:schemaRef ds:uri="bb2fa667-4588-4881-9529-56fb49c453cc"/>
    <ds:schemaRef ds:uri="66e2d49c-54f0-4ad3-9b99-b0d0debbc4b6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3281AE6-55DA-42C1-92D8-53679401B1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6c6c803-0d12-4084-96d3-26b73f9b324d}" enabled="1" method="Privileged" siteId="{a67e2ede-b825-48b9-bbe8-1250eedec66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Consideraciones </vt:lpstr>
      <vt:lpstr>Plan OI</vt:lpstr>
      <vt:lpstr>Flujo de Caja</vt:lpstr>
      <vt:lpstr>Presupuesto</vt:lpstr>
      <vt:lpstr>BD Plan Detallado</vt:lpstr>
      <vt:lpstr>AFEC</vt:lpstr>
      <vt:lpstr>Pressto</vt:lpstr>
      <vt:lpstr>Cronograma Inverso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Alba Luisa Rosario</dc:creator>
  <cp:keywords/>
  <dc:description/>
  <cp:lastModifiedBy>Yaritza Melendez</cp:lastModifiedBy>
  <cp:revision/>
  <dcterms:created xsi:type="dcterms:W3CDTF">2022-08-02T14:47:06Z</dcterms:created>
  <dcterms:modified xsi:type="dcterms:W3CDTF">2026-09-06T13:18:20Z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c6c803-0d12-4084-96d3-26b73f9b324d_Enabled">
    <vt:lpwstr>true</vt:lpwstr>
  </property>
  <property fmtid="{D5CDD505-2E9C-101B-9397-08002B2CF9AE}" pid="3" name="MSIP_Label_66c6c803-0d12-4084-96d3-26b73f9b324d_SetDate">
    <vt:lpwstr>2023-08-18T16:55:19Z</vt:lpwstr>
  </property>
  <property fmtid="{D5CDD505-2E9C-101B-9397-08002B2CF9AE}" pid="4" name="MSIP_Label_66c6c803-0d12-4084-96d3-26b73f9b324d_Method">
    <vt:lpwstr>Standard</vt:lpwstr>
  </property>
  <property fmtid="{D5CDD505-2E9C-101B-9397-08002B2CF9AE}" pid="5" name="MSIP_Label_66c6c803-0d12-4084-96d3-26b73f9b324d_Name">
    <vt:lpwstr>66c6c803-0d12-4084-96d3-26b73f9b324d</vt:lpwstr>
  </property>
  <property fmtid="{D5CDD505-2E9C-101B-9397-08002B2CF9AE}" pid="6" name="MSIP_Label_66c6c803-0d12-4084-96d3-26b73f9b324d_SiteId">
    <vt:lpwstr>a67e2ede-b825-48b9-bbe8-1250eedec66a</vt:lpwstr>
  </property>
  <property fmtid="{D5CDD505-2E9C-101B-9397-08002B2CF9AE}" pid="7" name="MSIP_Label_66c6c803-0d12-4084-96d3-26b73f9b324d_ActionId">
    <vt:lpwstr>2d14c0fd-c7d9-4674-a951-7acbfdea1f4d</vt:lpwstr>
  </property>
  <property fmtid="{D5CDD505-2E9C-101B-9397-08002B2CF9AE}" pid="8" name="MSIP_Label_66c6c803-0d12-4084-96d3-26b73f9b324d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0x010100DF63F6649AD307468957A5075F0F351D</vt:lpwstr>
  </property>
</Properties>
</file>